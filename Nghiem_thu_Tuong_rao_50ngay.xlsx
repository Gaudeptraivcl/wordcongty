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nh tu nghiem thu" sheetId="1" state="visible" r:id="rId3"/>
    <sheet name="Tien do 50 ngay" sheetId="2" state="visible" r:id="rId4"/>
    <sheet name="Danh muc tieu chuan" sheetId="3" state="visible" r:id="rId5"/>
  </sheets>
  <definedNames>
    <definedName function="false" hidden="false" localSheetId="1" name="_xlnm.Print_Titles" vbProcedure="false">'Tien do 50 ngay'!$4:$5</definedName>
    <definedName function="false" hidden="false" localSheetId="0" name="_xlnm.Print_Titles" vbProcedure="false">'Trinh tu nghiem thu'!$4:$4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Giả định – thay bằng ngày khởi công thực tế.</t>
        </r>
      </text>
    </comment>
  </commentList>
</comments>
</file>

<file path=xl/sharedStrings.xml><?xml version="1.0" encoding="utf-8"?>
<sst xmlns="http://schemas.openxmlformats.org/spreadsheetml/2006/main" count="439" uniqueCount="366">
  <si>
    <t xml:space="preserve">TRÌNH TỰ VÀ TIÊU CHUẨN NGHIỆM THU - TƯỜNG RÀO ĐẶC GIÁP NHÀ XE</t>
  </si>
  <si>
    <t xml:space="preserve">Ngày nghiệm thu lấy tự động từ sheet 'Tien do 50 ngay' (ngày kết thúc công việc). Thành phần NT: CĐT, TVGS, Nhà thầu thi công (TVTK khi cần).</t>
  </si>
  <si>
    <t xml:space="preserve">Bước</t>
  </si>
  <si>
    <t xml:space="preserve">Mã HM</t>
  </si>
  <si>
    <t xml:space="preserve">Đối tượng nghiệm thu</t>
  </si>
  <si>
    <t xml:space="preserve">Hình thức NT</t>
  </si>
  <si>
    <t xml:space="preserve">Ngày NT (thứ)</t>
  </si>
  <si>
    <t xml:space="preserve">Ngày NT</t>
  </si>
  <si>
    <t xml:space="preserve">Nội dung kiểm tra</t>
  </si>
  <si>
    <t xml:space="preserve">Tiêu chuẩn nghiệm thu / sai số cho phép</t>
  </si>
  <si>
    <t xml:space="preserve">Phương pháp, dụng cụ</t>
  </si>
  <si>
    <t xml:space="preserve">Tiêu chuẩn áp dụng</t>
  </si>
  <si>
    <t xml:space="preserve">Hồ sơ / biên bản</t>
  </si>
  <si>
    <t xml:space="preserve">I</t>
  </si>
  <si>
    <t xml:space="preserve">NGHIỆM THU VẬT LIỆU, ĐỊNH VỊ TRƯỚC KHI THI CÔNG</t>
  </si>
  <si>
    <t xml:space="preserve">0.1</t>
  </si>
  <si>
    <t xml:space="preserve">Mặt bằng, tim trục, cao độ</t>
  </si>
  <si>
    <t xml:space="preserve">NT định vị công trình</t>
  </si>
  <si>
    <t xml:space="preserve">Mốc chuẩn, tim trục tường rào, cao độ ±0.000, ranh giới giáp nhà xe; hiện trạng kết cấu cũ cần phá dỡ</t>
  </si>
  <si>
    <t xml:space="preserve">Sai số định vị tim trục ≤ ±10mm; cao độ ≤ ±5mm so với mốc chuẩn</t>
  </si>
  <si>
    <t xml:space="preserve">Máy toàn đạc / kinh vĩ, máy thủy bình, thước thép</t>
  </si>
  <si>
    <t xml:space="preserve">TCVN 9398:2012; TCVN 4447:2012</t>
  </si>
  <si>
    <t xml:space="preserve">BB bàn giao mặt bằng, BB nghiệm thu định vị</t>
  </si>
  <si>
    <t xml:space="preserve">0.2</t>
  </si>
  <si>
    <t xml:space="preserve">Xi măng PCB30, PCB40</t>
  </si>
  <si>
    <t xml:space="preserve">NT vật liệu đầu vào</t>
  </si>
  <si>
    <t xml:space="preserve">Chứng chỉ xuất xưởng, CO/CQ, lô hàng, hạn sử dụng (≤ 60 ngày kể từ ngày SX), bao bì nguyên vẹn, không vón cục</t>
  </si>
  <si>
    <t xml:space="preserve">Đạt TCVN 6260:2020; thí nghiệm cường độ, thời gian đông kết khi có nghi ngờ / theo yêu cầu TK</t>
  </si>
  <si>
    <t xml:space="preserve">Kiểm tra hồ sơ, quan sát; lấy mẫu thí nghiệm</t>
  </si>
  <si>
    <t xml:space="preserve">TCVN 6260:2020; TCVN 6016:2011; TCVN 4453:1995 mục 6.2</t>
  </si>
  <si>
    <t xml:space="preserve">BB NT vật liệu + phiếu KQ thí nghiệm</t>
  </si>
  <si>
    <t xml:space="preserve">Cát, đá dăm 1x2, 4x6</t>
  </si>
  <si>
    <t xml:space="preserve">Thành phần hạt, hàm lượng bụi bùn sét, tạp chất hữu cơ, kích thước hạt lớn nhất</t>
  </si>
  <si>
    <t xml:space="preserve">Đạt TCVN 7570:2006 (cát BT: bụi-bùn-sét ≤ 3%; đá: ≤ 1%); cát xây trát theo TCVN 9205:2012</t>
  </si>
  <si>
    <t xml:space="preserve">Lấy mẫu thí nghiệm tại phòng LAS-XD</t>
  </si>
  <si>
    <t xml:space="preserve">TCVN 7570:2006; TCVN 7572:2006; TCVN 9205:2012</t>
  </si>
  <si>
    <t xml:space="preserve">Cốt thép (CB240-T, CB300-V…)</t>
  </si>
  <si>
    <t xml:space="preserve">Chủng loại, đường kính, CO/CQ, bề mặt không gỉ sét, dầu mỡ; thí nghiệm kéo, uốn</t>
  </si>
  <si>
    <t xml:space="preserve">Giới hạn chảy, giới hạn bền, độ giãn dài, uốn nguội đạt TCVN 1651:2018; 1 tổ mẫu/lô ≤ 50 tấn/đường kính</t>
  </si>
  <si>
    <t xml:space="preserve">Kiểm tra hồ sơ, thước kẹp; thí nghiệm kéo-uốn</t>
  </si>
  <si>
    <t xml:space="preserve">TCVN 1651-1:2018; TCVN 1651-2:2018; TCVN 197-1:2014; TCVN 198:2008</t>
  </si>
  <si>
    <t xml:space="preserve">Gạch không nung, gạch bê tông</t>
  </si>
  <si>
    <t xml:space="preserve">Kích thước, khuyết tật, cường độ nén, độ hút nước</t>
  </si>
  <si>
    <t xml:space="preserve">Đạt TCVN 6477:2016; mác gạch ≥ thiết kế; sai lệch kích thước ±2mm (dài), ±2mm (rộng), ±3mm (cao)</t>
  </si>
  <si>
    <t xml:space="preserve">Thước, lấy mẫu thí nghiệm</t>
  </si>
  <si>
    <t xml:space="preserve">TCVN 6477:2016; TCVN 6355:2009</t>
  </si>
  <si>
    <t xml:space="preserve">Nước thi công, sơn, gỗ ván khuôn</t>
  </si>
  <si>
    <t xml:space="preserve">Nước sạch không lẫn dầu mỡ, muối; sơn đúng chủng loại, màu, CO/CQ, hạn dùng; ván khuôn đủ cứng, phẳng</t>
  </si>
  <si>
    <t xml:space="preserve">Nước đạt TCVN 4506:2012; sơn đạt TCVN 8652:2020</t>
  </si>
  <si>
    <t xml:space="preserve">Quan sát, kiểm tra hồ sơ</t>
  </si>
  <si>
    <t xml:space="preserve">TCVN 4506:2012; TCVN 8652:2020</t>
  </si>
  <si>
    <t xml:space="preserve">BB NT vật liệu</t>
  </si>
  <si>
    <t xml:space="preserve">II</t>
  </si>
  <si>
    <t xml:space="preserve">NGHIỆM THU PHẦN PHÁ DỠ</t>
  </si>
  <si>
    <t xml:space="preserve">4.1–4.4</t>
  </si>
  <si>
    <t xml:space="preserve">Phá dỡ tường, cột trụ gạch, kết cấu BTCT, kết cấu gạch đá</t>
  </si>
  <si>
    <t xml:space="preserve">NT công việc</t>
  </si>
  <si>
    <t xml:space="preserve">Phạm vi, khối lượng phá dỡ đúng thiết kế; không ảnh hưởng kết cấu nhà xe liền kề; vận chuyển phế thải, vệ sinh mặt bằng</t>
  </si>
  <si>
    <t xml:space="preserve">Không nứt, lún công trình lân cận; mặt bằng sạch, đủ điều kiện đào móng; biện pháp an toàn, che chắn bụi</t>
  </si>
  <si>
    <t xml:space="preserve">Quan sát, đo đạc khối lượng thực tế</t>
  </si>
  <si>
    <t xml:space="preserve">TCVN 5308:1991; QCVN 18:2021/BXD</t>
  </si>
  <si>
    <t xml:space="preserve">BB NT công việc phá dỡ, bản vẽ đo bóc khối lượng</t>
  </si>
  <si>
    <t xml:space="preserve">III</t>
  </si>
  <si>
    <t xml:space="preserve">NGHIỆM THU PHẦN MÓNG</t>
  </si>
  <si>
    <t xml:space="preserve">4.5</t>
  </si>
  <si>
    <t xml:space="preserve">Hố móng cột, trụ (đào đất cấp III)</t>
  </si>
  <si>
    <t xml:space="preserve">Kích thước, cao độ đáy, tim hố móng, độ dốc mái, địa chất đáy móng, nước ngầm</t>
  </si>
  <si>
    <t xml:space="preserve">Cao độ đáy móng sai lệch ≤ ±50mm (đào thủ công); đáy phẳng, không đọng nước, không bùn; đất đáy đúng thiết kế</t>
  </si>
  <si>
    <t xml:space="preserve">Máy thủy bình, thước thép, quan sát</t>
  </si>
  <si>
    <t xml:space="preserve">TCVN 4447:2012 (Bảng 13); TCVN 9361:2012</t>
  </si>
  <si>
    <t xml:space="preserve">BB NT hố móng (có TVTK nếu địa chất khác thiết kế)</t>
  </si>
  <si>
    <t xml:space="preserve">4.7, 4.8</t>
  </si>
  <si>
    <t xml:space="preserve">Bê tông lót móng M100</t>
  </si>
  <si>
    <t xml:space="preserve">Ván khuôn lót, chiều dày, cao độ mặt BT lót, mác vữa BT, độ phẳng</t>
  </si>
  <si>
    <t xml:space="preserve">Chiều dày đúng thiết kế (sai lệch ≤ 10mm); cao độ mặt ±10mm; bề mặt phẳng, không rỗ</t>
  </si>
  <si>
    <t xml:space="preserve">Máy thủy bình, thước</t>
  </si>
  <si>
    <t xml:space="preserve">TCVN 4453:1995</t>
  </si>
  <si>
    <t xml:space="preserve">BB NT công việc</t>
  </si>
  <si>
    <t xml:space="preserve">4.11, 4.19, 4.20</t>
  </si>
  <si>
    <t xml:space="preserve">Cốt thép móng, giằng móng</t>
  </si>
  <si>
    <t xml:space="preserve">NT công việc (trước khi đổ BT – bắt buộc)</t>
  </si>
  <si>
    <t xml:space="preserve">Chủng loại, số lượng, đường kính, khoảng cách, chiều dài nối/neo, mối buộc, con kê lớp BT bảo vệ, vệ sinh cốt thép</t>
  </si>
  <si>
    <t xml:space="preserve">Sai lệch khoảng cách thanh chịu lực móng ±20mm; cốt đai ±10mm; lớp BT bảo vệ ±5mm; chiều dài nối buộc ≥ 30d (vùng kéo)</t>
  </si>
  <si>
    <t xml:space="preserve">Thước thép, thước kẹp, đếm, quan sát</t>
  </si>
  <si>
    <t xml:space="preserve">TCVN 4453:1995 mục 4 &amp; Bảng 4; TCVN 5574:2018</t>
  </si>
  <si>
    <t xml:space="preserve">BB NT cốt thép (kèm bản vẽ hoàn công)</t>
  </si>
  <si>
    <t xml:space="preserve">4.10</t>
  </si>
  <si>
    <t xml:space="preserve">Ván khuôn móng</t>
  </si>
  <si>
    <t xml:space="preserve">NT công việc (trước khi đổ BT)</t>
  </si>
  <si>
    <t xml:space="preserve">Kích thước, tim trục, cao độ, độ kín khít, độ ổn định chống đỡ, chất chống dính</t>
  </si>
  <si>
    <t xml:space="preserve">Sai lệch tim trục ≤ 15mm; độ phẳng (thước 2m) ≤ 5mm; độ nghiêng trên toàn chiều cao móng ≤ 20mm; kín không mất nước XM</t>
  </si>
  <si>
    <t xml:space="preserve">Thước, dây dọi, quả dọi, máy thủy bình</t>
  </si>
  <si>
    <t xml:space="preserve">TCVN 4453:1995 mục 3 &amp; Bảng 2</t>
  </si>
  <si>
    <t xml:space="preserve">BB NT ván khuôn</t>
  </si>
  <si>
    <t xml:space="preserve">4.9</t>
  </si>
  <si>
    <t xml:space="preserve">Bê tông móng + giằng móng M200</t>
  </si>
  <si>
    <t xml:space="preserve">Cấp phối, độ sụt, quy trình đổ &amp; đầm, lấy mẫu, bảo dưỡng, kích thước &amp; bề mặt sau tháo khuôn</t>
  </si>
  <si>
    <t xml:space="preserve">Độ sụt theo cấp phối (thường 6–8cm); ≥ 1 tổ 3 mẫu 15x15x15cm cho đợt đổ; R28 ≥ M200; sai lệch kích thước tiết diện +8/−5mm; không rỗ, nứt</t>
  </si>
  <si>
    <t xml:space="preserve">Côn Abrams, khuôn mẫu, nén mẫu tại LAS-XD; thước</t>
  </si>
  <si>
    <t xml:space="preserve">TCVN 4453:1995 mục 6, 7; TCVN 3105:2022; TCVN 3118:2022; TCVN 8828:2011</t>
  </si>
  <si>
    <t xml:space="preserve">BB NT bê tông + KQ nén mẫu R7/R28</t>
  </si>
  <si>
    <t xml:space="preserve">4.16</t>
  </si>
  <si>
    <t xml:space="preserve">Xây móng gạch không nung VXM M75</t>
  </si>
  <si>
    <t xml:space="preserve">Kích thước, cao độ, tim trục, mạch vữa, độ thẳng đứng, liên kết, mác vữa</t>
  </si>
  <si>
    <t xml:space="preserve">Mạch vữa ngang 12mm (8–15mm), mạch đứng 10mm (8–15mm), không trùng mạch; sai lệch tim trục ±10mm; cao độ ±15mm</t>
  </si>
  <si>
    <t xml:space="preserve">Thước, dây dọi, nivô, lấy mẫu vữa</t>
  </si>
  <si>
    <t xml:space="preserve">TCVN 4085:2011; TCVN 4314:2022; TCVN 3121:2022</t>
  </si>
  <si>
    <t xml:space="preserve">BB NT khối xây</t>
  </si>
  <si>
    <t xml:space="preserve">4.6</t>
  </si>
  <si>
    <t xml:space="preserve">Đắp đất hố móng K = 0,90</t>
  </si>
  <si>
    <t xml:space="preserve">Loại đất đắp, chiều dày lớp đầm, độ ẩm, độ chặt</t>
  </si>
  <si>
    <t xml:space="preserve">Đầm từng lớp ≤ 20cm (đầm cóc 70kg); độ chặt K ≥ 0,90; tối thiểu 1 điểm thí nghiệm/lớp/hạng mục</t>
  </si>
  <si>
    <t xml:space="preserve">Dao vòng / rót cát tại hiện trường</t>
  </si>
  <si>
    <t xml:space="preserve">TCVN 4447:2012 mục 4; TCVN 8729:2012; TCVN 8730:2012</t>
  </si>
  <si>
    <t xml:space="preserve">BB NT đắp đất + phiếu KQ độ chặt</t>
  </si>
  <si>
    <t xml:space="preserve">4.5–4.16</t>
  </si>
  <si>
    <t xml:space="preserve">Giai đoạn hoàn thành phần móng</t>
  </si>
  <si>
    <t xml:space="preserve">NT giai đoạn</t>
  </si>
  <si>
    <t xml:space="preserve">Tổng hợp các BB NT công việc phần móng, hồ sơ chất lượng, bản vẽ hoàn công móng</t>
  </si>
  <si>
    <t xml:space="preserve">Đủ BB, KQ thí nghiệm đạt; không còn tồn tại</t>
  </si>
  <si>
    <t xml:space="preserve">Kiểm tra hồ sơ + hiện trường</t>
  </si>
  <si>
    <t xml:space="preserve">Nghị định 06/2021/NĐ-CP; TCVN 5637:1991</t>
  </si>
  <si>
    <t xml:space="preserve">BB NT hoàn thành giai đoạn móng</t>
  </si>
  <si>
    <t xml:space="preserve">IV</t>
  </si>
  <si>
    <t xml:space="preserve">NGHIỆM THU PHẦN THÂN</t>
  </si>
  <si>
    <t xml:space="preserve">4.14, 4.15</t>
  </si>
  <si>
    <t xml:space="preserve">Cốt thép cột, trụ</t>
  </si>
  <si>
    <t xml:space="preserve">NT công việc (trước khi lắp VK)</t>
  </si>
  <si>
    <t xml:space="preserve">Chủng loại, số lượng, khoảng cách, nối chờ từ móng, cốt đai, con kê</t>
  </si>
  <si>
    <t xml:space="preserve">Sai lệch khoảng cách thanh chịu lực cột ±10mm; cốt đai ±10mm; lớp BT bảo vệ ±5mm (≥ 25mm theo TK)</t>
  </si>
  <si>
    <t xml:space="preserve">Thước thép, thước kẹp</t>
  </si>
  <si>
    <t xml:space="preserve">TCVN 4453:1995 Bảng 4</t>
  </si>
  <si>
    <t xml:space="preserve">BB NT cốt thép</t>
  </si>
  <si>
    <t xml:space="preserve">4.13</t>
  </si>
  <si>
    <t xml:space="preserve">Ván khuôn cột</t>
  </si>
  <si>
    <t xml:space="preserve">Kích thước tiết diện, độ thẳng đứng, tim trục, cửa vệ sinh, giằng chống</t>
  </si>
  <si>
    <t xml:space="preserve">Độ nghiêng trên 1m chiều cao ≤ 5mm; toàn chiều cao ≤ 10mm; tim trục ≤ 8mm; tiết diện +4mm</t>
  </si>
  <si>
    <t xml:space="preserve">Quả dọi, thước, máy kinh vĩ</t>
  </si>
  <si>
    <t xml:space="preserve">TCVN 4453:1995 Bảng 2</t>
  </si>
  <si>
    <t xml:space="preserve">4.12</t>
  </si>
  <si>
    <t xml:space="preserve">Bê tông cột M200</t>
  </si>
  <si>
    <t xml:space="preserve">Độ sụt, chiều cao rơi tự do ≤ 1,5m (cột), đầm, lấy mẫu, bảo dưỡng, bề mặt sau tháo khuôn</t>
  </si>
  <si>
    <t xml:space="preserve">≥ 1 tổ mẫu cho đợt đổ; R28 ≥ M200; độ nghiêng cột ≤ 10mm; tiết diện +8/−5mm; không rỗ, phân tầng</t>
  </si>
  <si>
    <t xml:space="preserve">Côn sụt, nén mẫu, quả dọi, thước</t>
  </si>
  <si>
    <t xml:space="preserve">TCVN 4453:1995; TCVN 3105:2022; TCVN 3118:2022; TCVN 8828:2011</t>
  </si>
  <si>
    <t xml:space="preserve">BB NT bê tông + KQ nén mẫu</t>
  </si>
  <si>
    <t xml:space="preserve">4.21</t>
  </si>
  <si>
    <t xml:space="preserve">Xây tường gạch bê tông 10,5cm VXM M75</t>
  </si>
  <si>
    <t xml:space="preserve">Độ thẳng đứng, độ phẳng, mạch vữa, râu thép liên kết cột, mác vữa</t>
  </si>
  <si>
    <t xml:space="preserve">Độ nghiêng mặt tường ≤ 10mm/tầng; độ phẳng thước 2m ≤ 10mm; mạch ngang 12mm, mạch đứng 10mm (8–15mm); mạch đầy vữa</t>
  </si>
  <si>
    <t xml:space="preserve">Thước 2m, quả dọi, nivô, lấy mẫu vữa</t>
  </si>
  <si>
    <t xml:space="preserve">TCVN 4085:2011 (Bảng 2); TCVN 4314:2022</t>
  </si>
  <si>
    <t xml:space="preserve">4.18</t>
  </si>
  <si>
    <t xml:space="preserve">Ván khuôn + cốt thép xà dầm, giằng tường</t>
  </si>
  <si>
    <t xml:space="preserve">Kích thước, cao độ đáy dầm, độ kín khít, cốt thép, lớp bảo vệ, cây chống</t>
  </si>
  <si>
    <t xml:space="preserve">Cao độ ±5mm; mặt phẳng ≤ 3mm/1m; cốt thép theo TCVN 4453 Bảng 4</t>
  </si>
  <si>
    <t xml:space="preserve">TCVN 4453:1995 mục 3, 4</t>
  </si>
  <si>
    <t xml:space="preserve">BB NT ván khuôn, cốt thép</t>
  </si>
  <si>
    <t xml:space="preserve">4.17</t>
  </si>
  <si>
    <t xml:space="preserve">Bê tông xà dầm, giằng M200</t>
  </si>
  <si>
    <t xml:space="preserve">Độ sụt, đổ đầm, lấy mẫu, bảo dưỡng, kích thước, bề mặt</t>
  </si>
  <si>
    <t xml:space="preserve">≥ 1 tổ mẫu; R28 ≥ M200; tiết diện +8/−5mm; tháo VK khi BT đạt cường độ quy định</t>
  </si>
  <si>
    <t xml:space="preserve">Côn sụt, nén mẫu, thước</t>
  </si>
  <si>
    <t xml:space="preserve">TCVN 4453:1995; TCVN 3105:2022; TCVN 3118:2022</t>
  </si>
  <si>
    <t xml:space="preserve">V</t>
  </si>
  <si>
    <t xml:space="preserve">NGHIỆM THU HOÀN THIỆN</t>
  </si>
  <si>
    <t xml:space="preserve">4.22, 4.23</t>
  </si>
  <si>
    <t xml:space="preserve">Trát tường ngoài, trụ cột dày 1,5cm VXM M75</t>
  </si>
  <si>
    <t xml:space="preserve">Chuẩn bị bề mặt (tưới ẩm, đục nhám BT), chiều dày, độ phẳng, cạnh góc, độ bám dính</t>
  </si>
  <si>
    <t xml:space="preserve">Độ phẳng: khe hở với thước 2m ≤ 3mm; cạnh, góc thẳng ≤ 2mm/1m; không bong rộp, nứt chân chim; gõ không bộp</t>
  </si>
  <si>
    <t xml:space="preserve">Thước 2m, nivô, gõ kiểm tra</t>
  </si>
  <si>
    <t xml:space="preserve">TCVN 9377-2:2012</t>
  </si>
  <si>
    <t xml:space="preserve">BB NT công tác trát</t>
  </si>
  <si>
    <t xml:space="preserve">4.24</t>
  </si>
  <si>
    <t xml:space="preserve">Sơn 1 lót + 2 phủ</t>
  </si>
  <si>
    <t xml:space="preserve">Độ khô, độ ẩm bề mặt trát, số lớp, màu sắc, độ đồng đều, độ bám dính</t>
  </si>
  <si>
    <t xml:space="preserve">Bề mặt trát khô (độ ẩm ≤ 16%); đủ 1 lót + 2 phủ; màu đồng đều, không loang, chảy, bong tróc, lộ vết lăn</t>
  </si>
  <si>
    <t xml:space="preserve">Máy đo độ ẩm, quan sát, kiểm tra độ bám dính</t>
  </si>
  <si>
    <t xml:space="preserve">TCVN 5674:1992; TCVN 8652:2020</t>
  </si>
  <si>
    <t xml:space="preserve">BB NT công tác sơn</t>
  </si>
  <si>
    <t xml:space="preserve">VI</t>
  </si>
  <si>
    <t xml:space="preserve">NGHIỆM THU HOÀN THÀNH HẠNG MỤC</t>
  </si>
  <si>
    <t xml:space="preserve">9.1</t>
  </si>
  <si>
    <t xml:space="preserve">Tường rào đặc giáp nhà xe</t>
  </si>
  <si>
    <t xml:space="preserve">NT hoàn thành HM đưa vào sử dụng</t>
  </si>
  <si>
    <t xml:space="preserve">Hồ sơ quản lý chất lượng, BB NT các công việc/giai đoạn, KQ thí nghiệm, bản vẽ hoàn công, nhật ký thi công; kiểm tra hiện trường</t>
  </si>
  <si>
    <t xml:space="preserve">Đủ hồ sơ theo Phụ lục VIB NĐ 06/2021; chất lượng đạt thiết kế &amp; tiêu chuẩn; mặt bằng sạch</t>
  </si>
  <si>
    <t xml:space="preserve">Nghị định 06/2021/NĐ-CP; TCVN 5640:1991</t>
  </si>
  <si>
    <t xml:space="preserve">BB NT hoàn thành HM / công trình</t>
  </si>
  <si>
    <t xml:space="preserve">Ghi chú:</t>
  </si>
  <si>
    <t xml:space="preserve">1. Trình tự: NT vật liệu đầu vào → NT từng công việc (công việc khuất lấp như hố móng, cốt thép, ván khuôn phải NT trước khi thi công bước tiếp theo) → NT giai đoạn → NT hoàn thành hạng mục.</t>
  </si>
  <si>
    <t xml:space="preserve">2. Nhà thầu tự kiểm tra nội bộ (NT nội bộ) trước, sau đó gửi phiếu yêu cầu nghiệm thu cho TVGS trước ≥ 24 giờ.</t>
  </si>
  <si>
    <t xml:space="preserve">3. Sai số cho phép tham khảo tiêu chuẩn hiện hành; nếu hồ sơ thiết kế / chỉ dẫn kỹ thuật quy định chặt hơn thì áp dụng theo thiết kế.</t>
  </si>
  <si>
    <t xml:space="preserve">4. Số hiệu năm ban hành tiêu chuẩn cần đối chiếu lại danh mục tiêu chuẩn được duyệt trong hồ sơ dự án trước khi phát hành.</t>
  </si>
  <si>
    <t xml:space="preserve">5. Cột 'Ngày NT (thứ)' (chữ xanh lá) là liên kết sang sheet tiến độ – thay đổi tiến độ thì ngày NT tự cập nhật.</t>
  </si>
  <si>
    <t xml:space="preserve">BẢNG TIẾN ĐỘ THI CÔNG - TƯỜNG RÀO ĐẶC GIÁP NHÀ XE (50 NGÀY)</t>
  </si>
  <si>
    <t xml:space="preserve">Ô nền vàng là ô nhập: ngày khởi công (C3), ngày bắt đầu &amp; số ngày từng công việc. Thanh tiến độ tự cập nhật.</t>
  </si>
  <si>
    <t xml:space="preserve">Ngày khởi công:</t>
  </si>
  <si>
    <t xml:space="preserve">Tổng thời gian:</t>
  </si>
  <si>
    <t xml:space="preserve">ngày</t>
  </si>
  <si>
    <t xml:space="preserve">Nội dung công việc</t>
  </si>
  <si>
    <t xml:space="preserve">Khối lượng</t>
  </si>
  <si>
    <t xml:space="preserve">Đơn vị</t>
  </si>
  <si>
    <t xml:space="preserve">Ngày BĐ (thứ)</t>
  </si>
  <si>
    <t xml:space="preserve">Số ngày</t>
  </si>
  <si>
    <t xml:space="preserve">Ngày KT (thứ)</t>
  </si>
  <si>
    <t xml:space="preserve">Nghiệm thu</t>
  </si>
  <si>
    <t xml:space="preserve">A</t>
  </si>
  <si>
    <t xml:space="preserve">CHUẨN BỊ &amp; VẬT LIỆU ĐẦU VÀO</t>
  </si>
  <si>
    <t xml:space="preserve">Bàn giao mặt bằng, định vị tim trục, cốt cao độ tường rào</t>
  </si>
  <si>
    <t xml:space="preserve">NT định vị</t>
  </si>
  <si>
    <t xml:space="preserve">Tập kết &amp; nghiệm thu vật liệu đầu vào (xi măng PCB40, cát, đá 1x2, 4x6, thép, gạch không nung, gạch BT, sơn, nước)</t>
  </si>
  <si>
    <t xml:space="preserve">NT vật liệu</t>
  </si>
  <si>
    <t xml:space="preserve">B</t>
  </si>
  <si>
    <t xml:space="preserve">PHÁ DỠ</t>
  </si>
  <si>
    <t xml:space="preserve">4.1</t>
  </si>
  <si>
    <t xml:space="preserve">Phá dỡ tường xây gạch chiều dày ≤11cm</t>
  </si>
  <si>
    <t xml:space="preserve">m3</t>
  </si>
  <si>
    <t xml:space="preserve">4.2</t>
  </si>
  <si>
    <t xml:space="preserve">Phá dỡ cột, trụ gạch đá</t>
  </si>
  <si>
    <t xml:space="preserve">4.3</t>
  </si>
  <si>
    <t xml:space="preserve">Phá dỡ kết cấu bê tông có cốt thép bằng búa căn khí nén 3m3/ph</t>
  </si>
  <si>
    <t xml:space="preserve">4.4</t>
  </si>
  <si>
    <t xml:space="preserve">Phá dỡ kết cấu gạch đá bằng búa căn khí nén 3m3/ph</t>
  </si>
  <si>
    <t xml:space="preserve">NT phá dỡ</t>
  </si>
  <si>
    <t xml:space="preserve">C</t>
  </si>
  <si>
    <t xml:space="preserve">PHẦN MÓNG</t>
  </si>
  <si>
    <t xml:space="preserve">Đào móng cột, trụ, hố kiểm tra bằng thủ công, rộng &gt;1m, sâu &gt;1m, đất cấp III, hệ số mở mái 1,2</t>
  </si>
  <si>
    <t xml:space="preserve">NT hố móng</t>
  </si>
  <si>
    <t xml:space="preserve">4.8</t>
  </si>
  <si>
    <t xml:space="preserve">Ván khuôn móng cột - Móng vuông, chữ nhật (bê tông lót)</t>
  </si>
  <si>
    <t xml:space="preserve">100m2</t>
  </si>
  <si>
    <t xml:space="preserve">4.7</t>
  </si>
  <si>
    <t xml:space="preserve">Bê tông lót móng SX bằng máy trộn, đổ thủ công, rộng ≤250cm, M100, đá 4x6, PCB30</t>
  </si>
  <si>
    <t xml:space="preserve">NT BT lót</t>
  </si>
  <si>
    <t xml:space="preserve">4.11</t>
  </si>
  <si>
    <t xml:space="preserve">Lắp dựng cốt thép móng, ĐK ≤18mm</t>
  </si>
  <si>
    <t xml:space="preserve">tấn</t>
  </si>
  <si>
    <t xml:space="preserve">NT cốt thép</t>
  </si>
  <si>
    <t xml:space="preserve">4.19</t>
  </si>
  <si>
    <t xml:space="preserve">Lắp dựng cốt thép giằng móng, ĐK ≤10mm</t>
  </si>
  <si>
    <t xml:space="preserve">4.20</t>
  </si>
  <si>
    <t xml:space="preserve">Lắp dựng cốt thép giằng móng, ĐK ≤18mm</t>
  </si>
  <si>
    <t xml:space="preserve">Ván khuôn móng cột - Móng vuông, chữ nhật</t>
  </si>
  <si>
    <t xml:space="preserve">NT ván khuôn</t>
  </si>
  <si>
    <t xml:space="preserve">Bê tông móng SX bằng máy trộn, đổ thủ công, rộng ≤250cm, M200, đá 1x2, PCB40</t>
  </si>
  <si>
    <t xml:space="preserve">NT bê tông</t>
  </si>
  <si>
    <t xml:space="preserve">Xây móng bằng gạch không nung 6,5x10,5x22cm - Chiều dày ≤33cm, vữa XM M75, PCB40</t>
  </si>
  <si>
    <t xml:space="preserve">NT khối xây</t>
  </si>
  <si>
    <t xml:space="preserve">Đắp đất bằng đầm đất cầm tay 70kg, độ chặt Y/C K = 0,90</t>
  </si>
  <si>
    <t xml:space="preserve">100m3</t>
  </si>
  <si>
    <t xml:space="preserve">NT đắp đất</t>
  </si>
  <si>
    <t xml:space="preserve">D</t>
  </si>
  <si>
    <t xml:space="preserve">PHẦN THÂN</t>
  </si>
  <si>
    <t xml:space="preserve">4.14</t>
  </si>
  <si>
    <t xml:space="preserve">Lắp dựng cốt thép cột, trụ, ĐK ≤10mm, chiều cao ≤6m</t>
  </si>
  <si>
    <t xml:space="preserve">4.15</t>
  </si>
  <si>
    <t xml:space="preserve">Lắp dựng cốt thép cột, trụ, ĐK ≤18mm, chiều cao ≤6m</t>
  </si>
  <si>
    <t xml:space="preserve">Ván khuôn cột - Cột vuông, chữ nhật</t>
  </si>
  <si>
    <t xml:space="preserve">Bê tông cột SX bằng máy trộn, đổ thủ công, TD ≤0,1m2, cao ≤6m, M200, đá 1x2, PCB40</t>
  </si>
  <si>
    <t xml:space="preserve">Xây tường thẳng gạch bê tông 10,5x6x22cm - Chiều dày 10,5cm, cao ≤6m, vữa XM M75, PCB40</t>
  </si>
  <si>
    <t xml:space="preserve">Ván khuôn gỗ xà dầm, giằng (kèm lắp cốt thép giằng tường)</t>
  </si>
  <si>
    <t xml:space="preserve">NT VK + CT</t>
  </si>
  <si>
    <t xml:space="preserve">Bê tông xà dầm, giằng nhà SX bằng máy trộn, đổ thủ công, cao ≤6m, M200, đá 1x2, PCB40</t>
  </si>
  <si>
    <t xml:space="preserve">E</t>
  </si>
  <si>
    <t xml:space="preserve">HOÀN THIỆN</t>
  </si>
  <si>
    <t xml:space="preserve">4.22</t>
  </si>
  <si>
    <t xml:space="preserve">Trát tường ngoài dày 1,5cm, vữa XM M75, PCB40</t>
  </si>
  <si>
    <t xml:space="preserve">m2</t>
  </si>
  <si>
    <t xml:space="preserve">NT trát</t>
  </si>
  <si>
    <t xml:space="preserve">4.23</t>
  </si>
  <si>
    <t xml:space="preserve">Trát trụ cột, lam đứng, cầu thang, dày 1,5cm, vữa XM M75, PCB40</t>
  </si>
  <si>
    <t xml:space="preserve">Sơn dầm, trần, tường ngoài nhà không bả bằng sơn các loại 1 nước lót + 2 nước phủ</t>
  </si>
  <si>
    <t xml:space="preserve">NT sơn</t>
  </si>
  <si>
    <t xml:space="preserve">F</t>
  </si>
  <si>
    <t xml:space="preserve">NGHIỆM THU HOÀN THÀNH</t>
  </si>
  <si>
    <t xml:space="preserve">Vệ sinh, dọn dẹp, hoàn thiện hồ sơ, NT hoàn thành hạng mục Tường rào đặc giáp nhà xe đưa vào sử dụng</t>
  </si>
  <si>
    <t xml:space="preserve">NT hoàn thành</t>
  </si>
  <si>
    <t xml:space="preserve">Chú thích:</t>
  </si>
  <si>
    <t xml:space="preserve">Thời gian thi công</t>
  </si>
  <si>
    <t xml:space="preserve">Ngày nghiệm thu công việc / giai đoạn (cuối thanh)</t>
  </si>
  <si>
    <t xml:space="preserve">Ghi chú: Thép xà dầm giằng tường không có trong bảng khối lượng – tạm gộp vào thời gian mục 4.18, cần bổ sung khối lượng nếu có. Tháo ván khuôn: móng/giằng sau ≥ 1-2 ngày, cột ≥ 2 ngày, dầm không chịu lực ≥ 3 ngày (TCVN 4453:1995, Bảng 3). Chỉ sơn khi lớp trát đã khô, đo độ ẩm bề mặt ≤ 16% (theo khuyến cáo nhà sản xuất sơn); nếu trời mưa ẩm cần lùi ngày sơn.</t>
  </si>
  <si>
    <t xml:space="preserve">DANH MỤC TIÊU CHUẨN, VĂN BẢN ÁP DỤNG</t>
  </si>
  <si>
    <t xml:space="preserve">STT</t>
  </si>
  <si>
    <t xml:space="preserve">Số hiệu</t>
  </si>
  <si>
    <t xml:space="preserve">Tên tiêu chuẩn / văn bản</t>
  </si>
  <si>
    <t xml:space="preserve">Áp dụng cho</t>
  </si>
  <si>
    <t xml:space="preserve">Nghị định 06/2021/NĐ-CP</t>
  </si>
  <si>
    <t xml:space="preserve">Quy định chi tiết về quản lý chất lượng, thi công xây dựng và bảo trì công trình</t>
  </si>
  <si>
    <t xml:space="preserve">Toàn bộ quy trình NT, hồ sơ</t>
  </si>
  <si>
    <t xml:space="preserve">TCVN 5637:1991</t>
  </si>
  <si>
    <t xml:space="preserve">Quản lý chất lượng xây lắp công trình xây dựng – Nguyên tắc cơ bản</t>
  </si>
  <si>
    <t xml:space="preserve">Quản lý chất lượng</t>
  </si>
  <si>
    <t xml:space="preserve">TCVN 5640:1991</t>
  </si>
  <si>
    <t xml:space="preserve">Bàn giao công trình xây dựng – Nguyên tắc cơ bản</t>
  </si>
  <si>
    <t xml:space="preserve">NT hoàn thành, bàn giao</t>
  </si>
  <si>
    <t xml:space="preserve">TCVN 9398:2012</t>
  </si>
  <si>
    <t xml:space="preserve">Công tác trắc địa trong xây dựng công trình – Yêu cầu chung</t>
  </si>
  <si>
    <t xml:space="preserve">Định vị, cao độ</t>
  </si>
  <si>
    <t xml:space="preserve">TCVN 5308:1991</t>
  </si>
  <si>
    <t xml:space="preserve">Quy phạm kỹ thuật an toàn trong xây dựng</t>
  </si>
  <si>
    <t xml:space="preserve">Phá dỡ</t>
  </si>
  <si>
    <t xml:space="preserve">QCVN 18:2021/BXD</t>
  </si>
  <si>
    <t xml:space="preserve">Quy chuẩn kỹ thuật quốc gia về an toàn trong thi công xây dựng</t>
  </si>
  <si>
    <t xml:space="preserve">An toàn thi công</t>
  </si>
  <si>
    <t xml:space="preserve">TCVN 4447:2012</t>
  </si>
  <si>
    <t xml:space="preserve">Công tác đất – Thi công và nghiệm thu</t>
  </si>
  <si>
    <t xml:space="preserve">Đào móng, đắp đất</t>
  </si>
  <si>
    <t xml:space="preserve">TCVN 9361:2012</t>
  </si>
  <si>
    <t xml:space="preserve">Công tác nền móng – Thi công và nghiệm thu</t>
  </si>
  <si>
    <t xml:space="preserve">Hố móng</t>
  </si>
  <si>
    <t xml:space="preserve">TCVN 8729:2012 / 8730:2012</t>
  </si>
  <si>
    <t xml:space="preserve">Đất xây dựng – PP xác định khối lượng thể tích / độ chặt tại hiện trường</t>
  </si>
  <si>
    <t xml:space="preserve">Kiểm tra K=0,90</t>
  </si>
  <si>
    <t xml:space="preserve">Kết cấu bê tông và BTCT toàn khối – Quy phạm thi công và nghiệm thu</t>
  </si>
  <si>
    <t xml:space="preserve">Ván khuôn, cốt thép, bê tông</t>
  </si>
  <si>
    <t xml:space="preserve">TCVN 5574:2018</t>
  </si>
  <si>
    <t xml:space="preserve">Thiết kế kết cấu bê tông và bê tông cốt thép</t>
  </si>
  <si>
    <t xml:space="preserve">Neo, nối cốt thép, lớp bảo vệ</t>
  </si>
  <si>
    <t xml:space="preserve">TCVN 3105:2022</t>
  </si>
  <si>
    <t xml:space="preserve">Hỗn hợp bê tông và bê tông – Lấy mẫu, chế tạo và bảo dưỡng mẫu thử</t>
  </si>
  <si>
    <t xml:space="preserve">Mẫu bê tông</t>
  </si>
  <si>
    <t xml:space="preserve">TCVN 3118:2022</t>
  </si>
  <si>
    <t xml:space="preserve">Bê tông – Phương pháp xác định cường độ chịu nén</t>
  </si>
  <si>
    <t xml:space="preserve">Nén mẫu BT</t>
  </si>
  <si>
    <t xml:space="preserve">TCVN 8828:2011</t>
  </si>
  <si>
    <t xml:space="preserve">Bê tông – Yêu cầu bảo dưỡng ẩm tự nhiên</t>
  </si>
  <si>
    <t xml:space="preserve">Bảo dưỡng BT</t>
  </si>
  <si>
    <t xml:space="preserve">TCVN 6260:2020</t>
  </si>
  <si>
    <t xml:space="preserve">Xi măng poóc lăng hỗn hợp – Yêu cầu kỹ thuật</t>
  </si>
  <si>
    <t xml:space="preserve">Xi măng PCB30/PCB40</t>
  </si>
  <si>
    <t xml:space="preserve">TCVN 7570:2006 / 7572:2006</t>
  </si>
  <si>
    <t xml:space="preserve">Cốt liệu cho bê tông và vữa – Yêu cầu kỹ thuật / Phương pháp thử</t>
  </si>
  <si>
    <t xml:space="preserve">Cát, đá</t>
  </si>
  <si>
    <t xml:space="preserve">TCVN 9205:2012</t>
  </si>
  <si>
    <t xml:space="preserve">Cát nghiền cho bê tông và vữa</t>
  </si>
  <si>
    <t xml:space="preserve">Cát (nếu dùng cát nghiền)</t>
  </si>
  <si>
    <t xml:space="preserve">TCVN 4506:2012</t>
  </si>
  <si>
    <t xml:space="preserve">Nước cho bê tông và vữa – Yêu cầu kỹ thuật</t>
  </si>
  <si>
    <t xml:space="preserve">Nước thi công</t>
  </si>
  <si>
    <t xml:space="preserve">TCVN 1651-1:2018 / 1651-2:2018</t>
  </si>
  <si>
    <t xml:space="preserve">Thép cốt bê tông – Thép thanh tròn trơn / Thép thanh vằn</t>
  </si>
  <si>
    <t xml:space="preserve">Cốt thép</t>
  </si>
  <si>
    <t xml:space="preserve">TCVN 197-1:2014 / TCVN 198:2008</t>
  </si>
  <si>
    <t xml:space="preserve">Vật liệu kim loại – Thử kéo / Thử uốn</t>
  </si>
  <si>
    <t xml:space="preserve">Thí nghiệm thép</t>
  </si>
  <si>
    <t xml:space="preserve">TCVN 6477:2016</t>
  </si>
  <si>
    <t xml:space="preserve">Gạch bê tông</t>
  </si>
  <si>
    <t xml:space="preserve">Gạch không nung, gạch BT</t>
  </si>
  <si>
    <t xml:space="preserve">TCVN 6355:2009</t>
  </si>
  <si>
    <t xml:space="preserve">Gạch xây – Phương pháp thử</t>
  </si>
  <si>
    <t xml:space="preserve">Thí nghiệm gạch</t>
  </si>
  <si>
    <t xml:space="preserve">TCVN 4314:2022 / 3121:2022</t>
  </si>
  <si>
    <t xml:space="preserve">Vữa xây dựng – Yêu cầu kỹ thuật / Phương pháp thử</t>
  </si>
  <si>
    <t xml:space="preserve">Vữa XM M75</t>
  </si>
  <si>
    <t xml:space="preserve">TCVN 4085:2011</t>
  </si>
  <si>
    <t xml:space="preserve">Kết cấu gạch đá – Quy phạm thi công và nghiệm thu</t>
  </si>
  <si>
    <t xml:space="preserve">Xây móng, xây tường</t>
  </si>
  <si>
    <t xml:space="preserve">Công tác hoàn thiện trong xây dựng – Thi công và nghiệm thu – Phần 2: Công tác trát</t>
  </si>
  <si>
    <t xml:space="preserve">Trát</t>
  </si>
  <si>
    <t xml:space="preserve">TCVN 5674:1992</t>
  </si>
  <si>
    <t xml:space="preserve">Công tác hoàn thiện trong xây dựng – Thi công và nghiệm thu</t>
  </si>
  <si>
    <t xml:space="preserve">Sơn</t>
  </si>
  <si>
    <t xml:space="preserve">TCVN 8652:2020</t>
  </si>
  <si>
    <t xml:space="preserve">Sơn tường dạng nhũ tương – Yêu cầu kỹ thuật</t>
  </si>
  <si>
    <t xml:space="preserve">Vật liệu sơn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</si>
</sst>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/mm/yyyy"/>
    <numFmt numFmtId="167" formatCode="dd/mm"/>
    <numFmt numFmtId="168" formatCode="#,##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sz val="10"/>
      <name val="Times New Roman"/>
      <family val="0"/>
      <charset val="1"/>
    </font>
    <font>
      <sz val="10"/>
      <color rgb="FF008000"/>
      <name val="Times New Roman"/>
      <family val="0"/>
      <charset val="1"/>
    </font>
    <font>
      <b val="true"/>
      <sz val="10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1"/>
      <color rgb="FF0000FF"/>
      <name val="Times New Roman"/>
      <family val="0"/>
      <charset val="1"/>
    </font>
    <font>
      <sz val="11"/>
      <name val="Times New Roman"/>
      <family val="0"/>
      <charset val="1"/>
    </font>
    <font>
      <sz val="7"/>
      <name val="Times New Roman"/>
      <family val="0"/>
      <charset val="1"/>
    </font>
    <font>
      <b val="true"/>
      <sz val="9"/>
      <color rgb="FFFFFFFF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00000"/>
        </patternFill>
      </fill>
    </dxf>
    <dxf>
      <fill>
        <patternFill>
          <bgColor rgb="FF2E75B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8"/>
    <col collapsed="false" customWidth="true" hidden="false" outlineLevel="0" max="8" min="8" style="0" width="44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2"/>
  </cols>
  <sheetData>
    <row r="1" customFormat="false" ht="18.5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5"/>
      <c r="D5" s="5"/>
      <c r="E5" s="5"/>
      <c r="F5" s="5"/>
      <c r="G5" s="5"/>
      <c r="H5" s="5"/>
      <c r="I5" s="5"/>
      <c r="J5" s="5"/>
      <c r="K5" s="5"/>
    </row>
    <row r="6" customFormat="false" ht="23.85" hidden="false" customHeight="false" outlineLevel="0" collapsed="false">
      <c r="A6" s="6" t="n">
        <v>1</v>
      </c>
      <c r="B6" s="6" t="s">
        <v>15</v>
      </c>
      <c r="C6" s="7" t="s">
        <v>16</v>
      </c>
      <c r="D6" s="7" t="s">
        <v>17</v>
      </c>
      <c r="E6" s="8" t="n">
        <f aca="false">MAX('Tien do 50 ngay'!G7)</f>
        <v>1</v>
      </c>
      <c r="F6" s="9" t="n">
        <f aca="false">'Tien do 50 ngay'!$C$3+E6-1</f>
        <v>46328</v>
      </c>
      <c r="G6" s="7" t="s">
        <v>18</v>
      </c>
      <c r="H6" s="7" t="s">
        <v>19</v>
      </c>
      <c r="I6" s="7" t="s">
        <v>20</v>
      </c>
      <c r="J6" s="7" t="s">
        <v>21</v>
      </c>
      <c r="K6" s="7" t="s">
        <v>22</v>
      </c>
    </row>
    <row r="7" customFormat="false" ht="35.05" hidden="false" customHeight="false" outlineLevel="0" collapsed="false">
      <c r="A7" s="6" t="n">
        <v>2</v>
      </c>
      <c r="B7" s="6" t="s">
        <v>23</v>
      </c>
      <c r="C7" s="7" t="s">
        <v>24</v>
      </c>
      <c r="D7" s="7" t="s">
        <v>25</v>
      </c>
      <c r="E7" s="8" t="n">
        <f aca="false">MAX('Tien do 50 ngay'!G8)</f>
        <v>12</v>
      </c>
      <c r="F7" s="9" t="n">
        <f aca="false">'Tien do 50 ngay'!$C$3+E7-1</f>
        <v>46339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30</v>
      </c>
    </row>
    <row r="8" customFormat="false" ht="23.85" hidden="false" customHeight="false" outlineLevel="0" collapsed="false">
      <c r="A8" s="6" t="n">
        <v>3</v>
      </c>
      <c r="B8" s="6" t="s">
        <v>23</v>
      </c>
      <c r="C8" s="7" t="s">
        <v>31</v>
      </c>
      <c r="D8" s="7" t="s">
        <v>25</v>
      </c>
      <c r="E8" s="8" t="n">
        <f aca="false">MAX('Tien do 50 ngay'!G8)</f>
        <v>12</v>
      </c>
      <c r="F8" s="9" t="n">
        <f aca="false">'Tien do 50 ngay'!$C$3+E8-1</f>
        <v>46339</v>
      </c>
      <c r="G8" s="7" t="s">
        <v>32</v>
      </c>
      <c r="H8" s="7" t="s">
        <v>33</v>
      </c>
      <c r="I8" s="7" t="s">
        <v>34</v>
      </c>
      <c r="J8" s="7" t="s">
        <v>35</v>
      </c>
      <c r="K8" s="7" t="s">
        <v>30</v>
      </c>
    </row>
    <row r="9" customFormat="false" ht="35.05" hidden="false" customHeight="false" outlineLevel="0" collapsed="false">
      <c r="A9" s="6" t="n">
        <v>4</v>
      </c>
      <c r="B9" s="6" t="s">
        <v>23</v>
      </c>
      <c r="C9" s="7" t="s">
        <v>36</v>
      </c>
      <c r="D9" s="7" t="s">
        <v>25</v>
      </c>
      <c r="E9" s="8" t="n">
        <f aca="false">MAX('Tien do 50 ngay'!G8)</f>
        <v>12</v>
      </c>
      <c r="F9" s="9" t="n">
        <f aca="false">'Tien do 50 ngay'!$C$3+E9-1</f>
        <v>46339</v>
      </c>
      <c r="G9" s="7" t="s">
        <v>37</v>
      </c>
      <c r="H9" s="7" t="s">
        <v>38</v>
      </c>
      <c r="I9" s="7" t="s">
        <v>39</v>
      </c>
      <c r="J9" s="7" t="s">
        <v>40</v>
      </c>
      <c r="K9" s="7" t="s">
        <v>30</v>
      </c>
    </row>
    <row r="10" customFormat="false" ht="23.85" hidden="false" customHeight="false" outlineLevel="0" collapsed="false">
      <c r="A10" s="6" t="n">
        <v>5</v>
      </c>
      <c r="B10" s="6" t="s">
        <v>23</v>
      </c>
      <c r="C10" s="7" t="s">
        <v>41</v>
      </c>
      <c r="D10" s="7" t="s">
        <v>25</v>
      </c>
      <c r="E10" s="8" t="n">
        <f aca="false">MAX('Tien do 50 ngay'!G8)</f>
        <v>12</v>
      </c>
      <c r="F10" s="9" t="n">
        <f aca="false">'Tien do 50 ngay'!$C$3+E10-1</f>
        <v>46339</v>
      </c>
      <c r="G10" s="7" t="s">
        <v>42</v>
      </c>
      <c r="H10" s="7" t="s">
        <v>43</v>
      </c>
      <c r="I10" s="7" t="s">
        <v>44</v>
      </c>
      <c r="J10" s="7" t="s">
        <v>45</v>
      </c>
      <c r="K10" s="7" t="s">
        <v>30</v>
      </c>
    </row>
    <row r="11" customFormat="false" ht="35.05" hidden="false" customHeight="false" outlineLevel="0" collapsed="false">
      <c r="A11" s="6" t="n">
        <v>6</v>
      </c>
      <c r="B11" s="6" t="s">
        <v>23</v>
      </c>
      <c r="C11" s="7" t="s">
        <v>46</v>
      </c>
      <c r="D11" s="7" t="s">
        <v>25</v>
      </c>
      <c r="E11" s="8" t="n">
        <f aca="false">MAX('Tien do 50 ngay'!G8)</f>
        <v>12</v>
      </c>
      <c r="F11" s="9" t="n">
        <f aca="false">'Tien do 50 ngay'!$C$3+E11-1</f>
        <v>46339</v>
      </c>
      <c r="G11" s="7" t="s">
        <v>47</v>
      </c>
      <c r="H11" s="7" t="s">
        <v>48</v>
      </c>
      <c r="I11" s="7" t="s">
        <v>49</v>
      </c>
      <c r="J11" s="7" t="s">
        <v>50</v>
      </c>
      <c r="K11" s="7" t="s">
        <v>51</v>
      </c>
    </row>
    <row r="12" customFormat="false" ht="15" hidden="false" customHeight="false" outlineLevel="0" collapsed="false">
      <c r="A12" s="4" t="s">
        <v>52</v>
      </c>
      <c r="B12" s="5" t="s">
        <v>53</v>
      </c>
      <c r="C12" s="5"/>
      <c r="D12" s="5"/>
      <c r="E12" s="5"/>
      <c r="F12" s="5"/>
      <c r="G12" s="5"/>
      <c r="H12" s="5"/>
      <c r="I12" s="5"/>
      <c r="J12" s="5"/>
      <c r="K12" s="5"/>
    </row>
    <row r="13" customFormat="false" ht="35.05" hidden="false" customHeight="false" outlineLevel="0" collapsed="false">
      <c r="A13" s="6" t="n">
        <v>7</v>
      </c>
      <c r="B13" s="6" t="s">
        <v>54</v>
      </c>
      <c r="C13" s="7" t="s">
        <v>55</v>
      </c>
      <c r="D13" s="7" t="s">
        <v>56</v>
      </c>
      <c r="E13" s="8" t="n">
        <f aca="false">MAX('Tien do 50 ngay'!G13,'Tien do 50 ngay'!G12)</f>
        <v>6</v>
      </c>
      <c r="F13" s="9" t="n">
        <f aca="false">'Tien do 50 ngay'!$C$3+E13-1</f>
        <v>46333</v>
      </c>
      <c r="G13" s="7" t="s">
        <v>57</v>
      </c>
      <c r="H13" s="7" t="s">
        <v>58</v>
      </c>
      <c r="I13" s="7" t="s">
        <v>59</v>
      </c>
      <c r="J13" s="7" t="s">
        <v>60</v>
      </c>
      <c r="K13" s="7" t="s">
        <v>61</v>
      </c>
    </row>
    <row r="14" customFormat="false" ht="15" hidden="false" customHeight="false" outlineLevel="0" collapsed="false">
      <c r="A14" s="4" t="s">
        <v>62</v>
      </c>
      <c r="B14" s="5" t="s">
        <v>63</v>
      </c>
      <c r="C14" s="5"/>
      <c r="D14" s="5"/>
      <c r="E14" s="5"/>
      <c r="F14" s="5"/>
      <c r="G14" s="5"/>
      <c r="H14" s="5"/>
      <c r="I14" s="5"/>
      <c r="J14" s="5"/>
      <c r="K14" s="5"/>
    </row>
    <row r="15" customFormat="false" ht="23.85" hidden="false" customHeight="false" outlineLevel="0" collapsed="false">
      <c r="A15" s="6" t="n">
        <v>8</v>
      </c>
      <c r="B15" s="6" t="s">
        <v>64</v>
      </c>
      <c r="C15" s="7" t="s">
        <v>65</v>
      </c>
      <c r="D15" s="7" t="s">
        <v>56</v>
      </c>
      <c r="E15" s="8" t="n">
        <f aca="false">MAX('Tien do 50 ngay'!G15)</f>
        <v>10</v>
      </c>
      <c r="F15" s="9" t="n">
        <f aca="false">'Tien do 50 ngay'!$C$3+E15-1</f>
        <v>46337</v>
      </c>
      <c r="G15" s="7" t="s">
        <v>66</v>
      </c>
      <c r="H15" s="7" t="s">
        <v>67</v>
      </c>
      <c r="I15" s="7" t="s">
        <v>68</v>
      </c>
      <c r="J15" s="7" t="s">
        <v>69</v>
      </c>
      <c r="K15" s="7" t="s">
        <v>70</v>
      </c>
    </row>
    <row r="16" customFormat="false" ht="23.85" hidden="false" customHeight="false" outlineLevel="0" collapsed="false">
      <c r="A16" s="6" t="n">
        <v>9</v>
      </c>
      <c r="B16" s="6" t="s">
        <v>71</v>
      </c>
      <c r="C16" s="7" t="s">
        <v>72</v>
      </c>
      <c r="D16" s="7" t="s">
        <v>56</v>
      </c>
      <c r="E16" s="8" t="n">
        <f aca="false">MAX('Tien do 50 ngay'!G17,'Tien do 50 ngay'!G16)</f>
        <v>12</v>
      </c>
      <c r="F16" s="9" t="n">
        <f aca="false">'Tien do 50 ngay'!$C$3+E16-1</f>
        <v>46339</v>
      </c>
      <c r="G16" s="7" t="s">
        <v>73</v>
      </c>
      <c r="H16" s="7" t="s">
        <v>74</v>
      </c>
      <c r="I16" s="7" t="s">
        <v>75</v>
      </c>
      <c r="J16" s="7" t="s">
        <v>76</v>
      </c>
      <c r="K16" s="7" t="s">
        <v>77</v>
      </c>
    </row>
    <row r="17" customFormat="false" ht="35.05" hidden="false" customHeight="false" outlineLevel="0" collapsed="false">
      <c r="A17" s="6" t="n">
        <v>10</v>
      </c>
      <c r="B17" s="6" t="s">
        <v>78</v>
      </c>
      <c r="C17" s="7" t="s">
        <v>79</v>
      </c>
      <c r="D17" s="7" t="s">
        <v>80</v>
      </c>
      <c r="E17" s="8" t="n">
        <f aca="false">MAX('Tien do 50 ngay'!G18,'Tien do 50 ngay'!G19,'Tien do 50 ngay'!G20)</f>
        <v>15</v>
      </c>
      <c r="F17" s="9" t="n">
        <f aca="false">'Tien do 50 ngay'!$C$3+E17-1</f>
        <v>46342</v>
      </c>
      <c r="G17" s="7" t="s">
        <v>81</v>
      </c>
      <c r="H17" s="7" t="s">
        <v>82</v>
      </c>
      <c r="I17" s="7" t="s">
        <v>83</v>
      </c>
      <c r="J17" s="7" t="s">
        <v>84</v>
      </c>
      <c r="K17" s="7" t="s">
        <v>85</v>
      </c>
    </row>
    <row r="18" customFormat="false" ht="35.05" hidden="false" customHeight="false" outlineLevel="0" collapsed="false">
      <c r="A18" s="6" t="n">
        <v>11</v>
      </c>
      <c r="B18" s="6" t="s">
        <v>86</v>
      </c>
      <c r="C18" s="7" t="s">
        <v>87</v>
      </c>
      <c r="D18" s="7" t="s">
        <v>88</v>
      </c>
      <c r="E18" s="8" t="n">
        <f aca="false">MAX('Tien do 50 ngay'!G21)</f>
        <v>15</v>
      </c>
      <c r="F18" s="9" t="n">
        <f aca="false">'Tien do 50 ngay'!$C$3+E18-1</f>
        <v>46342</v>
      </c>
      <c r="G18" s="7" t="s">
        <v>89</v>
      </c>
      <c r="H18" s="7" t="s">
        <v>90</v>
      </c>
      <c r="I18" s="7" t="s">
        <v>91</v>
      </c>
      <c r="J18" s="7" t="s">
        <v>92</v>
      </c>
      <c r="K18" s="7" t="s">
        <v>93</v>
      </c>
    </row>
    <row r="19" customFormat="false" ht="35.05" hidden="false" customHeight="false" outlineLevel="0" collapsed="false">
      <c r="A19" s="6" t="n">
        <v>12</v>
      </c>
      <c r="B19" s="6" t="s">
        <v>94</v>
      </c>
      <c r="C19" s="7" t="s">
        <v>95</v>
      </c>
      <c r="D19" s="7" t="s">
        <v>56</v>
      </c>
      <c r="E19" s="8" t="n">
        <f aca="false">MAX('Tien do 50 ngay'!G22)</f>
        <v>17</v>
      </c>
      <c r="F19" s="9" t="n">
        <f aca="false">'Tien do 50 ngay'!$C$3+E19-1</f>
        <v>46344</v>
      </c>
      <c r="G19" s="7" t="s">
        <v>96</v>
      </c>
      <c r="H19" s="7" t="s">
        <v>97</v>
      </c>
      <c r="I19" s="7" t="s">
        <v>98</v>
      </c>
      <c r="J19" s="7" t="s">
        <v>99</v>
      </c>
      <c r="K19" s="7" t="s">
        <v>100</v>
      </c>
    </row>
    <row r="20" customFormat="false" ht="35.05" hidden="false" customHeight="false" outlineLevel="0" collapsed="false">
      <c r="A20" s="6" t="n">
        <v>13</v>
      </c>
      <c r="B20" s="6" t="s">
        <v>101</v>
      </c>
      <c r="C20" s="7" t="s">
        <v>102</v>
      </c>
      <c r="D20" s="7" t="s">
        <v>56</v>
      </c>
      <c r="E20" s="8" t="n">
        <f aca="false">MAX('Tien do 50 ngay'!G23)</f>
        <v>21</v>
      </c>
      <c r="F20" s="9" t="n">
        <f aca="false">'Tien do 50 ngay'!$C$3+E20-1</f>
        <v>46348</v>
      </c>
      <c r="G20" s="7" t="s">
        <v>103</v>
      </c>
      <c r="H20" s="7" t="s">
        <v>104</v>
      </c>
      <c r="I20" s="7" t="s">
        <v>105</v>
      </c>
      <c r="J20" s="7" t="s">
        <v>106</v>
      </c>
      <c r="K20" s="7" t="s">
        <v>107</v>
      </c>
    </row>
    <row r="21" customFormat="false" ht="23.85" hidden="false" customHeight="false" outlineLevel="0" collapsed="false">
      <c r="A21" s="6" t="n">
        <v>14</v>
      </c>
      <c r="B21" s="6" t="s">
        <v>108</v>
      </c>
      <c r="C21" s="7" t="s">
        <v>109</v>
      </c>
      <c r="D21" s="7" t="s">
        <v>56</v>
      </c>
      <c r="E21" s="8" t="n">
        <f aca="false">MAX('Tien do 50 ngay'!G24)</f>
        <v>23</v>
      </c>
      <c r="F21" s="9" t="n">
        <f aca="false">'Tien do 50 ngay'!$C$3+E21-1</f>
        <v>46350</v>
      </c>
      <c r="G21" s="7" t="s">
        <v>110</v>
      </c>
      <c r="H21" s="7" t="s">
        <v>111</v>
      </c>
      <c r="I21" s="7" t="s">
        <v>112</v>
      </c>
      <c r="J21" s="7" t="s">
        <v>113</v>
      </c>
      <c r="K21" s="7" t="s">
        <v>114</v>
      </c>
    </row>
    <row r="22" customFormat="false" ht="23.85" hidden="false" customHeight="false" outlineLevel="0" collapsed="false">
      <c r="A22" s="6" t="n">
        <v>15</v>
      </c>
      <c r="B22" s="6" t="s">
        <v>115</v>
      </c>
      <c r="C22" s="7" t="s">
        <v>116</v>
      </c>
      <c r="D22" s="7" t="s">
        <v>117</v>
      </c>
      <c r="E22" s="8" t="n">
        <f aca="false">MAX('Tien do 50 ngay'!G24)</f>
        <v>23</v>
      </c>
      <c r="F22" s="9" t="n">
        <f aca="false">'Tien do 50 ngay'!$C$3+E22-1</f>
        <v>46350</v>
      </c>
      <c r="G22" s="7" t="s">
        <v>118</v>
      </c>
      <c r="H22" s="7" t="s">
        <v>119</v>
      </c>
      <c r="I22" s="7" t="s">
        <v>120</v>
      </c>
      <c r="J22" s="7" t="s">
        <v>121</v>
      </c>
      <c r="K22" s="7" t="s">
        <v>122</v>
      </c>
    </row>
    <row r="23" customFormat="false" ht="15" hidden="false" customHeight="false" outlineLevel="0" collapsed="false">
      <c r="A23" s="4" t="s">
        <v>123</v>
      </c>
      <c r="B23" s="5" t="s">
        <v>124</v>
      </c>
      <c r="C23" s="5"/>
      <c r="D23" s="5"/>
      <c r="E23" s="5"/>
      <c r="F23" s="5"/>
      <c r="G23" s="5"/>
      <c r="H23" s="5"/>
      <c r="I23" s="5"/>
      <c r="J23" s="5"/>
      <c r="K23" s="5"/>
    </row>
    <row r="24" customFormat="false" ht="23.85" hidden="false" customHeight="false" outlineLevel="0" collapsed="false">
      <c r="A24" s="6" t="n">
        <v>16</v>
      </c>
      <c r="B24" s="6" t="s">
        <v>125</v>
      </c>
      <c r="C24" s="7" t="s">
        <v>126</v>
      </c>
      <c r="D24" s="7" t="s">
        <v>127</v>
      </c>
      <c r="E24" s="8" t="n">
        <f aca="false">MAX('Tien do 50 ngay'!G26,'Tien do 50 ngay'!G27)</f>
        <v>22</v>
      </c>
      <c r="F24" s="9" t="n">
        <f aca="false">'Tien do 50 ngay'!$C$3+E24-1</f>
        <v>46349</v>
      </c>
      <c r="G24" s="7" t="s">
        <v>128</v>
      </c>
      <c r="H24" s="7" t="s">
        <v>129</v>
      </c>
      <c r="I24" s="7" t="s">
        <v>130</v>
      </c>
      <c r="J24" s="7" t="s">
        <v>131</v>
      </c>
      <c r="K24" s="7" t="s">
        <v>132</v>
      </c>
    </row>
    <row r="25" customFormat="false" ht="23.85" hidden="false" customHeight="false" outlineLevel="0" collapsed="false">
      <c r="A25" s="6" t="n">
        <v>17</v>
      </c>
      <c r="B25" s="6" t="s">
        <v>133</v>
      </c>
      <c r="C25" s="7" t="s">
        <v>134</v>
      </c>
      <c r="D25" s="7" t="s">
        <v>56</v>
      </c>
      <c r="E25" s="8" t="n">
        <f aca="false">MAX('Tien do 50 ngay'!G28)</f>
        <v>24</v>
      </c>
      <c r="F25" s="9" t="n">
        <f aca="false">'Tien do 50 ngay'!$C$3+E25-1</f>
        <v>46351</v>
      </c>
      <c r="G25" s="7" t="s">
        <v>135</v>
      </c>
      <c r="H25" s="7" t="s">
        <v>136</v>
      </c>
      <c r="I25" s="7" t="s">
        <v>137</v>
      </c>
      <c r="J25" s="7" t="s">
        <v>138</v>
      </c>
      <c r="K25" s="7" t="s">
        <v>93</v>
      </c>
    </row>
    <row r="26" customFormat="false" ht="35.05" hidden="false" customHeight="false" outlineLevel="0" collapsed="false">
      <c r="A26" s="6" t="n">
        <v>18</v>
      </c>
      <c r="B26" s="6" t="s">
        <v>139</v>
      </c>
      <c r="C26" s="7" t="s">
        <v>140</v>
      </c>
      <c r="D26" s="7" t="s">
        <v>56</v>
      </c>
      <c r="E26" s="8" t="n">
        <f aca="false">MAX('Tien do 50 ngay'!G29)</f>
        <v>26</v>
      </c>
      <c r="F26" s="9" t="n">
        <f aca="false">'Tien do 50 ngay'!$C$3+E26-1</f>
        <v>46353</v>
      </c>
      <c r="G26" s="7" t="s">
        <v>141</v>
      </c>
      <c r="H26" s="7" t="s">
        <v>142</v>
      </c>
      <c r="I26" s="7" t="s">
        <v>143</v>
      </c>
      <c r="J26" s="7" t="s">
        <v>144</v>
      </c>
      <c r="K26" s="7" t="s">
        <v>145</v>
      </c>
    </row>
    <row r="27" customFormat="false" ht="35.05" hidden="false" customHeight="false" outlineLevel="0" collapsed="false">
      <c r="A27" s="6" t="n">
        <v>19</v>
      </c>
      <c r="B27" s="6" t="s">
        <v>146</v>
      </c>
      <c r="C27" s="7" t="s">
        <v>147</v>
      </c>
      <c r="D27" s="7" t="s">
        <v>56</v>
      </c>
      <c r="E27" s="8" t="n">
        <f aca="false">MAX('Tien do 50 ngay'!G30)</f>
        <v>32</v>
      </c>
      <c r="F27" s="9" t="n">
        <f aca="false">'Tien do 50 ngay'!$C$3+E27-1</f>
        <v>46359</v>
      </c>
      <c r="G27" s="7" t="s">
        <v>148</v>
      </c>
      <c r="H27" s="7" t="s">
        <v>149</v>
      </c>
      <c r="I27" s="7" t="s">
        <v>150</v>
      </c>
      <c r="J27" s="7" t="s">
        <v>151</v>
      </c>
      <c r="K27" s="7" t="s">
        <v>107</v>
      </c>
    </row>
    <row r="28" customFormat="false" ht="23.85" hidden="false" customHeight="false" outlineLevel="0" collapsed="false">
      <c r="A28" s="6" t="n">
        <v>20</v>
      </c>
      <c r="B28" s="6" t="s">
        <v>152</v>
      </c>
      <c r="C28" s="7" t="s">
        <v>153</v>
      </c>
      <c r="D28" s="7" t="s">
        <v>88</v>
      </c>
      <c r="E28" s="8" t="n">
        <f aca="false">MAX('Tien do 50 ngay'!G31)</f>
        <v>35</v>
      </c>
      <c r="F28" s="9" t="n">
        <f aca="false">'Tien do 50 ngay'!$C$3+E28-1</f>
        <v>46362</v>
      </c>
      <c r="G28" s="7" t="s">
        <v>154</v>
      </c>
      <c r="H28" s="7" t="s">
        <v>155</v>
      </c>
      <c r="I28" s="7" t="s">
        <v>75</v>
      </c>
      <c r="J28" s="7" t="s">
        <v>156</v>
      </c>
      <c r="K28" s="7" t="s">
        <v>157</v>
      </c>
    </row>
    <row r="29" customFormat="false" ht="23.85" hidden="false" customHeight="false" outlineLevel="0" collapsed="false">
      <c r="A29" s="6" t="n">
        <v>21</v>
      </c>
      <c r="B29" s="6" t="s">
        <v>158</v>
      </c>
      <c r="C29" s="7" t="s">
        <v>159</v>
      </c>
      <c r="D29" s="7" t="s">
        <v>56</v>
      </c>
      <c r="E29" s="8" t="n">
        <f aca="false">MAX('Tien do 50 ngay'!G32)</f>
        <v>37</v>
      </c>
      <c r="F29" s="9" t="n">
        <f aca="false">'Tien do 50 ngay'!$C$3+E29-1</f>
        <v>46364</v>
      </c>
      <c r="G29" s="7" t="s">
        <v>160</v>
      </c>
      <c r="H29" s="7" t="s">
        <v>161</v>
      </c>
      <c r="I29" s="7" t="s">
        <v>162</v>
      </c>
      <c r="J29" s="7" t="s">
        <v>163</v>
      </c>
      <c r="K29" s="7" t="s">
        <v>145</v>
      </c>
    </row>
    <row r="30" customFormat="false" ht="15" hidden="false" customHeight="false" outlineLevel="0" collapsed="false">
      <c r="A30" s="4" t="s">
        <v>164</v>
      </c>
      <c r="B30" s="5" t="s">
        <v>165</v>
      </c>
      <c r="C30" s="5"/>
      <c r="D30" s="5"/>
      <c r="E30" s="5"/>
      <c r="F30" s="5"/>
      <c r="G30" s="5"/>
      <c r="H30" s="5"/>
      <c r="I30" s="5"/>
      <c r="J30" s="5"/>
      <c r="K30" s="5"/>
    </row>
    <row r="31" customFormat="false" ht="23.85" hidden="false" customHeight="false" outlineLevel="0" collapsed="false">
      <c r="A31" s="6" t="n">
        <v>22</v>
      </c>
      <c r="B31" s="6" t="s">
        <v>166</v>
      </c>
      <c r="C31" s="7" t="s">
        <v>167</v>
      </c>
      <c r="D31" s="7" t="s">
        <v>56</v>
      </c>
      <c r="E31" s="8" t="n">
        <f aca="false">MAX('Tien do 50 ngay'!G34,'Tien do 50 ngay'!G35)</f>
        <v>43</v>
      </c>
      <c r="F31" s="9" t="n">
        <f aca="false">'Tien do 50 ngay'!$C$3+E31-1</f>
        <v>46370</v>
      </c>
      <c r="G31" s="7" t="s">
        <v>168</v>
      </c>
      <c r="H31" s="7" t="s">
        <v>169</v>
      </c>
      <c r="I31" s="7" t="s">
        <v>170</v>
      </c>
      <c r="J31" s="7" t="s">
        <v>171</v>
      </c>
      <c r="K31" s="7" t="s">
        <v>172</v>
      </c>
    </row>
    <row r="32" customFormat="false" ht="23.85" hidden="false" customHeight="false" outlineLevel="0" collapsed="false">
      <c r="A32" s="6" t="n">
        <v>23</v>
      </c>
      <c r="B32" s="6" t="s">
        <v>173</v>
      </c>
      <c r="C32" s="7" t="s">
        <v>174</v>
      </c>
      <c r="D32" s="7" t="s">
        <v>56</v>
      </c>
      <c r="E32" s="8" t="n">
        <f aca="false">MAX('Tien do 50 ngay'!G36)</f>
        <v>48</v>
      </c>
      <c r="F32" s="9" t="n">
        <f aca="false">'Tien do 50 ngay'!$C$3+E32-1</f>
        <v>46375</v>
      </c>
      <c r="G32" s="7" t="s">
        <v>175</v>
      </c>
      <c r="H32" s="7" t="s">
        <v>176</v>
      </c>
      <c r="I32" s="7" t="s">
        <v>177</v>
      </c>
      <c r="J32" s="7" t="s">
        <v>178</v>
      </c>
      <c r="K32" s="7" t="s">
        <v>179</v>
      </c>
    </row>
    <row r="33" customFormat="false" ht="15" hidden="false" customHeight="false" outlineLevel="0" collapsed="false">
      <c r="A33" s="4" t="s">
        <v>180</v>
      </c>
      <c r="B33" s="5" t="s">
        <v>181</v>
      </c>
      <c r="C33" s="5"/>
      <c r="D33" s="5"/>
      <c r="E33" s="5"/>
      <c r="F33" s="5"/>
      <c r="G33" s="5"/>
      <c r="H33" s="5"/>
      <c r="I33" s="5"/>
      <c r="J33" s="5"/>
      <c r="K33" s="5"/>
    </row>
    <row r="34" customFormat="false" ht="35.05" hidden="false" customHeight="false" outlineLevel="0" collapsed="false">
      <c r="A34" s="6" t="n">
        <v>24</v>
      </c>
      <c r="B34" s="6" t="s">
        <v>182</v>
      </c>
      <c r="C34" s="7" t="s">
        <v>183</v>
      </c>
      <c r="D34" s="7" t="s">
        <v>184</v>
      </c>
      <c r="E34" s="8" t="n">
        <f aca="false">MAX('Tien do 50 ngay'!G38)</f>
        <v>50</v>
      </c>
      <c r="F34" s="9" t="n">
        <f aca="false">'Tien do 50 ngay'!$C$3+E34-1</f>
        <v>46377</v>
      </c>
      <c r="G34" s="7" t="s">
        <v>185</v>
      </c>
      <c r="H34" s="7" t="s">
        <v>186</v>
      </c>
      <c r="I34" s="7" t="s">
        <v>120</v>
      </c>
      <c r="J34" s="7" t="s">
        <v>187</v>
      </c>
      <c r="K34" s="7" t="s">
        <v>188</v>
      </c>
    </row>
    <row r="36" customFormat="false" ht="15" hidden="false" customHeight="false" outlineLevel="0" collapsed="false">
      <c r="A36" s="10" t="s">
        <v>189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customFormat="false" ht="15" hidden="false" customHeight="false" outlineLevel="0" collapsed="false">
      <c r="A37" s="11" t="s">
        <v>190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customFormat="false" ht="15" hidden="false" customHeight="false" outlineLevel="0" collapsed="false">
      <c r="A38" s="11" t="s">
        <v>191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customFormat="false" ht="15" hidden="false" customHeight="false" outlineLevel="0" collapsed="false">
      <c r="A39" s="11" t="s">
        <v>192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customFormat="false" ht="15" hidden="false" customHeight="false" outlineLevel="0" collapsed="false">
      <c r="A40" s="11" t="s">
        <v>193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customFormat="false" ht="15" hidden="false" customHeight="false" outlineLevel="0" collapsed="false">
      <c r="A41" s="11" t="s">
        <v>194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</sheetData>
  <mergeCells count="14">
    <mergeCell ref="A1:K1"/>
    <mergeCell ref="A2:K2"/>
    <mergeCell ref="B5:K5"/>
    <mergeCell ref="B12:K12"/>
    <mergeCell ref="B14:K14"/>
    <mergeCell ref="B23:K23"/>
    <mergeCell ref="B30:K30"/>
    <mergeCell ref="B33:K33"/>
    <mergeCell ref="A36:K36"/>
    <mergeCell ref="A37:K37"/>
    <mergeCell ref="A38:K38"/>
    <mergeCell ref="A39:K39"/>
    <mergeCell ref="A40:K40"/>
    <mergeCell ref="A41:K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F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8" ySplit="5" topLeftCell="I6" activePane="bottomRight" state="frozen"/>
      <selection pane="topLeft" activeCell="A1" activeCellId="0" sqref="A1"/>
      <selection pane="topRight" activeCell="I1" activeCellId="0" sqref="I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58" min="9" style="0" width="3.2"/>
  </cols>
  <sheetData>
    <row r="1" customFormat="false" ht="18.5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customFormat="false" ht="15" hidden="false" customHeight="true" outlineLevel="0" collapsed="false">
      <c r="A2" s="2" t="s">
        <v>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customFormat="false" ht="15" hidden="false" customHeight="false" outlineLevel="0" collapsed="false">
      <c r="A3" s="12" t="s">
        <v>197</v>
      </c>
      <c r="B3" s="12"/>
      <c r="C3" s="13" t="n">
        <v>46328</v>
      </c>
      <c r="D3" s="14" t="s">
        <v>198</v>
      </c>
      <c r="E3" s="14" t="n">
        <f aca="false">MAX(G6:G38)</f>
        <v>50</v>
      </c>
      <c r="F3" s="15" t="s">
        <v>199</v>
      </c>
    </row>
    <row r="4" customFormat="false" ht="33.75" hidden="false" customHeight="true" outlineLevel="0" collapsed="false">
      <c r="I4" s="16" t="n">
        <f aca="false">$C$3+0</f>
        <v>46328</v>
      </c>
      <c r="J4" s="16" t="n">
        <f aca="false">$C$3+1</f>
        <v>46329</v>
      </c>
      <c r="K4" s="16" t="n">
        <f aca="false">$C$3+2</f>
        <v>46330</v>
      </c>
      <c r="L4" s="16" t="n">
        <f aca="false">$C$3+3</f>
        <v>46331</v>
      </c>
      <c r="M4" s="16" t="n">
        <f aca="false">$C$3+4</f>
        <v>46332</v>
      </c>
      <c r="N4" s="16" t="n">
        <f aca="false">$C$3+5</f>
        <v>46333</v>
      </c>
      <c r="O4" s="16" t="n">
        <f aca="false">$C$3+6</f>
        <v>46334</v>
      </c>
      <c r="P4" s="16" t="n">
        <f aca="false">$C$3+7</f>
        <v>46335</v>
      </c>
      <c r="Q4" s="16" t="n">
        <f aca="false">$C$3+8</f>
        <v>46336</v>
      </c>
      <c r="R4" s="16" t="n">
        <f aca="false">$C$3+9</f>
        <v>46337</v>
      </c>
      <c r="S4" s="16" t="n">
        <f aca="false">$C$3+10</f>
        <v>46338</v>
      </c>
      <c r="T4" s="16" t="n">
        <f aca="false">$C$3+11</f>
        <v>46339</v>
      </c>
      <c r="U4" s="16" t="n">
        <f aca="false">$C$3+12</f>
        <v>46340</v>
      </c>
      <c r="V4" s="16" t="n">
        <f aca="false">$C$3+13</f>
        <v>46341</v>
      </c>
      <c r="W4" s="16" t="n">
        <f aca="false">$C$3+14</f>
        <v>46342</v>
      </c>
      <c r="X4" s="16" t="n">
        <f aca="false">$C$3+15</f>
        <v>46343</v>
      </c>
      <c r="Y4" s="16" t="n">
        <f aca="false">$C$3+16</f>
        <v>46344</v>
      </c>
      <c r="Z4" s="16" t="n">
        <f aca="false">$C$3+17</f>
        <v>46345</v>
      </c>
      <c r="AA4" s="16" t="n">
        <f aca="false">$C$3+18</f>
        <v>46346</v>
      </c>
      <c r="AB4" s="16" t="n">
        <f aca="false">$C$3+19</f>
        <v>46347</v>
      </c>
      <c r="AC4" s="16" t="n">
        <f aca="false">$C$3+20</f>
        <v>46348</v>
      </c>
      <c r="AD4" s="16" t="n">
        <f aca="false">$C$3+21</f>
        <v>46349</v>
      </c>
      <c r="AE4" s="16" t="n">
        <f aca="false">$C$3+22</f>
        <v>46350</v>
      </c>
      <c r="AF4" s="16" t="n">
        <f aca="false">$C$3+23</f>
        <v>46351</v>
      </c>
      <c r="AG4" s="16" t="n">
        <f aca="false">$C$3+24</f>
        <v>46352</v>
      </c>
      <c r="AH4" s="16" t="n">
        <f aca="false">$C$3+25</f>
        <v>46353</v>
      </c>
      <c r="AI4" s="16" t="n">
        <f aca="false">$C$3+26</f>
        <v>46354</v>
      </c>
      <c r="AJ4" s="16" t="n">
        <f aca="false">$C$3+27</f>
        <v>46355</v>
      </c>
      <c r="AK4" s="16" t="n">
        <f aca="false">$C$3+28</f>
        <v>46356</v>
      </c>
      <c r="AL4" s="16" t="n">
        <f aca="false">$C$3+29</f>
        <v>46357</v>
      </c>
      <c r="AM4" s="16" t="n">
        <f aca="false">$C$3+30</f>
        <v>46358</v>
      </c>
      <c r="AN4" s="16" t="n">
        <f aca="false">$C$3+31</f>
        <v>46359</v>
      </c>
      <c r="AO4" s="16" t="n">
        <f aca="false">$C$3+32</f>
        <v>46360</v>
      </c>
      <c r="AP4" s="16" t="n">
        <f aca="false">$C$3+33</f>
        <v>46361</v>
      </c>
      <c r="AQ4" s="16" t="n">
        <f aca="false">$C$3+34</f>
        <v>46362</v>
      </c>
      <c r="AR4" s="16" t="n">
        <f aca="false">$C$3+35</f>
        <v>46363</v>
      </c>
      <c r="AS4" s="16" t="n">
        <f aca="false">$C$3+36</f>
        <v>46364</v>
      </c>
      <c r="AT4" s="16" t="n">
        <f aca="false">$C$3+37</f>
        <v>46365</v>
      </c>
      <c r="AU4" s="16" t="n">
        <f aca="false">$C$3+38</f>
        <v>46366</v>
      </c>
      <c r="AV4" s="16" t="n">
        <f aca="false">$C$3+39</f>
        <v>46367</v>
      </c>
      <c r="AW4" s="16" t="n">
        <f aca="false">$C$3+40</f>
        <v>46368</v>
      </c>
      <c r="AX4" s="16" t="n">
        <f aca="false">$C$3+41</f>
        <v>46369</v>
      </c>
      <c r="AY4" s="16" t="n">
        <f aca="false">$C$3+42</f>
        <v>46370</v>
      </c>
      <c r="AZ4" s="16" t="n">
        <f aca="false">$C$3+43</f>
        <v>46371</v>
      </c>
      <c r="BA4" s="16" t="n">
        <f aca="false">$C$3+44</f>
        <v>46372</v>
      </c>
      <c r="BB4" s="16" t="n">
        <f aca="false">$C$3+45</f>
        <v>46373</v>
      </c>
      <c r="BC4" s="16" t="n">
        <f aca="false">$C$3+46</f>
        <v>46374</v>
      </c>
      <c r="BD4" s="16" t="n">
        <f aca="false">$C$3+47</f>
        <v>46375</v>
      </c>
      <c r="BE4" s="16" t="n">
        <f aca="false">$C$3+48</f>
        <v>46376</v>
      </c>
      <c r="BF4" s="16" t="n">
        <f aca="false">$C$3+49</f>
        <v>46377</v>
      </c>
    </row>
    <row r="5" customFormat="false" ht="31.5" hidden="false" customHeight="true" outlineLevel="0" collapsed="false">
      <c r="A5" s="3" t="s">
        <v>3</v>
      </c>
      <c r="B5" s="3" t="s">
        <v>200</v>
      </c>
      <c r="C5" s="3" t="s">
        <v>201</v>
      </c>
      <c r="D5" s="3" t="s">
        <v>202</v>
      </c>
      <c r="E5" s="3" t="s">
        <v>203</v>
      </c>
      <c r="F5" s="3" t="s">
        <v>204</v>
      </c>
      <c r="G5" s="3" t="s">
        <v>205</v>
      </c>
      <c r="H5" s="3" t="s">
        <v>206</v>
      </c>
      <c r="I5" s="17" t="n">
        <v>1</v>
      </c>
      <c r="J5" s="17" t="n">
        <v>2</v>
      </c>
      <c r="K5" s="17" t="n">
        <v>3</v>
      </c>
      <c r="L5" s="17" t="n">
        <v>4</v>
      </c>
      <c r="M5" s="17" t="n">
        <v>5</v>
      </c>
      <c r="N5" s="17" t="n">
        <v>6</v>
      </c>
      <c r="O5" s="17" t="n">
        <v>7</v>
      </c>
      <c r="P5" s="17" t="n">
        <v>8</v>
      </c>
      <c r="Q5" s="17" t="n">
        <v>9</v>
      </c>
      <c r="R5" s="17" t="n">
        <v>10</v>
      </c>
      <c r="S5" s="17" t="n">
        <v>11</v>
      </c>
      <c r="T5" s="17" t="n">
        <v>12</v>
      </c>
      <c r="U5" s="17" t="n">
        <v>13</v>
      </c>
      <c r="V5" s="17" t="n">
        <v>14</v>
      </c>
      <c r="W5" s="17" t="n">
        <v>15</v>
      </c>
      <c r="X5" s="17" t="n">
        <v>16</v>
      </c>
      <c r="Y5" s="17" t="n">
        <v>17</v>
      </c>
      <c r="Z5" s="17" t="n">
        <v>18</v>
      </c>
      <c r="AA5" s="17" t="n">
        <v>19</v>
      </c>
      <c r="AB5" s="17" t="n">
        <v>20</v>
      </c>
      <c r="AC5" s="17" t="n">
        <v>21</v>
      </c>
      <c r="AD5" s="17" t="n">
        <v>22</v>
      </c>
      <c r="AE5" s="17" t="n">
        <v>23</v>
      </c>
      <c r="AF5" s="17" t="n">
        <v>24</v>
      </c>
      <c r="AG5" s="17" t="n">
        <v>25</v>
      </c>
      <c r="AH5" s="17" t="n">
        <v>26</v>
      </c>
      <c r="AI5" s="17" t="n">
        <v>27</v>
      </c>
      <c r="AJ5" s="17" t="n">
        <v>28</v>
      </c>
      <c r="AK5" s="17" t="n">
        <v>29</v>
      </c>
      <c r="AL5" s="17" t="n">
        <v>30</v>
      </c>
      <c r="AM5" s="17" t="n">
        <v>31</v>
      </c>
      <c r="AN5" s="17" t="n">
        <v>32</v>
      </c>
      <c r="AO5" s="17" t="n">
        <v>33</v>
      </c>
      <c r="AP5" s="17" t="n">
        <v>34</v>
      </c>
      <c r="AQ5" s="17" t="n">
        <v>35</v>
      </c>
      <c r="AR5" s="17" t="n">
        <v>36</v>
      </c>
      <c r="AS5" s="17" t="n">
        <v>37</v>
      </c>
      <c r="AT5" s="17" t="n">
        <v>38</v>
      </c>
      <c r="AU5" s="17" t="n">
        <v>39</v>
      </c>
      <c r="AV5" s="17" t="n">
        <v>40</v>
      </c>
      <c r="AW5" s="17" t="n">
        <v>41</v>
      </c>
      <c r="AX5" s="17" t="n">
        <v>42</v>
      </c>
      <c r="AY5" s="17" t="n">
        <v>43</v>
      </c>
      <c r="AZ5" s="17" t="n">
        <v>44</v>
      </c>
      <c r="BA5" s="17" t="n">
        <v>45</v>
      </c>
      <c r="BB5" s="17" t="n">
        <v>46</v>
      </c>
      <c r="BC5" s="17" t="n">
        <v>47</v>
      </c>
      <c r="BD5" s="17" t="n">
        <v>48</v>
      </c>
      <c r="BE5" s="17" t="n">
        <v>49</v>
      </c>
      <c r="BF5" s="17" t="n">
        <v>50</v>
      </c>
    </row>
    <row r="6" customFormat="false" ht="15" hidden="false" customHeight="false" outlineLevel="0" collapsed="false">
      <c r="A6" s="18" t="s">
        <v>207</v>
      </c>
      <c r="B6" s="18" t="s">
        <v>208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</row>
    <row r="7" customFormat="false" ht="25.35" hidden="false" customHeight="false" outlineLevel="0" collapsed="false">
      <c r="A7" s="19" t="s">
        <v>15</v>
      </c>
      <c r="B7" s="20" t="s">
        <v>209</v>
      </c>
      <c r="C7" s="21"/>
      <c r="D7" s="19"/>
      <c r="E7" s="22" t="n">
        <v>1</v>
      </c>
      <c r="F7" s="22" t="n">
        <v>1</v>
      </c>
      <c r="G7" s="19" t="n">
        <f aca="false">E7+F7-1</f>
        <v>1</v>
      </c>
      <c r="H7" s="19" t="s">
        <v>210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</row>
    <row r="8" customFormat="false" ht="37.3" hidden="false" customHeight="false" outlineLevel="0" collapsed="false">
      <c r="A8" s="19" t="s">
        <v>23</v>
      </c>
      <c r="B8" s="20" t="s">
        <v>211</v>
      </c>
      <c r="C8" s="21"/>
      <c r="D8" s="19"/>
      <c r="E8" s="22" t="n">
        <v>1</v>
      </c>
      <c r="F8" s="22" t="n">
        <v>12</v>
      </c>
      <c r="G8" s="19" t="n">
        <f aca="false">E8+F8-1</f>
        <v>12</v>
      </c>
      <c r="H8" s="19" t="s">
        <v>212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customFormat="false" ht="15" hidden="false" customHeight="false" outlineLevel="0" collapsed="false">
      <c r="A9" s="18" t="s">
        <v>213</v>
      </c>
      <c r="B9" s="18" t="s">
        <v>214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</row>
    <row r="10" customFormat="false" ht="15" hidden="false" customHeight="false" outlineLevel="0" collapsed="false">
      <c r="A10" s="19" t="s">
        <v>215</v>
      </c>
      <c r="B10" s="20" t="s">
        <v>216</v>
      </c>
      <c r="C10" s="21" t="n">
        <v>7.9622</v>
      </c>
      <c r="D10" s="19" t="s">
        <v>217</v>
      </c>
      <c r="E10" s="22" t="n">
        <v>2</v>
      </c>
      <c r="F10" s="22" t="n">
        <v>3</v>
      </c>
      <c r="G10" s="19" t="n">
        <f aca="false">E10+F10-1</f>
        <v>4</v>
      </c>
      <c r="H10" s="19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</row>
    <row r="11" customFormat="false" ht="15" hidden="false" customHeight="false" outlineLevel="0" collapsed="false">
      <c r="A11" s="19" t="s">
        <v>218</v>
      </c>
      <c r="B11" s="20" t="s">
        <v>219</v>
      </c>
      <c r="C11" s="21" t="n">
        <v>1.3794</v>
      </c>
      <c r="D11" s="19" t="s">
        <v>217</v>
      </c>
      <c r="E11" s="22" t="n">
        <v>3</v>
      </c>
      <c r="F11" s="22" t="n">
        <v>2</v>
      </c>
      <c r="G11" s="19" t="n">
        <f aca="false">E11+F11-1</f>
        <v>4</v>
      </c>
      <c r="H11" s="19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</row>
    <row r="12" customFormat="false" ht="25.35" hidden="false" customHeight="false" outlineLevel="0" collapsed="false">
      <c r="A12" s="19" t="s">
        <v>220</v>
      </c>
      <c r="B12" s="20" t="s">
        <v>221</v>
      </c>
      <c r="C12" s="21" t="n">
        <v>0.9878</v>
      </c>
      <c r="D12" s="19" t="s">
        <v>217</v>
      </c>
      <c r="E12" s="22" t="n">
        <v>4</v>
      </c>
      <c r="F12" s="22" t="n">
        <v>2</v>
      </c>
      <c r="G12" s="19" t="n">
        <f aca="false">E12+F12-1</f>
        <v>5</v>
      </c>
      <c r="H12" s="19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</row>
    <row r="13" customFormat="false" ht="15" hidden="false" customHeight="false" outlineLevel="0" collapsed="false">
      <c r="A13" s="19" t="s">
        <v>222</v>
      </c>
      <c r="B13" s="20" t="s">
        <v>223</v>
      </c>
      <c r="C13" s="21" t="n">
        <v>8.64</v>
      </c>
      <c r="D13" s="19" t="s">
        <v>217</v>
      </c>
      <c r="E13" s="22" t="n">
        <v>4</v>
      </c>
      <c r="F13" s="22" t="n">
        <v>3</v>
      </c>
      <c r="G13" s="19" t="n">
        <f aca="false">E13+F13-1</f>
        <v>6</v>
      </c>
      <c r="H13" s="19" t="s">
        <v>224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</row>
    <row r="14" customFormat="false" ht="15" hidden="false" customHeight="false" outlineLevel="0" collapsed="false">
      <c r="A14" s="18" t="s">
        <v>225</v>
      </c>
      <c r="B14" s="18" t="s">
        <v>226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</row>
    <row r="15" customFormat="false" ht="25.35" hidden="false" customHeight="false" outlineLevel="0" collapsed="false">
      <c r="A15" s="19" t="s">
        <v>64</v>
      </c>
      <c r="B15" s="20" t="s">
        <v>227</v>
      </c>
      <c r="C15" s="21" t="n">
        <v>21.7728</v>
      </c>
      <c r="D15" s="19" t="s">
        <v>217</v>
      </c>
      <c r="E15" s="22" t="n">
        <v>7</v>
      </c>
      <c r="F15" s="22" t="n">
        <v>4</v>
      </c>
      <c r="G15" s="19" t="n">
        <f aca="false">E15+F15-1</f>
        <v>10</v>
      </c>
      <c r="H15" s="19" t="s">
        <v>228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</row>
    <row r="16" customFormat="false" ht="25.35" hidden="false" customHeight="false" outlineLevel="0" collapsed="false">
      <c r="A16" s="19" t="s">
        <v>229</v>
      </c>
      <c r="B16" s="20" t="s">
        <v>230</v>
      </c>
      <c r="C16" s="21" t="n">
        <v>0.0768</v>
      </c>
      <c r="D16" s="19" t="s">
        <v>231</v>
      </c>
      <c r="E16" s="22" t="n">
        <v>11</v>
      </c>
      <c r="F16" s="22" t="n">
        <v>1</v>
      </c>
      <c r="G16" s="19" t="n">
        <f aca="false">E16+F16-1</f>
        <v>11</v>
      </c>
      <c r="H16" s="19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</row>
    <row r="17" customFormat="false" ht="25.35" hidden="false" customHeight="false" outlineLevel="0" collapsed="false">
      <c r="A17" s="19" t="s">
        <v>232</v>
      </c>
      <c r="B17" s="20" t="s">
        <v>233</v>
      </c>
      <c r="C17" s="21" t="n">
        <v>2.304</v>
      </c>
      <c r="D17" s="19" t="s">
        <v>217</v>
      </c>
      <c r="E17" s="22" t="n">
        <v>11</v>
      </c>
      <c r="F17" s="22" t="n">
        <v>2</v>
      </c>
      <c r="G17" s="19" t="n">
        <f aca="false">E17+F17-1</f>
        <v>12</v>
      </c>
      <c r="H17" s="19" t="s">
        <v>234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</row>
    <row r="18" customFormat="false" ht="15" hidden="false" customHeight="false" outlineLevel="0" collapsed="false">
      <c r="A18" s="19" t="s">
        <v>235</v>
      </c>
      <c r="B18" s="20" t="s">
        <v>236</v>
      </c>
      <c r="C18" s="21" t="n">
        <v>0.2159</v>
      </c>
      <c r="D18" s="19" t="s">
        <v>237</v>
      </c>
      <c r="E18" s="22" t="n">
        <v>13</v>
      </c>
      <c r="F18" s="22" t="n">
        <v>3</v>
      </c>
      <c r="G18" s="19" t="n">
        <f aca="false">E18+F18-1</f>
        <v>15</v>
      </c>
      <c r="H18" s="19" t="s">
        <v>238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</row>
    <row r="19" customFormat="false" ht="15" hidden="false" customHeight="false" outlineLevel="0" collapsed="false">
      <c r="A19" s="19" t="s">
        <v>239</v>
      </c>
      <c r="B19" s="20" t="s">
        <v>240</v>
      </c>
      <c r="C19" s="21" t="n">
        <v>0.1102</v>
      </c>
      <c r="D19" s="19" t="s">
        <v>237</v>
      </c>
      <c r="E19" s="22" t="n">
        <v>13</v>
      </c>
      <c r="F19" s="22" t="n">
        <v>3</v>
      </c>
      <c r="G19" s="19" t="n">
        <f aca="false">E19+F19-1</f>
        <v>15</v>
      </c>
      <c r="H19" s="19" t="s">
        <v>238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</row>
    <row r="20" customFormat="false" ht="15" hidden="false" customHeight="false" outlineLevel="0" collapsed="false">
      <c r="A20" s="19" t="s">
        <v>241</v>
      </c>
      <c r="B20" s="20" t="s">
        <v>242</v>
      </c>
      <c r="C20" s="21" t="n">
        <v>0.2929</v>
      </c>
      <c r="D20" s="19" t="s">
        <v>237</v>
      </c>
      <c r="E20" s="22" t="n">
        <v>13</v>
      </c>
      <c r="F20" s="22" t="n">
        <v>3</v>
      </c>
      <c r="G20" s="19" t="n">
        <f aca="false">E20+F20-1</f>
        <v>15</v>
      </c>
      <c r="H20" s="19" t="s">
        <v>238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</row>
    <row r="21" customFormat="false" ht="15" hidden="false" customHeight="false" outlineLevel="0" collapsed="false">
      <c r="A21" s="19" t="s">
        <v>86</v>
      </c>
      <c r="B21" s="20" t="s">
        <v>243</v>
      </c>
      <c r="C21" s="21" t="n">
        <v>0.16</v>
      </c>
      <c r="D21" s="19" t="s">
        <v>231</v>
      </c>
      <c r="E21" s="22" t="n">
        <v>14</v>
      </c>
      <c r="F21" s="22" t="n">
        <v>2</v>
      </c>
      <c r="G21" s="19" t="n">
        <f aca="false">E21+F21-1</f>
        <v>15</v>
      </c>
      <c r="H21" s="19" t="s">
        <v>244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</row>
    <row r="22" customFormat="false" ht="25.35" hidden="false" customHeight="false" outlineLevel="0" collapsed="false">
      <c r="A22" s="19" t="s">
        <v>94</v>
      </c>
      <c r="B22" s="20" t="s">
        <v>245</v>
      </c>
      <c r="C22" s="21" t="n">
        <v>5.6912</v>
      </c>
      <c r="D22" s="19" t="s">
        <v>217</v>
      </c>
      <c r="E22" s="22" t="n">
        <v>16</v>
      </c>
      <c r="F22" s="22" t="n">
        <v>2</v>
      </c>
      <c r="G22" s="19" t="n">
        <f aca="false">E22+F22-1</f>
        <v>17</v>
      </c>
      <c r="H22" s="19" t="s">
        <v>246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</row>
    <row r="23" customFormat="false" ht="25.35" hidden="false" customHeight="false" outlineLevel="0" collapsed="false">
      <c r="A23" s="19" t="s">
        <v>101</v>
      </c>
      <c r="B23" s="20" t="s">
        <v>247</v>
      </c>
      <c r="C23" s="21" t="n">
        <v>4.32</v>
      </c>
      <c r="D23" s="19" t="s">
        <v>217</v>
      </c>
      <c r="E23" s="22" t="n">
        <v>19</v>
      </c>
      <c r="F23" s="22" t="n">
        <v>3</v>
      </c>
      <c r="G23" s="19" t="n">
        <f aca="false">E23+F23-1</f>
        <v>21</v>
      </c>
      <c r="H23" s="19" t="s">
        <v>248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</row>
    <row r="24" customFormat="false" ht="25.35" hidden="false" customHeight="false" outlineLevel="0" collapsed="false">
      <c r="A24" s="19" t="s">
        <v>108</v>
      </c>
      <c r="B24" s="20" t="s">
        <v>249</v>
      </c>
      <c r="C24" s="21" t="n">
        <v>0.0726</v>
      </c>
      <c r="D24" s="19" t="s">
        <v>250</v>
      </c>
      <c r="E24" s="22" t="n">
        <v>22</v>
      </c>
      <c r="F24" s="22" t="n">
        <v>2</v>
      </c>
      <c r="G24" s="19" t="n">
        <f aca="false">E24+F24-1</f>
        <v>23</v>
      </c>
      <c r="H24" s="19" t="s">
        <v>251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</row>
    <row r="25" customFormat="false" ht="15" hidden="false" customHeight="false" outlineLevel="0" collapsed="false">
      <c r="A25" s="18" t="s">
        <v>252</v>
      </c>
      <c r="B25" s="18" t="s">
        <v>253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</row>
    <row r="26" customFormat="false" ht="25.35" hidden="false" customHeight="false" outlineLevel="0" collapsed="false">
      <c r="A26" s="19" t="s">
        <v>254</v>
      </c>
      <c r="B26" s="20" t="s">
        <v>255</v>
      </c>
      <c r="C26" s="21" t="n">
        <v>0.0838</v>
      </c>
      <c r="D26" s="19" t="s">
        <v>237</v>
      </c>
      <c r="E26" s="22" t="n">
        <v>20</v>
      </c>
      <c r="F26" s="22" t="n">
        <v>3</v>
      </c>
      <c r="G26" s="19" t="n">
        <f aca="false">E26+F26-1</f>
        <v>22</v>
      </c>
      <c r="H26" s="19" t="s">
        <v>238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</row>
    <row r="27" customFormat="false" ht="25.35" hidden="false" customHeight="false" outlineLevel="0" collapsed="false">
      <c r="A27" s="19" t="s">
        <v>256</v>
      </c>
      <c r="B27" s="20" t="s">
        <v>257</v>
      </c>
      <c r="C27" s="21" t="n">
        <v>0.3283</v>
      </c>
      <c r="D27" s="19" t="s">
        <v>237</v>
      </c>
      <c r="E27" s="22" t="n">
        <v>20</v>
      </c>
      <c r="F27" s="22" t="n">
        <v>3</v>
      </c>
      <c r="G27" s="19" t="n">
        <f aca="false">E27+F27-1</f>
        <v>22</v>
      </c>
      <c r="H27" s="19" t="s">
        <v>238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</row>
    <row r="28" customFormat="false" ht="15" hidden="false" customHeight="false" outlineLevel="0" collapsed="false">
      <c r="A28" s="19" t="s">
        <v>133</v>
      </c>
      <c r="B28" s="20" t="s">
        <v>258</v>
      </c>
      <c r="C28" s="21" t="n">
        <v>0.352</v>
      </c>
      <c r="D28" s="19" t="s">
        <v>231</v>
      </c>
      <c r="E28" s="22" t="n">
        <v>23</v>
      </c>
      <c r="F28" s="22" t="n">
        <v>2</v>
      </c>
      <c r="G28" s="19" t="n">
        <f aca="false">E28+F28-1</f>
        <v>24</v>
      </c>
      <c r="H28" s="19" t="s">
        <v>244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</row>
    <row r="29" customFormat="false" ht="25.35" hidden="false" customHeight="false" outlineLevel="0" collapsed="false">
      <c r="A29" s="19" t="s">
        <v>139</v>
      </c>
      <c r="B29" s="20" t="s">
        <v>259</v>
      </c>
      <c r="C29" s="21" t="n">
        <v>1.936</v>
      </c>
      <c r="D29" s="19" t="s">
        <v>217</v>
      </c>
      <c r="E29" s="22" t="n">
        <v>25</v>
      </c>
      <c r="F29" s="22" t="n">
        <v>2</v>
      </c>
      <c r="G29" s="19" t="n">
        <f aca="false">E29+F29-1</f>
        <v>26</v>
      </c>
      <c r="H29" s="19" t="s">
        <v>246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</row>
    <row r="30" customFormat="false" ht="25.35" hidden="false" customHeight="false" outlineLevel="0" collapsed="false">
      <c r="A30" s="19" t="s">
        <v>146</v>
      </c>
      <c r="B30" s="20" t="s">
        <v>260</v>
      </c>
      <c r="C30" s="21" t="n">
        <v>7.0098</v>
      </c>
      <c r="D30" s="19" t="s">
        <v>217</v>
      </c>
      <c r="E30" s="22" t="n">
        <v>27</v>
      </c>
      <c r="F30" s="22" t="n">
        <v>6</v>
      </c>
      <c r="G30" s="19" t="n">
        <f aca="false">E30+F30-1</f>
        <v>32</v>
      </c>
      <c r="H30" s="19" t="s">
        <v>248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</row>
    <row r="31" customFormat="false" ht="25.35" hidden="false" customHeight="false" outlineLevel="0" collapsed="false">
      <c r="A31" s="19" t="s">
        <v>152</v>
      </c>
      <c r="B31" s="20" t="s">
        <v>261</v>
      </c>
      <c r="C31" s="21" t="n">
        <v>0.2483</v>
      </c>
      <c r="D31" s="19" t="s">
        <v>231</v>
      </c>
      <c r="E31" s="22" t="n">
        <v>33</v>
      </c>
      <c r="F31" s="22" t="n">
        <v>3</v>
      </c>
      <c r="G31" s="19" t="n">
        <f aca="false">E31+F31-1</f>
        <v>35</v>
      </c>
      <c r="H31" s="19" t="s">
        <v>262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</row>
    <row r="32" customFormat="false" ht="25.35" hidden="false" customHeight="false" outlineLevel="0" collapsed="false">
      <c r="A32" s="19" t="s">
        <v>158</v>
      </c>
      <c r="B32" s="20" t="s">
        <v>263</v>
      </c>
      <c r="C32" s="21" t="n">
        <v>2.7311</v>
      </c>
      <c r="D32" s="19" t="s">
        <v>217</v>
      </c>
      <c r="E32" s="22" t="n">
        <v>36</v>
      </c>
      <c r="F32" s="22" t="n">
        <v>2</v>
      </c>
      <c r="G32" s="19" t="n">
        <f aca="false">E32+F32-1</f>
        <v>37</v>
      </c>
      <c r="H32" s="19" t="s">
        <v>246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</row>
    <row r="33" customFormat="false" ht="15" hidden="false" customHeight="false" outlineLevel="0" collapsed="false">
      <c r="A33" s="18" t="s">
        <v>264</v>
      </c>
      <c r="B33" s="18" t="s">
        <v>265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</row>
    <row r="34" customFormat="false" ht="15" hidden="false" customHeight="false" outlineLevel="0" collapsed="false">
      <c r="A34" s="19" t="s">
        <v>266</v>
      </c>
      <c r="B34" s="20" t="s">
        <v>267</v>
      </c>
      <c r="C34" s="21" t="n">
        <v>164.6924</v>
      </c>
      <c r="D34" s="19" t="s">
        <v>268</v>
      </c>
      <c r="E34" s="22" t="n">
        <v>38</v>
      </c>
      <c r="F34" s="22" t="n">
        <v>6</v>
      </c>
      <c r="G34" s="19" t="n">
        <f aca="false">E34+F34-1</f>
        <v>43</v>
      </c>
      <c r="H34" s="19" t="s">
        <v>269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</row>
    <row r="35" customFormat="false" ht="25.35" hidden="false" customHeight="false" outlineLevel="0" collapsed="false">
      <c r="A35" s="19" t="s">
        <v>270</v>
      </c>
      <c r="B35" s="20" t="s">
        <v>271</v>
      </c>
      <c r="C35" s="21" t="n">
        <v>28.16</v>
      </c>
      <c r="D35" s="19" t="s">
        <v>268</v>
      </c>
      <c r="E35" s="22" t="n">
        <v>39</v>
      </c>
      <c r="F35" s="22" t="n">
        <v>3</v>
      </c>
      <c r="G35" s="19" t="n">
        <f aca="false">E35+F35-1</f>
        <v>41</v>
      </c>
      <c r="H35" s="19" t="s">
        <v>269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</row>
    <row r="36" customFormat="false" ht="25.35" hidden="false" customHeight="false" outlineLevel="0" collapsed="false">
      <c r="A36" s="19" t="s">
        <v>173</v>
      </c>
      <c r="B36" s="20" t="s">
        <v>272</v>
      </c>
      <c r="C36" s="21" t="n">
        <v>192.8524</v>
      </c>
      <c r="D36" s="19" t="s">
        <v>268</v>
      </c>
      <c r="E36" s="22" t="n">
        <v>45</v>
      </c>
      <c r="F36" s="22" t="n">
        <v>4</v>
      </c>
      <c r="G36" s="19" t="n">
        <f aca="false">E36+F36-1</f>
        <v>48</v>
      </c>
      <c r="H36" s="19" t="s">
        <v>273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</row>
    <row r="37" customFormat="false" ht="15" hidden="false" customHeight="false" outlineLevel="0" collapsed="false">
      <c r="A37" s="18" t="s">
        <v>274</v>
      </c>
      <c r="B37" s="18" t="s">
        <v>275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</row>
    <row r="38" customFormat="false" ht="25.35" hidden="false" customHeight="false" outlineLevel="0" collapsed="false">
      <c r="A38" s="19" t="s">
        <v>182</v>
      </c>
      <c r="B38" s="20" t="s">
        <v>276</v>
      </c>
      <c r="C38" s="21"/>
      <c r="D38" s="19"/>
      <c r="E38" s="22" t="n">
        <v>49</v>
      </c>
      <c r="F38" s="22" t="n">
        <v>2</v>
      </c>
      <c r="G38" s="19" t="n">
        <f aca="false">E38+F38-1</f>
        <v>50</v>
      </c>
      <c r="H38" s="19" t="s">
        <v>277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</row>
    <row r="40" customFormat="false" ht="15" hidden="false" customHeight="false" outlineLevel="0" collapsed="false">
      <c r="B40" s="14" t="s">
        <v>278</v>
      </c>
    </row>
    <row r="41" customFormat="false" ht="15" hidden="false" customHeight="false" outlineLevel="0" collapsed="false">
      <c r="A41" s="24"/>
      <c r="B41" s="15" t="s">
        <v>279</v>
      </c>
    </row>
    <row r="42" customFormat="false" ht="15" hidden="false" customHeight="false" outlineLevel="0" collapsed="false">
      <c r="A42" s="25"/>
      <c r="B42" s="15" t="s">
        <v>280</v>
      </c>
    </row>
    <row r="43" customFormat="false" ht="45" hidden="false" customHeight="true" outlineLevel="0" collapsed="false">
      <c r="B43" s="26" t="s">
        <v>281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</row>
  </sheetData>
  <mergeCells count="4">
    <mergeCell ref="A1:BF1"/>
    <mergeCell ref="A2:BF2"/>
    <mergeCell ref="A3:B3"/>
    <mergeCell ref="B43:BF43"/>
  </mergeCells>
  <conditionalFormatting sqref="I6:BF38">
    <cfRule type="expression" priority="2" aboveAverage="0" equalAverage="0" bottom="0" percent="0" rank="0" text="" dxfId="0">
      <formula>AND($H6&lt;&gt;"",I$5=$G6)</formula>
    </cfRule>
    <cfRule type="expression" priority="3" aboveAverage="0" equalAverage="0" bottom="0" percent="0" rank="0" text="" dxfId="1">
      <formula>AND(ISNUMBER($E6),I$5&gt;=$E6,I$5&lt;=$G6)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18.55" hidden="false" customHeight="true" outlineLevel="0" collapsed="false">
      <c r="A1" s="1" t="s">
        <v>282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4" customFormat="false" ht="15" hidden="false" customHeight="false" outlineLevel="0" collapsed="false">
      <c r="A4" s="3" t="s">
        <v>283</v>
      </c>
      <c r="B4" s="3" t="s">
        <v>284</v>
      </c>
      <c r="C4" s="3" t="s">
        <v>285</v>
      </c>
      <c r="D4" s="3" t="s">
        <v>286</v>
      </c>
    </row>
    <row r="5" customFormat="false" ht="15" hidden="false" customHeight="false" outlineLevel="0" collapsed="false">
      <c r="A5" s="6" t="n">
        <v>1</v>
      </c>
      <c r="B5" s="7" t="s">
        <v>287</v>
      </c>
      <c r="C5" s="7" t="s">
        <v>288</v>
      </c>
      <c r="D5" s="7" t="s">
        <v>289</v>
      </c>
    </row>
    <row r="6" customFormat="false" ht="15" hidden="false" customHeight="false" outlineLevel="0" collapsed="false">
      <c r="A6" s="6" t="n">
        <v>2</v>
      </c>
      <c r="B6" s="7" t="s">
        <v>290</v>
      </c>
      <c r="C6" s="7" t="s">
        <v>291</v>
      </c>
      <c r="D6" s="7" t="s">
        <v>292</v>
      </c>
    </row>
    <row r="7" customFormat="false" ht="15" hidden="false" customHeight="false" outlineLevel="0" collapsed="false">
      <c r="A7" s="6" t="n">
        <v>3</v>
      </c>
      <c r="B7" s="7" t="s">
        <v>293</v>
      </c>
      <c r="C7" s="7" t="s">
        <v>294</v>
      </c>
      <c r="D7" s="7" t="s">
        <v>295</v>
      </c>
    </row>
    <row r="8" customFormat="false" ht="15" hidden="false" customHeight="false" outlineLevel="0" collapsed="false">
      <c r="A8" s="6" t="n">
        <v>4</v>
      </c>
      <c r="B8" s="7" t="s">
        <v>296</v>
      </c>
      <c r="C8" s="7" t="s">
        <v>297</v>
      </c>
      <c r="D8" s="7" t="s">
        <v>298</v>
      </c>
    </row>
    <row r="9" customFormat="false" ht="15" hidden="false" customHeight="false" outlineLevel="0" collapsed="false">
      <c r="A9" s="6" t="n">
        <v>5</v>
      </c>
      <c r="B9" s="7" t="s">
        <v>299</v>
      </c>
      <c r="C9" s="7" t="s">
        <v>300</v>
      </c>
      <c r="D9" s="7" t="s">
        <v>301</v>
      </c>
    </row>
    <row r="10" customFormat="false" ht="15" hidden="false" customHeight="false" outlineLevel="0" collapsed="false">
      <c r="A10" s="6" t="n">
        <v>6</v>
      </c>
      <c r="B10" s="7" t="s">
        <v>302</v>
      </c>
      <c r="C10" s="7" t="s">
        <v>303</v>
      </c>
      <c r="D10" s="7" t="s">
        <v>304</v>
      </c>
    </row>
    <row r="11" customFormat="false" ht="15" hidden="false" customHeight="false" outlineLevel="0" collapsed="false">
      <c r="A11" s="6" t="n">
        <v>7</v>
      </c>
      <c r="B11" s="7" t="s">
        <v>305</v>
      </c>
      <c r="C11" s="7" t="s">
        <v>306</v>
      </c>
      <c r="D11" s="7" t="s">
        <v>307</v>
      </c>
    </row>
    <row r="12" customFormat="false" ht="15" hidden="false" customHeight="false" outlineLevel="0" collapsed="false">
      <c r="A12" s="6" t="n">
        <v>8</v>
      </c>
      <c r="B12" s="7" t="s">
        <v>308</v>
      </c>
      <c r="C12" s="7" t="s">
        <v>309</v>
      </c>
      <c r="D12" s="7" t="s">
        <v>310</v>
      </c>
    </row>
    <row r="13" customFormat="false" ht="15" hidden="false" customHeight="false" outlineLevel="0" collapsed="false">
      <c r="A13" s="6" t="n">
        <v>9</v>
      </c>
      <c r="B13" s="7" t="s">
        <v>311</v>
      </c>
      <c r="C13" s="7" t="s">
        <v>312</v>
      </c>
      <c r="D13" s="7" t="s">
        <v>313</v>
      </c>
    </row>
    <row r="14" customFormat="false" ht="15" hidden="false" customHeight="false" outlineLevel="0" collapsed="false">
      <c r="A14" s="6" t="n">
        <v>10</v>
      </c>
      <c r="B14" s="7" t="s">
        <v>76</v>
      </c>
      <c r="C14" s="7" t="s">
        <v>314</v>
      </c>
      <c r="D14" s="7" t="s">
        <v>315</v>
      </c>
    </row>
    <row r="15" customFormat="false" ht="15" hidden="false" customHeight="false" outlineLevel="0" collapsed="false">
      <c r="A15" s="6" t="n">
        <v>11</v>
      </c>
      <c r="B15" s="7" t="s">
        <v>316</v>
      </c>
      <c r="C15" s="7" t="s">
        <v>317</v>
      </c>
      <c r="D15" s="7" t="s">
        <v>318</v>
      </c>
    </row>
    <row r="16" customFormat="false" ht="15" hidden="false" customHeight="false" outlineLevel="0" collapsed="false">
      <c r="A16" s="6" t="n">
        <v>12</v>
      </c>
      <c r="B16" s="7" t="s">
        <v>319</v>
      </c>
      <c r="C16" s="7" t="s">
        <v>320</v>
      </c>
      <c r="D16" s="7" t="s">
        <v>321</v>
      </c>
    </row>
    <row r="17" customFormat="false" ht="15" hidden="false" customHeight="false" outlineLevel="0" collapsed="false">
      <c r="A17" s="6" t="n">
        <v>13</v>
      </c>
      <c r="B17" s="7" t="s">
        <v>322</v>
      </c>
      <c r="C17" s="7" t="s">
        <v>323</v>
      </c>
      <c r="D17" s="7" t="s">
        <v>324</v>
      </c>
    </row>
    <row r="18" customFormat="false" ht="15" hidden="false" customHeight="false" outlineLevel="0" collapsed="false">
      <c r="A18" s="6" t="n">
        <v>14</v>
      </c>
      <c r="B18" s="7" t="s">
        <v>325</v>
      </c>
      <c r="C18" s="7" t="s">
        <v>326</v>
      </c>
      <c r="D18" s="7" t="s">
        <v>327</v>
      </c>
    </row>
    <row r="19" customFormat="false" ht="15" hidden="false" customHeight="false" outlineLevel="0" collapsed="false">
      <c r="A19" s="6" t="n">
        <v>15</v>
      </c>
      <c r="B19" s="7" t="s">
        <v>328</v>
      </c>
      <c r="C19" s="7" t="s">
        <v>329</v>
      </c>
      <c r="D19" s="7" t="s">
        <v>330</v>
      </c>
    </row>
    <row r="20" customFormat="false" ht="15" hidden="false" customHeight="false" outlineLevel="0" collapsed="false">
      <c r="A20" s="6" t="n">
        <v>16</v>
      </c>
      <c r="B20" s="7" t="s">
        <v>331</v>
      </c>
      <c r="C20" s="7" t="s">
        <v>332</v>
      </c>
      <c r="D20" s="7" t="s">
        <v>333</v>
      </c>
    </row>
    <row r="21" customFormat="false" ht="15" hidden="false" customHeight="false" outlineLevel="0" collapsed="false">
      <c r="A21" s="6" t="n">
        <v>17</v>
      </c>
      <c r="B21" s="7" t="s">
        <v>334</v>
      </c>
      <c r="C21" s="7" t="s">
        <v>335</v>
      </c>
      <c r="D21" s="7" t="s">
        <v>336</v>
      </c>
    </row>
    <row r="22" customFormat="false" ht="15" hidden="false" customHeight="false" outlineLevel="0" collapsed="false">
      <c r="A22" s="6" t="n">
        <v>18</v>
      </c>
      <c r="B22" s="7" t="s">
        <v>337</v>
      </c>
      <c r="C22" s="7" t="s">
        <v>338</v>
      </c>
      <c r="D22" s="7" t="s">
        <v>339</v>
      </c>
    </row>
    <row r="23" customFormat="false" ht="23.85" hidden="false" customHeight="false" outlineLevel="0" collapsed="false">
      <c r="A23" s="6" t="n">
        <v>19</v>
      </c>
      <c r="B23" s="7" t="s">
        <v>340</v>
      </c>
      <c r="C23" s="7" t="s">
        <v>341</v>
      </c>
      <c r="D23" s="7" t="s">
        <v>342</v>
      </c>
    </row>
    <row r="24" customFormat="false" ht="23.85" hidden="false" customHeight="false" outlineLevel="0" collapsed="false">
      <c r="A24" s="6" t="n">
        <v>20</v>
      </c>
      <c r="B24" s="7" t="s">
        <v>343</v>
      </c>
      <c r="C24" s="7" t="s">
        <v>344</v>
      </c>
      <c r="D24" s="7" t="s">
        <v>345</v>
      </c>
    </row>
    <row r="25" customFormat="false" ht="15" hidden="false" customHeight="false" outlineLevel="0" collapsed="false">
      <c r="A25" s="6" t="n">
        <v>21</v>
      </c>
      <c r="B25" s="7" t="s">
        <v>346</v>
      </c>
      <c r="C25" s="7" t="s">
        <v>347</v>
      </c>
      <c r="D25" s="7" t="s">
        <v>348</v>
      </c>
    </row>
    <row r="26" customFormat="false" ht="15" hidden="false" customHeight="false" outlineLevel="0" collapsed="false">
      <c r="A26" s="6" t="n">
        <v>22</v>
      </c>
      <c r="B26" s="7" t="s">
        <v>349</v>
      </c>
      <c r="C26" s="7" t="s">
        <v>350</v>
      </c>
      <c r="D26" s="7" t="s">
        <v>351</v>
      </c>
    </row>
    <row r="27" customFormat="false" ht="15" hidden="false" customHeight="false" outlineLevel="0" collapsed="false">
      <c r="A27" s="6" t="n">
        <v>23</v>
      </c>
      <c r="B27" s="7" t="s">
        <v>352</v>
      </c>
      <c r="C27" s="7" t="s">
        <v>353</v>
      </c>
      <c r="D27" s="7" t="s">
        <v>354</v>
      </c>
    </row>
    <row r="28" customFormat="false" ht="15" hidden="false" customHeight="false" outlineLevel="0" collapsed="false">
      <c r="A28" s="6" t="n">
        <v>24</v>
      </c>
      <c r="B28" s="7" t="s">
        <v>355</v>
      </c>
      <c r="C28" s="7" t="s">
        <v>356</v>
      </c>
      <c r="D28" s="7" t="s">
        <v>357</v>
      </c>
    </row>
    <row r="29" customFormat="false" ht="15" hidden="false" customHeight="false" outlineLevel="0" collapsed="false">
      <c r="A29" s="6" t="n">
        <v>25</v>
      </c>
      <c r="B29" s="7" t="s">
        <v>171</v>
      </c>
      <c r="C29" s="7" t="s">
        <v>358</v>
      </c>
      <c r="D29" s="7" t="s">
        <v>359</v>
      </c>
    </row>
    <row r="30" customFormat="false" ht="15" hidden="false" customHeight="false" outlineLevel="0" collapsed="false">
      <c r="A30" s="6" t="n">
        <v>26</v>
      </c>
      <c r="B30" s="7" t="s">
        <v>360</v>
      </c>
      <c r="C30" s="7" t="s">
        <v>361</v>
      </c>
      <c r="D30" s="7" t="s">
        <v>362</v>
      </c>
    </row>
    <row r="31" customFormat="false" ht="15" hidden="false" customHeight="false" outlineLevel="0" collapsed="false">
      <c r="A31" s="6" t="n">
        <v>27</v>
      </c>
      <c r="B31" s="7" t="s">
        <v>363</v>
      </c>
      <c r="C31" s="7" t="s">
        <v>364</v>
      </c>
      <c r="D31" s="7" t="s">
        <v>365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2026-10-13T14:39:19Z</dcterms:created>
  <dc:creator>openpyxl</dc:creator>
  <dc:description/>
  <dc:language>en-US</dc:language>
  <cp:lastModifiedBy/>
  <dcterms:modified xsi:type="dcterms:W3CDTF">2026-10-13T14:39:19Z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