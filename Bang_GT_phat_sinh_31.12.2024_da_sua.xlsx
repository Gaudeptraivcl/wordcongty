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7795" windowHeight="12090"/>
  </bookViews>
  <sheets>
    <sheet name="PL3a ( in)" sheetId="1" r:id="rId1"/>
  </sheets>
  <definedNames>
    <definedName name="_xlnm.Print_Titles" localSheetId="0">'PL3a ( in)'!$11:$14</definedName>
  </definedNames>
  <calcPr calcId="144525" fullCalcOnLoad="1"/>
</workbook>
</file>

<file path=xl/calcChain.xml><?xml version="1.0" encoding="utf-8"?>
<calcChain xmlns="http://schemas.openxmlformats.org/spreadsheetml/2006/main">
  <c r="N776" i="1" l="1"/>
  <c r="N775" i="1"/>
  <c r="I844" i="1"/>
  <c r="I792" i="1"/>
  <c r="I776" i="1"/>
  <c r="I724" i="1"/>
  <c r="I728" i="1"/>
  <c r="I775" i="1"/>
  <c r="N724" i="1" l="1"/>
  <c r="F991" i="1" l="1"/>
  <c r="H989" i="1"/>
  <c r="H988" i="1"/>
  <c r="H986" i="1" s="1"/>
  <c r="F992" i="1" s="1"/>
  <c r="H983" i="1"/>
  <c r="I978" i="1"/>
  <c r="I977" i="1" s="1"/>
  <c r="J974" i="1"/>
  <c r="I974" i="1"/>
  <c r="F974" i="1"/>
  <c r="G974" i="1" s="1"/>
  <c r="L974" i="1" s="1"/>
  <c r="J973" i="1"/>
  <c r="I973" i="1"/>
  <c r="F973" i="1"/>
  <c r="K973" i="1" s="1"/>
  <c r="J972" i="1"/>
  <c r="I972" i="1"/>
  <c r="F972" i="1"/>
  <c r="G972" i="1" s="1"/>
  <c r="L972" i="1" s="1"/>
  <c r="J971" i="1"/>
  <c r="I971" i="1"/>
  <c r="F971" i="1"/>
  <c r="K971" i="1" s="1"/>
  <c r="J970" i="1"/>
  <c r="I970" i="1"/>
  <c r="F970" i="1"/>
  <c r="G970" i="1" s="1"/>
  <c r="L970" i="1" s="1"/>
  <c r="L969" i="1"/>
  <c r="K969" i="1"/>
  <c r="J969" i="1"/>
  <c r="I969" i="1"/>
  <c r="G969" i="1"/>
  <c r="L968" i="1"/>
  <c r="K968" i="1"/>
  <c r="J968" i="1"/>
  <c r="I968" i="1"/>
  <c r="G968" i="1"/>
  <c r="L967" i="1"/>
  <c r="K967" i="1"/>
  <c r="J967" i="1"/>
  <c r="I967" i="1"/>
  <c r="G967" i="1"/>
  <c r="K966" i="1"/>
  <c r="J966" i="1"/>
  <c r="I966" i="1"/>
  <c r="G966" i="1"/>
  <c r="L966" i="1" s="1"/>
  <c r="K965" i="1"/>
  <c r="J965" i="1"/>
  <c r="I965" i="1"/>
  <c r="G965" i="1"/>
  <c r="L965" i="1" s="1"/>
  <c r="L964" i="1"/>
  <c r="K964" i="1"/>
  <c r="J964" i="1"/>
  <c r="I964" i="1"/>
  <c r="G964" i="1"/>
  <c r="L963" i="1"/>
  <c r="K963" i="1"/>
  <c r="J963" i="1"/>
  <c r="I963" i="1"/>
  <c r="G963" i="1"/>
  <c r="L962" i="1"/>
  <c r="K962" i="1"/>
  <c r="J962" i="1"/>
  <c r="I962" i="1"/>
  <c r="G962" i="1"/>
  <c r="K961" i="1"/>
  <c r="J961" i="1"/>
  <c r="I961" i="1"/>
  <c r="G961" i="1"/>
  <c r="L961" i="1" s="1"/>
  <c r="K960" i="1"/>
  <c r="J960" i="1"/>
  <c r="I960" i="1"/>
  <c r="G960" i="1"/>
  <c r="L960" i="1" s="1"/>
  <c r="K959" i="1"/>
  <c r="J959" i="1"/>
  <c r="I959" i="1"/>
  <c r="G959" i="1"/>
  <c r="L959" i="1" s="1"/>
  <c r="K958" i="1"/>
  <c r="J958" i="1"/>
  <c r="I958" i="1"/>
  <c r="G958" i="1"/>
  <c r="L958" i="1" s="1"/>
  <c r="L957" i="1"/>
  <c r="K957" i="1"/>
  <c r="J957" i="1"/>
  <c r="I957" i="1"/>
  <c r="G957" i="1"/>
  <c r="L956" i="1"/>
  <c r="K956" i="1"/>
  <c r="J956" i="1"/>
  <c r="I956" i="1"/>
  <c r="G956" i="1"/>
  <c r="L955" i="1"/>
  <c r="K955" i="1"/>
  <c r="J955" i="1"/>
  <c r="I955" i="1"/>
  <c r="G955" i="1"/>
  <c r="K954" i="1"/>
  <c r="J954" i="1"/>
  <c r="I954" i="1"/>
  <c r="G954" i="1"/>
  <c r="L954" i="1" s="1"/>
  <c r="K953" i="1"/>
  <c r="J953" i="1"/>
  <c r="I953" i="1"/>
  <c r="G953" i="1"/>
  <c r="L953" i="1" s="1"/>
  <c r="L952" i="1"/>
  <c r="K952" i="1"/>
  <c r="J952" i="1"/>
  <c r="I952" i="1"/>
  <c r="G952" i="1"/>
  <c r="K951" i="1"/>
  <c r="J951" i="1"/>
  <c r="I951" i="1"/>
  <c r="G951" i="1"/>
  <c r="L951" i="1" s="1"/>
  <c r="L950" i="1"/>
  <c r="K950" i="1"/>
  <c r="J950" i="1"/>
  <c r="I950" i="1"/>
  <c r="G950" i="1"/>
  <c r="K949" i="1"/>
  <c r="J949" i="1"/>
  <c r="I949" i="1"/>
  <c r="G949" i="1"/>
  <c r="L949" i="1" s="1"/>
  <c r="K948" i="1"/>
  <c r="J948" i="1"/>
  <c r="I948" i="1"/>
  <c r="G948" i="1"/>
  <c r="L948" i="1" s="1"/>
  <c r="K947" i="1"/>
  <c r="J947" i="1"/>
  <c r="I947" i="1"/>
  <c r="G947" i="1"/>
  <c r="L947" i="1" s="1"/>
  <c r="K946" i="1"/>
  <c r="J946" i="1"/>
  <c r="I946" i="1"/>
  <c r="G946" i="1"/>
  <c r="L946" i="1" s="1"/>
  <c r="L945" i="1"/>
  <c r="K945" i="1"/>
  <c r="J945" i="1"/>
  <c r="I945" i="1"/>
  <c r="G945" i="1"/>
  <c r="L944" i="1"/>
  <c r="K944" i="1"/>
  <c r="J944" i="1"/>
  <c r="I944" i="1"/>
  <c r="G944" i="1"/>
  <c r="L943" i="1"/>
  <c r="K943" i="1"/>
  <c r="J943" i="1"/>
  <c r="I943" i="1"/>
  <c r="G943" i="1"/>
  <c r="K942" i="1"/>
  <c r="J942" i="1"/>
  <c r="I942" i="1"/>
  <c r="G942" i="1"/>
  <c r="L942" i="1" s="1"/>
  <c r="K941" i="1"/>
  <c r="J941" i="1"/>
  <c r="I941" i="1"/>
  <c r="G941" i="1"/>
  <c r="L941" i="1" s="1"/>
  <c r="L940" i="1"/>
  <c r="K940" i="1"/>
  <c r="J940" i="1"/>
  <c r="I940" i="1"/>
  <c r="G940" i="1"/>
  <c r="K939" i="1"/>
  <c r="J939" i="1"/>
  <c r="I939" i="1"/>
  <c r="G939" i="1"/>
  <c r="L939" i="1" s="1"/>
  <c r="L938" i="1"/>
  <c r="K938" i="1"/>
  <c r="J938" i="1"/>
  <c r="I938" i="1"/>
  <c r="G938" i="1"/>
  <c r="K937" i="1"/>
  <c r="J937" i="1"/>
  <c r="I937" i="1"/>
  <c r="G937" i="1"/>
  <c r="L937" i="1" s="1"/>
  <c r="K936" i="1"/>
  <c r="J936" i="1"/>
  <c r="I936" i="1"/>
  <c r="G936" i="1"/>
  <c r="L936" i="1" s="1"/>
  <c r="K935" i="1"/>
  <c r="J935" i="1"/>
  <c r="I935" i="1"/>
  <c r="G935" i="1"/>
  <c r="L935" i="1" s="1"/>
  <c r="K934" i="1"/>
  <c r="J934" i="1"/>
  <c r="I934" i="1"/>
  <c r="G934" i="1"/>
  <c r="L934" i="1" s="1"/>
  <c r="L933" i="1"/>
  <c r="K933" i="1"/>
  <c r="J933" i="1"/>
  <c r="I933" i="1"/>
  <c r="G933" i="1"/>
  <c r="L932" i="1"/>
  <c r="K932" i="1"/>
  <c r="J932" i="1"/>
  <c r="I932" i="1"/>
  <c r="G932" i="1"/>
  <c r="L931" i="1"/>
  <c r="K931" i="1"/>
  <c r="J931" i="1"/>
  <c r="I931" i="1"/>
  <c r="G931" i="1"/>
  <c r="K930" i="1"/>
  <c r="J930" i="1"/>
  <c r="I930" i="1"/>
  <c r="G930" i="1"/>
  <c r="L930" i="1" s="1"/>
  <c r="K929" i="1"/>
  <c r="J929" i="1"/>
  <c r="I929" i="1"/>
  <c r="G929" i="1"/>
  <c r="L929" i="1" s="1"/>
  <c r="K928" i="1"/>
  <c r="J928" i="1"/>
  <c r="I928" i="1"/>
  <c r="G928" i="1"/>
  <c r="L928" i="1" s="1"/>
  <c r="K927" i="1"/>
  <c r="J927" i="1"/>
  <c r="I927" i="1"/>
  <c r="G927" i="1"/>
  <c r="L927" i="1" s="1"/>
  <c r="L926" i="1"/>
  <c r="K926" i="1"/>
  <c r="J926" i="1"/>
  <c r="I926" i="1"/>
  <c r="G926" i="1"/>
  <c r="K925" i="1"/>
  <c r="J925" i="1"/>
  <c r="I925" i="1"/>
  <c r="G925" i="1"/>
  <c r="L925" i="1" s="1"/>
  <c r="K924" i="1"/>
  <c r="J924" i="1"/>
  <c r="I924" i="1"/>
  <c r="G924" i="1"/>
  <c r="L924" i="1" s="1"/>
  <c r="K923" i="1"/>
  <c r="J923" i="1"/>
  <c r="I923" i="1"/>
  <c r="G923" i="1"/>
  <c r="L923" i="1" s="1"/>
  <c r="K922" i="1"/>
  <c r="J922" i="1"/>
  <c r="I922" i="1"/>
  <c r="G922" i="1"/>
  <c r="L922" i="1" s="1"/>
  <c r="L921" i="1"/>
  <c r="K921" i="1"/>
  <c r="J921" i="1"/>
  <c r="I921" i="1"/>
  <c r="G921" i="1"/>
  <c r="L920" i="1"/>
  <c r="K920" i="1"/>
  <c r="J920" i="1"/>
  <c r="I920" i="1"/>
  <c r="G920" i="1"/>
  <c r="L919" i="1"/>
  <c r="K919" i="1"/>
  <c r="J919" i="1"/>
  <c r="I919" i="1"/>
  <c r="G919" i="1"/>
  <c r="K918" i="1"/>
  <c r="J918" i="1"/>
  <c r="I918" i="1"/>
  <c r="G918" i="1"/>
  <c r="L918" i="1" s="1"/>
  <c r="K917" i="1"/>
  <c r="J917" i="1"/>
  <c r="I917" i="1"/>
  <c r="G917" i="1"/>
  <c r="L917" i="1" s="1"/>
  <c r="K916" i="1"/>
  <c r="J916" i="1"/>
  <c r="I916" i="1"/>
  <c r="G916" i="1"/>
  <c r="L916" i="1" s="1"/>
  <c r="K915" i="1"/>
  <c r="J915" i="1"/>
  <c r="I915" i="1"/>
  <c r="G915" i="1"/>
  <c r="L915" i="1" s="1"/>
  <c r="L914" i="1"/>
  <c r="K914" i="1"/>
  <c r="J914" i="1"/>
  <c r="I914" i="1"/>
  <c r="G914" i="1"/>
  <c r="K913" i="1"/>
  <c r="J913" i="1"/>
  <c r="I913" i="1"/>
  <c r="G913" i="1"/>
  <c r="L913" i="1" s="1"/>
  <c r="K912" i="1"/>
  <c r="J912" i="1"/>
  <c r="I912" i="1"/>
  <c r="G912" i="1"/>
  <c r="L912" i="1" s="1"/>
  <c r="K911" i="1"/>
  <c r="J911" i="1"/>
  <c r="I911" i="1"/>
  <c r="G911" i="1"/>
  <c r="L911" i="1" s="1"/>
  <c r="K910" i="1"/>
  <c r="J910" i="1"/>
  <c r="I910" i="1"/>
  <c r="G910" i="1"/>
  <c r="L910" i="1" s="1"/>
  <c r="L909" i="1"/>
  <c r="K909" i="1"/>
  <c r="J909" i="1"/>
  <c r="I909" i="1"/>
  <c r="G909" i="1"/>
  <c r="L908" i="1"/>
  <c r="K908" i="1"/>
  <c r="J908" i="1"/>
  <c r="I908" i="1"/>
  <c r="G908" i="1"/>
  <c r="L907" i="1"/>
  <c r="K907" i="1"/>
  <c r="J907" i="1"/>
  <c r="I907" i="1"/>
  <c r="G907" i="1"/>
  <c r="K906" i="1"/>
  <c r="J906" i="1"/>
  <c r="I906" i="1"/>
  <c r="G906" i="1"/>
  <c r="L906" i="1" s="1"/>
  <c r="K905" i="1"/>
  <c r="J905" i="1"/>
  <c r="I905" i="1"/>
  <c r="G905" i="1"/>
  <c r="L905" i="1" s="1"/>
  <c r="L904" i="1"/>
  <c r="K904" i="1"/>
  <c r="J904" i="1"/>
  <c r="I904" i="1"/>
  <c r="G904" i="1"/>
  <c r="K903" i="1"/>
  <c r="J903" i="1"/>
  <c r="I903" i="1"/>
  <c r="G903" i="1"/>
  <c r="L903" i="1" s="1"/>
  <c r="L902" i="1"/>
  <c r="K902" i="1"/>
  <c r="J902" i="1"/>
  <c r="I902" i="1"/>
  <c r="G902" i="1"/>
  <c r="K901" i="1"/>
  <c r="J901" i="1"/>
  <c r="I901" i="1"/>
  <c r="G901" i="1"/>
  <c r="L901" i="1" s="1"/>
  <c r="K900" i="1"/>
  <c r="J900" i="1"/>
  <c r="I900" i="1"/>
  <c r="G900" i="1"/>
  <c r="L900" i="1" s="1"/>
  <c r="K899" i="1"/>
  <c r="J899" i="1"/>
  <c r="I899" i="1"/>
  <c r="G899" i="1"/>
  <c r="L899" i="1" s="1"/>
  <c r="L898" i="1"/>
  <c r="K898" i="1"/>
  <c r="J898" i="1"/>
  <c r="I898" i="1"/>
  <c r="G898" i="1"/>
  <c r="L897" i="1"/>
  <c r="K897" i="1"/>
  <c r="J897" i="1"/>
  <c r="I897" i="1"/>
  <c r="G897" i="1"/>
  <c r="L896" i="1"/>
  <c r="K896" i="1"/>
  <c r="J896" i="1"/>
  <c r="I896" i="1"/>
  <c r="G896" i="1"/>
  <c r="L895" i="1"/>
  <c r="K895" i="1"/>
  <c r="J895" i="1"/>
  <c r="I895" i="1"/>
  <c r="G895" i="1"/>
  <c r="K894" i="1"/>
  <c r="J894" i="1"/>
  <c r="I894" i="1"/>
  <c r="G894" i="1"/>
  <c r="L894" i="1" s="1"/>
  <c r="K893" i="1"/>
  <c r="J893" i="1"/>
  <c r="I893" i="1"/>
  <c r="G893" i="1"/>
  <c r="L893" i="1" s="1"/>
  <c r="L892" i="1"/>
  <c r="K892" i="1"/>
  <c r="J892" i="1"/>
  <c r="I892" i="1"/>
  <c r="G892" i="1"/>
  <c r="K891" i="1"/>
  <c r="J891" i="1"/>
  <c r="I891" i="1"/>
  <c r="G891" i="1"/>
  <c r="L891" i="1" s="1"/>
  <c r="L890" i="1"/>
  <c r="K890" i="1"/>
  <c r="J890" i="1"/>
  <c r="I890" i="1"/>
  <c r="G890" i="1"/>
  <c r="K889" i="1"/>
  <c r="J889" i="1"/>
  <c r="I889" i="1"/>
  <c r="G889" i="1"/>
  <c r="L889" i="1" s="1"/>
  <c r="K888" i="1"/>
  <c r="J888" i="1"/>
  <c r="I888" i="1"/>
  <c r="G888" i="1"/>
  <c r="L888" i="1" s="1"/>
  <c r="K887" i="1"/>
  <c r="J887" i="1"/>
  <c r="I887" i="1"/>
  <c r="G887" i="1"/>
  <c r="L887" i="1" s="1"/>
  <c r="L884" i="1"/>
  <c r="K884" i="1"/>
  <c r="J884" i="1"/>
  <c r="I884" i="1"/>
  <c r="G884" i="1"/>
  <c r="L883" i="1"/>
  <c r="K883" i="1"/>
  <c r="J883" i="1"/>
  <c r="I883" i="1"/>
  <c r="G883" i="1"/>
  <c r="L882" i="1"/>
  <c r="K882" i="1"/>
  <c r="J882" i="1"/>
  <c r="I882" i="1"/>
  <c r="G882" i="1"/>
  <c r="L881" i="1"/>
  <c r="K881" i="1"/>
  <c r="J881" i="1"/>
  <c r="I881" i="1"/>
  <c r="G881" i="1"/>
  <c r="K880" i="1"/>
  <c r="J880" i="1"/>
  <c r="I880" i="1"/>
  <c r="G880" i="1"/>
  <c r="L880" i="1" s="1"/>
  <c r="K879" i="1"/>
  <c r="J879" i="1"/>
  <c r="I879" i="1"/>
  <c r="G879" i="1"/>
  <c r="L879" i="1" s="1"/>
  <c r="L878" i="1"/>
  <c r="K878" i="1"/>
  <c r="J878" i="1"/>
  <c r="I878" i="1"/>
  <c r="G878" i="1"/>
  <c r="K877" i="1"/>
  <c r="J877" i="1"/>
  <c r="I877" i="1"/>
  <c r="G877" i="1"/>
  <c r="L877" i="1" s="1"/>
  <c r="L876" i="1"/>
  <c r="K876" i="1"/>
  <c r="J876" i="1"/>
  <c r="I876" i="1"/>
  <c r="G876" i="1"/>
  <c r="K875" i="1"/>
  <c r="J875" i="1"/>
  <c r="I875" i="1"/>
  <c r="G875" i="1"/>
  <c r="L875" i="1" s="1"/>
  <c r="F875" i="1"/>
  <c r="L874" i="1"/>
  <c r="K874" i="1"/>
  <c r="J874" i="1"/>
  <c r="I874" i="1"/>
  <c r="G874" i="1"/>
  <c r="F874" i="1"/>
  <c r="K873" i="1"/>
  <c r="J873" i="1"/>
  <c r="I873" i="1"/>
  <c r="G873" i="1"/>
  <c r="L873" i="1" s="1"/>
  <c r="F873" i="1"/>
  <c r="L872" i="1"/>
  <c r="K872" i="1"/>
  <c r="J872" i="1"/>
  <c r="I872" i="1"/>
  <c r="G872" i="1"/>
  <c r="F872" i="1"/>
  <c r="K871" i="1"/>
  <c r="J871" i="1"/>
  <c r="I871" i="1"/>
  <c r="G871" i="1"/>
  <c r="L871" i="1" s="1"/>
  <c r="F871" i="1"/>
  <c r="L870" i="1"/>
  <c r="K870" i="1"/>
  <c r="J870" i="1"/>
  <c r="I870" i="1"/>
  <c r="G870" i="1"/>
  <c r="F870" i="1"/>
  <c r="K869" i="1"/>
  <c r="J869" i="1"/>
  <c r="I869" i="1"/>
  <c r="G869" i="1"/>
  <c r="L869" i="1" s="1"/>
  <c r="F869" i="1"/>
  <c r="L868" i="1"/>
  <c r="K868" i="1"/>
  <c r="J868" i="1"/>
  <c r="I868" i="1"/>
  <c r="G868" i="1"/>
  <c r="F868" i="1"/>
  <c r="K867" i="1"/>
  <c r="J867" i="1"/>
  <c r="I867" i="1"/>
  <c r="G867" i="1"/>
  <c r="L867" i="1" s="1"/>
  <c r="F867" i="1"/>
  <c r="L866" i="1"/>
  <c r="K866" i="1"/>
  <c r="J866" i="1"/>
  <c r="I866" i="1"/>
  <c r="G866" i="1"/>
  <c r="F866" i="1"/>
  <c r="K865" i="1"/>
  <c r="J865" i="1"/>
  <c r="I865" i="1"/>
  <c r="G865" i="1"/>
  <c r="L865" i="1" s="1"/>
  <c r="K864" i="1"/>
  <c r="J864" i="1"/>
  <c r="I864" i="1"/>
  <c r="G864" i="1"/>
  <c r="L864" i="1" s="1"/>
  <c r="K863" i="1"/>
  <c r="J863" i="1"/>
  <c r="I863" i="1"/>
  <c r="G863" i="1"/>
  <c r="L863" i="1" s="1"/>
  <c r="L862" i="1"/>
  <c r="K862" i="1"/>
  <c r="J862" i="1"/>
  <c r="I862" i="1"/>
  <c r="G862" i="1"/>
  <c r="L861" i="1"/>
  <c r="K861" i="1"/>
  <c r="J861" i="1"/>
  <c r="I861" i="1"/>
  <c r="G861" i="1"/>
  <c r="L860" i="1"/>
  <c r="K860" i="1"/>
  <c r="J860" i="1"/>
  <c r="I860" i="1"/>
  <c r="G860" i="1"/>
  <c r="L859" i="1"/>
  <c r="K859" i="1"/>
  <c r="J859" i="1"/>
  <c r="I859" i="1"/>
  <c r="G859" i="1"/>
  <c r="K858" i="1"/>
  <c r="J858" i="1"/>
  <c r="I858" i="1"/>
  <c r="G858" i="1"/>
  <c r="L858" i="1" s="1"/>
  <c r="K857" i="1"/>
  <c r="J857" i="1"/>
  <c r="I857" i="1"/>
  <c r="G857" i="1"/>
  <c r="L857" i="1" s="1"/>
  <c r="L856" i="1"/>
  <c r="K856" i="1"/>
  <c r="J856" i="1"/>
  <c r="I856" i="1"/>
  <c r="G856" i="1"/>
  <c r="K855" i="1"/>
  <c r="J855" i="1"/>
  <c r="I855" i="1"/>
  <c r="G855" i="1"/>
  <c r="L855" i="1" s="1"/>
  <c r="L854" i="1"/>
  <c r="K854" i="1"/>
  <c r="J854" i="1"/>
  <c r="I854" i="1"/>
  <c r="G854" i="1"/>
  <c r="K853" i="1"/>
  <c r="J853" i="1"/>
  <c r="I853" i="1"/>
  <c r="G853" i="1"/>
  <c r="L853" i="1" s="1"/>
  <c r="K852" i="1"/>
  <c r="J852" i="1"/>
  <c r="I852" i="1"/>
  <c r="G852" i="1"/>
  <c r="L852" i="1" s="1"/>
  <c r="K851" i="1"/>
  <c r="J851" i="1"/>
  <c r="I851" i="1"/>
  <c r="G851" i="1"/>
  <c r="L851" i="1" s="1"/>
  <c r="L850" i="1"/>
  <c r="K850" i="1"/>
  <c r="J850" i="1"/>
  <c r="I850" i="1"/>
  <c r="G850" i="1"/>
  <c r="L849" i="1"/>
  <c r="K849" i="1"/>
  <c r="J849" i="1"/>
  <c r="I849" i="1"/>
  <c r="G849" i="1"/>
  <c r="L848" i="1"/>
  <c r="K848" i="1"/>
  <c r="J848" i="1"/>
  <c r="J844" i="1" s="1"/>
  <c r="I848" i="1"/>
  <c r="G848" i="1"/>
  <c r="K843" i="1"/>
  <c r="J843" i="1"/>
  <c r="I843" i="1"/>
  <c r="G843" i="1"/>
  <c r="L843" i="1" s="1"/>
  <c r="L842" i="1"/>
  <c r="K842" i="1"/>
  <c r="J842" i="1"/>
  <c r="I842" i="1"/>
  <c r="G842" i="1"/>
  <c r="L841" i="1"/>
  <c r="K841" i="1"/>
  <c r="J841" i="1"/>
  <c r="I841" i="1"/>
  <c r="G841" i="1"/>
  <c r="L840" i="1"/>
  <c r="K840" i="1"/>
  <c r="J840" i="1"/>
  <c r="I840" i="1"/>
  <c r="G840" i="1"/>
  <c r="L839" i="1"/>
  <c r="K839" i="1"/>
  <c r="J839" i="1"/>
  <c r="I839" i="1"/>
  <c r="G839" i="1"/>
  <c r="K838" i="1"/>
  <c r="J838" i="1"/>
  <c r="I838" i="1"/>
  <c r="G838" i="1"/>
  <c r="L838" i="1" s="1"/>
  <c r="K837" i="1"/>
  <c r="J837" i="1"/>
  <c r="I837" i="1"/>
  <c r="G837" i="1"/>
  <c r="L837" i="1" s="1"/>
  <c r="L836" i="1"/>
  <c r="K836" i="1"/>
  <c r="J836" i="1"/>
  <c r="I836" i="1"/>
  <c r="G836" i="1"/>
  <c r="K835" i="1"/>
  <c r="J835" i="1"/>
  <c r="I835" i="1"/>
  <c r="G835" i="1"/>
  <c r="L835" i="1" s="1"/>
  <c r="L834" i="1"/>
  <c r="K834" i="1"/>
  <c r="J834" i="1"/>
  <c r="I834" i="1"/>
  <c r="G834" i="1"/>
  <c r="K833" i="1"/>
  <c r="J833" i="1"/>
  <c r="I833" i="1"/>
  <c r="G833" i="1"/>
  <c r="L833" i="1" s="1"/>
  <c r="K832" i="1"/>
  <c r="J832" i="1"/>
  <c r="I832" i="1"/>
  <c r="G832" i="1"/>
  <c r="L832" i="1" s="1"/>
  <c r="K831" i="1"/>
  <c r="J831" i="1"/>
  <c r="I831" i="1"/>
  <c r="G831" i="1"/>
  <c r="L831" i="1" s="1"/>
  <c r="L830" i="1"/>
  <c r="K830" i="1"/>
  <c r="J830" i="1"/>
  <c r="I830" i="1"/>
  <c r="G830" i="1"/>
  <c r="L829" i="1"/>
  <c r="K829" i="1"/>
  <c r="J829" i="1"/>
  <c r="I829" i="1"/>
  <c r="G829" i="1"/>
  <c r="L828" i="1"/>
  <c r="K828" i="1"/>
  <c r="J828" i="1"/>
  <c r="I828" i="1"/>
  <c r="G828" i="1"/>
  <c r="L827" i="1"/>
  <c r="K827" i="1"/>
  <c r="J827" i="1"/>
  <c r="I827" i="1"/>
  <c r="G827" i="1"/>
  <c r="K826" i="1"/>
  <c r="J826" i="1"/>
  <c r="I826" i="1"/>
  <c r="G826" i="1"/>
  <c r="L826" i="1" s="1"/>
  <c r="K825" i="1"/>
  <c r="J825" i="1"/>
  <c r="I825" i="1"/>
  <c r="G825" i="1"/>
  <c r="L825" i="1" s="1"/>
  <c r="L823" i="1"/>
  <c r="K823" i="1"/>
  <c r="J823" i="1"/>
  <c r="I823" i="1"/>
  <c r="G823" i="1"/>
  <c r="K822" i="1"/>
  <c r="J822" i="1"/>
  <c r="I822" i="1"/>
  <c r="G822" i="1"/>
  <c r="L822" i="1" s="1"/>
  <c r="L821" i="1"/>
  <c r="K821" i="1"/>
  <c r="J821" i="1"/>
  <c r="I821" i="1"/>
  <c r="G821" i="1"/>
  <c r="K820" i="1"/>
  <c r="J820" i="1"/>
  <c r="I820" i="1"/>
  <c r="G820" i="1"/>
  <c r="L820" i="1" s="1"/>
  <c r="K819" i="1"/>
  <c r="J819" i="1"/>
  <c r="I819" i="1"/>
  <c r="G819" i="1"/>
  <c r="L819" i="1" s="1"/>
  <c r="K818" i="1"/>
  <c r="J818" i="1"/>
  <c r="I818" i="1"/>
  <c r="G818" i="1"/>
  <c r="L818" i="1" s="1"/>
  <c r="L817" i="1"/>
  <c r="K817" i="1"/>
  <c r="J817" i="1"/>
  <c r="I817" i="1"/>
  <c r="G817" i="1"/>
  <c r="L816" i="1"/>
  <c r="K816" i="1"/>
  <c r="J816" i="1"/>
  <c r="I816" i="1"/>
  <c r="G816" i="1"/>
  <c r="L815" i="1"/>
  <c r="K815" i="1"/>
  <c r="J815" i="1"/>
  <c r="I815" i="1"/>
  <c r="G815" i="1"/>
  <c r="L814" i="1"/>
  <c r="K814" i="1"/>
  <c r="J814" i="1"/>
  <c r="I814" i="1"/>
  <c r="G814" i="1"/>
  <c r="K813" i="1"/>
  <c r="J813" i="1"/>
  <c r="I813" i="1"/>
  <c r="G813" i="1"/>
  <c r="L813" i="1" s="1"/>
  <c r="K812" i="1"/>
  <c r="J812" i="1"/>
  <c r="I812" i="1"/>
  <c r="G812" i="1"/>
  <c r="L812" i="1" s="1"/>
  <c r="L811" i="1"/>
  <c r="K811" i="1"/>
  <c r="J811" i="1"/>
  <c r="I811" i="1"/>
  <c r="G811" i="1"/>
  <c r="K810" i="1"/>
  <c r="J810" i="1"/>
  <c r="I810" i="1"/>
  <c r="G810" i="1"/>
  <c r="L810" i="1" s="1"/>
  <c r="L809" i="1"/>
  <c r="K809" i="1"/>
  <c r="J809" i="1"/>
  <c r="I809" i="1"/>
  <c r="G809" i="1"/>
  <c r="K808" i="1"/>
  <c r="J808" i="1"/>
  <c r="I808" i="1"/>
  <c r="G808" i="1"/>
  <c r="L808" i="1" s="1"/>
  <c r="K807" i="1"/>
  <c r="J807" i="1"/>
  <c r="I807" i="1"/>
  <c r="G807" i="1"/>
  <c r="L807" i="1" s="1"/>
  <c r="K806" i="1"/>
  <c r="J806" i="1"/>
  <c r="I806" i="1"/>
  <c r="G806" i="1"/>
  <c r="L806" i="1" s="1"/>
  <c r="L805" i="1"/>
  <c r="K805" i="1"/>
  <c r="J805" i="1"/>
  <c r="I805" i="1"/>
  <c r="G805" i="1"/>
  <c r="L804" i="1"/>
  <c r="K804" i="1"/>
  <c r="J804" i="1"/>
  <c r="I804" i="1"/>
  <c r="G804" i="1"/>
  <c r="L803" i="1"/>
  <c r="K803" i="1"/>
  <c r="J803" i="1"/>
  <c r="I803" i="1"/>
  <c r="G803" i="1"/>
  <c r="L802" i="1"/>
  <c r="K802" i="1"/>
  <c r="J802" i="1"/>
  <c r="I802" i="1"/>
  <c r="G802" i="1"/>
  <c r="K801" i="1"/>
  <c r="J801" i="1"/>
  <c r="I801" i="1"/>
  <c r="G801" i="1"/>
  <c r="L801" i="1" s="1"/>
  <c r="K800" i="1"/>
  <c r="J800" i="1"/>
  <c r="I800" i="1"/>
  <c r="G800" i="1"/>
  <c r="L800" i="1" s="1"/>
  <c r="L799" i="1"/>
  <c r="K799" i="1"/>
  <c r="J799" i="1"/>
  <c r="I799" i="1"/>
  <c r="G799" i="1"/>
  <c r="K798" i="1"/>
  <c r="J798" i="1"/>
  <c r="I798" i="1"/>
  <c r="G798" i="1"/>
  <c r="L798" i="1" s="1"/>
  <c r="L797" i="1"/>
  <c r="K797" i="1"/>
  <c r="J797" i="1"/>
  <c r="J792" i="1" s="1"/>
  <c r="I797" i="1"/>
  <c r="G797" i="1"/>
  <c r="K796" i="1"/>
  <c r="J796" i="1"/>
  <c r="I796" i="1"/>
  <c r="G796" i="1"/>
  <c r="L796" i="1" s="1"/>
  <c r="K795" i="1"/>
  <c r="K792" i="1" s="1"/>
  <c r="J795" i="1"/>
  <c r="I795" i="1"/>
  <c r="G795" i="1"/>
  <c r="L795" i="1" s="1"/>
  <c r="K794" i="1"/>
  <c r="J794" i="1"/>
  <c r="I794" i="1"/>
  <c r="G794" i="1"/>
  <c r="L794" i="1" s="1"/>
  <c r="G793" i="1"/>
  <c r="G792" i="1"/>
  <c r="L791" i="1"/>
  <c r="K791" i="1"/>
  <c r="J791" i="1"/>
  <c r="I791" i="1"/>
  <c r="G791" i="1"/>
  <c r="K790" i="1"/>
  <c r="J790" i="1"/>
  <c r="I790" i="1"/>
  <c r="G790" i="1"/>
  <c r="L790" i="1" s="1"/>
  <c r="L789" i="1"/>
  <c r="K789" i="1"/>
  <c r="J789" i="1"/>
  <c r="I789" i="1"/>
  <c r="G789" i="1"/>
  <c r="K788" i="1"/>
  <c r="J788" i="1"/>
  <c r="I788" i="1"/>
  <c r="G788" i="1"/>
  <c r="L788" i="1" s="1"/>
  <c r="K787" i="1"/>
  <c r="J787" i="1"/>
  <c r="I787" i="1"/>
  <c r="G787" i="1"/>
  <c r="L787" i="1" s="1"/>
  <c r="K786" i="1"/>
  <c r="J786" i="1"/>
  <c r="I786" i="1"/>
  <c r="G786" i="1"/>
  <c r="L786" i="1" s="1"/>
  <c r="L785" i="1"/>
  <c r="K785" i="1"/>
  <c r="J785" i="1"/>
  <c r="I785" i="1"/>
  <c r="G785" i="1"/>
  <c r="L784" i="1"/>
  <c r="K784" i="1"/>
  <c r="J784" i="1"/>
  <c r="I784" i="1"/>
  <c r="G784" i="1"/>
  <c r="L783" i="1"/>
  <c r="K783" i="1"/>
  <c r="J783" i="1"/>
  <c r="I783" i="1"/>
  <c r="G783" i="1"/>
  <c r="L782" i="1"/>
  <c r="K782" i="1"/>
  <c r="K776" i="1" s="1"/>
  <c r="J782" i="1"/>
  <c r="I782" i="1"/>
  <c r="G782" i="1"/>
  <c r="K781" i="1"/>
  <c r="J781" i="1"/>
  <c r="I781" i="1"/>
  <c r="G781" i="1"/>
  <c r="L781" i="1" s="1"/>
  <c r="K780" i="1"/>
  <c r="J780" i="1"/>
  <c r="J776" i="1" s="1"/>
  <c r="I780" i="1"/>
  <c r="G780" i="1"/>
  <c r="L780" i="1" s="1"/>
  <c r="G779" i="1"/>
  <c r="G778" i="1"/>
  <c r="G777" i="1"/>
  <c r="G776" i="1"/>
  <c r="L774" i="1"/>
  <c r="K774" i="1"/>
  <c r="J774" i="1"/>
  <c r="I774" i="1"/>
  <c r="G774" i="1"/>
  <c r="L773" i="1"/>
  <c r="K773" i="1"/>
  <c r="J773" i="1"/>
  <c r="I773" i="1"/>
  <c r="G773" i="1"/>
  <c r="L772" i="1"/>
  <c r="K772" i="1"/>
  <c r="J772" i="1"/>
  <c r="I772" i="1"/>
  <c r="G772" i="1"/>
  <c r="L771" i="1"/>
  <c r="K771" i="1"/>
  <c r="J771" i="1"/>
  <c r="I771" i="1"/>
  <c r="G771" i="1"/>
  <c r="L770" i="1"/>
  <c r="K770" i="1"/>
  <c r="J770" i="1"/>
  <c r="I770" i="1"/>
  <c r="G770" i="1"/>
  <c r="L769" i="1"/>
  <c r="K769" i="1"/>
  <c r="J769" i="1"/>
  <c r="I769" i="1"/>
  <c r="G769" i="1"/>
  <c r="A769" i="1"/>
  <c r="A770" i="1" s="1"/>
  <c r="A771" i="1" s="1"/>
  <c r="A772" i="1" s="1"/>
  <c r="A773" i="1" s="1"/>
  <c r="A774" i="1" s="1"/>
  <c r="L767" i="1"/>
  <c r="K767" i="1"/>
  <c r="J767" i="1"/>
  <c r="I767" i="1"/>
  <c r="G767" i="1"/>
  <c r="L766" i="1"/>
  <c r="K766" i="1"/>
  <c r="J766" i="1"/>
  <c r="I766" i="1"/>
  <c r="G766" i="1"/>
  <c r="P765" i="1"/>
  <c r="L765" i="1"/>
  <c r="K765" i="1"/>
  <c r="J765" i="1"/>
  <c r="I765" i="1"/>
  <c r="G765" i="1"/>
  <c r="K764" i="1"/>
  <c r="J764" i="1"/>
  <c r="I764" i="1"/>
  <c r="G764" i="1"/>
  <c r="L764" i="1" s="1"/>
  <c r="A764" i="1"/>
  <c r="A765" i="1" s="1"/>
  <c r="A766" i="1" s="1"/>
  <c r="A767" i="1" s="1"/>
  <c r="L763" i="1"/>
  <c r="K763" i="1"/>
  <c r="J763" i="1"/>
  <c r="I763" i="1"/>
  <c r="G763" i="1"/>
  <c r="A763" i="1"/>
  <c r="K761" i="1"/>
  <c r="J761" i="1"/>
  <c r="I761" i="1"/>
  <c r="G761" i="1"/>
  <c r="L761" i="1" s="1"/>
  <c r="A761" i="1"/>
  <c r="L760" i="1"/>
  <c r="K760" i="1"/>
  <c r="J760" i="1"/>
  <c r="I760" i="1"/>
  <c r="G760" i="1"/>
  <c r="A760" i="1"/>
  <c r="K758" i="1"/>
  <c r="J758" i="1"/>
  <c r="I758" i="1"/>
  <c r="G758" i="1"/>
  <c r="L758" i="1" s="1"/>
  <c r="L757" i="1"/>
  <c r="K757" i="1"/>
  <c r="J757" i="1"/>
  <c r="I757" i="1"/>
  <c r="G757" i="1"/>
  <c r="K756" i="1"/>
  <c r="J756" i="1"/>
  <c r="I756" i="1"/>
  <c r="G756" i="1"/>
  <c r="L756" i="1" s="1"/>
  <c r="A756" i="1"/>
  <c r="A757" i="1" s="1"/>
  <c r="A758" i="1" s="1"/>
  <c r="L754" i="1"/>
  <c r="K754" i="1"/>
  <c r="J754" i="1"/>
  <c r="I754" i="1"/>
  <c r="G754" i="1"/>
  <c r="K753" i="1"/>
  <c r="J753" i="1"/>
  <c r="I753" i="1"/>
  <c r="G753" i="1"/>
  <c r="L753" i="1" s="1"/>
  <c r="A753" i="1"/>
  <c r="A754" i="1" s="1"/>
  <c r="L751" i="1"/>
  <c r="K751" i="1"/>
  <c r="J751" i="1"/>
  <c r="I751" i="1"/>
  <c r="G751" i="1"/>
  <c r="K750" i="1"/>
  <c r="J750" i="1"/>
  <c r="I750" i="1"/>
  <c r="G750" i="1"/>
  <c r="L750" i="1" s="1"/>
  <c r="A750" i="1"/>
  <c r="A751" i="1" s="1"/>
  <c r="L748" i="1"/>
  <c r="K748" i="1"/>
  <c r="J748" i="1"/>
  <c r="I748" i="1"/>
  <c r="G748" i="1"/>
  <c r="K747" i="1"/>
  <c r="J747" i="1"/>
  <c r="I747" i="1"/>
  <c r="G747" i="1"/>
  <c r="L747" i="1" s="1"/>
  <c r="L746" i="1"/>
  <c r="K746" i="1"/>
  <c r="J746" i="1"/>
  <c r="I746" i="1"/>
  <c r="G746" i="1"/>
  <c r="K745" i="1"/>
  <c r="J745" i="1"/>
  <c r="I745" i="1"/>
  <c r="G745" i="1"/>
  <c r="L745" i="1" s="1"/>
  <c r="L744" i="1"/>
  <c r="K744" i="1"/>
  <c r="J744" i="1"/>
  <c r="I744" i="1"/>
  <c r="G744" i="1"/>
  <c r="K743" i="1"/>
  <c r="J743" i="1"/>
  <c r="I743" i="1"/>
  <c r="G743" i="1"/>
  <c r="L743" i="1" s="1"/>
  <c r="L742" i="1"/>
  <c r="K742" i="1"/>
  <c r="J742" i="1"/>
  <c r="I742" i="1"/>
  <c r="G742" i="1"/>
  <c r="K741" i="1"/>
  <c r="J741" i="1"/>
  <c r="I741" i="1"/>
  <c r="G741" i="1"/>
  <c r="L741" i="1" s="1"/>
  <c r="A741" i="1"/>
  <c r="A742" i="1" s="1"/>
  <c r="A743" i="1" s="1"/>
  <c r="A744" i="1" s="1"/>
  <c r="A745" i="1" s="1"/>
  <c r="A746" i="1" s="1"/>
  <c r="A747" i="1" s="1"/>
  <c r="A748" i="1" s="1"/>
  <c r="L739" i="1"/>
  <c r="K739" i="1"/>
  <c r="J739" i="1"/>
  <c r="I739" i="1"/>
  <c r="G739" i="1"/>
  <c r="K738" i="1"/>
  <c r="J738" i="1"/>
  <c r="I738" i="1"/>
  <c r="G738" i="1"/>
  <c r="L738" i="1" s="1"/>
  <c r="L737" i="1"/>
  <c r="K737" i="1"/>
  <c r="J737" i="1"/>
  <c r="I737" i="1"/>
  <c r="G737" i="1"/>
  <c r="K736" i="1"/>
  <c r="J736" i="1"/>
  <c r="I736" i="1"/>
  <c r="G736" i="1"/>
  <c r="L736" i="1" s="1"/>
  <c r="L735" i="1"/>
  <c r="K735" i="1"/>
  <c r="J735" i="1"/>
  <c r="I735" i="1"/>
  <c r="G735" i="1"/>
  <c r="K734" i="1"/>
  <c r="J734" i="1"/>
  <c r="I734" i="1"/>
  <c r="G734" i="1"/>
  <c r="L734" i="1" s="1"/>
  <c r="A734" i="1"/>
  <c r="A735" i="1" s="1"/>
  <c r="A736" i="1" s="1"/>
  <c r="A737" i="1" s="1"/>
  <c r="A738" i="1" s="1"/>
  <c r="A739" i="1" s="1"/>
  <c r="L733" i="1"/>
  <c r="K733" i="1"/>
  <c r="J733" i="1"/>
  <c r="I733" i="1"/>
  <c r="G733" i="1"/>
  <c r="A733" i="1"/>
  <c r="K730" i="1"/>
  <c r="J730" i="1"/>
  <c r="I730" i="1"/>
  <c r="G730" i="1"/>
  <c r="L730" i="1" s="1"/>
  <c r="L729" i="1"/>
  <c r="K729" i="1"/>
  <c r="J729" i="1"/>
  <c r="I729" i="1"/>
  <c r="G729" i="1"/>
  <c r="K728" i="1"/>
  <c r="J728" i="1"/>
  <c r="G728" i="1"/>
  <c r="L728" i="1" s="1"/>
  <c r="A728" i="1"/>
  <c r="A729" i="1" s="1"/>
  <c r="A730" i="1" s="1"/>
  <c r="K723" i="1"/>
  <c r="J723" i="1"/>
  <c r="H723" i="1"/>
  <c r="G723" i="1"/>
  <c r="L723" i="1" s="1"/>
  <c r="K722" i="1"/>
  <c r="J722" i="1"/>
  <c r="G722" i="1"/>
  <c r="L722" i="1" s="1"/>
  <c r="L721" i="1"/>
  <c r="J721" i="1"/>
  <c r="G721" i="1"/>
  <c r="K719" i="1"/>
  <c r="J719" i="1"/>
  <c r="I719" i="1"/>
  <c r="G719" i="1"/>
  <c r="L719" i="1" s="1"/>
  <c r="K718" i="1"/>
  <c r="J718" i="1"/>
  <c r="I718" i="1"/>
  <c r="G718" i="1"/>
  <c r="L718" i="1" s="1"/>
  <c r="K717" i="1"/>
  <c r="J717" i="1"/>
  <c r="I717" i="1"/>
  <c r="G717" i="1"/>
  <c r="L717" i="1" s="1"/>
  <c r="K716" i="1"/>
  <c r="J716" i="1"/>
  <c r="I716" i="1"/>
  <c r="G716" i="1"/>
  <c r="L716" i="1" s="1"/>
  <c r="K715" i="1"/>
  <c r="J715" i="1"/>
  <c r="I715" i="1"/>
  <c r="G715" i="1"/>
  <c r="L715" i="1" s="1"/>
  <c r="K714" i="1"/>
  <c r="J714" i="1"/>
  <c r="I714" i="1"/>
  <c r="G714" i="1"/>
  <c r="L714" i="1" s="1"/>
  <c r="K713" i="1"/>
  <c r="J713" i="1"/>
  <c r="I713" i="1"/>
  <c r="G713" i="1"/>
  <c r="L713" i="1" s="1"/>
  <c r="K712" i="1"/>
  <c r="J712" i="1"/>
  <c r="I712" i="1"/>
  <c r="G712" i="1"/>
  <c r="L712" i="1" s="1"/>
  <c r="K711" i="1"/>
  <c r="J711" i="1"/>
  <c r="I711" i="1"/>
  <c r="G711" i="1"/>
  <c r="L711" i="1" s="1"/>
  <c r="K710" i="1"/>
  <c r="J710" i="1"/>
  <c r="I710" i="1"/>
  <c r="G710" i="1"/>
  <c r="L710" i="1" s="1"/>
  <c r="K709" i="1"/>
  <c r="J709" i="1"/>
  <c r="I709" i="1"/>
  <c r="G709" i="1"/>
  <c r="L709" i="1" s="1"/>
  <c r="K708" i="1"/>
  <c r="J708" i="1"/>
  <c r="I708" i="1"/>
  <c r="G708" i="1"/>
  <c r="L708" i="1" s="1"/>
  <c r="K707" i="1"/>
  <c r="J707" i="1"/>
  <c r="I707" i="1"/>
  <c r="G707" i="1"/>
  <c r="L707" i="1" s="1"/>
  <c r="K705" i="1"/>
  <c r="J705" i="1"/>
  <c r="I705" i="1"/>
  <c r="G705" i="1"/>
  <c r="L705" i="1" s="1"/>
  <c r="K704" i="1"/>
  <c r="J704" i="1"/>
  <c r="I704" i="1"/>
  <c r="G704" i="1"/>
  <c r="L704" i="1" s="1"/>
  <c r="K703" i="1"/>
  <c r="J703" i="1"/>
  <c r="I703" i="1"/>
  <c r="G703" i="1"/>
  <c r="L703" i="1" s="1"/>
  <c r="K702" i="1"/>
  <c r="J702" i="1"/>
  <c r="I702" i="1"/>
  <c r="G702" i="1"/>
  <c r="L702" i="1" s="1"/>
  <c r="K701" i="1"/>
  <c r="J701" i="1"/>
  <c r="I701" i="1"/>
  <c r="G701" i="1"/>
  <c r="L701" i="1" s="1"/>
  <c r="K700" i="1"/>
  <c r="J700" i="1"/>
  <c r="I700" i="1"/>
  <c r="G700" i="1"/>
  <c r="L700" i="1" s="1"/>
  <c r="N700" i="1" s="1"/>
  <c r="L699" i="1"/>
  <c r="K699" i="1"/>
  <c r="J699" i="1"/>
  <c r="I699" i="1"/>
  <c r="N699" i="1" s="1"/>
  <c r="G699" i="1"/>
  <c r="K698" i="1"/>
  <c r="J698" i="1"/>
  <c r="I698" i="1"/>
  <c r="G698" i="1"/>
  <c r="L698" i="1" s="1"/>
  <c r="K697" i="1"/>
  <c r="J697" i="1"/>
  <c r="I697" i="1"/>
  <c r="G697" i="1"/>
  <c r="L697" i="1" s="1"/>
  <c r="K696" i="1"/>
  <c r="J696" i="1"/>
  <c r="I696" i="1"/>
  <c r="G696" i="1"/>
  <c r="L696" i="1" s="1"/>
  <c r="K695" i="1"/>
  <c r="J695" i="1"/>
  <c r="I695" i="1"/>
  <c r="G695" i="1"/>
  <c r="L695" i="1" s="1"/>
  <c r="K694" i="1"/>
  <c r="J694" i="1"/>
  <c r="I694" i="1"/>
  <c r="G694" i="1"/>
  <c r="L694" i="1" s="1"/>
  <c r="J693" i="1"/>
  <c r="I693" i="1"/>
  <c r="G693" i="1"/>
  <c r="L693" i="1" s="1"/>
  <c r="K692" i="1"/>
  <c r="J692" i="1"/>
  <c r="I692" i="1"/>
  <c r="G692" i="1"/>
  <c r="L692" i="1" s="1"/>
  <c r="K691" i="1"/>
  <c r="J691" i="1"/>
  <c r="I691" i="1"/>
  <c r="G691" i="1"/>
  <c r="L691" i="1" s="1"/>
  <c r="K690" i="1"/>
  <c r="J690" i="1"/>
  <c r="I690" i="1"/>
  <c r="G690" i="1"/>
  <c r="L690" i="1" s="1"/>
  <c r="K689" i="1"/>
  <c r="J689" i="1"/>
  <c r="I689" i="1"/>
  <c r="G689" i="1"/>
  <c r="L689" i="1" s="1"/>
  <c r="K688" i="1"/>
  <c r="J688" i="1"/>
  <c r="I688" i="1"/>
  <c r="G688" i="1"/>
  <c r="L688" i="1" s="1"/>
  <c r="K687" i="1"/>
  <c r="J687" i="1"/>
  <c r="I687" i="1"/>
  <c r="G687" i="1"/>
  <c r="L687" i="1" s="1"/>
  <c r="L686" i="1"/>
  <c r="K686" i="1"/>
  <c r="J686" i="1"/>
  <c r="I686" i="1"/>
  <c r="G686" i="1"/>
  <c r="K685" i="1"/>
  <c r="J685" i="1"/>
  <c r="I685" i="1"/>
  <c r="G685" i="1"/>
  <c r="L685" i="1" s="1"/>
  <c r="K684" i="1"/>
  <c r="J684" i="1"/>
  <c r="I684" i="1"/>
  <c r="G684" i="1"/>
  <c r="L684" i="1" s="1"/>
  <c r="K683" i="1"/>
  <c r="J683" i="1"/>
  <c r="I683" i="1"/>
  <c r="G683" i="1"/>
  <c r="L683" i="1" s="1"/>
  <c r="K682" i="1"/>
  <c r="J682" i="1"/>
  <c r="I682" i="1"/>
  <c r="G682" i="1"/>
  <c r="L682" i="1" s="1"/>
  <c r="K681" i="1"/>
  <c r="J681" i="1"/>
  <c r="I681" i="1"/>
  <c r="G681" i="1"/>
  <c r="L681" i="1" s="1"/>
  <c r="K680" i="1"/>
  <c r="J680" i="1"/>
  <c r="I680" i="1"/>
  <c r="G680" i="1"/>
  <c r="L680" i="1" s="1"/>
  <c r="K679" i="1"/>
  <c r="J679" i="1"/>
  <c r="I679" i="1"/>
  <c r="G679" i="1"/>
  <c r="L679" i="1" s="1"/>
  <c r="K678" i="1"/>
  <c r="J678" i="1"/>
  <c r="I678" i="1"/>
  <c r="G678" i="1"/>
  <c r="L678" i="1" s="1"/>
  <c r="K677" i="1"/>
  <c r="J677" i="1"/>
  <c r="I677" i="1"/>
  <c r="G677" i="1"/>
  <c r="L677" i="1" s="1"/>
  <c r="K676" i="1"/>
  <c r="J676" i="1"/>
  <c r="I676" i="1"/>
  <c r="G676" i="1"/>
  <c r="L676" i="1" s="1"/>
  <c r="K675" i="1"/>
  <c r="J675" i="1"/>
  <c r="I675" i="1"/>
  <c r="G675" i="1"/>
  <c r="L675" i="1" s="1"/>
  <c r="K674" i="1"/>
  <c r="J674" i="1"/>
  <c r="I674" i="1"/>
  <c r="G674" i="1"/>
  <c r="L674" i="1" s="1"/>
  <c r="K673" i="1"/>
  <c r="J673" i="1"/>
  <c r="I673" i="1"/>
  <c r="N673" i="1" s="1"/>
  <c r="G673" i="1"/>
  <c r="L673" i="1" s="1"/>
  <c r="K672" i="1"/>
  <c r="J672" i="1"/>
  <c r="I672" i="1"/>
  <c r="G672" i="1"/>
  <c r="L672" i="1" s="1"/>
  <c r="K671" i="1"/>
  <c r="J671" i="1"/>
  <c r="I671" i="1"/>
  <c r="G671" i="1"/>
  <c r="L671" i="1" s="1"/>
  <c r="N670" i="1"/>
  <c r="L670" i="1"/>
  <c r="K670" i="1"/>
  <c r="J670" i="1"/>
  <c r="I670" i="1"/>
  <c r="G670" i="1"/>
  <c r="K669" i="1"/>
  <c r="J669" i="1"/>
  <c r="I669" i="1"/>
  <c r="N669" i="1" s="1"/>
  <c r="G669" i="1"/>
  <c r="L669" i="1" s="1"/>
  <c r="K668" i="1"/>
  <c r="J668" i="1"/>
  <c r="I668" i="1"/>
  <c r="G668" i="1"/>
  <c r="L668" i="1" s="1"/>
  <c r="K667" i="1"/>
  <c r="J667" i="1"/>
  <c r="I667" i="1"/>
  <c r="G667" i="1"/>
  <c r="L667" i="1" s="1"/>
  <c r="K666" i="1"/>
  <c r="J666" i="1"/>
  <c r="I666" i="1"/>
  <c r="G666" i="1"/>
  <c r="L666" i="1" s="1"/>
  <c r="K665" i="1"/>
  <c r="J665" i="1"/>
  <c r="I665" i="1"/>
  <c r="G665" i="1"/>
  <c r="L665" i="1" s="1"/>
  <c r="K664" i="1"/>
  <c r="J664" i="1"/>
  <c r="I664" i="1"/>
  <c r="G664" i="1"/>
  <c r="L664" i="1" s="1"/>
  <c r="K663" i="1"/>
  <c r="J663" i="1"/>
  <c r="I663" i="1"/>
  <c r="N663" i="1" s="1"/>
  <c r="G663" i="1"/>
  <c r="L663" i="1" s="1"/>
  <c r="K662" i="1"/>
  <c r="J662" i="1"/>
  <c r="I662" i="1"/>
  <c r="G662" i="1"/>
  <c r="L662" i="1" s="1"/>
  <c r="K661" i="1"/>
  <c r="J661" i="1"/>
  <c r="I661" i="1"/>
  <c r="N661" i="1" s="1"/>
  <c r="G661" i="1"/>
  <c r="L661" i="1" s="1"/>
  <c r="K660" i="1"/>
  <c r="J660" i="1"/>
  <c r="I660" i="1"/>
  <c r="G660" i="1"/>
  <c r="L660" i="1" s="1"/>
  <c r="K659" i="1"/>
  <c r="J659" i="1"/>
  <c r="I659" i="1"/>
  <c r="G659" i="1"/>
  <c r="L659" i="1" s="1"/>
  <c r="K658" i="1"/>
  <c r="J658" i="1"/>
  <c r="I658" i="1"/>
  <c r="G658" i="1"/>
  <c r="L658" i="1" s="1"/>
  <c r="K657" i="1"/>
  <c r="J657" i="1"/>
  <c r="I657" i="1"/>
  <c r="N657" i="1" s="1"/>
  <c r="G657" i="1"/>
  <c r="L657" i="1" s="1"/>
  <c r="K656" i="1"/>
  <c r="J656" i="1"/>
  <c r="I656" i="1"/>
  <c r="G656" i="1"/>
  <c r="L656" i="1" s="1"/>
  <c r="K655" i="1"/>
  <c r="J655" i="1"/>
  <c r="I655" i="1"/>
  <c r="G655" i="1"/>
  <c r="L655" i="1" s="1"/>
  <c r="K654" i="1"/>
  <c r="J654" i="1"/>
  <c r="I654" i="1"/>
  <c r="G654" i="1"/>
  <c r="L654" i="1" s="1"/>
  <c r="N654" i="1" s="1"/>
  <c r="K653" i="1"/>
  <c r="J653" i="1"/>
  <c r="I653" i="1"/>
  <c r="G653" i="1"/>
  <c r="L653" i="1" s="1"/>
  <c r="K652" i="1"/>
  <c r="J652" i="1"/>
  <c r="I652" i="1"/>
  <c r="G652" i="1"/>
  <c r="L652" i="1" s="1"/>
  <c r="N652" i="1" s="1"/>
  <c r="K651" i="1"/>
  <c r="J651" i="1"/>
  <c r="I651" i="1"/>
  <c r="G651" i="1"/>
  <c r="L651" i="1" s="1"/>
  <c r="K650" i="1"/>
  <c r="J650" i="1"/>
  <c r="I650" i="1"/>
  <c r="G650" i="1"/>
  <c r="L650" i="1" s="1"/>
  <c r="K649" i="1"/>
  <c r="J649" i="1"/>
  <c r="I649" i="1"/>
  <c r="G649" i="1"/>
  <c r="L649" i="1" s="1"/>
  <c r="L648" i="1"/>
  <c r="K648" i="1"/>
  <c r="J648" i="1"/>
  <c r="I648" i="1"/>
  <c r="G648" i="1"/>
  <c r="K647" i="1"/>
  <c r="J647" i="1"/>
  <c r="I647" i="1"/>
  <c r="G647" i="1"/>
  <c r="L647" i="1" s="1"/>
  <c r="K646" i="1"/>
  <c r="J646" i="1"/>
  <c r="I646" i="1"/>
  <c r="G646" i="1"/>
  <c r="L646" i="1" s="1"/>
  <c r="K645" i="1"/>
  <c r="J645" i="1"/>
  <c r="I645" i="1"/>
  <c r="G645" i="1"/>
  <c r="L645" i="1" s="1"/>
  <c r="K644" i="1"/>
  <c r="J644" i="1"/>
  <c r="I644" i="1"/>
  <c r="G644" i="1"/>
  <c r="L644" i="1" s="1"/>
  <c r="K643" i="1"/>
  <c r="J643" i="1"/>
  <c r="I643" i="1"/>
  <c r="G643" i="1"/>
  <c r="L643" i="1" s="1"/>
  <c r="L642" i="1"/>
  <c r="N642" i="1" s="1"/>
  <c r="K642" i="1"/>
  <c r="J642" i="1"/>
  <c r="I642" i="1"/>
  <c r="G642" i="1"/>
  <c r="K641" i="1"/>
  <c r="J641" i="1"/>
  <c r="I641" i="1"/>
  <c r="G641" i="1"/>
  <c r="L641" i="1" s="1"/>
  <c r="K640" i="1"/>
  <c r="J640" i="1"/>
  <c r="I640" i="1"/>
  <c r="G640" i="1"/>
  <c r="L640" i="1" s="1"/>
  <c r="N640" i="1" s="1"/>
  <c r="K639" i="1"/>
  <c r="J639" i="1"/>
  <c r="I639" i="1"/>
  <c r="G639" i="1"/>
  <c r="L639" i="1" s="1"/>
  <c r="K638" i="1"/>
  <c r="J638" i="1"/>
  <c r="I638" i="1"/>
  <c r="G638" i="1"/>
  <c r="L638" i="1" s="1"/>
  <c r="K637" i="1"/>
  <c r="J637" i="1"/>
  <c r="I637" i="1"/>
  <c r="G637" i="1"/>
  <c r="L637" i="1" s="1"/>
  <c r="K636" i="1"/>
  <c r="J636" i="1"/>
  <c r="I636" i="1"/>
  <c r="G636" i="1"/>
  <c r="L636" i="1" s="1"/>
  <c r="K635" i="1"/>
  <c r="J635" i="1"/>
  <c r="I635" i="1"/>
  <c r="G635" i="1"/>
  <c r="L635" i="1" s="1"/>
  <c r="K634" i="1"/>
  <c r="J634" i="1"/>
  <c r="I634" i="1"/>
  <c r="G634" i="1"/>
  <c r="L634" i="1" s="1"/>
  <c r="N634" i="1" s="1"/>
  <c r="K633" i="1"/>
  <c r="J633" i="1"/>
  <c r="I633" i="1"/>
  <c r="G633" i="1"/>
  <c r="L633" i="1" s="1"/>
  <c r="K632" i="1"/>
  <c r="J632" i="1"/>
  <c r="I632" i="1"/>
  <c r="G632" i="1"/>
  <c r="L632" i="1" s="1"/>
  <c r="K631" i="1"/>
  <c r="J631" i="1"/>
  <c r="I631" i="1"/>
  <c r="G631" i="1"/>
  <c r="L631" i="1" s="1"/>
  <c r="K630" i="1"/>
  <c r="J630" i="1"/>
  <c r="I630" i="1"/>
  <c r="G630" i="1"/>
  <c r="L630" i="1" s="1"/>
  <c r="K629" i="1"/>
  <c r="J629" i="1"/>
  <c r="I629" i="1"/>
  <c r="G629" i="1"/>
  <c r="L629" i="1" s="1"/>
  <c r="K628" i="1"/>
  <c r="J628" i="1"/>
  <c r="I628" i="1"/>
  <c r="G628" i="1"/>
  <c r="L628" i="1" s="1"/>
  <c r="K627" i="1"/>
  <c r="J627" i="1"/>
  <c r="I627" i="1"/>
  <c r="G627" i="1"/>
  <c r="L627" i="1" s="1"/>
  <c r="K626" i="1"/>
  <c r="J626" i="1"/>
  <c r="I626" i="1"/>
  <c r="G626" i="1"/>
  <c r="L626" i="1" s="1"/>
  <c r="K625" i="1"/>
  <c r="J625" i="1"/>
  <c r="I625" i="1"/>
  <c r="N625" i="1" s="1"/>
  <c r="G625" i="1"/>
  <c r="L625" i="1" s="1"/>
  <c r="K624" i="1"/>
  <c r="J624" i="1"/>
  <c r="I624" i="1"/>
  <c r="G624" i="1"/>
  <c r="L624" i="1" s="1"/>
  <c r="K623" i="1"/>
  <c r="J623" i="1"/>
  <c r="I623" i="1"/>
  <c r="G623" i="1"/>
  <c r="L623" i="1" s="1"/>
  <c r="K622" i="1"/>
  <c r="J622" i="1"/>
  <c r="I622" i="1"/>
  <c r="G622" i="1"/>
  <c r="L622" i="1" s="1"/>
  <c r="K621" i="1"/>
  <c r="J621" i="1"/>
  <c r="I621" i="1"/>
  <c r="N621" i="1" s="1"/>
  <c r="G621" i="1"/>
  <c r="L621" i="1" s="1"/>
  <c r="K620" i="1"/>
  <c r="J620" i="1"/>
  <c r="I620" i="1"/>
  <c r="G620" i="1"/>
  <c r="L620" i="1" s="1"/>
  <c r="K619" i="1"/>
  <c r="J619" i="1"/>
  <c r="I619" i="1"/>
  <c r="N619" i="1" s="1"/>
  <c r="G619" i="1"/>
  <c r="L619" i="1" s="1"/>
  <c r="K618" i="1"/>
  <c r="J618" i="1"/>
  <c r="I618" i="1"/>
  <c r="G618" i="1"/>
  <c r="L618" i="1" s="1"/>
  <c r="K617" i="1"/>
  <c r="J617" i="1"/>
  <c r="I617" i="1"/>
  <c r="G617" i="1"/>
  <c r="L617" i="1" s="1"/>
  <c r="K616" i="1"/>
  <c r="J616" i="1"/>
  <c r="I616" i="1"/>
  <c r="G616" i="1"/>
  <c r="L616" i="1" s="1"/>
  <c r="K615" i="1"/>
  <c r="J615" i="1"/>
  <c r="I615" i="1"/>
  <c r="G615" i="1"/>
  <c r="L615" i="1" s="1"/>
  <c r="K614" i="1"/>
  <c r="J614" i="1"/>
  <c r="I614" i="1"/>
  <c r="G614" i="1"/>
  <c r="L614" i="1" s="1"/>
  <c r="K613" i="1"/>
  <c r="J613" i="1"/>
  <c r="I613" i="1"/>
  <c r="G613" i="1"/>
  <c r="L613" i="1" s="1"/>
  <c r="K612" i="1"/>
  <c r="J612" i="1"/>
  <c r="I612" i="1"/>
  <c r="G612" i="1"/>
  <c r="L612" i="1" s="1"/>
  <c r="K611" i="1"/>
  <c r="J611" i="1"/>
  <c r="I611" i="1"/>
  <c r="G611" i="1"/>
  <c r="L611" i="1" s="1"/>
  <c r="K610" i="1"/>
  <c r="J610" i="1"/>
  <c r="I610" i="1"/>
  <c r="G610" i="1"/>
  <c r="L610" i="1" s="1"/>
  <c r="K609" i="1"/>
  <c r="J609" i="1"/>
  <c r="I609" i="1"/>
  <c r="G609" i="1"/>
  <c r="L609" i="1" s="1"/>
  <c r="K608" i="1"/>
  <c r="J608" i="1"/>
  <c r="I608" i="1"/>
  <c r="G608" i="1"/>
  <c r="L608" i="1" s="1"/>
  <c r="K607" i="1"/>
  <c r="J607" i="1"/>
  <c r="I607" i="1"/>
  <c r="G607" i="1"/>
  <c r="L607" i="1" s="1"/>
  <c r="K606" i="1"/>
  <c r="J606" i="1"/>
  <c r="I606" i="1"/>
  <c r="G606" i="1"/>
  <c r="L606" i="1" s="1"/>
  <c r="K605" i="1"/>
  <c r="J605" i="1"/>
  <c r="I605" i="1"/>
  <c r="G605" i="1"/>
  <c r="L605" i="1" s="1"/>
  <c r="K604" i="1"/>
  <c r="J604" i="1"/>
  <c r="I604" i="1"/>
  <c r="G604" i="1"/>
  <c r="L604" i="1" s="1"/>
  <c r="N604" i="1" s="1"/>
  <c r="K603" i="1"/>
  <c r="J603" i="1"/>
  <c r="I603" i="1"/>
  <c r="G603" i="1"/>
  <c r="L603" i="1" s="1"/>
  <c r="K602" i="1"/>
  <c r="J602" i="1"/>
  <c r="I602" i="1"/>
  <c r="G602" i="1"/>
  <c r="L602" i="1" s="1"/>
  <c r="K601" i="1"/>
  <c r="J601" i="1"/>
  <c r="I601" i="1"/>
  <c r="G601" i="1"/>
  <c r="L601" i="1" s="1"/>
  <c r="K600" i="1"/>
  <c r="J600" i="1"/>
  <c r="I600" i="1"/>
  <c r="G600" i="1"/>
  <c r="L600" i="1" s="1"/>
  <c r="K599" i="1"/>
  <c r="J599" i="1"/>
  <c r="I599" i="1"/>
  <c r="G599" i="1"/>
  <c r="L599" i="1" s="1"/>
  <c r="K598" i="1"/>
  <c r="J598" i="1"/>
  <c r="I598" i="1"/>
  <c r="G598" i="1"/>
  <c r="L598" i="1" s="1"/>
  <c r="K597" i="1"/>
  <c r="J597" i="1"/>
  <c r="I597" i="1"/>
  <c r="G597" i="1"/>
  <c r="L597" i="1" s="1"/>
  <c r="K596" i="1"/>
  <c r="J596" i="1"/>
  <c r="I596" i="1"/>
  <c r="G596" i="1"/>
  <c r="L596" i="1" s="1"/>
  <c r="K595" i="1"/>
  <c r="J595" i="1"/>
  <c r="I595" i="1"/>
  <c r="G595" i="1"/>
  <c r="L595" i="1" s="1"/>
  <c r="K594" i="1"/>
  <c r="J594" i="1"/>
  <c r="I594" i="1"/>
  <c r="G594" i="1"/>
  <c r="L594" i="1" s="1"/>
  <c r="K593" i="1"/>
  <c r="J593" i="1"/>
  <c r="I593" i="1"/>
  <c r="G593" i="1"/>
  <c r="L593" i="1" s="1"/>
  <c r="K592" i="1"/>
  <c r="J592" i="1"/>
  <c r="I592" i="1"/>
  <c r="G592" i="1"/>
  <c r="L592" i="1" s="1"/>
  <c r="N592" i="1" s="1"/>
  <c r="K591" i="1"/>
  <c r="J591" i="1"/>
  <c r="I591" i="1"/>
  <c r="G591" i="1"/>
  <c r="L591" i="1" s="1"/>
  <c r="K590" i="1"/>
  <c r="J590" i="1"/>
  <c r="I590" i="1"/>
  <c r="G590" i="1"/>
  <c r="L590" i="1" s="1"/>
  <c r="K589" i="1"/>
  <c r="J589" i="1"/>
  <c r="I589" i="1"/>
  <c r="G589" i="1"/>
  <c r="L589" i="1" s="1"/>
  <c r="K588" i="1"/>
  <c r="J588" i="1"/>
  <c r="I588" i="1"/>
  <c r="G588" i="1"/>
  <c r="L588" i="1" s="1"/>
  <c r="K587" i="1"/>
  <c r="J587" i="1"/>
  <c r="I587" i="1"/>
  <c r="G587" i="1"/>
  <c r="L587" i="1" s="1"/>
  <c r="K586" i="1"/>
  <c r="J586" i="1"/>
  <c r="I586" i="1"/>
  <c r="G586" i="1"/>
  <c r="L586" i="1" s="1"/>
  <c r="L585" i="1"/>
  <c r="K585" i="1"/>
  <c r="J585" i="1"/>
  <c r="I585" i="1"/>
  <c r="G585" i="1"/>
  <c r="L584" i="1"/>
  <c r="K584" i="1"/>
  <c r="J584" i="1"/>
  <c r="I584" i="1"/>
  <c r="G584" i="1"/>
  <c r="K583" i="1"/>
  <c r="J583" i="1"/>
  <c r="I583" i="1"/>
  <c r="G583" i="1"/>
  <c r="L583" i="1" s="1"/>
  <c r="K582" i="1"/>
  <c r="J582" i="1"/>
  <c r="I582" i="1"/>
  <c r="G582" i="1"/>
  <c r="L582" i="1" s="1"/>
  <c r="L581" i="1"/>
  <c r="K581" i="1"/>
  <c r="J581" i="1"/>
  <c r="I581" i="1"/>
  <c r="G581" i="1"/>
  <c r="K580" i="1"/>
  <c r="J580" i="1"/>
  <c r="I580" i="1"/>
  <c r="G580" i="1"/>
  <c r="L580" i="1" s="1"/>
  <c r="K579" i="1"/>
  <c r="J579" i="1"/>
  <c r="I579" i="1"/>
  <c r="G579" i="1"/>
  <c r="L579" i="1" s="1"/>
  <c r="K578" i="1"/>
  <c r="J578" i="1"/>
  <c r="I578" i="1"/>
  <c r="G578" i="1"/>
  <c r="L578" i="1" s="1"/>
  <c r="K577" i="1"/>
  <c r="J577" i="1"/>
  <c r="I577" i="1"/>
  <c r="G577" i="1"/>
  <c r="L577" i="1" s="1"/>
  <c r="K576" i="1"/>
  <c r="J576" i="1"/>
  <c r="I576" i="1"/>
  <c r="G576" i="1"/>
  <c r="L576" i="1" s="1"/>
  <c r="K575" i="1"/>
  <c r="J575" i="1"/>
  <c r="I575" i="1"/>
  <c r="G575" i="1"/>
  <c r="L575" i="1" s="1"/>
  <c r="K574" i="1"/>
  <c r="J574" i="1"/>
  <c r="I574" i="1"/>
  <c r="G574" i="1"/>
  <c r="L574" i="1" s="1"/>
  <c r="L573" i="1"/>
  <c r="K573" i="1"/>
  <c r="J573" i="1"/>
  <c r="I573" i="1"/>
  <c r="G573" i="1"/>
  <c r="K572" i="1"/>
  <c r="J572" i="1"/>
  <c r="I572" i="1"/>
  <c r="G572" i="1"/>
  <c r="L572" i="1" s="1"/>
  <c r="L571" i="1"/>
  <c r="K571" i="1"/>
  <c r="J571" i="1"/>
  <c r="I571" i="1"/>
  <c r="G571" i="1"/>
  <c r="L570" i="1"/>
  <c r="K570" i="1"/>
  <c r="J570" i="1"/>
  <c r="I570" i="1"/>
  <c r="G570" i="1"/>
  <c r="K569" i="1"/>
  <c r="J569" i="1"/>
  <c r="I569" i="1"/>
  <c r="G569" i="1"/>
  <c r="L569" i="1" s="1"/>
  <c r="K568" i="1"/>
  <c r="J568" i="1"/>
  <c r="I568" i="1"/>
  <c r="G568" i="1"/>
  <c r="L568" i="1" s="1"/>
  <c r="K567" i="1"/>
  <c r="J567" i="1"/>
  <c r="I567" i="1"/>
  <c r="G567" i="1"/>
  <c r="L567" i="1" s="1"/>
  <c r="K566" i="1"/>
  <c r="J566" i="1"/>
  <c r="I566" i="1"/>
  <c r="G566" i="1"/>
  <c r="L566" i="1" s="1"/>
  <c r="K565" i="1"/>
  <c r="J565" i="1"/>
  <c r="I565" i="1"/>
  <c r="G565" i="1"/>
  <c r="L565" i="1" s="1"/>
  <c r="K564" i="1"/>
  <c r="J564" i="1"/>
  <c r="I564" i="1"/>
  <c r="G564" i="1"/>
  <c r="L564" i="1" s="1"/>
  <c r="K563" i="1"/>
  <c r="J563" i="1"/>
  <c r="I563" i="1"/>
  <c r="G563" i="1"/>
  <c r="L563" i="1" s="1"/>
  <c r="K562" i="1"/>
  <c r="J562" i="1"/>
  <c r="I562" i="1"/>
  <c r="G562" i="1"/>
  <c r="L562" i="1" s="1"/>
  <c r="K561" i="1"/>
  <c r="J561" i="1"/>
  <c r="I561" i="1"/>
  <c r="G561" i="1"/>
  <c r="L561" i="1" s="1"/>
  <c r="L560" i="1"/>
  <c r="K560" i="1"/>
  <c r="J560" i="1"/>
  <c r="I560" i="1"/>
  <c r="G560" i="1"/>
  <c r="K559" i="1"/>
  <c r="J559" i="1"/>
  <c r="I559" i="1"/>
  <c r="G559" i="1"/>
  <c r="L559" i="1" s="1"/>
  <c r="K558" i="1"/>
  <c r="J558" i="1"/>
  <c r="I558" i="1"/>
  <c r="G558" i="1"/>
  <c r="L558" i="1" s="1"/>
  <c r="L557" i="1"/>
  <c r="K557" i="1"/>
  <c r="J557" i="1"/>
  <c r="I557" i="1"/>
  <c r="G557" i="1"/>
  <c r="K556" i="1"/>
  <c r="J556" i="1"/>
  <c r="I556" i="1"/>
  <c r="G556" i="1"/>
  <c r="L556" i="1" s="1"/>
  <c r="K555" i="1"/>
  <c r="J555" i="1"/>
  <c r="I555" i="1"/>
  <c r="G555" i="1"/>
  <c r="L555" i="1" s="1"/>
  <c r="K554" i="1"/>
  <c r="J554" i="1"/>
  <c r="I554" i="1"/>
  <c r="G554" i="1"/>
  <c r="L554" i="1" s="1"/>
  <c r="K553" i="1"/>
  <c r="J553" i="1"/>
  <c r="I553" i="1"/>
  <c r="G553" i="1"/>
  <c r="L553" i="1" s="1"/>
  <c r="K552" i="1"/>
  <c r="J552" i="1"/>
  <c r="I552" i="1"/>
  <c r="G552" i="1"/>
  <c r="L552" i="1" s="1"/>
  <c r="K551" i="1"/>
  <c r="J551" i="1"/>
  <c r="I551" i="1"/>
  <c r="G551" i="1"/>
  <c r="L551" i="1" s="1"/>
  <c r="K550" i="1"/>
  <c r="J550" i="1"/>
  <c r="I550" i="1"/>
  <c r="G550" i="1"/>
  <c r="L550" i="1" s="1"/>
  <c r="K549" i="1"/>
  <c r="J549" i="1"/>
  <c r="I549" i="1"/>
  <c r="G549" i="1"/>
  <c r="L549" i="1" s="1"/>
  <c r="K548" i="1"/>
  <c r="J548" i="1"/>
  <c r="I548" i="1"/>
  <c r="G548" i="1"/>
  <c r="L548" i="1" s="1"/>
  <c r="K547" i="1"/>
  <c r="J547" i="1"/>
  <c r="I547" i="1"/>
  <c r="G547" i="1"/>
  <c r="L547" i="1" s="1"/>
  <c r="K546" i="1"/>
  <c r="J546" i="1"/>
  <c r="I546" i="1"/>
  <c r="G546" i="1"/>
  <c r="L546" i="1" s="1"/>
  <c r="L545" i="1"/>
  <c r="K545" i="1"/>
  <c r="J545" i="1"/>
  <c r="I545" i="1"/>
  <c r="G545" i="1"/>
  <c r="L544" i="1"/>
  <c r="K544" i="1"/>
  <c r="J544" i="1"/>
  <c r="I544" i="1"/>
  <c r="G544" i="1"/>
  <c r="K543" i="1"/>
  <c r="J543" i="1"/>
  <c r="I543" i="1"/>
  <c r="G543" i="1"/>
  <c r="L543" i="1" s="1"/>
  <c r="K542" i="1"/>
  <c r="J542" i="1"/>
  <c r="I542" i="1"/>
  <c r="G542" i="1"/>
  <c r="L542" i="1" s="1"/>
  <c r="K541" i="1"/>
  <c r="J541" i="1"/>
  <c r="I541" i="1"/>
  <c r="G541" i="1"/>
  <c r="L541" i="1" s="1"/>
  <c r="K540" i="1"/>
  <c r="J540" i="1"/>
  <c r="I540" i="1"/>
  <c r="G540" i="1"/>
  <c r="L540" i="1" s="1"/>
  <c r="K539" i="1"/>
  <c r="J539" i="1"/>
  <c r="I539" i="1"/>
  <c r="G539" i="1"/>
  <c r="L539" i="1" s="1"/>
  <c r="K538" i="1"/>
  <c r="J538" i="1"/>
  <c r="I538" i="1"/>
  <c r="G538" i="1"/>
  <c r="L538" i="1" s="1"/>
  <c r="K537" i="1"/>
  <c r="J537" i="1"/>
  <c r="I537" i="1"/>
  <c r="G537" i="1"/>
  <c r="L537" i="1" s="1"/>
  <c r="K536" i="1"/>
  <c r="J536" i="1"/>
  <c r="I536" i="1"/>
  <c r="G536" i="1"/>
  <c r="L536" i="1" s="1"/>
  <c r="K535" i="1"/>
  <c r="J535" i="1"/>
  <c r="I535" i="1"/>
  <c r="G535" i="1"/>
  <c r="L535" i="1" s="1"/>
  <c r="L534" i="1"/>
  <c r="K534" i="1"/>
  <c r="J534" i="1"/>
  <c r="I534" i="1"/>
  <c r="G534" i="1"/>
  <c r="L533" i="1"/>
  <c r="K533" i="1"/>
  <c r="J533" i="1"/>
  <c r="I533" i="1"/>
  <c r="G533" i="1"/>
  <c r="L532" i="1"/>
  <c r="K532" i="1"/>
  <c r="J532" i="1"/>
  <c r="I532" i="1"/>
  <c r="G532" i="1"/>
  <c r="K531" i="1"/>
  <c r="J531" i="1"/>
  <c r="I531" i="1"/>
  <c r="G531" i="1"/>
  <c r="L531" i="1" s="1"/>
  <c r="K530" i="1"/>
  <c r="J530" i="1"/>
  <c r="I530" i="1"/>
  <c r="G530" i="1"/>
  <c r="L530" i="1" s="1"/>
  <c r="K529" i="1"/>
  <c r="J529" i="1"/>
  <c r="I529" i="1"/>
  <c r="G529" i="1"/>
  <c r="L529" i="1" s="1"/>
  <c r="K528" i="1"/>
  <c r="J528" i="1"/>
  <c r="I528" i="1"/>
  <c r="G528" i="1"/>
  <c r="L528" i="1" s="1"/>
  <c r="K527" i="1"/>
  <c r="J527" i="1"/>
  <c r="I527" i="1"/>
  <c r="G527" i="1"/>
  <c r="L527" i="1" s="1"/>
  <c r="K526" i="1"/>
  <c r="J526" i="1"/>
  <c r="I526" i="1"/>
  <c r="G526" i="1"/>
  <c r="L526" i="1" s="1"/>
  <c r="K525" i="1"/>
  <c r="J525" i="1"/>
  <c r="I525" i="1"/>
  <c r="G525" i="1"/>
  <c r="L525" i="1" s="1"/>
  <c r="L524" i="1"/>
  <c r="K524" i="1"/>
  <c r="J524" i="1"/>
  <c r="I524" i="1"/>
  <c r="N524" i="1" s="1"/>
  <c r="G524" i="1"/>
  <c r="K523" i="1"/>
  <c r="J523" i="1"/>
  <c r="I523" i="1"/>
  <c r="G523" i="1"/>
  <c r="L523" i="1" s="1"/>
  <c r="L522" i="1"/>
  <c r="K522" i="1"/>
  <c r="J522" i="1"/>
  <c r="I522" i="1"/>
  <c r="G522" i="1"/>
  <c r="K521" i="1"/>
  <c r="J521" i="1"/>
  <c r="I521" i="1"/>
  <c r="G521" i="1"/>
  <c r="L521" i="1" s="1"/>
  <c r="K520" i="1"/>
  <c r="J520" i="1"/>
  <c r="I520" i="1"/>
  <c r="G520" i="1"/>
  <c r="L520" i="1" s="1"/>
  <c r="K519" i="1"/>
  <c r="J519" i="1"/>
  <c r="I519" i="1"/>
  <c r="G519" i="1"/>
  <c r="L519" i="1" s="1"/>
  <c r="L518" i="1"/>
  <c r="K518" i="1"/>
  <c r="J518" i="1"/>
  <c r="I518" i="1"/>
  <c r="G518" i="1"/>
  <c r="K517" i="1"/>
  <c r="J517" i="1"/>
  <c r="I517" i="1"/>
  <c r="G517" i="1"/>
  <c r="L517" i="1" s="1"/>
  <c r="L516" i="1"/>
  <c r="K516" i="1"/>
  <c r="J516" i="1"/>
  <c r="I516" i="1"/>
  <c r="G516" i="1"/>
  <c r="K515" i="1"/>
  <c r="J515" i="1"/>
  <c r="I515" i="1"/>
  <c r="G515" i="1"/>
  <c r="L515" i="1" s="1"/>
  <c r="L514" i="1"/>
  <c r="K514" i="1"/>
  <c r="J514" i="1"/>
  <c r="I514" i="1"/>
  <c r="G514" i="1"/>
  <c r="L513" i="1"/>
  <c r="K513" i="1"/>
  <c r="J513" i="1"/>
  <c r="I513" i="1"/>
  <c r="G513" i="1"/>
  <c r="K512" i="1"/>
  <c r="J512" i="1"/>
  <c r="I512" i="1"/>
  <c r="G512" i="1"/>
  <c r="L512" i="1" s="1"/>
  <c r="K511" i="1"/>
  <c r="J511" i="1"/>
  <c r="I511" i="1"/>
  <c r="G511" i="1"/>
  <c r="L511" i="1" s="1"/>
  <c r="K510" i="1"/>
  <c r="J510" i="1"/>
  <c r="I510" i="1"/>
  <c r="G510" i="1"/>
  <c r="L510" i="1" s="1"/>
  <c r="K509" i="1"/>
  <c r="J509" i="1"/>
  <c r="I509" i="1"/>
  <c r="G509" i="1"/>
  <c r="L509" i="1" s="1"/>
  <c r="K508" i="1"/>
  <c r="J508" i="1"/>
  <c r="I508" i="1"/>
  <c r="G508" i="1"/>
  <c r="L508" i="1" s="1"/>
  <c r="K507" i="1"/>
  <c r="J507" i="1"/>
  <c r="I507" i="1"/>
  <c r="G507" i="1"/>
  <c r="L507" i="1" s="1"/>
  <c r="K506" i="1"/>
  <c r="J506" i="1"/>
  <c r="I506" i="1"/>
  <c r="G506" i="1"/>
  <c r="L506" i="1" s="1"/>
  <c r="K505" i="1"/>
  <c r="J505" i="1"/>
  <c r="I505" i="1"/>
  <c r="G505" i="1"/>
  <c r="L505" i="1" s="1"/>
  <c r="K504" i="1"/>
  <c r="J504" i="1"/>
  <c r="I504" i="1"/>
  <c r="G504" i="1"/>
  <c r="L504" i="1" s="1"/>
  <c r="K503" i="1"/>
  <c r="J503" i="1"/>
  <c r="I503" i="1"/>
  <c r="G503" i="1"/>
  <c r="L503" i="1" s="1"/>
  <c r="K502" i="1"/>
  <c r="J502" i="1"/>
  <c r="I502" i="1"/>
  <c r="G502" i="1"/>
  <c r="L502" i="1" s="1"/>
  <c r="K501" i="1"/>
  <c r="J501" i="1"/>
  <c r="I501" i="1"/>
  <c r="G501" i="1"/>
  <c r="L501" i="1" s="1"/>
  <c r="K500" i="1"/>
  <c r="J500" i="1"/>
  <c r="I500" i="1"/>
  <c r="G500" i="1"/>
  <c r="L500" i="1" s="1"/>
  <c r="K499" i="1"/>
  <c r="J499" i="1"/>
  <c r="I499" i="1"/>
  <c r="G499" i="1"/>
  <c r="L499" i="1" s="1"/>
  <c r="K498" i="1"/>
  <c r="J498" i="1"/>
  <c r="I498" i="1"/>
  <c r="G498" i="1"/>
  <c r="L498" i="1" s="1"/>
  <c r="N498" i="1" s="1"/>
  <c r="K497" i="1"/>
  <c r="J497" i="1"/>
  <c r="I497" i="1"/>
  <c r="G497" i="1"/>
  <c r="L497" i="1" s="1"/>
  <c r="P496" i="1"/>
  <c r="P498" i="1" s="1"/>
  <c r="K496" i="1"/>
  <c r="J496" i="1"/>
  <c r="I496" i="1"/>
  <c r="G496" i="1"/>
  <c r="L496" i="1" s="1"/>
  <c r="K495" i="1"/>
  <c r="J495" i="1"/>
  <c r="I495" i="1"/>
  <c r="G495" i="1"/>
  <c r="L495" i="1" s="1"/>
  <c r="K494" i="1"/>
  <c r="J494" i="1"/>
  <c r="I494" i="1"/>
  <c r="G494" i="1"/>
  <c r="L494" i="1" s="1"/>
  <c r="K493" i="1"/>
  <c r="J493" i="1"/>
  <c r="I493" i="1"/>
  <c r="G493" i="1"/>
  <c r="L493" i="1" s="1"/>
  <c r="K492" i="1"/>
  <c r="J492" i="1"/>
  <c r="I492" i="1"/>
  <c r="G492" i="1"/>
  <c r="L492" i="1" s="1"/>
  <c r="K491" i="1"/>
  <c r="J491" i="1"/>
  <c r="I491" i="1"/>
  <c r="G491" i="1"/>
  <c r="L491" i="1" s="1"/>
  <c r="K490" i="1"/>
  <c r="J490" i="1"/>
  <c r="I490" i="1"/>
  <c r="G490" i="1"/>
  <c r="L490" i="1" s="1"/>
  <c r="K489" i="1"/>
  <c r="J489" i="1"/>
  <c r="I489" i="1"/>
  <c r="G489" i="1"/>
  <c r="L489" i="1" s="1"/>
  <c r="K488" i="1"/>
  <c r="J488" i="1"/>
  <c r="I488" i="1"/>
  <c r="G488" i="1"/>
  <c r="L488" i="1" s="1"/>
  <c r="K487" i="1"/>
  <c r="J487" i="1"/>
  <c r="I487" i="1"/>
  <c r="N487" i="1" s="1"/>
  <c r="G487" i="1"/>
  <c r="L487" i="1" s="1"/>
  <c r="K486" i="1"/>
  <c r="J486" i="1"/>
  <c r="I486" i="1"/>
  <c r="G486" i="1"/>
  <c r="L486" i="1" s="1"/>
  <c r="K485" i="1"/>
  <c r="J485" i="1"/>
  <c r="I485" i="1"/>
  <c r="G485" i="1"/>
  <c r="L485" i="1" s="1"/>
  <c r="K484" i="1"/>
  <c r="J484" i="1"/>
  <c r="I484" i="1"/>
  <c r="G484" i="1"/>
  <c r="L484" i="1" s="1"/>
  <c r="K483" i="1"/>
  <c r="J483" i="1"/>
  <c r="I483" i="1"/>
  <c r="G483" i="1"/>
  <c r="L483" i="1" s="1"/>
  <c r="K482" i="1"/>
  <c r="J482" i="1"/>
  <c r="I482" i="1"/>
  <c r="G482" i="1"/>
  <c r="L482" i="1" s="1"/>
  <c r="K481" i="1"/>
  <c r="J481" i="1"/>
  <c r="I481" i="1"/>
  <c r="N481" i="1" s="1"/>
  <c r="G481" i="1"/>
  <c r="L481" i="1" s="1"/>
  <c r="K480" i="1"/>
  <c r="J480" i="1"/>
  <c r="I480" i="1"/>
  <c r="G480" i="1"/>
  <c r="L480" i="1" s="1"/>
  <c r="K479" i="1"/>
  <c r="J479" i="1"/>
  <c r="I479" i="1"/>
  <c r="G479" i="1"/>
  <c r="L479" i="1" s="1"/>
  <c r="K478" i="1"/>
  <c r="J478" i="1"/>
  <c r="I478" i="1"/>
  <c r="N478" i="1" s="1"/>
  <c r="G478" i="1"/>
  <c r="L478" i="1" s="1"/>
  <c r="K477" i="1"/>
  <c r="J477" i="1"/>
  <c r="I477" i="1"/>
  <c r="G477" i="1"/>
  <c r="L477" i="1" s="1"/>
  <c r="K476" i="1"/>
  <c r="J476" i="1"/>
  <c r="I476" i="1"/>
  <c r="G476" i="1"/>
  <c r="L476" i="1" s="1"/>
  <c r="K475" i="1"/>
  <c r="J475" i="1"/>
  <c r="I475" i="1"/>
  <c r="N475" i="1" s="1"/>
  <c r="G475" i="1"/>
  <c r="L475" i="1" s="1"/>
  <c r="K474" i="1"/>
  <c r="J474" i="1"/>
  <c r="I474" i="1"/>
  <c r="G474" i="1"/>
  <c r="L474" i="1" s="1"/>
  <c r="K473" i="1"/>
  <c r="J473" i="1"/>
  <c r="I473" i="1"/>
  <c r="G473" i="1"/>
  <c r="L473" i="1" s="1"/>
  <c r="K472" i="1"/>
  <c r="J472" i="1"/>
  <c r="I472" i="1"/>
  <c r="N472" i="1" s="1"/>
  <c r="G472" i="1"/>
  <c r="L472" i="1" s="1"/>
  <c r="K471" i="1"/>
  <c r="J471" i="1"/>
  <c r="I471" i="1"/>
  <c r="G471" i="1"/>
  <c r="L471" i="1" s="1"/>
  <c r="K470" i="1"/>
  <c r="J470" i="1"/>
  <c r="I470" i="1"/>
  <c r="G470" i="1"/>
  <c r="L470" i="1" s="1"/>
  <c r="K469" i="1"/>
  <c r="J469" i="1"/>
  <c r="I469" i="1"/>
  <c r="N469" i="1" s="1"/>
  <c r="G469" i="1"/>
  <c r="L469" i="1" s="1"/>
  <c r="K468" i="1"/>
  <c r="J468" i="1"/>
  <c r="I468" i="1"/>
  <c r="G468" i="1"/>
  <c r="L468" i="1" s="1"/>
  <c r="K467" i="1"/>
  <c r="J467" i="1"/>
  <c r="I467" i="1"/>
  <c r="G467" i="1"/>
  <c r="L467" i="1" s="1"/>
  <c r="K466" i="1"/>
  <c r="J466" i="1"/>
  <c r="I466" i="1"/>
  <c r="N466" i="1" s="1"/>
  <c r="G466" i="1"/>
  <c r="L466" i="1" s="1"/>
  <c r="K465" i="1"/>
  <c r="J465" i="1"/>
  <c r="I465" i="1"/>
  <c r="G465" i="1"/>
  <c r="L465" i="1" s="1"/>
  <c r="K464" i="1"/>
  <c r="J464" i="1"/>
  <c r="I464" i="1"/>
  <c r="G464" i="1"/>
  <c r="L464" i="1" s="1"/>
  <c r="K463" i="1"/>
  <c r="J463" i="1"/>
  <c r="I463" i="1"/>
  <c r="N463" i="1" s="1"/>
  <c r="G463" i="1"/>
  <c r="L463" i="1" s="1"/>
  <c r="K462" i="1"/>
  <c r="J462" i="1"/>
  <c r="I462" i="1"/>
  <c r="G462" i="1"/>
  <c r="L462" i="1" s="1"/>
  <c r="K461" i="1"/>
  <c r="J461" i="1"/>
  <c r="I461" i="1"/>
  <c r="G461" i="1"/>
  <c r="L461" i="1" s="1"/>
  <c r="K460" i="1"/>
  <c r="J460" i="1"/>
  <c r="I460" i="1"/>
  <c r="N460" i="1" s="1"/>
  <c r="G460" i="1"/>
  <c r="L460" i="1" s="1"/>
  <c r="K459" i="1"/>
  <c r="J459" i="1"/>
  <c r="I459" i="1"/>
  <c r="N459" i="1" s="1"/>
  <c r="G459" i="1"/>
  <c r="L459" i="1" s="1"/>
  <c r="K458" i="1"/>
  <c r="J458" i="1"/>
  <c r="I458" i="1"/>
  <c r="G458" i="1"/>
  <c r="L458" i="1" s="1"/>
  <c r="K457" i="1"/>
  <c r="J457" i="1"/>
  <c r="I457" i="1"/>
  <c r="N457" i="1" s="1"/>
  <c r="G457" i="1"/>
  <c r="L457" i="1" s="1"/>
  <c r="K456" i="1"/>
  <c r="J456" i="1"/>
  <c r="I456" i="1"/>
  <c r="N456" i="1" s="1"/>
  <c r="G456" i="1"/>
  <c r="L456" i="1" s="1"/>
  <c r="K455" i="1"/>
  <c r="J455" i="1"/>
  <c r="I455" i="1"/>
  <c r="G455" i="1"/>
  <c r="L455" i="1" s="1"/>
  <c r="K454" i="1"/>
  <c r="J454" i="1"/>
  <c r="I454" i="1"/>
  <c r="N454" i="1" s="1"/>
  <c r="G454" i="1"/>
  <c r="L454" i="1" s="1"/>
  <c r="K453" i="1"/>
  <c r="J453" i="1"/>
  <c r="I453" i="1"/>
  <c r="N453" i="1" s="1"/>
  <c r="G453" i="1"/>
  <c r="L453" i="1" s="1"/>
  <c r="K452" i="1"/>
  <c r="J452" i="1"/>
  <c r="I452" i="1"/>
  <c r="G452" i="1"/>
  <c r="L452" i="1" s="1"/>
  <c r="K451" i="1"/>
  <c r="J451" i="1"/>
  <c r="I451" i="1"/>
  <c r="N451" i="1" s="1"/>
  <c r="G451" i="1"/>
  <c r="L451" i="1" s="1"/>
  <c r="K449" i="1"/>
  <c r="J449" i="1"/>
  <c r="I449" i="1"/>
  <c r="G449" i="1"/>
  <c r="L449" i="1" s="1"/>
  <c r="K448" i="1"/>
  <c r="J448" i="1"/>
  <c r="I448" i="1"/>
  <c r="G448" i="1"/>
  <c r="L448" i="1" s="1"/>
  <c r="K447" i="1"/>
  <c r="J447" i="1"/>
  <c r="I447" i="1"/>
  <c r="G447" i="1"/>
  <c r="L447" i="1" s="1"/>
  <c r="K446" i="1"/>
  <c r="J446" i="1"/>
  <c r="I446" i="1"/>
  <c r="G446" i="1"/>
  <c r="L446" i="1" s="1"/>
  <c r="K445" i="1"/>
  <c r="J445" i="1"/>
  <c r="I445" i="1"/>
  <c r="G445" i="1"/>
  <c r="L445" i="1" s="1"/>
  <c r="K444" i="1"/>
  <c r="J444" i="1"/>
  <c r="I444" i="1"/>
  <c r="G444" i="1"/>
  <c r="L444" i="1" s="1"/>
  <c r="K443" i="1"/>
  <c r="J443" i="1"/>
  <c r="I443" i="1"/>
  <c r="G443" i="1"/>
  <c r="L443" i="1" s="1"/>
  <c r="K442" i="1"/>
  <c r="J442" i="1"/>
  <c r="I442" i="1"/>
  <c r="G442" i="1"/>
  <c r="L442" i="1" s="1"/>
  <c r="K441" i="1"/>
  <c r="J441" i="1"/>
  <c r="I441" i="1"/>
  <c r="G441" i="1"/>
  <c r="L441" i="1" s="1"/>
  <c r="K440" i="1"/>
  <c r="J440" i="1"/>
  <c r="I440" i="1"/>
  <c r="G440" i="1"/>
  <c r="L440" i="1" s="1"/>
  <c r="K439" i="1"/>
  <c r="J439" i="1"/>
  <c r="I439" i="1"/>
  <c r="G439" i="1"/>
  <c r="L439" i="1" s="1"/>
  <c r="K438" i="1"/>
  <c r="J438" i="1"/>
  <c r="I438" i="1"/>
  <c r="G438" i="1"/>
  <c r="L438" i="1" s="1"/>
  <c r="K437" i="1"/>
  <c r="J437" i="1"/>
  <c r="I437" i="1"/>
  <c r="G437" i="1"/>
  <c r="L437" i="1" s="1"/>
  <c r="K436" i="1"/>
  <c r="J436" i="1"/>
  <c r="I436" i="1"/>
  <c r="G436" i="1"/>
  <c r="L436" i="1" s="1"/>
  <c r="K435" i="1"/>
  <c r="J435" i="1"/>
  <c r="I435" i="1"/>
  <c r="G435" i="1"/>
  <c r="L435" i="1" s="1"/>
  <c r="L434" i="1"/>
  <c r="K434" i="1"/>
  <c r="J434" i="1"/>
  <c r="I434" i="1"/>
  <c r="G434" i="1"/>
  <c r="K433" i="1"/>
  <c r="J433" i="1"/>
  <c r="I433" i="1"/>
  <c r="G433" i="1"/>
  <c r="L433" i="1" s="1"/>
  <c r="K432" i="1"/>
  <c r="J432" i="1"/>
  <c r="I432" i="1"/>
  <c r="G432" i="1"/>
  <c r="L432" i="1" s="1"/>
  <c r="K431" i="1"/>
  <c r="J431" i="1"/>
  <c r="I431" i="1"/>
  <c r="G431" i="1"/>
  <c r="L431" i="1" s="1"/>
  <c r="K429" i="1"/>
  <c r="J429" i="1"/>
  <c r="I429" i="1"/>
  <c r="G429" i="1"/>
  <c r="L429" i="1" s="1"/>
  <c r="K428" i="1"/>
  <c r="J428" i="1"/>
  <c r="I428" i="1"/>
  <c r="G428" i="1"/>
  <c r="L428" i="1" s="1"/>
  <c r="K427" i="1"/>
  <c r="J427" i="1"/>
  <c r="I427" i="1"/>
  <c r="G427" i="1"/>
  <c r="L427" i="1" s="1"/>
  <c r="K426" i="1"/>
  <c r="J426" i="1"/>
  <c r="I426" i="1"/>
  <c r="G426" i="1"/>
  <c r="L426" i="1" s="1"/>
  <c r="K425" i="1"/>
  <c r="J425" i="1"/>
  <c r="I425" i="1"/>
  <c r="G425" i="1"/>
  <c r="L425" i="1" s="1"/>
  <c r="K424" i="1"/>
  <c r="J424" i="1"/>
  <c r="I424" i="1"/>
  <c r="G424" i="1"/>
  <c r="L424" i="1" s="1"/>
  <c r="K423" i="1"/>
  <c r="J423" i="1"/>
  <c r="I423" i="1"/>
  <c r="G423" i="1"/>
  <c r="L423" i="1" s="1"/>
  <c r="K422" i="1"/>
  <c r="J422" i="1"/>
  <c r="I422" i="1"/>
  <c r="G422" i="1"/>
  <c r="L422" i="1" s="1"/>
  <c r="K421" i="1"/>
  <c r="J421" i="1"/>
  <c r="I421" i="1"/>
  <c r="G421" i="1"/>
  <c r="L421" i="1" s="1"/>
  <c r="K420" i="1"/>
  <c r="J420" i="1"/>
  <c r="I420" i="1"/>
  <c r="G420" i="1"/>
  <c r="L420" i="1" s="1"/>
  <c r="K419" i="1"/>
  <c r="J419" i="1"/>
  <c r="I419" i="1"/>
  <c r="G419" i="1"/>
  <c r="L419" i="1" s="1"/>
  <c r="K418" i="1"/>
  <c r="J418" i="1"/>
  <c r="I418" i="1"/>
  <c r="G418" i="1"/>
  <c r="L418" i="1" s="1"/>
  <c r="K417" i="1"/>
  <c r="J417" i="1"/>
  <c r="I417" i="1"/>
  <c r="G417" i="1"/>
  <c r="L417" i="1" s="1"/>
  <c r="K416" i="1"/>
  <c r="J416" i="1"/>
  <c r="I416" i="1"/>
  <c r="G416" i="1"/>
  <c r="L416" i="1" s="1"/>
  <c r="K415" i="1"/>
  <c r="J415" i="1"/>
  <c r="I415" i="1"/>
  <c r="G415" i="1"/>
  <c r="L415" i="1" s="1"/>
  <c r="K414" i="1"/>
  <c r="J414" i="1"/>
  <c r="I414" i="1"/>
  <c r="G414" i="1"/>
  <c r="L414" i="1" s="1"/>
  <c r="K413" i="1"/>
  <c r="J413" i="1"/>
  <c r="I413" i="1"/>
  <c r="G413" i="1"/>
  <c r="L413" i="1" s="1"/>
  <c r="K412" i="1"/>
  <c r="J412" i="1"/>
  <c r="I412" i="1"/>
  <c r="G412" i="1"/>
  <c r="L412" i="1" s="1"/>
  <c r="K411" i="1"/>
  <c r="J411" i="1"/>
  <c r="I411" i="1"/>
  <c r="G411" i="1"/>
  <c r="L411" i="1" s="1"/>
  <c r="K410" i="1"/>
  <c r="J410" i="1"/>
  <c r="I410" i="1"/>
  <c r="G410" i="1"/>
  <c r="L410" i="1" s="1"/>
  <c r="K409" i="1"/>
  <c r="J409" i="1"/>
  <c r="I409" i="1"/>
  <c r="G409" i="1"/>
  <c r="L409" i="1" s="1"/>
  <c r="K407" i="1"/>
  <c r="J407" i="1"/>
  <c r="I407" i="1"/>
  <c r="G407" i="1"/>
  <c r="L407" i="1" s="1"/>
  <c r="K406" i="1"/>
  <c r="J406" i="1"/>
  <c r="I406" i="1"/>
  <c r="G406" i="1"/>
  <c r="L406" i="1" s="1"/>
  <c r="K405" i="1"/>
  <c r="J405" i="1"/>
  <c r="I405" i="1"/>
  <c r="G405" i="1"/>
  <c r="L405" i="1" s="1"/>
  <c r="K404" i="1"/>
  <c r="J404" i="1"/>
  <c r="I404" i="1"/>
  <c r="G404" i="1"/>
  <c r="L404" i="1" s="1"/>
  <c r="K403" i="1"/>
  <c r="J403" i="1"/>
  <c r="I403" i="1"/>
  <c r="G403" i="1"/>
  <c r="L403" i="1" s="1"/>
  <c r="L402" i="1"/>
  <c r="K402" i="1"/>
  <c r="J402" i="1"/>
  <c r="I402" i="1"/>
  <c r="G402" i="1"/>
  <c r="L401" i="1"/>
  <c r="K401" i="1"/>
  <c r="J401" i="1"/>
  <c r="I401" i="1"/>
  <c r="G401" i="1"/>
  <c r="K400" i="1"/>
  <c r="J400" i="1"/>
  <c r="I400" i="1"/>
  <c r="G400" i="1"/>
  <c r="L400" i="1" s="1"/>
  <c r="K399" i="1"/>
  <c r="J399" i="1"/>
  <c r="I399" i="1"/>
  <c r="G399" i="1"/>
  <c r="L399" i="1" s="1"/>
  <c r="K398" i="1"/>
  <c r="J398" i="1"/>
  <c r="I398" i="1"/>
  <c r="G398" i="1"/>
  <c r="L398" i="1" s="1"/>
  <c r="L397" i="1"/>
  <c r="K397" i="1"/>
  <c r="J397" i="1"/>
  <c r="I397" i="1"/>
  <c r="G397" i="1"/>
  <c r="K396" i="1"/>
  <c r="J396" i="1"/>
  <c r="I396" i="1"/>
  <c r="G396" i="1"/>
  <c r="L396" i="1" s="1"/>
  <c r="K395" i="1"/>
  <c r="J395" i="1"/>
  <c r="I395" i="1"/>
  <c r="G395" i="1"/>
  <c r="L395" i="1" s="1"/>
  <c r="L394" i="1"/>
  <c r="K394" i="1"/>
  <c r="J394" i="1"/>
  <c r="I394" i="1"/>
  <c r="G394" i="1"/>
  <c r="K393" i="1"/>
  <c r="J393" i="1"/>
  <c r="I393" i="1"/>
  <c r="G393" i="1"/>
  <c r="L393" i="1" s="1"/>
  <c r="K392" i="1"/>
  <c r="J392" i="1"/>
  <c r="I392" i="1"/>
  <c r="G392" i="1"/>
  <c r="L392" i="1" s="1"/>
  <c r="K391" i="1"/>
  <c r="J391" i="1"/>
  <c r="I391" i="1"/>
  <c r="G391" i="1"/>
  <c r="L391" i="1" s="1"/>
  <c r="K390" i="1"/>
  <c r="J390" i="1"/>
  <c r="I390" i="1"/>
  <c r="G390" i="1"/>
  <c r="L390" i="1" s="1"/>
  <c r="K389" i="1"/>
  <c r="J389" i="1"/>
  <c r="I389" i="1"/>
  <c r="G389" i="1"/>
  <c r="L389" i="1" s="1"/>
  <c r="K388" i="1"/>
  <c r="J388" i="1"/>
  <c r="I388" i="1"/>
  <c r="G388" i="1"/>
  <c r="L388" i="1" s="1"/>
  <c r="K387" i="1"/>
  <c r="J387" i="1"/>
  <c r="I387" i="1"/>
  <c r="G387" i="1"/>
  <c r="L387" i="1" s="1"/>
  <c r="K385" i="1"/>
  <c r="J385" i="1"/>
  <c r="I385" i="1"/>
  <c r="G385" i="1"/>
  <c r="L385" i="1" s="1"/>
  <c r="K384" i="1"/>
  <c r="J384" i="1"/>
  <c r="I384" i="1"/>
  <c r="G384" i="1"/>
  <c r="L384" i="1" s="1"/>
  <c r="K383" i="1"/>
  <c r="J383" i="1"/>
  <c r="I383" i="1"/>
  <c r="G383" i="1"/>
  <c r="L383" i="1" s="1"/>
  <c r="K382" i="1"/>
  <c r="J382" i="1"/>
  <c r="I382" i="1"/>
  <c r="G382" i="1"/>
  <c r="L382" i="1" s="1"/>
  <c r="L381" i="1"/>
  <c r="K381" i="1"/>
  <c r="J381" i="1"/>
  <c r="I381" i="1"/>
  <c r="G381" i="1"/>
  <c r="K380" i="1"/>
  <c r="J380" i="1"/>
  <c r="I380" i="1"/>
  <c r="G380" i="1"/>
  <c r="L380" i="1" s="1"/>
  <c r="K379" i="1"/>
  <c r="J379" i="1"/>
  <c r="I379" i="1"/>
  <c r="G379" i="1"/>
  <c r="L379" i="1" s="1"/>
  <c r="K378" i="1"/>
  <c r="J378" i="1"/>
  <c r="I378" i="1"/>
  <c r="G378" i="1"/>
  <c r="L378" i="1" s="1"/>
  <c r="K377" i="1"/>
  <c r="J377" i="1"/>
  <c r="I377" i="1"/>
  <c r="G377" i="1"/>
  <c r="L377" i="1" s="1"/>
  <c r="K376" i="1"/>
  <c r="J376" i="1"/>
  <c r="I376" i="1"/>
  <c r="G376" i="1"/>
  <c r="L376" i="1" s="1"/>
  <c r="K375" i="1"/>
  <c r="J375" i="1"/>
  <c r="I375" i="1"/>
  <c r="G375" i="1"/>
  <c r="L375" i="1" s="1"/>
  <c r="K374" i="1"/>
  <c r="J374" i="1"/>
  <c r="I374" i="1"/>
  <c r="G374" i="1"/>
  <c r="L374" i="1" s="1"/>
  <c r="K373" i="1"/>
  <c r="J373" i="1"/>
  <c r="I373" i="1"/>
  <c r="G373" i="1"/>
  <c r="L373" i="1" s="1"/>
  <c r="K372" i="1"/>
  <c r="J372" i="1"/>
  <c r="I372" i="1"/>
  <c r="G372" i="1"/>
  <c r="L372" i="1" s="1"/>
  <c r="L371" i="1"/>
  <c r="K371" i="1"/>
  <c r="J371" i="1"/>
  <c r="I371" i="1"/>
  <c r="G371" i="1"/>
  <c r="L370" i="1"/>
  <c r="K370" i="1"/>
  <c r="J370" i="1"/>
  <c r="I370" i="1"/>
  <c r="G370" i="1"/>
  <c r="K369" i="1"/>
  <c r="J369" i="1"/>
  <c r="I369" i="1"/>
  <c r="G369" i="1"/>
  <c r="L369" i="1" s="1"/>
  <c r="K368" i="1"/>
  <c r="J368" i="1"/>
  <c r="I368" i="1"/>
  <c r="G368" i="1"/>
  <c r="L368" i="1" s="1"/>
  <c r="K367" i="1"/>
  <c r="J367" i="1"/>
  <c r="I367" i="1"/>
  <c r="G367" i="1"/>
  <c r="L367" i="1" s="1"/>
  <c r="K366" i="1"/>
  <c r="J366" i="1"/>
  <c r="I366" i="1"/>
  <c r="G366" i="1"/>
  <c r="L366" i="1" s="1"/>
  <c r="K365" i="1"/>
  <c r="J365" i="1"/>
  <c r="I365" i="1"/>
  <c r="G365" i="1"/>
  <c r="L365" i="1" s="1"/>
  <c r="K364" i="1"/>
  <c r="J364" i="1"/>
  <c r="I364" i="1"/>
  <c r="G364" i="1"/>
  <c r="L364" i="1" s="1"/>
  <c r="K363" i="1"/>
  <c r="J363" i="1"/>
  <c r="I363" i="1"/>
  <c r="G363" i="1"/>
  <c r="L363" i="1" s="1"/>
  <c r="K362" i="1"/>
  <c r="J362" i="1"/>
  <c r="I362" i="1"/>
  <c r="G362" i="1"/>
  <c r="L362" i="1" s="1"/>
  <c r="K361" i="1"/>
  <c r="J361" i="1"/>
  <c r="I361" i="1"/>
  <c r="G361" i="1"/>
  <c r="L361" i="1" s="1"/>
  <c r="K360" i="1"/>
  <c r="J360" i="1"/>
  <c r="I360" i="1"/>
  <c r="G360" i="1"/>
  <c r="L360" i="1" s="1"/>
  <c r="K359" i="1"/>
  <c r="J359" i="1"/>
  <c r="I359" i="1"/>
  <c r="G359" i="1"/>
  <c r="L359" i="1" s="1"/>
  <c r="L358" i="1"/>
  <c r="K358" i="1"/>
  <c r="J358" i="1"/>
  <c r="I358" i="1"/>
  <c r="G358" i="1"/>
  <c r="L357" i="1"/>
  <c r="K357" i="1"/>
  <c r="J357" i="1"/>
  <c r="I357" i="1"/>
  <c r="G357" i="1"/>
  <c r="K356" i="1"/>
  <c r="J356" i="1"/>
  <c r="I356" i="1"/>
  <c r="G356" i="1"/>
  <c r="L356" i="1" s="1"/>
  <c r="K355" i="1"/>
  <c r="J355" i="1"/>
  <c r="I355" i="1"/>
  <c r="G355" i="1"/>
  <c r="L355" i="1" s="1"/>
  <c r="L354" i="1"/>
  <c r="K354" i="1"/>
  <c r="J354" i="1"/>
  <c r="I354" i="1"/>
  <c r="G354" i="1"/>
  <c r="K353" i="1"/>
  <c r="J353" i="1"/>
  <c r="I353" i="1"/>
  <c r="G353" i="1"/>
  <c r="L353" i="1" s="1"/>
  <c r="L352" i="1"/>
  <c r="K352" i="1"/>
  <c r="J352" i="1"/>
  <c r="I352" i="1"/>
  <c r="G352" i="1"/>
  <c r="L351" i="1"/>
  <c r="K351" i="1"/>
  <c r="J351" i="1"/>
  <c r="I351" i="1"/>
  <c r="G351" i="1"/>
  <c r="K350" i="1"/>
  <c r="J350" i="1"/>
  <c r="I350" i="1"/>
  <c r="G350" i="1"/>
  <c r="L350" i="1" s="1"/>
  <c r="L349" i="1"/>
  <c r="K349" i="1"/>
  <c r="J349" i="1"/>
  <c r="I349" i="1"/>
  <c r="G349" i="1"/>
  <c r="K348" i="1"/>
  <c r="J348" i="1"/>
  <c r="I348" i="1"/>
  <c r="G348" i="1"/>
  <c r="L348" i="1" s="1"/>
  <c r="K347" i="1"/>
  <c r="J347" i="1"/>
  <c r="I347" i="1"/>
  <c r="G347" i="1"/>
  <c r="L347" i="1" s="1"/>
  <c r="K346" i="1"/>
  <c r="J346" i="1"/>
  <c r="I346" i="1"/>
  <c r="G346" i="1"/>
  <c r="L346" i="1" s="1"/>
  <c r="P345" i="1"/>
  <c r="K345" i="1"/>
  <c r="J345" i="1"/>
  <c r="I345" i="1"/>
  <c r="G345" i="1"/>
  <c r="L345" i="1" s="1"/>
  <c r="K344" i="1"/>
  <c r="J344" i="1"/>
  <c r="I344" i="1"/>
  <c r="G344" i="1"/>
  <c r="L344" i="1" s="1"/>
  <c r="K343" i="1"/>
  <c r="J343" i="1"/>
  <c r="I343" i="1"/>
  <c r="G343" i="1"/>
  <c r="L343" i="1" s="1"/>
  <c r="P342" i="1"/>
  <c r="N342" i="1"/>
  <c r="K342" i="1"/>
  <c r="J342" i="1"/>
  <c r="I342" i="1"/>
  <c r="G342" i="1"/>
  <c r="L342" i="1" s="1"/>
  <c r="N341" i="1"/>
  <c r="K341" i="1"/>
  <c r="J341" i="1"/>
  <c r="I341" i="1"/>
  <c r="G341" i="1"/>
  <c r="L341" i="1" s="1"/>
  <c r="J339" i="1"/>
  <c r="I339" i="1"/>
  <c r="F339" i="1"/>
  <c r="G339" i="1" s="1"/>
  <c r="L339" i="1" s="1"/>
  <c r="J338" i="1"/>
  <c r="I338" i="1"/>
  <c r="F338" i="1"/>
  <c r="G338" i="1" s="1"/>
  <c r="L338" i="1" s="1"/>
  <c r="J337" i="1"/>
  <c r="I337" i="1"/>
  <c r="G337" i="1"/>
  <c r="L337" i="1" s="1"/>
  <c r="F337" i="1"/>
  <c r="K337" i="1" s="1"/>
  <c r="J336" i="1"/>
  <c r="I336" i="1"/>
  <c r="F336" i="1"/>
  <c r="G336" i="1" s="1"/>
  <c r="L336" i="1" s="1"/>
  <c r="J335" i="1"/>
  <c r="I335" i="1"/>
  <c r="F335" i="1"/>
  <c r="K335" i="1" s="1"/>
  <c r="J334" i="1"/>
  <c r="I334" i="1"/>
  <c r="F334" i="1"/>
  <c r="K334" i="1" s="1"/>
  <c r="J333" i="1"/>
  <c r="I333" i="1"/>
  <c r="F333" i="1"/>
  <c r="G333" i="1" s="1"/>
  <c r="L333" i="1" s="1"/>
  <c r="J332" i="1"/>
  <c r="I332" i="1"/>
  <c r="F332" i="1"/>
  <c r="K332" i="1" s="1"/>
  <c r="J331" i="1"/>
  <c r="I331" i="1"/>
  <c r="F331" i="1"/>
  <c r="G331" i="1" s="1"/>
  <c r="L331" i="1" s="1"/>
  <c r="J330" i="1"/>
  <c r="I330" i="1"/>
  <c r="F330" i="1"/>
  <c r="K330" i="1" s="1"/>
  <c r="J329" i="1"/>
  <c r="I329" i="1"/>
  <c r="G329" i="1"/>
  <c r="L329" i="1" s="1"/>
  <c r="F329" i="1"/>
  <c r="K329" i="1" s="1"/>
  <c r="J328" i="1"/>
  <c r="I328" i="1"/>
  <c r="G328" i="1"/>
  <c r="L328" i="1" s="1"/>
  <c r="F328" i="1"/>
  <c r="K328" i="1" s="1"/>
  <c r="J327" i="1"/>
  <c r="I327" i="1"/>
  <c r="F327" i="1"/>
  <c r="G327" i="1" s="1"/>
  <c r="L327" i="1" s="1"/>
  <c r="J326" i="1"/>
  <c r="I326" i="1"/>
  <c r="F326" i="1"/>
  <c r="G326" i="1" s="1"/>
  <c r="L326" i="1" s="1"/>
  <c r="J325" i="1"/>
  <c r="I325" i="1"/>
  <c r="G325" i="1"/>
  <c r="L325" i="1" s="1"/>
  <c r="F325" i="1"/>
  <c r="K325" i="1" s="1"/>
  <c r="J324" i="1"/>
  <c r="I324" i="1"/>
  <c r="F324" i="1"/>
  <c r="G324" i="1" s="1"/>
  <c r="L324" i="1" s="1"/>
  <c r="J323" i="1"/>
  <c r="I323" i="1"/>
  <c r="F323" i="1"/>
  <c r="K323" i="1" s="1"/>
  <c r="J322" i="1"/>
  <c r="I322" i="1"/>
  <c r="F322" i="1"/>
  <c r="K322" i="1" s="1"/>
  <c r="J321" i="1"/>
  <c r="I321" i="1"/>
  <c r="F321" i="1"/>
  <c r="G321" i="1" s="1"/>
  <c r="L321" i="1" s="1"/>
  <c r="J320" i="1"/>
  <c r="I320" i="1"/>
  <c r="F320" i="1"/>
  <c r="K320" i="1" s="1"/>
  <c r="J319" i="1"/>
  <c r="I319" i="1"/>
  <c r="F319" i="1"/>
  <c r="G319" i="1" s="1"/>
  <c r="L319" i="1" s="1"/>
  <c r="J318" i="1"/>
  <c r="I318" i="1"/>
  <c r="F318" i="1"/>
  <c r="K318" i="1" s="1"/>
  <c r="J317" i="1"/>
  <c r="I317" i="1"/>
  <c r="F317" i="1"/>
  <c r="G317" i="1" s="1"/>
  <c r="L317" i="1" s="1"/>
  <c r="J316" i="1"/>
  <c r="I316" i="1"/>
  <c r="F316" i="1"/>
  <c r="K316" i="1" s="1"/>
  <c r="J315" i="1"/>
  <c r="I315" i="1"/>
  <c r="F315" i="1"/>
  <c r="G315" i="1" s="1"/>
  <c r="L315" i="1" s="1"/>
  <c r="J314" i="1"/>
  <c r="I314" i="1"/>
  <c r="F314" i="1"/>
  <c r="G314" i="1" s="1"/>
  <c r="L314" i="1" s="1"/>
  <c r="J313" i="1"/>
  <c r="I313" i="1"/>
  <c r="G313" i="1"/>
  <c r="L313" i="1" s="1"/>
  <c r="F313" i="1"/>
  <c r="K313" i="1" s="1"/>
  <c r="J312" i="1"/>
  <c r="I312" i="1"/>
  <c r="F312" i="1"/>
  <c r="K312" i="1" s="1"/>
  <c r="J311" i="1"/>
  <c r="I311" i="1"/>
  <c r="F311" i="1"/>
  <c r="K311" i="1" s="1"/>
  <c r="J310" i="1"/>
  <c r="I310" i="1"/>
  <c r="F310" i="1"/>
  <c r="K310" i="1" s="1"/>
  <c r="J309" i="1"/>
  <c r="I309" i="1"/>
  <c r="F309" i="1"/>
  <c r="G309" i="1" s="1"/>
  <c r="L309" i="1" s="1"/>
  <c r="J308" i="1"/>
  <c r="I308" i="1"/>
  <c r="F308" i="1"/>
  <c r="K308" i="1" s="1"/>
  <c r="J307" i="1"/>
  <c r="I307" i="1"/>
  <c r="F307" i="1"/>
  <c r="G307" i="1" s="1"/>
  <c r="L307" i="1" s="1"/>
  <c r="J306" i="1"/>
  <c r="I306" i="1"/>
  <c r="F306" i="1"/>
  <c r="K306" i="1" s="1"/>
  <c r="J305" i="1"/>
  <c r="I305" i="1"/>
  <c r="F305" i="1"/>
  <c r="K305" i="1" s="1"/>
  <c r="J304" i="1"/>
  <c r="I304" i="1"/>
  <c r="F304" i="1"/>
  <c r="K304" i="1" s="1"/>
  <c r="K303" i="1"/>
  <c r="J303" i="1"/>
  <c r="I303" i="1"/>
  <c r="F303" i="1"/>
  <c r="G303" i="1" s="1"/>
  <c r="L303" i="1" s="1"/>
  <c r="K302" i="1"/>
  <c r="J302" i="1"/>
  <c r="I302" i="1"/>
  <c r="F302" i="1"/>
  <c r="G302" i="1" s="1"/>
  <c r="L302" i="1" s="1"/>
  <c r="J301" i="1"/>
  <c r="I301" i="1"/>
  <c r="F301" i="1"/>
  <c r="G301" i="1" s="1"/>
  <c r="L301" i="1" s="1"/>
  <c r="J300" i="1"/>
  <c r="I300" i="1"/>
  <c r="G300" i="1"/>
  <c r="L300" i="1" s="1"/>
  <c r="F300" i="1"/>
  <c r="K300" i="1" s="1"/>
  <c r="J299" i="1"/>
  <c r="I299" i="1"/>
  <c r="F299" i="1"/>
  <c r="K299" i="1" s="1"/>
  <c r="J298" i="1"/>
  <c r="I298" i="1"/>
  <c r="F298" i="1"/>
  <c r="K298" i="1" s="1"/>
  <c r="J297" i="1"/>
  <c r="I297" i="1"/>
  <c r="F297" i="1"/>
  <c r="G297" i="1" s="1"/>
  <c r="L297" i="1" s="1"/>
  <c r="J296" i="1"/>
  <c r="I296" i="1"/>
  <c r="F296" i="1"/>
  <c r="K296" i="1" s="1"/>
  <c r="J295" i="1"/>
  <c r="I295" i="1"/>
  <c r="F295" i="1"/>
  <c r="G295" i="1" s="1"/>
  <c r="L295" i="1" s="1"/>
  <c r="J294" i="1"/>
  <c r="I294" i="1"/>
  <c r="F294" i="1"/>
  <c r="K294" i="1" s="1"/>
  <c r="J293" i="1"/>
  <c r="I293" i="1"/>
  <c r="G293" i="1"/>
  <c r="L293" i="1" s="1"/>
  <c r="F293" i="1"/>
  <c r="K293" i="1" s="1"/>
  <c r="J292" i="1"/>
  <c r="I292" i="1"/>
  <c r="F292" i="1"/>
  <c r="K292" i="1" s="1"/>
  <c r="J291" i="1"/>
  <c r="I291" i="1"/>
  <c r="F291" i="1"/>
  <c r="K291" i="1" s="1"/>
  <c r="K290" i="1"/>
  <c r="J290" i="1"/>
  <c r="I290" i="1"/>
  <c r="F290" i="1"/>
  <c r="G290" i="1" s="1"/>
  <c r="L290" i="1" s="1"/>
  <c r="J289" i="1"/>
  <c r="I289" i="1"/>
  <c r="G289" i="1"/>
  <c r="L289" i="1" s="1"/>
  <c r="F289" i="1"/>
  <c r="K289" i="1" s="1"/>
  <c r="J288" i="1"/>
  <c r="I288" i="1"/>
  <c r="F288" i="1"/>
  <c r="G288" i="1" s="1"/>
  <c r="L288" i="1" s="1"/>
  <c r="J287" i="1"/>
  <c r="I287" i="1"/>
  <c r="F287" i="1"/>
  <c r="K287" i="1" s="1"/>
  <c r="J286" i="1"/>
  <c r="I286" i="1"/>
  <c r="F286" i="1"/>
  <c r="K286" i="1" s="1"/>
  <c r="J285" i="1"/>
  <c r="I285" i="1"/>
  <c r="F285" i="1"/>
  <c r="G285" i="1" s="1"/>
  <c r="L285" i="1" s="1"/>
  <c r="J284" i="1"/>
  <c r="I284" i="1"/>
  <c r="F284" i="1"/>
  <c r="K284" i="1" s="1"/>
  <c r="J283" i="1"/>
  <c r="I283" i="1"/>
  <c r="F283" i="1"/>
  <c r="G283" i="1" s="1"/>
  <c r="L283" i="1" s="1"/>
  <c r="J282" i="1"/>
  <c r="I282" i="1"/>
  <c r="G282" i="1"/>
  <c r="L282" i="1" s="1"/>
  <c r="F282" i="1"/>
  <c r="K282" i="1" s="1"/>
  <c r="J281" i="1"/>
  <c r="I281" i="1"/>
  <c r="F281" i="1"/>
  <c r="G281" i="1" s="1"/>
  <c r="L281" i="1" s="1"/>
  <c r="J280" i="1"/>
  <c r="I280" i="1"/>
  <c r="F280" i="1"/>
  <c r="K280" i="1" s="1"/>
  <c r="J279" i="1"/>
  <c r="I279" i="1"/>
  <c r="F279" i="1"/>
  <c r="K279" i="1" s="1"/>
  <c r="J278" i="1"/>
  <c r="I278" i="1"/>
  <c r="F278" i="1"/>
  <c r="G278" i="1" s="1"/>
  <c r="L278" i="1" s="1"/>
  <c r="J277" i="1"/>
  <c r="I277" i="1"/>
  <c r="F277" i="1"/>
  <c r="K277" i="1" s="1"/>
  <c r="J276" i="1"/>
  <c r="I276" i="1"/>
  <c r="F276" i="1"/>
  <c r="G276" i="1" s="1"/>
  <c r="L276" i="1" s="1"/>
  <c r="J275" i="1"/>
  <c r="I275" i="1"/>
  <c r="F275" i="1"/>
  <c r="K275" i="1" s="1"/>
  <c r="J274" i="1"/>
  <c r="I274" i="1"/>
  <c r="G274" i="1"/>
  <c r="L274" i="1" s="1"/>
  <c r="F274" i="1"/>
  <c r="K274" i="1" s="1"/>
  <c r="J273" i="1"/>
  <c r="I273" i="1"/>
  <c r="F273" i="1"/>
  <c r="G273" i="1" s="1"/>
  <c r="L273" i="1" s="1"/>
  <c r="J272" i="1"/>
  <c r="I272" i="1"/>
  <c r="F272" i="1"/>
  <c r="K272" i="1" s="1"/>
  <c r="J271" i="1"/>
  <c r="I271" i="1"/>
  <c r="F271" i="1"/>
  <c r="G271" i="1" s="1"/>
  <c r="L271" i="1" s="1"/>
  <c r="J269" i="1"/>
  <c r="I269" i="1"/>
  <c r="F269" i="1"/>
  <c r="K269" i="1" s="1"/>
  <c r="J268" i="1"/>
  <c r="I268" i="1"/>
  <c r="F268" i="1"/>
  <c r="K268" i="1" s="1"/>
  <c r="J267" i="1"/>
  <c r="I267" i="1"/>
  <c r="G267" i="1"/>
  <c r="L267" i="1" s="1"/>
  <c r="F267" i="1"/>
  <c r="K267" i="1" s="1"/>
  <c r="J266" i="1"/>
  <c r="I266" i="1"/>
  <c r="F266" i="1"/>
  <c r="K266" i="1" s="1"/>
  <c r="J265" i="1"/>
  <c r="I265" i="1"/>
  <c r="F265" i="1"/>
  <c r="G265" i="1" s="1"/>
  <c r="L265" i="1" s="1"/>
  <c r="J264" i="1"/>
  <c r="I264" i="1"/>
  <c r="G264" i="1"/>
  <c r="L264" i="1" s="1"/>
  <c r="F264" i="1"/>
  <c r="K264" i="1" s="1"/>
  <c r="J263" i="1"/>
  <c r="I263" i="1"/>
  <c r="F263" i="1"/>
  <c r="G263" i="1" s="1"/>
  <c r="L263" i="1" s="1"/>
  <c r="J262" i="1"/>
  <c r="I262" i="1"/>
  <c r="F262" i="1"/>
  <c r="K262" i="1" s="1"/>
  <c r="J261" i="1"/>
  <c r="I261" i="1"/>
  <c r="F261" i="1"/>
  <c r="K261" i="1" s="1"/>
  <c r="J260" i="1"/>
  <c r="I260" i="1"/>
  <c r="F260" i="1"/>
  <c r="G260" i="1" s="1"/>
  <c r="L260" i="1" s="1"/>
  <c r="J259" i="1"/>
  <c r="I259" i="1"/>
  <c r="F259" i="1"/>
  <c r="K259" i="1" s="1"/>
  <c r="J258" i="1"/>
  <c r="I258" i="1"/>
  <c r="F258" i="1"/>
  <c r="G258" i="1" s="1"/>
  <c r="L258" i="1" s="1"/>
  <c r="J257" i="1"/>
  <c r="I257" i="1"/>
  <c r="F257" i="1"/>
  <c r="K257" i="1" s="1"/>
  <c r="J256" i="1"/>
  <c r="I256" i="1"/>
  <c r="F256" i="1"/>
  <c r="G256" i="1" s="1"/>
  <c r="L256" i="1" s="1"/>
  <c r="J255" i="1"/>
  <c r="I255" i="1"/>
  <c r="F255" i="1"/>
  <c r="K255" i="1" s="1"/>
  <c r="J254" i="1"/>
  <c r="I254" i="1"/>
  <c r="F254" i="1"/>
  <c r="K254" i="1" s="1"/>
  <c r="J253" i="1"/>
  <c r="I253" i="1"/>
  <c r="F253" i="1"/>
  <c r="G253" i="1" s="1"/>
  <c r="L253" i="1" s="1"/>
  <c r="J252" i="1"/>
  <c r="I252" i="1"/>
  <c r="F252" i="1"/>
  <c r="G252" i="1" s="1"/>
  <c r="L252" i="1" s="1"/>
  <c r="J251" i="1"/>
  <c r="I251" i="1"/>
  <c r="F251" i="1"/>
  <c r="K251" i="1" s="1"/>
  <c r="J250" i="1"/>
  <c r="I250" i="1"/>
  <c r="G250" i="1"/>
  <c r="L250" i="1" s="1"/>
  <c r="F250" i="1"/>
  <c r="K250" i="1" s="1"/>
  <c r="J249" i="1"/>
  <c r="I249" i="1"/>
  <c r="F249" i="1"/>
  <c r="G249" i="1" s="1"/>
  <c r="L249" i="1" s="1"/>
  <c r="J248" i="1"/>
  <c r="I248" i="1"/>
  <c r="F248" i="1"/>
  <c r="G248" i="1" s="1"/>
  <c r="L248" i="1" s="1"/>
  <c r="J247" i="1"/>
  <c r="I247" i="1"/>
  <c r="F247" i="1"/>
  <c r="K247" i="1" s="1"/>
  <c r="J246" i="1"/>
  <c r="I246" i="1"/>
  <c r="F246" i="1"/>
  <c r="G246" i="1" s="1"/>
  <c r="L246" i="1" s="1"/>
  <c r="J245" i="1"/>
  <c r="I245" i="1"/>
  <c r="G245" i="1"/>
  <c r="L245" i="1" s="1"/>
  <c r="F245" i="1"/>
  <c r="K245" i="1" s="1"/>
  <c r="J244" i="1"/>
  <c r="I244" i="1"/>
  <c r="G244" i="1"/>
  <c r="L244" i="1" s="1"/>
  <c r="F244" i="1"/>
  <c r="K244" i="1" s="1"/>
  <c r="J243" i="1"/>
  <c r="I243" i="1"/>
  <c r="F243" i="1"/>
  <c r="K243" i="1" s="1"/>
  <c r="J242" i="1"/>
  <c r="I242" i="1"/>
  <c r="F242" i="1"/>
  <c r="K242" i="1" s="1"/>
  <c r="J241" i="1"/>
  <c r="I241" i="1"/>
  <c r="F241" i="1"/>
  <c r="G241" i="1" s="1"/>
  <c r="L241" i="1" s="1"/>
  <c r="J240" i="1"/>
  <c r="I240" i="1"/>
  <c r="F240" i="1"/>
  <c r="K240" i="1" s="1"/>
  <c r="J239" i="1"/>
  <c r="I239" i="1"/>
  <c r="F239" i="1"/>
  <c r="G239" i="1" s="1"/>
  <c r="L239" i="1" s="1"/>
  <c r="J238" i="1"/>
  <c r="I238" i="1"/>
  <c r="F238" i="1"/>
  <c r="K238" i="1" s="1"/>
  <c r="J237" i="1"/>
  <c r="I237" i="1"/>
  <c r="F237" i="1"/>
  <c r="G237" i="1" s="1"/>
  <c r="L237" i="1" s="1"/>
  <c r="J236" i="1"/>
  <c r="I236" i="1"/>
  <c r="F236" i="1"/>
  <c r="K236" i="1" s="1"/>
  <c r="J235" i="1"/>
  <c r="I235" i="1"/>
  <c r="F235" i="1"/>
  <c r="G235" i="1" s="1"/>
  <c r="L235" i="1" s="1"/>
  <c r="J234" i="1"/>
  <c r="I234" i="1"/>
  <c r="F234" i="1"/>
  <c r="K234" i="1" s="1"/>
  <c r="J233" i="1"/>
  <c r="I233" i="1"/>
  <c r="F233" i="1"/>
  <c r="G233" i="1" s="1"/>
  <c r="L233" i="1" s="1"/>
  <c r="J232" i="1"/>
  <c r="I232" i="1"/>
  <c r="G232" i="1"/>
  <c r="L232" i="1" s="1"/>
  <c r="F232" i="1"/>
  <c r="K232" i="1" s="1"/>
  <c r="J231" i="1"/>
  <c r="I231" i="1"/>
  <c r="F231" i="1"/>
  <c r="G231" i="1" s="1"/>
  <c r="L231" i="1" s="1"/>
  <c r="J230" i="1"/>
  <c r="I230" i="1"/>
  <c r="F230" i="1"/>
  <c r="K230" i="1" s="1"/>
  <c r="J229" i="1"/>
  <c r="I229" i="1"/>
  <c r="F229" i="1"/>
  <c r="G229" i="1" s="1"/>
  <c r="L229" i="1" s="1"/>
  <c r="J228" i="1"/>
  <c r="I228" i="1"/>
  <c r="F228" i="1"/>
  <c r="K228" i="1" s="1"/>
  <c r="J227" i="1"/>
  <c r="I227" i="1"/>
  <c r="F227" i="1"/>
  <c r="G227" i="1" s="1"/>
  <c r="L227" i="1" s="1"/>
  <c r="J226" i="1"/>
  <c r="I226" i="1"/>
  <c r="F226" i="1"/>
  <c r="K226" i="1" s="1"/>
  <c r="J225" i="1"/>
  <c r="I225" i="1"/>
  <c r="F225" i="1"/>
  <c r="G225" i="1" s="1"/>
  <c r="L225" i="1" s="1"/>
  <c r="J224" i="1"/>
  <c r="I224" i="1"/>
  <c r="G224" i="1"/>
  <c r="L224" i="1" s="1"/>
  <c r="F224" i="1"/>
  <c r="K224" i="1" s="1"/>
  <c r="J223" i="1"/>
  <c r="I223" i="1"/>
  <c r="F223" i="1"/>
  <c r="G223" i="1" s="1"/>
  <c r="L223" i="1" s="1"/>
  <c r="J222" i="1"/>
  <c r="I222" i="1"/>
  <c r="F222" i="1"/>
  <c r="K222" i="1" s="1"/>
  <c r="J221" i="1"/>
  <c r="I221" i="1"/>
  <c r="F221" i="1"/>
  <c r="G221" i="1" s="1"/>
  <c r="L221" i="1" s="1"/>
  <c r="J220" i="1"/>
  <c r="I220" i="1"/>
  <c r="F220" i="1"/>
  <c r="K220" i="1" s="1"/>
  <c r="J219" i="1"/>
  <c r="I219" i="1"/>
  <c r="F219" i="1"/>
  <c r="G219" i="1" s="1"/>
  <c r="L219" i="1" s="1"/>
  <c r="J218" i="1"/>
  <c r="I218" i="1"/>
  <c r="F218" i="1"/>
  <c r="K218" i="1" s="1"/>
  <c r="J217" i="1"/>
  <c r="I217" i="1"/>
  <c r="F217" i="1"/>
  <c r="G217" i="1" s="1"/>
  <c r="L217" i="1" s="1"/>
  <c r="J216" i="1"/>
  <c r="I216" i="1"/>
  <c r="F216" i="1"/>
  <c r="K216" i="1" s="1"/>
  <c r="J215" i="1"/>
  <c r="I215" i="1"/>
  <c r="F215" i="1"/>
  <c r="G215" i="1" s="1"/>
  <c r="L215" i="1" s="1"/>
  <c r="J214" i="1"/>
  <c r="I214" i="1"/>
  <c r="F214" i="1"/>
  <c r="K214" i="1" s="1"/>
  <c r="J213" i="1"/>
  <c r="I213" i="1"/>
  <c r="F213" i="1"/>
  <c r="G213" i="1" s="1"/>
  <c r="L213" i="1" s="1"/>
  <c r="J212" i="1"/>
  <c r="I212" i="1"/>
  <c r="F212" i="1"/>
  <c r="K212" i="1" s="1"/>
  <c r="J211" i="1"/>
  <c r="I211" i="1"/>
  <c r="F211" i="1"/>
  <c r="G211" i="1" s="1"/>
  <c r="L211" i="1" s="1"/>
  <c r="J210" i="1"/>
  <c r="I210" i="1"/>
  <c r="G210" i="1"/>
  <c r="L210" i="1" s="1"/>
  <c r="F210" i="1"/>
  <c r="K210" i="1" s="1"/>
  <c r="J209" i="1"/>
  <c r="I209" i="1"/>
  <c r="F209" i="1"/>
  <c r="G209" i="1" s="1"/>
  <c r="L209" i="1" s="1"/>
  <c r="J208" i="1"/>
  <c r="I208" i="1"/>
  <c r="F208" i="1"/>
  <c r="K208" i="1" s="1"/>
  <c r="J207" i="1"/>
  <c r="I207" i="1"/>
  <c r="F207" i="1"/>
  <c r="G207" i="1" s="1"/>
  <c r="L207" i="1" s="1"/>
  <c r="J206" i="1"/>
  <c r="I206" i="1"/>
  <c r="F206" i="1"/>
  <c r="K206" i="1" s="1"/>
  <c r="J205" i="1"/>
  <c r="I205" i="1"/>
  <c r="F205" i="1"/>
  <c r="G205" i="1" s="1"/>
  <c r="L205" i="1" s="1"/>
  <c r="J204" i="1"/>
  <c r="I204" i="1"/>
  <c r="F204" i="1"/>
  <c r="K204" i="1" s="1"/>
  <c r="J203" i="1"/>
  <c r="I203" i="1"/>
  <c r="F203" i="1"/>
  <c r="G203" i="1" s="1"/>
  <c r="L203" i="1" s="1"/>
  <c r="J202" i="1"/>
  <c r="I202" i="1"/>
  <c r="F202" i="1"/>
  <c r="K202" i="1" s="1"/>
  <c r="J201" i="1"/>
  <c r="I201" i="1"/>
  <c r="F201" i="1"/>
  <c r="G201" i="1" s="1"/>
  <c r="L201" i="1" s="1"/>
  <c r="J200" i="1"/>
  <c r="I200" i="1"/>
  <c r="G200" i="1"/>
  <c r="L200" i="1" s="1"/>
  <c r="F200" i="1"/>
  <c r="K200" i="1" s="1"/>
  <c r="J199" i="1"/>
  <c r="I199" i="1"/>
  <c r="F199" i="1"/>
  <c r="G199" i="1" s="1"/>
  <c r="L199" i="1" s="1"/>
  <c r="J198" i="1"/>
  <c r="I198" i="1"/>
  <c r="F198" i="1"/>
  <c r="K198" i="1" s="1"/>
  <c r="J197" i="1"/>
  <c r="I197" i="1"/>
  <c r="F197" i="1"/>
  <c r="G197" i="1" s="1"/>
  <c r="L197" i="1" s="1"/>
  <c r="J196" i="1"/>
  <c r="I196" i="1"/>
  <c r="F196" i="1"/>
  <c r="K196" i="1" s="1"/>
  <c r="J195" i="1"/>
  <c r="I195" i="1"/>
  <c r="F195" i="1"/>
  <c r="G195" i="1" s="1"/>
  <c r="L195" i="1" s="1"/>
  <c r="J194" i="1"/>
  <c r="I194" i="1"/>
  <c r="F194" i="1"/>
  <c r="K194" i="1" s="1"/>
  <c r="J193" i="1"/>
  <c r="I193" i="1"/>
  <c r="F193" i="1"/>
  <c r="G193" i="1" s="1"/>
  <c r="L193" i="1" s="1"/>
  <c r="J192" i="1"/>
  <c r="I192" i="1"/>
  <c r="F192" i="1"/>
  <c r="K192" i="1" s="1"/>
  <c r="J191" i="1"/>
  <c r="I191" i="1"/>
  <c r="F191" i="1"/>
  <c r="G191" i="1" s="1"/>
  <c r="L191" i="1" s="1"/>
  <c r="J190" i="1"/>
  <c r="I190" i="1"/>
  <c r="F190" i="1"/>
  <c r="K190" i="1" s="1"/>
  <c r="J189" i="1"/>
  <c r="I189" i="1"/>
  <c r="F189" i="1"/>
  <c r="G189" i="1" s="1"/>
  <c r="L189" i="1" s="1"/>
  <c r="J188" i="1"/>
  <c r="I188" i="1"/>
  <c r="F188" i="1"/>
  <c r="K188" i="1" s="1"/>
  <c r="J187" i="1"/>
  <c r="I187" i="1"/>
  <c r="F187" i="1"/>
  <c r="G187" i="1" s="1"/>
  <c r="L187" i="1" s="1"/>
  <c r="J186" i="1"/>
  <c r="I186" i="1"/>
  <c r="F186" i="1"/>
  <c r="K186" i="1" s="1"/>
  <c r="J185" i="1"/>
  <c r="I185" i="1"/>
  <c r="F185" i="1"/>
  <c r="G185" i="1" s="1"/>
  <c r="L185" i="1" s="1"/>
  <c r="J184" i="1"/>
  <c r="I184" i="1"/>
  <c r="G184" i="1"/>
  <c r="L184" i="1" s="1"/>
  <c r="F184" i="1"/>
  <c r="K184" i="1" s="1"/>
  <c r="J183" i="1"/>
  <c r="I183" i="1"/>
  <c r="F183" i="1"/>
  <c r="G183" i="1" s="1"/>
  <c r="L183" i="1" s="1"/>
  <c r="J182" i="1"/>
  <c r="I182" i="1"/>
  <c r="F182" i="1"/>
  <c r="K182" i="1" s="1"/>
  <c r="J181" i="1"/>
  <c r="I181" i="1"/>
  <c r="F181" i="1"/>
  <c r="G181" i="1" s="1"/>
  <c r="L181" i="1" s="1"/>
  <c r="J180" i="1"/>
  <c r="I180" i="1"/>
  <c r="F180" i="1"/>
  <c r="K180" i="1" s="1"/>
  <c r="J179" i="1"/>
  <c r="I179" i="1"/>
  <c r="F179" i="1"/>
  <c r="G179" i="1" s="1"/>
  <c r="L179" i="1" s="1"/>
  <c r="J178" i="1"/>
  <c r="I178" i="1"/>
  <c r="F178" i="1"/>
  <c r="K178" i="1" s="1"/>
  <c r="K177" i="1"/>
  <c r="J177" i="1"/>
  <c r="I177" i="1"/>
  <c r="G177" i="1"/>
  <c r="L177" i="1" s="1"/>
  <c r="J176" i="1"/>
  <c r="I176" i="1"/>
  <c r="F176" i="1"/>
  <c r="K176" i="1" s="1"/>
  <c r="J175" i="1"/>
  <c r="I175" i="1"/>
  <c r="F175" i="1"/>
  <c r="K175" i="1" s="1"/>
  <c r="J174" i="1"/>
  <c r="I174" i="1"/>
  <c r="F174" i="1"/>
  <c r="K174" i="1" s="1"/>
  <c r="J173" i="1"/>
  <c r="I173" i="1"/>
  <c r="G173" i="1"/>
  <c r="L173" i="1" s="1"/>
  <c r="F173" i="1"/>
  <c r="K173" i="1" s="1"/>
  <c r="J172" i="1"/>
  <c r="I172" i="1"/>
  <c r="F172" i="1"/>
  <c r="K172" i="1" s="1"/>
  <c r="J171" i="1"/>
  <c r="I171" i="1"/>
  <c r="F171" i="1"/>
  <c r="K171" i="1" s="1"/>
  <c r="J170" i="1"/>
  <c r="I170" i="1"/>
  <c r="F170" i="1"/>
  <c r="K170" i="1" s="1"/>
  <c r="K169" i="1"/>
  <c r="J169" i="1"/>
  <c r="I169" i="1"/>
  <c r="G169" i="1"/>
  <c r="L169" i="1" s="1"/>
  <c r="J168" i="1"/>
  <c r="I168" i="1"/>
  <c r="F168" i="1"/>
  <c r="G168" i="1" s="1"/>
  <c r="L168" i="1" s="1"/>
  <c r="J167" i="1"/>
  <c r="I167" i="1"/>
  <c r="F167" i="1"/>
  <c r="G167" i="1" s="1"/>
  <c r="L167" i="1" s="1"/>
  <c r="K165" i="1"/>
  <c r="J165" i="1"/>
  <c r="I165" i="1"/>
  <c r="G165" i="1"/>
  <c r="L165" i="1" s="1"/>
  <c r="J164" i="1"/>
  <c r="I164" i="1"/>
  <c r="F164" i="1"/>
  <c r="G164" i="1" s="1"/>
  <c r="L164" i="1" s="1"/>
  <c r="K163" i="1"/>
  <c r="J163" i="1"/>
  <c r="I163" i="1"/>
  <c r="G163" i="1"/>
  <c r="L163" i="1" s="1"/>
  <c r="J162" i="1"/>
  <c r="I162" i="1"/>
  <c r="F162" i="1"/>
  <c r="G162" i="1" s="1"/>
  <c r="L162" i="1" s="1"/>
  <c r="K161" i="1"/>
  <c r="J161" i="1"/>
  <c r="I161" i="1"/>
  <c r="G161" i="1"/>
  <c r="L161" i="1" s="1"/>
  <c r="K160" i="1"/>
  <c r="J160" i="1"/>
  <c r="I160" i="1"/>
  <c r="G160" i="1"/>
  <c r="L160" i="1" s="1"/>
  <c r="K159" i="1"/>
  <c r="J159" i="1"/>
  <c r="I159" i="1"/>
  <c r="G159" i="1"/>
  <c r="L159" i="1" s="1"/>
  <c r="J158" i="1"/>
  <c r="I158" i="1"/>
  <c r="F158" i="1"/>
  <c r="K158" i="1" s="1"/>
  <c r="J157" i="1"/>
  <c r="I157" i="1"/>
  <c r="F157" i="1"/>
  <c r="G157" i="1" s="1"/>
  <c r="L157" i="1" s="1"/>
  <c r="J156" i="1"/>
  <c r="I156" i="1"/>
  <c r="F156" i="1"/>
  <c r="K156" i="1" s="1"/>
  <c r="J155" i="1"/>
  <c r="I155" i="1"/>
  <c r="F155" i="1"/>
  <c r="K155" i="1" s="1"/>
  <c r="J154" i="1"/>
  <c r="I154" i="1"/>
  <c r="F154" i="1"/>
  <c r="K154" i="1" s="1"/>
  <c r="J153" i="1"/>
  <c r="I153" i="1"/>
  <c r="F153" i="1"/>
  <c r="K153" i="1" s="1"/>
  <c r="J152" i="1"/>
  <c r="I152" i="1"/>
  <c r="F152" i="1"/>
  <c r="J151" i="1"/>
  <c r="I151" i="1"/>
  <c r="F151" i="1"/>
  <c r="G151" i="1" s="1"/>
  <c r="L151" i="1" s="1"/>
  <c r="J150" i="1"/>
  <c r="I150" i="1"/>
  <c r="F150" i="1"/>
  <c r="J149" i="1"/>
  <c r="I149" i="1"/>
  <c r="F149" i="1"/>
  <c r="K149" i="1" s="1"/>
  <c r="J148" i="1"/>
  <c r="I148" i="1"/>
  <c r="F148" i="1"/>
  <c r="J147" i="1"/>
  <c r="I147" i="1"/>
  <c r="F147" i="1"/>
  <c r="K147" i="1" s="1"/>
  <c r="J146" i="1"/>
  <c r="I146" i="1"/>
  <c r="F146" i="1"/>
  <c r="J145" i="1"/>
  <c r="I145" i="1"/>
  <c r="F145" i="1"/>
  <c r="K145" i="1" s="1"/>
  <c r="J143" i="1"/>
  <c r="I143" i="1"/>
  <c r="F143" i="1"/>
  <c r="J142" i="1"/>
  <c r="I142" i="1"/>
  <c r="F142" i="1"/>
  <c r="G142" i="1" s="1"/>
  <c r="L142" i="1" s="1"/>
  <c r="J141" i="1"/>
  <c r="I141" i="1"/>
  <c r="F141" i="1"/>
  <c r="J140" i="1"/>
  <c r="I140" i="1"/>
  <c r="F140" i="1"/>
  <c r="K140" i="1" s="1"/>
  <c r="J139" i="1"/>
  <c r="I139" i="1"/>
  <c r="F139" i="1"/>
  <c r="J138" i="1"/>
  <c r="I138" i="1"/>
  <c r="F138" i="1"/>
  <c r="K138" i="1" s="1"/>
  <c r="J137" i="1"/>
  <c r="I137" i="1"/>
  <c r="F137" i="1"/>
  <c r="J136" i="1"/>
  <c r="I136" i="1"/>
  <c r="F136" i="1"/>
  <c r="K136" i="1" s="1"/>
  <c r="J135" i="1"/>
  <c r="I135" i="1"/>
  <c r="F135" i="1"/>
  <c r="J134" i="1"/>
  <c r="I134" i="1"/>
  <c r="F134" i="1"/>
  <c r="K134" i="1" s="1"/>
  <c r="J133" i="1"/>
  <c r="I133" i="1"/>
  <c r="F133" i="1"/>
  <c r="J132" i="1"/>
  <c r="I132" i="1"/>
  <c r="F132" i="1"/>
  <c r="K132" i="1" s="1"/>
  <c r="J131" i="1"/>
  <c r="I131" i="1"/>
  <c r="F131" i="1"/>
  <c r="J130" i="1"/>
  <c r="I130" i="1"/>
  <c r="F130" i="1"/>
  <c r="G130" i="1" s="1"/>
  <c r="L130" i="1" s="1"/>
  <c r="J129" i="1"/>
  <c r="I129" i="1"/>
  <c r="F129" i="1"/>
  <c r="J128" i="1"/>
  <c r="I128" i="1"/>
  <c r="F128" i="1"/>
  <c r="K128" i="1" s="1"/>
  <c r="J127" i="1"/>
  <c r="I127" i="1"/>
  <c r="F127" i="1"/>
  <c r="J126" i="1"/>
  <c r="I126" i="1"/>
  <c r="F126" i="1"/>
  <c r="K126" i="1" s="1"/>
  <c r="J125" i="1"/>
  <c r="I125" i="1"/>
  <c r="F125" i="1"/>
  <c r="K125" i="1" s="1"/>
  <c r="J124" i="1"/>
  <c r="I124" i="1"/>
  <c r="F124" i="1"/>
  <c r="K124" i="1" s="1"/>
  <c r="J123" i="1"/>
  <c r="I123" i="1"/>
  <c r="F123" i="1"/>
  <c r="K123" i="1" s="1"/>
  <c r="J122" i="1"/>
  <c r="I122" i="1"/>
  <c r="F122" i="1"/>
  <c r="K122" i="1" s="1"/>
  <c r="J121" i="1"/>
  <c r="I121" i="1"/>
  <c r="F121" i="1"/>
  <c r="K121" i="1" s="1"/>
  <c r="J120" i="1"/>
  <c r="I120" i="1"/>
  <c r="F120" i="1"/>
  <c r="G120" i="1" s="1"/>
  <c r="L120" i="1" s="1"/>
  <c r="J119" i="1"/>
  <c r="I119" i="1"/>
  <c r="F119" i="1"/>
  <c r="K119" i="1" s="1"/>
  <c r="J118" i="1"/>
  <c r="I118" i="1"/>
  <c r="F118" i="1"/>
  <c r="K118" i="1" s="1"/>
  <c r="J117" i="1"/>
  <c r="I117" i="1"/>
  <c r="F117" i="1"/>
  <c r="K117" i="1" s="1"/>
  <c r="J116" i="1"/>
  <c r="I116" i="1"/>
  <c r="F116" i="1"/>
  <c r="K116" i="1" s="1"/>
  <c r="J115" i="1"/>
  <c r="I115" i="1"/>
  <c r="F115" i="1"/>
  <c r="K115" i="1" s="1"/>
  <c r="J114" i="1"/>
  <c r="I114" i="1"/>
  <c r="F114" i="1"/>
  <c r="G114" i="1" s="1"/>
  <c r="L114" i="1" s="1"/>
  <c r="J113" i="1"/>
  <c r="I113" i="1"/>
  <c r="F113" i="1"/>
  <c r="K113" i="1" s="1"/>
  <c r="J112" i="1"/>
  <c r="I112" i="1"/>
  <c r="F112" i="1"/>
  <c r="K112" i="1" s="1"/>
  <c r="J111" i="1"/>
  <c r="I111" i="1"/>
  <c r="F111" i="1"/>
  <c r="K111" i="1" s="1"/>
  <c r="J110" i="1"/>
  <c r="I110" i="1"/>
  <c r="F110" i="1"/>
  <c r="K110" i="1" s="1"/>
  <c r="J109" i="1"/>
  <c r="I109" i="1"/>
  <c r="F109" i="1"/>
  <c r="K109" i="1" s="1"/>
  <c r="J108" i="1"/>
  <c r="I108" i="1"/>
  <c r="F108" i="1"/>
  <c r="K108" i="1" s="1"/>
  <c r="J106" i="1"/>
  <c r="I106" i="1"/>
  <c r="F106" i="1"/>
  <c r="K106" i="1" s="1"/>
  <c r="J105" i="1"/>
  <c r="I105" i="1"/>
  <c r="F105" i="1"/>
  <c r="K105" i="1" s="1"/>
  <c r="J104" i="1"/>
  <c r="I104" i="1"/>
  <c r="F104" i="1"/>
  <c r="K104" i="1" s="1"/>
  <c r="J103" i="1"/>
  <c r="I103" i="1"/>
  <c r="F103" i="1"/>
  <c r="G103" i="1" s="1"/>
  <c r="L103" i="1" s="1"/>
  <c r="J102" i="1"/>
  <c r="I102" i="1"/>
  <c r="F102" i="1"/>
  <c r="K102" i="1" s="1"/>
  <c r="J101" i="1"/>
  <c r="I101" i="1"/>
  <c r="F101" i="1"/>
  <c r="K101" i="1" s="1"/>
  <c r="J100" i="1"/>
  <c r="I100" i="1"/>
  <c r="F100" i="1"/>
  <c r="K100" i="1" s="1"/>
  <c r="J99" i="1"/>
  <c r="I99" i="1"/>
  <c r="F99" i="1"/>
  <c r="K99" i="1" s="1"/>
  <c r="J98" i="1"/>
  <c r="I98" i="1"/>
  <c r="F98" i="1"/>
  <c r="K98" i="1" s="1"/>
  <c r="J97" i="1"/>
  <c r="I97" i="1"/>
  <c r="F97" i="1"/>
  <c r="K97" i="1" s="1"/>
  <c r="J96" i="1"/>
  <c r="I96" i="1"/>
  <c r="F96" i="1"/>
  <c r="K96" i="1" s="1"/>
  <c r="J95" i="1"/>
  <c r="I95" i="1"/>
  <c r="F95" i="1"/>
  <c r="K95" i="1" s="1"/>
  <c r="J94" i="1"/>
  <c r="I94" i="1"/>
  <c r="F94" i="1"/>
  <c r="K94" i="1" s="1"/>
  <c r="J93" i="1"/>
  <c r="I93" i="1"/>
  <c r="F93" i="1"/>
  <c r="G93" i="1" s="1"/>
  <c r="L93" i="1" s="1"/>
  <c r="J92" i="1"/>
  <c r="I92" i="1"/>
  <c r="F92" i="1"/>
  <c r="K92" i="1" s="1"/>
  <c r="J91" i="1"/>
  <c r="I91" i="1"/>
  <c r="F91" i="1"/>
  <c r="K91" i="1" s="1"/>
  <c r="J90" i="1"/>
  <c r="I90" i="1"/>
  <c r="F90" i="1"/>
  <c r="K90" i="1" s="1"/>
  <c r="J89" i="1"/>
  <c r="I89" i="1"/>
  <c r="F89" i="1"/>
  <c r="K89" i="1" s="1"/>
  <c r="J88" i="1"/>
  <c r="I88" i="1"/>
  <c r="F88" i="1"/>
  <c r="K88" i="1" s="1"/>
  <c r="J87" i="1"/>
  <c r="I87" i="1"/>
  <c r="F87" i="1"/>
  <c r="K87" i="1" s="1"/>
  <c r="J86" i="1"/>
  <c r="I86" i="1"/>
  <c r="F86" i="1"/>
  <c r="G86" i="1" s="1"/>
  <c r="L86" i="1" s="1"/>
  <c r="J85" i="1"/>
  <c r="I85" i="1"/>
  <c r="F85" i="1"/>
  <c r="G85" i="1" s="1"/>
  <c r="L85" i="1" s="1"/>
  <c r="J84" i="1"/>
  <c r="I84" i="1"/>
  <c r="F84" i="1"/>
  <c r="G84" i="1" s="1"/>
  <c r="L84" i="1" s="1"/>
  <c r="J83" i="1"/>
  <c r="I83" i="1"/>
  <c r="F83" i="1"/>
  <c r="K83" i="1" s="1"/>
  <c r="J82" i="1"/>
  <c r="I82" i="1"/>
  <c r="F82" i="1"/>
  <c r="G82" i="1" s="1"/>
  <c r="L82" i="1" s="1"/>
  <c r="J81" i="1"/>
  <c r="I81" i="1"/>
  <c r="F81" i="1"/>
  <c r="K81" i="1" s="1"/>
  <c r="J80" i="1"/>
  <c r="I80" i="1"/>
  <c r="F80" i="1"/>
  <c r="G80" i="1" s="1"/>
  <c r="L80" i="1" s="1"/>
  <c r="K78" i="1"/>
  <c r="J78" i="1"/>
  <c r="I78" i="1"/>
  <c r="G78" i="1"/>
  <c r="L78" i="1" s="1"/>
  <c r="K77" i="1"/>
  <c r="J77" i="1"/>
  <c r="I77" i="1"/>
  <c r="G77" i="1"/>
  <c r="L77" i="1" s="1"/>
  <c r="K76" i="1"/>
  <c r="J76" i="1"/>
  <c r="I76" i="1"/>
  <c r="G76" i="1"/>
  <c r="L76" i="1" s="1"/>
  <c r="K75" i="1"/>
  <c r="J75" i="1"/>
  <c r="I75" i="1"/>
  <c r="G75" i="1"/>
  <c r="L75" i="1" s="1"/>
  <c r="K74" i="1"/>
  <c r="J74" i="1"/>
  <c r="I74" i="1"/>
  <c r="G74" i="1"/>
  <c r="L74" i="1" s="1"/>
  <c r="K73" i="1"/>
  <c r="J73" i="1"/>
  <c r="I73" i="1"/>
  <c r="G73" i="1"/>
  <c r="L73" i="1" s="1"/>
  <c r="K72" i="1"/>
  <c r="J72" i="1"/>
  <c r="I72" i="1"/>
  <c r="G72" i="1"/>
  <c r="L72" i="1" s="1"/>
  <c r="N71" i="1"/>
  <c r="K71" i="1"/>
  <c r="J71" i="1"/>
  <c r="I71" i="1"/>
  <c r="G71" i="1"/>
  <c r="L71" i="1" s="1"/>
  <c r="K70" i="1"/>
  <c r="J70" i="1"/>
  <c r="I70" i="1"/>
  <c r="G70" i="1"/>
  <c r="L70" i="1" s="1"/>
  <c r="K69" i="1"/>
  <c r="J69" i="1"/>
  <c r="I69" i="1"/>
  <c r="G69" i="1"/>
  <c r="L69" i="1" s="1"/>
  <c r="K68" i="1"/>
  <c r="J68" i="1"/>
  <c r="I68" i="1"/>
  <c r="G68" i="1"/>
  <c r="L68" i="1" s="1"/>
  <c r="K67" i="1"/>
  <c r="J67" i="1"/>
  <c r="I67" i="1"/>
  <c r="G67" i="1"/>
  <c r="L67" i="1" s="1"/>
  <c r="K66" i="1"/>
  <c r="J66" i="1"/>
  <c r="I66" i="1"/>
  <c r="G66" i="1"/>
  <c r="L66" i="1" s="1"/>
  <c r="K65" i="1"/>
  <c r="J65" i="1"/>
  <c r="I65" i="1"/>
  <c r="G65" i="1"/>
  <c r="L65" i="1" s="1"/>
  <c r="K64" i="1"/>
  <c r="J64" i="1"/>
  <c r="I64" i="1"/>
  <c r="G64" i="1"/>
  <c r="L64" i="1" s="1"/>
  <c r="K63" i="1"/>
  <c r="J63" i="1"/>
  <c r="I63" i="1"/>
  <c r="G63" i="1"/>
  <c r="L63" i="1" s="1"/>
  <c r="J62" i="1"/>
  <c r="I62" i="1"/>
  <c r="F62" i="1"/>
  <c r="G62" i="1" s="1"/>
  <c r="L62" i="1" s="1"/>
  <c r="J61" i="1"/>
  <c r="I61" i="1"/>
  <c r="F61" i="1"/>
  <c r="K61" i="1" s="1"/>
  <c r="J60" i="1"/>
  <c r="I60" i="1"/>
  <c r="F60" i="1"/>
  <c r="K60" i="1" s="1"/>
  <c r="J59" i="1"/>
  <c r="I59" i="1"/>
  <c r="F59" i="1"/>
  <c r="K59" i="1" s="1"/>
  <c r="K58" i="1"/>
  <c r="J58" i="1"/>
  <c r="I58" i="1"/>
  <c r="F58" i="1"/>
  <c r="G58" i="1" s="1"/>
  <c r="L58" i="1" s="1"/>
  <c r="J57" i="1"/>
  <c r="I57" i="1"/>
  <c r="F57" i="1"/>
  <c r="K57" i="1" s="1"/>
  <c r="J56" i="1"/>
  <c r="I56" i="1"/>
  <c r="F56" i="1"/>
  <c r="G56" i="1" s="1"/>
  <c r="L56" i="1" s="1"/>
  <c r="J55" i="1"/>
  <c r="I55" i="1"/>
  <c r="F55" i="1"/>
  <c r="K55" i="1" s="1"/>
  <c r="J54" i="1"/>
  <c r="I54" i="1"/>
  <c r="G54" i="1"/>
  <c r="L54" i="1" s="1"/>
  <c r="F54" i="1"/>
  <c r="K54" i="1" s="1"/>
  <c r="J53" i="1"/>
  <c r="I53" i="1"/>
  <c r="F53" i="1"/>
  <c r="K53" i="1" s="1"/>
  <c r="J52" i="1"/>
  <c r="I52" i="1"/>
  <c r="F52" i="1"/>
  <c r="K52" i="1" s="1"/>
  <c r="J51" i="1"/>
  <c r="I51" i="1"/>
  <c r="F51" i="1"/>
  <c r="K51" i="1" s="1"/>
  <c r="J50" i="1"/>
  <c r="I50" i="1"/>
  <c r="F50" i="1"/>
  <c r="G50" i="1" s="1"/>
  <c r="L50" i="1" s="1"/>
  <c r="J49" i="1"/>
  <c r="I49" i="1"/>
  <c r="F49" i="1"/>
  <c r="K49" i="1" s="1"/>
  <c r="J48" i="1"/>
  <c r="I48" i="1"/>
  <c r="F48" i="1"/>
  <c r="K48" i="1" s="1"/>
  <c r="J47" i="1"/>
  <c r="I47" i="1"/>
  <c r="F47" i="1"/>
  <c r="K47" i="1" s="1"/>
  <c r="J46" i="1"/>
  <c r="I46" i="1"/>
  <c r="F46" i="1"/>
  <c r="K46" i="1" s="1"/>
  <c r="J45" i="1"/>
  <c r="I45" i="1"/>
  <c r="F45" i="1"/>
  <c r="K45" i="1" s="1"/>
  <c r="K44" i="1"/>
  <c r="J44" i="1"/>
  <c r="I44" i="1"/>
  <c r="F44" i="1"/>
  <c r="G44" i="1" s="1"/>
  <c r="L44" i="1" s="1"/>
  <c r="J43" i="1"/>
  <c r="I43" i="1"/>
  <c r="F43" i="1"/>
  <c r="K43" i="1" s="1"/>
  <c r="J42" i="1"/>
  <c r="I42" i="1"/>
  <c r="F42" i="1"/>
  <c r="K42" i="1" s="1"/>
  <c r="J41" i="1"/>
  <c r="I41" i="1"/>
  <c r="F41" i="1"/>
  <c r="K41" i="1" s="1"/>
  <c r="J40" i="1"/>
  <c r="I40" i="1"/>
  <c r="F40" i="1"/>
  <c r="G40" i="1" s="1"/>
  <c r="L40" i="1" s="1"/>
  <c r="J39" i="1"/>
  <c r="I39" i="1"/>
  <c r="F39" i="1"/>
  <c r="K39" i="1" s="1"/>
  <c r="J38" i="1"/>
  <c r="I38" i="1"/>
  <c r="F38" i="1"/>
  <c r="K38" i="1" s="1"/>
  <c r="J37" i="1"/>
  <c r="I37" i="1"/>
  <c r="F37" i="1"/>
  <c r="K37" i="1" s="1"/>
  <c r="J36" i="1"/>
  <c r="I36" i="1"/>
  <c r="F36" i="1"/>
  <c r="G36" i="1" s="1"/>
  <c r="L36" i="1" s="1"/>
  <c r="J35" i="1"/>
  <c r="I35" i="1"/>
  <c r="F35" i="1"/>
  <c r="K35" i="1" s="1"/>
  <c r="J34" i="1"/>
  <c r="I34" i="1"/>
  <c r="F34" i="1"/>
  <c r="K34" i="1" s="1"/>
  <c r="J33" i="1"/>
  <c r="I33" i="1"/>
  <c r="F33" i="1"/>
  <c r="K33" i="1" s="1"/>
  <c r="J32" i="1"/>
  <c r="I32" i="1"/>
  <c r="F32" i="1"/>
  <c r="G32" i="1" s="1"/>
  <c r="L32" i="1" s="1"/>
  <c r="J31" i="1"/>
  <c r="I31" i="1"/>
  <c r="F31" i="1"/>
  <c r="K31" i="1" s="1"/>
  <c r="J30" i="1"/>
  <c r="I30" i="1"/>
  <c r="F30" i="1"/>
  <c r="K30" i="1" s="1"/>
  <c r="J29" i="1"/>
  <c r="I29" i="1"/>
  <c r="F29" i="1"/>
  <c r="K29" i="1" s="1"/>
  <c r="J28" i="1"/>
  <c r="I28" i="1"/>
  <c r="F28" i="1"/>
  <c r="K28" i="1" s="1"/>
  <c r="J27" i="1"/>
  <c r="I27" i="1"/>
  <c r="F27" i="1"/>
  <c r="K27" i="1" s="1"/>
  <c r="J26" i="1"/>
  <c r="I26" i="1"/>
  <c r="F26" i="1"/>
  <c r="G26" i="1" s="1"/>
  <c r="L26" i="1" s="1"/>
  <c r="J25" i="1"/>
  <c r="I25" i="1"/>
  <c r="F25" i="1"/>
  <c r="K25" i="1" s="1"/>
  <c r="K24" i="1"/>
  <c r="J24" i="1"/>
  <c r="I24" i="1"/>
  <c r="G24" i="1"/>
  <c r="L24" i="1" s="1"/>
  <c r="F24" i="1"/>
  <c r="J23" i="1"/>
  <c r="I23" i="1"/>
  <c r="F23" i="1"/>
  <c r="K23" i="1" s="1"/>
  <c r="J22" i="1"/>
  <c r="I22" i="1"/>
  <c r="F22" i="1"/>
  <c r="K22" i="1" s="1"/>
  <c r="J21" i="1"/>
  <c r="I21" i="1"/>
  <c r="F21" i="1"/>
  <c r="K21" i="1" s="1"/>
  <c r="J20" i="1"/>
  <c r="I20" i="1"/>
  <c r="F20" i="1"/>
  <c r="K20" i="1" s="1"/>
  <c r="J19" i="1"/>
  <c r="I19" i="1"/>
  <c r="F19" i="1"/>
  <c r="K19" i="1" s="1"/>
  <c r="J18" i="1"/>
  <c r="L18" i="1" s="1"/>
  <c r="I18" i="1"/>
  <c r="F18" i="1"/>
  <c r="K18" i="1" s="1"/>
  <c r="J17" i="1"/>
  <c r="L17" i="1" s="1"/>
  <c r="I17" i="1"/>
  <c r="F17" i="1"/>
  <c r="K17" i="1" s="1"/>
  <c r="G48" i="1" l="1"/>
  <c r="L48" i="1" s="1"/>
  <c r="N639" i="1"/>
  <c r="N656" i="1"/>
  <c r="G188" i="1"/>
  <c r="L188" i="1" s="1"/>
  <c r="G305" i="1"/>
  <c r="L305" i="1" s="1"/>
  <c r="N537" i="1"/>
  <c r="N613" i="1"/>
  <c r="N682" i="1"/>
  <c r="G30" i="1"/>
  <c r="L30" i="1" s="1"/>
  <c r="G316" i="1"/>
  <c r="L316" i="1" s="1"/>
  <c r="N605" i="1"/>
  <c r="N688" i="1"/>
  <c r="N694" i="1"/>
  <c r="G59" i="1"/>
  <c r="L59" i="1" s="1"/>
  <c r="G204" i="1"/>
  <c r="L204" i="1" s="1"/>
  <c r="N648" i="1"/>
  <c r="G20" i="1"/>
  <c r="L20" i="1" s="1"/>
  <c r="G27" i="1"/>
  <c r="L27" i="1" s="1"/>
  <c r="G42" i="1"/>
  <c r="L42" i="1" s="1"/>
  <c r="N637" i="1"/>
  <c r="K56" i="1"/>
  <c r="G216" i="1"/>
  <c r="L216" i="1" s="1"/>
  <c r="G310" i="1"/>
  <c r="L310" i="1" s="1"/>
  <c r="N560" i="1"/>
  <c r="N674" i="1"/>
  <c r="N683" i="1"/>
  <c r="G220" i="1"/>
  <c r="L220" i="1" s="1"/>
  <c r="N626" i="1"/>
  <c r="N698" i="1"/>
  <c r="N606" i="1"/>
  <c r="G240" i="1"/>
  <c r="L240" i="1" s="1"/>
  <c r="K258" i="1"/>
  <c r="G311" i="1"/>
  <c r="L311" i="1" s="1"/>
  <c r="N547" i="1"/>
  <c r="N658" i="1"/>
  <c r="N664" i="1"/>
  <c r="N678" i="1"/>
  <c r="N550" i="1"/>
  <c r="N690" i="1"/>
  <c r="N696" i="1"/>
  <c r="K36" i="1"/>
  <c r="G180" i="1"/>
  <c r="L180" i="1" s="1"/>
  <c r="K32" i="1"/>
  <c r="K82" i="1"/>
  <c r="G196" i="1"/>
  <c r="L196" i="1" s="1"/>
  <c r="G236" i="1"/>
  <c r="L236" i="1" s="1"/>
  <c r="K249" i="1"/>
  <c r="K252" i="1"/>
  <c r="K288" i="1"/>
  <c r="K307" i="1"/>
  <c r="N538" i="1"/>
  <c r="N612" i="1"/>
  <c r="N629" i="1"/>
  <c r="N686" i="1"/>
  <c r="K246" i="1"/>
  <c r="K256" i="1"/>
  <c r="N570" i="1"/>
  <c r="N588" i="1"/>
  <c r="N646" i="1"/>
  <c r="N692" i="1"/>
  <c r="K317" i="1"/>
  <c r="N526" i="1"/>
  <c r="N536" i="1"/>
  <c r="N549" i="1"/>
  <c r="N562" i="1"/>
  <c r="N583" i="1"/>
  <c r="N615" i="1"/>
  <c r="N618" i="1"/>
  <c r="N624" i="1"/>
  <c r="N638" i="1"/>
  <c r="N662" i="1"/>
  <c r="G34" i="1"/>
  <c r="L34" i="1" s="1"/>
  <c r="K40" i="1"/>
  <c r="G47" i="1"/>
  <c r="L47" i="1" s="1"/>
  <c r="K62" i="1"/>
  <c r="G186" i="1"/>
  <c r="L186" i="1" s="1"/>
  <c r="G208" i="1"/>
  <c r="L208" i="1" s="1"/>
  <c r="G257" i="1"/>
  <c r="L257" i="1" s="1"/>
  <c r="G286" i="1"/>
  <c r="L286" i="1" s="1"/>
  <c r="G292" i="1"/>
  <c r="L292" i="1" s="1"/>
  <c r="G299" i="1"/>
  <c r="L299" i="1" s="1"/>
  <c r="N602" i="1"/>
  <c r="N627" i="1"/>
  <c r="N630" i="1"/>
  <c r="N668" i="1"/>
  <c r="N676" i="1"/>
  <c r="N684" i="1"/>
  <c r="N703" i="1"/>
  <c r="G28" i="1"/>
  <c r="L28" i="1" s="1"/>
  <c r="G60" i="1"/>
  <c r="L60" i="1" s="1"/>
  <c r="G212" i="1"/>
  <c r="L212" i="1" s="1"/>
  <c r="G234" i="1"/>
  <c r="L234" i="1" s="1"/>
  <c r="G261" i="1"/>
  <c r="L261" i="1" s="1"/>
  <c r="K339" i="1"/>
  <c r="N497" i="1"/>
  <c r="N633" i="1"/>
  <c r="N636" i="1"/>
  <c r="N660" i="1"/>
  <c r="G38" i="1"/>
  <c r="L38" i="1" s="1"/>
  <c r="G306" i="1"/>
  <c r="L306" i="1" s="1"/>
  <c r="K336" i="1"/>
  <c r="N514" i="1"/>
  <c r="N558" i="1"/>
  <c r="N571" i="1"/>
  <c r="N666" i="1"/>
  <c r="K276" i="1"/>
  <c r="K283" i="1"/>
  <c r="N584" i="1"/>
  <c r="N600" i="1"/>
  <c r="N608" i="1"/>
  <c r="N628" i="1"/>
  <c r="N704" i="1"/>
  <c r="N650" i="1"/>
  <c r="N680" i="1"/>
  <c r="G23" i="1"/>
  <c r="L23" i="1" s="1"/>
  <c r="G228" i="1"/>
  <c r="L228" i="1" s="1"/>
  <c r="G269" i="1"/>
  <c r="L269" i="1" s="1"/>
  <c r="G277" i="1"/>
  <c r="L277" i="1" s="1"/>
  <c r="G334" i="1"/>
  <c r="L334" i="1" s="1"/>
  <c r="N525" i="1"/>
  <c r="N548" i="1"/>
  <c r="N561" i="1"/>
  <c r="N574" i="1"/>
  <c r="N582" i="1"/>
  <c r="N590" i="1"/>
  <c r="N611" i="1"/>
  <c r="N614" i="1"/>
  <c r="N645" i="1"/>
  <c r="K327" i="1"/>
  <c r="N672" i="1"/>
  <c r="G46" i="1"/>
  <c r="L46" i="1" s="1"/>
  <c r="G192" i="1"/>
  <c r="L192" i="1" s="1"/>
  <c r="G291" i="1"/>
  <c r="L291" i="1" s="1"/>
  <c r="N546" i="1"/>
  <c r="N559" i="1"/>
  <c r="N572" i="1"/>
  <c r="N617" i="1"/>
  <c r="I15" i="1"/>
  <c r="G175" i="1"/>
  <c r="L175" i="1" s="1"/>
  <c r="G178" i="1"/>
  <c r="L178" i="1" s="1"/>
  <c r="G202" i="1"/>
  <c r="L202" i="1" s="1"/>
  <c r="G226" i="1"/>
  <c r="L226" i="1" s="1"/>
  <c r="G243" i="1"/>
  <c r="L243" i="1" s="1"/>
  <c r="G266" i="1"/>
  <c r="L266" i="1" s="1"/>
  <c r="K278" i="1"/>
  <c r="K295" i="1"/>
  <c r="G304" i="1"/>
  <c r="L304" i="1" s="1"/>
  <c r="G318" i="1"/>
  <c r="L318" i="1" s="1"/>
  <c r="K338" i="1"/>
  <c r="N551" i="1"/>
  <c r="N563" i="1"/>
  <c r="N575" i="1"/>
  <c r="N587" i="1"/>
  <c r="N596" i="1"/>
  <c r="N599" i="1"/>
  <c r="N616" i="1"/>
  <c r="N643" i="1"/>
  <c r="N675" i="1"/>
  <c r="N687" i="1"/>
  <c r="K26" i="1"/>
  <c r="K50" i="1"/>
  <c r="K162" i="1"/>
  <c r="K263" i="1"/>
  <c r="K281" i="1"/>
  <c r="K301" i="1"/>
  <c r="K315" i="1"/>
  <c r="K324" i="1"/>
  <c r="N502" i="1"/>
  <c r="N512" i="1"/>
  <c r="N544" i="1"/>
  <c r="N556" i="1"/>
  <c r="N568" i="1"/>
  <c r="N580" i="1"/>
  <c r="N697" i="1"/>
  <c r="G35" i="1"/>
  <c r="L35" i="1" s="1"/>
  <c r="K80" i="1"/>
  <c r="G182" i="1"/>
  <c r="L182" i="1" s="1"/>
  <c r="G206" i="1"/>
  <c r="L206" i="1" s="1"/>
  <c r="G230" i="1"/>
  <c r="L230" i="1" s="1"/>
  <c r="G255" i="1"/>
  <c r="L255" i="1" s="1"/>
  <c r="G279" i="1"/>
  <c r="L279" i="1" s="1"/>
  <c r="G322" i="1"/>
  <c r="L322" i="1" s="1"/>
  <c r="G330" i="1"/>
  <c r="L330" i="1" s="1"/>
  <c r="N573" i="1"/>
  <c r="N585" i="1"/>
  <c r="N594" i="1"/>
  <c r="N597" i="1"/>
  <c r="N609" i="1"/>
  <c r="N631" i="1"/>
  <c r="N651" i="1"/>
  <c r="N685" i="1"/>
  <c r="N500" i="1"/>
  <c r="N542" i="1"/>
  <c r="N554" i="1"/>
  <c r="N566" i="1"/>
  <c r="N578" i="1"/>
  <c r="N695" i="1"/>
  <c r="G51" i="1"/>
  <c r="L51" i="1" s="1"/>
  <c r="N595" i="1"/>
  <c r="N644" i="1"/>
  <c r="N462" i="1"/>
  <c r="N465" i="1"/>
  <c r="N468" i="1"/>
  <c r="N471" i="1"/>
  <c r="N474" i="1"/>
  <c r="N477" i="1"/>
  <c r="N480" i="1"/>
  <c r="N483" i="1"/>
  <c r="N486" i="1"/>
  <c r="N489" i="1"/>
  <c r="N492" i="1"/>
  <c r="N495" i="1"/>
  <c r="N540" i="1"/>
  <c r="N552" i="1"/>
  <c r="N564" i="1"/>
  <c r="N576" i="1"/>
  <c r="N607" i="1"/>
  <c r="N622" i="1"/>
  <c r="N649" i="1"/>
  <c r="N702" i="1"/>
  <c r="N705" i="1"/>
  <c r="K84" i="1"/>
  <c r="K167" i="1"/>
  <c r="G190" i="1"/>
  <c r="L190" i="1" s="1"/>
  <c r="G214" i="1"/>
  <c r="L214" i="1" s="1"/>
  <c r="G238" i="1"/>
  <c r="L238" i="1" s="1"/>
  <c r="G262" i="1"/>
  <c r="L262" i="1" s="1"/>
  <c r="G280" i="1"/>
  <c r="L280" i="1" s="1"/>
  <c r="G294" i="1"/>
  <c r="L294" i="1" s="1"/>
  <c r="K319" i="1"/>
  <c r="G323" i="1"/>
  <c r="L323" i="1" s="1"/>
  <c r="N513" i="1"/>
  <c r="N533" i="1"/>
  <c r="N545" i="1"/>
  <c r="N557" i="1"/>
  <c r="N569" i="1"/>
  <c r="N581" i="1"/>
  <c r="N593" i="1"/>
  <c r="N610" i="1"/>
  <c r="N632" i="1"/>
  <c r="N681" i="1"/>
  <c r="N693" i="1"/>
  <c r="K271" i="1"/>
  <c r="G22" i="1"/>
  <c r="L22" i="1" s="1"/>
  <c r="G39" i="1"/>
  <c r="L39" i="1" s="1"/>
  <c r="G52" i="1"/>
  <c r="L52" i="1" s="1"/>
  <c r="G171" i="1"/>
  <c r="L171" i="1" s="1"/>
  <c r="G194" i="1"/>
  <c r="L194" i="1" s="1"/>
  <c r="G218" i="1"/>
  <c r="L218" i="1" s="1"/>
  <c r="G242" i="1"/>
  <c r="L242" i="1" s="1"/>
  <c r="G251" i="1"/>
  <c r="L251" i="1" s="1"/>
  <c r="K253" i="1"/>
  <c r="G268" i="1"/>
  <c r="L268" i="1" s="1"/>
  <c r="G275" i="1"/>
  <c r="L275" i="1" s="1"/>
  <c r="G298" i="1"/>
  <c r="L298" i="1" s="1"/>
  <c r="G312" i="1"/>
  <c r="L312" i="1" s="1"/>
  <c r="K314" i="1"/>
  <c r="K331" i="1"/>
  <c r="G335" i="1"/>
  <c r="L335" i="1" s="1"/>
  <c r="N501" i="1"/>
  <c r="N521" i="1"/>
  <c r="N543" i="1"/>
  <c r="N555" i="1"/>
  <c r="N567" i="1"/>
  <c r="N579" i="1"/>
  <c r="N591" i="1"/>
  <c r="N603" i="1"/>
  <c r="N620" i="1"/>
  <c r="N679" i="1"/>
  <c r="N691" i="1"/>
  <c r="N701" i="1"/>
  <c r="K164" i="1"/>
  <c r="K168" i="1"/>
  <c r="G198" i="1"/>
  <c r="L198" i="1" s="1"/>
  <c r="G222" i="1"/>
  <c r="L222" i="1" s="1"/>
  <c r="G254" i="1"/>
  <c r="L254" i="1" s="1"/>
  <c r="K265" i="1"/>
  <c r="G287" i="1"/>
  <c r="L287" i="1" s="1"/>
  <c r="K326" i="1"/>
  <c r="N509" i="1"/>
  <c r="N541" i="1"/>
  <c r="N553" i="1"/>
  <c r="N565" i="1"/>
  <c r="N577" i="1"/>
  <c r="N586" i="1"/>
  <c r="N589" i="1"/>
  <c r="N598" i="1"/>
  <c r="N601" i="1"/>
  <c r="N623" i="1"/>
  <c r="N677" i="1"/>
  <c r="N689" i="1"/>
  <c r="G94" i="1"/>
  <c r="L94" i="1" s="1"/>
  <c r="G29" i="1"/>
  <c r="L29" i="1" s="1"/>
  <c r="G41" i="1"/>
  <c r="L41" i="1" s="1"/>
  <c r="G53" i="1"/>
  <c r="L53" i="1" s="1"/>
  <c r="G92" i="1"/>
  <c r="L92" i="1" s="1"/>
  <c r="G98" i="1"/>
  <c r="L98" i="1" s="1"/>
  <c r="G104" i="1"/>
  <c r="L104" i="1" s="1"/>
  <c r="G111" i="1"/>
  <c r="L111" i="1" s="1"/>
  <c r="G117" i="1"/>
  <c r="L117" i="1" s="1"/>
  <c r="G123" i="1"/>
  <c r="L123" i="1" s="1"/>
  <c r="K133" i="1"/>
  <c r="G133" i="1"/>
  <c r="L133" i="1" s="1"/>
  <c r="G33" i="1"/>
  <c r="L33" i="1" s="1"/>
  <c r="K148" i="1"/>
  <c r="G148" i="1"/>
  <c r="L148" i="1" s="1"/>
  <c r="K86" i="1"/>
  <c r="G21" i="1"/>
  <c r="L21" i="1" s="1"/>
  <c r="K137" i="1"/>
  <c r="G137" i="1"/>
  <c r="L137" i="1" s="1"/>
  <c r="K127" i="1"/>
  <c r="G127" i="1"/>
  <c r="L127" i="1" s="1"/>
  <c r="K141" i="1"/>
  <c r="G141" i="1"/>
  <c r="L141" i="1" s="1"/>
  <c r="G25" i="1"/>
  <c r="L25" i="1" s="1"/>
  <c r="G37" i="1"/>
  <c r="L37" i="1" s="1"/>
  <c r="G49" i="1"/>
  <c r="L49" i="1" s="1"/>
  <c r="G61" i="1"/>
  <c r="L61" i="1" s="1"/>
  <c r="G90" i="1"/>
  <c r="L90" i="1" s="1"/>
  <c r="G96" i="1"/>
  <c r="L96" i="1" s="1"/>
  <c r="G102" i="1"/>
  <c r="L102" i="1" s="1"/>
  <c r="G109" i="1"/>
  <c r="L109" i="1" s="1"/>
  <c r="G115" i="1"/>
  <c r="L115" i="1" s="1"/>
  <c r="G121" i="1"/>
  <c r="L121" i="1" s="1"/>
  <c r="K146" i="1"/>
  <c r="G146" i="1"/>
  <c r="L146" i="1" s="1"/>
  <c r="K131" i="1"/>
  <c r="G131" i="1"/>
  <c r="L131" i="1" s="1"/>
  <c r="K150" i="1"/>
  <c r="G150" i="1"/>
  <c r="L150" i="1" s="1"/>
  <c r="K135" i="1"/>
  <c r="G135" i="1"/>
  <c r="L135" i="1" s="1"/>
  <c r="G57" i="1"/>
  <c r="L57" i="1" s="1"/>
  <c r="G100" i="1"/>
  <c r="L100" i="1" s="1"/>
  <c r="G106" i="1"/>
  <c r="L106" i="1" s="1"/>
  <c r="G113" i="1"/>
  <c r="L113" i="1" s="1"/>
  <c r="G119" i="1"/>
  <c r="L119" i="1" s="1"/>
  <c r="G125" i="1"/>
  <c r="L125" i="1" s="1"/>
  <c r="K139" i="1"/>
  <c r="G139" i="1"/>
  <c r="L139" i="1" s="1"/>
  <c r="G45" i="1"/>
  <c r="L45" i="1" s="1"/>
  <c r="G88" i="1"/>
  <c r="L88" i="1" s="1"/>
  <c r="G19" i="1"/>
  <c r="L19" i="1" s="1"/>
  <c r="G31" i="1"/>
  <c r="L31" i="1" s="1"/>
  <c r="G43" i="1"/>
  <c r="L43" i="1" s="1"/>
  <c r="G55" i="1"/>
  <c r="L55" i="1" s="1"/>
  <c r="K129" i="1"/>
  <c r="G129" i="1"/>
  <c r="L129" i="1" s="1"/>
  <c r="K143" i="1"/>
  <c r="G143" i="1"/>
  <c r="L143" i="1" s="1"/>
  <c r="K152" i="1"/>
  <c r="G152" i="1"/>
  <c r="L152" i="1" s="1"/>
  <c r="G81" i="1"/>
  <c r="L81" i="1" s="1"/>
  <c r="G87" i="1"/>
  <c r="L87" i="1" s="1"/>
  <c r="G91" i="1"/>
  <c r="L91" i="1" s="1"/>
  <c r="G97" i="1"/>
  <c r="L97" i="1" s="1"/>
  <c r="G101" i="1"/>
  <c r="L101" i="1" s="1"/>
  <c r="G108" i="1"/>
  <c r="L108" i="1" s="1"/>
  <c r="G112" i="1"/>
  <c r="L112" i="1" s="1"/>
  <c r="G116" i="1"/>
  <c r="L116" i="1" s="1"/>
  <c r="G122" i="1"/>
  <c r="L122" i="1" s="1"/>
  <c r="G126" i="1"/>
  <c r="L126" i="1" s="1"/>
  <c r="G132" i="1"/>
  <c r="L132" i="1" s="1"/>
  <c r="G136" i="1"/>
  <c r="L136" i="1" s="1"/>
  <c r="G140" i="1"/>
  <c r="L140" i="1" s="1"/>
  <c r="G145" i="1"/>
  <c r="L145" i="1" s="1"/>
  <c r="G149" i="1"/>
  <c r="L149" i="1" s="1"/>
  <c r="G153" i="1"/>
  <c r="L153" i="1" s="1"/>
  <c r="G155" i="1"/>
  <c r="L155" i="1" s="1"/>
  <c r="N503" i="1"/>
  <c r="N515" i="1"/>
  <c r="N527" i="1"/>
  <c r="N539" i="1"/>
  <c r="G83" i="1"/>
  <c r="L83" i="1" s="1"/>
  <c r="G89" i="1"/>
  <c r="L89" i="1" s="1"/>
  <c r="G95" i="1"/>
  <c r="L95" i="1" s="1"/>
  <c r="G99" i="1"/>
  <c r="L99" i="1" s="1"/>
  <c r="G105" i="1"/>
  <c r="L105" i="1" s="1"/>
  <c r="G110" i="1"/>
  <c r="L110" i="1" s="1"/>
  <c r="G118" i="1"/>
  <c r="L118" i="1" s="1"/>
  <c r="G124" i="1"/>
  <c r="L124" i="1" s="1"/>
  <c r="G128" i="1"/>
  <c r="L128" i="1" s="1"/>
  <c r="G134" i="1"/>
  <c r="L134" i="1" s="1"/>
  <c r="G138" i="1"/>
  <c r="L138" i="1" s="1"/>
  <c r="G147" i="1"/>
  <c r="L147" i="1" s="1"/>
  <c r="K179" i="1"/>
  <c r="K181" i="1"/>
  <c r="K183" i="1"/>
  <c r="K185" i="1"/>
  <c r="K187" i="1"/>
  <c r="K189" i="1"/>
  <c r="K191" i="1"/>
  <c r="K193" i="1"/>
  <c r="K195" i="1"/>
  <c r="K197" i="1"/>
  <c r="K199" i="1"/>
  <c r="K201" i="1"/>
  <c r="K203" i="1"/>
  <c r="K205" i="1"/>
  <c r="K207" i="1"/>
  <c r="K209" i="1"/>
  <c r="K211" i="1"/>
  <c r="K213" i="1"/>
  <c r="K215" i="1"/>
  <c r="K217" i="1"/>
  <c r="K219" i="1"/>
  <c r="K221" i="1"/>
  <c r="K223" i="1"/>
  <c r="K225" i="1"/>
  <c r="K227" i="1"/>
  <c r="K229" i="1"/>
  <c r="K231" i="1"/>
  <c r="K233" i="1"/>
  <c r="K235" i="1"/>
  <c r="K237" i="1"/>
  <c r="K239" i="1"/>
  <c r="K241" i="1"/>
  <c r="K248" i="1"/>
  <c r="K260" i="1"/>
  <c r="K273" i="1"/>
  <c r="K285" i="1"/>
  <c r="K297" i="1"/>
  <c r="K309" i="1"/>
  <c r="K321" i="1"/>
  <c r="K333" i="1"/>
  <c r="N484" i="1"/>
  <c r="N490" i="1"/>
  <c r="N493" i="1"/>
  <c r="N496" i="1"/>
  <c r="N508" i="1"/>
  <c r="N520" i="1"/>
  <c r="N532" i="1"/>
  <c r="K85" i="1"/>
  <c r="K93" i="1"/>
  <c r="K103" i="1"/>
  <c r="K114" i="1"/>
  <c r="K120" i="1"/>
  <c r="K130" i="1"/>
  <c r="K142" i="1"/>
  <c r="K151" i="1"/>
  <c r="K157" i="1"/>
  <c r="N506" i="1"/>
  <c r="N518" i="1"/>
  <c r="N530" i="1"/>
  <c r="N499" i="1"/>
  <c r="N511" i="1"/>
  <c r="N523" i="1"/>
  <c r="N535" i="1"/>
  <c r="G154" i="1"/>
  <c r="L154" i="1" s="1"/>
  <c r="G156" i="1"/>
  <c r="L156" i="1" s="1"/>
  <c r="G158" i="1"/>
  <c r="L158" i="1" s="1"/>
  <c r="G170" i="1"/>
  <c r="L170" i="1" s="1"/>
  <c r="G172" i="1"/>
  <c r="L172" i="1" s="1"/>
  <c r="G174" i="1"/>
  <c r="L174" i="1" s="1"/>
  <c r="G176" i="1"/>
  <c r="L176" i="1" s="1"/>
  <c r="G247" i="1"/>
  <c r="L247" i="1" s="1"/>
  <c r="G259" i="1"/>
  <c r="L259" i="1" s="1"/>
  <c r="G272" i="1"/>
  <c r="L272" i="1" s="1"/>
  <c r="G284" i="1"/>
  <c r="L284" i="1" s="1"/>
  <c r="G296" i="1"/>
  <c r="L296" i="1" s="1"/>
  <c r="G308" i="1"/>
  <c r="L308" i="1" s="1"/>
  <c r="G320" i="1"/>
  <c r="L320" i="1" s="1"/>
  <c r="G332" i="1"/>
  <c r="L332" i="1" s="1"/>
  <c r="N452" i="1"/>
  <c r="N455" i="1"/>
  <c r="N458" i="1"/>
  <c r="N461" i="1"/>
  <c r="N464" i="1"/>
  <c r="N467" i="1"/>
  <c r="N470" i="1"/>
  <c r="N473" i="1"/>
  <c r="N476" i="1"/>
  <c r="N479" i="1"/>
  <c r="N482" i="1"/>
  <c r="N485" i="1"/>
  <c r="N488" i="1"/>
  <c r="N491" i="1"/>
  <c r="N494" i="1"/>
  <c r="N504" i="1"/>
  <c r="N516" i="1"/>
  <c r="N528" i="1"/>
  <c r="N507" i="1"/>
  <c r="N519" i="1"/>
  <c r="N531" i="1"/>
  <c r="N505" i="1"/>
  <c r="N517" i="1"/>
  <c r="N529" i="1"/>
  <c r="N510" i="1"/>
  <c r="N522" i="1"/>
  <c r="N534" i="1"/>
  <c r="J975" i="1"/>
  <c r="J980" i="1" s="1"/>
  <c r="L844" i="1"/>
  <c r="N635" i="1"/>
  <c r="N647" i="1"/>
  <c r="N659" i="1"/>
  <c r="N671" i="1"/>
  <c r="L792" i="1"/>
  <c r="I975" i="1"/>
  <c r="I980" i="1" s="1"/>
  <c r="H981" i="1" s="1"/>
  <c r="N655" i="1"/>
  <c r="N667" i="1"/>
  <c r="L776" i="1"/>
  <c r="N641" i="1"/>
  <c r="N653" i="1"/>
  <c r="N665" i="1"/>
  <c r="F990" i="1"/>
  <c r="K970" i="1"/>
  <c r="K844" i="1" s="1"/>
  <c r="K972" i="1"/>
  <c r="K974" i="1"/>
  <c r="G971" i="1"/>
  <c r="L971" i="1" s="1"/>
  <c r="G973" i="1"/>
  <c r="L973" i="1" s="1"/>
  <c r="K975" i="1" l="1"/>
  <c r="K976" i="1" s="1"/>
  <c r="L976" i="1" s="1"/>
  <c r="L975" i="1"/>
  <c r="K980" i="1" l="1"/>
  <c r="L980" i="1" s="1"/>
  <c r="H984" i="1" s="1"/>
</calcChain>
</file>

<file path=xl/sharedStrings.xml><?xml version="1.0" encoding="utf-8"?>
<sst xmlns="http://schemas.openxmlformats.org/spreadsheetml/2006/main" count="2646" uniqueCount="1347">
  <si>
    <t xml:space="preserve">PHUL LỤC KHỐI LƯỢNG CHI TIẾT HOÀN THÀNH </t>
  </si>
  <si>
    <t>Tên dự án:  Đường từ quốc lộ 10 đi Khu du lịch Hải Tiến , huyện Hoằng Hóa ( Giai đoạn I)</t>
  </si>
  <si>
    <t>Tên gói thầu: Gói thầu số 6: Thi công xây dựng công trình + bảo hiểm thuộc dự án: Đường từ quốc lộ 10 đi Khu du lịch Hải Tiến , huyện Hoằng Hóa ( Giai đoạn I)</t>
  </si>
  <si>
    <t>Căn cứ hợp đồng số: 12/06/2023/HĐTCXD ngày 12/6/2023 và Phụ lục điều chỉnh hợp đồng số: 02.1/2025/PLHĐ ngày 02/01/2025, số 17.3/2025/PLHĐ ngày 17/3/2025, số 22.5/2025/PLHĐ ngày 22/5/2025, số 06.01/2026/PLHĐ ngày 06/01/2026, 02.03/2026/PLHĐ ngày 02 tháng 03 năm 2026; Phụ lục số 13.07/2026/PLHĐ ngày 13 tháng 07 năm 2026</t>
  </si>
  <si>
    <t xml:space="preserve">Chủ đầu tư: Ban quản lý dự án đầu tư xây dựng các công trình nông nghiệp và phát triển nông thôn Thanh Hóa </t>
  </si>
  <si>
    <t>Nhà Thầu: Công ty TNHH Hoàng Tuấn</t>
  </si>
  <si>
    <t>Thanh toán lần thứ: Thanh toán lần 11</t>
  </si>
  <si>
    <r>
      <t xml:space="preserve">Căn cứ xác định: </t>
    </r>
    <r>
      <rPr>
        <sz val="12"/>
        <rFont val="Times New Roman"/>
        <family val="1"/>
      </rPr>
      <t>Biên bản nghiệm thu hoàn thành  thi công xây dựng số  10/HT-GĐ ngày      /8/2026</t>
    </r>
  </si>
  <si>
    <t>STT</t>
  </si>
  <si>
    <t>Tên công việc</t>
  </si>
  <si>
    <t>Đơn vị tính</t>
  </si>
  <si>
    <t>Khối lượng</t>
  </si>
  <si>
    <t>Đơn giá thanh toán theo hợp đồng hoặc dự toán</t>
  </si>
  <si>
    <t>Thành tiền (đồng)</t>
  </si>
  <si>
    <t>Ghi chú</t>
  </si>
  <si>
    <t>Khối lượng theo hợp đồng hoặc dự toán</t>
  </si>
  <si>
    <t>Thực hiện</t>
  </si>
  <si>
    <t>Theo hợp đồng hoặc dự toán</t>
  </si>
  <si>
    <t>Luỹ kế đến hết kỳ trước</t>
  </si>
  <si>
    <t>Thực hiện kỳ này</t>
  </si>
  <si>
    <t>Luỹ kế đến hết kỳ này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</si>
  <si>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</si>
  <si>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</si>
  <si>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</si>
  <si>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</si>
  <si>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</si>
  <si>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</si>
  <si>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</si>
  <si>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</si>
  <si>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</si>
  <si>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</si>
  <si>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</si>
  <si>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</si>
  <si>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</si>
  <si>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A</t>
  </si>
  <si>
    <t>THEO HỢP ĐỒNG THI CÔNG XÂY DỤNG SỐ 12/06/2023/HĐTCXD NGÀY 12/6/2023</t>
  </si>
  <si>
    <t>NỀN MẶT ĐƯỜNG TUYẾN CHÍNH (ĐOẠN QUA XÃ HOẰNG ĐẠT, HOẰNG HÀ)</t>
  </si>
  <si>
    <t>9.1</t>
  </si>
  <si>
    <t>Dọn dẹp mặt bằng</t>
  </si>
  <si>
    <t>m2</t>
  </si>
  <si>
    <t>9.2</t>
  </si>
  <si>
    <t>Đào cấp bằng máy - Cấp đất III</t>
  </si>
  <si>
    <t>m3</t>
  </si>
  <si>
    <t>9.3</t>
  </si>
  <si>
    <t>Đào khuôn đường bằng máy - Cấp đất II</t>
  </si>
  <si>
    <t>9.4</t>
  </si>
  <si>
    <t>Đào mặt đường cũ bằng máy - Cấp đất IV</t>
  </si>
  <si>
    <t>9.5</t>
  </si>
  <si>
    <t>Xáo xới nền đường K95</t>
  </si>
  <si>
    <t>9.6</t>
  </si>
  <si>
    <t>Lu lèn 30cm mặt đường đã xới xáo</t>
  </si>
  <si>
    <t>9.7</t>
  </si>
  <si>
    <t>Đào đất hữu cơ</t>
  </si>
  <si>
    <t>9.8</t>
  </si>
  <si>
    <t>Đắp nền đường độ chặt Y/C K = 0,95</t>
  </si>
  <si>
    <t>9.9</t>
  </si>
  <si>
    <t>Đắp giải đất dự trữ bằng đất tận dụng K95</t>
  </si>
  <si>
    <t>9.10</t>
  </si>
  <si>
    <t>Đắp nền đường bằng máy lu bánh thép 25T, máy ủi 110CV, độ chặt Y/C K = 0,98</t>
  </si>
  <si>
    <t>9.11</t>
  </si>
  <si>
    <t>Mua đất để đắp K95</t>
  </si>
  <si>
    <t>9.12</t>
  </si>
  <si>
    <t>Mua đất để đắp K98</t>
  </si>
  <si>
    <t>9.13</t>
  </si>
  <si>
    <t>Vận chuyển đất</t>
  </si>
  <si>
    <t>10m³/1km</t>
  </si>
  <si>
    <t>9.14</t>
  </si>
  <si>
    <t>Vận chuyển đất không thích hợp đất cấp I</t>
  </si>
  <si>
    <t>9.15</t>
  </si>
  <si>
    <t>Vận chuyển đất không thích hợp đất cấp II</t>
  </si>
  <si>
    <t>9.16</t>
  </si>
  <si>
    <t>Vận chuyển đất không thích hợp đất cấp IV</t>
  </si>
  <si>
    <t>9.17</t>
  </si>
  <si>
    <t>San đất bãi thải bằng máy ủi 110CV</t>
  </si>
  <si>
    <t>9.18</t>
  </si>
  <si>
    <t>Đào đất không thích hợp bằng máy đào - Cấp đất I</t>
  </si>
  <si>
    <t>9.19</t>
  </si>
  <si>
    <t>Đệm cát đầu cọc K = 0,90</t>
  </si>
  <si>
    <t>9.20</t>
  </si>
  <si>
    <t>Rải vải địa kỹ thuật không dệt ART12 (12kN/m)</t>
  </si>
  <si>
    <t>9.21</t>
  </si>
  <si>
    <t>Rải lưới địa kỹ thuật dệt cường độ 600Kn/m</t>
  </si>
  <si>
    <t>9.22</t>
  </si>
  <si>
    <t>Đóng cọc tre bằng máy đào 0,5m3, chiều dài cọc ≤2,5m  - Cấp đất I</t>
  </si>
  <si>
    <t>m</t>
  </si>
  <si>
    <t>9.23</t>
  </si>
  <si>
    <t>Đắp đất bù lún K95</t>
  </si>
  <si>
    <t>9.24</t>
  </si>
  <si>
    <t>Đắp đất quy đổi kết cấu, bù kết cấu K95 (không vật liệu)</t>
  </si>
  <si>
    <t>9.25</t>
  </si>
  <si>
    <t>Đào dỡ tải</t>
  </si>
  <si>
    <t>9.26</t>
  </si>
  <si>
    <t>Vận chuyển đất tận dụng bằng ô tô 10T, cự ly vận chuyển &lt;= 1km</t>
  </si>
  <si>
    <t>m³/1km</t>
  </si>
  <si>
    <t>9.27</t>
  </si>
  <si>
    <t>Đá dăm 1x2cm làm cửa thoát nước</t>
  </si>
  <si>
    <t>9.28</t>
  </si>
  <si>
    <t>Rải vải địa kỹ thuật 15kN/m</t>
  </si>
  <si>
    <t>9.29</t>
  </si>
  <si>
    <t>Đắp đất K90 bảo vệ vải địa kỹ thuật</t>
  </si>
  <si>
    <t>9.30</t>
  </si>
  <si>
    <t>Thi công giếng cát bằng phương pháp ép rung kết hợp máy bơm nước, đường kính giếng D400mm, đất cấp I, chiều dài giếng L &lt;= 20</t>
  </si>
  <si>
    <t>9.31</t>
  </si>
  <si>
    <t>Đệm cát hạt trung bằng máy, độ chặt yêu cầu K=0,95</t>
  </si>
  <si>
    <t>9.32</t>
  </si>
  <si>
    <t>Đệm cát hạt nhỏ K95</t>
  </si>
  <si>
    <t>9.33</t>
  </si>
  <si>
    <t>Đào rãnh bằng máy, đất cấp II</t>
  </si>
  <si>
    <t>9.34</t>
  </si>
  <si>
    <t>Đắp trả rãnh đất thi công giếng cát</t>
  </si>
  <si>
    <t>9.35</t>
  </si>
  <si>
    <t>Lắp đặt ống nhựa- Đường kính 200mm</t>
  </si>
  <si>
    <t>9.36</t>
  </si>
  <si>
    <t>Lắp đặt ống thép d=50mm</t>
  </si>
  <si>
    <t>9.37</t>
  </si>
  <si>
    <t>Lắp đặt ống nhựa d150</t>
  </si>
  <si>
    <t>9.38</t>
  </si>
  <si>
    <t>Sản xuất bàn thép</t>
  </si>
  <si>
    <t>tấn</t>
  </si>
  <si>
    <t>9.39</t>
  </si>
  <si>
    <t>Cọc quan trắc chuyển vị 10x10x170cm</t>
  </si>
  <si>
    <t>9.40</t>
  </si>
  <si>
    <t>Rải thảm mặt đường bê tông nhựa Loại C16 - Chiều dày mặt đường đã lèn ép 6cm</t>
  </si>
  <si>
    <t>9.41</t>
  </si>
  <si>
    <t>Sản xuất đá dăm đen, bê tông nhựa hạt trung bằng trạm trộn 120T/h</t>
  </si>
  <si>
    <t>9.42</t>
  </si>
  <si>
    <t>Vận chuyển đá dăm đen, bê tông nhựa từ trạm trộn đến vị trí đổ</t>
  </si>
  <si>
    <t>100tấn</t>
  </si>
  <si>
    <t>9.43</t>
  </si>
  <si>
    <t>Tưới lớp dính bám mặt đường bằng nhũ tương gốc axít, lượng nhũ tương 1 kg/m2</t>
  </si>
  <si>
    <t>9.44</t>
  </si>
  <si>
    <t>Làm móng cấp phối đá dăm loại I</t>
  </si>
  <si>
    <t>9.45</t>
  </si>
  <si>
    <t>Làm móng cấp phối đá dăm loại II</t>
  </si>
  <si>
    <t>9.46</t>
  </si>
  <si>
    <t>Lát đá vỉa hè, vữa XM M75, PCB40</t>
  </si>
  <si>
    <t>9.47</t>
  </si>
  <si>
    <t>Bê tông lót móng SX bằng máy trộn, đổ bằng thủ công, rộng ≤250cm, M100, đá 4x6, PCB30</t>
  </si>
  <si>
    <t>9.48</t>
  </si>
  <si>
    <t>Gạch xây vữa xi măng M75</t>
  </si>
  <si>
    <t>9.49</t>
  </si>
  <si>
    <t>9.50</t>
  </si>
  <si>
    <t>Ván khuôn móng dài</t>
  </si>
  <si>
    <t>100m2</t>
  </si>
  <si>
    <t>9.51</t>
  </si>
  <si>
    <t>9.52</t>
  </si>
  <si>
    <t>Lắp đặt bó vỉa loại 1 (Bó vỉa đá KT 26x23x100cm), vữa XM M75, PCB40</t>
  </si>
  <si>
    <t>9.53</t>
  </si>
  <si>
    <t>9.54</t>
  </si>
  <si>
    <t>9.55</t>
  </si>
  <si>
    <t>Lắp đặt bó vỉa đá loại 1 20x39x100</t>
  </si>
  <si>
    <t>9.56</t>
  </si>
  <si>
    <t>9.57</t>
  </si>
  <si>
    <t>9.58</t>
  </si>
  <si>
    <t>Lắp đặt bó vỉa đá loại 2 20x39x25</t>
  </si>
  <si>
    <t>9.59</t>
  </si>
  <si>
    <t>Vận chuyển đá bó vỉa</t>
  </si>
  <si>
    <t>9.60</t>
  </si>
  <si>
    <t>Ca máy bốc dỡ</t>
  </si>
  <si>
    <t>Ca</t>
  </si>
  <si>
    <t>9.61</t>
  </si>
  <si>
    <t>9.62</t>
  </si>
  <si>
    <t>Đắp đất bao dính giải phân cách (Tận dụng đất cấp 2) máy lu bánh thép 25T, máy ủi 110CV, độ chặt Y/C K = 0,9</t>
  </si>
  <si>
    <t>100m3</t>
  </si>
  <si>
    <t>ĐƯỜNG GIAO DÂN SINH (ĐOẠN QUA XÃ HOẰNG ĐẠT, HOẰNG HÀ)</t>
  </si>
  <si>
    <t>10.1</t>
  </si>
  <si>
    <t>Đào nền đường bằng máy, đất cấp II</t>
  </si>
  <si>
    <t>10.2</t>
  </si>
  <si>
    <t>Đào khuôn đường bằng máy đào 1,25m3</t>
  </si>
  <si>
    <t>10.3</t>
  </si>
  <si>
    <t>Đào cấp đất cấp II</t>
  </si>
  <si>
    <t>10.4</t>
  </si>
  <si>
    <t>Đào mặt đường cũ bằng máy</t>
  </si>
  <si>
    <t>10.5</t>
  </si>
  <si>
    <t>10.6</t>
  </si>
  <si>
    <t>Lu lèn 30cm nền đường đã xáo xới, đầm chặt K95</t>
  </si>
  <si>
    <t>10.7</t>
  </si>
  <si>
    <t>Đào đất không thích hợp bằng máy</t>
  </si>
  <si>
    <t>10.8</t>
  </si>
  <si>
    <t>Đắp đất, độ chặt yêu cầu K=0,90</t>
  </si>
  <si>
    <t>10.9</t>
  </si>
  <si>
    <t>Đắp nền đường máy đầm 25 tấn, độ chặt yêu cầu K=0,95</t>
  </si>
  <si>
    <t>10.10</t>
  </si>
  <si>
    <t>Mua đất để đắp K90</t>
  </si>
  <si>
    <t>10.11</t>
  </si>
  <si>
    <t>10.12</t>
  </si>
  <si>
    <t>10.13</t>
  </si>
  <si>
    <t>10.14</t>
  </si>
  <si>
    <t>Bù vênh mặt đường bằng bê tông nhựa Loại C16 - Chiều dày bù vênh trung bình 5cm</t>
  </si>
  <si>
    <t>10.15</t>
  </si>
  <si>
    <t>10.16</t>
  </si>
  <si>
    <t>10.17</t>
  </si>
  <si>
    <t>Tưới lớp dính bám mặt đường, nhũ tương gốc Axít, lượng nhũ tương 0,5kg/m2</t>
  </si>
  <si>
    <t>10.18</t>
  </si>
  <si>
    <t>10.19</t>
  </si>
  <si>
    <t>10.20</t>
  </si>
  <si>
    <t>10.21</t>
  </si>
  <si>
    <t>Tưới lớp dính bám mặt đường, nhũ tương gốc Axít, lượng nhũ tương 1kg/m2</t>
  </si>
  <si>
    <t>10.22</t>
  </si>
  <si>
    <t>Thi công móng cấp phối đá dăm lớp trên</t>
  </si>
  <si>
    <t>10.23</t>
  </si>
  <si>
    <t>10.24</t>
  </si>
  <si>
    <t>10.25</t>
  </si>
  <si>
    <t>10.26</t>
  </si>
  <si>
    <t>10.27</t>
  </si>
  <si>
    <t>THOÁT NƯỚC DỌC (ĐOẠN QUA XÃ HOẰNG ĐẠT, HOẰNG HÀ)</t>
  </si>
  <si>
    <t>11.1</t>
  </si>
  <si>
    <t>Đào đất cấp 1</t>
  </si>
  <si>
    <t>11.2</t>
  </si>
  <si>
    <t>Đắp mương đất</t>
  </si>
  <si>
    <t>11.3</t>
  </si>
  <si>
    <t>11.4</t>
  </si>
  <si>
    <t>San đất bãi đổ đất không thích hợp bằng máy ủi 110 CV</t>
  </si>
  <si>
    <t>11.5</t>
  </si>
  <si>
    <t>Đắp vật liệu dạng hạt, độ chặt yêu cầu K=0,98</t>
  </si>
  <si>
    <t>11.6</t>
  </si>
  <si>
    <t>11.7</t>
  </si>
  <si>
    <t>11.8</t>
  </si>
  <si>
    <t>11.9</t>
  </si>
  <si>
    <t>Bê tông tấm đan 16Mpa, đá 1x2</t>
  </si>
  <si>
    <t>11.10</t>
  </si>
  <si>
    <t>11.11</t>
  </si>
  <si>
    <t>11.12</t>
  </si>
  <si>
    <t>Lớp vữa XM dày 2cm</t>
  </si>
  <si>
    <t>11.13</t>
  </si>
  <si>
    <t>Bốc xếp cấu kiện bê tông đúc sẵn có trọng lượng P≤200kg bằng thủ công - Bốc xếp lên</t>
  </si>
  <si>
    <t>11.14</t>
  </si>
  <si>
    <t>Bốc xếp cấu kiện bê tông đúc sẵn có trọng lượng P≤200kg bằng thủ công - Bốc xếp xuống</t>
  </si>
  <si>
    <t>11.15</t>
  </si>
  <si>
    <t>Vận chuyển cấu kiện bê tông, trọng lượng P≤200kg</t>
  </si>
  <si>
    <t>10tấn/1km</t>
  </si>
  <si>
    <t>11.16</t>
  </si>
  <si>
    <t>Lắp các loại CKBT đúc sẵn bằng thủ công, trọng lượng ≤25kg</t>
  </si>
  <si>
    <t>1 cấu kiện</t>
  </si>
  <si>
    <t>11.17</t>
  </si>
  <si>
    <t>11.18</t>
  </si>
  <si>
    <t>Bê tông rãnh, đá 1x2, chiều rộng &lt;=250 cm, 20Mpa</t>
  </si>
  <si>
    <t>11.19</t>
  </si>
  <si>
    <t>Thi công lớp đá đệm móng, ĐK đá Dmax ≤6</t>
  </si>
  <si>
    <t>11.20</t>
  </si>
  <si>
    <t>Lắp dựng cốt thép mương cáp, rãnh nước, ĐK ≤10mm</t>
  </si>
  <si>
    <t>11.21</t>
  </si>
  <si>
    <t>Lắp dựng cốt thép mương cáp, rãnh nước, ĐK &gt;10mm</t>
  </si>
  <si>
    <t>11.22</t>
  </si>
  <si>
    <t>Bê tông rãnh, đá 1x2, chiều rộng &lt;=250 cm, 16Mpa</t>
  </si>
  <si>
    <t>11.23</t>
  </si>
  <si>
    <t>11.24</t>
  </si>
  <si>
    <t>Đào kênh mương, chiều rộng kênh mương ≤6m bằng máy đào 1,25m3 - Cấp đất II</t>
  </si>
  <si>
    <t>11.25</t>
  </si>
  <si>
    <t>Đắp đất bằng đầm đất cầm tay 70kg, độ chặt Y/C K = 0,90</t>
  </si>
  <si>
    <t>11.26</t>
  </si>
  <si>
    <t>Bê tông dầm mương, 25Mpa</t>
  </si>
  <si>
    <t>11.27</t>
  </si>
  <si>
    <t>Bê tông thân mương, 16Mpa</t>
  </si>
  <si>
    <t>11.28</t>
  </si>
  <si>
    <t>Lắp dựng cốt thép xà dầm, giằng, ĐK ≤18mm, chiều cao ≤6m</t>
  </si>
  <si>
    <t>11.29</t>
  </si>
  <si>
    <t>11.30</t>
  </si>
  <si>
    <t>11.31</t>
  </si>
  <si>
    <t>Gạch xây vữa xi măng</t>
  </si>
  <si>
    <t>11.32</t>
  </si>
  <si>
    <t>Trát tường ngoài dày 1,5cm, vữa XM M75, PCB40</t>
  </si>
  <si>
    <t>11.33</t>
  </si>
  <si>
    <t>11.34</t>
  </si>
  <si>
    <t>Bê tông thanh chống, 16Mpa</t>
  </si>
  <si>
    <t>11.35</t>
  </si>
  <si>
    <t>11.36</t>
  </si>
  <si>
    <t>Lắp dựng cốt thép cột, trụ, ĐK ≤10mm, chiều cao ≤6m</t>
  </si>
  <si>
    <t>HẠNG MỤC: AN TOÀN GIAO THÔNG (ĐOẠN QUA XÃ HOẰNG ĐẠT, HOẰNG HÀ)</t>
  </si>
  <si>
    <t>12.1</t>
  </si>
  <si>
    <t>Sơn kẻ đường bằng sơn dẻo nhiệt phản quang, dày sơn 3mm</t>
  </si>
  <si>
    <t>12.2</t>
  </si>
  <si>
    <t>Sơn gờ giảm tốc</t>
  </si>
  <si>
    <t>12.3</t>
  </si>
  <si>
    <t>Sơn sàn, nền, bề mặt bê tông bằng sơn các loại 1 nước lót + 2 nước phủ</t>
  </si>
  <si>
    <t>1m2</t>
  </si>
  <si>
    <t>12.4</t>
  </si>
  <si>
    <t>Lắp đặt cột và biển báo phản quang - Loại biển báo phản quang: Biển tam giác cạnh 70cm</t>
  </si>
  <si>
    <t>cái</t>
  </si>
  <si>
    <t>12.5</t>
  </si>
  <si>
    <t>Lắp đặt cột và biển báo phản quang - Loại biển báo phản quang: Biển tròn D70, bát giác cạnh 25cm</t>
  </si>
  <si>
    <t>12.6</t>
  </si>
  <si>
    <t>Lắp đặt cột và biển báo phản quang - Loại biển báo phản quang: Biển vuông 60x60cm</t>
  </si>
  <si>
    <t>12.7</t>
  </si>
  <si>
    <t>Lắp đặt cột và biển báo phản quang - Loại biển báo phản quang: Biển vuông 90x45cm</t>
  </si>
  <si>
    <t>12.8</t>
  </si>
  <si>
    <t>Lắp đặt cột và biển báo phản quang - Loại biển báo phản quang: Biển vuông 70x30cm</t>
  </si>
  <si>
    <t>12.9</t>
  </si>
  <si>
    <t>Biển báo tam giác D700</t>
  </si>
  <si>
    <t>12.10</t>
  </si>
  <si>
    <t>Biển báo tròn D700</t>
  </si>
  <si>
    <t>12.11</t>
  </si>
  <si>
    <t>Biển vuông 600x600</t>
  </si>
  <si>
    <t>12.12</t>
  </si>
  <si>
    <t>Biển chữ nhật 900x450</t>
  </si>
  <si>
    <t>12.13</t>
  </si>
  <si>
    <t>Biển vuông 700x300</t>
  </si>
  <si>
    <t>12.14</t>
  </si>
  <si>
    <t>Cột đỡ biển báo</t>
  </si>
  <si>
    <t>12.15</t>
  </si>
  <si>
    <t>Ép cọc hộ lan tôn sóng</t>
  </si>
  <si>
    <t>100m</t>
  </si>
  <si>
    <t>12.16</t>
  </si>
  <si>
    <t>Lắp đặt dải phân cách bằng tôn lượn sóng</t>
  </si>
  <si>
    <t>12.17</t>
  </si>
  <si>
    <t>Làm cột Km</t>
  </si>
  <si>
    <t>12.18</t>
  </si>
  <si>
    <t>Làm cọc H bằng bê tông cốt thép</t>
  </si>
  <si>
    <t>12.19</t>
  </si>
  <si>
    <t>Cọc H - bằng tôn mạ kẽm</t>
  </si>
  <si>
    <t>12.20</t>
  </si>
  <si>
    <t>Làm cọc tiêu bê tông cốt thép</t>
  </si>
  <si>
    <t>12.21</t>
  </si>
  <si>
    <t>Đinh phản quang</t>
  </si>
  <si>
    <t>CỐNG THOÁT NƯỚC (ĐOẠN QUA XÃ HOẰNG ĐẠT, HOẰNG HÀ)</t>
  </si>
  <si>
    <t>13.1</t>
  </si>
  <si>
    <t>Cốt thép ống cống D&lt;=10</t>
  </si>
  <si>
    <t>13.2</t>
  </si>
  <si>
    <t>Cốt thép ống cống D&lt;=18</t>
  </si>
  <si>
    <t>13.3</t>
  </si>
  <si>
    <t>Cốt thép ống cống D&gt;18</t>
  </si>
  <si>
    <t>13.4</t>
  </si>
  <si>
    <t>Bê tông ống cống 30Mpa</t>
  </si>
  <si>
    <t>13.5</t>
  </si>
  <si>
    <t>SX, LD, TD ván khuôn ống cống</t>
  </si>
  <si>
    <t>13.6</t>
  </si>
  <si>
    <t>Lắp đặt cống hộp 2x2m</t>
  </si>
  <si>
    <t>1 đoạn cống</t>
  </si>
  <si>
    <t>13.7</t>
  </si>
  <si>
    <t>Bốc xếp cấu kiện bê tông đúc sẵn có trọng lượng P≤5T bằng cần cẩu - Bốc xếp lên</t>
  </si>
  <si>
    <t>13.8</t>
  </si>
  <si>
    <t>Bốc xếp cấu kiện bê tông đúc sẵn có trọng lượng P≤5T bằng cần cẩu - Bốc xếp xuống</t>
  </si>
  <si>
    <t>13.9</t>
  </si>
  <si>
    <t>Vận chuyển ống cống bê tông</t>
  </si>
  <si>
    <t>10 tấn/1km</t>
  </si>
  <si>
    <t>13.10</t>
  </si>
  <si>
    <t>Bê tông móng cống 25Mpa</t>
  </si>
  <si>
    <t>13.11</t>
  </si>
  <si>
    <t>Cốt thép móng cống D&lt;10</t>
  </si>
  <si>
    <t>13.12</t>
  </si>
  <si>
    <t>Ván khuôn móng</t>
  </si>
  <si>
    <t>13.13</t>
  </si>
  <si>
    <t>Lắp dựng cấu kiện bê tông đúc sẵn, xà dầm, giằng ≤3T bằng máy</t>
  </si>
  <si>
    <t>13.14</t>
  </si>
  <si>
    <t>13.15</t>
  </si>
  <si>
    <t>13.16</t>
  </si>
  <si>
    <t>Vận chuyển CK đúc sẵn</t>
  </si>
  <si>
    <t>13.17</t>
  </si>
  <si>
    <t>Đá dăm đệm</t>
  </si>
  <si>
    <t>13.18</t>
  </si>
  <si>
    <t>Bê tông bản quá độ 25Mpa</t>
  </si>
  <si>
    <t>13.19</t>
  </si>
  <si>
    <t>Cốt thép bản quá độ D&lt;10</t>
  </si>
  <si>
    <t>13.20</t>
  </si>
  <si>
    <t>Cốt thép bản quá độ D&lt;18</t>
  </si>
  <si>
    <t>13.21</t>
  </si>
  <si>
    <t>Ván khuôn bản quá độ</t>
  </si>
  <si>
    <t>13.22</t>
  </si>
  <si>
    <t>Lắp đặt cấu kiện đúc sẵn</t>
  </si>
  <si>
    <t>1cấu kiện</t>
  </si>
  <si>
    <t>13.23</t>
  </si>
  <si>
    <t>Bốc xếp cấu kiện bê tông đúc sẵn có trọng lượng P≤2T bằng cần cẩu - Bốc xếp lên</t>
  </si>
  <si>
    <t>13.24</t>
  </si>
  <si>
    <t>Bốc xếp cấu kiện bê tông đúc sẵn có trọng lượng P≤2T bằng cần cẩu - Bốc xếp xuống</t>
  </si>
  <si>
    <t>13.25</t>
  </si>
  <si>
    <t>13.26</t>
  </si>
  <si>
    <t>Vữa xi măng</t>
  </si>
  <si>
    <t>13.27</t>
  </si>
  <si>
    <t>Quét nhựa đường</t>
  </si>
  <si>
    <t>13.28</t>
  </si>
  <si>
    <t>Bê tông tường đầu, cánh 16Mpa</t>
  </si>
  <si>
    <t>13.29</t>
  </si>
  <si>
    <t>Bê tông móng 16Mpa</t>
  </si>
  <si>
    <t>13.30</t>
  </si>
  <si>
    <t>Ván khuôn móng cống</t>
  </si>
  <si>
    <t>13.31</t>
  </si>
  <si>
    <t>Ván khuôn tường cánh</t>
  </si>
  <si>
    <t>13.32</t>
  </si>
  <si>
    <t>13.33</t>
  </si>
  <si>
    <t>Đá hộc xây vữa</t>
  </si>
  <si>
    <t>13.34</t>
  </si>
  <si>
    <t>13.35</t>
  </si>
  <si>
    <t>13.36</t>
  </si>
  <si>
    <t>13.37</t>
  </si>
  <si>
    <t>Đào hố móng bằng máy</t>
  </si>
  <si>
    <t>13.38</t>
  </si>
  <si>
    <t>Đắp hố móng K95</t>
  </si>
  <si>
    <t>13.39</t>
  </si>
  <si>
    <t>13.40</t>
  </si>
  <si>
    <t>13.41</t>
  </si>
  <si>
    <t>Đắp vật liệu dạng hạt K95</t>
  </si>
  <si>
    <t>13.42</t>
  </si>
  <si>
    <t>Cát thô đầm chặt</t>
  </si>
  <si>
    <t>13.43</t>
  </si>
  <si>
    <t>Cọc tre</t>
  </si>
  <si>
    <t>13.44</t>
  </si>
  <si>
    <t>Vải địa kỹ thuật</t>
  </si>
  <si>
    <t>13.45</t>
  </si>
  <si>
    <t>Vận chuyển đất C2 đổ đi, cự ly 4,5km</t>
  </si>
  <si>
    <t>13.46</t>
  </si>
  <si>
    <t>Bê tông thân cống 30Mpa</t>
  </si>
  <si>
    <t>13.47</t>
  </si>
  <si>
    <t>Sản xuất vữa BT bằng trạm trộn</t>
  </si>
  <si>
    <t>13.48</t>
  </si>
  <si>
    <t>Vận chuyển vữa bê tông</t>
  </si>
  <si>
    <t>13.49</t>
  </si>
  <si>
    <t>Cốt thép thân cống hộp D&lt;=10</t>
  </si>
  <si>
    <t>13.50</t>
  </si>
  <si>
    <t>Cốt thép thân cống hộp D&lt;=18</t>
  </si>
  <si>
    <t>13.51</t>
  </si>
  <si>
    <t>Cốt thép thân cống hộp D&gt;18</t>
  </si>
  <si>
    <t>13.52</t>
  </si>
  <si>
    <t>Bê tông móng cống10Mpa</t>
  </si>
  <si>
    <t>13.53</t>
  </si>
  <si>
    <t>Ván khuôn thân cống</t>
  </si>
  <si>
    <t>13.54</t>
  </si>
  <si>
    <t>Quét bitum thân cống</t>
  </si>
  <si>
    <t>13.55</t>
  </si>
  <si>
    <t>13.56</t>
  </si>
  <si>
    <t>Cốt thép  D&lt;=10</t>
  </si>
  <si>
    <t>13.57</t>
  </si>
  <si>
    <t>Chốt thép D&gt;18</t>
  </si>
  <si>
    <t>13.58</t>
  </si>
  <si>
    <t>Mạ kẽm</t>
  </si>
  <si>
    <t>13.59</t>
  </si>
  <si>
    <t>Ống PVC D34</t>
  </si>
  <si>
    <t>13.60</t>
  </si>
  <si>
    <t>Tấm chèn khe</t>
  </si>
  <si>
    <t>13.61</t>
  </si>
  <si>
    <t>Tấm ngăn nước water stop</t>
  </si>
  <si>
    <t>13.62</t>
  </si>
  <si>
    <t>Bê tông móng cống 30Mpa</t>
  </si>
  <si>
    <t>13.63</t>
  </si>
  <si>
    <t>13.64</t>
  </si>
  <si>
    <t>13.65</t>
  </si>
  <si>
    <t>Cốt thép móng cống hộp D&lt;=10</t>
  </si>
  <si>
    <t>13.66</t>
  </si>
  <si>
    <t>Cốt thép móng cống hộp D&lt;=18</t>
  </si>
  <si>
    <t>13.67</t>
  </si>
  <si>
    <t>Cốt thép móng cống hộp D&gt;18</t>
  </si>
  <si>
    <t>13.68</t>
  </si>
  <si>
    <t>13.69</t>
  </si>
  <si>
    <t>Bê tông bản nắp 30Mpa</t>
  </si>
  <si>
    <t>13.70</t>
  </si>
  <si>
    <t>13.71</t>
  </si>
  <si>
    <t>13.72</t>
  </si>
  <si>
    <t>Cốt thép bản nắp D&lt;=10</t>
  </si>
  <si>
    <t>13.73</t>
  </si>
  <si>
    <t>Cốt thép bản nắp D&gt;10</t>
  </si>
  <si>
    <t>13.74</t>
  </si>
  <si>
    <t>Ván khuôn bản nắp</t>
  </si>
  <si>
    <t>13.75</t>
  </si>
  <si>
    <t>Bê tông cửa cống 30Mpa</t>
  </si>
  <si>
    <t>13.76</t>
  </si>
  <si>
    <t>13.77</t>
  </si>
  <si>
    <t>13.78</t>
  </si>
  <si>
    <t>Cốt thép cửa cống D&lt;=10</t>
  </si>
  <si>
    <t>13.79</t>
  </si>
  <si>
    <t>Cốt thép cửa cống D&lt;=18</t>
  </si>
  <si>
    <t>13.80</t>
  </si>
  <si>
    <t>Bê tông sân cống 30Mpa</t>
  </si>
  <si>
    <t>13.81</t>
  </si>
  <si>
    <t>13.82</t>
  </si>
  <si>
    <t>Ván khuôn sân cống</t>
  </si>
  <si>
    <t>13.84</t>
  </si>
  <si>
    <t>Ván khuôn tường cống</t>
  </si>
  <si>
    <t>13.85</t>
  </si>
  <si>
    <t>13.86</t>
  </si>
  <si>
    <t>13.87</t>
  </si>
  <si>
    <t>13.88</t>
  </si>
  <si>
    <t>Cốt thép bản quá độ D&gt;18</t>
  </si>
  <si>
    <t>13.89</t>
  </si>
  <si>
    <t>13.90</t>
  </si>
  <si>
    <t>13.91</t>
  </si>
  <si>
    <t>Đào đất hố móng đất C2</t>
  </si>
  <si>
    <t>13.92</t>
  </si>
  <si>
    <t>13.93</t>
  </si>
  <si>
    <t>13.94</t>
  </si>
  <si>
    <t>13.95</t>
  </si>
  <si>
    <t>13.96</t>
  </si>
  <si>
    <t>13.97</t>
  </si>
  <si>
    <t>13.98</t>
  </si>
  <si>
    <t>13.99</t>
  </si>
  <si>
    <t>Sản xuất thép hình đà giáo thi công</t>
  </si>
  <si>
    <t>13.100</t>
  </si>
  <si>
    <t>Khấu hao thép hình đà giáo thi công:</t>
  </si>
  <si>
    <t>13.101</t>
  </si>
  <si>
    <t>Đào kênh mương tạm Cấp đất II</t>
  </si>
  <si>
    <t>13.102</t>
  </si>
  <si>
    <t>Đắp kênh mương tạm, dung trọng ≤1,65T/m3</t>
  </si>
  <si>
    <t>13.103</t>
  </si>
  <si>
    <t>Đào thanh thải mương tạm - Cấp đất I</t>
  </si>
  <si>
    <t>Vận chuyển đất C2 đổ đi</t>
  </si>
  <si>
    <t>THOÁT NƯỚC NGANG (ĐOẠN QUA XÃ HOẰNG ĐẠT, HOẰNG HÀ)</t>
  </si>
  <si>
    <t>14.1</t>
  </si>
  <si>
    <t>Bê tông cống hộp 25Mpa, đá 1x2</t>
  </si>
  <si>
    <t>14.2</t>
  </si>
  <si>
    <t>Gia công, lắp đặt cốt thép ống cống, ống buy, ĐK ≤10mm</t>
  </si>
  <si>
    <t>14.3</t>
  </si>
  <si>
    <t>Gia công, lắp đặt cốt thép ống cống, ống buy, ĐK ≤18mm</t>
  </si>
  <si>
    <t>14.4</t>
  </si>
  <si>
    <t>Gia công, lắp dựng, tháo dỡ ván khuôn kim loại, ván khuôn pa nen</t>
  </si>
  <si>
    <t>14.5</t>
  </si>
  <si>
    <t>Bốc xếp cấu kiện bê tông đúc sẵn có trọng lượng P≤5T bằng cần cẩu</t>
  </si>
  <si>
    <t>14.6</t>
  </si>
  <si>
    <t>14.7</t>
  </si>
  <si>
    <t>14.8</t>
  </si>
  <si>
    <t>Lắp đặt cống hộp đơn, đoạn ống dài 1,2m - Quy cách ống: 1200x1200mm</t>
  </si>
  <si>
    <t>14.9</t>
  </si>
  <si>
    <t>14.10</t>
  </si>
  <si>
    <t>14.11</t>
  </si>
  <si>
    <t>14.12</t>
  </si>
  <si>
    <t>14.13</t>
  </si>
  <si>
    <t>14.14</t>
  </si>
  <si>
    <t>14.15</t>
  </si>
  <si>
    <t>14.16</t>
  </si>
  <si>
    <t>14.17</t>
  </si>
  <si>
    <t>Bê tông đế cống 20Mpa, đá 1x2</t>
  </si>
  <si>
    <t>14.18</t>
  </si>
  <si>
    <t>Gia công, lắp đặt cốt thép tấm đan, hàng rào, cửa sổ, lá chớp, nan hoa, con sơn</t>
  </si>
  <si>
    <t>14.19</t>
  </si>
  <si>
    <t>Gia công, lắp dựng, tháo dỡ ván khuôn kim loại, ván khuôn nắp đan, tấm chớp</t>
  </si>
  <si>
    <t>14.20</t>
  </si>
  <si>
    <t>14.21</t>
  </si>
  <si>
    <t>14.22</t>
  </si>
  <si>
    <t>14.23</t>
  </si>
  <si>
    <t>Lắp dựng cấu kiện bê tông đúc sẵn, cột ≤2,5T bằng máy</t>
  </si>
  <si>
    <t>14.24</t>
  </si>
  <si>
    <t>14.25</t>
  </si>
  <si>
    <t>14.26</t>
  </si>
  <si>
    <t>14.27</t>
  </si>
  <si>
    <t>14.28</t>
  </si>
  <si>
    <t>14.29</t>
  </si>
  <si>
    <t>14.30</t>
  </si>
  <si>
    <t>14.31</t>
  </si>
  <si>
    <t>14.32</t>
  </si>
  <si>
    <t>Bê tông bản quá độ, đá 1x2, chiều rộng &lt;=250 cm, C25</t>
  </si>
  <si>
    <t>14.33</t>
  </si>
  <si>
    <t>14.34</t>
  </si>
  <si>
    <t>14.35</t>
  </si>
  <si>
    <t>14.36</t>
  </si>
  <si>
    <t>Bốc xếp cấu kiện bê tông đúc sẵn có trọng lượng P≤1T bằng cần cẩu - Bốc xếp lên</t>
  </si>
  <si>
    <t>14.37</t>
  </si>
  <si>
    <t>Bốc xếp cấu kiện bê tông đúc sẵn có trọng lượng P≤1T bằng cần cẩu - Bốc xếp xuống</t>
  </si>
  <si>
    <t>14.38</t>
  </si>
  <si>
    <t>14.39</t>
  </si>
  <si>
    <t>Lắp dựng cấu kiện bê tông đúc sẵn, xà dầm, giằng ≤1T bằng máy</t>
  </si>
  <si>
    <t>14.40</t>
  </si>
  <si>
    <t>Trát vữa XM</t>
  </si>
  <si>
    <t>14.41</t>
  </si>
  <si>
    <t>Đay tẩm nhựa đường (tạm tính 1kg = 3m, trọng lượng 1,38kg/m3)</t>
  </si>
  <si>
    <t>14.42</t>
  </si>
  <si>
    <t>Quét nhựa bi tum và dán bao tải 1 lớp bao tải 2 lớp nhựa</t>
  </si>
  <si>
    <t>14.43</t>
  </si>
  <si>
    <t>Quét nhựa bitum nóng vào tường</t>
  </si>
  <si>
    <t>14.44</t>
  </si>
  <si>
    <t>Bê tông tường, đá 1x2, chiều rộng &lt;=250 cm, 16Mpa</t>
  </si>
  <si>
    <t>14.45</t>
  </si>
  <si>
    <t>14.46</t>
  </si>
  <si>
    <t>14.47</t>
  </si>
  <si>
    <t>14.48</t>
  </si>
  <si>
    <t>Bê tông móng SX bằng máy trộn, đổ bằng thủ công, rộng ≤250cm, M200, đá 1x2, PCB40</t>
  </si>
  <si>
    <t>14.49</t>
  </si>
  <si>
    <t>14.50</t>
  </si>
  <si>
    <t>14.51</t>
  </si>
  <si>
    <t>14.52</t>
  </si>
  <si>
    <t>14.53</t>
  </si>
  <si>
    <t>14.54</t>
  </si>
  <si>
    <t>Xây đá hộc, xây mái dốc thẳng, vữa XM</t>
  </si>
  <si>
    <t>14.55</t>
  </si>
  <si>
    <t>14.56</t>
  </si>
  <si>
    <t>14.57</t>
  </si>
  <si>
    <t>Đá hộc xếp khan</t>
  </si>
  <si>
    <t>14.58</t>
  </si>
  <si>
    <t>14.59</t>
  </si>
  <si>
    <t>14.60</t>
  </si>
  <si>
    <t>14.61</t>
  </si>
  <si>
    <t>14.62</t>
  </si>
  <si>
    <t>14.63</t>
  </si>
  <si>
    <t>Trát vữa XM M75</t>
  </si>
  <si>
    <t>14.64</t>
  </si>
  <si>
    <t>Bê tông thanh chống, 20Mpa</t>
  </si>
  <si>
    <t>14.65</t>
  </si>
  <si>
    <t>14.66</t>
  </si>
  <si>
    <t>14.67</t>
  </si>
  <si>
    <t>Phá dỡ kết cấu gạch đá bằng búa căn khí nén 3m3/ph</t>
  </si>
  <si>
    <t>14.68</t>
  </si>
  <si>
    <t>Vận chuyển đất không thích hợp</t>
  </si>
  <si>
    <t>14.69</t>
  </si>
  <si>
    <t>NỀN MẶT ĐƯỜNG TUYẾN CHÍNH  (ĐOẠN QUA XÃ HOẰNG YẾN)</t>
  </si>
  <si>
    <t>15.1</t>
  </si>
  <si>
    <t>15.2</t>
  </si>
  <si>
    <t>15.3</t>
  </si>
  <si>
    <t>Đắp nền đường bằng máy lu bánh thép 25T, máy ủi 110CV, độ chặt Y/C K = 0,95</t>
  </si>
  <si>
    <t>15.4</t>
  </si>
  <si>
    <t>15.5</t>
  </si>
  <si>
    <t>15.6</t>
  </si>
  <si>
    <t>15.7</t>
  </si>
  <si>
    <t>15.8</t>
  </si>
  <si>
    <t>15.9</t>
  </si>
  <si>
    <t>15.10</t>
  </si>
  <si>
    <t>15.11</t>
  </si>
  <si>
    <t>Vận chuyển đất không thích hợp  đất cấp IV</t>
  </si>
  <si>
    <t>15.12</t>
  </si>
  <si>
    <t>15.13</t>
  </si>
  <si>
    <t>15.14</t>
  </si>
  <si>
    <t>15.15</t>
  </si>
  <si>
    <t>15.16</t>
  </si>
  <si>
    <t>15.17</t>
  </si>
  <si>
    <t>15.18</t>
  </si>
  <si>
    <t>15.19</t>
  </si>
  <si>
    <t>Vận chuyển đất tận dụng</t>
  </si>
  <si>
    <t>15.20</t>
  </si>
  <si>
    <t>15.21</t>
  </si>
  <si>
    <t>15.22</t>
  </si>
  <si>
    <t>15.23</t>
  </si>
  <si>
    <t>15.24</t>
  </si>
  <si>
    <t>15.25</t>
  </si>
  <si>
    <t>15.26</t>
  </si>
  <si>
    <t>15.27</t>
  </si>
  <si>
    <t>15.28</t>
  </si>
  <si>
    <t>15.29</t>
  </si>
  <si>
    <t>15.30</t>
  </si>
  <si>
    <t>15.31</t>
  </si>
  <si>
    <t>15.32</t>
  </si>
  <si>
    <t>15.33</t>
  </si>
  <si>
    <t>15.34</t>
  </si>
  <si>
    <t>15.35</t>
  </si>
  <si>
    <t>15.36</t>
  </si>
  <si>
    <t>15.37</t>
  </si>
  <si>
    <t>15.38</t>
  </si>
  <si>
    <t>15.39</t>
  </si>
  <si>
    <t>15.40</t>
  </si>
  <si>
    <t>15.41</t>
  </si>
  <si>
    <t>15.42</t>
  </si>
  <si>
    <t>15.43</t>
  </si>
  <si>
    <t>15.44</t>
  </si>
  <si>
    <t>15.45</t>
  </si>
  <si>
    <t>Đắp đất bao dính giải phân cách  độ chặt Y/C K = 0,9</t>
  </si>
  <si>
    <t>NÚT GIAO  (ĐOẠN QUA XÃ HOẰNG YẾN)</t>
  </si>
  <si>
    <t>16.1</t>
  </si>
  <si>
    <t>16.2</t>
  </si>
  <si>
    <t>16.3</t>
  </si>
  <si>
    <t>16.4</t>
  </si>
  <si>
    <t>16.5</t>
  </si>
  <si>
    <t>Đắp nền đường máy đầm 25 tấn, độ chặt yêu cầu K=0,98</t>
  </si>
  <si>
    <t>16.6</t>
  </si>
  <si>
    <t>16.7</t>
  </si>
  <si>
    <t>16.8</t>
  </si>
  <si>
    <t>16.9</t>
  </si>
  <si>
    <t>16.10</t>
  </si>
  <si>
    <t>Đắp cát bằng máy, độ chặt yêu cầu K=0,95</t>
  </si>
  <si>
    <t>16.11</t>
  </si>
  <si>
    <t>16.12</t>
  </si>
  <si>
    <t>16.13</t>
  </si>
  <si>
    <t>Rải lưới địa kỹ thuật dệt cường độ 200Kn/m</t>
  </si>
  <si>
    <t>16.14</t>
  </si>
  <si>
    <t>16.15</t>
  </si>
  <si>
    <t>16.16</t>
  </si>
  <si>
    <t>16.17</t>
  </si>
  <si>
    <t>16.18</t>
  </si>
  <si>
    <t>16.19</t>
  </si>
  <si>
    <t>16.20</t>
  </si>
  <si>
    <t>16.21</t>
  </si>
  <si>
    <t>Thi công móng cấp phối đá dăm lớp dưới</t>
  </si>
  <si>
    <t>ĐƯỜNG GIAO DÂN SINH  (ĐOẠN QUA XÃ HOẰNG YẾN)</t>
  </si>
  <si>
    <t>17.1</t>
  </si>
  <si>
    <t>17.2</t>
  </si>
  <si>
    <t>17.3</t>
  </si>
  <si>
    <t>17.4</t>
  </si>
  <si>
    <t>17.5</t>
  </si>
  <si>
    <t>17.6</t>
  </si>
  <si>
    <t>17.7</t>
  </si>
  <si>
    <t>17.8</t>
  </si>
  <si>
    <t>17.9</t>
  </si>
  <si>
    <t>17.10</t>
  </si>
  <si>
    <t>17.11</t>
  </si>
  <si>
    <t>17.12</t>
  </si>
  <si>
    <t>17.13</t>
  </si>
  <si>
    <t>17.14</t>
  </si>
  <si>
    <t>17.15</t>
  </si>
  <si>
    <t>17.16</t>
  </si>
  <si>
    <t>17.17</t>
  </si>
  <si>
    <t>17.18</t>
  </si>
  <si>
    <t>17.19</t>
  </si>
  <si>
    <t>17.20</t>
  </si>
  <si>
    <t>17.21</t>
  </si>
  <si>
    <t>AN TOÀN GIAO THÔNG  (ĐOẠN QUA XÃ HOẰNG YẾN)</t>
  </si>
  <si>
    <t>18.1</t>
  </si>
  <si>
    <t>18.2</t>
  </si>
  <si>
    <t>18.3</t>
  </si>
  <si>
    <t>18.4</t>
  </si>
  <si>
    <t>18.5</t>
  </si>
  <si>
    <t>18.6</t>
  </si>
  <si>
    <t>18.7</t>
  </si>
  <si>
    <t>18.8</t>
  </si>
  <si>
    <t>Lắp đặt cột và biển báo phản quang - Loại biển báo phản quang: Biển chữ nhật 160x100cm</t>
  </si>
  <si>
    <t>18.9</t>
  </si>
  <si>
    <t>18.10</t>
  </si>
  <si>
    <t>18.11</t>
  </si>
  <si>
    <t>18.12</t>
  </si>
  <si>
    <t>Biển chữ nhật 1600x1000</t>
  </si>
  <si>
    <t>18.13</t>
  </si>
  <si>
    <t>18.14</t>
  </si>
  <si>
    <t>18.15</t>
  </si>
  <si>
    <t>18.16</t>
  </si>
  <si>
    <t>18.17</t>
  </si>
  <si>
    <t>18.18</t>
  </si>
  <si>
    <t>Cọc H - sơn sắt thép</t>
  </si>
  <si>
    <t>18.19</t>
  </si>
  <si>
    <t>PHẦN CẦU  (ĐOẠN QUA XÃ HOẰNG YẾN)</t>
  </si>
  <si>
    <t>19.1</t>
  </si>
  <si>
    <t>Cáp DUL dầm I</t>
  </si>
  <si>
    <t>19.2</t>
  </si>
  <si>
    <t>Cốt thép dầm D&lt;=18</t>
  </si>
  <si>
    <t>19.3</t>
  </si>
  <si>
    <t>Cốt thép dầm D&gt;18</t>
  </si>
  <si>
    <t>19.4</t>
  </si>
  <si>
    <t>Bê tông dầm I 40Mpa</t>
  </si>
  <si>
    <t>19.5</t>
  </si>
  <si>
    <t>Ván khuôn dầm</t>
  </si>
  <si>
    <t>19.6</t>
  </si>
  <si>
    <t>Sản xuất vữa bê tông bằng trạm trộn</t>
  </si>
  <si>
    <t>19.7</t>
  </si>
  <si>
    <t>19.8</t>
  </si>
  <si>
    <t>Lắp đặt ống ghen luồn cáp DƯL D55/60</t>
  </si>
  <si>
    <t>19.9</t>
  </si>
  <si>
    <t>Phun vữa bịt ống luồn cáp</t>
  </si>
  <si>
    <t>19.10</t>
  </si>
  <si>
    <t>Lắp đặt neo cáp 7T12.7</t>
  </si>
  <si>
    <t>đầu neo</t>
  </si>
  <si>
    <t>19.11</t>
  </si>
  <si>
    <t>Sản xuất thép hình, thép bản</t>
  </si>
  <si>
    <t>19.12</t>
  </si>
  <si>
    <t>Lắp đặt thép hình, thép bản</t>
  </si>
  <si>
    <t>19.13</t>
  </si>
  <si>
    <t>19.14</t>
  </si>
  <si>
    <t>19.15</t>
  </si>
  <si>
    <t>19.16</t>
  </si>
  <si>
    <t>19.17</t>
  </si>
  <si>
    <t>19.18</t>
  </si>
  <si>
    <t>19.19</t>
  </si>
  <si>
    <t>19.20</t>
  </si>
  <si>
    <t>Lắp đặt ống ghen luồn cáp DƯL D80/87</t>
  </si>
  <si>
    <t>19.21</t>
  </si>
  <si>
    <t>19.22</t>
  </si>
  <si>
    <t>Lắp đặt neo cáp 12T12.7</t>
  </si>
  <si>
    <t>19.23</t>
  </si>
  <si>
    <t>19.24</t>
  </si>
  <si>
    <t>19.25</t>
  </si>
  <si>
    <t>Bê tông dầm ngang 30MPa</t>
  </si>
  <si>
    <t>19.26</t>
  </si>
  <si>
    <t>19.27</t>
  </si>
  <si>
    <t>19.28</t>
  </si>
  <si>
    <t>Sản xuất, lắp dựng, tháo dỡ ván khuôn dầm ngang</t>
  </si>
  <si>
    <t>19.29</t>
  </si>
  <si>
    <t>Cốt thép dầm ngang D&lt;=18</t>
  </si>
  <si>
    <t>19.30</t>
  </si>
  <si>
    <t>Cốt thép dầm ngang D&gt;18</t>
  </si>
  <si>
    <t>19.31</t>
  </si>
  <si>
    <t>Bê tông tấm ván khuôn 25MPa</t>
  </si>
  <si>
    <t>19.32</t>
  </si>
  <si>
    <t>Cốt thép tấm ván khuôn mặt cầu</t>
  </si>
  <si>
    <t>19.33</t>
  </si>
  <si>
    <t>Ván khuôn tấm ván khuôn mặt cầu</t>
  </si>
  <si>
    <t>19.34</t>
  </si>
  <si>
    <t>Lắp đặt tấm ván khuôn mặt cầu</t>
  </si>
  <si>
    <t>19.35</t>
  </si>
  <si>
    <t>Bốc xếp cấu kiện bê tông đúc sẵn có trọng lượng P≤500kg bằng cần cẩu - Bốc xếp lên</t>
  </si>
  <si>
    <t>19.36</t>
  </si>
  <si>
    <t>Bốc xếp cấu kiện bê tông đúc sẵn có trọng lượng P≤500kg bằng cần cẩu - Bốc xếp xuống</t>
  </si>
  <si>
    <t>19.37</t>
  </si>
  <si>
    <t>19.38</t>
  </si>
  <si>
    <t>Bê tông mặt cầu+ mối nối bản mặt cầu 30MPa</t>
  </si>
  <si>
    <t>19.39</t>
  </si>
  <si>
    <t>19.40</t>
  </si>
  <si>
    <t>19.41</t>
  </si>
  <si>
    <t>Cốt thép mặt cầu D&lt;=10</t>
  </si>
  <si>
    <t>19.42</t>
  </si>
  <si>
    <t>Cốt thép mặt cầu D&lt;=18</t>
  </si>
  <si>
    <t>19.43</t>
  </si>
  <si>
    <t>Cốt thép mặt cầu D&gt;18</t>
  </si>
  <si>
    <t>19.44</t>
  </si>
  <si>
    <t>Ván khuôn bản mặt cầu</t>
  </si>
  <si>
    <t>19.45</t>
  </si>
  <si>
    <t>Tấm đệm đàn hồi dày 1cm</t>
  </si>
  <si>
    <t>19.46</t>
  </si>
  <si>
    <t>Lớp phòng nước mặt cầu dạng phun</t>
  </si>
  <si>
    <t>19.47</t>
  </si>
  <si>
    <t>Tưới nhựa dính bám 0,5kg/m2</t>
  </si>
  <si>
    <t>19.48</t>
  </si>
  <si>
    <t>Bêtông nhựa chặt C16; dày 7cm</t>
  </si>
  <si>
    <t>19.49</t>
  </si>
  <si>
    <t>19.50</t>
  </si>
  <si>
    <t>Vận chuyển bê tông nhựa từ trạm trộn đến vị trí đổ</t>
  </si>
  <si>
    <t>19.51</t>
  </si>
  <si>
    <t>Gối cao su 400x300x50</t>
  </si>
  <si>
    <t>19.52</t>
  </si>
  <si>
    <t>Gối cao su 400x300x50 (có tấm PTFE)</t>
  </si>
  <si>
    <t>19.53</t>
  </si>
  <si>
    <t>Gối cao su 450x400x78</t>
  </si>
  <si>
    <t>19.54</t>
  </si>
  <si>
    <t>Gối cao su 450x400x78 (có tấm PTFE)</t>
  </si>
  <si>
    <t>19.55</t>
  </si>
  <si>
    <t>Sản xuất thép hình, thép bản tấm đệm gối</t>
  </si>
  <si>
    <t>19.56</t>
  </si>
  <si>
    <t>Lắp đặt thép hình, thép bản tấm đệm gối</t>
  </si>
  <si>
    <t>19.57</t>
  </si>
  <si>
    <t>Quét keo dính bám epoxy</t>
  </si>
  <si>
    <t>Tấn</t>
  </si>
  <si>
    <t>19.58</t>
  </si>
  <si>
    <t>Khe co giãn răng lược 50mm</t>
  </si>
  <si>
    <t>1m</t>
  </si>
  <si>
    <t>19.59</t>
  </si>
  <si>
    <t>Bê tông khe co giãn 30Mpa</t>
  </si>
  <si>
    <t>19.60</t>
  </si>
  <si>
    <t>Cốt thép khe co giãn</t>
  </si>
  <si>
    <t>19.61</t>
  </si>
  <si>
    <t>Ván khuôn</t>
  </si>
  <si>
    <t>19.62</t>
  </si>
  <si>
    <t>Bulông neo khe co giãn M12</t>
  </si>
  <si>
    <t>19.63</t>
  </si>
  <si>
    <t>Sản xuất thép hình, thép bản khe co giãn</t>
  </si>
  <si>
    <t>19.64</t>
  </si>
  <si>
    <t>Lắp đặt thép hình khe co giãn</t>
  </si>
  <si>
    <t>19.65</t>
  </si>
  <si>
    <t>19.66</t>
  </si>
  <si>
    <t>Bê tông gờ lan can  25Mpa</t>
  </si>
  <si>
    <t>19.67</t>
  </si>
  <si>
    <t>Sản xuất, lắp dựng, tháo dỡ ván khuôn lan can</t>
  </si>
  <si>
    <t>19.68</t>
  </si>
  <si>
    <t>Cốt thép lan can D&lt;=18</t>
  </si>
  <si>
    <t>19.69</t>
  </si>
  <si>
    <t>Sản xuất thép hình, thép bản tay vị lan can</t>
  </si>
  <si>
    <t>19.70</t>
  </si>
  <si>
    <t>Lắp đặt thép hình, thép bản tay vịn lan can</t>
  </si>
  <si>
    <t>19.71</t>
  </si>
  <si>
    <t>Lắp dựng ống nhựa PVC D90</t>
  </si>
  <si>
    <t>19.72</t>
  </si>
  <si>
    <t>Lắp  ống PVC D60</t>
  </si>
  <si>
    <t>19.73</t>
  </si>
  <si>
    <t>Bulông</t>
  </si>
  <si>
    <t>19.74</t>
  </si>
  <si>
    <t>Bê tông lề bộ hành 25MPa</t>
  </si>
  <si>
    <t>19.75</t>
  </si>
  <si>
    <t>Cốt thép</t>
  </si>
  <si>
    <t>19.76</t>
  </si>
  <si>
    <t>19.77</t>
  </si>
  <si>
    <t>Lắp đặt tấm lề bộ hành</t>
  </si>
  <si>
    <t>19.78</t>
  </si>
  <si>
    <t>19.79</t>
  </si>
  <si>
    <t>19.80</t>
  </si>
  <si>
    <t>19.81</t>
  </si>
  <si>
    <t>Lát gạch Tezzanzo</t>
  </si>
  <si>
    <t>19.82</t>
  </si>
  <si>
    <t>19.83</t>
  </si>
  <si>
    <t>Ống thoát nước bằng gang đúc D150</t>
  </si>
  <si>
    <t>1 đoạn ống</t>
  </si>
  <si>
    <t>19.84</t>
  </si>
  <si>
    <t>Lưới chắn rác</t>
  </si>
  <si>
    <t>bộ</t>
  </si>
  <si>
    <t>19.85</t>
  </si>
  <si>
    <t>Nâng hạ dầm lên xe</t>
  </si>
  <si>
    <t>1 dầm</t>
  </si>
  <si>
    <t>19.86</t>
  </si>
  <si>
    <t>Di chuyển dầm I bằng goong, chiều dài dầm22&lt;L&lt;=33mn</t>
  </si>
  <si>
    <t>1 dầm/10m</t>
  </si>
  <si>
    <t>19.87</t>
  </si>
  <si>
    <t>Di chuyển dầm I bằng goong, chiều dài dầm 33&lt;L&lt;=40mn</t>
  </si>
  <si>
    <t>19.88</t>
  </si>
  <si>
    <t>Lao lắp dầm  (12&lt;L&lt;=22m)</t>
  </si>
  <si>
    <t>19.89</t>
  </si>
  <si>
    <t>Lao lắp dầm  (22&lt;L&lt;=33m)</t>
  </si>
  <si>
    <t>19.90</t>
  </si>
  <si>
    <t>Đá dăm đệm bệ đúc</t>
  </si>
  <si>
    <t>19.91</t>
  </si>
  <si>
    <t>19.92</t>
  </si>
  <si>
    <t>Bê tông bệ đúc 25MPa</t>
  </si>
  <si>
    <t>19.93</t>
  </si>
  <si>
    <t>Cốt thép bệ đúc</t>
  </si>
  <si>
    <t>19.94</t>
  </si>
  <si>
    <t>Ván khuôn bệ đúc</t>
  </si>
  <si>
    <t>19.95</t>
  </si>
  <si>
    <t>Phá bỏ BT bệ đúc dầm</t>
  </si>
  <si>
    <t>19.96</t>
  </si>
  <si>
    <t>Phá bỏ đá xây bệ đúc dầm</t>
  </si>
  <si>
    <t>19.97</t>
  </si>
  <si>
    <t>19.98</t>
  </si>
  <si>
    <t>19.99</t>
  </si>
  <si>
    <t>Sản xuất thép hình phục vụ thi công mặt cầu</t>
  </si>
  <si>
    <t>19.100</t>
  </si>
  <si>
    <t>KH thép hình phục vụ thi công mặt cầu</t>
  </si>
  <si>
    <t>19.101</t>
  </si>
  <si>
    <t>Sản xuất thép hình phục vụ thi công dầm ngang, lan can</t>
  </si>
  <si>
    <t>19.102</t>
  </si>
  <si>
    <t>KH thép hình phục vụ thi công  dầm ngang, lan can</t>
  </si>
  <si>
    <t>19.103</t>
  </si>
  <si>
    <t>Lắp dựng thép hình PVTC mặt cầu, dầm ngang, lan can</t>
  </si>
  <si>
    <t>19.104</t>
  </si>
  <si>
    <t>Tháo dỡ thép hình PVTC mặt cầu, dầm ngang, lan can</t>
  </si>
  <si>
    <t>19.105</t>
  </si>
  <si>
    <t>Bê tông 25MPa con kê</t>
  </si>
  <si>
    <t>19.106</t>
  </si>
  <si>
    <t>Bu lông D14, L=750mm</t>
  </si>
  <si>
    <t>19.107</t>
  </si>
  <si>
    <t>Bu lông D14, L=525mm</t>
  </si>
  <si>
    <t>19.108</t>
  </si>
  <si>
    <t>Ống nhựa D16, L350mm</t>
  </si>
  <si>
    <t>19.109</t>
  </si>
  <si>
    <t>Cốt thép bản quá độ D&lt;=10</t>
  </si>
  <si>
    <t>19.110</t>
  </si>
  <si>
    <t>Cốt thép bản quá độ D&lt;=18</t>
  </si>
  <si>
    <t>19.111</t>
  </si>
  <si>
    <t>19.112</t>
  </si>
  <si>
    <t>Bê tông bản quá độ 25MPa</t>
  </si>
  <si>
    <t>19.113</t>
  </si>
  <si>
    <t>Bêtông đệm bản quá độ 10MPa</t>
  </si>
  <si>
    <t>19.114</t>
  </si>
  <si>
    <t>19.115</t>
  </si>
  <si>
    <t>Bê tông thân, bệ móng 30MPa trên cạn</t>
  </si>
  <si>
    <t>19.116</t>
  </si>
  <si>
    <t>Bê tông đệm móng 10MPa</t>
  </si>
  <si>
    <t>19.117</t>
  </si>
  <si>
    <t>Sản xuất vữa bê tông qua dây chuyền trạm trộn công suất ≤90m3/h</t>
  </si>
  <si>
    <t>19.118</t>
  </si>
  <si>
    <t>19.119</t>
  </si>
  <si>
    <t>Cốt thép mố D&lt;=10 trên cạn</t>
  </si>
  <si>
    <t>19.120</t>
  </si>
  <si>
    <t>Cốt thép mố D&lt;=18 trên cạn</t>
  </si>
  <si>
    <t>19.121</t>
  </si>
  <si>
    <t>Cốt thép mố D&gt;18 trên cạn</t>
  </si>
  <si>
    <t>19.122</t>
  </si>
  <si>
    <t>Sản xuất, lắp dựng, tháo dỡ ván khuôn thép mố, trụ</t>
  </si>
  <si>
    <t>19.123</t>
  </si>
  <si>
    <t>Thép tròn mạ kẽm</t>
  </si>
  <si>
    <t>19.124</t>
  </si>
  <si>
    <t>19.125</t>
  </si>
  <si>
    <t>Hộp chốt</t>
  </si>
  <si>
    <t>19.126</t>
  </si>
  <si>
    <t>Lắp đặt hộp chốt</t>
  </si>
  <si>
    <t>19.127</t>
  </si>
  <si>
    <t>Vữa không co ngót</t>
  </si>
  <si>
    <t>19.128</t>
  </si>
  <si>
    <t>Tấm ngăn nước</t>
  </si>
  <si>
    <t>19.129</t>
  </si>
  <si>
    <t>Ống nhựa PVC D90</t>
  </si>
  <si>
    <t>19.130</t>
  </si>
  <si>
    <t>Nhựa đường nhét khe</t>
  </si>
  <si>
    <t>19.131</t>
  </si>
  <si>
    <t>Quét nhựa đường sau mố (quét 2 lớp)</t>
  </si>
  <si>
    <t>19.132</t>
  </si>
  <si>
    <t>Bê tông cọc khoan nhồi  trên cạn 30MPa đường kính D&lt;=1,0 (trong ô.vách)</t>
  </si>
  <si>
    <t>19.133</t>
  </si>
  <si>
    <t>19.134</t>
  </si>
  <si>
    <t>19.135</t>
  </si>
  <si>
    <t>Cốt thép cọc khoan nhồi D&lt;=18 cạn</t>
  </si>
  <si>
    <t>19.136</t>
  </si>
  <si>
    <t>Cốt thép cọc khoan nhồi D&gt;18 cạn</t>
  </si>
  <si>
    <t>19.137</t>
  </si>
  <si>
    <t>Thép thép bản</t>
  </si>
  <si>
    <t>19.138</t>
  </si>
  <si>
    <t>Lắp đặt thép  bản</t>
  </si>
  <si>
    <t>19.139</t>
  </si>
  <si>
    <t>Khoan tạo lỗ D1,0 vào đất thường chiều dài khoan &lt;=30m trên cạn</t>
  </si>
  <si>
    <t>19.140</t>
  </si>
  <si>
    <t>Khoan tạo lỗ D1,0 vào đất sét dẻo, cát chiều dài khoan &lt;=30m (hệ số x1,2) trên cạn</t>
  </si>
  <si>
    <t>19.141</t>
  </si>
  <si>
    <t>Khoan tạo lỗ D1,0 vào đất sét dẻo, cát chiều dài khoan &gt;30m (hệ số x1,2x1,015) trên cạn</t>
  </si>
  <si>
    <t>19.142</t>
  </si>
  <si>
    <t>Khoan tạo lỗ vào đá  C4 trên cạn cọc D1,0m, chiều dài khoan &gt;30m (hệ số x1,015)</t>
  </si>
  <si>
    <t>19.143</t>
  </si>
  <si>
    <t>Bơm dung dịch betonit trên cạn</t>
  </si>
  <si>
    <t>19.144</t>
  </si>
  <si>
    <t>Phun vữa bịt ống thăm dò</t>
  </si>
  <si>
    <t>19.145</t>
  </si>
  <si>
    <t>Lắp đặt ống thép D58,7/65,1</t>
  </si>
  <si>
    <t>19.146</t>
  </si>
  <si>
    <t>Lắp đặt ống thép D107,3/114,3</t>
  </si>
  <si>
    <t>19.147</t>
  </si>
  <si>
    <t>Nắp đậy ống D58,7/D65,1</t>
  </si>
  <si>
    <t>19.148</t>
  </si>
  <si>
    <t>Nắp đậy của ống D107,3/D114,3</t>
  </si>
  <si>
    <t>19.149</t>
  </si>
  <si>
    <t>Ống nối của ống D58,7/D65,1</t>
  </si>
  <si>
    <t>19.150</t>
  </si>
  <si>
    <t>Ống nối của ống D107,3/D114,3</t>
  </si>
  <si>
    <t>19.151</t>
  </si>
  <si>
    <t>Cóc nối</t>
  </si>
  <si>
    <t>19.152</t>
  </si>
  <si>
    <t>sản xuất ống vách thép</t>
  </si>
  <si>
    <t>19.153</t>
  </si>
  <si>
    <t>Khấu hao ống vách thép M1 trái l/c sang M1 phải</t>
  </si>
  <si>
    <t>19.154</t>
  </si>
  <si>
    <t>Khấu hao ống vách thép M2 trái l/c sang M2 phải</t>
  </si>
  <si>
    <t>19.155</t>
  </si>
  <si>
    <t>Khấu hao ống vách thép T1 trái l/c sang T1 phải</t>
  </si>
  <si>
    <t>19.156</t>
  </si>
  <si>
    <t>Khấu hao ống vách thép T2 trái l/c sang T2 phải</t>
  </si>
  <si>
    <t>19.157</t>
  </si>
  <si>
    <t>Đập BT đầu cọc</t>
  </si>
  <si>
    <t>19.158</t>
  </si>
  <si>
    <t>Đào xúc đất bằng máy đào 1,25m3 - Cấp đất IV</t>
  </si>
  <si>
    <t>1m3</t>
  </si>
  <si>
    <t>19.159</t>
  </si>
  <si>
    <t>Vận chuyển đất không thích hợp, cự ly 4,5km</t>
  </si>
  <si>
    <t>19.160</t>
  </si>
  <si>
    <t>Vận chuyển phế thải, cự ly 4,5km</t>
  </si>
  <si>
    <t>19.161</t>
  </si>
  <si>
    <t>Thí nghiệm siêu âm chất lượng cọc KN</t>
  </si>
  <si>
    <t>1 mặt cắt siêu âm/ 1 lần thí nghiệm</t>
  </si>
  <si>
    <t>19.162</t>
  </si>
  <si>
    <t>Khoan kiểm tra mùn mũi cọc</t>
  </si>
  <si>
    <t>cọc</t>
  </si>
  <si>
    <t>19.163</t>
  </si>
  <si>
    <t>Thí nghiệm PDA cọc khoan nhồi D=1,0m</t>
  </si>
  <si>
    <t>lần TN/1 cọc</t>
  </si>
  <si>
    <t>19.164</t>
  </si>
  <si>
    <t>Bêtông cọc khoan nhồi 30MPa cạn</t>
  </si>
  <si>
    <t>19.165</t>
  </si>
  <si>
    <t>19.166</t>
  </si>
  <si>
    <t>19.167</t>
  </si>
  <si>
    <t>19.168</t>
  </si>
  <si>
    <t>19.169</t>
  </si>
  <si>
    <t>19.170</t>
  </si>
  <si>
    <t>19.171</t>
  </si>
  <si>
    <t>19.172</t>
  </si>
  <si>
    <t>19.173</t>
  </si>
  <si>
    <t>19.174</t>
  </si>
  <si>
    <t>19.175</t>
  </si>
  <si>
    <t>Vận chuyển đất, đất cấp IV</t>
  </si>
  <si>
    <t>19.176</t>
  </si>
  <si>
    <t>19.177</t>
  </si>
  <si>
    <t>Khấu hao ống vách thép</t>
  </si>
  <si>
    <t>19.178</t>
  </si>
  <si>
    <t>Sản xuất kết cấu thép PVTC (1 đơn nguyên mố M1 rồi luân chuyển sang các mố trụ còn lại)</t>
  </si>
  <si>
    <t>19.179</t>
  </si>
  <si>
    <t>Khấu hao thép PVTC Mố M1 trái</t>
  </si>
  <si>
    <t>19.180</t>
  </si>
  <si>
    <t>Khấu hao thép PVTC Mố M1 phải</t>
  </si>
  <si>
    <t>19.181</t>
  </si>
  <si>
    <t>Khấu hao thép PVTC Mố M2 trái</t>
  </si>
  <si>
    <t>19.182</t>
  </si>
  <si>
    <t>Khấu hao thép PVTC Mố M2 phải</t>
  </si>
  <si>
    <t>19.183</t>
  </si>
  <si>
    <t>Khấu hao thép PVTC Trụ T1 trái</t>
  </si>
  <si>
    <t>19.184</t>
  </si>
  <si>
    <t>Khấu hao thép PVTC Trụ T1 phải</t>
  </si>
  <si>
    <t>19.185</t>
  </si>
  <si>
    <t>Khấu hao thép PVTC Trụ T2 trái</t>
  </si>
  <si>
    <t>19.186</t>
  </si>
  <si>
    <t>Khấu hao thép PVTC Trụ T2 phải</t>
  </si>
  <si>
    <t>19.187</t>
  </si>
  <si>
    <t>Lắp dựng hệ kết cấu thép PVTC</t>
  </si>
  <si>
    <t>19.188</t>
  </si>
  <si>
    <t>Tháo dỡ kết cấu thép PVTC</t>
  </si>
  <si>
    <t>19.189</t>
  </si>
  <si>
    <t>Khấu hao cọc ván thép trụ T1 trái, luân chuyển sang T2 trái</t>
  </si>
  <si>
    <t>19.190</t>
  </si>
  <si>
    <t>Khấu hao cọc ván thép trụ T1 phải, luân chuyển sang T2 phải</t>
  </si>
  <si>
    <t>19.191</t>
  </si>
  <si>
    <t>Đóng cọc ván thép (phần ngập đất)</t>
  </si>
  <si>
    <t>19.192</t>
  </si>
  <si>
    <t>Đóng cọc ván thép (phần ko ngập đất x0,75)</t>
  </si>
  <si>
    <t>19.193</t>
  </si>
  <si>
    <t>Nhổ cọc ván thép</t>
  </si>
  <si>
    <t>19.194</t>
  </si>
  <si>
    <t>Đào đất hố móng bằng máy đất C2</t>
  </si>
  <si>
    <t>19.195</t>
  </si>
  <si>
    <t>San ủi mặt bằng</t>
  </si>
  <si>
    <t>19.196</t>
  </si>
  <si>
    <t>Đắp đất hố móng bằng máy K95</t>
  </si>
  <si>
    <t>19.197</t>
  </si>
  <si>
    <t>Bê tông móng SX bằng máy trộn, đổ bằng thủ công, rộng ≤250cm, M300, đá 1x2, PCB40</t>
  </si>
  <si>
    <t>19.198</t>
  </si>
  <si>
    <t>Bê tông tạo phẳng ngăn nước 16Mpa</t>
  </si>
  <si>
    <t>19.199</t>
  </si>
  <si>
    <t>19.200</t>
  </si>
  <si>
    <t>19.201</t>
  </si>
  <si>
    <t xml:space="preserve">Đường đầu cầu + tứ nón </t>
  </si>
  <si>
    <t>19.202</t>
  </si>
  <si>
    <t>Đắp vật liệu dạng hạt K98</t>
  </si>
  <si>
    <t>19.203</t>
  </si>
  <si>
    <t>Đắp đất nền đường K95 bằng máy</t>
  </si>
  <si>
    <t>19.204</t>
  </si>
  <si>
    <t>Đào đất nền đường bằng máy</t>
  </si>
  <si>
    <t>19.205</t>
  </si>
  <si>
    <t>Đào đất chân khay</t>
  </si>
  <si>
    <t>19.206</t>
  </si>
  <si>
    <t>19.207</t>
  </si>
  <si>
    <t>Bê tông mái ta luy 20MPa</t>
  </si>
  <si>
    <t xml:space="preserve">Gia cố taluy </t>
  </si>
  <si>
    <t>19.208</t>
  </si>
  <si>
    <t>19.209</t>
  </si>
  <si>
    <t>19.210</t>
  </si>
  <si>
    <t>19.211</t>
  </si>
  <si>
    <t>Vữa bê tông</t>
  </si>
  <si>
    <t>19.212</t>
  </si>
  <si>
    <t>Đào gia tải</t>
  </si>
  <si>
    <t>19.213</t>
  </si>
  <si>
    <t>Dỡ gia tải (Chuyển sang bên tuyến)</t>
  </si>
  <si>
    <t>19.214</t>
  </si>
  <si>
    <t>Bê tông tấm BTCT 20MPa</t>
  </si>
  <si>
    <t>19.215</t>
  </si>
  <si>
    <t>19.216</t>
  </si>
  <si>
    <t>19.217</t>
  </si>
  <si>
    <t>Lắp đặt tấm BTCT</t>
  </si>
  <si>
    <t>19.218</t>
  </si>
  <si>
    <t>Bốc xếp cấu kiện bê tông đúc sẵn có trọng lượng P≤200kg cần cẩu - Bốc xếp lên</t>
  </si>
  <si>
    <t>19.219</t>
  </si>
  <si>
    <t>Bốc xếp cấu kiện bê tông đúc sẵn có trọng lượng P≤200kg cần cẩu - Bốc xếp xuống</t>
  </si>
  <si>
    <t>19.220</t>
  </si>
  <si>
    <t>19.221</t>
  </si>
  <si>
    <t>Bê tông tấm đan rãnh 20Mpa</t>
  </si>
  <si>
    <t>19.222</t>
  </si>
  <si>
    <t>Bê tông lót bó vỉa 8Mpa</t>
  </si>
  <si>
    <t>19.223</t>
  </si>
  <si>
    <t>19.224</t>
  </si>
  <si>
    <t>Vữa đệm 8Mpa</t>
  </si>
  <si>
    <t>19.225</t>
  </si>
  <si>
    <t>Bê tông móng SX bằng máy trộn, đổ bằng thủ công, rộng &gt;250cm, M200, đá 1x2, PCB40</t>
  </si>
  <si>
    <t>19.226</t>
  </si>
  <si>
    <t>Ván khuôn bê tông chân khay</t>
  </si>
  <si>
    <t>19.227</t>
  </si>
  <si>
    <t>19.228</t>
  </si>
  <si>
    <t>Ván khuôn móng băng, móng bè, bệ máy</t>
  </si>
  <si>
    <t>19.229</t>
  </si>
  <si>
    <t>Bê tông m200</t>
  </si>
  <si>
    <t>19.230</t>
  </si>
  <si>
    <t>Vải địa kĩ thuật 12KN/m</t>
  </si>
  <si>
    <t>19.231</t>
  </si>
  <si>
    <t>Đóng cọc tre</t>
  </si>
  <si>
    <t>19.232</t>
  </si>
  <si>
    <t>19.233</t>
  </si>
  <si>
    <t>19.234</t>
  </si>
  <si>
    <t>19.235</t>
  </si>
  <si>
    <t>Tưới nhựa dính bám 1kg/m2</t>
  </si>
  <si>
    <t>19.236</t>
  </si>
  <si>
    <t>Đắp đất nền đường K98</t>
  </si>
  <si>
    <t>19.237</t>
  </si>
  <si>
    <t>Cấp phối đá dăm loại 1</t>
  </si>
  <si>
    <t>19.238</t>
  </si>
  <si>
    <t>Cấp phối đá dăm loại 2</t>
  </si>
  <si>
    <t>19.239</t>
  </si>
  <si>
    <t>Bê tông tấm BTCT 25MPa</t>
  </si>
  <si>
    <t>19.240</t>
  </si>
  <si>
    <t>19.241</t>
  </si>
  <si>
    <t>Ray P43</t>
  </si>
  <si>
    <t>kg</t>
  </si>
  <si>
    <t>19.242</t>
  </si>
  <si>
    <t>Đá dăm cấp phối loại 2</t>
  </si>
  <si>
    <t>19.243</t>
  </si>
  <si>
    <t>Đắp đất K90</t>
  </si>
  <si>
    <t>,,,,,,0</t>
  </si>
  <si>
    <t>19.244</t>
  </si>
  <si>
    <t>19.245</t>
  </si>
  <si>
    <t>19.246</t>
  </si>
  <si>
    <t>19.247</t>
  </si>
  <si>
    <t>19.248</t>
  </si>
  <si>
    <t>19.249</t>
  </si>
  <si>
    <t>19.250</t>
  </si>
  <si>
    <t>19.251</t>
  </si>
  <si>
    <t>19.252</t>
  </si>
  <si>
    <t>19.253</t>
  </si>
  <si>
    <t>19.254</t>
  </si>
  <si>
    <t>Đào đất dọn dẹp mặt bằng thi công</t>
  </si>
  <si>
    <t>19.255</t>
  </si>
  <si>
    <t>ĐẢM BẢO GIAO THÔNG THỦY</t>
  </si>
  <si>
    <t>21.1</t>
  </si>
  <si>
    <t>Đèn báo hiệu gắn trên cầu</t>
  </si>
  <si>
    <t>21.2</t>
  </si>
  <si>
    <t>Biển báo 40x40cm</t>
  </si>
  <si>
    <t>21.3</t>
  </si>
  <si>
    <t>Biển báo 120x120cm</t>
  </si>
  <si>
    <t>21.4</t>
  </si>
  <si>
    <t>Lắp đặt biển báo gắn trên cầu</t>
  </si>
  <si>
    <t>21.5</t>
  </si>
  <si>
    <t>Sơn thước nước</t>
  </si>
  <si>
    <t>21.6</t>
  </si>
  <si>
    <t>Cung cấp phao D800</t>
  </si>
  <si>
    <t>21.7</t>
  </si>
  <si>
    <t>Thả phao ĐK phao 0,8m</t>
  </si>
  <si>
    <t>21.8</t>
  </si>
  <si>
    <t>Trục phao ĐK phao 0,8m</t>
  </si>
  <si>
    <t>21.9</t>
  </si>
  <si>
    <t>21.10</t>
  </si>
  <si>
    <t>Biển báo 120x170cm</t>
  </si>
  <si>
    <t>21.11</t>
  </si>
  <si>
    <t>21.12</t>
  </si>
  <si>
    <t>Cột biển báo (KH</t>
  </si>
  <si>
    <t>21.13</t>
  </si>
  <si>
    <t>Lắp đặt cột biển báo</t>
  </si>
  <si>
    <t>CHI PHÍ BẢO HIỂM</t>
  </si>
  <si>
    <t>22.1</t>
  </si>
  <si>
    <t>Chi phí bảo hiểm thi công phần đường, hệ thống thoát nước</t>
  </si>
  <si>
    <t>Khoản</t>
  </si>
  <si>
    <t>22.2</t>
  </si>
  <si>
    <t>Chi phí bảo hiểm thi công phần cầu</t>
  </si>
  <si>
    <t>CHI PHÍ DỰ PHÒNG (6,67%*CPXD)</t>
  </si>
  <si>
    <t>B</t>
  </si>
  <si>
    <t>ĐOẠN QUA ĐỊA PHẬN XÃ HOẰNG ĐẠT &amp; HOẰNG HÀ</t>
  </si>
  <si>
    <t>Mặt đường</t>
  </si>
  <si>
    <t>Dải phân cách giữa</t>
  </si>
  <si>
    <t>Đắp đất bao dính giải phân cách</t>
  </si>
  <si>
    <t>THOÁT NƯỚC NGANG</t>
  </si>
  <si>
    <t>Móng cống BxH=1,25x1,25 L=1,5m</t>
  </si>
  <si>
    <t>Bốc xếp cấu kiện bê tông đúc sẵn có trọng lượng P≤1T bằng cần cẩu</t>
  </si>
  <si>
    <t>Cống hộp BxH=1,25x1,25; L=1m không vai kê</t>
  </si>
  <si>
    <t>Vận chuyển ống cống bê tông bằng ô tô vận tải thùng 12 tấn - Cự ly vận chuyển trong phạm vi ≤1km</t>
  </si>
  <si>
    <t>Lắp đặt cống hộp đơn, đoạn ống dài 1,2m - Quy cách ống: 1000x1000mm</t>
  </si>
  <si>
    <t>Mối nối</t>
  </si>
  <si>
    <t>Tường đầu, tường cánh</t>
  </si>
  <si>
    <t>Móng tường đầu, tường cánh</t>
  </si>
  <si>
    <t>Bê tông móng, đá 1x2, chiều rộng &lt;=250 cm, 16Mpa</t>
  </si>
  <si>
    <t>Gia cố mái taluy</t>
  </si>
  <si>
    <t>Đá hộc xây vữa XM 10Mpa</t>
  </si>
  <si>
    <t>Đào, đắp đất</t>
  </si>
  <si>
    <t>Đào đất C1</t>
  </si>
  <si>
    <t>Đắp đất K95</t>
  </si>
  <si>
    <t>Đắp đầu cống K95</t>
  </si>
  <si>
    <t>Cải mương</t>
  </si>
  <si>
    <t>Bê tông 16Mpa</t>
  </si>
  <si>
    <t>C</t>
  </si>
  <si>
    <t>CHI PHÍ DỰ PHÒNG</t>
  </si>
  <si>
    <t xml:space="preserve">Khoản </t>
  </si>
  <si>
    <t>D</t>
  </si>
  <si>
    <t>GIÁ TRỊ ĐIỀU CHỈNH TĂNG (ĐIỀU CHỈNH TRONG PHỤ LỤC ĐƠN GIÁ HỢP ĐỒNG</t>
  </si>
  <si>
    <t xml:space="preserve">Mặt đường </t>
  </si>
  <si>
    <t>Mặt đường KC1: KC làm mới</t>
  </si>
  <si>
    <t xml:space="preserve">CẢI MƯƠNG </t>
  </si>
  <si>
    <t>E</t>
  </si>
  <si>
    <t>Móng cống BxH=1,5x1,5 L=0,99m</t>
  </si>
  <si>
    <t>Khối đỡ đổ tại chỗ</t>
  </si>
  <si>
    <t>khối</t>
  </si>
  <si>
    <t>Cống hộp BxH=1,25x1,25; L=1m có vai kê</t>
  </si>
  <si>
    <t>Bản quá độ L=1,0m</t>
  </si>
  <si>
    <t>Hố thu gạch xây</t>
  </si>
  <si>
    <t>ĐOẠN QUA ĐỊA PHẬN XÃ HOẰNG YẾN</t>
  </si>
  <si>
    <t>F</t>
  </si>
  <si>
    <t>GIÁ TRỊ ĐIỀU CHỈNH TĂNG (ĐIỀU CHỈNH NGOÀI PHỤ LỤC ĐƠN GIÁ HỢP ĐỒNG)</t>
  </si>
  <si>
    <t>THOÁT NƯỚC HOẰNG ĐẠT</t>
  </si>
  <si>
    <t>CỐNG D600</t>
  </si>
  <si>
    <t xml:space="preserve">Thân cống  </t>
  </si>
  <si>
    <t xml:space="preserve">Bê tông ống cống, bê tông M300, đá 1x2, PCB40 </t>
  </si>
  <si>
    <t>Ván khuôn ống cống</t>
  </si>
  <si>
    <t xml:space="preserve">Gia công, lắp đặt cốt thép ống cống, ĐK ≤10mm </t>
  </si>
  <si>
    <t xml:space="preserve">Lắp đặt ống bê tông bằng cần cẩu, đoạn ống dài 1m - Đường kính ≤600mm </t>
  </si>
  <si>
    <t xml:space="preserve">Vận chuyển ống cống bê tông bằng ô tô vận tải thùng 12 tấn - Cự ly vận chuyển trong phạm vi ≤1km </t>
  </si>
  <si>
    <t xml:space="preserve">Móng cống  </t>
  </si>
  <si>
    <t>Bê tông móng cống M250, đá 1x2, PCB40</t>
  </si>
  <si>
    <t xml:space="preserve">Gia công, lắp đặt cốt thép pa nen, ĐK ≤10mm </t>
  </si>
  <si>
    <t xml:space="preserve">Gia công, lắp đặt cốt thép pa nen, ĐK &gt;10mm </t>
  </si>
  <si>
    <t>Lắp dựng móng cống</t>
  </si>
  <si>
    <t xml:space="preserve">Vận chuyển cấu kiện bê tông bằng ô tô vận tải thùng 12 tấn - Cự ly vận chuyển trong phạm vi ≤1km </t>
  </si>
  <si>
    <t>CỘT DÀN VAN</t>
  </si>
  <si>
    <t>Thi công lớp đá đệm móng, ĐK đá Dmax ≤4</t>
  </si>
  <si>
    <t xml:space="preserve">Tấm nắp rãnh  </t>
  </si>
  <si>
    <t>Bê tông cột dàn van</t>
  </si>
  <si>
    <t>Bê tông cánh cửa</t>
  </si>
  <si>
    <t>Lắp dựng cốt thép ĐK ≤18mm</t>
  </si>
  <si>
    <t>Lắp dựng cốt thép ĐK ≤10mm</t>
  </si>
  <si>
    <t>Bộ đỡ nâng cánh phai V1</t>
  </si>
  <si>
    <t xml:space="preserve">Ván khuôn móng dài </t>
  </si>
  <si>
    <t>Lắp dựng cánh phai bằng thép</t>
  </si>
  <si>
    <t>Máy đóng mở cánh cổng V3</t>
  </si>
  <si>
    <t xml:space="preserve">Ống thoát nước HDPE  _x000D_
</t>
  </si>
  <si>
    <t>Bê tông cột đỡ 16Mpa</t>
  </si>
  <si>
    <t xml:space="preserve">Ván khuôn </t>
  </si>
  <si>
    <t>Đai ôm ống D512</t>
  </si>
  <si>
    <t>Bu lông D16x35</t>
  </si>
  <si>
    <t>Ống thoát nước HDPE D500</t>
  </si>
  <si>
    <t>Đóng cọc tre bằng máy đào 0,5m3, chiều dài cọc &gt;2,5m  - Cấp đất I</t>
  </si>
  <si>
    <t>CỐNG HỘP QUA ĐƯỜNG NGANG</t>
  </si>
  <si>
    <t>Lắp đặt cống hộp đơn, đoạn ống dài 1,2m - Quy cách ống: 1500x1500mm</t>
  </si>
  <si>
    <t xml:space="preserve">Nối ống bê tông bằng phương pháp xảm - Đường kính 750mm </t>
  </si>
  <si>
    <t>mối nối</t>
  </si>
  <si>
    <t>Bê tông móng cống, bê tông M200, đá 1x2, PCB40</t>
  </si>
  <si>
    <t>Bê tông chèn khe M200 cống đôi</t>
  </si>
  <si>
    <t xml:space="preserve">Tường đầu  </t>
  </si>
  <si>
    <t>Bê tông tường đầu 16Mpa</t>
  </si>
  <si>
    <t>Ván khuôn tường</t>
  </si>
  <si>
    <t xml:space="preserve">Tường cánh  </t>
  </si>
  <si>
    <t>Bê tông tường cánh 16Mpa</t>
  </si>
  <si>
    <t xml:space="preserve">Móng tường đầu  </t>
  </si>
  <si>
    <t xml:space="preserve">Móng tường cánh  </t>
  </si>
  <si>
    <t xml:space="preserve">Khối lượng đào, đắp  </t>
  </si>
  <si>
    <t>Đào móng bằng máy đào 1,25m3, chiều rộng móng ≤6m - Cấp đất I</t>
  </si>
  <si>
    <t>Đắp đất bằng đầm đất cầm tay 70kg, độ chặt Y/C K = 0,95</t>
  </si>
  <si>
    <t xml:space="preserve">Cống 2,5x2,0m Km4+441 (Xã Hoằng Đạt, Hoằng Hà)  </t>
  </si>
  <si>
    <t>Vận chuyển vữa bê tông bằng ô tô chuyển trộn 10,7m3, phạm vi ≤4km</t>
  </si>
  <si>
    <t xml:space="preserve">Vận chuyển vữa bê tông bằng ô tô chuyển trộn 10,7m3; vận chuyển 5,4km tiếp theo </t>
  </si>
  <si>
    <t>Bê tông móng cống 10Mpa</t>
  </si>
  <si>
    <t xml:space="preserve">Mối nối cống  </t>
  </si>
  <si>
    <t>Cốt thép D&lt;10</t>
  </si>
  <si>
    <t>Chốt thép D25</t>
  </si>
  <si>
    <t>Lắp đặt ống nhựa PVC D34</t>
  </si>
  <si>
    <t xml:space="preserve">Tấm đệm đàn hồi  </t>
  </si>
  <si>
    <t xml:space="preserve">Tấm ngăn nước O200 </t>
  </si>
  <si>
    <t xml:space="preserve">Bản nắp  </t>
  </si>
  <si>
    <t>Cốt thép bản nắp D&lt;18</t>
  </si>
  <si>
    <t xml:space="preserve">Phần cửa cống  </t>
  </si>
  <si>
    <t xml:space="preserve">Các hạng mục khác  </t>
  </si>
  <si>
    <t xml:space="preserve"> Đào đất hố móng đất C2 </t>
  </si>
  <si>
    <t>Đắp cấp phối vật liệu K&gt;=0,95</t>
  </si>
  <si>
    <t>Vải địa kỹ thuật 12KN/m</t>
  </si>
  <si>
    <t xml:space="preserve">Đóng cọc tre </t>
  </si>
  <si>
    <t>Phá dỡ cống cũ</t>
  </si>
  <si>
    <t>Vận chuyển đất bằng ô tô tự đổ 10T, phạm vi ≤1000m - Cấp đất II</t>
  </si>
  <si>
    <t>Vận chuyển đất 1km tiếp theo bằng ô tô tự đổ 10T, trong phạm vi ≤5km - Cấp đất II</t>
  </si>
  <si>
    <t>100m3/1km</t>
  </si>
  <si>
    <t>Vận chuyển đất 1km tiếp theo bằng ô tô tự đổ 10T, ngoài phạm vi 0,672km - Cấp đất II</t>
  </si>
  <si>
    <t xml:space="preserve">Phần cầu (xã Hoằng Yến)  </t>
  </si>
  <si>
    <t>Phá dỡ Cầu cũ</t>
  </si>
  <si>
    <t>Nâng hạ dầm từ trên nhịp cầu cũ xuống</t>
  </si>
  <si>
    <t>Vận chuyển đất bằng ô tô tự đổ 10T, phạm vi ≤1000m - Cấp đất IV</t>
  </si>
  <si>
    <t>Vận chuyển đất 1km tiếp theo bằng ô tô tự đổ 10T, trong phạm vi ≤5km - Cấp đất IV</t>
  </si>
  <si>
    <t>Vận chuyển đất 1km tiếp theo bằng ô tô tự đổ 10T, ngoài phạm vi 0,672km - Cấp đất IV</t>
  </si>
  <si>
    <t>I</t>
  </si>
  <si>
    <t>Tổng cộng giá trị hoàn thành (A+B+D+E+F)</t>
  </si>
  <si>
    <t>II</t>
  </si>
  <si>
    <t>Giảm thuế GTGT theo Chính sách giảm thuế giá trị gia tăng của Quốc hội</t>
  </si>
  <si>
    <t>GIÁ TRỊ THEO PHỤ LỤC HỢP ĐỒNG SỐ 22.5/2025/PLHĐ NGÀY 22/05/2025</t>
  </si>
  <si>
    <t>Giảm trừ thanh toán và giảm trừ hợp đồng theo biên bản xác nhận số liệu và tình hình kiểm toán ngày 22/5/2025 giữa Kiểm toán nhà nước khu vực XI và Ban QLDA đầu tư xây dựng huyện Hoằng Hoá</t>
  </si>
  <si>
    <t>Giảm trừ thanh toán theo biên bản xác nhận số liệu và tình hình kiểm toán ngày 22/5/2025 giữa Kiểm toán nhà nước khu vực XI và Ban QLDA đầu tư xây dựng huyện Hoằng Hoá ( Giảm thuế GTGT từ 10% xuống  8%)</t>
  </si>
  <si>
    <t>Tổng cộng đề nghị thanh toán (I+D)</t>
  </si>
  <si>
    <t xml:space="preserve"> 1.</t>
  </si>
  <si>
    <t xml:space="preserve">Giá trị hợp đồng (giá trị dự toán được duyệt trong trường hợp thực hiện không thông qua hợp đồng): </t>
  </si>
  <si>
    <t>đồng</t>
  </si>
  <si>
    <t xml:space="preserve"> 2.</t>
  </si>
  <si>
    <t xml:space="preserve">Giá trị tạm ứng theo hợp đồng còn lại chưa thu hồi đến cuối kỳ trước:    </t>
  </si>
  <si>
    <t xml:space="preserve"> 3.</t>
  </si>
  <si>
    <t>Số tiền đã thanh toán khối lượng hoàn thành đến cuối kỳ trước:</t>
  </si>
  <si>
    <t xml:space="preserve"> 4.</t>
  </si>
  <si>
    <t>Luỹ kế giá trị khối lượng thực hiện đến cuối kỳ này:</t>
  </si>
  <si>
    <t xml:space="preserve"> 5.</t>
  </si>
  <si>
    <t>Thanh toán để thu hồi tạm ứng:</t>
  </si>
  <si>
    <t xml:space="preserve"> 6.</t>
  </si>
  <si>
    <t>Giá trị đề nghị giải ngân kỳ này:</t>
  </si>
  <si>
    <t xml:space="preserve">Số tiền bằng chữ:  Tám tỷ, bốn trăm triệu đồng./. </t>
  </si>
  <si>
    <t xml:space="preserve"> +</t>
  </si>
  <si>
    <t xml:space="preserve">Tạm ứng: </t>
  </si>
  <si>
    <t>Thanh toán</t>
  </si>
  <si>
    <t>Luỹ kế giá trị thanh toán:</t>
  </si>
  <si>
    <t xml:space="preserve"> Thanh toán:</t>
  </si>
  <si>
    <t>Hoằng Hóa ngày       tháng      năm 2026</t>
  </si>
  <si>
    <t xml:space="preserve">                                          ĐẠI DIỆN CHỦ ĐẦU TƯ</t>
  </si>
  <si>
    <t>ĐẠI DIỆN NHÀ THẦU</t>
  </si>
  <si>
    <t>Quyết định điều chỉnh TKBVTC-DT, số 5892/QĐ-UBND, ngày 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</si>
</sst>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_(* #,##0.000_);_(* \(#,##0.000\);_(* &quot;-&quot;??_);_(@_)"/>
    <numFmt numFmtId="166" formatCode="_(* #,##0_);_(* \(#,##0\);_(* &quot;-&quot;??_);_(@_)"/>
    <numFmt numFmtId="167" formatCode="#"/>
    <numFmt numFmtId="168" formatCode="_-* #,##0.00\ _₫_-;\-* #,##0.00\ _₫_-;_-* &quot;-&quot;??\ _₫_-;_-@_-"/>
    <numFmt numFmtId="169" formatCode="#,##0.000"/>
    <numFmt numFmtId="170" formatCode="_(* #,##0.0000_);_(* \(#,##0.0000\);_(* &quot;-&quot;??_);_(@_)"/>
  </numFmts>
  <fonts count="19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theme="1"/>
      <name val="Calibri"/>
      <family val="2"/>
      <charset val="163"/>
      <scheme val="minor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4"/>
      <color indexed="8"/>
      <name val="Times New Roman"/>
      <family val="1"/>
    </font>
    <font>
      <b/>
      <sz val="14"/>
      <color indexed="12"/>
      <name val="Times New Roman"/>
      <family val="1"/>
    </font>
    <font>
      <sz val="14"/>
      <color indexed="8"/>
      <name val="Times New Roman"/>
      <family val="1"/>
    </font>
    <font>
      <sz val="11"/>
      <name val="Times New Roman"/>
      <family val="1"/>
    </font>
    <font>
      <sz val="12"/>
      <name val=".VnTime"/>
      <family val="2"/>
    </font>
    <font>
      <b/>
      <i/>
      <sz val="12"/>
      <name val="Times New Roman"/>
      <family val="1"/>
    </font>
    <font>
      <i/>
      <sz val="12"/>
      <name val="Times New Roman"/>
      <family val="1"/>
    </font>
    <font>
      <b/>
      <sz val="13"/>
      <name val="Times New Roman"/>
      <family val="1"/>
    </font>
    <font>
      <sz val="11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168" fontId="6" fillId="0" borderId="0" applyFont="0" applyFill="0" applyBorder="0" applyAlignment="0" applyProtection="0"/>
    <xf numFmtId="0" fontId="12" fillId="0" borderId="0" applyAlignment="0">
      <alignment vertical="top" wrapText="1"/>
      <protection locked="0"/>
    </xf>
    <xf numFmtId="0" fontId="13" fillId="0" borderId="0"/>
    <xf numFmtId="164" fontId="17" fillId="0" borderId="0" applyFont="0" applyFill="0" applyBorder="0" applyAlignment="0" applyProtection="0"/>
    <xf numFmtId="0" fontId="18" fillId="0" borderId="0"/>
  </cellStyleXfs>
  <cellXfs count="228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165" fontId="1" fillId="2" borderId="0" xfId="0" applyNumberFormat="1" applyFont="1" applyFill="1" applyAlignment="1">
      <alignment vertical="center"/>
    </xf>
    <xf numFmtId="166" fontId="1" fillId="2" borderId="0" xfId="0" applyNumberFormat="1" applyFont="1" applyFill="1" applyAlignment="1">
      <alignment vertical="center"/>
    </xf>
    <xf numFmtId="165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center" vertical="center" wrapText="1"/>
    </xf>
    <xf numFmtId="0" fontId="3" fillId="2" borderId="1" xfId="0" quotePrefix="1" applyFont="1" applyFill="1" applyBorder="1" applyAlignment="1">
      <alignment horizontal="center" vertical="center"/>
    </xf>
    <xf numFmtId="165" fontId="3" fillId="2" borderId="1" xfId="0" quotePrefix="1" applyNumberFormat="1" applyFont="1" applyFill="1" applyBorder="1" applyAlignment="1">
      <alignment horizontal="center" vertical="center"/>
    </xf>
    <xf numFmtId="166" fontId="3" fillId="2" borderId="1" xfId="0" quotePrefix="1" applyNumberFormat="1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 wrapText="1"/>
    </xf>
    <xf numFmtId="0" fontId="3" fillId="2" borderId="1" xfId="0" quotePrefix="1" applyFont="1" applyFill="1" applyBorder="1" applyAlignment="1">
      <alignment horizontal="left" vertical="center" wrapText="1"/>
    </xf>
    <xf numFmtId="165" fontId="3" fillId="2" borderId="1" xfId="0" quotePrefix="1" applyNumberFormat="1" applyFont="1" applyFill="1" applyBorder="1" applyAlignment="1">
      <alignment horizontal="center" vertical="center" wrapText="1"/>
    </xf>
    <xf numFmtId="166" fontId="3" fillId="2" borderId="1" xfId="0" quotePrefix="1" applyNumberFormat="1" applyFont="1" applyFill="1" applyBorder="1" applyAlignment="1">
      <alignment horizontal="center" vertical="center" wrapText="1"/>
    </xf>
    <xf numFmtId="167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166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6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0" xfId="0" applyFont="1" applyFill="1"/>
    <xf numFmtId="167" fontId="5" fillId="2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165" fontId="5" fillId="2" borderId="2" xfId="0" applyNumberFormat="1" applyFont="1" applyFill="1" applyBorder="1" applyAlignment="1">
      <alignment horizontal="center" vertical="center" wrapText="1"/>
    </xf>
    <xf numFmtId="165" fontId="1" fillId="2" borderId="2" xfId="1" applyNumberFormat="1" applyFont="1" applyFill="1" applyBorder="1" applyAlignment="1">
      <alignment horizontal="center" vertical="center" wrapText="1"/>
    </xf>
    <xf numFmtId="166" fontId="5" fillId="2" borderId="2" xfId="1" applyNumberFormat="1" applyFont="1" applyFill="1" applyBorder="1" applyAlignment="1" applyProtection="1">
      <alignment horizontal="center" vertical="center" wrapText="1"/>
    </xf>
    <xf numFmtId="166" fontId="5" fillId="2" borderId="2" xfId="1" applyNumberFormat="1" applyFont="1" applyFill="1" applyBorder="1" applyAlignment="1" applyProtection="1">
      <alignment horizontal="right" vertical="center" wrapText="1"/>
    </xf>
    <xf numFmtId="166" fontId="1" fillId="2" borderId="2" xfId="1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 wrapText="1"/>
    </xf>
    <xf numFmtId="166" fontId="5" fillId="2" borderId="0" xfId="0" applyNumberFormat="1" applyFont="1" applyFill="1"/>
    <xf numFmtId="167" fontId="5" fillId="2" borderId="3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165" fontId="5" fillId="2" borderId="3" xfId="0" applyNumberFormat="1" applyFont="1" applyFill="1" applyBorder="1" applyAlignment="1">
      <alignment horizontal="center" vertical="center" wrapText="1"/>
    </xf>
    <xf numFmtId="165" fontId="1" fillId="2" borderId="3" xfId="1" applyNumberFormat="1" applyFont="1" applyFill="1" applyBorder="1" applyAlignment="1">
      <alignment horizontal="center" vertical="center" wrapText="1"/>
    </xf>
    <xf numFmtId="166" fontId="5" fillId="2" borderId="3" xfId="1" applyNumberFormat="1" applyFont="1" applyFill="1" applyBorder="1" applyAlignment="1" applyProtection="1">
      <alignment horizontal="center" vertical="center" wrapText="1"/>
    </xf>
    <xf numFmtId="166" fontId="5" fillId="2" borderId="3" xfId="1" applyNumberFormat="1" applyFont="1" applyFill="1" applyBorder="1" applyAlignment="1" applyProtection="1">
      <alignment horizontal="right" vertical="center" wrapText="1"/>
    </xf>
    <xf numFmtId="166" fontId="1" fillId="2" borderId="3" xfId="1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 wrapText="1"/>
    </xf>
    <xf numFmtId="167" fontId="5" fillId="2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165" fontId="5" fillId="2" borderId="4" xfId="0" applyNumberFormat="1" applyFont="1" applyFill="1" applyBorder="1" applyAlignment="1">
      <alignment horizontal="center" vertical="center" wrapText="1"/>
    </xf>
    <xf numFmtId="165" fontId="1" fillId="2" borderId="4" xfId="1" applyNumberFormat="1" applyFont="1" applyFill="1" applyBorder="1" applyAlignment="1">
      <alignment horizontal="center" vertical="center" wrapText="1"/>
    </xf>
    <xf numFmtId="166" fontId="5" fillId="2" borderId="4" xfId="1" applyNumberFormat="1" applyFont="1" applyFill="1" applyBorder="1" applyAlignment="1" applyProtection="1">
      <alignment horizontal="center" vertical="center" wrapText="1"/>
    </xf>
    <xf numFmtId="166" fontId="5" fillId="2" borderId="4" xfId="1" applyNumberFormat="1" applyFont="1" applyFill="1" applyBorder="1" applyAlignment="1" applyProtection="1">
      <alignment horizontal="right" vertical="center" wrapText="1"/>
    </xf>
    <xf numFmtId="166" fontId="1" fillId="2" borderId="4" xfId="1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165" fontId="5" fillId="2" borderId="1" xfId="0" applyNumberFormat="1" applyFont="1" applyFill="1" applyBorder="1" applyAlignment="1">
      <alignment horizontal="center" vertical="center" wrapText="1"/>
    </xf>
    <xf numFmtId="165" fontId="1" fillId="2" borderId="1" xfId="1" applyNumberFormat="1" applyFont="1" applyFill="1" applyBorder="1" applyAlignment="1">
      <alignment horizontal="center" vertical="center" wrapText="1"/>
    </xf>
    <xf numFmtId="166" fontId="5" fillId="2" borderId="1" xfId="1" applyNumberFormat="1" applyFont="1" applyFill="1" applyBorder="1" applyAlignment="1" applyProtection="1">
      <alignment horizontal="center" vertical="center" wrapText="1"/>
    </xf>
    <xf numFmtId="166" fontId="5" fillId="2" borderId="1" xfId="1" applyNumberFormat="1" applyFont="1" applyFill="1" applyBorder="1" applyAlignment="1" applyProtection="1">
      <alignment horizontal="right" vertical="center" wrapText="1"/>
    </xf>
    <xf numFmtId="166" fontId="1" fillId="2" borderId="1" xfId="1" applyNumberFormat="1" applyFont="1" applyFill="1" applyBorder="1" applyAlignment="1">
      <alignment horizontal="center" vertical="center" wrapText="1"/>
    </xf>
    <xf numFmtId="165" fontId="3" fillId="2" borderId="1" xfId="1" applyNumberFormat="1" applyFont="1" applyFill="1" applyBorder="1" applyAlignment="1">
      <alignment horizontal="center" vertical="center" wrapText="1"/>
    </xf>
    <xf numFmtId="166" fontId="4" fillId="2" borderId="1" xfId="1" applyNumberFormat="1" applyFont="1" applyFill="1" applyBorder="1" applyAlignment="1" applyProtection="1">
      <alignment horizontal="center" vertical="center" wrapText="1"/>
    </xf>
    <xf numFmtId="166" fontId="4" fillId="2" borderId="1" xfId="1" applyNumberFormat="1" applyFont="1" applyFill="1" applyBorder="1" applyAlignment="1" applyProtection="1">
      <alignment horizontal="right" vertical="center" wrapText="1"/>
    </xf>
    <xf numFmtId="166" fontId="3" fillId="2" borderId="1" xfId="1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0" xfId="0" applyFont="1" applyFill="1"/>
    <xf numFmtId="166" fontId="5" fillId="2" borderId="2" xfId="0" applyNumberFormat="1" applyFont="1" applyFill="1" applyBorder="1" applyAlignment="1">
      <alignment horizontal="center" vertical="center" wrapText="1"/>
    </xf>
    <xf numFmtId="167" fontId="7" fillId="2" borderId="3" xfId="0" applyNumberFormat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center" vertical="center" wrapText="1"/>
    </xf>
    <xf numFmtId="165" fontId="7" fillId="2" borderId="3" xfId="0" applyNumberFormat="1" applyFont="1" applyFill="1" applyBorder="1" applyAlignment="1">
      <alignment horizontal="center" vertical="center" wrapText="1"/>
    </xf>
    <xf numFmtId="165" fontId="7" fillId="2" borderId="3" xfId="1" applyNumberFormat="1" applyFont="1" applyFill="1" applyBorder="1" applyAlignment="1">
      <alignment horizontal="center" vertical="center" wrapText="1"/>
    </xf>
    <xf numFmtId="166" fontId="7" fillId="2" borderId="3" xfId="1" applyNumberFormat="1" applyFont="1" applyFill="1" applyBorder="1" applyAlignment="1" applyProtection="1">
      <alignment horizontal="center" vertical="center" wrapText="1"/>
    </xf>
    <xf numFmtId="166" fontId="7" fillId="2" borderId="3" xfId="1" applyNumberFormat="1" applyFont="1" applyFill="1" applyBorder="1" applyAlignment="1" applyProtection="1">
      <alignment horizontal="right" vertical="center" wrapText="1"/>
    </xf>
    <xf numFmtId="166" fontId="7" fillId="2" borderId="3" xfId="1" applyNumberFormat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vertical="center" wrapText="1"/>
    </xf>
    <xf numFmtId="0" fontId="7" fillId="2" borderId="0" xfId="0" applyFont="1" applyFill="1"/>
    <xf numFmtId="166" fontId="5" fillId="3" borderId="0" xfId="0" applyNumberFormat="1" applyFont="1" applyFill="1"/>
    <xf numFmtId="167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165" fontId="1" fillId="2" borderId="3" xfId="0" applyNumberFormat="1" applyFont="1" applyFill="1" applyBorder="1" applyAlignment="1">
      <alignment horizontal="center" vertical="center" wrapText="1"/>
    </xf>
    <xf numFmtId="166" fontId="1" fillId="2" borderId="3" xfId="1" applyNumberFormat="1" applyFont="1" applyFill="1" applyBorder="1" applyAlignment="1" applyProtection="1">
      <alignment horizontal="center" vertical="center" wrapText="1"/>
    </xf>
    <xf numFmtId="166" fontId="1" fillId="2" borderId="3" xfId="1" applyNumberFormat="1" applyFont="1" applyFill="1" applyBorder="1" applyAlignment="1" applyProtection="1">
      <alignment horizontal="right"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0" xfId="0" applyFont="1" applyFill="1"/>
    <xf numFmtId="0" fontId="5" fillId="3" borderId="0" xfId="0" applyFont="1" applyFill="1"/>
    <xf numFmtId="0" fontId="1" fillId="2" borderId="2" xfId="0" applyFont="1" applyFill="1" applyBorder="1" applyAlignment="1">
      <alignment horizontal="center" vertical="center" wrapText="1"/>
    </xf>
    <xf numFmtId="166" fontId="1" fillId="2" borderId="2" xfId="1" applyNumberFormat="1" applyFont="1" applyFill="1" applyBorder="1" applyAlignment="1" applyProtection="1">
      <alignment vertical="center" wrapText="1"/>
      <protection locked="0"/>
    </xf>
    <xf numFmtId="0" fontId="1" fillId="2" borderId="4" xfId="0" applyFont="1" applyFill="1" applyBorder="1" applyAlignment="1">
      <alignment horizontal="center" vertical="center" wrapText="1"/>
    </xf>
    <xf numFmtId="166" fontId="1" fillId="2" borderId="4" xfId="1" applyNumberFormat="1" applyFont="1" applyFill="1" applyBorder="1" applyAlignment="1" applyProtection="1">
      <alignment vertical="center" wrapText="1"/>
      <protection locked="0"/>
    </xf>
    <xf numFmtId="166" fontId="3" fillId="2" borderId="1" xfId="1" applyNumberFormat="1" applyFont="1" applyFill="1" applyBorder="1" applyAlignment="1" applyProtection="1">
      <alignment vertical="center" wrapText="1"/>
      <protection locked="0"/>
    </xf>
    <xf numFmtId="166" fontId="3" fillId="2" borderId="1" xfId="1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left" vertical="center" wrapText="1"/>
    </xf>
    <xf numFmtId="3" fontId="4" fillId="2" borderId="1" xfId="1" applyNumberFormat="1" applyFont="1" applyFill="1" applyBorder="1" applyAlignment="1" applyProtection="1">
      <alignment horizontal="right" vertical="center" wrapText="1"/>
    </xf>
    <xf numFmtId="167" fontId="5" fillId="2" borderId="1" xfId="0" applyNumberFormat="1" applyFont="1" applyFill="1" applyBorder="1" applyAlignment="1">
      <alignment horizontal="center" vertical="center" wrapText="1"/>
    </xf>
    <xf numFmtId="3" fontId="5" fillId="2" borderId="1" xfId="1" applyNumberFormat="1" applyFont="1" applyFill="1" applyBorder="1" applyAlignment="1" applyProtection="1">
      <alignment horizontal="right" vertical="center" wrapText="1"/>
    </xf>
    <xf numFmtId="169" fontId="5" fillId="2" borderId="2" xfId="0" applyNumberFormat="1" applyFont="1" applyFill="1" applyBorder="1" applyAlignment="1">
      <alignment horizontal="center" vertical="center" wrapText="1"/>
    </xf>
    <xf numFmtId="3" fontId="5" fillId="3" borderId="2" xfId="1" applyNumberFormat="1" applyFont="1" applyFill="1" applyBorder="1" applyAlignment="1" applyProtection="1">
      <alignment horizontal="right" vertical="center" wrapText="1"/>
    </xf>
    <xf numFmtId="169" fontId="5" fillId="2" borderId="3" xfId="0" applyNumberFormat="1" applyFont="1" applyFill="1" applyBorder="1" applyAlignment="1">
      <alignment horizontal="center" vertical="center" wrapText="1"/>
    </xf>
    <xf numFmtId="3" fontId="5" fillId="3" borderId="3" xfId="1" applyNumberFormat="1" applyFont="1" applyFill="1" applyBorder="1" applyAlignment="1" applyProtection="1">
      <alignment horizontal="right" vertical="center" wrapText="1"/>
    </xf>
    <xf numFmtId="169" fontId="5" fillId="2" borderId="4" xfId="0" applyNumberFormat="1" applyFont="1" applyFill="1" applyBorder="1" applyAlignment="1">
      <alignment horizontal="center" vertical="center" wrapText="1"/>
    </xf>
    <xf numFmtId="3" fontId="5" fillId="3" borderId="4" xfId="1" applyNumberFormat="1" applyFont="1" applyFill="1" applyBorder="1" applyAlignment="1" applyProtection="1">
      <alignment horizontal="right" vertical="center" wrapText="1"/>
    </xf>
    <xf numFmtId="3" fontId="5" fillId="2" borderId="2" xfId="1" applyNumberFormat="1" applyFont="1" applyFill="1" applyBorder="1" applyAlignment="1" applyProtection="1">
      <alignment horizontal="right" vertical="center" wrapText="1"/>
    </xf>
    <xf numFmtId="3" fontId="5" fillId="2" borderId="3" xfId="1" applyNumberFormat="1" applyFont="1" applyFill="1" applyBorder="1" applyAlignment="1" applyProtection="1">
      <alignment horizontal="right" vertical="center" wrapText="1"/>
    </xf>
    <xf numFmtId="3" fontId="5" fillId="2" borderId="4" xfId="1" applyNumberFormat="1" applyFont="1" applyFill="1" applyBorder="1" applyAlignment="1" applyProtection="1">
      <alignment horizontal="right" vertical="center" wrapText="1"/>
    </xf>
    <xf numFmtId="169" fontId="4" fillId="2" borderId="1" xfId="0" applyNumberFormat="1" applyFont="1" applyFill="1" applyBorder="1" applyAlignment="1">
      <alignment horizontal="center" vertical="center" wrapText="1"/>
    </xf>
    <xf numFmtId="168" fontId="8" fillId="2" borderId="2" xfId="1" applyFont="1" applyFill="1" applyBorder="1" applyAlignment="1">
      <alignment horizontal="center" vertical="center" wrapText="1"/>
    </xf>
    <xf numFmtId="168" fontId="8" fillId="2" borderId="4" xfId="1" applyFont="1" applyFill="1" applyBorder="1" applyAlignment="1">
      <alignment horizontal="center" vertical="center" wrapText="1"/>
    </xf>
    <xf numFmtId="169" fontId="5" fillId="2" borderId="1" xfId="0" applyNumberFormat="1" applyFont="1" applyFill="1" applyBorder="1" applyAlignment="1">
      <alignment horizontal="center" vertical="center" wrapText="1"/>
    </xf>
    <xf numFmtId="167" fontId="5" fillId="2" borderId="5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 wrapText="1"/>
    </xf>
    <xf numFmtId="169" fontId="5" fillId="2" borderId="5" xfId="0" applyNumberFormat="1" applyFont="1" applyFill="1" applyBorder="1" applyAlignment="1">
      <alignment horizontal="center" vertical="center" wrapText="1"/>
    </xf>
    <xf numFmtId="165" fontId="1" fillId="2" borderId="5" xfId="1" applyNumberFormat="1" applyFont="1" applyFill="1" applyBorder="1" applyAlignment="1">
      <alignment horizontal="center" vertical="center" wrapText="1"/>
    </xf>
    <xf numFmtId="165" fontId="5" fillId="2" borderId="5" xfId="0" applyNumberFormat="1" applyFont="1" applyFill="1" applyBorder="1" applyAlignment="1">
      <alignment horizontal="center" vertical="center" wrapText="1"/>
    </xf>
    <xf numFmtId="166" fontId="5" fillId="2" borderId="5" xfId="1" applyNumberFormat="1" applyFont="1" applyFill="1" applyBorder="1" applyAlignment="1" applyProtection="1">
      <alignment horizontal="center" vertical="center" wrapText="1"/>
    </xf>
    <xf numFmtId="3" fontId="5" fillId="2" borderId="5" xfId="1" applyNumberFormat="1" applyFont="1" applyFill="1" applyBorder="1" applyAlignment="1" applyProtection="1">
      <alignment horizontal="right" vertical="center" wrapText="1"/>
    </xf>
    <xf numFmtId="166" fontId="1" fillId="2" borderId="5" xfId="1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vertical="center" wrapText="1"/>
    </xf>
    <xf numFmtId="167" fontId="4" fillId="2" borderId="5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/>
    <xf numFmtId="167" fontId="4" fillId="2" borderId="6" xfId="0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 wrapText="1"/>
    </xf>
    <xf numFmtId="169" fontId="5" fillId="2" borderId="6" xfId="0" applyNumberFormat="1" applyFont="1" applyFill="1" applyBorder="1" applyAlignment="1">
      <alignment horizontal="center" vertical="center" wrapText="1"/>
    </xf>
    <xf numFmtId="165" fontId="1" fillId="2" borderId="6" xfId="1" applyNumberFormat="1" applyFont="1" applyFill="1" applyBorder="1" applyAlignment="1">
      <alignment horizontal="center" vertical="center" wrapText="1"/>
    </xf>
    <xf numFmtId="166" fontId="5" fillId="2" borderId="6" xfId="1" applyNumberFormat="1" applyFont="1" applyFill="1" applyBorder="1" applyAlignment="1" applyProtection="1">
      <alignment horizontal="center" vertical="center" wrapText="1"/>
    </xf>
    <xf numFmtId="3" fontId="4" fillId="2" borderId="6" xfId="1" applyNumberFormat="1" applyFont="1" applyFill="1" applyBorder="1" applyAlignment="1" applyProtection="1">
      <alignment horizontal="right" vertical="center" wrapText="1"/>
    </xf>
    <xf numFmtId="167" fontId="5" fillId="2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169" fontId="5" fillId="2" borderId="7" xfId="0" applyNumberFormat="1" applyFont="1" applyFill="1" applyBorder="1" applyAlignment="1">
      <alignment horizontal="center" vertical="center" wrapText="1"/>
    </xf>
    <xf numFmtId="165" fontId="1" fillId="2" borderId="7" xfId="1" applyNumberFormat="1" applyFont="1" applyFill="1" applyBorder="1" applyAlignment="1">
      <alignment horizontal="center" vertical="center" wrapText="1"/>
    </xf>
    <xf numFmtId="165" fontId="5" fillId="2" borderId="7" xfId="0" applyNumberFormat="1" applyFont="1" applyFill="1" applyBorder="1" applyAlignment="1">
      <alignment horizontal="center" vertical="center" wrapText="1"/>
    </xf>
    <xf numFmtId="166" fontId="5" fillId="2" borderId="7" xfId="1" applyNumberFormat="1" applyFont="1" applyFill="1" applyBorder="1" applyAlignment="1" applyProtection="1">
      <alignment horizontal="center" vertical="center" wrapText="1"/>
    </xf>
    <xf numFmtId="3" fontId="5" fillId="2" borderId="7" xfId="1" applyNumberFormat="1" applyFont="1" applyFill="1" applyBorder="1" applyAlignment="1" applyProtection="1">
      <alignment horizontal="right" vertical="center" wrapText="1"/>
    </xf>
    <xf numFmtId="166" fontId="1" fillId="2" borderId="7" xfId="1" applyNumberFormat="1" applyFont="1" applyFill="1" applyBorder="1" applyAlignment="1">
      <alignment horizontal="center" vertical="center" wrapText="1"/>
    </xf>
    <xf numFmtId="0" fontId="5" fillId="2" borderId="7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2" xfId="0" applyFont="1" applyFill="1" applyBorder="1"/>
    <xf numFmtId="0" fontId="5" fillId="2" borderId="5" xfId="0" applyFont="1" applyFill="1" applyBorder="1"/>
    <xf numFmtId="167" fontId="5" fillId="2" borderId="6" xfId="0" applyNumberFormat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left" vertical="center" wrapText="1"/>
    </xf>
    <xf numFmtId="165" fontId="5" fillId="2" borderId="6" xfId="0" applyNumberFormat="1" applyFont="1" applyFill="1" applyBorder="1" applyAlignment="1">
      <alignment horizontal="center" vertical="center" wrapText="1"/>
    </xf>
    <xf numFmtId="3" fontId="5" fillId="2" borderId="6" xfId="1" applyNumberFormat="1" applyFont="1" applyFill="1" applyBorder="1" applyAlignment="1" applyProtection="1">
      <alignment horizontal="right" vertical="center" wrapText="1"/>
    </xf>
    <xf numFmtId="166" fontId="1" fillId="2" borderId="6" xfId="1" applyNumberFormat="1" applyFont="1" applyFill="1" applyBorder="1" applyAlignment="1">
      <alignment horizontal="center" vertical="center" wrapText="1"/>
    </xf>
    <xf numFmtId="0" fontId="5" fillId="2" borderId="6" xfId="0" applyFont="1" applyFill="1" applyBorder="1"/>
    <xf numFmtId="167" fontId="5" fillId="2" borderId="8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center" vertical="center" wrapText="1"/>
    </xf>
    <xf numFmtId="169" fontId="4" fillId="2" borderId="8" xfId="0" applyNumberFormat="1" applyFont="1" applyFill="1" applyBorder="1" applyAlignment="1">
      <alignment horizontal="center" vertical="center" wrapText="1"/>
    </xf>
    <xf numFmtId="165" fontId="1" fillId="2" borderId="8" xfId="1" applyNumberFormat="1" applyFont="1" applyFill="1" applyBorder="1" applyAlignment="1">
      <alignment horizontal="center" vertical="center" wrapText="1"/>
    </xf>
    <xf numFmtId="165" fontId="5" fillId="2" borderId="8" xfId="0" applyNumberFormat="1" applyFont="1" applyFill="1" applyBorder="1" applyAlignment="1">
      <alignment horizontal="center" vertical="center" wrapText="1"/>
    </xf>
    <xf numFmtId="166" fontId="5" fillId="2" borderId="8" xfId="1" applyNumberFormat="1" applyFont="1" applyFill="1" applyBorder="1" applyAlignment="1" applyProtection="1">
      <alignment horizontal="center" vertical="center" wrapText="1"/>
    </xf>
    <xf numFmtId="3" fontId="5" fillId="2" borderId="8" xfId="1" applyNumberFormat="1" applyFont="1" applyFill="1" applyBorder="1" applyAlignment="1" applyProtection="1">
      <alignment horizontal="right" vertical="center" wrapText="1"/>
    </xf>
    <xf numFmtId="166" fontId="1" fillId="2" borderId="8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/>
    <xf numFmtId="0" fontId="5" fillId="2" borderId="8" xfId="0" applyFont="1" applyFill="1" applyBorder="1" applyAlignment="1">
      <alignment horizontal="center" vertical="center" wrapText="1"/>
    </xf>
    <xf numFmtId="167" fontId="9" fillId="2" borderId="1" xfId="0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0" fontId="11" fillId="2" borderId="0" xfId="0" applyFont="1" applyFill="1"/>
    <xf numFmtId="166" fontId="3" fillId="2" borderId="1" xfId="1" applyNumberFormat="1" applyFont="1" applyFill="1" applyBorder="1" applyAlignment="1">
      <alignment vertical="center" wrapText="1"/>
    </xf>
    <xf numFmtId="3" fontId="3" fillId="2" borderId="1" xfId="1" applyNumberFormat="1" applyFont="1" applyFill="1" applyBorder="1" applyAlignment="1">
      <alignment vertical="center" wrapText="1"/>
    </xf>
    <xf numFmtId="167" fontId="11" fillId="2" borderId="1" xfId="0" applyNumberFormat="1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3" applyFont="1" applyFill="1" applyBorder="1" applyAlignment="1">
      <alignment vertical="center"/>
    </xf>
    <xf numFmtId="165" fontId="1" fillId="2" borderId="17" xfId="3" applyNumberFormat="1" applyFont="1" applyFill="1" applyBorder="1" applyAlignment="1">
      <alignment vertical="center"/>
    </xf>
    <xf numFmtId="165" fontId="1" fillId="2" borderId="17" xfId="0" applyNumberFormat="1" applyFont="1" applyFill="1" applyBorder="1" applyAlignment="1">
      <alignment vertical="center"/>
    </xf>
    <xf numFmtId="165" fontId="1" fillId="2" borderId="17" xfId="1" applyNumberFormat="1" applyFont="1" applyFill="1" applyBorder="1" applyAlignment="1">
      <alignment vertical="center" wrapText="1"/>
    </xf>
    <xf numFmtId="0" fontId="1" fillId="2" borderId="18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vertical="center"/>
    </xf>
    <xf numFmtId="166" fontId="3" fillId="2" borderId="0" xfId="1" applyNumberFormat="1" applyFont="1" applyFill="1" applyBorder="1" applyAlignment="1">
      <alignment vertical="center" wrapText="1"/>
    </xf>
    <xf numFmtId="168" fontId="1" fillId="2" borderId="0" xfId="1" applyFont="1" applyFill="1" applyBorder="1" applyAlignment="1">
      <alignment vertical="center"/>
    </xf>
    <xf numFmtId="165" fontId="3" fillId="2" borderId="17" xfId="1" applyNumberFormat="1" applyFont="1" applyFill="1" applyBorder="1" applyAlignment="1">
      <alignment vertical="center" wrapText="1"/>
    </xf>
    <xf numFmtId="0" fontId="1" fillId="2" borderId="17" xfId="0" quotePrefix="1" applyFont="1" applyFill="1" applyBorder="1" applyAlignment="1">
      <alignment horizontal="left" vertical="center"/>
    </xf>
    <xf numFmtId="0" fontId="14" fillId="2" borderId="17" xfId="0" applyFont="1" applyFill="1" applyBorder="1" applyAlignment="1">
      <alignment horizontal="center" vertical="center"/>
    </xf>
    <xf numFmtId="165" fontId="14" fillId="2" borderId="17" xfId="0" applyNumberFormat="1" applyFont="1" applyFill="1" applyBorder="1" applyAlignment="1">
      <alignment horizontal="center" vertical="center"/>
    </xf>
    <xf numFmtId="166" fontId="1" fillId="2" borderId="0" xfId="1" applyNumberFormat="1" applyFont="1" applyFill="1" applyBorder="1" applyAlignment="1">
      <alignment vertical="center"/>
    </xf>
    <xf numFmtId="170" fontId="1" fillId="2" borderId="0" xfId="1" applyNumberFormat="1" applyFont="1" applyFill="1" applyBorder="1" applyAlignment="1">
      <alignment vertical="center"/>
    </xf>
    <xf numFmtId="165" fontId="1" fillId="2" borderId="17" xfId="0" quotePrefix="1" applyNumberFormat="1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quotePrefix="1" applyFont="1" applyFill="1" applyBorder="1" applyAlignment="1">
      <alignment horizontal="left" vertical="center"/>
    </xf>
    <xf numFmtId="165" fontId="1" fillId="2" borderId="20" xfId="0" quotePrefix="1" applyNumberFormat="1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166" fontId="16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165" fontId="5" fillId="2" borderId="0" xfId="0" applyNumberFormat="1" applyFont="1" applyFill="1"/>
    <xf numFmtId="164" fontId="16" fillId="2" borderId="0" xfId="0" applyNumberFormat="1" applyFont="1" applyFill="1" applyAlignment="1">
      <alignment horizontal="left" vertical="center"/>
    </xf>
    <xf numFmtId="166" fontId="1" fillId="2" borderId="17" xfId="1" applyNumberFormat="1" applyFont="1" applyFill="1" applyBorder="1" applyAlignment="1">
      <alignment horizontal="center" vertical="center" wrapText="1"/>
    </xf>
    <xf numFmtId="166" fontId="3" fillId="2" borderId="17" xfId="1" applyNumberFormat="1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left" vertical="center"/>
    </xf>
    <xf numFmtId="0" fontId="14" fillId="2" borderId="18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166" fontId="3" fillId="2" borderId="17" xfId="3" applyNumberFormat="1" applyFont="1" applyFill="1" applyBorder="1" applyAlignment="1">
      <alignment horizontal="right" vertical="center" wrapText="1"/>
    </xf>
    <xf numFmtId="0" fontId="3" fillId="2" borderId="17" xfId="3" applyFont="1" applyFill="1" applyBorder="1" applyAlignment="1">
      <alignment horizontal="right" vertical="center" wrapText="1"/>
    </xf>
    <xf numFmtId="166" fontId="1" fillId="2" borderId="17" xfId="3" applyNumberFormat="1" applyFont="1" applyFill="1" applyBorder="1" applyAlignment="1">
      <alignment horizontal="right" vertical="center" wrapText="1"/>
    </xf>
    <xf numFmtId="0" fontId="1" fillId="2" borderId="17" xfId="3" applyFont="1" applyFill="1" applyBorder="1" applyAlignment="1">
      <alignment horizontal="right" vertical="center" wrapText="1"/>
    </xf>
    <xf numFmtId="166" fontId="1" fillId="2" borderId="20" xfId="3" applyNumberFormat="1" applyFont="1" applyFill="1" applyBorder="1" applyAlignment="1">
      <alignment horizontal="right" vertical="center" wrapText="1"/>
    </xf>
    <xf numFmtId="0" fontId="1" fillId="2" borderId="20" xfId="3" applyFont="1" applyFill="1" applyBorder="1" applyAlignment="1">
      <alignment horizontal="right" vertical="center" wrapText="1"/>
    </xf>
    <xf numFmtId="165" fontId="3" fillId="2" borderId="1" xfId="0" applyNumberFormat="1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left" vertical="center" wrapText="1"/>
    </xf>
    <xf numFmtId="0" fontId="10" fillId="2" borderId="10" xfId="0" applyFont="1" applyFill="1" applyBorder="1" applyAlignment="1">
      <alignment horizontal="left" vertical="center" wrapText="1"/>
    </xf>
    <xf numFmtId="0" fontId="10" fillId="2" borderId="11" xfId="0" applyFont="1" applyFill="1" applyBorder="1" applyAlignment="1">
      <alignment horizontal="left" vertical="center" wrapText="1"/>
    </xf>
    <xf numFmtId="0" fontId="10" fillId="2" borderId="12" xfId="0" applyFont="1" applyFill="1" applyBorder="1" applyAlignment="1">
      <alignment horizontal="left" vertical="center" wrapText="1"/>
    </xf>
    <xf numFmtId="0" fontId="4" fillId="2" borderId="9" xfId="2" applyFont="1" applyFill="1" applyBorder="1" applyAlignment="1" applyProtection="1">
      <alignment horizontal="left" vertical="center"/>
    </xf>
    <xf numFmtId="0" fontId="4" fillId="2" borderId="10" xfId="2" applyFont="1" applyFill="1" applyBorder="1" applyAlignment="1" applyProtection="1">
      <alignment horizontal="left" vertical="center"/>
    </xf>
    <xf numFmtId="0" fontId="4" fillId="2" borderId="12" xfId="2" applyFont="1" applyFill="1" applyBorder="1" applyAlignment="1" applyProtection="1">
      <alignment horizontal="left" vertical="center"/>
    </xf>
    <xf numFmtId="0" fontId="4" fillId="2" borderId="9" xfId="2" applyFont="1" applyFill="1" applyBorder="1" applyAlignment="1" applyProtection="1">
      <alignment horizontal="left" vertical="center" wrapText="1"/>
    </xf>
    <xf numFmtId="0" fontId="4" fillId="2" borderId="10" xfId="2" applyFont="1" applyFill="1" applyBorder="1" applyAlignment="1" applyProtection="1">
      <alignment horizontal="left" vertical="center" wrapText="1"/>
    </xf>
    <xf numFmtId="0" fontId="4" fillId="2" borderId="12" xfId="2" applyFont="1" applyFill="1" applyBorder="1" applyAlignment="1" applyProtection="1">
      <alignment horizontal="left" vertical="center" wrapText="1"/>
    </xf>
    <xf numFmtId="0" fontId="1" fillId="2" borderId="14" xfId="3" applyFont="1" applyFill="1" applyBorder="1" applyAlignment="1">
      <alignment horizontal="left" vertical="center" wrapText="1"/>
    </xf>
    <xf numFmtId="166" fontId="3" fillId="2" borderId="14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3" fontId="5" fillId="2" borderId="0" xfId="0" applyNumberFormat="1" applyFont="1" applyFill="1"/>
  </cellXfs>
  <cellStyles count="6">
    <cellStyle name="Comma" xfId="1" builtinId="3"/>
    <cellStyle name="Comma 11" xfId="4"/>
    <cellStyle name="Normal" xfId="0" builtinId="0"/>
    <cellStyle name="Normal 2" xfId="2"/>
    <cellStyle name="Normal 3" xfId="5"/>
    <cellStyle name="Normal_DUTOAN_VnTime1_ver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995"/>
  <sheetViews>
    <sheetView showZeros="0" tabSelected="1" topLeftCell="A752" zoomScale="73" zoomScaleNormal="73" workbookViewId="0">
      <selection activeCell="I768" sqref="I768"/>
    </sheetView>
  </sheetViews>
  <sheetFormatPr defaultColWidth="9.140625" defaultRowHeight="15.75" x14ac:dyDescent="0.25"/>
  <cols>
    <col min="1" max="1" width="9" style="192" customWidth="1"/>
    <col min="2" max="2" width="40.140625" style="24" customWidth="1"/>
    <col min="3" max="3" width="10" style="24" customWidth="1"/>
    <col min="4" max="5" width="14.28515625" style="193" customWidth="1"/>
    <col min="6" max="6" width="13.140625" style="193" customWidth="1"/>
    <col min="7" max="7" width="13.85546875" style="193" customWidth="1"/>
    <col min="8" max="8" width="18.42578125" style="34" customWidth="1"/>
    <col min="9" max="9" width="18.5703125" style="34" customWidth="1"/>
    <col min="10" max="10" width="19.7109375" style="24" customWidth="1"/>
    <col min="11" max="11" width="18.140625" style="34" customWidth="1"/>
    <col min="12" max="12" width="19" style="24" customWidth="1"/>
    <col min="13" max="13" width="9.140625" style="24" customWidth="1"/>
    <col min="14" max="14" width="17.5703125" style="24" customWidth="1"/>
    <col min="15" max="15" width="29.140625" style="24" customWidth="1"/>
    <col min="16" max="16" width="17" style="24" customWidth="1"/>
    <col min="17" max="16384" width="9.140625" style="24"/>
  </cols>
  <sheetData>
    <row r="1" spans="1:14" s="3" customFormat="1" ht="8.25" customHeight="1" x14ac:dyDescent="0.25">
      <c r="A1" s="1"/>
      <c r="B1" s="2"/>
      <c r="D1" s="4"/>
      <c r="E1" s="4"/>
      <c r="F1" s="4"/>
      <c r="G1" s="4"/>
      <c r="H1" s="5"/>
      <c r="I1" s="5"/>
      <c r="K1" s="5"/>
    </row>
    <row r="2" spans="1:14" s="3" customFormat="1" ht="9.75" customHeight="1" x14ac:dyDescent="0.25">
      <c r="A2" s="1"/>
      <c r="B2" s="2"/>
      <c r="D2" s="4"/>
      <c r="E2" s="4"/>
      <c r="F2" s="4"/>
      <c r="G2" s="4"/>
      <c r="H2" s="5"/>
      <c r="I2" s="5"/>
      <c r="K2" s="5"/>
    </row>
    <row r="3" spans="1:14" s="3" customFormat="1" ht="33.75" customHeight="1" x14ac:dyDescent="0.25">
      <c r="A3" s="226" t="s">
        <v>0</v>
      </c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</row>
    <row r="4" spans="1:14" s="3" customFormat="1" ht="21" customHeight="1" x14ac:dyDescent="0.25">
      <c r="A4" s="223" t="s">
        <v>1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</row>
    <row r="5" spans="1:14" s="3" customFormat="1" ht="21" customHeight="1" x14ac:dyDescent="0.25">
      <c r="A5" s="223" t="s">
        <v>2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</row>
    <row r="6" spans="1:14" s="3" customFormat="1" ht="36.75" customHeight="1" x14ac:dyDescent="0.25">
      <c r="A6" s="223" t="s">
        <v>3</v>
      </c>
      <c r="B6" s="223"/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</row>
    <row r="7" spans="1:14" s="3" customFormat="1" ht="17.25" customHeight="1" x14ac:dyDescent="0.25">
      <c r="A7" s="221" t="s">
        <v>4</v>
      </c>
      <c r="B7" s="222"/>
      <c r="C7" s="222"/>
      <c r="D7" s="222"/>
      <c r="E7" s="222"/>
      <c r="F7" s="222"/>
      <c r="G7" s="222"/>
      <c r="H7" s="222"/>
      <c r="I7" s="222"/>
      <c r="J7" s="222"/>
      <c r="K7" s="222"/>
    </row>
    <row r="8" spans="1:14" s="3" customFormat="1" ht="17.25" customHeight="1" x14ac:dyDescent="0.25">
      <c r="A8" s="221" t="s">
        <v>5</v>
      </c>
      <c r="B8" s="221"/>
      <c r="C8" s="221"/>
      <c r="D8" s="221"/>
      <c r="E8" s="221"/>
      <c r="F8" s="221"/>
      <c r="G8" s="221"/>
      <c r="H8" s="221"/>
      <c r="I8" s="221"/>
      <c r="J8" s="221"/>
      <c r="K8" s="221"/>
      <c r="L8" s="221"/>
      <c r="M8" s="221"/>
    </row>
    <row r="9" spans="1:14" s="3" customFormat="1" ht="17.25" customHeight="1" x14ac:dyDescent="0.25">
      <c r="A9" s="221" t="s">
        <v>6</v>
      </c>
      <c r="B9" s="222"/>
      <c r="C9" s="222"/>
      <c r="D9" s="222"/>
      <c r="E9" s="222"/>
      <c r="F9" s="222"/>
      <c r="G9" s="222"/>
      <c r="H9" s="222"/>
      <c r="I9" s="222"/>
      <c r="J9" s="222"/>
      <c r="K9" s="222"/>
    </row>
    <row r="10" spans="1:14" s="3" customFormat="1" ht="21" customHeight="1" x14ac:dyDescent="0.25">
      <c r="A10" s="223" t="s">
        <v>7</v>
      </c>
      <c r="B10" s="223"/>
      <c r="C10" s="223"/>
      <c r="D10" s="223"/>
      <c r="E10" s="223"/>
      <c r="F10" s="223"/>
      <c r="G10" s="223"/>
      <c r="H10" s="223"/>
      <c r="I10" s="223"/>
      <c r="J10" s="223"/>
      <c r="K10" s="223"/>
      <c r="L10" s="223"/>
      <c r="M10" s="223"/>
    </row>
    <row r="11" spans="1:14" s="3" customFormat="1" ht="23.25" customHeight="1" x14ac:dyDescent="0.25">
      <c r="A11" s="208" t="s">
        <v>8</v>
      </c>
      <c r="B11" s="208" t="s">
        <v>9</v>
      </c>
      <c r="C11" s="224" t="s">
        <v>10</v>
      </c>
      <c r="D11" s="206" t="s">
        <v>11</v>
      </c>
      <c r="E11" s="206"/>
      <c r="F11" s="206"/>
      <c r="G11" s="206"/>
      <c r="H11" s="207" t="s">
        <v>12</v>
      </c>
      <c r="I11" s="208" t="s">
        <v>13</v>
      </c>
      <c r="J11" s="208"/>
      <c r="K11" s="208"/>
      <c r="L11" s="208"/>
      <c r="M11" s="224" t="s">
        <v>14</v>
      </c>
    </row>
    <row r="12" spans="1:14" s="3" customFormat="1" ht="17.25" customHeight="1" x14ac:dyDescent="0.25">
      <c r="A12" s="208"/>
      <c r="B12" s="208"/>
      <c r="C12" s="224"/>
      <c r="D12" s="225" t="s">
        <v>15</v>
      </c>
      <c r="E12" s="206" t="s">
        <v>16</v>
      </c>
      <c r="F12" s="206"/>
      <c r="G12" s="206"/>
      <c r="H12" s="207"/>
      <c r="I12" s="207" t="s">
        <v>17</v>
      </c>
      <c r="J12" s="208" t="s">
        <v>16</v>
      </c>
      <c r="K12" s="208"/>
      <c r="L12" s="208"/>
      <c r="M12" s="224"/>
    </row>
    <row r="13" spans="1:14" s="3" customFormat="1" ht="44.25" customHeight="1" x14ac:dyDescent="0.25">
      <c r="A13" s="208"/>
      <c r="B13" s="208"/>
      <c r="C13" s="224"/>
      <c r="D13" s="225"/>
      <c r="E13" s="6" t="s">
        <v>18</v>
      </c>
      <c r="F13" s="6" t="s">
        <v>19</v>
      </c>
      <c r="G13" s="6" t="s">
        <v>20</v>
      </c>
      <c r="H13" s="207"/>
      <c r="I13" s="207"/>
      <c r="J13" s="7" t="s">
        <v>18</v>
      </c>
      <c r="K13" s="8" t="s">
        <v>19</v>
      </c>
      <c r="L13" s="7" t="s">
        <v>20</v>
      </c>
      <c r="M13" s="224"/>
    </row>
    <row r="14" spans="1:14" s="3" customFormat="1" ht="29.25" customHeight="1" x14ac:dyDescent="0.25">
      <c r="A14" s="9" t="s">
        <v>21</v>
      </c>
      <c r="B14" s="9" t="s">
        <v>22</v>
      </c>
      <c r="C14" s="9" t="s">
        <v>23</v>
      </c>
      <c r="D14" s="10" t="s">
        <v>24</v>
      </c>
      <c r="E14" s="10" t="s">
        <v>25</v>
      </c>
      <c r="F14" s="10" t="s">
        <v>26</v>
      </c>
      <c r="G14" s="10" t="s">
        <v>27</v>
      </c>
      <c r="H14" s="11" t="s">
        <v>28</v>
      </c>
      <c r="I14" s="11" t="s">
        <v>29</v>
      </c>
      <c r="J14" s="9" t="s">
        <v>30</v>
      </c>
      <c r="K14" s="11" t="s">
        <v>31</v>
      </c>
      <c r="L14" s="9" t="s">
        <v>32</v>
      </c>
      <c r="M14" s="9" t="s">
        <v>33</v>
      </c>
      <c r="N14" s="93"/>
    </row>
    <row r="15" spans="1:14" s="3" customFormat="1" ht="54" hidden="1" customHeight="1" x14ac:dyDescent="0.25">
      <c r="A15" s="12" t="s">
        <v>34</v>
      </c>
      <c r="B15" s="13" t="s">
        <v>35</v>
      </c>
      <c r="C15" s="12"/>
      <c r="D15" s="14"/>
      <c r="E15" s="14"/>
      <c r="F15" s="14"/>
      <c r="G15" s="14"/>
      <c r="H15" s="15"/>
      <c r="I15" s="15">
        <f>ROUND(SUM(I17:I723),-3)</f>
        <v>194624562000</v>
      </c>
      <c r="J15" s="12"/>
      <c r="K15" s="15"/>
      <c r="L15" s="12"/>
      <c r="M15" s="12"/>
    </row>
    <row r="16" spans="1:14" ht="45.75" hidden="1" customHeight="1" x14ac:dyDescent="0.25">
      <c r="A16" s="16">
        <v>9</v>
      </c>
      <c r="B16" s="17" t="s">
        <v>36</v>
      </c>
      <c r="C16" s="18"/>
      <c r="D16" s="19"/>
      <c r="E16" s="19"/>
      <c r="F16" s="19"/>
      <c r="G16" s="19"/>
      <c r="H16" s="20"/>
      <c r="I16" s="20"/>
      <c r="J16" s="21"/>
      <c r="K16" s="22"/>
      <c r="L16" s="21"/>
      <c r="M16" s="23"/>
    </row>
    <row r="17" spans="1:14" hidden="1" x14ac:dyDescent="0.25">
      <c r="A17" s="25" t="s">
        <v>37</v>
      </c>
      <c r="B17" s="26" t="s">
        <v>38</v>
      </c>
      <c r="C17" s="27" t="s">
        <v>39</v>
      </c>
      <c r="D17" s="28">
        <v>95711</v>
      </c>
      <c r="E17" s="29">
        <v>95711</v>
      </c>
      <c r="F17" s="28">
        <f>D17-E17</f>
        <v>0</v>
      </c>
      <c r="G17" s="29">
        <v>95711</v>
      </c>
      <c r="H17" s="30">
        <v>646</v>
      </c>
      <c r="I17" s="31">
        <f t="shared" ref="I17:I80" si="0">ROUND(D17*H17,0)</f>
        <v>61829306</v>
      </c>
      <c r="J17" s="32">
        <f t="shared" ref="J17:J18" si="1">E17*H17</f>
        <v>61829306</v>
      </c>
      <c r="K17" s="32">
        <f t="shared" ref="K17:K18" si="2">F17*H17</f>
        <v>0</v>
      </c>
      <c r="L17" s="32">
        <f>J17</f>
        <v>61829306</v>
      </c>
      <c r="M17" s="33"/>
      <c r="N17" s="34"/>
    </row>
    <row r="18" spans="1:14" hidden="1" x14ac:dyDescent="0.25">
      <c r="A18" s="35" t="s">
        <v>40</v>
      </c>
      <c r="B18" s="36" t="s">
        <v>41</v>
      </c>
      <c r="C18" s="37" t="s">
        <v>42</v>
      </c>
      <c r="D18" s="38">
        <v>44.5</v>
      </c>
      <c r="E18" s="39">
        <v>44.5</v>
      </c>
      <c r="F18" s="38">
        <f>D18-E18</f>
        <v>0</v>
      </c>
      <c r="G18" s="39">
        <v>44.5</v>
      </c>
      <c r="H18" s="40">
        <v>23801</v>
      </c>
      <c r="I18" s="41">
        <f t="shared" si="0"/>
        <v>1059145</v>
      </c>
      <c r="J18" s="42">
        <f t="shared" si="1"/>
        <v>1059144.5</v>
      </c>
      <c r="K18" s="42">
        <f t="shared" si="2"/>
        <v>0</v>
      </c>
      <c r="L18" s="42">
        <f>J18</f>
        <v>1059144.5</v>
      </c>
      <c r="M18" s="43"/>
      <c r="N18" s="34"/>
    </row>
    <row r="19" spans="1:14" hidden="1" x14ac:dyDescent="0.25">
      <c r="A19" s="35" t="s">
        <v>43</v>
      </c>
      <c r="B19" s="36" t="s">
        <v>44</v>
      </c>
      <c r="C19" s="37" t="s">
        <v>42</v>
      </c>
      <c r="D19" s="38">
        <v>1897.6</v>
      </c>
      <c r="E19" s="39">
        <v>1897.6</v>
      </c>
      <c r="F19" s="38">
        <f t="shared" ref="F19:F55" si="3">D19-E19</f>
        <v>0</v>
      </c>
      <c r="G19" s="39">
        <f t="shared" ref="G19:G82" si="4">E19+F19</f>
        <v>1897.6</v>
      </c>
      <c r="H19" s="40">
        <v>20072</v>
      </c>
      <c r="I19" s="41">
        <f t="shared" si="0"/>
        <v>38088627</v>
      </c>
      <c r="J19" s="42">
        <f>E19*H19</f>
        <v>38088627.199999996</v>
      </c>
      <c r="K19" s="42">
        <f>F19*H19</f>
        <v>0</v>
      </c>
      <c r="L19" s="42">
        <f>G19*H19</f>
        <v>38088627.199999996</v>
      </c>
      <c r="M19" s="43"/>
      <c r="N19" s="34"/>
    </row>
    <row r="20" spans="1:14" hidden="1" x14ac:dyDescent="0.25">
      <c r="A20" s="35" t="s">
        <v>45</v>
      </c>
      <c r="B20" s="36" t="s">
        <v>46</v>
      </c>
      <c r="C20" s="37" t="s">
        <v>42</v>
      </c>
      <c r="D20" s="38">
        <v>1726</v>
      </c>
      <c r="E20" s="39">
        <v>1726</v>
      </c>
      <c r="F20" s="38">
        <f t="shared" si="3"/>
        <v>0</v>
      </c>
      <c r="G20" s="39">
        <f t="shared" si="4"/>
        <v>1726</v>
      </c>
      <c r="H20" s="40">
        <v>30610</v>
      </c>
      <c r="I20" s="41">
        <f t="shared" si="0"/>
        <v>52832860</v>
      </c>
      <c r="J20" s="42">
        <f t="shared" ref="J20:J83" si="5">E20*H20</f>
        <v>52832860</v>
      </c>
      <c r="K20" s="42">
        <f t="shared" ref="K20:K83" si="6">F20*H20</f>
        <v>0</v>
      </c>
      <c r="L20" s="42">
        <f t="shared" ref="L20:L83" si="7">G20*H20</f>
        <v>52832860</v>
      </c>
      <c r="M20" s="43"/>
      <c r="N20" s="34"/>
    </row>
    <row r="21" spans="1:14" hidden="1" x14ac:dyDescent="0.25">
      <c r="A21" s="35" t="s">
        <v>47</v>
      </c>
      <c r="B21" s="36" t="s">
        <v>48</v>
      </c>
      <c r="C21" s="37" t="s">
        <v>42</v>
      </c>
      <c r="D21" s="38">
        <v>3344.1</v>
      </c>
      <c r="E21" s="39">
        <v>3344.1</v>
      </c>
      <c r="F21" s="38">
        <f t="shared" si="3"/>
        <v>0</v>
      </c>
      <c r="G21" s="39">
        <f t="shared" si="4"/>
        <v>3344.1</v>
      </c>
      <c r="H21" s="40">
        <v>12342</v>
      </c>
      <c r="I21" s="41">
        <f t="shared" si="0"/>
        <v>41272882</v>
      </c>
      <c r="J21" s="42">
        <f t="shared" si="5"/>
        <v>41272882.199999996</v>
      </c>
      <c r="K21" s="42">
        <f t="shared" si="6"/>
        <v>0</v>
      </c>
      <c r="L21" s="42">
        <f t="shared" si="7"/>
        <v>41272882.199999996</v>
      </c>
      <c r="M21" s="43"/>
      <c r="N21" s="34"/>
    </row>
    <row r="22" spans="1:14" hidden="1" x14ac:dyDescent="0.25">
      <c r="A22" s="35" t="s">
        <v>49</v>
      </c>
      <c r="B22" s="36" t="s">
        <v>50</v>
      </c>
      <c r="C22" s="37" t="s">
        <v>42</v>
      </c>
      <c r="D22" s="38">
        <v>3344.1</v>
      </c>
      <c r="E22" s="39">
        <v>3344.1</v>
      </c>
      <c r="F22" s="38">
        <f t="shared" si="3"/>
        <v>0</v>
      </c>
      <c r="G22" s="39">
        <f t="shared" si="4"/>
        <v>3344.1</v>
      </c>
      <c r="H22" s="40">
        <v>12936</v>
      </c>
      <c r="I22" s="41">
        <f t="shared" si="0"/>
        <v>43259278</v>
      </c>
      <c r="J22" s="42">
        <f t="shared" si="5"/>
        <v>43259277.600000001</v>
      </c>
      <c r="K22" s="42">
        <f t="shared" si="6"/>
        <v>0</v>
      </c>
      <c r="L22" s="42">
        <f t="shared" si="7"/>
        <v>43259277.600000001</v>
      </c>
      <c r="M22" s="43"/>
      <c r="N22" s="34"/>
    </row>
    <row r="23" spans="1:14" hidden="1" x14ac:dyDescent="0.25">
      <c r="A23" s="35" t="s">
        <v>51</v>
      </c>
      <c r="B23" s="36" t="s">
        <v>52</v>
      </c>
      <c r="C23" s="37" t="s">
        <v>42</v>
      </c>
      <c r="D23" s="38">
        <v>6541.1</v>
      </c>
      <c r="E23" s="39">
        <v>6541.1</v>
      </c>
      <c r="F23" s="38">
        <f t="shared" si="3"/>
        <v>0</v>
      </c>
      <c r="G23" s="39">
        <f t="shared" si="4"/>
        <v>6541.1</v>
      </c>
      <c r="H23" s="40">
        <v>8251</v>
      </c>
      <c r="I23" s="41">
        <f t="shared" si="0"/>
        <v>53970616</v>
      </c>
      <c r="J23" s="42">
        <f t="shared" si="5"/>
        <v>53970616.100000001</v>
      </c>
      <c r="K23" s="42">
        <f t="shared" si="6"/>
        <v>0</v>
      </c>
      <c r="L23" s="42">
        <f t="shared" si="7"/>
        <v>53970616.100000001</v>
      </c>
      <c r="M23" s="43"/>
      <c r="N23" s="34"/>
    </row>
    <row r="24" spans="1:14" hidden="1" x14ac:dyDescent="0.25">
      <c r="A24" s="35" t="s">
        <v>53</v>
      </c>
      <c r="B24" s="36" t="s">
        <v>54</v>
      </c>
      <c r="C24" s="37" t="s">
        <v>42</v>
      </c>
      <c r="D24" s="38">
        <v>195955</v>
      </c>
      <c r="E24" s="39">
        <v>195955</v>
      </c>
      <c r="F24" s="38">
        <f t="shared" si="3"/>
        <v>0</v>
      </c>
      <c r="G24" s="39">
        <f t="shared" si="4"/>
        <v>195955</v>
      </c>
      <c r="H24" s="40">
        <v>12936</v>
      </c>
      <c r="I24" s="41">
        <f t="shared" si="0"/>
        <v>2534873880</v>
      </c>
      <c r="J24" s="42">
        <f t="shared" si="5"/>
        <v>2534873880</v>
      </c>
      <c r="K24" s="42">
        <f t="shared" si="6"/>
        <v>0</v>
      </c>
      <c r="L24" s="42">
        <f t="shared" si="7"/>
        <v>2534873880</v>
      </c>
      <c r="M24" s="43"/>
      <c r="N24" s="34"/>
    </row>
    <row r="25" spans="1:14" hidden="1" x14ac:dyDescent="0.25">
      <c r="A25" s="35" t="s">
        <v>55</v>
      </c>
      <c r="B25" s="36" t="s">
        <v>56</v>
      </c>
      <c r="C25" s="37" t="s">
        <v>42</v>
      </c>
      <c r="D25" s="38">
        <v>34746</v>
      </c>
      <c r="E25" s="39">
        <v>34746</v>
      </c>
      <c r="F25" s="38">
        <f t="shared" si="3"/>
        <v>0</v>
      </c>
      <c r="G25" s="39">
        <f t="shared" si="4"/>
        <v>34746</v>
      </c>
      <c r="H25" s="40">
        <v>12936</v>
      </c>
      <c r="I25" s="41">
        <f t="shared" si="0"/>
        <v>449474256</v>
      </c>
      <c r="J25" s="42">
        <f t="shared" si="5"/>
        <v>449474256</v>
      </c>
      <c r="K25" s="42">
        <f t="shared" si="6"/>
        <v>0</v>
      </c>
      <c r="L25" s="42">
        <f t="shared" si="7"/>
        <v>449474256</v>
      </c>
      <c r="M25" s="43"/>
      <c r="N25" s="34"/>
    </row>
    <row r="26" spans="1:14" ht="31.5" hidden="1" x14ac:dyDescent="0.25">
      <c r="A26" s="35" t="s">
        <v>57</v>
      </c>
      <c r="B26" s="36" t="s">
        <v>58</v>
      </c>
      <c r="C26" s="37" t="s">
        <v>42</v>
      </c>
      <c r="D26" s="38">
        <v>15874</v>
      </c>
      <c r="E26" s="39">
        <v>15874</v>
      </c>
      <c r="F26" s="38">
        <f t="shared" si="3"/>
        <v>0</v>
      </c>
      <c r="G26" s="39">
        <f t="shared" si="4"/>
        <v>15874</v>
      </c>
      <c r="H26" s="40">
        <v>15775</v>
      </c>
      <c r="I26" s="41">
        <f t="shared" si="0"/>
        <v>250412350</v>
      </c>
      <c r="J26" s="42">
        <f t="shared" si="5"/>
        <v>250412350</v>
      </c>
      <c r="K26" s="42">
        <f t="shared" si="6"/>
        <v>0</v>
      </c>
      <c r="L26" s="42">
        <f t="shared" si="7"/>
        <v>250412350</v>
      </c>
      <c r="M26" s="43"/>
      <c r="N26" s="34"/>
    </row>
    <row r="27" spans="1:14" hidden="1" x14ac:dyDescent="0.25">
      <c r="A27" s="35" t="s">
        <v>59</v>
      </c>
      <c r="B27" s="36" t="s">
        <v>60</v>
      </c>
      <c r="C27" s="37" t="s">
        <v>42</v>
      </c>
      <c r="D27" s="38">
        <v>272217.12</v>
      </c>
      <c r="E27" s="39">
        <v>272217.12</v>
      </c>
      <c r="F27" s="38">
        <f t="shared" si="3"/>
        <v>0</v>
      </c>
      <c r="G27" s="39">
        <f t="shared" si="4"/>
        <v>272217.12</v>
      </c>
      <c r="H27" s="40">
        <v>50585</v>
      </c>
      <c r="I27" s="41">
        <f t="shared" si="0"/>
        <v>13770103015</v>
      </c>
      <c r="J27" s="42">
        <f t="shared" si="5"/>
        <v>13770103015.199999</v>
      </c>
      <c r="K27" s="42">
        <f t="shared" si="6"/>
        <v>0</v>
      </c>
      <c r="L27" s="42">
        <f t="shared" si="7"/>
        <v>13770103015.199999</v>
      </c>
      <c r="M27" s="43"/>
      <c r="N27" s="34"/>
    </row>
    <row r="28" spans="1:14" hidden="1" x14ac:dyDescent="0.25">
      <c r="A28" s="35" t="s">
        <v>61</v>
      </c>
      <c r="B28" s="36" t="s">
        <v>62</v>
      </c>
      <c r="C28" s="37" t="s">
        <v>42</v>
      </c>
      <c r="D28" s="38">
        <v>22280.75</v>
      </c>
      <c r="E28" s="39">
        <v>22280.75</v>
      </c>
      <c r="F28" s="38">
        <f t="shared" si="3"/>
        <v>0</v>
      </c>
      <c r="G28" s="39">
        <f t="shared" si="4"/>
        <v>22280.75</v>
      </c>
      <c r="H28" s="40">
        <v>54405</v>
      </c>
      <c r="I28" s="41">
        <f t="shared" si="0"/>
        <v>1212184204</v>
      </c>
      <c r="J28" s="42">
        <f t="shared" si="5"/>
        <v>1212184203.75</v>
      </c>
      <c r="K28" s="42">
        <f t="shared" si="6"/>
        <v>0</v>
      </c>
      <c r="L28" s="42">
        <f t="shared" si="7"/>
        <v>1212184203.75</v>
      </c>
      <c r="M28" s="43"/>
      <c r="N28" s="34"/>
    </row>
    <row r="29" spans="1:14" hidden="1" x14ac:dyDescent="0.25">
      <c r="A29" s="35" t="s">
        <v>63</v>
      </c>
      <c r="B29" s="36" t="s">
        <v>64</v>
      </c>
      <c r="C29" s="37" t="s">
        <v>65</v>
      </c>
      <c r="D29" s="38">
        <v>29449.79</v>
      </c>
      <c r="E29" s="39">
        <v>29449.79</v>
      </c>
      <c r="F29" s="38">
        <f t="shared" si="3"/>
        <v>0</v>
      </c>
      <c r="G29" s="39">
        <f t="shared" si="4"/>
        <v>29449.79</v>
      </c>
      <c r="H29" s="40">
        <v>1032698</v>
      </c>
      <c r="I29" s="41">
        <f t="shared" si="0"/>
        <v>30412739233</v>
      </c>
      <c r="J29" s="42">
        <f t="shared" si="5"/>
        <v>30412739233.420002</v>
      </c>
      <c r="K29" s="42">
        <f t="shared" si="6"/>
        <v>0</v>
      </c>
      <c r="L29" s="42">
        <f t="shared" si="7"/>
        <v>30412739233.420002</v>
      </c>
      <c r="M29" s="43"/>
      <c r="N29" s="34"/>
    </row>
    <row r="30" spans="1:14" hidden="1" x14ac:dyDescent="0.25">
      <c r="A30" s="35" t="s">
        <v>66</v>
      </c>
      <c r="B30" s="36" t="s">
        <v>67</v>
      </c>
      <c r="C30" s="37" t="s">
        <v>42</v>
      </c>
      <c r="D30" s="38">
        <v>65786.64</v>
      </c>
      <c r="E30" s="39">
        <v>65786.64</v>
      </c>
      <c r="F30" s="38">
        <f t="shared" si="3"/>
        <v>0</v>
      </c>
      <c r="G30" s="39">
        <f t="shared" si="4"/>
        <v>65786.64</v>
      </c>
      <c r="H30" s="40">
        <v>40424</v>
      </c>
      <c r="I30" s="41">
        <f t="shared" si="0"/>
        <v>2659359135</v>
      </c>
      <c r="J30" s="42">
        <f t="shared" si="5"/>
        <v>2659359135.3600001</v>
      </c>
      <c r="K30" s="42">
        <f t="shared" si="6"/>
        <v>0</v>
      </c>
      <c r="L30" s="42">
        <f t="shared" si="7"/>
        <v>2659359135.3600001</v>
      </c>
      <c r="M30" s="43"/>
      <c r="N30" s="34"/>
    </row>
    <row r="31" spans="1:14" hidden="1" x14ac:dyDescent="0.25">
      <c r="A31" s="35" t="s">
        <v>68</v>
      </c>
      <c r="B31" s="36" t="s">
        <v>69</v>
      </c>
      <c r="C31" s="37" t="s">
        <v>42</v>
      </c>
      <c r="D31" s="38">
        <v>2276.92</v>
      </c>
      <c r="E31" s="39">
        <v>2276.92</v>
      </c>
      <c r="F31" s="38">
        <f t="shared" si="3"/>
        <v>0</v>
      </c>
      <c r="G31" s="39">
        <f t="shared" si="4"/>
        <v>2276.92</v>
      </c>
      <c r="H31" s="40">
        <v>45382</v>
      </c>
      <c r="I31" s="41">
        <f t="shared" si="0"/>
        <v>103331183</v>
      </c>
      <c r="J31" s="42">
        <f t="shared" si="5"/>
        <v>103331183.44</v>
      </c>
      <c r="K31" s="42">
        <f t="shared" si="6"/>
        <v>0</v>
      </c>
      <c r="L31" s="42">
        <f t="shared" si="7"/>
        <v>103331183.44</v>
      </c>
      <c r="M31" s="43"/>
      <c r="N31" s="34"/>
    </row>
    <row r="32" spans="1:14" hidden="1" x14ac:dyDescent="0.25">
      <c r="A32" s="35" t="s">
        <v>70</v>
      </c>
      <c r="B32" s="36" t="s">
        <v>71</v>
      </c>
      <c r="C32" s="37" t="s">
        <v>42</v>
      </c>
      <c r="D32" s="38">
        <v>1748.8</v>
      </c>
      <c r="E32" s="39">
        <v>1748.7999999999997</v>
      </c>
      <c r="F32" s="38">
        <f t="shared" si="3"/>
        <v>0</v>
      </c>
      <c r="G32" s="39">
        <f t="shared" si="4"/>
        <v>1748.7999999999997</v>
      </c>
      <c r="H32" s="40">
        <v>56948</v>
      </c>
      <c r="I32" s="41">
        <f t="shared" si="0"/>
        <v>99590662</v>
      </c>
      <c r="J32" s="42">
        <f t="shared" si="5"/>
        <v>99590662.399999991</v>
      </c>
      <c r="K32" s="42">
        <f t="shared" si="6"/>
        <v>0</v>
      </c>
      <c r="L32" s="42">
        <f t="shared" si="7"/>
        <v>99590662.399999991</v>
      </c>
      <c r="M32" s="43"/>
      <c r="N32" s="34"/>
    </row>
    <row r="33" spans="1:14" hidden="1" x14ac:dyDescent="0.25">
      <c r="A33" s="35" t="s">
        <v>72</v>
      </c>
      <c r="B33" s="36" t="s">
        <v>73</v>
      </c>
      <c r="C33" s="37" t="s">
        <v>42</v>
      </c>
      <c r="D33" s="38">
        <v>34906.18</v>
      </c>
      <c r="E33" s="39">
        <v>34906.18</v>
      </c>
      <c r="F33" s="38">
        <f t="shared" si="3"/>
        <v>0</v>
      </c>
      <c r="G33" s="39">
        <f t="shared" si="4"/>
        <v>34906.18</v>
      </c>
      <c r="H33" s="40">
        <v>2096</v>
      </c>
      <c r="I33" s="41">
        <f t="shared" si="0"/>
        <v>73163353</v>
      </c>
      <c r="J33" s="42">
        <f t="shared" si="5"/>
        <v>73163353.280000001</v>
      </c>
      <c r="K33" s="42">
        <f t="shared" si="6"/>
        <v>0</v>
      </c>
      <c r="L33" s="42">
        <f t="shared" si="7"/>
        <v>73163353.280000001</v>
      </c>
      <c r="M33" s="43"/>
      <c r="N33" s="34"/>
    </row>
    <row r="34" spans="1:14" ht="31.5" hidden="1" x14ac:dyDescent="0.25">
      <c r="A34" s="35" t="s">
        <v>74</v>
      </c>
      <c r="B34" s="36" t="s">
        <v>75</v>
      </c>
      <c r="C34" s="37" t="s">
        <v>42</v>
      </c>
      <c r="D34" s="38">
        <v>105090.8</v>
      </c>
      <c r="E34" s="39">
        <v>105090.8</v>
      </c>
      <c r="F34" s="38">
        <f t="shared" si="3"/>
        <v>0</v>
      </c>
      <c r="G34" s="39">
        <f t="shared" si="4"/>
        <v>105090.8</v>
      </c>
      <c r="H34" s="40">
        <v>8251</v>
      </c>
      <c r="I34" s="41">
        <f t="shared" si="0"/>
        <v>867104191</v>
      </c>
      <c r="J34" s="42">
        <f t="shared" si="5"/>
        <v>867104190.80000007</v>
      </c>
      <c r="K34" s="42">
        <f t="shared" si="6"/>
        <v>0</v>
      </c>
      <c r="L34" s="42">
        <f t="shared" si="7"/>
        <v>867104190.80000007</v>
      </c>
      <c r="M34" s="43"/>
      <c r="N34" s="34"/>
    </row>
    <row r="35" spans="1:14" hidden="1" x14ac:dyDescent="0.25">
      <c r="A35" s="35" t="s">
        <v>76</v>
      </c>
      <c r="B35" s="36" t="s">
        <v>77</v>
      </c>
      <c r="C35" s="37" t="s">
        <v>42</v>
      </c>
      <c r="D35" s="38">
        <v>2816.8</v>
      </c>
      <c r="E35" s="39">
        <v>2816.8</v>
      </c>
      <c r="F35" s="38">
        <f t="shared" si="3"/>
        <v>0</v>
      </c>
      <c r="G35" s="39">
        <f t="shared" si="4"/>
        <v>2816.8</v>
      </c>
      <c r="H35" s="40">
        <v>270205</v>
      </c>
      <c r="I35" s="41">
        <f t="shared" si="0"/>
        <v>761113444</v>
      </c>
      <c r="J35" s="42">
        <f t="shared" si="5"/>
        <v>761113444</v>
      </c>
      <c r="K35" s="42">
        <f t="shared" si="6"/>
        <v>0</v>
      </c>
      <c r="L35" s="42">
        <f t="shared" si="7"/>
        <v>761113444</v>
      </c>
      <c r="M35" s="43"/>
      <c r="N35" s="34"/>
    </row>
    <row r="36" spans="1:14" ht="31.5" hidden="1" x14ac:dyDescent="0.25">
      <c r="A36" s="35" t="s">
        <v>78</v>
      </c>
      <c r="B36" s="36" t="s">
        <v>79</v>
      </c>
      <c r="C36" s="37" t="s">
        <v>39</v>
      </c>
      <c r="D36" s="38">
        <v>78311</v>
      </c>
      <c r="E36" s="39">
        <v>78311</v>
      </c>
      <c r="F36" s="38">
        <f t="shared" si="3"/>
        <v>0</v>
      </c>
      <c r="G36" s="39">
        <f t="shared" si="4"/>
        <v>78311</v>
      </c>
      <c r="H36" s="40">
        <v>20017</v>
      </c>
      <c r="I36" s="41">
        <f t="shared" si="0"/>
        <v>1567551287</v>
      </c>
      <c r="J36" s="42">
        <f t="shared" si="5"/>
        <v>1567551287</v>
      </c>
      <c r="K36" s="42">
        <f t="shared" si="6"/>
        <v>0</v>
      </c>
      <c r="L36" s="42">
        <f t="shared" si="7"/>
        <v>1567551287</v>
      </c>
      <c r="M36" s="43"/>
      <c r="N36" s="34"/>
    </row>
    <row r="37" spans="1:14" ht="31.5" hidden="1" x14ac:dyDescent="0.25">
      <c r="A37" s="35" t="s">
        <v>80</v>
      </c>
      <c r="B37" s="36" t="s">
        <v>81</v>
      </c>
      <c r="C37" s="37" t="s">
        <v>39</v>
      </c>
      <c r="D37" s="38">
        <v>6176</v>
      </c>
      <c r="E37" s="39">
        <v>6176</v>
      </c>
      <c r="F37" s="38">
        <f t="shared" si="3"/>
        <v>0</v>
      </c>
      <c r="G37" s="39">
        <f t="shared" si="4"/>
        <v>6176</v>
      </c>
      <c r="H37" s="40">
        <v>224210</v>
      </c>
      <c r="I37" s="41">
        <f t="shared" si="0"/>
        <v>1384720960</v>
      </c>
      <c r="J37" s="42">
        <f t="shared" si="5"/>
        <v>1384720960</v>
      </c>
      <c r="K37" s="42">
        <f t="shared" si="6"/>
        <v>0</v>
      </c>
      <c r="L37" s="42">
        <f t="shared" si="7"/>
        <v>1384720960</v>
      </c>
      <c r="M37" s="43"/>
      <c r="N37" s="34"/>
    </row>
    <row r="38" spans="1:14" ht="31.5" hidden="1" x14ac:dyDescent="0.25">
      <c r="A38" s="35" t="s">
        <v>82</v>
      </c>
      <c r="B38" s="36" t="s">
        <v>83</v>
      </c>
      <c r="C38" s="37" t="s">
        <v>84</v>
      </c>
      <c r="D38" s="38">
        <v>295500</v>
      </c>
      <c r="E38" s="39">
        <v>295500</v>
      </c>
      <c r="F38" s="38">
        <f t="shared" si="3"/>
        <v>0</v>
      </c>
      <c r="G38" s="39">
        <f t="shared" si="4"/>
        <v>295500</v>
      </c>
      <c r="H38" s="40">
        <v>10831</v>
      </c>
      <c r="I38" s="41">
        <f t="shared" si="0"/>
        <v>3200560500</v>
      </c>
      <c r="J38" s="42">
        <f t="shared" si="5"/>
        <v>3200560500</v>
      </c>
      <c r="K38" s="42">
        <f t="shared" si="6"/>
        <v>0</v>
      </c>
      <c r="L38" s="42">
        <f t="shared" si="7"/>
        <v>3200560500</v>
      </c>
      <c r="M38" s="43"/>
      <c r="N38" s="34"/>
    </row>
    <row r="39" spans="1:14" hidden="1" x14ac:dyDescent="0.25">
      <c r="A39" s="35" t="s">
        <v>85</v>
      </c>
      <c r="B39" s="36" t="s">
        <v>86</v>
      </c>
      <c r="C39" s="37" t="s">
        <v>42</v>
      </c>
      <c r="D39" s="38">
        <v>3136</v>
      </c>
      <c r="E39" s="39">
        <v>3136</v>
      </c>
      <c r="F39" s="38">
        <f t="shared" si="3"/>
        <v>0</v>
      </c>
      <c r="G39" s="39">
        <f t="shared" si="4"/>
        <v>3136</v>
      </c>
      <c r="H39" s="40">
        <v>12936</v>
      </c>
      <c r="I39" s="41">
        <f t="shared" si="0"/>
        <v>40567296</v>
      </c>
      <c r="J39" s="42">
        <f t="shared" si="5"/>
        <v>40567296</v>
      </c>
      <c r="K39" s="42">
        <f t="shared" si="6"/>
        <v>0</v>
      </c>
      <c r="L39" s="42">
        <f t="shared" si="7"/>
        <v>40567296</v>
      </c>
      <c r="M39" s="43"/>
      <c r="N39" s="34"/>
    </row>
    <row r="40" spans="1:14" ht="31.5" hidden="1" x14ac:dyDescent="0.25">
      <c r="A40" s="35" t="s">
        <v>87</v>
      </c>
      <c r="B40" s="36" t="s">
        <v>88</v>
      </c>
      <c r="C40" s="37" t="s">
        <v>42</v>
      </c>
      <c r="D40" s="38">
        <v>1355</v>
      </c>
      <c r="E40" s="39">
        <v>1355</v>
      </c>
      <c r="F40" s="38">
        <f t="shared" si="3"/>
        <v>0</v>
      </c>
      <c r="G40" s="39">
        <f t="shared" si="4"/>
        <v>1355</v>
      </c>
      <c r="H40" s="40">
        <v>12936</v>
      </c>
      <c r="I40" s="41">
        <f t="shared" si="0"/>
        <v>17528280</v>
      </c>
      <c r="J40" s="42">
        <f t="shared" si="5"/>
        <v>17528280</v>
      </c>
      <c r="K40" s="42">
        <f t="shared" si="6"/>
        <v>0</v>
      </c>
      <c r="L40" s="42">
        <f t="shared" si="7"/>
        <v>17528280</v>
      </c>
      <c r="M40" s="43"/>
      <c r="N40" s="34"/>
    </row>
    <row r="41" spans="1:14" hidden="1" x14ac:dyDescent="0.25">
      <c r="A41" s="35" t="s">
        <v>89</v>
      </c>
      <c r="B41" s="36" t="s">
        <v>90</v>
      </c>
      <c r="C41" s="37" t="s">
        <v>42</v>
      </c>
      <c r="D41" s="38">
        <v>1355</v>
      </c>
      <c r="E41" s="39">
        <v>1355</v>
      </c>
      <c r="F41" s="38">
        <f t="shared" si="3"/>
        <v>0</v>
      </c>
      <c r="G41" s="39">
        <f t="shared" si="4"/>
        <v>1355</v>
      </c>
      <c r="H41" s="40">
        <v>12342</v>
      </c>
      <c r="I41" s="41">
        <f t="shared" si="0"/>
        <v>16723410</v>
      </c>
      <c r="J41" s="42">
        <f t="shared" si="5"/>
        <v>16723410</v>
      </c>
      <c r="K41" s="42">
        <f t="shared" si="6"/>
        <v>0</v>
      </c>
      <c r="L41" s="42">
        <f t="shared" si="7"/>
        <v>16723410</v>
      </c>
      <c r="M41" s="43"/>
      <c r="N41" s="34"/>
    </row>
    <row r="42" spans="1:14" ht="31.5" hidden="1" x14ac:dyDescent="0.25">
      <c r="A42" s="35" t="s">
        <v>91</v>
      </c>
      <c r="B42" s="36" t="s">
        <v>92</v>
      </c>
      <c r="C42" s="37" t="s">
        <v>93</v>
      </c>
      <c r="D42" s="38">
        <v>1531.15</v>
      </c>
      <c r="E42" s="39">
        <v>1531.15</v>
      </c>
      <c r="F42" s="38">
        <f t="shared" si="3"/>
        <v>0</v>
      </c>
      <c r="G42" s="39">
        <f t="shared" si="4"/>
        <v>1531.15</v>
      </c>
      <c r="H42" s="40">
        <v>6611</v>
      </c>
      <c r="I42" s="41">
        <f t="shared" si="0"/>
        <v>10122433</v>
      </c>
      <c r="J42" s="42">
        <f t="shared" si="5"/>
        <v>10122432.65</v>
      </c>
      <c r="K42" s="42">
        <f t="shared" si="6"/>
        <v>0</v>
      </c>
      <c r="L42" s="42">
        <f t="shared" si="7"/>
        <v>10122432.65</v>
      </c>
      <c r="M42" s="43"/>
      <c r="N42" s="34"/>
    </row>
    <row r="43" spans="1:14" hidden="1" x14ac:dyDescent="0.25">
      <c r="A43" s="35" t="s">
        <v>94</v>
      </c>
      <c r="B43" s="36" t="s">
        <v>95</v>
      </c>
      <c r="C43" s="37" t="s">
        <v>42</v>
      </c>
      <c r="D43" s="38">
        <v>17</v>
      </c>
      <c r="E43" s="39">
        <v>17</v>
      </c>
      <c r="F43" s="38">
        <f t="shared" si="3"/>
        <v>0</v>
      </c>
      <c r="G43" s="39">
        <f t="shared" si="4"/>
        <v>17</v>
      </c>
      <c r="H43" s="40">
        <v>877622</v>
      </c>
      <c r="I43" s="41">
        <f t="shared" si="0"/>
        <v>14919574</v>
      </c>
      <c r="J43" s="42">
        <f t="shared" si="5"/>
        <v>14919574</v>
      </c>
      <c r="K43" s="42">
        <f t="shared" si="6"/>
        <v>0</v>
      </c>
      <c r="L43" s="42">
        <f t="shared" si="7"/>
        <v>14919574</v>
      </c>
      <c r="M43" s="43"/>
      <c r="N43" s="34"/>
    </row>
    <row r="44" spans="1:14" hidden="1" x14ac:dyDescent="0.25">
      <c r="A44" s="35" t="s">
        <v>96</v>
      </c>
      <c r="B44" s="36" t="s">
        <v>97</v>
      </c>
      <c r="C44" s="37" t="s">
        <v>39</v>
      </c>
      <c r="D44" s="38">
        <v>131</v>
      </c>
      <c r="E44" s="39">
        <v>131</v>
      </c>
      <c r="F44" s="38">
        <f t="shared" si="3"/>
        <v>0</v>
      </c>
      <c r="G44" s="39">
        <f t="shared" si="4"/>
        <v>131</v>
      </c>
      <c r="H44" s="40">
        <v>26716</v>
      </c>
      <c r="I44" s="41">
        <f t="shared" si="0"/>
        <v>3499796</v>
      </c>
      <c r="J44" s="42">
        <f t="shared" si="5"/>
        <v>3499796</v>
      </c>
      <c r="K44" s="42">
        <f t="shared" si="6"/>
        <v>0</v>
      </c>
      <c r="L44" s="42">
        <f t="shared" si="7"/>
        <v>3499796</v>
      </c>
      <c r="M44" s="43"/>
      <c r="N44" s="34"/>
    </row>
    <row r="45" spans="1:14" hidden="1" x14ac:dyDescent="0.25">
      <c r="A45" s="35" t="s">
        <v>98</v>
      </c>
      <c r="B45" s="36" t="s">
        <v>99</v>
      </c>
      <c r="C45" s="37" t="s">
        <v>42</v>
      </c>
      <c r="D45" s="38">
        <v>34</v>
      </c>
      <c r="E45" s="39">
        <v>34</v>
      </c>
      <c r="F45" s="38">
        <f t="shared" si="3"/>
        <v>0</v>
      </c>
      <c r="G45" s="39">
        <f t="shared" si="4"/>
        <v>34</v>
      </c>
      <c r="H45" s="40">
        <v>32141</v>
      </c>
      <c r="I45" s="41">
        <f t="shared" si="0"/>
        <v>1092794</v>
      </c>
      <c r="J45" s="42">
        <f t="shared" si="5"/>
        <v>1092794</v>
      </c>
      <c r="K45" s="42">
        <f t="shared" si="6"/>
        <v>0</v>
      </c>
      <c r="L45" s="42">
        <f t="shared" si="7"/>
        <v>1092794</v>
      </c>
      <c r="M45" s="43"/>
      <c r="N45" s="34"/>
    </row>
    <row r="46" spans="1:14" ht="71.25" hidden="1" customHeight="1" x14ac:dyDescent="0.25">
      <c r="A46" s="35" t="s">
        <v>100</v>
      </c>
      <c r="B46" s="36" t="s">
        <v>101</v>
      </c>
      <c r="C46" s="37" t="s">
        <v>84</v>
      </c>
      <c r="D46" s="38">
        <v>10540</v>
      </c>
      <c r="E46" s="39">
        <v>10540</v>
      </c>
      <c r="F46" s="38">
        <f t="shared" si="3"/>
        <v>0</v>
      </c>
      <c r="G46" s="39">
        <f t="shared" si="4"/>
        <v>10540</v>
      </c>
      <c r="H46" s="40">
        <v>69175</v>
      </c>
      <c r="I46" s="41">
        <f>ROUND(D46*H46,0)</f>
        <v>729104500</v>
      </c>
      <c r="J46" s="42">
        <f t="shared" si="5"/>
        <v>729104500</v>
      </c>
      <c r="K46" s="42">
        <f t="shared" si="6"/>
        <v>0</v>
      </c>
      <c r="L46" s="42">
        <f t="shared" si="7"/>
        <v>729104500</v>
      </c>
      <c r="M46" s="43"/>
      <c r="N46" s="34"/>
    </row>
    <row r="47" spans="1:14" ht="31.5" hidden="1" x14ac:dyDescent="0.25">
      <c r="A47" s="35" t="s">
        <v>102</v>
      </c>
      <c r="B47" s="36" t="s">
        <v>103</v>
      </c>
      <c r="C47" s="37" t="s">
        <v>42</v>
      </c>
      <c r="D47" s="38">
        <v>2129</v>
      </c>
      <c r="E47" s="39">
        <v>2129</v>
      </c>
      <c r="F47" s="38">
        <f t="shared" si="3"/>
        <v>0</v>
      </c>
      <c r="G47" s="39">
        <f t="shared" si="4"/>
        <v>2129</v>
      </c>
      <c r="H47" s="40">
        <v>271833</v>
      </c>
      <c r="I47" s="41">
        <f t="shared" si="0"/>
        <v>578732457</v>
      </c>
      <c r="J47" s="42">
        <f t="shared" si="5"/>
        <v>578732457</v>
      </c>
      <c r="K47" s="42">
        <f t="shared" si="6"/>
        <v>0</v>
      </c>
      <c r="L47" s="42">
        <f t="shared" si="7"/>
        <v>578732457</v>
      </c>
      <c r="M47" s="43"/>
      <c r="N47" s="34"/>
    </row>
    <row r="48" spans="1:14" hidden="1" x14ac:dyDescent="0.25">
      <c r="A48" s="35" t="s">
        <v>104</v>
      </c>
      <c r="B48" s="36" t="s">
        <v>105</v>
      </c>
      <c r="C48" s="37" t="s">
        <v>42</v>
      </c>
      <c r="D48" s="38">
        <v>2673</v>
      </c>
      <c r="E48" s="39">
        <v>2673</v>
      </c>
      <c r="F48" s="38">
        <f t="shared" si="3"/>
        <v>0</v>
      </c>
      <c r="G48" s="39">
        <f t="shared" si="4"/>
        <v>2673</v>
      </c>
      <c r="H48" s="40">
        <v>271833</v>
      </c>
      <c r="I48" s="41">
        <f t="shared" si="0"/>
        <v>726609609</v>
      </c>
      <c r="J48" s="42">
        <f t="shared" si="5"/>
        <v>726609609</v>
      </c>
      <c r="K48" s="42">
        <f t="shared" si="6"/>
        <v>0</v>
      </c>
      <c r="L48" s="42">
        <f t="shared" si="7"/>
        <v>726609609</v>
      </c>
      <c r="M48" s="43"/>
      <c r="N48" s="34"/>
    </row>
    <row r="49" spans="1:14" hidden="1" x14ac:dyDescent="0.25">
      <c r="A49" s="35" t="s">
        <v>106</v>
      </c>
      <c r="B49" s="36" t="s">
        <v>107</v>
      </c>
      <c r="C49" s="37" t="s">
        <v>42</v>
      </c>
      <c r="D49" s="38">
        <v>261</v>
      </c>
      <c r="E49" s="39">
        <v>261</v>
      </c>
      <c r="F49" s="38">
        <f t="shared" si="3"/>
        <v>0</v>
      </c>
      <c r="G49" s="39">
        <f t="shared" si="4"/>
        <v>261</v>
      </c>
      <c r="H49" s="40">
        <v>20867</v>
      </c>
      <c r="I49" s="41">
        <f t="shared" si="0"/>
        <v>5446287</v>
      </c>
      <c r="J49" s="42">
        <f t="shared" si="5"/>
        <v>5446287</v>
      </c>
      <c r="K49" s="42">
        <f t="shared" si="6"/>
        <v>0</v>
      </c>
      <c r="L49" s="42">
        <f t="shared" si="7"/>
        <v>5446287</v>
      </c>
      <c r="M49" s="43"/>
      <c r="N49" s="34"/>
    </row>
    <row r="50" spans="1:14" hidden="1" x14ac:dyDescent="0.25">
      <c r="A50" s="35" t="s">
        <v>108</v>
      </c>
      <c r="B50" s="36" t="s">
        <v>109</v>
      </c>
      <c r="C50" s="37" t="s">
        <v>42</v>
      </c>
      <c r="D50" s="38">
        <v>261</v>
      </c>
      <c r="E50" s="39">
        <v>261</v>
      </c>
      <c r="F50" s="38">
        <f t="shared" si="3"/>
        <v>0</v>
      </c>
      <c r="G50" s="39">
        <f t="shared" si="4"/>
        <v>261</v>
      </c>
      <c r="H50" s="40">
        <v>12936</v>
      </c>
      <c r="I50" s="41">
        <f t="shared" si="0"/>
        <v>3376296</v>
      </c>
      <c r="J50" s="42">
        <f t="shared" si="5"/>
        <v>3376296</v>
      </c>
      <c r="K50" s="42">
        <f t="shared" si="6"/>
        <v>0</v>
      </c>
      <c r="L50" s="42">
        <f t="shared" si="7"/>
        <v>3376296</v>
      </c>
      <c r="M50" s="43"/>
      <c r="N50" s="34"/>
    </row>
    <row r="51" spans="1:14" hidden="1" x14ac:dyDescent="0.25">
      <c r="A51" s="35" t="s">
        <v>110</v>
      </c>
      <c r="B51" s="36" t="s">
        <v>111</v>
      </c>
      <c r="C51" s="37" t="s">
        <v>84</v>
      </c>
      <c r="D51" s="38">
        <v>16</v>
      </c>
      <c r="E51" s="39">
        <v>16</v>
      </c>
      <c r="F51" s="38">
        <f t="shared" si="3"/>
        <v>0</v>
      </c>
      <c r="G51" s="39">
        <f t="shared" si="4"/>
        <v>16</v>
      </c>
      <c r="H51" s="40">
        <v>301142</v>
      </c>
      <c r="I51" s="41">
        <f t="shared" si="0"/>
        <v>4818272</v>
      </c>
      <c r="J51" s="42">
        <f t="shared" si="5"/>
        <v>4818272</v>
      </c>
      <c r="K51" s="42">
        <f t="shared" si="6"/>
        <v>0</v>
      </c>
      <c r="L51" s="42">
        <f t="shared" si="7"/>
        <v>4818272</v>
      </c>
      <c r="M51" s="43"/>
      <c r="N51" s="34"/>
    </row>
    <row r="52" spans="1:14" hidden="1" x14ac:dyDescent="0.25">
      <c r="A52" s="35" t="s">
        <v>112</v>
      </c>
      <c r="B52" s="36" t="s">
        <v>113</v>
      </c>
      <c r="C52" s="37" t="s">
        <v>84</v>
      </c>
      <c r="D52" s="38">
        <v>375</v>
      </c>
      <c r="E52" s="39">
        <v>375</v>
      </c>
      <c r="F52" s="38">
        <f t="shared" si="3"/>
        <v>0</v>
      </c>
      <c r="G52" s="39">
        <f t="shared" si="4"/>
        <v>375</v>
      </c>
      <c r="H52" s="40">
        <v>191443</v>
      </c>
      <c r="I52" s="41">
        <f t="shared" si="0"/>
        <v>71791125</v>
      </c>
      <c r="J52" s="42">
        <f t="shared" si="5"/>
        <v>71791125</v>
      </c>
      <c r="K52" s="42">
        <f t="shared" si="6"/>
        <v>0</v>
      </c>
      <c r="L52" s="42">
        <f t="shared" si="7"/>
        <v>71791125</v>
      </c>
      <c r="M52" s="43"/>
      <c r="N52" s="34"/>
    </row>
    <row r="53" spans="1:14" hidden="1" x14ac:dyDescent="0.25">
      <c r="A53" s="35" t="s">
        <v>114</v>
      </c>
      <c r="B53" s="36" t="s">
        <v>115</v>
      </c>
      <c r="C53" s="37" t="s">
        <v>84</v>
      </c>
      <c r="D53" s="38">
        <v>375</v>
      </c>
      <c r="E53" s="39">
        <v>375</v>
      </c>
      <c r="F53" s="38">
        <f t="shared" si="3"/>
        <v>0</v>
      </c>
      <c r="G53" s="39">
        <f t="shared" si="4"/>
        <v>375</v>
      </c>
      <c r="H53" s="40">
        <v>184138</v>
      </c>
      <c r="I53" s="41">
        <f t="shared" si="0"/>
        <v>69051750</v>
      </c>
      <c r="J53" s="42">
        <f t="shared" si="5"/>
        <v>69051750</v>
      </c>
      <c r="K53" s="42">
        <f t="shared" si="6"/>
        <v>0</v>
      </c>
      <c r="L53" s="42">
        <f t="shared" si="7"/>
        <v>69051750</v>
      </c>
      <c r="M53" s="43"/>
      <c r="N53" s="34"/>
    </row>
    <row r="54" spans="1:14" hidden="1" x14ac:dyDescent="0.25">
      <c r="A54" s="35" t="s">
        <v>116</v>
      </c>
      <c r="B54" s="36" t="s">
        <v>117</v>
      </c>
      <c r="C54" s="37" t="s">
        <v>118</v>
      </c>
      <c r="D54" s="38">
        <v>3.77</v>
      </c>
      <c r="E54" s="39">
        <v>3.77</v>
      </c>
      <c r="F54" s="38">
        <f t="shared" si="3"/>
        <v>0</v>
      </c>
      <c r="G54" s="39">
        <f t="shared" si="4"/>
        <v>3.77</v>
      </c>
      <c r="H54" s="40">
        <v>33697650</v>
      </c>
      <c r="I54" s="41">
        <f t="shared" si="0"/>
        <v>127040141</v>
      </c>
      <c r="J54" s="42">
        <f t="shared" si="5"/>
        <v>127040140.5</v>
      </c>
      <c r="K54" s="42">
        <f t="shared" si="6"/>
        <v>0</v>
      </c>
      <c r="L54" s="42">
        <f t="shared" si="7"/>
        <v>127040140.5</v>
      </c>
      <c r="M54" s="43"/>
      <c r="N54" s="34"/>
    </row>
    <row r="55" spans="1:14" hidden="1" x14ac:dyDescent="0.25">
      <c r="A55" s="35" t="s">
        <v>119</v>
      </c>
      <c r="B55" s="36" t="s">
        <v>120</v>
      </c>
      <c r="C55" s="37" t="s">
        <v>84</v>
      </c>
      <c r="D55" s="38">
        <v>259.8</v>
      </c>
      <c r="E55" s="39">
        <v>259.8</v>
      </c>
      <c r="F55" s="38">
        <f t="shared" si="3"/>
        <v>0</v>
      </c>
      <c r="G55" s="39">
        <f t="shared" si="4"/>
        <v>259.8</v>
      </c>
      <c r="H55" s="40">
        <v>17859</v>
      </c>
      <c r="I55" s="41">
        <f t="shared" si="0"/>
        <v>4639768</v>
      </c>
      <c r="J55" s="42">
        <f t="shared" si="5"/>
        <v>4639768.2</v>
      </c>
      <c r="K55" s="42">
        <f t="shared" si="6"/>
        <v>0</v>
      </c>
      <c r="L55" s="42">
        <f t="shared" si="7"/>
        <v>4639768.2</v>
      </c>
      <c r="M55" s="43"/>
      <c r="N55" s="34"/>
    </row>
    <row r="56" spans="1:14" ht="52.5" hidden="1" customHeight="1" x14ac:dyDescent="0.25">
      <c r="A56" s="35" t="s">
        <v>121</v>
      </c>
      <c r="B56" s="36" t="s">
        <v>122</v>
      </c>
      <c r="C56" s="37" t="s">
        <v>39</v>
      </c>
      <c r="D56" s="38">
        <v>51397</v>
      </c>
      <c r="E56" s="39">
        <v>51397</v>
      </c>
      <c r="F56" s="38">
        <f>D56-E56</f>
        <v>0</v>
      </c>
      <c r="G56" s="39">
        <f t="shared" si="4"/>
        <v>51397</v>
      </c>
      <c r="H56" s="40">
        <v>11015</v>
      </c>
      <c r="I56" s="41">
        <f t="shared" si="0"/>
        <v>566137955</v>
      </c>
      <c r="J56" s="42">
        <f t="shared" si="5"/>
        <v>566137955</v>
      </c>
      <c r="K56" s="42">
        <f t="shared" si="6"/>
        <v>0</v>
      </c>
      <c r="L56" s="42">
        <f t="shared" si="7"/>
        <v>566137955</v>
      </c>
      <c r="M56" s="43"/>
      <c r="N56" s="34"/>
    </row>
    <row r="57" spans="1:14" ht="31.5" hidden="1" x14ac:dyDescent="0.25">
      <c r="A57" s="35" t="s">
        <v>123</v>
      </c>
      <c r="B57" s="36" t="s">
        <v>124</v>
      </c>
      <c r="C57" s="37" t="s">
        <v>118</v>
      </c>
      <c r="D57" s="38">
        <v>7318.93</v>
      </c>
      <c r="E57" s="39">
        <v>7318.93</v>
      </c>
      <c r="F57" s="38">
        <f t="shared" ref="F57:F59" si="8">D57-E57</f>
        <v>0</v>
      </c>
      <c r="G57" s="39">
        <f t="shared" si="4"/>
        <v>7318.93</v>
      </c>
      <c r="H57" s="40">
        <v>1646788</v>
      </c>
      <c r="I57" s="41">
        <f t="shared" si="0"/>
        <v>12052726097</v>
      </c>
      <c r="J57" s="42">
        <f t="shared" si="5"/>
        <v>12052726096.84</v>
      </c>
      <c r="K57" s="42">
        <f>F57*H57</f>
        <v>0</v>
      </c>
      <c r="L57" s="42">
        <f t="shared" si="7"/>
        <v>12052726096.84</v>
      </c>
      <c r="M57" s="43"/>
      <c r="N57" s="34"/>
    </row>
    <row r="58" spans="1:14" ht="32.25" hidden="1" customHeight="1" x14ac:dyDescent="0.25">
      <c r="A58" s="35" t="s">
        <v>125</v>
      </c>
      <c r="B58" s="36" t="s">
        <v>126</v>
      </c>
      <c r="C58" s="37" t="s">
        <v>127</v>
      </c>
      <c r="D58" s="38">
        <v>73.19</v>
      </c>
      <c r="E58" s="39">
        <v>73.19</v>
      </c>
      <c r="F58" s="38">
        <f t="shared" si="8"/>
        <v>0</v>
      </c>
      <c r="G58" s="39">
        <f t="shared" si="4"/>
        <v>73.19</v>
      </c>
      <c r="H58" s="40">
        <v>10502023</v>
      </c>
      <c r="I58" s="41">
        <f t="shared" si="0"/>
        <v>768643063</v>
      </c>
      <c r="J58" s="42">
        <f t="shared" si="5"/>
        <v>768643063.37</v>
      </c>
      <c r="K58" s="42">
        <f t="shared" si="6"/>
        <v>0</v>
      </c>
      <c r="L58" s="42">
        <f t="shared" si="7"/>
        <v>768643063.37</v>
      </c>
      <c r="M58" s="43"/>
      <c r="N58" s="34"/>
    </row>
    <row r="59" spans="1:14" ht="36.75" hidden="1" customHeight="1" x14ac:dyDescent="0.25">
      <c r="A59" s="35" t="s">
        <v>128</v>
      </c>
      <c r="B59" s="36" t="s">
        <v>129</v>
      </c>
      <c r="C59" s="37" t="s">
        <v>39</v>
      </c>
      <c r="D59" s="38">
        <v>51397</v>
      </c>
      <c r="E59" s="39">
        <v>51397</v>
      </c>
      <c r="F59" s="38">
        <f t="shared" si="8"/>
        <v>0</v>
      </c>
      <c r="G59" s="39">
        <f t="shared" si="4"/>
        <v>51397</v>
      </c>
      <c r="H59" s="40">
        <v>26753</v>
      </c>
      <c r="I59" s="41">
        <f t="shared" si="0"/>
        <v>1375023941</v>
      </c>
      <c r="J59" s="42">
        <f t="shared" si="5"/>
        <v>1375023941</v>
      </c>
      <c r="K59" s="42">
        <f t="shared" si="6"/>
        <v>0</v>
      </c>
      <c r="L59" s="42">
        <f t="shared" si="7"/>
        <v>1375023941</v>
      </c>
      <c r="M59" s="43"/>
      <c r="N59" s="34"/>
    </row>
    <row r="60" spans="1:14" hidden="1" x14ac:dyDescent="0.25">
      <c r="A60" s="35" t="s">
        <v>130</v>
      </c>
      <c r="B60" s="36" t="s">
        <v>131</v>
      </c>
      <c r="C60" s="37" t="s">
        <v>42</v>
      </c>
      <c r="D60" s="38">
        <v>12513</v>
      </c>
      <c r="E60" s="39">
        <v>12513</v>
      </c>
      <c r="F60" s="38">
        <f>D60-E60</f>
        <v>0</v>
      </c>
      <c r="G60" s="39">
        <f t="shared" si="4"/>
        <v>12513</v>
      </c>
      <c r="H60" s="40">
        <v>361291</v>
      </c>
      <c r="I60" s="41">
        <f t="shared" si="0"/>
        <v>4520834283</v>
      </c>
      <c r="J60" s="42">
        <f t="shared" si="5"/>
        <v>4520834283</v>
      </c>
      <c r="K60" s="42">
        <f t="shared" si="6"/>
        <v>0</v>
      </c>
      <c r="L60" s="42">
        <f t="shared" si="7"/>
        <v>4520834283</v>
      </c>
      <c r="M60" s="43"/>
      <c r="N60" s="34"/>
    </row>
    <row r="61" spans="1:14" hidden="1" x14ac:dyDescent="0.25">
      <c r="A61" s="35" t="s">
        <v>132</v>
      </c>
      <c r="B61" s="36" t="s">
        <v>133</v>
      </c>
      <c r="C61" s="37" t="s">
        <v>42</v>
      </c>
      <c r="D61" s="38">
        <v>18194</v>
      </c>
      <c r="E61" s="39">
        <v>18194</v>
      </c>
      <c r="F61" s="38">
        <f>D61-E61</f>
        <v>0</v>
      </c>
      <c r="G61" s="39">
        <f t="shared" si="4"/>
        <v>18194</v>
      </c>
      <c r="H61" s="40">
        <v>335812</v>
      </c>
      <c r="I61" s="41">
        <f t="shared" si="0"/>
        <v>6109763528</v>
      </c>
      <c r="J61" s="42">
        <f t="shared" si="5"/>
        <v>6109763528</v>
      </c>
      <c r="K61" s="42">
        <f t="shared" si="6"/>
        <v>0</v>
      </c>
      <c r="L61" s="42">
        <f t="shared" si="7"/>
        <v>6109763528</v>
      </c>
      <c r="M61" s="43"/>
      <c r="N61" s="34"/>
    </row>
    <row r="62" spans="1:14" hidden="1" x14ac:dyDescent="0.25">
      <c r="A62" s="35" t="s">
        <v>134</v>
      </c>
      <c r="B62" s="36" t="s">
        <v>135</v>
      </c>
      <c r="C62" s="37" t="s">
        <v>39</v>
      </c>
      <c r="D62" s="38">
        <v>434.1</v>
      </c>
      <c r="E62" s="39">
        <v>434.1</v>
      </c>
      <c r="F62" s="38">
        <f>D62-E62</f>
        <v>0</v>
      </c>
      <c r="G62" s="39">
        <f t="shared" si="4"/>
        <v>434.1</v>
      </c>
      <c r="H62" s="40">
        <v>330389</v>
      </c>
      <c r="I62" s="41">
        <f t="shared" si="0"/>
        <v>143421865</v>
      </c>
      <c r="J62" s="42">
        <f t="shared" si="5"/>
        <v>143421864.90000001</v>
      </c>
      <c r="K62" s="42">
        <f t="shared" si="6"/>
        <v>0</v>
      </c>
      <c r="L62" s="42">
        <f t="shared" si="7"/>
        <v>143421864.90000001</v>
      </c>
      <c r="M62" s="43"/>
      <c r="N62" s="34"/>
    </row>
    <row r="63" spans="1:14" ht="47.25" hidden="1" x14ac:dyDescent="0.25">
      <c r="A63" s="35" t="s">
        <v>136</v>
      </c>
      <c r="B63" s="36" t="s">
        <v>137</v>
      </c>
      <c r="C63" s="37" t="s">
        <v>42</v>
      </c>
      <c r="D63" s="38">
        <v>34.5</v>
      </c>
      <c r="E63" s="39">
        <v>34.5</v>
      </c>
      <c r="F63" s="38">
        <v>0</v>
      </c>
      <c r="G63" s="39">
        <f t="shared" si="4"/>
        <v>34.5</v>
      </c>
      <c r="H63" s="40">
        <v>1197457</v>
      </c>
      <c r="I63" s="41">
        <f t="shared" si="0"/>
        <v>41312267</v>
      </c>
      <c r="J63" s="42">
        <f t="shared" si="5"/>
        <v>41312266.5</v>
      </c>
      <c r="K63" s="42">
        <f t="shared" si="6"/>
        <v>0</v>
      </c>
      <c r="L63" s="42">
        <f t="shared" si="7"/>
        <v>41312266.5</v>
      </c>
      <c r="M63" s="43"/>
      <c r="N63" s="34"/>
    </row>
    <row r="64" spans="1:14" hidden="1" x14ac:dyDescent="0.25">
      <c r="A64" s="35" t="s">
        <v>138</v>
      </c>
      <c r="B64" s="36" t="s">
        <v>139</v>
      </c>
      <c r="C64" s="37" t="s">
        <v>42</v>
      </c>
      <c r="D64" s="38">
        <v>3.5</v>
      </c>
      <c r="E64" s="39">
        <v>3.5</v>
      </c>
      <c r="F64" s="38">
        <v>0</v>
      </c>
      <c r="G64" s="39">
        <f t="shared" si="4"/>
        <v>3.5</v>
      </c>
      <c r="H64" s="40">
        <v>1587082</v>
      </c>
      <c r="I64" s="41">
        <f t="shared" si="0"/>
        <v>5554787</v>
      </c>
      <c r="J64" s="42">
        <f t="shared" si="5"/>
        <v>5554787</v>
      </c>
      <c r="K64" s="42">
        <f t="shared" si="6"/>
        <v>0</v>
      </c>
      <c r="L64" s="42">
        <f t="shared" si="7"/>
        <v>5554787</v>
      </c>
      <c r="M64" s="43"/>
      <c r="N64" s="34"/>
    </row>
    <row r="65" spans="1:14" ht="47.25" hidden="1" x14ac:dyDescent="0.25">
      <c r="A65" s="35" t="s">
        <v>140</v>
      </c>
      <c r="B65" s="36" t="s">
        <v>137</v>
      </c>
      <c r="C65" s="37" t="s">
        <v>42</v>
      </c>
      <c r="D65" s="38">
        <v>1.8</v>
      </c>
      <c r="E65" s="39">
        <v>1.8</v>
      </c>
      <c r="F65" s="38">
        <v>0</v>
      </c>
      <c r="G65" s="39">
        <f t="shared" si="4"/>
        <v>1.8</v>
      </c>
      <c r="H65" s="40">
        <v>1197457</v>
      </c>
      <c r="I65" s="41">
        <f t="shared" si="0"/>
        <v>2155423</v>
      </c>
      <c r="J65" s="42">
        <f t="shared" si="5"/>
        <v>2155422.6</v>
      </c>
      <c r="K65" s="42">
        <f t="shared" si="6"/>
        <v>0</v>
      </c>
      <c r="L65" s="42">
        <f t="shared" si="7"/>
        <v>2155422.6</v>
      </c>
      <c r="M65" s="43"/>
      <c r="N65" s="34"/>
    </row>
    <row r="66" spans="1:14" hidden="1" x14ac:dyDescent="0.25">
      <c r="A66" s="35" t="s">
        <v>141</v>
      </c>
      <c r="B66" s="36" t="s">
        <v>142</v>
      </c>
      <c r="C66" s="37" t="s">
        <v>143</v>
      </c>
      <c r="D66" s="38">
        <v>0.18</v>
      </c>
      <c r="E66" s="39">
        <v>0.18</v>
      </c>
      <c r="F66" s="38">
        <v>0</v>
      </c>
      <c r="G66" s="39">
        <f t="shared" si="4"/>
        <v>0.18</v>
      </c>
      <c r="H66" s="40">
        <v>103942.99</v>
      </c>
      <c r="I66" s="41">
        <f t="shared" si="0"/>
        <v>18710</v>
      </c>
      <c r="J66" s="42">
        <f t="shared" si="5"/>
        <v>18709.7382</v>
      </c>
      <c r="K66" s="42">
        <f t="shared" si="6"/>
        <v>0</v>
      </c>
      <c r="L66" s="42">
        <f t="shared" si="7"/>
        <v>18709.7382</v>
      </c>
      <c r="M66" s="43"/>
      <c r="N66" s="34"/>
    </row>
    <row r="67" spans="1:14" ht="47.25" hidden="1" x14ac:dyDescent="0.25">
      <c r="A67" s="35" t="s">
        <v>144</v>
      </c>
      <c r="B67" s="36" t="s">
        <v>137</v>
      </c>
      <c r="C67" s="37" t="s">
        <v>42</v>
      </c>
      <c r="D67" s="38">
        <v>1.2</v>
      </c>
      <c r="E67" s="39">
        <v>1.2</v>
      </c>
      <c r="F67" s="38">
        <v>0</v>
      </c>
      <c r="G67" s="39">
        <f t="shared" si="4"/>
        <v>1.2</v>
      </c>
      <c r="H67" s="40">
        <v>1197457</v>
      </c>
      <c r="I67" s="41">
        <f t="shared" si="0"/>
        <v>1436948</v>
      </c>
      <c r="J67" s="42">
        <f t="shared" si="5"/>
        <v>1436948.4</v>
      </c>
      <c r="K67" s="42">
        <f t="shared" si="6"/>
        <v>0</v>
      </c>
      <c r="L67" s="42">
        <f t="shared" si="7"/>
        <v>1436948.4</v>
      </c>
      <c r="M67" s="43"/>
      <c r="N67" s="34"/>
    </row>
    <row r="68" spans="1:14" ht="31.5" hidden="1" x14ac:dyDescent="0.25">
      <c r="A68" s="35" t="s">
        <v>145</v>
      </c>
      <c r="B68" s="36" t="s">
        <v>146</v>
      </c>
      <c r="C68" s="37" t="s">
        <v>84</v>
      </c>
      <c r="D68" s="38">
        <v>99.5</v>
      </c>
      <c r="E68" s="39">
        <v>99.5</v>
      </c>
      <c r="F68" s="38">
        <v>0</v>
      </c>
      <c r="G68" s="39">
        <f t="shared" si="4"/>
        <v>99.5</v>
      </c>
      <c r="H68" s="40">
        <v>320960</v>
      </c>
      <c r="I68" s="41">
        <f t="shared" si="0"/>
        <v>31935520</v>
      </c>
      <c r="J68" s="42">
        <f t="shared" si="5"/>
        <v>31935520</v>
      </c>
      <c r="K68" s="42">
        <f t="shared" si="6"/>
        <v>0</v>
      </c>
      <c r="L68" s="42">
        <f t="shared" si="7"/>
        <v>31935520</v>
      </c>
      <c r="M68" s="43"/>
      <c r="N68" s="34"/>
    </row>
    <row r="69" spans="1:14" hidden="1" x14ac:dyDescent="0.25">
      <c r="A69" s="35" t="s">
        <v>147</v>
      </c>
      <c r="B69" s="36" t="s">
        <v>142</v>
      </c>
      <c r="C69" s="37" t="s">
        <v>143</v>
      </c>
      <c r="D69" s="38">
        <v>15.2</v>
      </c>
      <c r="E69" s="39">
        <v>15.2</v>
      </c>
      <c r="F69" s="38">
        <v>0</v>
      </c>
      <c r="G69" s="39">
        <f t="shared" si="4"/>
        <v>15.2</v>
      </c>
      <c r="H69" s="40">
        <v>10394299</v>
      </c>
      <c r="I69" s="41">
        <f t="shared" si="0"/>
        <v>157993345</v>
      </c>
      <c r="J69" s="42">
        <f t="shared" si="5"/>
        <v>157993344.79999998</v>
      </c>
      <c r="K69" s="42">
        <f t="shared" si="6"/>
        <v>0</v>
      </c>
      <c r="L69" s="42">
        <f t="shared" si="7"/>
        <v>157993344.79999998</v>
      </c>
      <c r="M69" s="43"/>
      <c r="N69" s="34"/>
    </row>
    <row r="70" spans="1:14" ht="47.25" hidden="1" x14ac:dyDescent="0.25">
      <c r="A70" s="35" t="s">
        <v>148</v>
      </c>
      <c r="B70" s="36" t="s">
        <v>137</v>
      </c>
      <c r="C70" s="37" t="s">
        <v>42</v>
      </c>
      <c r="D70" s="38">
        <v>116.28</v>
      </c>
      <c r="E70" s="39">
        <v>116.28</v>
      </c>
      <c r="F70" s="38">
        <v>0</v>
      </c>
      <c r="G70" s="39">
        <f t="shared" si="4"/>
        <v>116.28</v>
      </c>
      <c r="H70" s="40">
        <v>1197457</v>
      </c>
      <c r="I70" s="41">
        <f t="shared" si="0"/>
        <v>139240300</v>
      </c>
      <c r="J70" s="42">
        <f t="shared" si="5"/>
        <v>139240299.96000001</v>
      </c>
      <c r="K70" s="42">
        <f t="shared" si="6"/>
        <v>0</v>
      </c>
      <c r="L70" s="42">
        <f t="shared" si="7"/>
        <v>139240299.96000001</v>
      </c>
      <c r="M70" s="43"/>
      <c r="N70" s="34"/>
    </row>
    <row r="71" spans="1:14" hidden="1" x14ac:dyDescent="0.25">
      <c r="A71" s="35" t="s">
        <v>149</v>
      </c>
      <c r="B71" s="36" t="s">
        <v>150</v>
      </c>
      <c r="C71" s="37" t="s">
        <v>84</v>
      </c>
      <c r="D71" s="38">
        <v>6080</v>
      </c>
      <c r="E71" s="39">
        <v>5244.4400000000005</v>
      </c>
      <c r="F71" s="38">
        <v>0</v>
      </c>
      <c r="G71" s="39">
        <f t="shared" si="4"/>
        <v>5244.4400000000005</v>
      </c>
      <c r="H71" s="40">
        <v>388691</v>
      </c>
      <c r="I71" s="41">
        <f t="shared" si="0"/>
        <v>2363241280</v>
      </c>
      <c r="J71" s="42">
        <f t="shared" si="5"/>
        <v>2038466628.0400002</v>
      </c>
      <c r="K71" s="42">
        <f t="shared" si="6"/>
        <v>0</v>
      </c>
      <c r="L71" s="42">
        <f t="shared" si="7"/>
        <v>2038466628.0400002</v>
      </c>
      <c r="M71" s="43"/>
      <c r="N71" s="34">
        <f>D71-835</f>
        <v>5245</v>
      </c>
    </row>
    <row r="72" spans="1:14" hidden="1" x14ac:dyDescent="0.25">
      <c r="A72" s="35" t="s">
        <v>151</v>
      </c>
      <c r="B72" s="36" t="s">
        <v>142</v>
      </c>
      <c r="C72" s="37" t="s">
        <v>143</v>
      </c>
      <c r="D72" s="38">
        <v>0.47</v>
      </c>
      <c r="E72" s="39">
        <v>0.47</v>
      </c>
      <c r="F72" s="38">
        <v>0</v>
      </c>
      <c r="G72" s="39">
        <f t="shared" si="4"/>
        <v>0.47</v>
      </c>
      <c r="H72" s="40">
        <v>10394299</v>
      </c>
      <c r="I72" s="41">
        <f t="shared" si="0"/>
        <v>4885321</v>
      </c>
      <c r="J72" s="42">
        <f t="shared" si="5"/>
        <v>4885320.5299999993</v>
      </c>
      <c r="K72" s="42">
        <f t="shared" si="6"/>
        <v>0</v>
      </c>
      <c r="L72" s="42">
        <f t="shared" si="7"/>
        <v>4885320.5299999993</v>
      </c>
      <c r="M72" s="43"/>
      <c r="N72" s="34"/>
    </row>
    <row r="73" spans="1:14" ht="47.25" hidden="1" x14ac:dyDescent="0.25">
      <c r="A73" s="35" t="s">
        <v>152</v>
      </c>
      <c r="B73" s="36" t="s">
        <v>137</v>
      </c>
      <c r="C73" s="37" t="s">
        <v>42</v>
      </c>
      <c r="D73" s="38">
        <v>0.28000000000000003</v>
      </c>
      <c r="E73" s="39">
        <v>0.28000000000000003</v>
      </c>
      <c r="F73" s="38">
        <v>0</v>
      </c>
      <c r="G73" s="39">
        <f t="shared" si="4"/>
        <v>0.28000000000000003</v>
      </c>
      <c r="H73" s="40">
        <v>1197457</v>
      </c>
      <c r="I73" s="41">
        <f t="shared" si="0"/>
        <v>335288</v>
      </c>
      <c r="J73" s="42">
        <f t="shared" si="5"/>
        <v>335287.96000000002</v>
      </c>
      <c r="K73" s="42">
        <f t="shared" si="6"/>
        <v>0</v>
      </c>
      <c r="L73" s="42">
        <f t="shared" si="7"/>
        <v>335287.96000000002</v>
      </c>
      <c r="M73" s="43"/>
      <c r="N73" s="34"/>
    </row>
    <row r="74" spans="1:14" hidden="1" x14ac:dyDescent="0.25">
      <c r="A74" s="35" t="s">
        <v>153</v>
      </c>
      <c r="B74" s="36" t="s">
        <v>154</v>
      </c>
      <c r="C74" s="37" t="s">
        <v>84</v>
      </c>
      <c r="D74" s="38">
        <v>46.6</v>
      </c>
      <c r="E74" s="39">
        <v>46.6</v>
      </c>
      <c r="F74" s="38">
        <v>0</v>
      </c>
      <c r="G74" s="39">
        <f t="shared" si="4"/>
        <v>46.6</v>
      </c>
      <c r="H74" s="40">
        <v>169013</v>
      </c>
      <c r="I74" s="41">
        <f t="shared" si="0"/>
        <v>7876006</v>
      </c>
      <c r="J74" s="42">
        <f t="shared" si="5"/>
        <v>7876005.7999999998</v>
      </c>
      <c r="K74" s="42">
        <f t="shared" si="6"/>
        <v>0</v>
      </c>
      <c r="L74" s="42">
        <f t="shared" si="7"/>
        <v>7876005.7999999998</v>
      </c>
      <c r="M74" s="43"/>
      <c r="N74" s="34"/>
    </row>
    <row r="75" spans="1:14" hidden="1" x14ac:dyDescent="0.25">
      <c r="A75" s="35" t="s">
        <v>155</v>
      </c>
      <c r="B75" s="36" t="s">
        <v>156</v>
      </c>
      <c r="C75" s="37" t="s">
        <v>65</v>
      </c>
      <c r="D75" s="38">
        <v>48.48</v>
      </c>
      <c r="E75" s="39">
        <v>48.48</v>
      </c>
      <c r="F75" s="38">
        <v>0</v>
      </c>
      <c r="G75" s="39">
        <f t="shared" si="4"/>
        <v>48.48</v>
      </c>
      <c r="H75" s="40">
        <v>646440</v>
      </c>
      <c r="I75" s="41">
        <f t="shared" si="0"/>
        <v>31339411</v>
      </c>
      <c r="J75" s="42">
        <f t="shared" si="5"/>
        <v>31339411.199999999</v>
      </c>
      <c r="K75" s="42">
        <f t="shared" si="6"/>
        <v>0</v>
      </c>
      <c r="L75" s="42">
        <f t="shared" si="7"/>
        <v>31339411.199999999</v>
      </c>
      <c r="M75" s="43"/>
      <c r="N75" s="34"/>
    </row>
    <row r="76" spans="1:14" hidden="1" x14ac:dyDescent="0.25">
      <c r="A76" s="35" t="s">
        <v>157</v>
      </c>
      <c r="B76" s="36" t="s">
        <v>158</v>
      </c>
      <c r="C76" s="37" t="s">
        <v>159</v>
      </c>
      <c r="D76" s="38">
        <v>7</v>
      </c>
      <c r="E76" s="39">
        <v>7</v>
      </c>
      <c r="F76" s="38">
        <v>0</v>
      </c>
      <c r="G76" s="39">
        <f t="shared" si="4"/>
        <v>7</v>
      </c>
      <c r="H76" s="40">
        <v>1909908</v>
      </c>
      <c r="I76" s="41">
        <f t="shared" si="0"/>
        <v>13369356</v>
      </c>
      <c r="J76" s="42">
        <f t="shared" si="5"/>
        <v>13369356</v>
      </c>
      <c r="K76" s="42">
        <f t="shared" si="6"/>
        <v>0</v>
      </c>
      <c r="L76" s="42">
        <f t="shared" si="7"/>
        <v>13369356</v>
      </c>
      <c r="M76" s="43"/>
      <c r="N76" s="34"/>
    </row>
    <row r="77" spans="1:14" hidden="1" x14ac:dyDescent="0.25">
      <c r="A77" s="35" t="s">
        <v>160</v>
      </c>
      <c r="B77" s="36" t="s">
        <v>73</v>
      </c>
      <c r="C77" s="37" t="s">
        <v>42</v>
      </c>
      <c r="D77" s="38">
        <v>1501.7</v>
      </c>
      <c r="E77" s="39">
        <v>1295.3166700000002</v>
      </c>
      <c r="F77" s="38">
        <v>0</v>
      </c>
      <c r="G77" s="39">
        <f t="shared" si="4"/>
        <v>1295.3166700000002</v>
      </c>
      <c r="H77" s="40">
        <v>2096</v>
      </c>
      <c r="I77" s="41">
        <f t="shared" si="0"/>
        <v>3147563</v>
      </c>
      <c r="J77" s="42">
        <f t="shared" si="5"/>
        <v>2714983.7403200003</v>
      </c>
      <c r="K77" s="42">
        <f t="shared" si="6"/>
        <v>0</v>
      </c>
      <c r="L77" s="42">
        <f t="shared" si="7"/>
        <v>2714983.7403200003</v>
      </c>
      <c r="M77" s="43"/>
      <c r="N77" s="34"/>
    </row>
    <row r="78" spans="1:14" ht="47.25" hidden="1" x14ac:dyDescent="0.25">
      <c r="A78" s="44" t="s">
        <v>161</v>
      </c>
      <c r="B78" s="45" t="s">
        <v>162</v>
      </c>
      <c r="C78" s="46" t="s">
        <v>163</v>
      </c>
      <c r="D78" s="47">
        <v>21.34</v>
      </c>
      <c r="E78" s="48">
        <v>18.4072</v>
      </c>
      <c r="F78" s="47">
        <v>0</v>
      </c>
      <c r="G78" s="48">
        <f t="shared" si="4"/>
        <v>18.4072</v>
      </c>
      <c r="H78" s="49">
        <v>963779</v>
      </c>
      <c r="I78" s="50">
        <f t="shared" si="0"/>
        <v>20567044</v>
      </c>
      <c r="J78" s="51">
        <f t="shared" si="5"/>
        <v>17740472.808800001</v>
      </c>
      <c r="K78" s="51">
        <f t="shared" si="6"/>
        <v>0</v>
      </c>
      <c r="L78" s="51">
        <f t="shared" si="7"/>
        <v>17740472.808800001</v>
      </c>
      <c r="M78" s="52"/>
      <c r="N78" s="34"/>
    </row>
    <row r="79" spans="1:14" ht="31.5" hidden="1" x14ac:dyDescent="0.25">
      <c r="A79" s="16">
        <v>10</v>
      </c>
      <c r="B79" s="53" t="s">
        <v>164</v>
      </c>
      <c r="C79" s="21"/>
      <c r="D79" s="54"/>
      <c r="E79" s="55"/>
      <c r="F79" s="54"/>
      <c r="G79" s="55"/>
      <c r="H79" s="56"/>
      <c r="I79" s="57"/>
      <c r="J79" s="58"/>
      <c r="K79" s="58"/>
      <c r="L79" s="58"/>
      <c r="M79" s="23"/>
      <c r="N79" s="34"/>
    </row>
    <row r="80" spans="1:14" hidden="1" x14ac:dyDescent="0.25">
      <c r="A80" s="25" t="s">
        <v>165</v>
      </c>
      <c r="B80" s="26" t="s">
        <v>166</v>
      </c>
      <c r="C80" s="27" t="s">
        <v>42</v>
      </c>
      <c r="D80" s="28">
        <v>3.87</v>
      </c>
      <c r="E80" s="29">
        <v>3.87</v>
      </c>
      <c r="F80" s="28">
        <f>D80-E80</f>
        <v>0</v>
      </c>
      <c r="G80" s="29">
        <f t="shared" si="4"/>
        <v>3.87</v>
      </c>
      <c r="H80" s="30">
        <v>20072</v>
      </c>
      <c r="I80" s="31">
        <f t="shared" si="0"/>
        <v>77679</v>
      </c>
      <c r="J80" s="32">
        <f t="shared" si="5"/>
        <v>77678.64</v>
      </c>
      <c r="K80" s="32">
        <f t="shared" si="6"/>
        <v>0</v>
      </c>
      <c r="L80" s="32">
        <f t="shared" si="7"/>
        <v>77678.64</v>
      </c>
      <c r="M80" s="33"/>
      <c r="N80" s="34"/>
    </row>
    <row r="81" spans="1:14" hidden="1" x14ac:dyDescent="0.25">
      <c r="A81" s="35" t="s">
        <v>167</v>
      </c>
      <c r="B81" s="36" t="s">
        <v>168</v>
      </c>
      <c r="C81" s="37" t="s">
        <v>42</v>
      </c>
      <c r="D81" s="38">
        <v>8.76</v>
      </c>
      <c r="E81" s="39">
        <v>8.76</v>
      </c>
      <c r="F81" s="28">
        <f t="shared" ref="F81:F106" si="9">D81-E81</f>
        <v>0</v>
      </c>
      <c r="G81" s="39">
        <f t="shared" si="4"/>
        <v>8.76</v>
      </c>
      <c r="H81" s="40">
        <v>23801</v>
      </c>
      <c r="I81" s="41">
        <f t="shared" ref="I81:I143" si="10">ROUND(D81*H81,0)</f>
        <v>208497</v>
      </c>
      <c r="J81" s="42">
        <f t="shared" si="5"/>
        <v>208496.76</v>
      </c>
      <c r="K81" s="42">
        <f t="shared" si="6"/>
        <v>0</v>
      </c>
      <c r="L81" s="42">
        <f t="shared" si="7"/>
        <v>208496.76</v>
      </c>
      <c r="M81" s="43"/>
      <c r="N81" s="34"/>
    </row>
    <row r="82" spans="1:14" hidden="1" x14ac:dyDescent="0.25">
      <c r="A82" s="35" t="s">
        <v>169</v>
      </c>
      <c r="B82" s="36" t="s">
        <v>170</v>
      </c>
      <c r="C82" s="37" t="s">
        <v>42</v>
      </c>
      <c r="D82" s="38">
        <v>322.19</v>
      </c>
      <c r="E82" s="39">
        <v>322.19</v>
      </c>
      <c r="F82" s="28">
        <f t="shared" si="9"/>
        <v>0</v>
      </c>
      <c r="G82" s="39">
        <f t="shared" si="4"/>
        <v>322.19</v>
      </c>
      <c r="H82" s="40">
        <v>23801</v>
      </c>
      <c r="I82" s="41">
        <f t="shared" si="10"/>
        <v>7668444</v>
      </c>
      <c r="J82" s="42">
        <f t="shared" si="5"/>
        <v>7668444.1900000004</v>
      </c>
      <c r="K82" s="42">
        <f t="shared" si="6"/>
        <v>0</v>
      </c>
      <c r="L82" s="42">
        <f t="shared" si="7"/>
        <v>7668444.1900000004</v>
      </c>
      <c r="M82" s="43"/>
      <c r="N82" s="34"/>
    </row>
    <row r="83" spans="1:14" hidden="1" x14ac:dyDescent="0.25">
      <c r="A83" s="35" t="s">
        <v>171</v>
      </c>
      <c r="B83" s="36" t="s">
        <v>172</v>
      </c>
      <c r="C83" s="37" t="s">
        <v>42</v>
      </c>
      <c r="D83" s="38">
        <v>22.8</v>
      </c>
      <c r="E83" s="39">
        <v>22.8</v>
      </c>
      <c r="F83" s="28">
        <f t="shared" si="9"/>
        <v>0</v>
      </c>
      <c r="G83" s="39">
        <f t="shared" ref="G83:G147" si="11">E83+F83</f>
        <v>22.8</v>
      </c>
      <c r="H83" s="40">
        <v>30610</v>
      </c>
      <c r="I83" s="41">
        <f t="shared" si="10"/>
        <v>697908</v>
      </c>
      <c r="J83" s="42">
        <f t="shared" si="5"/>
        <v>697908</v>
      </c>
      <c r="K83" s="42">
        <f t="shared" si="6"/>
        <v>0</v>
      </c>
      <c r="L83" s="42">
        <f t="shared" si="7"/>
        <v>697908</v>
      </c>
      <c r="M83" s="43"/>
      <c r="N83" s="34"/>
    </row>
    <row r="84" spans="1:14" hidden="1" x14ac:dyDescent="0.25">
      <c r="A84" s="35" t="s">
        <v>173</v>
      </c>
      <c r="B84" s="36" t="s">
        <v>48</v>
      </c>
      <c r="C84" s="37" t="s">
        <v>42</v>
      </c>
      <c r="D84" s="38">
        <v>43</v>
      </c>
      <c r="E84" s="39">
        <v>43</v>
      </c>
      <c r="F84" s="28">
        <f t="shared" si="9"/>
        <v>0</v>
      </c>
      <c r="G84" s="39">
        <f t="shared" si="11"/>
        <v>43</v>
      </c>
      <c r="H84" s="40">
        <v>12342</v>
      </c>
      <c r="I84" s="41">
        <f t="shared" si="10"/>
        <v>530706</v>
      </c>
      <c r="J84" s="42">
        <f t="shared" ref="J84:J143" si="12">E84*H84</f>
        <v>530706</v>
      </c>
      <c r="K84" s="42">
        <f t="shared" ref="K84:K143" si="13">F84*H84</f>
        <v>0</v>
      </c>
      <c r="L84" s="42">
        <f t="shared" ref="L84:L143" si="14">G84*H84</f>
        <v>530706</v>
      </c>
      <c r="M84" s="43"/>
      <c r="N84" s="34"/>
    </row>
    <row r="85" spans="1:14" ht="31.5" hidden="1" x14ac:dyDescent="0.25">
      <c r="A85" s="35" t="s">
        <v>174</v>
      </c>
      <c r="B85" s="36" t="s">
        <v>175</v>
      </c>
      <c r="C85" s="37" t="s">
        <v>42</v>
      </c>
      <c r="D85" s="38">
        <v>43</v>
      </c>
      <c r="E85" s="39">
        <v>43</v>
      </c>
      <c r="F85" s="28">
        <f t="shared" si="9"/>
        <v>0</v>
      </c>
      <c r="G85" s="39">
        <f t="shared" si="11"/>
        <v>43</v>
      </c>
      <c r="H85" s="40">
        <v>12936</v>
      </c>
      <c r="I85" s="41">
        <f t="shared" si="10"/>
        <v>556248</v>
      </c>
      <c r="J85" s="42">
        <f t="shared" si="12"/>
        <v>556248</v>
      </c>
      <c r="K85" s="42">
        <f t="shared" si="13"/>
        <v>0</v>
      </c>
      <c r="L85" s="42">
        <f t="shared" si="14"/>
        <v>556248</v>
      </c>
      <c r="M85" s="43"/>
      <c r="N85" s="34"/>
    </row>
    <row r="86" spans="1:14" hidden="1" x14ac:dyDescent="0.25">
      <c r="A86" s="35" t="s">
        <v>176</v>
      </c>
      <c r="B86" s="36" t="s">
        <v>177</v>
      </c>
      <c r="C86" s="37" t="s">
        <v>42</v>
      </c>
      <c r="D86" s="38">
        <v>1059</v>
      </c>
      <c r="E86" s="39">
        <v>1059</v>
      </c>
      <c r="F86" s="28">
        <f t="shared" si="9"/>
        <v>0</v>
      </c>
      <c r="G86" s="39">
        <f t="shared" si="11"/>
        <v>1059</v>
      </c>
      <c r="H86" s="40">
        <v>8251</v>
      </c>
      <c r="I86" s="41">
        <f t="shared" si="10"/>
        <v>8737809</v>
      </c>
      <c r="J86" s="42">
        <f t="shared" si="12"/>
        <v>8737809</v>
      </c>
      <c r="K86" s="42">
        <f t="shared" si="13"/>
        <v>0</v>
      </c>
      <c r="L86" s="42">
        <f t="shared" si="14"/>
        <v>8737809</v>
      </c>
      <c r="M86" s="43"/>
      <c r="N86" s="34"/>
    </row>
    <row r="87" spans="1:14" hidden="1" x14ac:dyDescent="0.25">
      <c r="A87" s="35" t="s">
        <v>178</v>
      </c>
      <c r="B87" s="36" t="s">
        <v>179</v>
      </c>
      <c r="C87" s="37" t="s">
        <v>42</v>
      </c>
      <c r="D87" s="38">
        <v>5744</v>
      </c>
      <c r="E87" s="39">
        <v>5744</v>
      </c>
      <c r="F87" s="28">
        <f t="shared" si="9"/>
        <v>0</v>
      </c>
      <c r="G87" s="39">
        <f t="shared" si="11"/>
        <v>5744</v>
      </c>
      <c r="H87" s="40">
        <v>32141</v>
      </c>
      <c r="I87" s="41">
        <f t="shared" si="10"/>
        <v>184617904</v>
      </c>
      <c r="J87" s="42">
        <f t="shared" si="12"/>
        <v>184617904</v>
      </c>
      <c r="K87" s="42">
        <f t="shared" si="13"/>
        <v>0</v>
      </c>
      <c r="L87" s="42">
        <f t="shared" si="14"/>
        <v>184617904</v>
      </c>
      <c r="M87" s="43"/>
      <c r="N87" s="34"/>
    </row>
    <row r="88" spans="1:14" ht="31.5" hidden="1" x14ac:dyDescent="0.25">
      <c r="A88" s="35" t="s">
        <v>180</v>
      </c>
      <c r="B88" s="36" t="s">
        <v>181</v>
      </c>
      <c r="C88" s="37" t="s">
        <v>42</v>
      </c>
      <c r="D88" s="38">
        <v>566</v>
      </c>
      <c r="E88" s="39">
        <v>566</v>
      </c>
      <c r="F88" s="28">
        <f t="shared" si="9"/>
        <v>0</v>
      </c>
      <c r="G88" s="39">
        <f t="shared" si="11"/>
        <v>566</v>
      </c>
      <c r="H88" s="40">
        <v>12936</v>
      </c>
      <c r="I88" s="41">
        <f t="shared" si="10"/>
        <v>7321776</v>
      </c>
      <c r="J88" s="42">
        <f t="shared" si="12"/>
        <v>7321776</v>
      </c>
      <c r="K88" s="42">
        <f t="shared" si="13"/>
        <v>0</v>
      </c>
      <c r="L88" s="42">
        <f t="shared" si="14"/>
        <v>7321776</v>
      </c>
      <c r="M88" s="43"/>
      <c r="N88" s="34"/>
    </row>
    <row r="89" spans="1:14" hidden="1" x14ac:dyDescent="0.25">
      <c r="A89" s="35" t="s">
        <v>182</v>
      </c>
      <c r="B89" s="36" t="s">
        <v>183</v>
      </c>
      <c r="C89" s="37" t="s">
        <v>42</v>
      </c>
      <c r="D89" s="38">
        <v>7645.26</v>
      </c>
      <c r="E89" s="39">
        <v>7645.26</v>
      </c>
      <c r="F89" s="28">
        <f t="shared" si="9"/>
        <v>0</v>
      </c>
      <c r="G89" s="39">
        <f t="shared" si="11"/>
        <v>7645.26</v>
      </c>
      <c r="H89" s="40">
        <v>50585</v>
      </c>
      <c r="I89" s="41">
        <f t="shared" si="10"/>
        <v>386735477</v>
      </c>
      <c r="J89" s="42">
        <f t="shared" si="12"/>
        <v>386735477.10000002</v>
      </c>
      <c r="K89" s="42">
        <f t="shared" si="13"/>
        <v>0</v>
      </c>
      <c r="L89" s="42">
        <f t="shared" si="14"/>
        <v>386735477.10000002</v>
      </c>
      <c r="M89" s="43"/>
      <c r="N89" s="34"/>
    </row>
    <row r="90" spans="1:14" hidden="1" x14ac:dyDescent="0.25">
      <c r="A90" s="35" t="s">
        <v>184</v>
      </c>
      <c r="B90" s="36" t="s">
        <v>60</v>
      </c>
      <c r="C90" s="37" t="s">
        <v>42</v>
      </c>
      <c r="D90" s="38">
        <v>773.89</v>
      </c>
      <c r="E90" s="39">
        <v>773.89</v>
      </c>
      <c r="F90" s="28">
        <f t="shared" si="9"/>
        <v>0</v>
      </c>
      <c r="G90" s="39">
        <f t="shared" si="11"/>
        <v>773.89</v>
      </c>
      <c r="H90" s="40">
        <v>50585</v>
      </c>
      <c r="I90" s="41">
        <f t="shared" si="10"/>
        <v>39147226</v>
      </c>
      <c r="J90" s="42">
        <f t="shared" si="12"/>
        <v>39147225.649999999</v>
      </c>
      <c r="K90" s="42">
        <f t="shared" si="13"/>
        <v>0</v>
      </c>
      <c r="L90" s="42">
        <f t="shared" si="14"/>
        <v>39147225.649999999</v>
      </c>
      <c r="M90" s="43"/>
      <c r="N90" s="34"/>
    </row>
    <row r="91" spans="1:14" hidden="1" x14ac:dyDescent="0.25">
      <c r="A91" s="35" t="s">
        <v>185</v>
      </c>
      <c r="B91" s="36" t="s">
        <v>64</v>
      </c>
      <c r="C91" s="37" t="s">
        <v>65</v>
      </c>
      <c r="D91" s="38">
        <v>841.92</v>
      </c>
      <c r="E91" s="39">
        <v>841.92</v>
      </c>
      <c r="F91" s="28">
        <f t="shared" si="9"/>
        <v>0</v>
      </c>
      <c r="G91" s="39">
        <f t="shared" si="11"/>
        <v>841.92</v>
      </c>
      <c r="H91" s="40">
        <v>1032698</v>
      </c>
      <c r="I91" s="41">
        <f t="shared" si="10"/>
        <v>869449100</v>
      </c>
      <c r="J91" s="42">
        <f t="shared" si="12"/>
        <v>869449100.15999997</v>
      </c>
      <c r="K91" s="42">
        <f t="shared" si="13"/>
        <v>0</v>
      </c>
      <c r="L91" s="42">
        <f t="shared" si="14"/>
        <v>869449100.15999997</v>
      </c>
      <c r="M91" s="43"/>
      <c r="N91" s="34"/>
    </row>
    <row r="92" spans="1:14" ht="31.5" hidden="1" x14ac:dyDescent="0.25">
      <c r="A92" s="35" t="s">
        <v>186</v>
      </c>
      <c r="B92" s="36" t="s">
        <v>122</v>
      </c>
      <c r="C92" s="37" t="s">
        <v>39</v>
      </c>
      <c r="D92" s="38">
        <v>175</v>
      </c>
      <c r="E92" s="39">
        <v>175</v>
      </c>
      <c r="F92" s="28">
        <f t="shared" si="9"/>
        <v>0</v>
      </c>
      <c r="G92" s="39">
        <f t="shared" si="11"/>
        <v>175</v>
      </c>
      <c r="H92" s="40">
        <v>11015</v>
      </c>
      <c r="I92" s="41">
        <f t="shared" si="10"/>
        <v>1927625</v>
      </c>
      <c r="J92" s="42">
        <f t="shared" si="12"/>
        <v>1927625</v>
      </c>
      <c r="K92" s="42">
        <f t="shared" si="13"/>
        <v>0</v>
      </c>
      <c r="L92" s="42">
        <f t="shared" si="14"/>
        <v>1927625</v>
      </c>
      <c r="M92" s="43"/>
      <c r="N92" s="34"/>
    </row>
    <row r="93" spans="1:14" ht="42" hidden="1" customHeight="1" x14ac:dyDescent="0.25">
      <c r="A93" s="35" t="s">
        <v>187</v>
      </c>
      <c r="B93" s="36" t="s">
        <v>188</v>
      </c>
      <c r="C93" s="37" t="s">
        <v>39</v>
      </c>
      <c r="D93" s="38">
        <v>66</v>
      </c>
      <c r="E93" s="39">
        <v>66</v>
      </c>
      <c r="F93" s="28">
        <f t="shared" si="9"/>
        <v>0</v>
      </c>
      <c r="G93" s="39">
        <f t="shared" si="11"/>
        <v>66</v>
      </c>
      <c r="H93" s="40">
        <v>9552</v>
      </c>
      <c r="I93" s="41">
        <f t="shared" si="10"/>
        <v>630432</v>
      </c>
      <c r="J93" s="42">
        <f t="shared" si="12"/>
        <v>630432</v>
      </c>
      <c r="K93" s="42">
        <f t="shared" si="13"/>
        <v>0</v>
      </c>
      <c r="L93" s="42">
        <f t="shared" si="14"/>
        <v>630432</v>
      </c>
      <c r="M93" s="43"/>
      <c r="N93" s="34"/>
    </row>
    <row r="94" spans="1:14" ht="31.5" hidden="1" x14ac:dyDescent="0.25">
      <c r="A94" s="35" t="s">
        <v>189</v>
      </c>
      <c r="B94" s="36" t="s">
        <v>124</v>
      </c>
      <c r="C94" s="37" t="s">
        <v>118</v>
      </c>
      <c r="D94" s="38">
        <v>32.75</v>
      </c>
      <c r="E94" s="39">
        <v>32.75</v>
      </c>
      <c r="F94" s="28">
        <f t="shared" si="9"/>
        <v>0</v>
      </c>
      <c r="G94" s="39">
        <f t="shared" si="11"/>
        <v>32.75</v>
      </c>
      <c r="H94" s="40">
        <v>1646788</v>
      </c>
      <c r="I94" s="41">
        <f t="shared" si="10"/>
        <v>53932307</v>
      </c>
      <c r="J94" s="42">
        <f t="shared" si="12"/>
        <v>53932307</v>
      </c>
      <c r="K94" s="42">
        <f t="shared" si="13"/>
        <v>0</v>
      </c>
      <c r="L94" s="42">
        <f t="shared" si="14"/>
        <v>53932307</v>
      </c>
      <c r="M94" s="43"/>
      <c r="N94" s="34"/>
    </row>
    <row r="95" spans="1:14" ht="31.5" hidden="1" x14ac:dyDescent="0.25">
      <c r="A95" s="35" t="s">
        <v>190</v>
      </c>
      <c r="B95" s="36" t="s">
        <v>126</v>
      </c>
      <c r="C95" s="37" t="s">
        <v>127</v>
      </c>
      <c r="D95" s="38">
        <v>0.33</v>
      </c>
      <c r="E95" s="39">
        <v>0.33</v>
      </c>
      <c r="F95" s="28">
        <f t="shared" si="9"/>
        <v>0</v>
      </c>
      <c r="G95" s="39">
        <f t="shared" si="11"/>
        <v>0.33</v>
      </c>
      <c r="H95" s="40">
        <v>10502023</v>
      </c>
      <c r="I95" s="41">
        <f t="shared" si="10"/>
        <v>3465668</v>
      </c>
      <c r="J95" s="42">
        <f t="shared" si="12"/>
        <v>3465667.5900000003</v>
      </c>
      <c r="K95" s="42">
        <f t="shared" si="13"/>
        <v>0</v>
      </c>
      <c r="L95" s="42">
        <f t="shared" si="14"/>
        <v>3465667.5900000003</v>
      </c>
      <c r="M95" s="43"/>
      <c r="N95" s="34"/>
    </row>
    <row r="96" spans="1:14" ht="31.5" hidden="1" x14ac:dyDescent="0.25">
      <c r="A96" s="35" t="s">
        <v>191</v>
      </c>
      <c r="B96" s="36" t="s">
        <v>192</v>
      </c>
      <c r="C96" s="37" t="s">
        <v>39</v>
      </c>
      <c r="D96" s="38">
        <v>175</v>
      </c>
      <c r="E96" s="39">
        <v>175</v>
      </c>
      <c r="F96" s="28">
        <f t="shared" si="9"/>
        <v>0</v>
      </c>
      <c r="G96" s="39">
        <f t="shared" si="11"/>
        <v>175</v>
      </c>
      <c r="H96" s="40">
        <v>15319</v>
      </c>
      <c r="I96" s="41">
        <f t="shared" si="10"/>
        <v>2680825</v>
      </c>
      <c r="J96" s="42">
        <f t="shared" si="12"/>
        <v>2680825</v>
      </c>
      <c r="K96" s="42">
        <f t="shared" si="13"/>
        <v>0</v>
      </c>
      <c r="L96" s="42">
        <f t="shared" si="14"/>
        <v>2680825</v>
      </c>
      <c r="M96" s="43"/>
      <c r="N96" s="34"/>
    </row>
    <row r="97" spans="1:14" ht="31.5" hidden="1" x14ac:dyDescent="0.25">
      <c r="A97" s="35" t="s">
        <v>193</v>
      </c>
      <c r="B97" s="36" t="s">
        <v>122</v>
      </c>
      <c r="C97" s="37" t="s">
        <v>39</v>
      </c>
      <c r="D97" s="38">
        <v>263</v>
      </c>
      <c r="E97" s="39">
        <v>263</v>
      </c>
      <c r="F97" s="28">
        <f t="shared" si="9"/>
        <v>0</v>
      </c>
      <c r="G97" s="39">
        <f t="shared" si="11"/>
        <v>263</v>
      </c>
      <c r="H97" s="40">
        <v>11015</v>
      </c>
      <c r="I97" s="41">
        <f t="shared" si="10"/>
        <v>2896945</v>
      </c>
      <c r="J97" s="42">
        <f t="shared" si="12"/>
        <v>2896945</v>
      </c>
      <c r="K97" s="42">
        <f t="shared" si="13"/>
        <v>0</v>
      </c>
      <c r="L97" s="42">
        <f t="shared" si="14"/>
        <v>2896945</v>
      </c>
      <c r="M97" s="43"/>
      <c r="N97" s="34"/>
    </row>
    <row r="98" spans="1:14" ht="31.5" hidden="1" x14ac:dyDescent="0.25">
      <c r="A98" s="35" t="s">
        <v>194</v>
      </c>
      <c r="B98" s="36" t="s">
        <v>124</v>
      </c>
      <c r="C98" s="37" t="s">
        <v>118</v>
      </c>
      <c r="D98" s="38">
        <v>37.450000000000003</v>
      </c>
      <c r="E98" s="39">
        <v>37.450000000000003</v>
      </c>
      <c r="F98" s="28">
        <f t="shared" si="9"/>
        <v>0</v>
      </c>
      <c r="G98" s="39">
        <f t="shared" si="11"/>
        <v>37.450000000000003</v>
      </c>
      <c r="H98" s="40">
        <v>1646788</v>
      </c>
      <c r="I98" s="41">
        <f t="shared" si="10"/>
        <v>61672211</v>
      </c>
      <c r="J98" s="42">
        <f t="shared" si="12"/>
        <v>61672210.600000001</v>
      </c>
      <c r="K98" s="42">
        <f t="shared" si="13"/>
        <v>0</v>
      </c>
      <c r="L98" s="42">
        <f t="shared" si="14"/>
        <v>61672210.600000001</v>
      </c>
      <c r="M98" s="43"/>
      <c r="N98" s="34"/>
    </row>
    <row r="99" spans="1:14" ht="31.5" hidden="1" x14ac:dyDescent="0.25">
      <c r="A99" s="35" t="s">
        <v>195</v>
      </c>
      <c r="B99" s="36" t="s">
        <v>126</v>
      </c>
      <c r="C99" s="37" t="s">
        <v>127</v>
      </c>
      <c r="D99" s="38">
        <v>0.37</v>
      </c>
      <c r="E99" s="39">
        <v>0.37</v>
      </c>
      <c r="F99" s="28">
        <f t="shared" si="9"/>
        <v>0</v>
      </c>
      <c r="G99" s="39">
        <f t="shared" si="11"/>
        <v>0.37</v>
      </c>
      <c r="H99" s="40">
        <v>10502023</v>
      </c>
      <c r="I99" s="41">
        <f t="shared" si="10"/>
        <v>3885749</v>
      </c>
      <c r="J99" s="42">
        <f t="shared" si="12"/>
        <v>3885748.51</v>
      </c>
      <c r="K99" s="42">
        <f t="shared" si="13"/>
        <v>0</v>
      </c>
      <c r="L99" s="42">
        <f t="shared" si="14"/>
        <v>3885748.51</v>
      </c>
      <c r="M99" s="43"/>
      <c r="N99" s="34"/>
    </row>
    <row r="100" spans="1:14" ht="31.5" hidden="1" x14ac:dyDescent="0.25">
      <c r="A100" s="35" t="s">
        <v>196</v>
      </c>
      <c r="B100" s="36" t="s">
        <v>197</v>
      </c>
      <c r="C100" s="37" t="s">
        <v>39</v>
      </c>
      <c r="D100" s="38">
        <v>263</v>
      </c>
      <c r="E100" s="39">
        <v>263</v>
      </c>
      <c r="F100" s="28">
        <f t="shared" si="9"/>
        <v>0</v>
      </c>
      <c r="G100" s="39">
        <f t="shared" si="11"/>
        <v>263</v>
      </c>
      <c r="H100" s="40">
        <v>26753</v>
      </c>
      <c r="I100" s="41">
        <f t="shared" si="10"/>
        <v>7036039</v>
      </c>
      <c r="J100" s="42">
        <f t="shared" si="12"/>
        <v>7036039</v>
      </c>
      <c r="K100" s="42">
        <f t="shared" si="13"/>
        <v>0</v>
      </c>
      <c r="L100" s="42">
        <f t="shared" si="14"/>
        <v>7036039</v>
      </c>
      <c r="M100" s="43"/>
      <c r="N100" s="34"/>
    </row>
    <row r="101" spans="1:14" hidden="1" x14ac:dyDescent="0.25">
      <c r="A101" s="35" t="s">
        <v>198</v>
      </c>
      <c r="B101" s="36" t="s">
        <v>199</v>
      </c>
      <c r="C101" s="37" t="s">
        <v>42</v>
      </c>
      <c r="D101" s="38">
        <v>38.56</v>
      </c>
      <c r="E101" s="39">
        <v>38.56</v>
      </c>
      <c r="F101" s="28">
        <f t="shared" si="9"/>
        <v>0</v>
      </c>
      <c r="G101" s="39">
        <f t="shared" si="11"/>
        <v>38.56</v>
      </c>
      <c r="H101" s="40">
        <v>361291</v>
      </c>
      <c r="I101" s="41">
        <f t="shared" si="10"/>
        <v>13931381</v>
      </c>
      <c r="J101" s="42">
        <f t="shared" si="12"/>
        <v>13931380.960000001</v>
      </c>
      <c r="K101" s="42">
        <f t="shared" si="13"/>
        <v>0</v>
      </c>
      <c r="L101" s="42">
        <f t="shared" si="14"/>
        <v>13931380.960000001</v>
      </c>
      <c r="M101" s="43"/>
      <c r="N101" s="34"/>
    </row>
    <row r="102" spans="1:14" ht="31.5" hidden="1" x14ac:dyDescent="0.25">
      <c r="A102" s="35" t="s">
        <v>200</v>
      </c>
      <c r="B102" s="36" t="s">
        <v>122</v>
      </c>
      <c r="C102" s="37" t="s">
        <v>39</v>
      </c>
      <c r="D102" s="38">
        <v>2529</v>
      </c>
      <c r="E102" s="39">
        <v>2529</v>
      </c>
      <c r="F102" s="28">
        <f t="shared" si="9"/>
        <v>0</v>
      </c>
      <c r="G102" s="39">
        <f t="shared" si="11"/>
        <v>2529</v>
      </c>
      <c r="H102" s="40">
        <v>11015</v>
      </c>
      <c r="I102" s="41">
        <f t="shared" si="10"/>
        <v>27856935</v>
      </c>
      <c r="J102" s="42">
        <f t="shared" si="12"/>
        <v>27856935</v>
      </c>
      <c r="K102" s="42">
        <f t="shared" si="13"/>
        <v>0</v>
      </c>
      <c r="L102" s="42">
        <f t="shared" si="14"/>
        <v>27856935</v>
      </c>
      <c r="M102" s="43"/>
      <c r="N102" s="34"/>
    </row>
    <row r="103" spans="1:14" ht="31.5" hidden="1" x14ac:dyDescent="0.25">
      <c r="A103" s="35" t="s">
        <v>201</v>
      </c>
      <c r="B103" s="36" t="s">
        <v>124</v>
      </c>
      <c r="C103" s="37" t="s">
        <v>118</v>
      </c>
      <c r="D103" s="38">
        <v>360.13</v>
      </c>
      <c r="E103" s="39">
        <v>360.13</v>
      </c>
      <c r="F103" s="28">
        <f t="shared" si="9"/>
        <v>0</v>
      </c>
      <c r="G103" s="39">
        <f t="shared" si="11"/>
        <v>360.13</v>
      </c>
      <c r="H103" s="40">
        <v>1646788</v>
      </c>
      <c r="I103" s="41">
        <f t="shared" si="10"/>
        <v>593057762</v>
      </c>
      <c r="J103" s="42">
        <f t="shared" si="12"/>
        <v>593057762.43999994</v>
      </c>
      <c r="K103" s="42">
        <f t="shared" si="13"/>
        <v>0</v>
      </c>
      <c r="L103" s="42">
        <f t="shared" si="14"/>
        <v>593057762.43999994</v>
      </c>
      <c r="M103" s="43"/>
      <c r="N103" s="34"/>
    </row>
    <row r="104" spans="1:14" ht="31.5" hidden="1" x14ac:dyDescent="0.25">
      <c r="A104" s="35" t="s">
        <v>202</v>
      </c>
      <c r="B104" s="36" t="s">
        <v>126</v>
      </c>
      <c r="C104" s="37" t="s">
        <v>127</v>
      </c>
      <c r="D104" s="38">
        <v>3.6</v>
      </c>
      <c r="E104" s="39">
        <v>3.6</v>
      </c>
      <c r="F104" s="28">
        <f t="shared" si="9"/>
        <v>0</v>
      </c>
      <c r="G104" s="39">
        <f t="shared" si="11"/>
        <v>3.6</v>
      </c>
      <c r="H104" s="40">
        <v>10502023</v>
      </c>
      <c r="I104" s="41">
        <f t="shared" si="10"/>
        <v>37807283</v>
      </c>
      <c r="J104" s="42">
        <f t="shared" si="12"/>
        <v>37807282.800000004</v>
      </c>
      <c r="K104" s="42">
        <f t="shared" si="13"/>
        <v>0</v>
      </c>
      <c r="L104" s="42">
        <f t="shared" si="14"/>
        <v>37807282.800000004</v>
      </c>
      <c r="M104" s="43"/>
      <c r="N104" s="34"/>
    </row>
    <row r="105" spans="1:14" ht="31.5" hidden="1" x14ac:dyDescent="0.25">
      <c r="A105" s="35" t="s">
        <v>203</v>
      </c>
      <c r="B105" s="36" t="s">
        <v>197</v>
      </c>
      <c r="C105" s="37" t="s">
        <v>39</v>
      </c>
      <c r="D105" s="38">
        <v>2529</v>
      </c>
      <c r="E105" s="39">
        <v>2529</v>
      </c>
      <c r="F105" s="28">
        <f t="shared" si="9"/>
        <v>0</v>
      </c>
      <c r="G105" s="39">
        <f t="shared" si="11"/>
        <v>2529</v>
      </c>
      <c r="H105" s="40">
        <v>26753</v>
      </c>
      <c r="I105" s="41">
        <f t="shared" si="10"/>
        <v>67658337</v>
      </c>
      <c r="J105" s="42">
        <f t="shared" si="12"/>
        <v>67658337</v>
      </c>
      <c r="K105" s="42">
        <f t="shared" si="13"/>
        <v>0</v>
      </c>
      <c r="L105" s="42">
        <f t="shared" si="14"/>
        <v>67658337</v>
      </c>
      <c r="M105" s="43"/>
      <c r="N105" s="34"/>
    </row>
    <row r="106" spans="1:14" hidden="1" x14ac:dyDescent="0.25">
      <c r="A106" s="44" t="s">
        <v>204</v>
      </c>
      <c r="B106" s="45" t="s">
        <v>199</v>
      </c>
      <c r="C106" s="46" t="s">
        <v>42</v>
      </c>
      <c r="D106" s="47">
        <v>379</v>
      </c>
      <c r="E106" s="48">
        <v>379</v>
      </c>
      <c r="F106" s="28">
        <f t="shared" si="9"/>
        <v>0</v>
      </c>
      <c r="G106" s="48">
        <f t="shared" si="11"/>
        <v>379</v>
      </c>
      <c r="H106" s="49">
        <v>361291</v>
      </c>
      <c r="I106" s="50">
        <f t="shared" si="10"/>
        <v>136929289</v>
      </c>
      <c r="J106" s="51">
        <f t="shared" si="12"/>
        <v>136929289</v>
      </c>
      <c r="K106" s="51">
        <f t="shared" si="13"/>
        <v>0</v>
      </c>
      <c r="L106" s="51">
        <f t="shared" si="14"/>
        <v>136929289</v>
      </c>
      <c r="M106" s="52"/>
      <c r="N106" s="34"/>
    </row>
    <row r="107" spans="1:14" s="64" customFormat="1" ht="43.5" hidden="1" customHeight="1" x14ac:dyDescent="0.25">
      <c r="A107" s="16">
        <v>11</v>
      </c>
      <c r="B107" s="53" t="s">
        <v>205</v>
      </c>
      <c r="C107" s="18"/>
      <c r="D107" s="19"/>
      <c r="E107" s="59"/>
      <c r="F107" s="54">
        <v>0</v>
      </c>
      <c r="G107" s="59"/>
      <c r="H107" s="60"/>
      <c r="I107" s="61"/>
      <c r="J107" s="62"/>
      <c r="K107" s="62"/>
      <c r="L107" s="62"/>
      <c r="M107" s="63"/>
      <c r="N107" s="34"/>
    </row>
    <row r="108" spans="1:14" hidden="1" x14ac:dyDescent="0.25">
      <c r="A108" s="25" t="s">
        <v>206</v>
      </c>
      <c r="B108" s="26" t="s">
        <v>207</v>
      </c>
      <c r="C108" s="27" t="s">
        <v>42</v>
      </c>
      <c r="D108" s="28">
        <v>991.54</v>
      </c>
      <c r="E108" s="29">
        <v>991.54</v>
      </c>
      <c r="F108" s="28">
        <f>D108-E108</f>
        <v>0</v>
      </c>
      <c r="G108" s="29">
        <f t="shared" si="11"/>
        <v>991.54</v>
      </c>
      <c r="H108" s="30">
        <v>17057</v>
      </c>
      <c r="I108" s="31">
        <f t="shared" si="10"/>
        <v>16912698</v>
      </c>
      <c r="J108" s="32">
        <f t="shared" si="12"/>
        <v>16912697.780000001</v>
      </c>
      <c r="K108" s="32">
        <f t="shared" si="13"/>
        <v>0</v>
      </c>
      <c r="L108" s="32">
        <f t="shared" si="14"/>
        <v>16912697.780000001</v>
      </c>
      <c r="M108" s="33"/>
      <c r="N108" s="34"/>
    </row>
    <row r="109" spans="1:14" hidden="1" x14ac:dyDescent="0.25">
      <c r="A109" s="35" t="s">
        <v>208</v>
      </c>
      <c r="B109" s="36" t="s">
        <v>209</v>
      </c>
      <c r="C109" s="37" t="s">
        <v>42</v>
      </c>
      <c r="D109" s="38">
        <v>152.56</v>
      </c>
      <c r="E109" s="39">
        <v>152.56</v>
      </c>
      <c r="F109" s="28">
        <f t="shared" ref="F109:F143" si="15">D109-E109</f>
        <v>0</v>
      </c>
      <c r="G109" s="39">
        <f t="shared" si="11"/>
        <v>152.56</v>
      </c>
      <c r="H109" s="40">
        <v>7229</v>
      </c>
      <c r="I109" s="41">
        <f t="shared" si="10"/>
        <v>1102856</v>
      </c>
      <c r="J109" s="42">
        <f t="shared" si="12"/>
        <v>1102856.24</v>
      </c>
      <c r="K109" s="42">
        <f t="shared" si="13"/>
        <v>0</v>
      </c>
      <c r="L109" s="42">
        <f t="shared" si="14"/>
        <v>1102856.24</v>
      </c>
      <c r="M109" s="43"/>
      <c r="N109" s="34"/>
    </row>
    <row r="110" spans="1:14" hidden="1" x14ac:dyDescent="0.25">
      <c r="A110" s="35" t="s">
        <v>210</v>
      </c>
      <c r="B110" s="36" t="s">
        <v>67</v>
      </c>
      <c r="C110" s="37" t="s">
        <v>42</v>
      </c>
      <c r="D110" s="38">
        <v>991.54</v>
      </c>
      <c r="E110" s="39">
        <v>991.54</v>
      </c>
      <c r="F110" s="28">
        <f t="shared" si="15"/>
        <v>0</v>
      </c>
      <c r="G110" s="39">
        <f t="shared" si="11"/>
        <v>991.54</v>
      </c>
      <c r="H110" s="40">
        <v>40424</v>
      </c>
      <c r="I110" s="41">
        <f t="shared" si="10"/>
        <v>40082013</v>
      </c>
      <c r="J110" s="42">
        <f t="shared" si="12"/>
        <v>40082012.960000001</v>
      </c>
      <c r="K110" s="42">
        <f t="shared" si="13"/>
        <v>0</v>
      </c>
      <c r="L110" s="42">
        <f t="shared" si="14"/>
        <v>40082012.960000001</v>
      </c>
      <c r="M110" s="43"/>
      <c r="N110" s="34"/>
    </row>
    <row r="111" spans="1:14" ht="31.5" hidden="1" x14ac:dyDescent="0.25">
      <c r="A111" s="35" t="s">
        <v>211</v>
      </c>
      <c r="B111" s="36" t="s">
        <v>212</v>
      </c>
      <c r="C111" s="37" t="s">
        <v>42</v>
      </c>
      <c r="D111" s="38">
        <v>991.54</v>
      </c>
      <c r="E111" s="39">
        <v>991.54</v>
      </c>
      <c r="F111" s="28">
        <f t="shared" si="15"/>
        <v>0</v>
      </c>
      <c r="G111" s="39">
        <f t="shared" si="11"/>
        <v>991.54</v>
      </c>
      <c r="H111" s="40">
        <v>2096</v>
      </c>
      <c r="I111" s="41">
        <f t="shared" si="10"/>
        <v>2078268</v>
      </c>
      <c r="J111" s="42">
        <f t="shared" si="12"/>
        <v>2078267.8399999999</v>
      </c>
      <c r="K111" s="42">
        <f t="shared" si="13"/>
        <v>0</v>
      </c>
      <c r="L111" s="42">
        <f t="shared" si="14"/>
        <v>2078267.8399999999</v>
      </c>
      <c r="M111" s="43"/>
      <c r="N111" s="34"/>
    </row>
    <row r="112" spans="1:14" ht="31.5" hidden="1" x14ac:dyDescent="0.25">
      <c r="A112" s="35" t="s">
        <v>213</v>
      </c>
      <c r="B112" s="36" t="s">
        <v>214</v>
      </c>
      <c r="C112" s="37" t="s">
        <v>42</v>
      </c>
      <c r="D112" s="38">
        <v>360.74</v>
      </c>
      <c r="E112" s="39">
        <v>360.74</v>
      </c>
      <c r="F112" s="28">
        <f t="shared" si="15"/>
        <v>0</v>
      </c>
      <c r="G112" s="39">
        <f t="shared" si="11"/>
        <v>360.74</v>
      </c>
      <c r="H112" s="40">
        <v>359304</v>
      </c>
      <c r="I112" s="41">
        <f t="shared" si="10"/>
        <v>129615325</v>
      </c>
      <c r="J112" s="42">
        <f t="shared" si="12"/>
        <v>129615324.96000001</v>
      </c>
      <c r="K112" s="42">
        <f t="shared" si="13"/>
        <v>0</v>
      </c>
      <c r="L112" s="42">
        <f t="shared" si="14"/>
        <v>129615324.96000001</v>
      </c>
      <c r="M112" s="43"/>
      <c r="N112" s="34"/>
    </row>
    <row r="113" spans="1:14" ht="31.5" hidden="1" x14ac:dyDescent="0.25">
      <c r="A113" s="35" t="s">
        <v>215</v>
      </c>
      <c r="B113" s="36" t="s">
        <v>181</v>
      </c>
      <c r="C113" s="37" t="s">
        <v>42</v>
      </c>
      <c r="D113" s="38">
        <v>1842.9</v>
      </c>
      <c r="E113" s="39">
        <v>1842.9</v>
      </c>
      <c r="F113" s="28">
        <f t="shared" si="15"/>
        <v>0</v>
      </c>
      <c r="G113" s="39">
        <f t="shared" si="11"/>
        <v>1842.9</v>
      </c>
      <c r="H113" s="40">
        <v>12936</v>
      </c>
      <c r="I113" s="41">
        <f t="shared" si="10"/>
        <v>23839754</v>
      </c>
      <c r="J113" s="42">
        <f t="shared" si="12"/>
        <v>23839754.400000002</v>
      </c>
      <c r="K113" s="42">
        <f t="shared" si="13"/>
        <v>0</v>
      </c>
      <c r="L113" s="42">
        <f t="shared" si="14"/>
        <v>23839754.400000002</v>
      </c>
      <c r="M113" s="43"/>
      <c r="N113" s="34"/>
    </row>
    <row r="114" spans="1:14" hidden="1" x14ac:dyDescent="0.25">
      <c r="A114" s="35" t="s">
        <v>216</v>
      </c>
      <c r="B114" s="36" t="s">
        <v>60</v>
      </c>
      <c r="C114" s="37" t="s">
        <v>42</v>
      </c>
      <c r="D114" s="38">
        <v>2519.8000000000002</v>
      </c>
      <c r="E114" s="39">
        <v>2519.8000000000002</v>
      </c>
      <c r="F114" s="28">
        <f t="shared" si="15"/>
        <v>0</v>
      </c>
      <c r="G114" s="39">
        <f t="shared" si="11"/>
        <v>2519.8000000000002</v>
      </c>
      <c r="H114" s="40">
        <v>50585</v>
      </c>
      <c r="I114" s="41">
        <f t="shared" si="10"/>
        <v>127464083</v>
      </c>
      <c r="J114" s="42">
        <f t="shared" si="12"/>
        <v>127464083.00000001</v>
      </c>
      <c r="K114" s="42">
        <f t="shared" si="13"/>
        <v>0</v>
      </c>
      <c r="L114" s="42">
        <f t="shared" si="14"/>
        <v>127464083.00000001</v>
      </c>
      <c r="M114" s="43"/>
      <c r="N114" s="34"/>
    </row>
    <row r="115" spans="1:14" hidden="1" x14ac:dyDescent="0.25">
      <c r="A115" s="35" t="s">
        <v>217</v>
      </c>
      <c r="B115" s="36" t="s">
        <v>64</v>
      </c>
      <c r="C115" s="37" t="s">
        <v>65</v>
      </c>
      <c r="D115" s="38">
        <v>251.98</v>
      </c>
      <c r="E115" s="39">
        <v>251.98</v>
      </c>
      <c r="F115" s="28">
        <f t="shared" si="15"/>
        <v>0</v>
      </c>
      <c r="G115" s="39">
        <f t="shared" si="11"/>
        <v>251.98</v>
      </c>
      <c r="H115" s="40">
        <v>1032698</v>
      </c>
      <c r="I115" s="41">
        <f t="shared" si="10"/>
        <v>260219242</v>
      </c>
      <c r="J115" s="42">
        <f t="shared" si="12"/>
        <v>260219242.03999999</v>
      </c>
      <c r="K115" s="42">
        <f t="shared" si="13"/>
        <v>0</v>
      </c>
      <c r="L115" s="42">
        <f t="shared" si="14"/>
        <v>260219242.03999999</v>
      </c>
      <c r="M115" s="43"/>
      <c r="N115" s="34"/>
    </row>
    <row r="116" spans="1:14" hidden="1" x14ac:dyDescent="0.25">
      <c r="A116" s="35" t="s">
        <v>218</v>
      </c>
      <c r="B116" s="36" t="s">
        <v>219</v>
      </c>
      <c r="C116" s="37" t="s">
        <v>42</v>
      </c>
      <c r="D116" s="38">
        <v>1.1000000000000001</v>
      </c>
      <c r="E116" s="39">
        <v>1.1000000000000001</v>
      </c>
      <c r="F116" s="28">
        <f t="shared" si="15"/>
        <v>0</v>
      </c>
      <c r="G116" s="39">
        <f t="shared" si="11"/>
        <v>1.1000000000000001</v>
      </c>
      <c r="H116" s="40">
        <v>1557317</v>
      </c>
      <c r="I116" s="41">
        <f t="shared" si="10"/>
        <v>1713049</v>
      </c>
      <c r="J116" s="42">
        <f t="shared" si="12"/>
        <v>1713048.7000000002</v>
      </c>
      <c r="K116" s="42">
        <f t="shared" si="13"/>
        <v>0</v>
      </c>
      <c r="L116" s="42">
        <f t="shared" si="14"/>
        <v>1713048.7000000002</v>
      </c>
      <c r="M116" s="43"/>
      <c r="N116" s="34"/>
    </row>
    <row r="117" spans="1:14" ht="47.25" hidden="1" x14ac:dyDescent="0.25">
      <c r="A117" s="35" t="s">
        <v>220</v>
      </c>
      <c r="B117" s="36" t="s">
        <v>137</v>
      </c>
      <c r="C117" s="37" t="s">
        <v>42</v>
      </c>
      <c r="D117" s="38">
        <v>4.0999999999999996</v>
      </c>
      <c r="E117" s="39">
        <v>4.0999999999999996</v>
      </c>
      <c r="F117" s="28">
        <f t="shared" si="15"/>
        <v>0</v>
      </c>
      <c r="G117" s="39">
        <f t="shared" si="11"/>
        <v>4.0999999999999996</v>
      </c>
      <c r="H117" s="40">
        <v>1197457</v>
      </c>
      <c r="I117" s="41">
        <f t="shared" si="10"/>
        <v>4909574</v>
      </c>
      <c r="J117" s="42">
        <f t="shared" si="12"/>
        <v>4909573.6999999993</v>
      </c>
      <c r="K117" s="42">
        <f t="shared" si="13"/>
        <v>0</v>
      </c>
      <c r="L117" s="42">
        <f t="shared" si="14"/>
        <v>4909573.6999999993</v>
      </c>
      <c r="M117" s="43"/>
      <c r="N117" s="34"/>
    </row>
    <row r="118" spans="1:14" hidden="1" x14ac:dyDescent="0.25">
      <c r="A118" s="35" t="s">
        <v>221</v>
      </c>
      <c r="B118" s="36" t="s">
        <v>142</v>
      </c>
      <c r="C118" s="37" t="s">
        <v>143</v>
      </c>
      <c r="D118" s="38">
        <v>0.43</v>
      </c>
      <c r="E118" s="39">
        <v>0.43</v>
      </c>
      <c r="F118" s="28">
        <f t="shared" si="15"/>
        <v>0</v>
      </c>
      <c r="G118" s="39">
        <f t="shared" si="11"/>
        <v>0.43</v>
      </c>
      <c r="H118" s="40">
        <v>10479792</v>
      </c>
      <c r="I118" s="41">
        <f t="shared" si="10"/>
        <v>4506311</v>
      </c>
      <c r="J118" s="42">
        <f t="shared" si="12"/>
        <v>4506310.5599999996</v>
      </c>
      <c r="K118" s="42">
        <f t="shared" si="13"/>
        <v>0</v>
      </c>
      <c r="L118" s="42">
        <f t="shared" si="14"/>
        <v>4506310.5599999996</v>
      </c>
      <c r="M118" s="43"/>
      <c r="N118" s="34"/>
    </row>
    <row r="119" spans="1:14" hidden="1" x14ac:dyDescent="0.25">
      <c r="A119" s="35" t="s">
        <v>222</v>
      </c>
      <c r="B119" s="36" t="s">
        <v>223</v>
      </c>
      <c r="C119" s="37" t="s">
        <v>39</v>
      </c>
      <c r="D119" s="38">
        <v>25.6</v>
      </c>
      <c r="E119" s="39">
        <v>25.6</v>
      </c>
      <c r="F119" s="28">
        <f t="shared" si="15"/>
        <v>0</v>
      </c>
      <c r="G119" s="39">
        <f t="shared" si="11"/>
        <v>25.6</v>
      </c>
      <c r="H119" s="40">
        <v>43066</v>
      </c>
      <c r="I119" s="41">
        <f t="shared" si="10"/>
        <v>1102490</v>
      </c>
      <c r="J119" s="42">
        <f t="shared" si="12"/>
        <v>1102489.6000000001</v>
      </c>
      <c r="K119" s="42">
        <f t="shared" si="13"/>
        <v>0</v>
      </c>
      <c r="L119" s="42">
        <f t="shared" si="14"/>
        <v>1102489.6000000001</v>
      </c>
      <c r="M119" s="43"/>
      <c r="N119" s="34"/>
    </row>
    <row r="120" spans="1:14" ht="47.25" hidden="1" x14ac:dyDescent="0.25">
      <c r="A120" s="35" t="s">
        <v>224</v>
      </c>
      <c r="B120" s="36" t="s">
        <v>225</v>
      </c>
      <c r="C120" s="37" t="s">
        <v>118</v>
      </c>
      <c r="D120" s="38">
        <v>2.75</v>
      </c>
      <c r="E120" s="39">
        <v>2.75</v>
      </c>
      <c r="F120" s="28">
        <f t="shared" si="15"/>
        <v>0</v>
      </c>
      <c r="G120" s="39">
        <f t="shared" si="11"/>
        <v>2.75</v>
      </c>
      <c r="H120" s="40">
        <v>51234</v>
      </c>
      <c r="I120" s="41">
        <f t="shared" si="10"/>
        <v>140894</v>
      </c>
      <c r="J120" s="42">
        <f t="shared" si="12"/>
        <v>140893.5</v>
      </c>
      <c r="K120" s="42">
        <f t="shared" si="13"/>
        <v>0</v>
      </c>
      <c r="L120" s="42">
        <f t="shared" si="14"/>
        <v>140893.5</v>
      </c>
      <c r="M120" s="43"/>
      <c r="N120" s="34"/>
    </row>
    <row r="121" spans="1:14" ht="47.25" hidden="1" x14ac:dyDescent="0.25">
      <c r="A121" s="35" t="s">
        <v>226</v>
      </c>
      <c r="B121" s="36" t="s">
        <v>227</v>
      </c>
      <c r="C121" s="37" t="s">
        <v>118</v>
      </c>
      <c r="D121" s="38">
        <v>2.75</v>
      </c>
      <c r="E121" s="39">
        <v>2.75</v>
      </c>
      <c r="F121" s="28">
        <f t="shared" si="15"/>
        <v>0</v>
      </c>
      <c r="G121" s="39">
        <f t="shared" si="11"/>
        <v>2.75</v>
      </c>
      <c r="H121" s="40">
        <v>33301</v>
      </c>
      <c r="I121" s="41">
        <f t="shared" si="10"/>
        <v>91578</v>
      </c>
      <c r="J121" s="42">
        <f t="shared" si="12"/>
        <v>91577.75</v>
      </c>
      <c r="K121" s="42">
        <f t="shared" si="13"/>
        <v>0</v>
      </c>
      <c r="L121" s="42">
        <f t="shared" si="14"/>
        <v>91577.75</v>
      </c>
      <c r="M121" s="43"/>
      <c r="N121" s="34"/>
    </row>
    <row r="122" spans="1:14" ht="31.5" hidden="1" x14ac:dyDescent="0.25">
      <c r="A122" s="35" t="s">
        <v>228</v>
      </c>
      <c r="B122" s="36" t="s">
        <v>229</v>
      </c>
      <c r="C122" s="37" t="s">
        <v>230</v>
      </c>
      <c r="D122" s="38">
        <v>0.28000000000000003</v>
      </c>
      <c r="E122" s="39">
        <v>0.28000000000000003</v>
      </c>
      <c r="F122" s="28">
        <f t="shared" si="15"/>
        <v>0</v>
      </c>
      <c r="G122" s="39">
        <f t="shared" si="11"/>
        <v>0.28000000000000003</v>
      </c>
      <c r="H122" s="40">
        <v>32162</v>
      </c>
      <c r="I122" s="41">
        <f t="shared" si="10"/>
        <v>9005</v>
      </c>
      <c r="J122" s="42">
        <f t="shared" si="12"/>
        <v>9005.36</v>
      </c>
      <c r="K122" s="42">
        <f t="shared" si="13"/>
        <v>0</v>
      </c>
      <c r="L122" s="42">
        <f t="shared" si="14"/>
        <v>9005.36</v>
      </c>
      <c r="M122" s="43"/>
      <c r="N122" s="34"/>
    </row>
    <row r="123" spans="1:14" ht="31.5" hidden="1" x14ac:dyDescent="0.25">
      <c r="A123" s="35" t="s">
        <v>231</v>
      </c>
      <c r="B123" s="36" t="s">
        <v>232</v>
      </c>
      <c r="C123" s="37" t="s">
        <v>233</v>
      </c>
      <c r="D123" s="38">
        <v>100</v>
      </c>
      <c r="E123" s="39">
        <v>100</v>
      </c>
      <c r="F123" s="28">
        <f t="shared" si="15"/>
        <v>0</v>
      </c>
      <c r="G123" s="39">
        <f t="shared" si="11"/>
        <v>100</v>
      </c>
      <c r="H123" s="40">
        <v>9700</v>
      </c>
      <c r="I123" s="41">
        <f t="shared" si="10"/>
        <v>970000</v>
      </c>
      <c r="J123" s="42">
        <f t="shared" si="12"/>
        <v>970000</v>
      </c>
      <c r="K123" s="42">
        <f t="shared" si="13"/>
        <v>0</v>
      </c>
      <c r="L123" s="42">
        <f t="shared" si="14"/>
        <v>970000</v>
      </c>
      <c r="M123" s="43"/>
      <c r="N123" s="34"/>
    </row>
    <row r="124" spans="1:14" hidden="1" x14ac:dyDescent="0.25">
      <c r="A124" s="35" t="s">
        <v>234</v>
      </c>
      <c r="B124" s="36" t="s">
        <v>142</v>
      </c>
      <c r="C124" s="37" t="s">
        <v>143</v>
      </c>
      <c r="D124" s="38">
        <v>7.0000000000000007E-2</v>
      </c>
      <c r="E124" s="39">
        <v>7.0000000000000007E-2</v>
      </c>
      <c r="F124" s="28">
        <f t="shared" si="15"/>
        <v>0</v>
      </c>
      <c r="G124" s="39">
        <f t="shared" si="11"/>
        <v>7.0000000000000007E-2</v>
      </c>
      <c r="H124" s="40">
        <v>10479792</v>
      </c>
      <c r="I124" s="41">
        <f t="shared" si="10"/>
        <v>733585</v>
      </c>
      <c r="J124" s="42">
        <f t="shared" si="12"/>
        <v>733585.44000000006</v>
      </c>
      <c r="K124" s="42">
        <f t="shared" si="13"/>
        <v>0</v>
      </c>
      <c r="L124" s="42">
        <f t="shared" si="14"/>
        <v>733585.44000000006</v>
      </c>
      <c r="M124" s="43"/>
      <c r="N124" s="34"/>
    </row>
    <row r="125" spans="1:14" ht="31.5" hidden="1" x14ac:dyDescent="0.25">
      <c r="A125" s="35" t="s">
        <v>235</v>
      </c>
      <c r="B125" s="36" t="s">
        <v>236</v>
      </c>
      <c r="C125" s="37" t="s">
        <v>42</v>
      </c>
      <c r="D125" s="38">
        <v>1.6</v>
      </c>
      <c r="E125" s="39">
        <v>1.6</v>
      </c>
      <c r="F125" s="28">
        <f t="shared" si="15"/>
        <v>0</v>
      </c>
      <c r="G125" s="39">
        <f t="shared" si="11"/>
        <v>1.6</v>
      </c>
      <c r="H125" s="40">
        <v>1649892</v>
      </c>
      <c r="I125" s="41">
        <f t="shared" si="10"/>
        <v>2639827</v>
      </c>
      <c r="J125" s="42">
        <f t="shared" si="12"/>
        <v>2639827.2000000002</v>
      </c>
      <c r="K125" s="42">
        <f t="shared" si="13"/>
        <v>0</v>
      </c>
      <c r="L125" s="42">
        <f t="shared" si="14"/>
        <v>2639827.2000000002</v>
      </c>
      <c r="M125" s="43"/>
      <c r="N125" s="34"/>
    </row>
    <row r="126" spans="1:14" ht="31.5" hidden="1" x14ac:dyDescent="0.25">
      <c r="A126" s="35" t="s">
        <v>237</v>
      </c>
      <c r="B126" s="36" t="s">
        <v>238</v>
      </c>
      <c r="C126" s="37" t="s">
        <v>42</v>
      </c>
      <c r="D126" s="38">
        <v>6.9</v>
      </c>
      <c r="E126" s="39">
        <v>6.9</v>
      </c>
      <c r="F126" s="28">
        <f t="shared" si="15"/>
        <v>0</v>
      </c>
      <c r="G126" s="39">
        <f t="shared" si="11"/>
        <v>6.9</v>
      </c>
      <c r="H126" s="40">
        <v>851305</v>
      </c>
      <c r="I126" s="41">
        <f t="shared" si="10"/>
        <v>5874005</v>
      </c>
      <c r="J126" s="42">
        <f t="shared" si="12"/>
        <v>5874004.5</v>
      </c>
      <c r="K126" s="42">
        <f t="shared" si="13"/>
        <v>0</v>
      </c>
      <c r="L126" s="42">
        <f t="shared" si="14"/>
        <v>5874004.5</v>
      </c>
      <c r="M126" s="43"/>
      <c r="N126" s="34"/>
    </row>
    <row r="127" spans="1:14" ht="31.5" hidden="1" x14ac:dyDescent="0.25">
      <c r="A127" s="35" t="s">
        <v>239</v>
      </c>
      <c r="B127" s="36" t="s">
        <v>240</v>
      </c>
      <c r="C127" s="37" t="s">
        <v>118</v>
      </c>
      <c r="D127" s="38">
        <v>0.1</v>
      </c>
      <c r="E127" s="39">
        <v>0.1</v>
      </c>
      <c r="F127" s="28">
        <f t="shared" si="15"/>
        <v>0</v>
      </c>
      <c r="G127" s="39">
        <f t="shared" si="11"/>
        <v>0.1</v>
      </c>
      <c r="H127" s="40">
        <v>24850511</v>
      </c>
      <c r="I127" s="41">
        <f t="shared" si="10"/>
        <v>2485051</v>
      </c>
      <c r="J127" s="42">
        <f t="shared" si="12"/>
        <v>2485051.1</v>
      </c>
      <c r="K127" s="42">
        <f t="shared" si="13"/>
        <v>0</v>
      </c>
      <c r="L127" s="42">
        <f t="shared" si="14"/>
        <v>2485051.1</v>
      </c>
      <c r="M127" s="43"/>
      <c r="N127" s="34"/>
    </row>
    <row r="128" spans="1:14" ht="31.5" hidden="1" x14ac:dyDescent="0.25">
      <c r="A128" s="35" t="s">
        <v>241</v>
      </c>
      <c r="B128" s="36" t="s">
        <v>242</v>
      </c>
      <c r="C128" s="37" t="s">
        <v>118</v>
      </c>
      <c r="D128" s="38">
        <v>0.2</v>
      </c>
      <c r="E128" s="39">
        <v>0.2</v>
      </c>
      <c r="F128" s="28">
        <f t="shared" si="15"/>
        <v>0</v>
      </c>
      <c r="G128" s="39">
        <f t="shared" si="11"/>
        <v>0.2</v>
      </c>
      <c r="H128" s="40">
        <v>24510303</v>
      </c>
      <c r="I128" s="41">
        <f t="shared" si="10"/>
        <v>4902061</v>
      </c>
      <c r="J128" s="42">
        <f t="shared" si="12"/>
        <v>4902060.6000000006</v>
      </c>
      <c r="K128" s="42">
        <f t="shared" si="13"/>
        <v>0</v>
      </c>
      <c r="L128" s="42">
        <f t="shared" si="14"/>
        <v>4902060.6000000006</v>
      </c>
      <c r="M128" s="43"/>
      <c r="N128" s="34"/>
    </row>
    <row r="129" spans="1:14" ht="31.5" hidden="1" x14ac:dyDescent="0.25">
      <c r="A129" s="35" t="s">
        <v>243</v>
      </c>
      <c r="B129" s="36" t="s">
        <v>244</v>
      </c>
      <c r="C129" s="37" t="s">
        <v>42</v>
      </c>
      <c r="D129" s="38">
        <v>21.8</v>
      </c>
      <c r="E129" s="39">
        <v>21.8</v>
      </c>
      <c r="F129" s="28">
        <f t="shared" si="15"/>
        <v>0</v>
      </c>
      <c r="G129" s="39">
        <f t="shared" si="11"/>
        <v>21.8</v>
      </c>
      <c r="H129" s="40">
        <v>1568156</v>
      </c>
      <c r="I129" s="41">
        <f t="shared" si="10"/>
        <v>34185801</v>
      </c>
      <c r="J129" s="42">
        <f t="shared" si="12"/>
        <v>34185800.800000004</v>
      </c>
      <c r="K129" s="42">
        <f t="shared" si="13"/>
        <v>0</v>
      </c>
      <c r="L129" s="42">
        <f t="shared" si="14"/>
        <v>34185800.800000004</v>
      </c>
      <c r="M129" s="43"/>
      <c r="N129" s="34"/>
    </row>
    <row r="130" spans="1:14" ht="31.5" hidden="1" x14ac:dyDescent="0.25">
      <c r="A130" s="35" t="s">
        <v>245</v>
      </c>
      <c r="B130" s="36" t="s">
        <v>238</v>
      </c>
      <c r="C130" s="37" t="s">
        <v>42</v>
      </c>
      <c r="D130" s="38">
        <v>16.3</v>
      </c>
      <c r="E130" s="39">
        <v>16.3</v>
      </c>
      <c r="F130" s="28">
        <f t="shared" si="15"/>
        <v>0</v>
      </c>
      <c r="G130" s="39">
        <f t="shared" si="11"/>
        <v>16.3</v>
      </c>
      <c r="H130" s="40">
        <v>851305</v>
      </c>
      <c r="I130" s="41">
        <f t="shared" si="10"/>
        <v>13876272</v>
      </c>
      <c r="J130" s="42">
        <f t="shared" si="12"/>
        <v>13876271.5</v>
      </c>
      <c r="K130" s="42">
        <f t="shared" si="13"/>
        <v>0</v>
      </c>
      <c r="L130" s="42">
        <f t="shared" si="14"/>
        <v>13876271.5</v>
      </c>
      <c r="M130" s="43"/>
      <c r="N130" s="34"/>
    </row>
    <row r="131" spans="1:14" ht="51" hidden="1" customHeight="1" x14ac:dyDescent="0.25">
      <c r="A131" s="35" t="s">
        <v>246</v>
      </c>
      <c r="B131" s="36" t="s">
        <v>247</v>
      </c>
      <c r="C131" s="37" t="s">
        <v>42</v>
      </c>
      <c r="D131" s="38">
        <v>1449.24</v>
      </c>
      <c r="E131" s="39">
        <v>1449.24</v>
      </c>
      <c r="F131" s="28">
        <f t="shared" si="15"/>
        <v>0</v>
      </c>
      <c r="G131" s="39">
        <f t="shared" si="11"/>
        <v>1449.24</v>
      </c>
      <c r="H131" s="40">
        <v>23993</v>
      </c>
      <c r="I131" s="41">
        <f t="shared" si="10"/>
        <v>34771615</v>
      </c>
      <c r="J131" s="42">
        <f t="shared" si="12"/>
        <v>34771615.32</v>
      </c>
      <c r="K131" s="42">
        <f t="shared" si="13"/>
        <v>0</v>
      </c>
      <c r="L131" s="42">
        <f t="shared" si="14"/>
        <v>34771615.32</v>
      </c>
      <c r="M131" s="43"/>
      <c r="N131" s="34"/>
    </row>
    <row r="132" spans="1:14" ht="31.5" hidden="1" x14ac:dyDescent="0.25">
      <c r="A132" s="35" t="s">
        <v>248</v>
      </c>
      <c r="B132" s="36" t="s">
        <v>249</v>
      </c>
      <c r="C132" s="37" t="s">
        <v>42</v>
      </c>
      <c r="D132" s="38">
        <v>4959.1099999999997</v>
      </c>
      <c r="E132" s="39">
        <v>4959.1099999999997</v>
      </c>
      <c r="F132" s="28">
        <f t="shared" si="15"/>
        <v>0</v>
      </c>
      <c r="G132" s="39">
        <f t="shared" si="11"/>
        <v>4959.1099999999997</v>
      </c>
      <c r="H132" s="40">
        <v>32141</v>
      </c>
      <c r="I132" s="41">
        <f t="shared" si="10"/>
        <v>159390755</v>
      </c>
      <c r="J132" s="42">
        <f t="shared" si="12"/>
        <v>159390754.50999999</v>
      </c>
      <c r="K132" s="42">
        <f t="shared" si="13"/>
        <v>0</v>
      </c>
      <c r="L132" s="42">
        <f t="shared" si="14"/>
        <v>159390754.50999999</v>
      </c>
      <c r="M132" s="43"/>
      <c r="N132" s="34"/>
    </row>
    <row r="133" spans="1:14" hidden="1" x14ac:dyDescent="0.25">
      <c r="A133" s="35" t="s">
        <v>250</v>
      </c>
      <c r="B133" s="36" t="s">
        <v>251</v>
      </c>
      <c r="C133" s="37" t="s">
        <v>42</v>
      </c>
      <c r="D133" s="38">
        <v>4.7</v>
      </c>
      <c r="E133" s="39">
        <v>4.7</v>
      </c>
      <c r="F133" s="28">
        <f t="shared" si="15"/>
        <v>0</v>
      </c>
      <c r="G133" s="39">
        <f t="shared" si="11"/>
        <v>4.7</v>
      </c>
      <c r="H133" s="40">
        <v>1915334</v>
      </c>
      <c r="I133" s="41">
        <f t="shared" si="10"/>
        <v>9002070</v>
      </c>
      <c r="J133" s="42">
        <f t="shared" si="12"/>
        <v>9002069.8000000007</v>
      </c>
      <c r="K133" s="42">
        <f t="shared" si="13"/>
        <v>0</v>
      </c>
      <c r="L133" s="42">
        <f t="shared" si="14"/>
        <v>9002069.8000000007</v>
      </c>
      <c r="M133" s="43"/>
      <c r="N133" s="34"/>
    </row>
    <row r="134" spans="1:14" hidden="1" x14ac:dyDescent="0.25">
      <c r="A134" s="35" t="s">
        <v>252</v>
      </c>
      <c r="B134" s="36" t="s">
        <v>253</v>
      </c>
      <c r="C134" s="37" t="s">
        <v>42</v>
      </c>
      <c r="D134" s="38">
        <v>96.2</v>
      </c>
      <c r="E134" s="39">
        <v>96.2</v>
      </c>
      <c r="F134" s="28">
        <f t="shared" si="15"/>
        <v>0</v>
      </c>
      <c r="G134" s="39">
        <f t="shared" si="11"/>
        <v>96.2</v>
      </c>
      <c r="H134" s="40">
        <v>1568156</v>
      </c>
      <c r="I134" s="41">
        <f t="shared" si="10"/>
        <v>150856607</v>
      </c>
      <c r="J134" s="42">
        <f t="shared" si="12"/>
        <v>150856607.20000002</v>
      </c>
      <c r="K134" s="42">
        <f t="shared" si="13"/>
        <v>0</v>
      </c>
      <c r="L134" s="42">
        <f t="shared" si="14"/>
        <v>150856607.20000002</v>
      </c>
      <c r="M134" s="43"/>
      <c r="N134" s="34"/>
    </row>
    <row r="135" spans="1:14" ht="31.5" hidden="1" x14ac:dyDescent="0.25">
      <c r="A135" s="35" t="s">
        <v>254</v>
      </c>
      <c r="B135" s="36" t="s">
        <v>255</v>
      </c>
      <c r="C135" s="37" t="s">
        <v>118</v>
      </c>
      <c r="D135" s="38">
        <v>0.8</v>
      </c>
      <c r="E135" s="39">
        <v>0.8</v>
      </c>
      <c r="F135" s="28">
        <f t="shared" si="15"/>
        <v>0</v>
      </c>
      <c r="G135" s="39">
        <f t="shared" si="11"/>
        <v>0.8</v>
      </c>
      <c r="H135" s="40">
        <v>25286847</v>
      </c>
      <c r="I135" s="41">
        <f t="shared" si="10"/>
        <v>20229478</v>
      </c>
      <c r="J135" s="42">
        <f t="shared" si="12"/>
        <v>20229477.600000001</v>
      </c>
      <c r="K135" s="42">
        <f t="shared" si="13"/>
        <v>0</v>
      </c>
      <c r="L135" s="42">
        <f t="shared" si="14"/>
        <v>20229477.600000001</v>
      </c>
      <c r="M135" s="43"/>
      <c r="N135" s="34"/>
    </row>
    <row r="136" spans="1:14" hidden="1" x14ac:dyDescent="0.25">
      <c r="A136" s="35" t="s">
        <v>256</v>
      </c>
      <c r="B136" s="36" t="s">
        <v>142</v>
      </c>
      <c r="C136" s="37" t="s">
        <v>39</v>
      </c>
      <c r="D136" s="38">
        <v>181.3</v>
      </c>
      <c r="E136" s="39">
        <v>181.3</v>
      </c>
      <c r="F136" s="28">
        <f t="shared" si="15"/>
        <v>0</v>
      </c>
      <c r="G136" s="39">
        <f t="shared" si="11"/>
        <v>181.3</v>
      </c>
      <c r="H136" s="40">
        <v>104798</v>
      </c>
      <c r="I136" s="41">
        <f t="shared" si="10"/>
        <v>18999877</v>
      </c>
      <c r="J136" s="42">
        <f t="shared" si="12"/>
        <v>18999877.400000002</v>
      </c>
      <c r="K136" s="42">
        <f t="shared" si="13"/>
        <v>0</v>
      </c>
      <c r="L136" s="42">
        <f t="shared" si="14"/>
        <v>18999877.400000002</v>
      </c>
      <c r="M136" s="43"/>
      <c r="N136" s="34"/>
    </row>
    <row r="137" spans="1:14" ht="31.5" hidden="1" x14ac:dyDescent="0.25">
      <c r="A137" s="35" t="s">
        <v>257</v>
      </c>
      <c r="B137" s="36" t="s">
        <v>238</v>
      </c>
      <c r="C137" s="37" t="s">
        <v>42</v>
      </c>
      <c r="D137" s="38">
        <v>44.8</v>
      </c>
      <c r="E137" s="39">
        <v>44.8</v>
      </c>
      <c r="F137" s="28">
        <f t="shared" si="15"/>
        <v>0</v>
      </c>
      <c r="G137" s="39">
        <f t="shared" si="11"/>
        <v>44.8</v>
      </c>
      <c r="H137" s="40">
        <v>851305</v>
      </c>
      <c r="I137" s="41">
        <f t="shared" si="10"/>
        <v>38138464</v>
      </c>
      <c r="J137" s="42">
        <f t="shared" si="12"/>
        <v>38138464</v>
      </c>
      <c r="K137" s="42">
        <f t="shared" si="13"/>
        <v>0</v>
      </c>
      <c r="L137" s="42">
        <f t="shared" si="14"/>
        <v>38138464</v>
      </c>
      <c r="M137" s="43"/>
      <c r="N137" s="34"/>
    </row>
    <row r="138" spans="1:14" hidden="1" x14ac:dyDescent="0.25">
      <c r="A138" s="35" t="s">
        <v>258</v>
      </c>
      <c r="B138" s="36" t="s">
        <v>259</v>
      </c>
      <c r="C138" s="37" t="s">
        <v>42</v>
      </c>
      <c r="D138" s="38">
        <v>96.4</v>
      </c>
      <c r="E138" s="39">
        <v>96.4</v>
      </c>
      <c r="F138" s="28">
        <f t="shared" si="15"/>
        <v>0</v>
      </c>
      <c r="G138" s="39">
        <f t="shared" si="11"/>
        <v>96.4</v>
      </c>
      <c r="H138" s="40">
        <v>1850255</v>
      </c>
      <c r="I138" s="41">
        <f t="shared" si="10"/>
        <v>178364582</v>
      </c>
      <c r="J138" s="42">
        <f t="shared" si="12"/>
        <v>178364582</v>
      </c>
      <c r="K138" s="42">
        <f t="shared" si="13"/>
        <v>0</v>
      </c>
      <c r="L138" s="42">
        <f t="shared" si="14"/>
        <v>178364582</v>
      </c>
      <c r="M138" s="43"/>
      <c r="N138" s="34"/>
    </row>
    <row r="139" spans="1:14" ht="31.5" hidden="1" x14ac:dyDescent="0.25">
      <c r="A139" s="35" t="s">
        <v>260</v>
      </c>
      <c r="B139" s="36" t="s">
        <v>261</v>
      </c>
      <c r="C139" s="37" t="s">
        <v>39</v>
      </c>
      <c r="D139" s="38">
        <v>1014.4</v>
      </c>
      <c r="E139" s="39">
        <v>1014.4</v>
      </c>
      <c r="F139" s="28">
        <f t="shared" si="15"/>
        <v>0</v>
      </c>
      <c r="G139" s="39">
        <f t="shared" si="11"/>
        <v>1014.4</v>
      </c>
      <c r="H139" s="40">
        <v>96763</v>
      </c>
      <c r="I139" s="41">
        <f t="shared" si="10"/>
        <v>98156387</v>
      </c>
      <c r="J139" s="42">
        <f t="shared" si="12"/>
        <v>98156387.200000003</v>
      </c>
      <c r="K139" s="42">
        <f t="shared" si="13"/>
        <v>0</v>
      </c>
      <c r="L139" s="42">
        <f t="shared" si="14"/>
        <v>98156387.200000003</v>
      </c>
      <c r="M139" s="43"/>
      <c r="N139" s="34"/>
    </row>
    <row r="140" spans="1:14" ht="31.5" hidden="1" x14ac:dyDescent="0.25">
      <c r="A140" s="35" t="s">
        <v>262</v>
      </c>
      <c r="B140" s="36" t="s">
        <v>83</v>
      </c>
      <c r="C140" s="37" t="s">
        <v>84</v>
      </c>
      <c r="D140" s="38">
        <v>161</v>
      </c>
      <c r="E140" s="39">
        <v>161</v>
      </c>
      <c r="F140" s="28">
        <f t="shared" si="15"/>
        <v>0</v>
      </c>
      <c r="G140" s="39">
        <f t="shared" si="11"/>
        <v>161</v>
      </c>
      <c r="H140" s="40">
        <v>10831</v>
      </c>
      <c r="I140" s="41">
        <f t="shared" si="10"/>
        <v>1743791</v>
      </c>
      <c r="J140" s="42">
        <f t="shared" si="12"/>
        <v>1743791</v>
      </c>
      <c r="K140" s="42">
        <f t="shared" si="13"/>
        <v>0</v>
      </c>
      <c r="L140" s="42">
        <f t="shared" si="14"/>
        <v>1743791</v>
      </c>
      <c r="M140" s="43"/>
      <c r="N140" s="34"/>
    </row>
    <row r="141" spans="1:14" hidden="1" x14ac:dyDescent="0.25">
      <c r="A141" s="35" t="s">
        <v>263</v>
      </c>
      <c r="B141" s="36" t="s">
        <v>264</v>
      </c>
      <c r="C141" s="37" t="s">
        <v>42</v>
      </c>
      <c r="D141" s="38">
        <v>1.58</v>
      </c>
      <c r="E141" s="39">
        <v>1.58</v>
      </c>
      <c r="F141" s="28">
        <f t="shared" si="15"/>
        <v>0</v>
      </c>
      <c r="G141" s="39">
        <f t="shared" si="11"/>
        <v>1.58</v>
      </c>
      <c r="H141" s="40">
        <v>2087940</v>
      </c>
      <c r="I141" s="41">
        <f t="shared" si="10"/>
        <v>3298945</v>
      </c>
      <c r="J141" s="42">
        <f t="shared" si="12"/>
        <v>3298945.2</v>
      </c>
      <c r="K141" s="42">
        <f t="shared" si="13"/>
        <v>0</v>
      </c>
      <c r="L141" s="42">
        <f t="shared" si="14"/>
        <v>3298945.2</v>
      </c>
      <c r="M141" s="43"/>
      <c r="N141" s="34"/>
    </row>
    <row r="142" spans="1:14" hidden="1" x14ac:dyDescent="0.25">
      <c r="A142" s="35" t="s">
        <v>265</v>
      </c>
      <c r="B142" s="36" t="s">
        <v>142</v>
      </c>
      <c r="C142" s="37" t="s">
        <v>39</v>
      </c>
      <c r="D142" s="38">
        <v>13.39</v>
      </c>
      <c r="E142" s="39">
        <v>13.39</v>
      </c>
      <c r="F142" s="28">
        <f t="shared" si="15"/>
        <v>0</v>
      </c>
      <c r="G142" s="39">
        <f t="shared" si="11"/>
        <v>13.39</v>
      </c>
      <c r="H142" s="40">
        <v>104798</v>
      </c>
      <c r="I142" s="41">
        <f t="shared" si="10"/>
        <v>1403245</v>
      </c>
      <c r="J142" s="42">
        <f t="shared" si="12"/>
        <v>1403245.22</v>
      </c>
      <c r="K142" s="42">
        <f t="shared" si="13"/>
        <v>0</v>
      </c>
      <c r="L142" s="42">
        <f t="shared" si="14"/>
        <v>1403245.22</v>
      </c>
      <c r="M142" s="43"/>
      <c r="N142" s="34"/>
    </row>
    <row r="143" spans="1:14" ht="31.5" hidden="1" x14ac:dyDescent="0.25">
      <c r="A143" s="44" t="s">
        <v>266</v>
      </c>
      <c r="B143" s="45" t="s">
        <v>267</v>
      </c>
      <c r="C143" s="46" t="s">
        <v>118</v>
      </c>
      <c r="D143" s="47">
        <v>0.16</v>
      </c>
      <c r="E143" s="48">
        <v>0.16</v>
      </c>
      <c r="F143" s="28">
        <f t="shared" si="15"/>
        <v>0</v>
      </c>
      <c r="G143" s="48">
        <f t="shared" si="11"/>
        <v>0.16</v>
      </c>
      <c r="H143" s="49">
        <v>26211154</v>
      </c>
      <c r="I143" s="50">
        <f t="shared" si="10"/>
        <v>4193785</v>
      </c>
      <c r="J143" s="51">
        <f t="shared" si="12"/>
        <v>4193784.64</v>
      </c>
      <c r="K143" s="51">
        <f t="shared" si="13"/>
        <v>0</v>
      </c>
      <c r="L143" s="51">
        <f t="shared" si="14"/>
        <v>4193784.64</v>
      </c>
      <c r="M143" s="52"/>
      <c r="N143" s="34"/>
    </row>
    <row r="144" spans="1:14" s="64" customFormat="1" ht="51" hidden="1" customHeight="1" x14ac:dyDescent="0.25">
      <c r="A144" s="16">
        <v>12</v>
      </c>
      <c r="B144" s="53" t="s">
        <v>268</v>
      </c>
      <c r="C144" s="18"/>
      <c r="D144" s="19"/>
      <c r="E144" s="59"/>
      <c r="F144" s="54">
        <v>0</v>
      </c>
      <c r="G144" s="59"/>
      <c r="H144" s="60"/>
      <c r="I144" s="61"/>
      <c r="J144" s="62"/>
      <c r="K144" s="62"/>
      <c r="L144" s="62"/>
      <c r="M144" s="63"/>
      <c r="N144" s="34"/>
    </row>
    <row r="145" spans="1:14" ht="31.5" hidden="1" x14ac:dyDescent="0.25">
      <c r="A145" s="25" t="s">
        <v>269</v>
      </c>
      <c r="B145" s="26" t="s">
        <v>270</v>
      </c>
      <c r="C145" s="27" t="s">
        <v>39</v>
      </c>
      <c r="D145" s="28">
        <v>2599</v>
      </c>
      <c r="E145" s="29">
        <v>2171</v>
      </c>
      <c r="F145" s="28">
        <f>D145-E145</f>
        <v>428</v>
      </c>
      <c r="G145" s="29">
        <f t="shared" si="11"/>
        <v>2599</v>
      </c>
      <c r="H145" s="30">
        <v>519576</v>
      </c>
      <c r="I145" s="31">
        <f t="shared" ref="I145:I180" si="16">ROUND(D145*H145,0)</f>
        <v>1350378024</v>
      </c>
      <c r="J145" s="32">
        <f t="shared" ref="J145:J208" si="17">E145*H145</f>
        <v>1127999496</v>
      </c>
      <c r="K145" s="32">
        <f t="shared" ref="K145:K208" si="18">F145*H145</f>
        <v>222378528</v>
      </c>
      <c r="L145" s="32">
        <f t="shared" ref="L145:L208" si="19">G145*H145</f>
        <v>1350378024</v>
      </c>
      <c r="M145" s="33"/>
      <c r="N145" s="34"/>
    </row>
    <row r="146" spans="1:14" hidden="1" x14ac:dyDescent="0.25">
      <c r="A146" s="35" t="s">
        <v>271</v>
      </c>
      <c r="B146" s="36" t="s">
        <v>272</v>
      </c>
      <c r="C146" s="37" t="s">
        <v>39</v>
      </c>
      <c r="D146" s="38">
        <v>136.82</v>
      </c>
      <c r="E146" s="39">
        <v>98</v>
      </c>
      <c r="F146" s="28">
        <f t="shared" ref="F146:F164" si="20">D146-E146</f>
        <v>38.819999999999993</v>
      </c>
      <c r="G146" s="39">
        <f t="shared" si="11"/>
        <v>136.82</v>
      </c>
      <c r="H146" s="40">
        <v>1113651</v>
      </c>
      <c r="I146" s="41">
        <f t="shared" si="16"/>
        <v>152369730</v>
      </c>
      <c r="J146" s="42">
        <f t="shared" si="17"/>
        <v>109137798</v>
      </c>
      <c r="K146" s="42">
        <f t="shared" si="18"/>
        <v>43231931.819999993</v>
      </c>
      <c r="L146" s="42">
        <f t="shared" si="19"/>
        <v>152369729.81999999</v>
      </c>
      <c r="M146" s="43"/>
      <c r="N146" s="34"/>
    </row>
    <row r="147" spans="1:14" ht="31.5" hidden="1" x14ac:dyDescent="0.25">
      <c r="A147" s="35" t="s">
        <v>273</v>
      </c>
      <c r="B147" s="36" t="s">
        <v>274</v>
      </c>
      <c r="C147" s="37" t="s">
        <v>275</v>
      </c>
      <c r="D147" s="38">
        <v>94</v>
      </c>
      <c r="E147" s="39">
        <v>94</v>
      </c>
      <c r="F147" s="28">
        <f t="shared" si="20"/>
        <v>0</v>
      </c>
      <c r="G147" s="39">
        <f t="shared" si="11"/>
        <v>94</v>
      </c>
      <c r="H147" s="40">
        <v>56885</v>
      </c>
      <c r="I147" s="41">
        <f t="shared" si="16"/>
        <v>5347190</v>
      </c>
      <c r="J147" s="42">
        <f t="shared" si="17"/>
        <v>5347190</v>
      </c>
      <c r="K147" s="42">
        <f t="shared" si="18"/>
        <v>0</v>
      </c>
      <c r="L147" s="42">
        <f t="shared" si="19"/>
        <v>5347190</v>
      </c>
      <c r="M147" s="43"/>
      <c r="N147" s="34"/>
    </row>
    <row r="148" spans="1:14" ht="47.25" hidden="1" x14ac:dyDescent="0.25">
      <c r="A148" s="35" t="s">
        <v>276</v>
      </c>
      <c r="B148" s="36" t="s">
        <v>277</v>
      </c>
      <c r="C148" s="37" t="s">
        <v>278</v>
      </c>
      <c r="D148" s="38">
        <v>44</v>
      </c>
      <c r="E148" s="39">
        <v>32</v>
      </c>
      <c r="F148" s="28">
        <f t="shared" si="20"/>
        <v>12</v>
      </c>
      <c r="G148" s="39">
        <f t="shared" ref="G148:G211" si="21">E148+F148</f>
        <v>44</v>
      </c>
      <c r="H148" s="40">
        <v>305237</v>
      </c>
      <c r="I148" s="41">
        <f t="shared" si="16"/>
        <v>13430428</v>
      </c>
      <c r="J148" s="42">
        <f t="shared" si="17"/>
        <v>9767584</v>
      </c>
      <c r="K148" s="42">
        <f t="shared" si="18"/>
        <v>3662844</v>
      </c>
      <c r="L148" s="42">
        <f t="shared" si="19"/>
        <v>13430428</v>
      </c>
      <c r="M148" s="43"/>
      <c r="N148" s="34"/>
    </row>
    <row r="149" spans="1:14" ht="45.75" hidden="1" customHeight="1" x14ac:dyDescent="0.25">
      <c r="A149" s="35" t="s">
        <v>279</v>
      </c>
      <c r="B149" s="36" t="s">
        <v>280</v>
      </c>
      <c r="C149" s="37" t="s">
        <v>278</v>
      </c>
      <c r="D149" s="38">
        <v>33</v>
      </c>
      <c r="E149" s="39">
        <v>18</v>
      </c>
      <c r="F149" s="28">
        <f t="shared" si="20"/>
        <v>15</v>
      </c>
      <c r="G149" s="39">
        <f t="shared" si="21"/>
        <v>33</v>
      </c>
      <c r="H149" s="40">
        <v>320389</v>
      </c>
      <c r="I149" s="41">
        <f t="shared" si="16"/>
        <v>10572837</v>
      </c>
      <c r="J149" s="42">
        <f t="shared" si="17"/>
        <v>5767002</v>
      </c>
      <c r="K149" s="42">
        <f t="shared" si="18"/>
        <v>4805835</v>
      </c>
      <c r="L149" s="42">
        <f t="shared" si="19"/>
        <v>10572837</v>
      </c>
      <c r="M149" s="43"/>
      <c r="N149" s="34"/>
    </row>
    <row r="150" spans="1:14" ht="55.5" hidden="1" customHeight="1" x14ac:dyDescent="0.25">
      <c r="A150" s="35" t="s">
        <v>281</v>
      </c>
      <c r="B150" s="36" t="s">
        <v>282</v>
      </c>
      <c r="C150" s="37" t="s">
        <v>278</v>
      </c>
      <c r="D150" s="38">
        <v>10</v>
      </c>
      <c r="E150" s="39">
        <v>10</v>
      </c>
      <c r="F150" s="28">
        <f t="shared" si="20"/>
        <v>0</v>
      </c>
      <c r="G150" s="39">
        <f t="shared" si="21"/>
        <v>10</v>
      </c>
      <c r="H150" s="40">
        <v>314327</v>
      </c>
      <c r="I150" s="41">
        <f t="shared" si="16"/>
        <v>3143270</v>
      </c>
      <c r="J150" s="42">
        <f t="shared" si="17"/>
        <v>3143270</v>
      </c>
      <c r="K150" s="42">
        <f t="shared" si="18"/>
        <v>0</v>
      </c>
      <c r="L150" s="42">
        <f t="shared" si="19"/>
        <v>3143270</v>
      </c>
      <c r="M150" s="43"/>
      <c r="N150" s="34"/>
    </row>
    <row r="151" spans="1:14" ht="54" hidden="1" customHeight="1" x14ac:dyDescent="0.25">
      <c r="A151" s="35" t="s">
        <v>283</v>
      </c>
      <c r="B151" s="36" t="s">
        <v>284</v>
      </c>
      <c r="C151" s="37" t="s">
        <v>278</v>
      </c>
      <c r="D151" s="38">
        <v>1</v>
      </c>
      <c r="E151" s="39">
        <v>1</v>
      </c>
      <c r="F151" s="28">
        <f t="shared" si="20"/>
        <v>0</v>
      </c>
      <c r="G151" s="39">
        <f t="shared" si="21"/>
        <v>1</v>
      </c>
      <c r="H151" s="40">
        <v>314327</v>
      </c>
      <c r="I151" s="41">
        <f t="shared" si="16"/>
        <v>314327</v>
      </c>
      <c r="J151" s="42">
        <f t="shared" si="17"/>
        <v>314327</v>
      </c>
      <c r="K151" s="42">
        <f t="shared" si="18"/>
        <v>0</v>
      </c>
      <c r="L151" s="42">
        <f t="shared" si="19"/>
        <v>314327</v>
      </c>
      <c r="M151" s="43"/>
      <c r="N151" s="34"/>
    </row>
    <row r="152" spans="1:14" ht="45" hidden="1" customHeight="1" x14ac:dyDescent="0.25">
      <c r="A152" s="35" t="s">
        <v>285</v>
      </c>
      <c r="B152" s="36" t="s">
        <v>286</v>
      </c>
      <c r="C152" s="37" t="s">
        <v>278</v>
      </c>
      <c r="D152" s="38">
        <v>3</v>
      </c>
      <c r="E152" s="39">
        <v>3</v>
      </c>
      <c r="F152" s="28">
        <f t="shared" si="20"/>
        <v>0</v>
      </c>
      <c r="G152" s="39">
        <f t="shared" si="21"/>
        <v>3</v>
      </c>
      <c r="H152" s="40">
        <v>314327</v>
      </c>
      <c r="I152" s="41">
        <f t="shared" si="16"/>
        <v>942981</v>
      </c>
      <c r="J152" s="42">
        <f t="shared" si="17"/>
        <v>942981</v>
      </c>
      <c r="K152" s="42">
        <f t="shared" si="18"/>
        <v>0</v>
      </c>
      <c r="L152" s="42">
        <f t="shared" si="19"/>
        <v>942981</v>
      </c>
      <c r="M152" s="43"/>
      <c r="N152" s="34"/>
    </row>
    <row r="153" spans="1:14" hidden="1" x14ac:dyDescent="0.25">
      <c r="A153" s="35" t="s">
        <v>287</v>
      </c>
      <c r="B153" s="36" t="s">
        <v>288</v>
      </c>
      <c r="C153" s="37" t="s">
        <v>278</v>
      </c>
      <c r="D153" s="38">
        <v>44</v>
      </c>
      <c r="E153" s="39">
        <v>32</v>
      </c>
      <c r="F153" s="28">
        <f t="shared" si="20"/>
        <v>12</v>
      </c>
      <c r="G153" s="39">
        <f t="shared" si="21"/>
        <v>44</v>
      </c>
      <c r="H153" s="40">
        <v>492731</v>
      </c>
      <c r="I153" s="41">
        <f t="shared" si="16"/>
        <v>21680164</v>
      </c>
      <c r="J153" s="42">
        <f t="shared" si="17"/>
        <v>15767392</v>
      </c>
      <c r="K153" s="42">
        <f t="shared" si="18"/>
        <v>5912772</v>
      </c>
      <c r="L153" s="42">
        <f t="shared" si="19"/>
        <v>21680164</v>
      </c>
      <c r="M153" s="43"/>
      <c r="N153" s="34"/>
    </row>
    <row r="154" spans="1:14" hidden="1" x14ac:dyDescent="0.25">
      <c r="A154" s="35" t="s">
        <v>289</v>
      </c>
      <c r="B154" s="36" t="s">
        <v>290</v>
      </c>
      <c r="C154" s="37" t="s">
        <v>278</v>
      </c>
      <c r="D154" s="38">
        <v>33</v>
      </c>
      <c r="E154" s="39">
        <v>18</v>
      </c>
      <c r="F154" s="28">
        <f t="shared" si="20"/>
        <v>15</v>
      </c>
      <c r="G154" s="39">
        <f t="shared" si="21"/>
        <v>33</v>
      </c>
      <c r="H154" s="40">
        <v>1021897</v>
      </c>
      <c r="I154" s="41">
        <f t="shared" si="16"/>
        <v>33722601</v>
      </c>
      <c r="J154" s="42">
        <f t="shared" si="17"/>
        <v>18394146</v>
      </c>
      <c r="K154" s="42">
        <f t="shared" si="18"/>
        <v>15328455</v>
      </c>
      <c r="L154" s="42">
        <f t="shared" si="19"/>
        <v>33722601</v>
      </c>
      <c r="M154" s="43"/>
      <c r="N154" s="34"/>
    </row>
    <row r="155" spans="1:14" hidden="1" x14ac:dyDescent="0.25">
      <c r="A155" s="35" t="s">
        <v>291</v>
      </c>
      <c r="B155" s="36" t="s">
        <v>292</v>
      </c>
      <c r="C155" s="37" t="s">
        <v>278</v>
      </c>
      <c r="D155" s="38">
        <v>10</v>
      </c>
      <c r="E155" s="39">
        <v>10</v>
      </c>
      <c r="F155" s="28">
        <f t="shared" si="20"/>
        <v>0</v>
      </c>
      <c r="G155" s="39">
        <f t="shared" si="21"/>
        <v>10</v>
      </c>
      <c r="H155" s="40">
        <v>1021897</v>
      </c>
      <c r="I155" s="41">
        <f t="shared" si="16"/>
        <v>10218970</v>
      </c>
      <c r="J155" s="42">
        <f t="shared" si="17"/>
        <v>10218970</v>
      </c>
      <c r="K155" s="42">
        <f t="shared" si="18"/>
        <v>0</v>
      </c>
      <c r="L155" s="42">
        <f t="shared" si="19"/>
        <v>10218970</v>
      </c>
      <c r="M155" s="43"/>
      <c r="N155" s="34"/>
    </row>
    <row r="156" spans="1:14" hidden="1" x14ac:dyDescent="0.25">
      <c r="A156" s="35" t="s">
        <v>293</v>
      </c>
      <c r="B156" s="36" t="s">
        <v>294</v>
      </c>
      <c r="C156" s="37" t="s">
        <v>278</v>
      </c>
      <c r="D156" s="38">
        <v>1</v>
      </c>
      <c r="E156" s="39">
        <v>0</v>
      </c>
      <c r="F156" s="28">
        <f t="shared" si="20"/>
        <v>1</v>
      </c>
      <c r="G156" s="39">
        <f t="shared" si="21"/>
        <v>1</v>
      </c>
      <c r="H156" s="40">
        <v>1021897</v>
      </c>
      <c r="I156" s="41">
        <f t="shared" si="16"/>
        <v>1021897</v>
      </c>
      <c r="J156" s="42">
        <f t="shared" si="17"/>
        <v>0</v>
      </c>
      <c r="K156" s="42">
        <f t="shared" si="18"/>
        <v>1021897</v>
      </c>
      <c r="L156" s="42">
        <f t="shared" si="19"/>
        <v>1021897</v>
      </c>
      <c r="M156" s="43"/>
      <c r="N156" s="34"/>
    </row>
    <row r="157" spans="1:14" hidden="1" x14ac:dyDescent="0.25">
      <c r="A157" s="35" t="s">
        <v>295</v>
      </c>
      <c r="B157" s="36" t="s">
        <v>296</v>
      </c>
      <c r="C157" s="37" t="s">
        <v>278</v>
      </c>
      <c r="D157" s="38">
        <v>3</v>
      </c>
      <c r="E157" s="39">
        <v>0</v>
      </c>
      <c r="F157" s="28">
        <f t="shared" si="20"/>
        <v>3</v>
      </c>
      <c r="G157" s="39">
        <f t="shared" si="21"/>
        <v>3</v>
      </c>
      <c r="H157" s="40">
        <v>804708</v>
      </c>
      <c r="I157" s="41">
        <f t="shared" si="16"/>
        <v>2414124</v>
      </c>
      <c r="J157" s="42">
        <f t="shared" si="17"/>
        <v>0</v>
      </c>
      <c r="K157" s="42">
        <f t="shared" si="18"/>
        <v>2414124</v>
      </c>
      <c r="L157" s="42">
        <f t="shared" si="19"/>
        <v>2414124</v>
      </c>
      <c r="M157" s="43"/>
      <c r="N157" s="34"/>
    </row>
    <row r="158" spans="1:14" hidden="1" x14ac:dyDescent="0.25">
      <c r="A158" s="35" t="s">
        <v>297</v>
      </c>
      <c r="B158" s="36" t="s">
        <v>298</v>
      </c>
      <c r="C158" s="37" t="s">
        <v>84</v>
      </c>
      <c r="D158" s="38">
        <v>275</v>
      </c>
      <c r="E158" s="39">
        <v>0</v>
      </c>
      <c r="F158" s="28">
        <f t="shared" si="20"/>
        <v>275</v>
      </c>
      <c r="G158" s="39">
        <f t="shared" si="21"/>
        <v>275</v>
      </c>
      <c r="H158" s="40">
        <v>171892</v>
      </c>
      <c r="I158" s="41">
        <f t="shared" si="16"/>
        <v>47270300</v>
      </c>
      <c r="J158" s="42">
        <f t="shared" si="17"/>
        <v>0</v>
      </c>
      <c r="K158" s="42">
        <f t="shared" si="18"/>
        <v>47270300</v>
      </c>
      <c r="L158" s="42">
        <f t="shared" si="19"/>
        <v>47270300</v>
      </c>
      <c r="M158" s="43"/>
      <c r="N158" s="34"/>
    </row>
    <row r="159" spans="1:14" hidden="1" x14ac:dyDescent="0.25">
      <c r="A159" s="35" t="s">
        <v>299</v>
      </c>
      <c r="B159" s="36" t="s">
        <v>300</v>
      </c>
      <c r="C159" s="37" t="s">
        <v>301</v>
      </c>
      <c r="D159" s="38">
        <v>4.3499999999999996</v>
      </c>
      <c r="E159" s="39">
        <v>0</v>
      </c>
      <c r="F159" s="28"/>
      <c r="G159" s="39">
        <f t="shared" si="21"/>
        <v>0</v>
      </c>
      <c r="H159" s="40">
        <v>9382399</v>
      </c>
      <c r="I159" s="41">
        <f t="shared" si="16"/>
        <v>40813436</v>
      </c>
      <c r="J159" s="42">
        <f t="shared" si="17"/>
        <v>0</v>
      </c>
      <c r="K159" s="42">
        <f t="shared" si="18"/>
        <v>0</v>
      </c>
      <c r="L159" s="42">
        <f t="shared" si="19"/>
        <v>0</v>
      </c>
      <c r="M159" s="43"/>
      <c r="N159" s="34"/>
    </row>
    <row r="160" spans="1:14" hidden="1" x14ac:dyDescent="0.25">
      <c r="A160" s="35" t="s">
        <v>302</v>
      </c>
      <c r="B160" s="36" t="s">
        <v>303</v>
      </c>
      <c r="C160" s="37" t="s">
        <v>84</v>
      </c>
      <c r="D160" s="38">
        <v>435</v>
      </c>
      <c r="E160" s="39">
        <v>0</v>
      </c>
      <c r="F160" s="28"/>
      <c r="G160" s="39">
        <f t="shared" si="21"/>
        <v>0</v>
      </c>
      <c r="H160" s="40">
        <v>856508</v>
      </c>
      <c r="I160" s="41">
        <f t="shared" si="16"/>
        <v>372580980</v>
      </c>
      <c r="J160" s="42">
        <f t="shared" si="17"/>
        <v>0</v>
      </c>
      <c r="K160" s="42">
        <f t="shared" si="18"/>
        <v>0</v>
      </c>
      <c r="L160" s="42">
        <f t="shared" si="19"/>
        <v>0</v>
      </c>
      <c r="M160" s="43"/>
      <c r="N160" s="34"/>
    </row>
    <row r="161" spans="1:14" hidden="1" x14ac:dyDescent="0.25">
      <c r="A161" s="35" t="s">
        <v>304</v>
      </c>
      <c r="B161" s="36" t="s">
        <v>305</v>
      </c>
      <c r="C161" s="37" t="s">
        <v>278</v>
      </c>
      <c r="D161" s="38">
        <v>2</v>
      </c>
      <c r="E161" s="39">
        <v>0</v>
      </c>
      <c r="F161" s="28"/>
      <c r="G161" s="39">
        <f t="shared" si="21"/>
        <v>0</v>
      </c>
      <c r="H161" s="40">
        <v>383011</v>
      </c>
      <c r="I161" s="41">
        <f t="shared" si="16"/>
        <v>766022</v>
      </c>
      <c r="J161" s="42">
        <f t="shared" si="17"/>
        <v>0</v>
      </c>
      <c r="K161" s="42">
        <f t="shared" si="18"/>
        <v>0</v>
      </c>
      <c r="L161" s="42">
        <f t="shared" si="19"/>
        <v>0</v>
      </c>
      <c r="M161" s="43"/>
      <c r="N161" s="34"/>
    </row>
    <row r="162" spans="1:14" hidden="1" x14ac:dyDescent="0.25">
      <c r="A162" s="35" t="s">
        <v>306</v>
      </c>
      <c r="B162" s="36" t="s">
        <v>307</v>
      </c>
      <c r="C162" s="37" t="s">
        <v>278</v>
      </c>
      <c r="D162" s="38">
        <v>21</v>
      </c>
      <c r="E162" s="39">
        <v>21</v>
      </c>
      <c r="F162" s="28">
        <f t="shared" si="20"/>
        <v>0</v>
      </c>
      <c r="G162" s="39">
        <f t="shared" si="21"/>
        <v>21</v>
      </c>
      <c r="H162" s="40">
        <v>308087</v>
      </c>
      <c r="I162" s="41">
        <f t="shared" si="16"/>
        <v>6469827</v>
      </c>
      <c r="J162" s="42">
        <f t="shared" si="17"/>
        <v>6469827</v>
      </c>
      <c r="K162" s="42">
        <f t="shared" si="18"/>
        <v>0</v>
      </c>
      <c r="L162" s="42">
        <f t="shared" si="19"/>
        <v>6469827</v>
      </c>
      <c r="M162" s="43"/>
      <c r="N162" s="34"/>
    </row>
    <row r="163" spans="1:14" hidden="1" x14ac:dyDescent="0.25">
      <c r="A163" s="35" t="s">
        <v>308</v>
      </c>
      <c r="B163" s="36" t="s">
        <v>309</v>
      </c>
      <c r="C163" s="37" t="s">
        <v>275</v>
      </c>
      <c r="D163" s="38">
        <v>1</v>
      </c>
      <c r="E163" s="39">
        <v>0</v>
      </c>
      <c r="F163" s="28"/>
      <c r="G163" s="39">
        <f t="shared" si="21"/>
        <v>0</v>
      </c>
      <c r="H163" s="40">
        <v>40152</v>
      </c>
      <c r="I163" s="41">
        <f t="shared" si="16"/>
        <v>40152</v>
      </c>
      <c r="J163" s="42">
        <f t="shared" si="17"/>
        <v>0</v>
      </c>
      <c r="K163" s="42">
        <f t="shared" si="18"/>
        <v>0</v>
      </c>
      <c r="L163" s="42">
        <f t="shared" si="19"/>
        <v>0</v>
      </c>
      <c r="M163" s="43"/>
      <c r="N163" s="34"/>
    </row>
    <row r="164" spans="1:14" hidden="1" x14ac:dyDescent="0.25">
      <c r="A164" s="35" t="s">
        <v>310</v>
      </c>
      <c r="B164" s="36" t="s">
        <v>311</v>
      </c>
      <c r="C164" s="37" t="s">
        <v>278</v>
      </c>
      <c r="D164" s="38">
        <v>359</v>
      </c>
      <c r="E164" s="39">
        <v>359</v>
      </c>
      <c r="F164" s="28">
        <f t="shared" si="20"/>
        <v>0</v>
      </c>
      <c r="G164" s="39">
        <f t="shared" si="21"/>
        <v>359</v>
      </c>
      <c r="H164" s="40">
        <v>266456</v>
      </c>
      <c r="I164" s="41">
        <f t="shared" si="16"/>
        <v>95657704</v>
      </c>
      <c r="J164" s="42">
        <f t="shared" si="17"/>
        <v>95657704</v>
      </c>
      <c r="K164" s="42">
        <f t="shared" si="18"/>
        <v>0</v>
      </c>
      <c r="L164" s="42">
        <f t="shared" si="19"/>
        <v>95657704</v>
      </c>
      <c r="M164" s="43"/>
      <c r="N164" s="34"/>
    </row>
    <row r="165" spans="1:14" hidden="1" x14ac:dyDescent="0.25">
      <c r="A165" s="44" t="s">
        <v>312</v>
      </c>
      <c r="B165" s="45" t="s">
        <v>313</v>
      </c>
      <c r="C165" s="46" t="s">
        <v>278</v>
      </c>
      <c r="D165" s="47">
        <v>89</v>
      </c>
      <c r="E165" s="48">
        <v>0</v>
      </c>
      <c r="F165" s="28"/>
      <c r="G165" s="48">
        <f t="shared" si="21"/>
        <v>0</v>
      </c>
      <c r="H165" s="49">
        <v>50931</v>
      </c>
      <c r="I165" s="50">
        <f t="shared" si="16"/>
        <v>4532859</v>
      </c>
      <c r="J165" s="51">
        <f t="shared" si="17"/>
        <v>0</v>
      </c>
      <c r="K165" s="51">
        <f t="shared" si="18"/>
        <v>0</v>
      </c>
      <c r="L165" s="51">
        <f t="shared" si="19"/>
        <v>0</v>
      </c>
      <c r="M165" s="52"/>
      <c r="N165" s="34"/>
    </row>
    <row r="166" spans="1:14" ht="38.25" hidden="1" customHeight="1" x14ac:dyDescent="0.25">
      <c r="A166" s="16">
        <v>13</v>
      </c>
      <c r="B166" s="53" t="s">
        <v>314</v>
      </c>
      <c r="C166" s="21"/>
      <c r="D166" s="54"/>
      <c r="E166" s="55"/>
      <c r="F166" s="54">
        <v>0</v>
      </c>
      <c r="G166" s="55"/>
      <c r="H166" s="56"/>
      <c r="I166" s="57"/>
      <c r="J166" s="58"/>
      <c r="K166" s="58"/>
      <c r="L166" s="58"/>
      <c r="M166" s="23"/>
      <c r="N166" s="34"/>
    </row>
    <row r="167" spans="1:14" hidden="1" x14ac:dyDescent="0.25">
      <c r="A167" s="25" t="s">
        <v>315</v>
      </c>
      <c r="B167" s="26" t="s">
        <v>316</v>
      </c>
      <c r="C167" s="27" t="s">
        <v>118</v>
      </c>
      <c r="D167" s="28">
        <v>1.03</v>
      </c>
      <c r="E167" s="29">
        <v>1.03</v>
      </c>
      <c r="F167" s="28">
        <f>D167-E167</f>
        <v>0</v>
      </c>
      <c r="G167" s="29">
        <f t="shared" si="21"/>
        <v>1.03</v>
      </c>
      <c r="H167" s="30">
        <v>28771832</v>
      </c>
      <c r="I167" s="31">
        <f t="shared" si="16"/>
        <v>29634987</v>
      </c>
      <c r="J167" s="32">
        <f t="shared" si="17"/>
        <v>29634986.960000001</v>
      </c>
      <c r="K167" s="32">
        <f t="shared" si="18"/>
        <v>0</v>
      </c>
      <c r="L167" s="32">
        <f t="shared" si="19"/>
        <v>29634986.960000001</v>
      </c>
      <c r="M167" s="33"/>
      <c r="N167" s="34"/>
    </row>
    <row r="168" spans="1:14" hidden="1" x14ac:dyDescent="0.25">
      <c r="A168" s="35" t="s">
        <v>317</v>
      </c>
      <c r="B168" s="36" t="s">
        <v>318</v>
      </c>
      <c r="C168" s="37" t="s">
        <v>118</v>
      </c>
      <c r="D168" s="38">
        <v>11.03</v>
      </c>
      <c r="E168" s="39">
        <v>11.03</v>
      </c>
      <c r="F168" s="28">
        <f t="shared" ref="F168:F231" si="22">D168-E168</f>
        <v>0</v>
      </c>
      <c r="G168" s="39">
        <f t="shared" si="21"/>
        <v>11.03</v>
      </c>
      <c r="H168" s="40">
        <v>27010601</v>
      </c>
      <c r="I168" s="41">
        <f t="shared" si="16"/>
        <v>297926929</v>
      </c>
      <c r="J168" s="42">
        <f t="shared" si="17"/>
        <v>297926929.02999997</v>
      </c>
      <c r="K168" s="42">
        <f t="shared" si="18"/>
        <v>0</v>
      </c>
      <c r="L168" s="42">
        <f t="shared" si="19"/>
        <v>297926929.02999997</v>
      </c>
      <c r="M168" s="43"/>
      <c r="N168" s="34"/>
    </row>
    <row r="169" spans="1:14" hidden="1" x14ac:dyDescent="0.25">
      <c r="A169" s="35" t="s">
        <v>319</v>
      </c>
      <c r="B169" s="36" t="s">
        <v>320</v>
      </c>
      <c r="C169" s="37" t="s">
        <v>118</v>
      </c>
      <c r="D169" s="38">
        <v>0.19</v>
      </c>
      <c r="E169" s="39">
        <v>0.1899999999999995</v>
      </c>
      <c r="F169" s="65">
        <v>0</v>
      </c>
      <c r="G169" s="39">
        <f t="shared" si="21"/>
        <v>0.1899999999999995</v>
      </c>
      <c r="H169" s="40">
        <v>27010601</v>
      </c>
      <c r="I169" s="41">
        <f t="shared" si="16"/>
        <v>5132014</v>
      </c>
      <c r="J169" s="42">
        <f t="shared" si="17"/>
        <v>5132014.1899999864</v>
      </c>
      <c r="K169" s="42">
        <f>F169*H169</f>
        <v>0</v>
      </c>
      <c r="L169" s="42">
        <f t="shared" si="19"/>
        <v>5132014.1899999864</v>
      </c>
      <c r="M169" s="43"/>
      <c r="N169" s="34"/>
    </row>
    <row r="170" spans="1:14" hidden="1" x14ac:dyDescent="0.25">
      <c r="A170" s="35" t="s">
        <v>321</v>
      </c>
      <c r="B170" s="36" t="s">
        <v>322</v>
      </c>
      <c r="C170" s="37" t="s">
        <v>42</v>
      </c>
      <c r="D170" s="38">
        <v>85.68</v>
      </c>
      <c r="E170" s="39">
        <v>85.68</v>
      </c>
      <c r="F170" s="28">
        <f t="shared" si="22"/>
        <v>0</v>
      </c>
      <c r="G170" s="39">
        <f t="shared" si="21"/>
        <v>85.68</v>
      </c>
      <c r="H170" s="40">
        <v>1877466</v>
      </c>
      <c r="I170" s="41">
        <f t="shared" si="16"/>
        <v>160861287</v>
      </c>
      <c r="J170" s="42">
        <f t="shared" si="17"/>
        <v>160861286.88000003</v>
      </c>
      <c r="K170" s="42">
        <f t="shared" si="18"/>
        <v>0</v>
      </c>
      <c r="L170" s="42">
        <f t="shared" si="19"/>
        <v>160861286.88000003</v>
      </c>
      <c r="M170" s="43"/>
      <c r="N170" s="34"/>
    </row>
    <row r="171" spans="1:14" hidden="1" x14ac:dyDescent="0.25">
      <c r="A171" s="35" t="s">
        <v>323</v>
      </c>
      <c r="B171" s="36" t="s">
        <v>324</v>
      </c>
      <c r="C171" s="37" t="s">
        <v>39</v>
      </c>
      <c r="D171" s="38">
        <v>620.16</v>
      </c>
      <c r="E171" s="39">
        <v>620.16</v>
      </c>
      <c r="F171" s="28">
        <f t="shared" si="22"/>
        <v>0</v>
      </c>
      <c r="G171" s="39">
        <f t="shared" si="21"/>
        <v>620.16</v>
      </c>
      <c r="H171" s="40">
        <v>115728</v>
      </c>
      <c r="I171" s="41">
        <f t="shared" si="16"/>
        <v>71769876</v>
      </c>
      <c r="J171" s="42">
        <f t="shared" si="17"/>
        <v>71769876.479999989</v>
      </c>
      <c r="K171" s="42">
        <f t="shared" si="18"/>
        <v>0</v>
      </c>
      <c r="L171" s="42">
        <f t="shared" si="19"/>
        <v>71769876.479999989</v>
      </c>
      <c r="M171" s="43"/>
      <c r="N171" s="34"/>
    </row>
    <row r="172" spans="1:14" ht="31.5" hidden="1" x14ac:dyDescent="0.25">
      <c r="A172" s="35" t="s">
        <v>325</v>
      </c>
      <c r="B172" s="36" t="s">
        <v>326</v>
      </c>
      <c r="C172" s="37" t="s">
        <v>327</v>
      </c>
      <c r="D172" s="38">
        <v>34</v>
      </c>
      <c r="E172" s="39">
        <v>34</v>
      </c>
      <c r="F172" s="28">
        <f>D172-E172</f>
        <v>0</v>
      </c>
      <c r="G172" s="39">
        <f t="shared" si="21"/>
        <v>34</v>
      </c>
      <c r="H172" s="40">
        <v>561271</v>
      </c>
      <c r="I172" s="41">
        <f t="shared" si="16"/>
        <v>19083214</v>
      </c>
      <c r="J172" s="42">
        <f t="shared" si="17"/>
        <v>19083214</v>
      </c>
      <c r="K172" s="42">
        <f t="shared" si="18"/>
        <v>0</v>
      </c>
      <c r="L172" s="42">
        <f t="shared" si="19"/>
        <v>19083214</v>
      </c>
      <c r="M172" s="43"/>
      <c r="N172" s="34"/>
    </row>
    <row r="173" spans="1:14" ht="39.75" hidden="1" customHeight="1" x14ac:dyDescent="0.25">
      <c r="A173" s="35" t="s">
        <v>328</v>
      </c>
      <c r="B173" s="36" t="s">
        <v>329</v>
      </c>
      <c r="C173" s="37" t="s">
        <v>233</v>
      </c>
      <c r="D173" s="38">
        <v>34</v>
      </c>
      <c r="E173" s="39">
        <v>34</v>
      </c>
      <c r="F173" s="28">
        <f t="shared" si="22"/>
        <v>0</v>
      </c>
      <c r="G173" s="39">
        <f t="shared" si="21"/>
        <v>34</v>
      </c>
      <c r="H173" s="40">
        <v>129899</v>
      </c>
      <c r="I173" s="41">
        <f t="shared" si="16"/>
        <v>4416566</v>
      </c>
      <c r="J173" s="42">
        <f t="shared" si="17"/>
        <v>4416566</v>
      </c>
      <c r="K173" s="42">
        <f t="shared" si="18"/>
        <v>0</v>
      </c>
      <c r="L173" s="42">
        <f t="shared" si="19"/>
        <v>4416566</v>
      </c>
      <c r="M173" s="43"/>
      <c r="N173" s="34"/>
    </row>
    <row r="174" spans="1:14" ht="49.5" hidden="1" customHeight="1" x14ac:dyDescent="0.25">
      <c r="A174" s="35" t="s">
        <v>330</v>
      </c>
      <c r="B174" s="36" t="s">
        <v>331</v>
      </c>
      <c r="C174" s="37" t="s">
        <v>233</v>
      </c>
      <c r="D174" s="38">
        <v>34</v>
      </c>
      <c r="E174" s="39">
        <v>34</v>
      </c>
      <c r="F174" s="28">
        <f t="shared" si="22"/>
        <v>0</v>
      </c>
      <c r="G174" s="39">
        <f t="shared" si="21"/>
        <v>34</v>
      </c>
      <c r="H174" s="40">
        <v>91827</v>
      </c>
      <c r="I174" s="41">
        <f t="shared" si="16"/>
        <v>3122118</v>
      </c>
      <c r="J174" s="42">
        <f t="shared" si="17"/>
        <v>3122118</v>
      </c>
      <c r="K174" s="42">
        <f t="shared" si="18"/>
        <v>0</v>
      </c>
      <c r="L174" s="42">
        <f t="shared" si="19"/>
        <v>3122118</v>
      </c>
      <c r="M174" s="43"/>
      <c r="N174" s="34"/>
    </row>
    <row r="175" spans="1:14" ht="31.5" hidden="1" x14ac:dyDescent="0.25">
      <c r="A175" s="35" t="s">
        <v>332</v>
      </c>
      <c r="B175" s="36" t="s">
        <v>333</v>
      </c>
      <c r="C175" s="37" t="s">
        <v>334</v>
      </c>
      <c r="D175" s="38">
        <v>21.42</v>
      </c>
      <c r="E175" s="39">
        <v>21.42</v>
      </c>
      <c r="F175" s="28">
        <f t="shared" si="22"/>
        <v>0</v>
      </c>
      <c r="G175" s="39">
        <f t="shared" si="21"/>
        <v>21.42</v>
      </c>
      <c r="H175" s="40">
        <v>36181</v>
      </c>
      <c r="I175" s="41">
        <f t="shared" si="16"/>
        <v>774997</v>
      </c>
      <c r="J175" s="42">
        <f t="shared" si="17"/>
        <v>774997.02</v>
      </c>
      <c r="K175" s="42">
        <f t="shared" si="18"/>
        <v>0</v>
      </c>
      <c r="L175" s="42">
        <f t="shared" si="19"/>
        <v>774997.02</v>
      </c>
      <c r="M175" s="43"/>
      <c r="N175" s="34"/>
    </row>
    <row r="176" spans="1:14" hidden="1" x14ac:dyDescent="0.25">
      <c r="A176" s="35" t="s">
        <v>335</v>
      </c>
      <c r="B176" s="36" t="s">
        <v>336</v>
      </c>
      <c r="C176" s="37" t="s">
        <v>42</v>
      </c>
      <c r="D176" s="38">
        <v>18.27</v>
      </c>
      <c r="E176" s="39">
        <v>18.27</v>
      </c>
      <c r="F176" s="28">
        <f t="shared" si="22"/>
        <v>0</v>
      </c>
      <c r="G176" s="39">
        <f t="shared" si="21"/>
        <v>18.27</v>
      </c>
      <c r="H176" s="40">
        <v>1731173</v>
      </c>
      <c r="I176" s="41">
        <f t="shared" si="16"/>
        <v>31628531</v>
      </c>
      <c r="J176" s="42">
        <f t="shared" si="17"/>
        <v>31628530.710000001</v>
      </c>
      <c r="K176" s="42">
        <f t="shared" si="18"/>
        <v>0</v>
      </c>
      <c r="L176" s="42">
        <f t="shared" si="19"/>
        <v>31628530.710000001</v>
      </c>
      <c r="M176" s="43"/>
      <c r="N176" s="34"/>
    </row>
    <row r="177" spans="1:14" hidden="1" x14ac:dyDescent="0.25">
      <c r="A177" s="35" t="s">
        <v>337</v>
      </c>
      <c r="B177" s="36" t="s">
        <v>338</v>
      </c>
      <c r="C177" s="37" t="s">
        <v>118</v>
      </c>
      <c r="D177" s="38">
        <v>1.08</v>
      </c>
      <c r="E177" s="39">
        <v>1.0799999999999983</v>
      </c>
      <c r="F177" s="65">
        <v>0</v>
      </c>
      <c r="G177" s="39">
        <f t="shared" si="21"/>
        <v>1.0799999999999983</v>
      </c>
      <c r="H177" s="40">
        <v>28103452</v>
      </c>
      <c r="I177" s="41">
        <f t="shared" si="16"/>
        <v>30351728</v>
      </c>
      <c r="J177" s="42">
        <f t="shared" si="17"/>
        <v>30351728.159999952</v>
      </c>
      <c r="K177" s="42">
        <f>F177*H177</f>
        <v>0</v>
      </c>
      <c r="L177" s="42">
        <f t="shared" si="19"/>
        <v>30351728.159999952</v>
      </c>
      <c r="M177" s="43"/>
      <c r="N177" s="34"/>
    </row>
    <row r="178" spans="1:14" hidden="1" x14ac:dyDescent="0.25">
      <c r="A178" s="35" t="s">
        <v>339</v>
      </c>
      <c r="B178" s="36" t="s">
        <v>340</v>
      </c>
      <c r="C178" s="37" t="s">
        <v>39</v>
      </c>
      <c r="D178" s="38">
        <v>36.96</v>
      </c>
      <c r="E178" s="39">
        <v>36.96</v>
      </c>
      <c r="F178" s="28">
        <f t="shared" si="22"/>
        <v>0</v>
      </c>
      <c r="G178" s="39">
        <f t="shared" si="21"/>
        <v>36.96</v>
      </c>
      <c r="H178" s="40">
        <v>86606</v>
      </c>
      <c r="I178" s="41">
        <f t="shared" si="16"/>
        <v>3200958</v>
      </c>
      <c r="J178" s="42">
        <f t="shared" si="17"/>
        <v>3200957.7600000002</v>
      </c>
      <c r="K178" s="42">
        <f t="shared" si="18"/>
        <v>0</v>
      </c>
      <c r="L178" s="42">
        <f t="shared" si="19"/>
        <v>3200957.7600000002</v>
      </c>
      <c r="M178" s="43"/>
      <c r="N178" s="34"/>
    </row>
    <row r="179" spans="1:14" ht="31.5" hidden="1" x14ac:dyDescent="0.25">
      <c r="A179" s="35" t="s">
        <v>341</v>
      </c>
      <c r="B179" s="36" t="s">
        <v>342</v>
      </c>
      <c r="C179" s="37" t="s">
        <v>278</v>
      </c>
      <c r="D179" s="38">
        <v>21</v>
      </c>
      <c r="E179" s="39">
        <v>21</v>
      </c>
      <c r="F179" s="28">
        <f t="shared" si="22"/>
        <v>0</v>
      </c>
      <c r="G179" s="39">
        <f t="shared" si="21"/>
        <v>21</v>
      </c>
      <c r="H179" s="40">
        <v>231535</v>
      </c>
      <c r="I179" s="41">
        <f t="shared" si="16"/>
        <v>4862235</v>
      </c>
      <c r="J179" s="42">
        <f t="shared" si="17"/>
        <v>4862235</v>
      </c>
      <c r="K179" s="42">
        <f t="shared" si="18"/>
        <v>0</v>
      </c>
      <c r="L179" s="42">
        <f t="shared" si="19"/>
        <v>4862235</v>
      </c>
      <c r="M179" s="43"/>
      <c r="N179" s="34"/>
    </row>
    <row r="180" spans="1:14" ht="31.5" hidden="1" x14ac:dyDescent="0.25">
      <c r="A180" s="35" t="s">
        <v>343</v>
      </c>
      <c r="B180" s="36" t="s">
        <v>329</v>
      </c>
      <c r="C180" s="37" t="s">
        <v>233</v>
      </c>
      <c r="D180" s="38">
        <v>21</v>
      </c>
      <c r="E180" s="39">
        <v>21</v>
      </c>
      <c r="F180" s="28">
        <f t="shared" si="22"/>
        <v>0</v>
      </c>
      <c r="G180" s="39">
        <f t="shared" si="21"/>
        <v>21</v>
      </c>
      <c r="H180" s="40">
        <v>113802</v>
      </c>
      <c r="I180" s="41">
        <f t="shared" si="16"/>
        <v>2389842</v>
      </c>
      <c r="J180" s="42">
        <f t="shared" si="17"/>
        <v>2389842</v>
      </c>
      <c r="K180" s="42">
        <f t="shared" si="18"/>
        <v>0</v>
      </c>
      <c r="L180" s="42">
        <f t="shared" si="19"/>
        <v>2389842</v>
      </c>
      <c r="M180" s="43"/>
      <c r="N180" s="34"/>
    </row>
    <row r="181" spans="1:14" ht="53.25" hidden="1" customHeight="1" x14ac:dyDescent="0.25">
      <c r="A181" s="35" t="s">
        <v>344</v>
      </c>
      <c r="B181" s="36" t="s">
        <v>331</v>
      </c>
      <c r="C181" s="37" t="s">
        <v>233</v>
      </c>
      <c r="D181" s="38">
        <v>21</v>
      </c>
      <c r="E181" s="39">
        <v>21</v>
      </c>
      <c r="F181" s="28">
        <f t="shared" si="22"/>
        <v>0</v>
      </c>
      <c r="G181" s="39">
        <f t="shared" si="21"/>
        <v>21</v>
      </c>
      <c r="H181" s="40">
        <v>91827</v>
      </c>
      <c r="I181" s="41">
        <f>ROUND(D181*H181,0)</f>
        <v>1928367</v>
      </c>
      <c r="J181" s="42">
        <f t="shared" si="17"/>
        <v>1928367</v>
      </c>
      <c r="K181" s="42">
        <f t="shared" si="18"/>
        <v>0</v>
      </c>
      <c r="L181" s="42">
        <f t="shared" si="19"/>
        <v>1928367</v>
      </c>
      <c r="M181" s="43"/>
      <c r="N181" s="34"/>
    </row>
    <row r="182" spans="1:14" ht="45.75" hidden="1" customHeight="1" x14ac:dyDescent="0.25">
      <c r="A182" s="35" t="s">
        <v>345</v>
      </c>
      <c r="B182" s="36" t="s">
        <v>346</v>
      </c>
      <c r="C182" s="37" t="s">
        <v>334</v>
      </c>
      <c r="D182" s="38">
        <v>4.57</v>
      </c>
      <c r="E182" s="39">
        <v>4.57</v>
      </c>
      <c r="F182" s="28">
        <f t="shared" si="22"/>
        <v>0</v>
      </c>
      <c r="G182" s="39">
        <f t="shared" si="21"/>
        <v>4.57</v>
      </c>
      <c r="H182" s="40">
        <v>36181</v>
      </c>
      <c r="I182" s="41">
        <f>ROUND(D182*H182,0)</f>
        <v>165347</v>
      </c>
      <c r="J182" s="42">
        <f t="shared" si="17"/>
        <v>165347.17000000001</v>
      </c>
      <c r="K182" s="42">
        <f t="shared" si="18"/>
        <v>0</v>
      </c>
      <c r="L182" s="42">
        <f t="shared" si="19"/>
        <v>165347.17000000001</v>
      </c>
      <c r="M182" s="43"/>
      <c r="N182" s="34"/>
    </row>
    <row r="183" spans="1:14" hidden="1" x14ac:dyDescent="0.25">
      <c r="A183" s="35" t="s">
        <v>347</v>
      </c>
      <c r="B183" s="36" t="s">
        <v>348</v>
      </c>
      <c r="C183" s="37" t="s">
        <v>42</v>
      </c>
      <c r="D183" s="38">
        <v>11.28</v>
      </c>
      <c r="E183" s="39">
        <v>11.28</v>
      </c>
      <c r="F183" s="28">
        <f t="shared" si="22"/>
        <v>0</v>
      </c>
      <c r="G183" s="39">
        <f t="shared" si="21"/>
        <v>11.28</v>
      </c>
      <c r="H183" s="40">
        <v>851305</v>
      </c>
      <c r="I183" s="41">
        <f>ROUND(D183*H183,0)</f>
        <v>9602720</v>
      </c>
      <c r="J183" s="42">
        <f t="shared" si="17"/>
        <v>9602720.4000000004</v>
      </c>
      <c r="K183" s="42">
        <f t="shared" si="18"/>
        <v>0</v>
      </c>
      <c r="L183" s="42">
        <f t="shared" si="19"/>
        <v>9602720.4000000004</v>
      </c>
      <c r="M183" s="43"/>
      <c r="N183" s="34"/>
    </row>
    <row r="184" spans="1:14" hidden="1" x14ac:dyDescent="0.25">
      <c r="A184" s="35" t="s">
        <v>349</v>
      </c>
      <c r="B184" s="36" t="s">
        <v>350</v>
      </c>
      <c r="C184" s="37" t="s">
        <v>42</v>
      </c>
      <c r="D184" s="38">
        <v>20.79</v>
      </c>
      <c r="E184" s="39">
        <v>20.79</v>
      </c>
      <c r="F184" s="28">
        <f t="shared" si="22"/>
        <v>0</v>
      </c>
      <c r="G184" s="39">
        <f t="shared" si="21"/>
        <v>20.79</v>
      </c>
      <c r="H184" s="40">
        <v>1713814</v>
      </c>
      <c r="I184" s="41">
        <f>ROUND(D184*H184,0)</f>
        <v>35630193</v>
      </c>
      <c r="J184" s="42">
        <f t="shared" si="17"/>
        <v>35630193.059999995</v>
      </c>
      <c r="K184" s="42">
        <f t="shared" si="18"/>
        <v>0</v>
      </c>
      <c r="L184" s="42">
        <f t="shared" si="19"/>
        <v>35630193.059999995</v>
      </c>
      <c r="M184" s="43"/>
      <c r="N184" s="34"/>
    </row>
    <row r="185" spans="1:14" hidden="1" x14ac:dyDescent="0.25">
      <c r="A185" s="35" t="s">
        <v>351</v>
      </c>
      <c r="B185" s="36" t="s">
        <v>352</v>
      </c>
      <c r="C185" s="37" t="s">
        <v>118</v>
      </c>
      <c r="D185" s="38">
        <v>0.59</v>
      </c>
      <c r="E185" s="39">
        <v>0.59</v>
      </c>
      <c r="F185" s="28">
        <f t="shared" si="22"/>
        <v>0</v>
      </c>
      <c r="G185" s="39">
        <f t="shared" si="21"/>
        <v>0.59</v>
      </c>
      <c r="H185" s="40">
        <v>28103452</v>
      </c>
      <c r="I185" s="41">
        <f t="shared" ref="I185:I196" si="23">ROUND(D185*H185,0)</f>
        <v>16581037</v>
      </c>
      <c r="J185" s="42">
        <f t="shared" si="17"/>
        <v>16581036.68</v>
      </c>
      <c r="K185" s="42">
        <f t="shared" si="18"/>
        <v>0</v>
      </c>
      <c r="L185" s="42">
        <f t="shared" si="19"/>
        <v>16581036.68</v>
      </c>
      <c r="M185" s="43"/>
      <c r="N185" s="34"/>
    </row>
    <row r="186" spans="1:14" hidden="1" x14ac:dyDescent="0.25">
      <c r="A186" s="35" t="s">
        <v>353</v>
      </c>
      <c r="B186" s="36" t="s">
        <v>354</v>
      </c>
      <c r="C186" s="37" t="s">
        <v>118</v>
      </c>
      <c r="D186" s="38">
        <v>2.57</v>
      </c>
      <c r="E186" s="39">
        <v>2.57</v>
      </c>
      <c r="F186" s="28">
        <f t="shared" si="22"/>
        <v>0</v>
      </c>
      <c r="G186" s="39">
        <f t="shared" si="21"/>
        <v>2.57</v>
      </c>
      <c r="H186" s="40">
        <v>26818404</v>
      </c>
      <c r="I186" s="41">
        <f t="shared" si="23"/>
        <v>68923298</v>
      </c>
      <c r="J186" s="42">
        <f t="shared" si="17"/>
        <v>68923298.280000001</v>
      </c>
      <c r="K186" s="42">
        <f t="shared" si="18"/>
        <v>0</v>
      </c>
      <c r="L186" s="42">
        <f t="shared" si="19"/>
        <v>68923298.280000001</v>
      </c>
      <c r="M186" s="43"/>
      <c r="N186" s="34"/>
    </row>
    <row r="187" spans="1:14" hidden="1" x14ac:dyDescent="0.25">
      <c r="A187" s="35" t="s">
        <v>355</v>
      </c>
      <c r="B187" s="36" t="s">
        <v>356</v>
      </c>
      <c r="C187" s="37" t="s">
        <v>39</v>
      </c>
      <c r="D187" s="38">
        <v>62.79</v>
      </c>
      <c r="E187" s="39">
        <v>62.79</v>
      </c>
      <c r="F187" s="28">
        <f t="shared" si="22"/>
        <v>0</v>
      </c>
      <c r="G187" s="39">
        <f t="shared" si="21"/>
        <v>62.79</v>
      </c>
      <c r="H187" s="40">
        <v>86606</v>
      </c>
      <c r="I187" s="41">
        <f t="shared" si="23"/>
        <v>5437991</v>
      </c>
      <c r="J187" s="42">
        <f t="shared" si="17"/>
        <v>5437990.7400000002</v>
      </c>
      <c r="K187" s="42">
        <f t="shared" si="18"/>
        <v>0</v>
      </c>
      <c r="L187" s="42">
        <f t="shared" si="19"/>
        <v>5437990.7400000002</v>
      </c>
      <c r="M187" s="43"/>
      <c r="N187" s="34"/>
    </row>
    <row r="188" spans="1:14" hidden="1" x14ac:dyDescent="0.25">
      <c r="A188" s="35" t="s">
        <v>357</v>
      </c>
      <c r="B188" s="36" t="s">
        <v>358</v>
      </c>
      <c r="C188" s="37" t="s">
        <v>359</v>
      </c>
      <c r="D188" s="38">
        <v>42</v>
      </c>
      <c r="E188" s="39">
        <v>42</v>
      </c>
      <c r="F188" s="28">
        <f t="shared" si="22"/>
        <v>0</v>
      </c>
      <c r="G188" s="39">
        <f t="shared" si="21"/>
        <v>42</v>
      </c>
      <c r="H188" s="40">
        <v>36395</v>
      </c>
      <c r="I188" s="41">
        <f t="shared" si="23"/>
        <v>1528590</v>
      </c>
      <c r="J188" s="42">
        <f t="shared" si="17"/>
        <v>1528590</v>
      </c>
      <c r="K188" s="42">
        <f t="shared" si="18"/>
        <v>0</v>
      </c>
      <c r="L188" s="42">
        <f t="shared" si="19"/>
        <v>1528590</v>
      </c>
      <c r="M188" s="43"/>
      <c r="N188" s="34"/>
    </row>
    <row r="189" spans="1:14" ht="31.5" hidden="1" x14ac:dyDescent="0.25">
      <c r="A189" s="35" t="s">
        <v>360</v>
      </c>
      <c r="B189" s="36" t="s">
        <v>361</v>
      </c>
      <c r="C189" s="37" t="s">
        <v>233</v>
      </c>
      <c r="D189" s="38">
        <v>42</v>
      </c>
      <c r="E189" s="39">
        <v>42</v>
      </c>
      <c r="F189" s="28">
        <f t="shared" si="22"/>
        <v>0</v>
      </c>
      <c r="G189" s="39">
        <f t="shared" si="21"/>
        <v>42</v>
      </c>
      <c r="H189" s="40">
        <v>79217</v>
      </c>
      <c r="I189" s="41">
        <f t="shared" si="23"/>
        <v>3327114</v>
      </c>
      <c r="J189" s="42">
        <f t="shared" si="17"/>
        <v>3327114</v>
      </c>
      <c r="K189" s="42">
        <f t="shared" si="18"/>
        <v>0</v>
      </c>
      <c r="L189" s="42">
        <f t="shared" si="19"/>
        <v>3327114</v>
      </c>
      <c r="M189" s="43"/>
      <c r="N189" s="34"/>
    </row>
    <row r="190" spans="1:14" ht="57.75" hidden="1" customHeight="1" x14ac:dyDescent="0.25">
      <c r="A190" s="35" t="s">
        <v>362</v>
      </c>
      <c r="B190" s="36" t="s">
        <v>363</v>
      </c>
      <c r="C190" s="37" t="s">
        <v>233</v>
      </c>
      <c r="D190" s="38">
        <v>42</v>
      </c>
      <c r="E190" s="39">
        <v>42</v>
      </c>
      <c r="F190" s="28">
        <f t="shared" si="22"/>
        <v>0</v>
      </c>
      <c r="G190" s="39">
        <f t="shared" si="21"/>
        <v>42</v>
      </c>
      <c r="H190" s="40">
        <v>65424</v>
      </c>
      <c r="I190" s="41">
        <f t="shared" si="23"/>
        <v>2747808</v>
      </c>
      <c r="J190" s="42">
        <f t="shared" si="17"/>
        <v>2747808</v>
      </c>
      <c r="K190" s="42">
        <f t="shared" si="18"/>
        <v>0</v>
      </c>
      <c r="L190" s="42">
        <f t="shared" si="19"/>
        <v>2747808</v>
      </c>
      <c r="M190" s="43"/>
      <c r="N190" s="34"/>
    </row>
    <row r="191" spans="1:14" ht="21.75" hidden="1" customHeight="1" x14ac:dyDescent="0.25">
      <c r="A191" s="35" t="s">
        <v>364</v>
      </c>
      <c r="B191" s="36" t="s">
        <v>333</v>
      </c>
      <c r="C191" s="37" t="s">
        <v>334</v>
      </c>
      <c r="D191" s="38">
        <v>5.2</v>
      </c>
      <c r="E191" s="39">
        <v>5.2</v>
      </c>
      <c r="F191" s="28">
        <f t="shared" si="22"/>
        <v>0</v>
      </c>
      <c r="G191" s="39">
        <f t="shared" si="21"/>
        <v>5.2</v>
      </c>
      <c r="H191" s="40">
        <v>36181</v>
      </c>
      <c r="I191" s="41">
        <f t="shared" si="23"/>
        <v>188141</v>
      </c>
      <c r="J191" s="42">
        <f t="shared" si="17"/>
        <v>188141.2</v>
      </c>
      <c r="K191" s="42">
        <f t="shared" si="18"/>
        <v>0</v>
      </c>
      <c r="L191" s="42">
        <f t="shared" si="19"/>
        <v>188141.2</v>
      </c>
      <c r="M191" s="43"/>
      <c r="N191" s="34"/>
    </row>
    <row r="192" spans="1:14" hidden="1" x14ac:dyDescent="0.25">
      <c r="A192" s="35" t="s">
        <v>365</v>
      </c>
      <c r="B192" s="36" t="s">
        <v>366</v>
      </c>
      <c r="C192" s="37" t="s">
        <v>39</v>
      </c>
      <c r="D192" s="38">
        <v>1.0900000000000001</v>
      </c>
      <c r="E192" s="39">
        <v>1.0900000000000001</v>
      </c>
      <c r="F192" s="28">
        <f t="shared" si="22"/>
        <v>0</v>
      </c>
      <c r="G192" s="39">
        <f t="shared" si="21"/>
        <v>1.0900000000000001</v>
      </c>
      <c r="H192" s="40">
        <v>43066</v>
      </c>
      <c r="I192" s="41">
        <f t="shared" si="23"/>
        <v>46942</v>
      </c>
      <c r="J192" s="42">
        <f t="shared" si="17"/>
        <v>46941.94</v>
      </c>
      <c r="K192" s="42">
        <f t="shared" si="18"/>
        <v>0</v>
      </c>
      <c r="L192" s="42">
        <f t="shared" si="19"/>
        <v>46941.94</v>
      </c>
      <c r="M192" s="43"/>
      <c r="N192" s="34"/>
    </row>
    <row r="193" spans="1:14" hidden="1" x14ac:dyDescent="0.25">
      <c r="A193" s="35" t="s">
        <v>367</v>
      </c>
      <c r="B193" s="36" t="s">
        <v>368</v>
      </c>
      <c r="C193" s="37" t="s">
        <v>39</v>
      </c>
      <c r="D193" s="38">
        <v>255</v>
      </c>
      <c r="E193" s="39">
        <v>255</v>
      </c>
      <c r="F193" s="28">
        <f t="shared" si="22"/>
        <v>0</v>
      </c>
      <c r="G193" s="39">
        <f t="shared" si="21"/>
        <v>255</v>
      </c>
      <c r="H193" s="40">
        <v>76805</v>
      </c>
      <c r="I193" s="41">
        <f t="shared" si="23"/>
        <v>19585275</v>
      </c>
      <c r="J193" s="42">
        <f t="shared" si="17"/>
        <v>19585275</v>
      </c>
      <c r="K193" s="42">
        <f t="shared" si="18"/>
        <v>0</v>
      </c>
      <c r="L193" s="42">
        <f t="shared" si="19"/>
        <v>19585275</v>
      </c>
      <c r="M193" s="43"/>
      <c r="N193" s="34"/>
    </row>
    <row r="194" spans="1:14" hidden="1" x14ac:dyDescent="0.25">
      <c r="A194" s="35" t="s">
        <v>369</v>
      </c>
      <c r="B194" s="36" t="s">
        <v>370</v>
      </c>
      <c r="C194" s="37" t="s">
        <v>42</v>
      </c>
      <c r="D194" s="38">
        <v>14.96</v>
      </c>
      <c r="E194" s="39">
        <v>14.96</v>
      </c>
      <c r="F194" s="28">
        <f t="shared" si="22"/>
        <v>0</v>
      </c>
      <c r="G194" s="39">
        <f t="shared" si="21"/>
        <v>14.96</v>
      </c>
      <c r="H194" s="40">
        <v>1830356</v>
      </c>
      <c r="I194" s="41">
        <f t="shared" si="23"/>
        <v>27382126</v>
      </c>
      <c r="J194" s="42">
        <f t="shared" si="17"/>
        <v>27382125.760000002</v>
      </c>
      <c r="K194" s="42">
        <f t="shared" si="18"/>
        <v>0</v>
      </c>
      <c r="L194" s="42">
        <f t="shared" si="19"/>
        <v>27382125.760000002</v>
      </c>
      <c r="M194" s="43"/>
      <c r="N194" s="34"/>
    </row>
    <row r="195" spans="1:14" hidden="1" x14ac:dyDescent="0.25">
      <c r="A195" s="35" t="s">
        <v>371</v>
      </c>
      <c r="B195" s="36" t="s">
        <v>372</v>
      </c>
      <c r="C195" s="37" t="s">
        <v>42</v>
      </c>
      <c r="D195" s="38">
        <v>36.130000000000003</v>
      </c>
      <c r="E195" s="39">
        <v>36.130000000000003</v>
      </c>
      <c r="F195" s="28">
        <f t="shared" si="22"/>
        <v>0</v>
      </c>
      <c r="G195" s="39">
        <f t="shared" si="21"/>
        <v>36.130000000000003</v>
      </c>
      <c r="H195" s="40">
        <v>1152109</v>
      </c>
      <c r="I195" s="41">
        <f t="shared" si="23"/>
        <v>41625698</v>
      </c>
      <c r="J195" s="42">
        <f t="shared" si="17"/>
        <v>41625698.170000002</v>
      </c>
      <c r="K195" s="42">
        <f t="shared" si="18"/>
        <v>0</v>
      </c>
      <c r="L195" s="42">
        <f t="shared" si="19"/>
        <v>41625698.170000002</v>
      </c>
      <c r="M195" s="43"/>
      <c r="N195" s="34"/>
    </row>
    <row r="196" spans="1:14" hidden="1" x14ac:dyDescent="0.25">
      <c r="A196" s="35" t="s">
        <v>373</v>
      </c>
      <c r="B196" s="36" t="s">
        <v>374</v>
      </c>
      <c r="C196" s="37" t="s">
        <v>39</v>
      </c>
      <c r="D196" s="38">
        <v>55.52</v>
      </c>
      <c r="E196" s="39">
        <v>55.52</v>
      </c>
      <c r="F196" s="28">
        <f t="shared" si="22"/>
        <v>0</v>
      </c>
      <c r="G196" s="39">
        <f t="shared" si="21"/>
        <v>55.52</v>
      </c>
      <c r="H196" s="40">
        <v>103945</v>
      </c>
      <c r="I196" s="41">
        <f t="shared" si="23"/>
        <v>5771026</v>
      </c>
      <c r="J196" s="42">
        <f t="shared" si="17"/>
        <v>5771026.4000000004</v>
      </c>
      <c r="K196" s="42">
        <f t="shared" si="18"/>
        <v>0</v>
      </c>
      <c r="L196" s="42">
        <f t="shared" si="19"/>
        <v>5771026.4000000004</v>
      </c>
      <c r="M196" s="43"/>
      <c r="N196" s="34"/>
    </row>
    <row r="197" spans="1:14" hidden="1" x14ac:dyDescent="0.25">
      <c r="A197" s="35" t="s">
        <v>375</v>
      </c>
      <c r="B197" s="36" t="s">
        <v>376</v>
      </c>
      <c r="C197" s="37" t="s">
        <v>39</v>
      </c>
      <c r="D197" s="38">
        <v>84.33</v>
      </c>
      <c r="E197" s="39">
        <v>84.33</v>
      </c>
      <c r="F197" s="28">
        <f t="shared" si="22"/>
        <v>0</v>
      </c>
      <c r="G197" s="39">
        <f t="shared" si="21"/>
        <v>84.33</v>
      </c>
      <c r="H197" s="40">
        <v>141724</v>
      </c>
      <c r="I197" s="41">
        <f>ROUND(D197*H197,0)</f>
        <v>11951585</v>
      </c>
      <c r="J197" s="42">
        <f t="shared" si="17"/>
        <v>11951584.92</v>
      </c>
      <c r="K197" s="42">
        <f t="shared" si="18"/>
        <v>0</v>
      </c>
      <c r="L197" s="42">
        <f t="shared" si="19"/>
        <v>11951584.92</v>
      </c>
      <c r="M197" s="43"/>
      <c r="N197" s="34"/>
    </row>
    <row r="198" spans="1:14" hidden="1" x14ac:dyDescent="0.25">
      <c r="A198" s="35" t="s">
        <v>377</v>
      </c>
      <c r="B198" s="36" t="s">
        <v>348</v>
      </c>
      <c r="C198" s="37" t="s">
        <v>42</v>
      </c>
      <c r="D198" s="38">
        <v>4.0199999999999996</v>
      </c>
      <c r="E198" s="39">
        <v>4.0199999999999996</v>
      </c>
      <c r="F198" s="28">
        <f t="shared" si="22"/>
        <v>0</v>
      </c>
      <c r="G198" s="39">
        <f t="shared" si="21"/>
        <v>4.0199999999999996</v>
      </c>
      <c r="H198" s="40">
        <v>851305</v>
      </c>
      <c r="I198" s="41">
        <f>ROUND(D198*H198,0)</f>
        <v>3422246</v>
      </c>
      <c r="J198" s="42">
        <f t="shared" si="17"/>
        <v>3422246.0999999996</v>
      </c>
      <c r="K198" s="42">
        <f t="shared" si="18"/>
        <v>0</v>
      </c>
      <c r="L198" s="42">
        <f t="shared" si="19"/>
        <v>3422246.0999999996</v>
      </c>
      <c r="M198" s="43"/>
      <c r="N198" s="34"/>
    </row>
    <row r="199" spans="1:14" hidden="1" x14ac:dyDescent="0.25">
      <c r="A199" s="35" t="s">
        <v>378</v>
      </c>
      <c r="B199" s="36" t="s">
        <v>379</v>
      </c>
      <c r="C199" s="37" t="s">
        <v>42</v>
      </c>
      <c r="D199" s="38">
        <v>46.43</v>
      </c>
      <c r="E199" s="39">
        <v>46.43</v>
      </c>
      <c r="F199" s="28">
        <f t="shared" si="22"/>
        <v>0</v>
      </c>
      <c r="G199" s="39">
        <f t="shared" si="21"/>
        <v>46.43</v>
      </c>
      <c r="H199" s="40">
        <v>1252250</v>
      </c>
      <c r="I199" s="41">
        <f>ROUND(D199*H199,0)</f>
        <v>58141968</v>
      </c>
      <c r="J199" s="42">
        <f t="shared" si="17"/>
        <v>58141967.5</v>
      </c>
      <c r="K199" s="42">
        <f t="shared" si="18"/>
        <v>0</v>
      </c>
      <c r="L199" s="42">
        <f t="shared" si="19"/>
        <v>58141967.5</v>
      </c>
      <c r="M199" s="43"/>
      <c r="N199" s="34"/>
    </row>
    <row r="200" spans="1:14" hidden="1" x14ac:dyDescent="0.25">
      <c r="A200" s="35" t="s">
        <v>380</v>
      </c>
      <c r="B200" s="36" t="s">
        <v>348</v>
      </c>
      <c r="C200" s="37" t="s">
        <v>42</v>
      </c>
      <c r="D200" s="38">
        <v>18.57</v>
      </c>
      <c r="E200" s="39">
        <v>18.57</v>
      </c>
      <c r="F200" s="28">
        <f t="shared" si="22"/>
        <v>0</v>
      </c>
      <c r="G200" s="39">
        <f t="shared" si="21"/>
        <v>18.57</v>
      </c>
      <c r="H200" s="40">
        <v>851305</v>
      </c>
      <c r="I200" s="41">
        <f>ROUND(D200*H200,0)</f>
        <v>15808734</v>
      </c>
      <c r="J200" s="42">
        <f t="shared" si="17"/>
        <v>15808733.85</v>
      </c>
      <c r="K200" s="42">
        <f t="shared" si="18"/>
        <v>0</v>
      </c>
      <c r="L200" s="42">
        <f t="shared" si="19"/>
        <v>15808733.85</v>
      </c>
      <c r="M200" s="43"/>
      <c r="N200" s="34"/>
    </row>
    <row r="201" spans="1:14" hidden="1" x14ac:dyDescent="0.25">
      <c r="A201" s="35" t="s">
        <v>381</v>
      </c>
      <c r="B201" s="36" t="s">
        <v>379</v>
      </c>
      <c r="C201" s="37" t="s">
        <v>42</v>
      </c>
      <c r="D201" s="38">
        <v>9.3000000000000007</v>
      </c>
      <c r="E201" s="39">
        <v>9.3000000000000007</v>
      </c>
      <c r="F201" s="28">
        <f t="shared" si="22"/>
        <v>0</v>
      </c>
      <c r="G201" s="39">
        <f t="shared" si="21"/>
        <v>9.3000000000000007</v>
      </c>
      <c r="H201" s="40">
        <v>1252250</v>
      </c>
      <c r="I201" s="41">
        <f t="shared" ref="I201:I243" si="24">ROUND(D201*H201,0)</f>
        <v>11645925</v>
      </c>
      <c r="J201" s="42">
        <f t="shared" si="17"/>
        <v>11645925</v>
      </c>
      <c r="K201" s="42">
        <f t="shared" si="18"/>
        <v>0</v>
      </c>
      <c r="L201" s="42">
        <f t="shared" si="19"/>
        <v>11645925</v>
      </c>
      <c r="M201" s="43"/>
      <c r="N201" s="34"/>
    </row>
    <row r="202" spans="1:14" hidden="1" x14ac:dyDescent="0.25">
      <c r="A202" s="35" t="s">
        <v>382</v>
      </c>
      <c r="B202" s="36" t="s">
        <v>348</v>
      </c>
      <c r="C202" s="37" t="s">
        <v>42</v>
      </c>
      <c r="D202" s="38">
        <v>3.72</v>
      </c>
      <c r="E202" s="39">
        <v>3.72</v>
      </c>
      <c r="F202" s="28">
        <f t="shared" si="22"/>
        <v>0</v>
      </c>
      <c r="G202" s="39">
        <f t="shared" si="21"/>
        <v>3.72</v>
      </c>
      <c r="H202" s="40">
        <v>851305</v>
      </c>
      <c r="I202" s="41">
        <f t="shared" si="24"/>
        <v>3166855</v>
      </c>
      <c r="J202" s="42">
        <f t="shared" si="17"/>
        <v>3166854.6</v>
      </c>
      <c r="K202" s="42">
        <f t="shared" si="18"/>
        <v>0</v>
      </c>
      <c r="L202" s="42">
        <f t="shared" si="19"/>
        <v>3166854.6</v>
      </c>
      <c r="M202" s="43"/>
      <c r="N202" s="34"/>
    </row>
    <row r="203" spans="1:14" hidden="1" x14ac:dyDescent="0.25">
      <c r="A203" s="35" t="s">
        <v>383</v>
      </c>
      <c r="B203" s="36" t="s">
        <v>384</v>
      </c>
      <c r="C203" s="37" t="s">
        <v>42</v>
      </c>
      <c r="D203" s="38">
        <v>848.75</v>
      </c>
      <c r="E203" s="39">
        <v>848.75</v>
      </c>
      <c r="F203" s="28">
        <f t="shared" si="22"/>
        <v>0</v>
      </c>
      <c r="G203" s="39">
        <f t="shared" si="21"/>
        <v>848.75</v>
      </c>
      <c r="H203" s="40">
        <v>20867</v>
      </c>
      <c r="I203" s="41">
        <f t="shared" si="24"/>
        <v>17710866</v>
      </c>
      <c r="J203" s="42">
        <f t="shared" si="17"/>
        <v>17710866.25</v>
      </c>
      <c r="K203" s="42">
        <f t="shared" si="18"/>
        <v>0</v>
      </c>
      <c r="L203" s="42">
        <f t="shared" si="19"/>
        <v>17710866.25</v>
      </c>
      <c r="M203" s="43"/>
      <c r="N203" s="34"/>
    </row>
    <row r="204" spans="1:14" hidden="1" x14ac:dyDescent="0.25">
      <c r="A204" s="35" t="s">
        <v>385</v>
      </c>
      <c r="B204" s="36" t="s">
        <v>386</v>
      </c>
      <c r="C204" s="37" t="s">
        <v>42</v>
      </c>
      <c r="D204" s="38">
        <v>462.36</v>
      </c>
      <c r="E204" s="39">
        <v>462.36</v>
      </c>
      <c r="F204" s="28">
        <f t="shared" si="22"/>
        <v>0</v>
      </c>
      <c r="G204" s="39">
        <f t="shared" si="21"/>
        <v>462.36</v>
      </c>
      <c r="H204" s="40">
        <v>12936</v>
      </c>
      <c r="I204" s="41">
        <f t="shared" si="24"/>
        <v>5981089</v>
      </c>
      <c r="J204" s="42">
        <f t="shared" si="17"/>
        <v>5981088.96</v>
      </c>
      <c r="K204" s="42">
        <f t="shared" si="18"/>
        <v>0</v>
      </c>
      <c r="L204" s="42">
        <f t="shared" si="19"/>
        <v>5981088.96</v>
      </c>
      <c r="M204" s="43"/>
      <c r="N204" s="34"/>
    </row>
    <row r="205" spans="1:14" hidden="1" x14ac:dyDescent="0.25">
      <c r="A205" s="35" t="s">
        <v>387</v>
      </c>
      <c r="B205" s="36" t="s">
        <v>60</v>
      </c>
      <c r="C205" s="37" t="s">
        <v>42</v>
      </c>
      <c r="D205" s="38">
        <v>632.17999999999995</v>
      </c>
      <c r="E205" s="39">
        <v>632.17999999999995</v>
      </c>
      <c r="F205" s="28">
        <f t="shared" si="22"/>
        <v>0</v>
      </c>
      <c r="G205" s="39">
        <f t="shared" si="21"/>
        <v>632.17999999999995</v>
      </c>
      <c r="H205" s="40">
        <v>50585</v>
      </c>
      <c r="I205" s="41">
        <f t="shared" si="24"/>
        <v>31978825</v>
      </c>
      <c r="J205" s="42">
        <f t="shared" si="17"/>
        <v>31978825.299999997</v>
      </c>
      <c r="K205" s="42">
        <f t="shared" si="18"/>
        <v>0</v>
      </c>
      <c r="L205" s="42">
        <f t="shared" si="19"/>
        <v>31978825.299999997</v>
      </c>
      <c r="M205" s="43"/>
      <c r="N205" s="34"/>
    </row>
    <row r="206" spans="1:14" hidden="1" x14ac:dyDescent="0.25">
      <c r="A206" s="35" t="s">
        <v>388</v>
      </c>
      <c r="B206" s="36" t="s">
        <v>64</v>
      </c>
      <c r="C206" s="37" t="s">
        <v>65</v>
      </c>
      <c r="D206" s="38">
        <v>63.22</v>
      </c>
      <c r="E206" s="39">
        <v>63.22</v>
      </c>
      <c r="F206" s="28">
        <f t="shared" si="22"/>
        <v>0</v>
      </c>
      <c r="G206" s="39">
        <f t="shared" si="21"/>
        <v>63.22</v>
      </c>
      <c r="H206" s="40">
        <v>1032698</v>
      </c>
      <c r="I206" s="41">
        <f t="shared" si="24"/>
        <v>65287168</v>
      </c>
      <c r="J206" s="42">
        <f t="shared" si="17"/>
        <v>65287167.560000002</v>
      </c>
      <c r="K206" s="42">
        <f t="shared" si="18"/>
        <v>0</v>
      </c>
      <c r="L206" s="42">
        <f t="shared" si="19"/>
        <v>65287167.560000002</v>
      </c>
      <c r="M206" s="43"/>
      <c r="N206" s="34"/>
    </row>
    <row r="207" spans="1:14" hidden="1" x14ac:dyDescent="0.25">
      <c r="A207" s="35" t="s">
        <v>389</v>
      </c>
      <c r="B207" s="36" t="s">
        <v>390</v>
      </c>
      <c r="C207" s="37" t="s">
        <v>42</v>
      </c>
      <c r="D207" s="38">
        <v>349.88</v>
      </c>
      <c r="E207" s="39">
        <v>349.88</v>
      </c>
      <c r="F207" s="28">
        <f t="shared" si="22"/>
        <v>0</v>
      </c>
      <c r="G207" s="39">
        <f t="shared" si="21"/>
        <v>349.88</v>
      </c>
      <c r="H207" s="40">
        <v>271833</v>
      </c>
      <c r="I207" s="41">
        <f t="shared" si="24"/>
        <v>95108930</v>
      </c>
      <c r="J207" s="42">
        <f t="shared" si="17"/>
        <v>95108930.039999992</v>
      </c>
      <c r="K207" s="42">
        <f t="shared" si="18"/>
        <v>0</v>
      </c>
      <c r="L207" s="42">
        <f t="shared" si="19"/>
        <v>95108930.039999992</v>
      </c>
      <c r="M207" s="43"/>
      <c r="N207" s="34"/>
    </row>
    <row r="208" spans="1:14" hidden="1" x14ac:dyDescent="0.25">
      <c r="A208" s="35" t="s">
        <v>391</v>
      </c>
      <c r="B208" s="36" t="s">
        <v>392</v>
      </c>
      <c r="C208" s="37" t="s">
        <v>42</v>
      </c>
      <c r="D208" s="38">
        <v>75.319999999999993</v>
      </c>
      <c r="E208" s="39">
        <v>75.319999999999993</v>
      </c>
      <c r="F208" s="28">
        <f t="shared" si="22"/>
        <v>0</v>
      </c>
      <c r="G208" s="39">
        <f t="shared" si="21"/>
        <v>75.319999999999993</v>
      </c>
      <c r="H208" s="40">
        <v>281325</v>
      </c>
      <c r="I208" s="41">
        <f t="shared" si="24"/>
        <v>21189399</v>
      </c>
      <c r="J208" s="42">
        <f t="shared" si="17"/>
        <v>21189398.999999996</v>
      </c>
      <c r="K208" s="42">
        <f t="shared" si="18"/>
        <v>0</v>
      </c>
      <c r="L208" s="42">
        <f t="shared" si="19"/>
        <v>21189398.999999996</v>
      </c>
      <c r="M208" s="43"/>
      <c r="N208" s="34"/>
    </row>
    <row r="209" spans="1:14" hidden="1" x14ac:dyDescent="0.25">
      <c r="A209" s="35" t="s">
        <v>393</v>
      </c>
      <c r="B209" s="36" t="s">
        <v>394</v>
      </c>
      <c r="C209" s="37" t="s">
        <v>84</v>
      </c>
      <c r="D209" s="38">
        <v>18829.13</v>
      </c>
      <c r="E209" s="39">
        <v>18829.13</v>
      </c>
      <c r="F209" s="28">
        <f t="shared" si="22"/>
        <v>0</v>
      </c>
      <c r="G209" s="39">
        <f t="shared" si="21"/>
        <v>18829.13</v>
      </c>
      <c r="H209" s="40">
        <v>11223</v>
      </c>
      <c r="I209" s="41">
        <f t="shared" si="24"/>
        <v>211319326</v>
      </c>
      <c r="J209" s="42">
        <f t="shared" ref="J209:J269" si="25">E209*H209</f>
        <v>211319325.99000001</v>
      </c>
      <c r="K209" s="42">
        <f t="shared" ref="K209:K269" si="26">F209*H209</f>
        <v>0</v>
      </c>
      <c r="L209" s="42">
        <f t="shared" ref="L209:L269" si="27">G209*H209</f>
        <v>211319325.99000001</v>
      </c>
      <c r="M209" s="43"/>
      <c r="N209" s="34"/>
    </row>
    <row r="210" spans="1:14" hidden="1" x14ac:dyDescent="0.25">
      <c r="A210" s="35" t="s">
        <v>395</v>
      </c>
      <c r="B210" s="36" t="s">
        <v>396</v>
      </c>
      <c r="C210" s="37" t="s">
        <v>39</v>
      </c>
      <c r="D210" s="38">
        <v>376.88</v>
      </c>
      <c r="E210" s="39">
        <v>376.88</v>
      </c>
      <c r="F210" s="28">
        <f t="shared" si="22"/>
        <v>0</v>
      </c>
      <c r="G210" s="39">
        <f t="shared" si="21"/>
        <v>376.88</v>
      </c>
      <c r="H210" s="40">
        <v>19714</v>
      </c>
      <c r="I210" s="41">
        <f t="shared" si="24"/>
        <v>7429812</v>
      </c>
      <c r="J210" s="42">
        <f t="shared" si="25"/>
        <v>7429812.3200000003</v>
      </c>
      <c r="K210" s="42">
        <f t="shared" si="26"/>
        <v>0</v>
      </c>
      <c r="L210" s="42">
        <f t="shared" si="27"/>
        <v>7429812.3200000003</v>
      </c>
      <c r="M210" s="43"/>
      <c r="N210" s="34"/>
    </row>
    <row r="211" spans="1:14" hidden="1" x14ac:dyDescent="0.25">
      <c r="A211" s="35" t="s">
        <v>397</v>
      </c>
      <c r="B211" s="36" t="s">
        <v>398</v>
      </c>
      <c r="C211" s="37" t="s">
        <v>42</v>
      </c>
      <c r="D211" s="38">
        <v>848.75</v>
      </c>
      <c r="E211" s="39">
        <v>848.75</v>
      </c>
      <c r="F211" s="28">
        <f t="shared" si="22"/>
        <v>0</v>
      </c>
      <c r="G211" s="39">
        <f t="shared" si="21"/>
        <v>848.75</v>
      </c>
      <c r="H211" s="40">
        <v>45382</v>
      </c>
      <c r="I211" s="41">
        <f t="shared" si="24"/>
        <v>38517973</v>
      </c>
      <c r="J211" s="42">
        <f t="shared" si="25"/>
        <v>38517972.5</v>
      </c>
      <c r="K211" s="42">
        <f t="shared" si="26"/>
        <v>0</v>
      </c>
      <c r="L211" s="42">
        <f t="shared" si="27"/>
        <v>38517972.5</v>
      </c>
      <c r="M211" s="43"/>
      <c r="N211" s="34"/>
    </row>
    <row r="212" spans="1:14" s="75" customFormat="1" hidden="1" x14ac:dyDescent="0.25">
      <c r="A212" s="66" t="s">
        <v>399</v>
      </c>
      <c r="B212" s="67" t="s">
        <v>400</v>
      </c>
      <c r="C212" s="68" t="s">
        <v>42</v>
      </c>
      <c r="D212" s="69">
        <v>57.9</v>
      </c>
      <c r="E212" s="70">
        <v>57.9</v>
      </c>
      <c r="F212" s="28">
        <f t="shared" si="22"/>
        <v>0</v>
      </c>
      <c r="G212" s="39">
        <f t="shared" ref="G212:G275" si="28">E212+F212</f>
        <v>57.9</v>
      </c>
      <c r="H212" s="71">
        <v>2101184</v>
      </c>
      <c r="I212" s="72">
        <f t="shared" si="24"/>
        <v>121658554</v>
      </c>
      <c r="J212" s="73">
        <f t="shared" si="25"/>
        <v>121658553.59999999</v>
      </c>
      <c r="K212" s="73">
        <f t="shared" si="26"/>
        <v>0</v>
      </c>
      <c r="L212" s="73">
        <f t="shared" si="27"/>
        <v>121658553.59999999</v>
      </c>
      <c r="M212" s="74"/>
      <c r="N212" s="34"/>
    </row>
    <row r="213" spans="1:14" s="75" customFormat="1" hidden="1" x14ac:dyDescent="0.25">
      <c r="A213" s="66" t="s">
        <v>401</v>
      </c>
      <c r="B213" s="67" t="s">
        <v>402</v>
      </c>
      <c r="C213" s="68" t="s">
        <v>42</v>
      </c>
      <c r="D213" s="69">
        <v>59.34</v>
      </c>
      <c r="E213" s="70">
        <v>59.34</v>
      </c>
      <c r="F213" s="28">
        <f t="shared" si="22"/>
        <v>0</v>
      </c>
      <c r="G213" s="39">
        <f t="shared" si="28"/>
        <v>59.34</v>
      </c>
      <c r="H213" s="71">
        <v>57102</v>
      </c>
      <c r="I213" s="72">
        <f t="shared" si="24"/>
        <v>3388433</v>
      </c>
      <c r="J213" s="73">
        <f t="shared" si="25"/>
        <v>3388432.68</v>
      </c>
      <c r="K213" s="73">
        <f t="shared" si="26"/>
        <v>0</v>
      </c>
      <c r="L213" s="73">
        <f t="shared" si="27"/>
        <v>3388432.68</v>
      </c>
      <c r="M213" s="74"/>
      <c r="N213" s="34"/>
    </row>
    <row r="214" spans="1:14" hidden="1" x14ac:dyDescent="0.25">
      <c r="A214" s="35" t="s">
        <v>403</v>
      </c>
      <c r="B214" s="36" t="s">
        <v>404</v>
      </c>
      <c r="C214" s="37" t="s">
        <v>42</v>
      </c>
      <c r="D214" s="38">
        <v>59.34</v>
      </c>
      <c r="E214" s="39">
        <v>59.34</v>
      </c>
      <c r="F214" s="28">
        <f t="shared" si="22"/>
        <v>0</v>
      </c>
      <c r="G214" s="39">
        <f t="shared" si="28"/>
        <v>59.34</v>
      </c>
      <c r="H214" s="40">
        <v>266680</v>
      </c>
      <c r="I214" s="41">
        <f t="shared" si="24"/>
        <v>15824791</v>
      </c>
      <c r="J214" s="42">
        <f t="shared" si="25"/>
        <v>15824791.200000001</v>
      </c>
      <c r="K214" s="42">
        <f t="shared" si="26"/>
        <v>0</v>
      </c>
      <c r="L214" s="42">
        <f t="shared" si="27"/>
        <v>15824791.200000001</v>
      </c>
      <c r="M214" s="43"/>
      <c r="N214" s="34"/>
    </row>
    <row r="215" spans="1:14" hidden="1" x14ac:dyDescent="0.25">
      <c r="A215" s="35" t="s">
        <v>405</v>
      </c>
      <c r="B215" s="36" t="s">
        <v>406</v>
      </c>
      <c r="C215" s="37" t="s">
        <v>118</v>
      </c>
      <c r="D215" s="38">
        <v>0.17</v>
      </c>
      <c r="E215" s="39">
        <v>0.17</v>
      </c>
      <c r="F215" s="28">
        <f t="shared" si="22"/>
        <v>0</v>
      </c>
      <c r="G215" s="39">
        <f t="shared" si="28"/>
        <v>0.17</v>
      </c>
      <c r="H215" s="40">
        <v>25850539</v>
      </c>
      <c r="I215" s="41">
        <f t="shared" si="24"/>
        <v>4394592</v>
      </c>
      <c r="J215" s="42">
        <f t="shared" si="25"/>
        <v>4394591.63</v>
      </c>
      <c r="K215" s="42">
        <f t="shared" si="26"/>
        <v>0</v>
      </c>
      <c r="L215" s="42">
        <f t="shared" si="27"/>
        <v>4394591.63</v>
      </c>
      <c r="M215" s="43"/>
      <c r="N215" s="34"/>
    </row>
    <row r="216" spans="1:14" hidden="1" x14ac:dyDescent="0.25">
      <c r="A216" s="35" t="s">
        <v>407</v>
      </c>
      <c r="B216" s="36" t="s">
        <v>408</v>
      </c>
      <c r="C216" s="37" t="s">
        <v>118</v>
      </c>
      <c r="D216" s="38">
        <v>2.66</v>
      </c>
      <c r="E216" s="39">
        <v>2.66</v>
      </c>
      <c r="F216" s="28">
        <f t="shared" si="22"/>
        <v>0</v>
      </c>
      <c r="G216" s="39">
        <f t="shared" si="28"/>
        <v>2.66</v>
      </c>
      <c r="H216" s="40">
        <v>25593806</v>
      </c>
      <c r="I216" s="41">
        <f t="shared" si="24"/>
        <v>68079524</v>
      </c>
      <c r="J216" s="42">
        <f t="shared" si="25"/>
        <v>68079523.960000008</v>
      </c>
      <c r="K216" s="42">
        <f t="shared" si="26"/>
        <v>0</v>
      </c>
      <c r="L216" s="42">
        <f t="shared" si="27"/>
        <v>68079523.960000008</v>
      </c>
      <c r="M216" s="43"/>
      <c r="N216" s="34"/>
    </row>
    <row r="217" spans="1:14" hidden="1" x14ac:dyDescent="0.25">
      <c r="A217" s="35" t="s">
        <v>409</v>
      </c>
      <c r="B217" s="36" t="s">
        <v>410</v>
      </c>
      <c r="C217" s="37" t="s">
        <v>118</v>
      </c>
      <c r="D217" s="38">
        <v>5.74</v>
      </c>
      <c r="E217" s="39">
        <v>5.74</v>
      </c>
      <c r="F217" s="28">
        <f t="shared" si="22"/>
        <v>0</v>
      </c>
      <c r="G217" s="39">
        <f t="shared" si="28"/>
        <v>5.74</v>
      </c>
      <c r="H217" s="40">
        <v>24899152</v>
      </c>
      <c r="I217" s="41">
        <f t="shared" si="24"/>
        <v>142921132</v>
      </c>
      <c r="J217" s="42">
        <f t="shared" si="25"/>
        <v>142921132.48000002</v>
      </c>
      <c r="K217" s="42">
        <f t="shared" si="26"/>
        <v>0</v>
      </c>
      <c r="L217" s="42">
        <f t="shared" si="27"/>
        <v>142921132.48000002</v>
      </c>
      <c r="M217" s="43"/>
      <c r="N217" s="34"/>
    </row>
    <row r="218" spans="1:14" hidden="1" x14ac:dyDescent="0.25">
      <c r="A218" s="35" t="s">
        <v>411</v>
      </c>
      <c r="B218" s="36" t="s">
        <v>412</v>
      </c>
      <c r="C218" s="37" t="s">
        <v>42</v>
      </c>
      <c r="D218" s="38">
        <v>34.56</v>
      </c>
      <c r="E218" s="39">
        <v>34.56</v>
      </c>
      <c r="F218" s="28">
        <f t="shared" si="22"/>
        <v>0</v>
      </c>
      <c r="G218" s="39">
        <f t="shared" si="28"/>
        <v>34.56</v>
      </c>
      <c r="H218" s="40">
        <v>1147575</v>
      </c>
      <c r="I218" s="41">
        <f t="shared" si="24"/>
        <v>39660192</v>
      </c>
      <c r="J218" s="42">
        <f t="shared" si="25"/>
        <v>39660192</v>
      </c>
      <c r="K218" s="42">
        <f t="shared" si="26"/>
        <v>0</v>
      </c>
      <c r="L218" s="42">
        <f t="shared" si="27"/>
        <v>39660192</v>
      </c>
      <c r="M218" s="43"/>
      <c r="N218" s="34"/>
    </row>
    <row r="219" spans="1:14" hidden="1" x14ac:dyDescent="0.25">
      <c r="A219" s="35" t="s">
        <v>413</v>
      </c>
      <c r="B219" s="36" t="s">
        <v>414</v>
      </c>
      <c r="C219" s="37" t="s">
        <v>39</v>
      </c>
      <c r="D219" s="38">
        <v>266.81</v>
      </c>
      <c r="E219" s="39">
        <v>266.81</v>
      </c>
      <c r="F219" s="28">
        <f t="shared" si="22"/>
        <v>0</v>
      </c>
      <c r="G219" s="39">
        <f t="shared" si="28"/>
        <v>266.81</v>
      </c>
      <c r="H219" s="40">
        <v>141724</v>
      </c>
      <c r="I219" s="41">
        <f t="shared" si="24"/>
        <v>37813380</v>
      </c>
      <c r="J219" s="42">
        <f t="shared" si="25"/>
        <v>37813380.439999998</v>
      </c>
      <c r="K219" s="42">
        <f t="shared" si="26"/>
        <v>0</v>
      </c>
      <c r="L219" s="42">
        <f t="shared" si="27"/>
        <v>37813380.439999998</v>
      </c>
      <c r="M219" s="43"/>
      <c r="N219" s="34"/>
    </row>
    <row r="220" spans="1:14" hidden="1" x14ac:dyDescent="0.25">
      <c r="A220" s="35" t="s">
        <v>415</v>
      </c>
      <c r="B220" s="36" t="s">
        <v>416</v>
      </c>
      <c r="C220" s="37" t="s">
        <v>39</v>
      </c>
      <c r="D220" s="38">
        <v>568.73</v>
      </c>
      <c r="E220" s="39">
        <v>568.73</v>
      </c>
      <c r="F220" s="28">
        <f t="shared" si="22"/>
        <v>0</v>
      </c>
      <c r="G220" s="39">
        <f t="shared" si="28"/>
        <v>568.73</v>
      </c>
      <c r="H220" s="40">
        <v>76805</v>
      </c>
      <c r="I220" s="41">
        <f t="shared" si="24"/>
        <v>43681308</v>
      </c>
      <c r="J220" s="42">
        <f t="shared" si="25"/>
        <v>43681307.649999999</v>
      </c>
      <c r="K220" s="42">
        <f t="shared" si="26"/>
        <v>0</v>
      </c>
      <c r="L220" s="42">
        <f t="shared" si="27"/>
        <v>43681307.649999999</v>
      </c>
      <c r="M220" s="43"/>
      <c r="N220" s="34"/>
    </row>
    <row r="221" spans="1:14" hidden="1" x14ac:dyDescent="0.25">
      <c r="A221" s="35" t="s">
        <v>417</v>
      </c>
      <c r="B221" s="36" t="s">
        <v>348</v>
      </c>
      <c r="C221" s="37" t="s">
        <v>42</v>
      </c>
      <c r="D221" s="38">
        <v>45.32</v>
      </c>
      <c r="E221" s="39">
        <v>45.32</v>
      </c>
      <c r="F221" s="28">
        <f t="shared" si="22"/>
        <v>0</v>
      </c>
      <c r="G221" s="39">
        <f t="shared" si="28"/>
        <v>45.32</v>
      </c>
      <c r="H221" s="40">
        <v>851305</v>
      </c>
      <c r="I221" s="41">
        <f t="shared" si="24"/>
        <v>38581143</v>
      </c>
      <c r="J221" s="42">
        <f t="shared" si="25"/>
        <v>38581142.600000001</v>
      </c>
      <c r="K221" s="42">
        <f t="shared" si="26"/>
        <v>0</v>
      </c>
      <c r="L221" s="42">
        <f t="shared" si="27"/>
        <v>38581142.600000001</v>
      </c>
      <c r="M221" s="43"/>
      <c r="N221" s="34"/>
    </row>
    <row r="222" spans="1:14" hidden="1" x14ac:dyDescent="0.25">
      <c r="A222" s="35" t="s">
        <v>418</v>
      </c>
      <c r="B222" s="36" t="s">
        <v>419</v>
      </c>
      <c r="C222" s="37" t="s">
        <v>118</v>
      </c>
      <c r="D222" s="38">
        <v>0.02</v>
      </c>
      <c r="E222" s="39">
        <v>0.02</v>
      </c>
      <c r="F222" s="28">
        <f t="shared" si="22"/>
        <v>0</v>
      </c>
      <c r="G222" s="39">
        <f t="shared" si="28"/>
        <v>0.02</v>
      </c>
      <c r="H222" s="40">
        <v>25850539</v>
      </c>
      <c r="I222" s="41">
        <f t="shared" si="24"/>
        <v>517011</v>
      </c>
      <c r="J222" s="42">
        <f t="shared" si="25"/>
        <v>517010.78</v>
      </c>
      <c r="K222" s="42">
        <f t="shared" si="26"/>
        <v>0</v>
      </c>
      <c r="L222" s="42">
        <f t="shared" si="27"/>
        <v>517010.78</v>
      </c>
      <c r="M222" s="43"/>
      <c r="N222" s="34"/>
    </row>
    <row r="223" spans="1:14" hidden="1" x14ac:dyDescent="0.25">
      <c r="A223" s="35" t="s">
        <v>420</v>
      </c>
      <c r="B223" s="36" t="s">
        <v>421</v>
      </c>
      <c r="C223" s="37" t="s">
        <v>118</v>
      </c>
      <c r="D223" s="38">
        <v>0.22</v>
      </c>
      <c r="E223" s="39">
        <v>0.22</v>
      </c>
      <c r="F223" s="28">
        <f t="shared" si="22"/>
        <v>0</v>
      </c>
      <c r="G223" s="39">
        <f t="shared" si="28"/>
        <v>0.22</v>
      </c>
      <c r="H223" s="40">
        <v>24899152</v>
      </c>
      <c r="I223" s="41">
        <f t="shared" si="24"/>
        <v>5477813</v>
      </c>
      <c r="J223" s="42">
        <f t="shared" si="25"/>
        <v>5477813.4400000004</v>
      </c>
      <c r="K223" s="42">
        <f t="shared" si="26"/>
        <v>0</v>
      </c>
      <c r="L223" s="42">
        <f t="shared" si="27"/>
        <v>5477813.4400000004</v>
      </c>
      <c r="M223" s="43"/>
      <c r="N223" s="34"/>
    </row>
    <row r="224" spans="1:14" hidden="1" x14ac:dyDescent="0.25">
      <c r="A224" s="35" t="s">
        <v>422</v>
      </c>
      <c r="B224" s="36" t="s">
        <v>423</v>
      </c>
      <c r="C224" s="37" t="s">
        <v>118</v>
      </c>
      <c r="D224" s="38">
        <v>0.22</v>
      </c>
      <c r="E224" s="39">
        <v>0.22</v>
      </c>
      <c r="F224" s="28">
        <f t="shared" si="22"/>
        <v>0</v>
      </c>
      <c r="G224" s="39">
        <f t="shared" si="28"/>
        <v>0.22</v>
      </c>
      <c r="H224" s="40">
        <v>9028655</v>
      </c>
      <c r="I224" s="41">
        <f t="shared" si="24"/>
        <v>1986304</v>
      </c>
      <c r="J224" s="42">
        <f t="shared" si="25"/>
        <v>1986304.1</v>
      </c>
      <c r="K224" s="42">
        <f t="shared" si="26"/>
        <v>0</v>
      </c>
      <c r="L224" s="42">
        <f t="shared" si="27"/>
        <v>1986304.1</v>
      </c>
      <c r="M224" s="43"/>
      <c r="N224" s="34"/>
    </row>
    <row r="225" spans="1:14" hidden="1" x14ac:dyDescent="0.25">
      <c r="A225" s="35" t="s">
        <v>424</v>
      </c>
      <c r="B225" s="36" t="s">
        <v>425</v>
      </c>
      <c r="C225" s="37" t="s">
        <v>84</v>
      </c>
      <c r="D225" s="38">
        <v>29.12</v>
      </c>
      <c r="E225" s="39">
        <v>29.12</v>
      </c>
      <c r="F225" s="28">
        <f t="shared" si="22"/>
        <v>0</v>
      </c>
      <c r="G225" s="39">
        <f t="shared" si="28"/>
        <v>29.12</v>
      </c>
      <c r="H225" s="40">
        <v>23353</v>
      </c>
      <c r="I225" s="41">
        <f t="shared" si="24"/>
        <v>680039</v>
      </c>
      <c r="J225" s="42">
        <f t="shared" si="25"/>
        <v>680039.36</v>
      </c>
      <c r="K225" s="42">
        <f t="shared" si="26"/>
        <v>0</v>
      </c>
      <c r="L225" s="42">
        <f t="shared" si="27"/>
        <v>680039.36</v>
      </c>
      <c r="M225" s="43"/>
      <c r="N225" s="34"/>
    </row>
    <row r="226" spans="1:14" hidden="1" x14ac:dyDescent="0.25">
      <c r="A226" s="35" t="s">
        <v>426</v>
      </c>
      <c r="B226" s="36" t="s">
        <v>427</v>
      </c>
      <c r="C226" s="37" t="s">
        <v>39</v>
      </c>
      <c r="D226" s="38">
        <v>0.75</v>
      </c>
      <c r="E226" s="39">
        <v>0.75</v>
      </c>
      <c r="F226" s="28">
        <f t="shared" si="22"/>
        <v>0</v>
      </c>
      <c r="G226" s="39">
        <f t="shared" si="28"/>
        <v>0.75</v>
      </c>
      <c r="H226" s="40">
        <v>370346</v>
      </c>
      <c r="I226" s="41">
        <f t="shared" si="24"/>
        <v>277760</v>
      </c>
      <c r="J226" s="42">
        <f t="shared" si="25"/>
        <v>277759.5</v>
      </c>
      <c r="K226" s="42">
        <f t="shared" si="26"/>
        <v>0</v>
      </c>
      <c r="L226" s="42">
        <f t="shared" si="27"/>
        <v>277759.5</v>
      </c>
      <c r="M226" s="43"/>
      <c r="N226" s="34"/>
    </row>
    <row r="227" spans="1:14" hidden="1" x14ac:dyDescent="0.25">
      <c r="A227" s="35" t="s">
        <v>428</v>
      </c>
      <c r="B227" s="36" t="s">
        <v>429</v>
      </c>
      <c r="C227" s="37" t="s">
        <v>84</v>
      </c>
      <c r="D227" s="38">
        <v>27.2</v>
      </c>
      <c r="E227" s="39">
        <v>27.2</v>
      </c>
      <c r="F227" s="28">
        <f t="shared" si="22"/>
        <v>0</v>
      </c>
      <c r="G227" s="39">
        <f t="shared" si="28"/>
        <v>27.2</v>
      </c>
      <c r="H227" s="40">
        <v>126388</v>
      </c>
      <c r="I227" s="41">
        <f t="shared" si="24"/>
        <v>3437754</v>
      </c>
      <c r="J227" s="42">
        <f t="shared" si="25"/>
        <v>3437753.6</v>
      </c>
      <c r="K227" s="42">
        <f t="shared" si="26"/>
        <v>0</v>
      </c>
      <c r="L227" s="42">
        <f t="shared" si="27"/>
        <v>3437753.6</v>
      </c>
      <c r="M227" s="43"/>
      <c r="N227" s="34"/>
    </row>
    <row r="228" spans="1:14" hidden="1" x14ac:dyDescent="0.25">
      <c r="A228" s="35" t="s">
        <v>430</v>
      </c>
      <c r="B228" s="36" t="s">
        <v>431</v>
      </c>
      <c r="C228" s="37" t="s">
        <v>42</v>
      </c>
      <c r="D228" s="38">
        <v>75.97</v>
      </c>
      <c r="E228" s="39">
        <v>75.97</v>
      </c>
      <c r="F228" s="28">
        <f t="shared" si="22"/>
        <v>0</v>
      </c>
      <c r="G228" s="39">
        <f t="shared" si="28"/>
        <v>75.97</v>
      </c>
      <c r="H228" s="40">
        <v>1724716</v>
      </c>
      <c r="I228" s="41">
        <f t="shared" si="24"/>
        <v>131026675</v>
      </c>
      <c r="J228" s="42">
        <f t="shared" si="25"/>
        <v>131026674.52</v>
      </c>
      <c r="K228" s="42">
        <f t="shared" si="26"/>
        <v>0</v>
      </c>
      <c r="L228" s="42">
        <f t="shared" si="27"/>
        <v>131026674.52</v>
      </c>
      <c r="M228" s="43"/>
      <c r="N228" s="34"/>
    </row>
    <row r="229" spans="1:14" hidden="1" x14ac:dyDescent="0.25">
      <c r="A229" s="35" t="s">
        <v>432</v>
      </c>
      <c r="B229" s="36" t="s">
        <v>402</v>
      </c>
      <c r="C229" s="37" t="s">
        <v>42</v>
      </c>
      <c r="D229" s="38">
        <v>77.11</v>
      </c>
      <c r="E229" s="39">
        <v>77.11</v>
      </c>
      <c r="F229" s="28">
        <f t="shared" si="22"/>
        <v>0</v>
      </c>
      <c r="G229" s="39">
        <f t="shared" si="28"/>
        <v>77.11</v>
      </c>
      <c r="H229" s="40">
        <v>57102</v>
      </c>
      <c r="I229" s="41">
        <f t="shared" si="24"/>
        <v>4403135</v>
      </c>
      <c r="J229" s="42">
        <f t="shared" si="25"/>
        <v>4403135.22</v>
      </c>
      <c r="K229" s="42">
        <f t="shared" si="26"/>
        <v>0</v>
      </c>
      <c r="L229" s="42">
        <f t="shared" si="27"/>
        <v>4403135.22</v>
      </c>
      <c r="M229" s="43"/>
      <c r="N229" s="34"/>
    </row>
    <row r="230" spans="1:14" hidden="1" x14ac:dyDescent="0.25">
      <c r="A230" s="35" t="s">
        <v>433</v>
      </c>
      <c r="B230" s="36" t="s">
        <v>404</v>
      </c>
      <c r="C230" s="37" t="s">
        <v>42</v>
      </c>
      <c r="D230" s="38">
        <v>77.11</v>
      </c>
      <c r="E230" s="39">
        <v>77.11</v>
      </c>
      <c r="F230" s="28">
        <f t="shared" si="22"/>
        <v>0</v>
      </c>
      <c r="G230" s="39">
        <f t="shared" si="28"/>
        <v>77.11</v>
      </c>
      <c r="H230" s="40">
        <v>266680</v>
      </c>
      <c r="I230" s="41">
        <f t="shared" si="24"/>
        <v>20563695</v>
      </c>
      <c r="J230" s="42">
        <f t="shared" si="25"/>
        <v>20563694.800000001</v>
      </c>
      <c r="K230" s="42">
        <f t="shared" si="26"/>
        <v>0</v>
      </c>
      <c r="L230" s="42">
        <f t="shared" si="27"/>
        <v>20563694.800000001</v>
      </c>
      <c r="M230" s="43"/>
      <c r="N230" s="34"/>
    </row>
    <row r="231" spans="1:14" hidden="1" x14ac:dyDescent="0.25">
      <c r="A231" s="35" t="s">
        <v>434</v>
      </c>
      <c r="B231" s="36" t="s">
        <v>435</v>
      </c>
      <c r="C231" s="37" t="s">
        <v>118</v>
      </c>
      <c r="D231" s="38">
        <v>0.19</v>
      </c>
      <c r="E231" s="39">
        <v>0.19</v>
      </c>
      <c r="F231" s="28">
        <f t="shared" si="22"/>
        <v>0</v>
      </c>
      <c r="G231" s="39">
        <f t="shared" si="28"/>
        <v>0.19</v>
      </c>
      <c r="H231" s="40">
        <v>25183853</v>
      </c>
      <c r="I231" s="41">
        <f t="shared" si="24"/>
        <v>4784932</v>
      </c>
      <c r="J231" s="42">
        <f t="shared" si="25"/>
        <v>4784932.07</v>
      </c>
      <c r="K231" s="42">
        <f t="shared" si="26"/>
        <v>0</v>
      </c>
      <c r="L231" s="42">
        <f t="shared" si="27"/>
        <v>4784932.07</v>
      </c>
      <c r="M231" s="43"/>
      <c r="N231" s="34"/>
    </row>
    <row r="232" spans="1:14" hidden="1" x14ac:dyDescent="0.25">
      <c r="A232" s="35" t="s">
        <v>436</v>
      </c>
      <c r="B232" s="36" t="s">
        <v>437</v>
      </c>
      <c r="C232" s="37" t="s">
        <v>118</v>
      </c>
      <c r="D232" s="38">
        <v>2.4700000000000002</v>
      </c>
      <c r="E232" s="39">
        <v>2.4700000000000002</v>
      </c>
      <c r="F232" s="28">
        <f t="shared" ref="F232:F295" si="29">D232-E232</f>
        <v>0</v>
      </c>
      <c r="G232" s="39">
        <f t="shared" si="28"/>
        <v>2.4700000000000002</v>
      </c>
      <c r="H232" s="40">
        <v>24802876</v>
      </c>
      <c r="I232" s="41">
        <f t="shared" si="24"/>
        <v>61263104</v>
      </c>
      <c r="J232" s="42">
        <f t="shared" si="25"/>
        <v>61263103.720000006</v>
      </c>
      <c r="K232" s="42">
        <f t="shared" si="26"/>
        <v>0</v>
      </c>
      <c r="L232" s="42">
        <f t="shared" si="27"/>
        <v>61263103.720000006</v>
      </c>
      <c r="M232" s="43"/>
      <c r="N232" s="34"/>
    </row>
    <row r="233" spans="1:14" hidden="1" x14ac:dyDescent="0.25">
      <c r="A233" s="35" t="s">
        <v>438</v>
      </c>
      <c r="B233" s="36" t="s">
        <v>439</v>
      </c>
      <c r="C233" s="37" t="s">
        <v>118</v>
      </c>
      <c r="D233" s="38">
        <v>5.46</v>
      </c>
      <c r="E233" s="39">
        <v>5.46</v>
      </c>
      <c r="F233" s="28">
        <f t="shared" si="29"/>
        <v>0</v>
      </c>
      <c r="G233" s="39">
        <f t="shared" si="28"/>
        <v>5.46</v>
      </c>
      <c r="H233" s="40">
        <v>24165799</v>
      </c>
      <c r="I233" s="41">
        <f t="shared" si="24"/>
        <v>131945263</v>
      </c>
      <c r="J233" s="42">
        <f t="shared" si="25"/>
        <v>131945262.54000001</v>
      </c>
      <c r="K233" s="42">
        <f t="shared" si="26"/>
        <v>0</v>
      </c>
      <c r="L233" s="42">
        <f t="shared" si="27"/>
        <v>131945262.54000001</v>
      </c>
      <c r="M233" s="43"/>
      <c r="N233" s="34"/>
    </row>
    <row r="234" spans="1:14" hidden="1" x14ac:dyDescent="0.25">
      <c r="A234" s="35" t="s">
        <v>440</v>
      </c>
      <c r="B234" s="36" t="s">
        <v>340</v>
      </c>
      <c r="C234" s="37" t="s">
        <v>39</v>
      </c>
      <c r="D234" s="38">
        <v>64.63</v>
      </c>
      <c r="E234" s="39">
        <v>64.63</v>
      </c>
      <c r="F234" s="28">
        <f t="shared" si="29"/>
        <v>0</v>
      </c>
      <c r="G234" s="39">
        <f t="shared" si="28"/>
        <v>64.63</v>
      </c>
      <c r="H234" s="40">
        <v>103945</v>
      </c>
      <c r="I234" s="41">
        <f t="shared" si="24"/>
        <v>6717965</v>
      </c>
      <c r="J234" s="42">
        <f t="shared" si="25"/>
        <v>6717965.3499999996</v>
      </c>
      <c r="K234" s="42">
        <f t="shared" si="26"/>
        <v>0</v>
      </c>
      <c r="L234" s="42">
        <f t="shared" si="27"/>
        <v>6717965.3499999996</v>
      </c>
      <c r="M234" s="43"/>
      <c r="N234" s="34"/>
    </row>
    <row r="235" spans="1:14" hidden="1" x14ac:dyDescent="0.25">
      <c r="A235" s="35" t="s">
        <v>441</v>
      </c>
      <c r="B235" s="36" t="s">
        <v>442</v>
      </c>
      <c r="C235" s="37" t="s">
        <v>42</v>
      </c>
      <c r="D235" s="38">
        <v>66.5</v>
      </c>
      <c r="E235" s="39">
        <v>66.5</v>
      </c>
      <c r="F235" s="28">
        <f t="shared" si="29"/>
        <v>0</v>
      </c>
      <c r="G235" s="39">
        <f t="shared" si="28"/>
        <v>66.5</v>
      </c>
      <c r="H235" s="40">
        <v>2045945</v>
      </c>
      <c r="I235" s="41">
        <f t="shared" si="24"/>
        <v>136055343</v>
      </c>
      <c r="J235" s="42">
        <f t="shared" si="25"/>
        <v>136055342.5</v>
      </c>
      <c r="K235" s="42">
        <f t="shared" si="26"/>
        <v>0</v>
      </c>
      <c r="L235" s="42">
        <f t="shared" si="27"/>
        <v>136055342.5</v>
      </c>
      <c r="M235" s="43"/>
      <c r="N235" s="34"/>
    </row>
    <row r="236" spans="1:14" hidden="1" x14ac:dyDescent="0.25">
      <c r="A236" s="35" t="s">
        <v>443</v>
      </c>
      <c r="B236" s="36" t="s">
        <v>402</v>
      </c>
      <c r="C236" s="37" t="s">
        <v>42</v>
      </c>
      <c r="D236" s="38">
        <v>67.5</v>
      </c>
      <c r="E236" s="39">
        <v>67.5</v>
      </c>
      <c r="F236" s="28">
        <f t="shared" si="29"/>
        <v>0</v>
      </c>
      <c r="G236" s="39">
        <f t="shared" si="28"/>
        <v>67.5</v>
      </c>
      <c r="H236" s="40">
        <v>57102</v>
      </c>
      <c r="I236" s="41">
        <f t="shared" si="24"/>
        <v>3854385</v>
      </c>
      <c r="J236" s="42">
        <f t="shared" si="25"/>
        <v>3854385</v>
      </c>
      <c r="K236" s="42">
        <f t="shared" si="26"/>
        <v>0</v>
      </c>
      <c r="L236" s="42">
        <f t="shared" si="27"/>
        <v>3854385</v>
      </c>
      <c r="M236" s="43"/>
      <c r="N236" s="34"/>
    </row>
    <row r="237" spans="1:14" hidden="1" x14ac:dyDescent="0.25">
      <c r="A237" s="35" t="s">
        <v>444</v>
      </c>
      <c r="B237" s="36" t="s">
        <v>404</v>
      </c>
      <c r="C237" s="37" t="s">
        <v>42</v>
      </c>
      <c r="D237" s="38">
        <v>67.5</v>
      </c>
      <c r="E237" s="39">
        <v>67.5</v>
      </c>
      <c r="F237" s="28">
        <f t="shared" si="29"/>
        <v>0</v>
      </c>
      <c r="G237" s="39">
        <f t="shared" si="28"/>
        <v>67.5</v>
      </c>
      <c r="H237" s="40">
        <v>266680</v>
      </c>
      <c r="I237" s="41">
        <f t="shared" si="24"/>
        <v>18000900</v>
      </c>
      <c r="J237" s="42">
        <f t="shared" si="25"/>
        <v>18000900</v>
      </c>
      <c r="K237" s="42">
        <f t="shared" si="26"/>
        <v>0</v>
      </c>
      <c r="L237" s="42">
        <f t="shared" si="27"/>
        <v>18000900</v>
      </c>
      <c r="M237" s="43"/>
      <c r="N237" s="34"/>
    </row>
    <row r="238" spans="1:14" hidden="1" x14ac:dyDescent="0.25">
      <c r="A238" s="35" t="s">
        <v>445</v>
      </c>
      <c r="B238" s="36" t="s">
        <v>446</v>
      </c>
      <c r="C238" s="37" t="s">
        <v>118</v>
      </c>
      <c r="D238" s="38">
        <v>0.17</v>
      </c>
      <c r="E238" s="39">
        <v>0.17</v>
      </c>
      <c r="F238" s="28">
        <f t="shared" si="29"/>
        <v>0</v>
      </c>
      <c r="G238" s="39">
        <f t="shared" si="28"/>
        <v>0.17</v>
      </c>
      <c r="H238" s="40">
        <v>26208453</v>
      </c>
      <c r="I238" s="41">
        <f t="shared" si="24"/>
        <v>4455437</v>
      </c>
      <c r="J238" s="42">
        <f t="shared" si="25"/>
        <v>4455437.0100000007</v>
      </c>
      <c r="K238" s="42">
        <f t="shared" si="26"/>
        <v>0</v>
      </c>
      <c r="L238" s="42">
        <f t="shared" si="27"/>
        <v>4455437.0100000007</v>
      </c>
      <c r="M238" s="43"/>
      <c r="N238" s="34"/>
    </row>
    <row r="239" spans="1:14" hidden="1" x14ac:dyDescent="0.25">
      <c r="A239" s="35" t="s">
        <v>447</v>
      </c>
      <c r="B239" s="36" t="s">
        <v>448</v>
      </c>
      <c r="C239" s="37" t="s">
        <v>118</v>
      </c>
      <c r="D239" s="38">
        <v>7.23</v>
      </c>
      <c r="E239" s="39">
        <v>7.23</v>
      </c>
      <c r="F239" s="28">
        <f t="shared" si="29"/>
        <v>0</v>
      </c>
      <c r="G239" s="39">
        <f t="shared" si="28"/>
        <v>7.23</v>
      </c>
      <c r="H239" s="40">
        <v>25594083</v>
      </c>
      <c r="I239" s="41">
        <f t="shared" si="24"/>
        <v>185045220</v>
      </c>
      <c r="J239" s="42">
        <f t="shared" si="25"/>
        <v>185045220.09</v>
      </c>
      <c r="K239" s="42">
        <f t="shared" si="26"/>
        <v>0</v>
      </c>
      <c r="L239" s="42">
        <f t="shared" si="27"/>
        <v>185045220.09</v>
      </c>
      <c r="M239" s="43"/>
      <c r="N239" s="34"/>
    </row>
    <row r="240" spans="1:14" hidden="1" x14ac:dyDescent="0.25">
      <c r="A240" s="35" t="s">
        <v>449</v>
      </c>
      <c r="B240" s="36" t="s">
        <v>450</v>
      </c>
      <c r="C240" s="37" t="s">
        <v>39</v>
      </c>
      <c r="D240" s="38">
        <v>159.80000000000001</v>
      </c>
      <c r="E240" s="39">
        <v>159.80000000000001</v>
      </c>
      <c r="F240" s="28">
        <f t="shared" si="29"/>
        <v>0</v>
      </c>
      <c r="G240" s="39">
        <f t="shared" si="28"/>
        <v>159.80000000000001</v>
      </c>
      <c r="H240" s="40">
        <v>111276</v>
      </c>
      <c r="I240" s="41">
        <f t="shared" si="24"/>
        <v>17781905</v>
      </c>
      <c r="J240" s="42">
        <f t="shared" si="25"/>
        <v>17781904.800000001</v>
      </c>
      <c r="K240" s="42">
        <f t="shared" si="26"/>
        <v>0</v>
      </c>
      <c r="L240" s="42">
        <f t="shared" si="27"/>
        <v>17781904.800000001</v>
      </c>
      <c r="M240" s="43"/>
      <c r="N240" s="34"/>
    </row>
    <row r="241" spans="1:14" hidden="1" x14ac:dyDescent="0.25">
      <c r="A241" s="35" t="s">
        <v>451</v>
      </c>
      <c r="B241" s="36" t="s">
        <v>452</v>
      </c>
      <c r="C241" s="37" t="s">
        <v>42</v>
      </c>
      <c r="D241" s="38">
        <v>4.9400000000000004</v>
      </c>
      <c r="E241" s="39">
        <v>4.9400000000000004</v>
      </c>
      <c r="F241" s="28">
        <f t="shared" si="29"/>
        <v>0</v>
      </c>
      <c r="G241" s="39">
        <f t="shared" si="28"/>
        <v>4.9400000000000004</v>
      </c>
      <c r="H241" s="40">
        <v>1884040</v>
      </c>
      <c r="I241" s="41">
        <f t="shared" si="24"/>
        <v>9307158</v>
      </c>
      <c r="J241" s="42">
        <f t="shared" si="25"/>
        <v>9307157.6000000015</v>
      </c>
      <c r="K241" s="42">
        <f t="shared" si="26"/>
        <v>0</v>
      </c>
      <c r="L241" s="42">
        <f t="shared" si="27"/>
        <v>9307157.6000000015</v>
      </c>
      <c r="M241" s="43"/>
      <c r="N241" s="34"/>
    </row>
    <row r="242" spans="1:14" hidden="1" x14ac:dyDescent="0.25">
      <c r="A242" s="35" t="s">
        <v>453</v>
      </c>
      <c r="B242" s="36" t="s">
        <v>402</v>
      </c>
      <c r="C242" s="37" t="s">
        <v>42</v>
      </c>
      <c r="D242" s="38">
        <v>20.59</v>
      </c>
      <c r="E242" s="39">
        <v>20.59</v>
      </c>
      <c r="F242" s="28">
        <f t="shared" si="29"/>
        <v>0</v>
      </c>
      <c r="G242" s="39">
        <f t="shared" si="28"/>
        <v>20.59</v>
      </c>
      <c r="H242" s="40">
        <v>57102</v>
      </c>
      <c r="I242" s="41">
        <f t="shared" si="24"/>
        <v>1175730</v>
      </c>
      <c r="J242" s="42">
        <f t="shared" si="25"/>
        <v>1175730.18</v>
      </c>
      <c r="K242" s="42">
        <f t="shared" si="26"/>
        <v>0</v>
      </c>
      <c r="L242" s="42">
        <f t="shared" si="27"/>
        <v>1175730.18</v>
      </c>
      <c r="M242" s="43"/>
      <c r="N242" s="34"/>
    </row>
    <row r="243" spans="1:14" hidden="1" x14ac:dyDescent="0.25">
      <c r="A243" s="35" t="s">
        <v>454</v>
      </c>
      <c r="B243" s="36" t="s">
        <v>404</v>
      </c>
      <c r="C243" s="37" t="s">
        <v>42</v>
      </c>
      <c r="D243" s="38">
        <v>20.59</v>
      </c>
      <c r="E243" s="39">
        <v>20.59</v>
      </c>
      <c r="F243" s="28">
        <f t="shared" si="29"/>
        <v>0</v>
      </c>
      <c r="G243" s="39">
        <f t="shared" si="28"/>
        <v>20.59</v>
      </c>
      <c r="H243" s="40">
        <v>266680</v>
      </c>
      <c r="I243" s="41">
        <f t="shared" si="24"/>
        <v>5490941</v>
      </c>
      <c r="J243" s="42">
        <f t="shared" si="25"/>
        <v>5490941.2000000002</v>
      </c>
      <c r="K243" s="42">
        <f t="shared" si="26"/>
        <v>0</v>
      </c>
      <c r="L243" s="42">
        <f t="shared" si="27"/>
        <v>5490941.2000000002</v>
      </c>
      <c r="M243" s="43"/>
      <c r="N243" s="34"/>
    </row>
    <row r="244" spans="1:14" hidden="1" x14ac:dyDescent="0.25">
      <c r="A244" s="35" t="s">
        <v>455</v>
      </c>
      <c r="B244" s="36" t="s">
        <v>456</v>
      </c>
      <c r="C244" s="37" t="s">
        <v>118</v>
      </c>
      <c r="D244" s="38">
        <v>0.02</v>
      </c>
      <c r="E244" s="39">
        <v>0.02</v>
      </c>
      <c r="F244" s="28">
        <f t="shared" si="29"/>
        <v>0</v>
      </c>
      <c r="G244" s="39">
        <f t="shared" si="28"/>
        <v>0.02</v>
      </c>
      <c r="H244" s="40">
        <v>25850539</v>
      </c>
      <c r="I244" s="41">
        <f>ROUND(D244*H244,0)</f>
        <v>517011</v>
      </c>
      <c r="J244" s="42">
        <f t="shared" si="25"/>
        <v>517010.78</v>
      </c>
      <c r="K244" s="42">
        <f t="shared" si="26"/>
        <v>0</v>
      </c>
      <c r="L244" s="42">
        <f t="shared" si="27"/>
        <v>517010.78</v>
      </c>
      <c r="M244" s="43"/>
      <c r="N244" s="34"/>
    </row>
    <row r="245" spans="1:14" hidden="1" x14ac:dyDescent="0.25">
      <c r="A245" s="35" t="s">
        <v>457</v>
      </c>
      <c r="B245" s="36" t="s">
        <v>458</v>
      </c>
      <c r="C245" s="37" t="s">
        <v>118</v>
      </c>
      <c r="D245" s="38">
        <v>0.56000000000000005</v>
      </c>
      <c r="E245" s="39">
        <v>0.56000000000000005</v>
      </c>
      <c r="F245" s="28">
        <f t="shared" si="29"/>
        <v>0</v>
      </c>
      <c r="G245" s="39">
        <f t="shared" si="28"/>
        <v>0.56000000000000005</v>
      </c>
      <c r="H245" s="40">
        <v>25593806</v>
      </c>
      <c r="I245" s="41">
        <f>ROUND(D245*H245,0)</f>
        <v>14332531</v>
      </c>
      <c r="J245" s="42">
        <f t="shared" si="25"/>
        <v>14332531.360000001</v>
      </c>
      <c r="K245" s="42">
        <f t="shared" si="26"/>
        <v>0</v>
      </c>
      <c r="L245" s="42">
        <f t="shared" si="27"/>
        <v>14332531.360000001</v>
      </c>
      <c r="M245" s="43"/>
      <c r="N245" s="34"/>
    </row>
    <row r="246" spans="1:14" hidden="1" x14ac:dyDescent="0.25">
      <c r="A246" s="35" t="s">
        <v>459</v>
      </c>
      <c r="B246" s="36" t="s">
        <v>460</v>
      </c>
      <c r="C246" s="37" t="s">
        <v>42</v>
      </c>
      <c r="D246" s="38">
        <v>15.34</v>
      </c>
      <c r="E246" s="39">
        <v>15.34</v>
      </c>
      <c r="F246" s="28">
        <f t="shared" si="29"/>
        <v>0</v>
      </c>
      <c r="G246" s="39">
        <f t="shared" si="28"/>
        <v>15.34</v>
      </c>
      <c r="H246" s="40">
        <v>1649986</v>
      </c>
      <c r="I246" s="41">
        <f>ROUND(D246*H246,0)</f>
        <v>25310785</v>
      </c>
      <c r="J246" s="42">
        <f t="shared" si="25"/>
        <v>25310785.239999998</v>
      </c>
      <c r="K246" s="42">
        <f t="shared" si="26"/>
        <v>0</v>
      </c>
      <c r="L246" s="42">
        <f t="shared" si="27"/>
        <v>25310785.239999998</v>
      </c>
      <c r="M246" s="43"/>
      <c r="N246" s="34"/>
    </row>
    <row r="247" spans="1:14" hidden="1" x14ac:dyDescent="0.25">
      <c r="A247" s="35" t="s">
        <v>461</v>
      </c>
      <c r="B247" s="36" t="s">
        <v>437</v>
      </c>
      <c r="C247" s="37" t="s">
        <v>118</v>
      </c>
      <c r="D247" s="38">
        <v>1.1399999999999999</v>
      </c>
      <c r="E247" s="39">
        <v>1.1399999999999999</v>
      </c>
      <c r="F247" s="28">
        <f t="shared" si="29"/>
        <v>0</v>
      </c>
      <c r="G247" s="39">
        <f t="shared" si="28"/>
        <v>1.1399999999999999</v>
      </c>
      <c r="H247" s="40">
        <v>24802876</v>
      </c>
      <c r="I247" s="41">
        <f>ROUND(D247*H247,0)</f>
        <v>28275279</v>
      </c>
      <c r="J247" s="42">
        <f t="shared" si="25"/>
        <v>28275278.639999997</v>
      </c>
      <c r="K247" s="42">
        <f t="shared" si="26"/>
        <v>0</v>
      </c>
      <c r="L247" s="42">
        <f t="shared" si="27"/>
        <v>28275278.639999997</v>
      </c>
      <c r="M247" s="43"/>
      <c r="N247" s="34"/>
    </row>
    <row r="248" spans="1:14" hidden="1" x14ac:dyDescent="0.25">
      <c r="A248" s="35" t="s">
        <v>462</v>
      </c>
      <c r="B248" s="36" t="s">
        <v>463</v>
      </c>
      <c r="C248" s="37" t="s">
        <v>39</v>
      </c>
      <c r="D248" s="38">
        <v>15.7</v>
      </c>
      <c r="E248" s="39">
        <v>15.7</v>
      </c>
      <c r="F248" s="28">
        <f t="shared" si="29"/>
        <v>0</v>
      </c>
      <c r="G248" s="39">
        <f t="shared" si="28"/>
        <v>15.7</v>
      </c>
      <c r="H248" s="40">
        <v>103945</v>
      </c>
      <c r="I248" s="41">
        <f>ROUND(D248*H248,0)</f>
        <v>1631937</v>
      </c>
      <c r="J248" s="42">
        <f t="shared" si="25"/>
        <v>1631936.5</v>
      </c>
      <c r="K248" s="42">
        <f t="shared" si="26"/>
        <v>0</v>
      </c>
      <c r="L248" s="42">
        <f t="shared" si="27"/>
        <v>1631936.5</v>
      </c>
      <c r="M248" s="43"/>
      <c r="N248" s="34"/>
    </row>
    <row r="249" spans="1:14" hidden="1" x14ac:dyDescent="0.25">
      <c r="A249" s="35" t="s">
        <v>464</v>
      </c>
      <c r="B249" s="36" t="s">
        <v>465</v>
      </c>
      <c r="C249" s="37" t="s">
        <v>39</v>
      </c>
      <c r="D249" s="38">
        <v>40.14</v>
      </c>
      <c r="E249" s="39">
        <v>40.14</v>
      </c>
      <c r="F249" s="28">
        <f t="shared" si="29"/>
        <v>0</v>
      </c>
      <c r="G249" s="39">
        <f t="shared" si="28"/>
        <v>40.14</v>
      </c>
      <c r="H249" s="40">
        <v>141724</v>
      </c>
      <c r="I249" s="41">
        <f t="shared" ref="I249:I256" si="30">ROUND(D249*H249,0)</f>
        <v>5688801</v>
      </c>
      <c r="J249" s="42">
        <f t="shared" si="25"/>
        <v>5688801.3600000003</v>
      </c>
      <c r="K249" s="42">
        <f t="shared" si="26"/>
        <v>0</v>
      </c>
      <c r="L249" s="42">
        <f t="shared" si="27"/>
        <v>5688801.3600000003</v>
      </c>
      <c r="M249" s="43"/>
      <c r="N249" s="34"/>
    </row>
    <row r="250" spans="1:14" hidden="1" x14ac:dyDescent="0.25">
      <c r="A250" s="35" t="s">
        <v>466</v>
      </c>
      <c r="B250" s="36" t="s">
        <v>350</v>
      </c>
      <c r="C250" s="37" t="s">
        <v>42</v>
      </c>
      <c r="D250" s="38">
        <v>41.58</v>
      </c>
      <c r="E250" s="39">
        <v>41.58</v>
      </c>
      <c r="F250" s="28">
        <f t="shared" si="29"/>
        <v>0</v>
      </c>
      <c r="G250" s="39">
        <f t="shared" si="28"/>
        <v>41.58</v>
      </c>
      <c r="H250" s="40">
        <v>1725529</v>
      </c>
      <c r="I250" s="41">
        <f t="shared" si="30"/>
        <v>71747496</v>
      </c>
      <c r="J250" s="42">
        <f t="shared" si="25"/>
        <v>71747495.819999993</v>
      </c>
      <c r="K250" s="42">
        <f t="shared" si="26"/>
        <v>0</v>
      </c>
      <c r="L250" s="42">
        <f t="shared" si="27"/>
        <v>71747495.819999993</v>
      </c>
      <c r="M250" s="43"/>
      <c r="N250" s="34"/>
    </row>
    <row r="251" spans="1:14" hidden="1" x14ac:dyDescent="0.25">
      <c r="A251" s="35" t="s">
        <v>467</v>
      </c>
      <c r="B251" s="36" t="s">
        <v>352</v>
      </c>
      <c r="C251" s="37" t="s">
        <v>118</v>
      </c>
      <c r="D251" s="38">
        <v>0.03</v>
      </c>
      <c r="E251" s="39">
        <v>0.03</v>
      </c>
      <c r="F251" s="28">
        <f t="shared" si="29"/>
        <v>0</v>
      </c>
      <c r="G251" s="39">
        <f t="shared" si="28"/>
        <v>0.03</v>
      </c>
      <c r="H251" s="40">
        <v>28103452</v>
      </c>
      <c r="I251" s="41">
        <f t="shared" si="30"/>
        <v>843104</v>
      </c>
      <c r="J251" s="42">
        <f t="shared" si="25"/>
        <v>843103.55999999994</v>
      </c>
      <c r="K251" s="42">
        <f t="shared" si="26"/>
        <v>0</v>
      </c>
      <c r="L251" s="42">
        <f t="shared" si="27"/>
        <v>843103.55999999994</v>
      </c>
      <c r="M251" s="43"/>
      <c r="N251" s="34"/>
    </row>
    <row r="252" spans="1:14" hidden="1" x14ac:dyDescent="0.25">
      <c r="A252" s="35" t="s">
        <v>468</v>
      </c>
      <c r="B252" s="36" t="s">
        <v>354</v>
      </c>
      <c r="C252" s="37" t="s">
        <v>118</v>
      </c>
      <c r="D252" s="38">
        <v>5.14</v>
      </c>
      <c r="E252" s="39">
        <v>5.14</v>
      </c>
      <c r="F252" s="28">
        <f t="shared" si="29"/>
        <v>0</v>
      </c>
      <c r="G252" s="39">
        <f t="shared" si="28"/>
        <v>5.14</v>
      </c>
      <c r="H252" s="40">
        <v>25312818</v>
      </c>
      <c r="I252" s="41">
        <f t="shared" si="30"/>
        <v>130107885</v>
      </c>
      <c r="J252" s="42">
        <f t="shared" si="25"/>
        <v>130107884.52</v>
      </c>
      <c r="K252" s="42">
        <f t="shared" si="26"/>
        <v>0</v>
      </c>
      <c r="L252" s="42">
        <f t="shared" si="27"/>
        <v>130107884.52</v>
      </c>
      <c r="M252" s="43"/>
      <c r="N252" s="34"/>
    </row>
    <row r="253" spans="1:14" hidden="1" x14ac:dyDescent="0.25">
      <c r="A253" s="35" t="s">
        <v>469</v>
      </c>
      <c r="B253" s="36" t="s">
        <v>470</v>
      </c>
      <c r="C253" s="37" t="s">
        <v>118</v>
      </c>
      <c r="D253" s="38">
        <v>0.12</v>
      </c>
      <c r="E253" s="39">
        <v>0.12</v>
      </c>
      <c r="F253" s="28">
        <f t="shared" si="29"/>
        <v>0</v>
      </c>
      <c r="G253" s="39">
        <f t="shared" si="28"/>
        <v>0.12</v>
      </c>
      <c r="H253" s="40">
        <v>24559750</v>
      </c>
      <c r="I253" s="41">
        <f t="shared" si="30"/>
        <v>2947170</v>
      </c>
      <c r="J253" s="42">
        <f t="shared" si="25"/>
        <v>2947170</v>
      </c>
      <c r="K253" s="42">
        <f t="shared" si="26"/>
        <v>0</v>
      </c>
      <c r="L253" s="42">
        <f t="shared" si="27"/>
        <v>2947170</v>
      </c>
      <c r="M253" s="43"/>
      <c r="N253" s="34"/>
    </row>
    <row r="254" spans="1:14" hidden="1" x14ac:dyDescent="0.25">
      <c r="A254" s="35" t="s">
        <v>471</v>
      </c>
      <c r="B254" s="36" t="s">
        <v>356</v>
      </c>
      <c r="C254" s="37" t="s">
        <v>39</v>
      </c>
      <c r="D254" s="38">
        <v>28.92</v>
      </c>
      <c r="E254" s="39">
        <v>28.92</v>
      </c>
      <c r="F254" s="28">
        <f t="shared" si="29"/>
        <v>0</v>
      </c>
      <c r="G254" s="39">
        <f t="shared" si="28"/>
        <v>28.92</v>
      </c>
      <c r="H254" s="40">
        <v>103945</v>
      </c>
      <c r="I254" s="41">
        <f t="shared" si="30"/>
        <v>3006089</v>
      </c>
      <c r="J254" s="42">
        <f t="shared" si="25"/>
        <v>3006089.4000000004</v>
      </c>
      <c r="K254" s="42">
        <f t="shared" si="26"/>
        <v>0</v>
      </c>
      <c r="L254" s="42">
        <f t="shared" si="27"/>
        <v>3006089.4000000004</v>
      </c>
      <c r="M254" s="43"/>
      <c r="N254" s="34"/>
    </row>
    <row r="255" spans="1:14" hidden="1" x14ac:dyDescent="0.25">
      <c r="A255" s="35" t="s">
        <v>472</v>
      </c>
      <c r="B255" s="36" t="s">
        <v>379</v>
      </c>
      <c r="C255" s="37" t="s">
        <v>42</v>
      </c>
      <c r="D255" s="38">
        <v>28.93</v>
      </c>
      <c r="E255" s="39">
        <v>28.93</v>
      </c>
      <c r="F255" s="28">
        <f t="shared" si="29"/>
        <v>0</v>
      </c>
      <c r="G255" s="39">
        <f t="shared" si="28"/>
        <v>28.93</v>
      </c>
      <c r="H255" s="40">
        <v>1252250</v>
      </c>
      <c r="I255" s="41">
        <f t="shared" si="30"/>
        <v>36227593</v>
      </c>
      <c r="J255" s="42">
        <f t="shared" si="25"/>
        <v>36227592.5</v>
      </c>
      <c r="K255" s="42">
        <f t="shared" si="26"/>
        <v>0</v>
      </c>
      <c r="L255" s="42">
        <f t="shared" si="27"/>
        <v>36227592.5</v>
      </c>
      <c r="M255" s="43"/>
      <c r="N255" s="34"/>
    </row>
    <row r="256" spans="1:14" hidden="1" x14ac:dyDescent="0.25">
      <c r="A256" s="35" t="s">
        <v>473</v>
      </c>
      <c r="B256" s="36" t="s">
        <v>474</v>
      </c>
      <c r="C256" s="37" t="s">
        <v>42</v>
      </c>
      <c r="D256" s="38">
        <v>1279.8599999999999</v>
      </c>
      <c r="E256" s="39">
        <v>1279.8599999999999</v>
      </c>
      <c r="F256" s="28">
        <f t="shared" si="29"/>
        <v>0</v>
      </c>
      <c r="G256" s="39">
        <f t="shared" si="28"/>
        <v>1279.8599999999999</v>
      </c>
      <c r="H256" s="40">
        <v>20867</v>
      </c>
      <c r="I256" s="41">
        <f t="shared" si="30"/>
        <v>26706839</v>
      </c>
      <c r="J256" s="42">
        <f t="shared" si="25"/>
        <v>26706838.619999997</v>
      </c>
      <c r="K256" s="42">
        <f t="shared" si="26"/>
        <v>0</v>
      </c>
      <c r="L256" s="42">
        <f t="shared" si="27"/>
        <v>26706838.619999997</v>
      </c>
      <c r="M256" s="43"/>
      <c r="N256" s="34"/>
    </row>
    <row r="257" spans="1:14" hidden="1" x14ac:dyDescent="0.25">
      <c r="A257" s="35" t="s">
        <v>475</v>
      </c>
      <c r="B257" s="36" t="s">
        <v>386</v>
      </c>
      <c r="C257" s="37" t="s">
        <v>42</v>
      </c>
      <c r="D257" s="38">
        <v>42.22</v>
      </c>
      <c r="E257" s="39">
        <v>42.22</v>
      </c>
      <c r="F257" s="28">
        <f t="shared" si="29"/>
        <v>0</v>
      </c>
      <c r="G257" s="39">
        <f t="shared" si="28"/>
        <v>42.22</v>
      </c>
      <c r="H257" s="40">
        <v>12936</v>
      </c>
      <c r="I257" s="41">
        <f>ROUND(D257*H257,0)</f>
        <v>546158</v>
      </c>
      <c r="J257" s="42">
        <f t="shared" si="25"/>
        <v>546157.92000000004</v>
      </c>
      <c r="K257" s="42">
        <f t="shared" si="26"/>
        <v>0</v>
      </c>
      <c r="L257" s="42">
        <f t="shared" si="27"/>
        <v>546157.92000000004</v>
      </c>
      <c r="M257" s="43"/>
      <c r="N257" s="34"/>
    </row>
    <row r="258" spans="1:14" hidden="1" x14ac:dyDescent="0.25">
      <c r="A258" s="35" t="s">
        <v>476</v>
      </c>
      <c r="B258" s="36" t="s">
        <v>60</v>
      </c>
      <c r="C258" s="37" t="s">
        <v>42</v>
      </c>
      <c r="D258" s="38">
        <v>57.73</v>
      </c>
      <c r="E258" s="39">
        <v>57.73</v>
      </c>
      <c r="F258" s="28">
        <f t="shared" si="29"/>
        <v>0</v>
      </c>
      <c r="G258" s="39">
        <f t="shared" si="28"/>
        <v>57.73</v>
      </c>
      <c r="H258" s="40">
        <v>50585</v>
      </c>
      <c r="I258" s="41">
        <f>ROUND(D258*H258,0)</f>
        <v>2920272</v>
      </c>
      <c r="J258" s="42">
        <f t="shared" si="25"/>
        <v>2920272.05</v>
      </c>
      <c r="K258" s="42">
        <f t="shared" si="26"/>
        <v>0</v>
      </c>
      <c r="L258" s="42">
        <f t="shared" si="27"/>
        <v>2920272.05</v>
      </c>
      <c r="M258" s="43"/>
      <c r="N258" s="34"/>
    </row>
    <row r="259" spans="1:14" hidden="1" x14ac:dyDescent="0.25">
      <c r="A259" s="35" t="s">
        <v>477</v>
      </c>
      <c r="B259" s="36" t="s">
        <v>64</v>
      </c>
      <c r="C259" s="37" t="s">
        <v>65</v>
      </c>
      <c r="D259" s="38">
        <v>5.77</v>
      </c>
      <c r="E259" s="39">
        <v>5.77</v>
      </c>
      <c r="F259" s="28">
        <f t="shared" si="29"/>
        <v>0</v>
      </c>
      <c r="G259" s="39">
        <f t="shared" si="28"/>
        <v>5.77</v>
      </c>
      <c r="H259" s="40">
        <v>1032698</v>
      </c>
      <c r="I259" s="41">
        <f>ROUND(D259*H259,0)</f>
        <v>5958667</v>
      </c>
      <c r="J259" s="42">
        <f t="shared" si="25"/>
        <v>5958667.46</v>
      </c>
      <c r="K259" s="42">
        <f t="shared" si="26"/>
        <v>0</v>
      </c>
      <c r="L259" s="42">
        <f t="shared" si="27"/>
        <v>5958667.46</v>
      </c>
      <c r="M259" s="43"/>
      <c r="N259" s="34"/>
    </row>
    <row r="260" spans="1:14" hidden="1" x14ac:dyDescent="0.25">
      <c r="A260" s="35" t="s">
        <v>478</v>
      </c>
      <c r="B260" s="36" t="s">
        <v>390</v>
      </c>
      <c r="C260" s="37" t="s">
        <v>42</v>
      </c>
      <c r="D260" s="38">
        <v>387.89</v>
      </c>
      <c r="E260" s="39">
        <v>387.89</v>
      </c>
      <c r="F260" s="28">
        <f t="shared" si="29"/>
        <v>0</v>
      </c>
      <c r="G260" s="39">
        <f t="shared" si="28"/>
        <v>387.89</v>
      </c>
      <c r="H260" s="40">
        <v>271833</v>
      </c>
      <c r="I260" s="41">
        <f t="shared" ref="I260:I303" si="31">ROUND(D260*H260,0)</f>
        <v>105441302</v>
      </c>
      <c r="J260" s="42">
        <f t="shared" si="25"/>
        <v>105441302.36999999</v>
      </c>
      <c r="K260" s="42">
        <f t="shared" si="26"/>
        <v>0</v>
      </c>
      <c r="L260" s="42">
        <f t="shared" si="27"/>
        <v>105441302.36999999</v>
      </c>
      <c r="M260" s="43"/>
      <c r="N260" s="34"/>
    </row>
    <row r="261" spans="1:14" hidden="1" x14ac:dyDescent="0.25">
      <c r="A261" s="35" t="s">
        <v>479</v>
      </c>
      <c r="B261" s="36" t="s">
        <v>394</v>
      </c>
      <c r="C261" s="37" t="s">
        <v>84</v>
      </c>
      <c r="D261" s="38">
        <v>16303.22</v>
      </c>
      <c r="E261" s="39">
        <v>16303.22</v>
      </c>
      <c r="F261" s="28">
        <f t="shared" si="29"/>
        <v>0</v>
      </c>
      <c r="G261" s="39">
        <f t="shared" si="28"/>
        <v>16303.22</v>
      </c>
      <c r="H261" s="40">
        <v>11223</v>
      </c>
      <c r="I261" s="41">
        <f t="shared" si="31"/>
        <v>182971038</v>
      </c>
      <c r="J261" s="42">
        <f t="shared" si="25"/>
        <v>182971038.06</v>
      </c>
      <c r="K261" s="42">
        <f t="shared" si="26"/>
        <v>0</v>
      </c>
      <c r="L261" s="42">
        <f t="shared" si="27"/>
        <v>182971038.06</v>
      </c>
      <c r="M261" s="43"/>
      <c r="N261" s="34"/>
    </row>
    <row r="262" spans="1:14" hidden="1" x14ac:dyDescent="0.25">
      <c r="A262" s="35" t="s">
        <v>480</v>
      </c>
      <c r="B262" s="36" t="s">
        <v>396</v>
      </c>
      <c r="C262" s="37" t="s">
        <v>39</v>
      </c>
      <c r="D262" s="38">
        <v>1361.95</v>
      </c>
      <c r="E262" s="39">
        <v>1361.95</v>
      </c>
      <c r="F262" s="28">
        <f t="shared" si="29"/>
        <v>0</v>
      </c>
      <c r="G262" s="39">
        <f t="shared" si="28"/>
        <v>1361.95</v>
      </c>
      <c r="H262" s="40">
        <v>19714</v>
      </c>
      <c r="I262" s="41">
        <f t="shared" si="31"/>
        <v>26849482</v>
      </c>
      <c r="J262" s="42">
        <f t="shared" si="25"/>
        <v>26849482.300000001</v>
      </c>
      <c r="K262" s="42">
        <f t="shared" si="26"/>
        <v>0</v>
      </c>
      <c r="L262" s="42">
        <f t="shared" si="27"/>
        <v>26849482.300000001</v>
      </c>
      <c r="M262" s="43"/>
      <c r="N262" s="34"/>
    </row>
    <row r="263" spans="1:14" hidden="1" x14ac:dyDescent="0.25">
      <c r="A263" s="35" t="s">
        <v>481</v>
      </c>
      <c r="B263" s="36" t="s">
        <v>398</v>
      </c>
      <c r="C263" s="37" t="s">
        <v>42</v>
      </c>
      <c r="D263" s="38">
        <v>1232.1600000000001</v>
      </c>
      <c r="E263" s="39">
        <v>1232.1600000000001</v>
      </c>
      <c r="F263" s="28">
        <f t="shared" si="29"/>
        <v>0</v>
      </c>
      <c r="G263" s="39">
        <f t="shared" si="28"/>
        <v>1232.1600000000001</v>
      </c>
      <c r="H263" s="40">
        <v>45382</v>
      </c>
      <c r="I263" s="41">
        <f t="shared" si="31"/>
        <v>55917885</v>
      </c>
      <c r="J263" s="42">
        <f t="shared" si="25"/>
        <v>55917885.120000005</v>
      </c>
      <c r="K263" s="42">
        <f t="shared" si="26"/>
        <v>0</v>
      </c>
      <c r="L263" s="42">
        <f t="shared" si="27"/>
        <v>55917885.120000005</v>
      </c>
      <c r="M263" s="43"/>
      <c r="N263" s="34"/>
    </row>
    <row r="264" spans="1:14" hidden="1" x14ac:dyDescent="0.25">
      <c r="A264" s="35" t="s">
        <v>482</v>
      </c>
      <c r="B264" s="36" t="s">
        <v>483</v>
      </c>
      <c r="C264" s="37" t="s">
        <v>118</v>
      </c>
      <c r="D264" s="38">
        <v>4.6214000000000004</v>
      </c>
      <c r="E264" s="39">
        <v>4.6214000000000004</v>
      </c>
      <c r="F264" s="28">
        <f t="shared" si="29"/>
        <v>0</v>
      </c>
      <c r="G264" s="39">
        <f t="shared" si="28"/>
        <v>4.6214000000000004</v>
      </c>
      <c r="H264" s="40">
        <v>10406267</v>
      </c>
      <c r="I264" s="41">
        <f t="shared" si="31"/>
        <v>48091522</v>
      </c>
      <c r="J264" s="42">
        <f t="shared" si="25"/>
        <v>48091522.313800007</v>
      </c>
      <c r="K264" s="42">
        <f t="shared" si="26"/>
        <v>0</v>
      </c>
      <c r="L264" s="42">
        <f t="shared" si="27"/>
        <v>48091522.313800007</v>
      </c>
      <c r="M264" s="43"/>
      <c r="N264" s="34"/>
    </row>
    <row r="265" spans="1:14" hidden="1" x14ac:dyDescent="0.25">
      <c r="A265" s="35" t="s">
        <v>484</v>
      </c>
      <c r="B265" s="36" t="s">
        <v>485</v>
      </c>
      <c r="C265" s="37" t="s">
        <v>118</v>
      </c>
      <c r="D265" s="38">
        <v>4.6214000000000004</v>
      </c>
      <c r="E265" s="39">
        <v>4.6214000000000004</v>
      </c>
      <c r="F265" s="28">
        <f t="shared" si="29"/>
        <v>0</v>
      </c>
      <c r="G265" s="39">
        <f t="shared" si="28"/>
        <v>4.6214000000000004</v>
      </c>
      <c r="H265" s="40">
        <v>2675122</v>
      </c>
      <c r="I265" s="41">
        <f t="shared" si="31"/>
        <v>12362809</v>
      </c>
      <c r="J265" s="42">
        <f t="shared" si="25"/>
        <v>12362808.810800001</v>
      </c>
      <c r="K265" s="42">
        <f t="shared" si="26"/>
        <v>0</v>
      </c>
      <c r="L265" s="42">
        <f t="shared" si="27"/>
        <v>12362808.810800001</v>
      </c>
      <c r="M265" s="43"/>
      <c r="N265" s="34"/>
    </row>
    <row r="266" spans="1:14" hidden="1" x14ac:dyDescent="0.25">
      <c r="A266" s="35" t="s">
        <v>486</v>
      </c>
      <c r="B266" s="36" t="s">
        <v>487</v>
      </c>
      <c r="C266" s="37" t="s">
        <v>42</v>
      </c>
      <c r="D266" s="38">
        <v>426</v>
      </c>
      <c r="E266" s="39">
        <v>426</v>
      </c>
      <c r="F266" s="28">
        <f t="shared" si="29"/>
        <v>0</v>
      </c>
      <c r="G266" s="39">
        <f t="shared" si="28"/>
        <v>426</v>
      </c>
      <c r="H266" s="40">
        <v>23993</v>
      </c>
      <c r="I266" s="41">
        <f t="shared" si="31"/>
        <v>10221018</v>
      </c>
      <c r="J266" s="42">
        <f t="shared" si="25"/>
        <v>10221018</v>
      </c>
      <c r="K266" s="42">
        <f t="shared" si="26"/>
        <v>0</v>
      </c>
      <c r="L266" s="42">
        <f t="shared" si="27"/>
        <v>10221018</v>
      </c>
      <c r="M266" s="43"/>
      <c r="N266" s="34"/>
    </row>
    <row r="267" spans="1:14" ht="31.5" hidden="1" x14ac:dyDescent="0.25">
      <c r="A267" s="35" t="s">
        <v>488</v>
      </c>
      <c r="B267" s="36" t="s">
        <v>489</v>
      </c>
      <c r="C267" s="37" t="s">
        <v>42</v>
      </c>
      <c r="D267" s="38">
        <v>72.8</v>
      </c>
      <c r="E267" s="39">
        <v>72.8</v>
      </c>
      <c r="F267" s="28">
        <f t="shared" si="29"/>
        <v>0</v>
      </c>
      <c r="G267" s="39">
        <f t="shared" si="28"/>
        <v>72.8</v>
      </c>
      <c r="H267" s="40">
        <v>7229</v>
      </c>
      <c r="I267" s="41">
        <f t="shared" si="31"/>
        <v>526271</v>
      </c>
      <c r="J267" s="42">
        <f t="shared" si="25"/>
        <v>526271.19999999995</v>
      </c>
      <c r="K267" s="42">
        <f t="shared" si="26"/>
        <v>0</v>
      </c>
      <c r="L267" s="42">
        <f t="shared" si="27"/>
        <v>526271.19999999995</v>
      </c>
      <c r="M267" s="43"/>
      <c r="N267" s="34"/>
    </row>
    <row r="268" spans="1:14" hidden="1" x14ac:dyDescent="0.25">
      <c r="A268" s="35" t="s">
        <v>490</v>
      </c>
      <c r="B268" s="36" t="s">
        <v>491</v>
      </c>
      <c r="C268" s="37" t="s">
        <v>42</v>
      </c>
      <c r="D268" s="38">
        <v>426</v>
      </c>
      <c r="E268" s="39">
        <v>426</v>
      </c>
      <c r="F268" s="28">
        <f t="shared" si="29"/>
        <v>0</v>
      </c>
      <c r="G268" s="39">
        <f t="shared" si="28"/>
        <v>426</v>
      </c>
      <c r="H268" s="40">
        <v>19746</v>
      </c>
      <c r="I268" s="41">
        <f t="shared" si="31"/>
        <v>8411796</v>
      </c>
      <c r="J268" s="42">
        <f t="shared" si="25"/>
        <v>8411796</v>
      </c>
      <c r="K268" s="42">
        <f t="shared" si="26"/>
        <v>0</v>
      </c>
      <c r="L268" s="42">
        <f t="shared" si="27"/>
        <v>8411796</v>
      </c>
      <c r="M268" s="43"/>
      <c r="N268" s="34"/>
    </row>
    <row r="269" spans="1:14" hidden="1" x14ac:dyDescent="0.25">
      <c r="A269" s="44">
        <v>13104</v>
      </c>
      <c r="B269" s="45" t="s">
        <v>492</v>
      </c>
      <c r="C269" s="46" t="s">
        <v>42</v>
      </c>
      <c r="D269" s="47">
        <v>426</v>
      </c>
      <c r="E269" s="48">
        <v>426</v>
      </c>
      <c r="F269" s="28">
        <f t="shared" si="29"/>
        <v>0</v>
      </c>
      <c r="G269" s="48">
        <f t="shared" si="28"/>
        <v>426</v>
      </c>
      <c r="H269" s="49">
        <v>45382</v>
      </c>
      <c r="I269" s="50">
        <f t="shared" si="31"/>
        <v>19332732</v>
      </c>
      <c r="J269" s="51">
        <f t="shared" si="25"/>
        <v>19332732</v>
      </c>
      <c r="K269" s="51">
        <f t="shared" si="26"/>
        <v>0</v>
      </c>
      <c r="L269" s="51">
        <f t="shared" si="27"/>
        <v>19332732</v>
      </c>
      <c r="M269" s="52"/>
      <c r="N269" s="34"/>
    </row>
    <row r="270" spans="1:14" ht="37.5" hidden="1" customHeight="1" x14ac:dyDescent="0.25">
      <c r="A270" s="16">
        <v>14</v>
      </c>
      <c r="B270" s="53" t="s">
        <v>493</v>
      </c>
      <c r="C270" s="21"/>
      <c r="D270" s="54"/>
      <c r="E270" s="55"/>
      <c r="F270" s="54"/>
      <c r="G270" s="55"/>
      <c r="H270" s="56"/>
      <c r="I270" s="57"/>
      <c r="J270" s="58"/>
      <c r="K270" s="58"/>
      <c r="L270" s="58"/>
      <c r="M270" s="23"/>
      <c r="N270" s="34"/>
    </row>
    <row r="271" spans="1:14" hidden="1" x14ac:dyDescent="0.25">
      <c r="A271" s="25" t="s">
        <v>494</v>
      </c>
      <c r="B271" s="26" t="s">
        <v>495</v>
      </c>
      <c r="C271" s="27" t="s">
        <v>42</v>
      </c>
      <c r="D271" s="28">
        <v>29.25</v>
      </c>
      <c r="E271" s="29">
        <v>29.25</v>
      </c>
      <c r="F271" s="28">
        <f>D271-E271</f>
        <v>0</v>
      </c>
      <c r="G271" s="29">
        <f t="shared" si="28"/>
        <v>29.25</v>
      </c>
      <c r="H271" s="30">
        <v>1688075</v>
      </c>
      <c r="I271" s="31">
        <f t="shared" si="31"/>
        <v>49376194</v>
      </c>
      <c r="J271" s="32">
        <f t="shared" ref="J271:J334" si="32">E271*H271</f>
        <v>49376193.75</v>
      </c>
      <c r="K271" s="32">
        <f t="shared" ref="K271:K334" si="33">F271*H271</f>
        <v>0</v>
      </c>
      <c r="L271" s="32">
        <f t="shared" ref="L271:L334" si="34">G271*H271</f>
        <v>49376193.75</v>
      </c>
      <c r="M271" s="33"/>
      <c r="N271" s="34"/>
    </row>
    <row r="272" spans="1:14" ht="36.75" hidden="1" customHeight="1" x14ac:dyDescent="0.25">
      <c r="A272" s="35" t="s">
        <v>496</v>
      </c>
      <c r="B272" s="36" t="s">
        <v>497</v>
      </c>
      <c r="C272" s="37" t="s">
        <v>118</v>
      </c>
      <c r="D272" s="38">
        <v>0.19</v>
      </c>
      <c r="E272" s="39">
        <v>0.19</v>
      </c>
      <c r="F272" s="28">
        <f>D272-E272</f>
        <v>0</v>
      </c>
      <c r="G272" s="39">
        <f t="shared" si="28"/>
        <v>0.19</v>
      </c>
      <c r="H272" s="40">
        <v>28771832</v>
      </c>
      <c r="I272" s="41">
        <f t="shared" si="31"/>
        <v>5466648</v>
      </c>
      <c r="J272" s="42">
        <f t="shared" si="32"/>
        <v>5466648.0800000001</v>
      </c>
      <c r="K272" s="42">
        <f t="shared" si="33"/>
        <v>0</v>
      </c>
      <c r="L272" s="42">
        <f t="shared" si="34"/>
        <v>5466648.0800000001</v>
      </c>
      <c r="M272" s="43"/>
      <c r="N272" s="34"/>
    </row>
    <row r="273" spans="1:14" ht="31.5" hidden="1" x14ac:dyDescent="0.25">
      <c r="A273" s="35" t="s">
        <v>498</v>
      </c>
      <c r="B273" s="36" t="s">
        <v>499</v>
      </c>
      <c r="C273" s="37" t="s">
        <v>118</v>
      </c>
      <c r="D273" s="38">
        <v>4.5599999999999996</v>
      </c>
      <c r="E273" s="39">
        <v>4.5599999999999996</v>
      </c>
      <c r="F273" s="28">
        <f t="shared" si="29"/>
        <v>0</v>
      </c>
      <c r="G273" s="39">
        <f t="shared" si="28"/>
        <v>4.5599999999999996</v>
      </c>
      <c r="H273" s="40">
        <v>27010601</v>
      </c>
      <c r="I273" s="41">
        <f t="shared" si="31"/>
        <v>123168341</v>
      </c>
      <c r="J273" s="42">
        <f t="shared" si="32"/>
        <v>123168340.55999999</v>
      </c>
      <c r="K273" s="42">
        <f t="shared" si="33"/>
        <v>0</v>
      </c>
      <c r="L273" s="42">
        <f t="shared" si="34"/>
        <v>123168340.55999999</v>
      </c>
      <c r="M273" s="43"/>
      <c r="N273" s="34"/>
    </row>
    <row r="274" spans="1:14" ht="31.5" hidden="1" x14ac:dyDescent="0.25">
      <c r="A274" s="35" t="s">
        <v>500</v>
      </c>
      <c r="B274" s="36" t="s">
        <v>501</v>
      </c>
      <c r="C274" s="37" t="s">
        <v>39</v>
      </c>
      <c r="D274" s="38">
        <v>259.39999999999998</v>
      </c>
      <c r="E274" s="39">
        <v>259.39999999999998</v>
      </c>
      <c r="F274" s="28">
        <f t="shared" si="29"/>
        <v>0</v>
      </c>
      <c r="G274" s="39">
        <f t="shared" si="28"/>
        <v>259.39999999999998</v>
      </c>
      <c r="H274" s="40">
        <v>102621</v>
      </c>
      <c r="I274" s="41">
        <f t="shared" si="31"/>
        <v>26619887</v>
      </c>
      <c r="J274" s="42">
        <f t="shared" si="32"/>
        <v>26619887.399999999</v>
      </c>
      <c r="K274" s="42">
        <f t="shared" si="33"/>
        <v>0</v>
      </c>
      <c r="L274" s="42">
        <f t="shared" si="34"/>
        <v>26619887.399999999</v>
      </c>
      <c r="M274" s="43"/>
      <c r="N274" s="34"/>
    </row>
    <row r="275" spans="1:14" ht="39.75" hidden="1" customHeight="1" x14ac:dyDescent="0.25">
      <c r="A275" s="35" t="s">
        <v>502</v>
      </c>
      <c r="B275" s="36" t="s">
        <v>503</v>
      </c>
      <c r="C275" s="37" t="s">
        <v>233</v>
      </c>
      <c r="D275" s="38">
        <v>22</v>
      </c>
      <c r="E275" s="39">
        <v>22</v>
      </c>
      <c r="F275" s="28">
        <f t="shared" si="29"/>
        <v>0</v>
      </c>
      <c r="G275" s="39">
        <f t="shared" si="28"/>
        <v>22</v>
      </c>
      <c r="H275" s="40">
        <v>113802</v>
      </c>
      <c r="I275" s="41">
        <f t="shared" si="31"/>
        <v>2503644</v>
      </c>
      <c r="J275" s="42">
        <f t="shared" si="32"/>
        <v>2503644</v>
      </c>
      <c r="K275" s="42">
        <f t="shared" si="33"/>
        <v>0</v>
      </c>
      <c r="L275" s="42">
        <f t="shared" si="34"/>
        <v>2503644</v>
      </c>
      <c r="M275" s="43"/>
      <c r="N275" s="34"/>
    </row>
    <row r="276" spans="1:14" ht="51.75" hidden="1" customHeight="1" x14ac:dyDescent="0.25">
      <c r="A276" s="35" t="s">
        <v>504</v>
      </c>
      <c r="B276" s="36" t="s">
        <v>331</v>
      </c>
      <c r="C276" s="37" t="s">
        <v>233</v>
      </c>
      <c r="D276" s="38">
        <v>22</v>
      </c>
      <c r="E276" s="39">
        <v>22</v>
      </c>
      <c r="F276" s="28">
        <f t="shared" si="29"/>
        <v>0</v>
      </c>
      <c r="G276" s="39">
        <f t="shared" ref="G276:G339" si="35">E276+F276</f>
        <v>22</v>
      </c>
      <c r="H276" s="40">
        <v>91827</v>
      </c>
      <c r="I276" s="41">
        <f t="shared" si="31"/>
        <v>2020194</v>
      </c>
      <c r="J276" s="42">
        <f t="shared" si="32"/>
        <v>2020194</v>
      </c>
      <c r="K276" s="42">
        <f t="shared" si="33"/>
        <v>0</v>
      </c>
      <c r="L276" s="42">
        <f t="shared" si="34"/>
        <v>2020194</v>
      </c>
      <c r="M276" s="43"/>
      <c r="N276" s="34"/>
    </row>
    <row r="277" spans="1:14" ht="31.5" hidden="1" x14ac:dyDescent="0.25">
      <c r="A277" s="35" t="s">
        <v>505</v>
      </c>
      <c r="B277" s="36" t="s">
        <v>333</v>
      </c>
      <c r="C277" s="37" t="s">
        <v>334</v>
      </c>
      <c r="D277" s="38">
        <v>7.31</v>
      </c>
      <c r="E277" s="39">
        <v>7.31</v>
      </c>
      <c r="F277" s="28">
        <f t="shared" si="29"/>
        <v>0</v>
      </c>
      <c r="G277" s="39">
        <f t="shared" si="35"/>
        <v>7.31</v>
      </c>
      <c r="H277" s="40">
        <v>36181</v>
      </c>
      <c r="I277" s="41">
        <f t="shared" si="31"/>
        <v>264483</v>
      </c>
      <c r="J277" s="42">
        <f t="shared" si="32"/>
        <v>264483.11</v>
      </c>
      <c r="K277" s="42">
        <f t="shared" si="33"/>
        <v>0</v>
      </c>
      <c r="L277" s="42">
        <f t="shared" si="34"/>
        <v>264483.11</v>
      </c>
      <c r="M277" s="43"/>
      <c r="N277" s="34"/>
    </row>
    <row r="278" spans="1:14" ht="39.75" hidden="1" customHeight="1" x14ac:dyDescent="0.25">
      <c r="A278" s="35" t="s">
        <v>506</v>
      </c>
      <c r="B278" s="36" t="s">
        <v>507</v>
      </c>
      <c r="C278" s="37" t="s">
        <v>327</v>
      </c>
      <c r="D278" s="38">
        <v>22</v>
      </c>
      <c r="E278" s="39">
        <v>22</v>
      </c>
      <c r="F278" s="28">
        <f t="shared" si="29"/>
        <v>0</v>
      </c>
      <c r="G278" s="39">
        <f t="shared" si="35"/>
        <v>22</v>
      </c>
      <c r="H278" s="40">
        <v>319273</v>
      </c>
      <c r="I278" s="41">
        <f t="shared" si="31"/>
        <v>7024006</v>
      </c>
      <c r="J278" s="42">
        <f t="shared" si="32"/>
        <v>7024006</v>
      </c>
      <c r="K278" s="42">
        <f t="shared" si="33"/>
        <v>0</v>
      </c>
      <c r="L278" s="42">
        <f t="shared" si="34"/>
        <v>7024006</v>
      </c>
      <c r="M278" s="43"/>
      <c r="N278" s="34"/>
    </row>
    <row r="279" spans="1:14" hidden="1" x14ac:dyDescent="0.25">
      <c r="A279" s="35" t="s">
        <v>508</v>
      </c>
      <c r="B279" s="36" t="s">
        <v>495</v>
      </c>
      <c r="C279" s="37" t="s">
        <v>42</v>
      </c>
      <c r="D279" s="38">
        <v>332.6</v>
      </c>
      <c r="E279" s="39">
        <v>332.6</v>
      </c>
      <c r="F279" s="28">
        <f t="shared" si="29"/>
        <v>0</v>
      </c>
      <c r="G279" s="39">
        <f t="shared" si="35"/>
        <v>332.6</v>
      </c>
      <c r="H279" s="40">
        <v>1688075</v>
      </c>
      <c r="I279" s="41">
        <f t="shared" si="31"/>
        <v>561453745</v>
      </c>
      <c r="J279" s="42">
        <f t="shared" si="32"/>
        <v>561453745</v>
      </c>
      <c r="K279" s="42">
        <f t="shared" si="33"/>
        <v>0</v>
      </c>
      <c r="L279" s="42">
        <f t="shared" si="34"/>
        <v>561453745</v>
      </c>
      <c r="M279" s="43"/>
      <c r="N279" s="34"/>
    </row>
    <row r="280" spans="1:14" ht="31.5" hidden="1" x14ac:dyDescent="0.25">
      <c r="A280" s="35" t="s">
        <v>509</v>
      </c>
      <c r="B280" s="36" t="s">
        <v>497</v>
      </c>
      <c r="C280" s="37" t="s">
        <v>118</v>
      </c>
      <c r="D280" s="38">
        <v>2.6</v>
      </c>
      <c r="E280" s="39">
        <v>2.6</v>
      </c>
      <c r="F280" s="28">
        <f t="shared" si="29"/>
        <v>0</v>
      </c>
      <c r="G280" s="39">
        <f t="shared" si="35"/>
        <v>2.6</v>
      </c>
      <c r="H280" s="40">
        <v>28771832</v>
      </c>
      <c r="I280" s="41">
        <f t="shared" si="31"/>
        <v>74806763</v>
      </c>
      <c r="J280" s="42">
        <f t="shared" si="32"/>
        <v>74806763.200000003</v>
      </c>
      <c r="K280" s="42">
        <f t="shared" si="33"/>
        <v>0</v>
      </c>
      <c r="L280" s="42">
        <f t="shared" si="34"/>
        <v>74806763.200000003</v>
      </c>
      <c r="M280" s="43"/>
      <c r="N280" s="34"/>
    </row>
    <row r="281" spans="1:14" ht="31.5" hidden="1" x14ac:dyDescent="0.25">
      <c r="A281" s="35" t="s">
        <v>510</v>
      </c>
      <c r="B281" s="36" t="s">
        <v>499</v>
      </c>
      <c r="C281" s="37" t="s">
        <v>118</v>
      </c>
      <c r="D281" s="38">
        <v>50.55</v>
      </c>
      <c r="E281" s="39">
        <v>50.55</v>
      </c>
      <c r="F281" s="28">
        <f t="shared" si="29"/>
        <v>0</v>
      </c>
      <c r="G281" s="39">
        <f t="shared" si="35"/>
        <v>50.55</v>
      </c>
      <c r="H281" s="40">
        <v>27010601</v>
      </c>
      <c r="I281" s="41">
        <f t="shared" si="31"/>
        <v>1365385881</v>
      </c>
      <c r="J281" s="42">
        <f t="shared" si="32"/>
        <v>1365385880.55</v>
      </c>
      <c r="K281" s="42">
        <f t="shared" si="33"/>
        <v>0</v>
      </c>
      <c r="L281" s="42">
        <f t="shared" si="34"/>
        <v>1365385880.55</v>
      </c>
      <c r="M281" s="43"/>
      <c r="N281" s="34"/>
    </row>
    <row r="282" spans="1:14" ht="31.5" hidden="1" x14ac:dyDescent="0.25">
      <c r="A282" s="35" t="s">
        <v>511</v>
      </c>
      <c r="B282" s="36" t="s">
        <v>501</v>
      </c>
      <c r="C282" s="37" t="s">
        <v>39</v>
      </c>
      <c r="D282" s="38">
        <v>3094</v>
      </c>
      <c r="E282" s="39">
        <v>3094</v>
      </c>
      <c r="F282" s="28">
        <f t="shared" si="29"/>
        <v>0</v>
      </c>
      <c r="G282" s="39">
        <f t="shared" si="35"/>
        <v>3094</v>
      </c>
      <c r="H282" s="40">
        <v>102621</v>
      </c>
      <c r="I282" s="41">
        <f t="shared" si="31"/>
        <v>317509374</v>
      </c>
      <c r="J282" s="42">
        <f t="shared" si="32"/>
        <v>317509374</v>
      </c>
      <c r="K282" s="42">
        <f t="shared" si="33"/>
        <v>0</v>
      </c>
      <c r="L282" s="42">
        <f t="shared" si="34"/>
        <v>317509374</v>
      </c>
      <c r="M282" s="43"/>
      <c r="N282" s="34"/>
    </row>
    <row r="283" spans="1:14" ht="31.5" hidden="1" x14ac:dyDescent="0.25">
      <c r="A283" s="35" t="s">
        <v>512</v>
      </c>
      <c r="B283" s="36" t="s">
        <v>503</v>
      </c>
      <c r="C283" s="37" t="s">
        <v>233</v>
      </c>
      <c r="D283" s="38">
        <v>275</v>
      </c>
      <c r="E283" s="39">
        <v>275</v>
      </c>
      <c r="F283" s="28">
        <f t="shared" si="29"/>
        <v>0</v>
      </c>
      <c r="G283" s="39">
        <f t="shared" si="35"/>
        <v>275</v>
      </c>
      <c r="H283" s="40">
        <v>113802</v>
      </c>
      <c r="I283" s="41">
        <f t="shared" si="31"/>
        <v>31295550</v>
      </c>
      <c r="J283" s="42">
        <f t="shared" si="32"/>
        <v>31295550</v>
      </c>
      <c r="K283" s="42">
        <f t="shared" si="33"/>
        <v>0</v>
      </c>
      <c r="L283" s="42">
        <f t="shared" si="34"/>
        <v>31295550</v>
      </c>
      <c r="M283" s="43"/>
      <c r="N283" s="34"/>
    </row>
    <row r="284" spans="1:14" ht="31.5" hidden="1" x14ac:dyDescent="0.25">
      <c r="A284" s="35" t="s">
        <v>513</v>
      </c>
      <c r="B284" s="36" t="s">
        <v>331</v>
      </c>
      <c r="C284" s="37" t="s">
        <v>233</v>
      </c>
      <c r="D284" s="38">
        <v>275</v>
      </c>
      <c r="E284" s="39">
        <v>275</v>
      </c>
      <c r="F284" s="28">
        <f t="shared" si="29"/>
        <v>0</v>
      </c>
      <c r="G284" s="39">
        <f t="shared" si="35"/>
        <v>275</v>
      </c>
      <c r="H284" s="40">
        <v>91827</v>
      </c>
      <c r="I284" s="41">
        <f t="shared" si="31"/>
        <v>25252425</v>
      </c>
      <c r="J284" s="42">
        <f t="shared" si="32"/>
        <v>25252425</v>
      </c>
      <c r="K284" s="42">
        <f t="shared" si="33"/>
        <v>0</v>
      </c>
      <c r="L284" s="42">
        <f t="shared" si="34"/>
        <v>25252425</v>
      </c>
      <c r="M284" s="43"/>
      <c r="N284" s="34"/>
    </row>
    <row r="285" spans="1:14" ht="31.5" hidden="1" x14ac:dyDescent="0.25">
      <c r="A285" s="35" t="s">
        <v>514</v>
      </c>
      <c r="B285" s="36" t="s">
        <v>333</v>
      </c>
      <c r="C285" s="37" t="s">
        <v>334</v>
      </c>
      <c r="D285" s="38">
        <v>83.15</v>
      </c>
      <c r="E285" s="39">
        <v>83.15</v>
      </c>
      <c r="F285" s="28">
        <f t="shared" si="29"/>
        <v>0</v>
      </c>
      <c r="G285" s="39">
        <f t="shared" si="35"/>
        <v>83.15</v>
      </c>
      <c r="H285" s="40">
        <v>36181</v>
      </c>
      <c r="I285" s="41">
        <f t="shared" si="31"/>
        <v>3008450</v>
      </c>
      <c r="J285" s="42">
        <f t="shared" si="32"/>
        <v>3008450.1500000004</v>
      </c>
      <c r="K285" s="42">
        <f t="shared" si="33"/>
        <v>0</v>
      </c>
      <c r="L285" s="42">
        <f t="shared" si="34"/>
        <v>3008450.1500000004</v>
      </c>
      <c r="M285" s="43"/>
      <c r="N285" s="34"/>
    </row>
    <row r="286" spans="1:14" ht="31.5" hidden="1" x14ac:dyDescent="0.25">
      <c r="A286" s="35" t="s">
        <v>515</v>
      </c>
      <c r="B286" s="36" t="s">
        <v>507</v>
      </c>
      <c r="C286" s="37" t="s">
        <v>327</v>
      </c>
      <c r="D286" s="38">
        <v>275</v>
      </c>
      <c r="E286" s="39">
        <v>275</v>
      </c>
      <c r="F286" s="28">
        <f t="shared" si="29"/>
        <v>0</v>
      </c>
      <c r="G286" s="39">
        <f t="shared" si="35"/>
        <v>275</v>
      </c>
      <c r="H286" s="40">
        <v>319273</v>
      </c>
      <c r="I286" s="41">
        <f t="shared" si="31"/>
        <v>87800075</v>
      </c>
      <c r="J286" s="42">
        <f t="shared" si="32"/>
        <v>87800075</v>
      </c>
      <c r="K286" s="42">
        <f t="shared" si="33"/>
        <v>0</v>
      </c>
      <c r="L286" s="42">
        <f t="shared" si="34"/>
        <v>87800075</v>
      </c>
      <c r="M286" s="43"/>
      <c r="N286" s="34"/>
    </row>
    <row r="287" spans="1:14" hidden="1" x14ac:dyDescent="0.25">
      <c r="A287" s="35" t="s">
        <v>516</v>
      </c>
      <c r="B287" s="36" t="s">
        <v>517</v>
      </c>
      <c r="C287" s="37" t="s">
        <v>42</v>
      </c>
      <c r="D287" s="38">
        <v>3.31</v>
      </c>
      <c r="E287" s="39">
        <v>3.31</v>
      </c>
      <c r="F287" s="28">
        <f t="shared" si="29"/>
        <v>0</v>
      </c>
      <c r="G287" s="39">
        <f t="shared" si="35"/>
        <v>3.31</v>
      </c>
      <c r="H287" s="40">
        <v>1637840</v>
      </c>
      <c r="I287" s="41">
        <f t="shared" si="31"/>
        <v>5421250</v>
      </c>
      <c r="J287" s="42">
        <f t="shared" si="32"/>
        <v>5421250.4000000004</v>
      </c>
      <c r="K287" s="42">
        <f t="shared" si="33"/>
        <v>0</v>
      </c>
      <c r="L287" s="42">
        <f t="shared" si="34"/>
        <v>5421250.4000000004</v>
      </c>
      <c r="M287" s="43"/>
      <c r="N287" s="34"/>
    </row>
    <row r="288" spans="1:14" ht="31.5" hidden="1" x14ac:dyDescent="0.25">
      <c r="A288" s="35" t="s">
        <v>518</v>
      </c>
      <c r="B288" s="36" t="s">
        <v>519</v>
      </c>
      <c r="C288" s="37" t="s">
        <v>118</v>
      </c>
      <c r="D288" s="38">
        <v>0.16</v>
      </c>
      <c r="E288" s="39">
        <v>0.16</v>
      </c>
      <c r="F288" s="28">
        <f t="shared" si="29"/>
        <v>0</v>
      </c>
      <c r="G288" s="39">
        <f t="shared" si="35"/>
        <v>0.16</v>
      </c>
      <c r="H288" s="40">
        <v>27102732</v>
      </c>
      <c r="I288" s="41">
        <f t="shared" si="31"/>
        <v>4336437</v>
      </c>
      <c r="J288" s="42">
        <f t="shared" si="32"/>
        <v>4336437.12</v>
      </c>
      <c r="K288" s="42">
        <f t="shared" si="33"/>
        <v>0</v>
      </c>
      <c r="L288" s="42">
        <f t="shared" si="34"/>
        <v>4336437.12</v>
      </c>
      <c r="M288" s="43"/>
      <c r="N288" s="34"/>
    </row>
    <row r="289" spans="1:14" ht="31.5" hidden="1" x14ac:dyDescent="0.25">
      <c r="A289" s="35" t="s">
        <v>520</v>
      </c>
      <c r="B289" s="36" t="s">
        <v>521</v>
      </c>
      <c r="C289" s="37" t="s">
        <v>39</v>
      </c>
      <c r="D289" s="38">
        <v>9.84</v>
      </c>
      <c r="E289" s="39">
        <v>9.84</v>
      </c>
      <c r="F289" s="28">
        <f t="shared" si="29"/>
        <v>0</v>
      </c>
      <c r="G289" s="39">
        <f t="shared" si="35"/>
        <v>9.84</v>
      </c>
      <c r="H289" s="40">
        <v>86606</v>
      </c>
      <c r="I289" s="41">
        <f t="shared" si="31"/>
        <v>852203</v>
      </c>
      <c r="J289" s="42">
        <f t="shared" si="32"/>
        <v>852203.04</v>
      </c>
      <c r="K289" s="42">
        <f t="shared" si="33"/>
        <v>0</v>
      </c>
      <c r="L289" s="42">
        <f t="shared" si="34"/>
        <v>852203.04</v>
      </c>
      <c r="M289" s="43"/>
      <c r="N289" s="34"/>
    </row>
    <row r="290" spans="1:14" ht="37.5" hidden="1" customHeight="1" x14ac:dyDescent="0.25">
      <c r="A290" s="35" t="s">
        <v>522</v>
      </c>
      <c r="B290" s="36" t="s">
        <v>361</v>
      </c>
      <c r="C290" s="37" t="s">
        <v>233</v>
      </c>
      <c r="D290" s="38">
        <v>8</v>
      </c>
      <c r="E290" s="39">
        <v>8</v>
      </c>
      <c r="F290" s="28">
        <f t="shared" si="29"/>
        <v>0</v>
      </c>
      <c r="G290" s="39">
        <f t="shared" si="35"/>
        <v>8</v>
      </c>
      <c r="H290" s="40">
        <v>79217</v>
      </c>
      <c r="I290" s="41">
        <f t="shared" si="31"/>
        <v>633736</v>
      </c>
      <c r="J290" s="42">
        <f t="shared" si="32"/>
        <v>633736</v>
      </c>
      <c r="K290" s="42">
        <f t="shared" si="33"/>
        <v>0</v>
      </c>
      <c r="L290" s="42">
        <f t="shared" si="34"/>
        <v>633736</v>
      </c>
      <c r="M290" s="43"/>
      <c r="N290" s="34"/>
    </row>
    <row r="291" spans="1:14" ht="51.75" hidden="1" customHeight="1" x14ac:dyDescent="0.25">
      <c r="A291" s="35" t="s">
        <v>523</v>
      </c>
      <c r="B291" s="36" t="s">
        <v>363</v>
      </c>
      <c r="C291" s="37" t="s">
        <v>233</v>
      </c>
      <c r="D291" s="38">
        <v>8</v>
      </c>
      <c r="E291" s="39">
        <v>8</v>
      </c>
      <c r="F291" s="28">
        <f t="shared" si="29"/>
        <v>0</v>
      </c>
      <c r="G291" s="39">
        <f t="shared" si="35"/>
        <v>8</v>
      </c>
      <c r="H291" s="40">
        <v>65424</v>
      </c>
      <c r="I291" s="41">
        <f t="shared" si="31"/>
        <v>523392</v>
      </c>
      <c r="J291" s="42">
        <f t="shared" si="32"/>
        <v>523392</v>
      </c>
      <c r="K291" s="42">
        <f t="shared" si="33"/>
        <v>0</v>
      </c>
      <c r="L291" s="42">
        <f t="shared" si="34"/>
        <v>523392</v>
      </c>
      <c r="M291" s="43"/>
      <c r="N291" s="34"/>
    </row>
    <row r="292" spans="1:14" ht="31.5" hidden="1" x14ac:dyDescent="0.25">
      <c r="A292" s="35" t="s">
        <v>524</v>
      </c>
      <c r="B292" s="36" t="s">
        <v>229</v>
      </c>
      <c r="C292" s="37" t="s">
        <v>230</v>
      </c>
      <c r="D292" s="38">
        <v>0.83</v>
      </c>
      <c r="E292" s="39">
        <v>0.83</v>
      </c>
      <c r="F292" s="28">
        <f t="shared" si="29"/>
        <v>0</v>
      </c>
      <c r="G292" s="39">
        <f t="shared" si="35"/>
        <v>0.83</v>
      </c>
      <c r="H292" s="40">
        <v>32162</v>
      </c>
      <c r="I292" s="41">
        <f t="shared" si="31"/>
        <v>26694</v>
      </c>
      <c r="J292" s="42">
        <f t="shared" si="32"/>
        <v>26694.46</v>
      </c>
      <c r="K292" s="42">
        <f t="shared" si="33"/>
        <v>0</v>
      </c>
      <c r="L292" s="42">
        <f t="shared" si="34"/>
        <v>26694.46</v>
      </c>
      <c r="M292" s="43"/>
      <c r="N292" s="34"/>
    </row>
    <row r="293" spans="1:14" ht="34.5" hidden="1" customHeight="1" x14ac:dyDescent="0.25">
      <c r="A293" s="35" t="s">
        <v>525</v>
      </c>
      <c r="B293" s="36" t="s">
        <v>526</v>
      </c>
      <c r="C293" s="37" t="s">
        <v>278</v>
      </c>
      <c r="D293" s="38">
        <v>8</v>
      </c>
      <c r="E293" s="39">
        <v>8</v>
      </c>
      <c r="F293" s="28">
        <f t="shared" si="29"/>
        <v>0</v>
      </c>
      <c r="G293" s="39">
        <f t="shared" si="35"/>
        <v>8</v>
      </c>
      <c r="H293" s="40">
        <v>120701</v>
      </c>
      <c r="I293" s="41">
        <f t="shared" si="31"/>
        <v>965608</v>
      </c>
      <c r="J293" s="42">
        <f t="shared" si="32"/>
        <v>965608</v>
      </c>
      <c r="K293" s="42">
        <f t="shared" si="33"/>
        <v>0</v>
      </c>
      <c r="L293" s="42">
        <f t="shared" si="34"/>
        <v>965608</v>
      </c>
      <c r="M293" s="43"/>
      <c r="N293" s="34"/>
    </row>
    <row r="294" spans="1:14" hidden="1" x14ac:dyDescent="0.25">
      <c r="A294" s="35" t="s">
        <v>527</v>
      </c>
      <c r="B294" s="36" t="s">
        <v>517</v>
      </c>
      <c r="C294" s="37" t="s">
        <v>42</v>
      </c>
      <c r="D294" s="38">
        <v>114.11</v>
      </c>
      <c r="E294" s="39">
        <v>114.11</v>
      </c>
      <c r="F294" s="28">
        <f t="shared" si="29"/>
        <v>0</v>
      </c>
      <c r="G294" s="39">
        <f t="shared" si="35"/>
        <v>114.11</v>
      </c>
      <c r="H294" s="40">
        <v>1637840</v>
      </c>
      <c r="I294" s="41">
        <f t="shared" si="31"/>
        <v>186893922</v>
      </c>
      <c r="J294" s="42">
        <f t="shared" si="32"/>
        <v>186893922.40000001</v>
      </c>
      <c r="K294" s="42">
        <f t="shared" si="33"/>
        <v>0</v>
      </c>
      <c r="L294" s="42">
        <f t="shared" si="34"/>
        <v>186893922.40000001</v>
      </c>
      <c r="M294" s="43"/>
      <c r="N294" s="34"/>
    </row>
    <row r="295" spans="1:14" ht="31.5" hidden="1" x14ac:dyDescent="0.25">
      <c r="A295" s="35" t="s">
        <v>528</v>
      </c>
      <c r="B295" s="36" t="s">
        <v>519</v>
      </c>
      <c r="C295" s="37" t="s">
        <v>118</v>
      </c>
      <c r="D295" s="38">
        <v>5.42</v>
      </c>
      <c r="E295" s="39">
        <v>5.42</v>
      </c>
      <c r="F295" s="28">
        <f t="shared" si="29"/>
        <v>0</v>
      </c>
      <c r="G295" s="39">
        <f t="shared" si="35"/>
        <v>5.42</v>
      </c>
      <c r="H295" s="40">
        <v>27102732</v>
      </c>
      <c r="I295" s="41">
        <f t="shared" si="31"/>
        <v>146896807</v>
      </c>
      <c r="J295" s="42">
        <f t="shared" si="32"/>
        <v>146896807.44</v>
      </c>
      <c r="K295" s="42">
        <f t="shared" si="33"/>
        <v>0</v>
      </c>
      <c r="L295" s="42">
        <f t="shared" si="34"/>
        <v>146896807.44</v>
      </c>
      <c r="M295" s="43"/>
      <c r="N295" s="34"/>
    </row>
    <row r="296" spans="1:14" ht="31.5" hidden="1" x14ac:dyDescent="0.25">
      <c r="A296" s="35" t="s">
        <v>529</v>
      </c>
      <c r="B296" s="36" t="s">
        <v>521</v>
      </c>
      <c r="C296" s="37" t="s">
        <v>39</v>
      </c>
      <c r="D296" s="38">
        <v>261.33999999999997</v>
      </c>
      <c r="E296" s="39">
        <v>261.33999999999997</v>
      </c>
      <c r="F296" s="28">
        <f t="shared" ref="F296:F339" si="36">D296-E296</f>
        <v>0</v>
      </c>
      <c r="G296" s="39">
        <f t="shared" si="35"/>
        <v>261.33999999999997</v>
      </c>
      <c r="H296" s="40">
        <v>86606</v>
      </c>
      <c r="I296" s="41">
        <f t="shared" si="31"/>
        <v>22633612</v>
      </c>
      <c r="J296" s="42">
        <f t="shared" si="32"/>
        <v>22633612.039999999</v>
      </c>
      <c r="K296" s="42">
        <f t="shared" si="33"/>
        <v>0</v>
      </c>
      <c r="L296" s="42">
        <f t="shared" si="34"/>
        <v>22633612.039999999</v>
      </c>
      <c r="M296" s="43"/>
      <c r="N296" s="34"/>
    </row>
    <row r="297" spans="1:14" ht="50.25" hidden="1" customHeight="1" x14ac:dyDescent="0.25">
      <c r="A297" s="35" t="s">
        <v>530</v>
      </c>
      <c r="B297" s="36" t="s">
        <v>363</v>
      </c>
      <c r="C297" s="37" t="s">
        <v>233</v>
      </c>
      <c r="D297" s="38">
        <v>182</v>
      </c>
      <c r="E297" s="39">
        <v>182</v>
      </c>
      <c r="F297" s="28">
        <f t="shared" si="36"/>
        <v>0</v>
      </c>
      <c r="G297" s="39">
        <f t="shared" si="35"/>
        <v>182</v>
      </c>
      <c r="H297" s="40">
        <v>65424</v>
      </c>
      <c r="I297" s="41">
        <f t="shared" si="31"/>
        <v>11907168</v>
      </c>
      <c r="J297" s="42">
        <f t="shared" si="32"/>
        <v>11907168</v>
      </c>
      <c r="K297" s="42">
        <f t="shared" si="33"/>
        <v>0</v>
      </c>
      <c r="L297" s="42">
        <f t="shared" si="34"/>
        <v>11907168</v>
      </c>
      <c r="M297" s="43"/>
      <c r="N297" s="34"/>
    </row>
    <row r="298" spans="1:14" ht="56.25" hidden="1" customHeight="1" x14ac:dyDescent="0.25">
      <c r="A298" s="35" t="s">
        <v>531</v>
      </c>
      <c r="B298" s="36" t="s">
        <v>363</v>
      </c>
      <c r="C298" s="37" t="s">
        <v>233</v>
      </c>
      <c r="D298" s="38">
        <v>182</v>
      </c>
      <c r="E298" s="39">
        <v>182</v>
      </c>
      <c r="F298" s="28">
        <f t="shared" si="36"/>
        <v>0</v>
      </c>
      <c r="G298" s="39">
        <f t="shared" si="35"/>
        <v>182</v>
      </c>
      <c r="H298" s="40">
        <v>65424</v>
      </c>
      <c r="I298" s="41">
        <f t="shared" si="31"/>
        <v>11907168</v>
      </c>
      <c r="J298" s="42">
        <f t="shared" si="32"/>
        <v>11907168</v>
      </c>
      <c r="K298" s="42">
        <f t="shared" si="33"/>
        <v>0</v>
      </c>
      <c r="L298" s="42">
        <f t="shared" si="34"/>
        <v>11907168</v>
      </c>
      <c r="M298" s="43"/>
      <c r="N298" s="34"/>
    </row>
    <row r="299" spans="1:14" ht="31.5" hidden="1" x14ac:dyDescent="0.25">
      <c r="A299" s="35" t="s">
        <v>532</v>
      </c>
      <c r="B299" s="36" t="s">
        <v>229</v>
      </c>
      <c r="C299" s="37" t="s">
        <v>334</v>
      </c>
      <c r="D299" s="38">
        <v>28.53</v>
      </c>
      <c r="E299" s="39">
        <v>28.53</v>
      </c>
      <c r="F299" s="28">
        <f t="shared" si="36"/>
        <v>0</v>
      </c>
      <c r="G299" s="39">
        <f t="shared" si="35"/>
        <v>28.53</v>
      </c>
      <c r="H299" s="40">
        <v>32162</v>
      </c>
      <c r="I299" s="41">
        <f t="shared" si="31"/>
        <v>917582</v>
      </c>
      <c r="J299" s="42">
        <f t="shared" si="32"/>
        <v>917581.86</v>
      </c>
      <c r="K299" s="42">
        <f t="shared" si="33"/>
        <v>0</v>
      </c>
      <c r="L299" s="42">
        <f t="shared" si="34"/>
        <v>917581.86</v>
      </c>
      <c r="M299" s="43"/>
      <c r="N299" s="34"/>
    </row>
    <row r="300" spans="1:14" ht="31.5" hidden="1" x14ac:dyDescent="0.25">
      <c r="A300" s="35" t="s">
        <v>533</v>
      </c>
      <c r="B300" s="36" t="s">
        <v>526</v>
      </c>
      <c r="C300" s="37" t="s">
        <v>278</v>
      </c>
      <c r="D300" s="38">
        <v>182</v>
      </c>
      <c r="E300" s="39">
        <v>182</v>
      </c>
      <c r="F300" s="28">
        <f t="shared" si="36"/>
        <v>0</v>
      </c>
      <c r="G300" s="39">
        <f t="shared" si="35"/>
        <v>182</v>
      </c>
      <c r="H300" s="40">
        <v>120701</v>
      </c>
      <c r="I300" s="41">
        <f t="shared" si="31"/>
        <v>21967582</v>
      </c>
      <c r="J300" s="42">
        <f t="shared" si="32"/>
        <v>21967582</v>
      </c>
      <c r="K300" s="42">
        <f t="shared" si="33"/>
        <v>0</v>
      </c>
      <c r="L300" s="42">
        <f t="shared" si="34"/>
        <v>21967582</v>
      </c>
      <c r="M300" s="43"/>
      <c r="N300" s="34"/>
    </row>
    <row r="301" spans="1:14" ht="31.5" hidden="1" x14ac:dyDescent="0.25">
      <c r="A301" s="35" t="s">
        <v>534</v>
      </c>
      <c r="B301" s="36" t="s">
        <v>238</v>
      </c>
      <c r="C301" s="37" t="s">
        <v>42</v>
      </c>
      <c r="D301" s="38">
        <v>71.62</v>
      </c>
      <c r="E301" s="39">
        <v>71.62</v>
      </c>
      <c r="F301" s="28">
        <f t="shared" si="36"/>
        <v>0</v>
      </c>
      <c r="G301" s="39">
        <f t="shared" si="35"/>
        <v>71.62</v>
      </c>
      <c r="H301" s="40">
        <v>851305</v>
      </c>
      <c r="I301" s="41">
        <f t="shared" si="31"/>
        <v>60970464</v>
      </c>
      <c r="J301" s="42">
        <f t="shared" si="32"/>
        <v>60970464.100000001</v>
      </c>
      <c r="K301" s="42">
        <f t="shared" si="33"/>
        <v>0</v>
      </c>
      <c r="L301" s="42">
        <f t="shared" si="34"/>
        <v>60970464.100000001</v>
      </c>
      <c r="M301" s="43"/>
      <c r="N301" s="34"/>
    </row>
    <row r="302" spans="1:14" ht="31.5" hidden="1" x14ac:dyDescent="0.25">
      <c r="A302" s="35" t="s">
        <v>535</v>
      </c>
      <c r="B302" s="36" t="s">
        <v>536</v>
      </c>
      <c r="C302" s="37" t="s">
        <v>42</v>
      </c>
      <c r="D302" s="38">
        <v>14.19</v>
      </c>
      <c r="E302" s="39">
        <v>14.19</v>
      </c>
      <c r="F302" s="28">
        <f t="shared" si="36"/>
        <v>0</v>
      </c>
      <c r="G302" s="39">
        <f t="shared" si="35"/>
        <v>14.19</v>
      </c>
      <c r="H302" s="40">
        <v>1637840</v>
      </c>
      <c r="I302" s="41">
        <f t="shared" si="31"/>
        <v>23240950</v>
      </c>
      <c r="J302" s="42">
        <f t="shared" si="32"/>
        <v>23240949.599999998</v>
      </c>
      <c r="K302" s="42">
        <f t="shared" si="33"/>
        <v>0</v>
      </c>
      <c r="L302" s="42">
        <f t="shared" si="34"/>
        <v>23240949.599999998</v>
      </c>
      <c r="M302" s="43"/>
      <c r="N302" s="34"/>
    </row>
    <row r="303" spans="1:14" ht="39" hidden="1" customHeight="1" x14ac:dyDescent="0.25">
      <c r="A303" s="35" t="s">
        <v>537</v>
      </c>
      <c r="B303" s="36" t="s">
        <v>521</v>
      </c>
      <c r="C303" s="37" t="s">
        <v>39</v>
      </c>
      <c r="D303" s="38">
        <v>205.1</v>
      </c>
      <c r="E303" s="39">
        <v>205.1</v>
      </c>
      <c r="F303" s="28">
        <f t="shared" si="36"/>
        <v>0</v>
      </c>
      <c r="G303" s="39">
        <f t="shared" si="35"/>
        <v>205.1</v>
      </c>
      <c r="H303" s="40">
        <v>250782</v>
      </c>
      <c r="I303" s="41">
        <f t="shared" si="31"/>
        <v>51435388</v>
      </c>
      <c r="J303" s="42">
        <f t="shared" si="32"/>
        <v>51435388.199999996</v>
      </c>
      <c r="K303" s="42">
        <f t="shared" si="33"/>
        <v>0</v>
      </c>
      <c r="L303" s="42">
        <f t="shared" si="34"/>
        <v>51435388.199999996</v>
      </c>
      <c r="M303" s="43"/>
      <c r="N303" s="34"/>
    </row>
    <row r="304" spans="1:14" ht="31.5" hidden="1" x14ac:dyDescent="0.25">
      <c r="A304" s="35" t="s">
        <v>538</v>
      </c>
      <c r="B304" s="36" t="s">
        <v>519</v>
      </c>
      <c r="C304" s="37" t="s">
        <v>118</v>
      </c>
      <c r="D304" s="38">
        <v>1.9</v>
      </c>
      <c r="E304" s="39">
        <v>1.9</v>
      </c>
      <c r="F304" s="28">
        <f t="shared" si="36"/>
        <v>0</v>
      </c>
      <c r="G304" s="39">
        <f t="shared" si="35"/>
        <v>1.9</v>
      </c>
      <c r="H304" s="40">
        <v>27102732</v>
      </c>
      <c r="I304" s="41">
        <f>ROUND(D304*H304,0)</f>
        <v>51495191</v>
      </c>
      <c r="J304" s="42">
        <f t="shared" si="32"/>
        <v>51495190.799999997</v>
      </c>
      <c r="K304" s="42">
        <f t="shared" si="33"/>
        <v>0</v>
      </c>
      <c r="L304" s="42">
        <f t="shared" si="34"/>
        <v>51495190.799999997</v>
      </c>
      <c r="M304" s="43"/>
      <c r="N304" s="34"/>
    </row>
    <row r="305" spans="1:14" ht="31.5" hidden="1" x14ac:dyDescent="0.25">
      <c r="A305" s="35" t="s">
        <v>539</v>
      </c>
      <c r="B305" s="36" t="s">
        <v>519</v>
      </c>
      <c r="C305" s="37" t="s">
        <v>118</v>
      </c>
      <c r="D305" s="38">
        <v>1.5</v>
      </c>
      <c r="E305" s="39">
        <v>1.5</v>
      </c>
      <c r="F305" s="28">
        <f t="shared" si="36"/>
        <v>0</v>
      </c>
      <c r="G305" s="39">
        <f t="shared" si="35"/>
        <v>1.5</v>
      </c>
      <c r="H305" s="40">
        <v>27102732</v>
      </c>
      <c r="I305" s="41">
        <f>ROUND(D305*H305,0)</f>
        <v>40654098</v>
      </c>
      <c r="J305" s="42">
        <f t="shared" si="32"/>
        <v>40654098</v>
      </c>
      <c r="K305" s="42">
        <f t="shared" si="33"/>
        <v>0</v>
      </c>
      <c r="L305" s="42">
        <f t="shared" si="34"/>
        <v>40654098</v>
      </c>
      <c r="M305" s="43"/>
      <c r="N305" s="34"/>
    </row>
    <row r="306" spans="1:14" ht="31.5" hidden="1" x14ac:dyDescent="0.25">
      <c r="A306" s="35" t="s">
        <v>540</v>
      </c>
      <c r="B306" s="36" t="s">
        <v>541</v>
      </c>
      <c r="C306" s="37" t="s">
        <v>233</v>
      </c>
      <c r="D306" s="38">
        <v>43</v>
      </c>
      <c r="E306" s="39">
        <v>43</v>
      </c>
      <c r="F306" s="28">
        <f t="shared" si="36"/>
        <v>0</v>
      </c>
      <c r="G306" s="39">
        <f t="shared" si="35"/>
        <v>43</v>
      </c>
      <c r="H306" s="40">
        <v>69167</v>
      </c>
      <c r="I306" s="41">
        <f>ROUND(D306*H306,0)</f>
        <v>2974181</v>
      </c>
      <c r="J306" s="42">
        <f t="shared" si="32"/>
        <v>2974181</v>
      </c>
      <c r="K306" s="42">
        <f t="shared" si="33"/>
        <v>0</v>
      </c>
      <c r="L306" s="42">
        <f t="shared" si="34"/>
        <v>2974181</v>
      </c>
      <c r="M306" s="43"/>
      <c r="N306" s="34"/>
    </row>
    <row r="307" spans="1:14" ht="51" hidden="1" customHeight="1" x14ac:dyDescent="0.25">
      <c r="A307" s="35" t="s">
        <v>542</v>
      </c>
      <c r="B307" s="36" t="s">
        <v>543</v>
      </c>
      <c r="C307" s="37" t="s">
        <v>233</v>
      </c>
      <c r="D307" s="38">
        <v>43</v>
      </c>
      <c r="E307" s="39">
        <v>43</v>
      </c>
      <c r="F307" s="28">
        <f t="shared" si="36"/>
        <v>0</v>
      </c>
      <c r="G307" s="39">
        <f t="shared" si="35"/>
        <v>43</v>
      </c>
      <c r="H307" s="40">
        <v>52812</v>
      </c>
      <c r="I307" s="41">
        <f t="shared" ref="I307:I370" si="37">ROUND(D307*H307,0)</f>
        <v>2270916</v>
      </c>
      <c r="J307" s="42">
        <f t="shared" si="32"/>
        <v>2270916</v>
      </c>
      <c r="K307" s="42">
        <f t="shared" si="33"/>
        <v>0</v>
      </c>
      <c r="L307" s="42">
        <f t="shared" si="34"/>
        <v>2270916</v>
      </c>
      <c r="M307" s="43"/>
      <c r="N307" s="34"/>
    </row>
    <row r="308" spans="1:14" ht="31.5" hidden="1" x14ac:dyDescent="0.25">
      <c r="A308" s="35" t="s">
        <v>544</v>
      </c>
      <c r="B308" s="36" t="s">
        <v>229</v>
      </c>
      <c r="C308" s="37" t="s">
        <v>334</v>
      </c>
      <c r="D308" s="38">
        <v>3.55</v>
      </c>
      <c r="E308" s="39">
        <v>3.55</v>
      </c>
      <c r="F308" s="28">
        <f t="shared" si="36"/>
        <v>0</v>
      </c>
      <c r="G308" s="39">
        <f t="shared" si="35"/>
        <v>3.55</v>
      </c>
      <c r="H308" s="40">
        <v>32162</v>
      </c>
      <c r="I308" s="41">
        <f t="shared" si="37"/>
        <v>114175</v>
      </c>
      <c r="J308" s="42">
        <f t="shared" si="32"/>
        <v>114175.09999999999</v>
      </c>
      <c r="K308" s="42">
        <f t="shared" si="33"/>
        <v>0</v>
      </c>
      <c r="L308" s="42">
        <f t="shared" si="34"/>
        <v>114175.09999999999</v>
      </c>
      <c r="M308" s="43"/>
      <c r="N308" s="34"/>
    </row>
    <row r="309" spans="1:14" ht="31.5" hidden="1" x14ac:dyDescent="0.25">
      <c r="A309" s="35" t="s">
        <v>545</v>
      </c>
      <c r="B309" s="36" t="s">
        <v>546</v>
      </c>
      <c r="C309" s="37" t="s">
        <v>278</v>
      </c>
      <c r="D309" s="38">
        <v>43</v>
      </c>
      <c r="E309" s="39">
        <v>43</v>
      </c>
      <c r="F309" s="28">
        <f t="shared" si="36"/>
        <v>0</v>
      </c>
      <c r="G309" s="39">
        <f t="shared" si="35"/>
        <v>43</v>
      </c>
      <c r="H309" s="40">
        <v>142868</v>
      </c>
      <c r="I309" s="41">
        <f t="shared" si="37"/>
        <v>6143324</v>
      </c>
      <c r="J309" s="42">
        <f t="shared" si="32"/>
        <v>6143324</v>
      </c>
      <c r="K309" s="42">
        <f t="shared" si="33"/>
        <v>0</v>
      </c>
      <c r="L309" s="42">
        <f t="shared" si="34"/>
        <v>6143324</v>
      </c>
      <c r="M309" s="43"/>
      <c r="N309" s="34"/>
    </row>
    <row r="310" spans="1:14" hidden="1" x14ac:dyDescent="0.25">
      <c r="A310" s="35" t="s">
        <v>547</v>
      </c>
      <c r="B310" s="36" t="s">
        <v>548</v>
      </c>
      <c r="C310" s="37" t="s">
        <v>39</v>
      </c>
      <c r="D310" s="38">
        <v>47.9</v>
      </c>
      <c r="E310" s="39">
        <v>47.9</v>
      </c>
      <c r="F310" s="28">
        <f t="shared" si="36"/>
        <v>0</v>
      </c>
      <c r="G310" s="39">
        <f t="shared" si="35"/>
        <v>47.9</v>
      </c>
      <c r="H310" s="40">
        <v>96763</v>
      </c>
      <c r="I310" s="41">
        <f t="shared" si="37"/>
        <v>4634948</v>
      </c>
      <c r="J310" s="42">
        <f t="shared" si="32"/>
        <v>4634947.7</v>
      </c>
      <c r="K310" s="42">
        <f t="shared" si="33"/>
        <v>0</v>
      </c>
      <c r="L310" s="42">
        <f t="shared" si="34"/>
        <v>4634947.7</v>
      </c>
      <c r="M310" s="43"/>
      <c r="N310" s="34"/>
    </row>
    <row r="311" spans="1:14" ht="31.5" hidden="1" x14ac:dyDescent="0.25">
      <c r="A311" s="35" t="s">
        <v>549</v>
      </c>
      <c r="B311" s="36" t="s">
        <v>550</v>
      </c>
      <c r="C311" s="37" t="s">
        <v>42</v>
      </c>
      <c r="D311" s="38">
        <v>3.2</v>
      </c>
      <c r="E311" s="39">
        <v>3.2</v>
      </c>
      <c r="F311" s="28">
        <f t="shared" si="36"/>
        <v>0</v>
      </c>
      <c r="G311" s="39">
        <f t="shared" si="35"/>
        <v>3.2</v>
      </c>
      <c r="H311" s="40">
        <v>610299</v>
      </c>
      <c r="I311" s="41">
        <f t="shared" si="37"/>
        <v>1952957</v>
      </c>
      <c r="J311" s="42">
        <f t="shared" si="32"/>
        <v>1952956.8</v>
      </c>
      <c r="K311" s="42">
        <f t="shared" si="33"/>
        <v>0</v>
      </c>
      <c r="L311" s="42">
        <f t="shared" si="34"/>
        <v>1952956.8</v>
      </c>
      <c r="M311" s="43"/>
      <c r="N311" s="34"/>
    </row>
    <row r="312" spans="1:14" ht="31.5" hidden="1" x14ac:dyDescent="0.25">
      <c r="A312" s="35" t="s">
        <v>551</v>
      </c>
      <c r="B312" s="36" t="s">
        <v>552</v>
      </c>
      <c r="C312" s="37" t="s">
        <v>39</v>
      </c>
      <c r="D312" s="38">
        <v>1054.32</v>
      </c>
      <c r="E312" s="39">
        <v>1054.32</v>
      </c>
      <c r="F312" s="28">
        <f t="shared" si="36"/>
        <v>0</v>
      </c>
      <c r="G312" s="39">
        <f t="shared" si="35"/>
        <v>1054.32</v>
      </c>
      <c r="H312" s="40">
        <v>242779</v>
      </c>
      <c r="I312" s="41">
        <f t="shared" si="37"/>
        <v>255966755</v>
      </c>
      <c r="J312" s="42">
        <f t="shared" si="32"/>
        <v>255966755.27999997</v>
      </c>
      <c r="K312" s="42">
        <f t="shared" si="33"/>
        <v>0</v>
      </c>
      <c r="L312" s="42">
        <f t="shared" si="34"/>
        <v>255966755.27999997</v>
      </c>
      <c r="M312" s="43"/>
      <c r="N312" s="34"/>
    </row>
    <row r="313" spans="1:14" hidden="1" x14ac:dyDescent="0.25">
      <c r="A313" s="35" t="s">
        <v>553</v>
      </c>
      <c r="B313" s="36" t="s">
        <v>554</v>
      </c>
      <c r="C313" s="37" t="s">
        <v>39</v>
      </c>
      <c r="D313" s="38">
        <v>3643.24</v>
      </c>
      <c r="E313" s="39">
        <v>3643.24</v>
      </c>
      <c r="F313" s="28">
        <f t="shared" si="36"/>
        <v>0</v>
      </c>
      <c r="G313" s="39">
        <f t="shared" si="35"/>
        <v>3643.24</v>
      </c>
      <c r="H313" s="40">
        <v>76805</v>
      </c>
      <c r="I313" s="41">
        <f t="shared" si="37"/>
        <v>279819048</v>
      </c>
      <c r="J313" s="42">
        <f t="shared" si="32"/>
        <v>279819048.19999999</v>
      </c>
      <c r="K313" s="42">
        <f t="shared" si="33"/>
        <v>0</v>
      </c>
      <c r="L313" s="42">
        <f t="shared" si="34"/>
        <v>279819048.19999999</v>
      </c>
      <c r="M313" s="43"/>
      <c r="N313" s="34"/>
    </row>
    <row r="314" spans="1:14" ht="31.5" hidden="1" x14ac:dyDescent="0.25">
      <c r="A314" s="35" t="s">
        <v>555</v>
      </c>
      <c r="B314" s="36" t="s">
        <v>556</v>
      </c>
      <c r="C314" s="37" t="s">
        <v>42</v>
      </c>
      <c r="D314" s="38">
        <v>30.54</v>
      </c>
      <c r="E314" s="39">
        <v>30.54</v>
      </c>
      <c r="F314" s="28">
        <f t="shared" si="36"/>
        <v>0</v>
      </c>
      <c r="G314" s="39">
        <f t="shared" si="35"/>
        <v>30.54</v>
      </c>
      <c r="H314" s="40">
        <v>1887933</v>
      </c>
      <c r="I314" s="41">
        <f t="shared" si="37"/>
        <v>57657474</v>
      </c>
      <c r="J314" s="42">
        <f t="shared" si="32"/>
        <v>57657473.82</v>
      </c>
      <c r="K314" s="42">
        <f t="shared" si="33"/>
        <v>0</v>
      </c>
      <c r="L314" s="42">
        <f t="shared" si="34"/>
        <v>57657473.82</v>
      </c>
      <c r="M314" s="43"/>
      <c r="N314" s="34"/>
    </row>
    <row r="315" spans="1:14" hidden="1" x14ac:dyDescent="0.25">
      <c r="A315" s="35" t="s">
        <v>557</v>
      </c>
      <c r="B315" s="36" t="s">
        <v>142</v>
      </c>
      <c r="C315" s="37" t="s">
        <v>39</v>
      </c>
      <c r="D315" s="38">
        <v>149.19999999999999</v>
      </c>
      <c r="E315" s="39">
        <v>149.19999999999999</v>
      </c>
      <c r="F315" s="28">
        <f t="shared" si="36"/>
        <v>0</v>
      </c>
      <c r="G315" s="39">
        <f t="shared" si="35"/>
        <v>149.19999999999999</v>
      </c>
      <c r="H315" s="40">
        <v>103945</v>
      </c>
      <c r="I315" s="41">
        <f t="shared" si="37"/>
        <v>15508594</v>
      </c>
      <c r="J315" s="42">
        <f t="shared" si="32"/>
        <v>15508593.999999998</v>
      </c>
      <c r="K315" s="42">
        <f t="shared" si="33"/>
        <v>0</v>
      </c>
      <c r="L315" s="42">
        <f t="shared" si="34"/>
        <v>15508593.999999998</v>
      </c>
      <c r="M315" s="43"/>
      <c r="N315" s="34"/>
    </row>
    <row r="316" spans="1:14" ht="31.5" hidden="1" x14ac:dyDescent="0.25">
      <c r="A316" s="35" t="s">
        <v>558</v>
      </c>
      <c r="B316" s="36" t="s">
        <v>556</v>
      </c>
      <c r="C316" s="37" t="s">
        <v>42</v>
      </c>
      <c r="D316" s="38">
        <v>35</v>
      </c>
      <c r="E316" s="39">
        <v>35</v>
      </c>
      <c r="F316" s="28">
        <f t="shared" si="36"/>
        <v>0</v>
      </c>
      <c r="G316" s="39">
        <f t="shared" si="35"/>
        <v>35</v>
      </c>
      <c r="H316" s="40">
        <v>1887933</v>
      </c>
      <c r="I316" s="41">
        <f t="shared" si="37"/>
        <v>66077655</v>
      </c>
      <c r="J316" s="42">
        <f t="shared" si="32"/>
        <v>66077655</v>
      </c>
      <c r="K316" s="42">
        <f t="shared" si="33"/>
        <v>0</v>
      </c>
      <c r="L316" s="42">
        <f t="shared" si="34"/>
        <v>66077655</v>
      </c>
      <c r="M316" s="43"/>
      <c r="N316" s="34"/>
    </row>
    <row r="317" spans="1:14" hidden="1" x14ac:dyDescent="0.25">
      <c r="A317" s="35" t="s">
        <v>559</v>
      </c>
      <c r="B317" s="36" t="s">
        <v>142</v>
      </c>
      <c r="C317" s="37" t="s">
        <v>39</v>
      </c>
      <c r="D317" s="38">
        <v>124.74</v>
      </c>
      <c r="E317" s="39">
        <v>124.74</v>
      </c>
      <c r="F317" s="28">
        <f t="shared" si="36"/>
        <v>0</v>
      </c>
      <c r="G317" s="39">
        <f t="shared" si="35"/>
        <v>124.74</v>
      </c>
      <c r="H317" s="40">
        <v>103945</v>
      </c>
      <c r="I317" s="41">
        <f t="shared" si="37"/>
        <v>12966099</v>
      </c>
      <c r="J317" s="42">
        <f t="shared" si="32"/>
        <v>12966099.299999999</v>
      </c>
      <c r="K317" s="42">
        <f t="shared" si="33"/>
        <v>0</v>
      </c>
      <c r="L317" s="42">
        <f t="shared" si="34"/>
        <v>12966099.299999999</v>
      </c>
      <c r="M317" s="43"/>
      <c r="N317" s="34"/>
    </row>
    <row r="318" spans="1:14" ht="47.25" hidden="1" x14ac:dyDescent="0.25">
      <c r="A318" s="35" t="s">
        <v>560</v>
      </c>
      <c r="B318" s="36" t="s">
        <v>561</v>
      </c>
      <c r="C318" s="37" t="s">
        <v>42</v>
      </c>
      <c r="D318" s="38">
        <v>84.9</v>
      </c>
      <c r="E318" s="39">
        <v>84.9</v>
      </c>
      <c r="F318" s="28">
        <f t="shared" si="36"/>
        <v>0</v>
      </c>
      <c r="G318" s="39">
        <f t="shared" si="35"/>
        <v>84.9</v>
      </c>
      <c r="H318" s="40">
        <v>1405969</v>
      </c>
      <c r="I318" s="41">
        <f t="shared" si="37"/>
        <v>119366768</v>
      </c>
      <c r="J318" s="42">
        <f t="shared" si="32"/>
        <v>119366768.10000001</v>
      </c>
      <c r="K318" s="42">
        <f t="shared" si="33"/>
        <v>0</v>
      </c>
      <c r="L318" s="42">
        <f t="shared" si="34"/>
        <v>119366768.10000001</v>
      </c>
      <c r="M318" s="43"/>
      <c r="N318" s="34"/>
    </row>
    <row r="319" spans="1:14" ht="31.5" hidden="1" x14ac:dyDescent="0.25">
      <c r="A319" s="35" t="s">
        <v>562</v>
      </c>
      <c r="B319" s="36" t="s">
        <v>238</v>
      </c>
      <c r="C319" s="37" t="s">
        <v>42</v>
      </c>
      <c r="D319" s="38">
        <v>6.4</v>
      </c>
      <c r="E319" s="39">
        <v>6.4</v>
      </c>
      <c r="F319" s="28">
        <f t="shared" si="36"/>
        <v>0</v>
      </c>
      <c r="G319" s="39">
        <f t="shared" si="35"/>
        <v>6.4</v>
      </c>
      <c r="H319" s="40">
        <v>851305</v>
      </c>
      <c r="I319" s="41">
        <f t="shared" si="37"/>
        <v>5448352</v>
      </c>
      <c r="J319" s="42">
        <f t="shared" si="32"/>
        <v>5448352</v>
      </c>
      <c r="K319" s="42">
        <f t="shared" si="33"/>
        <v>0</v>
      </c>
      <c r="L319" s="42">
        <f t="shared" si="34"/>
        <v>5448352</v>
      </c>
      <c r="M319" s="43"/>
      <c r="N319" s="34"/>
    </row>
    <row r="320" spans="1:14" hidden="1" x14ac:dyDescent="0.25">
      <c r="A320" s="35" t="s">
        <v>563</v>
      </c>
      <c r="B320" s="36" t="s">
        <v>142</v>
      </c>
      <c r="C320" s="37" t="s">
        <v>39</v>
      </c>
      <c r="D320" s="38">
        <v>188.12</v>
      </c>
      <c r="E320" s="39">
        <v>188.12</v>
      </c>
      <c r="F320" s="28">
        <f t="shared" si="36"/>
        <v>0</v>
      </c>
      <c r="G320" s="39">
        <f t="shared" si="35"/>
        <v>188.12</v>
      </c>
      <c r="H320" s="40">
        <v>103945</v>
      </c>
      <c r="I320" s="41">
        <f t="shared" si="37"/>
        <v>19554133</v>
      </c>
      <c r="J320" s="42">
        <f t="shared" si="32"/>
        <v>19554133.400000002</v>
      </c>
      <c r="K320" s="42">
        <f t="shared" si="33"/>
        <v>0</v>
      </c>
      <c r="L320" s="42">
        <f t="shared" si="34"/>
        <v>19554133.400000002</v>
      </c>
      <c r="M320" s="43"/>
      <c r="N320" s="34"/>
    </row>
    <row r="321" spans="1:14" ht="47.25" hidden="1" x14ac:dyDescent="0.25">
      <c r="A321" s="35" t="s">
        <v>564</v>
      </c>
      <c r="B321" s="36" t="s">
        <v>561</v>
      </c>
      <c r="C321" s="37" t="s">
        <v>42</v>
      </c>
      <c r="D321" s="38">
        <v>73.33</v>
      </c>
      <c r="E321" s="39">
        <v>73.33</v>
      </c>
      <c r="F321" s="28">
        <f t="shared" si="36"/>
        <v>0</v>
      </c>
      <c r="G321" s="39">
        <f t="shared" si="35"/>
        <v>73.33</v>
      </c>
      <c r="H321" s="40">
        <v>1405969</v>
      </c>
      <c r="I321" s="41">
        <f t="shared" si="37"/>
        <v>103099707</v>
      </c>
      <c r="J321" s="42">
        <f t="shared" si="32"/>
        <v>103099706.77</v>
      </c>
      <c r="K321" s="42">
        <f t="shared" si="33"/>
        <v>0</v>
      </c>
      <c r="L321" s="42">
        <f t="shared" si="34"/>
        <v>103099706.77</v>
      </c>
      <c r="M321" s="43"/>
      <c r="N321" s="34"/>
    </row>
    <row r="322" spans="1:14" ht="31.5" hidden="1" x14ac:dyDescent="0.25">
      <c r="A322" s="35" t="s">
        <v>565</v>
      </c>
      <c r="B322" s="36" t="s">
        <v>238</v>
      </c>
      <c r="C322" s="37" t="s">
        <v>42</v>
      </c>
      <c r="D322" s="38">
        <v>10.92</v>
      </c>
      <c r="E322" s="39">
        <v>10.92</v>
      </c>
      <c r="F322" s="28">
        <f t="shared" si="36"/>
        <v>0</v>
      </c>
      <c r="G322" s="39">
        <f t="shared" si="35"/>
        <v>10.92</v>
      </c>
      <c r="H322" s="40">
        <v>851305</v>
      </c>
      <c r="I322" s="41">
        <f t="shared" si="37"/>
        <v>9296251</v>
      </c>
      <c r="J322" s="42">
        <f t="shared" si="32"/>
        <v>9296250.5999999996</v>
      </c>
      <c r="K322" s="42">
        <f t="shared" si="33"/>
        <v>0</v>
      </c>
      <c r="L322" s="42">
        <f t="shared" si="34"/>
        <v>9296250.5999999996</v>
      </c>
      <c r="M322" s="43"/>
      <c r="N322" s="34"/>
    </row>
    <row r="323" spans="1:14" hidden="1" x14ac:dyDescent="0.25">
      <c r="A323" s="35" t="s">
        <v>566</v>
      </c>
      <c r="B323" s="36" t="s">
        <v>142</v>
      </c>
      <c r="C323" s="37" t="s">
        <v>39</v>
      </c>
      <c r="D323" s="38">
        <v>199.74</v>
      </c>
      <c r="E323" s="39">
        <v>199.74</v>
      </c>
      <c r="F323" s="28">
        <f t="shared" si="36"/>
        <v>0</v>
      </c>
      <c r="G323" s="39">
        <f t="shared" si="35"/>
        <v>199.74</v>
      </c>
      <c r="H323" s="40">
        <v>103945</v>
      </c>
      <c r="I323" s="41">
        <f t="shared" si="37"/>
        <v>20761974</v>
      </c>
      <c r="J323" s="42">
        <f t="shared" si="32"/>
        <v>20761974.300000001</v>
      </c>
      <c r="K323" s="42">
        <f t="shared" si="33"/>
        <v>0</v>
      </c>
      <c r="L323" s="42">
        <f t="shared" si="34"/>
        <v>20761974.300000001</v>
      </c>
      <c r="M323" s="43"/>
      <c r="N323" s="34"/>
    </row>
    <row r="324" spans="1:14" hidden="1" x14ac:dyDescent="0.25">
      <c r="A324" s="35" t="s">
        <v>567</v>
      </c>
      <c r="B324" s="36" t="s">
        <v>568</v>
      </c>
      <c r="C324" s="37" t="s">
        <v>42</v>
      </c>
      <c r="D324" s="38">
        <v>51</v>
      </c>
      <c r="E324" s="39">
        <v>51</v>
      </c>
      <c r="F324" s="28">
        <f t="shared" si="36"/>
        <v>0</v>
      </c>
      <c r="G324" s="39">
        <f t="shared" si="35"/>
        <v>51</v>
      </c>
      <c r="H324" s="40">
        <v>1339251</v>
      </c>
      <c r="I324" s="41">
        <f t="shared" si="37"/>
        <v>68301801</v>
      </c>
      <c r="J324" s="42">
        <f t="shared" si="32"/>
        <v>68301801</v>
      </c>
      <c r="K324" s="42">
        <f t="shared" si="33"/>
        <v>0</v>
      </c>
      <c r="L324" s="42">
        <f t="shared" si="34"/>
        <v>68301801</v>
      </c>
      <c r="M324" s="43"/>
      <c r="N324" s="34"/>
    </row>
    <row r="325" spans="1:14" ht="31.5" hidden="1" x14ac:dyDescent="0.25">
      <c r="A325" s="35" t="s">
        <v>569</v>
      </c>
      <c r="B325" s="36" t="s">
        <v>238</v>
      </c>
      <c r="C325" s="37" t="s">
        <v>42</v>
      </c>
      <c r="D325" s="38">
        <v>20.399999999999999</v>
      </c>
      <c r="E325" s="39">
        <v>20.399999999999999</v>
      </c>
      <c r="F325" s="28">
        <f t="shared" si="36"/>
        <v>0</v>
      </c>
      <c r="G325" s="39">
        <f t="shared" si="35"/>
        <v>20.399999999999999</v>
      </c>
      <c r="H325" s="40">
        <v>851305</v>
      </c>
      <c r="I325" s="41">
        <f t="shared" si="37"/>
        <v>17366622</v>
      </c>
      <c r="J325" s="42">
        <f t="shared" si="32"/>
        <v>17366622</v>
      </c>
      <c r="K325" s="42">
        <f t="shared" si="33"/>
        <v>0</v>
      </c>
      <c r="L325" s="42">
        <f t="shared" si="34"/>
        <v>17366622</v>
      </c>
      <c r="M325" s="43"/>
      <c r="N325" s="34"/>
    </row>
    <row r="326" spans="1:14" hidden="1" x14ac:dyDescent="0.25">
      <c r="A326" s="35" t="s">
        <v>570</v>
      </c>
      <c r="B326" s="36" t="s">
        <v>568</v>
      </c>
      <c r="C326" s="37" t="s">
        <v>42</v>
      </c>
      <c r="D326" s="38">
        <v>83.7</v>
      </c>
      <c r="E326" s="39">
        <v>83.7</v>
      </c>
      <c r="F326" s="28">
        <f t="shared" si="36"/>
        <v>0</v>
      </c>
      <c r="G326" s="39">
        <f t="shared" si="35"/>
        <v>83.7</v>
      </c>
      <c r="H326" s="40">
        <v>1305918</v>
      </c>
      <c r="I326" s="41">
        <f t="shared" si="37"/>
        <v>109305337</v>
      </c>
      <c r="J326" s="42">
        <f t="shared" si="32"/>
        <v>109305336.60000001</v>
      </c>
      <c r="K326" s="42">
        <f t="shared" si="33"/>
        <v>0</v>
      </c>
      <c r="L326" s="42">
        <f t="shared" si="34"/>
        <v>109305336.60000001</v>
      </c>
      <c r="M326" s="43"/>
      <c r="N326" s="34"/>
    </row>
    <row r="327" spans="1:14" hidden="1" x14ac:dyDescent="0.25">
      <c r="A327" s="35" t="s">
        <v>571</v>
      </c>
      <c r="B327" s="36" t="s">
        <v>572</v>
      </c>
      <c r="C327" s="37" t="s">
        <v>42</v>
      </c>
      <c r="D327" s="38">
        <v>42.9</v>
      </c>
      <c r="E327" s="39">
        <v>42.9</v>
      </c>
      <c r="F327" s="28">
        <f t="shared" si="36"/>
        <v>0</v>
      </c>
      <c r="G327" s="39">
        <f t="shared" si="35"/>
        <v>42.9</v>
      </c>
      <c r="H327" s="40">
        <v>672112</v>
      </c>
      <c r="I327" s="41">
        <f t="shared" si="37"/>
        <v>28833605</v>
      </c>
      <c r="J327" s="42">
        <f t="shared" si="32"/>
        <v>28833604.800000001</v>
      </c>
      <c r="K327" s="42">
        <f t="shared" si="33"/>
        <v>0</v>
      </c>
      <c r="L327" s="42">
        <f t="shared" si="34"/>
        <v>28833604.800000001</v>
      </c>
      <c r="M327" s="43"/>
      <c r="N327" s="34"/>
    </row>
    <row r="328" spans="1:14" ht="31.5" hidden="1" x14ac:dyDescent="0.25">
      <c r="A328" s="35" t="s">
        <v>573</v>
      </c>
      <c r="B328" s="36" t="s">
        <v>238</v>
      </c>
      <c r="C328" s="37" t="s">
        <v>42</v>
      </c>
      <c r="D328" s="38">
        <v>27.3</v>
      </c>
      <c r="E328" s="39">
        <v>27.3</v>
      </c>
      <c r="F328" s="28">
        <f t="shared" si="36"/>
        <v>0</v>
      </c>
      <c r="G328" s="39">
        <f t="shared" si="35"/>
        <v>27.3</v>
      </c>
      <c r="H328" s="40">
        <v>851305</v>
      </c>
      <c r="I328" s="41">
        <f t="shared" si="37"/>
        <v>23240627</v>
      </c>
      <c r="J328" s="42">
        <f t="shared" si="32"/>
        <v>23240626.5</v>
      </c>
      <c r="K328" s="42">
        <f t="shared" si="33"/>
        <v>0</v>
      </c>
      <c r="L328" s="42">
        <f t="shared" si="34"/>
        <v>23240626.5</v>
      </c>
      <c r="M328" s="43"/>
      <c r="N328" s="34"/>
    </row>
    <row r="329" spans="1:14" hidden="1" x14ac:dyDescent="0.25">
      <c r="A329" s="35" t="s">
        <v>574</v>
      </c>
      <c r="B329" s="36" t="s">
        <v>253</v>
      </c>
      <c r="C329" s="37" t="s">
        <v>42</v>
      </c>
      <c r="D329" s="38">
        <v>11.09</v>
      </c>
      <c r="E329" s="39">
        <v>11.09</v>
      </c>
      <c r="F329" s="28">
        <f t="shared" si="36"/>
        <v>0</v>
      </c>
      <c r="G329" s="39">
        <f t="shared" si="35"/>
        <v>11.09</v>
      </c>
      <c r="H329" s="40">
        <v>1568156</v>
      </c>
      <c r="I329" s="41">
        <f t="shared" si="37"/>
        <v>17390850</v>
      </c>
      <c r="J329" s="42">
        <f t="shared" si="32"/>
        <v>17390850.039999999</v>
      </c>
      <c r="K329" s="42">
        <f t="shared" si="33"/>
        <v>0</v>
      </c>
      <c r="L329" s="42">
        <f t="shared" si="34"/>
        <v>17390850.039999999</v>
      </c>
      <c r="M329" s="43"/>
      <c r="N329" s="34"/>
    </row>
    <row r="330" spans="1:14" hidden="1" x14ac:dyDescent="0.25">
      <c r="A330" s="35" t="s">
        <v>575</v>
      </c>
      <c r="B330" s="36" t="s">
        <v>142</v>
      </c>
      <c r="C330" s="37" t="s">
        <v>39</v>
      </c>
      <c r="D330" s="38">
        <v>18.920000000000002</v>
      </c>
      <c r="E330" s="39">
        <v>18.920000000000002</v>
      </c>
      <c r="F330" s="28">
        <f t="shared" si="36"/>
        <v>0</v>
      </c>
      <c r="G330" s="39">
        <f t="shared" si="35"/>
        <v>18.920000000000002</v>
      </c>
      <c r="H330" s="40">
        <v>103945</v>
      </c>
      <c r="I330" s="41">
        <f t="shared" si="37"/>
        <v>1966639</v>
      </c>
      <c r="J330" s="42">
        <f t="shared" si="32"/>
        <v>1966639.4000000001</v>
      </c>
      <c r="K330" s="42">
        <f t="shared" si="33"/>
        <v>0</v>
      </c>
      <c r="L330" s="42">
        <f t="shared" si="34"/>
        <v>1966639.4000000001</v>
      </c>
      <c r="M330" s="43"/>
      <c r="N330" s="34"/>
    </row>
    <row r="331" spans="1:14" ht="31.5" hidden="1" x14ac:dyDescent="0.25">
      <c r="A331" s="35" t="s">
        <v>576</v>
      </c>
      <c r="B331" s="36" t="s">
        <v>238</v>
      </c>
      <c r="C331" s="37" t="s">
        <v>42</v>
      </c>
      <c r="D331" s="38">
        <v>5.49</v>
      </c>
      <c r="E331" s="39">
        <v>5.49</v>
      </c>
      <c r="F331" s="28">
        <f t="shared" si="36"/>
        <v>0</v>
      </c>
      <c r="G331" s="39">
        <f t="shared" si="35"/>
        <v>5.49</v>
      </c>
      <c r="H331" s="40">
        <v>851305</v>
      </c>
      <c r="I331" s="41">
        <f t="shared" si="37"/>
        <v>4673664</v>
      </c>
      <c r="J331" s="42">
        <f t="shared" si="32"/>
        <v>4673664.45</v>
      </c>
      <c r="K331" s="42">
        <f t="shared" si="33"/>
        <v>0</v>
      </c>
      <c r="L331" s="42">
        <f t="shared" si="34"/>
        <v>4673664.45</v>
      </c>
      <c r="M331" s="43"/>
      <c r="N331" s="34"/>
    </row>
    <row r="332" spans="1:14" hidden="1" x14ac:dyDescent="0.25">
      <c r="A332" s="35" t="s">
        <v>577</v>
      </c>
      <c r="B332" s="36" t="s">
        <v>139</v>
      </c>
      <c r="C332" s="37" t="s">
        <v>42</v>
      </c>
      <c r="D332" s="38">
        <v>6.28</v>
      </c>
      <c r="E332" s="39">
        <v>6.28</v>
      </c>
      <c r="F332" s="28">
        <f t="shared" si="36"/>
        <v>0</v>
      </c>
      <c r="G332" s="39">
        <f t="shared" si="35"/>
        <v>6.28</v>
      </c>
      <c r="H332" s="40">
        <v>1868221</v>
      </c>
      <c r="I332" s="41">
        <f t="shared" si="37"/>
        <v>11732428</v>
      </c>
      <c r="J332" s="42">
        <f t="shared" si="32"/>
        <v>11732427.880000001</v>
      </c>
      <c r="K332" s="42">
        <f t="shared" si="33"/>
        <v>0</v>
      </c>
      <c r="L332" s="42">
        <f t="shared" si="34"/>
        <v>11732427.880000001</v>
      </c>
      <c r="M332" s="43"/>
      <c r="N332" s="34"/>
    </row>
    <row r="333" spans="1:14" hidden="1" x14ac:dyDescent="0.25">
      <c r="A333" s="35" t="s">
        <v>578</v>
      </c>
      <c r="B333" s="36" t="s">
        <v>579</v>
      </c>
      <c r="C333" s="37" t="s">
        <v>39</v>
      </c>
      <c r="D333" s="38">
        <v>60.7</v>
      </c>
      <c r="E333" s="39">
        <v>60.7</v>
      </c>
      <c r="F333" s="28">
        <f t="shared" si="36"/>
        <v>0</v>
      </c>
      <c r="G333" s="39">
        <f t="shared" si="35"/>
        <v>60.7</v>
      </c>
      <c r="H333" s="40">
        <v>96763</v>
      </c>
      <c r="I333" s="41">
        <f t="shared" si="37"/>
        <v>5873514</v>
      </c>
      <c r="J333" s="42">
        <f t="shared" si="32"/>
        <v>5873514.1000000006</v>
      </c>
      <c r="K333" s="42">
        <f t="shared" si="33"/>
        <v>0</v>
      </c>
      <c r="L333" s="42">
        <f t="shared" si="34"/>
        <v>5873514.1000000006</v>
      </c>
      <c r="M333" s="43"/>
      <c r="N333" s="34"/>
    </row>
    <row r="334" spans="1:14" hidden="1" x14ac:dyDescent="0.25">
      <c r="A334" s="35" t="s">
        <v>580</v>
      </c>
      <c r="B334" s="36" t="s">
        <v>581</v>
      </c>
      <c r="C334" s="37" t="s">
        <v>42</v>
      </c>
      <c r="D334" s="38">
        <v>0.13</v>
      </c>
      <c r="E334" s="39">
        <v>0.13</v>
      </c>
      <c r="F334" s="28">
        <f t="shared" si="36"/>
        <v>0</v>
      </c>
      <c r="G334" s="39">
        <f t="shared" si="35"/>
        <v>0.13</v>
      </c>
      <c r="H334" s="40">
        <v>2087940</v>
      </c>
      <c r="I334" s="41">
        <f t="shared" si="37"/>
        <v>271432</v>
      </c>
      <c r="J334" s="42">
        <f t="shared" si="32"/>
        <v>271432.2</v>
      </c>
      <c r="K334" s="42">
        <f t="shared" si="33"/>
        <v>0</v>
      </c>
      <c r="L334" s="42">
        <f t="shared" si="34"/>
        <v>271432.2</v>
      </c>
      <c r="M334" s="43"/>
      <c r="N334" s="34"/>
    </row>
    <row r="335" spans="1:14" hidden="1" x14ac:dyDescent="0.25">
      <c r="A335" s="35" t="s">
        <v>582</v>
      </c>
      <c r="B335" s="36" t="s">
        <v>142</v>
      </c>
      <c r="C335" s="37" t="s">
        <v>39</v>
      </c>
      <c r="D335" s="38">
        <v>1.1499999999999999</v>
      </c>
      <c r="E335" s="39">
        <v>1.1499999999999999</v>
      </c>
      <c r="F335" s="28">
        <f t="shared" si="36"/>
        <v>0</v>
      </c>
      <c r="G335" s="39">
        <f t="shared" si="35"/>
        <v>1.1499999999999999</v>
      </c>
      <c r="H335" s="40">
        <v>103945</v>
      </c>
      <c r="I335" s="41">
        <f t="shared" si="37"/>
        <v>119537</v>
      </c>
      <c r="J335" s="42">
        <f t="shared" ref="J335:J723" si="38">E335*H335</f>
        <v>119536.74999999999</v>
      </c>
      <c r="K335" s="42">
        <f t="shared" ref="K335:K723" si="39">F335*H335</f>
        <v>0</v>
      </c>
      <c r="L335" s="42">
        <f t="shared" ref="L335:L723" si="40">G335*H335</f>
        <v>119536.74999999999</v>
      </c>
      <c r="M335" s="43"/>
      <c r="N335" s="34"/>
    </row>
    <row r="336" spans="1:14" ht="31.5" hidden="1" x14ac:dyDescent="0.25">
      <c r="A336" s="35" t="s">
        <v>583</v>
      </c>
      <c r="B336" s="36" t="s">
        <v>267</v>
      </c>
      <c r="C336" s="37" t="s">
        <v>118</v>
      </c>
      <c r="D336" s="38">
        <v>0.04</v>
      </c>
      <c r="E336" s="39">
        <v>0.04</v>
      </c>
      <c r="F336" s="28">
        <f t="shared" si="36"/>
        <v>0</v>
      </c>
      <c r="G336" s="39">
        <f t="shared" si="35"/>
        <v>0.04</v>
      </c>
      <c r="H336" s="40">
        <v>26211154</v>
      </c>
      <c r="I336" s="41">
        <f t="shared" si="37"/>
        <v>1048446</v>
      </c>
      <c r="J336" s="42">
        <f t="shared" si="38"/>
        <v>1048446.16</v>
      </c>
      <c r="K336" s="42">
        <f t="shared" si="39"/>
        <v>0</v>
      </c>
      <c r="L336" s="42">
        <f t="shared" si="40"/>
        <v>1048446.16</v>
      </c>
      <c r="M336" s="43"/>
      <c r="N336" s="34"/>
    </row>
    <row r="337" spans="1:16" ht="31.5" hidden="1" x14ac:dyDescent="0.25">
      <c r="A337" s="35" t="s">
        <v>584</v>
      </c>
      <c r="B337" s="36" t="s">
        <v>585</v>
      </c>
      <c r="C337" s="37" t="s">
        <v>42</v>
      </c>
      <c r="D337" s="38">
        <v>86.1</v>
      </c>
      <c r="E337" s="39">
        <v>86.1</v>
      </c>
      <c r="F337" s="28">
        <f t="shared" si="36"/>
        <v>0</v>
      </c>
      <c r="G337" s="39">
        <f t="shared" si="35"/>
        <v>86.1</v>
      </c>
      <c r="H337" s="40">
        <v>167496</v>
      </c>
      <c r="I337" s="41">
        <f t="shared" si="37"/>
        <v>14421406</v>
      </c>
      <c r="J337" s="42">
        <f t="shared" si="38"/>
        <v>14421405.6</v>
      </c>
      <c r="K337" s="42">
        <f t="shared" si="39"/>
        <v>0</v>
      </c>
      <c r="L337" s="42">
        <f t="shared" si="40"/>
        <v>14421405.6</v>
      </c>
      <c r="M337" s="43"/>
      <c r="N337" s="34"/>
    </row>
    <row r="338" spans="1:16" hidden="1" x14ac:dyDescent="0.25">
      <c r="A338" s="35" t="s">
        <v>586</v>
      </c>
      <c r="B338" s="36" t="s">
        <v>587</v>
      </c>
      <c r="C338" s="37" t="s">
        <v>42</v>
      </c>
      <c r="D338" s="38">
        <v>86.1</v>
      </c>
      <c r="E338" s="39">
        <v>86.1</v>
      </c>
      <c r="F338" s="28">
        <f t="shared" si="36"/>
        <v>0</v>
      </c>
      <c r="G338" s="39">
        <f t="shared" si="35"/>
        <v>86.1</v>
      </c>
      <c r="H338" s="40">
        <v>56948</v>
      </c>
      <c r="I338" s="41">
        <f t="shared" si="37"/>
        <v>4903223</v>
      </c>
      <c r="J338" s="42">
        <f t="shared" si="38"/>
        <v>4903222.8</v>
      </c>
      <c r="K338" s="42">
        <f t="shared" si="39"/>
        <v>0</v>
      </c>
      <c r="L338" s="42">
        <f t="shared" si="40"/>
        <v>4903222.8</v>
      </c>
      <c r="M338" s="43"/>
      <c r="N338" s="34"/>
    </row>
    <row r="339" spans="1:16" hidden="1" x14ac:dyDescent="0.25">
      <c r="A339" s="44" t="s">
        <v>588</v>
      </c>
      <c r="B339" s="45" t="s">
        <v>73</v>
      </c>
      <c r="C339" s="46" t="s">
        <v>42</v>
      </c>
      <c r="D339" s="47">
        <v>86.1</v>
      </c>
      <c r="E339" s="48">
        <v>86.1</v>
      </c>
      <c r="F339" s="28">
        <f t="shared" si="36"/>
        <v>0</v>
      </c>
      <c r="G339" s="48">
        <f t="shared" si="35"/>
        <v>86.1</v>
      </c>
      <c r="H339" s="49">
        <v>2096</v>
      </c>
      <c r="I339" s="50">
        <f t="shared" si="37"/>
        <v>180466</v>
      </c>
      <c r="J339" s="51">
        <f t="shared" si="38"/>
        <v>180465.59999999998</v>
      </c>
      <c r="K339" s="51">
        <f t="shared" si="39"/>
        <v>0</v>
      </c>
      <c r="L339" s="51">
        <f t="shared" si="40"/>
        <v>180465.59999999998</v>
      </c>
      <c r="M339" s="52"/>
      <c r="N339" s="34"/>
    </row>
    <row r="340" spans="1:16" s="64" customFormat="1" ht="33.75" hidden="1" customHeight="1" x14ac:dyDescent="0.25">
      <c r="A340" s="16">
        <v>15</v>
      </c>
      <c r="B340" s="53" t="s">
        <v>589</v>
      </c>
      <c r="C340" s="18"/>
      <c r="D340" s="19"/>
      <c r="E340" s="59"/>
      <c r="F340" s="54"/>
      <c r="G340" s="59"/>
      <c r="H340" s="60"/>
      <c r="I340" s="61"/>
      <c r="J340" s="62"/>
      <c r="K340" s="62"/>
      <c r="L340" s="62"/>
      <c r="M340" s="63"/>
      <c r="N340" s="34"/>
    </row>
    <row r="341" spans="1:16" hidden="1" x14ac:dyDescent="0.25">
      <c r="A341" s="25" t="s">
        <v>590</v>
      </c>
      <c r="B341" s="26" t="s">
        <v>38</v>
      </c>
      <c r="C341" s="27" t="s">
        <v>39</v>
      </c>
      <c r="D341" s="28">
        <v>2314</v>
      </c>
      <c r="E341" s="29">
        <v>2314</v>
      </c>
      <c r="F341" s="28">
        <v>0</v>
      </c>
      <c r="G341" s="29">
        <f t="shared" ref="G341:G404" si="41">E341+F341</f>
        <v>2314</v>
      </c>
      <c r="H341" s="30">
        <v>646</v>
      </c>
      <c r="I341" s="31">
        <f t="shared" si="37"/>
        <v>1494844</v>
      </c>
      <c r="J341" s="32">
        <f t="shared" si="38"/>
        <v>1494844</v>
      </c>
      <c r="K341" s="32">
        <f t="shared" si="39"/>
        <v>0</v>
      </c>
      <c r="L341" s="32">
        <f t="shared" si="40"/>
        <v>1494844</v>
      </c>
      <c r="M341" s="33"/>
      <c r="N341" s="76">
        <f>D373+D399+D420+D425+D496</f>
        <v>3873.12</v>
      </c>
    </row>
    <row r="342" spans="1:16" ht="21" hidden="1" customHeight="1" x14ac:dyDescent="0.25">
      <c r="A342" s="35" t="s">
        <v>591</v>
      </c>
      <c r="B342" s="36" t="s">
        <v>46</v>
      </c>
      <c r="C342" s="37" t="s">
        <v>42</v>
      </c>
      <c r="D342" s="38">
        <v>35.799999999999997</v>
      </c>
      <c r="E342" s="39">
        <v>35.799999999999997</v>
      </c>
      <c r="F342" s="28">
        <v>0</v>
      </c>
      <c r="G342" s="39">
        <f>E342+F342</f>
        <v>35.799999999999997</v>
      </c>
      <c r="H342" s="40">
        <v>30610</v>
      </c>
      <c r="I342" s="41">
        <f t="shared" si="37"/>
        <v>1095838</v>
      </c>
      <c r="J342" s="42">
        <f t="shared" si="38"/>
        <v>1095838</v>
      </c>
      <c r="K342" s="42">
        <f t="shared" si="39"/>
        <v>0</v>
      </c>
      <c r="L342" s="42">
        <f t="shared" si="40"/>
        <v>1095838</v>
      </c>
      <c r="M342" s="43"/>
      <c r="N342" s="76">
        <f>156*21</f>
        <v>3276</v>
      </c>
      <c r="P342" s="24">
        <f>700*21</f>
        <v>14700</v>
      </c>
    </row>
    <row r="343" spans="1:16" ht="45" hidden="1" customHeight="1" x14ac:dyDescent="0.25">
      <c r="A343" s="35" t="s">
        <v>592</v>
      </c>
      <c r="B343" s="36" t="s">
        <v>593</v>
      </c>
      <c r="C343" s="37" t="s">
        <v>42</v>
      </c>
      <c r="D343" s="38">
        <v>6794.84</v>
      </c>
      <c r="E343" s="39">
        <v>6794.84</v>
      </c>
      <c r="F343" s="28">
        <v>0</v>
      </c>
      <c r="G343" s="39">
        <f t="shared" si="41"/>
        <v>6794.84</v>
      </c>
      <c r="H343" s="40">
        <v>12936</v>
      </c>
      <c r="I343" s="41">
        <f t="shared" si="37"/>
        <v>87898050</v>
      </c>
      <c r="J343" s="42">
        <f t="shared" si="38"/>
        <v>87898050.239999995</v>
      </c>
      <c r="K343" s="42">
        <f t="shared" si="39"/>
        <v>0</v>
      </c>
      <c r="L343" s="42">
        <f t="shared" si="40"/>
        <v>87898050.239999995</v>
      </c>
      <c r="M343" s="43"/>
      <c r="N343" s="76"/>
    </row>
    <row r="344" spans="1:16" ht="38.25" hidden="1" customHeight="1" x14ac:dyDescent="0.25">
      <c r="A344" s="35" t="s">
        <v>594</v>
      </c>
      <c r="B344" s="36" t="s">
        <v>56</v>
      </c>
      <c r="C344" s="37" t="s">
        <v>42</v>
      </c>
      <c r="D344" s="38">
        <v>1228</v>
      </c>
      <c r="E344" s="39">
        <v>1228</v>
      </c>
      <c r="F344" s="28">
        <v>0</v>
      </c>
      <c r="G344" s="39">
        <f t="shared" si="41"/>
        <v>1228</v>
      </c>
      <c r="H344" s="40">
        <v>12936</v>
      </c>
      <c r="I344" s="41">
        <f t="shared" si="37"/>
        <v>15885408</v>
      </c>
      <c r="J344" s="42">
        <f t="shared" si="38"/>
        <v>15885408</v>
      </c>
      <c r="K344" s="42">
        <f t="shared" si="39"/>
        <v>0</v>
      </c>
      <c r="L344" s="42">
        <f t="shared" si="40"/>
        <v>15885408</v>
      </c>
      <c r="M344" s="43"/>
      <c r="N344" s="76"/>
    </row>
    <row r="345" spans="1:16" ht="45.75" hidden="1" customHeight="1" x14ac:dyDescent="0.25">
      <c r="A345" s="35" t="s">
        <v>595</v>
      </c>
      <c r="B345" s="36" t="s">
        <v>58</v>
      </c>
      <c r="C345" s="37" t="s">
        <v>42</v>
      </c>
      <c r="D345" s="38">
        <v>321.39999999999998</v>
      </c>
      <c r="E345" s="39">
        <v>0</v>
      </c>
      <c r="F345" s="28">
        <v>321.39999999999998</v>
      </c>
      <c r="G345" s="39">
        <f t="shared" si="41"/>
        <v>321.39999999999998</v>
      </c>
      <c r="H345" s="40">
        <v>15775</v>
      </c>
      <c r="I345" s="41">
        <f t="shared" si="37"/>
        <v>5070085</v>
      </c>
      <c r="J345" s="42">
        <f t="shared" si="38"/>
        <v>0</v>
      </c>
      <c r="K345" s="42">
        <f t="shared" si="39"/>
        <v>5070085</v>
      </c>
      <c r="L345" s="42">
        <f t="shared" si="40"/>
        <v>5070085</v>
      </c>
      <c r="M345" s="43"/>
      <c r="N345" s="76"/>
      <c r="P345" s="24">
        <f>300*21</f>
        <v>6300</v>
      </c>
    </row>
    <row r="346" spans="1:16" hidden="1" x14ac:dyDescent="0.25">
      <c r="A346" s="35" t="s">
        <v>596</v>
      </c>
      <c r="B346" s="36" t="s">
        <v>60</v>
      </c>
      <c r="C346" s="37" t="s">
        <v>42</v>
      </c>
      <c r="D346" s="38">
        <v>16016.47</v>
      </c>
      <c r="E346" s="39">
        <v>16016.47</v>
      </c>
      <c r="F346" s="28">
        <v>0</v>
      </c>
      <c r="G346" s="39">
        <f t="shared" si="41"/>
        <v>16016.47</v>
      </c>
      <c r="H346" s="40">
        <v>50585</v>
      </c>
      <c r="I346" s="41">
        <f t="shared" si="37"/>
        <v>810193135</v>
      </c>
      <c r="J346" s="42">
        <f t="shared" si="38"/>
        <v>810193134.94999993</v>
      </c>
      <c r="K346" s="42">
        <f t="shared" si="39"/>
        <v>0</v>
      </c>
      <c r="L346" s="42">
        <f t="shared" si="40"/>
        <v>810193134.94999993</v>
      </c>
      <c r="M346" s="43"/>
      <c r="N346" s="76"/>
    </row>
    <row r="347" spans="1:16" hidden="1" x14ac:dyDescent="0.25">
      <c r="A347" s="35" t="s">
        <v>597</v>
      </c>
      <c r="B347" s="36" t="s">
        <v>62</v>
      </c>
      <c r="C347" s="37" t="s">
        <v>42</v>
      </c>
      <c r="D347" s="38">
        <v>451.12</v>
      </c>
      <c r="E347" s="39">
        <v>0</v>
      </c>
      <c r="F347" s="28">
        <v>451.12</v>
      </c>
      <c r="G347" s="39">
        <f t="shared" si="41"/>
        <v>451.12</v>
      </c>
      <c r="H347" s="40">
        <v>54405</v>
      </c>
      <c r="I347" s="41">
        <f t="shared" si="37"/>
        <v>24543184</v>
      </c>
      <c r="J347" s="39">
        <f t="shared" si="38"/>
        <v>0</v>
      </c>
      <c r="K347" s="42">
        <f t="shared" si="39"/>
        <v>24543183.600000001</v>
      </c>
      <c r="L347" s="42">
        <f t="shared" si="40"/>
        <v>24543183.600000001</v>
      </c>
      <c r="M347" s="43"/>
      <c r="N347" s="76"/>
    </row>
    <row r="348" spans="1:16" hidden="1" x14ac:dyDescent="0.25">
      <c r="A348" s="35" t="s">
        <v>598</v>
      </c>
      <c r="B348" s="36" t="s">
        <v>64</v>
      </c>
      <c r="C348" s="37" t="s">
        <v>65</v>
      </c>
      <c r="D348" s="38">
        <v>1646.76</v>
      </c>
      <c r="E348" s="39">
        <v>1601.6469999999999</v>
      </c>
      <c r="F348" s="28">
        <v>45.113000000000056</v>
      </c>
      <c r="G348" s="39">
        <f t="shared" si="41"/>
        <v>1646.76</v>
      </c>
      <c r="H348" s="40">
        <v>1064000</v>
      </c>
      <c r="I348" s="41">
        <f t="shared" si="37"/>
        <v>1752152640</v>
      </c>
      <c r="J348" s="39">
        <f t="shared" si="38"/>
        <v>1704152408</v>
      </c>
      <c r="K348" s="42">
        <f t="shared" si="39"/>
        <v>48000232.00000006</v>
      </c>
      <c r="L348" s="42">
        <f t="shared" si="40"/>
        <v>1752152640</v>
      </c>
      <c r="M348" s="43"/>
      <c r="N348" s="76"/>
    </row>
    <row r="349" spans="1:16" hidden="1" x14ac:dyDescent="0.25">
      <c r="A349" s="35" t="s">
        <v>599</v>
      </c>
      <c r="B349" s="36" t="s">
        <v>67</v>
      </c>
      <c r="C349" s="37" t="s">
        <v>42</v>
      </c>
      <c r="D349" s="38">
        <v>4123.3500000000004</v>
      </c>
      <c r="E349" s="39">
        <v>4123.3500000000004</v>
      </c>
      <c r="F349" s="28">
        <v>0</v>
      </c>
      <c r="G349" s="39">
        <f t="shared" si="41"/>
        <v>4123.3500000000004</v>
      </c>
      <c r="H349" s="40">
        <v>40424</v>
      </c>
      <c r="I349" s="41">
        <f t="shared" si="37"/>
        <v>166682300</v>
      </c>
      <c r="J349" s="39">
        <f t="shared" si="38"/>
        <v>166682300.40000001</v>
      </c>
      <c r="K349" s="42">
        <f t="shared" si="39"/>
        <v>0</v>
      </c>
      <c r="L349" s="42">
        <f t="shared" si="40"/>
        <v>166682300.40000001</v>
      </c>
      <c r="M349" s="43"/>
      <c r="N349" s="76"/>
    </row>
    <row r="350" spans="1:16" hidden="1" x14ac:dyDescent="0.25">
      <c r="A350" s="35" t="s">
        <v>600</v>
      </c>
      <c r="B350" s="36" t="s">
        <v>69</v>
      </c>
      <c r="C350" s="37" t="s">
        <v>42</v>
      </c>
      <c r="D350" s="38">
        <v>198.4</v>
      </c>
      <c r="E350" s="39">
        <v>198.4</v>
      </c>
      <c r="F350" s="28">
        <v>0</v>
      </c>
      <c r="G350" s="39">
        <f t="shared" si="41"/>
        <v>198.4</v>
      </c>
      <c r="H350" s="40">
        <v>45382</v>
      </c>
      <c r="I350" s="41">
        <f t="shared" si="37"/>
        <v>9003789</v>
      </c>
      <c r="J350" s="39">
        <f t="shared" si="38"/>
        <v>9003788.8000000007</v>
      </c>
      <c r="K350" s="42">
        <f t="shared" si="39"/>
        <v>0</v>
      </c>
      <c r="L350" s="42">
        <f t="shared" si="40"/>
        <v>9003788.8000000007</v>
      </c>
      <c r="M350" s="43"/>
      <c r="N350" s="76"/>
    </row>
    <row r="351" spans="1:16" hidden="1" x14ac:dyDescent="0.25">
      <c r="A351" s="35" t="s">
        <v>601</v>
      </c>
      <c r="B351" s="36" t="s">
        <v>602</v>
      </c>
      <c r="C351" s="37" t="s">
        <v>42</v>
      </c>
      <c r="D351" s="38">
        <v>49.6</v>
      </c>
      <c r="E351" s="39">
        <v>49.6</v>
      </c>
      <c r="F351" s="28">
        <v>0</v>
      </c>
      <c r="G351" s="39">
        <f t="shared" si="41"/>
        <v>49.6</v>
      </c>
      <c r="H351" s="40">
        <v>56948</v>
      </c>
      <c r="I351" s="41">
        <f t="shared" si="37"/>
        <v>2824621</v>
      </c>
      <c r="J351" s="39">
        <f t="shared" si="38"/>
        <v>2824620.8000000003</v>
      </c>
      <c r="K351" s="42">
        <f t="shared" si="39"/>
        <v>0</v>
      </c>
      <c r="L351" s="42">
        <f t="shared" si="40"/>
        <v>2824620.8000000003</v>
      </c>
      <c r="M351" s="43"/>
      <c r="N351" s="76"/>
    </row>
    <row r="352" spans="1:16" hidden="1" x14ac:dyDescent="0.25">
      <c r="A352" s="35" t="s">
        <v>603</v>
      </c>
      <c r="B352" s="36" t="s">
        <v>73</v>
      </c>
      <c r="C352" s="37" t="s">
        <v>42</v>
      </c>
      <c r="D352" s="38">
        <v>2185.6799999999998</v>
      </c>
      <c r="E352" s="39">
        <v>2185.6799999999998</v>
      </c>
      <c r="F352" s="28">
        <v>0</v>
      </c>
      <c r="G352" s="39">
        <f t="shared" si="41"/>
        <v>2185.6799999999998</v>
      </c>
      <c r="H352" s="40">
        <v>2096</v>
      </c>
      <c r="I352" s="41">
        <f t="shared" si="37"/>
        <v>4581185</v>
      </c>
      <c r="J352" s="39">
        <f t="shared" si="38"/>
        <v>4581185.2799999993</v>
      </c>
      <c r="K352" s="42">
        <f t="shared" si="39"/>
        <v>0</v>
      </c>
      <c r="L352" s="42">
        <f t="shared" si="40"/>
        <v>4581185.2799999993</v>
      </c>
      <c r="M352" s="43"/>
      <c r="N352" s="76"/>
    </row>
    <row r="353" spans="1:14" ht="31.5" hidden="1" x14ac:dyDescent="0.25">
      <c r="A353" s="35" t="s">
        <v>604</v>
      </c>
      <c r="B353" s="36" t="s">
        <v>75</v>
      </c>
      <c r="C353" s="37" t="s">
        <v>42</v>
      </c>
      <c r="D353" s="38">
        <v>3557.6</v>
      </c>
      <c r="E353" s="39">
        <v>3557.6</v>
      </c>
      <c r="F353" s="28">
        <v>0</v>
      </c>
      <c r="G353" s="39">
        <f t="shared" si="41"/>
        <v>3557.6</v>
      </c>
      <c r="H353" s="40">
        <v>8251</v>
      </c>
      <c r="I353" s="41">
        <f t="shared" si="37"/>
        <v>29353758</v>
      </c>
      <c r="J353" s="39">
        <f t="shared" si="38"/>
        <v>29353757.599999998</v>
      </c>
      <c r="K353" s="42">
        <f t="shared" si="39"/>
        <v>0</v>
      </c>
      <c r="L353" s="42">
        <f t="shared" si="40"/>
        <v>29353757.599999998</v>
      </c>
      <c r="M353" s="43"/>
      <c r="N353" s="76"/>
    </row>
    <row r="354" spans="1:14" ht="31.5" hidden="1" x14ac:dyDescent="0.25">
      <c r="A354" s="35" t="s">
        <v>605</v>
      </c>
      <c r="B354" s="36" t="s">
        <v>79</v>
      </c>
      <c r="C354" s="37" t="s">
        <v>39</v>
      </c>
      <c r="D354" s="38">
        <v>2869.5</v>
      </c>
      <c r="E354" s="39">
        <v>2869.5</v>
      </c>
      <c r="F354" s="28">
        <v>0</v>
      </c>
      <c r="G354" s="39">
        <f t="shared" si="41"/>
        <v>2869.5</v>
      </c>
      <c r="H354" s="40">
        <v>20017</v>
      </c>
      <c r="I354" s="41">
        <f t="shared" si="37"/>
        <v>57438782</v>
      </c>
      <c r="J354" s="39">
        <f t="shared" si="38"/>
        <v>57438781.5</v>
      </c>
      <c r="K354" s="42">
        <f t="shared" si="39"/>
        <v>0</v>
      </c>
      <c r="L354" s="42">
        <f t="shared" si="40"/>
        <v>57438781.5</v>
      </c>
      <c r="M354" s="43"/>
      <c r="N354" s="76"/>
    </row>
    <row r="355" spans="1:14" ht="31.5" hidden="1" x14ac:dyDescent="0.25">
      <c r="A355" s="35" t="s">
        <v>606</v>
      </c>
      <c r="B355" s="36" t="s">
        <v>81</v>
      </c>
      <c r="C355" s="37" t="s">
        <v>39</v>
      </c>
      <c r="D355" s="38">
        <v>6405.1</v>
      </c>
      <c r="E355" s="39">
        <v>6405.1</v>
      </c>
      <c r="F355" s="28">
        <v>0</v>
      </c>
      <c r="G355" s="39">
        <f t="shared" si="41"/>
        <v>6405.1</v>
      </c>
      <c r="H355" s="40">
        <v>224210</v>
      </c>
      <c r="I355" s="41">
        <f t="shared" si="37"/>
        <v>1436087471</v>
      </c>
      <c r="J355" s="39">
        <f t="shared" si="38"/>
        <v>1436087471</v>
      </c>
      <c r="K355" s="42">
        <f t="shared" si="39"/>
        <v>0</v>
      </c>
      <c r="L355" s="42">
        <f t="shared" si="40"/>
        <v>1436087471</v>
      </c>
      <c r="M355" s="43"/>
      <c r="N355" s="76"/>
    </row>
    <row r="356" spans="1:14" hidden="1" x14ac:dyDescent="0.25">
      <c r="A356" s="35" t="s">
        <v>607</v>
      </c>
      <c r="B356" s="36" t="s">
        <v>86</v>
      </c>
      <c r="C356" s="37" t="s">
        <v>42</v>
      </c>
      <c r="D356" s="38">
        <v>4919.1000000000004</v>
      </c>
      <c r="E356" s="39">
        <v>0</v>
      </c>
      <c r="F356" s="28">
        <v>4919.1000000000004</v>
      </c>
      <c r="G356" s="39">
        <f t="shared" si="41"/>
        <v>4919.1000000000004</v>
      </c>
      <c r="H356" s="40">
        <v>12936</v>
      </c>
      <c r="I356" s="41">
        <f t="shared" si="37"/>
        <v>63633478</v>
      </c>
      <c r="J356" s="39">
        <f t="shared" si="38"/>
        <v>0</v>
      </c>
      <c r="K356" s="42">
        <f t="shared" si="39"/>
        <v>63633477.600000001</v>
      </c>
      <c r="L356" s="42">
        <f t="shared" si="40"/>
        <v>63633477.600000001</v>
      </c>
      <c r="M356" s="43"/>
      <c r="N356" s="76"/>
    </row>
    <row r="357" spans="1:14" ht="31.5" hidden="1" x14ac:dyDescent="0.25">
      <c r="A357" s="35" t="s">
        <v>608</v>
      </c>
      <c r="B357" s="36" t="s">
        <v>88</v>
      </c>
      <c r="C357" s="37" t="s">
        <v>42</v>
      </c>
      <c r="D357" s="38">
        <v>1914.6</v>
      </c>
      <c r="E357" s="39">
        <v>0</v>
      </c>
      <c r="F357" s="28">
        <v>1914.6</v>
      </c>
      <c r="G357" s="39">
        <f t="shared" si="41"/>
        <v>1914.6</v>
      </c>
      <c r="H357" s="40">
        <v>12936</v>
      </c>
      <c r="I357" s="41">
        <f t="shared" si="37"/>
        <v>24767266</v>
      </c>
      <c r="J357" s="39">
        <f t="shared" si="38"/>
        <v>0</v>
      </c>
      <c r="K357" s="42">
        <f t="shared" si="39"/>
        <v>24767265.599999998</v>
      </c>
      <c r="L357" s="42">
        <f t="shared" si="40"/>
        <v>24767265.599999998</v>
      </c>
      <c r="M357" s="43"/>
      <c r="N357" s="76"/>
    </row>
    <row r="358" spans="1:14" hidden="1" x14ac:dyDescent="0.25">
      <c r="A358" s="35" t="s">
        <v>609</v>
      </c>
      <c r="B358" s="36" t="s">
        <v>90</v>
      </c>
      <c r="C358" s="37" t="s">
        <v>42</v>
      </c>
      <c r="D358" s="38">
        <v>1914.6</v>
      </c>
      <c r="E358" s="39">
        <v>0</v>
      </c>
      <c r="F358" s="28">
        <v>1914.6</v>
      </c>
      <c r="G358" s="39">
        <f t="shared" si="41"/>
        <v>1914.6</v>
      </c>
      <c r="H358" s="40">
        <v>12342</v>
      </c>
      <c r="I358" s="41">
        <f t="shared" si="37"/>
        <v>23629993</v>
      </c>
      <c r="J358" s="39">
        <f t="shared" si="38"/>
        <v>0</v>
      </c>
      <c r="K358" s="42">
        <f t="shared" si="39"/>
        <v>23629993.199999999</v>
      </c>
      <c r="L358" s="42">
        <f t="shared" si="40"/>
        <v>23629993.199999999</v>
      </c>
      <c r="M358" s="43"/>
      <c r="N358" s="76"/>
    </row>
    <row r="359" spans="1:14" hidden="1" x14ac:dyDescent="0.25">
      <c r="A359" s="35" t="s">
        <v>610</v>
      </c>
      <c r="B359" s="36" t="s">
        <v>611</v>
      </c>
      <c r="C359" s="37" t="s">
        <v>93</v>
      </c>
      <c r="D359" s="38">
        <v>2163.5</v>
      </c>
      <c r="E359" s="39">
        <v>0</v>
      </c>
      <c r="F359" s="28">
        <v>2163.5</v>
      </c>
      <c r="G359" s="39">
        <f t="shared" si="41"/>
        <v>2163.5</v>
      </c>
      <c r="H359" s="40">
        <v>6611</v>
      </c>
      <c r="I359" s="41">
        <f t="shared" si="37"/>
        <v>14302899</v>
      </c>
      <c r="J359" s="39">
        <f t="shared" si="38"/>
        <v>0</v>
      </c>
      <c r="K359" s="42">
        <f t="shared" si="39"/>
        <v>14302898.5</v>
      </c>
      <c r="L359" s="42">
        <f t="shared" si="40"/>
        <v>14302898.5</v>
      </c>
      <c r="M359" s="43"/>
      <c r="N359" s="76"/>
    </row>
    <row r="360" spans="1:14" hidden="1" x14ac:dyDescent="0.25">
      <c r="A360" s="35" t="s">
        <v>612</v>
      </c>
      <c r="B360" s="36" t="s">
        <v>95</v>
      </c>
      <c r="C360" s="37" t="s">
        <v>42</v>
      </c>
      <c r="D360" s="38">
        <v>130.19999999999999</v>
      </c>
      <c r="E360" s="39">
        <v>130.19999999999999</v>
      </c>
      <c r="F360" s="28">
        <v>0</v>
      </c>
      <c r="G360" s="39">
        <f t="shared" si="41"/>
        <v>130.19999999999999</v>
      </c>
      <c r="H360" s="40">
        <v>882587</v>
      </c>
      <c r="I360" s="41">
        <f t="shared" si="37"/>
        <v>114912827</v>
      </c>
      <c r="J360" s="39">
        <f t="shared" si="38"/>
        <v>114912827.39999999</v>
      </c>
      <c r="K360" s="42">
        <f t="shared" si="39"/>
        <v>0</v>
      </c>
      <c r="L360" s="42">
        <f t="shared" si="40"/>
        <v>114912827.39999999</v>
      </c>
      <c r="M360" s="43"/>
      <c r="N360" s="76"/>
    </row>
    <row r="361" spans="1:14" hidden="1" x14ac:dyDescent="0.25">
      <c r="A361" s="35" t="s">
        <v>613</v>
      </c>
      <c r="B361" s="36" t="s">
        <v>97</v>
      </c>
      <c r="C361" s="37" t="s">
        <v>39</v>
      </c>
      <c r="D361" s="38">
        <v>204.9</v>
      </c>
      <c r="E361" s="39">
        <v>204.9</v>
      </c>
      <c r="F361" s="28">
        <v>0</v>
      </c>
      <c r="G361" s="39">
        <f t="shared" si="41"/>
        <v>204.9</v>
      </c>
      <c r="H361" s="40">
        <v>26716</v>
      </c>
      <c r="I361" s="41">
        <f t="shared" si="37"/>
        <v>5474108</v>
      </c>
      <c r="J361" s="39">
        <f t="shared" si="38"/>
        <v>5474108.4000000004</v>
      </c>
      <c r="K361" s="42">
        <f t="shared" si="39"/>
        <v>0</v>
      </c>
      <c r="L361" s="42">
        <f t="shared" si="40"/>
        <v>5474108.4000000004</v>
      </c>
      <c r="M361" s="43"/>
      <c r="N361" s="76"/>
    </row>
    <row r="362" spans="1:14" hidden="1" x14ac:dyDescent="0.25">
      <c r="A362" s="35" t="s">
        <v>614</v>
      </c>
      <c r="B362" s="36" t="s">
        <v>99</v>
      </c>
      <c r="C362" s="37" t="s">
        <v>42</v>
      </c>
      <c r="D362" s="38">
        <v>44.8</v>
      </c>
      <c r="E362" s="39">
        <v>44.8</v>
      </c>
      <c r="F362" s="28">
        <v>0</v>
      </c>
      <c r="G362" s="39">
        <f t="shared" si="41"/>
        <v>44.8</v>
      </c>
      <c r="H362" s="40">
        <v>32141</v>
      </c>
      <c r="I362" s="41">
        <f t="shared" si="37"/>
        <v>1439917</v>
      </c>
      <c r="J362" s="39">
        <f t="shared" si="38"/>
        <v>1439916.7999999998</v>
      </c>
      <c r="K362" s="42">
        <f t="shared" si="39"/>
        <v>0</v>
      </c>
      <c r="L362" s="42">
        <f t="shared" si="40"/>
        <v>1439916.7999999998</v>
      </c>
      <c r="M362" s="43"/>
      <c r="N362" s="76"/>
    </row>
    <row r="363" spans="1:14" ht="71.25" hidden="1" customHeight="1" x14ac:dyDescent="0.25">
      <c r="A363" s="35" t="s">
        <v>615</v>
      </c>
      <c r="B363" s="36" t="s">
        <v>101</v>
      </c>
      <c r="C363" s="37" t="s">
        <v>84</v>
      </c>
      <c r="D363" s="38">
        <v>15536</v>
      </c>
      <c r="E363" s="39">
        <v>15536</v>
      </c>
      <c r="F363" s="28">
        <v>0</v>
      </c>
      <c r="G363" s="39">
        <f t="shared" si="41"/>
        <v>15536</v>
      </c>
      <c r="H363" s="40">
        <v>70225</v>
      </c>
      <c r="I363" s="41">
        <f t="shared" si="37"/>
        <v>1091015600</v>
      </c>
      <c r="J363" s="39">
        <f t="shared" si="38"/>
        <v>1091015600</v>
      </c>
      <c r="K363" s="42">
        <f t="shared" si="39"/>
        <v>0</v>
      </c>
      <c r="L363" s="42">
        <f t="shared" si="40"/>
        <v>1091015600</v>
      </c>
      <c r="M363" s="43"/>
      <c r="N363" s="76"/>
    </row>
    <row r="364" spans="1:14" ht="31.5" hidden="1" x14ac:dyDescent="0.25">
      <c r="A364" s="35" t="s">
        <v>616</v>
      </c>
      <c r="B364" s="36" t="s">
        <v>103</v>
      </c>
      <c r="C364" s="37" t="s">
        <v>42</v>
      </c>
      <c r="D364" s="38">
        <v>1550.4</v>
      </c>
      <c r="E364" s="39">
        <v>1550.4</v>
      </c>
      <c r="F364" s="28">
        <v>0</v>
      </c>
      <c r="G364" s="39">
        <f>E364+F364</f>
        <v>1550.4</v>
      </c>
      <c r="H364" s="40">
        <v>274941</v>
      </c>
      <c r="I364" s="41">
        <f t="shared" si="37"/>
        <v>426268526</v>
      </c>
      <c r="J364" s="39">
        <f t="shared" si="38"/>
        <v>426268526.40000004</v>
      </c>
      <c r="K364" s="42">
        <f t="shared" si="39"/>
        <v>0</v>
      </c>
      <c r="L364" s="42">
        <f t="shared" si="40"/>
        <v>426268526.40000004</v>
      </c>
      <c r="M364" s="43"/>
      <c r="N364" s="76"/>
    </row>
    <row r="365" spans="1:14" hidden="1" x14ac:dyDescent="0.25">
      <c r="A365" s="35" t="s">
        <v>617</v>
      </c>
      <c r="B365" s="36" t="s">
        <v>105</v>
      </c>
      <c r="C365" s="37" t="s">
        <v>42</v>
      </c>
      <c r="D365" s="38">
        <v>2525.4</v>
      </c>
      <c r="E365" s="39">
        <v>2525.4</v>
      </c>
      <c r="F365" s="28">
        <v>0</v>
      </c>
      <c r="G365" s="39">
        <f t="shared" si="41"/>
        <v>2525.4</v>
      </c>
      <c r="H365" s="40">
        <v>274941</v>
      </c>
      <c r="I365" s="41">
        <f t="shared" si="37"/>
        <v>694336001</v>
      </c>
      <c r="J365" s="39">
        <f t="shared" si="38"/>
        <v>694336001.39999998</v>
      </c>
      <c r="K365" s="42">
        <f t="shared" si="39"/>
        <v>0</v>
      </c>
      <c r="L365" s="42">
        <f t="shared" si="40"/>
        <v>694336001.39999998</v>
      </c>
      <c r="M365" s="43"/>
      <c r="N365" s="76"/>
    </row>
    <row r="366" spans="1:14" hidden="1" x14ac:dyDescent="0.25">
      <c r="A366" s="35" t="s">
        <v>618</v>
      </c>
      <c r="B366" s="36" t="s">
        <v>107</v>
      </c>
      <c r="C366" s="37" t="s">
        <v>42</v>
      </c>
      <c r="D366" s="38">
        <v>200.2</v>
      </c>
      <c r="E366" s="39">
        <v>0</v>
      </c>
      <c r="F366" s="38">
        <v>200.2</v>
      </c>
      <c r="G366" s="39">
        <f t="shared" si="41"/>
        <v>200.2</v>
      </c>
      <c r="H366" s="40">
        <v>20867</v>
      </c>
      <c r="I366" s="41">
        <f t="shared" si="37"/>
        <v>4177573</v>
      </c>
      <c r="J366" s="39">
        <f t="shared" si="38"/>
        <v>0</v>
      </c>
      <c r="K366" s="42">
        <f t="shared" si="39"/>
        <v>4177573.4</v>
      </c>
      <c r="L366" s="42">
        <f t="shared" si="40"/>
        <v>4177573.4</v>
      </c>
      <c r="M366" s="43"/>
      <c r="N366" s="34"/>
    </row>
    <row r="367" spans="1:14" hidden="1" x14ac:dyDescent="0.25">
      <c r="A367" s="35" t="s">
        <v>619</v>
      </c>
      <c r="B367" s="36" t="s">
        <v>109</v>
      </c>
      <c r="C367" s="37" t="s">
        <v>42</v>
      </c>
      <c r="D367" s="38">
        <v>200.2</v>
      </c>
      <c r="E367" s="39">
        <v>0</v>
      </c>
      <c r="F367" s="38">
        <v>200.2</v>
      </c>
      <c r="G367" s="39">
        <f t="shared" si="41"/>
        <v>200.2</v>
      </c>
      <c r="H367" s="40">
        <v>12936</v>
      </c>
      <c r="I367" s="41">
        <f t="shared" si="37"/>
        <v>2589787</v>
      </c>
      <c r="J367" s="39">
        <f t="shared" si="38"/>
        <v>0</v>
      </c>
      <c r="K367" s="42">
        <f t="shared" si="39"/>
        <v>2589787.1999999997</v>
      </c>
      <c r="L367" s="42">
        <f t="shared" si="40"/>
        <v>2589787.1999999997</v>
      </c>
      <c r="M367" s="43"/>
      <c r="N367" s="34"/>
    </row>
    <row r="368" spans="1:14" s="84" customFormat="1" hidden="1" x14ac:dyDescent="0.25">
      <c r="A368" s="77" t="s">
        <v>620</v>
      </c>
      <c r="B368" s="78" t="s">
        <v>111</v>
      </c>
      <c r="C368" s="79" t="s">
        <v>84</v>
      </c>
      <c r="D368" s="80">
        <v>22.4</v>
      </c>
      <c r="E368" s="39">
        <v>0</v>
      </c>
      <c r="F368" s="38"/>
      <c r="G368" s="39">
        <f t="shared" si="41"/>
        <v>0</v>
      </c>
      <c r="H368" s="81">
        <v>301142</v>
      </c>
      <c r="I368" s="82">
        <f t="shared" si="37"/>
        <v>6745581</v>
      </c>
      <c r="J368" s="39">
        <f t="shared" si="38"/>
        <v>0</v>
      </c>
      <c r="K368" s="42">
        <f t="shared" si="39"/>
        <v>0</v>
      </c>
      <c r="L368" s="42">
        <f t="shared" si="40"/>
        <v>0</v>
      </c>
      <c r="M368" s="83"/>
      <c r="N368" s="34"/>
    </row>
    <row r="369" spans="1:14" hidden="1" x14ac:dyDescent="0.25">
      <c r="A369" s="35" t="s">
        <v>621</v>
      </c>
      <c r="B369" s="36" t="s">
        <v>113</v>
      </c>
      <c r="C369" s="37" t="s">
        <v>84</v>
      </c>
      <c r="D369" s="38">
        <v>50</v>
      </c>
      <c r="E369" s="39">
        <v>0</v>
      </c>
      <c r="F369" s="38"/>
      <c r="G369" s="39">
        <f t="shared" si="41"/>
        <v>0</v>
      </c>
      <c r="H369" s="40">
        <v>191443</v>
      </c>
      <c r="I369" s="41">
        <f t="shared" si="37"/>
        <v>9572150</v>
      </c>
      <c r="J369" s="39">
        <f t="shared" si="38"/>
        <v>0</v>
      </c>
      <c r="K369" s="42">
        <f t="shared" si="39"/>
        <v>0</v>
      </c>
      <c r="L369" s="42">
        <f t="shared" si="40"/>
        <v>0</v>
      </c>
      <c r="M369" s="43"/>
      <c r="N369" s="34"/>
    </row>
    <row r="370" spans="1:14" hidden="1" x14ac:dyDescent="0.25">
      <c r="A370" s="35" t="s">
        <v>622</v>
      </c>
      <c r="B370" s="36" t="s">
        <v>115</v>
      </c>
      <c r="C370" s="37" t="s">
        <v>84</v>
      </c>
      <c r="D370" s="38">
        <v>50</v>
      </c>
      <c r="E370" s="39">
        <v>0</v>
      </c>
      <c r="F370" s="38"/>
      <c r="G370" s="39">
        <f t="shared" si="41"/>
        <v>0</v>
      </c>
      <c r="H370" s="40">
        <v>184138</v>
      </c>
      <c r="I370" s="41">
        <f t="shared" si="37"/>
        <v>9206900</v>
      </c>
      <c r="J370" s="39">
        <f t="shared" si="38"/>
        <v>0</v>
      </c>
      <c r="K370" s="42">
        <f t="shared" si="39"/>
        <v>0</v>
      </c>
      <c r="L370" s="42">
        <f t="shared" si="40"/>
        <v>0</v>
      </c>
      <c r="M370" s="43"/>
      <c r="N370" s="34"/>
    </row>
    <row r="371" spans="1:14" hidden="1" x14ac:dyDescent="0.25">
      <c r="A371" s="35" t="s">
        <v>623</v>
      </c>
      <c r="B371" s="36" t="s">
        <v>117</v>
      </c>
      <c r="C371" s="37" t="s">
        <v>118</v>
      </c>
      <c r="D371" s="38">
        <v>0.47</v>
      </c>
      <c r="E371" s="39">
        <v>0</v>
      </c>
      <c r="F371" s="38"/>
      <c r="G371" s="39">
        <f t="shared" si="41"/>
        <v>0</v>
      </c>
      <c r="H371" s="40">
        <v>33697650</v>
      </c>
      <c r="I371" s="41">
        <f t="shared" ref="I371:I385" si="42">ROUND(D371*H371,0)</f>
        <v>15837896</v>
      </c>
      <c r="J371" s="39">
        <f t="shared" si="38"/>
        <v>0</v>
      </c>
      <c r="K371" s="42">
        <f t="shared" si="39"/>
        <v>0</v>
      </c>
      <c r="L371" s="42">
        <f t="shared" si="40"/>
        <v>0</v>
      </c>
      <c r="M371" s="43"/>
      <c r="N371" s="34"/>
    </row>
    <row r="372" spans="1:14" hidden="1" x14ac:dyDescent="0.25">
      <c r="A372" s="35" t="s">
        <v>624</v>
      </c>
      <c r="B372" s="36" t="s">
        <v>120</v>
      </c>
      <c r="C372" s="37" t="s">
        <v>84</v>
      </c>
      <c r="D372" s="38">
        <v>36</v>
      </c>
      <c r="E372" s="39">
        <v>0</v>
      </c>
      <c r="F372" s="38"/>
      <c r="G372" s="39">
        <f t="shared" si="41"/>
        <v>0</v>
      </c>
      <c r="H372" s="40">
        <v>17859</v>
      </c>
      <c r="I372" s="41">
        <f t="shared" si="42"/>
        <v>642924</v>
      </c>
      <c r="J372" s="39">
        <f t="shared" si="38"/>
        <v>0</v>
      </c>
      <c r="K372" s="42">
        <f t="shared" si="39"/>
        <v>0</v>
      </c>
      <c r="L372" s="42">
        <f t="shared" si="40"/>
        <v>0</v>
      </c>
      <c r="M372" s="43"/>
      <c r="N372" s="34"/>
    </row>
    <row r="373" spans="1:14" ht="44.25" hidden="1" customHeight="1" x14ac:dyDescent="0.25">
      <c r="A373" s="35" t="s">
        <v>625</v>
      </c>
      <c r="B373" s="36" t="s">
        <v>122</v>
      </c>
      <c r="C373" s="37" t="s">
        <v>39</v>
      </c>
      <c r="D373" s="38">
        <v>1035.5</v>
      </c>
      <c r="E373" s="39">
        <v>0</v>
      </c>
      <c r="F373" s="38">
        <v>1035.5</v>
      </c>
      <c r="G373" s="39">
        <f t="shared" si="41"/>
        <v>1035.5</v>
      </c>
      <c r="H373" s="40">
        <v>11015</v>
      </c>
      <c r="I373" s="41">
        <f t="shared" si="42"/>
        <v>11406033</v>
      </c>
      <c r="J373" s="39">
        <f t="shared" si="38"/>
        <v>0</v>
      </c>
      <c r="K373" s="42">
        <f t="shared" si="39"/>
        <v>11406032.5</v>
      </c>
      <c r="L373" s="42">
        <f t="shared" si="40"/>
        <v>11406032.5</v>
      </c>
      <c r="M373" s="43"/>
      <c r="N373" s="34"/>
    </row>
    <row r="374" spans="1:14" ht="31.5" hidden="1" x14ac:dyDescent="0.25">
      <c r="A374" s="35" t="s">
        <v>626</v>
      </c>
      <c r="B374" s="36" t="s">
        <v>124</v>
      </c>
      <c r="C374" s="37" t="s">
        <v>118</v>
      </c>
      <c r="D374" s="38">
        <v>147.46</v>
      </c>
      <c r="E374" s="39">
        <v>0</v>
      </c>
      <c r="F374" s="38">
        <v>147.46</v>
      </c>
      <c r="G374" s="39">
        <f t="shared" si="41"/>
        <v>147.46</v>
      </c>
      <c r="H374" s="40">
        <v>1646788</v>
      </c>
      <c r="I374" s="41">
        <f t="shared" si="42"/>
        <v>242835358</v>
      </c>
      <c r="J374" s="39">
        <f t="shared" si="38"/>
        <v>0</v>
      </c>
      <c r="K374" s="42">
        <f t="shared" si="39"/>
        <v>242835358.48000002</v>
      </c>
      <c r="L374" s="42">
        <f t="shared" si="40"/>
        <v>242835358.48000002</v>
      </c>
      <c r="M374" s="43"/>
      <c r="N374" s="34"/>
    </row>
    <row r="375" spans="1:14" ht="31.5" hidden="1" x14ac:dyDescent="0.25">
      <c r="A375" s="35" t="s">
        <v>627</v>
      </c>
      <c r="B375" s="36" t="s">
        <v>126</v>
      </c>
      <c r="C375" s="37" t="s">
        <v>127</v>
      </c>
      <c r="D375" s="38">
        <v>1.47</v>
      </c>
      <c r="E375" s="39">
        <v>0</v>
      </c>
      <c r="F375" s="38">
        <v>1.47</v>
      </c>
      <c r="G375" s="39">
        <f t="shared" si="41"/>
        <v>1.47</v>
      </c>
      <c r="H375" s="40">
        <v>11384261</v>
      </c>
      <c r="I375" s="41">
        <f t="shared" si="42"/>
        <v>16734864</v>
      </c>
      <c r="J375" s="39">
        <f t="shared" si="38"/>
        <v>0</v>
      </c>
      <c r="K375" s="42">
        <f t="shared" si="39"/>
        <v>16734863.67</v>
      </c>
      <c r="L375" s="42">
        <f t="shared" si="40"/>
        <v>16734863.67</v>
      </c>
      <c r="M375" s="43"/>
      <c r="N375" s="34"/>
    </row>
    <row r="376" spans="1:14" ht="31.5" hidden="1" x14ac:dyDescent="0.25">
      <c r="A376" s="35" t="s">
        <v>628</v>
      </c>
      <c r="B376" s="36" t="s">
        <v>129</v>
      </c>
      <c r="C376" s="37" t="s">
        <v>39</v>
      </c>
      <c r="D376" s="38">
        <v>1035.5</v>
      </c>
      <c r="E376" s="39">
        <v>0</v>
      </c>
      <c r="F376" s="38">
        <v>1035.5</v>
      </c>
      <c r="G376" s="39">
        <f t="shared" si="41"/>
        <v>1035.5</v>
      </c>
      <c r="H376" s="40">
        <v>26753</v>
      </c>
      <c r="I376" s="41">
        <f t="shared" si="42"/>
        <v>27702732</v>
      </c>
      <c r="J376" s="39">
        <f t="shared" si="38"/>
        <v>0</v>
      </c>
      <c r="K376" s="42">
        <f t="shared" si="39"/>
        <v>27702731.5</v>
      </c>
      <c r="L376" s="42">
        <f t="shared" si="40"/>
        <v>27702731.5</v>
      </c>
      <c r="M376" s="43"/>
      <c r="N376" s="34"/>
    </row>
    <row r="377" spans="1:14" hidden="1" x14ac:dyDescent="0.25">
      <c r="A377" s="35" t="s">
        <v>629</v>
      </c>
      <c r="B377" s="36" t="s">
        <v>131</v>
      </c>
      <c r="C377" s="37" t="s">
        <v>42</v>
      </c>
      <c r="D377" s="38">
        <v>250.7</v>
      </c>
      <c r="E377" s="39">
        <v>0</v>
      </c>
      <c r="F377" s="38">
        <v>250.7</v>
      </c>
      <c r="G377" s="39">
        <f t="shared" si="41"/>
        <v>250.7</v>
      </c>
      <c r="H377" s="40">
        <v>364704</v>
      </c>
      <c r="I377" s="41">
        <f t="shared" si="42"/>
        <v>91431293</v>
      </c>
      <c r="J377" s="39">
        <f t="shared" si="38"/>
        <v>0</v>
      </c>
      <c r="K377" s="42">
        <f t="shared" si="39"/>
        <v>91431292.799999997</v>
      </c>
      <c r="L377" s="42">
        <f t="shared" si="40"/>
        <v>91431292.799999997</v>
      </c>
      <c r="M377" s="43"/>
      <c r="N377" s="34"/>
    </row>
    <row r="378" spans="1:14" hidden="1" x14ac:dyDescent="0.25">
      <c r="A378" s="35" t="s">
        <v>630</v>
      </c>
      <c r="B378" s="36" t="s">
        <v>133</v>
      </c>
      <c r="C378" s="37" t="s">
        <v>42</v>
      </c>
      <c r="D378" s="38">
        <v>362.7</v>
      </c>
      <c r="E378" s="39">
        <v>0</v>
      </c>
      <c r="F378" s="38">
        <v>362.7</v>
      </c>
      <c r="G378" s="39">
        <f t="shared" si="41"/>
        <v>362.7</v>
      </c>
      <c r="H378" s="40">
        <v>344284</v>
      </c>
      <c r="I378" s="41">
        <f t="shared" si="42"/>
        <v>124871807</v>
      </c>
      <c r="J378" s="39">
        <f t="shared" si="38"/>
        <v>0</v>
      </c>
      <c r="K378" s="42">
        <f t="shared" si="39"/>
        <v>124871806.8</v>
      </c>
      <c r="L378" s="42">
        <f t="shared" si="40"/>
        <v>124871806.8</v>
      </c>
      <c r="M378" s="43"/>
      <c r="N378" s="34"/>
    </row>
    <row r="379" spans="1:14" hidden="1" x14ac:dyDescent="0.25">
      <c r="A379" s="35" t="s">
        <v>631</v>
      </c>
      <c r="B379" s="36" t="s">
        <v>142</v>
      </c>
      <c r="C379" s="37" t="s">
        <v>143</v>
      </c>
      <c r="D379" s="38">
        <v>0.27</v>
      </c>
      <c r="E379" s="39">
        <v>0</v>
      </c>
      <c r="F379" s="38">
        <v>0.27</v>
      </c>
      <c r="G379" s="39">
        <f t="shared" si="41"/>
        <v>0.27</v>
      </c>
      <c r="H379" s="40">
        <v>10394299</v>
      </c>
      <c r="I379" s="41">
        <f t="shared" si="42"/>
        <v>2806461</v>
      </c>
      <c r="J379" s="39">
        <f t="shared" si="38"/>
        <v>0</v>
      </c>
      <c r="K379" s="42">
        <f t="shared" si="39"/>
        <v>2806460.73</v>
      </c>
      <c r="L379" s="42">
        <f t="shared" si="40"/>
        <v>2806460.73</v>
      </c>
      <c r="M379" s="43"/>
      <c r="N379" s="34"/>
    </row>
    <row r="380" spans="1:14" ht="47.25" hidden="1" x14ac:dyDescent="0.25">
      <c r="A380" s="35" t="s">
        <v>632</v>
      </c>
      <c r="B380" s="36" t="s">
        <v>137</v>
      </c>
      <c r="C380" s="37" t="s">
        <v>42</v>
      </c>
      <c r="D380" s="38">
        <v>13.1</v>
      </c>
      <c r="E380" s="39">
        <v>0</v>
      </c>
      <c r="F380" s="38">
        <v>13.1</v>
      </c>
      <c r="G380" s="39">
        <f t="shared" si="41"/>
        <v>13.1</v>
      </c>
      <c r="H380" s="40">
        <v>1202607</v>
      </c>
      <c r="I380" s="41">
        <f t="shared" si="42"/>
        <v>15754152</v>
      </c>
      <c r="J380" s="39">
        <f t="shared" si="38"/>
        <v>0</v>
      </c>
      <c r="K380" s="42">
        <f t="shared" si="39"/>
        <v>15754151.699999999</v>
      </c>
      <c r="L380" s="42">
        <f t="shared" si="40"/>
        <v>15754151.699999999</v>
      </c>
      <c r="M380" s="43"/>
      <c r="N380" s="34"/>
    </row>
    <row r="381" spans="1:14" hidden="1" x14ac:dyDescent="0.25">
      <c r="A381" s="35" t="s">
        <v>633</v>
      </c>
      <c r="B381" s="36" t="s">
        <v>150</v>
      </c>
      <c r="C381" s="37" t="s">
        <v>84</v>
      </c>
      <c r="D381" s="38">
        <v>106.8</v>
      </c>
      <c r="E381" s="39">
        <v>0</v>
      </c>
      <c r="F381" s="38">
        <v>106.8</v>
      </c>
      <c r="G381" s="39">
        <f t="shared" si="41"/>
        <v>106.8</v>
      </c>
      <c r="H381" s="40">
        <v>388691</v>
      </c>
      <c r="I381" s="41">
        <f t="shared" si="42"/>
        <v>41512199</v>
      </c>
      <c r="J381" s="39">
        <f t="shared" si="38"/>
        <v>0</v>
      </c>
      <c r="K381" s="42">
        <f t="shared" si="39"/>
        <v>41512198.799999997</v>
      </c>
      <c r="L381" s="42">
        <f t="shared" si="40"/>
        <v>41512198.799999997</v>
      </c>
      <c r="M381" s="43"/>
      <c r="N381" s="34"/>
    </row>
    <row r="382" spans="1:14" hidden="1" x14ac:dyDescent="0.25">
      <c r="A382" s="35" t="s">
        <v>634</v>
      </c>
      <c r="B382" s="36" t="s">
        <v>156</v>
      </c>
      <c r="C382" s="37" t="s">
        <v>65</v>
      </c>
      <c r="D382" s="38">
        <v>1.53</v>
      </c>
      <c r="E382" s="39">
        <v>0</v>
      </c>
      <c r="F382" s="38">
        <v>1.53</v>
      </c>
      <c r="G382" s="39">
        <f t="shared" si="41"/>
        <v>1.53</v>
      </c>
      <c r="H382" s="40">
        <v>669649</v>
      </c>
      <c r="I382" s="41">
        <f t="shared" si="42"/>
        <v>1024563</v>
      </c>
      <c r="J382" s="39">
        <f t="shared" si="38"/>
        <v>0</v>
      </c>
      <c r="K382" s="42">
        <f t="shared" si="39"/>
        <v>1024562.97</v>
      </c>
      <c r="L382" s="42">
        <f t="shared" si="40"/>
        <v>1024562.97</v>
      </c>
      <c r="M382" s="43"/>
      <c r="N382" s="34"/>
    </row>
    <row r="383" spans="1:14" hidden="1" x14ac:dyDescent="0.25">
      <c r="A383" s="35" t="s">
        <v>635</v>
      </c>
      <c r="B383" s="36" t="s">
        <v>158</v>
      </c>
      <c r="C383" s="37" t="s">
        <v>159</v>
      </c>
      <c r="D383" s="38">
        <v>3</v>
      </c>
      <c r="E383" s="39">
        <v>0</v>
      </c>
      <c r="F383" s="38">
        <v>3</v>
      </c>
      <c r="G383" s="39">
        <f t="shared" si="41"/>
        <v>3</v>
      </c>
      <c r="H383" s="40">
        <v>1909908</v>
      </c>
      <c r="I383" s="41">
        <f t="shared" si="42"/>
        <v>5729724</v>
      </c>
      <c r="J383" s="39">
        <f t="shared" si="38"/>
        <v>0</v>
      </c>
      <c r="K383" s="42">
        <f t="shared" si="39"/>
        <v>5729724</v>
      </c>
      <c r="L383" s="42">
        <f t="shared" si="40"/>
        <v>5729724</v>
      </c>
      <c r="M383" s="43"/>
      <c r="N383" s="34"/>
    </row>
    <row r="384" spans="1:14" hidden="1" x14ac:dyDescent="0.25">
      <c r="A384" s="35" t="s">
        <v>636</v>
      </c>
      <c r="B384" s="36" t="s">
        <v>73</v>
      </c>
      <c r="C384" s="37" t="s">
        <v>42</v>
      </c>
      <c r="D384" s="38">
        <v>26.4</v>
      </c>
      <c r="E384" s="39">
        <v>0</v>
      </c>
      <c r="F384" s="38">
        <v>26.4</v>
      </c>
      <c r="G384" s="39">
        <f t="shared" si="41"/>
        <v>26.4</v>
      </c>
      <c r="H384" s="40">
        <v>2096</v>
      </c>
      <c r="I384" s="41">
        <f t="shared" si="42"/>
        <v>55334</v>
      </c>
      <c r="J384" s="39">
        <f t="shared" si="38"/>
        <v>0</v>
      </c>
      <c r="K384" s="42">
        <f t="shared" si="39"/>
        <v>55334.399999999994</v>
      </c>
      <c r="L384" s="42">
        <f t="shared" si="40"/>
        <v>55334.399999999994</v>
      </c>
      <c r="M384" s="43"/>
      <c r="N384" s="34"/>
    </row>
    <row r="385" spans="1:14" ht="31.5" hidden="1" x14ac:dyDescent="0.25">
      <c r="A385" s="44" t="s">
        <v>637</v>
      </c>
      <c r="B385" s="45" t="s">
        <v>638</v>
      </c>
      <c r="C385" s="46" t="s">
        <v>163</v>
      </c>
      <c r="D385" s="47">
        <v>0.38</v>
      </c>
      <c r="E385" s="48">
        <v>0</v>
      </c>
      <c r="F385" s="38">
        <v>0.38</v>
      </c>
      <c r="G385" s="48">
        <f t="shared" si="41"/>
        <v>0.38</v>
      </c>
      <c r="H385" s="49">
        <v>963779</v>
      </c>
      <c r="I385" s="50">
        <f t="shared" si="42"/>
        <v>366236</v>
      </c>
      <c r="J385" s="48">
        <f t="shared" si="38"/>
        <v>0</v>
      </c>
      <c r="K385" s="51">
        <f t="shared" si="39"/>
        <v>366236.02</v>
      </c>
      <c r="L385" s="51">
        <f t="shared" si="40"/>
        <v>366236.02</v>
      </c>
      <c r="M385" s="52"/>
      <c r="N385" s="34"/>
    </row>
    <row r="386" spans="1:14" ht="35.25" hidden="1" customHeight="1" x14ac:dyDescent="0.25">
      <c r="A386" s="16">
        <v>16</v>
      </c>
      <c r="B386" s="53" t="s">
        <v>639</v>
      </c>
      <c r="C386" s="21"/>
      <c r="D386" s="54"/>
      <c r="E386" s="55"/>
      <c r="F386" s="54">
        <v>0</v>
      </c>
      <c r="G386" s="55"/>
      <c r="H386" s="56"/>
      <c r="I386" s="57"/>
      <c r="J386" s="55"/>
      <c r="K386" s="58"/>
      <c r="L386" s="58"/>
      <c r="M386" s="23"/>
      <c r="N386" s="34"/>
    </row>
    <row r="387" spans="1:14" hidden="1" x14ac:dyDescent="0.25">
      <c r="A387" s="25" t="s">
        <v>640</v>
      </c>
      <c r="B387" s="26" t="s">
        <v>170</v>
      </c>
      <c r="C387" s="27" t="s">
        <v>42</v>
      </c>
      <c r="D387" s="28">
        <v>2.6</v>
      </c>
      <c r="E387" s="29">
        <v>2.6</v>
      </c>
      <c r="F387" s="28"/>
      <c r="G387" s="29">
        <f t="shared" si="41"/>
        <v>2.6</v>
      </c>
      <c r="H387" s="30">
        <v>23801</v>
      </c>
      <c r="I387" s="31">
        <f t="shared" ref="I387:I449" si="43">ROUND(D387*H387,0)</f>
        <v>61883</v>
      </c>
      <c r="J387" s="29">
        <f t="shared" ref="J387:J449" si="44">E387*H387</f>
        <v>61882.6</v>
      </c>
      <c r="K387" s="32">
        <f t="shared" ref="K387:K449" si="45">F387*H387</f>
        <v>0</v>
      </c>
      <c r="L387" s="32">
        <f t="shared" ref="L387:L449" si="46">G387*H387</f>
        <v>61882.6</v>
      </c>
      <c r="M387" s="33"/>
      <c r="N387" s="34"/>
    </row>
    <row r="388" spans="1:14" hidden="1" x14ac:dyDescent="0.25">
      <c r="A388" s="35" t="s">
        <v>641</v>
      </c>
      <c r="B388" s="36" t="s">
        <v>172</v>
      </c>
      <c r="C388" s="37" t="s">
        <v>42</v>
      </c>
      <c r="D388" s="38">
        <v>13.8</v>
      </c>
      <c r="E388" s="39">
        <v>13.8</v>
      </c>
      <c r="F388" s="38"/>
      <c r="G388" s="39">
        <f t="shared" si="41"/>
        <v>13.8</v>
      </c>
      <c r="H388" s="40">
        <v>30610</v>
      </c>
      <c r="I388" s="41">
        <f t="shared" si="43"/>
        <v>422418</v>
      </c>
      <c r="J388" s="39">
        <f t="shared" si="44"/>
        <v>422418</v>
      </c>
      <c r="K388" s="42">
        <f t="shared" si="45"/>
        <v>0</v>
      </c>
      <c r="L388" s="42">
        <f t="shared" si="46"/>
        <v>422418</v>
      </c>
      <c r="M388" s="43"/>
      <c r="N388" s="34"/>
    </row>
    <row r="389" spans="1:14" hidden="1" x14ac:dyDescent="0.25">
      <c r="A389" s="35" t="s">
        <v>642</v>
      </c>
      <c r="B389" s="36" t="s">
        <v>52</v>
      </c>
      <c r="C389" s="37" t="s">
        <v>42</v>
      </c>
      <c r="D389" s="38">
        <v>1213</v>
      </c>
      <c r="E389" s="39">
        <v>1213</v>
      </c>
      <c r="F389" s="38"/>
      <c r="G389" s="39">
        <f t="shared" si="41"/>
        <v>1213</v>
      </c>
      <c r="H389" s="40">
        <v>8251</v>
      </c>
      <c r="I389" s="41">
        <f t="shared" si="43"/>
        <v>10008463</v>
      </c>
      <c r="J389" s="39">
        <f t="shared" si="44"/>
        <v>10008463</v>
      </c>
      <c r="K389" s="42">
        <f t="shared" si="45"/>
        <v>0</v>
      </c>
      <c r="L389" s="42">
        <f t="shared" si="46"/>
        <v>10008463</v>
      </c>
      <c r="M389" s="43"/>
      <c r="N389" s="34"/>
    </row>
    <row r="390" spans="1:14" ht="31.5" hidden="1" x14ac:dyDescent="0.25">
      <c r="A390" s="35" t="s">
        <v>643</v>
      </c>
      <c r="B390" s="36" t="s">
        <v>181</v>
      </c>
      <c r="C390" s="37" t="s">
        <v>42</v>
      </c>
      <c r="D390" s="38">
        <v>5849.5</v>
      </c>
      <c r="E390" s="39">
        <v>5849.5</v>
      </c>
      <c r="F390" s="38"/>
      <c r="G390" s="39">
        <f t="shared" si="41"/>
        <v>5849.5</v>
      </c>
      <c r="H390" s="40">
        <v>12936</v>
      </c>
      <c r="I390" s="41">
        <f t="shared" si="43"/>
        <v>75669132</v>
      </c>
      <c r="J390" s="39">
        <f t="shared" si="44"/>
        <v>75669132</v>
      </c>
      <c r="K390" s="42">
        <f t="shared" si="45"/>
        <v>0</v>
      </c>
      <c r="L390" s="42">
        <f t="shared" si="46"/>
        <v>75669132</v>
      </c>
      <c r="M390" s="43"/>
      <c r="N390" s="34"/>
    </row>
    <row r="391" spans="1:14" ht="31.5" hidden="1" x14ac:dyDescent="0.25">
      <c r="A391" s="35" t="s">
        <v>644</v>
      </c>
      <c r="B391" s="36" t="s">
        <v>645</v>
      </c>
      <c r="C391" s="37" t="s">
        <v>42</v>
      </c>
      <c r="D391" s="38">
        <v>570</v>
      </c>
      <c r="E391" s="39">
        <v>570</v>
      </c>
      <c r="F391" s="38"/>
      <c r="G391" s="39">
        <f t="shared" si="41"/>
        <v>570</v>
      </c>
      <c r="H391" s="40">
        <v>15775</v>
      </c>
      <c r="I391" s="41">
        <f t="shared" si="43"/>
        <v>8991750</v>
      </c>
      <c r="J391" s="39">
        <f t="shared" si="44"/>
        <v>8991750</v>
      </c>
      <c r="K391" s="42">
        <f t="shared" si="45"/>
        <v>0</v>
      </c>
      <c r="L391" s="42">
        <f t="shared" si="46"/>
        <v>8991750</v>
      </c>
      <c r="M391" s="43"/>
      <c r="N391" s="34"/>
    </row>
    <row r="392" spans="1:14" hidden="1" x14ac:dyDescent="0.25">
      <c r="A392" s="35" t="s">
        <v>646</v>
      </c>
      <c r="B392" s="36" t="s">
        <v>60</v>
      </c>
      <c r="C392" s="37" t="s">
        <v>42</v>
      </c>
      <c r="D392" s="38">
        <v>7998.02</v>
      </c>
      <c r="E392" s="39">
        <v>7998.02</v>
      </c>
      <c r="F392" s="38"/>
      <c r="G392" s="39">
        <f t="shared" si="41"/>
        <v>7998.02</v>
      </c>
      <c r="H392" s="40">
        <v>50585</v>
      </c>
      <c r="I392" s="41">
        <f t="shared" si="43"/>
        <v>404579842</v>
      </c>
      <c r="J392" s="39">
        <f t="shared" si="44"/>
        <v>404579841.70000005</v>
      </c>
      <c r="K392" s="42">
        <f t="shared" si="45"/>
        <v>0</v>
      </c>
      <c r="L392" s="42">
        <f t="shared" si="46"/>
        <v>404579841.70000005</v>
      </c>
      <c r="M392" s="43"/>
      <c r="N392" s="34"/>
    </row>
    <row r="393" spans="1:14" hidden="1" x14ac:dyDescent="0.25">
      <c r="A393" s="35" t="s">
        <v>647</v>
      </c>
      <c r="B393" s="36" t="s">
        <v>62</v>
      </c>
      <c r="C393" s="37" t="s">
        <v>42</v>
      </c>
      <c r="D393" s="38">
        <v>800.05</v>
      </c>
      <c r="E393" s="39">
        <v>0</v>
      </c>
      <c r="F393" s="38"/>
      <c r="G393" s="39">
        <f t="shared" si="41"/>
        <v>0</v>
      </c>
      <c r="H393" s="40">
        <v>54405</v>
      </c>
      <c r="I393" s="41">
        <f t="shared" si="43"/>
        <v>43526720</v>
      </c>
      <c r="J393" s="39">
        <f t="shared" si="44"/>
        <v>0</v>
      </c>
      <c r="K393" s="42">
        <f t="shared" si="45"/>
        <v>0</v>
      </c>
      <c r="L393" s="42">
        <f t="shared" si="46"/>
        <v>0</v>
      </c>
      <c r="M393" s="43"/>
      <c r="N393" s="34"/>
    </row>
    <row r="394" spans="1:14" hidden="1" x14ac:dyDescent="0.25">
      <c r="A394" s="35" t="s">
        <v>648</v>
      </c>
      <c r="B394" s="36" t="s">
        <v>64</v>
      </c>
      <c r="C394" s="37" t="s">
        <v>65</v>
      </c>
      <c r="D394" s="38">
        <v>879.81</v>
      </c>
      <c r="E394" s="39">
        <v>799.80200000000002</v>
      </c>
      <c r="F394" s="38"/>
      <c r="G394" s="39">
        <f t="shared" si="41"/>
        <v>799.80200000000002</v>
      </c>
      <c r="H394" s="40">
        <v>1064000</v>
      </c>
      <c r="I394" s="41">
        <f t="shared" si="43"/>
        <v>936117840</v>
      </c>
      <c r="J394" s="39">
        <f t="shared" si="44"/>
        <v>850989328</v>
      </c>
      <c r="K394" s="42">
        <f>F394*H394</f>
        <v>0</v>
      </c>
      <c r="L394" s="42">
        <f t="shared" si="46"/>
        <v>850989328</v>
      </c>
      <c r="M394" s="43"/>
      <c r="N394" s="34"/>
    </row>
    <row r="395" spans="1:14" hidden="1" x14ac:dyDescent="0.25">
      <c r="A395" s="35" t="s">
        <v>649</v>
      </c>
      <c r="B395" s="36" t="s">
        <v>177</v>
      </c>
      <c r="C395" s="37" t="s">
        <v>42</v>
      </c>
      <c r="D395" s="38">
        <v>464.5</v>
      </c>
      <c r="E395" s="39">
        <v>464.5</v>
      </c>
      <c r="F395" s="38"/>
      <c r="G395" s="39">
        <f t="shared" si="41"/>
        <v>464.5</v>
      </c>
      <c r="H395" s="40">
        <v>8251</v>
      </c>
      <c r="I395" s="41">
        <f t="shared" si="43"/>
        <v>3832590</v>
      </c>
      <c r="J395" s="39">
        <f t="shared" si="44"/>
        <v>3832589.5</v>
      </c>
      <c r="K395" s="42">
        <f t="shared" si="45"/>
        <v>0</v>
      </c>
      <c r="L395" s="42">
        <f t="shared" si="46"/>
        <v>3832589.5</v>
      </c>
      <c r="M395" s="43"/>
      <c r="N395" s="34"/>
    </row>
    <row r="396" spans="1:14" hidden="1" x14ac:dyDescent="0.25">
      <c r="A396" s="35" t="s">
        <v>650</v>
      </c>
      <c r="B396" s="36" t="s">
        <v>651</v>
      </c>
      <c r="C396" s="37" t="s">
        <v>42</v>
      </c>
      <c r="D396" s="38">
        <v>560</v>
      </c>
      <c r="E396" s="39">
        <v>560</v>
      </c>
      <c r="F396" s="38"/>
      <c r="G396" s="39">
        <f t="shared" si="41"/>
        <v>560</v>
      </c>
      <c r="H396" s="40">
        <v>274941</v>
      </c>
      <c r="I396" s="41">
        <f t="shared" si="43"/>
        <v>153966960</v>
      </c>
      <c r="J396" s="39">
        <f t="shared" si="44"/>
        <v>153966960</v>
      </c>
      <c r="K396" s="42">
        <f t="shared" si="45"/>
        <v>0</v>
      </c>
      <c r="L396" s="42">
        <f t="shared" si="46"/>
        <v>153966960</v>
      </c>
      <c r="M396" s="43"/>
      <c r="N396" s="34"/>
    </row>
    <row r="397" spans="1:14" hidden="1" x14ac:dyDescent="0.25">
      <c r="A397" s="35" t="s">
        <v>652</v>
      </c>
      <c r="B397" s="36" t="s">
        <v>105</v>
      </c>
      <c r="C397" s="37" t="s">
        <v>42</v>
      </c>
      <c r="D397" s="38">
        <v>242.4</v>
      </c>
      <c r="E397" s="39">
        <v>242.4</v>
      </c>
      <c r="F397" s="38"/>
      <c r="G397" s="39">
        <f t="shared" si="41"/>
        <v>242.4</v>
      </c>
      <c r="H397" s="40">
        <v>274941</v>
      </c>
      <c r="I397" s="41">
        <f t="shared" si="43"/>
        <v>66645698</v>
      </c>
      <c r="J397" s="39">
        <f t="shared" si="44"/>
        <v>66645698.399999999</v>
      </c>
      <c r="K397" s="42">
        <f t="shared" si="45"/>
        <v>0</v>
      </c>
      <c r="L397" s="42">
        <f t="shared" si="46"/>
        <v>66645698.399999999</v>
      </c>
      <c r="M397" s="43"/>
      <c r="N397" s="34"/>
    </row>
    <row r="398" spans="1:14" ht="31.5" hidden="1" x14ac:dyDescent="0.25">
      <c r="A398" s="35" t="s">
        <v>653</v>
      </c>
      <c r="B398" s="36" t="s">
        <v>79</v>
      </c>
      <c r="C398" s="37" t="s">
        <v>39</v>
      </c>
      <c r="D398" s="38">
        <v>975.7</v>
      </c>
      <c r="E398" s="39">
        <v>975.7</v>
      </c>
      <c r="F398" s="38"/>
      <c r="G398" s="39">
        <f t="shared" si="41"/>
        <v>975.7</v>
      </c>
      <c r="H398" s="40">
        <v>20017</v>
      </c>
      <c r="I398" s="41">
        <f t="shared" si="43"/>
        <v>19530587</v>
      </c>
      <c r="J398" s="39">
        <f t="shared" si="44"/>
        <v>19530586.900000002</v>
      </c>
      <c r="K398" s="42">
        <f t="shared" si="45"/>
        <v>0</v>
      </c>
      <c r="L398" s="42">
        <f t="shared" si="46"/>
        <v>19530586.900000002</v>
      </c>
      <c r="M398" s="43"/>
      <c r="N398" s="34"/>
    </row>
    <row r="399" spans="1:14" ht="36.75" hidden="1" customHeight="1" x14ac:dyDescent="0.25">
      <c r="A399" s="35" t="s">
        <v>654</v>
      </c>
      <c r="B399" s="36" t="s">
        <v>655</v>
      </c>
      <c r="C399" s="37" t="s">
        <v>39</v>
      </c>
      <c r="D399" s="38">
        <v>859.6</v>
      </c>
      <c r="E399" s="39">
        <v>0</v>
      </c>
      <c r="F399" s="38"/>
      <c r="G399" s="39">
        <f t="shared" si="41"/>
        <v>0</v>
      </c>
      <c r="H399" s="40">
        <v>36456</v>
      </c>
      <c r="I399" s="41">
        <f t="shared" si="43"/>
        <v>31337578</v>
      </c>
      <c r="J399" s="39">
        <f t="shared" si="44"/>
        <v>0</v>
      </c>
      <c r="K399" s="42">
        <f t="shared" si="45"/>
        <v>0</v>
      </c>
      <c r="L399" s="42">
        <f t="shared" si="46"/>
        <v>0</v>
      </c>
      <c r="M399" s="43"/>
      <c r="N399" s="34"/>
    </row>
    <row r="400" spans="1:14" ht="24" hidden="1" customHeight="1" x14ac:dyDescent="0.25">
      <c r="A400" s="35" t="s">
        <v>656</v>
      </c>
      <c r="B400" s="36" t="s">
        <v>107</v>
      </c>
      <c r="C400" s="37" t="s">
        <v>42</v>
      </c>
      <c r="D400" s="38">
        <v>10.4</v>
      </c>
      <c r="E400" s="39">
        <v>0</v>
      </c>
      <c r="F400" s="38"/>
      <c r="G400" s="39">
        <f t="shared" si="41"/>
        <v>0</v>
      </c>
      <c r="H400" s="40">
        <v>20867</v>
      </c>
      <c r="I400" s="41">
        <f t="shared" si="43"/>
        <v>217017</v>
      </c>
      <c r="J400" s="39">
        <f t="shared" si="44"/>
        <v>0</v>
      </c>
      <c r="K400" s="42">
        <f t="shared" si="45"/>
        <v>0</v>
      </c>
      <c r="L400" s="42">
        <f t="shared" si="46"/>
        <v>0</v>
      </c>
      <c r="M400" s="43"/>
      <c r="N400" s="34"/>
    </row>
    <row r="401" spans="1:14" ht="27.75" hidden="1" customHeight="1" x14ac:dyDescent="0.25">
      <c r="A401" s="35" t="s">
        <v>657</v>
      </c>
      <c r="B401" s="36" t="s">
        <v>109</v>
      </c>
      <c r="C401" s="37" t="s">
        <v>42</v>
      </c>
      <c r="D401" s="38">
        <v>10.4</v>
      </c>
      <c r="E401" s="39">
        <v>0</v>
      </c>
      <c r="F401" s="38"/>
      <c r="G401" s="39">
        <f t="shared" si="41"/>
        <v>0</v>
      </c>
      <c r="H401" s="40">
        <v>12936</v>
      </c>
      <c r="I401" s="41">
        <f t="shared" si="43"/>
        <v>134534</v>
      </c>
      <c r="J401" s="39">
        <f t="shared" si="44"/>
        <v>0</v>
      </c>
      <c r="K401" s="42">
        <f t="shared" si="45"/>
        <v>0</v>
      </c>
      <c r="L401" s="42">
        <f t="shared" si="46"/>
        <v>0</v>
      </c>
      <c r="M401" s="43"/>
      <c r="N401" s="34"/>
    </row>
    <row r="402" spans="1:14" ht="51.75" hidden="1" customHeight="1" x14ac:dyDescent="0.25">
      <c r="A402" s="35" t="s">
        <v>658</v>
      </c>
      <c r="B402" s="36" t="s">
        <v>122</v>
      </c>
      <c r="C402" s="37" t="s">
        <v>39</v>
      </c>
      <c r="D402" s="38">
        <v>1986.6</v>
      </c>
      <c r="E402" s="39">
        <v>0</v>
      </c>
      <c r="F402" s="38"/>
      <c r="G402" s="39">
        <f t="shared" si="41"/>
        <v>0</v>
      </c>
      <c r="H402" s="40">
        <v>11015</v>
      </c>
      <c r="I402" s="41">
        <f t="shared" si="43"/>
        <v>21882399</v>
      </c>
      <c r="J402" s="39">
        <f t="shared" si="44"/>
        <v>0</v>
      </c>
      <c r="K402" s="42">
        <f t="shared" si="45"/>
        <v>0</v>
      </c>
      <c r="L402" s="42">
        <f t="shared" si="46"/>
        <v>0</v>
      </c>
      <c r="M402" s="43"/>
      <c r="N402" s="34"/>
    </row>
    <row r="403" spans="1:14" ht="31.5" hidden="1" x14ac:dyDescent="0.25">
      <c r="A403" s="35" t="s">
        <v>659</v>
      </c>
      <c r="B403" s="36" t="s">
        <v>124</v>
      </c>
      <c r="C403" s="37" t="s">
        <v>118</v>
      </c>
      <c r="D403" s="38">
        <v>282.89</v>
      </c>
      <c r="E403" s="39">
        <v>0</v>
      </c>
      <c r="F403" s="38"/>
      <c r="G403" s="39">
        <f t="shared" si="41"/>
        <v>0</v>
      </c>
      <c r="H403" s="40">
        <v>1646788</v>
      </c>
      <c r="I403" s="41">
        <f t="shared" si="43"/>
        <v>465859857</v>
      </c>
      <c r="J403" s="39">
        <f t="shared" si="44"/>
        <v>0</v>
      </c>
      <c r="K403" s="42">
        <f t="shared" si="45"/>
        <v>0</v>
      </c>
      <c r="L403" s="42">
        <f t="shared" si="46"/>
        <v>0</v>
      </c>
      <c r="M403" s="43"/>
      <c r="N403" s="34"/>
    </row>
    <row r="404" spans="1:14" ht="31.5" hidden="1" x14ac:dyDescent="0.25">
      <c r="A404" s="35" t="s">
        <v>660</v>
      </c>
      <c r="B404" s="36" t="s">
        <v>126</v>
      </c>
      <c r="C404" s="37" t="s">
        <v>127</v>
      </c>
      <c r="D404" s="38">
        <v>2.83</v>
      </c>
      <c r="E404" s="39">
        <v>0</v>
      </c>
      <c r="F404" s="38"/>
      <c r="G404" s="39">
        <f t="shared" si="41"/>
        <v>0</v>
      </c>
      <c r="H404" s="40">
        <v>11384261</v>
      </c>
      <c r="I404" s="41">
        <f t="shared" si="43"/>
        <v>32217459</v>
      </c>
      <c r="J404" s="39">
        <f t="shared" si="44"/>
        <v>0</v>
      </c>
      <c r="K404" s="42">
        <f t="shared" si="45"/>
        <v>0</v>
      </c>
      <c r="L404" s="42">
        <f t="shared" si="46"/>
        <v>0</v>
      </c>
      <c r="M404" s="43"/>
      <c r="N404" s="34"/>
    </row>
    <row r="405" spans="1:14" ht="31.5" hidden="1" x14ac:dyDescent="0.25">
      <c r="A405" s="35" t="s">
        <v>661</v>
      </c>
      <c r="B405" s="36" t="s">
        <v>192</v>
      </c>
      <c r="C405" s="37" t="s">
        <v>39</v>
      </c>
      <c r="D405" s="38">
        <v>1986.6</v>
      </c>
      <c r="E405" s="39">
        <v>0</v>
      </c>
      <c r="F405" s="38"/>
      <c r="G405" s="39">
        <f t="shared" ref="G405:G468" si="47">E405+F405</f>
        <v>0</v>
      </c>
      <c r="H405" s="40">
        <v>15319</v>
      </c>
      <c r="I405" s="41">
        <f t="shared" si="43"/>
        <v>30432725</v>
      </c>
      <c r="J405" s="39">
        <f t="shared" si="44"/>
        <v>0</v>
      </c>
      <c r="K405" s="42">
        <f t="shared" si="45"/>
        <v>0</v>
      </c>
      <c r="L405" s="42">
        <f t="shared" si="46"/>
        <v>0</v>
      </c>
      <c r="M405" s="43"/>
      <c r="N405" s="34"/>
    </row>
    <row r="406" spans="1:14" hidden="1" x14ac:dyDescent="0.25">
      <c r="A406" s="35" t="s">
        <v>662</v>
      </c>
      <c r="B406" s="36" t="s">
        <v>199</v>
      </c>
      <c r="C406" s="37" t="s">
        <v>42</v>
      </c>
      <c r="D406" s="38">
        <v>476.8</v>
      </c>
      <c r="E406" s="39">
        <v>0</v>
      </c>
      <c r="F406" s="38"/>
      <c r="G406" s="39">
        <f t="shared" si="47"/>
        <v>0</v>
      </c>
      <c r="H406" s="40">
        <v>364704</v>
      </c>
      <c r="I406" s="41">
        <f t="shared" si="43"/>
        <v>173890867</v>
      </c>
      <c r="J406" s="39">
        <f t="shared" si="44"/>
        <v>0</v>
      </c>
      <c r="K406" s="42">
        <f t="shared" si="45"/>
        <v>0</v>
      </c>
      <c r="L406" s="42">
        <f t="shared" si="46"/>
        <v>0</v>
      </c>
      <c r="M406" s="43"/>
      <c r="N406" s="34"/>
    </row>
    <row r="407" spans="1:14" hidden="1" x14ac:dyDescent="0.25">
      <c r="A407" s="44" t="s">
        <v>663</v>
      </c>
      <c r="B407" s="45" t="s">
        <v>664</v>
      </c>
      <c r="C407" s="46" t="s">
        <v>42</v>
      </c>
      <c r="D407" s="47">
        <v>675.5</v>
      </c>
      <c r="E407" s="48">
        <v>0</v>
      </c>
      <c r="F407" s="38"/>
      <c r="G407" s="48">
        <f t="shared" si="47"/>
        <v>0</v>
      </c>
      <c r="H407" s="49">
        <v>344284</v>
      </c>
      <c r="I407" s="50">
        <f t="shared" si="43"/>
        <v>232563842</v>
      </c>
      <c r="J407" s="48">
        <f t="shared" si="44"/>
        <v>0</v>
      </c>
      <c r="K407" s="51">
        <f t="shared" si="45"/>
        <v>0</v>
      </c>
      <c r="L407" s="51">
        <f t="shared" si="46"/>
        <v>0</v>
      </c>
      <c r="M407" s="52"/>
      <c r="N407" s="34"/>
    </row>
    <row r="408" spans="1:14" ht="35.25" hidden="1" customHeight="1" x14ac:dyDescent="0.25">
      <c r="A408" s="16">
        <v>17</v>
      </c>
      <c r="B408" s="53" t="s">
        <v>665</v>
      </c>
      <c r="C408" s="21"/>
      <c r="D408" s="54"/>
      <c r="E408" s="55"/>
      <c r="F408" s="54">
        <v>0</v>
      </c>
      <c r="G408" s="55"/>
      <c r="H408" s="56"/>
      <c r="I408" s="57"/>
      <c r="J408" s="55"/>
      <c r="K408" s="58"/>
      <c r="L408" s="58"/>
      <c r="M408" s="23"/>
      <c r="N408" s="34"/>
    </row>
    <row r="409" spans="1:14" hidden="1" x14ac:dyDescent="0.25">
      <c r="A409" s="25" t="s">
        <v>666</v>
      </c>
      <c r="B409" s="26" t="s">
        <v>166</v>
      </c>
      <c r="C409" s="27" t="s">
        <v>42</v>
      </c>
      <c r="D409" s="28">
        <v>3.83</v>
      </c>
      <c r="E409" s="29">
        <v>0</v>
      </c>
      <c r="F409" s="28"/>
      <c r="G409" s="29">
        <f t="shared" si="47"/>
        <v>0</v>
      </c>
      <c r="H409" s="30">
        <v>20072</v>
      </c>
      <c r="I409" s="31">
        <f t="shared" si="43"/>
        <v>76876</v>
      </c>
      <c r="J409" s="29">
        <f t="shared" si="44"/>
        <v>0</v>
      </c>
      <c r="K409" s="32">
        <f t="shared" si="45"/>
        <v>0</v>
      </c>
      <c r="L409" s="32">
        <f t="shared" si="46"/>
        <v>0</v>
      </c>
      <c r="M409" s="33"/>
      <c r="N409" s="34"/>
    </row>
    <row r="410" spans="1:14" hidden="1" x14ac:dyDescent="0.25">
      <c r="A410" s="35" t="s">
        <v>667</v>
      </c>
      <c r="B410" s="36" t="s">
        <v>168</v>
      </c>
      <c r="C410" s="37" t="s">
        <v>42</v>
      </c>
      <c r="D410" s="38">
        <v>0.56999999999999995</v>
      </c>
      <c r="E410" s="39">
        <v>0</v>
      </c>
      <c r="F410" s="28"/>
      <c r="G410" s="39">
        <f t="shared" si="47"/>
        <v>0</v>
      </c>
      <c r="H410" s="40">
        <v>23801</v>
      </c>
      <c r="I410" s="41">
        <f t="shared" si="43"/>
        <v>13567</v>
      </c>
      <c r="J410" s="39">
        <f t="shared" si="44"/>
        <v>0</v>
      </c>
      <c r="K410" s="42">
        <f t="shared" si="45"/>
        <v>0</v>
      </c>
      <c r="L410" s="42">
        <f t="shared" si="46"/>
        <v>0</v>
      </c>
      <c r="M410" s="43"/>
      <c r="N410" s="34"/>
    </row>
    <row r="411" spans="1:14" hidden="1" x14ac:dyDescent="0.25">
      <c r="A411" s="35" t="s">
        <v>668</v>
      </c>
      <c r="B411" s="36" t="s">
        <v>170</v>
      </c>
      <c r="C411" s="37" t="s">
        <v>42</v>
      </c>
      <c r="D411" s="38">
        <v>191.4</v>
      </c>
      <c r="E411" s="39">
        <v>0</v>
      </c>
      <c r="F411" s="28"/>
      <c r="G411" s="39">
        <f t="shared" si="47"/>
        <v>0</v>
      </c>
      <c r="H411" s="40">
        <v>23801</v>
      </c>
      <c r="I411" s="41">
        <f t="shared" si="43"/>
        <v>4555511</v>
      </c>
      <c r="J411" s="39">
        <f t="shared" si="44"/>
        <v>0</v>
      </c>
      <c r="K411" s="42">
        <f t="shared" si="45"/>
        <v>0</v>
      </c>
      <c r="L411" s="42">
        <f t="shared" si="46"/>
        <v>0</v>
      </c>
      <c r="M411" s="43"/>
      <c r="N411" s="34"/>
    </row>
    <row r="412" spans="1:14" hidden="1" x14ac:dyDescent="0.25">
      <c r="A412" s="35" t="s">
        <v>669</v>
      </c>
      <c r="B412" s="36" t="s">
        <v>48</v>
      </c>
      <c r="C412" s="37" t="s">
        <v>42</v>
      </c>
      <c r="D412" s="38">
        <v>2.5</v>
      </c>
      <c r="E412" s="39">
        <v>0</v>
      </c>
      <c r="F412" s="28"/>
      <c r="G412" s="39">
        <f t="shared" si="47"/>
        <v>0</v>
      </c>
      <c r="H412" s="40">
        <v>12342</v>
      </c>
      <c r="I412" s="41">
        <f t="shared" si="43"/>
        <v>30855</v>
      </c>
      <c r="J412" s="39">
        <f t="shared" si="44"/>
        <v>0</v>
      </c>
      <c r="K412" s="42">
        <f t="shared" si="45"/>
        <v>0</v>
      </c>
      <c r="L412" s="42">
        <f t="shared" si="46"/>
        <v>0</v>
      </c>
      <c r="M412" s="43"/>
      <c r="N412" s="34"/>
    </row>
    <row r="413" spans="1:14" ht="31.5" hidden="1" x14ac:dyDescent="0.25">
      <c r="A413" s="35" t="s">
        <v>670</v>
      </c>
      <c r="B413" s="36" t="s">
        <v>175</v>
      </c>
      <c r="C413" s="37" t="s">
        <v>42</v>
      </c>
      <c r="D413" s="38">
        <v>2.5</v>
      </c>
      <c r="E413" s="39">
        <v>0</v>
      </c>
      <c r="F413" s="28"/>
      <c r="G413" s="39">
        <f t="shared" si="47"/>
        <v>0</v>
      </c>
      <c r="H413" s="40">
        <v>12936</v>
      </c>
      <c r="I413" s="41">
        <f t="shared" si="43"/>
        <v>32340</v>
      </c>
      <c r="J413" s="39">
        <f t="shared" si="44"/>
        <v>0</v>
      </c>
      <c r="K413" s="42">
        <f t="shared" si="45"/>
        <v>0</v>
      </c>
      <c r="L413" s="42">
        <f t="shared" si="46"/>
        <v>0</v>
      </c>
      <c r="M413" s="43"/>
      <c r="N413" s="34"/>
    </row>
    <row r="414" spans="1:14" hidden="1" x14ac:dyDescent="0.25">
      <c r="A414" s="35" t="s">
        <v>671</v>
      </c>
      <c r="B414" s="36" t="s">
        <v>177</v>
      </c>
      <c r="C414" s="37" t="s">
        <v>42</v>
      </c>
      <c r="D414" s="38">
        <v>340.2</v>
      </c>
      <c r="E414" s="39">
        <v>0</v>
      </c>
      <c r="F414" s="28"/>
      <c r="G414" s="39">
        <f t="shared" si="47"/>
        <v>0</v>
      </c>
      <c r="H414" s="40">
        <v>8251</v>
      </c>
      <c r="I414" s="41">
        <f t="shared" si="43"/>
        <v>2806990</v>
      </c>
      <c r="J414" s="39">
        <f t="shared" si="44"/>
        <v>0</v>
      </c>
      <c r="K414" s="42">
        <f t="shared" si="45"/>
        <v>0</v>
      </c>
      <c r="L414" s="42">
        <f t="shared" si="46"/>
        <v>0</v>
      </c>
      <c r="M414" s="43"/>
      <c r="N414" s="34"/>
    </row>
    <row r="415" spans="1:14" hidden="1" x14ac:dyDescent="0.25">
      <c r="A415" s="35" t="s">
        <v>672</v>
      </c>
      <c r="B415" s="36" t="s">
        <v>179</v>
      </c>
      <c r="C415" s="37" t="s">
        <v>42</v>
      </c>
      <c r="D415" s="38">
        <v>2229.9</v>
      </c>
      <c r="E415" s="39">
        <v>0</v>
      </c>
      <c r="F415" s="28"/>
      <c r="G415" s="39">
        <f t="shared" si="47"/>
        <v>0</v>
      </c>
      <c r="H415" s="40">
        <v>32141</v>
      </c>
      <c r="I415" s="41">
        <f t="shared" si="43"/>
        <v>71671216</v>
      </c>
      <c r="J415" s="39">
        <f t="shared" si="44"/>
        <v>0</v>
      </c>
      <c r="K415" s="42">
        <f t="shared" si="45"/>
        <v>0</v>
      </c>
      <c r="L415" s="42">
        <f t="shared" si="46"/>
        <v>0</v>
      </c>
      <c r="M415" s="43"/>
      <c r="N415" s="34"/>
    </row>
    <row r="416" spans="1:14" ht="31.5" hidden="1" x14ac:dyDescent="0.25">
      <c r="A416" s="35" t="s">
        <v>673</v>
      </c>
      <c r="B416" s="36" t="s">
        <v>181</v>
      </c>
      <c r="C416" s="37" t="s">
        <v>42</v>
      </c>
      <c r="D416" s="38">
        <v>127</v>
      </c>
      <c r="E416" s="39">
        <v>0</v>
      </c>
      <c r="F416" s="28"/>
      <c r="G416" s="39">
        <f t="shared" si="47"/>
        <v>0</v>
      </c>
      <c r="H416" s="40">
        <v>12936</v>
      </c>
      <c r="I416" s="41">
        <f t="shared" si="43"/>
        <v>1642872</v>
      </c>
      <c r="J416" s="39">
        <f t="shared" si="44"/>
        <v>0</v>
      </c>
      <c r="K416" s="42">
        <f t="shared" si="45"/>
        <v>0</v>
      </c>
      <c r="L416" s="42">
        <f t="shared" si="46"/>
        <v>0</v>
      </c>
      <c r="M416" s="43"/>
      <c r="N416" s="34"/>
    </row>
    <row r="417" spans="1:14" hidden="1" x14ac:dyDescent="0.25">
      <c r="A417" s="35" t="s">
        <v>674</v>
      </c>
      <c r="B417" s="36" t="s">
        <v>183</v>
      </c>
      <c r="C417" s="37" t="s">
        <v>42</v>
      </c>
      <c r="D417" s="38">
        <v>2968</v>
      </c>
      <c r="E417" s="39">
        <v>0</v>
      </c>
      <c r="F417" s="28"/>
      <c r="G417" s="39">
        <f t="shared" si="47"/>
        <v>0</v>
      </c>
      <c r="H417" s="40">
        <v>50585</v>
      </c>
      <c r="I417" s="41">
        <f t="shared" si="43"/>
        <v>150136280</v>
      </c>
      <c r="J417" s="39">
        <f t="shared" si="44"/>
        <v>0</v>
      </c>
      <c r="K417" s="42">
        <f t="shared" si="45"/>
        <v>0</v>
      </c>
      <c r="L417" s="42">
        <f t="shared" si="46"/>
        <v>0</v>
      </c>
      <c r="M417" s="43"/>
      <c r="N417" s="34"/>
    </row>
    <row r="418" spans="1:14" hidden="1" x14ac:dyDescent="0.25">
      <c r="A418" s="35" t="s">
        <v>675</v>
      </c>
      <c r="B418" s="36" t="s">
        <v>60</v>
      </c>
      <c r="C418" s="37" t="s">
        <v>42</v>
      </c>
      <c r="D418" s="38">
        <v>173.65</v>
      </c>
      <c r="E418" s="39">
        <v>0</v>
      </c>
      <c r="F418" s="28"/>
      <c r="G418" s="39">
        <f t="shared" si="47"/>
        <v>0</v>
      </c>
      <c r="H418" s="40">
        <v>54405</v>
      </c>
      <c r="I418" s="41">
        <f t="shared" si="43"/>
        <v>9447428</v>
      </c>
      <c r="J418" s="39">
        <f t="shared" si="44"/>
        <v>0</v>
      </c>
      <c r="K418" s="42">
        <f t="shared" si="45"/>
        <v>0</v>
      </c>
      <c r="L418" s="42">
        <f t="shared" si="46"/>
        <v>0</v>
      </c>
      <c r="M418" s="43"/>
      <c r="N418" s="34"/>
    </row>
    <row r="419" spans="1:14" hidden="1" x14ac:dyDescent="0.25">
      <c r="A419" s="35" t="s">
        <v>676</v>
      </c>
      <c r="B419" s="36" t="s">
        <v>64</v>
      </c>
      <c r="C419" s="37" t="s">
        <v>65</v>
      </c>
      <c r="D419" s="38">
        <v>314.16000000000003</v>
      </c>
      <c r="E419" s="39">
        <v>0</v>
      </c>
      <c r="F419" s="28"/>
      <c r="G419" s="39">
        <f t="shared" si="47"/>
        <v>0</v>
      </c>
      <c r="H419" s="40">
        <v>1064000</v>
      </c>
      <c r="I419" s="41">
        <f t="shared" si="43"/>
        <v>334266240</v>
      </c>
      <c r="J419" s="39">
        <f t="shared" si="44"/>
        <v>0</v>
      </c>
      <c r="K419" s="42">
        <f t="shared" si="45"/>
        <v>0</v>
      </c>
      <c r="L419" s="42">
        <f t="shared" si="46"/>
        <v>0</v>
      </c>
      <c r="M419" s="43"/>
      <c r="N419" s="34"/>
    </row>
    <row r="420" spans="1:14" ht="45" hidden="1" customHeight="1" x14ac:dyDescent="0.25">
      <c r="A420" s="35" t="s">
        <v>677</v>
      </c>
      <c r="B420" s="36" t="s">
        <v>122</v>
      </c>
      <c r="C420" s="37" t="s">
        <v>39</v>
      </c>
      <c r="D420" s="38">
        <v>42.4</v>
      </c>
      <c r="E420" s="39">
        <v>0</v>
      </c>
      <c r="F420" s="28"/>
      <c r="G420" s="39">
        <f t="shared" si="47"/>
        <v>0</v>
      </c>
      <c r="H420" s="40">
        <v>11015</v>
      </c>
      <c r="I420" s="41">
        <f t="shared" si="43"/>
        <v>467036</v>
      </c>
      <c r="J420" s="39">
        <f t="shared" si="44"/>
        <v>0</v>
      </c>
      <c r="K420" s="42">
        <f t="shared" si="45"/>
        <v>0</v>
      </c>
      <c r="L420" s="42">
        <f t="shared" si="46"/>
        <v>0</v>
      </c>
      <c r="M420" s="43"/>
      <c r="N420" s="34"/>
    </row>
    <row r="421" spans="1:14" ht="31.5" hidden="1" x14ac:dyDescent="0.25">
      <c r="A421" s="35" t="s">
        <v>678</v>
      </c>
      <c r="B421" s="36" t="s">
        <v>124</v>
      </c>
      <c r="C421" s="37" t="s">
        <v>118</v>
      </c>
      <c r="D421" s="38">
        <v>6.04</v>
      </c>
      <c r="E421" s="39">
        <v>0</v>
      </c>
      <c r="F421" s="28"/>
      <c r="G421" s="39">
        <f t="shared" si="47"/>
        <v>0</v>
      </c>
      <c r="H421" s="40">
        <v>1646788</v>
      </c>
      <c r="I421" s="41">
        <f t="shared" si="43"/>
        <v>9946600</v>
      </c>
      <c r="J421" s="39">
        <f t="shared" si="44"/>
        <v>0</v>
      </c>
      <c r="K421" s="42">
        <f t="shared" si="45"/>
        <v>0</v>
      </c>
      <c r="L421" s="42">
        <f t="shared" si="46"/>
        <v>0</v>
      </c>
      <c r="M421" s="43"/>
      <c r="N421" s="34"/>
    </row>
    <row r="422" spans="1:14" ht="31.5" hidden="1" x14ac:dyDescent="0.25">
      <c r="A422" s="35" t="s">
        <v>679</v>
      </c>
      <c r="B422" s="36" t="s">
        <v>126</v>
      </c>
      <c r="C422" s="37" t="s">
        <v>127</v>
      </c>
      <c r="D422" s="38">
        <v>0.06</v>
      </c>
      <c r="E422" s="39">
        <v>0</v>
      </c>
      <c r="F422" s="28"/>
      <c r="G422" s="39">
        <f t="shared" si="47"/>
        <v>0</v>
      </c>
      <c r="H422" s="40">
        <v>11384261</v>
      </c>
      <c r="I422" s="41">
        <f t="shared" si="43"/>
        <v>683056</v>
      </c>
      <c r="J422" s="39">
        <f t="shared" si="44"/>
        <v>0</v>
      </c>
      <c r="K422" s="42">
        <f t="shared" si="45"/>
        <v>0</v>
      </c>
      <c r="L422" s="42">
        <f t="shared" si="46"/>
        <v>0</v>
      </c>
      <c r="M422" s="43"/>
      <c r="N422" s="34"/>
    </row>
    <row r="423" spans="1:14" ht="31.5" hidden="1" x14ac:dyDescent="0.25">
      <c r="A423" s="35" t="s">
        <v>680</v>
      </c>
      <c r="B423" s="36" t="s">
        <v>197</v>
      </c>
      <c r="C423" s="37" t="s">
        <v>39</v>
      </c>
      <c r="D423" s="38">
        <v>42</v>
      </c>
      <c r="E423" s="39">
        <v>0</v>
      </c>
      <c r="F423" s="28"/>
      <c r="G423" s="39">
        <f t="shared" si="47"/>
        <v>0</v>
      </c>
      <c r="H423" s="40">
        <v>26753</v>
      </c>
      <c r="I423" s="41">
        <f t="shared" si="43"/>
        <v>1123626</v>
      </c>
      <c r="J423" s="39">
        <f t="shared" si="44"/>
        <v>0</v>
      </c>
      <c r="K423" s="42">
        <f t="shared" si="45"/>
        <v>0</v>
      </c>
      <c r="L423" s="42">
        <f t="shared" si="46"/>
        <v>0</v>
      </c>
      <c r="M423" s="43"/>
      <c r="N423" s="34"/>
    </row>
    <row r="424" spans="1:14" ht="18.75" hidden="1" customHeight="1" x14ac:dyDescent="0.25">
      <c r="A424" s="35" t="s">
        <v>681</v>
      </c>
      <c r="B424" s="36" t="s">
        <v>199</v>
      </c>
      <c r="C424" s="37" t="s">
        <v>42</v>
      </c>
      <c r="D424" s="38">
        <v>2.2999999999999998</v>
      </c>
      <c r="E424" s="39">
        <v>0</v>
      </c>
      <c r="F424" s="28"/>
      <c r="G424" s="39">
        <f t="shared" si="47"/>
        <v>0</v>
      </c>
      <c r="H424" s="40">
        <v>364704</v>
      </c>
      <c r="I424" s="41">
        <f t="shared" si="43"/>
        <v>838819</v>
      </c>
      <c r="J424" s="39">
        <f t="shared" si="44"/>
        <v>0</v>
      </c>
      <c r="K424" s="42">
        <f t="shared" si="45"/>
        <v>0</v>
      </c>
      <c r="L424" s="42">
        <f t="shared" si="46"/>
        <v>0</v>
      </c>
      <c r="M424" s="43"/>
      <c r="N424" s="34"/>
    </row>
    <row r="425" spans="1:14" ht="48" hidden="1" customHeight="1" x14ac:dyDescent="0.25">
      <c r="A425" s="35" t="s">
        <v>682</v>
      </c>
      <c r="B425" s="36" t="s">
        <v>122</v>
      </c>
      <c r="C425" s="37" t="s">
        <v>39</v>
      </c>
      <c r="D425" s="38">
        <v>482</v>
      </c>
      <c r="E425" s="39">
        <v>0</v>
      </c>
      <c r="F425" s="28"/>
      <c r="G425" s="39">
        <f t="shared" si="47"/>
        <v>0</v>
      </c>
      <c r="H425" s="40">
        <v>11015</v>
      </c>
      <c r="I425" s="41">
        <f t="shared" si="43"/>
        <v>5309230</v>
      </c>
      <c r="J425" s="39">
        <f t="shared" si="44"/>
        <v>0</v>
      </c>
      <c r="K425" s="42">
        <f t="shared" si="45"/>
        <v>0</v>
      </c>
      <c r="L425" s="42">
        <f t="shared" si="46"/>
        <v>0</v>
      </c>
      <c r="M425" s="43"/>
      <c r="N425" s="34"/>
    </row>
    <row r="426" spans="1:14" ht="31.5" hidden="1" x14ac:dyDescent="0.25">
      <c r="A426" s="35" t="s">
        <v>683</v>
      </c>
      <c r="B426" s="36" t="s">
        <v>124</v>
      </c>
      <c r="C426" s="37" t="s">
        <v>118</v>
      </c>
      <c r="D426" s="38">
        <v>68.64</v>
      </c>
      <c r="E426" s="39">
        <v>0</v>
      </c>
      <c r="F426" s="28"/>
      <c r="G426" s="39">
        <f t="shared" si="47"/>
        <v>0</v>
      </c>
      <c r="H426" s="40">
        <v>1646788</v>
      </c>
      <c r="I426" s="41">
        <f t="shared" si="43"/>
        <v>113035528</v>
      </c>
      <c r="J426" s="39">
        <f t="shared" si="44"/>
        <v>0</v>
      </c>
      <c r="K426" s="42">
        <f t="shared" si="45"/>
        <v>0</v>
      </c>
      <c r="L426" s="42">
        <f t="shared" si="46"/>
        <v>0</v>
      </c>
      <c r="M426" s="43"/>
      <c r="N426" s="34"/>
    </row>
    <row r="427" spans="1:14" ht="31.5" hidden="1" x14ac:dyDescent="0.25">
      <c r="A427" s="35" t="s">
        <v>684</v>
      </c>
      <c r="B427" s="36" t="s">
        <v>126</v>
      </c>
      <c r="C427" s="37" t="s">
        <v>127</v>
      </c>
      <c r="D427" s="38">
        <v>0.69</v>
      </c>
      <c r="E427" s="39">
        <v>0</v>
      </c>
      <c r="F427" s="28"/>
      <c r="G427" s="39">
        <f t="shared" si="47"/>
        <v>0</v>
      </c>
      <c r="H427" s="40">
        <v>11384261</v>
      </c>
      <c r="I427" s="41">
        <f t="shared" si="43"/>
        <v>7855140</v>
      </c>
      <c r="J427" s="39">
        <f t="shared" si="44"/>
        <v>0</v>
      </c>
      <c r="K427" s="42">
        <f t="shared" si="45"/>
        <v>0</v>
      </c>
      <c r="L427" s="42">
        <f t="shared" si="46"/>
        <v>0</v>
      </c>
      <c r="M427" s="43"/>
      <c r="N427" s="34"/>
    </row>
    <row r="428" spans="1:14" ht="31.5" hidden="1" x14ac:dyDescent="0.25">
      <c r="A428" s="35" t="s">
        <v>685</v>
      </c>
      <c r="B428" s="36" t="s">
        <v>197</v>
      </c>
      <c r="C428" s="37" t="s">
        <v>39</v>
      </c>
      <c r="D428" s="38">
        <v>482</v>
      </c>
      <c r="E428" s="39">
        <v>0</v>
      </c>
      <c r="F428" s="28"/>
      <c r="G428" s="39">
        <f t="shared" si="47"/>
        <v>0</v>
      </c>
      <c r="H428" s="40">
        <v>26753</v>
      </c>
      <c r="I428" s="41">
        <f t="shared" si="43"/>
        <v>12894946</v>
      </c>
      <c r="J428" s="39">
        <f t="shared" si="44"/>
        <v>0</v>
      </c>
      <c r="K428" s="42">
        <f t="shared" si="45"/>
        <v>0</v>
      </c>
      <c r="L428" s="42">
        <f t="shared" si="46"/>
        <v>0</v>
      </c>
      <c r="M428" s="43"/>
      <c r="N428" s="34"/>
    </row>
    <row r="429" spans="1:14" ht="27.75" hidden="1" customHeight="1" x14ac:dyDescent="0.25">
      <c r="A429" s="44" t="s">
        <v>686</v>
      </c>
      <c r="B429" s="45" t="s">
        <v>199</v>
      </c>
      <c r="C429" s="46" t="s">
        <v>42</v>
      </c>
      <c r="D429" s="47">
        <v>73.2</v>
      </c>
      <c r="E429" s="48">
        <v>0</v>
      </c>
      <c r="F429" s="28"/>
      <c r="G429" s="48">
        <f t="shared" si="47"/>
        <v>0</v>
      </c>
      <c r="H429" s="49">
        <v>364704</v>
      </c>
      <c r="I429" s="50">
        <f t="shared" si="43"/>
        <v>26696333</v>
      </c>
      <c r="J429" s="48">
        <f t="shared" si="44"/>
        <v>0</v>
      </c>
      <c r="K429" s="51">
        <f t="shared" si="45"/>
        <v>0</v>
      </c>
      <c r="L429" s="51">
        <f t="shared" si="46"/>
        <v>0</v>
      </c>
      <c r="M429" s="52"/>
      <c r="N429" s="34"/>
    </row>
    <row r="430" spans="1:14" s="64" customFormat="1" ht="31.5" hidden="1" x14ac:dyDescent="0.25">
      <c r="A430" s="16">
        <v>18</v>
      </c>
      <c r="B430" s="53" t="s">
        <v>687</v>
      </c>
      <c r="C430" s="18"/>
      <c r="D430" s="19"/>
      <c r="E430" s="59"/>
      <c r="F430" s="54">
        <v>0</v>
      </c>
      <c r="G430" s="59"/>
      <c r="H430" s="60"/>
      <c r="I430" s="61"/>
      <c r="J430" s="59"/>
      <c r="K430" s="62"/>
      <c r="L430" s="62"/>
      <c r="M430" s="63"/>
      <c r="N430" s="34"/>
    </row>
    <row r="431" spans="1:14" ht="31.5" hidden="1" x14ac:dyDescent="0.25">
      <c r="A431" s="25" t="s">
        <v>688</v>
      </c>
      <c r="B431" s="26" t="s">
        <v>270</v>
      </c>
      <c r="C431" s="27" t="s">
        <v>39</v>
      </c>
      <c r="D431" s="28">
        <v>220</v>
      </c>
      <c r="E431" s="29">
        <v>0</v>
      </c>
      <c r="F431" s="28"/>
      <c r="G431" s="29">
        <f t="shared" si="47"/>
        <v>0</v>
      </c>
      <c r="H431" s="30">
        <v>519576</v>
      </c>
      <c r="I431" s="31">
        <f t="shared" si="43"/>
        <v>114306720</v>
      </c>
      <c r="J431" s="29">
        <f t="shared" si="44"/>
        <v>0</v>
      </c>
      <c r="K431" s="32">
        <f t="shared" si="45"/>
        <v>0</v>
      </c>
      <c r="L431" s="32">
        <f t="shared" si="46"/>
        <v>0</v>
      </c>
      <c r="M431" s="33"/>
      <c r="N431" s="34"/>
    </row>
    <row r="432" spans="1:14" hidden="1" x14ac:dyDescent="0.25">
      <c r="A432" s="35" t="s">
        <v>689</v>
      </c>
      <c r="B432" s="36" t="s">
        <v>272</v>
      </c>
      <c r="C432" s="37" t="s">
        <v>39</v>
      </c>
      <c r="D432" s="38">
        <v>6.61</v>
      </c>
      <c r="E432" s="39">
        <v>0</v>
      </c>
      <c r="F432" s="28"/>
      <c r="G432" s="39">
        <f t="shared" si="47"/>
        <v>0</v>
      </c>
      <c r="H432" s="40">
        <v>1113651</v>
      </c>
      <c r="I432" s="41">
        <f t="shared" si="43"/>
        <v>7361233</v>
      </c>
      <c r="J432" s="39">
        <f t="shared" si="44"/>
        <v>0</v>
      </c>
      <c r="K432" s="42">
        <f t="shared" si="45"/>
        <v>0</v>
      </c>
      <c r="L432" s="42">
        <f t="shared" si="46"/>
        <v>0</v>
      </c>
      <c r="M432" s="43"/>
      <c r="N432" s="34"/>
    </row>
    <row r="433" spans="1:15" ht="31.5" hidden="1" x14ac:dyDescent="0.25">
      <c r="A433" s="35" t="s">
        <v>690</v>
      </c>
      <c r="B433" s="36" t="s">
        <v>274</v>
      </c>
      <c r="C433" s="37" t="s">
        <v>275</v>
      </c>
      <c r="D433" s="38">
        <v>93</v>
      </c>
      <c r="E433" s="39">
        <v>0</v>
      </c>
      <c r="F433" s="28"/>
      <c r="G433" s="39">
        <f t="shared" si="47"/>
        <v>0</v>
      </c>
      <c r="H433" s="40">
        <v>56885</v>
      </c>
      <c r="I433" s="41">
        <f t="shared" si="43"/>
        <v>5290305</v>
      </c>
      <c r="J433" s="39">
        <f t="shared" si="44"/>
        <v>0</v>
      </c>
      <c r="K433" s="42">
        <f t="shared" si="45"/>
        <v>0</v>
      </c>
      <c r="L433" s="42">
        <f t="shared" si="46"/>
        <v>0</v>
      </c>
      <c r="M433" s="43"/>
      <c r="N433" s="34"/>
    </row>
    <row r="434" spans="1:15" ht="47.25" hidden="1" x14ac:dyDescent="0.25">
      <c r="A434" s="35" t="s">
        <v>691</v>
      </c>
      <c r="B434" s="36" t="s">
        <v>277</v>
      </c>
      <c r="C434" s="37" t="s">
        <v>278</v>
      </c>
      <c r="D434" s="38">
        <v>5</v>
      </c>
      <c r="E434" s="39">
        <v>0</v>
      </c>
      <c r="F434" s="28"/>
      <c r="G434" s="39">
        <f t="shared" si="47"/>
        <v>0</v>
      </c>
      <c r="H434" s="40">
        <v>305773</v>
      </c>
      <c r="I434" s="41">
        <f t="shared" si="43"/>
        <v>1528865</v>
      </c>
      <c r="J434" s="39">
        <f t="shared" si="44"/>
        <v>0</v>
      </c>
      <c r="K434" s="42">
        <f t="shared" si="45"/>
        <v>0</v>
      </c>
      <c r="L434" s="42">
        <f t="shared" si="46"/>
        <v>0</v>
      </c>
      <c r="M434" s="43"/>
      <c r="N434" s="34"/>
    </row>
    <row r="435" spans="1:15" ht="47.25" hidden="1" x14ac:dyDescent="0.25">
      <c r="A435" s="35" t="s">
        <v>692</v>
      </c>
      <c r="B435" s="36" t="s">
        <v>280</v>
      </c>
      <c r="C435" s="37" t="s">
        <v>278</v>
      </c>
      <c r="D435" s="38">
        <v>4</v>
      </c>
      <c r="E435" s="39">
        <v>0</v>
      </c>
      <c r="F435" s="28"/>
      <c r="G435" s="39">
        <f t="shared" si="47"/>
        <v>0</v>
      </c>
      <c r="H435" s="40">
        <v>320924</v>
      </c>
      <c r="I435" s="41">
        <f t="shared" si="43"/>
        <v>1283696</v>
      </c>
      <c r="J435" s="39">
        <f t="shared" si="44"/>
        <v>0</v>
      </c>
      <c r="K435" s="42">
        <f t="shared" si="45"/>
        <v>0</v>
      </c>
      <c r="L435" s="42">
        <f t="shared" si="46"/>
        <v>0</v>
      </c>
      <c r="M435" s="43"/>
      <c r="N435" s="34"/>
    </row>
    <row r="436" spans="1:15" ht="45.75" hidden="1" customHeight="1" x14ac:dyDescent="0.25">
      <c r="A436" s="35" t="s">
        <v>693</v>
      </c>
      <c r="B436" s="36" t="s">
        <v>284</v>
      </c>
      <c r="C436" s="37" t="s">
        <v>278</v>
      </c>
      <c r="D436" s="38">
        <v>1</v>
      </c>
      <c r="E436" s="39">
        <v>0</v>
      </c>
      <c r="F436" s="28"/>
      <c r="G436" s="39">
        <f t="shared" si="47"/>
        <v>0</v>
      </c>
      <c r="H436" s="40">
        <v>314863</v>
      </c>
      <c r="I436" s="41">
        <f t="shared" si="43"/>
        <v>314863</v>
      </c>
      <c r="J436" s="39">
        <f t="shared" si="44"/>
        <v>0</v>
      </c>
      <c r="K436" s="42">
        <f t="shared" si="45"/>
        <v>0</v>
      </c>
      <c r="L436" s="42">
        <f t="shared" si="46"/>
        <v>0</v>
      </c>
      <c r="M436" s="43"/>
      <c r="N436" s="34"/>
    </row>
    <row r="437" spans="1:15" ht="53.25" hidden="1" customHeight="1" x14ac:dyDescent="0.25">
      <c r="A437" s="35" t="s">
        <v>694</v>
      </c>
      <c r="B437" s="36" t="s">
        <v>286</v>
      </c>
      <c r="C437" s="37" t="s">
        <v>278</v>
      </c>
      <c r="D437" s="38">
        <v>1</v>
      </c>
      <c r="E437" s="39">
        <v>0</v>
      </c>
      <c r="F437" s="28"/>
      <c r="G437" s="39">
        <f t="shared" si="47"/>
        <v>0</v>
      </c>
      <c r="H437" s="40">
        <v>314863</v>
      </c>
      <c r="I437" s="41">
        <f t="shared" si="43"/>
        <v>314863</v>
      </c>
      <c r="J437" s="39">
        <f t="shared" si="44"/>
        <v>0</v>
      </c>
      <c r="K437" s="42">
        <f t="shared" si="45"/>
        <v>0</v>
      </c>
      <c r="L437" s="42">
        <f t="shared" si="46"/>
        <v>0</v>
      </c>
      <c r="M437" s="43"/>
      <c r="N437" s="34"/>
    </row>
    <row r="438" spans="1:15" ht="47.25" hidden="1" x14ac:dyDescent="0.25">
      <c r="A438" s="35" t="s">
        <v>695</v>
      </c>
      <c r="B438" s="36" t="s">
        <v>696</v>
      </c>
      <c r="C438" s="37" t="s">
        <v>278</v>
      </c>
      <c r="D438" s="38">
        <v>1</v>
      </c>
      <c r="E438" s="39">
        <v>0</v>
      </c>
      <c r="F438" s="28"/>
      <c r="G438" s="39">
        <f t="shared" si="47"/>
        <v>0</v>
      </c>
      <c r="H438" s="40">
        <v>314863</v>
      </c>
      <c r="I438" s="41">
        <f t="shared" si="43"/>
        <v>314863</v>
      </c>
      <c r="J438" s="39">
        <f t="shared" si="44"/>
        <v>0</v>
      </c>
      <c r="K438" s="42">
        <f t="shared" si="45"/>
        <v>0</v>
      </c>
      <c r="L438" s="42">
        <f t="shared" si="46"/>
        <v>0</v>
      </c>
      <c r="M438" s="43"/>
      <c r="N438" s="34"/>
    </row>
    <row r="439" spans="1:15" hidden="1" x14ac:dyDescent="0.25">
      <c r="A439" s="35" t="s">
        <v>697</v>
      </c>
      <c r="B439" s="36" t="s">
        <v>288</v>
      </c>
      <c r="C439" s="37" t="s">
        <v>278</v>
      </c>
      <c r="D439" s="38">
        <v>5</v>
      </c>
      <c r="E439" s="39">
        <v>0</v>
      </c>
      <c r="F439" s="28"/>
      <c r="G439" s="39">
        <f t="shared" si="47"/>
        <v>0</v>
      </c>
      <c r="H439" s="40">
        <v>492731</v>
      </c>
      <c r="I439" s="41">
        <f t="shared" si="43"/>
        <v>2463655</v>
      </c>
      <c r="J439" s="39">
        <f t="shared" si="44"/>
        <v>0</v>
      </c>
      <c r="K439" s="42">
        <f t="shared" si="45"/>
        <v>0</v>
      </c>
      <c r="L439" s="42">
        <f t="shared" si="46"/>
        <v>0</v>
      </c>
      <c r="M439" s="43"/>
      <c r="N439" s="34"/>
    </row>
    <row r="440" spans="1:15" hidden="1" x14ac:dyDescent="0.25">
      <c r="A440" s="35" t="s">
        <v>698</v>
      </c>
      <c r="B440" s="36" t="s">
        <v>290</v>
      </c>
      <c r="C440" s="37" t="s">
        <v>278</v>
      </c>
      <c r="D440" s="38">
        <v>4</v>
      </c>
      <c r="E440" s="39">
        <v>0</v>
      </c>
      <c r="F440" s="28"/>
      <c r="G440" s="39">
        <f t="shared" si="47"/>
        <v>0</v>
      </c>
      <c r="H440" s="40">
        <v>1021897</v>
      </c>
      <c r="I440" s="41">
        <f t="shared" si="43"/>
        <v>4087588</v>
      </c>
      <c r="J440" s="39">
        <f t="shared" si="44"/>
        <v>0</v>
      </c>
      <c r="K440" s="42">
        <f t="shared" si="45"/>
        <v>0</v>
      </c>
      <c r="L440" s="42">
        <f t="shared" si="46"/>
        <v>0</v>
      </c>
      <c r="M440" s="43"/>
      <c r="N440" s="34"/>
    </row>
    <row r="441" spans="1:15" hidden="1" x14ac:dyDescent="0.25">
      <c r="A441" s="35" t="s">
        <v>699</v>
      </c>
      <c r="B441" s="36" t="s">
        <v>294</v>
      </c>
      <c r="C441" s="37" t="s">
        <v>278</v>
      </c>
      <c r="D441" s="38">
        <v>1</v>
      </c>
      <c r="E441" s="39">
        <v>0</v>
      </c>
      <c r="F441" s="28"/>
      <c r="G441" s="39">
        <f t="shared" si="47"/>
        <v>0</v>
      </c>
      <c r="H441" s="40">
        <v>1021897</v>
      </c>
      <c r="I441" s="41">
        <f t="shared" si="43"/>
        <v>1021897</v>
      </c>
      <c r="J441" s="39">
        <f t="shared" si="44"/>
        <v>0</v>
      </c>
      <c r="K441" s="42">
        <f t="shared" si="45"/>
        <v>0</v>
      </c>
      <c r="L441" s="42">
        <f t="shared" si="46"/>
        <v>0</v>
      </c>
      <c r="M441" s="43"/>
      <c r="N441" s="34"/>
    </row>
    <row r="442" spans="1:15" hidden="1" x14ac:dyDescent="0.25">
      <c r="A442" s="35" t="s">
        <v>700</v>
      </c>
      <c r="B442" s="36" t="s">
        <v>701</v>
      </c>
      <c r="C442" s="37" t="s">
        <v>278</v>
      </c>
      <c r="D442" s="38">
        <v>1</v>
      </c>
      <c r="E442" s="39">
        <v>0</v>
      </c>
      <c r="F442" s="28"/>
      <c r="G442" s="39">
        <f t="shared" si="47"/>
        <v>0</v>
      </c>
      <c r="H442" s="40">
        <v>1755842</v>
      </c>
      <c r="I442" s="41">
        <f t="shared" si="43"/>
        <v>1755842</v>
      </c>
      <c r="J442" s="39">
        <f t="shared" si="44"/>
        <v>0</v>
      </c>
      <c r="K442" s="42">
        <f t="shared" si="45"/>
        <v>0</v>
      </c>
      <c r="L442" s="42">
        <f t="shared" si="46"/>
        <v>0</v>
      </c>
      <c r="M442" s="43"/>
      <c r="N442" s="34"/>
    </row>
    <row r="443" spans="1:15" hidden="1" x14ac:dyDescent="0.25">
      <c r="A443" s="35" t="s">
        <v>702</v>
      </c>
      <c r="B443" s="36" t="s">
        <v>296</v>
      </c>
      <c r="C443" s="37" t="s">
        <v>278</v>
      </c>
      <c r="D443" s="38">
        <v>1</v>
      </c>
      <c r="E443" s="39">
        <v>0</v>
      </c>
      <c r="F443" s="28"/>
      <c r="G443" s="39">
        <f t="shared" si="47"/>
        <v>0</v>
      </c>
      <c r="H443" s="40">
        <v>804708</v>
      </c>
      <c r="I443" s="41">
        <f t="shared" si="43"/>
        <v>804708</v>
      </c>
      <c r="J443" s="39">
        <f t="shared" si="44"/>
        <v>0</v>
      </c>
      <c r="K443" s="42">
        <f t="shared" si="45"/>
        <v>0</v>
      </c>
      <c r="L443" s="42">
        <f t="shared" si="46"/>
        <v>0</v>
      </c>
      <c r="M443" s="43"/>
      <c r="N443" s="34"/>
    </row>
    <row r="444" spans="1:15" hidden="1" x14ac:dyDescent="0.25">
      <c r="A444" s="35" t="s">
        <v>703</v>
      </c>
      <c r="B444" s="36" t="s">
        <v>298</v>
      </c>
      <c r="C444" s="37" t="s">
        <v>84</v>
      </c>
      <c r="D444" s="38">
        <v>39.799999999999997</v>
      </c>
      <c r="E444" s="39">
        <v>0</v>
      </c>
      <c r="F444" s="28"/>
      <c r="G444" s="39">
        <f t="shared" si="47"/>
        <v>0</v>
      </c>
      <c r="H444" s="40">
        <v>171892</v>
      </c>
      <c r="I444" s="41">
        <f t="shared" si="43"/>
        <v>6841302</v>
      </c>
      <c r="J444" s="39">
        <f t="shared" si="44"/>
        <v>0</v>
      </c>
      <c r="K444" s="42">
        <f t="shared" si="45"/>
        <v>0</v>
      </c>
      <c r="L444" s="42">
        <f t="shared" si="46"/>
        <v>0</v>
      </c>
      <c r="M444" s="43"/>
      <c r="N444" s="34"/>
    </row>
    <row r="445" spans="1:15" hidden="1" x14ac:dyDescent="0.25">
      <c r="A445" s="35" t="s">
        <v>704</v>
      </c>
      <c r="B445" s="36" t="s">
        <v>300</v>
      </c>
      <c r="C445" s="37" t="s">
        <v>301</v>
      </c>
      <c r="D445" s="38">
        <v>1.94</v>
      </c>
      <c r="E445" s="39">
        <v>0</v>
      </c>
      <c r="F445" s="28"/>
      <c r="G445" s="39">
        <f t="shared" si="47"/>
        <v>0</v>
      </c>
      <c r="H445" s="40">
        <v>9382399</v>
      </c>
      <c r="I445" s="41">
        <f t="shared" si="43"/>
        <v>18201854</v>
      </c>
      <c r="J445" s="39">
        <f t="shared" si="44"/>
        <v>0</v>
      </c>
      <c r="K445" s="42">
        <f t="shared" si="45"/>
        <v>0</v>
      </c>
      <c r="L445" s="42">
        <f t="shared" si="46"/>
        <v>0</v>
      </c>
      <c r="M445" s="43"/>
      <c r="N445" s="34"/>
      <c r="O445" s="24">
        <v>0</v>
      </c>
    </row>
    <row r="446" spans="1:15" hidden="1" x14ac:dyDescent="0.25">
      <c r="A446" s="35" t="s">
        <v>705</v>
      </c>
      <c r="B446" s="36" t="s">
        <v>303</v>
      </c>
      <c r="C446" s="37" t="s">
        <v>84</v>
      </c>
      <c r="D446" s="38">
        <v>194</v>
      </c>
      <c r="E446" s="39">
        <v>0</v>
      </c>
      <c r="F446" s="28"/>
      <c r="G446" s="39">
        <f t="shared" si="47"/>
        <v>0</v>
      </c>
      <c r="H446" s="40">
        <v>856508</v>
      </c>
      <c r="I446" s="41">
        <f t="shared" si="43"/>
        <v>166162552</v>
      </c>
      <c r="J446" s="39">
        <f t="shared" si="44"/>
        <v>0</v>
      </c>
      <c r="K446" s="42">
        <f t="shared" si="45"/>
        <v>0</v>
      </c>
      <c r="L446" s="42">
        <f t="shared" si="46"/>
        <v>0</v>
      </c>
      <c r="M446" s="43"/>
      <c r="N446" s="34"/>
    </row>
    <row r="447" spans="1:15" hidden="1" x14ac:dyDescent="0.25">
      <c r="A447" s="35" t="s">
        <v>706</v>
      </c>
      <c r="B447" s="36" t="s">
        <v>307</v>
      </c>
      <c r="C447" s="37" t="s">
        <v>278</v>
      </c>
      <c r="D447" s="38">
        <v>1</v>
      </c>
      <c r="E447" s="39">
        <v>0</v>
      </c>
      <c r="F447" s="28"/>
      <c r="G447" s="39">
        <f t="shared" si="47"/>
        <v>0</v>
      </c>
      <c r="H447" s="40">
        <v>308087</v>
      </c>
      <c r="I447" s="41">
        <f t="shared" si="43"/>
        <v>308087</v>
      </c>
      <c r="J447" s="39">
        <f t="shared" si="44"/>
        <v>0</v>
      </c>
      <c r="K447" s="42">
        <f t="shared" si="45"/>
        <v>0</v>
      </c>
      <c r="L447" s="42">
        <f t="shared" si="46"/>
        <v>0</v>
      </c>
      <c r="M447" s="43"/>
      <c r="N447" s="34"/>
    </row>
    <row r="448" spans="1:15" hidden="1" x14ac:dyDescent="0.25">
      <c r="A448" s="35" t="s">
        <v>707</v>
      </c>
      <c r="B448" s="36" t="s">
        <v>708</v>
      </c>
      <c r="C448" s="37" t="s">
        <v>275</v>
      </c>
      <c r="D448" s="38">
        <v>1</v>
      </c>
      <c r="E448" s="39">
        <v>0</v>
      </c>
      <c r="F448" s="28"/>
      <c r="G448" s="39">
        <f t="shared" si="47"/>
        <v>0</v>
      </c>
      <c r="H448" s="40">
        <v>40152</v>
      </c>
      <c r="I448" s="41">
        <f t="shared" si="43"/>
        <v>40152</v>
      </c>
      <c r="J448" s="39">
        <f t="shared" si="44"/>
        <v>0</v>
      </c>
      <c r="K448" s="42">
        <f t="shared" si="45"/>
        <v>0</v>
      </c>
      <c r="L448" s="42">
        <f t="shared" si="46"/>
        <v>0</v>
      </c>
      <c r="M448" s="43"/>
      <c r="N448" s="34"/>
    </row>
    <row r="449" spans="1:14" hidden="1" x14ac:dyDescent="0.25">
      <c r="A449" s="44" t="s">
        <v>709</v>
      </c>
      <c r="B449" s="45" t="s">
        <v>313</v>
      </c>
      <c r="C449" s="46" t="s">
        <v>278</v>
      </c>
      <c r="D449" s="47">
        <v>54</v>
      </c>
      <c r="E449" s="48">
        <v>0</v>
      </c>
      <c r="F449" s="28"/>
      <c r="G449" s="48">
        <f t="shared" si="47"/>
        <v>0</v>
      </c>
      <c r="H449" s="49">
        <v>50931</v>
      </c>
      <c r="I449" s="50">
        <f t="shared" si="43"/>
        <v>2750274</v>
      </c>
      <c r="J449" s="48">
        <f t="shared" si="44"/>
        <v>0</v>
      </c>
      <c r="K449" s="51">
        <f t="shared" si="45"/>
        <v>0</v>
      </c>
      <c r="L449" s="51">
        <f t="shared" si="46"/>
        <v>0</v>
      </c>
      <c r="M449" s="52"/>
      <c r="N449" s="34"/>
    </row>
    <row r="450" spans="1:14" s="64" customFormat="1" ht="42" hidden="1" customHeight="1" x14ac:dyDescent="0.25">
      <c r="A450" s="16">
        <v>19</v>
      </c>
      <c r="B450" s="53" t="s">
        <v>710</v>
      </c>
      <c r="C450" s="18"/>
      <c r="D450" s="19"/>
      <c r="E450" s="59"/>
      <c r="F450" s="54">
        <v>0</v>
      </c>
      <c r="G450" s="59"/>
      <c r="H450" s="60"/>
      <c r="I450" s="61"/>
      <c r="J450" s="59"/>
      <c r="K450" s="62"/>
      <c r="L450" s="62"/>
      <c r="M450" s="63"/>
      <c r="N450" s="34"/>
    </row>
    <row r="451" spans="1:14" hidden="1" x14ac:dyDescent="0.25">
      <c r="A451" s="25" t="s">
        <v>711</v>
      </c>
      <c r="B451" s="26" t="s">
        <v>712</v>
      </c>
      <c r="C451" s="27" t="s">
        <v>118</v>
      </c>
      <c r="D451" s="28">
        <v>12.1738</v>
      </c>
      <c r="E451" s="29">
        <v>12.1738</v>
      </c>
      <c r="F451" s="28">
        <v>0</v>
      </c>
      <c r="G451" s="29">
        <f t="shared" si="47"/>
        <v>12.1738</v>
      </c>
      <c r="H451" s="30">
        <v>61004533</v>
      </c>
      <c r="I451" s="31">
        <f t="shared" ref="I451:I514" si="48">ROUND(D451*H451,0)</f>
        <v>742656984</v>
      </c>
      <c r="J451" s="29">
        <f t="shared" ref="J451:J514" si="49">E451*H451</f>
        <v>742656983.83539999</v>
      </c>
      <c r="K451" s="32">
        <f t="shared" ref="K451:K514" si="50">F451*H451</f>
        <v>0</v>
      </c>
      <c r="L451" s="32">
        <f t="shared" ref="L451:L514" si="51">G451*H451</f>
        <v>742656983.83539999</v>
      </c>
      <c r="M451" s="33"/>
      <c r="N451" s="34">
        <f>I451-L451</f>
        <v>0.16460001468658447</v>
      </c>
    </row>
    <row r="452" spans="1:14" hidden="1" x14ac:dyDescent="0.25">
      <c r="A452" s="35" t="s">
        <v>713</v>
      </c>
      <c r="B452" s="36" t="s">
        <v>714</v>
      </c>
      <c r="C452" s="37" t="s">
        <v>118</v>
      </c>
      <c r="D452" s="38">
        <v>38.422400000000003</v>
      </c>
      <c r="E452" s="39">
        <v>38.422400000000003</v>
      </c>
      <c r="F452" s="28">
        <v>0</v>
      </c>
      <c r="G452" s="39">
        <f t="shared" si="47"/>
        <v>38.422400000000003</v>
      </c>
      <c r="H452" s="40">
        <v>24716117</v>
      </c>
      <c r="I452" s="41">
        <f t="shared" si="48"/>
        <v>949652534</v>
      </c>
      <c r="J452" s="39">
        <f t="shared" si="49"/>
        <v>949652533.82080007</v>
      </c>
      <c r="K452" s="42">
        <f t="shared" si="50"/>
        <v>0</v>
      </c>
      <c r="L452" s="42">
        <f t="shared" si="51"/>
        <v>949652533.82080007</v>
      </c>
      <c r="M452" s="43"/>
      <c r="N452" s="34">
        <f t="shared" ref="N452:N515" si="52">I452-L452</f>
        <v>0.1791999340057373</v>
      </c>
    </row>
    <row r="453" spans="1:14" hidden="1" x14ac:dyDescent="0.25">
      <c r="A453" s="35" t="s">
        <v>715</v>
      </c>
      <c r="B453" s="36" t="s">
        <v>716</v>
      </c>
      <c r="C453" s="37" t="s">
        <v>118</v>
      </c>
      <c r="D453" s="38">
        <v>1.8906000000000001</v>
      </c>
      <c r="E453" s="39">
        <v>1.8906000000000001</v>
      </c>
      <c r="F453" s="28">
        <v>0</v>
      </c>
      <c r="G453" s="39">
        <f t="shared" si="47"/>
        <v>1.8906000000000001</v>
      </c>
      <c r="H453" s="40">
        <v>23857393</v>
      </c>
      <c r="I453" s="41">
        <f t="shared" si="48"/>
        <v>45104787</v>
      </c>
      <c r="J453" s="39">
        <f t="shared" si="49"/>
        <v>45104787.205800004</v>
      </c>
      <c r="K453" s="42">
        <f t="shared" si="50"/>
        <v>0</v>
      </c>
      <c r="L453" s="42">
        <f t="shared" si="51"/>
        <v>45104787.205800004</v>
      </c>
      <c r="M453" s="43"/>
      <c r="N453" s="34">
        <f t="shared" si="52"/>
        <v>-0.20580000430345535</v>
      </c>
    </row>
    <row r="454" spans="1:14" hidden="1" x14ac:dyDescent="0.25">
      <c r="A454" s="35" t="s">
        <v>717</v>
      </c>
      <c r="B454" s="36" t="s">
        <v>718</v>
      </c>
      <c r="C454" s="37" t="s">
        <v>42</v>
      </c>
      <c r="D454" s="38">
        <v>280.43680000000001</v>
      </c>
      <c r="E454" s="39">
        <v>280.43680000000001</v>
      </c>
      <c r="F454" s="28">
        <v>0</v>
      </c>
      <c r="G454" s="39">
        <f t="shared" si="47"/>
        <v>280.43680000000001</v>
      </c>
      <c r="H454" s="40">
        <v>2500986</v>
      </c>
      <c r="I454" s="41">
        <f t="shared" si="48"/>
        <v>701368511</v>
      </c>
      <c r="J454" s="39">
        <f t="shared" si="49"/>
        <v>701368510.68480003</v>
      </c>
      <c r="K454" s="42">
        <f t="shared" si="50"/>
        <v>0</v>
      </c>
      <c r="L454" s="42">
        <f t="shared" si="51"/>
        <v>701368510.68480003</v>
      </c>
      <c r="M454" s="43"/>
      <c r="N454" s="34">
        <f t="shared" si="52"/>
        <v>0.31519997119903564</v>
      </c>
    </row>
    <row r="455" spans="1:14" hidden="1" x14ac:dyDescent="0.25">
      <c r="A455" s="35" t="s">
        <v>719</v>
      </c>
      <c r="B455" s="36" t="s">
        <v>720</v>
      </c>
      <c r="C455" s="37" t="s">
        <v>39</v>
      </c>
      <c r="D455" s="38">
        <v>1436.4</v>
      </c>
      <c r="E455" s="39">
        <v>1436.4</v>
      </c>
      <c r="F455" s="28">
        <v>0</v>
      </c>
      <c r="G455" s="39">
        <f t="shared" si="47"/>
        <v>1436.4</v>
      </c>
      <c r="H455" s="40">
        <v>276887</v>
      </c>
      <c r="I455" s="41">
        <f t="shared" si="48"/>
        <v>397720487</v>
      </c>
      <c r="J455" s="39">
        <f t="shared" si="49"/>
        <v>397720486.80000001</v>
      </c>
      <c r="K455" s="42">
        <f t="shared" si="50"/>
        <v>0</v>
      </c>
      <c r="L455" s="42">
        <f t="shared" si="51"/>
        <v>397720486.80000001</v>
      </c>
      <c r="M455" s="43"/>
      <c r="N455" s="34">
        <f t="shared" si="52"/>
        <v>0.19999998807907104</v>
      </c>
    </row>
    <row r="456" spans="1:14" hidden="1" x14ac:dyDescent="0.25">
      <c r="A456" s="35" t="s">
        <v>721</v>
      </c>
      <c r="B456" s="36" t="s">
        <v>722</v>
      </c>
      <c r="C456" s="37" t="s">
        <v>42</v>
      </c>
      <c r="D456" s="38">
        <v>284.64339999999999</v>
      </c>
      <c r="E456" s="39">
        <v>284.64339999999999</v>
      </c>
      <c r="F456" s="28">
        <v>0</v>
      </c>
      <c r="G456" s="39">
        <f t="shared" si="47"/>
        <v>284.64339999999999</v>
      </c>
      <c r="H456" s="40">
        <v>57102</v>
      </c>
      <c r="I456" s="41">
        <f t="shared" si="48"/>
        <v>16253707</v>
      </c>
      <c r="J456" s="39">
        <f t="shared" si="49"/>
        <v>16253707.4268</v>
      </c>
      <c r="K456" s="42">
        <f t="shared" si="50"/>
        <v>0</v>
      </c>
      <c r="L456" s="42">
        <f t="shared" si="51"/>
        <v>16253707.4268</v>
      </c>
      <c r="M456" s="43"/>
      <c r="N456" s="34">
        <f t="shared" si="52"/>
        <v>-0.42679999954998493</v>
      </c>
    </row>
    <row r="457" spans="1:14" hidden="1" x14ac:dyDescent="0.25">
      <c r="A457" s="35" t="s">
        <v>723</v>
      </c>
      <c r="B457" s="36" t="s">
        <v>404</v>
      </c>
      <c r="C457" s="37" t="s">
        <v>42</v>
      </c>
      <c r="D457" s="38">
        <v>284.64339999999999</v>
      </c>
      <c r="E457" s="39">
        <v>284.64339999999999</v>
      </c>
      <c r="F457" s="28">
        <v>0</v>
      </c>
      <c r="G457" s="39">
        <f t="shared" si="47"/>
        <v>284.64339999999999</v>
      </c>
      <c r="H457" s="40">
        <v>285443</v>
      </c>
      <c r="I457" s="41">
        <f t="shared" si="48"/>
        <v>81249466</v>
      </c>
      <c r="J457" s="39">
        <f t="shared" si="49"/>
        <v>81249466.026199996</v>
      </c>
      <c r="K457" s="42">
        <f t="shared" si="50"/>
        <v>0</v>
      </c>
      <c r="L457" s="42">
        <f t="shared" si="51"/>
        <v>81249466.026199996</v>
      </c>
      <c r="M457" s="43"/>
      <c r="N457" s="34">
        <f t="shared" si="52"/>
        <v>-2.6199996471405029E-2</v>
      </c>
    </row>
    <row r="458" spans="1:14" hidden="1" x14ac:dyDescent="0.25">
      <c r="A458" s="35" t="s">
        <v>724</v>
      </c>
      <c r="B458" s="36" t="s">
        <v>725</v>
      </c>
      <c r="C458" s="37" t="s">
        <v>84</v>
      </c>
      <c r="D458" s="38">
        <v>1964.0262</v>
      </c>
      <c r="E458" s="39">
        <v>1964.0262</v>
      </c>
      <c r="F458" s="28">
        <v>0</v>
      </c>
      <c r="G458" s="39">
        <f t="shared" si="47"/>
        <v>1964.0262</v>
      </c>
      <c r="H458" s="40">
        <v>193720</v>
      </c>
      <c r="I458" s="41">
        <f t="shared" si="48"/>
        <v>380471155</v>
      </c>
      <c r="J458" s="39">
        <f t="shared" si="49"/>
        <v>380471155.46399999</v>
      </c>
      <c r="K458" s="42">
        <f t="shared" si="50"/>
        <v>0</v>
      </c>
      <c r="L458" s="42">
        <f t="shared" si="51"/>
        <v>380471155.46399999</v>
      </c>
      <c r="M458" s="43"/>
      <c r="N458" s="34">
        <f t="shared" si="52"/>
        <v>-0.46399998664855957</v>
      </c>
    </row>
    <row r="459" spans="1:14" hidden="1" x14ac:dyDescent="0.25">
      <c r="A459" s="35" t="s">
        <v>726</v>
      </c>
      <c r="B459" s="36" t="s">
        <v>727</v>
      </c>
      <c r="C459" s="37" t="s">
        <v>42</v>
      </c>
      <c r="D459" s="38">
        <v>4.1962000000000002</v>
      </c>
      <c r="E459" s="39">
        <v>4.1962000000000002</v>
      </c>
      <c r="F459" s="28">
        <v>0</v>
      </c>
      <c r="G459" s="39">
        <f t="shared" si="47"/>
        <v>4.1962000000000002</v>
      </c>
      <c r="H459" s="40">
        <v>17104447</v>
      </c>
      <c r="I459" s="41">
        <f t="shared" si="48"/>
        <v>71773681</v>
      </c>
      <c r="J459" s="39">
        <f t="shared" si="49"/>
        <v>71773680.501400009</v>
      </c>
      <c r="K459" s="42">
        <f t="shared" si="50"/>
        <v>0</v>
      </c>
      <c r="L459" s="42">
        <f t="shared" si="51"/>
        <v>71773680.501400009</v>
      </c>
      <c r="M459" s="43"/>
      <c r="N459" s="34">
        <f t="shared" si="52"/>
        <v>0.49859999120235443</v>
      </c>
    </row>
    <row r="460" spans="1:14" hidden="1" x14ac:dyDescent="0.25">
      <c r="A460" s="35" t="s">
        <v>728</v>
      </c>
      <c r="B460" s="36" t="s">
        <v>729</v>
      </c>
      <c r="C460" s="37" t="s">
        <v>730</v>
      </c>
      <c r="D460" s="38">
        <v>224</v>
      </c>
      <c r="E460" s="39">
        <v>224</v>
      </c>
      <c r="F460" s="28">
        <v>0</v>
      </c>
      <c r="G460" s="39">
        <f t="shared" si="47"/>
        <v>224</v>
      </c>
      <c r="H460" s="40">
        <v>746213</v>
      </c>
      <c r="I460" s="41">
        <f t="shared" si="48"/>
        <v>167151712</v>
      </c>
      <c r="J460" s="39">
        <f t="shared" si="49"/>
        <v>167151712</v>
      </c>
      <c r="K460" s="42">
        <f t="shared" si="50"/>
        <v>0</v>
      </c>
      <c r="L460" s="42">
        <f t="shared" si="51"/>
        <v>167151712</v>
      </c>
      <c r="M460" s="43"/>
      <c r="N460" s="34">
        <f t="shared" si="52"/>
        <v>0</v>
      </c>
    </row>
    <row r="461" spans="1:14" hidden="1" x14ac:dyDescent="0.25">
      <c r="A461" s="35" t="s">
        <v>731</v>
      </c>
      <c r="B461" s="36" t="s">
        <v>732</v>
      </c>
      <c r="C461" s="37" t="s">
        <v>118</v>
      </c>
      <c r="D461" s="38">
        <v>1.7584</v>
      </c>
      <c r="E461" s="39">
        <v>1.7584</v>
      </c>
      <c r="F461" s="28">
        <v>0</v>
      </c>
      <c r="G461" s="39">
        <f t="shared" si="47"/>
        <v>1.7584</v>
      </c>
      <c r="H461" s="40">
        <v>31912360</v>
      </c>
      <c r="I461" s="41">
        <f t="shared" si="48"/>
        <v>56114694</v>
      </c>
      <c r="J461" s="39">
        <f t="shared" si="49"/>
        <v>56114693.824000001</v>
      </c>
      <c r="K461" s="42">
        <f t="shared" si="50"/>
        <v>0</v>
      </c>
      <c r="L461" s="42">
        <f t="shared" si="51"/>
        <v>56114693.824000001</v>
      </c>
      <c r="M461" s="43"/>
      <c r="N461" s="34">
        <f t="shared" si="52"/>
        <v>0.17599999904632568</v>
      </c>
    </row>
    <row r="462" spans="1:14" hidden="1" x14ac:dyDescent="0.25">
      <c r="A462" s="35" t="s">
        <v>733</v>
      </c>
      <c r="B462" s="36" t="s">
        <v>734</v>
      </c>
      <c r="C462" s="37" t="s">
        <v>118</v>
      </c>
      <c r="D462" s="38">
        <v>1.7584</v>
      </c>
      <c r="E462" s="39">
        <v>1.7584</v>
      </c>
      <c r="F462" s="28">
        <v>0</v>
      </c>
      <c r="G462" s="39">
        <f t="shared" si="47"/>
        <v>1.7584</v>
      </c>
      <c r="H462" s="40">
        <v>5329201</v>
      </c>
      <c r="I462" s="41">
        <f t="shared" si="48"/>
        <v>9370867</v>
      </c>
      <c r="J462" s="39">
        <f t="shared" si="49"/>
        <v>9370867.0384</v>
      </c>
      <c r="K462" s="42">
        <f t="shared" si="50"/>
        <v>0</v>
      </c>
      <c r="L462" s="42">
        <f t="shared" si="51"/>
        <v>9370867.0384</v>
      </c>
      <c r="M462" s="43"/>
      <c r="N462" s="34">
        <f t="shared" si="52"/>
        <v>-3.8399999961256981E-2</v>
      </c>
    </row>
    <row r="463" spans="1:14" hidden="1" x14ac:dyDescent="0.25">
      <c r="A463" s="35" t="s">
        <v>735</v>
      </c>
      <c r="B463" s="36" t="s">
        <v>712</v>
      </c>
      <c r="C463" s="37" t="s">
        <v>118</v>
      </c>
      <c r="D463" s="38">
        <v>22.616299999999999</v>
      </c>
      <c r="E463" s="39">
        <v>22.616300000000003</v>
      </c>
      <c r="F463" s="28">
        <v>0</v>
      </c>
      <c r="G463" s="39">
        <f t="shared" si="47"/>
        <v>22.616300000000003</v>
      </c>
      <c r="H463" s="40">
        <v>61004533</v>
      </c>
      <c r="I463" s="41">
        <f t="shared" si="48"/>
        <v>1379696820</v>
      </c>
      <c r="J463" s="39">
        <f t="shared" si="49"/>
        <v>1379696819.6879001</v>
      </c>
      <c r="K463" s="42">
        <f t="shared" si="50"/>
        <v>0</v>
      </c>
      <c r="L463" s="42">
        <f t="shared" si="51"/>
        <v>1379696819.6879001</v>
      </c>
      <c r="M463" s="43"/>
      <c r="N463" s="34">
        <f t="shared" si="52"/>
        <v>0.31209993362426758</v>
      </c>
    </row>
    <row r="464" spans="1:14" hidden="1" x14ac:dyDescent="0.25">
      <c r="A464" s="35" t="s">
        <v>736</v>
      </c>
      <c r="B464" s="36" t="s">
        <v>714</v>
      </c>
      <c r="C464" s="37" t="s">
        <v>118</v>
      </c>
      <c r="D464" s="38">
        <v>52.357999999999997</v>
      </c>
      <c r="E464" s="39">
        <v>52.357999999999997</v>
      </c>
      <c r="F464" s="28">
        <v>0</v>
      </c>
      <c r="G464" s="39">
        <f t="shared" si="47"/>
        <v>52.357999999999997</v>
      </c>
      <c r="H464" s="40">
        <v>24716117</v>
      </c>
      <c r="I464" s="41">
        <f t="shared" si="48"/>
        <v>1294086454</v>
      </c>
      <c r="J464" s="39">
        <f t="shared" si="49"/>
        <v>1294086453.8859999</v>
      </c>
      <c r="K464" s="42">
        <f t="shared" si="50"/>
        <v>0</v>
      </c>
      <c r="L464" s="42">
        <f t="shared" si="51"/>
        <v>1294086453.8859999</v>
      </c>
      <c r="M464" s="43"/>
      <c r="N464" s="34">
        <f t="shared" si="52"/>
        <v>0.11400008201599121</v>
      </c>
    </row>
    <row r="465" spans="1:15" hidden="1" x14ac:dyDescent="0.25">
      <c r="A465" s="35" t="s">
        <v>737</v>
      </c>
      <c r="B465" s="36" t="s">
        <v>716</v>
      </c>
      <c r="C465" s="37" t="s">
        <v>118</v>
      </c>
      <c r="D465" s="38">
        <v>1.2211000000000001</v>
      </c>
      <c r="E465" s="39">
        <v>1.2211000000000001</v>
      </c>
      <c r="F465" s="28">
        <v>0</v>
      </c>
      <c r="G465" s="39">
        <f t="shared" si="47"/>
        <v>1.2211000000000001</v>
      </c>
      <c r="H465" s="40">
        <v>23857393</v>
      </c>
      <c r="I465" s="41">
        <f t="shared" si="48"/>
        <v>29132263</v>
      </c>
      <c r="J465" s="39">
        <f t="shared" si="49"/>
        <v>29132262.592300002</v>
      </c>
      <c r="K465" s="42">
        <f t="shared" si="50"/>
        <v>0</v>
      </c>
      <c r="L465" s="42">
        <f t="shared" si="51"/>
        <v>29132262.592300002</v>
      </c>
      <c r="M465" s="43"/>
      <c r="N465" s="34">
        <f t="shared" si="52"/>
        <v>0.40769999846816063</v>
      </c>
    </row>
    <row r="466" spans="1:15" hidden="1" x14ac:dyDescent="0.25">
      <c r="A466" s="35" t="s">
        <v>738</v>
      </c>
      <c r="B466" s="36" t="s">
        <v>718</v>
      </c>
      <c r="C466" s="37" t="s">
        <v>42</v>
      </c>
      <c r="D466" s="38">
        <v>345.8</v>
      </c>
      <c r="E466" s="39">
        <v>345.8</v>
      </c>
      <c r="F466" s="28">
        <v>0</v>
      </c>
      <c r="G466" s="39">
        <f t="shared" si="47"/>
        <v>345.8</v>
      </c>
      <c r="H466" s="40">
        <v>2500986</v>
      </c>
      <c r="I466" s="41">
        <f t="shared" si="48"/>
        <v>864840959</v>
      </c>
      <c r="J466" s="39">
        <f t="shared" si="49"/>
        <v>864840958.80000007</v>
      </c>
      <c r="K466" s="42">
        <f t="shared" si="50"/>
        <v>0</v>
      </c>
      <c r="L466" s="42">
        <f t="shared" si="51"/>
        <v>864840958.80000007</v>
      </c>
      <c r="M466" s="43"/>
      <c r="N466" s="34">
        <f t="shared" si="52"/>
        <v>0.19999992847442627</v>
      </c>
    </row>
    <row r="467" spans="1:15" hidden="1" x14ac:dyDescent="0.25">
      <c r="A467" s="35" t="s">
        <v>739</v>
      </c>
      <c r="B467" s="36" t="s">
        <v>720</v>
      </c>
      <c r="C467" s="37" t="s">
        <v>39</v>
      </c>
      <c r="D467" s="38">
        <v>1888.6438000000001</v>
      </c>
      <c r="E467" s="39">
        <v>1888.6438000000001</v>
      </c>
      <c r="F467" s="28">
        <v>0</v>
      </c>
      <c r="G467" s="39">
        <f t="shared" si="47"/>
        <v>1888.6438000000001</v>
      </c>
      <c r="H467" s="40">
        <v>276887</v>
      </c>
      <c r="I467" s="41">
        <f t="shared" si="48"/>
        <v>522940916</v>
      </c>
      <c r="J467" s="39">
        <f t="shared" si="49"/>
        <v>522940915.8506</v>
      </c>
      <c r="K467" s="42">
        <f t="shared" si="50"/>
        <v>0</v>
      </c>
      <c r="L467" s="42">
        <f t="shared" si="51"/>
        <v>522940915.8506</v>
      </c>
      <c r="M467" s="43"/>
      <c r="N467" s="34">
        <f t="shared" si="52"/>
        <v>0.14939999580383301</v>
      </c>
    </row>
    <row r="468" spans="1:15" hidden="1" x14ac:dyDescent="0.25">
      <c r="A468" s="35" t="s">
        <v>740</v>
      </c>
      <c r="B468" s="36" t="s">
        <v>722</v>
      </c>
      <c r="C468" s="37" t="s">
        <v>42</v>
      </c>
      <c r="D468" s="38">
        <v>350.98700000000002</v>
      </c>
      <c r="E468" s="39">
        <v>350.98700000000002</v>
      </c>
      <c r="F468" s="28">
        <v>0</v>
      </c>
      <c r="G468" s="39">
        <f t="shared" si="47"/>
        <v>350.98700000000002</v>
      </c>
      <c r="H468" s="40">
        <v>57102</v>
      </c>
      <c r="I468" s="41">
        <f t="shared" si="48"/>
        <v>20042060</v>
      </c>
      <c r="J468" s="39">
        <f t="shared" si="49"/>
        <v>20042059.674000002</v>
      </c>
      <c r="K468" s="42">
        <f t="shared" si="50"/>
        <v>0</v>
      </c>
      <c r="L468" s="42">
        <f t="shared" si="51"/>
        <v>20042059.674000002</v>
      </c>
      <c r="M468" s="43"/>
      <c r="N468" s="34">
        <f t="shared" si="52"/>
        <v>0.32599999755620956</v>
      </c>
    </row>
    <row r="469" spans="1:15" hidden="1" x14ac:dyDescent="0.25">
      <c r="A469" s="35" t="s">
        <v>741</v>
      </c>
      <c r="B469" s="36" t="s">
        <v>404</v>
      </c>
      <c r="C469" s="37" t="s">
        <v>42</v>
      </c>
      <c r="D469" s="38">
        <v>350.99</v>
      </c>
      <c r="E469" s="39">
        <v>350.99</v>
      </c>
      <c r="F469" s="28">
        <v>0</v>
      </c>
      <c r="G469" s="39">
        <f t="shared" ref="G469:G532" si="53">E469+F469</f>
        <v>350.99</v>
      </c>
      <c r="H469" s="40">
        <v>285443</v>
      </c>
      <c r="I469" s="41">
        <f t="shared" si="48"/>
        <v>100187639</v>
      </c>
      <c r="J469" s="39">
        <f t="shared" si="49"/>
        <v>100187638.57000001</v>
      </c>
      <c r="K469" s="42">
        <f t="shared" si="50"/>
        <v>0</v>
      </c>
      <c r="L469" s="42">
        <f t="shared" si="51"/>
        <v>100187638.57000001</v>
      </c>
      <c r="M469" s="43"/>
      <c r="N469" s="34">
        <f t="shared" si="52"/>
        <v>0.42999999225139618</v>
      </c>
    </row>
    <row r="470" spans="1:15" hidden="1" x14ac:dyDescent="0.25">
      <c r="A470" s="35" t="s">
        <v>742</v>
      </c>
      <c r="B470" s="36" t="s">
        <v>743</v>
      </c>
      <c r="C470" s="37" t="s">
        <v>84</v>
      </c>
      <c r="D470" s="38">
        <v>2291.8560000000002</v>
      </c>
      <c r="E470" s="39">
        <v>2291.8560000000002</v>
      </c>
      <c r="F470" s="28">
        <v>0</v>
      </c>
      <c r="G470" s="39">
        <f t="shared" si="53"/>
        <v>2291.8560000000002</v>
      </c>
      <c r="H470" s="40">
        <v>193720</v>
      </c>
      <c r="I470" s="41">
        <f t="shared" si="48"/>
        <v>443978344</v>
      </c>
      <c r="J470" s="39">
        <f t="shared" si="49"/>
        <v>443978344.32000005</v>
      </c>
      <c r="K470" s="42">
        <f t="shared" si="50"/>
        <v>0</v>
      </c>
      <c r="L470" s="42">
        <f t="shared" si="51"/>
        <v>443978344.32000005</v>
      </c>
      <c r="M470" s="43"/>
      <c r="N470" s="34">
        <f t="shared" si="52"/>
        <v>-0.3200000524520874</v>
      </c>
    </row>
    <row r="471" spans="1:15" hidden="1" x14ac:dyDescent="0.25">
      <c r="A471" s="35" t="s">
        <v>744</v>
      </c>
      <c r="B471" s="36" t="s">
        <v>727</v>
      </c>
      <c r="C471" s="37" t="s">
        <v>42</v>
      </c>
      <c r="D471" s="38">
        <v>10.122</v>
      </c>
      <c r="E471" s="39">
        <v>10.122</v>
      </c>
      <c r="F471" s="28">
        <v>0</v>
      </c>
      <c r="G471" s="39">
        <f t="shared" si="53"/>
        <v>10.122</v>
      </c>
      <c r="H471" s="40">
        <v>17104447</v>
      </c>
      <c r="I471" s="41">
        <f t="shared" si="48"/>
        <v>173131213</v>
      </c>
      <c r="J471" s="39">
        <f t="shared" si="49"/>
        <v>173131212.53400001</v>
      </c>
      <c r="K471" s="42">
        <f t="shared" si="50"/>
        <v>0</v>
      </c>
      <c r="L471" s="42">
        <f t="shared" si="51"/>
        <v>173131212.53400001</v>
      </c>
      <c r="M471" s="43"/>
      <c r="N471" s="34">
        <f t="shared" si="52"/>
        <v>0.46599999070167542</v>
      </c>
    </row>
    <row r="472" spans="1:15" hidden="1" x14ac:dyDescent="0.25">
      <c r="A472" s="35" t="s">
        <v>745</v>
      </c>
      <c r="B472" s="36" t="s">
        <v>746</v>
      </c>
      <c r="C472" s="37" t="s">
        <v>730</v>
      </c>
      <c r="D472" s="38">
        <v>140</v>
      </c>
      <c r="E472" s="39">
        <v>140</v>
      </c>
      <c r="F472" s="28">
        <v>0</v>
      </c>
      <c r="G472" s="39">
        <f t="shared" si="53"/>
        <v>140</v>
      </c>
      <c r="H472" s="40">
        <v>1265707</v>
      </c>
      <c r="I472" s="41">
        <f t="shared" si="48"/>
        <v>177198980</v>
      </c>
      <c r="J472" s="39">
        <f t="shared" si="49"/>
        <v>177198980</v>
      </c>
      <c r="K472" s="42">
        <f t="shared" si="50"/>
        <v>0</v>
      </c>
      <c r="L472" s="42">
        <f t="shared" si="51"/>
        <v>177198980</v>
      </c>
      <c r="M472" s="43"/>
      <c r="N472" s="34">
        <f t="shared" si="52"/>
        <v>0</v>
      </c>
    </row>
    <row r="473" spans="1:15" hidden="1" x14ac:dyDescent="0.25">
      <c r="A473" s="35" t="s">
        <v>747</v>
      </c>
      <c r="B473" s="36" t="s">
        <v>732</v>
      </c>
      <c r="C473" s="37" t="s">
        <v>118</v>
      </c>
      <c r="D473" s="38">
        <v>1.8133999999999999</v>
      </c>
      <c r="E473" s="39">
        <v>1.8133999999999999</v>
      </c>
      <c r="F473" s="28">
        <v>0</v>
      </c>
      <c r="G473" s="39">
        <f t="shared" si="53"/>
        <v>1.8133999999999999</v>
      </c>
      <c r="H473" s="40">
        <v>31912360</v>
      </c>
      <c r="I473" s="41">
        <f t="shared" si="48"/>
        <v>57869874</v>
      </c>
      <c r="J473" s="39">
        <f t="shared" si="49"/>
        <v>57869873.623999998</v>
      </c>
      <c r="K473" s="42">
        <f t="shared" si="50"/>
        <v>0</v>
      </c>
      <c r="L473" s="42">
        <f t="shared" si="51"/>
        <v>57869873.623999998</v>
      </c>
      <c r="M473" s="43"/>
      <c r="N473" s="34">
        <f t="shared" si="52"/>
        <v>0.37600000202655792</v>
      </c>
    </row>
    <row r="474" spans="1:15" hidden="1" x14ac:dyDescent="0.25">
      <c r="A474" s="35" t="s">
        <v>748</v>
      </c>
      <c r="B474" s="36" t="s">
        <v>734</v>
      </c>
      <c r="C474" s="37" t="s">
        <v>118</v>
      </c>
      <c r="D474" s="38">
        <v>1.8133999999999999</v>
      </c>
      <c r="E474" s="39">
        <v>1.8133999999999999</v>
      </c>
      <c r="F474" s="28">
        <v>0</v>
      </c>
      <c r="G474" s="39">
        <f t="shared" si="53"/>
        <v>1.8133999999999999</v>
      </c>
      <c r="H474" s="40">
        <v>5329201</v>
      </c>
      <c r="I474" s="41">
        <f t="shared" si="48"/>
        <v>9663973</v>
      </c>
      <c r="J474" s="39">
        <f t="shared" si="49"/>
        <v>9663973.0933999997</v>
      </c>
      <c r="K474" s="42">
        <f t="shared" si="50"/>
        <v>0</v>
      </c>
      <c r="L474" s="42">
        <f t="shared" si="51"/>
        <v>9663973.0933999997</v>
      </c>
      <c r="M474" s="43"/>
      <c r="N474" s="34">
        <f t="shared" si="52"/>
        <v>-9.3399999663233757E-2</v>
      </c>
    </row>
    <row r="475" spans="1:15" hidden="1" x14ac:dyDescent="0.25">
      <c r="A475" s="35" t="s">
        <v>749</v>
      </c>
      <c r="B475" s="36" t="s">
        <v>750</v>
      </c>
      <c r="C475" s="37" t="s">
        <v>42</v>
      </c>
      <c r="D475" s="38">
        <v>71.193600000000004</v>
      </c>
      <c r="E475" s="39">
        <v>35.596800000000002</v>
      </c>
      <c r="F475" s="28">
        <v>35.596800000000002</v>
      </c>
      <c r="G475" s="39">
        <f>E475+F475</f>
        <v>71.193600000000004</v>
      </c>
      <c r="H475" s="40">
        <v>2021360</v>
      </c>
      <c r="I475" s="41">
        <f t="shared" si="48"/>
        <v>143907895</v>
      </c>
      <c r="J475" s="39">
        <f t="shared" si="49"/>
        <v>71953947.648000002</v>
      </c>
      <c r="K475" s="42">
        <f t="shared" si="50"/>
        <v>71953947.648000002</v>
      </c>
      <c r="L475" s="42">
        <f t="shared" si="51"/>
        <v>143907895.296</v>
      </c>
      <c r="M475" s="43"/>
      <c r="N475" s="34">
        <f t="shared" si="52"/>
        <v>-0.29600000381469727</v>
      </c>
    </row>
    <row r="476" spans="1:15" hidden="1" x14ac:dyDescent="0.25">
      <c r="A476" s="35" t="s">
        <v>751</v>
      </c>
      <c r="B476" s="36" t="s">
        <v>722</v>
      </c>
      <c r="C476" s="37" t="s">
        <v>42</v>
      </c>
      <c r="D476" s="38">
        <v>72.261499999999998</v>
      </c>
      <c r="E476" s="39">
        <v>36.130749999999999</v>
      </c>
      <c r="F476" s="28">
        <v>36.130749999999999</v>
      </c>
      <c r="G476" s="39">
        <f t="shared" si="53"/>
        <v>72.261499999999998</v>
      </c>
      <c r="H476" s="40">
        <v>57102</v>
      </c>
      <c r="I476" s="41">
        <f t="shared" si="48"/>
        <v>4126276</v>
      </c>
      <c r="J476" s="39">
        <f t="shared" si="49"/>
        <v>2063138.0865</v>
      </c>
      <c r="K476" s="42">
        <f t="shared" si="50"/>
        <v>2063138.0865</v>
      </c>
      <c r="L476" s="42">
        <f t="shared" si="51"/>
        <v>4126276.173</v>
      </c>
      <c r="M476" s="43"/>
      <c r="N476" s="34">
        <f t="shared" si="52"/>
        <v>-0.17299999995157123</v>
      </c>
    </row>
    <row r="477" spans="1:15" hidden="1" x14ac:dyDescent="0.25">
      <c r="A477" s="35" t="s">
        <v>752</v>
      </c>
      <c r="B477" s="36" t="s">
        <v>404</v>
      </c>
      <c r="C477" s="37" t="s">
        <v>42</v>
      </c>
      <c r="D477" s="38">
        <v>72.261499999999998</v>
      </c>
      <c r="E477" s="39">
        <v>36.130749999999999</v>
      </c>
      <c r="F477" s="28">
        <v>36.130749999999999</v>
      </c>
      <c r="G477" s="39">
        <f t="shared" si="53"/>
        <v>72.261499999999998</v>
      </c>
      <c r="H477" s="40">
        <v>285443</v>
      </c>
      <c r="I477" s="41">
        <f t="shared" si="48"/>
        <v>20626539</v>
      </c>
      <c r="J477" s="39">
        <f t="shared" si="49"/>
        <v>10313269.672249999</v>
      </c>
      <c r="K477" s="42">
        <f t="shared" si="50"/>
        <v>10313269.672249999</v>
      </c>
      <c r="L477" s="42">
        <f t="shared" si="51"/>
        <v>20626539.344499998</v>
      </c>
      <c r="M477" s="43"/>
      <c r="N477" s="34">
        <f t="shared" si="52"/>
        <v>-0.34449999779462814</v>
      </c>
    </row>
    <row r="478" spans="1:15" ht="31.5" hidden="1" x14ac:dyDescent="0.25">
      <c r="A478" s="35" t="s">
        <v>753</v>
      </c>
      <c r="B478" s="36" t="s">
        <v>754</v>
      </c>
      <c r="C478" s="37" t="s">
        <v>39</v>
      </c>
      <c r="D478" s="38">
        <v>96.896000000000001</v>
      </c>
      <c r="E478" s="39">
        <v>48.448</v>
      </c>
      <c r="F478" s="28">
        <v>48.448</v>
      </c>
      <c r="G478" s="39">
        <f t="shared" si="53"/>
        <v>96.896000000000001</v>
      </c>
      <c r="H478" s="40">
        <v>65242</v>
      </c>
      <c r="I478" s="41">
        <f t="shared" si="48"/>
        <v>6321689</v>
      </c>
      <c r="J478" s="39">
        <f t="shared" si="49"/>
        <v>3160844.4160000002</v>
      </c>
      <c r="K478" s="42">
        <f t="shared" si="50"/>
        <v>3160844.4160000002</v>
      </c>
      <c r="L478" s="42">
        <f t="shared" si="51"/>
        <v>6321688.8320000004</v>
      </c>
      <c r="M478" s="43"/>
      <c r="N478" s="34">
        <f t="shared" si="52"/>
        <v>0.16799999959766865</v>
      </c>
    </row>
    <row r="479" spans="1:15" hidden="1" x14ac:dyDescent="0.25">
      <c r="A479" s="35" t="s">
        <v>755</v>
      </c>
      <c r="B479" s="36" t="s">
        <v>756</v>
      </c>
      <c r="C479" s="37" t="s">
        <v>118</v>
      </c>
      <c r="D479" s="38">
        <v>9.2763000000000009</v>
      </c>
      <c r="E479" s="39">
        <v>4.6381500000000004</v>
      </c>
      <c r="F479" s="28">
        <v>4.6381500000000004</v>
      </c>
      <c r="G479" s="39">
        <f t="shared" si="53"/>
        <v>9.2763000000000009</v>
      </c>
      <c r="H479" s="40">
        <v>25285548</v>
      </c>
      <c r="I479" s="41">
        <f t="shared" si="48"/>
        <v>234556329</v>
      </c>
      <c r="J479" s="39">
        <f t="shared" si="49"/>
        <v>117278164.45620002</v>
      </c>
      <c r="K479" s="42">
        <f t="shared" si="50"/>
        <v>117278164.45620002</v>
      </c>
      <c r="L479" s="42">
        <f t="shared" si="51"/>
        <v>234556328.91240004</v>
      </c>
      <c r="M479" s="43"/>
      <c r="N479" s="34">
        <f t="shared" si="52"/>
        <v>8.7599962949752808E-2</v>
      </c>
      <c r="O479" s="34"/>
    </row>
    <row r="480" spans="1:15" hidden="1" x14ac:dyDescent="0.25">
      <c r="A480" s="35" t="s">
        <v>757</v>
      </c>
      <c r="B480" s="36" t="s">
        <v>758</v>
      </c>
      <c r="C480" s="37" t="s">
        <v>118</v>
      </c>
      <c r="D480" s="38">
        <v>3.1655000000000002</v>
      </c>
      <c r="E480" s="39">
        <v>1.5827500000000001</v>
      </c>
      <c r="F480" s="28">
        <v>1.5827500000000001</v>
      </c>
      <c r="G480" s="39">
        <f t="shared" si="53"/>
        <v>3.1655000000000002</v>
      </c>
      <c r="H480" s="40">
        <v>25011283</v>
      </c>
      <c r="I480" s="41">
        <f t="shared" si="48"/>
        <v>79173216</v>
      </c>
      <c r="J480" s="39">
        <f t="shared" si="49"/>
        <v>39586608.168250002</v>
      </c>
      <c r="K480" s="42">
        <f t="shared" si="50"/>
        <v>39586608.168250002</v>
      </c>
      <c r="L480" s="42">
        <f t="shared" si="51"/>
        <v>79173216.336500004</v>
      </c>
      <c r="M480" s="43"/>
      <c r="N480" s="34">
        <f t="shared" si="52"/>
        <v>-0.33650000393390656</v>
      </c>
    </row>
    <row r="481" spans="1:16" hidden="1" x14ac:dyDescent="0.25">
      <c r="A481" s="35" t="s">
        <v>759</v>
      </c>
      <c r="B481" s="36" t="s">
        <v>760</v>
      </c>
      <c r="C481" s="37" t="s">
        <v>42</v>
      </c>
      <c r="D481" s="38">
        <v>97.241900000000001</v>
      </c>
      <c r="E481" s="39">
        <v>48.620950000000001</v>
      </c>
      <c r="F481" s="28">
        <v>48.620950000000001</v>
      </c>
      <c r="G481" s="39">
        <f t="shared" si="53"/>
        <v>97.241900000000001</v>
      </c>
      <c r="H481" s="40">
        <v>1719728</v>
      </c>
      <c r="I481" s="41">
        <f t="shared" si="48"/>
        <v>167229618</v>
      </c>
      <c r="J481" s="39">
        <f t="shared" si="49"/>
        <v>83614809.101600006</v>
      </c>
      <c r="K481" s="42">
        <f t="shared" si="50"/>
        <v>83614809.101600006</v>
      </c>
      <c r="L481" s="42">
        <f t="shared" si="51"/>
        <v>167229618.20320001</v>
      </c>
      <c r="M481" s="43"/>
      <c r="N481" s="34">
        <f t="shared" si="52"/>
        <v>-0.20320001244544983</v>
      </c>
    </row>
    <row r="482" spans="1:16" hidden="1" x14ac:dyDescent="0.25">
      <c r="A482" s="35" t="s">
        <v>761</v>
      </c>
      <c r="B482" s="36" t="s">
        <v>762</v>
      </c>
      <c r="C482" s="37" t="s">
        <v>118</v>
      </c>
      <c r="D482" s="38">
        <v>15.8626</v>
      </c>
      <c r="E482" s="39">
        <v>7.9313000000000002</v>
      </c>
      <c r="F482" s="28">
        <v>7.9313000000000002</v>
      </c>
      <c r="G482" s="39">
        <f t="shared" si="53"/>
        <v>15.8626</v>
      </c>
      <c r="H482" s="40">
        <v>27101433</v>
      </c>
      <c r="I482" s="41">
        <f t="shared" si="48"/>
        <v>429899191</v>
      </c>
      <c r="J482" s="39">
        <f t="shared" si="49"/>
        <v>214949595.55290002</v>
      </c>
      <c r="K482" s="42">
        <f t="shared" si="50"/>
        <v>214949595.55290002</v>
      </c>
      <c r="L482" s="42">
        <f t="shared" si="51"/>
        <v>429899191.10580003</v>
      </c>
      <c r="M482" s="43"/>
      <c r="N482" s="34">
        <f t="shared" si="52"/>
        <v>-0.10580003261566162</v>
      </c>
    </row>
    <row r="483" spans="1:16" hidden="1" x14ac:dyDescent="0.25">
      <c r="A483" s="35" t="s">
        <v>763</v>
      </c>
      <c r="B483" s="36" t="s">
        <v>764</v>
      </c>
      <c r="C483" s="37" t="s">
        <v>39</v>
      </c>
      <c r="D483" s="38">
        <v>519.3048</v>
      </c>
      <c r="E483" s="39">
        <v>259.6524</v>
      </c>
      <c r="F483" s="28">
        <v>259.6524</v>
      </c>
      <c r="G483" s="39">
        <f t="shared" si="53"/>
        <v>519.3048</v>
      </c>
      <c r="H483" s="40">
        <v>86606</v>
      </c>
      <c r="I483" s="41">
        <f t="shared" si="48"/>
        <v>44974912</v>
      </c>
      <c r="J483" s="39">
        <f t="shared" si="49"/>
        <v>22487455.7544</v>
      </c>
      <c r="K483" s="42">
        <f t="shared" si="50"/>
        <v>22487455.7544</v>
      </c>
      <c r="L483" s="42">
        <f t="shared" si="51"/>
        <v>44974911.5088</v>
      </c>
      <c r="M483" s="43"/>
      <c r="N483" s="34">
        <f t="shared" si="52"/>
        <v>0.49120000004768372</v>
      </c>
    </row>
    <row r="484" spans="1:16" hidden="1" x14ac:dyDescent="0.25">
      <c r="A484" s="35" t="s">
        <v>765</v>
      </c>
      <c r="B484" s="36" t="s">
        <v>766</v>
      </c>
      <c r="C484" s="37" t="s">
        <v>359</v>
      </c>
      <c r="D484" s="38">
        <v>1584</v>
      </c>
      <c r="E484" s="39">
        <v>792</v>
      </c>
      <c r="F484" s="28">
        <v>792</v>
      </c>
      <c r="G484" s="39">
        <f t="shared" si="53"/>
        <v>1584</v>
      </c>
      <c r="H484" s="40">
        <v>36395</v>
      </c>
      <c r="I484" s="41">
        <f t="shared" si="48"/>
        <v>57649680</v>
      </c>
      <c r="J484" s="39">
        <f t="shared" si="49"/>
        <v>28824840</v>
      </c>
      <c r="K484" s="42">
        <f t="shared" si="50"/>
        <v>28824840</v>
      </c>
      <c r="L484" s="42">
        <f t="shared" si="51"/>
        <v>57649680</v>
      </c>
      <c r="M484" s="43"/>
      <c r="N484" s="34">
        <f t="shared" si="52"/>
        <v>0</v>
      </c>
    </row>
    <row r="485" spans="1:16" ht="48.75" hidden="1" customHeight="1" x14ac:dyDescent="0.25">
      <c r="A485" s="35" t="s">
        <v>767</v>
      </c>
      <c r="B485" s="36" t="s">
        <v>768</v>
      </c>
      <c r="C485" s="37" t="s">
        <v>233</v>
      </c>
      <c r="D485" s="38">
        <v>1584</v>
      </c>
      <c r="E485" s="39">
        <v>792</v>
      </c>
      <c r="F485" s="28">
        <v>792</v>
      </c>
      <c r="G485" s="39">
        <f t="shared" si="53"/>
        <v>1584</v>
      </c>
      <c r="H485" s="40">
        <v>52812</v>
      </c>
      <c r="I485" s="41">
        <f t="shared" si="48"/>
        <v>83654208</v>
      </c>
      <c r="J485" s="39">
        <f t="shared" si="49"/>
        <v>41827104</v>
      </c>
      <c r="K485" s="42">
        <f t="shared" si="50"/>
        <v>41827104</v>
      </c>
      <c r="L485" s="42">
        <f t="shared" si="51"/>
        <v>83654208</v>
      </c>
      <c r="M485" s="43"/>
      <c r="N485" s="34">
        <f t="shared" si="52"/>
        <v>0</v>
      </c>
    </row>
    <row r="486" spans="1:16" ht="47.25" hidden="1" x14ac:dyDescent="0.25">
      <c r="A486" s="35" t="s">
        <v>769</v>
      </c>
      <c r="B486" s="36" t="s">
        <v>770</v>
      </c>
      <c r="C486" s="37" t="s">
        <v>233</v>
      </c>
      <c r="D486" s="38">
        <v>1584</v>
      </c>
      <c r="E486" s="39">
        <v>792</v>
      </c>
      <c r="F486" s="28">
        <v>792</v>
      </c>
      <c r="G486" s="39">
        <f t="shared" si="53"/>
        <v>1584</v>
      </c>
      <c r="H486" s="40">
        <v>42761</v>
      </c>
      <c r="I486" s="41">
        <f t="shared" si="48"/>
        <v>67733424</v>
      </c>
      <c r="J486" s="39">
        <f t="shared" si="49"/>
        <v>33866712</v>
      </c>
      <c r="K486" s="42">
        <f t="shared" si="50"/>
        <v>33866712</v>
      </c>
      <c r="L486" s="42">
        <f t="shared" si="51"/>
        <v>67733424</v>
      </c>
      <c r="M486" s="43"/>
      <c r="N486" s="34">
        <f t="shared" si="52"/>
        <v>0</v>
      </c>
    </row>
    <row r="487" spans="1:16" ht="31.5" hidden="1" x14ac:dyDescent="0.25">
      <c r="A487" s="35" t="s">
        <v>771</v>
      </c>
      <c r="B487" s="36" t="s">
        <v>229</v>
      </c>
      <c r="C487" s="37" t="s">
        <v>334</v>
      </c>
      <c r="D487" s="38">
        <v>24.310500000000001</v>
      </c>
      <c r="E487" s="39">
        <v>12.155250000000001</v>
      </c>
      <c r="F487" s="28">
        <v>12.155250000000001</v>
      </c>
      <c r="G487" s="39">
        <f t="shared" si="53"/>
        <v>24.310500000000001</v>
      </c>
      <c r="H487" s="40">
        <v>36271</v>
      </c>
      <c r="I487" s="41">
        <f t="shared" si="48"/>
        <v>881766</v>
      </c>
      <c r="J487" s="39">
        <f t="shared" si="49"/>
        <v>440883.07274999999</v>
      </c>
      <c r="K487" s="42">
        <f t="shared" si="50"/>
        <v>440883.07274999999</v>
      </c>
      <c r="L487" s="42">
        <f t="shared" si="51"/>
        <v>881766.14549999998</v>
      </c>
      <c r="M487" s="43"/>
      <c r="N487" s="34">
        <f t="shared" si="52"/>
        <v>-0.14549999998416752</v>
      </c>
    </row>
    <row r="488" spans="1:16" ht="31.5" hidden="1" x14ac:dyDescent="0.25">
      <c r="A488" s="35" t="s">
        <v>772</v>
      </c>
      <c r="B488" s="36" t="s">
        <v>773</v>
      </c>
      <c r="C488" s="37" t="s">
        <v>42</v>
      </c>
      <c r="D488" s="38">
        <v>438.16590000000002</v>
      </c>
      <c r="E488" s="39">
        <v>219.08295000000001</v>
      </c>
      <c r="F488" s="28">
        <v>219.08295000000001</v>
      </c>
      <c r="G488" s="39">
        <f>E488+F488</f>
        <v>438.16590000000002</v>
      </c>
      <c r="H488" s="40">
        <v>1785388</v>
      </c>
      <c r="I488" s="41">
        <f t="shared" si="48"/>
        <v>782296140</v>
      </c>
      <c r="J488" s="39">
        <f t="shared" si="49"/>
        <v>391148069.9346</v>
      </c>
      <c r="K488" s="42">
        <f t="shared" si="50"/>
        <v>391148069.9346</v>
      </c>
      <c r="L488" s="42">
        <f t="shared" si="51"/>
        <v>782296139.86919999</v>
      </c>
      <c r="M488" s="43"/>
      <c r="N488" s="34">
        <f t="shared" si="52"/>
        <v>0.13080000877380371</v>
      </c>
    </row>
    <row r="489" spans="1:16" hidden="1" x14ac:dyDescent="0.25">
      <c r="A489" s="35" t="s">
        <v>774</v>
      </c>
      <c r="B489" s="36" t="s">
        <v>722</v>
      </c>
      <c r="C489" s="37" t="s">
        <v>42</v>
      </c>
      <c r="D489" s="38">
        <v>444.73840000000001</v>
      </c>
      <c r="E489" s="39">
        <v>222.36920000000001</v>
      </c>
      <c r="F489" s="28">
        <v>222.36920000000001</v>
      </c>
      <c r="G489" s="39">
        <f>E489+F489</f>
        <v>444.73840000000001</v>
      </c>
      <c r="H489" s="40">
        <v>57102</v>
      </c>
      <c r="I489" s="41">
        <f t="shared" si="48"/>
        <v>25395452</v>
      </c>
      <c r="J489" s="39">
        <f t="shared" si="49"/>
        <v>12697726.0584</v>
      </c>
      <c r="K489" s="42">
        <f t="shared" si="50"/>
        <v>12697726.0584</v>
      </c>
      <c r="L489" s="42">
        <f t="shared" si="51"/>
        <v>25395452.116799999</v>
      </c>
      <c r="M489" s="43"/>
      <c r="N489" s="34">
        <f t="shared" si="52"/>
        <v>-0.11679999902844429</v>
      </c>
    </row>
    <row r="490" spans="1:16" hidden="1" x14ac:dyDescent="0.25">
      <c r="A490" s="35" t="s">
        <v>775</v>
      </c>
      <c r="B490" s="36" t="s">
        <v>404</v>
      </c>
      <c r="C490" s="37" t="s">
        <v>42</v>
      </c>
      <c r="D490" s="38">
        <v>444.73840000000001</v>
      </c>
      <c r="E490" s="39">
        <v>222.36920000000001</v>
      </c>
      <c r="F490" s="28">
        <v>222.36920000000001</v>
      </c>
      <c r="G490" s="39">
        <f>E490+F490</f>
        <v>444.73840000000001</v>
      </c>
      <c r="H490" s="40">
        <v>285443</v>
      </c>
      <c r="I490" s="41">
        <f t="shared" si="48"/>
        <v>126947463</v>
      </c>
      <c r="J490" s="39">
        <f t="shared" si="49"/>
        <v>63473731.555600002</v>
      </c>
      <c r="K490" s="42">
        <f t="shared" si="50"/>
        <v>63473731.555600002</v>
      </c>
      <c r="L490" s="42">
        <f t="shared" si="51"/>
        <v>126947463.1112</v>
      </c>
      <c r="M490" s="43"/>
      <c r="N490" s="34">
        <f t="shared" si="52"/>
        <v>-0.1112000048160553</v>
      </c>
    </row>
    <row r="491" spans="1:16" hidden="1" x14ac:dyDescent="0.25">
      <c r="A491" s="35" t="s">
        <v>776</v>
      </c>
      <c r="B491" s="36" t="s">
        <v>777</v>
      </c>
      <c r="C491" s="37" t="s">
        <v>118</v>
      </c>
      <c r="D491" s="38">
        <v>0.97</v>
      </c>
      <c r="E491" s="39">
        <v>0.48499999999999999</v>
      </c>
      <c r="F491" s="28">
        <v>0.48499999999999999</v>
      </c>
      <c r="G491" s="39">
        <f t="shared" si="53"/>
        <v>0.97</v>
      </c>
      <c r="H491" s="40">
        <v>25032847</v>
      </c>
      <c r="I491" s="41">
        <f t="shared" si="48"/>
        <v>24281862</v>
      </c>
      <c r="J491" s="39">
        <f t="shared" si="49"/>
        <v>12140930.795</v>
      </c>
      <c r="K491" s="42">
        <f t="shared" si="50"/>
        <v>12140930.795</v>
      </c>
      <c r="L491" s="42">
        <f t="shared" si="51"/>
        <v>24281861.59</v>
      </c>
      <c r="M491" s="43"/>
      <c r="N491" s="34">
        <f t="shared" si="52"/>
        <v>0.41000000014901161</v>
      </c>
    </row>
    <row r="492" spans="1:16" hidden="1" x14ac:dyDescent="0.25">
      <c r="A492" s="35" t="s">
        <v>778</v>
      </c>
      <c r="B492" s="36" t="s">
        <v>779</v>
      </c>
      <c r="C492" s="37" t="s">
        <v>118</v>
      </c>
      <c r="D492" s="38">
        <v>92.544399999999996</v>
      </c>
      <c r="E492" s="39">
        <v>46.272199999999998</v>
      </c>
      <c r="F492" s="28">
        <v>46.272199999999998</v>
      </c>
      <c r="G492" s="39">
        <f t="shared" si="53"/>
        <v>92.544399999999996</v>
      </c>
      <c r="H492" s="40">
        <v>25032847</v>
      </c>
      <c r="I492" s="41">
        <f t="shared" si="48"/>
        <v>2316649806</v>
      </c>
      <c r="J492" s="39">
        <f t="shared" si="49"/>
        <v>1158324902.9533999</v>
      </c>
      <c r="K492" s="42">
        <f t="shared" si="50"/>
        <v>1158324902.9533999</v>
      </c>
      <c r="L492" s="42">
        <f t="shared" si="51"/>
        <v>2316649805.9067998</v>
      </c>
      <c r="M492" s="43"/>
      <c r="N492" s="34">
        <f t="shared" si="52"/>
        <v>9.3200206756591797E-2</v>
      </c>
    </row>
    <row r="493" spans="1:16" hidden="1" x14ac:dyDescent="0.25">
      <c r="A493" s="35" t="s">
        <v>780</v>
      </c>
      <c r="B493" s="36" t="s">
        <v>781</v>
      </c>
      <c r="C493" s="37" t="s">
        <v>118</v>
      </c>
      <c r="D493" s="38">
        <v>9.2481000000000009</v>
      </c>
      <c r="E493" s="39">
        <v>4.6240500000000004</v>
      </c>
      <c r="F493" s="28">
        <v>4.6240500000000004</v>
      </c>
      <c r="G493" s="39">
        <f t="shared" si="53"/>
        <v>9.2481000000000009</v>
      </c>
      <c r="H493" s="40">
        <v>24337233</v>
      </c>
      <c r="I493" s="41">
        <f t="shared" si="48"/>
        <v>225073165</v>
      </c>
      <c r="J493" s="39">
        <f t="shared" si="49"/>
        <v>112536582.25365001</v>
      </c>
      <c r="K493" s="42">
        <f t="shared" si="50"/>
        <v>112536582.25365001</v>
      </c>
      <c r="L493" s="42">
        <f t="shared" si="51"/>
        <v>225073164.50730002</v>
      </c>
      <c r="M493" s="43"/>
      <c r="N493" s="34">
        <f t="shared" si="52"/>
        <v>0.49269998073577881</v>
      </c>
    </row>
    <row r="494" spans="1:16" hidden="1" x14ac:dyDescent="0.25">
      <c r="A494" s="35" t="s">
        <v>782</v>
      </c>
      <c r="B494" s="36" t="s">
        <v>783</v>
      </c>
      <c r="C494" s="37" t="s">
        <v>39</v>
      </c>
      <c r="D494" s="38">
        <v>557.02480000000003</v>
      </c>
      <c r="E494" s="39">
        <v>278.51240000000001</v>
      </c>
      <c r="F494" s="28">
        <v>278.51240000000001</v>
      </c>
      <c r="G494" s="39">
        <f t="shared" si="53"/>
        <v>557.02480000000003</v>
      </c>
      <c r="H494" s="40">
        <v>65242</v>
      </c>
      <c r="I494" s="41">
        <f t="shared" si="48"/>
        <v>36341412</v>
      </c>
      <c r="J494" s="39">
        <f t="shared" si="49"/>
        <v>18170706.000800002</v>
      </c>
      <c r="K494" s="42">
        <f t="shared" si="50"/>
        <v>18170706.000800002</v>
      </c>
      <c r="L494" s="42">
        <f t="shared" si="51"/>
        <v>36341412.001600005</v>
      </c>
      <c r="M494" s="43"/>
      <c r="N494" s="34">
        <f t="shared" si="52"/>
        <v>-1.6000047326087952E-3</v>
      </c>
    </row>
    <row r="495" spans="1:16" hidden="1" x14ac:dyDescent="0.25">
      <c r="A495" s="35" t="s">
        <v>784</v>
      </c>
      <c r="B495" s="36" t="s">
        <v>785</v>
      </c>
      <c r="C495" s="37" t="s">
        <v>39</v>
      </c>
      <c r="D495" s="38">
        <v>168</v>
      </c>
      <c r="E495" s="39">
        <v>0</v>
      </c>
      <c r="F495" s="28">
        <v>168</v>
      </c>
      <c r="G495" s="39">
        <f t="shared" si="53"/>
        <v>168</v>
      </c>
      <c r="H495" s="40">
        <v>103984</v>
      </c>
      <c r="I495" s="41">
        <f t="shared" si="48"/>
        <v>17469312</v>
      </c>
      <c r="J495" s="39">
        <f t="shared" si="49"/>
        <v>0</v>
      </c>
      <c r="K495" s="42">
        <f t="shared" si="50"/>
        <v>17469312</v>
      </c>
      <c r="L495" s="42">
        <f t="shared" si="51"/>
        <v>17469312</v>
      </c>
      <c r="M495" s="43"/>
      <c r="N495" s="34">
        <f t="shared" si="52"/>
        <v>0</v>
      </c>
    </row>
    <row r="496" spans="1:16" ht="33.75" hidden="1" customHeight="1" x14ac:dyDescent="0.25">
      <c r="A496" s="35" t="s">
        <v>786</v>
      </c>
      <c r="B496" s="36" t="s">
        <v>787</v>
      </c>
      <c r="C496" s="37" t="s">
        <v>39</v>
      </c>
      <c r="D496" s="38">
        <v>1453.62</v>
      </c>
      <c r="E496" s="39">
        <v>0</v>
      </c>
      <c r="F496" s="28">
        <v>1453.62</v>
      </c>
      <c r="G496" s="39">
        <f t="shared" si="53"/>
        <v>1453.62</v>
      </c>
      <c r="H496" s="40">
        <v>178258</v>
      </c>
      <c r="I496" s="41">
        <f t="shared" si="48"/>
        <v>259119394</v>
      </c>
      <c r="J496" s="39">
        <f t="shared" si="49"/>
        <v>0</v>
      </c>
      <c r="K496" s="42">
        <f t="shared" si="50"/>
        <v>259119393.95999998</v>
      </c>
      <c r="L496" s="42">
        <f t="shared" si="51"/>
        <v>259119393.95999998</v>
      </c>
      <c r="M496" s="43"/>
      <c r="N496" s="34">
        <f t="shared" si="52"/>
        <v>4.0000021457672119E-2</v>
      </c>
      <c r="O496" s="85"/>
      <c r="P496" s="34">
        <f>L496</f>
        <v>259119393.95999998</v>
      </c>
    </row>
    <row r="497" spans="1:16" hidden="1" x14ac:dyDescent="0.25">
      <c r="A497" s="35" t="s">
        <v>788</v>
      </c>
      <c r="B497" s="36" t="s">
        <v>789</v>
      </c>
      <c r="C497" s="37" t="s">
        <v>39</v>
      </c>
      <c r="D497" s="38">
        <v>1453.62</v>
      </c>
      <c r="E497" s="39">
        <v>0</v>
      </c>
      <c r="F497" s="28">
        <v>1453.62</v>
      </c>
      <c r="G497" s="39">
        <f t="shared" si="53"/>
        <v>1453.62</v>
      </c>
      <c r="H497" s="40">
        <v>15319</v>
      </c>
      <c r="I497" s="41">
        <f t="shared" si="48"/>
        <v>22268005</v>
      </c>
      <c r="J497" s="39">
        <f t="shared" si="49"/>
        <v>0</v>
      </c>
      <c r="K497" s="42">
        <f t="shared" si="50"/>
        <v>22268004.779999997</v>
      </c>
      <c r="L497" s="42">
        <f t="shared" si="51"/>
        <v>22268004.779999997</v>
      </c>
      <c r="M497" s="43"/>
      <c r="N497" s="34">
        <f t="shared" si="52"/>
        <v>0.2200000025331974</v>
      </c>
      <c r="P497" s="24">
        <v>166342877</v>
      </c>
    </row>
    <row r="498" spans="1:16" hidden="1" x14ac:dyDescent="0.25">
      <c r="A498" s="35" t="s">
        <v>790</v>
      </c>
      <c r="B498" s="36" t="s">
        <v>791</v>
      </c>
      <c r="C498" s="37" t="s">
        <v>39</v>
      </c>
      <c r="D498" s="38">
        <v>1453.62</v>
      </c>
      <c r="E498" s="39">
        <v>0</v>
      </c>
      <c r="F498" s="28">
        <v>1453.62</v>
      </c>
      <c r="G498" s="39">
        <f t="shared" si="53"/>
        <v>1453.62</v>
      </c>
      <c r="H498" s="40">
        <v>12540</v>
      </c>
      <c r="I498" s="41">
        <f t="shared" si="48"/>
        <v>18228395</v>
      </c>
      <c r="J498" s="39">
        <f t="shared" si="49"/>
        <v>0</v>
      </c>
      <c r="K498" s="42">
        <f t="shared" si="50"/>
        <v>18228394.799999997</v>
      </c>
      <c r="L498" s="42">
        <f t="shared" si="51"/>
        <v>18228394.799999997</v>
      </c>
      <c r="M498" s="43"/>
      <c r="N498" s="34">
        <f t="shared" si="52"/>
        <v>0.20000000298023224</v>
      </c>
      <c r="P498" s="34">
        <f>P496+P497</f>
        <v>425462270.95999998</v>
      </c>
    </row>
    <row r="499" spans="1:16" ht="31.5" hidden="1" x14ac:dyDescent="0.25">
      <c r="A499" s="35" t="s">
        <v>792</v>
      </c>
      <c r="B499" s="36" t="s">
        <v>124</v>
      </c>
      <c r="C499" s="37" t="s">
        <v>127</v>
      </c>
      <c r="D499" s="38">
        <v>2.4159000000000002</v>
      </c>
      <c r="E499" s="39">
        <v>0</v>
      </c>
      <c r="F499" s="28">
        <v>2.4159000000000002</v>
      </c>
      <c r="G499" s="39">
        <f t="shared" si="53"/>
        <v>2.4159000000000002</v>
      </c>
      <c r="H499" s="40">
        <v>164678800</v>
      </c>
      <c r="I499" s="41">
        <f t="shared" si="48"/>
        <v>397847513</v>
      </c>
      <c r="J499" s="39">
        <f t="shared" si="49"/>
        <v>0</v>
      </c>
      <c r="K499" s="42">
        <f t="shared" si="50"/>
        <v>397847512.92000002</v>
      </c>
      <c r="L499" s="42">
        <f t="shared" si="51"/>
        <v>397847512.92000002</v>
      </c>
      <c r="M499" s="43"/>
      <c r="N499" s="34">
        <f t="shared" si="52"/>
        <v>7.9999983310699463E-2</v>
      </c>
    </row>
    <row r="500" spans="1:16" ht="31.5" hidden="1" x14ac:dyDescent="0.25">
      <c r="A500" s="35" t="s">
        <v>793</v>
      </c>
      <c r="B500" s="36" t="s">
        <v>794</v>
      </c>
      <c r="C500" s="37" t="s">
        <v>118</v>
      </c>
      <c r="D500" s="38">
        <v>241.59</v>
      </c>
      <c r="E500" s="39">
        <v>0</v>
      </c>
      <c r="F500" s="28">
        <v>241.59</v>
      </c>
      <c r="G500" s="39">
        <f>E500+F500</f>
        <v>241.59</v>
      </c>
      <c r="H500" s="40">
        <v>113841</v>
      </c>
      <c r="I500" s="41">
        <f t="shared" si="48"/>
        <v>27502847</v>
      </c>
      <c r="J500" s="39">
        <f t="shared" si="49"/>
        <v>0</v>
      </c>
      <c r="K500" s="42">
        <f t="shared" si="50"/>
        <v>27502847.190000001</v>
      </c>
      <c r="L500" s="42">
        <f t="shared" si="51"/>
        <v>27502847.190000001</v>
      </c>
      <c r="M500" s="43"/>
      <c r="N500" s="34">
        <f t="shared" si="52"/>
        <v>-0.19000000134110451</v>
      </c>
    </row>
    <row r="501" spans="1:16" hidden="1" x14ac:dyDescent="0.25">
      <c r="A501" s="35" t="s">
        <v>795</v>
      </c>
      <c r="B501" s="36" t="s">
        <v>796</v>
      </c>
      <c r="C501" s="37" t="s">
        <v>278</v>
      </c>
      <c r="D501" s="38">
        <v>28</v>
      </c>
      <c r="E501" s="39">
        <v>14</v>
      </c>
      <c r="F501" s="28">
        <v>14</v>
      </c>
      <c r="G501" s="39">
        <f t="shared" si="53"/>
        <v>28</v>
      </c>
      <c r="H501" s="40">
        <v>5175851</v>
      </c>
      <c r="I501" s="41">
        <f t="shared" si="48"/>
        <v>144923828</v>
      </c>
      <c r="J501" s="39">
        <f t="shared" si="49"/>
        <v>72461914</v>
      </c>
      <c r="K501" s="42">
        <f t="shared" si="50"/>
        <v>72461914</v>
      </c>
      <c r="L501" s="42">
        <f t="shared" si="51"/>
        <v>144923828</v>
      </c>
      <c r="M501" s="43"/>
      <c r="N501" s="34">
        <f t="shared" si="52"/>
        <v>0</v>
      </c>
    </row>
    <row r="502" spans="1:16" hidden="1" x14ac:dyDescent="0.25">
      <c r="A502" s="35" t="s">
        <v>797</v>
      </c>
      <c r="B502" s="36" t="s">
        <v>798</v>
      </c>
      <c r="C502" s="37" t="s">
        <v>278</v>
      </c>
      <c r="D502" s="38">
        <v>28</v>
      </c>
      <c r="E502" s="39">
        <v>14</v>
      </c>
      <c r="F502" s="28">
        <v>14</v>
      </c>
      <c r="G502" s="39">
        <f t="shared" si="53"/>
        <v>28</v>
      </c>
      <c r="H502" s="40">
        <v>6590456</v>
      </c>
      <c r="I502" s="41">
        <f t="shared" si="48"/>
        <v>184532768</v>
      </c>
      <c r="J502" s="39">
        <f t="shared" si="49"/>
        <v>92266384</v>
      </c>
      <c r="K502" s="42">
        <f t="shared" si="50"/>
        <v>92266384</v>
      </c>
      <c r="L502" s="42">
        <f t="shared" si="51"/>
        <v>184532768</v>
      </c>
      <c r="M502" s="43"/>
      <c r="N502" s="34">
        <f t="shared" si="52"/>
        <v>0</v>
      </c>
    </row>
    <row r="503" spans="1:16" hidden="1" x14ac:dyDescent="0.25">
      <c r="A503" s="35" t="s">
        <v>799</v>
      </c>
      <c r="B503" s="36" t="s">
        <v>800</v>
      </c>
      <c r="C503" s="37" t="s">
        <v>278</v>
      </c>
      <c r="D503" s="38">
        <v>14</v>
      </c>
      <c r="E503" s="39">
        <v>7</v>
      </c>
      <c r="F503" s="28">
        <v>7</v>
      </c>
      <c r="G503" s="39">
        <f t="shared" si="53"/>
        <v>14</v>
      </c>
      <c r="H503" s="40">
        <v>11477274</v>
      </c>
      <c r="I503" s="41">
        <f t="shared" si="48"/>
        <v>160681836</v>
      </c>
      <c r="J503" s="39">
        <f t="shared" si="49"/>
        <v>80340918</v>
      </c>
      <c r="K503" s="42">
        <f t="shared" si="50"/>
        <v>80340918</v>
      </c>
      <c r="L503" s="42">
        <f t="shared" si="51"/>
        <v>160681836</v>
      </c>
      <c r="M503" s="43"/>
      <c r="N503" s="34">
        <f t="shared" si="52"/>
        <v>0</v>
      </c>
    </row>
    <row r="504" spans="1:16" hidden="1" x14ac:dyDescent="0.25">
      <c r="A504" s="35" t="s">
        <v>801</v>
      </c>
      <c r="B504" s="36" t="s">
        <v>802</v>
      </c>
      <c r="C504" s="37" t="s">
        <v>278</v>
      </c>
      <c r="D504" s="38">
        <v>14</v>
      </c>
      <c r="E504" s="39">
        <v>7</v>
      </c>
      <c r="F504" s="28">
        <v>7</v>
      </c>
      <c r="G504" s="39">
        <f t="shared" si="53"/>
        <v>14</v>
      </c>
      <c r="H504" s="40">
        <v>13779223</v>
      </c>
      <c r="I504" s="41">
        <f t="shared" si="48"/>
        <v>192909122</v>
      </c>
      <c r="J504" s="39">
        <f t="shared" si="49"/>
        <v>96454561</v>
      </c>
      <c r="K504" s="42">
        <f t="shared" si="50"/>
        <v>96454561</v>
      </c>
      <c r="L504" s="42">
        <f t="shared" si="51"/>
        <v>192909122</v>
      </c>
      <c r="M504" s="43"/>
      <c r="N504" s="34">
        <f t="shared" si="52"/>
        <v>0</v>
      </c>
    </row>
    <row r="505" spans="1:16" hidden="1" x14ac:dyDescent="0.25">
      <c r="A505" s="35" t="s">
        <v>803</v>
      </c>
      <c r="B505" s="36" t="s">
        <v>804</v>
      </c>
      <c r="C505" s="37" t="s">
        <v>118</v>
      </c>
      <c r="D505" s="38">
        <v>4.4509999999999996</v>
      </c>
      <c r="E505" s="39">
        <v>2.2254999999999998</v>
      </c>
      <c r="F505" s="28">
        <v>2.2254999999999998</v>
      </c>
      <c r="G505" s="39">
        <f t="shared" si="53"/>
        <v>4.4509999999999996</v>
      </c>
      <c r="H505" s="40">
        <v>31922068</v>
      </c>
      <c r="I505" s="41">
        <f t="shared" si="48"/>
        <v>142085125</v>
      </c>
      <c r="J505" s="39">
        <f t="shared" si="49"/>
        <v>71042562.333999991</v>
      </c>
      <c r="K505" s="42">
        <f t="shared" si="50"/>
        <v>71042562.333999991</v>
      </c>
      <c r="L505" s="42">
        <f t="shared" si="51"/>
        <v>142085124.66799998</v>
      </c>
      <c r="M505" s="43"/>
      <c r="N505" s="34">
        <f t="shared" si="52"/>
        <v>0.3320000171661377</v>
      </c>
    </row>
    <row r="506" spans="1:16" hidden="1" x14ac:dyDescent="0.25">
      <c r="A506" s="35" t="s">
        <v>805</v>
      </c>
      <c r="B506" s="36" t="s">
        <v>806</v>
      </c>
      <c r="C506" s="37" t="s">
        <v>118</v>
      </c>
      <c r="D506" s="38">
        <v>4.4509999999999996</v>
      </c>
      <c r="E506" s="39">
        <v>2.2254999999999998</v>
      </c>
      <c r="F506" s="28">
        <v>2.2254999999999998</v>
      </c>
      <c r="G506" s="39">
        <f t="shared" si="53"/>
        <v>4.4509999999999996</v>
      </c>
      <c r="H506" s="40">
        <v>5329201</v>
      </c>
      <c r="I506" s="41">
        <f t="shared" si="48"/>
        <v>23720274</v>
      </c>
      <c r="J506" s="39">
        <f t="shared" si="49"/>
        <v>11860136.825499998</v>
      </c>
      <c r="K506" s="42">
        <f t="shared" si="50"/>
        <v>11860136.825499998</v>
      </c>
      <c r="L506" s="42">
        <f t="shared" si="51"/>
        <v>23720273.650999997</v>
      </c>
      <c r="M506" s="43"/>
      <c r="N506" s="34">
        <f t="shared" si="52"/>
        <v>0.3490000031888485</v>
      </c>
    </row>
    <row r="507" spans="1:16" hidden="1" x14ac:dyDescent="0.25">
      <c r="A507" s="35" t="s">
        <v>807</v>
      </c>
      <c r="B507" s="36" t="s">
        <v>808</v>
      </c>
      <c r="C507" s="37" t="s">
        <v>809</v>
      </c>
      <c r="D507" s="38">
        <v>29.4</v>
      </c>
      <c r="E507" s="39">
        <v>0</v>
      </c>
      <c r="F507" s="28">
        <v>29.4</v>
      </c>
      <c r="G507" s="39">
        <f t="shared" si="53"/>
        <v>29.4</v>
      </c>
      <c r="H507" s="40">
        <v>39471</v>
      </c>
      <c r="I507" s="41">
        <f t="shared" si="48"/>
        <v>1160447</v>
      </c>
      <c r="J507" s="39">
        <f t="shared" si="49"/>
        <v>0</v>
      </c>
      <c r="K507" s="42">
        <f t="shared" si="50"/>
        <v>1160447.3999999999</v>
      </c>
      <c r="L507" s="42">
        <f t="shared" si="51"/>
        <v>1160447.3999999999</v>
      </c>
      <c r="M507" s="43"/>
      <c r="N507" s="34">
        <f t="shared" si="52"/>
        <v>-0.39999999990686774</v>
      </c>
    </row>
    <row r="508" spans="1:16" hidden="1" x14ac:dyDescent="0.25">
      <c r="A508" s="35" t="s">
        <v>810</v>
      </c>
      <c r="B508" s="36" t="s">
        <v>811</v>
      </c>
      <c r="C508" s="37" t="s">
        <v>812</v>
      </c>
      <c r="D508" s="38">
        <v>42</v>
      </c>
      <c r="E508" s="39">
        <v>0</v>
      </c>
      <c r="F508" s="28">
        <v>42</v>
      </c>
      <c r="G508" s="39">
        <f t="shared" si="53"/>
        <v>42</v>
      </c>
      <c r="H508" s="40">
        <v>17204605</v>
      </c>
      <c r="I508" s="41">
        <f t="shared" si="48"/>
        <v>722593410</v>
      </c>
      <c r="J508" s="39">
        <f t="shared" si="49"/>
        <v>0</v>
      </c>
      <c r="K508" s="42">
        <f t="shared" si="50"/>
        <v>722593410</v>
      </c>
      <c r="L508" s="42">
        <f t="shared" si="51"/>
        <v>722593410</v>
      </c>
      <c r="M508" s="43"/>
      <c r="N508" s="34">
        <f t="shared" si="52"/>
        <v>0</v>
      </c>
    </row>
    <row r="509" spans="1:16" hidden="1" x14ac:dyDescent="0.25">
      <c r="A509" s="35" t="s">
        <v>813</v>
      </c>
      <c r="B509" s="36" t="s">
        <v>814</v>
      </c>
      <c r="C509" s="37" t="s">
        <v>42</v>
      </c>
      <c r="D509" s="38">
        <v>7.9710999999999999</v>
      </c>
      <c r="E509" s="39">
        <v>0</v>
      </c>
      <c r="F509" s="28">
        <v>7.9710999999999999</v>
      </c>
      <c r="G509" s="39">
        <f t="shared" si="53"/>
        <v>7.9710999999999999</v>
      </c>
      <c r="H509" s="40">
        <v>2080172</v>
      </c>
      <c r="I509" s="41">
        <f t="shared" si="48"/>
        <v>16581259</v>
      </c>
      <c r="J509" s="39">
        <f t="shared" si="49"/>
        <v>0</v>
      </c>
      <c r="K509" s="42">
        <f t="shared" si="50"/>
        <v>16581259.029199999</v>
      </c>
      <c r="L509" s="42">
        <f t="shared" si="51"/>
        <v>16581259.029199999</v>
      </c>
      <c r="M509" s="43"/>
      <c r="N509" s="34">
        <f t="shared" si="52"/>
        <v>-2.9199998825788498E-2</v>
      </c>
    </row>
    <row r="510" spans="1:16" hidden="1" x14ac:dyDescent="0.25">
      <c r="A510" s="35" t="s">
        <v>815</v>
      </c>
      <c r="B510" s="36" t="s">
        <v>816</v>
      </c>
      <c r="C510" s="37" t="s">
        <v>118</v>
      </c>
      <c r="D510" s="38">
        <v>0.93</v>
      </c>
      <c r="E510" s="39">
        <v>0</v>
      </c>
      <c r="F510" s="28">
        <v>0.93</v>
      </c>
      <c r="G510" s="39">
        <f t="shared" si="53"/>
        <v>0.93</v>
      </c>
      <c r="H510" s="40">
        <v>25311519</v>
      </c>
      <c r="I510" s="41">
        <f t="shared" si="48"/>
        <v>23539713</v>
      </c>
      <c r="J510" s="39">
        <f t="shared" si="49"/>
        <v>0</v>
      </c>
      <c r="K510" s="42">
        <f t="shared" si="50"/>
        <v>23539712.670000002</v>
      </c>
      <c r="L510" s="42">
        <f t="shared" si="51"/>
        <v>23539712.670000002</v>
      </c>
      <c r="M510" s="43"/>
      <c r="N510" s="34">
        <f t="shared" si="52"/>
        <v>0.32999999821186066</v>
      </c>
    </row>
    <row r="511" spans="1:16" hidden="1" x14ac:dyDescent="0.25">
      <c r="A511" s="35" t="s">
        <v>817</v>
      </c>
      <c r="B511" s="36" t="s">
        <v>818</v>
      </c>
      <c r="C511" s="37" t="s">
        <v>39</v>
      </c>
      <c r="D511" s="38">
        <v>8.4</v>
      </c>
      <c r="E511" s="39">
        <v>0</v>
      </c>
      <c r="F511" s="28">
        <v>8.4</v>
      </c>
      <c r="G511" s="39">
        <f t="shared" si="53"/>
        <v>8.4</v>
      </c>
      <c r="H511" s="40">
        <v>65242</v>
      </c>
      <c r="I511" s="41">
        <f t="shared" si="48"/>
        <v>548033</v>
      </c>
      <c r="J511" s="39">
        <f t="shared" si="49"/>
        <v>0</v>
      </c>
      <c r="K511" s="42">
        <f t="shared" si="50"/>
        <v>548032.80000000005</v>
      </c>
      <c r="L511" s="42">
        <f t="shared" si="51"/>
        <v>548032.80000000005</v>
      </c>
      <c r="M511" s="43"/>
      <c r="N511" s="34">
        <f t="shared" si="52"/>
        <v>0.19999999995343387</v>
      </c>
    </row>
    <row r="512" spans="1:16" hidden="1" x14ac:dyDescent="0.25">
      <c r="A512" s="35" t="s">
        <v>819</v>
      </c>
      <c r="B512" s="36" t="s">
        <v>820</v>
      </c>
      <c r="C512" s="37" t="s">
        <v>278</v>
      </c>
      <c r="D512" s="38">
        <v>392</v>
      </c>
      <c r="E512" s="39">
        <v>0</v>
      </c>
      <c r="F512" s="28">
        <v>392</v>
      </c>
      <c r="G512" s="39">
        <f t="shared" si="53"/>
        <v>392</v>
      </c>
      <c r="H512" s="40">
        <v>6367</v>
      </c>
      <c r="I512" s="41">
        <f t="shared" si="48"/>
        <v>2495864</v>
      </c>
      <c r="J512" s="39">
        <f t="shared" si="49"/>
        <v>0</v>
      </c>
      <c r="K512" s="42">
        <f t="shared" si="50"/>
        <v>2495864</v>
      </c>
      <c r="L512" s="42">
        <f t="shared" si="51"/>
        <v>2495864</v>
      </c>
      <c r="M512" s="43"/>
      <c r="N512" s="34">
        <f t="shared" si="52"/>
        <v>0</v>
      </c>
    </row>
    <row r="513" spans="1:14" hidden="1" x14ac:dyDescent="0.25">
      <c r="A513" s="35" t="s">
        <v>821</v>
      </c>
      <c r="B513" s="36" t="s">
        <v>822</v>
      </c>
      <c r="C513" s="37" t="s">
        <v>118</v>
      </c>
      <c r="D513" s="38">
        <v>0.56999999999999995</v>
      </c>
      <c r="E513" s="39">
        <v>0</v>
      </c>
      <c r="F513" s="28">
        <v>0.56999999999999995</v>
      </c>
      <c r="G513" s="39">
        <f t="shared" si="53"/>
        <v>0.56999999999999995</v>
      </c>
      <c r="H513" s="40">
        <v>31922068</v>
      </c>
      <c r="I513" s="41">
        <f t="shared" si="48"/>
        <v>18195579</v>
      </c>
      <c r="J513" s="39">
        <f t="shared" si="49"/>
        <v>0</v>
      </c>
      <c r="K513" s="42">
        <f t="shared" si="50"/>
        <v>18195578.759999998</v>
      </c>
      <c r="L513" s="42">
        <f t="shared" si="51"/>
        <v>18195578.759999998</v>
      </c>
      <c r="M513" s="43"/>
      <c r="N513" s="34">
        <f t="shared" si="52"/>
        <v>0.24000000208616257</v>
      </c>
    </row>
    <row r="514" spans="1:14" hidden="1" x14ac:dyDescent="0.25">
      <c r="A514" s="35" t="s">
        <v>823</v>
      </c>
      <c r="B514" s="36" t="s">
        <v>824</v>
      </c>
      <c r="C514" s="37" t="s">
        <v>118</v>
      </c>
      <c r="D514" s="38">
        <v>0.56999999999999995</v>
      </c>
      <c r="E514" s="39">
        <v>0</v>
      </c>
      <c r="F514" s="28">
        <v>0.56999999999999995</v>
      </c>
      <c r="G514" s="39">
        <f t="shared" si="53"/>
        <v>0.56999999999999995</v>
      </c>
      <c r="H514" s="40">
        <v>5329201</v>
      </c>
      <c r="I514" s="41">
        <f t="shared" si="48"/>
        <v>3037645</v>
      </c>
      <c r="J514" s="39">
        <f t="shared" si="49"/>
        <v>0</v>
      </c>
      <c r="K514" s="42">
        <f t="shared" si="50"/>
        <v>3037644.57</v>
      </c>
      <c r="L514" s="42">
        <f t="shared" si="51"/>
        <v>3037644.57</v>
      </c>
      <c r="M514" s="43"/>
      <c r="N514" s="34">
        <f t="shared" si="52"/>
        <v>0.43000000016763806</v>
      </c>
    </row>
    <row r="515" spans="1:14" hidden="1" x14ac:dyDescent="0.25">
      <c r="A515" s="35" t="s">
        <v>825</v>
      </c>
      <c r="B515" s="36" t="s">
        <v>423</v>
      </c>
      <c r="C515" s="37" t="s">
        <v>118</v>
      </c>
      <c r="D515" s="38">
        <v>0.56999999999999995</v>
      </c>
      <c r="E515" s="39">
        <v>0</v>
      </c>
      <c r="F515" s="28">
        <v>0.56999999999999995</v>
      </c>
      <c r="G515" s="39">
        <f t="shared" si="53"/>
        <v>0.56999999999999995</v>
      </c>
      <c r="H515" s="40">
        <v>9028655</v>
      </c>
      <c r="I515" s="41">
        <f t="shared" ref="I515:I578" si="54">ROUND(D515*H515,0)</f>
        <v>5146333</v>
      </c>
      <c r="J515" s="39">
        <f t="shared" ref="J515:J578" si="55">E515*H515</f>
        <v>0</v>
      </c>
      <c r="K515" s="42">
        <f t="shared" ref="K515:K578" si="56">F515*H515</f>
        <v>5146333.3499999996</v>
      </c>
      <c r="L515" s="42">
        <f t="shared" ref="L515:L578" si="57">G515*H515</f>
        <v>5146333.3499999996</v>
      </c>
      <c r="M515" s="43"/>
      <c r="N515" s="34">
        <f t="shared" si="52"/>
        <v>-0.34999999962747097</v>
      </c>
    </row>
    <row r="516" spans="1:14" hidden="1" x14ac:dyDescent="0.25">
      <c r="A516" s="35" t="s">
        <v>826</v>
      </c>
      <c r="B516" s="36" t="s">
        <v>827</v>
      </c>
      <c r="C516" s="37" t="s">
        <v>42</v>
      </c>
      <c r="D516" s="38">
        <v>73.823599999999999</v>
      </c>
      <c r="E516" s="39">
        <v>36.911799999999999</v>
      </c>
      <c r="F516" s="39">
        <v>36.911799999999999</v>
      </c>
      <c r="G516" s="39">
        <f t="shared" si="53"/>
        <v>73.823599999999999</v>
      </c>
      <c r="H516" s="40">
        <v>1878060</v>
      </c>
      <c r="I516" s="41">
        <f t="shared" si="54"/>
        <v>138645150</v>
      </c>
      <c r="J516" s="39">
        <f t="shared" si="55"/>
        <v>69322575.107999995</v>
      </c>
      <c r="K516" s="42">
        <f t="shared" si="56"/>
        <v>69322575.107999995</v>
      </c>
      <c r="L516" s="42">
        <f t="shared" si="57"/>
        <v>138645150.21599999</v>
      </c>
      <c r="M516" s="43"/>
      <c r="N516" s="34">
        <f t="shared" ref="N516:N579" si="58">I516-L516</f>
        <v>-0.21599999070167542</v>
      </c>
    </row>
    <row r="517" spans="1:14" ht="31.5" hidden="1" x14ac:dyDescent="0.25">
      <c r="A517" s="35" t="s">
        <v>828</v>
      </c>
      <c r="B517" s="36" t="s">
        <v>829</v>
      </c>
      <c r="C517" s="37" t="s">
        <v>39</v>
      </c>
      <c r="D517" s="38">
        <v>448.89499999999998</v>
      </c>
      <c r="E517" s="39">
        <v>224.44749999999999</v>
      </c>
      <c r="F517" s="39">
        <v>224.44749999999999</v>
      </c>
      <c r="G517" s="39">
        <f t="shared" si="53"/>
        <v>448.89499999999998</v>
      </c>
      <c r="H517" s="40">
        <v>65242</v>
      </c>
      <c r="I517" s="41">
        <f t="shared" si="54"/>
        <v>29286808</v>
      </c>
      <c r="J517" s="39">
        <f t="shared" si="55"/>
        <v>14643403.795</v>
      </c>
      <c r="K517" s="42">
        <f t="shared" si="56"/>
        <v>14643403.795</v>
      </c>
      <c r="L517" s="42">
        <f t="shared" si="57"/>
        <v>29286807.59</v>
      </c>
      <c r="M517" s="43"/>
      <c r="N517" s="34">
        <f t="shared" si="58"/>
        <v>0.41000000014901161</v>
      </c>
    </row>
    <row r="518" spans="1:14" hidden="1" x14ac:dyDescent="0.25">
      <c r="A518" s="35" t="s">
        <v>830</v>
      </c>
      <c r="B518" s="36" t="s">
        <v>831</v>
      </c>
      <c r="C518" s="37" t="s">
        <v>118</v>
      </c>
      <c r="D518" s="38">
        <v>13.4633</v>
      </c>
      <c r="E518" s="39">
        <v>6.7316500000000001</v>
      </c>
      <c r="F518" s="39">
        <v>6.7316500000000001</v>
      </c>
      <c r="G518" s="39">
        <f t="shared" si="53"/>
        <v>13.4633</v>
      </c>
      <c r="H518" s="40">
        <v>25032847</v>
      </c>
      <c r="I518" s="41">
        <f t="shared" si="54"/>
        <v>337024729</v>
      </c>
      <c r="J518" s="39">
        <f t="shared" si="55"/>
        <v>168512364.50755</v>
      </c>
      <c r="K518" s="42">
        <f t="shared" si="56"/>
        <v>168512364.50755</v>
      </c>
      <c r="L518" s="42">
        <f t="shared" si="57"/>
        <v>337024729.0151</v>
      </c>
      <c r="M518" s="43"/>
      <c r="N518" s="34">
        <f t="shared" si="58"/>
        <v>-1.5100002288818359E-2</v>
      </c>
    </row>
    <row r="519" spans="1:14" ht="33" hidden="1" customHeight="1" x14ac:dyDescent="0.25">
      <c r="A519" s="35" t="s">
        <v>832</v>
      </c>
      <c r="B519" s="36" t="s">
        <v>833</v>
      </c>
      <c r="C519" s="37" t="s">
        <v>118</v>
      </c>
      <c r="D519" s="38">
        <v>13.2667</v>
      </c>
      <c r="E519" s="39">
        <v>6.6333500000000001</v>
      </c>
      <c r="F519" s="39">
        <v>6.6333500000000001</v>
      </c>
      <c r="G519" s="39">
        <f t="shared" si="53"/>
        <v>13.2667</v>
      </c>
      <c r="H519" s="40">
        <v>40797367</v>
      </c>
      <c r="I519" s="41">
        <f t="shared" si="54"/>
        <v>541246429</v>
      </c>
      <c r="J519" s="39">
        <f t="shared" si="55"/>
        <v>270623214.38945001</v>
      </c>
      <c r="K519" s="42">
        <f t="shared" si="56"/>
        <v>270623214.38945001</v>
      </c>
      <c r="L519" s="42">
        <f t="shared" si="57"/>
        <v>541246428.77890003</v>
      </c>
      <c r="M519" s="43"/>
      <c r="N519" s="34">
        <f t="shared" si="58"/>
        <v>0.22109997272491455</v>
      </c>
    </row>
    <row r="520" spans="1:14" hidden="1" x14ac:dyDescent="0.25">
      <c r="A520" s="35" t="s">
        <v>834</v>
      </c>
      <c r="B520" s="36" t="s">
        <v>835</v>
      </c>
      <c r="C520" s="37" t="s">
        <v>118</v>
      </c>
      <c r="D520" s="38">
        <v>13.2667</v>
      </c>
      <c r="E520" s="39">
        <v>6.6333500000000001</v>
      </c>
      <c r="F520" s="39">
        <v>6.6333500000000001</v>
      </c>
      <c r="G520" s="39">
        <f t="shared" si="53"/>
        <v>13.2667</v>
      </c>
      <c r="H520" s="40">
        <v>3788899</v>
      </c>
      <c r="I520" s="41">
        <f t="shared" si="54"/>
        <v>50266186</v>
      </c>
      <c r="J520" s="39">
        <f t="shared" si="55"/>
        <v>25133093.181650002</v>
      </c>
      <c r="K520" s="42">
        <f t="shared" si="56"/>
        <v>25133093.181650002</v>
      </c>
      <c r="L520" s="42">
        <f t="shared" si="57"/>
        <v>50266186.363300003</v>
      </c>
      <c r="M520" s="43"/>
      <c r="N520" s="34">
        <f t="shared" si="58"/>
        <v>-0.36330000311136246</v>
      </c>
    </row>
    <row r="521" spans="1:14" hidden="1" x14ac:dyDescent="0.25">
      <c r="A521" s="35" t="s">
        <v>836</v>
      </c>
      <c r="B521" s="36" t="s">
        <v>837</v>
      </c>
      <c r="C521" s="37" t="s">
        <v>84</v>
      </c>
      <c r="D521" s="38">
        <v>276.88</v>
      </c>
      <c r="E521" s="39">
        <v>0</v>
      </c>
      <c r="F521" s="39">
        <v>276.88</v>
      </c>
      <c r="G521" s="39">
        <f t="shared" si="53"/>
        <v>276.88</v>
      </c>
      <c r="H521" s="40">
        <v>94291</v>
      </c>
      <c r="I521" s="41">
        <f t="shared" si="54"/>
        <v>26107292</v>
      </c>
      <c r="J521" s="39">
        <f t="shared" si="55"/>
        <v>0</v>
      </c>
      <c r="K521" s="42">
        <f t="shared" si="56"/>
        <v>26107292.079999998</v>
      </c>
      <c r="L521" s="42">
        <f t="shared" si="57"/>
        <v>26107292.079999998</v>
      </c>
      <c r="M521" s="43"/>
      <c r="N521" s="34">
        <f t="shared" si="58"/>
        <v>-7.9999998211860657E-2</v>
      </c>
    </row>
    <row r="522" spans="1:14" hidden="1" x14ac:dyDescent="0.25">
      <c r="A522" s="35" t="s">
        <v>838</v>
      </c>
      <c r="B522" s="36" t="s">
        <v>839</v>
      </c>
      <c r="C522" s="37" t="s">
        <v>84</v>
      </c>
      <c r="D522" s="38">
        <v>12</v>
      </c>
      <c r="E522" s="39">
        <v>0</v>
      </c>
      <c r="F522" s="39">
        <v>12</v>
      </c>
      <c r="G522" s="39">
        <f t="shared" si="53"/>
        <v>12</v>
      </c>
      <c r="H522" s="40">
        <v>57483</v>
      </c>
      <c r="I522" s="41">
        <f t="shared" si="54"/>
        <v>689796</v>
      </c>
      <c r="J522" s="39">
        <f t="shared" si="55"/>
        <v>0</v>
      </c>
      <c r="K522" s="42">
        <f t="shared" si="56"/>
        <v>689796</v>
      </c>
      <c r="L522" s="42">
        <f t="shared" si="57"/>
        <v>689796</v>
      </c>
      <c r="M522" s="43"/>
      <c r="N522" s="34">
        <f t="shared" si="58"/>
        <v>0</v>
      </c>
    </row>
    <row r="523" spans="1:14" hidden="1" x14ac:dyDescent="0.25">
      <c r="A523" s="35" t="s">
        <v>840</v>
      </c>
      <c r="B523" s="36" t="s">
        <v>841</v>
      </c>
      <c r="C523" s="37" t="s">
        <v>278</v>
      </c>
      <c r="D523" s="38">
        <v>388</v>
      </c>
      <c r="E523" s="39">
        <v>0</v>
      </c>
      <c r="F523" s="39">
        <v>388</v>
      </c>
      <c r="G523" s="39">
        <f t="shared" si="53"/>
        <v>388</v>
      </c>
      <c r="H523" s="40">
        <v>6367</v>
      </c>
      <c r="I523" s="41">
        <f t="shared" si="54"/>
        <v>2470396</v>
      </c>
      <c r="J523" s="39">
        <f t="shared" si="55"/>
        <v>0</v>
      </c>
      <c r="K523" s="42">
        <f t="shared" si="56"/>
        <v>2470396</v>
      </c>
      <c r="L523" s="42">
        <f t="shared" si="57"/>
        <v>2470396</v>
      </c>
      <c r="M523" s="43"/>
      <c r="N523" s="34">
        <f t="shared" si="58"/>
        <v>0</v>
      </c>
    </row>
    <row r="524" spans="1:14" hidden="1" x14ac:dyDescent="0.25">
      <c r="A524" s="35" t="s">
        <v>842</v>
      </c>
      <c r="B524" s="36" t="s">
        <v>843</v>
      </c>
      <c r="C524" s="37" t="s">
        <v>42</v>
      </c>
      <c r="D524" s="38">
        <v>60.302700000000002</v>
      </c>
      <c r="E524" s="39">
        <v>0</v>
      </c>
      <c r="F524" s="39">
        <v>60.302700000000002</v>
      </c>
      <c r="G524" s="39">
        <f t="shared" si="53"/>
        <v>60.302700000000002</v>
      </c>
      <c r="H524" s="40">
        <v>1719728</v>
      </c>
      <c r="I524" s="41">
        <f t="shared" si="54"/>
        <v>103704242</v>
      </c>
      <c r="J524" s="39">
        <f t="shared" si="55"/>
        <v>0</v>
      </c>
      <c r="K524" s="42">
        <f t="shared" si="56"/>
        <v>103704241.6656</v>
      </c>
      <c r="L524" s="42">
        <f t="shared" si="57"/>
        <v>103704241.6656</v>
      </c>
      <c r="M524" s="43"/>
      <c r="N524" s="34">
        <f t="shared" si="58"/>
        <v>0.3343999981880188</v>
      </c>
    </row>
    <row r="525" spans="1:14" hidden="1" x14ac:dyDescent="0.25">
      <c r="A525" s="35" t="s">
        <v>844</v>
      </c>
      <c r="B525" s="36" t="s">
        <v>845</v>
      </c>
      <c r="C525" s="37" t="s">
        <v>118</v>
      </c>
      <c r="D525" s="38">
        <v>18.177900000000001</v>
      </c>
      <c r="E525" s="39">
        <v>0</v>
      </c>
      <c r="F525" s="39">
        <v>18.177900000000001</v>
      </c>
      <c r="G525" s="39">
        <f t="shared" si="53"/>
        <v>18.177900000000001</v>
      </c>
      <c r="H525" s="40">
        <v>27101433</v>
      </c>
      <c r="I525" s="41">
        <f t="shared" si="54"/>
        <v>492647139</v>
      </c>
      <c r="J525" s="39">
        <f t="shared" si="55"/>
        <v>0</v>
      </c>
      <c r="K525" s="42">
        <f t="shared" si="56"/>
        <v>492647138.9307</v>
      </c>
      <c r="L525" s="42">
        <f t="shared" si="57"/>
        <v>492647138.9307</v>
      </c>
      <c r="M525" s="43"/>
      <c r="N525" s="34">
        <f t="shared" si="58"/>
        <v>6.9299995899200439E-2</v>
      </c>
    </row>
    <row r="526" spans="1:14" hidden="1" x14ac:dyDescent="0.25">
      <c r="A526" s="35" t="s">
        <v>846</v>
      </c>
      <c r="B526" s="36" t="s">
        <v>818</v>
      </c>
      <c r="C526" s="37" t="s">
        <v>39</v>
      </c>
      <c r="D526" s="38">
        <v>273.21600000000001</v>
      </c>
      <c r="E526" s="39">
        <v>0</v>
      </c>
      <c r="F526" s="39">
        <v>273.21600000000001</v>
      </c>
      <c r="G526" s="39">
        <f t="shared" si="53"/>
        <v>273.21600000000001</v>
      </c>
      <c r="H526" s="40">
        <v>86606</v>
      </c>
      <c r="I526" s="41">
        <f t="shared" si="54"/>
        <v>23662145</v>
      </c>
      <c r="J526" s="39">
        <f t="shared" si="55"/>
        <v>0</v>
      </c>
      <c r="K526" s="42">
        <f t="shared" si="56"/>
        <v>23662144.896000002</v>
      </c>
      <c r="L526" s="42">
        <f t="shared" si="57"/>
        <v>23662144.896000002</v>
      </c>
      <c r="M526" s="43"/>
      <c r="N526" s="34">
        <f t="shared" si="58"/>
        <v>0.10399999842047691</v>
      </c>
    </row>
    <row r="527" spans="1:14" hidden="1" x14ac:dyDescent="0.25">
      <c r="A527" s="35" t="s">
        <v>847</v>
      </c>
      <c r="B527" s="36" t="s">
        <v>848</v>
      </c>
      <c r="C527" s="37" t="s">
        <v>359</v>
      </c>
      <c r="D527" s="38">
        <v>272</v>
      </c>
      <c r="E527" s="39">
        <v>0</v>
      </c>
      <c r="F527" s="39">
        <v>272</v>
      </c>
      <c r="G527" s="39">
        <f t="shared" si="53"/>
        <v>272</v>
      </c>
      <c r="H527" s="40">
        <v>36395</v>
      </c>
      <c r="I527" s="41">
        <f t="shared" si="54"/>
        <v>9899440</v>
      </c>
      <c r="J527" s="39">
        <f t="shared" si="55"/>
        <v>0</v>
      </c>
      <c r="K527" s="42">
        <f t="shared" si="56"/>
        <v>9899440</v>
      </c>
      <c r="L527" s="42">
        <f t="shared" si="57"/>
        <v>9899440</v>
      </c>
      <c r="M527" s="43"/>
      <c r="N527" s="34">
        <f t="shared" si="58"/>
        <v>0</v>
      </c>
    </row>
    <row r="528" spans="1:14" ht="51.75" hidden="1" customHeight="1" x14ac:dyDescent="0.25">
      <c r="A528" s="35" t="s">
        <v>849</v>
      </c>
      <c r="B528" s="36" t="s">
        <v>541</v>
      </c>
      <c r="C528" s="37" t="s">
        <v>233</v>
      </c>
      <c r="D528" s="38">
        <v>272</v>
      </c>
      <c r="E528" s="39">
        <v>0</v>
      </c>
      <c r="F528" s="39">
        <v>272</v>
      </c>
      <c r="G528" s="39">
        <f t="shared" si="53"/>
        <v>272</v>
      </c>
      <c r="H528" s="40">
        <v>69167</v>
      </c>
      <c r="I528" s="41">
        <f t="shared" si="54"/>
        <v>18813424</v>
      </c>
      <c r="J528" s="39">
        <f t="shared" si="55"/>
        <v>0</v>
      </c>
      <c r="K528" s="42">
        <f t="shared" si="56"/>
        <v>18813424</v>
      </c>
      <c r="L528" s="42">
        <f t="shared" si="57"/>
        <v>18813424</v>
      </c>
      <c r="M528" s="43"/>
      <c r="N528" s="34">
        <f t="shared" si="58"/>
        <v>0</v>
      </c>
    </row>
    <row r="529" spans="1:14" ht="55.5" hidden="1" customHeight="1" x14ac:dyDescent="0.25">
      <c r="A529" s="35" t="s">
        <v>850</v>
      </c>
      <c r="B529" s="36" t="s">
        <v>543</v>
      </c>
      <c r="C529" s="37" t="s">
        <v>233</v>
      </c>
      <c r="D529" s="38">
        <v>272</v>
      </c>
      <c r="E529" s="39">
        <v>0</v>
      </c>
      <c r="F529" s="39">
        <v>272</v>
      </c>
      <c r="G529" s="39">
        <f t="shared" si="53"/>
        <v>272</v>
      </c>
      <c r="H529" s="40">
        <v>52812</v>
      </c>
      <c r="I529" s="41">
        <f t="shared" si="54"/>
        <v>14364864</v>
      </c>
      <c r="J529" s="39">
        <f t="shared" si="55"/>
        <v>0</v>
      </c>
      <c r="K529" s="42">
        <f t="shared" si="56"/>
        <v>14364864</v>
      </c>
      <c r="L529" s="42">
        <f t="shared" si="57"/>
        <v>14364864</v>
      </c>
      <c r="M529" s="43"/>
      <c r="N529" s="34">
        <f t="shared" si="58"/>
        <v>0</v>
      </c>
    </row>
    <row r="530" spans="1:14" ht="31.5" hidden="1" x14ac:dyDescent="0.25">
      <c r="A530" s="35" t="s">
        <v>851</v>
      </c>
      <c r="B530" s="36" t="s">
        <v>229</v>
      </c>
      <c r="C530" s="37" t="s">
        <v>334</v>
      </c>
      <c r="D530" s="38">
        <v>15.075699999999999</v>
      </c>
      <c r="E530" s="39">
        <v>0</v>
      </c>
      <c r="F530" s="39">
        <v>15.075699999999999</v>
      </c>
      <c r="G530" s="39">
        <f t="shared" si="53"/>
        <v>15.075699999999999</v>
      </c>
      <c r="H530" s="40">
        <v>36271</v>
      </c>
      <c r="I530" s="41">
        <f t="shared" si="54"/>
        <v>546811</v>
      </c>
      <c r="J530" s="39">
        <f t="shared" si="55"/>
        <v>0</v>
      </c>
      <c r="K530" s="42">
        <f t="shared" si="56"/>
        <v>546810.71470000001</v>
      </c>
      <c r="L530" s="42">
        <f t="shared" si="57"/>
        <v>546810.71470000001</v>
      </c>
      <c r="M530" s="43"/>
      <c r="N530" s="34">
        <f t="shared" si="58"/>
        <v>0.28529999998863786</v>
      </c>
    </row>
    <row r="531" spans="1:14" hidden="1" x14ac:dyDescent="0.25">
      <c r="A531" s="35" t="s">
        <v>852</v>
      </c>
      <c r="B531" s="36" t="s">
        <v>853</v>
      </c>
      <c r="C531" s="37" t="s">
        <v>39</v>
      </c>
      <c r="D531" s="38">
        <v>488.00099999999998</v>
      </c>
      <c r="E531" s="39">
        <v>0</v>
      </c>
      <c r="F531" s="38">
        <v>488.00099999999998</v>
      </c>
      <c r="G531" s="39">
        <f t="shared" si="53"/>
        <v>488.00099999999998</v>
      </c>
      <c r="H531" s="40">
        <v>214840</v>
      </c>
      <c r="I531" s="41">
        <f t="shared" si="54"/>
        <v>104842135</v>
      </c>
      <c r="J531" s="39">
        <f t="shared" si="55"/>
        <v>0</v>
      </c>
      <c r="K531" s="42">
        <f t="shared" si="56"/>
        <v>104842134.83999999</v>
      </c>
      <c r="L531" s="42">
        <f t="shared" si="57"/>
        <v>104842134.83999999</v>
      </c>
      <c r="M531" s="43"/>
      <c r="N531" s="34">
        <f t="shared" si="58"/>
        <v>0.16000001132488251</v>
      </c>
    </row>
    <row r="532" spans="1:14" hidden="1" x14ac:dyDescent="0.25">
      <c r="A532" s="35" t="s">
        <v>854</v>
      </c>
      <c r="B532" s="36" t="s">
        <v>366</v>
      </c>
      <c r="C532" s="37" t="s">
        <v>39</v>
      </c>
      <c r="D532" s="38">
        <v>9.76</v>
      </c>
      <c r="E532" s="39">
        <v>0</v>
      </c>
      <c r="F532" s="38">
        <v>9.76</v>
      </c>
      <c r="G532" s="39">
        <f t="shared" si="53"/>
        <v>9.76</v>
      </c>
      <c r="H532" s="40">
        <v>72975</v>
      </c>
      <c r="I532" s="41">
        <f t="shared" si="54"/>
        <v>712236</v>
      </c>
      <c r="J532" s="39">
        <f t="shared" si="55"/>
        <v>0</v>
      </c>
      <c r="K532" s="42">
        <f t="shared" si="56"/>
        <v>712236</v>
      </c>
      <c r="L532" s="42">
        <f t="shared" si="57"/>
        <v>712236</v>
      </c>
      <c r="M532" s="43"/>
      <c r="N532" s="34">
        <f t="shared" si="58"/>
        <v>0</v>
      </c>
    </row>
    <row r="533" spans="1:14" ht="37.5" hidden="1" customHeight="1" x14ac:dyDescent="0.25">
      <c r="A533" s="35" t="s">
        <v>855</v>
      </c>
      <c r="B533" s="36" t="s">
        <v>856</v>
      </c>
      <c r="C533" s="37" t="s">
        <v>857</v>
      </c>
      <c r="D533" s="38">
        <v>123.12</v>
      </c>
      <c r="E533" s="39">
        <v>0</v>
      </c>
      <c r="F533" s="38">
        <v>123.12</v>
      </c>
      <c r="G533" s="39">
        <f t="shared" ref="G533:G596" si="59">E533+F533</f>
        <v>123.12</v>
      </c>
      <c r="H533" s="40">
        <v>1351063</v>
      </c>
      <c r="I533" s="41">
        <f t="shared" si="54"/>
        <v>166342877</v>
      </c>
      <c r="J533" s="39">
        <f t="shared" si="55"/>
        <v>0</v>
      </c>
      <c r="K533" s="42">
        <f t="shared" si="56"/>
        <v>166342876.56</v>
      </c>
      <c r="L533" s="42">
        <f t="shared" si="57"/>
        <v>166342876.56</v>
      </c>
      <c r="M533" s="43"/>
      <c r="N533" s="34">
        <f t="shared" si="58"/>
        <v>0.43999999761581421</v>
      </c>
    </row>
    <row r="534" spans="1:14" hidden="1" x14ac:dyDescent="0.25">
      <c r="A534" s="35" t="s">
        <v>858</v>
      </c>
      <c r="B534" s="36" t="s">
        <v>859</v>
      </c>
      <c r="C534" s="37" t="s">
        <v>860</v>
      </c>
      <c r="D534" s="38">
        <v>24</v>
      </c>
      <c r="E534" s="39">
        <v>0</v>
      </c>
      <c r="F534" s="38">
        <v>24</v>
      </c>
      <c r="G534" s="39">
        <f t="shared" si="59"/>
        <v>24</v>
      </c>
      <c r="H534" s="40">
        <v>174876</v>
      </c>
      <c r="I534" s="41">
        <f t="shared" si="54"/>
        <v>4197024</v>
      </c>
      <c r="J534" s="39">
        <f t="shared" si="55"/>
        <v>0</v>
      </c>
      <c r="K534" s="42">
        <f t="shared" si="56"/>
        <v>4197024</v>
      </c>
      <c r="L534" s="42">
        <f t="shared" si="57"/>
        <v>4197024</v>
      </c>
      <c r="M534" s="43"/>
      <c r="N534" s="34">
        <f t="shared" si="58"/>
        <v>0</v>
      </c>
    </row>
    <row r="535" spans="1:14" hidden="1" x14ac:dyDescent="0.25">
      <c r="A535" s="35" t="s">
        <v>861</v>
      </c>
      <c r="B535" s="36" t="s">
        <v>862</v>
      </c>
      <c r="C535" s="37" t="s">
        <v>863</v>
      </c>
      <c r="D535" s="38">
        <v>42</v>
      </c>
      <c r="E535" s="39">
        <v>21</v>
      </c>
      <c r="F535" s="39">
        <v>21</v>
      </c>
      <c r="G535" s="39">
        <f t="shared" si="59"/>
        <v>42</v>
      </c>
      <c r="H535" s="40">
        <v>679609</v>
      </c>
      <c r="I535" s="41">
        <f t="shared" si="54"/>
        <v>28543578</v>
      </c>
      <c r="J535" s="39">
        <f t="shared" si="55"/>
        <v>14271789</v>
      </c>
      <c r="K535" s="42">
        <f t="shared" si="56"/>
        <v>14271789</v>
      </c>
      <c r="L535" s="42">
        <f t="shared" si="57"/>
        <v>28543578</v>
      </c>
      <c r="M535" s="43"/>
      <c r="N535" s="34">
        <f t="shared" si="58"/>
        <v>0</v>
      </c>
    </row>
    <row r="536" spans="1:14" ht="31.5" hidden="1" x14ac:dyDescent="0.25">
      <c r="A536" s="35" t="s">
        <v>864</v>
      </c>
      <c r="B536" s="36" t="s">
        <v>865</v>
      </c>
      <c r="C536" s="37" t="s">
        <v>866</v>
      </c>
      <c r="D536" s="38">
        <v>28</v>
      </c>
      <c r="E536" s="39">
        <v>14</v>
      </c>
      <c r="F536" s="39">
        <v>14</v>
      </c>
      <c r="G536" s="39">
        <f t="shared" si="59"/>
        <v>28</v>
      </c>
      <c r="H536" s="40">
        <v>284010</v>
      </c>
      <c r="I536" s="41">
        <f t="shared" si="54"/>
        <v>7952280</v>
      </c>
      <c r="J536" s="39">
        <f t="shared" si="55"/>
        <v>3976140</v>
      </c>
      <c r="K536" s="42">
        <f t="shared" si="56"/>
        <v>3976140</v>
      </c>
      <c r="L536" s="42">
        <f t="shared" si="57"/>
        <v>7952280</v>
      </c>
      <c r="M536" s="43"/>
      <c r="N536" s="34">
        <f t="shared" si="58"/>
        <v>0</v>
      </c>
    </row>
    <row r="537" spans="1:14" ht="31.5" hidden="1" x14ac:dyDescent="0.25">
      <c r="A537" s="35" t="s">
        <v>867</v>
      </c>
      <c r="B537" s="36" t="s">
        <v>868</v>
      </c>
      <c r="C537" s="37" t="s">
        <v>866</v>
      </c>
      <c r="D537" s="38">
        <v>14</v>
      </c>
      <c r="E537" s="39">
        <v>7</v>
      </c>
      <c r="F537" s="39">
        <v>7</v>
      </c>
      <c r="G537" s="39">
        <f t="shared" si="59"/>
        <v>14</v>
      </c>
      <c r="H537" s="40">
        <v>325457</v>
      </c>
      <c r="I537" s="41">
        <f t="shared" si="54"/>
        <v>4556398</v>
      </c>
      <c r="J537" s="39">
        <f t="shared" si="55"/>
        <v>2278199</v>
      </c>
      <c r="K537" s="42">
        <f t="shared" si="56"/>
        <v>2278199</v>
      </c>
      <c r="L537" s="42">
        <f t="shared" si="57"/>
        <v>4556398</v>
      </c>
      <c r="M537" s="43"/>
      <c r="N537" s="34">
        <f t="shared" si="58"/>
        <v>0</v>
      </c>
    </row>
    <row r="538" spans="1:14" hidden="1" x14ac:dyDescent="0.25">
      <c r="A538" s="35" t="s">
        <v>869</v>
      </c>
      <c r="B538" s="36" t="s">
        <v>870</v>
      </c>
      <c r="C538" s="37" t="s">
        <v>863</v>
      </c>
      <c r="D538" s="38">
        <v>28</v>
      </c>
      <c r="E538" s="39">
        <v>14</v>
      </c>
      <c r="F538" s="39">
        <v>14</v>
      </c>
      <c r="G538" s="39">
        <f t="shared" si="59"/>
        <v>28</v>
      </c>
      <c r="H538" s="40">
        <v>6759106</v>
      </c>
      <c r="I538" s="41">
        <f t="shared" si="54"/>
        <v>189254968</v>
      </c>
      <c r="J538" s="39">
        <f t="shared" si="55"/>
        <v>94627484</v>
      </c>
      <c r="K538" s="42">
        <f t="shared" si="56"/>
        <v>94627484</v>
      </c>
      <c r="L538" s="42">
        <f t="shared" si="57"/>
        <v>189254968</v>
      </c>
      <c r="M538" s="43"/>
      <c r="N538" s="34">
        <f t="shared" si="58"/>
        <v>0</v>
      </c>
    </row>
    <row r="539" spans="1:14" hidden="1" x14ac:dyDescent="0.25">
      <c r="A539" s="35" t="s">
        <v>871</v>
      </c>
      <c r="B539" s="36" t="s">
        <v>872</v>
      </c>
      <c r="C539" s="37" t="s">
        <v>863</v>
      </c>
      <c r="D539" s="38">
        <v>14</v>
      </c>
      <c r="E539" s="39">
        <v>7</v>
      </c>
      <c r="F539" s="39">
        <v>7</v>
      </c>
      <c r="G539" s="39">
        <f t="shared" si="59"/>
        <v>14</v>
      </c>
      <c r="H539" s="40">
        <v>8621833</v>
      </c>
      <c r="I539" s="41">
        <f t="shared" si="54"/>
        <v>120705662</v>
      </c>
      <c r="J539" s="39">
        <f t="shared" si="55"/>
        <v>60352831</v>
      </c>
      <c r="K539" s="42">
        <f t="shared" si="56"/>
        <v>60352831</v>
      </c>
      <c r="L539" s="42">
        <f t="shared" si="57"/>
        <v>120705662</v>
      </c>
      <c r="M539" s="43"/>
      <c r="N539" s="34">
        <f t="shared" si="58"/>
        <v>0</v>
      </c>
    </row>
    <row r="540" spans="1:14" hidden="1" x14ac:dyDescent="0.25">
      <c r="A540" s="35" t="s">
        <v>873</v>
      </c>
      <c r="B540" s="36" t="s">
        <v>874</v>
      </c>
      <c r="C540" s="37" t="s">
        <v>42</v>
      </c>
      <c r="D540" s="38">
        <v>17.329899999999999</v>
      </c>
      <c r="E540" s="39">
        <v>8.6649499999999993</v>
      </c>
      <c r="F540" s="39">
        <v>8.6649499999999993</v>
      </c>
      <c r="G540" s="39">
        <f t="shared" si="59"/>
        <v>17.329899999999999</v>
      </c>
      <c r="H540" s="40">
        <v>856271</v>
      </c>
      <c r="I540" s="41">
        <f t="shared" si="54"/>
        <v>14839091</v>
      </c>
      <c r="J540" s="39">
        <f t="shared" si="55"/>
        <v>7419545.4014499998</v>
      </c>
      <c r="K540" s="42">
        <f t="shared" si="56"/>
        <v>7419545.4014499998</v>
      </c>
      <c r="L540" s="42">
        <f t="shared" si="57"/>
        <v>14839090.8029</v>
      </c>
      <c r="M540" s="43"/>
      <c r="N540" s="34">
        <f t="shared" si="58"/>
        <v>0.19710000045597553</v>
      </c>
    </row>
    <row r="541" spans="1:14" hidden="1" x14ac:dyDescent="0.25">
      <c r="A541" s="35" t="s">
        <v>875</v>
      </c>
      <c r="B541" s="36" t="s">
        <v>379</v>
      </c>
      <c r="C541" s="37" t="s">
        <v>42</v>
      </c>
      <c r="D541" s="38">
        <v>5.46</v>
      </c>
      <c r="E541" s="39">
        <v>2.73</v>
      </c>
      <c r="F541" s="39">
        <v>2.73</v>
      </c>
      <c r="G541" s="39">
        <f t="shared" si="59"/>
        <v>5.46</v>
      </c>
      <c r="H541" s="40">
        <v>1346046</v>
      </c>
      <c r="I541" s="41">
        <f t="shared" si="54"/>
        <v>7349411</v>
      </c>
      <c r="J541" s="39">
        <f t="shared" si="55"/>
        <v>3674705.58</v>
      </c>
      <c r="K541" s="42">
        <f t="shared" si="56"/>
        <v>3674705.58</v>
      </c>
      <c r="L541" s="42">
        <f t="shared" si="57"/>
        <v>7349411.1600000001</v>
      </c>
      <c r="M541" s="43"/>
      <c r="N541" s="34">
        <f t="shared" si="58"/>
        <v>-0.16000000014901161</v>
      </c>
    </row>
    <row r="542" spans="1:14" hidden="1" x14ac:dyDescent="0.25">
      <c r="A542" s="35" t="s">
        <v>876</v>
      </c>
      <c r="B542" s="36" t="s">
        <v>877</v>
      </c>
      <c r="C542" s="37" t="s">
        <v>42</v>
      </c>
      <c r="D542" s="38">
        <v>16.388999999999999</v>
      </c>
      <c r="E542" s="39">
        <v>16.388999999999999</v>
      </c>
      <c r="F542" s="39">
        <v>0</v>
      </c>
      <c r="G542" s="39">
        <f t="shared" si="59"/>
        <v>16.388999999999999</v>
      </c>
      <c r="H542" s="40">
        <v>1731530</v>
      </c>
      <c r="I542" s="41">
        <f t="shared" si="54"/>
        <v>28378045</v>
      </c>
      <c r="J542" s="39">
        <f t="shared" si="55"/>
        <v>28378045.169999998</v>
      </c>
      <c r="K542" s="42">
        <f t="shared" si="56"/>
        <v>0</v>
      </c>
      <c r="L542" s="42">
        <f t="shared" si="57"/>
        <v>28378045.169999998</v>
      </c>
      <c r="M542" s="43"/>
      <c r="N542" s="34">
        <f t="shared" si="58"/>
        <v>-0.16999999806284904</v>
      </c>
    </row>
    <row r="543" spans="1:14" hidden="1" x14ac:dyDescent="0.25">
      <c r="A543" s="35" t="s">
        <v>878</v>
      </c>
      <c r="B543" s="36" t="s">
        <v>879</v>
      </c>
      <c r="C543" s="37" t="s">
        <v>118</v>
      </c>
      <c r="D543" s="38">
        <v>1.6393</v>
      </c>
      <c r="E543" s="39">
        <v>1.6393</v>
      </c>
      <c r="F543" s="39">
        <v>0</v>
      </c>
      <c r="G543" s="39">
        <f t="shared" si="59"/>
        <v>1.6393</v>
      </c>
      <c r="H543" s="40">
        <v>24801577</v>
      </c>
      <c r="I543" s="41">
        <f t="shared" si="54"/>
        <v>40657225</v>
      </c>
      <c r="J543" s="39">
        <f t="shared" si="55"/>
        <v>40657225.176100001</v>
      </c>
      <c r="K543" s="42">
        <f t="shared" si="56"/>
        <v>0</v>
      </c>
      <c r="L543" s="42">
        <f t="shared" si="57"/>
        <v>40657225.176100001</v>
      </c>
      <c r="M543" s="43"/>
      <c r="N543" s="34">
        <f t="shared" si="58"/>
        <v>-0.1761000007390976</v>
      </c>
    </row>
    <row r="544" spans="1:14" hidden="1" x14ac:dyDescent="0.25">
      <c r="A544" s="35" t="s">
        <v>880</v>
      </c>
      <c r="B544" s="36" t="s">
        <v>881</v>
      </c>
      <c r="C544" s="37" t="s">
        <v>39</v>
      </c>
      <c r="D544" s="38">
        <v>71.14</v>
      </c>
      <c r="E544" s="39">
        <v>71.14</v>
      </c>
      <c r="F544" s="39">
        <v>0</v>
      </c>
      <c r="G544" s="39">
        <f t="shared" si="59"/>
        <v>71.14</v>
      </c>
      <c r="H544" s="40">
        <v>65242</v>
      </c>
      <c r="I544" s="41">
        <f t="shared" si="54"/>
        <v>4641316</v>
      </c>
      <c r="J544" s="39">
        <f t="shared" si="55"/>
        <v>4641315.88</v>
      </c>
      <c r="K544" s="42">
        <f t="shared" si="56"/>
        <v>0</v>
      </c>
      <c r="L544" s="42">
        <f t="shared" si="57"/>
        <v>4641315.88</v>
      </c>
      <c r="M544" s="43"/>
      <c r="N544" s="34">
        <f t="shared" si="58"/>
        <v>0.12000000011175871</v>
      </c>
    </row>
    <row r="545" spans="1:14" hidden="1" x14ac:dyDescent="0.25">
      <c r="A545" s="35" t="s">
        <v>882</v>
      </c>
      <c r="B545" s="36" t="s">
        <v>883</v>
      </c>
      <c r="C545" s="37" t="s">
        <v>42</v>
      </c>
      <c r="D545" s="38">
        <v>16.388999999999999</v>
      </c>
      <c r="E545" s="39">
        <v>0</v>
      </c>
      <c r="F545" s="39">
        <v>16.388999999999999</v>
      </c>
      <c r="G545" s="39">
        <f t="shared" si="59"/>
        <v>16.388999999999999</v>
      </c>
      <c r="H545" s="40">
        <v>527970</v>
      </c>
      <c r="I545" s="41">
        <f t="shared" si="54"/>
        <v>8652900</v>
      </c>
      <c r="J545" s="39">
        <f t="shared" si="55"/>
        <v>0</v>
      </c>
      <c r="K545" s="42">
        <f t="shared" si="56"/>
        <v>8652900.3300000001</v>
      </c>
      <c r="L545" s="42">
        <f t="shared" si="57"/>
        <v>8652900.3300000001</v>
      </c>
      <c r="M545" s="43"/>
      <c r="N545" s="34">
        <f t="shared" si="58"/>
        <v>-0.33000000007450581</v>
      </c>
    </row>
    <row r="546" spans="1:14" hidden="1" x14ac:dyDescent="0.25">
      <c r="A546" s="35" t="s">
        <v>884</v>
      </c>
      <c r="B546" s="36" t="s">
        <v>885</v>
      </c>
      <c r="C546" s="37" t="s">
        <v>42</v>
      </c>
      <c r="D546" s="38">
        <v>5.46</v>
      </c>
      <c r="E546" s="39">
        <v>0</v>
      </c>
      <c r="F546" s="39">
        <v>5.46</v>
      </c>
      <c r="G546" s="39">
        <f t="shared" si="59"/>
        <v>5.46</v>
      </c>
      <c r="H546" s="40">
        <v>167496</v>
      </c>
      <c r="I546" s="41">
        <f t="shared" si="54"/>
        <v>914528</v>
      </c>
      <c r="J546" s="39">
        <f t="shared" si="55"/>
        <v>0</v>
      </c>
      <c r="K546" s="42">
        <f t="shared" si="56"/>
        <v>914528.16</v>
      </c>
      <c r="L546" s="42">
        <f t="shared" si="57"/>
        <v>914528.16</v>
      </c>
      <c r="M546" s="43"/>
      <c r="N546" s="34">
        <f t="shared" si="58"/>
        <v>-0.16000000003259629</v>
      </c>
    </row>
    <row r="547" spans="1:14" hidden="1" x14ac:dyDescent="0.25">
      <c r="A547" s="35" t="s">
        <v>886</v>
      </c>
      <c r="B547" s="36" t="s">
        <v>885</v>
      </c>
      <c r="C547" s="37" t="s">
        <v>42</v>
      </c>
      <c r="D547" s="38">
        <v>17.329899999999999</v>
      </c>
      <c r="E547" s="39">
        <v>0</v>
      </c>
      <c r="F547" s="39">
        <v>17.329899999999999</v>
      </c>
      <c r="G547" s="39">
        <f t="shared" si="59"/>
        <v>17.329899999999999</v>
      </c>
      <c r="H547" s="40">
        <v>11436</v>
      </c>
      <c r="I547" s="41">
        <f t="shared" si="54"/>
        <v>198185</v>
      </c>
      <c r="J547" s="39">
        <f t="shared" si="55"/>
        <v>0</v>
      </c>
      <c r="K547" s="42">
        <f t="shared" si="56"/>
        <v>198184.73639999999</v>
      </c>
      <c r="L547" s="42">
        <f t="shared" si="57"/>
        <v>198184.73639999999</v>
      </c>
      <c r="M547" s="43"/>
      <c r="N547" s="34">
        <f t="shared" si="58"/>
        <v>0.26360000000568107</v>
      </c>
    </row>
    <row r="548" spans="1:14" hidden="1" x14ac:dyDescent="0.25">
      <c r="A548" s="35" t="s">
        <v>887</v>
      </c>
      <c r="B548" s="36" t="s">
        <v>64</v>
      </c>
      <c r="C548" s="37" t="s">
        <v>42</v>
      </c>
      <c r="D548" s="38">
        <v>39.18</v>
      </c>
      <c r="E548" s="39">
        <v>0</v>
      </c>
      <c r="F548" s="39">
        <v>39.18</v>
      </c>
      <c r="G548" s="39">
        <f t="shared" si="59"/>
        <v>39.18</v>
      </c>
      <c r="H548" s="40">
        <v>57318.19</v>
      </c>
      <c r="I548" s="41">
        <f t="shared" si="54"/>
        <v>2245727</v>
      </c>
      <c r="J548" s="39">
        <f t="shared" si="55"/>
        <v>0</v>
      </c>
      <c r="K548" s="42">
        <f t="shared" si="56"/>
        <v>2245726.6842</v>
      </c>
      <c r="L548" s="42">
        <f t="shared" si="57"/>
        <v>2245726.6842</v>
      </c>
      <c r="M548" s="43"/>
      <c r="N548" s="34">
        <f t="shared" si="58"/>
        <v>0.31579999998211861</v>
      </c>
    </row>
    <row r="549" spans="1:14" hidden="1" x14ac:dyDescent="0.25">
      <c r="A549" s="35" t="s">
        <v>888</v>
      </c>
      <c r="B549" s="36" t="s">
        <v>889</v>
      </c>
      <c r="C549" s="37" t="s">
        <v>118</v>
      </c>
      <c r="D549" s="38">
        <v>3.7563</v>
      </c>
      <c r="E549" s="39">
        <v>1.87815</v>
      </c>
      <c r="F549" s="39">
        <v>1.87815</v>
      </c>
      <c r="G549" s="39">
        <f t="shared" si="59"/>
        <v>3.7563</v>
      </c>
      <c r="H549" s="40">
        <v>10406267</v>
      </c>
      <c r="I549" s="41">
        <f t="shared" si="54"/>
        <v>39089061</v>
      </c>
      <c r="J549" s="39">
        <f t="shared" si="55"/>
        <v>19544530.366050001</v>
      </c>
      <c r="K549" s="42">
        <f t="shared" si="56"/>
        <v>19544530.366050001</v>
      </c>
      <c r="L549" s="42">
        <f t="shared" si="57"/>
        <v>39089060.732100002</v>
      </c>
      <c r="M549" s="43"/>
      <c r="N549" s="34">
        <f t="shared" si="58"/>
        <v>0.26789999753236771</v>
      </c>
    </row>
    <row r="550" spans="1:14" hidden="1" x14ac:dyDescent="0.25">
      <c r="A550" s="35" t="s">
        <v>890</v>
      </c>
      <c r="B550" s="36" t="s">
        <v>891</v>
      </c>
      <c r="C550" s="37" t="s">
        <v>118</v>
      </c>
      <c r="D550" s="38">
        <v>3.7563</v>
      </c>
      <c r="E550" s="39">
        <v>1.87815</v>
      </c>
      <c r="F550" s="39">
        <v>1.87815</v>
      </c>
      <c r="G550" s="39">
        <f t="shared" si="59"/>
        <v>3.7563</v>
      </c>
      <c r="H550" s="40">
        <v>9605637</v>
      </c>
      <c r="I550" s="41">
        <f t="shared" si="54"/>
        <v>36081654</v>
      </c>
      <c r="J550" s="39">
        <f t="shared" si="55"/>
        <v>18040827.131549999</v>
      </c>
      <c r="K550" s="42">
        <f t="shared" si="56"/>
        <v>18040827.131549999</v>
      </c>
      <c r="L550" s="42">
        <f t="shared" si="57"/>
        <v>36081654.263099998</v>
      </c>
      <c r="M550" s="43"/>
      <c r="N550" s="34">
        <f t="shared" si="58"/>
        <v>-0.26309999823570251</v>
      </c>
    </row>
    <row r="551" spans="1:14" ht="31.5" hidden="1" x14ac:dyDescent="0.25">
      <c r="A551" s="35" t="s">
        <v>892</v>
      </c>
      <c r="B551" s="36" t="s">
        <v>893</v>
      </c>
      <c r="C551" s="37" t="s">
        <v>118</v>
      </c>
      <c r="D551" s="38">
        <v>1.4723999999999999</v>
      </c>
      <c r="E551" s="39">
        <v>0.73619999999999997</v>
      </c>
      <c r="F551" s="39">
        <v>0.73619999999999997</v>
      </c>
      <c r="G551" s="39">
        <f t="shared" si="59"/>
        <v>1.4723999999999999</v>
      </c>
      <c r="H551" s="40">
        <v>10406267</v>
      </c>
      <c r="I551" s="41">
        <f t="shared" si="54"/>
        <v>15322188</v>
      </c>
      <c r="J551" s="39">
        <f t="shared" si="55"/>
        <v>7661093.7653999999</v>
      </c>
      <c r="K551" s="42">
        <f t="shared" si="56"/>
        <v>7661093.7653999999</v>
      </c>
      <c r="L551" s="42">
        <f t="shared" si="57"/>
        <v>15322187.5308</v>
      </c>
      <c r="M551" s="43"/>
      <c r="N551" s="34">
        <f t="shared" si="58"/>
        <v>0.46920000016689301</v>
      </c>
    </row>
    <row r="552" spans="1:14" ht="31.5" hidden="1" x14ac:dyDescent="0.25">
      <c r="A552" s="35" t="s">
        <v>894</v>
      </c>
      <c r="B552" s="36" t="s">
        <v>895</v>
      </c>
      <c r="C552" s="37" t="s">
        <v>118</v>
      </c>
      <c r="D552" s="38">
        <v>1.4723999999999999</v>
      </c>
      <c r="E552" s="39">
        <v>0.73619999999999997</v>
      </c>
      <c r="F552" s="39">
        <v>0.73619999999999997</v>
      </c>
      <c r="G552" s="39">
        <f t="shared" si="59"/>
        <v>1.4723999999999999</v>
      </c>
      <c r="H552" s="40">
        <v>15392164</v>
      </c>
      <c r="I552" s="41">
        <f t="shared" si="54"/>
        <v>22663422</v>
      </c>
      <c r="J552" s="39">
        <f t="shared" si="55"/>
        <v>11331711.136799999</v>
      </c>
      <c r="K552" s="42">
        <f t="shared" si="56"/>
        <v>11331711.136799999</v>
      </c>
      <c r="L552" s="42">
        <f t="shared" si="57"/>
        <v>22663422.273599997</v>
      </c>
      <c r="M552" s="43"/>
      <c r="N552" s="34">
        <f t="shared" si="58"/>
        <v>-0.27359999716281891</v>
      </c>
    </row>
    <row r="553" spans="1:14" ht="31.5" hidden="1" x14ac:dyDescent="0.25">
      <c r="A553" s="35" t="s">
        <v>896</v>
      </c>
      <c r="B553" s="36" t="s">
        <v>897</v>
      </c>
      <c r="C553" s="37" t="s">
        <v>118</v>
      </c>
      <c r="D553" s="38">
        <v>5.2286999999999999</v>
      </c>
      <c r="E553" s="39">
        <v>2.61435</v>
      </c>
      <c r="F553" s="39">
        <v>2.61435</v>
      </c>
      <c r="G553" s="39">
        <f t="shared" si="59"/>
        <v>5.2286999999999999</v>
      </c>
      <c r="H553" s="40">
        <v>5687244</v>
      </c>
      <c r="I553" s="41">
        <f t="shared" si="54"/>
        <v>29736893</v>
      </c>
      <c r="J553" s="39">
        <f t="shared" si="55"/>
        <v>14868446.351399999</v>
      </c>
      <c r="K553" s="42">
        <f t="shared" si="56"/>
        <v>14868446.351399999</v>
      </c>
      <c r="L553" s="42">
        <f t="shared" si="57"/>
        <v>29736892.702799998</v>
      </c>
      <c r="M553" s="43"/>
      <c r="N553" s="34">
        <f t="shared" si="58"/>
        <v>0.29720000177621841</v>
      </c>
    </row>
    <row r="554" spans="1:14" ht="31.5" hidden="1" x14ac:dyDescent="0.25">
      <c r="A554" s="35" t="s">
        <v>898</v>
      </c>
      <c r="B554" s="36" t="s">
        <v>899</v>
      </c>
      <c r="C554" s="37" t="s">
        <v>118</v>
      </c>
      <c r="D554" s="38">
        <v>5.2286999999999999</v>
      </c>
      <c r="E554" s="39">
        <v>2.61435</v>
      </c>
      <c r="F554" s="39">
        <v>2.61435</v>
      </c>
      <c r="G554" s="39">
        <f t="shared" si="59"/>
        <v>5.2286999999999999</v>
      </c>
      <c r="H554" s="40">
        <v>2343426</v>
      </c>
      <c r="I554" s="41">
        <f t="shared" si="54"/>
        <v>12253072</v>
      </c>
      <c r="J554" s="39">
        <f t="shared" si="55"/>
        <v>6126535.7631000001</v>
      </c>
      <c r="K554" s="42">
        <f t="shared" si="56"/>
        <v>6126535.7631000001</v>
      </c>
      <c r="L554" s="42">
        <f t="shared" si="57"/>
        <v>12253071.5262</v>
      </c>
      <c r="M554" s="43"/>
      <c r="N554" s="34">
        <f t="shared" si="58"/>
        <v>0.47379999980330467</v>
      </c>
    </row>
    <row r="555" spans="1:14" hidden="1" x14ac:dyDescent="0.25">
      <c r="A555" s="35" t="s">
        <v>900</v>
      </c>
      <c r="B555" s="36" t="s">
        <v>901</v>
      </c>
      <c r="C555" s="37" t="s">
        <v>42</v>
      </c>
      <c r="D555" s="38">
        <v>1.2</v>
      </c>
      <c r="E555" s="39">
        <v>0</v>
      </c>
      <c r="F555" s="39">
        <v>1.2</v>
      </c>
      <c r="G555" s="39">
        <f t="shared" si="59"/>
        <v>1.2</v>
      </c>
      <c r="H555" s="40">
        <v>1719728</v>
      </c>
      <c r="I555" s="41">
        <f t="shared" si="54"/>
        <v>2063674</v>
      </c>
      <c r="J555" s="39">
        <f t="shared" si="55"/>
        <v>0</v>
      </c>
      <c r="K555" s="42">
        <f t="shared" si="56"/>
        <v>2063673.5999999999</v>
      </c>
      <c r="L555" s="42">
        <f t="shared" si="57"/>
        <v>2063673.5999999999</v>
      </c>
      <c r="M555" s="43"/>
      <c r="N555" s="34">
        <f t="shared" si="58"/>
        <v>0.40000000013969839</v>
      </c>
    </row>
    <row r="556" spans="1:14" hidden="1" x14ac:dyDescent="0.25">
      <c r="A556" s="35" t="s">
        <v>902</v>
      </c>
      <c r="B556" s="36" t="s">
        <v>903</v>
      </c>
      <c r="C556" s="37" t="s">
        <v>860</v>
      </c>
      <c r="D556" s="38">
        <v>48</v>
      </c>
      <c r="E556" s="39">
        <v>0</v>
      </c>
      <c r="F556" s="39">
        <v>48</v>
      </c>
      <c r="G556" s="39">
        <f t="shared" si="59"/>
        <v>48</v>
      </c>
      <c r="H556" s="40">
        <v>23565</v>
      </c>
      <c r="I556" s="41">
        <f t="shared" si="54"/>
        <v>1131120</v>
      </c>
      <c r="J556" s="39">
        <f t="shared" si="55"/>
        <v>0</v>
      </c>
      <c r="K556" s="42">
        <f t="shared" si="56"/>
        <v>1131120</v>
      </c>
      <c r="L556" s="42">
        <f t="shared" si="57"/>
        <v>1131120</v>
      </c>
      <c r="M556" s="43"/>
      <c r="N556" s="34">
        <f t="shared" si="58"/>
        <v>0</v>
      </c>
    </row>
    <row r="557" spans="1:14" hidden="1" x14ac:dyDescent="0.25">
      <c r="A557" s="35" t="s">
        <v>904</v>
      </c>
      <c r="B557" s="36" t="s">
        <v>905</v>
      </c>
      <c r="C557" s="37" t="s">
        <v>860</v>
      </c>
      <c r="D557" s="38">
        <v>48</v>
      </c>
      <c r="E557" s="39">
        <v>0</v>
      </c>
      <c r="F557" s="39">
        <v>48</v>
      </c>
      <c r="G557" s="39">
        <f t="shared" si="59"/>
        <v>48</v>
      </c>
      <c r="H557" s="40">
        <v>21010</v>
      </c>
      <c r="I557" s="41">
        <f t="shared" si="54"/>
        <v>1008480</v>
      </c>
      <c r="J557" s="39">
        <f t="shared" si="55"/>
        <v>0</v>
      </c>
      <c r="K557" s="42">
        <f t="shared" si="56"/>
        <v>1008480</v>
      </c>
      <c r="L557" s="42">
        <f t="shared" si="57"/>
        <v>1008480</v>
      </c>
      <c r="M557" s="43"/>
      <c r="N557" s="34">
        <f t="shared" si="58"/>
        <v>0</v>
      </c>
    </row>
    <row r="558" spans="1:14" hidden="1" x14ac:dyDescent="0.25">
      <c r="A558" s="35" t="s">
        <v>906</v>
      </c>
      <c r="B558" s="36" t="s">
        <v>907</v>
      </c>
      <c r="C558" s="37" t="s">
        <v>860</v>
      </c>
      <c r="D558" s="38">
        <v>67.2</v>
      </c>
      <c r="E558" s="39">
        <v>0</v>
      </c>
      <c r="F558" s="39">
        <v>67.2</v>
      </c>
      <c r="G558" s="39">
        <f t="shared" si="59"/>
        <v>67.2</v>
      </c>
      <c r="H558" s="40">
        <v>2229</v>
      </c>
      <c r="I558" s="41">
        <f t="shared" si="54"/>
        <v>149789</v>
      </c>
      <c r="J558" s="39">
        <f t="shared" si="55"/>
        <v>0</v>
      </c>
      <c r="K558" s="42">
        <f t="shared" si="56"/>
        <v>149788.80000000002</v>
      </c>
      <c r="L558" s="42">
        <f t="shared" si="57"/>
        <v>149788.80000000002</v>
      </c>
      <c r="M558" s="43"/>
      <c r="N558" s="34">
        <f t="shared" si="58"/>
        <v>0.1999999999825377</v>
      </c>
    </row>
    <row r="559" spans="1:14" hidden="1" x14ac:dyDescent="0.25">
      <c r="A559" s="35" t="s">
        <v>908</v>
      </c>
      <c r="B559" s="36" t="s">
        <v>909</v>
      </c>
      <c r="C559" s="37" t="s">
        <v>118</v>
      </c>
      <c r="D559" s="38">
        <v>0.04</v>
      </c>
      <c r="E559" s="39">
        <v>0</v>
      </c>
      <c r="F559" s="38">
        <v>0.04</v>
      </c>
      <c r="G559" s="39">
        <f t="shared" si="59"/>
        <v>0.04</v>
      </c>
      <c r="H559" s="40">
        <v>25182574</v>
      </c>
      <c r="I559" s="41">
        <f t="shared" si="54"/>
        <v>1007303</v>
      </c>
      <c r="J559" s="39">
        <f t="shared" si="55"/>
        <v>0</v>
      </c>
      <c r="K559" s="42">
        <f t="shared" si="56"/>
        <v>1007302.96</v>
      </c>
      <c r="L559" s="42">
        <f t="shared" si="57"/>
        <v>1007302.96</v>
      </c>
      <c r="M559" s="43"/>
      <c r="N559" s="34">
        <f t="shared" si="58"/>
        <v>4.0000000037252903E-2</v>
      </c>
    </row>
    <row r="560" spans="1:14" hidden="1" x14ac:dyDescent="0.25">
      <c r="A560" s="35" t="s">
        <v>910</v>
      </c>
      <c r="B560" s="36" t="s">
        <v>911</v>
      </c>
      <c r="C560" s="37" t="s">
        <v>118</v>
      </c>
      <c r="D560" s="38">
        <v>7.0266999999999999</v>
      </c>
      <c r="E560" s="39">
        <v>0</v>
      </c>
      <c r="F560" s="38">
        <v>7.0266999999999999</v>
      </c>
      <c r="G560" s="39">
        <f t="shared" si="59"/>
        <v>7.0266999999999999</v>
      </c>
      <c r="H560" s="40">
        <v>24801577</v>
      </c>
      <c r="I560" s="41">
        <f t="shared" si="54"/>
        <v>174273241</v>
      </c>
      <c r="J560" s="39">
        <f t="shared" si="55"/>
        <v>0</v>
      </c>
      <c r="K560" s="42">
        <f t="shared" si="56"/>
        <v>174273241.10589999</v>
      </c>
      <c r="L560" s="42">
        <f t="shared" si="57"/>
        <v>174273241.10589999</v>
      </c>
      <c r="M560" s="43"/>
      <c r="N560" s="34">
        <f t="shared" si="58"/>
        <v>-0.10589998960494995</v>
      </c>
    </row>
    <row r="561" spans="1:14" hidden="1" x14ac:dyDescent="0.25">
      <c r="A561" s="35" t="s">
        <v>912</v>
      </c>
      <c r="B561" s="36" t="s">
        <v>470</v>
      </c>
      <c r="C561" s="37" t="s">
        <v>118</v>
      </c>
      <c r="D561" s="38">
        <v>7.9298000000000002</v>
      </c>
      <c r="E561" s="39">
        <v>0</v>
      </c>
      <c r="F561" s="38">
        <v>7.9298000000000002</v>
      </c>
      <c r="G561" s="39">
        <f t="shared" si="59"/>
        <v>7.9298000000000002</v>
      </c>
      <c r="H561" s="40">
        <v>24164499</v>
      </c>
      <c r="I561" s="41">
        <f t="shared" si="54"/>
        <v>191619644</v>
      </c>
      <c r="J561" s="39">
        <f t="shared" si="55"/>
        <v>0</v>
      </c>
      <c r="K561" s="42">
        <f t="shared" si="56"/>
        <v>191619644.17019999</v>
      </c>
      <c r="L561" s="42">
        <f t="shared" si="57"/>
        <v>191619644.17019999</v>
      </c>
      <c r="M561" s="43"/>
      <c r="N561" s="34">
        <f t="shared" si="58"/>
        <v>-0.17019999027252197</v>
      </c>
    </row>
    <row r="562" spans="1:14" hidden="1" x14ac:dyDescent="0.25">
      <c r="A562" s="35" t="s">
        <v>913</v>
      </c>
      <c r="B562" s="36" t="s">
        <v>914</v>
      </c>
      <c r="C562" s="37" t="s">
        <v>42</v>
      </c>
      <c r="D562" s="38">
        <v>81.48</v>
      </c>
      <c r="E562" s="39">
        <v>0</v>
      </c>
      <c r="F562" s="38">
        <v>81.48</v>
      </c>
      <c r="G562" s="39">
        <f t="shared" si="59"/>
        <v>81.48</v>
      </c>
      <c r="H562" s="40">
        <v>1559273</v>
      </c>
      <c r="I562" s="41">
        <f t="shared" si="54"/>
        <v>127049564</v>
      </c>
      <c r="J562" s="39">
        <f t="shared" si="55"/>
        <v>0</v>
      </c>
      <c r="K562" s="42">
        <f t="shared" si="56"/>
        <v>127049564.04000001</v>
      </c>
      <c r="L562" s="42">
        <f t="shared" si="57"/>
        <v>127049564.04000001</v>
      </c>
      <c r="M562" s="43"/>
      <c r="N562" s="34">
        <f t="shared" si="58"/>
        <v>-4.0000006556510925E-2</v>
      </c>
    </row>
    <row r="563" spans="1:14" hidden="1" x14ac:dyDescent="0.25">
      <c r="A563" s="35" t="s">
        <v>915</v>
      </c>
      <c r="B563" s="36" t="s">
        <v>916</v>
      </c>
      <c r="C563" s="37" t="s">
        <v>42</v>
      </c>
      <c r="D563" s="38">
        <v>25.2</v>
      </c>
      <c r="E563" s="39">
        <v>0</v>
      </c>
      <c r="F563" s="38">
        <v>25.2</v>
      </c>
      <c r="G563" s="39">
        <f t="shared" si="59"/>
        <v>25.2</v>
      </c>
      <c r="H563" s="40">
        <v>1331296</v>
      </c>
      <c r="I563" s="41">
        <f t="shared" si="54"/>
        <v>33548659</v>
      </c>
      <c r="J563" s="39">
        <f t="shared" si="55"/>
        <v>0</v>
      </c>
      <c r="K563" s="42">
        <f t="shared" si="56"/>
        <v>33548659.199999999</v>
      </c>
      <c r="L563" s="42">
        <f t="shared" si="57"/>
        <v>33548659.199999999</v>
      </c>
      <c r="M563" s="43"/>
      <c r="N563" s="34">
        <f t="shared" si="58"/>
        <v>-0.19999999925494194</v>
      </c>
    </row>
    <row r="564" spans="1:14" hidden="1" x14ac:dyDescent="0.25">
      <c r="A564" s="35" t="s">
        <v>917</v>
      </c>
      <c r="B564" s="36" t="s">
        <v>356</v>
      </c>
      <c r="C564" s="37" t="s">
        <v>39</v>
      </c>
      <c r="D564" s="38">
        <v>40.72</v>
      </c>
      <c r="E564" s="39">
        <v>0</v>
      </c>
      <c r="F564" s="38">
        <v>40.72</v>
      </c>
      <c r="G564" s="39">
        <f t="shared" si="59"/>
        <v>40.72</v>
      </c>
      <c r="H564" s="40">
        <v>65242</v>
      </c>
      <c r="I564" s="41">
        <f t="shared" si="54"/>
        <v>2656654</v>
      </c>
      <c r="J564" s="39">
        <f t="shared" si="55"/>
        <v>0</v>
      </c>
      <c r="K564" s="42">
        <f t="shared" si="56"/>
        <v>2656654.2399999998</v>
      </c>
      <c r="L564" s="42">
        <f t="shared" si="57"/>
        <v>2656654.2399999998</v>
      </c>
      <c r="M564" s="43"/>
      <c r="N564" s="34">
        <f t="shared" si="58"/>
        <v>-0.23999999975785613</v>
      </c>
    </row>
    <row r="565" spans="1:14" s="84" customFormat="1" hidden="1" x14ac:dyDescent="0.25">
      <c r="A565" s="77" t="s">
        <v>918</v>
      </c>
      <c r="B565" s="78" t="s">
        <v>919</v>
      </c>
      <c r="C565" s="79" t="s">
        <v>42</v>
      </c>
      <c r="D565" s="80">
        <v>2431.7629999999999</v>
      </c>
      <c r="E565" s="39">
        <v>2431.7629999999999</v>
      </c>
      <c r="F565" s="39">
        <v>0</v>
      </c>
      <c r="G565" s="39">
        <f t="shared" si="59"/>
        <v>2431.7629999999999</v>
      </c>
      <c r="H565" s="81">
        <v>2045500</v>
      </c>
      <c r="I565" s="82">
        <f t="shared" si="54"/>
        <v>4974171217</v>
      </c>
      <c r="J565" s="39">
        <f t="shared" si="55"/>
        <v>4974171216.5</v>
      </c>
      <c r="K565" s="42">
        <f t="shared" si="56"/>
        <v>0</v>
      </c>
      <c r="L565" s="42">
        <f t="shared" si="57"/>
        <v>4974171216.5</v>
      </c>
      <c r="M565" s="83"/>
      <c r="N565" s="34">
        <f t="shared" si="58"/>
        <v>0.5</v>
      </c>
    </row>
    <row r="566" spans="1:14" hidden="1" x14ac:dyDescent="0.25">
      <c r="A566" s="35" t="s">
        <v>920</v>
      </c>
      <c r="B566" s="36" t="s">
        <v>921</v>
      </c>
      <c r="C566" s="37" t="s">
        <v>42</v>
      </c>
      <c r="D566" s="38">
        <v>56.671199999999999</v>
      </c>
      <c r="E566" s="39">
        <v>56.671599999999998</v>
      </c>
      <c r="F566" s="39">
        <v>-3.9999999999906777E-4</v>
      </c>
      <c r="G566" s="39">
        <f t="shared" si="59"/>
        <v>56.671199999999999</v>
      </c>
      <c r="H566" s="40">
        <v>1437305</v>
      </c>
      <c r="I566" s="41">
        <f t="shared" si="54"/>
        <v>81453799</v>
      </c>
      <c r="J566" s="39">
        <f t="shared" si="55"/>
        <v>81454374.038000003</v>
      </c>
      <c r="K566" s="42">
        <f t="shared" si="56"/>
        <v>-574.92199999866011</v>
      </c>
      <c r="L566" s="42">
        <f t="shared" si="57"/>
        <v>81453799.115999997</v>
      </c>
      <c r="M566" s="43"/>
      <c r="N566" s="34">
        <f t="shared" si="58"/>
        <v>-0.11599999666213989</v>
      </c>
    </row>
    <row r="567" spans="1:14" ht="31.5" hidden="1" x14ac:dyDescent="0.25">
      <c r="A567" s="35" t="s">
        <v>922</v>
      </c>
      <c r="B567" s="36" t="s">
        <v>923</v>
      </c>
      <c r="C567" s="37" t="s">
        <v>42</v>
      </c>
      <c r="D567" s="38">
        <v>2468.2399999999998</v>
      </c>
      <c r="E567" s="39">
        <v>2450.002</v>
      </c>
      <c r="F567" s="39">
        <v>18.237999999999829</v>
      </c>
      <c r="G567" s="39">
        <f t="shared" si="59"/>
        <v>2468.2399999999998</v>
      </c>
      <c r="H567" s="40">
        <v>57102</v>
      </c>
      <c r="I567" s="41">
        <f t="shared" si="54"/>
        <v>140941440</v>
      </c>
      <c r="J567" s="39">
        <f t="shared" si="55"/>
        <v>139900014.204</v>
      </c>
      <c r="K567" s="42">
        <f t="shared" si="56"/>
        <v>1041426.2759999903</v>
      </c>
      <c r="L567" s="42">
        <f t="shared" si="57"/>
        <v>140941440.47999999</v>
      </c>
      <c r="M567" s="43"/>
      <c r="N567" s="34">
        <f t="shared" si="58"/>
        <v>-0.47999998927116394</v>
      </c>
    </row>
    <row r="568" spans="1:14" hidden="1" x14ac:dyDescent="0.25">
      <c r="A568" s="35" t="s">
        <v>924</v>
      </c>
      <c r="B568" s="36" t="s">
        <v>404</v>
      </c>
      <c r="C568" s="37" t="s">
        <v>42</v>
      </c>
      <c r="D568" s="38">
        <v>2468.2399999999998</v>
      </c>
      <c r="E568" s="39">
        <v>2450.002</v>
      </c>
      <c r="F568" s="39">
        <v>18.237999999999829</v>
      </c>
      <c r="G568" s="39">
        <f t="shared" si="59"/>
        <v>2468.2399999999998</v>
      </c>
      <c r="H568" s="40">
        <v>285443</v>
      </c>
      <c r="I568" s="41">
        <f t="shared" si="54"/>
        <v>704541830</v>
      </c>
      <c r="J568" s="39">
        <f t="shared" si="55"/>
        <v>699335920.88600004</v>
      </c>
      <c r="K568" s="42">
        <f t="shared" si="56"/>
        <v>5205909.433999951</v>
      </c>
      <c r="L568" s="42">
        <f t="shared" si="57"/>
        <v>704541830.31999993</v>
      </c>
      <c r="M568" s="43"/>
      <c r="N568" s="34">
        <f t="shared" si="58"/>
        <v>-0.31999993324279785</v>
      </c>
    </row>
    <row r="569" spans="1:14" hidden="1" x14ac:dyDescent="0.25">
      <c r="A569" s="35" t="s">
        <v>925</v>
      </c>
      <c r="B569" s="36" t="s">
        <v>926</v>
      </c>
      <c r="C569" s="37" t="s">
        <v>118</v>
      </c>
      <c r="D569" s="38">
        <v>0.23</v>
      </c>
      <c r="E569" s="39">
        <v>0.22999999999999998</v>
      </c>
      <c r="F569" s="42">
        <v>0</v>
      </c>
      <c r="G569" s="39">
        <f t="shared" si="59"/>
        <v>0.22999999999999998</v>
      </c>
      <c r="H569" s="40">
        <v>27013071</v>
      </c>
      <c r="I569" s="41">
        <f t="shared" si="54"/>
        <v>6213006</v>
      </c>
      <c r="J569" s="39">
        <f t="shared" si="55"/>
        <v>6213006.3299999991</v>
      </c>
      <c r="K569" s="42">
        <f t="shared" si="56"/>
        <v>0</v>
      </c>
      <c r="L569" s="42">
        <f t="shared" si="57"/>
        <v>6213006.3299999991</v>
      </c>
      <c r="M569" s="43"/>
      <c r="N569" s="34">
        <f t="shared" si="58"/>
        <v>-0.32999999914318323</v>
      </c>
    </row>
    <row r="570" spans="1:14" hidden="1" x14ac:dyDescent="0.25">
      <c r="A570" s="35" t="s">
        <v>927</v>
      </c>
      <c r="B570" s="36" t="s">
        <v>928</v>
      </c>
      <c r="C570" s="37" t="s">
        <v>118</v>
      </c>
      <c r="D570" s="38">
        <v>75.554400000000001</v>
      </c>
      <c r="E570" s="39">
        <v>75.554200000000009</v>
      </c>
      <c r="F570" s="42">
        <v>0</v>
      </c>
      <c r="G570" s="39">
        <f t="shared" si="59"/>
        <v>75.554200000000009</v>
      </c>
      <c r="H570" s="40">
        <v>26226135</v>
      </c>
      <c r="I570" s="41">
        <f t="shared" si="54"/>
        <v>1981499894</v>
      </c>
      <c r="J570" s="39">
        <f t="shared" si="55"/>
        <v>1981494649.0170002</v>
      </c>
      <c r="K570" s="42">
        <f t="shared" si="56"/>
        <v>0</v>
      </c>
      <c r="L570" s="42">
        <f t="shared" si="57"/>
        <v>1981494649.0170002</v>
      </c>
      <c r="M570" s="43"/>
      <c r="N570" s="34">
        <f t="shared" si="58"/>
        <v>5244.9829998016357</v>
      </c>
    </row>
    <row r="571" spans="1:14" hidden="1" x14ac:dyDescent="0.25">
      <c r="A571" s="35" t="s">
        <v>929</v>
      </c>
      <c r="B571" s="36" t="s">
        <v>930</v>
      </c>
      <c r="C571" s="37" t="s">
        <v>118</v>
      </c>
      <c r="D571" s="38">
        <v>136.19970000000001</v>
      </c>
      <c r="E571" s="39">
        <v>136.20085</v>
      </c>
      <c r="F571" s="42">
        <v>0</v>
      </c>
      <c r="G571" s="39">
        <f t="shared" si="59"/>
        <v>136.20085</v>
      </c>
      <c r="H571" s="40">
        <v>25632494</v>
      </c>
      <c r="I571" s="41">
        <f t="shared" si="54"/>
        <v>3491137993</v>
      </c>
      <c r="J571" s="39">
        <f t="shared" si="55"/>
        <v>3491167470.4198999</v>
      </c>
      <c r="K571" s="42">
        <f t="shared" si="56"/>
        <v>0</v>
      </c>
      <c r="L571" s="42">
        <f t="shared" si="57"/>
        <v>3491167470.4198999</v>
      </c>
      <c r="M571" s="43"/>
      <c r="N571" s="34">
        <f t="shared" si="58"/>
        <v>-29477.419899940491</v>
      </c>
    </row>
    <row r="572" spans="1:14" ht="31.5" hidden="1" x14ac:dyDescent="0.25">
      <c r="A572" s="35" t="s">
        <v>931</v>
      </c>
      <c r="B572" s="36" t="s">
        <v>932</v>
      </c>
      <c r="C572" s="37" t="s">
        <v>39</v>
      </c>
      <c r="D572" s="38">
        <v>3243.1804000000002</v>
      </c>
      <c r="E572" s="39">
        <v>3243.1802000000002</v>
      </c>
      <c r="F572" s="42">
        <v>0</v>
      </c>
      <c r="G572" s="39">
        <f t="shared" si="59"/>
        <v>3243.1802000000002</v>
      </c>
      <c r="H572" s="40">
        <v>181766</v>
      </c>
      <c r="I572" s="41">
        <f t="shared" si="54"/>
        <v>589499929</v>
      </c>
      <c r="J572" s="39">
        <f t="shared" si="55"/>
        <v>589499892.23320007</v>
      </c>
      <c r="K572" s="42">
        <f t="shared" si="56"/>
        <v>0</v>
      </c>
      <c r="L572" s="42">
        <f t="shared" si="57"/>
        <v>589499892.23320007</v>
      </c>
      <c r="M572" s="43"/>
      <c r="N572" s="34">
        <f t="shared" si="58"/>
        <v>36.766799926757813</v>
      </c>
    </row>
    <row r="573" spans="1:14" hidden="1" x14ac:dyDescent="0.25">
      <c r="A573" s="35" t="s">
        <v>933</v>
      </c>
      <c r="B573" s="36" t="s">
        <v>934</v>
      </c>
      <c r="C573" s="37" t="s">
        <v>118</v>
      </c>
      <c r="D573" s="38">
        <v>0.3</v>
      </c>
      <c r="E573" s="39">
        <v>0.3</v>
      </c>
      <c r="F573" s="39">
        <v>0</v>
      </c>
      <c r="G573" s="39">
        <f t="shared" si="59"/>
        <v>0.3</v>
      </c>
      <c r="H573" s="40">
        <v>25632494</v>
      </c>
      <c r="I573" s="41">
        <f t="shared" si="54"/>
        <v>7689748</v>
      </c>
      <c r="J573" s="39">
        <f t="shared" si="55"/>
        <v>7689748.1999999993</v>
      </c>
      <c r="K573" s="42">
        <f t="shared" si="56"/>
        <v>0</v>
      </c>
      <c r="L573" s="42">
        <f t="shared" si="57"/>
        <v>7689748.1999999993</v>
      </c>
      <c r="M573" s="43"/>
      <c r="N573" s="34">
        <f t="shared" si="58"/>
        <v>-0.19999999925494194</v>
      </c>
    </row>
    <row r="574" spans="1:14" hidden="1" x14ac:dyDescent="0.25">
      <c r="A574" s="35" t="s">
        <v>935</v>
      </c>
      <c r="B574" s="36" t="s">
        <v>423</v>
      </c>
      <c r="C574" s="37" t="s">
        <v>118</v>
      </c>
      <c r="D574" s="38">
        <v>0.3</v>
      </c>
      <c r="E574" s="39">
        <v>0.3</v>
      </c>
      <c r="F574" s="39">
        <v>0</v>
      </c>
      <c r="G574" s="39">
        <f t="shared" si="59"/>
        <v>0.3</v>
      </c>
      <c r="H574" s="40">
        <v>9028655</v>
      </c>
      <c r="I574" s="41">
        <f t="shared" si="54"/>
        <v>2708597</v>
      </c>
      <c r="J574" s="39">
        <f t="shared" si="55"/>
        <v>2708596.5</v>
      </c>
      <c r="K574" s="42">
        <f t="shared" si="56"/>
        <v>0</v>
      </c>
      <c r="L574" s="42">
        <f t="shared" si="57"/>
        <v>2708596.5</v>
      </c>
      <c r="M574" s="43"/>
      <c r="N574" s="34">
        <f t="shared" si="58"/>
        <v>0.5</v>
      </c>
    </row>
    <row r="575" spans="1:14" hidden="1" x14ac:dyDescent="0.25">
      <c r="A575" s="35" t="s">
        <v>936</v>
      </c>
      <c r="B575" s="36" t="s">
        <v>937</v>
      </c>
      <c r="C575" s="37" t="s">
        <v>118</v>
      </c>
      <c r="D575" s="38">
        <v>0.1</v>
      </c>
      <c r="E575" s="39">
        <v>0.1</v>
      </c>
      <c r="F575" s="39">
        <v>0</v>
      </c>
      <c r="G575" s="39">
        <f t="shared" si="59"/>
        <v>0.1</v>
      </c>
      <c r="H575" s="40">
        <v>31912360</v>
      </c>
      <c r="I575" s="41">
        <f t="shared" si="54"/>
        <v>3191236</v>
      </c>
      <c r="J575" s="39">
        <f t="shared" si="55"/>
        <v>3191236</v>
      </c>
      <c r="K575" s="42">
        <f t="shared" si="56"/>
        <v>0</v>
      </c>
      <c r="L575" s="42">
        <f t="shared" si="57"/>
        <v>3191236</v>
      </c>
      <c r="M575" s="43"/>
      <c r="N575" s="34">
        <f t="shared" si="58"/>
        <v>0</v>
      </c>
    </row>
    <row r="576" spans="1:14" hidden="1" x14ac:dyDescent="0.25">
      <c r="A576" s="35" t="s">
        <v>938</v>
      </c>
      <c r="B576" s="36" t="s">
        <v>939</v>
      </c>
      <c r="C576" s="37" t="s">
        <v>118</v>
      </c>
      <c r="D576" s="38">
        <v>0.1</v>
      </c>
      <c r="E576" s="39">
        <v>0.1</v>
      </c>
      <c r="F576" s="39">
        <v>0</v>
      </c>
      <c r="G576" s="39">
        <f t="shared" si="59"/>
        <v>0.1</v>
      </c>
      <c r="H576" s="40">
        <v>5329201</v>
      </c>
      <c r="I576" s="41">
        <f t="shared" si="54"/>
        <v>532920</v>
      </c>
      <c r="J576" s="39">
        <f t="shared" si="55"/>
        <v>532920.1</v>
      </c>
      <c r="K576" s="42">
        <f t="shared" si="56"/>
        <v>0</v>
      </c>
      <c r="L576" s="42">
        <f t="shared" si="57"/>
        <v>532920.1</v>
      </c>
      <c r="M576" s="43"/>
      <c r="N576" s="34">
        <f t="shared" si="58"/>
        <v>-9.9999999976716936E-2</v>
      </c>
    </row>
    <row r="577" spans="1:14" hidden="1" x14ac:dyDescent="0.25">
      <c r="A577" s="35" t="s">
        <v>940</v>
      </c>
      <c r="B577" s="36" t="s">
        <v>941</v>
      </c>
      <c r="C577" s="37" t="s">
        <v>42</v>
      </c>
      <c r="D577" s="38">
        <v>1.7588999999999999</v>
      </c>
      <c r="E577" s="39">
        <v>1.7588999999999999</v>
      </c>
      <c r="F577" s="39">
        <v>0</v>
      </c>
      <c r="G577" s="39">
        <f t="shared" si="59"/>
        <v>1.7588999999999999</v>
      </c>
      <c r="H577" s="40">
        <v>15641024</v>
      </c>
      <c r="I577" s="41">
        <f t="shared" si="54"/>
        <v>27510997</v>
      </c>
      <c r="J577" s="39">
        <f t="shared" si="55"/>
        <v>27510997.113599997</v>
      </c>
      <c r="K577" s="42">
        <f t="shared" si="56"/>
        <v>0</v>
      </c>
      <c r="L577" s="42">
        <f t="shared" si="57"/>
        <v>27510997.113599997</v>
      </c>
      <c r="M577" s="43"/>
      <c r="N577" s="34">
        <f t="shared" si="58"/>
        <v>-0.1135999970138073</v>
      </c>
    </row>
    <row r="578" spans="1:14" hidden="1" x14ac:dyDescent="0.25">
      <c r="A578" s="35" t="s">
        <v>942</v>
      </c>
      <c r="B578" s="36" t="s">
        <v>943</v>
      </c>
      <c r="C578" s="37" t="s">
        <v>84</v>
      </c>
      <c r="D578" s="38">
        <v>19.399999999999999</v>
      </c>
      <c r="E578" s="39">
        <v>19.399999999999999</v>
      </c>
      <c r="F578" s="39">
        <v>0</v>
      </c>
      <c r="G578" s="39">
        <f t="shared" si="59"/>
        <v>19.399999999999999</v>
      </c>
      <c r="H578" s="40">
        <v>126388</v>
      </c>
      <c r="I578" s="41">
        <f t="shared" si="54"/>
        <v>2451927</v>
      </c>
      <c r="J578" s="39">
        <f t="shared" si="55"/>
        <v>2451927.1999999997</v>
      </c>
      <c r="K578" s="42">
        <f t="shared" si="56"/>
        <v>0</v>
      </c>
      <c r="L578" s="42">
        <f t="shared" si="57"/>
        <v>2451927.1999999997</v>
      </c>
      <c r="M578" s="43"/>
      <c r="N578" s="34">
        <f t="shared" si="58"/>
        <v>-0.19999999972060323</v>
      </c>
    </row>
    <row r="579" spans="1:14" hidden="1" x14ac:dyDescent="0.25">
      <c r="A579" s="35" t="s">
        <v>944</v>
      </c>
      <c r="B579" s="36" t="s">
        <v>945</v>
      </c>
      <c r="C579" s="37" t="s">
        <v>84</v>
      </c>
      <c r="D579" s="38">
        <v>26</v>
      </c>
      <c r="E579" s="39">
        <v>26</v>
      </c>
      <c r="F579" s="39">
        <v>0</v>
      </c>
      <c r="G579" s="39">
        <f t="shared" si="59"/>
        <v>26</v>
      </c>
      <c r="H579" s="40">
        <v>94291</v>
      </c>
      <c r="I579" s="41">
        <f t="shared" ref="I579:I642" si="60">ROUND(D579*H579,0)</f>
        <v>2451566</v>
      </c>
      <c r="J579" s="39">
        <f t="shared" ref="J579:J642" si="61">E579*H579</f>
        <v>2451566</v>
      </c>
      <c r="K579" s="42">
        <f t="shared" ref="K579:K642" si="62">F579*H579</f>
        <v>0</v>
      </c>
      <c r="L579" s="42">
        <f t="shared" ref="L579:L642" si="63">G579*H579</f>
        <v>2451566</v>
      </c>
      <c r="M579" s="43"/>
      <c r="N579" s="34">
        <f t="shared" si="58"/>
        <v>0</v>
      </c>
    </row>
    <row r="580" spans="1:14" hidden="1" x14ac:dyDescent="0.25">
      <c r="A580" s="35" t="s">
        <v>946</v>
      </c>
      <c r="B580" s="36" t="s">
        <v>947</v>
      </c>
      <c r="C580" s="37" t="s">
        <v>42</v>
      </c>
      <c r="D580" s="38">
        <v>0.51</v>
      </c>
      <c r="E580" s="39">
        <v>0.51</v>
      </c>
      <c r="F580" s="39">
        <v>0</v>
      </c>
      <c r="G580" s="39">
        <f t="shared" si="59"/>
        <v>0.51</v>
      </c>
      <c r="H580" s="40">
        <v>23670194</v>
      </c>
      <c r="I580" s="41">
        <f t="shared" si="60"/>
        <v>12071799</v>
      </c>
      <c r="J580" s="39">
        <f t="shared" si="61"/>
        <v>12071798.939999999</v>
      </c>
      <c r="K580" s="42">
        <f t="shared" si="62"/>
        <v>0</v>
      </c>
      <c r="L580" s="42">
        <f t="shared" si="63"/>
        <v>12071798.939999999</v>
      </c>
      <c r="M580" s="43"/>
      <c r="N580" s="34">
        <f t="shared" ref="N580:N643" si="64">I580-L580</f>
        <v>6.0000000521540642E-2</v>
      </c>
    </row>
    <row r="581" spans="1:14" hidden="1" x14ac:dyDescent="0.25">
      <c r="A581" s="35" t="s">
        <v>948</v>
      </c>
      <c r="B581" s="36" t="s">
        <v>949</v>
      </c>
      <c r="C581" s="37" t="s">
        <v>39</v>
      </c>
      <c r="D581" s="38">
        <v>1808.04</v>
      </c>
      <c r="E581" s="39">
        <v>1808.04</v>
      </c>
      <c r="F581" s="39">
        <v>0</v>
      </c>
      <c r="G581" s="39">
        <f t="shared" si="59"/>
        <v>1808.04</v>
      </c>
      <c r="H581" s="40">
        <v>144654</v>
      </c>
      <c r="I581" s="41">
        <f t="shared" si="60"/>
        <v>261540218</v>
      </c>
      <c r="J581" s="39">
        <f t="shared" si="61"/>
        <v>261540218.16</v>
      </c>
      <c r="K581" s="42">
        <f t="shared" si="62"/>
        <v>0</v>
      </c>
      <c r="L581" s="42">
        <f t="shared" si="63"/>
        <v>261540218.16</v>
      </c>
      <c r="M581" s="43"/>
      <c r="N581" s="34">
        <f t="shared" si="64"/>
        <v>-0.15999999642372131</v>
      </c>
    </row>
    <row r="582" spans="1:14" ht="31.5" hidden="1" x14ac:dyDescent="0.25">
      <c r="A582" s="35" t="s">
        <v>950</v>
      </c>
      <c r="B582" s="36" t="s">
        <v>951</v>
      </c>
      <c r="C582" s="37" t="s">
        <v>42</v>
      </c>
      <c r="D582" s="38">
        <v>2097.4234999999999</v>
      </c>
      <c r="E582" s="39">
        <v>2097.4234999999999</v>
      </c>
      <c r="F582" s="39">
        <v>0</v>
      </c>
      <c r="G582" s="39">
        <f t="shared" si="59"/>
        <v>2097.4234999999999</v>
      </c>
      <c r="H582" s="40">
        <v>2198139</v>
      </c>
      <c r="I582" s="41">
        <f t="shared" si="60"/>
        <v>4610428395</v>
      </c>
      <c r="J582" s="39">
        <f>E582*H582</f>
        <v>4610428394.8664999</v>
      </c>
      <c r="K582" s="42">
        <f t="shared" si="62"/>
        <v>0</v>
      </c>
      <c r="L582" s="42">
        <f t="shared" si="63"/>
        <v>4610428394.8664999</v>
      </c>
      <c r="M582" s="43"/>
      <c r="N582" s="34">
        <f t="shared" si="64"/>
        <v>0.13350009918212891</v>
      </c>
    </row>
    <row r="583" spans="1:14" ht="31.5" hidden="1" x14ac:dyDescent="0.25">
      <c r="A583" s="35" t="s">
        <v>952</v>
      </c>
      <c r="B583" s="36" t="s">
        <v>923</v>
      </c>
      <c r="C583" s="37" t="s">
        <v>42</v>
      </c>
      <c r="D583" s="38">
        <v>2307.17</v>
      </c>
      <c r="E583" s="39">
        <v>2307.17</v>
      </c>
      <c r="F583" s="39">
        <v>0</v>
      </c>
      <c r="G583" s="39">
        <f t="shared" si="59"/>
        <v>2307.17</v>
      </c>
      <c r="H583" s="40">
        <v>57102</v>
      </c>
      <c r="I583" s="41">
        <f t="shared" si="60"/>
        <v>131744021</v>
      </c>
      <c r="J583" s="39">
        <f t="shared" si="61"/>
        <v>131744021.34</v>
      </c>
      <c r="K583" s="42">
        <f t="shared" si="62"/>
        <v>0</v>
      </c>
      <c r="L583" s="42">
        <f t="shared" si="63"/>
        <v>131744021.34</v>
      </c>
      <c r="M583" s="43"/>
      <c r="N583" s="34">
        <f t="shared" si="64"/>
        <v>-0.34000000357627869</v>
      </c>
    </row>
    <row r="584" spans="1:14" hidden="1" x14ac:dyDescent="0.25">
      <c r="A584" s="35" t="s">
        <v>953</v>
      </c>
      <c r="B584" s="36" t="s">
        <v>404</v>
      </c>
      <c r="C584" s="37" t="s">
        <v>42</v>
      </c>
      <c r="D584" s="38">
        <v>2307.17</v>
      </c>
      <c r="E584" s="39">
        <v>2307.17</v>
      </c>
      <c r="F584" s="39">
        <v>0</v>
      </c>
      <c r="G584" s="39">
        <f t="shared" si="59"/>
        <v>2307.17</v>
      </c>
      <c r="H584" s="40">
        <v>285443</v>
      </c>
      <c r="I584" s="41">
        <f t="shared" si="60"/>
        <v>658565526</v>
      </c>
      <c r="J584" s="39">
        <f t="shared" si="61"/>
        <v>658565526.31000006</v>
      </c>
      <c r="K584" s="42">
        <f t="shared" si="62"/>
        <v>0</v>
      </c>
      <c r="L584" s="42">
        <f t="shared" si="63"/>
        <v>658565526.31000006</v>
      </c>
      <c r="M584" s="43"/>
      <c r="N584" s="34">
        <f t="shared" si="64"/>
        <v>-0.31000006198883057</v>
      </c>
    </row>
    <row r="585" spans="1:14" hidden="1" x14ac:dyDescent="0.25">
      <c r="A585" s="35" t="s">
        <v>954</v>
      </c>
      <c r="B585" s="36" t="s">
        <v>955</v>
      </c>
      <c r="C585" s="37" t="s">
        <v>118</v>
      </c>
      <c r="D585" s="38">
        <v>26.3095</v>
      </c>
      <c r="E585" s="39">
        <v>26.3095</v>
      </c>
      <c r="F585" s="39">
        <v>0</v>
      </c>
      <c r="G585" s="39">
        <f t="shared" si="59"/>
        <v>26.3095</v>
      </c>
      <c r="H585" s="40">
        <v>27573930</v>
      </c>
      <c r="I585" s="41">
        <f t="shared" si="60"/>
        <v>725456311</v>
      </c>
      <c r="J585" s="39">
        <f t="shared" si="61"/>
        <v>725456311.33500004</v>
      </c>
      <c r="K585" s="42">
        <f t="shared" si="62"/>
        <v>0</v>
      </c>
      <c r="L585" s="42">
        <f t="shared" si="63"/>
        <v>725456311.33500004</v>
      </c>
      <c r="M585" s="43"/>
      <c r="N585" s="34">
        <f t="shared" si="64"/>
        <v>-0.33500003814697266</v>
      </c>
    </row>
    <row r="586" spans="1:14" hidden="1" x14ac:dyDescent="0.25">
      <c r="A586" s="35" t="s">
        <v>956</v>
      </c>
      <c r="B586" s="36" t="s">
        <v>957</v>
      </c>
      <c r="C586" s="37" t="s">
        <v>118</v>
      </c>
      <c r="D586" s="38">
        <v>264.63310000000001</v>
      </c>
      <c r="E586" s="39">
        <v>264.63310000000001</v>
      </c>
      <c r="F586" s="39">
        <v>0</v>
      </c>
      <c r="G586" s="39">
        <f t="shared" si="59"/>
        <v>264.63310000000001</v>
      </c>
      <c r="H586" s="40">
        <v>27141473</v>
      </c>
      <c r="I586" s="41">
        <f t="shared" si="60"/>
        <v>7182532139</v>
      </c>
      <c r="J586" s="39">
        <f t="shared" si="61"/>
        <v>7182532138.5563002</v>
      </c>
      <c r="K586" s="42">
        <f t="shared" si="62"/>
        <v>0</v>
      </c>
      <c r="L586" s="42">
        <f t="shared" si="63"/>
        <v>7182532138.5563002</v>
      </c>
      <c r="M586" s="43"/>
      <c r="N586" s="34">
        <f t="shared" si="64"/>
        <v>0.44369983673095703</v>
      </c>
    </row>
    <row r="587" spans="1:14" hidden="1" x14ac:dyDescent="0.25">
      <c r="A587" s="35" t="s">
        <v>958</v>
      </c>
      <c r="B587" s="36" t="s">
        <v>959</v>
      </c>
      <c r="C587" s="37" t="s">
        <v>118</v>
      </c>
      <c r="D587" s="38">
        <v>8.5090000000000003</v>
      </c>
      <c r="E587" s="39">
        <v>8.5090000000000003</v>
      </c>
      <c r="F587" s="39">
        <v>0</v>
      </c>
      <c r="G587" s="39">
        <f t="shared" si="59"/>
        <v>8.5090000000000003</v>
      </c>
      <c r="H587" s="40">
        <v>31912360</v>
      </c>
      <c r="I587" s="41">
        <f t="shared" si="60"/>
        <v>271542271</v>
      </c>
      <c r="J587" s="39">
        <f t="shared" si="61"/>
        <v>271542271.24000001</v>
      </c>
      <c r="K587" s="42">
        <f t="shared" si="62"/>
        <v>0</v>
      </c>
      <c r="L587" s="42">
        <f t="shared" si="63"/>
        <v>271542271.24000001</v>
      </c>
      <c r="M587" s="43"/>
      <c r="N587" s="34">
        <f t="shared" si="64"/>
        <v>-0.24000000953674316</v>
      </c>
    </row>
    <row r="588" spans="1:14" hidden="1" x14ac:dyDescent="0.25">
      <c r="A588" s="35" t="s">
        <v>960</v>
      </c>
      <c r="B588" s="36" t="s">
        <v>961</v>
      </c>
      <c r="C588" s="37" t="s">
        <v>118</v>
      </c>
      <c r="D588" s="38">
        <v>8.5090000000000003</v>
      </c>
      <c r="E588" s="39">
        <v>8.5090000000000003</v>
      </c>
      <c r="F588" s="39">
        <v>0</v>
      </c>
      <c r="G588" s="39">
        <f t="shared" si="59"/>
        <v>8.5090000000000003</v>
      </c>
      <c r="H588" s="40">
        <v>5329201</v>
      </c>
      <c r="I588" s="41">
        <f t="shared" si="60"/>
        <v>45346171</v>
      </c>
      <c r="J588" s="39">
        <f t="shared" si="61"/>
        <v>45346171.309</v>
      </c>
      <c r="K588" s="42">
        <f t="shared" si="62"/>
        <v>0</v>
      </c>
      <c r="L588" s="42">
        <f t="shared" si="63"/>
        <v>45346171.309</v>
      </c>
      <c r="M588" s="43"/>
      <c r="N588" s="34">
        <f t="shared" si="64"/>
        <v>-0.30900000035762787</v>
      </c>
    </row>
    <row r="589" spans="1:14" ht="31.5" hidden="1" x14ac:dyDescent="0.25">
      <c r="A589" s="35" t="s">
        <v>962</v>
      </c>
      <c r="B589" s="36" t="s">
        <v>963</v>
      </c>
      <c r="C589" s="37" t="s">
        <v>84</v>
      </c>
      <c r="D589" s="38">
        <v>98.6</v>
      </c>
      <c r="E589" s="39">
        <v>98.6</v>
      </c>
      <c r="F589" s="39">
        <v>0</v>
      </c>
      <c r="G589" s="39">
        <f t="shared" si="59"/>
        <v>98.6</v>
      </c>
      <c r="H589" s="40">
        <v>980795</v>
      </c>
      <c r="I589" s="41">
        <f t="shared" si="60"/>
        <v>96706387</v>
      </c>
      <c r="J589" s="39">
        <f t="shared" si="61"/>
        <v>96706387</v>
      </c>
      <c r="K589" s="42">
        <f t="shared" si="62"/>
        <v>0</v>
      </c>
      <c r="L589" s="42">
        <f t="shared" si="63"/>
        <v>96706387</v>
      </c>
      <c r="M589" s="43"/>
      <c r="N589" s="34">
        <f t="shared" si="64"/>
        <v>0</v>
      </c>
    </row>
    <row r="590" spans="1:14" ht="47.25" hidden="1" customHeight="1" x14ac:dyDescent="0.25">
      <c r="A590" s="35" t="s">
        <v>964</v>
      </c>
      <c r="B590" s="36" t="s">
        <v>965</v>
      </c>
      <c r="C590" s="37" t="s">
        <v>84</v>
      </c>
      <c r="D590" s="38">
        <v>2421.4</v>
      </c>
      <c r="E590" s="39">
        <v>2421.4</v>
      </c>
      <c r="F590" s="39">
        <v>0</v>
      </c>
      <c r="G590" s="39">
        <f t="shared" si="59"/>
        <v>2421.4</v>
      </c>
      <c r="H590" s="40">
        <v>1171576</v>
      </c>
      <c r="I590" s="41">
        <f t="shared" si="60"/>
        <v>2836854126</v>
      </c>
      <c r="J590" s="39">
        <f t="shared" si="61"/>
        <v>2836854126.4000001</v>
      </c>
      <c r="K590" s="42">
        <f t="shared" si="62"/>
        <v>0</v>
      </c>
      <c r="L590" s="42">
        <f t="shared" si="63"/>
        <v>2836854126.4000001</v>
      </c>
      <c r="M590" s="43"/>
      <c r="N590" s="34">
        <f t="shared" si="64"/>
        <v>-0.40000009536743164</v>
      </c>
    </row>
    <row r="591" spans="1:14" ht="48" hidden="1" customHeight="1" x14ac:dyDescent="0.25">
      <c r="A591" s="35" t="s">
        <v>966</v>
      </c>
      <c r="B591" s="36" t="s">
        <v>967</v>
      </c>
      <c r="C591" s="37" t="s">
        <v>84</v>
      </c>
      <c r="D591" s="38">
        <v>218.5</v>
      </c>
      <c r="E591" s="39">
        <v>218.5</v>
      </c>
      <c r="F591" s="39">
        <v>0</v>
      </c>
      <c r="G591" s="39">
        <f t="shared" si="59"/>
        <v>218.5</v>
      </c>
      <c r="H591" s="40">
        <v>1188748</v>
      </c>
      <c r="I591" s="41">
        <f t="shared" si="60"/>
        <v>259741438</v>
      </c>
      <c r="J591" s="39">
        <f t="shared" si="61"/>
        <v>259741438</v>
      </c>
      <c r="K591" s="42">
        <f t="shared" si="62"/>
        <v>0</v>
      </c>
      <c r="L591" s="42">
        <f t="shared" si="63"/>
        <v>259741438</v>
      </c>
      <c r="M591" s="43"/>
      <c r="N591" s="34">
        <f t="shared" si="64"/>
        <v>0</v>
      </c>
    </row>
    <row r="592" spans="1:14" ht="49.5" hidden="1" customHeight="1" x14ac:dyDescent="0.25">
      <c r="A592" s="35" t="s">
        <v>968</v>
      </c>
      <c r="B592" s="36" t="s">
        <v>969</v>
      </c>
      <c r="C592" s="37" t="s">
        <v>84</v>
      </c>
      <c r="D592" s="38">
        <v>206.65199999999999</v>
      </c>
      <c r="E592" s="39">
        <v>206.65199999999999</v>
      </c>
      <c r="F592" s="39">
        <v>0</v>
      </c>
      <c r="G592" s="39">
        <f t="shared" si="59"/>
        <v>206.65199999999999</v>
      </c>
      <c r="H592" s="40">
        <v>3021362</v>
      </c>
      <c r="I592" s="41">
        <f t="shared" si="60"/>
        <v>624370500</v>
      </c>
      <c r="J592" s="39">
        <f t="shared" si="61"/>
        <v>624370500.02399993</v>
      </c>
      <c r="K592" s="42">
        <f t="shared" si="62"/>
        <v>0</v>
      </c>
      <c r="L592" s="42">
        <f t="shared" si="63"/>
        <v>624370500.02399993</v>
      </c>
      <c r="M592" s="43"/>
      <c r="N592" s="34">
        <f t="shared" si="64"/>
        <v>-2.3999929428100586E-2</v>
      </c>
    </row>
    <row r="593" spans="1:14" hidden="1" x14ac:dyDescent="0.25">
      <c r="A593" s="35" t="s">
        <v>970</v>
      </c>
      <c r="B593" s="36" t="s">
        <v>971</v>
      </c>
      <c r="C593" s="37" t="s">
        <v>42</v>
      </c>
      <c r="D593" s="38">
        <v>2313.2112000000002</v>
      </c>
      <c r="E593" s="39">
        <v>2313.2112000000002</v>
      </c>
      <c r="F593" s="39">
        <v>0</v>
      </c>
      <c r="G593" s="39">
        <f t="shared" si="59"/>
        <v>2313.2112000000002</v>
      </c>
      <c r="H593" s="40">
        <v>479919</v>
      </c>
      <c r="I593" s="41">
        <f t="shared" si="60"/>
        <v>1110154006</v>
      </c>
      <c r="J593" s="39">
        <f t="shared" si="61"/>
        <v>1110154005.8928001</v>
      </c>
      <c r="K593" s="42">
        <f t="shared" si="62"/>
        <v>0</v>
      </c>
      <c r="L593" s="42">
        <f t="shared" si="63"/>
        <v>1110154005.8928001</v>
      </c>
      <c r="M593" s="43"/>
      <c r="N593" s="34">
        <f t="shared" si="64"/>
        <v>0.10719990730285645</v>
      </c>
    </row>
    <row r="594" spans="1:14" hidden="1" x14ac:dyDescent="0.25">
      <c r="A594" s="35" t="s">
        <v>972</v>
      </c>
      <c r="B594" s="36" t="s">
        <v>973</v>
      </c>
      <c r="C594" s="37" t="s">
        <v>42</v>
      </c>
      <c r="D594" s="38">
        <v>38.011299999999999</v>
      </c>
      <c r="E594" s="39">
        <v>38.011299999999999</v>
      </c>
      <c r="F594" s="39">
        <v>0</v>
      </c>
      <c r="G594" s="39">
        <f t="shared" si="59"/>
        <v>38.011299999999999</v>
      </c>
      <c r="H594" s="40">
        <v>2296256</v>
      </c>
      <c r="I594" s="41">
        <f>ROUND(D594*H594,0)</f>
        <v>87283676</v>
      </c>
      <c r="J594" s="39">
        <f t="shared" si="61"/>
        <v>87283675.6928</v>
      </c>
      <c r="K594" s="42">
        <f t="shared" si="62"/>
        <v>0</v>
      </c>
      <c r="L594" s="42">
        <f t="shared" si="63"/>
        <v>87283675.6928</v>
      </c>
      <c r="M594" s="43"/>
      <c r="N594" s="34">
        <f t="shared" si="64"/>
        <v>0.30719999969005585</v>
      </c>
    </row>
    <row r="595" spans="1:14" hidden="1" x14ac:dyDescent="0.25">
      <c r="A595" s="35" t="s">
        <v>974</v>
      </c>
      <c r="B595" s="36" t="s">
        <v>975</v>
      </c>
      <c r="C595" s="37" t="s">
        <v>84</v>
      </c>
      <c r="D595" s="38">
        <v>6126</v>
      </c>
      <c r="E595" s="39">
        <v>6126</v>
      </c>
      <c r="F595" s="39">
        <v>0</v>
      </c>
      <c r="G595" s="39">
        <f t="shared" si="59"/>
        <v>6126</v>
      </c>
      <c r="H595" s="40">
        <v>174511</v>
      </c>
      <c r="I595" s="41">
        <f t="shared" si="60"/>
        <v>1069054386</v>
      </c>
      <c r="J595" s="39">
        <f t="shared" si="61"/>
        <v>1069054386</v>
      </c>
      <c r="K595" s="42">
        <f t="shared" si="62"/>
        <v>0</v>
      </c>
      <c r="L595" s="42">
        <f t="shared" si="63"/>
        <v>1069054386</v>
      </c>
      <c r="M595" s="43"/>
      <c r="N595" s="34">
        <f t="shared" si="64"/>
        <v>0</v>
      </c>
    </row>
    <row r="596" spans="1:14" hidden="1" x14ac:dyDescent="0.25">
      <c r="A596" s="35" t="s">
        <v>976</v>
      </c>
      <c r="B596" s="36" t="s">
        <v>977</v>
      </c>
      <c r="C596" s="37" t="s">
        <v>84</v>
      </c>
      <c r="D596" s="38">
        <v>2987.4</v>
      </c>
      <c r="E596" s="39">
        <v>2987.4</v>
      </c>
      <c r="F596" s="39">
        <v>0</v>
      </c>
      <c r="G596" s="39">
        <f t="shared" si="59"/>
        <v>2987.4</v>
      </c>
      <c r="H596" s="40">
        <v>214046</v>
      </c>
      <c r="I596" s="41">
        <f t="shared" si="60"/>
        <v>639441020</v>
      </c>
      <c r="J596" s="39">
        <f t="shared" si="61"/>
        <v>639441020.39999998</v>
      </c>
      <c r="K596" s="42">
        <f t="shared" si="62"/>
        <v>0</v>
      </c>
      <c r="L596" s="42">
        <f t="shared" si="63"/>
        <v>639441020.39999998</v>
      </c>
      <c r="M596" s="43"/>
      <c r="N596" s="34">
        <f t="shared" si="64"/>
        <v>-0.39999997615814209</v>
      </c>
    </row>
    <row r="597" spans="1:14" hidden="1" x14ac:dyDescent="0.25">
      <c r="A597" s="35" t="s">
        <v>978</v>
      </c>
      <c r="B597" s="36" t="s">
        <v>979</v>
      </c>
      <c r="C597" s="37" t="s">
        <v>860</v>
      </c>
      <c r="D597" s="38">
        <v>504</v>
      </c>
      <c r="E597" s="39">
        <v>504</v>
      </c>
      <c r="F597" s="39">
        <v>0</v>
      </c>
      <c r="G597" s="39">
        <f t="shared" ref="G597:G660" si="65">E597+F597</f>
        <v>504</v>
      </c>
      <c r="H597" s="40">
        <v>4688</v>
      </c>
      <c r="I597" s="41">
        <f t="shared" si="60"/>
        <v>2362752</v>
      </c>
      <c r="J597" s="39">
        <f t="shared" si="61"/>
        <v>2362752</v>
      </c>
      <c r="K597" s="42">
        <f t="shared" si="62"/>
        <v>0</v>
      </c>
      <c r="L597" s="42">
        <f t="shared" si="63"/>
        <v>2362752</v>
      </c>
      <c r="M597" s="43"/>
      <c r="N597" s="34">
        <f t="shared" si="64"/>
        <v>0</v>
      </c>
    </row>
    <row r="598" spans="1:14" hidden="1" x14ac:dyDescent="0.25">
      <c r="A598" s="35" t="s">
        <v>980</v>
      </c>
      <c r="B598" s="36" t="s">
        <v>981</v>
      </c>
      <c r="C598" s="37" t="s">
        <v>860</v>
      </c>
      <c r="D598" s="38">
        <v>168</v>
      </c>
      <c r="E598" s="39">
        <v>168</v>
      </c>
      <c r="F598" s="39">
        <v>0</v>
      </c>
      <c r="G598" s="39">
        <f t="shared" si="65"/>
        <v>168</v>
      </c>
      <c r="H598" s="40">
        <v>11770</v>
      </c>
      <c r="I598" s="41">
        <f t="shared" si="60"/>
        <v>1977360</v>
      </c>
      <c r="J598" s="39">
        <f t="shared" si="61"/>
        <v>1977360</v>
      </c>
      <c r="K598" s="42">
        <f t="shared" si="62"/>
        <v>0</v>
      </c>
      <c r="L598" s="42">
        <f t="shared" si="63"/>
        <v>1977360</v>
      </c>
      <c r="M598" s="43"/>
      <c r="N598" s="34">
        <f t="shared" si="64"/>
        <v>0</v>
      </c>
    </row>
    <row r="599" spans="1:14" hidden="1" x14ac:dyDescent="0.25">
      <c r="A599" s="35" t="s">
        <v>982</v>
      </c>
      <c r="B599" s="36" t="s">
        <v>983</v>
      </c>
      <c r="C599" s="37" t="s">
        <v>860</v>
      </c>
      <c r="D599" s="38">
        <v>1052</v>
      </c>
      <c r="E599" s="39">
        <v>1052</v>
      </c>
      <c r="F599" s="39">
        <v>0</v>
      </c>
      <c r="G599" s="39">
        <f t="shared" si="65"/>
        <v>1052</v>
      </c>
      <c r="H599" s="40">
        <v>16259</v>
      </c>
      <c r="I599" s="41">
        <f t="shared" si="60"/>
        <v>17104468</v>
      </c>
      <c r="J599" s="39">
        <f t="shared" si="61"/>
        <v>17104468</v>
      </c>
      <c r="K599" s="42">
        <f t="shared" si="62"/>
        <v>0</v>
      </c>
      <c r="L599" s="42">
        <f t="shared" si="63"/>
        <v>17104468</v>
      </c>
      <c r="M599" s="43"/>
      <c r="N599" s="34">
        <f t="shared" si="64"/>
        <v>0</v>
      </c>
    </row>
    <row r="600" spans="1:14" hidden="1" x14ac:dyDescent="0.25">
      <c r="A600" s="35" t="s">
        <v>984</v>
      </c>
      <c r="B600" s="36" t="s">
        <v>985</v>
      </c>
      <c r="C600" s="37" t="s">
        <v>860</v>
      </c>
      <c r="D600" s="38">
        <v>526</v>
      </c>
      <c r="E600" s="39">
        <v>526</v>
      </c>
      <c r="F600" s="39">
        <v>0</v>
      </c>
      <c r="G600" s="39">
        <f t="shared" si="65"/>
        <v>526</v>
      </c>
      <c r="H600" s="40">
        <v>97184</v>
      </c>
      <c r="I600" s="41">
        <f t="shared" si="60"/>
        <v>51118784</v>
      </c>
      <c r="J600" s="39">
        <f t="shared" si="61"/>
        <v>51118784</v>
      </c>
      <c r="K600" s="42">
        <f t="shared" si="62"/>
        <v>0</v>
      </c>
      <c r="L600" s="42">
        <f t="shared" si="63"/>
        <v>51118784</v>
      </c>
      <c r="M600" s="43"/>
      <c r="N600" s="34">
        <f t="shared" si="64"/>
        <v>0</v>
      </c>
    </row>
    <row r="601" spans="1:14" hidden="1" x14ac:dyDescent="0.25">
      <c r="A601" s="35" t="s">
        <v>986</v>
      </c>
      <c r="B601" s="36" t="s">
        <v>987</v>
      </c>
      <c r="C601" s="37" t="s">
        <v>860</v>
      </c>
      <c r="D601" s="38">
        <v>18709.8</v>
      </c>
      <c r="E601" s="39">
        <v>18709.8</v>
      </c>
      <c r="F601" s="39">
        <v>0</v>
      </c>
      <c r="G601" s="39">
        <f t="shared" si="65"/>
        <v>18709.8</v>
      </c>
      <c r="H601" s="40">
        <v>44564</v>
      </c>
      <c r="I601" s="41">
        <f t="shared" si="60"/>
        <v>833783527</v>
      </c>
      <c r="J601" s="39">
        <f t="shared" si="61"/>
        <v>833783527.19999993</v>
      </c>
      <c r="K601" s="42">
        <f t="shared" si="62"/>
        <v>0</v>
      </c>
      <c r="L601" s="42">
        <f t="shared" si="63"/>
        <v>833783527.19999993</v>
      </c>
      <c r="M601" s="43"/>
      <c r="N601" s="34">
        <f t="shared" si="64"/>
        <v>-0.19999992847442627</v>
      </c>
    </row>
    <row r="602" spans="1:14" hidden="1" x14ac:dyDescent="0.25">
      <c r="A602" s="35" t="s">
        <v>988</v>
      </c>
      <c r="B602" s="36" t="s">
        <v>989</v>
      </c>
      <c r="C602" s="37" t="s">
        <v>118</v>
      </c>
      <c r="D602" s="38">
        <v>3.984</v>
      </c>
      <c r="E602" s="39">
        <v>3.984</v>
      </c>
      <c r="F602" s="39">
        <v>0</v>
      </c>
      <c r="G602" s="39">
        <f t="shared" si="65"/>
        <v>3.984</v>
      </c>
      <c r="H602" s="40">
        <v>7612923</v>
      </c>
      <c r="I602" s="41">
        <f t="shared" si="60"/>
        <v>30329885</v>
      </c>
      <c r="J602" s="39">
        <f t="shared" si="61"/>
        <v>30329885.232000001</v>
      </c>
      <c r="K602" s="42">
        <f t="shared" si="62"/>
        <v>0</v>
      </c>
      <c r="L602" s="42">
        <f t="shared" si="63"/>
        <v>30329885.232000001</v>
      </c>
      <c r="M602" s="43"/>
      <c r="N602" s="34">
        <f t="shared" si="64"/>
        <v>-0.23200000077486038</v>
      </c>
    </row>
    <row r="603" spans="1:14" ht="31.5" hidden="1" x14ac:dyDescent="0.25">
      <c r="A603" s="35" t="s">
        <v>990</v>
      </c>
      <c r="B603" s="36" t="s">
        <v>991</v>
      </c>
      <c r="C603" s="37" t="s">
        <v>118</v>
      </c>
      <c r="D603" s="38">
        <v>3.984</v>
      </c>
      <c r="E603" s="39">
        <v>3.984</v>
      </c>
      <c r="F603" s="39">
        <v>0</v>
      </c>
      <c r="G603" s="39">
        <f t="shared" si="65"/>
        <v>3.984</v>
      </c>
      <c r="H603" s="40">
        <v>9422453</v>
      </c>
      <c r="I603" s="41">
        <f t="shared" si="60"/>
        <v>37539053</v>
      </c>
      <c r="J603" s="39">
        <f t="shared" si="61"/>
        <v>37539052.751999997</v>
      </c>
      <c r="K603" s="42">
        <f t="shared" si="62"/>
        <v>0</v>
      </c>
      <c r="L603" s="42">
        <f t="shared" si="63"/>
        <v>37539052.751999997</v>
      </c>
      <c r="M603" s="43"/>
      <c r="N603" s="34">
        <f t="shared" si="64"/>
        <v>0.24800000339746475</v>
      </c>
    </row>
    <row r="604" spans="1:14" ht="31.5" hidden="1" x14ac:dyDescent="0.25">
      <c r="A604" s="35" t="s">
        <v>992</v>
      </c>
      <c r="B604" s="36" t="s">
        <v>993</v>
      </c>
      <c r="C604" s="37" t="s">
        <v>118</v>
      </c>
      <c r="D604" s="38">
        <v>3.984</v>
      </c>
      <c r="E604" s="39">
        <v>3.984</v>
      </c>
      <c r="F604" s="39">
        <v>0</v>
      </c>
      <c r="G604" s="39">
        <f t="shared" si="65"/>
        <v>3.984</v>
      </c>
      <c r="H604" s="40">
        <v>9422453</v>
      </c>
      <c r="I604" s="41">
        <f t="shared" si="60"/>
        <v>37539053</v>
      </c>
      <c r="J604" s="39">
        <f t="shared" si="61"/>
        <v>37539052.751999997</v>
      </c>
      <c r="K604" s="42">
        <f t="shared" si="62"/>
        <v>0</v>
      </c>
      <c r="L604" s="42">
        <f t="shared" si="63"/>
        <v>37539052.751999997</v>
      </c>
      <c r="M604" s="43"/>
      <c r="N604" s="34">
        <f t="shared" si="64"/>
        <v>0.24800000339746475</v>
      </c>
    </row>
    <row r="605" spans="1:14" ht="31.5" hidden="1" x14ac:dyDescent="0.25">
      <c r="A605" s="35" t="s">
        <v>994</v>
      </c>
      <c r="B605" s="36" t="s">
        <v>995</v>
      </c>
      <c r="C605" s="37" t="s">
        <v>118</v>
      </c>
      <c r="D605" s="38">
        <v>3.984</v>
      </c>
      <c r="E605" s="39">
        <v>3.984</v>
      </c>
      <c r="F605" s="39">
        <v>0</v>
      </c>
      <c r="G605" s="39">
        <f t="shared" si="65"/>
        <v>3.984</v>
      </c>
      <c r="H605" s="40">
        <v>8614945</v>
      </c>
      <c r="I605" s="41">
        <f t="shared" si="60"/>
        <v>34321941</v>
      </c>
      <c r="J605" s="39">
        <f t="shared" si="61"/>
        <v>34321940.880000003</v>
      </c>
      <c r="K605" s="42">
        <f t="shared" si="62"/>
        <v>0</v>
      </c>
      <c r="L605" s="42">
        <f t="shared" si="63"/>
        <v>34321940.880000003</v>
      </c>
      <c r="M605" s="43"/>
      <c r="N605" s="34">
        <f t="shared" si="64"/>
        <v>0.11999999731779099</v>
      </c>
    </row>
    <row r="606" spans="1:14" ht="31.5" hidden="1" x14ac:dyDescent="0.25">
      <c r="A606" s="35" t="s">
        <v>996</v>
      </c>
      <c r="B606" s="36" t="s">
        <v>997</v>
      </c>
      <c r="C606" s="37" t="s">
        <v>118</v>
      </c>
      <c r="D606" s="38">
        <v>3.984</v>
      </c>
      <c r="E606" s="39">
        <v>3.984</v>
      </c>
      <c r="F606" s="39">
        <v>0</v>
      </c>
      <c r="G606" s="39">
        <f t="shared" si="65"/>
        <v>3.984</v>
      </c>
      <c r="H606" s="40">
        <v>8614945</v>
      </c>
      <c r="I606" s="41">
        <f t="shared" si="60"/>
        <v>34321941</v>
      </c>
      <c r="J606" s="39">
        <f t="shared" si="61"/>
        <v>34321940.880000003</v>
      </c>
      <c r="K606" s="42">
        <f t="shared" si="62"/>
        <v>0</v>
      </c>
      <c r="L606" s="42">
        <f t="shared" si="63"/>
        <v>34321940.880000003</v>
      </c>
      <c r="M606" s="43"/>
      <c r="N606" s="34">
        <f t="shared" si="64"/>
        <v>0.11999999731779099</v>
      </c>
    </row>
    <row r="607" spans="1:14" hidden="1" x14ac:dyDescent="0.25">
      <c r="A607" s="35" t="s">
        <v>998</v>
      </c>
      <c r="B607" s="36" t="s">
        <v>999</v>
      </c>
      <c r="C607" s="37" t="s">
        <v>42</v>
      </c>
      <c r="D607" s="38">
        <v>75.649600000000007</v>
      </c>
      <c r="E607" s="39">
        <v>37.824800000000003</v>
      </c>
      <c r="F607" s="39">
        <v>37.824800000000003</v>
      </c>
      <c r="G607" s="39">
        <f t="shared" si="65"/>
        <v>75.649600000000007</v>
      </c>
      <c r="H607" s="40">
        <v>840810</v>
      </c>
      <c r="I607" s="41">
        <f t="shared" si="60"/>
        <v>63606940</v>
      </c>
      <c r="J607" s="39">
        <f t="shared" si="61"/>
        <v>31803470.088000003</v>
      </c>
      <c r="K607" s="42">
        <f t="shared" si="62"/>
        <v>31803470.088000003</v>
      </c>
      <c r="L607" s="42">
        <f t="shared" si="63"/>
        <v>63606940.176000006</v>
      </c>
      <c r="M607" s="43"/>
      <c r="N607" s="34">
        <f t="shared" si="64"/>
        <v>-0.17600000649690628</v>
      </c>
    </row>
    <row r="608" spans="1:14" ht="31.5" hidden="1" x14ac:dyDescent="0.25">
      <c r="A608" s="35" t="s">
        <v>1000</v>
      </c>
      <c r="B608" s="36" t="s">
        <v>1001</v>
      </c>
      <c r="C608" s="37" t="s">
        <v>1002</v>
      </c>
      <c r="D608" s="38">
        <v>2311.94</v>
      </c>
      <c r="E608" s="39">
        <v>1155.97</v>
      </c>
      <c r="F608" s="39">
        <v>1155.97</v>
      </c>
      <c r="G608" s="39">
        <f t="shared" si="65"/>
        <v>2311.94</v>
      </c>
      <c r="H608" s="40">
        <v>15707</v>
      </c>
      <c r="I608" s="41">
        <f t="shared" si="60"/>
        <v>36313642</v>
      </c>
      <c r="J608" s="39">
        <f t="shared" si="61"/>
        <v>18156820.789999999</v>
      </c>
      <c r="K608" s="42">
        <f t="shared" si="62"/>
        <v>18156820.789999999</v>
      </c>
      <c r="L608" s="42">
        <f t="shared" si="63"/>
        <v>36313641.579999998</v>
      </c>
      <c r="M608" s="43"/>
      <c r="N608" s="34">
        <f t="shared" si="64"/>
        <v>0.42000000178813934</v>
      </c>
    </row>
    <row r="609" spans="1:14" ht="31.5" hidden="1" x14ac:dyDescent="0.25">
      <c r="A609" s="35" t="s">
        <v>1003</v>
      </c>
      <c r="B609" s="36" t="s">
        <v>1004</v>
      </c>
      <c r="C609" s="37" t="s">
        <v>42</v>
      </c>
      <c r="D609" s="38">
        <v>2311.94</v>
      </c>
      <c r="E609" s="39">
        <v>1155.97</v>
      </c>
      <c r="F609" s="39">
        <v>1155.97</v>
      </c>
      <c r="G609" s="39">
        <f t="shared" si="65"/>
        <v>2311.94</v>
      </c>
      <c r="H609" s="40">
        <v>56948</v>
      </c>
      <c r="I609" s="41">
        <f t="shared" si="60"/>
        <v>131660359</v>
      </c>
      <c r="J609" s="39">
        <f t="shared" si="61"/>
        <v>65830179.560000002</v>
      </c>
      <c r="K609" s="42">
        <f t="shared" si="62"/>
        <v>65830179.560000002</v>
      </c>
      <c r="L609" s="42">
        <f t="shared" si="63"/>
        <v>131660359.12</v>
      </c>
      <c r="M609" s="43"/>
      <c r="N609" s="34">
        <f t="shared" si="64"/>
        <v>-0.12000000476837158</v>
      </c>
    </row>
    <row r="610" spans="1:14" hidden="1" x14ac:dyDescent="0.25">
      <c r="A610" s="35" t="s">
        <v>1005</v>
      </c>
      <c r="B610" s="36" t="s">
        <v>1006</v>
      </c>
      <c r="C610" s="37" t="s">
        <v>42</v>
      </c>
      <c r="D610" s="38">
        <v>75.649600000000007</v>
      </c>
      <c r="E610" s="39">
        <v>37.824800000000003</v>
      </c>
      <c r="F610" s="39">
        <v>37.824800000000003</v>
      </c>
      <c r="G610" s="39">
        <f t="shared" si="65"/>
        <v>75.649600000000007</v>
      </c>
      <c r="H610" s="40">
        <v>72655</v>
      </c>
      <c r="I610" s="41">
        <f t="shared" si="60"/>
        <v>5496322</v>
      </c>
      <c r="J610" s="39">
        <f t="shared" si="61"/>
        <v>2748160.844</v>
      </c>
      <c r="K610" s="42">
        <f t="shared" si="62"/>
        <v>2748160.844</v>
      </c>
      <c r="L610" s="42">
        <f t="shared" si="63"/>
        <v>5496321.6880000001</v>
      </c>
      <c r="M610" s="43"/>
      <c r="N610" s="34">
        <f t="shared" si="64"/>
        <v>0.31199999991804361</v>
      </c>
    </row>
    <row r="611" spans="1:14" ht="63" hidden="1" x14ac:dyDescent="0.25">
      <c r="A611" s="35" t="s">
        <v>1007</v>
      </c>
      <c r="B611" s="36" t="s">
        <v>1008</v>
      </c>
      <c r="C611" s="37" t="s">
        <v>1009</v>
      </c>
      <c r="D611" s="38">
        <v>252</v>
      </c>
      <c r="E611" s="39">
        <v>126</v>
      </c>
      <c r="F611" s="39">
        <v>126</v>
      </c>
      <c r="G611" s="39">
        <f t="shared" si="65"/>
        <v>252</v>
      </c>
      <c r="H611" s="40">
        <v>753290</v>
      </c>
      <c r="I611" s="41">
        <f t="shared" si="60"/>
        <v>189829080</v>
      </c>
      <c r="J611" s="39">
        <f t="shared" si="61"/>
        <v>94914540</v>
      </c>
      <c r="K611" s="42">
        <f t="shared" si="62"/>
        <v>94914540</v>
      </c>
      <c r="L611" s="42">
        <f t="shared" si="63"/>
        <v>189829080</v>
      </c>
      <c r="M611" s="43"/>
      <c r="N611" s="34">
        <f t="shared" si="64"/>
        <v>0</v>
      </c>
    </row>
    <row r="612" spans="1:14" hidden="1" x14ac:dyDescent="0.25">
      <c r="A612" s="35" t="s">
        <v>1010</v>
      </c>
      <c r="B612" s="36" t="s">
        <v>1011</v>
      </c>
      <c r="C612" s="37" t="s">
        <v>1012</v>
      </c>
      <c r="D612" s="38">
        <v>4</v>
      </c>
      <c r="E612" s="39">
        <v>2</v>
      </c>
      <c r="F612" s="39">
        <v>2</v>
      </c>
      <c r="G612" s="39">
        <f t="shared" si="65"/>
        <v>4</v>
      </c>
      <c r="H612" s="40">
        <v>5121205</v>
      </c>
      <c r="I612" s="41">
        <f t="shared" si="60"/>
        <v>20484820</v>
      </c>
      <c r="J612" s="39">
        <f t="shared" si="61"/>
        <v>10242410</v>
      </c>
      <c r="K612" s="42">
        <f t="shared" si="62"/>
        <v>10242410</v>
      </c>
      <c r="L612" s="42">
        <f t="shared" si="63"/>
        <v>20484820</v>
      </c>
      <c r="M612" s="43"/>
      <c r="N612" s="34">
        <f t="shared" si="64"/>
        <v>0</v>
      </c>
    </row>
    <row r="613" spans="1:14" ht="31.5" hidden="1" x14ac:dyDescent="0.25">
      <c r="A613" s="35" t="s">
        <v>1013</v>
      </c>
      <c r="B613" s="36" t="s">
        <v>1014</v>
      </c>
      <c r="C613" s="37" t="s">
        <v>1015</v>
      </c>
      <c r="D613" s="38">
        <v>4</v>
      </c>
      <c r="E613" s="39">
        <v>2</v>
      </c>
      <c r="F613" s="39">
        <v>2</v>
      </c>
      <c r="G613" s="39">
        <f t="shared" si="65"/>
        <v>4</v>
      </c>
      <c r="H613" s="40">
        <v>22607396</v>
      </c>
      <c r="I613" s="41">
        <f t="shared" si="60"/>
        <v>90429584</v>
      </c>
      <c r="J613" s="39">
        <f t="shared" si="61"/>
        <v>45214792</v>
      </c>
      <c r="K613" s="42">
        <f t="shared" si="62"/>
        <v>45214792</v>
      </c>
      <c r="L613" s="42">
        <f t="shared" si="63"/>
        <v>90429584</v>
      </c>
      <c r="M613" s="43"/>
      <c r="N613" s="34">
        <f t="shared" si="64"/>
        <v>0</v>
      </c>
    </row>
    <row r="614" spans="1:14" hidden="1" x14ac:dyDescent="0.25">
      <c r="A614" s="35" t="s">
        <v>1016</v>
      </c>
      <c r="B614" s="36" t="s">
        <v>1017</v>
      </c>
      <c r="C614" s="37" t="s">
        <v>42</v>
      </c>
      <c r="D614" s="38">
        <v>13.351800000000001</v>
      </c>
      <c r="E614" s="39">
        <v>13.351800000000001</v>
      </c>
      <c r="F614" s="39">
        <v>0</v>
      </c>
      <c r="G614" s="39">
        <f t="shared" si="65"/>
        <v>13.351800000000001</v>
      </c>
      <c r="H614" s="40">
        <v>2198139</v>
      </c>
      <c r="I614" s="41">
        <f t="shared" si="60"/>
        <v>29349112</v>
      </c>
      <c r="J614" s="39">
        <f t="shared" si="61"/>
        <v>29349112.3002</v>
      </c>
      <c r="K614" s="42">
        <f t="shared" si="62"/>
        <v>0</v>
      </c>
      <c r="L614" s="42">
        <f t="shared" si="63"/>
        <v>29349112.3002</v>
      </c>
      <c r="M614" s="43"/>
      <c r="N614" s="34">
        <f t="shared" si="64"/>
        <v>-0.30020000040531158</v>
      </c>
    </row>
    <row r="615" spans="1:14" hidden="1" x14ac:dyDescent="0.25">
      <c r="A615" s="35" t="s">
        <v>1018</v>
      </c>
      <c r="B615" s="36" t="s">
        <v>722</v>
      </c>
      <c r="C615" s="37" t="s">
        <v>42</v>
      </c>
      <c r="D615" s="38">
        <v>14.686999999999999</v>
      </c>
      <c r="E615" s="39">
        <v>14.686999999999999</v>
      </c>
      <c r="F615" s="39">
        <v>0</v>
      </c>
      <c r="G615" s="39">
        <f t="shared" si="65"/>
        <v>14.686999999999999</v>
      </c>
      <c r="H615" s="40">
        <v>57102</v>
      </c>
      <c r="I615" s="41">
        <f t="shared" si="60"/>
        <v>838657</v>
      </c>
      <c r="J615" s="39">
        <f t="shared" si="61"/>
        <v>838657.07400000002</v>
      </c>
      <c r="K615" s="42">
        <f t="shared" si="62"/>
        <v>0</v>
      </c>
      <c r="L615" s="42">
        <f t="shared" si="63"/>
        <v>838657.07400000002</v>
      </c>
      <c r="M615" s="43"/>
      <c r="N615" s="34">
        <f t="shared" si="64"/>
        <v>-7.4000000022351742E-2</v>
      </c>
    </row>
    <row r="616" spans="1:14" hidden="1" x14ac:dyDescent="0.25">
      <c r="A616" s="35" t="s">
        <v>1019</v>
      </c>
      <c r="B616" s="36" t="s">
        <v>404</v>
      </c>
      <c r="C616" s="37" t="s">
        <v>42</v>
      </c>
      <c r="D616" s="38">
        <v>14.686999999999999</v>
      </c>
      <c r="E616" s="39">
        <v>14.686999999999999</v>
      </c>
      <c r="F616" s="39">
        <v>0</v>
      </c>
      <c r="G616" s="39">
        <f t="shared" si="65"/>
        <v>14.686999999999999</v>
      </c>
      <c r="H616" s="40">
        <v>132072</v>
      </c>
      <c r="I616" s="41">
        <f t="shared" si="60"/>
        <v>1939741</v>
      </c>
      <c r="J616" s="39">
        <f t="shared" si="61"/>
        <v>1939741.4639999999</v>
      </c>
      <c r="K616" s="42">
        <f t="shared" si="62"/>
        <v>0</v>
      </c>
      <c r="L616" s="42">
        <f t="shared" si="63"/>
        <v>1939741.4639999999</v>
      </c>
      <c r="M616" s="43"/>
      <c r="N616" s="34">
        <f t="shared" si="64"/>
        <v>-0.46399999991990626</v>
      </c>
    </row>
    <row r="617" spans="1:14" hidden="1" x14ac:dyDescent="0.25">
      <c r="A617" s="35" t="s">
        <v>1020</v>
      </c>
      <c r="B617" s="36" t="s">
        <v>955</v>
      </c>
      <c r="C617" s="37" t="s">
        <v>118</v>
      </c>
      <c r="D617" s="38">
        <v>0.2</v>
      </c>
      <c r="E617" s="39">
        <v>0.2</v>
      </c>
      <c r="F617" s="39">
        <v>0</v>
      </c>
      <c r="G617" s="39">
        <f t="shared" si="65"/>
        <v>0.2</v>
      </c>
      <c r="H617" s="40">
        <v>27573930</v>
      </c>
      <c r="I617" s="41">
        <f t="shared" si="60"/>
        <v>5514786</v>
      </c>
      <c r="J617" s="39">
        <f t="shared" si="61"/>
        <v>5514786</v>
      </c>
      <c r="K617" s="42">
        <f t="shared" si="62"/>
        <v>0</v>
      </c>
      <c r="L617" s="42">
        <f t="shared" si="63"/>
        <v>5514786</v>
      </c>
      <c r="M617" s="43"/>
      <c r="N617" s="34">
        <f t="shared" si="64"/>
        <v>0</v>
      </c>
    </row>
    <row r="618" spans="1:14" hidden="1" x14ac:dyDescent="0.25">
      <c r="A618" s="35" t="s">
        <v>1021</v>
      </c>
      <c r="B618" s="36" t="s">
        <v>957</v>
      </c>
      <c r="C618" s="37" t="s">
        <v>118</v>
      </c>
      <c r="D618" s="38">
        <v>0.09</v>
      </c>
      <c r="E618" s="39">
        <v>0.09</v>
      </c>
      <c r="F618" s="39">
        <v>0</v>
      </c>
      <c r="G618" s="39">
        <f>E618+F618</f>
        <v>0.09</v>
      </c>
      <c r="H618" s="40">
        <v>27141473</v>
      </c>
      <c r="I618" s="41">
        <f t="shared" si="60"/>
        <v>2442733</v>
      </c>
      <c r="J618" s="39">
        <f t="shared" si="61"/>
        <v>2442732.5699999998</v>
      </c>
      <c r="K618" s="42">
        <f t="shared" si="62"/>
        <v>0</v>
      </c>
      <c r="L618" s="42">
        <f t="shared" si="63"/>
        <v>2442732.5699999998</v>
      </c>
      <c r="M618" s="43"/>
      <c r="N618" s="34">
        <f t="shared" si="64"/>
        <v>0.43000000016763806</v>
      </c>
    </row>
    <row r="619" spans="1:14" hidden="1" x14ac:dyDescent="0.25">
      <c r="A619" s="35" t="s">
        <v>1022</v>
      </c>
      <c r="B619" s="36" t="s">
        <v>959</v>
      </c>
      <c r="C619" s="37" t="s">
        <v>118</v>
      </c>
      <c r="D619" s="38">
        <v>0.06</v>
      </c>
      <c r="E619" s="39">
        <v>0.06</v>
      </c>
      <c r="F619" s="39">
        <v>0</v>
      </c>
      <c r="G619" s="39">
        <f t="shared" si="65"/>
        <v>0.06</v>
      </c>
      <c r="H619" s="40">
        <v>31912360</v>
      </c>
      <c r="I619" s="41">
        <f t="shared" si="60"/>
        <v>1914742</v>
      </c>
      <c r="J619" s="39">
        <f t="shared" si="61"/>
        <v>1914741.5999999999</v>
      </c>
      <c r="K619" s="42">
        <f t="shared" si="62"/>
        <v>0</v>
      </c>
      <c r="L619" s="42">
        <f t="shared" si="63"/>
        <v>1914741.5999999999</v>
      </c>
      <c r="M619" s="43"/>
      <c r="N619" s="34">
        <f t="shared" si="64"/>
        <v>0.40000000013969839</v>
      </c>
    </row>
    <row r="620" spans="1:14" hidden="1" x14ac:dyDescent="0.25">
      <c r="A620" s="35" t="s">
        <v>1023</v>
      </c>
      <c r="B620" s="36" t="s">
        <v>961</v>
      </c>
      <c r="C620" s="37" t="s">
        <v>118</v>
      </c>
      <c r="D620" s="38">
        <v>0.06</v>
      </c>
      <c r="E620" s="39">
        <v>0.06</v>
      </c>
      <c r="F620" s="39">
        <v>0</v>
      </c>
      <c r="G620" s="39">
        <f t="shared" si="65"/>
        <v>0.06</v>
      </c>
      <c r="H620" s="40">
        <v>5329201</v>
      </c>
      <c r="I620" s="41">
        <f t="shared" si="60"/>
        <v>319752</v>
      </c>
      <c r="J620" s="39">
        <f t="shared" si="61"/>
        <v>319752.06</v>
      </c>
      <c r="K620" s="42">
        <f t="shared" si="62"/>
        <v>0</v>
      </c>
      <c r="L620" s="42">
        <f t="shared" si="63"/>
        <v>319752.06</v>
      </c>
      <c r="M620" s="43"/>
      <c r="N620" s="34">
        <f t="shared" si="64"/>
        <v>-5.9999999997671694E-2</v>
      </c>
    </row>
    <row r="621" spans="1:14" hidden="1" x14ac:dyDescent="0.25">
      <c r="A621" s="35" t="s">
        <v>1024</v>
      </c>
      <c r="B621" s="36" t="s">
        <v>973</v>
      </c>
      <c r="C621" s="37" t="s">
        <v>42</v>
      </c>
      <c r="D621" s="38">
        <v>0.24</v>
      </c>
      <c r="E621" s="39">
        <v>0.24</v>
      </c>
      <c r="F621" s="39">
        <v>0</v>
      </c>
      <c r="G621" s="39">
        <f t="shared" si="65"/>
        <v>0.24</v>
      </c>
      <c r="H621" s="40">
        <v>2296256</v>
      </c>
      <c r="I621" s="41">
        <f t="shared" si="60"/>
        <v>551101</v>
      </c>
      <c r="J621" s="39">
        <f t="shared" si="61"/>
        <v>551101.43999999994</v>
      </c>
      <c r="K621" s="42">
        <f t="shared" si="62"/>
        <v>0</v>
      </c>
      <c r="L621" s="42">
        <f t="shared" si="63"/>
        <v>551101.43999999994</v>
      </c>
      <c r="M621" s="43"/>
      <c r="N621" s="34">
        <f t="shared" si="64"/>
        <v>-0.43999999994412065</v>
      </c>
    </row>
    <row r="622" spans="1:14" hidden="1" x14ac:dyDescent="0.25">
      <c r="A622" s="35" t="s">
        <v>1025</v>
      </c>
      <c r="B622" s="36" t="s">
        <v>975</v>
      </c>
      <c r="C622" s="37" t="s">
        <v>84</v>
      </c>
      <c r="D622" s="38">
        <v>34</v>
      </c>
      <c r="E622" s="39">
        <v>34</v>
      </c>
      <c r="F622" s="39">
        <v>0</v>
      </c>
      <c r="G622" s="39">
        <f t="shared" si="65"/>
        <v>34</v>
      </c>
      <c r="H622" s="40">
        <v>174511</v>
      </c>
      <c r="I622" s="41">
        <f t="shared" si="60"/>
        <v>5933374</v>
      </c>
      <c r="J622" s="39">
        <f t="shared" si="61"/>
        <v>5933374</v>
      </c>
      <c r="K622" s="42">
        <f t="shared" si="62"/>
        <v>0</v>
      </c>
      <c r="L622" s="42">
        <f t="shared" si="63"/>
        <v>5933374</v>
      </c>
      <c r="M622" s="43"/>
      <c r="N622" s="34">
        <f t="shared" si="64"/>
        <v>0</v>
      </c>
    </row>
    <row r="623" spans="1:14" hidden="1" x14ac:dyDescent="0.25">
      <c r="A623" s="35" t="s">
        <v>1026</v>
      </c>
      <c r="B623" s="36" t="s">
        <v>977</v>
      </c>
      <c r="C623" s="37" t="s">
        <v>84</v>
      </c>
      <c r="D623" s="38">
        <v>17</v>
      </c>
      <c r="E623" s="39">
        <v>17</v>
      </c>
      <c r="F623" s="39">
        <v>0</v>
      </c>
      <c r="G623" s="39">
        <f t="shared" si="65"/>
        <v>17</v>
      </c>
      <c r="H623" s="40">
        <v>214046</v>
      </c>
      <c r="I623" s="41">
        <f t="shared" si="60"/>
        <v>3638782</v>
      </c>
      <c r="J623" s="39">
        <f t="shared" si="61"/>
        <v>3638782</v>
      </c>
      <c r="K623" s="42">
        <f t="shared" si="62"/>
        <v>0</v>
      </c>
      <c r="L623" s="42">
        <f t="shared" si="63"/>
        <v>3638782</v>
      </c>
      <c r="M623" s="43"/>
      <c r="N623" s="34">
        <f t="shared" si="64"/>
        <v>0</v>
      </c>
    </row>
    <row r="624" spans="1:14" hidden="1" x14ac:dyDescent="0.25">
      <c r="A624" s="35" t="s">
        <v>1027</v>
      </c>
      <c r="B624" s="36" t="s">
        <v>999</v>
      </c>
      <c r="C624" s="37" t="s">
        <v>42</v>
      </c>
      <c r="D624" s="38">
        <v>13.351800000000001</v>
      </c>
      <c r="E624" s="39">
        <v>13.351800000000001</v>
      </c>
      <c r="F624" s="39">
        <v>0</v>
      </c>
      <c r="G624" s="39">
        <f t="shared" si="65"/>
        <v>13.351800000000001</v>
      </c>
      <c r="H624" s="40">
        <v>840810</v>
      </c>
      <c r="I624" s="41">
        <f t="shared" si="60"/>
        <v>11226327</v>
      </c>
      <c r="J624" s="39">
        <f t="shared" si="61"/>
        <v>11226326.958000001</v>
      </c>
      <c r="K624" s="42">
        <f t="shared" si="62"/>
        <v>0</v>
      </c>
      <c r="L624" s="42">
        <f t="shared" si="63"/>
        <v>11226326.958000001</v>
      </c>
      <c r="M624" s="43"/>
      <c r="N624" s="34">
        <f t="shared" si="64"/>
        <v>4.1999999433755875E-2</v>
      </c>
    </row>
    <row r="625" spans="1:14" hidden="1" x14ac:dyDescent="0.25">
      <c r="A625" s="35" t="s">
        <v>1028</v>
      </c>
      <c r="B625" s="36" t="s">
        <v>1029</v>
      </c>
      <c r="C625" s="37" t="s">
        <v>42</v>
      </c>
      <c r="D625" s="38">
        <v>13.35</v>
      </c>
      <c r="E625" s="39">
        <v>13.35</v>
      </c>
      <c r="F625" s="39">
        <v>0</v>
      </c>
      <c r="G625" s="39">
        <f t="shared" si="65"/>
        <v>13.35</v>
      </c>
      <c r="H625" s="40">
        <v>57318.19</v>
      </c>
      <c r="I625" s="41">
        <f t="shared" si="60"/>
        <v>765198</v>
      </c>
      <c r="J625" s="39">
        <f t="shared" si="61"/>
        <v>765197.83649999998</v>
      </c>
      <c r="K625" s="42">
        <f t="shared" si="62"/>
        <v>0</v>
      </c>
      <c r="L625" s="42">
        <f t="shared" si="63"/>
        <v>765197.83649999998</v>
      </c>
      <c r="M625" s="43"/>
      <c r="N625" s="34">
        <f t="shared" si="64"/>
        <v>0.16350000002421439</v>
      </c>
    </row>
    <row r="626" spans="1:14" hidden="1" x14ac:dyDescent="0.25">
      <c r="A626" s="35" t="s">
        <v>1030</v>
      </c>
      <c r="B626" s="36" t="s">
        <v>989</v>
      </c>
      <c r="C626" s="37" t="s">
        <v>118</v>
      </c>
      <c r="D626" s="38">
        <v>0.3</v>
      </c>
      <c r="E626" s="39">
        <v>0.3</v>
      </c>
      <c r="F626" s="39">
        <v>0</v>
      </c>
      <c r="G626" s="39">
        <f t="shared" si="65"/>
        <v>0.3</v>
      </c>
      <c r="H626" s="40">
        <v>30799905</v>
      </c>
      <c r="I626" s="41">
        <f t="shared" si="60"/>
        <v>9239972</v>
      </c>
      <c r="J626" s="39">
        <f t="shared" si="61"/>
        <v>9239971.5</v>
      </c>
      <c r="K626" s="42">
        <f t="shared" si="62"/>
        <v>0</v>
      </c>
      <c r="L626" s="42">
        <f t="shared" si="63"/>
        <v>9239971.5</v>
      </c>
      <c r="M626" s="43"/>
      <c r="N626" s="34">
        <f t="shared" si="64"/>
        <v>0.5</v>
      </c>
    </row>
    <row r="627" spans="1:14" ht="18" hidden="1" customHeight="1" x14ac:dyDescent="0.25">
      <c r="A627" s="35" t="s">
        <v>1031</v>
      </c>
      <c r="B627" s="36" t="s">
        <v>1032</v>
      </c>
      <c r="C627" s="37" t="s">
        <v>118</v>
      </c>
      <c r="D627" s="38">
        <v>0.3</v>
      </c>
      <c r="E627" s="39">
        <v>0.3</v>
      </c>
      <c r="F627" s="39">
        <v>0</v>
      </c>
      <c r="G627" s="39">
        <f t="shared" si="65"/>
        <v>0.3</v>
      </c>
      <c r="H627" s="40">
        <v>10743587</v>
      </c>
      <c r="I627" s="41">
        <f t="shared" si="60"/>
        <v>3223076</v>
      </c>
      <c r="J627" s="39">
        <f t="shared" si="61"/>
        <v>3223076.1</v>
      </c>
      <c r="K627" s="42">
        <f t="shared" si="62"/>
        <v>0</v>
      </c>
      <c r="L627" s="42">
        <f t="shared" si="63"/>
        <v>3223076.1</v>
      </c>
      <c r="M627" s="43"/>
      <c r="N627" s="34">
        <f t="shared" si="64"/>
        <v>-0.10000000009313226</v>
      </c>
    </row>
    <row r="628" spans="1:14" ht="45.75" hidden="1" customHeight="1" x14ac:dyDescent="0.25">
      <c r="A628" s="35" t="s">
        <v>1033</v>
      </c>
      <c r="B628" s="36" t="s">
        <v>1034</v>
      </c>
      <c r="C628" s="37" t="s">
        <v>118</v>
      </c>
      <c r="D628" s="38">
        <v>49.127299999999998</v>
      </c>
      <c r="E628" s="39">
        <v>24.563649999999999</v>
      </c>
      <c r="F628" s="39">
        <v>24.563649999999999</v>
      </c>
      <c r="G628" s="39">
        <f t="shared" si="65"/>
        <v>49.127299999999998</v>
      </c>
      <c r="H628" s="40">
        <v>10406267</v>
      </c>
      <c r="I628" s="41">
        <f t="shared" si="60"/>
        <v>511231801</v>
      </c>
      <c r="J628" s="39">
        <f t="shared" si="61"/>
        <v>255615900.39455</v>
      </c>
      <c r="K628" s="42">
        <f t="shared" si="62"/>
        <v>255615900.39455</v>
      </c>
      <c r="L628" s="42">
        <f t="shared" si="63"/>
        <v>511231800.78909999</v>
      </c>
      <c r="M628" s="43"/>
      <c r="N628" s="34">
        <f t="shared" si="64"/>
        <v>0.21090000867843628</v>
      </c>
    </row>
    <row r="629" spans="1:14" hidden="1" x14ac:dyDescent="0.25">
      <c r="A629" s="35" t="s">
        <v>1035</v>
      </c>
      <c r="B629" s="36" t="s">
        <v>1036</v>
      </c>
      <c r="C629" s="37" t="s">
        <v>118</v>
      </c>
      <c r="D629" s="38">
        <v>49.13</v>
      </c>
      <c r="E629" s="39">
        <v>0</v>
      </c>
      <c r="F629" s="39">
        <v>49.13</v>
      </c>
      <c r="G629" s="39">
        <f t="shared" si="65"/>
        <v>49.13</v>
      </c>
      <c r="H629" s="40">
        <v>1512019</v>
      </c>
      <c r="I629" s="41">
        <f>ROUND(D629*H629,0)</f>
        <v>74285493</v>
      </c>
      <c r="J629" s="39">
        <f t="shared" si="61"/>
        <v>0</v>
      </c>
      <c r="K629" s="42">
        <f t="shared" si="62"/>
        <v>74285493.469999999</v>
      </c>
      <c r="L629" s="42">
        <f t="shared" si="63"/>
        <v>74285493.469999999</v>
      </c>
      <c r="M629" s="43"/>
      <c r="N629" s="34">
        <f t="shared" si="64"/>
        <v>-0.4699999988079071</v>
      </c>
    </row>
    <row r="630" spans="1:14" hidden="1" x14ac:dyDescent="0.25">
      <c r="A630" s="35" t="s">
        <v>1037</v>
      </c>
      <c r="B630" s="36" t="s">
        <v>1038</v>
      </c>
      <c r="C630" s="37" t="s">
        <v>118</v>
      </c>
      <c r="D630" s="38">
        <v>49.13</v>
      </c>
      <c r="E630" s="39">
        <v>49.13</v>
      </c>
      <c r="F630" s="39">
        <v>0</v>
      </c>
      <c r="G630" s="39">
        <f t="shared" si="65"/>
        <v>49.13</v>
      </c>
      <c r="H630" s="40">
        <v>1512019</v>
      </c>
      <c r="I630" s="41">
        <f t="shared" si="60"/>
        <v>74285493</v>
      </c>
      <c r="J630" s="39">
        <f>E630*H630</f>
        <v>74285493.469999999</v>
      </c>
      <c r="K630" s="42">
        <f t="shared" si="62"/>
        <v>0</v>
      </c>
      <c r="L630" s="42">
        <f t="shared" si="63"/>
        <v>74285493.469999999</v>
      </c>
      <c r="M630" s="43"/>
      <c r="N630" s="34">
        <f t="shared" si="64"/>
        <v>-0.4699999988079071</v>
      </c>
    </row>
    <row r="631" spans="1:14" hidden="1" x14ac:dyDescent="0.25">
      <c r="A631" s="35" t="s">
        <v>1039</v>
      </c>
      <c r="B631" s="36" t="s">
        <v>1040</v>
      </c>
      <c r="C631" s="37" t="s">
        <v>118</v>
      </c>
      <c r="D631" s="38">
        <v>49.13</v>
      </c>
      <c r="E631" s="39">
        <v>0</v>
      </c>
      <c r="F631" s="39">
        <v>49.13</v>
      </c>
      <c r="G631" s="39">
        <f t="shared" si="65"/>
        <v>49.13</v>
      </c>
      <c r="H631" s="40">
        <v>1512019</v>
      </c>
      <c r="I631" s="41">
        <f t="shared" si="60"/>
        <v>74285493</v>
      </c>
      <c r="J631" s="39">
        <f t="shared" si="61"/>
        <v>0</v>
      </c>
      <c r="K631" s="42">
        <f t="shared" si="62"/>
        <v>74285493.469999999</v>
      </c>
      <c r="L631" s="42">
        <f t="shared" si="63"/>
        <v>74285493.469999999</v>
      </c>
      <c r="M631" s="43"/>
      <c r="N631" s="34">
        <f t="shared" si="64"/>
        <v>-0.4699999988079071</v>
      </c>
    </row>
    <row r="632" spans="1:14" hidden="1" x14ac:dyDescent="0.25">
      <c r="A632" s="35" t="s">
        <v>1041</v>
      </c>
      <c r="B632" s="36" t="s">
        <v>1042</v>
      </c>
      <c r="C632" s="37" t="s">
        <v>118</v>
      </c>
      <c r="D632" s="38">
        <v>49.13</v>
      </c>
      <c r="E632" s="39">
        <v>49.13</v>
      </c>
      <c r="F632" s="39">
        <v>0</v>
      </c>
      <c r="G632" s="39">
        <f t="shared" si="65"/>
        <v>49.13</v>
      </c>
      <c r="H632" s="40">
        <v>1512019</v>
      </c>
      <c r="I632" s="41">
        <f t="shared" si="60"/>
        <v>74285493</v>
      </c>
      <c r="J632" s="39">
        <f t="shared" si="61"/>
        <v>74285493.469999999</v>
      </c>
      <c r="K632" s="42">
        <f t="shared" si="62"/>
        <v>0</v>
      </c>
      <c r="L632" s="42">
        <f t="shared" si="63"/>
        <v>74285493.469999999</v>
      </c>
      <c r="M632" s="43"/>
      <c r="N632" s="34">
        <f t="shared" si="64"/>
        <v>-0.4699999988079071</v>
      </c>
    </row>
    <row r="633" spans="1:14" hidden="1" x14ac:dyDescent="0.25">
      <c r="A633" s="35" t="s">
        <v>1043</v>
      </c>
      <c r="B633" s="36" t="s">
        <v>1044</v>
      </c>
      <c r="C633" s="37" t="s">
        <v>118</v>
      </c>
      <c r="D633" s="38">
        <v>40.64</v>
      </c>
      <c r="E633" s="39">
        <v>40.64</v>
      </c>
      <c r="F633" s="39">
        <v>0</v>
      </c>
      <c r="G633" s="39">
        <f t="shared" si="65"/>
        <v>40.64</v>
      </c>
      <c r="H633" s="40">
        <v>1512019</v>
      </c>
      <c r="I633" s="41">
        <f t="shared" si="60"/>
        <v>61448452</v>
      </c>
      <c r="J633" s="39">
        <f t="shared" si="61"/>
        <v>61448452.160000004</v>
      </c>
      <c r="K633" s="42">
        <f t="shared" si="62"/>
        <v>0</v>
      </c>
      <c r="L633" s="42">
        <f t="shared" si="63"/>
        <v>61448452.160000004</v>
      </c>
      <c r="M633" s="43"/>
      <c r="N633" s="34">
        <f t="shared" si="64"/>
        <v>-0.16000000387430191</v>
      </c>
    </row>
    <row r="634" spans="1:14" hidden="1" x14ac:dyDescent="0.25">
      <c r="A634" s="35" t="s">
        <v>1045</v>
      </c>
      <c r="B634" s="36" t="s">
        <v>1046</v>
      </c>
      <c r="C634" s="37" t="s">
        <v>118</v>
      </c>
      <c r="D634" s="38">
        <v>40.64</v>
      </c>
      <c r="E634" s="39">
        <v>40.64</v>
      </c>
      <c r="F634" s="39">
        <v>0</v>
      </c>
      <c r="G634" s="39">
        <f t="shared" si="65"/>
        <v>40.64</v>
      </c>
      <c r="H634" s="40">
        <v>1565192</v>
      </c>
      <c r="I634" s="41">
        <f t="shared" si="60"/>
        <v>63609403</v>
      </c>
      <c r="J634" s="39">
        <f t="shared" si="61"/>
        <v>63609402.880000003</v>
      </c>
      <c r="K634" s="42">
        <f t="shared" si="62"/>
        <v>0</v>
      </c>
      <c r="L634" s="42">
        <f t="shared" si="63"/>
        <v>63609402.880000003</v>
      </c>
      <c r="M634" s="43"/>
      <c r="N634" s="34">
        <f t="shared" si="64"/>
        <v>0.11999999731779099</v>
      </c>
    </row>
    <row r="635" spans="1:14" hidden="1" x14ac:dyDescent="0.25">
      <c r="A635" s="35" t="s">
        <v>1047</v>
      </c>
      <c r="B635" s="36" t="s">
        <v>1048</v>
      </c>
      <c r="C635" s="37" t="s">
        <v>118</v>
      </c>
      <c r="D635" s="38">
        <v>40.64</v>
      </c>
      <c r="E635" s="39">
        <v>0</v>
      </c>
      <c r="F635" s="39">
        <v>40.64</v>
      </c>
      <c r="G635" s="39">
        <f t="shared" si="65"/>
        <v>40.64</v>
      </c>
      <c r="H635" s="40">
        <v>1512019</v>
      </c>
      <c r="I635" s="41">
        <f t="shared" si="60"/>
        <v>61448452</v>
      </c>
      <c r="J635" s="39">
        <f t="shared" si="61"/>
        <v>0</v>
      </c>
      <c r="K635" s="42">
        <f t="shared" si="62"/>
        <v>61448452.160000004</v>
      </c>
      <c r="L635" s="42">
        <f t="shared" si="63"/>
        <v>61448452.160000004</v>
      </c>
      <c r="M635" s="43"/>
      <c r="N635" s="34">
        <f t="shared" si="64"/>
        <v>-0.16000000387430191</v>
      </c>
    </row>
    <row r="636" spans="1:14" hidden="1" x14ac:dyDescent="0.25">
      <c r="A636" s="35" t="s">
        <v>1049</v>
      </c>
      <c r="B636" s="36" t="s">
        <v>1050</v>
      </c>
      <c r="C636" s="37" t="s">
        <v>118</v>
      </c>
      <c r="D636" s="38">
        <v>40.64</v>
      </c>
      <c r="E636" s="39">
        <v>40.64</v>
      </c>
      <c r="F636" s="39">
        <v>0</v>
      </c>
      <c r="G636" s="39">
        <f t="shared" si="65"/>
        <v>40.64</v>
      </c>
      <c r="H636" s="40">
        <v>1512019</v>
      </c>
      <c r="I636" s="41">
        <f t="shared" si="60"/>
        <v>61448452</v>
      </c>
      <c r="J636" s="39">
        <f t="shared" si="61"/>
        <v>61448452.160000004</v>
      </c>
      <c r="K636" s="42">
        <f t="shared" si="62"/>
        <v>0</v>
      </c>
      <c r="L636" s="42">
        <f t="shared" si="63"/>
        <v>61448452.160000004</v>
      </c>
      <c r="M636" s="43"/>
      <c r="N636" s="34">
        <f t="shared" si="64"/>
        <v>-0.16000000387430191</v>
      </c>
    </row>
    <row r="637" spans="1:14" hidden="1" x14ac:dyDescent="0.25">
      <c r="A637" s="35" t="s">
        <v>1051</v>
      </c>
      <c r="B637" s="36" t="s">
        <v>1052</v>
      </c>
      <c r="C637" s="37" t="s">
        <v>118</v>
      </c>
      <c r="D637" s="38">
        <v>359.06</v>
      </c>
      <c r="E637" s="39">
        <v>130</v>
      </c>
      <c r="F637" s="39">
        <v>229.06</v>
      </c>
      <c r="G637" s="39">
        <f t="shared" si="65"/>
        <v>359.06</v>
      </c>
      <c r="H637" s="40">
        <v>5687244</v>
      </c>
      <c r="I637" s="41">
        <f t="shared" si="60"/>
        <v>2042061831</v>
      </c>
      <c r="J637" s="39">
        <f t="shared" si="61"/>
        <v>739341720</v>
      </c>
      <c r="K637" s="42">
        <f t="shared" si="62"/>
        <v>1302720110.6400001</v>
      </c>
      <c r="L637" s="42">
        <f t="shared" si="63"/>
        <v>2042061830.6400001</v>
      </c>
      <c r="M637" s="43"/>
      <c r="N637" s="34">
        <f t="shared" si="64"/>
        <v>0.3599998950958252</v>
      </c>
    </row>
    <row r="638" spans="1:14" hidden="1" x14ac:dyDescent="0.25">
      <c r="A638" s="35" t="s">
        <v>1053</v>
      </c>
      <c r="B638" s="36" t="s">
        <v>1054</v>
      </c>
      <c r="C638" s="37" t="s">
        <v>118</v>
      </c>
      <c r="D638" s="38">
        <v>359.06</v>
      </c>
      <c r="E638" s="39">
        <v>179.53</v>
      </c>
      <c r="F638" s="39">
        <v>179.53</v>
      </c>
      <c r="G638" s="39">
        <f t="shared" si="65"/>
        <v>359.06</v>
      </c>
      <c r="H638" s="40">
        <v>2343426</v>
      </c>
      <c r="I638" s="41">
        <f t="shared" si="60"/>
        <v>841430540</v>
      </c>
      <c r="J638" s="39">
        <f t="shared" si="61"/>
        <v>420715269.78000003</v>
      </c>
      <c r="K638" s="42">
        <f t="shared" si="62"/>
        <v>420715269.78000003</v>
      </c>
      <c r="L638" s="42">
        <f t="shared" si="63"/>
        <v>841430539.56000006</v>
      </c>
      <c r="M638" s="43"/>
      <c r="N638" s="34">
        <f t="shared" si="64"/>
        <v>0.43999993801116943</v>
      </c>
    </row>
    <row r="639" spans="1:14" ht="31.5" hidden="1" x14ac:dyDescent="0.25">
      <c r="A639" s="35" t="s">
        <v>1055</v>
      </c>
      <c r="B639" s="36" t="s">
        <v>1056</v>
      </c>
      <c r="C639" s="37" t="s">
        <v>118</v>
      </c>
      <c r="D639" s="38">
        <v>113.24</v>
      </c>
      <c r="E639" s="39">
        <v>0</v>
      </c>
      <c r="F639" s="39">
        <v>113.24</v>
      </c>
      <c r="G639" s="39">
        <f t="shared" si="65"/>
        <v>113.24</v>
      </c>
      <c r="H639" s="40">
        <v>2165664</v>
      </c>
      <c r="I639" s="41">
        <f t="shared" si="60"/>
        <v>245239791</v>
      </c>
      <c r="J639" s="39">
        <f t="shared" si="61"/>
        <v>0</v>
      </c>
      <c r="K639" s="42">
        <f t="shared" si="62"/>
        <v>245239791.35999998</v>
      </c>
      <c r="L639" s="42">
        <f t="shared" si="63"/>
        <v>245239791.35999998</v>
      </c>
      <c r="M639" s="43"/>
      <c r="N639" s="34">
        <f t="shared" si="64"/>
        <v>-0.35999998450279236</v>
      </c>
    </row>
    <row r="640" spans="1:14" ht="31.5" hidden="1" x14ac:dyDescent="0.25">
      <c r="A640" s="35" t="s">
        <v>1057</v>
      </c>
      <c r="B640" s="36" t="s">
        <v>1058</v>
      </c>
      <c r="C640" s="37" t="s">
        <v>118</v>
      </c>
      <c r="D640" s="38">
        <v>113.24</v>
      </c>
      <c r="E640" s="39">
        <v>56.62</v>
      </c>
      <c r="F640" s="39">
        <v>56.62</v>
      </c>
      <c r="G640" s="39">
        <f t="shared" si="65"/>
        <v>113.24</v>
      </c>
      <c r="H640" s="40">
        <v>2165664</v>
      </c>
      <c r="I640" s="41">
        <f t="shared" si="60"/>
        <v>245239791</v>
      </c>
      <c r="J640" s="39">
        <f t="shared" si="61"/>
        <v>122619895.67999999</v>
      </c>
      <c r="K640" s="42">
        <f t="shared" si="62"/>
        <v>122619895.67999999</v>
      </c>
      <c r="L640" s="42">
        <f t="shared" si="63"/>
        <v>245239791.35999998</v>
      </c>
      <c r="M640" s="43"/>
      <c r="N640" s="34">
        <f t="shared" si="64"/>
        <v>-0.35999998450279236</v>
      </c>
    </row>
    <row r="641" spans="1:15" hidden="1" x14ac:dyDescent="0.25">
      <c r="A641" s="35" t="s">
        <v>1059</v>
      </c>
      <c r="B641" s="36" t="s">
        <v>1060</v>
      </c>
      <c r="C641" s="37" t="s">
        <v>84</v>
      </c>
      <c r="D641" s="38">
        <v>5704</v>
      </c>
      <c r="E641" s="39">
        <v>2852</v>
      </c>
      <c r="F641" s="39">
        <v>2852</v>
      </c>
      <c r="G641" s="39">
        <f t="shared" si="65"/>
        <v>5704</v>
      </c>
      <c r="H641" s="40">
        <v>67386</v>
      </c>
      <c r="I641" s="41">
        <f t="shared" si="60"/>
        <v>384369744</v>
      </c>
      <c r="J641" s="39">
        <f t="shared" si="61"/>
        <v>192184872</v>
      </c>
      <c r="K641" s="42">
        <f t="shared" si="62"/>
        <v>192184872</v>
      </c>
      <c r="L641" s="42">
        <f t="shared" si="63"/>
        <v>384369744</v>
      </c>
      <c r="M641" s="43"/>
      <c r="N641" s="34">
        <f t="shared" si="64"/>
        <v>0</v>
      </c>
    </row>
    <row r="642" spans="1:15" ht="31.5" hidden="1" x14ac:dyDescent="0.25">
      <c r="A642" s="35" t="s">
        <v>1061</v>
      </c>
      <c r="B642" s="36" t="s">
        <v>1062</v>
      </c>
      <c r="C642" s="37" t="s">
        <v>84</v>
      </c>
      <c r="D642" s="38">
        <v>248</v>
      </c>
      <c r="E642" s="39">
        <v>124</v>
      </c>
      <c r="F642" s="39">
        <v>124</v>
      </c>
      <c r="G642" s="39">
        <f t="shared" si="65"/>
        <v>248</v>
      </c>
      <c r="H642" s="40">
        <v>67386</v>
      </c>
      <c r="I642" s="41">
        <f t="shared" si="60"/>
        <v>16711728</v>
      </c>
      <c r="J642" s="39">
        <f t="shared" si="61"/>
        <v>8355864</v>
      </c>
      <c r="K642" s="42">
        <f t="shared" si="62"/>
        <v>8355864</v>
      </c>
      <c r="L642" s="42">
        <f t="shared" si="63"/>
        <v>16711728</v>
      </c>
      <c r="M642" s="43"/>
      <c r="N642" s="34">
        <f t="shared" si="64"/>
        <v>0</v>
      </c>
    </row>
    <row r="643" spans="1:15" hidden="1" x14ac:dyDescent="0.25">
      <c r="A643" s="35" t="s">
        <v>1063</v>
      </c>
      <c r="B643" s="36" t="s">
        <v>1064</v>
      </c>
      <c r="C643" s="37" t="s">
        <v>84</v>
      </c>
      <c r="D643" s="38">
        <v>5704</v>
      </c>
      <c r="E643" s="39">
        <v>2852</v>
      </c>
      <c r="F643" s="39">
        <v>2852</v>
      </c>
      <c r="G643" s="39">
        <f t="shared" si="65"/>
        <v>5704</v>
      </c>
      <c r="H643" s="40">
        <v>52562</v>
      </c>
      <c r="I643" s="41">
        <f t="shared" ref="I643:I705" si="66">ROUND(D643*H643,0)</f>
        <v>299813648</v>
      </c>
      <c r="J643" s="39">
        <f t="shared" ref="J643:J705" si="67">E643*H643</f>
        <v>149906824</v>
      </c>
      <c r="K643" s="42">
        <f t="shared" ref="K643:K705" si="68">F643*H643</f>
        <v>149906824</v>
      </c>
      <c r="L643" s="42">
        <f t="shared" ref="L643:L705" si="69">G643*H643</f>
        <v>299813648</v>
      </c>
      <c r="M643" s="43"/>
      <c r="N643" s="34">
        <f t="shared" si="64"/>
        <v>0</v>
      </c>
    </row>
    <row r="644" spans="1:15" hidden="1" x14ac:dyDescent="0.25">
      <c r="A644" s="35" t="s">
        <v>1065</v>
      </c>
      <c r="B644" s="36" t="s">
        <v>1066</v>
      </c>
      <c r="C644" s="37" t="s">
        <v>42</v>
      </c>
      <c r="D644" s="38">
        <v>5522.2103999999999</v>
      </c>
      <c r="E644" s="39">
        <v>2761.1052</v>
      </c>
      <c r="F644" s="39">
        <v>2761.1052</v>
      </c>
      <c r="G644" s="39">
        <f t="shared" si="65"/>
        <v>5522.2103999999999</v>
      </c>
      <c r="H644" s="40">
        <v>21361</v>
      </c>
      <c r="I644" s="41">
        <f t="shared" si="66"/>
        <v>117959936</v>
      </c>
      <c r="J644" s="39">
        <f t="shared" si="67"/>
        <v>58979968.177199997</v>
      </c>
      <c r="K644" s="42">
        <f t="shared" si="68"/>
        <v>58979968.177199997</v>
      </c>
      <c r="L644" s="42">
        <f t="shared" si="69"/>
        <v>117959936.35439999</v>
      </c>
      <c r="M644" s="43"/>
      <c r="N644" s="34">
        <f t="shared" ref="N644:N705" si="70">I644-L644</f>
        <v>-0.35439999401569366</v>
      </c>
    </row>
    <row r="645" spans="1:15" hidden="1" x14ac:dyDescent="0.25">
      <c r="A645" s="35" t="s">
        <v>1067</v>
      </c>
      <c r="B645" s="36" t="s">
        <v>1068</v>
      </c>
      <c r="C645" s="37" t="s">
        <v>42</v>
      </c>
      <c r="D645" s="38">
        <v>2881.1</v>
      </c>
      <c r="E645" s="39">
        <v>1440.55</v>
      </c>
      <c r="F645" s="39">
        <v>1440.55</v>
      </c>
      <c r="G645" s="39">
        <f t="shared" si="65"/>
        <v>2881.1</v>
      </c>
      <c r="H645" s="40">
        <v>19560</v>
      </c>
      <c r="I645" s="41">
        <f t="shared" si="66"/>
        <v>56354316</v>
      </c>
      <c r="J645" s="39">
        <f t="shared" si="67"/>
        <v>28177158</v>
      </c>
      <c r="K645" s="42">
        <f t="shared" si="68"/>
        <v>28177158</v>
      </c>
      <c r="L645" s="42">
        <f t="shared" si="69"/>
        <v>56354316</v>
      </c>
      <c r="M645" s="43"/>
      <c r="N645" s="34">
        <f t="shared" si="70"/>
        <v>0</v>
      </c>
    </row>
    <row r="646" spans="1:15" hidden="1" x14ac:dyDescent="0.25">
      <c r="A646" s="35" t="s">
        <v>1069</v>
      </c>
      <c r="B646" s="36" t="s">
        <v>1070</v>
      </c>
      <c r="C646" s="37" t="s">
        <v>42</v>
      </c>
      <c r="D646" s="38">
        <v>994.42079999999999</v>
      </c>
      <c r="E646" s="39">
        <v>497.21039999999999</v>
      </c>
      <c r="F646" s="39">
        <v>497.21039999999999</v>
      </c>
      <c r="G646" s="39">
        <f t="shared" si="65"/>
        <v>994.42079999999999</v>
      </c>
      <c r="H646" s="40">
        <v>12936</v>
      </c>
      <c r="I646" s="41">
        <f t="shared" si="66"/>
        <v>12863827</v>
      </c>
      <c r="J646" s="39">
        <f t="shared" si="67"/>
        <v>6431913.7343999995</v>
      </c>
      <c r="K646" s="42">
        <f t="shared" si="68"/>
        <v>6431913.7343999995</v>
      </c>
      <c r="L646" s="42">
        <f t="shared" si="69"/>
        <v>12863827.468799999</v>
      </c>
      <c r="M646" s="43"/>
      <c r="N646" s="34">
        <f t="shared" si="70"/>
        <v>-0.46879999898374081</v>
      </c>
    </row>
    <row r="647" spans="1:15" ht="51" hidden="1" customHeight="1" x14ac:dyDescent="0.25">
      <c r="A647" s="35" t="s">
        <v>1071</v>
      </c>
      <c r="B647" s="36" t="s">
        <v>1072</v>
      </c>
      <c r="C647" s="37" t="s">
        <v>42</v>
      </c>
      <c r="D647" s="38">
        <v>48.6</v>
      </c>
      <c r="E647" s="39">
        <v>24.3</v>
      </c>
      <c r="F647" s="39">
        <v>24.3</v>
      </c>
      <c r="G647" s="39">
        <f t="shared" si="65"/>
        <v>48.6</v>
      </c>
      <c r="H647" s="40">
        <v>1570800</v>
      </c>
      <c r="I647" s="41">
        <f t="shared" si="66"/>
        <v>76340880</v>
      </c>
      <c r="J647" s="39">
        <f t="shared" si="67"/>
        <v>38170440</v>
      </c>
      <c r="K647" s="42">
        <f t="shared" si="68"/>
        <v>38170440</v>
      </c>
      <c r="L647" s="42">
        <f t="shared" si="69"/>
        <v>76340880</v>
      </c>
      <c r="M647" s="43"/>
      <c r="N647" s="34">
        <f t="shared" si="70"/>
        <v>0</v>
      </c>
    </row>
    <row r="648" spans="1:15" ht="21.75" hidden="1" customHeight="1" x14ac:dyDescent="0.25">
      <c r="A648" s="35" t="s">
        <v>1073</v>
      </c>
      <c r="B648" s="36" t="s">
        <v>1074</v>
      </c>
      <c r="C648" s="37" t="s">
        <v>42</v>
      </c>
      <c r="D648" s="38">
        <v>573.76</v>
      </c>
      <c r="E648" s="39">
        <v>286.88</v>
      </c>
      <c r="F648" s="39">
        <v>286.88</v>
      </c>
      <c r="G648" s="39">
        <f t="shared" si="65"/>
        <v>573.76</v>
      </c>
      <c r="H648" s="40">
        <v>1602004</v>
      </c>
      <c r="I648" s="41">
        <f t="shared" si="66"/>
        <v>919165815</v>
      </c>
      <c r="J648" s="39">
        <f t="shared" si="67"/>
        <v>459582907.51999998</v>
      </c>
      <c r="K648" s="42">
        <f t="shared" si="68"/>
        <v>459582907.51999998</v>
      </c>
      <c r="L648" s="42">
        <f>G648*H648</f>
        <v>919165815.03999996</v>
      </c>
      <c r="M648" s="43"/>
      <c r="N648" s="34">
        <f t="shared" si="70"/>
        <v>-3.9999961853027344E-2</v>
      </c>
    </row>
    <row r="649" spans="1:15" ht="34.5" hidden="1" customHeight="1" x14ac:dyDescent="0.25">
      <c r="A649" s="35" t="s">
        <v>1075</v>
      </c>
      <c r="B649" s="36" t="s">
        <v>1004</v>
      </c>
      <c r="C649" s="37" t="s">
        <v>42</v>
      </c>
      <c r="D649" s="38">
        <v>4398.51</v>
      </c>
      <c r="E649" s="39">
        <v>2199.2550000000001</v>
      </c>
      <c r="F649" s="39">
        <v>2199.2550000000001</v>
      </c>
      <c r="G649" s="39">
        <f>E649+F649</f>
        <v>4398.51</v>
      </c>
      <c r="H649" s="40">
        <v>42711</v>
      </c>
      <c r="I649" s="41">
        <f t="shared" si="66"/>
        <v>187864761</v>
      </c>
      <c r="J649" s="39">
        <f t="shared" si="67"/>
        <v>93932380.305000007</v>
      </c>
      <c r="K649" s="42">
        <f t="shared" si="68"/>
        <v>93932380.305000007</v>
      </c>
      <c r="L649" s="42">
        <f t="shared" si="69"/>
        <v>187864760.61000001</v>
      </c>
      <c r="M649" s="43"/>
      <c r="N649" s="34">
        <f t="shared" si="70"/>
        <v>0.38999998569488525</v>
      </c>
    </row>
    <row r="650" spans="1:15" hidden="1" x14ac:dyDescent="0.25">
      <c r="A650" s="35" t="s">
        <v>1076</v>
      </c>
      <c r="B650" s="36" t="s">
        <v>722</v>
      </c>
      <c r="C650" s="37" t="s">
        <v>42</v>
      </c>
      <c r="D650" s="38">
        <v>585.23519999999996</v>
      </c>
      <c r="E650" s="39">
        <v>0</v>
      </c>
      <c r="F650" s="39">
        <v>585.23519999999996</v>
      </c>
      <c r="G650" s="39">
        <f t="shared" si="65"/>
        <v>585.23519999999996</v>
      </c>
      <c r="H650" s="40">
        <v>57102</v>
      </c>
      <c r="I650" s="41">
        <f t="shared" si="66"/>
        <v>33418100</v>
      </c>
      <c r="J650" s="39">
        <f t="shared" si="67"/>
        <v>0</v>
      </c>
      <c r="K650" s="42">
        <f t="shared" si="68"/>
        <v>33418100.390399996</v>
      </c>
      <c r="L650" s="42">
        <f t="shared" si="69"/>
        <v>33418100.390399996</v>
      </c>
      <c r="M650" s="43"/>
      <c r="N650" s="34">
        <f t="shared" si="70"/>
        <v>-0.3903999961912632</v>
      </c>
    </row>
    <row r="651" spans="1:15" hidden="1" x14ac:dyDescent="0.25">
      <c r="A651" s="35" t="s">
        <v>1077</v>
      </c>
      <c r="B651" s="36" t="s">
        <v>404</v>
      </c>
      <c r="C651" s="37" t="s">
        <v>42</v>
      </c>
      <c r="D651" s="38">
        <v>585.24</v>
      </c>
      <c r="E651" s="39">
        <v>0</v>
      </c>
      <c r="F651" s="39">
        <v>585.24</v>
      </c>
      <c r="G651" s="39">
        <f t="shared" si="65"/>
        <v>585.24</v>
      </c>
      <c r="H651" s="40">
        <v>285443</v>
      </c>
      <c r="I651" s="41">
        <f t="shared" si="66"/>
        <v>167052661</v>
      </c>
      <c r="J651" s="39">
        <f t="shared" si="67"/>
        <v>0</v>
      </c>
      <c r="K651" s="42">
        <f t="shared" si="68"/>
        <v>167052661.31999999</v>
      </c>
      <c r="L651" s="42">
        <f t="shared" si="69"/>
        <v>167052661.31999999</v>
      </c>
      <c r="M651" s="43"/>
      <c r="N651" s="34">
        <f t="shared" si="70"/>
        <v>-0.31999999284744263</v>
      </c>
      <c r="O651" s="24" t="s">
        <v>1078</v>
      </c>
    </row>
    <row r="652" spans="1:15" hidden="1" x14ac:dyDescent="0.25">
      <c r="A652" s="35" t="s">
        <v>1079</v>
      </c>
      <c r="B652" s="36" t="s">
        <v>1080</v>
      </c>
      <c r="C652" s="37" t="s">
        <v>42</v>
      </c>
      <c r="D652" s="38">
        <v>6951.9075999999995</v>
      </c>
      <c r="E652" s="39">
        <v>5779.3109399999994</v>
      </c>
      <c r="F652" s="39">
        <v>1172.5966600000002</v>
      </c>
      <c r="G652" s="39">
        <f t="shared" si="65"/>
        <v>6951.9075999999995</v>
      </c>
      <c r="H652" s="40">
        <v>292922</v>
      </c>
      <c r="I652" s="41">
        <f t="shared" si="66"/>
        <v>2036366678</v>
      </c>
      <c r="J652" s="39">
        <f t="shared" si="67"/>
        <v>1692887319.1666799</v>
      </c>
      <c r="K652" s="42">
        <f t="shared" si="68"/>
        <v>343479358.84052002</v>
      </c>
      <c r="L652" s="42">
        <f t="shared" si="69"/>
        <v>2036366678.0071998</v>
      </c>
      <c r="M652" s="43"/>
      <c r="N652" s="34">
        <f t="shared" si="70"/>
        <v>-7.1997642517089844E-3</v>
      </c>
    </row>
    <row r="653" spans="1:15" hidden="1" x14ac:dyDescent="0.25">
      <c r="A653" s="35" t="s">
        <v>1081</v>
      </c>
      <c r="B653" s="36" t="s">
        <v>1082</v>
      </c>
      <c r="C653" s="37" t="s">
        <v>42</v>
      </c>
      <c r="D653" s="38">
        <v>3402.2836000000002</v>
      </c>
      <c r="E653" s="39">
        <v>0</v>
      </c>
      <c r="F653" s="38">
        <v>3402.2836000000002</v>
      </c>
      <c r="G653" s="39">
        <f t="shared" si="65"/>
        <v>3402.2836000000002</v>
      </c>
      <c r="H653" s="40">
        <v>12936</v>
      </c>
      <c r="I653" s="41">
        <f t="shared" si="66"/>
        <v>44011941</v>
      </c>
      <c r="J653" s="39">
        <f t="shared" si="67"/>
        <v>0</v>
      </c>
      <c r="K653" s="42">
        <f t="shared" si="68"/>
        <v>44011940.649599999</v>
      </c>
      <c r="L653" s="42">
        <f t="shared" si="69"/>
        <v>44011940.649599999</v>
      </c>
      <c r="M653" s="43"/>
      <c r="N653" s="34">
        <f t="shared" si="70"/>
        <v>0.35040000081062317</v>
      </c>
    </row>
    <row r="654" spans="1:15" hidden="1" x14ac:dyDescent="0.25">
      <c r="A654" s="35" t="s">
        <v>1083</v>
      </c>
      <c r="B654" s="36" t="s">
        <v>1084</v>
      </c>
      <c r="C654" s="37" t="s">
        <v>42</v>
      </c>
      <c r="D654" s="38">
        <v>274.85919999999999</v>
      </c>
      <c r="E654" s="39">
        <v>0</v>
      </c>
      <c r="F654" s="38">
        <v>274.85919999999999</v>
      </c>
      <c r="G654" s="39">
        <f t="shared" si="65"/>
        <v>274.85919999999999</v>
      </c>
      <c r="H654" s="40">
        <v>20072</v>
      </c>
      <c r="I654" s="41">
        <f t="shared" si="66"/>
        <v>5516974</v>
      </c>
      <c r="J654" s="39">
        <f t="shared" si="67"/>
        <v>0</v>
      </c>
      <c r="K654" s="42">
        <f t="shared" si="68"/>
        <v>5516973.8624</v>
      </c>
      <c r="L654" s="42">
        <f t="shared" si="69"/>
        <v>5516973.8624</v>
      </c>
      <c r="M654" s="43"/>
      <c r="N654" s="34">
        <f t="shared" si="70"/>
        <v>0.13760000001639128</v>
      </c>
    </row>
    <row r="655" spans="1:15" hidden="1" x14ac:dyDescent="0.25">
      <c r="A655" s="35" t="s">
        <v>1085</v>
      </c>
      <c r="B655" s="36" t="s">
        <v>1086</v>
      </c>
      <c r="C655" s="37" t="s">
        <v>42</v>
      </c>
      <c r="D655" s="38">
        <v>9165.0097000000005</v>
      </c>
      <c r="E655" s="39">
        <v>0</v>
      </c>
      <c r="F655" s="38">
        <v>4582.5048500000003</v>
      </c>
      <c r="G655" s="39">
        <f t="shared" si="65"/>
        <v>4582.5048500000003</v>
      </c>
      <c r="H655" s="40">
        <v>15760</v>
      </c>
      <c r="I655" s="41">
        <f t="shared" si="66"/>
        <v>144440553</v>
      </c>
      <c r="J655" s="39">
        <f t="shared" si="67"/>
        <v>0</v>
      </c>
      <c r="K655" s="42">
        <f t="shared" si="68"/>
        <v>72220276.436000004</v>
      </c>
      <c r="L655" s="42">
        <f t="shared" si="69"/>
        <v>72220276.436000004</v>
      </c>
      <c r="M655" s="43"/>
      <c r="N655" s="34">
        <f t="shared" si="70"/>
        <v>72220276.563999996</v>
      </c>
    </row>
    <row r="656" spans="1:15" ht="38.25" hidden="1" customHeight="1" x14ac:dyDescent="0.25">
      <c r="A656" s="35" t="s">
        <v>1087</v>
      </c>
      <c r="B656" s="36" t="s">
        <v>1004</v>
      </c>
      <c r="C656" s="37" t="s">
        <v>42</v>
      </c>
      <c r="D656" s="38">
        <v>5361.43</v>
      </c>
      <c r="E656" s="39">
        <v>0</v>
      </c>
      <c r="F656" s="38">
        <v>2680.7150000000001</v>
      </c>
      <c r="G656" s="39">
        <f t="shared" si="65"/>
        <v>2680.7150000000001</v>
      </c>
      <c r="H656" s="40">
        <v>40424</v>
      </c>
      <c r="I656" s="41">
        <f t="shared" si="66"/>
        <v>216730446</v>
      </c>
      <c r="J656" s="39">
        <f t="shared" si="67"/>
        <v>0</v>
      </c>
      <c r="K656" s="42">
        <f t="shared" si="68"/>
        <v>108365223.16000001</v>
      </c>
      <c r="L656" s="42">
        <f t="shared" si="69"/>
        <v>108365223.16000001</v>
      </c>
      <c r="M656" s="43"/>
      <c r="N656" s="34">
        <f t="shared" si="70"/>
        <v>108365222.83999999</v>
      </c>
    </row>
    <row r="657" spans="1:15" hidden="1" x14ac:dyDescent="0.25">
      <c r="A657" s="35" t="s">
        <v>1088</v>
      </c>
      <c r="B657" s="36" t="s">
        <v>1089</v>
      </c>
      <c r="C657" s="37" t="s">
        <v>42</v>
      </c>
      <c r="D657" s="38">
        <v>99.285600000000002</v>
      </c>
      <c r="E657" s="39">
        <v>0</v>
      </c>
      <c r="F657" s="38"/>
      <c r="G657" s="39">
        <f t="shared" si="65"/>
        <v>0</v>
      </c>
      <c r="H657" s="40">
        <v>1817922</v>
      </c>
      <c r="I657" s="41">
        <f t="shared" si="66"/>
        <v>180493477</v>
      </c>
      <c r="J657" s="39">
        <f t="shared" si="67"/>
        <v>0</v>
      </c>
      <c r="K657" s="42">
        <f t="shared" si="68"/>
        <v>0</v>
      </c>
      <c r="L657" s="42">
        <f t="shared" si="69"/>
        <v>0</v>
      </c>
      <c r="M657" s="43"/>
      <c r="N657" s="34">
        <f t="shared" si="70"/>
        <v>180493477</v>
      </c>
      <c r="O657" s="24" t="s">
        <v>1090</v>
      </c>
    </row>
    <row r="658" spans="1:15" hidden="1" x14ac:dyDescent="0.25">
      <c r="A658" s="35" t="s">
        <v>1091</v>
      </c>
      <c r="B658" s="36" t="s">
        <v>845</v>
      </c>
      <c r="C658" s="37" t="s">
        <v>118</v>
      </c>
      <c r="D658" s="38">
        <v>1.7562</v>
      </c>
      <c r="E658" s="39">
        <v>0</v>
      </c>
      <c r="F658" s="38"/>
      <c r="G658" s="39">
        <f t="shared" si="65"/>
        <v>0</v>
      </c>
      <c r="H658" s="40">
        <v>24801577</v>
      </c>
      <c r="I658" s="41">
        <f t="shared" si="66"/>
        <v>43556530</v>
      </c>
      <c r="J658" s="39">
        <f t="shared" si="67"/>
        <v>0</v>
      </c>
      <c r="K658" s="42">
        <f t="shared" si="68"/>
        <v>0</v>
      </c>
      <c r="L658" s="42">
        <f t="shared" si="69"/>
        <v>0</v>
      </c>
      <c r="M658" s="43"/>
      <c r="N658" s="34">
        <f t="shared" si="70"/>
        <v>43556530</v>
      </c>
    </row>
    <row r="659" spans="1:15" hidden="1" x14ac:dyDescent="0.25">
      <c r="A659" s="35" t="s">
        <v>1092</v>
      </c>
      <c r="B659" s="36" t="s">
        <v>396</v>
      </c>
      <c r="C659" s="37" t="s">
        <v>39</v>
      </c>
      <c r="D659" s="38">
        <v>884.23929999999996</v>
      </c>
      <c r="E659" s="39">
        <v>0</v>
      </c>
      <c r="F659" s="38"/>
      <c r="G659" s="39">
        <f t="shared" si="65"/>
        <v>0</v>
      </c>
      <c r="H659" s="40">
        <v>20017</v>
      </c>
      <c r="I659" s="41">
        <f t="shared" si="66"/>
        <v>17699818</v>
      </c>
      <c r="J659" s="39">
        <f t="shared" si="67"/>
        <v>0</v>
      </c>
      <c r="K659" s="42">
        <f t="shared" si="68"/>
        <v>0</v>
      </c>
      <c r="L659" s="42">
        <f t="shared" si="69"/>
        <v>0</v>
      </c>
      <c r="M659" s="43"/>
      <c r="N659" s="34">
        <f t="shared" si="70"/>
        <v>17699818</v>
      </c>
    </row>
    <row r="660" spans="1:15" hidden="1" x14ac:dyDescent="0.25">
      <c r="A660" s="35" t="s">
        <v>1093</v>
      </c>
      <c r="B660" s="36" t="s">
        <v>853</v>
      </c>
      <c r="C660" s="37" t="s">
        <v>39</v>
      </c>
      <c r="D660" s="38">
        <v>224.41139999999999</v>
      </c>
      <c r="E660" s="39">
        <v>0</v>
      </c>
      <c r="F660" s="38"/>
      <c r="G660" s="39">
        <f t="shared" si="65"/>
        <v>0</v>
      </c>
      <c r="H660" s="40">
        <v>214840</v>
      </c>
      <c r="I660" s="41">
        <f t="shared" si="66"/>
        <v>48212545</v>
      </c>
      <c r="J660" s="39">
        <f t="shared" si="67"/>
        <v>0</v>
      </c>
      <c r="K660" s="42">
        <f t="shared" si="68"/>
        <v>0</v>
      </c>
      <c r="L660" s="42">
        <f t="shared" si="69"/>
        <v>0</v>
      </c>
      <c r="M660" s="43"/>
      <c r="N660" s="34">
        <f t="shared" si="70"/>
        <v>48212545</v>
      </c>
    </row>
    <row r="661" spans="1:15" hidden="1" x14ac:dyDescent="0.25">
      <c r="A661" s="35" t="s">
        <v>1094</v>
      </c>
      <c r="B661" s="36" t="s">
        <v>1095</v>
      </c>
      <c r="C661" s="37" t="s">
        <v>42</v>
      </c>
      <c r="D661" s="38">
        <v>4.4882</v>
      </c>
      <c r="E661" s="39">
        <v>0</v>
      </c>
      <c r="F661" s="38"/>
      <c r="G661" s="39">
        <f t="shared" ref="G661:G719" si="71">E661+F661</f>
        <v>0</v>
      </c>
      <c r="H661" s="40">
        <v>1152723</v>
      </c>
      <c r="I661" s="41">
        <f t="shared" si="66"/>
        <v>5173651</v>
      </c>
      <c r="J661" s="39">
        <f t="shared" si="67"/>
        <v>0</v>
      </c>
      <c r="K661" s="42">
        <f t="shared" si="68"/>
        <v>0</v>
      </c>
      <c r="L661" s="42">
        <f t="shared" si="69"/>
        <v>0</v>
      </c>
      <c r="M661" s="43"/>
      <c r="N661" s="34">
        <f t="shared" si="70"/>
        <v>5173651</v>
      </c>
    </row>
    <row r="662" spans="1:15" hidden="1" x14ac:dyDescent="0.25">
      <c r="A662" s="35" t="s">
        <v>1096</v>
      </c>
      <c r="B662" s="36" t="s">
        <v>1097</v>
      </c>
      <c r="C662" s="37" t="s">
        <v>42</v>
      </c>
      <c r="D662" s="38">
        <v>9165</v>
      </c>
      <c r="E662" s="39">
        <v>0</v>
      </c>
      <c r="F662" s="38"/>
      <c r="G662" s="39">
        <f t="shared" si="71"/>
        <v>0</v>
      </c>
      <c r="H662" s="40">
        <v>20072</v>
      </c>
      <c r="I662" s="41">
        <f t="shared" si="66"/>
        <v>183959880</v>
      </c>
      <c r="J662" s="39">
        <f t="shared" si="67"/>
        <v>0</v>
      </c>
      <c r="K662" s="42">
        <f t="shared" si="68"/>
        <v>0</v>
      </c>
      <c r="L662" s="42">
        <f t="shared" si="69"/>
        <v>0</v>
      </c>
      <c r="M662" s="43"/>
      <c r="N662" s="34">
        <f t="shared" si="70"/>
        <v>183959880</v>
      </c>
    </row>
    <row r="663" spans="1:15" hidden="1" x14ac:dyDescent="0.25">
      <c r="A663" s="35" t="s">
        <v>1098</v>
      </c>
      <c r="B663" s="36" t="s">
        <v>1099</v>
      </c>
      <c r="C663" s="37" t="s">
        <v>42</v>
      </c>
      <c r="D663" s="38">
        <v>4230.09</v>
      </c>
      <c r="E663" s="39">
        <v>0</v>
      </c>
      <c r="F663" s="38"/>
      <c r="G663" s="39">
        <f t="shared" si="71"/>
        <v>0</v>
      </c>
      <c r="H663" s="40">
        <v>9946</v>
      </c>
      <c r="I663" s="41">
        <f t="shared" si="66"/>
        <v>42072475</v>
      </c>
      <c r="J663" s="39">
        <f t="shared" si="67"/>
        <v>0</v>
      </c>
      <c r="K663" s="42">
        <f t="shared" si="68"/>
        <v>0</v>
      </c>
      <c r="L663" s="42">
        <f t="shared" si="69"/>
        <v>0</v>
      </c>
      <c r="M663" s="43"/>
      <c r="N663" s="34">
        <f t="shared" si="70"/>
        <v>42072475</v>
      </c>
    </row>
    <row r="664" spans="1:15" hidden="1" x14ac:dyDescent="0.25">
      <c r="A664" s="35" t="s">
        <v>1100</v>
      </c>
      <c r="B664" s="36" t="s">
        <v>1101</v>
      </c>
      <c r="C664" s="37" t="s">
        <v>42</v>
      </c>
      <c r="D664" s="38">
        <v>229.90219999999999</v>
      </c>
      <c r="E664" s="39">
        <v>0</v>
      </c>
      <c r="F664" s="38"/>
      <c r="G664" s="39">
        <f t="shared" si="71"/>
        <v>0</v>
      </c>
      <c r="H664" s="40">
        <v>1563454</v>
      </c>
      <c r="I664" s="41">
        <f t="shared" si="66"/>
        <v>359441514</v>
      </c>
      <c r="J664" s="39">
        <f t="shared" si="67"/>
        <v>0</v>
      </c>
      <c r="K664" s="42">
        <f t="shared" si="68"/>
        <v>0</v>
      </c>
      <c r="L664" s="42">
        <f t="shared" si="69"/>
        <v>0</v>
      </c>
      <c r="M664" s="43"/>
      <c r="N664" s="34">
        <f t="shared" si="70"/>
        <v>359441514</v>
      </c>
    </row>
    <row r="665" spans="1:15" hidden="1" x14ac:dyDescent="0.25">
      <c r="A665" s="35" t="s">
        <v>1102</v>
      </c>
      <c r="B665" s="36" t="s">
        <v>845</v>
      </c>
      <c r="C665" s="37" t="s">
        <v>118</v>
      </c>
      <c r="D665" s="38">
        <v>0.79</v>
      </c>
      <c r="E665" s="39">
        <v>0</v>
      </c>
      <c r="F665" s="38"/>
      <c r="G665" s="39">
        <f t="shared" si="71"/>
        <v>0</v>
      </c>
      <c r="H665" s="40">
        <v>27101433</v>
      </c>
      <c r="I665" s="41">
        <f t="shared" si="66"/>
        <v>21410132</v>
      </c>
      <c r="J665" s="39">
        <f t="shared" si="67"/>
        <v>0</v>
      </c>
      <c r="K665" s="42">
        <f t="shared" si="68"/>
        <v>0</v>
      </c>
      <c r="L665" s="42">
        <f t="shared" si="69"/>
        <v>0</v>
      </c>
      <c r="M665" s="43"/>
      <c r="N665" s="34">
        <f t="shared" si="70"/>
        <v>21410132</v>
      </c>
    </row>
    <row r="666" spans="1:15" hidden="1" x14ac:dyDescent="0.25">
      <c r="A666" s="35" t="s">
        <v>1103</v>
      </c>
      <c r="B666" s="36" t="s">
        <v>818</v>
      </c>
      <c r="C666" s="37" t="s">
        <v>39</v>
      </c>
      <c r="D666" s="38">
        <v>2643.8755000000001</v>
      </c>
      <c r="E666" s="39">
        <v>0</v>
      </c>
      <c r="F666" s="38"/>
      <c r="G666" s="39">
        <f t="shared" si="71"/>
        <v>0</v>
      </c>
      <c r="H666" s="40">
        <v>86606</v>
      </c>
      <c r="I666" s="41">
        <f t="shared" si="66"/>
        <v>228975482</v>
      </c>
      <c r="J666" s="39">
        <f t="shared" si="67"/>
        <v>0</v>
      </c>
      <c r="K666" s="42">
        <f t="shared" si="68"/>
        <v>0</v>
      </c>
      <c r="L666" s="42">
        <f t="shared" si="69"/>
        <v>0</v>
      </c>
      <c r="M666" s="43"/>
      <c r="N666" s="34">
        <f t="shared" si="70"/>
        <v>228975482</v>
      </c>
    </row>
    <row r="667" spans="1:15" hidden="1" x14ac:dyDescent="0.25">
      <c r="A667" s="35" t="s">
        <v>1104</v>
      </c>
      <c r="B667" s="36" t="s">
        <v>1105</v>
      </c>
      <c r="C667" s="37" t="s">
        <v>359</v>
      </c>
      <c r="D667" s="38">
        <v>7184.4443000000001</v>
      </c>
      <c r="E667" s="39">
        <v>0</v>
      </c>
      <c r="F667" s="38"/>
      <c r="G667" s="39">
        <f t="shared" si="71"/>
        <v>0</v>
      </c>
      <c r="H667" s="40">
        <v>36395</v>
      </c>
      <c r="I667" s="41">
        <f t="shared" si="66"/>
        <v>261477850</v>
      </c>
      <c r="J667" s="39">
        <f t="shared" si="67"/>
        <v>0</v>
      </c>
      <c r="K667" s="42">
        <f t="shared" si="68"/>
        <v>0</v>
      </c>
      <c r="L667" s="42">
        <f t="shared" si="69"/>
        <v>0</v>
      </c>
      <c r="M667" s="43"/>
      <c r="N667" s="34">
        <f t="shared" si="70"/>
        <v>261477850</v>
      </c>
    </row>
    <row r="668" spans="1:15" ht="62.25" hidden="1" customHeight="1" x14ac:dyDescent="0.25">
      <c r="A668" s="35" t="s">
        <v>1106</v>
      </c>
      <c r="B668" s="36" t="s">
        <v>1107</v>
      </c>
      <c r="C668" s="37" t="s">
        <v>233</v>
      </c>
      <c r="D668" s="38">
        <v>7184.4443000000001</v>
      </c>
      <c r="E668" s="39">
        <v>0</v>
      </c>
      <c r="F668" s="38"/>
      <c r="G668" s="39">
        <f t="shared" si="71"/>
        <v>0</v>
      </c>
      <c r="H668" s="40">
        <v>33894</v>
      </c>
      <c r="I668" s="41">
        <f t="shared" si="66"/>
        <v>243509555</v>
      </c>
      <c r="J668" s="39">
        <f t="shared" si="67"/>
        <v>0</v>
      </c>
      <c r="K668" s="42">
        <f t="shared" si="68"/>
        <v>0</v>
      </c>
      <c r="L668" s="42">
        <f t="shared" si="69"/>
        <v>0</v>
      </c>
      <c r="M668" s="43"/>
      <c r="N668" s="34">
        <f t="shared" si="70"/>
        <v>243509555</v>
      </c>
    </row>
    <row r="669" spans="1:15" ht="51" hidden="1" customHeight="1" x14ac:dyDescent="0.25">
      <c r="A669" s="35" t="s">
        <v>1108</v>
      </c>
      <c r="B669" s="36" t="s">
        <v>1109</v>
      </c>
      <c r="C669" s="37" t="s">
        <v>233</v>
      </c>
      <c r="D669" s="38">
        <v>7184.4443000000001</v>
      </c>
      <c r="E669" s="39">
        <v>0</v>
      </c>
      <c r="F669" s="38"/>
      <c r="G669" s="39">
        <f t="shared" si="71"/>
        <v>0</v>
      </c>
      <c r="H669" s="40">
        <v>26228</v>
      </c>
      <c r="I669" s="41">
        <f t="shared" si="66"/>
        <v>188433605</v>
      </c>
      <c r="J669" s="39">
        <f t="shared" si="67"/>
        <v>0</v>
      </c>
      <c r="K669" s="42">
        <f t="shared" si="68"/>
        <v>0</v>
      </c>
      <c r="L669" s="42">
        <f t="shared" si="69"/>
        <v>0</v>
      </c>
      <c r="M669" s="43"/>
      <c r="N669" s="34">
        <f t="shared" si="70"/>
        <v>188433605</v>
      </c>
    </row>
    <row r="670" spans="1:15" ht="31.5" hidden="1" x14ac:dyDescent="0.25">
      <c r="A670" s="35" t="s">
        <v>1110</v>
      </c>
      <c r="B670" s="36" t="s">
        <v>229</v>
      </c>
      <c r="C670" s="37" t="s">
        <v>334</v>
      </c>
      <c r="D670" s="38">
        <v>57.4756</v>
      </c>
      <c r="E670" s="39">
        <v>0</v>
      </c>
      <c r="F670" s="38"/>
      <c r="G670" s="39">
        <f t="shared" si="71"/>
        <v>0</v>
      </c>
      <c r="H670" s="40">
        <v>36271</v>
      </c>
      <c r="I670" s="41">
        <f t="shared" si="66"/>
        <v>2084697</v>
      </c>
      <c r="J670" s="39">
        <f t="shared" si="67"/>
        <v>0</v>
      </c>
      <c r="K670" s="42">
        <f t="shared" si="68"/>
        <v>0</v>
      </c>
      <c r="L670" s="42">
        <f t="shared" si="69"/>
        <v>0</v>
      </c>
      <c r="M670" s="43"/>
      <c r="N670" s="34">
        <f t="shared" si="70"/>
        <v>2084697</v>
      </c>
    </row>
    <row r="671" spans="1:15" hidden="1" x14ac:dyDescent="0.25">
      <c r="A671" s="35" t="s">
        <v>1111</v>
      </c>
      <c r="B671" s="36" t="s">
        <v>1112</v>
      </c>
      <c r="C671" s="37" t="s">
        <v>42</v>
      </c>
      <c r="D671" s="38">
        <v>2.48</v>
      </c>
      <c r="E671" s="39">
        <v>0</v>
      </c>
      <c r="F671" s="38"/>
      <c r="G671" s="39">
        <f t="shared" si="71"/>
        <v>0</v>
      </c>
      <c r="H671" s="40">
        <v>1654556</v>
      </c>
      <c r="I671" s="41">
        <f t="shared" si="66"/>
        <v>4103299</v>
      </c>
      <c r="J671" s="39">
        <f t="shared" si="67"/>
        <v>0</v>
      </c>
      <c r="K671" s="42">
        <f t="shared" si="68"/>
        <v>0</v>
      </c>
      <c r="L671" s="42">
        <f t="shared" si="69"/>
        <v>0</v>
      </c>
      <c r="M671" s="43"/>
      <c r="N671" s="34">
        <f t="shared" si="70"/>
        <v>4103299</v>
      </c>
    </row>
    <row r="672" spans="1:15" hidden="1" x14ac:dyDescent="0.25">
      <c r="A672" s="35" t="s">
        <v>1113</v>
      </c>
      <c r="B672" s="36" t="s">
        <v>1114</v>
      </c>
      <c r="C672" s="37" t="s">
        <v>42</v>
      </c>
      <c r="D672" s="38">
        <v>1.5349999999999999</v>
      </c>
      <c r="E672" s="39">
        <v>0</v>
      </c>
      <c r="F672" s="38"/>
      <c r="G672" s="39">
        <f t="shared" si="71"/>
        <v>0</v>
      </c>
      <c r="H672" s="40">
        <v>1152723</v>
      </c>
      <c r="I672" s="41">
        <f t="shared" si="66"/>
        <v>1769430</v>
      </c>
      <c r="J672" s="39">
        <f t="shared" si="67"/>
        <v>0</v>
      </c>
      <c r="K672" s="42">
        <f t="shared" si="68"/>
        <v>0</v>
      </c>
      <c r="L672" s="42">
        <f t="shared" si="69"/>
        <v>0</v>
      </c>
      <c r="M672" s="43"/>
      <c r="N672" s="34">
        <f t="shared" si="70"/>
        <v>1769430</v>
      </c>
    </row>
    <row r="673" spans="1:14" hidden="1" x14ac:dyDescent="0.25">
      <c r="A673" s="35" t="s">
        <v>1115</v>
      </c>
      <c r="B673" s="36" t="s">
        <v>818</v>
      </c>
      <c r="C673" s="37" t="s">
        <v>39</v>
      </c>
      <c r="D673" s="38">
        <v>44.92</v>
      </c>
      <c r="E673" s="39">
        <v>0</v>
      </c>
      <c r="F673" s="38"/>
      <c r="G673" s="39">
        <f t="shared" si="71"/>
        <v>0</v>
      </c>
      <c r="H673" s="40">
        <v>65242</v>
      </c>
      <c r="I673" s="41">
        <f t="shared" si="66"/>
        <v>2930671</v>
      </c>
      <c r="J673" s="39">
        <f t="shared" si="67"/>
        <v>0</v>
      </c>
      <c r="K673" s="42">
        <f t="shared" si="68"/>
        <v>0</v>
      </c>
      <c r="L673" s="42">
        <f t="shared" si="69"/>
        <v>0</v>
      </c>
      <c r="M673" s="43"/>
      <c r="N673" s="34">
        <f t="shared" si="70"/>
        <v>2930671</v>
      </c>
    </row>
    <row r="674" spans="1:14" hidden="1" x14ac:dyDescent="0.25">
      <c r="A674" s="35" t="s">
        <v>1116</v>
      </c>
      <c r="B674" s="36" t="s">
        <v>1117</v>
      </c>
      <c r="C674" s="37" t="s">
        <v>42</v>
      </c>
      <c r="D674" s="38">
        <v>0.45</v>
      </c>
      <c r="E674" s="39">
        <v>0</v>
      </c>
      <c r="F674" s="38"/>
      <c r="G674" s="39">
        <f t="shared" si="71"/>
        <v>0</v>
      </c>
      <c r="H674" s="40">
        <v>1532161</v>
      </c>
      <c r="I674" s="41">
        <f t="shared" si="66"/>
        <v>689472</v>
      </c>
      <c r="J674" s="39">
        <f t="shared" si="67"/>
        <v>0</v>
      </c>
      <c r="K674" s="42">
        <f t="shared" si="68"/>
        <v>0</v>
      </c>
      <c r="L674" s="42">
        <f t="shared" si="69"/>
        <v>0</v>
      </c>
      <c r="M674" s="43"/>
      <c r="N674" s="34">
        <f t="shared" si="70"/>
        <v>689472</v>
      </c>
    </row>
    <row r="675" spans="1:14" ht="53.25" hidden="1" customHeight="1" x14ac:dyDescent="0.25">
      <c r="A675" s="35" t="s">
        <v>1118</v>
      </c>
      <c r="B675" s="36" t="s">
        <v>1119</v>
      </c>
      <c r="C675" s="37" t="s">
        <v>42</v>
      </c>
      <c r="D675" s="38">
        <v>81.19</v>
      </c>
      <c r="E675" s="39">
        <v>0</v>
      </c>
      <c r="F675" s="38"/>
      <c r="G675" s="39">
        <f t="shared" si="71"/>
        <v>0</v>
      </c>
      <c r="H675" s="40">
        <v>1521411</v>
      </c>
      <c r="I675" s="41">
        <f t="shared" si="66"/>
        <v>123523359</v>
      </c>
      <c r="J675" s="39">
        <f t="shared" si="67"/>
        <v>0</v>
      </c>
      <c r="K675" s="42">
        <f t="shared" si="68"/>
        <v>0</v>
      </c>
      <c r="L675" s="42">
        <f t="shared" si="69"/>
        <v>0</v>
      </c>
      <c r="M675" s="43"/>
      <c r="N675" s="34">
        <f t="shared" si="70"/>
        <v>123523359</v>
      </c>
    </row>
    <row r="676" spans="1:14" hidden="1" x14ac:dyDescent="0.25">
      <c r="A676" s="35" t="s">
        <v>1120</v>
      </c>
      <c r="B676" s="36" t="s">
        <v>1121</v>
      </c>
      <c r="C676" s="37" t="s">
        <v>143</v>
      </c>
      <c r="D676" s="38">
        <v>2.2231999999999998</v>
      </c>
      <c r="E676" s="39">
        <v>0</v>
      </c>
      <c r="F676" s="38"/>
      <c r="G676" s="39">
        <f t="shared" si="71"/>
        <v>0</v>
      </c>
      <c r="H676" s="40">
        <v>10479792</v>
      </c>
      <c r="I676" s="41">
        <f t="shared" si="66"/>
        <v>23298674</v>
      </c>
      <c r="J676" s="39">
        <f t="shared" si="67"/>
        <v>0</v>
      </c>
      <c r="K676" s="42">
        <f t="shared" si="68"/>
        <v>0</v>
      </c>
      <c r="L676" s="42">
        <f t="shared" si="69"/>
        <v>0</v>
      </c>
      <c r="M676" s="43"/>
      <c r="N676" s="34">
        <f t="shared" si="70"/>
        <v>23298674</v>
      </c>
    </row>
    <row r="677" spans="1:14" hidden="1" x14ac:dyDescent="0.25">
      <c r="A677" s="35" t="s">
        <v>1122</v>
      </c>
      <c r="B677" s="36" t="s">
        <v>921</v>
      </c>
      <c r="C677" s="37" t="s">
        <v>42</v>
      </c>
      <c r="D677" s="38">
        <v>13.0518</v>
      </c>
      <c r="E677" s="39">
        <v>0</v>
      </c>
      <c r="F677" s="38"/>
      <c r="G677" s="39">
        <f t="shared" si="71"/>
        <v>0</v>
      </c>
      <c r="H677" s="40">
        <v>1331296</v>
      </c>
      <c r="I677" s="41">
        <f t="shared" si="66"/>
        <v>17375809</v>
      </c>
      <c r="J677" s="39">
        <f t="shared" si="67"/>
        <v>0</v>
      </c>
      <c r="K677" s="42">
        <f t="shared" si="68"/>
        <v>0</v>
      </c>
      <c r="L677" s="42">
        <f t="shared" si="69"/>
        <v>0</v>
      </c>
      <c r="M677" s="43"/>
      <c r="N677" s="34">
        <f t="shared" si="70"/>
        <v>17375809</v>
      </c>
    </row>
    <row r="678" spans="1:14" hidden="1" x14ac:dyDescent="0.25">
      <c r="A678" s="35" t="s">
        <v>1123</v>
      </c>
      <c r="B678" s="36" t="s">
        <v>1124</v>
      </c>
      <c r="C678" s="37" t="s">
        <v>39</v>
      </c>
      <c r="D678" s="38">
        <v>11</v>
      </c>
      <c r="E678" s="39">
        <v>0</v>
      </c>
      <c r="F678" s="38"/>
      <c r="G678" s="39">
        <f t="shared" si="71"/>
        <v>0</v>
      </c>
      <c r="H678" s="40">
        <v>104797.92</v>
      </c>
      <c r="I678" s="41">
        <f t="shared" si="66"/>
        <v>1152777</v>
      </c>
      <c r="J678" s="39">
        <f t="shared" si="67"/>
        <v>0</v>
      </c>
      <c r="K678" s="42">
        <f t="shared" si="68"/>
        <v>0</v>
      </c>
      <c r="L678" s="42">
        <f t="shared" si="69"/>
        <v>0</v>
      </c>
      <c r="M678" s="43"/>
      <c r="N678" s="34">
        <f t="shared" si="70"/>
        <v>1152777</v>
      </c>
    </row>
    <row r="679" spans="1:14" hidden="1" x14ac:dyDescent="0.25">
      <c r="A679" s="35" t="s">
        <v>1125</v>
      </c>
      <c r="B679" s="36" t="s">
        <v>1126</v>
      </c>
      <c r="C679" s="37" t="s">
        <v>42</v>
      </c>
      <c r="D679" s="38">
        <v>28.996200000000002</v>
      </c>
      <c r="E679" s="39">
        <v>0</v>
      </c>
      <c r="F679" s="38"/>
      <c r="G679" s="39">
        <f t="shared" si="71"/>
        <v>0</v>
      </c>
      <c r="H679" s="40">
        <v>1521411</v>
      </c>
      <c r="I679" s="41">
        <f t="shared" si="66"/>
        <v>44115138</v>
      </c>
      <c r="J679" s="39">
        <f t="shared" si="67"/>
        <v>0</v>
      </c>
      <c r="K679" s="42">
        <f t="shared" si="68"/>
        <v>0</v>
      </c>
      <c r="L679" s="42">
        <f t="shared" si="69"/>
        <v>0</v>
      </c>
      <c r="M679" s="43"/>
      <c r="N679" s="34">
        <f t="shared" si="70"/>
        <v>44115138</v>
      </c>
    </row>
    <row r="680" spans="1:14" hidden="1" x14ac:dyDescent="0.25">
      <c r="A680" s="35" t="s">
        <v>1127</v>
      </c>
      <c r="B680" s="36" t="s">
        <v>1128</v>
      </c>
      <c r="C680" s="37" t="s">
        <v>39</v>
      </c>
      <c r="D680" s="38">
        <v>51.348700000000001</v>
      </c>
      <c r="E680" s="39">
        <v>0</v>
      </c>
      <c r="F680" s="38"/>
      <c r="G680" s="39">
        <f t="shared" si="71"/>
        <v>0</v>
      </c>
      <c r="H680" s="40">
        <v>20017</v>
      </c>
      <c r="I680" s="41">
        <f t="shared" si="66"/>
        <v>1027847</v>
      </c>
      <c r="J680" s="39">
        <f t="shared" si="67"/>
        <v>0</v>
      </c>
      <c r="K680" s="42">
        <f t="shared" si="68"/>
        <v>0</v>
      </c>
      <c r="L680" s="42">
        <f t="shared" si="69"/>
        <v>0</v>
      </c>
      <c r="M680" s="43"/>
      <c r="N680" s="34">
        <f t="shared" si="70"/>
        <v>1027847</v>
      </c>
    </row>
    <row r="681" spans="1:14" hidden="1" x14ac:dyDescent="0.25">
      <c r="A681" s="35" t="s">
        <v>1129</v>
      </c>
      <c r="B681" s="36" t="s">
        <v>1130</v>
      </c>
      <c r="C681" s="37" t="s">
        <v>84</v>
      </c>
      <c r="D681" s="38">
        <v>9788.85</v>
      </c>
      <c r="E681" s="39">
        <v>0</v>
      </c>
      <c r="F681" s="38"/>
      <c r="G681" s="39">
        <f t="shared" si="71"/>
        <v>0</v>
      </c>
      <c r="H681" s="40">
        <v>11223</v>
      </c>
      <c r="I681" s="41">
        <f t="shared" si="66"/>
        <v>109860264</v>
      </c>
      <c r="J681" s="39">
        <f t="shared" si="67"/>
        <v>0</v>
      </c>
      <c r="K681" s="42">
        <f t="shared" si="68"/>
        <v>0</v>
      </c>
      <c r="L681" s="42">
        <f t="shared" si="69"/>
        <v>0</v>
      </c>
      <c r="M681" s="43"/>
      <c r="N681" s="34">
        <f t="shared" si="70"/>
        <v>109860264</v>
      </c>
    </row>
    <row r="682" spans="1:14" ht="55.5" hidden="1" customHeight="1" x14ac:dyDescent="0.25">
      <c r="A682" s="35" t="s">
        <v>1131</v>
      </c>
      <c r="B682" s="36" t="s">
        <v>122</v>
      </c>
      <c r="C682" s="37" t="s">
        <v>39</v>
      </c>
      <c r="D682" s="38">
        <v>672</v>
      </c>
      <c r="E682" s="39">
        <v>0</v>
      </c>
      <c r="F682" s="38"/>
      <c r="G682" s="39">
        <f t="shared" si="71"/>
        <v>0</v>
      </c>
      <c r="H682" s="40">
        <v>11015</v>
      </c>
      <c r="I682" s="41">
        <f t="shared" si="66"/>
        <v>7402080</v>
      </c>
      <c r="J682" s="39">
        <f t="shared" si="67"/>
        <v>0</v>
      </c>
      <c r="K682" s="42">
        <f t="shared" si="68"/>
        <v>0</v>
      </c>
      <c r="L682" s="42">
        <f t="shared" si="69"/>
        <v>0</v>
      </c>
      <c r="M682" s="43"/>
      <c r="N682" s="34">
        <f t="shared" si="70"/>
        <v>7402080</v>
      </c>
    </row>
    <row r="683" spans="1:14" ht="31.5" hidden="1" x14ac:dyDescent="0.25">
      <c r="A683" s="35" t="s">
        <v>1132</v>
      </c>
      <c r="B683" s="36" t="s">
        <v>124</v>
      </c>
      <c r="C683" s="37" t="s">
        <v>118</v>
      </c>
      <c r="D683" s="38">
        <v>95.692800000000005</v>
      </c>
      <c r="E683" s="39">
        <v>0</v>
      </c>
      <c r="F683" s="38"/>
      <c r="G683" s="39">
        <f t="shared" si="71"/>
        <v>0</v>
      </c>
      <c r="H683" s="40">
        <v>1646788</v>
      </c>
      <c r="I683" s="41">
        <f t="shared" si="66"/>
        <v>157585755</v>
      </c>
      <c r="J683" s="39">
        <f t="shared" si="67"/>
        <v>0</v>
      </c>
      <c r="K683" s="42">
        <f t="shared" si="68"/>
        <v>0</v>
      </c>
      <c r="L683" s="42">
        <f t="shared" si="69"/>
        <v>0</v>
      </c>
      <c r="M683" s="43"/>
      <c r="N683" s="34">
        <f t="shared" si="70"/>
        <v>157585755</v>
      </c>
    </row>
    <row r="684" spans="1:14" ht="31.5" hidden="1" x14ac:dyDescent="0.25">
      <c r="A684" s="35" t="s">
        <v>1133</v>
      </c>
      <c r="B684" s="36" t="s">
        <v>126</v>
      </c>
      <c r="C684" s="37" t="s">
        <v>118</v>
      </c>
      <c r="D684" s="38">
        <v>95.69</v>
      </c>
      <c r="E684" s="39">
        <v>0</v>
      </c>
      <c r="F684" s="38"/>
      <c r="G684" s="39">
        <f t="shared" si="71"/>
        <v>0</v>
      </c>
      <c r="H684" s="40">
        <v>113842.61</v>
      </c>
      <c r="I684" s="41">
        <f t="shared" si="66"/>
        <v>10893599</v>
      </c>
      <c r="J684" s="39">
        <f t="shared" si="67"/>
        <v>0</v>
      </c>
      <c r="K684" s="42">
        <f t="shared" si="68"/>
        <v>0</v>
      </c>
      <c r="L684" s="42">
        <f t="shared" si="69"/>
        <v>0</v>
      </c>
      <c r="M684" s="43"/>
      <c r="N684" s="34">
        <f t="shared" si="70"/>
        <v>10893599</v>
      </c>
    </row>
    <row r="685" spans="1:14" hidden="1" x14ac:dyDescent="0.25">
      <c r="A685" s="35" t="s">
        <v>1134</v>
      </c>
      <c r="B685" s="36" t="s">
        <v>1135</v>
      </c>
      <c r="C685" s="37" t="s">
        <v>39</v>
      </c>
      <c r="D685" s="38">
        <v>672</v>
      </c>
      <c r="E685" s="39">
        <v>0</v>
      </c>
      <c r="F685" s="38"/>
      <c r="G685" s="39">
        <f t="shared" si="71"/>
        <v>0</v>
      </c>
      <c r="H685" s="40">
        <v>32529</v>
      </c>
      <c r="I685" s="41">
        <f t="shared" si="66"/>
        <v>21859488</v>
      </c>
      <c r="J685" s="39">
        <f t="shared" si="67"/>
        <v>0</v>
      </c>
      <c r="K685" s="42">
        <f t="shared" si="68"/>
        <v>0</v>
      </c>
      <c r="L685" s="42">
        <f t="shared" si="69"/>
        <v>0</v>
      </c>
      <c r="M685" s="43"/>
      <c r="N685" s="34">
        <f t="shared" si="70"/>
        <v>21859488</v>
      </c>
    </row>
    <row r="686" spans="1:14" hidden="1" x14ac:dyDescent="0.25">
      <c r="A686" s="35" t="s">
        <v>1136</v>
      </c>
      <c r="B686" s="36" t="s">
        <v>1137</v>
      </c>
      <c r="C686" s="37" t="s">
        <v>42</v>
      </c>
      <c r="D686" s="38">
        <v>201.6</v>
      </c>
      <c r="E686" s="39">
        <v>0</v>
      </c>
      <c r="F686" s="38"/>
      <c r="G686" s="39">
        <f t="shared" si="71"/>
        <v>0</v>
      </c>
      <c r="H686" s="40">
        <v>16751</v>
      </c>
      <c r="I686" s="41">
        <f t="shared" si="66"/>
        <v>3377002</v>
      </c>
      <c r="J686" s="39">
        <f t="shared" si="67"/>
        <v>0</v>
      </c>
      <c r="K686" s="42">
        <f t="shared" si="68"/>
        <v>0</v>
      </c>
      <c r="L686" s="42">
        <f t="shared" si="69"/>
        <v>0</v>
      </c>
      <c r="M686" s="43"/>
      <c r="N686" s="34">
        <f t="shared" si="70"/>
        <v>3377002</v>
      </c>
    </row>
    <row r="687" spans="1:14" hidden="1" x14ac:dyDescent="0.25">
      <c r="A687" s="35" t="s">
        <v>1138</v>
      </c>
      <c r="B687" s="36" t="s">
        <v>1139</v>
      </c>
      <c r="C687" s="37" t="s">
        <v>42</v>
      </c>
      <c r="D687" s="38">
        <v>161.28</v>
      </c>
      <c r="E687" s="39">
        <v>0</v>
      </c>
      <c r="F687" s="38"/>
      <c r="G687" s="39">
        <f t="shared" si="71"/>
        <v>0</v>
      </c>
      <c r="H687" s="40">
        <v>364704</v>
      </c>
      <c r="I687" s="41">
        <f t="shared" si="66"/>
        <v>58819461</v>
      </c>
      <c r="J687" s="39">
        <f t="shared" si="67"/>
        <v>0</v>
      </c>
      <c r="K687" s="42">
        <f t="shared" si="68"/>
        <v>0</v>
      </c>
      <c r="L687" s="42">
        <f t="shared" si="69"/>
        <v>0</v>
      </c>
      <c r="M687" s="43"/>
      <c r="N687" s="34">
        <f t="shared" si="70"/>
        <v>58819461</v>
      </c>
    </row>
    <row r="688" spans="1:14" hidden="1" x14ac:dyDescent="0.25">
      <c r="A688" s="35" t="s">
        <v>1140</v>
      </c>
      <c r="B688" s="36" t="s">
        <v>1141</v>
      </c>
      <c r="C688" s="37" t="s">
        <v>42</v>
      </c>
      <c r="D688" s="38">
        <v>228.48</v>
      </c>
      <c r="E688" s="39">
        <v>0</v>
      </c>
      <c r="F688" s="38"/>
      <c r="G688" s="39">
        <f t="shared" si="71"/>
        <v>0</v>
      </c>
      <c r="H688" s="40">
        <v>363053</v>
      </c>
      <c r="I688" s="41">
        <f t="shared" si="66"/>
        <v>82950349</v>
      </c>
      <c r="J688" s="39">
        <f t="shared" si="67"/>
        <v>0</v>
      </c>
      <c r="K688" s="42">
        <f t="shared" si="68"/>
        <v>0</v>
      </c>
      <c r="L688" s="42">
        <f t="shared" si="69"/>
        <v>0</v>
      </c>
      <c r="M688" s="43"/>
      <c r="N688" s="34">
        <f t="shared" si="70"/>
        <v>82950349</v>
      </c>
    </row>
    <row r="689" spans="1:14" hidden="1" x14ac:dyDescent="0.25">
      <c r="A689" s="35" t="s">
        <v>1142</v>
      </c>
      <c r="B689" s="36" t="s">
        <v>1143</v>
      </c>
      <c r="C689" s="37" t="s">
        <v>42</v>
      </c>
      <c r="D689" s="38">
        <v>41.4</v>
      </c>
      <c r="E689" s="39">
        <v>0</v>
      </c>
      <c r="F689" s="38">
        <v>41.4</v>
      </c>
      <c r="G689" s="39">
        <f t="shared" si="71"/>
        <v>41.4</v>
      </c>
      <c r="H689" s="40">
        <v>1719728</v>
      </c>
      <c r="I689" s="41">
        <f t="shared" si="66"/>
        <v>71196739</v>
      </c>
      <c r="J689" s="39">
        <f t="shared" si="67"/>
        <v>0</v>
      </c>
      <c r="K689" s="42">
        <f t="shared" si="68"/>
        <v>71196739.200000003</v>
      </c>
      <c r="L689" s="42">
        <f t="shared" si="69"/>
        <v>71196739.200000003</v>
      </c>
      <c r="M689" s="43"/>
      <c r="N689" s="34">
        <f>I689-L689</f>
        <v>-0.20000000298023224</v>
      </c>
    </row>
    <row r="690" spans="1:14" hidden="1" x14ac:dyDescent="0.25">
      <c r="A690" s="35" t="s">
        <v>1144</v>
      </c>
      <c r="B690" s="36" t="s">
        <v>845</v>
      </c>
      <c r="C690" s="37" t="s">
        <v>118</v>
      </c>
      <c r="D690" s="38">
        <v>1.7538</v>
      </c>
      <c r="E690" s="39">
        <v>0</v>
      </c>
      <c r="F690" s="38">
        <v>1.7538</v>
      </c>
      <c r="G690" s="39">
        <f t="shared" si="71"/>
        <v>1.7538</v>
      </c>
      <c r="H690" s="40">
        <v>27101433</v>
      </c>
      <c r="I690" s="41">
        <f t="shared" si="66"/>
        <v>47530493</v>
      </c>
      <c r="J690" s="39">
        <f t="shared" si="67"/>
        <v>0</v>
      </c>
      <c r="K690" s="42">
        <f t="shared" si="68"/>
        <v>47530493.1954</v>
      </c>
      <c r="L690" s="42">
        <f t="shared" si="69"/>
        <v>47530493.1954</v>
      </c>
      <c r="M690" s="43"/>
      <c r="N690" s="34">
        <f t="shared" si="70"/>
        <v>-0.19539999961853027</v>
      </c>
    </row>
    <row r="691" spans="1:14" hidden="1" x14ac:dyDescent="0.25">
      <c r="A691" s="35" t="s">
        <v>1145</v>
      </c>
      <c r="B691" s="36" t="s">
        <v>1146</v>
      </c>
      <c r="C691" s="37" t="s">
        <v>1147</v>
      </c>
      <c r="D691" s="38">
        <v>1720</v>
      </c>
      <c r="E691" s="39">
        <v>0</v>
      </c>
      <c r="F691" s="38">
        <v>1720</v>
      </c>
      <c r="G691" s="39">
        <f t="shared" si="71"/>
        <v>1720</v>
      </c>
      <c r="H691" s="40">
        <v>20372</v>
      </c>
      <c r="I691" s="41">
        <f t="shared" si="66"/>
        <v>35039840</v>
      </c>
      <c r="J691" s="39">
        <f t="shared" si="67"/>
        <v>0</v>
      </c>
      <c r="K691" s="42">
        <f t="shared" si="68"/>
        <v>35039840</v>
      </c>
      <c r="L691" s="42">
        <f t="shared" si="69"/>
        <v>35039840</v>
      </c>
      <c r="M691" s="43"/>
      <c r="N691" s="34">
        <f t="shared" si="70"/>
        <v>0</v>
      </c>
    </row>
    <row r="692" spans="1:14" hidden="1" x14ac:dyDescent="0.25">
      <c r="A692" s="35" t="s">
        <v>1148</v>
      </c>
      <c r="B692" s="36" t="s">
        <v>1149</v>
      </c>
      <c r="C692" s="37" t="s">
        <v>42</v>
      </c>
      <c r="D692" s="38">
        <v>135</v>
      </c>
      <c r="E692" s="39">
        <v>0</v>
      </c>
      <c r="F692" s="38">
        <v>135</v>
      </c>
      <c r="G692" s="39">
        <f t="shared" si="71"/>
        <v>135</v>
      </c>
      <c r="H692" s="40">
        <v>363053</v>
      </c>
      <c r="I692" s="41">
        <f t="shared" si="66"/>
        <v>49012155</v>
      </c>
      <c r="J692" s="39">
        <f t="shared" si="67"/>
        <v>0</v>
      </c>
      <c r="K692" s="42">
        <f t="shared" si="68"/>
        <v>49012155</v>
      </c>
      <c r="L692" s="42">
        <f t="shared" si="69"/>
        <v>49012155</v>
      </c>
      <c r="M692" s="43"/>
      <c r="N692" s="34">
        <f t="shared" si="70"/>
        <v>0</v>
      </c>
    </row>
    <row r="693" spans="1:14" hidden="1" x14ac:dyDescent="0.25">
      <c r="A693" s="35" t="s">
        <v>1150</v>
      </c>
      <c r="B693" s="36" t="s">
        <v>1151</v>
      </c>
      <c r="C693" s="37" t="s">
        <v>42</v>
      </c>
      <c r="D693" s="38">
        <v>1260</v>
      </c>
      <c r="E693" s="39">
        <v>0</v>
      </c>
      <c r="F693" s="38">
        <v>1260</v>
      </c>
      <c r="G693" s="39">
        <f t="shared" si="71"/>
        <v>1260</v>
      </c>
      <c r="H693" s="40">
        <v>6875</v>
      </c>
      <c r="I693" s="41">
        <f t="shared" si="66"/>
        <v>8662500</v>
      </c>
      <c r="J693" s="39">
        <f t="shared" si="67"/>
        <v>0</v>
      </c>
      <c r="K693" s="42" t="s">
        <v>1152</v>
      </c>
      <c r="L693" s="42">
        <f t="shared" si="69"/>
        <v>8662500</v>
      </c>
      <c r="M693" s="43"/>
      <c r="N693" s="34">
        <f t="shared" si="70"/>
        <v>0</v>
      </c>
    </row>
    <row r="694" spans="1:14" hidden="1" x14ac:dyDescent="0.25">
      <c r="A694" s="35" t="s">
        <v>1153</v>
      </c>
      <c r="B694" s="36" t="s">
        <v>183</v>
      </c>
      <c r="C694" s="37" t="s">
        <v>42</v>
      </c>
      <c r="D694" s="38">
        <v>1692.306</v>
      </c>
      <c r="E694" s="39">
        <v>0</v>
      </c>
      <c r="F694" s="38">
        <v>1692.306</v>
      </c>
      <c r="G694" s="39">
        <f t="shared" si="71"/>
        <v>1692.306</v>
      </c>
      <c r="H694" s="40">
        <v>50585</v>
      </c>
      <c r="I694" s="41">
        <f t="shared" si="66"/>
        <v>85605299</v>
      </c>
      <c r="J694" s="39">
        <f t="shared" si="67"/>
        <v>0</v>
      </c>
      <c r="K694" s="42">
        <f t="shared" si="68"/>
        <v>85605299.010000005</v>
      </c>
      <c r="L694" s="42">
        <f t="shared" si="69"/>
        <v>85605299.010000005</v>
      </c>
      <c r="M694" s="43"/>
      <c r="N694" s="34">
        <f t="shared" si="70"/>
        <v>-1.000000536441803E-2</v>
      </c>
    </row>
    <row r="695" spans="1:14" hidden="1" x14ac:dyDescent="0.25">
      <c r="A695" s="35" t="s">
        <v>1154</v>
      </c>
      <c r="B695" s="36" t="s">
        <v>64</v>
      </c>
      <c r="C695" s="37" t="s">
        <v>65</v>
      </c>
      <c r="D695" s="38">
        <v>169.23060000000001</v>
      </c>
      <c r="E695" s="39">
        <v>0</v>
      </c>
      <c r="F695" s="38">
        <v>169.23060000000001</v>
      </c>
      <c r="G695" s="39">
        <f t="shared" si="71"/>
        <v>169.23060000000001</v>
      </c>
      <c r="H695" s="40">
        <v>1064000</v>
      </c>
      <c r="I695" s="41">
        <f t="shared" si="66"/>
        <v>180061358</v>
      </c>
      <c r="J695" s="39">
        <f t="shared" si="67"/>
        <v>0</v>
      </c>
      <c r="K695" s="42">
        <f t="shared" si="68"/>
        <v>180061358.40000001</v>
      </c>
      <c r="L695" s="42">
        <f t="shared" si="69"/>
        <v>180061358.40000001</v>
      </c>
      <c r="M695" s="43"/>
      <c r="N695" s="34">
        <f t="shared" si="70"/>
        <v>-0.40000000596046448</v>
      </c>
    </row>
    <row r="696" spans="1:14" hidden="1" x14ac:dyDescent="0.25">
      <c r="A696" s="35" t="s">
        <v>1155</v>
      </c>
      <c r="B696" s="36" t="s">
        <v>664</v>
      </c>
      <c r="C696" s="37" t="s">
        <v>42</v>
      </c>
      <c r="D696" s="38">
        <v>15</v>
      </c>
      <c r="E696" s="39">
        <v>0</v>
      </c>
      <c r="F696" s="38">
        <v>15</v>
      </c>
      <c r="G696" s="39">
        <f t="shared" si="71"/>
        <v>15</v>
      </c>
      <c r="H696" s="40">
        <v>363053</v>
      </c>
      <c r="I696" s="41">
        <f t="shared" si="66"/>
        <v>5445795</v>
      </c>
      <c r="J696" s="39">
        <f t="shared" si="67"/>
        <v>0</v>
      </c>
      <c r="K696" s="42">
        <f t="shared" si="68"/>
        <v>5445795</v>
      </c>
      <c r="L696" s="42">
        <f t="shared" si="69"/>
        <v>5445795</v>
      </c>
      <c r="M696" s="43"/>
      <c r="N696" s="34">
        <f t="shared" si="70"/>
        <v>0</v>
      </c>
    </row>
    <row r="697" spans="1:14" hidden="1" x14ac:dyDescent="0.25">
      <c r="A697" s="35" t="s">
        <v>1156</v>
      </c>
      <c r="B697" s="36" t="s">
        <v>1151</v>
      </c>
      <c r="C697" s="37" t="s">
        <v>42</v>
      </c>
      <c r="D697" s="38">
        <v>140</v>
      </c>
      <c r="E697" s="39">
        <v>0</v>
      </c>
      <c r="F697" s="38">
        <v>140</v>
      </c>
      <c r="G697" s="39">
        <f t="shared" si="71"/>
        <v>140</v>
      </c>
      <c r="H697" s="40">
        <v>6875</v>
      </c>
      <c r="I697" s="41">
        <f t="shared" si="66"/>
        <v>962500</v>
      </c>
      <c r="J697" s="39">
        <f t="shared" si="67"/>
        <v>0</v>
      </c>
      <c r="K697" s="42">
        <f t="shared" si="68"/>
        <v>962500</v>
      </c>
      <c r="L697" s="42">
        <f t="shared" si="69"/>
        <v>962500</v>
      </c>
      <c r="M697" s="43"/>
      <c r="N697" s="34">
        <f t="shared" si="70"/>
        <v>0</v>
      </c>
    </row>
    <row r="698" spans="1:14" hidden="1" x14ac:dyDescent="0.25">
      <c r="A698" s="35" t="s">
        <v>1157</v>
      </c>
      <c r="B698" s="36" t="s">
        <v>183</v>
      </c>
      <c r="C698" s="37" t="s">
        <v>42</v>
      </c>
      <c r="D698" s="38">
        <v>188.03399999999999</v>
      </c>
      <c r="E698" s="39">
        <v>0</v>
      </c>
      <c r="F698" s="38">
        <v>188.03399999999999</v>
      </c>
      <c r="G698" s="39">
        <f t="shared" si="71"/>
        <v>188.03399999999999</v>
      </c>
      <c r="H698" s="40">
        <v>50585</v>
      </c>
      <c r="I698" s="41">
        <f t="shared" si="66"/>
        <v>9511700</v>
      </c>
      <c r="J698" s="39">
        <f t="shared" si="67"/>
        <v>0</v>
      </c>
      <c r="K698" s="42">
        <f t="shared" si="68"/>
        <v>9511699.8899999987</v>
      </c>
      <c r="L698" s="42">
        <f t="shared" si="69"/>
        <v>9511699.8899999987</v>
      </c>
      <c r="M698" s="43"/>
      <c r="N698" s="34">
        <f t="shared" si="70"/>
        <v>0.1100000012665987</v>
      </c>
    </row>
    <row r="699" spans="1:14" hidden="1" x14ac:dyDescent="0.25">
      <c r="A699" s="35" t="s">
        <v>1158</v>
      </c>
      <c r="B699" s="36" t="s">
        <v>64</v>
      </c>
      <c r="C699" s="37" t="s">
        <v>65</v>
      </c>
      <c r="D699" s="38">
        <v>18.8034</v>
      </c>
      <c r="E699" s="39">
        <v>0</v>
      </c>
      <c r="F699" s="38">
        <v>18.8034</v>
      </c>
      <c r="G699" s="39">
        <f t="shared" si="71"/>
        <v>18.8034</v>
      </c>
      <c r="H699" s="40">
        <v>1064000</v>
      </c>
      <c r="I699" s="41">
        <f t="shared" si="66"/>
        <v>20006818</v>
      </c>
      <c r="J699" s="39">
        <f t="shared" si="67"/>
        <v>0</v>
      </c>
      <c r="K699" s="42">
        <f t="shared" si="68"/>
        <v>20006817.600000001</v>
      </c>
      <c r="L699" s="42">
        <f t="shared" si="69"/>
        <v>20006817.600000001</v>
      </c>
      <c r="M699" s="43"/>
      <c r="N699" s="34">
        <f t="shared" si="70"/>
        <v>0.39999999850988388</v>
      </c>
    </row>
    <row r="700" spans="1:14" hidden="1" x14ac:dyDescent="0.25">
      <c r="A700" s="35" t="s">
        <v>1159</v>
      </c>
      <c r="B700" s="36" t="s">
        <v>1149</v>
      </c>
      <c r="C700" s="37" t="s">
        <v>42</v>
      </c>
      <c r="D700" s="38">
        <v>11.25</v>
      </c>
      <c r="E700" s="39">
        <v>0</v>
      </c>
      <c r="F700" s="38">
        <v>11.25</v>
      </c>
      <c r="G700" s="39">
        <f t="shared" si="71"/>
        <v>11.25</v>
      </c>
      <c r="H700" s="40">
        <v>363053</v>
      </c>
      <c r="I700" s="41">
        <f t="shared" si="66"/>
        <v>4084346</v>
      </c>
      <c r="J700" s="39">
        <f t="shared" si="67"/>
        <v>0</v>
      </c>
      <c r="K700" s="42">
        <f t="shared" si="68"/>
        <v>4084346.25</v>
      </c>
      <c r="L700" s="42">
        <f t="shared" si="69"/>
        <v>4084346.25</v>
      </c>
      <c r="M700" s="43"/>
      <c r="N700" s="34">
        <f t="shared" si="70"/>
        <v>-0.25</v>
      </c>
    </row>
    <row r="701" spans="1:14" hidden="1" x14ac:dyDescent="0.25">
      <c r="A701" s="35" t="s">
        <v>1160</v>
      </c>
      <c r="B701" s="36" t="s">
        <v>1151</v>
      </c>
      <c r="C701" s="37" t="s">
        <v>42</v>
      </c>
      <c r="D701" s="38">
        <v>105</v>
      </c>
      <c r="E701" s="39">
        <v>0</v>
      </c>
      <c r="F701" s="38">
        <v>105</v>
      </c>
      <c r="G701" s="39">
        <f t="shared" si="71"/>
        <v>105</v>
      </c>
      <c r="H701" s="40">
        <v>6875</v>
      </c>
      <c r="I701" s="41">
        <f t="shared" si="66"/>
        <v>721875</v>
      </c>
      <c r="J701" s="39">
        <f t="shared" si="67"/>
        <v>0</v>
      </c>
      <c r="K701" s="42">
        <f t="shared" si="68"/>
        <v>721875</v>
      </c>
      <c r="L701" s="42">
        <f t="shared" si="69"/>
        <v>721875</v>
      </c>
      <c r="M701" s="43"/>
      <c r="N701" s="34">
        <f t="shared" si="70"/>
        <v>0</v>
      </c>
    </row>
    <row r="702" spans="1:14" hidden="1" x14ac:dyDescent="0.25">
      <c r="A702" s="35" t="s">
        <v>1161</v>
      </c>
      <c r="B702" s="36" t="s">
        <v>183</v>
      </c>
      <c r="C702" s="37" t="s">
        <v>42</v>
      </c>
      <c r="D702" s="38">
        <v>141.02549999999999</v>
      </c>
      <c r="E702" s="39">
        <v>0</v>
      </c>
      <c r="F702" s="38">
        <v>141.02549999999999</v>
      </c>
      <c r="G702" s="39">
        <f t="shared" si="71"/>
        <v>141.02549999999999</v>
      </c>
      <c r="H702" s="40">
        <v>50585</v>
      </c>
      <c r="I702" s="41">
        <f t="shared" si="66"/>
        <v>7133775</v>
      </c>
      <c r="J702" s="39">
        <f t="shared" si="67"/>
        <v>0</v>
      </c>
      <c r="K702" s="42">
        <f t="shared" si="68"/>
        <v>7133774.9174999995</v>
      </c>
      <c r="L702" s="42">
        <f t="shared" si="69"/>
        <v>7133774.9174999995</v>
      </c>
      <c r="M702" s="43"/>
      <c r="N702" s="34">
        <f t="shared" si="70"/>
        <v>8.2500000484287739E-2</v>
      </c>
    </row>
    <row r="703" spans="1:14" hidden="1" x14ac:dyDescent="0.25">
      <c r="A703" s="35" t="s">
        <v>1162</v>
      </c>
      <c r="B703" s="36" t="s">
        <v>64</v>
      </c>
      <c r="C703" s="37" t="s">
        <v>65</v>
      </c>
      <c r="D703" s="38">
        <v>14.102600000000001</v>
      </c>
      <c r="E703" s="39">
        <v>0</v>
      </c>
      <c r="F703" s="38">
        <v>14.102600000000001</v>
      </c>
      <c r="G703" s="39">
        <f t="shared" si="71"/>
        <v>14.102600000000001</v>
      </c>
      <c r="H703" s="40">
        <v>1064000</v>
      </c>
      <c r="I703" s="41">
        <f t="shared" si="66"/>
        <v>15005166</v>
      </c>
      <c r="J703" s="39">
        <f t="shared" si="67"/>
        <v>0</v>
      </c>
      <c r="K703" s="42">
        <f t="shared" si="68"/>
        <v>15005166.4</v>
      </c>
      <c r="L703" s="42">
        <f t="shared" si="69"/>
        <v>15005166.4</v>
      </c>
      <c r="M703" s="43"/>
      <c r="N703" s="34">
        <f t="shared" si="70"/>
        <v>-0.40000000037252903</v>
      </c>
    </row>
    <row r="704" spans="1:14" hidden="1" x14ac:dyDescent="0.25">
      <c r="A704" s="35" t="s">
        <v>1163</v>
      </c>
      <c r="B704" s="36" t="s">
        <v>1164</v>
      </c>
      <c r="C704" s="37" t="s">
        <v>42</v>
      </c>
      <c r="D704" s="38">
        <v>1537.1</v>
      </c>
      <c r="E704" s="39">
        <v>0</v>
      </c>
      <c r="F704" s="38">
        <v>1537.1</v>
      </c>
      <c r="G704" s="39">
        <f t="shared" si="71"/>
        <v>1537.1</v>
      </c>
      <c r="H704" s="40">
        <v>9946</v>
      </c>
      <c r="I704" s="41">
        <f t="shared" si="66"/>
        <v>15287997</v>
      </c>
      <c r="J704" s="39">
        <f t="shared" si="67"/>
        <v>0</v>
      </c>
      <c r="K704" s="42">
        <f t="shared" si="68"/>
        <v>15287996.6</v>
      </c>
      <c r="L704" s="42">
        <f t="shared" si="69"/>
        <v>15287996.6</v>
      </c>
      <c r="M704" s="43"/>
      <c r="N704" s="34">
        <f t="shared" si="70"/>
        <v>0.40000000037252903</v>
      </c>
    </row>
    <row r="705" spans="1:14" hidden="1" x14ac:dyDescent="0.25">
      <c r="A705" s="44" t="s">
        <v>1165</v>
      </c>
      <c r="B705" s="45" t="s">
        <v>67</v>
      </c>
      <c r="C705" s="46" t="s">
        <v>42</v>
      </c>
      <c r="D705" s="47">
        <v>1537.1</v>
      </c>
      <c r="E705" s="48">
        <v>0</v>
      </c>
      <c r="F705" s="47">
        <v>1537.1</v>
      </c>
      <c r="G705" s="48">
        <f t="shared" si="71"/>
        <v>1537.1</v>
      </c>
      <c r="H705" s="49">
        <v>40424</v>
      </c>
      <c r="I705" s="50">
        <f t="shared" si="66"/>
        <v>62135730</v>
      </c>
      <c r="J705" s="39">
        <f t="shared" si="67"/>
        <v>0</v>
      </c>
      <c r="K705" s="42">
        <f t="shared" si="68"/>
        <v>62135730.399999999</v>
      </c>
      <c r="L705" s="42">
        <f t="shared" si="69"/>
        <v>62135730.399999999</v>
      </c>
      <c r="M705" s="52"/>
      <c r="N705" s="34">
        <f t="shared" si="70"/>
        <v>-0.39999999850988388</v>
      </c>
    </row>
    <row r="706" spans="1:14" hidden="1" x14ac:dyDescent="0.25">
      <c r="A706" s="16">
        <v>21</v>
      </c>
      <c r="B706" s="53" t="s">
        <v>1166</v>
      </c>
      <c r="C706" s="21"/>
      <c r="D706" s="54"/>
      <c r="E706" s="55"/>
      <c r="F706" s="54"/>
      <c r="G706" s="55"/>
      <c r="H706" s="56"/>
      <c r="I706" s="57"/>
      <c r="J706" s="55"/>
      <c r="K706" s="58"/>
      <c r="L706" s="58"/>
      <c r="M706" s="23"/>
      <c r="N706" s="34"/>
    </row>
    <row r="707" spans="1:14" ht="17.25" hidden="1" customHeight="1" x14ac:dyDescent="0.25">
      <c r="A707" s="25" t="s">
        <v>1167</v>
      </c>
      <c r="B707" s="26" t="s">
        <v>1168</v>
      </c>
      <c r="C707" s="27" t="s">
        <v>278</v>
      </c>
      <c r="D707" s="28">
        <v>8</v>
      </c>
      <c r="E707" s="29">
        <v>0</v>
      </c>
      <c r="F707" s="28"/>
      <c r="G707" s="29">
        <f t="shared" si="71"/>
        <v>0</v>
      </c>
      <c r="H707" s="30">
        <v>2548876</v>
      </c>
      <c r="I707" s="31">
        <f t="shared" ref="I707:I719" si="72">ROUND(D707*H707,0)</f>
        <v>20391008</v>
      </c>
      <c r="J707" s="39">
        <f t="shared" ref="J707:J719" si="73">E707*H707</f>
        <v>0</v>
      </c>
      <c r="K707" s="42">
        <f t="shared" ref="K707:K719" si="74">F707*H707</f>
        <v>0</v>
      </c>
      <c r="L707" s="42">
        <f t="shared" ref="L707:L719" si="75">G707*H707</f>
        <v>0</v>
      </c>
      <c r="M707" s="33"/>
      <c r="N707" s="34"/>
    </row>
    <row r="708" spans="1:14" ht="17.25" hidden="1" customHeight="1" x14ac:dyDescent="0.25">
      <c r="A708" s="35" t="s">
        <v>1169</v>
      </c>
      <c r="B708" s="36" t="s">
        <v>1170</v>
      </c>
      <c r="C708" s="37" t="s">
        <v>278</v>
      </c>
      <c r="D708" s="38">
        <v>8</v>
      </c>
      <c r="E708" s="39">
        <v>0</v>
      </c>
      <c r="F708" s="28"/>
      <c r="G708" s="39">
        <f t="shared" si="71"/>
        <v>0</v>
      </c>
      <c r="H708" s="40">
        <v>281193</v>
      </c>
      <c r="I708" s="41">
        <f t="shared" si="72"/>
        <v>2249544</v>
      </c>
      <c r="J708" s="39">
        <f t="shared" si="73"/>
        <v>0</v>
      </c>
      <c r="K708" s="42">
        <f t="shared" si="74"/>
        <v>0</v>
      </c>
      <c r="L708" s="42">
        <f t="shared" si="75"/>
        <v>0</v>
      </c>
      <c r="M708" s="43"/>
      <c r="N708" s="34"/>
    </row>
    <row r="709" spans="1:14" ht="17.25" hidden="1" customHeight="1" x14ac:dyDescent="0.25">
      <c r="A709" s="35" t="s">
        <v>1171</v>
      </c>
      <c r="B709" s="36" t="s">
        <v>1172</v>
      </c>
      <c r="C709" s="37" t="s">
        <v>278</v>
      </c>
      <c r="D709" s="38">
        <v>6</v>
      </c>
      <c r="E709" s="39">
        <v>0</v>
      </c>
      <c r="F709" s="28"/>
      <c r="G709" s="39">
        <f t="shared" si="71"/>
        <v>0</v>
      </c>
      <c r="H709" s="40">
        <v>1757450</v>
      </c>
      <c r="I709" s="41">
        <f t="shared" si="72"/>
        <v>10544700</v>
      </c>
      <c r="J709" s="39">
        <f t="shared" si="73"/>
        <v>0</v>
      </c>
      <c r="K709" s="42">
        <f t="shared" si="74"/>
        <v>0</v>
      </c>
      <c r="L709" s="42">
        <f t="shared" si="75"/>
        <v>0</v>
      </c>
      <c r="M709" s="43"/>
      <c r="N709" s="34"/>
    </row>
    <row r="710" spans="1:14" ht="17.25" hidden="1" customHeight="1" x14ac:dyDescent="0.25">
      <c r="A710" s="35" t="s">
        <v>1173</v>
      </c>
      <c r="B710" s="36" t="s">
        <v>1174</v>
      </c>
      <c r="C710" s="37" t="s">
        <v>278</v>
      </c>
      <c r="D710" s="38">
        <v>14</v>
      </c>
      <c r="E710" s="39">
        <v>0</v>
      </c>
      <c r="F710" s="28"/>
      <c r="G710" s="39">
        <f t="shared" si="71"/>
        <v>0</v>
      </c>
      <c r="H710" s="40">
        <v>703288</v>
      </c>
      <c r="I710" s="41">
        <f t="shared" si="72"/>
        <v>9846032</v>
      </c>
      <c r="J710" s="39">
        <f t="shared" si="73"/>
        <v>0</v>
      </c>
      <c r="K710" s="42">
        <f t="shared" si="74"/>
        <v>0</v>
      </c>
      <c r="L710" s="42">
        <f t="shared" si="75"/>
        <v>0</v>
      </c>
      <c r="M710" s="43"/>
      <c r="N710" s="34"/>
    </row>
    <row r="711" spans="1:14" ht="17.25" hidden="1" customHeight="1" x14ac:dyDescent="0.25">
      <c r="A711" s="35" t="s">
        <v>1175</v>
      </c>
      <c r="B711" s="36" t="s">
        <v>1176</v>
      </c>
      <c r="C711" s="37" t="s">
        <v>39</v>
      </c>
      <c r="D711" s="38">
        <v>20</v>
      </c>
      <c r="E711" s="39">
        <v>0</v>
      </c>
      <c r="F711" s="28"/>
      <c r="G711" s="39">
        <f t="shared" si="71"/>
        <v>0</v>
      </c>
      <c r="H711" s="40">
        <v>55074</v>
      </c>
      <c r="I711" s="41">
        <f t="shared" si="72"/>
        <v>1101480</v>
      </c>
      <c r="J711" s="39">
        <f t="shared" si="73"/>
        <v>0</v>
      </c>
      <c r="K711" s="42">
        <f t="shared" si="74"/>
        <v>0</v>
      </c>
      <c r="L711" s="42">
        <f t="shared" si="75"/>
        <v>0</v>
      </c>
      <c r="M711" s="43"/>
      <c r="N711" s="34"/>
    </row>
    <row r="712" spans="1:14" ht="17.25" hidden="1" customHeight="1" x14ac:dyDescent="0.25">
      <c r="A712" s="35" t="s">
        <v>1177</v>
      </c>
      <c r="B712" s="36" t="s">
        <v>1178</v>
      </c>
      <c r="C712" s="37" t="s">
        <v>278</v>
      </c>
      <c r="D712" s="38">
        <v>4</v>
      </c>
      <c r="E712" s="39">
        <v>0</v>
      </c>
      <c r="F712" s="28"/>
      <c r="G712" s="39">
        <f t="shared" si="71"/>
        <v>0</v>
      </c>
      <c r="H712" s="40">
        <v>6372190</v>
      </c>
      <c r="I712" s="41">
        <f t="shared" si="72"/>
        <v>25488760</v>
      </c>
      <c r="J712" s="39">
        <f t="shared" si="73"/>
        <v>0</v>
      </c>
      <c r="K712" s="42">
        <f t="shared" si="74"/>
        <v>0</v>
      </c>
      <c r="L712" s="42">
        <f t="shared" si="75"/>
        <v>0</v>
      </c>
      <c r="M712" s="43"/>
      <c r="N712" s="34"/>
    </row>
    <row r="713" spans="1:14" ht="17.25" hidden="1" customHeight="1" x14ac:dyDescent="0.25">
      <c r="A713" s="35" t="s">
        <v>1179</v>
      </c>
      <c r="B713" s="36" t="s">
        <v>1180</v>
      </c>
      <c r="C713" s="37" t="s">
        <v>278</v>
      </c>
      <c r="D713" s="38">
        <v>4</v>
      </c>
      <c r="E713" s="39">
        <v>0</v>
      </c>
      <c r="F713" s="28"/>
      <c r="G713" s="39">
        <f t="shared" si="71"/>
        <v>0</v>
      </c>
      <c r="H713" s="40">
        <v>375632</v>
      </c>
      <c r="I713" s="41">
        <f t="shared" si="72"/>
        <v>1502528</v>
      </c>
      <c r="J713" s="39">
        <f t="shared" si="73"/>
        <v>0</v>
      </c>
      <c r="K713" s="42">
        <f t="shared" si="74"/>
        <v>0</v>
      </c>
      <c r="L713" s="42">
        <f t="shared" si="75"/>
        <v>0</v>
      </c>
      <c r="M713" s="43"/>
      <c r="N713" s="34"/>
    </row>
    <row r="714" spans="1:14" ht="17.25" hidden="1" customHeight="1" x14ac:dyDescent="0.25">
      <c r="A714" s="35" t="s">
        <v>1181</v>
      </c>
      <c r="B714" s="36" t="s">
        <v>1182</v>
      </c>
      <c r="C714" s="37" t="s">
        <v>278</v>
      </c>
      <c r="D714" s="38">
        <v>4</v>
      </c>
      <c r="E714" s="39">
        <v>0</v>
      </c>
      <c r="F714" s="28"/>
      <c r="G714" s="39">
        <f t="shared" si="71"/>
        <v>0</v>
      </c>
      <c r="H714" s="40">
        <v>375632</v>
      </c>
      <c r="I714" s="41">
        <f t="shared" si="72"/>
        <v>1502528</v>
      </c>
      <c r="J714" s="39">
        <f t="shared" si="73"/>
        <v>0</v>
      </c>
      <c r="K714" s="42">
        <f t="shared" si="74"/>
        <v>0</v>
      </c>
      <c r="L714" s="42">
        <f t="shared" si="75"/>
        <v>0</v>
      </c>
      <c r="M714" s="43"/>
      <c r="N714" s="34"/>
    </row>
    <row r="715" spans="1:14" ht="17.25" hidden="1" customHeight="1" x14ac:dyDescent="0.25">
      <c r="A715" s="35" t="s">
        <v>1183</v>
      </c>
      <c r="B715" s="36" t="s">
        <v>1172</v>
      </c>
      <c r="C715" s="37" t="s">
        <v>278</v>
      </c>
      <c r="D715" s="38">
        <v>2</v>
      </c>
      <c r="E715" s="39">
        <v>0</v>
      </c>
      <c r="F715" s="28"/>
      <c r="G715" s="39">
        <f t="shared" si="71"/>
        <v>0</v>
      </c>
      <c r="H715" s="40">
        <v>1012290</v>
      </c>
      <c r="I715" s="41">
        <f t="shared" si="72"/>
        <v>2024580</v>
      </c>
      <c r="J715" s="39">
        <f t="shared" si="73"/>
        <v>0</v>
      </c>
      <c r="K715" s="42">
        <f t="shared" si="74"/>
        <v>0</v>
      </c>
      <c r="L715" s="42">
        <f t="shared" si="75"/>
        <v>0</v>
      </c>
      <c r="M715" s="43"/>
      <c r="N715" s="34"/>
    </row>
    <row r="716" spans="1:14" ht="17.25" hidden="1" customHeight="1" x14ac:dyDescent="0.25">
      <c r="A716" s="35" t="s">
        <v>1184</v>
      </c>
      <c r="B716" s="36" t="s">
        <v>1185</v>
      </c>
      <c r="C716" s="37" t="s">
        <v>278</v>
      </c>
      <c r="D716" s="38">
        <v>12</v>
      </c>
      <c r="E716" s="39">
        <v>0</v>
      </c>
      <c r="F716" s="28"/>
      <c r="G716" s="39">
        <f t="shared" si="71"/>
        <v>0</v>
      </c>
      <c r="H716" s="40">
        <v>1434079</v>
      </c>
      <c r="I716" s="41">
        <f t="shared" si="72"/>
        <v>17208948</v>
      </c>
      <c r="J716" s="39">
        <f t="shared" si="73"/>
        <v>0</v>
      </c>
      <c r="K716" s="42">
        <f t="shared" si="74"/>
        <v>0</v>
      </c>
      <c r="L716" s="42">
        <f t="shared" si="75"/>
        <v>0</v>
      </c>
      <c r="M716" s="43"/>
      <c r="N716" s="34"/>
    </row>
    <row r="717" spans="1:14" ht="17.25" hidden="1" customHeight="1" x14ac:dyDescent="0.25">
      <c r="A717" s="35" t="s">
        <v>1186</v>
      </c>
      <c r="B717" s="36" t="s">
        <v>1174</v>
      </c>
      <c r="C717" s="37" t="s">
        <v>278</v>
      </c>
      <c r="D717" s="38">
        <v>14</v>
      </c>
      <c r="E717" s="39">
        <v>0</v>
      </c>
      <c r="F717" s="28"/>
      <c r="G717" s="39">
        <f t="shared" si="71"/>
        <v>0</v>
      </c>
      <c r="H717" s="40">
        <v>703288</v>
      </c>
      <c r="I717" s="41">
        <f t="shared" si="72"/>
        <v>9846032</v>
      </c>
      <c r="J717" s="39">
        <f t="shared" si="73"/>
        <v>0</v>
      </c>
      <c r="K717" s="42">
        <f t="shared" si="74"/>
        <v>0</v>
      </c>
      <c r="L717" s="42">
        <f t="shared" si="75"/>
        <v>0</v>
      </c>
      <c r="M717" s="43"/>
      <c r="N717" s="34"/>
    </row>
    <row r="718" spans="1:14" ht="17.25" hidden="1" customHeight="1" x14ac:dyDescent="0.25">
      <c r="A718" s="35" t="s">
        <v>1187</v>
      </c>
      <c r="B718" s="36" t="s">
        <v>1188</v>
      </c>
      <c r="C718" s="37" t="s">
        <v>278</v>
      </c>
      <c r="D718" s="38">
        <v>8</v>
      </c>
      <c r="E718" s="39">
        <v>0</v>
      </c>
      <c r="F718" s="28"/>
      <c r="G718" s="39">
        <f t="shared" si="71"/>
        <v>0</v>
      </c>
      <c r="H718" s="40">
        <v>378508</v>
      </c>
      <c r="I718" s="41">
        <f t="shared" si="72"/>
        <v>3028064</v>
      </c>
      <c r="J718" s="39">
        <f t="shared" si="73"/>
        <v>0</v>
      </c>
      <c r="K718" s="42">
        <f t="shared" si="74"/>
        <v>0</v>
      </c>
      <c r="L718" s="42">
        <f t="shared" si="75"/>
        <v>0</v>
      </c>
      <c r="M718" s="43"/>
      <c r="N718" s="34"/>
    </row>
    <row r="719" spans="1:14" ht="17.25" hidden="1" customHeight="1" x14ac:dyDescent="0.25">
      <c r="A719" s="44" t="s">
        <v>1189</v>
      </c>
      <c r="B719" s="45" t="s">
        <v>1190</v>
      </c>
      <c r="C719" s="46" t="s">
        <v>278</v>
      </c>
      <c r="D719" s="47">
        <v>8</v>
      </c>
      <c r="E719" s="48">
        <v>0</v>
      </c>
      <c r="F719" s="28"/>
      <c r="G719" s="48">
        <f t="shared" si="71"/>
        <v>0</v>
      </c>
      <c r="H719" s="49">
        <v>2479194</v>
      </c>
      <c r="I719" s="50">
        <f t="shared" si="72"/>
        <v>19833552</v>
      </c>
      <c r="J719" s="39">
        <f t="shared" si="73"/>
        <v>0</v>
      </c>
      <c r="K719" s="42">
        <f t="shared" si="74"/>
        <v>0</v>
      </c>
      <c r="L719" s="42">
        <f t="shared" si="75"/>
        <v>0</v>
      </c>
      <c r="M719" s="52"/>
      <c r="N719" s="34"/>
    </row>
    <row r="720" spans="1:14" s="64" customFormat="1" ht="21" hidden="1" customHeight="1" x14ac:dyDescent="0.25">
      <c r="A720" s="16">
        <v>22</v>
      </c>
      <c r="B720" s="53" t="s">
        <v>1191</v>
      </c>
      <c r="C720" s="18"/>
      <c r="D720" s="19"/>
      <c r="E720" s="55"/>
      <c r="F720" s="54"/>
      <c r="G720" s="19"/>
      <c r="H720" s="56"/>
      <c r="I720" s="57"/>
      <c r="J720" s="55"/>
      <c r="K720" s="58"/>
      <c r="L720" s="58"/>
      <c r="M720" s="63"/>
      <c r="N720" s="34"/>
    </row>
    <row r="721" spans="1:14" ht="31.5" hidden="1" x14ac:dyDescent="0.25">
      <c r="A721" s="25" t="s">
        <v>1192</v>
      </c>
      <c r="B721" s="26" t="s">
        <v>1193</v>
      </c>
      <c r="C721" s="86" t="s">
        <v>1194</v>
      </c>
      <c r="D721" s="28">
        <v>1</v>
      </c>
      <c r="E721" s="29">
        <v>0</v>
      </c>
      <c r="F721" s="28"/>
      <c r="G721" s="29">
        <f t="shared" ref="G721:G739" si="76">E721+F721</f>
        <v>0</v>
      </c>
      <c r="H721" s="87">
        <v>474623503</v>
      </c>
      <c r="I721" s="31">
        <v>232047385.90500373</v>
      </c>
      <c r="J721" s="29">
        <f t="shared" si="38"/>
        <v>0</v>
      </c>
      <c r="K721" s="32"/>
      <c r="L721" s="32">
        <f>K721</f>
        <v>0</v>
      </c>
      <c r="M721" s="33"/>
      <c r="N721" s="34"/>
    </row>
    <row r="722" spans="1:14" ht="21" hidden="1" customHeight="1" x14ac:dyDescent="0.25">
      <c r="A722" s="44" t="s">
        <v>1195</v>
      </c>
      <c r="B722" s="45" t="s">
        <v>1196</v>
      </c>
      <c r="C722" s="88" t="s">
        <v>1194</v>
      </c>
      <c r="D722" s="47">
        <v>1</v>
      </c>
      <c r="E722" s="48">
        <v>0</v>
      </c>
      <c r="F722" s="47"/>
      <c r="G722" s="48">
        <f t="shared" si="76"/>
        <v>0</v>
      </c>
      <c r="H722" s="89">
        <v>295964821</v>
      </c>
      <c r="I722" s="50">
        <v>295964821</v>
      </c>
      <c r="J722" s="48">
        <f t="shared" si="38"/>
        <v>0</v>
      </c>
      <c r="K722" s="51">
        <f t="shared" si="39"/>
        <v>0</v>
      </c>
      <c r="L722" s="51">
        <f t="shared" si="40"/>
        <v>0</v>
      </c>
      <c r="M722" s="52"/>
      <c r="N722" s="34"/>
    </row>
    <row r="723" spans="1:14" ht="30.75" hidden="1" customHeight="1" x14ac:dyDescent="0.25">
      <c r="A723" s="16">
        <v>23</v>
      </c>
      <c r="B723" s="53" t="s">
        <v>1197</v>
      </c>
      <c r="C723" s="7" t="s">
        <v>1194</v>
      </c>
      <c r="D723" s="54">
        <v>1</v>
      </c>
      <c r="E723" s="55">
        <v>0</v>
      </c>
      <c r="F723" s="54"/>
      <c r="G723" s="55">
        <f t="shared" si="76"/>
        <v>0</v>
      </c>
      <c r="H723" s="90">
        <f>6.67%*303996652562</f>
        <v>20276576725.885399</v>
      </c>
      <c r="I723" s="91">
        <v>12169736837.565399</v>
      </c>
      <c r="J723" s="55">
        <f t="shared" si="38"/>
        <v>0</v>
      </c>
      <c r="K723" s="58">
        <f t="shared" si="39"/>
        <v>0</v>
      </c>
      <c r="L723" s="58">
        <f t="shared" si="40"/>
        <v>0</v>
      </c>
      <c r="M723" s="23"/>
      <c r="N723" s="34"/>
    </row>
    <row r="724" spans="1:14" ht="51.75" customHeight="1" x14ac:dyDescent="0.25">
      <c r="A724" s="16" t="s">
        <v>1198</v>
      </c>
      <c r="B724" s="92" t="s">
        <v>1346</v>
      </c>
      <c r="C724" s="21"/>
      <c r="D724" s="54"/>
      <c r="E724" s="55"/>
      <c r="F724" s="54"/>
      <c r="G724" s="55"/>
      <c r="H724" s="56"/>
      <c r="I724" s="93">
        <f>ROUND(SUM(I728:I775),-3)</f>
        <v>-2465776000</v>
      </c>
      <c r="J724" s="55"/>
      <c r="K724" s="58"/>
      <c r="L724" s="58"/>
      <c r="M724" s="23"/>
      <c r="N724" s="93">
        <f>I724+I776+I792+I844</f>
        <v>0</v>
      </c>
    </row>
    <row r="725" spans="1:14" ht="35.25" customHeight="1" x14ac:dyDescent="0.25">
      <c r="A725" s="94"/>
      <c r="B725" s="92" t="s">
        <v>1199</v>
      </c>
      <c r="C725" s="21"/>
      <c r="D725" s="54"/>
      <c r="E725" s="55"/>
      <c r="F725" s="54"/>
      <c r="G725" s="55"/>
      <c r="H725" s="56"/>
      <c r="I725" s="95"/>
      <c r="J725" s="55"/>
      <c r="K725" s="58"/>
      <c r="L725" s="58"/>
      <c r="M725" s="23"/>
    </row>
    <row r="726" spans="1:14" ht="23.25" customHeight="1" x14ac:dyDescent="0.25">
      <c r="A726" s="94"/>
      <c r="B726" s="17" t="s">
        <v>1200</v>
      </c>
      <c r="C726" s="21"/>
      <c r="D726" s="54"/>
      <c r="E726" s="55"/>
      <c r="F726" s="54"/>
      <c r="G726" s="55"/>
      <c r="H726" s="56"/>
      <c r="I726" s="95"/>
      <c r="J726" s="55"/>
      <c r="K726" s="58"/>
      <c r="L726" s="58"/>
      <c r="M726" s="23"/>
    </row>
    <row r="727" spans="1:14" ht="23.25" customHeight="1" x14ac:dyDescent="0.25">
      <c r="A727" s="94"/>
      <c r="B727" s="17" t="s">
        <v>1201</v>
      </c>
      <c r="C727" s="21"/>
      <c r="D727" s="54"/>
      <c r="E727" s="55"/>
      <c r="F727" s="54"/>
      <c r="G727" s="55"/>
      <c r="H727" s="56"/>
      <c r="I727" s="95"/>
      <c r="J727" s="55"/>
      <c r="K727" s="58"/>
      <c r="L727" s="58"/>
      <c r="M727" s="23"/>
    </row>
    <row r="728" spans="1:14" ht="23.25" customHeight="1" x14ac:dyDescent="0.25">
      <c r="A728" s="25">
        <f t="shared" ref="A728:A739" si="77">A727+1</f>
        <v>1</v>
      </c>
      <c r="B728" s="26" t="s">
        <v>150</v>
      </c>
      <c r="C728" s="27" t="s">
        <v>84</v>
      </c>
      <c r="D728" s="96">
        <v>-835.56</v>
      </c>
      <c r="E728" s="29">
        <v>0</v>
      </c>
      <c r="F728" s="28"/>
      <c r="G728" s="29">
        <f t="shared" si="76"/>
        <v>0</v>
      </c>
      <c r="H728" s="30">
        <v>388691</v>
      </c>
      <c r="I728" s="97">
        <f>ROUND(D728*H728,0)</f>
        <v>-324774652</v>
      </c>
      <c r="J728" s="39">
        <f t="shared" ref="J728:J730" si="78">E728*H728</f>
        <v>0</v>
      </c>
      <c r="K728" s="42">
        <f t="shared" ref="K728:K730" si="79">F728*H728</f>
        <v>0</v>
      </c>
      <c r="L728" s="42">
        <f>G728*H728</f>
        <v>0</v>
      </c>
      <c r="M728" s="33"/>
    </row>
    <row r="729" spans="1:14" ht="23.25" customHeight="1" x14ac:dyDescent="0.25">
      <c r="A729" s="35">
        <f t="shared" si="77"/>
        <v>2</v>
      </c>
      <c r="B729" s="36" t="s">
        <v>73</v>
      </c>
      <c r="C729" s="37" t="s">
        <v>42</v>
      </c>
      <c r="D729" s="98">
        <v>-206.38332000000014</v>
      </c>
      <c r="E729" s="39">
        <v>0</v>
      </c>
      <c r="F729" s="38"/>
      <c r="G729" s="39">
        <f t="shared" si="76"/>
        <v>0</v>
      </c>
      <c r="H729" s="40">
        <v>2096</v>
      </c>
      <c r="I729" s="99">
        <f t="shared" ref="I728:I739" si="80">ROUND(D729*H729,0)</f>
        <v>-432579</v>
      </c>
      <c r="J729" s="39">
        <f t="shared" si="78"/>
        <v>0</v>
      </c>
      <c r="K729" s="42">
        <f t="shared" si="79"/>
        <v>0</v>
      </c>
      <c r="L729" s="42">
        <f t="shared" ref="L729:L730" si="81">G729*H729</f>
        <v>0</v>
      </c>
      <c r="M729" s="43"/>
    </row>
    <row r="730" spans="1:14" ht="22.5" customHeight="1" x14ac:dyDescent="0.25">
      <c r="A730" s="44">
        <f t="shared" si="77"/>
        <v>3</v>
      </c>
      <c r="B730" s="45" t="s">
        <v>1202</v>
      </c>
      <c r="C730" s="46" t="s">
        <v>163</v>
      </c>
      <c r="D730" s="100">
        <v>-2.9328156000000014</v>
      </c>
      <c r="E730" s="48">
        <v>0</v>
      </c>
      <c r="F730" s="47"/>
      <c r="G730" s="48">
        <f t="shared" si="76"/>
        <v>0</v>
      </c>
      <c r="H730" s="49">
        <v>963779</v>
      </c>
      <c r="I730" s="101">
        <f t="shared" si="80"/>
        <v>-2826586</v>
      </c>
      <c r="J730" s="39">
        <f t="shared" si="78"/>
        <v>0</v>
      </c>
      <c r="K730" s="42">
        <f t="shared" si="79"/>
        <v>0</v>
      </c>
      <c r="L730" s="42">
        <f t="shared" si="81"/>
        <v>0</v>
      </c>
      <c r="M730" s="52"/>
    </row>
    <row r="731" spans="1:14" ht="23.25" customHeight="1" x14ac:dyDescent="0.25">
      <c r="A731" s="94"/>
      <c r="B731" s="17" t="s">
        <v>1203</v>
      </c>
      <c r="C731" s="21"/>
      <c r="D731" s="54"/>
      <c r="E731" s="55"/>
      <c r="F731" s="54"/>
      <c r="G731" s="55"/>
      <c r="H731" s="56"/>
      <c r="I731" s="95"/>
      <c r="J731" s="55"/>
      <c r="K731" s="58"/>
      <c r="L731" s="58"/>
      <c r="M731" s="23"/>
    </row>
    <row r="732" spans="1:14" ht="23.25" customHeight="1" x14ac:dyDescent="0.25">
      <c r="A732" s="94"/>
      <c r="B732" s="17" t="s">
        <v>1204</v>
      </c>
      <c r="C732" s="21"/>
      <c r="D732" s="54"/>
      <c r="E732" s="55"/>
      <c r="F732" s="54"/>
      <c r="G732" s="55"/>
      <c r="H732" s="56"/>
      <c r="I732" s="95"/>
      <c r="J732" s="55"/>
      <c r="K732" s="58"/>
      <c r="L732" s="58"/>
      <c r="M732" s="23"/>
    </row>
    <row r="733" spans="1:14" ht="23.25" customHeight="1" x14ac:dyDescent="0.25">
      <c r="A733" s="25">
        <f t="shared" si="77"/>
        <v>1</v>
      </c>
      <c r="B733" s="26" t="s">
        <v>517</v>
      </c>
      <c r="C733" s="27" t="s">
        <v>42</v>
      </c>
      <c r="D733" s="96">
        <v>-4.2240000000000038</v>
      </c>
      <c r="E733" s="29">
        <v>0</v>
      </c>
      <c r="F733" s="28"/>
      <c r="G733" s="29">
        <f t="shared" si="76"/>
        <v>0</v>
      </c>
      <c r="H733" s="30">
        <v>1637840</v>
      </c>
      <c r="I733" s="102">
        <f t="shared" si="80"/>
        <v>-6918236</v>
      </c>
      <c r="J733" s="29">
        <f t="shared" ref="J733:J739" si="82">E733*H733</f>
        <v>0</v>
      </c>
      <c r="K733" s="32">
        <f t="shared" ref="K733:K739" si="83">F733*H733</f>
        <v>0</v>
      </c>
      <c r="L733" s="32">
        <f t="shared" ref="L733:L739" si="84">G733*H733</f>
        <v>0</v>
      </c>
      <c r="M733" s="33"/>
    </row>
    <row r="734" spans="1:14" ht="31.5" x14ac:dyDescent="0.25">
      <c r="A734" s="35">
        <f t="shared" si="77"/>
        <v>2</v>
      </c>
      <c r="B734" s="36" t="s">
        <v>519</v>
      </c>
      <c r="C734" s="37" t="s">
        <v>118</v>
      </c>
      <c r="D734" s="98">
        <v>-0.21087999999999951</v>
      </c>
      <c r="E734" s="39">
        <v>0</v>
      </c>
      <c r="F734" s="38"/>
      <c r="G734" s="39">
        <f t="shared" si="76"/>
        <v>0</v>
      </c>
      <c r="H734" s="40">
        <v>27102732</v>
      </c>
      <c r="I734" s="103">
        <f t="shared" si="80"/>
        <v>-5715424</v>
      </c>
      <c r="J734" s="39">
        <f t="shared" si="82"/>
        <v>0</v>
      </c>
      <c r="K734" s="42">
        <f t="shared" si="83"/>
        <v>0</v>
      </c>
      <c r="L734" s="42">
        <f t="shared" si="84"/>
        <v>0</v>
      </c>
      <c r="M734" s="43"/>
    </row>
    <row r="735" spans="1:14" ht="31.5" x14ac:dyDescent="0.25">
      <c r="A735" s="35">
        <f t="shared" si="77"/>
        <v>3</v>
      </c>
      <c r="B735" s="36" t="s">
        <v>521</v>
      </c>
      <c r="C735" s="37" t="s">
        <v>39</v>
      </c>
      <c r="D735" s="98">
        <v>-10.431999999999988</v>
      </c>
      <c r="E735" s="39">
        <v>0</v>
      </c>
      <c r="F735" s="38"/>
      <c r="G735" s="39">
        <f t="shared" si="76"/>
        <v>0</v>
      </c>
      <c r="H735" s="40">
        <v>86606</v>
      </c>
      <c r="I735" s="103">
        <f t="shared" si="80"/>
        <v>-903474</v>
      </c>
      <c r="J735" s="39">
        <f t="shared" si="82"/>
        <v>0</v>
      </c>
      <c r="K735" s="42">
        <f t="shared" si="83"/>
        <v>0</v>
      </c>
      <c r="L735" s="42">
        <f t="shared" si="84"/>
        <v>0</v>
      </c>
      <c r="M735" s="43"/>
    </row>
    <row r="736" spans="1:14" ht="34.5" customHeight="1" x14ac:dyDescent="0.25">
      <c r="A736" s="35">
        <f t="shared" si="77"/>
        <v>4</v>
      </c>
      <c r="B736" s="36" t="s">
        <v>1205</v>
      </c>
      <c r="C736" s="37" t="s">
        <v>233</v>
      </c>
      <c r="D736" s="98">
        <v>-8.1200000000000045</v>
      </c>
      <c r="E736" s="39">
        <v>0</v>
      </c>
      <c r="F736" s="38"/>
      <c r="G736" s="39">
        <f t="shared" si="76"/>
        <v>0</v>
      </c>
      <c r="H736" s="40">
        <v>65424</v>
      </c>
      <c r="I736" s="103">
        <f t="shared" si="80"/>
        <v>-531243</v>
      </c>
      <c r="J736" s="39">
        <f t="shared" si="82"/>
        <v>0</v>
      </c>
      <c r="K736" s="42">
        <f t="shared" si="83"/>
        <v>0</v>
      </c>
      <c r="L736" s="42">
        <f t="shared" si="84"/>
        <v>0</v>
      </c>
      <c r="M736" s="43"/>
    </row>
    <row r="737" spans="1:13" ht="46.5" customHeight="1" x14ac:dyDescent="0.25">
      <c r="A737" s="35">
        <f t="shared" si="77"/>
        <v>5</v>
      </c>
      <c r="B737" s="36" t="s">
        <v>543</v>
      </c>
      <c r="C737" s="37" t="s">
        <v>233</v>
      </c>
      <c r="D737" s="98">
        <v>-8</v>
      </c>
      <c r="E737" s="39">
        <v>0</v>
      </c>
      <c r="F737" s="38"/>
      <c r="G737" s="39">
        <f t="shared" si="76"/>
        <v>0</v>
      </c>
      <c r="H737" s="40">
        <v>65424</v>
      </c>
      <c r="I737" s="103">
        <f t="shared" si="80"/>
        <v>-523392</v>
      </c>
      <c r="J737" s="39">
        <f t="shared" si="82"/>
        <v>0</v>
      </c>
      <c r="K737" s="42">
        <f t="shared" si="83"/>
        <v>0</v>
      </c>
      <c r="L737" s="42">
        <f t="shared" si="84"/>
        <v>0</v>
      </c>
      <c r="M737" s="43"/>
    </row>
    <row r="738" spans="1:13" ht="35.25" customHeight="1" x14ac:dyDescent="0.25">
      <c r="A738" s="35">
        <f t="shared" si="77"/>
        <v>6</v>
      </c>
      <c r="B738" s="36" t="s">
        <v>229</v>
      </c>
      <c r="C738" s="37" t="s">
        <v>230</v>
      </c>
      <c r="D738" s="98">
        <v>-2</v>
      </c>
      <c r="E738" s="39">
        <v>0</v>
      </c>
      <c r="F738" s="38"/>
      <c r="G738" s="39">
        <f t="shared" si="76"/>
        <v>0</v>
      </c>
      <c r="H738" s="40">
        <v>32162</v>
      </c>
      <c r="I738" s="103">
        <f t="shared" si="80"/>
        <v>-64324</v>
      </c>
      <c r="J738" s="39">
        <f t="shared" si="82"/>
        <v>0</v>
      </c>
      <c r="K738" s="42">
        <f t="shared" si="83"/>
        <v>0</v>
      </c>
      <c r="L738" s="42">
        <f t="shared" si="84"/>
        <v>0</v>
      </c>
      <c r="M738" s="43"/>
    </row>
    <row r="739" spans="1:13" ht="31.5" x14ac:dyDescent="0.25">
      <c r="A739" s="35">
        <f t="shared" si="77"/>
        <v>7</v>
      </c>
      <c r="B739" s="36" t="s">
        <v>546</v>
      </c>
      <c r="C739" s="37" t="s">
        <v>278</v>
      </c>
      <c r="D739" s="98">
        <v>-8</v>
      </c>
      <c r="E739" s="39">
        <v>0</v>
      </c>
      <c r="F739" s="38"/>
      <c r="G739" s="39">
        <f t="shared" si="76"/>
        <v>0</v>
      </c>
      <c r="H739" s="40">
        <v>120701</v>
      </c>
      <c r="I739" s="103">
        <f t="shared" si="80"/>
        <v>-965608</v>
      </c>
      <c r="J739" s="39">
        <f t="shared" si="82"/>
        <v>0</v>
      </c>
      <c r="K739" s="42">
        <f t="shared" si="83"/>
        <v>0</v>
      </c>
      <c r="L739" s="42">
        <f t="shared" si="84"/>
        <v>0</v>
      </c>
      <c r="M739" s="43"/>
    </row>
    <row r="740" spans="1:13" ht="31.5" x14ac:dyDescent="0.25">
      <c r="A740" s="35"/>
      <c r="B740" s="78" t="s">
        <v>1206</v>
      </c>
      <c r="C740" s="37"/>
      <c r="D740" s="38"/>
      <c r="E740" s="39"/>
      <c r="F740" s="38"/>
      <c r="G740" s="39"/>
      <c r="H740" s="40"/>
      <c r="I740" s="103"/>
      <c r="J740" s="39"/>
      <c r="K740" s="42"/>
      <c r="L740" s="42"/>
      <c r="M740" s="43"/>
    </row>
    <row r="741" spans="1:13" x14ac:dyDescent="0.25">
      <c r="A741" s="35">
        <f t="shared" ref="A741:A774" si="85">A740+1</f>
        <v>1</v>
      </c>
      <c r="B741" s="36" t="s">
        <v>495</v>
      </c>
      <c r="C741" s="37" t="s">
        <v>42</v>
      </c>
      <c r="D741" s="98">
        <v>-31.680000000000007</v>
      </c>
      <c r="E741" s="39">
        <v>0</v>
      </c>
      <c r="F741" s="38"/>
      <c r="G741" s="39">
        <f t="shared" ref="G741:G774" si="86">E741+F741</f>
        <v>0</v>
      </c>
      <c r="H741" s="40">
        <v>1688075</v>
      </c>
      <c r="I741" s="103">
        <f t="shared" ref="I741:I774" si="87">ROUND(D741*H741,0)</f>
        <v>-53478216</v>
      </c>
      <c r="J741" s="39">
        <f t="shared" ref="J741:J774" si="88">E741*H741</f>
        <v>0</v>
      </c>
      <c r="K741" s="42">
        <f t="shared" ref="K741:K774" si="89">F741*H741</f>
        <v>0</v>
      </c>
      <c r="L741" s="42">
        <f t="shared" ref="L741:L774" si="90">G741*H741</f>
        <v>0</v>
      </c>
      <c r="M741" s="43"/>
    </row>
    <row r="742" spans="1:13" ht="31.5" x14ac:dyDescent="0.25">
      <c r="A742" s="35">
        <f t="shared" si="85"/>
        <v>2</v>
      </c>
      <c r="B742" s="36" t="s">
        <v>497</v>
      </c>
      <c r="C742" s="37" t="s">
        <v>118</v>
      </c>
      <c r="D742" s="98">
        <v>-0.30815999999999999</v>
      </c>
      <c r="E742" s="39">
        <v>0</v>
      </c>
      <c r="F742" s="38"/>
      <c r="G742" s="39">
        <f t="shared" si="86"/>
        <v>0</v>
      </c>
      <c r="H742" s="40">
        <v>28771832</v>
      </c>
      <c r="I742" s="103">
        <f t="shared" si="87"/>
        <v>-8866328</v>
      </c>
      <c r="J742" s="39">
        <f t="shared" si="88"/>
        <v>0</v>
      </c>
      <c r="K742" s="42">
        <f t="shared" si="89"/>
        <v>0</v>
      </c>
      <c r="L742" s="42">
        <f t="shared" si="90"/>
        <v>0</v>
      </c>
      <c r="M742" s="43"/>
    </row>
    <row r="743" spans="1:13" ht="31.5" x14ac:dyDescent="0.25">
      <c r="A743" s="35">
        <f t="shared" si="85"/>
        <v>3</v>
      </c>
      <c r="B743" s="36" t="s">
        <v>499</v>
      </c>
      <c r="C743" s="37" t="s">
        <v>118</v>
      </c>
      <c r="D743" s="98">
        <v>-4.5273600000000016</v>
      </c>
      <c r="E743" s="39">
        <v>0</v>
      </c>
      <c r="F743" s="38"/>
      <c r="G743" s="39">
        <f t="shared" si="86"/>
        <v>0</v>
      </c>
      <c r="H743" s="40">
        <v>27010601</v>
      </c>
      <c r="I743" s="103">
        <f t="shared" si="87"/>
        <v>-122286715</v>
      </c>
      <c r="J743" s="39">
        <f t="shared" si="88"/>
        <v>0</v>
      </c>
      <c r="K743" s="42">
        <f t="shared" si="89"/>
        <v>0</v>
      </c>
      <c r="L743" s="42">
        <f t="shared" si="90"/>
        <v>0</v>
      </c>
      <c r="M743" s="43"/>
    </row>
    <row r="744" spans="1:13" ht="31.5" x14ac:dyDescent="0.25">
      <c r="A744" s="35">
        <f t="shared" si="85"/>
        <v>4</v>
      </c>
      <c r="B744" s="36" t="s">
        <v>501</v>
      </c>
      <c r="C744" s="37" t="s">
        <v>39</v>
      </c>
      <c r="D744" s="98">
        <v>-329.03999999999996</v>
      </c>
      <c r="E744" s="39">
        <v>0</v>
      </c>
      <c r="F744" s="38"/>
      <c r="G744" s="39">
        <f t="shared" si="86"/>
        <v>0</v>
      </c>
      <c r="H744" s="40">
        <v>102621</v>
      </c>
      <c r="I744" s="103">
        <f t="shared" si="87"/>
        <v>-33766414</v>
      </c>
      <c r="J744" s="39">
        <f t="shared" si="88"/>
        <v>0</v>
      </c>
      <c r="K744" s="42">
        <f t="shared" si="89"/>
        <v>0</v>
      </c>
      <c r="L744" s="42">
        <f t="shared" si="90"/>
        <v>0</v>
      </c>
      <c r="M744" s="43"/>
    </row>
    <row r="745" spans="1:13" ht="31.5" x14ac:dyDescent="0.25">
      <c r="A745" s="35">
        <f t="shared" si="85"/>
        <v>5</v>
      </c>
      <c r="B745" s="36" t="s">
        <v>503</v>
      </c>
      <c r="C745" s="37" t="s">
        <v>233</v>
      </c>
      <c r="D745" s="98">
        <v>-36</v>
      </c>
      <c r="E745" s="39">
        <v>0</v>
      </c>
      <c r="F745" s="38"/>
      <c r="G745" s="39">
        <f t="shared" si="86"/>
        <v>0</v>
      </c>
      <c r="H745" s="40">
        <v>113802</v>
      </c>
      <c r="I745" s="103">
        <f t="shared" si="87"/>
        <v>-4096872</v>
      </c>
      <c r="J745" s="39">
        <f t="shared" si="88"/>
        <v>0</v>
      </c>
      <c r="K745" s="42">
        <f t="shared" si="89"/>
        <v>0</v>
      </c>
      <c r="L745" s="42">
        <f t="shared" si="90"/>
        <v>0</v>
      </c>
      <c r="M745" s="43"/>
    </row>
    <row r="746" spans="1:13" ht="48" customHeight="1" x14ac:dyDescent="0.25">
      <c r="A746" s="35">
        <f t="shared" si="85"/>
        <v>6</v>
      </c>
      <c r="B746" s="36" t="s">
        <v>331</v>
      </c>
      <c r="C746" s="37" t="s">
        <v>233</v>
      </c>
      <c r="D746" s="98">
        <v>-9</v>
      </c>
      <c r="E746" s="39">
        <v>0</v>
      </c>
      <c r="F746" s="38"/>
      <c r="G746" s="39">
        <f t="shared" si="86"/>
        <v>0</v>
      </c>
      <c r="H746" s="40">
        <v>91827</v>
      </c>
      <c r="I746" s="103">
        <f t="shared" si="87"/>
        <v>-826443</v>
      </c>
      <c r="J746" s="39">
        <f t="shared" si="88"/>
        <v>0</v>
      </c>
      <c r="K746" s="42">
        <f t="shared" si="89"/>
        <v>0</v>
      </c>
      <c r="L746" s="42">
        <f t="shared" si="90"/>
        <v>0</v>
      </c>
      <c r="M746" s="43"/>
    </row>
    <row r="747" spans="1:13" ht="47.25" x14ac:dyDescent="0.25">
      <c r="A747" s="35">
        <f t="shared" si="85"/>
        <v>7</v>
      </c>
      <c r="B747" s="36" t="s">
        <v>1207</v>
      </c>
      <c r="C747" s="37" t="s">
        <v>334</v>
      </c>
      <c r="D747" s="98">
        <v>-36</v>
      </c>
      <c r="E747" s="39">
        <v>0</v>
      </c>
      <c r="F747" s="38"/>
      <c r="G747" s="39">
        <f t="shared" si="86"/>
        <v>0</v>
      </c>
      <c r="H747" s="40">
        <v>36181</v>
      </c>
      <c r="I747" s="103">
        <f t="shared" si="87"/>
        <v>-1302516</v>
      </c>
      <c r="J747" s="39">
        <f t="shared" si="88"/>
        <v>0</v>
      </c>
      <c r="K747" s="42">
        <f t="shared" si="89"/>
        <v>0</v>
      </c>
      <c r="L747" s="42">
        <f t="shared" si="90"/>
        <v>0</v>
      </c>
      <c r="M747" s="43"/>
    </row>
    <row r="748" spans="1:13" ht="38.25" customHeight="1" x14ac:dyDescent="0.25">
      <c r="A748" s="44">
        <f t="shared" si="85"/>
        <v>8</v>
      </c>
      <c r="B748" s="45" t="s">
        <v>1208</v>
      </c>
      <c r="C748" s="46" t="s">
        <v>327</v>
      </c>
      <c r="D748" s="100">
        <v>-36</v>
      </c>
      <c r="E748" s="48">
        <v>0</v>
      </c>
      <c r="F748" s="47"/>
      <c r="G748" s="48">
        <f t="shared" si="86"/>
        <v>0</v>
      </c>
      <c r="H748" s="49">
        <v>319273</v>
      </c>
      <c r="I748" s="104">
        <f t="shared" si="87"/>
        <v>-11493828</v>
      </c>
      <c r="J748" s="48">
        <f t="shared" si="88"/>
        <v>0</v>
      </c>
      <c r="K748" s="51">
        <f t="shared" si="89"/>
        <v>0</v>
      </c>
      <c r="L748" s="51">
        <f t="shared" si="90"/>
        <v>0</v>
      </c>
      <c r="M748" s="52"/>
    </row>
    <row r="749" spans="1:13" s="64" customFormat="1" ht="18.75" customHeight="1" x14ac:dyDescent="0.25">
      <c r="A749" s="16"/>
      <c r="B749" s="17" t="s">
        <v>1209</v>
      </c>
      <c r="C749" s="18"/>
      <c r="D749" s="105"/>
      <c r="E749" s="59"/>
      <c r="F749" s="54"/>
      <c r="G749" s="59"/>
      <c r="H749" s="60"/>
      <c r="I749" s="93"/>
      <c r="J749" s="59"/>
      <c r="K749" s="62"/>
      <c r="L749" s="62"/>
      <c r="M749" s="63"/>
    </row>
    <row r="750" spans="1:13" ht="31.5" x14ac:dyDescent="0.25">
      <c r="A750" s="25">
        <f t="shared" si="85"/>
        <v>1</v>
      </c>
      <c r="B750" s="26" t="s">
        <v>552</v>
      </c>
      <c r="C750" s="106" t="s">
        <v>39</v>
      </c>
      <c r="D750" s="96">
        <v>-121.43999999999994</v>
      </c>
      <c r="E750" s="29">
        <v>0</v>
      </c>
      <c r="F750" s="28"/>
      <c r="G750" s="29">
        <f t="shared" si="86"/>
        <v>0</v>
      </c>
      <c r="H750" s="30">
        <v>361291</v>
      </c>
      <c r="I750" s="102">
        <f t="shared" si="87"/>
        <v>-43875179</v>
      </c>
      <c r="J750" s="29">
        <f t="shared" si="88"/>
        <v>0</v>
      </c>
      <c r="K750" s="32">
        <f t="shared" si="89"/>
        <v>0</v>
      </c>
      <c r="L750" s="32">
        <f t="shared" si="90"/>
        <v>0</v>
      </c>
      <c r="M750" s="33"/>
    </row>
    <row r="751" spans="1:13" ht="21.75" customHeight="1" x14ac:dyDescent="0.25">
      <c r="A751" s="44">
        <f t="shared" si="85"/>
        <v>2</v>
      </c>
      <c r="B751" s="45" t="s">
        <v>554</v>
      </c>
      <c r="C751" s="107" t="s">
        <v>39</v>
      </c>
      <c r="D751" s="100">
        <v>-266.25851999999986</v>
      </c>
      <c r="E751" s="48">
        <v>0</v>
      </c>
      <c r="F751" s="47"/>
      <c r="G751" s="48">
        <f t="shared" si="86"/>
        <v>0</v>
      </c>
      <c r="H751" s="49">
        <v>335812</v>
      </c>
      <c r="I751" s="104">
        <f t="shared" si="87"/>
        <v>-89412806</v>
      </c>
      <c r="J751" s="48">
        <f t="shared" si="88"/>
        <v>0</v>
      </c>
      <c r="K751" s="51">
        <f t="shared" si="89"/>
        <v>0</v>
      </c>
      <c r="L751" s="51">
        <f t="shared" si="90"/>
        <v>0</v>
      </c>
      <c r="M751" s="52"/>
    </row>
    <row r="752" spans="1:13" ht="23.25" customHeight="1" x14ac:dyDescent="0.25">
      <c r="A752" s="94"/>
      <c r="B752" s="17" t="s">
        <v>1210</v>
      </c>
      <c r="C752" s="21"/>
      <c r="D752" s="108"/>
      <c r="E752" s="55"/>
      <c r="F752" s="54"/>
      <c r="G752" s="55"/>
      <c r="H752" s="56"/>
      <c r="I752" s="95"/>
      <c r="J752" s="55"/>
      <c r="K752" s="58"/>
      <c r="L752" s="58"/>
      <c r="M752" s="23"/>
    </row>
    <row r="753" spans="1:16" ht="31.5" x14ac:dyDescent="0.25">
      <c r="A753" s="25">
        <f t="shared" si="85"/>
        <v>1</v>
      </c>
      <c r="B753" s="26" t="s">
        <v>556</v>
      </c>
      <c r="C753" s="27" t="s">
        <v>278</v>
      </c>
      <c r="D753" s="96">
        <v>-4.1919400000000024</v>
      </c>
      <c r="E753" s="29">
        <v>0</v>
      </c>
      <c r="F753" s="28"/>
      <c r="G753" s="29">
        <f t="shared" si="86"/>
        <v>0</v>
      </c>
      <c r="H753" s="30">
        <v>1887933</v>
      </c>
      <c r="I753" s="102">
        <f t="shared" si="87"/>
        <v>-7914102</v>
      </c>
      <c r="J753" s="29">
        <f t="shared" si="88"/>
        <v>0</v>
      </c>
      <c r="K753" s="32">
        <f t="shared" si="89"/>
        <v>0</v>
      </c>
      <c r="L753" s="32">
        <f t="shared" si="90"/>
        <v>0</v>
      </c>
      <c r="M753" s="33"/>
    </row>
    <row r="754" spans="1:16" ht="25.5" customHeight="1" x14ac:dyDescent="0.25">
      <c r="A754" s="44">
        <f t="shared" si="85"/>
        <v>2</v>
      </c>
      <c r="B754" s="45" t="s">
        <v>142</v>
      </c>
      <c r="C754" s="46" t="s">
        <v>278</v>
      </c>
      <c r="D754" s="100">
        <v>-13.72950000000003</v>
      </c>
      <c r="E754" s="48">
        <v>0</v>
      </c>
      <c r="F754" s="47"/>
      <c r="G754" s="48">
        <f t="shared" si="86"/>
        <v>0</v>
      </c>
      <c r="H754" s="49">
        <v>103945</v>
      </c>
      <c r="I754" s="104">
        <f t="shared" si="87"/>
        <v>-1427113</v>
      </c>
      <c r="J754" s="48">
        <f t="shared" si="88"/>
        <v>0</v>
      </c>
      <c r="K754" s="51">
        <f t="shared" si="89"/>
        <v>0</v>
      </c>
      <c r="L754" s="51">
        <f t="shared" si="90"/>
        <v>0</v>
      </c>
      <c r="M754" s="52"/>
    </row>
    <row r="755" spans="1:16" ht="24" customHeight="1" x14ac:dyDescent="0.25">
      <c r="A755" s="94"/>
      <c r="B755" s="17" t="s">
        <v>1211</v>
      </c>
      <c r="C755" s="21"/>
      <c r="D755" s="108"/>
      <c r="E755" s="55"/>
      <c r="F755" s="54"/>
      <c r="G755" s="55"/>
      <c r="H755" s="56"/>
      <c r="I755" s="95"/>
      <c r="J755" s="55"/>
      <c r="K755" s="58"/>
      <c r="L755" s="58"/>
      <c r="M755" s="23"/>
    </row>
    <row r="756" spans="1:16" ht="34.5" customHeight="1" x14ac:dyDescent="0.25">
      <c r="A756" s="25">
        <f t="shared" si="85"/>
        <v>1</v>
      </c>
      <c r="B756" s="26" t="s">
        <v>1212</v>
      </c>
      <c r="C756" s="27" t="s">
        <v>42</v>
      </c>
      <c r="D756" s="96">
        <v>-7.8257499999999709</v>
      </c>
      <c r="E756" s="29">
        <v>0</v>
      </c>
      <c r="F756" s="28"/>
      <c r="G756" s="29">
        <f t="shared" si="86"/>
        <v>0</v>
      </c>
      <c r="H756" s="30">
        <v>1405969</v>
      </c>
      <c r="I756" s="102">
        <f t="shared" si="87"/>
        <v>-11002762</v>
      </c>
      <c r="J756" s="29">
        <f t="shared" si="88"/>
        <v>0</v>
      </c>
      <c r="K756" s="32">
        <f t="shared" si="89"/>
        <v>0</v>
      </c>
      <c r="L756" s="32">
        <f t="shared" si="90"/>
        <v>0</v>
      </c>
      <c r="M756" s="33"/>
    </row>
    <row r="757" spans="1:16" ht="31.5" x14ac:dyDescent="0.25">
      <c r="A757" s="35">
        <f t="shared" si="85"/>
        <v>2</v>
      </c>
      <c r="B757" s="36" t="s">
        <v>238</v>
      </c>
      <c r="C757" s="37" t="s">
        <v>42</v>
      </c>
      <c r="D757" s="98">
        <v>-1.0363000000000007</v>
      </c>
      <c r="E757" s="39">
        <v>0</v>
      </c>
      <c r="F757" s="38"/>
      <c r="G757" s="39">
        <f t="shared" si="86"/>
        <v>0</v>
      </c>
      <c r="H757" s="40">
        <v>851305</v>
      </c>
      <c r="I757" s="103">
        <f t="shared" si="87"/>
        <v>-882207</v>
      </c>
      <c r="J757" s="39">
        <f t="shared" si="88"/>
        <v>0</v>
      </c>
      <c r="K757" s="42">
        <f t="shared" si="89"/>
        <v>0</v>
      </c>
      <c r="L757" s="42">
        <f t="shared" si="90"/>
        <v>0</v>
      </c>
      <c r="M757" s="43"/>
    </row>
    <row r="758" spans="1:16" x14ac:dyDescent="0.25">
      <c r="A758" s="44">
        <f t="shared" si="85"/>
        <v>3</v>
      </c>
      <c r="B758" s="45" t="s">
        <v>142</v>
      </c>
      <c r="C758" s="46" t="s">
        <v>39</v>
      </c>
      <c r="D758" s="100">
        <v>-21.656500000000051</v>
      </c>
      <c r="E758" s="48">
        <v>0</v>
      </c>
      <c r="F758" s="47"/>
      <c r="G758" s="48">
        <f t="shared" si="86"/>
        <v>0</v>
      </c>
      <c r="H758" s="49">
        <v>103945</v>
      </c>
      <c r="I758" s="104">
        <f t="shared" si="87"/>
        <v>-2251085</v>
      </c>
      <c r="J758" s="48">
        <f t="shared" si="88"/>
        <v>0</v>
      </c>
      <c r="K758" s="51">
        <f t="shared" si="89"/>
        <v>0</v>
      </c>
      <c r="L758" s="51">
        <f t="shared" si="90"/>
        <v>0</v>
      </c>
      <c r="M758" s="52"/>
    </row>
    <row r="759" spans="1:16" x14ac:dyDescent="0.25">
      <c r="A759" s="94"/>
      <c r="B759" s="17" t="s">
        <v>1213</v>
      </c>
      <c r="C759" s="21"/>
      <c r="D759" s="108"/>
      <c r="E759" s="55"/>
      <c r="F759" s="54"/>
      <c r="G759" s="55"/>
      <c r="H759" s="56"/>
      <c r="I759" s="95"/>
      <c r="J759" s="55"/>
      <c r="K759" s="58"/>
      <c r="L759" s="58"/>
      <c r="M759" s="23"/>
    </row>
    <row r="760" spans="1:16" ht="24" customHeight="1" x14ac:dyDescent="0.25">
      <c r="A760" s="25">
        <f t="shared" si="85"/>
        <v>1</v>
      </c>
      <c r="B760" s="26" t="s">
        <v>1214</v>
      </c>
      <c r="C760" s="27" t="s">
        <v>42</v>
      </c>
      <c r="D760" s="96">
        <v>-5.2183500000000009</v>
      </c>
      <c r="E760" s="29">
        <v>0</v>
      </c>
      <c r="F760" s="28"/>
      <c r="G760" s="29">
        <f t="shared" si="86"/>
        <v>0</v>
      </c>
      <c r="H760" s="30">
        <v>1339251</v>
      </c>
      <c r="I760" s="102">
        <f t="shared" si="87"/>
        <v>-6988680</v>
      </c>
      <c r="J760" s="29">
        <f t="shared" si="88"/>
        <v>0</v>
      </c>
      <c r="K760" s="32">
        <f t="shared" si="89"/>
        <v>0</v>
      </c>
      <c r="L760" s="32">
        <f t="shared" si="90"/>
        <v>0</v>
      </c>
      <c r="M760" s="33"/>
    </row>
    <row r="761" spans="1:16" ht="37.5" customHeight="1" x14ac:dyDescent="0.25">
      <c r="A761" s="44">
        <f t="shared" si="85"/>
        <v>2</v>
      </c>
      <c r="B761" s="45" t="s">
        <v>238</v>
      </c>
      <c r="C761" s="46" t="s">
        <v>42</v>
      </c>
      <c r="D761" s="100">
        <v>-2.0873400000000011</v>
      </c>
      <c r="E761" s="48">
        <v>0</v>
      </c>
      <c r="F761" s="47"/>
      <c r="G761" s="48">
        <f t="shared" si="86"/>
        <v>0</v>
      </c>
      <c r="H761" s="49">
        <v>851305</v>
      </c>
      <c r="I761" s="104">
        <f t="shared" si="87"/>
        <v>-1776963</v>
      </c>
      <c r="J761" s="48">
        <f t="shared" si="88"/>
        <v>0</v>
      </c>
      <c r="K761" s="51">
        <f t="shared" si="89"/>
        <v>0</v>
      </c>
      <c r="L761" s="51">
        <f t="shared" si="90"/>
        <v>0</v>
      </c>
      <c r="M761" s="52"/>
    </row>
    <row r="762" spans="1:16" ht="23.25" customHeight="1" x14ac:dyDescent="0.25">
      <c r="A762" s="94"/>
      <c r="B762" s="17" t="s">
        <v>1215</v>
      </c>
      <c r="C762" s="21"/>
      <c r="D762" s="108"/>
      <c r="E762" s="55"/>
      <c r="F762" s="54"/>
      <c r="G762" s="55"/>
      <c r="H762" s="56"/>
      <c r="I762" s="95"/>
      <c r="J762" s="55"/>
      <c r="K762" s="58"/>
      <c r="L762" s="58"/>
      <c r="M762" s="23"/>
    </row>
    <row r="763" spans="1:16" ht="21" customHeight="1" x14ac:dyDescent="0.25">
      <c r="A763" s="25">
        <f t="shared" si="85"/>
        <v>1</v>
      </c>
      <c r="B763" s="26" t="s">
        <v>1216</v>
      </c>
      <c r="C763" s="27" t="s">
        <v>42</v>
      </c>
      <c r="D763" s="96">
        <v>-9.1709999999999354</v>
      </c>
      <c r="E763" s="29">
        <v>0</v>
      </c>
      <c r="F763" s="28"/>
      <c r="G763" s="29">
        <f t="shared" si="86"/>
        <v>0</v>
      </c>
      <c r="H763" s="30">
        <v>19746</v>
      </c>
      <c r="I763" s="102">
        <f t="shared" si="87"/>
        <v>-181091</v>
      </c>
      <c r="J763" s="29">
        <f t="shared" si="88"/>
        <v>0</v>
      </c>
      <c r="K763" s="32">
        <f t="shared" si="89"/>
        <v>0</v>
      </c>
      <c r="L763" s="32">
        <f t="shared" si="90"/>
        <v>0</v>
      </c>
      <c r="M763" s="33"/>
    </row>
    <row r="764" spans="1:16" ht="21" customHeight="1" x14ac:dyDescent="0.25">
      <c r="A764" s="35">
        <f t="shared" si="85"/>
        <v>2</v>
      </c>
      <c r="B764" s="36" t="s">
        <v>1217</v>
      </c>
      <c r="C764" s="37" t="s">
        <v>42</v>
      </c>
      <c r="D764" s="98">
        <v>-291.59999999999991</v>
      </c>
      <c r="E764" s="39">
        <v>0</v>
      </c>
      <c r="F764" s="38"/>
      <c r="G764" s="39">
        <f t="shared" si="86"/>
        <v>0</v>
      </c>
      <c r="H764" s="40">
        <v>12936</v>
      </c>
      <c r="I764" s="103">
        <f t="shared" si="87"/>
        <v>-3772138</v>
      </c>
      <c r="J764" s="39">
        <f t="shared" si="88"/>
        <v>0</v>
      </c>
      <c r="K764" s="42">
        <f t="shared" si="89"/>
        <v>0</v>
      </c>
      <c r="L764" s="42">
        <f t="shared" si="90"/>
        <v>0</v>
      </c>
      <c r="M764" s="43"/>
    </row>
    <row r="765" spans="1:16" ht="21" customHeight="1" x14ac:dyDescent="0.25">
      <c r="A765" s="35">
        <f t="shared" si="85"/>
        <v>3</v>
      </c>
      <c r="B765" s="36" t="s">
        <v>1218</v>
      </c>
      <c r="C765" s="37" t="s">
        <v>42</v>
      </c>
      <c r="D765" s="98">
        <v>-4.4159999999999968</v>
      </c>
      <c r="E765" s="39">
        <v>0</v>
      </c>
      <c r="F765" s="38"/>
      <c r="G765" s="39">
        <f t="shared" si="86"/>
        <v>0</v>
      </c>
      <c r="H765" s="40">
        <v>12936</v>
      </c>
      <c r="I765" s="103">
        <f t="shared" si="87"/>
        <v>-57125</v>
      </c>
      <c r="J765" s="39">
        <f t="shared" si="88"/>
        <v>0</v>
      </c>
      <c r="K765" s="42">
        <f t="shared" si="89"/>
        <v>0</v>
      </c>
      <c r="L765" s="42">
        <f t="shared" si="90"/>
        <v>0</v>
      </c>
      <c r="M765" s="43"/>
      <c r="P765" s="24">
        <f>60000000000*60%</f>
        <v>36000000000</v>
      </c>
    </row>
    <row r="766" spans="1:16" ht="21" customHeight="1" x14ac:dyDescent="0.25">
      <c r="A766" s="35">
        <f t="shared" si="85"/>
        <v>4</v>
      </c>
      <c r="B766" s="36" t="s">
        <v>60</v>
      </c>
      <c r="C766" s="37" t="s">
        <v>42</v>
      </c>
      <c r="D766" s="98">
        <v>-296.01599999999985</v>
      </c>
      <c r="E766" s="39">
        <v>0</v>
      </c>
      <c r="F766" s="38"/>
      <c r="G766" s="39">
        <f t="shared" si="86"/>
        <v>0</v>
      </c>
      <c r="H766" s="40">
        <v>50585</v>
      </c>
      <c r="I766" s="103">
        <f t="shared" si="87"/>
        <v>-14973969</v>
      </c>
      <c r="J766" s="39">
        <f t="shared" si="88"/>
        <v>0</v>
      </c>
      <c r="K766" s="42">
        <f t="shared" si="89"/>
        <v>0</v>
      </c>
      <c r="L766" s="42">
        <f t="shared" si="90"/>
        <v>0</v>
      </c>
      <c r="M766" s="43"/>
    </row>
    <row r="767" spans="1:16" ht="42.75" customHeight="1" x14ac:dyDescent="0.25">
      <c r="A767" s="44">
        <f t="shared" si="85"/>
        <v>5</v>
      </c>
      <c r="B767" s="45" t="s">
        <v>64</v>
      </c>
      <c r="C767" s="46" t="s">
        <v>65</v>
      </c>
      <c r="D767" s="100">
        <v>-29.601599999999991</v>
      </c>
      <c r="E767" s="48">
        <v>0</v>
      </c>
      <c r="F767" s="47"/>
      <c r="G767" s="48">
        <f t="shared" si="86"/>
        <v>0</v>
      </c>
      <c r="H767" s="49">
        <v>1032698</v>
      </c>
      <c r="I767" s="104">
        <f t="shared" si="87"/>
        <v>-30569513</v>
      </c>
      <c r="J767" s="48">
        <f t="shared" si="88"/>
        <v>0</v>
      </c>
      <c r="K767" s="51">
        <f t="shared" si="89"/>
        <v>0</v>
      </c>
      <c r="L767" s="51">
        <f t="shared" si="90"/>
        <v>0</v>
      </c>
      <c r="M767" s="52"/>
    </row>
    <row r="768" spans="1:16" ht="21.75" customHeight="1" x14ac:dyDescent="0.25">
      <c r="A768" s="94"/>
      <c r="B768" s="17" t="s">
        <v>1219</v>
      </c>
      <c r="C768" s="21"/>
      <c r="D768" s="108"/>
      <c r="E768" s="55"/>
      <c r="F768" s="54"/>
      <c r="G768" s="55"/>
      <c r="H768" s="56"/>
      <c r="I768" s="95"/>
      <c r="J768" s="55"/>
      <c r="K768" s="58"/>
      <c r="L768" s="58"/>
      <c r="M768" s="23"/>
    </row>
    <row r="769" spans="1:14" ht="21" customHeight="1" x14ac:dyDescent="0.25">
      <c r="A769" s="25">
        <f t="shared" si="85"/>
        <v>1</v>
      </c>
      <c r="B769" s="26" t="s">
        <v>1216</v>
      </c>
      <c r="C769" s="27" t="s">
        <v>42</v>
      </c>
      <c r="D769" s="96">
        <v>-7.6649999999999991</v>
      </c>
      <c r="E769" s="29">
        <v>0</v>
      </c>
      <c r="F769" s="28"/>
      <c r="G769" s="29">
        <f t="shared" si="86"/>
        <v>0</v>
      </c>
      <c r="H769" s="30">
        <v>19746</v>
      </c>
      <c r="I769" s="102">
        <f t="shared" si="87"/>
        <v>-151353</v>
      </c>
      <c r="J769" s="29">
        <f t="shared" si="88"/>
        <v>0</v>
      </c>
      <c r="K769" s="32">
        <f t="shared" si="89"/>
        <v>0</v>
      </c>
      <c r="L769" s="32">
        <f t="shared" si="90"/>
        <v>0</v>
      </c>
      <c r="M769" s="33"/>
    </row>
    <row r="770" spans="1:14" ht="21" customHeight="1" x14ac:dyDescent="0.25">
      <c r="A770" s="35">
        <f t="shared" si="85"/>
        <v>2</v>
      </c>
      <c r="B770" s="36" t="s">
        <v>1151</v>
      </c>
      <c r="C770" s="37" t="s">
        <v>42</v>
      </c>
      <c r="D770" s="98">
        <v>-6.75</v>
      </c>
      <c r="E770" s="39">
        <v>0</v>
      </c>
      <c r="F770" s="38"/>
      <c r="G770" s="39">
        <f t="shared" si="86"/>
        <v>0</v>
      </c>
      <c r="H770" s="40">
        <v>0</v>
      </c>
      <c r="I770" s="103">
        <f t="shared" si="87"/>
        <v>0</v>
      </c>
      <c r="J770" s="39">
        <f t="shared" si="88"/>
        <v>0</v>
      </c>
      <c r="K770" s="42">
        <f t="shared" si="89"/>
        <v>0</v>
      </c>
      <c r="L770" s="42">
        <f t="shared" si="90"/>
        <v>0</v>
      </c>
      <c r="M770" s="43"/>
    </row>
    <row r="771" spans="1:14" ht="21" customHeight="1" x14ac:dyDescent="0.25">
      <c r="A771" s="35">
        <f t="shared" si="85"/>
        <v>3</v>
      </c>
      <c r="B771" s="36" t="s">
        <v>1220</v>
      </c>
      <c r="C771" s="37" t="s">
        <v>42</v>
      </c>
      <c r="D771" s="98">
        <v>-2.1479999999999997</v>
      </c>
      <c r="E771" s="39">
        <v>0</v>
      </c>
      <c r="F771" s="38"/>
      <c r="G771" s="39">
        <f t="shared" si="86"/>
        <v>0</v>
      </c>
      <c r="H771" s="40">
        <v>1405969</v>
      </c>
      <c r="I771" s="103">
        <f t="shared" si="87"/>
        <v>-3020021</v>
      </c>
      <c r="J771" s="39">
        <f t="shared" si="88"/>
        <v>0</v>
      </c>
      <c r="K771" s="42">
        <f t="shared" si="89"/>
        <v>0</v>
      </c>
      <c r="L771" s="42">
        <f t="shared" si="90"/>
        <v>0</v>
      </c>
      <c r="M771" s="43"/>
    </row>
    <row r="772" spans="1:14" ht="44.25" customHeight="1" x14ac:dyDescent="0.25">
      <c r="A772" s="35">
        <f t="shared" si="85"/>
        <v>4</v>
      </c>
      <c r="B772" s="36" t="s">
        <v>238</v>
      </c>
      <c r="C772" s="37" t="s">
        <v>42</v>
      </c>
      <c r="D772" s="98">
        <v>-1.2525000000000004</v>
      </c>
      <c r="E772" s="39">
        <v>0</v>
      </c>
      <c r="F772" s="38"/>
      <c r="G772" s="39">
        <f t="shared" si="86"/>
        <v>0</v>
      </c>
      <c r="H772" s="40">
        <v>851305</v>
      </c>
      <c r="I772" s="103">
        <f t="shared" si="87"/>
        <v>-1066260</v>
      </c>
      <c r="J772" s="39">
        <f t="shared" si="88"/>
        <v>0</v>
      </c>
      <c r="K772" s="42">
        <f t="shared" si="89"/>
        <v>0</v>
      </c>
      <c r="L772" s="42">
        <f t="shared" si="90"/>
        <v>0</v>
      </c>
      <c r="M772" s="43"/>
    </row>
    <row r="773" spans="1:14" ht="21" customHeight="1" x14ac:dyDescent="0.25">
      <c r="A773" s="35">
        <f t="shared" si="85"/>
        <v>5</v>
      </c>
      <c r="B773" s="36" t="s">
        <v>139</v>
      </c>
      <c r="C773" s="37" t="s">
        <v>42</v>
      </c>
      <c r="D773" s="98">
        <v>-1.2320000000000002</v>
      </c>
      <c r="E773" s="39">
        <v>0</v>
      </c>
      <c r="F773" s="38"/>
      <c r="G773" s="39">
        <f t="shared" si="86"/>
        <v>0</v>
      </c>
      <c r="H773" s="40">
        <v>1868221</v>
      </c>
      <c r="I773" s="103">
        <f t="shared" si="87"/>
        <v>-2301648</v>
      </c>
      <c r="J773" s="39">
        <f t="shared" si="88"/>
        <v>0</v>
      </c>
      <c r="K773" s="42">
        <f t="shared" si="89"/>
        <v>0</v>
      </c>
      <c r="L773" s="42">
        <f t="shared" si="90"/>
        <v>0</v>
      </c>
      <c r="M773" s="43"/>
    </row>
    <row r="774" spans="1:14" ht="21" customHeight="1" x14ac:dyDescent="0.25">
      <c r="A774" s="109">
        <f t="shared" si="85"/>
        <v>6</v>
      </c>
      <c r="B774" s="110" t="s">
        <v>579</v>
      </c>
      <c r="C774" s="111" t="s">
        <v>39</v>
      </c>
      <c r="D774" s="112">
        <v>-13.400000000000006</v>
      </c>
      <c r="E774" s="113">
        <v>0</v>
      </c>
      <c r="F774" s="114"/>
      <c r="G774" s="113">
        <f t="shared" si="86"/>
        <v>0</v>
      </c>
      <c r="H774" s="115">
        <v>96763</v>
      </c>
      <c r="I774" s="116">
        <f t="shared" si="87"/>
        <v>-1296624</v>
      </c>
      <c r="J774" s="113">
        <f t="shared" si="88"/>
        <v>0</v>
      </c>
      <c r="K774" s="117">
        <f t="shared" si="89"/>
        <v>0</v>
      </c>
      <c r="L774" s="117">
        <f t="shared" si="90"/>
        <v>0</v>
      </c>
      <c r="M774" s="118"/>
    </row>
    <row r="775" spans="1:14" ht="27.75" customHeight="1" x14ac:dyDescent="0.25">
      <c r="A775" s="119" t="s">
        <v>1221</v>
      </c>
      <c r="B775" s="17" t="s">
        <v>1222</v>
      </c>
      <c r="C775" s="18" t="s">
        <v>1223</v>
      </c>
      <c r="D775" s="105">
        <v>1</v>
      </c>
      <c r="E775" s="55"/>
      <c r="F775" s="55"/>
      <c r="G775" s="55"/>
      <c r="H775" s="56"/>
      <c r="I775" s="93">
        <f>-(I776+I792+I844)-SUM(I728:I774)</f>
        <v>-1663082511</v>
      </c>
      <c r="J775" s="55"/>
      <c r="K775" s="58"/>
      <c r="L775" s="58"/>
      <c r="M775" s="120"/>
      <c r="N775" s="34">
        <f>I776+I792+I844</f>
        <v>2465776000</v>
      </c>
    </row>
    <row r="776" spans="1:14" ht="53.25" customHeight="1" x14ac:dyDescent="0.25">
      <c r="A776" s="16" t="s">
        <v>1224</v>
      </c>
      <c r="B776" s="92" t="s">
        <v>1225</v>
      </c>
      <c r="C776" s="18"/>
      <c r="D776" s="105"/>
      <c r="E776" s="55"/>
      <c r="F776" s="114"/>
      <c r="G776" s="113">
        <f t="shared" ref="G776:G839" si="91">E776+F776</f>
        <v>0</v>
      </c>
      <c r="H776" s="56"/>
      <c r="I776" s="93">
        <f>ROUND(SUM(I780:I791),-3)</f>
        <v>158322000</v>
      </c>
      <c r="J776" s="93">
        <f t="shared" ref="J776:L776" si="92">ROUND(SUM(J780:J791),-3)</f>
        <v>158322000</v>
      </c>
      <c r="K776" s="93">
        <f t="shared" si="92"/>
        <v>0</v>
      </c>
      <c r="L776" s="93">
        <f t="shared" si="92"/>
        <v>158322000</v>
      </c>
      <c r="M776" s="120"/>
      <c r="N776" s="227">
        <f>I724</f>
        <v>-2465776000</v>
      </c>
    </row>
    <row r="777" spans="1:14" ht="56.25" customHeight="1" x14ac:dyDescent="0.25">
      <c r="A777" s="16"/>
      <c r="B777" s="17" t="s">
        <v>36</v>
      </c>
      <c r="C777" s="18"/>
      <c r="D777" s="105"/>
      <c r="E777" s="55"/>
      <c r="F777" s="114"/>
      <c r="G777" s="113">
        <f t="shared" si="91"/>
        <v>0</v>
      </c>
      <c r="H777" s="56"/>
      <c r="I777" s="93"/>
      <c r="J777" s="55"/>
      <c r="K777" s="58"/>
      <c r="L777" s="58"/>
      <c r="M777" s="120"/>
    </row>
    <row r="778" spans="1:14" ht="21.75" customHeight="1" x14ac:dyDescent="0.25">
      <c r="A778" s="16"/>
      <c r="B778" s="17" t="s">
        <v>1226</v>
      </c>
      <c r="C778" s="18"/>
      <c r="D778" s="105"/>
      <c r="E778" s="55"/>
      <c r="F778" s="114"/>
      <c r="G778" s="113">
        <f t="shared" si="91"/>
        <v>0</v>
      </c>
      <c r="H778" s="56"/>
      <c r="I778" s="93"/>
      <c r="J778" s="55"/>
      <c r="K778" s="58"/>
      <c r="L778" s="58"/>
      <c r="M778" s="120"/>
    </row>
    <row r="779" spans="1:14" ht="27.75" customHeight="1" x14ac:dyDescent="0.25">
      <c r="A779" s="121"/>
      <c r="B779" s="122" t="s">
        <v>1227</v>
      </c>
      <c r="C779" s="123"/>
      <c r="D779" s="124"/>
      <c r="E779" s="125"/>
      <c r="F779" s="114"/>
      <c r="G779" s="113">
        <f t="shared" si="91"/>
        <v>0</v>
      </c>
      <c r="H779" s="126"/>
      <c r="I779" s="127"/>
      <c r="J779" s="55"/>
      <c r="K779" s="58"/>
      <c r="L779" s="58"/>
      <c r="M779" s="120"/>
    </row>
    <row r="780" spans="1:14" ht="55.5" customHeight="1" x14ac:dyDescent="0.25">
      <c r="A780" s="128" t="s">
        <v>121</v>
      </c>
      <c r="B780" s="129" t="s">
        <v>122</v>
      </c>
      <c r="C780" s="130" t="s">
        <v>39</v>
      </c>
      <c r="D780" s="131">
        <v>176.91000000000349</v>
      </c>
      <c r="E780" s="132">
        <v>176.91000000000349</v>
      </c>
      <c r="F780" s="133"/>
      <c r="G780" s="132">
        <f t="shared" si="91"/>
        <v>176.91000000000349</v>
      </c>
      <c r="H780" s="134">
        <v>11015</v>
      </c>
      <c r="I780" s="135">
        <f>ROUND(D780*H780,0)</f>
        <v>1948664</v>
      </c>
      <c r="J780" s="132">
        <f t="shared" ref="J780:J791" si="93">E780*H780</f>
        <v>1948663.6500000386</v>
      </c>
      <c r="K780" s="136">
        <f t="shared" ref="K780:K791" si="94">F780*H780</f>
        <v>0</v>
      </c>
      <c r="L780" s="136">
        <f t="shared" ref="L780:L791" si="95">G780*H780</f>
        <v>1948663.6500000386</v>
      </c>
      <c r="M780" s="137"/>
    </row>
    <row r="781" spans="1:14" ht="33" customHeight="1" x14ac:dyDescent="0.25">
      <c r="A781" s="35" t="s">
        <v>123</v>
      </c>
      <c r="B781" s="36" t="s">
        <v>124</v>
      </c>
      <c r="C781" s="37" t="s">
        <v>118</v>
      </c>
      <c r="D781" s="98">
        <v>25.191984000000957</v>
      </c>
      <c r="E781" s="39">
        <v>25.191984000000957</v>
      </c>
      <c r="F781" s="38"/>
      <c r="G781" s="39">
        <f t="shared" si="91"/>
        <v>25.191984000000957</v>
      </c>
      <c r="H781" s="40">
        <v>1646788</v>
      </c>
      <c r="I781" s="103">
        <f>ROUND(D781*H781,0)</f>
        <v>41485857</v>
      </c>
      <c r="J781" s="39">
        <f t="shared" si="93"/>
        <v>41485856.947393574</v>
      </c>
      <c r="K781" s="42">
        <f t="shared" si="94"/>
        <v>0</v>
      </c>
      <c r="L781" s="42">
        <f t="shared" si="95"/>
        <v>41485856.947393574</v>
      </c>
      <c r="M781" s="138"/>
    </row>
    <row r="782" spans="1:14" ht="33" customHeight="1" x14ac:dyDescent="0.25">
      <c r="A782" s="35" t="s">
        <v>125</v>
      </c>
      <c r="B782" s="36" t="s">
        <v>126</v>
      </c>
      <c r="C782" s="37" t="s">
        <v>127</v>
      </c>
      <c r="D782" s="98">
        <v>0.25191984000001355</v>
      </c>
      <c r="E782" s="39">
        <v>0.25191984000001355</v>
      </c>
      <c r="F782" s="38"/>
      <c r="G782" s="39">
        <f t="shared" si="91"/>
        <v>0.25191984000001355</v>
      </c>
      <c r="H782" s="40">
        <v>10502023</v>
      </c>
      <c r="I782" s="103">
        <f>ROUND(D782*H782,0)</f>
        <v>2645668</v>
      </c>
      <c r="J782" s="39">
        <f t="shared" si="93"/>
        <v>2645667.9538364625</v>
      </c>
      <c r="K782" s="42">
        <f t="shared" si="94"/>
        <v>0</v>
      </c>
      <c r="L782" s="42">
        <f t="shared" si="95"/>
        <v>2645667.9538364625</v>
      </c>
      <c r="M782" s="138"/>
    </row>
    <row r="783" spans="1:14" ht="42" customHeight="1" x14ac:dyDescent="0.25">
      <c r="A783" s="35" t="s">
        <v>128</v>
      </c>
      <c r="B783" s="36" t="s">
        <v>129</v>
      </c>
      <c r="C783" s="37" t="s">
        <v>39</v>
      </c>
      <c r="D783" s="98">
        <v>176.91000000000349</v>
      </c>
      <c r="E783" s="39">
        <v>176.91000000000349</v>
      </c>
      <c r="F783" s="38"/>
      <c r="G783" s="39">
        <f t="shared" si="91"/>
        <v>176.91000000000349</v>
      </c>
      <c r="H783" s="40">
        <v>26753</v>
      </c>
      <c r="I783" s="103">
        <f>ROUND(D783*H783,0)</f>
        <v>4732873</v>
      </c>
      <c r="J783" s="39">
        <f t="shared" si="93"/>
        <v>4732873.2300000936</v>
      </c>
      <c r="K783" s="42">
        <f t="shared" si="94"/>
        <v>0</v>
      </c>
      <c r="L783" s="42">
        <f t="shared" si="95"/>
        <v>4732873.2300000936</v>
      </c>
      <c r="M783" s="138"/>
    </row>
    <row r="784" spans="1:14" ht="27.75" customHeight="1" x14ac:dyDescent="0.25">
      <c r="A784" s="35" t="s">
        <v>130</v>
      </c>
      <c r="B784" s="36" t="s">
        <v>131</v>
      </c>
      <c r="C784" s="37" t="s">
        <v>42</v>
      </c>
      <c r="D784" s="98">
        <v>42.458400000001348</v>
      </c>
      <c r="E784" s="39">
        <v>42.458400000001348</v>
      </c>
      <c r="F784" s="38"/>
      <c r="G784" s="39">
        <f t="shared" si="91"/>
        <v>42.458400000001348</v>
      </c>
      <c r="H784" s="40">
        <v>361291</v>
      </c>
      <c r="I784" s="103">
        <f t="shared" ref="I784:I791" si="96">ROUND(D784*H784,0)</f>
        <v>15339838</v>
      </c>
      <c r="J784" s="39">
        <f t="shared" si="93"/>
        <v>15339837.794400487</v>
      </c>
      <c r="K784" s="42">
        <f t="shared" si="94"/>
        <v>0</v>
      </c>
      <c r="L784" s="42">
        <f t="shared" si="95"/>
        <v>15339837.794400487</v>
      </c>
      <c r="M784" s="138"/>
    </row>
    <row r="785" spans="1:13" ht="27.75" customHeight="1" x14ac:dyDescent="0.25">
      <c r="A785" s="44" t="s">
        <v>132</v>
      </c>
      <c r="B785" s="45" t="s">
        <v>133</v>
      </c>
      <c r="C785" s="46" t="s">
        <v>42</v>
      </c>
      <c r="D785" s="100">
        <v>60.149399999998423</v>
      </c>
      <c r="E785" s="48">
        <v>60.149399999998423</v>
      </c>
      <c r="F785" s="47"/>
      <c r="G785" s="48">
        <f t="shared" si="91"/>
        <v>60.149399999998423</v>
      </c>
      <c r="H785" s="49">
        <v>335812</v>
      </c>
      <c r="I785" s="104">
        <f t="shared" si="96"/>
        <v>20198890</v>
      </c>
      <c r="J785" s="48">
        <f t="shared" si="93"/>
        <v>20198890.312799469</v>
      </c>
      <c r="K785" s="51">
        <f t="shared" si="94"/>
        <v>0</v>
      </c>
      <c r="L785" s="51">
        <f t="shared" si="95"/>
        <v>20198890.312799469</v>
      </c>
      <c r="M785" s="139"/>
    </row>
    <row r="786" spans="1:13" ht="27.75" customHeight="1" x14ac:dyDescent="0.25">
      <c r="A786" s="94"/>
      <c r="B786" s="17" t="s">
        <v>1201</v>
      </c>
      <c r="C786" s="21"/>
      <c r="D786" s="108"/>
      <c r="E786" s="55">
        <v>0</v>
      </c>
      <c r="F786" s="54"/>
      <c r="G786" s="55">
        <f t="shared" si="91"/>
        <v>0</v>
      </c>
      <c r="H786" s="56"/>
      <c r="I786" s="95">
        <f t="shared" si="96"/>
        <v>0</v>
      </c>
      <c r="J786" s="55">
        <f t="shared" si="93"/>
        <v>0</v>
      </c>
      <c r="K786" s="58">
        <f t="shared" si="94"/>
        <v>0</v>
      </c>
      <c r="L786" s="58">
        <f t="shared" si="95"/>
        <v>0</v>
      </c>
      <c r="M786" s="120"/>
    </row>
    <row r="787" spans="1:13" ht="47.25" customHeight="1" x14ac:dyDescent="0.25">
      <c r="A787" s="25" t="s">
        <v>144</v>
      </c>
      <c r="B787" s="26" t="s">
        <v>137</v>
      </c>
      <c r="C787" s="27" t="s">
        <v>42</v>
      </c>
      <c r="D787" s="96">
        <v>16.467999999999989</v>
      </c>
      <c r="E787" s="29">
        <v>16.468</v>
      </c>
      <c r="F787" s="28"/>
      <c r="G787" s="29">
        <f>E787+F787</f>
        <v>16.468</v>
      </c>
      <c r="H787" s="30">
        <v>1197457</v>
      </c>
      <c r="I787" s="102">
        <f t="shared" si="96"/>
        <v>19719722</v>
      </c>
      <c r="J787" s="29">
        <f t="shared" si="93"/>
        <v>19719721.875999998</v>
      </c>
      <c r="K787" s="32">
        <f t="shared" si="94"/>
        <v>0</v>
      </c>
      <c r="L787" s="32">
        <f t="shared" si="95"/>
        <v>19719721.875999998</v>
      </c>
      <c r="M787" s="140"/>
    </row>
    <row r="788" spans="1:13" ht="27.75" customHeight="1" x14ac:dyDescent="0.25">
      <c r="A788" s="44" t="s">
        <v>153</v>
      </c>
      <c r="B788" s="45" t="s">
        <v>154</v>
      </c>
      <c r="C788" s="46" t="s">
        <v>84</v>
      </c>
      <c r="D788" s="100">
        <v>18.839999999999996</v>
      </c>
      <c r="E788" s="48">
        <v>18.839999999999996</v>
      </c>
      <c r="F788" s="47"/>
      <c r="G788" s="48">
        <f>E788+F788</f>
        <v>18.839999999999996</v>
      </c>
      <c r="H788" s="49">
        <v>169013</v>
      </c>
      <c r="I788" s="104">
        <f t="shared" si="96"/>
        <v>3184205</v>
      </c>
      <c r="J788" s="48">
        <f t="shared" si="93"/>
        <v>3184204.9199999995</v>
      </c>
      <c r="K788" s="51">
        <f t="shared" si="94"/>
        <v>0</v>
      </c>
      <c r="L788" s="51">
        <f t="shared" si="95"/>
        <v>3184204.9199999995</v>
      </c>
      <c r="M788" s="139"/>
    </row>
    <row r="789" spans="1:13" ht="27.75" customHeight="1" x14ac:dyDescent="0.25">
      <c r="A789" s="94"/>
      <c r="B789" s="17" t="s">
        <v>1228</v>
      </c>
      <c r="C789" s="21"/>
      <c r="D789" s="108"/>
      <c r="E789" s="55"/>
      <c r="F789" s="54"/>
      <c r="G789" s="55">
        <f t="shared" si="91"/>
        <v>0</v>
      </c>
      <c r="H789" s="56"/>
      <c r="I789" s="95">
        <f t="shared" si="96"/>
        <v>0</v>
      </c>
      <c r="J789" s="55">
        <f t="shared" si="93"/>
        <v>0</v>
      </c>
      <c r="K789" s="58">
        <f t="shared" si="94"/>
        <v>0</v>
      </c>
      <c r="L789" s="58">
        <f t="shared" si="95"/>
        <v>0</v>
      </c>
      <c r="M789" s="120"/>
    </row>
    <row r="790" spans="1:13" ht="19.5" customHeight="1" x14ac:dyDescent="0.25">
      <c r="A790" s="25" t="s">
        <v>206</v>
      </c>
      <c r="B790" s="26" t="s">
        <v>207</v>
      </c>
      <c r="C790" s="27" t="s">
        <v>42</v>
      </c>
      <c r="D790" s="96">
        <v>1675.969250000001</v>
      </c>
      <c r="E790" s="29">
        <v>1675.969250000001</v>
      </c>
      <c r="F790" s="28"/>
      <c r="G790" s="29">
        <f t="shared" si="91"/>
        <v>1675.969250000001</v>
      </c>
      <c r="H790" s="30">
        <v>17057</v>
      </c>
      <c r="I790" s="102">
        <f t="shared" si="96"/>
        <v>28587007</v>
      </c>
      <c r="J790" s="29">
        <f t="shared" si="93"/>
        <v>28587007.497250017</v>
      </c>
      <c r="K790" s="32">
        <f t="shared" si="94"/>
        <v>0</v>
      </c>
      <c r="L790" s="32">
        <f t="shared" si="95"/>
        <v>28587007.497250017</v>
      </c>
      <c r="M790" s="140"/>
    </row>
    <row r="791" spans="1:13" ht="19.5" customHeight="1" x14ac:dyDescent="0.25">
      <c r="A791" s="109" t="s">
        <v>208</v>
      </c>
      <c r="B791" s="110" t="s">
        <v>209</v>
      </c>
      <c r="C791" s="111" t="s">
        <v>42</v>
      </c>
      <c r="D791" s="112">
        <v>2832.8985000000002</v>
      </c>
      <c r="E791" s="113">
        <v>2832.8985000000002</v>
      </c>
      <c r="F791" s="114"/>
      <c r="G791" s="113">
        <f t="shared" si="91"/>
        <v>2832.8985000000002</v>
      </c>
      <c r="H791" s="115">
        <v>7229</v>
      </c>
      <c r="I791" s="116">
        <f t="shared" si="96"/>
        <v>20479023</v>
      </c>
      <c r="J791" s="113">
        <f t="shared" si="93"/>
        <v>20479023.256500002</v>
      </c>
      <c r="K791" s="117">
        <f t="shared" si="94"/>
        <v>0</v>
      </c>
      <c r="L791" s="117">
        <f t="shared" si="95"/>
        <v>20479023.256500002</v>
      </c>
      <c r="M791" s="141"/>
    </row>
    <row r="792" spans="1:13" ht="39" customHeight="1" x14ac:dyDescent="0.25">
      <c r="A792" s="16" t="s">
        <v>1229</v>
      </c>
      <c r="B792" s="17" t="s">
        <v>493</v>
      </c>
      <c r="C792" s="21"/>
      <c r="D792" s="108"/>
      <c r="E792" s="55"/>
      <c r="F792" s="114"/>
      <c r="G792" s="113">
        <f t="shared" si="91"/>
        <v>0</v>
      </c>
      <c r="H792" s="56"/>
      <c r="I792" s="93">
        <f>ROUND(SUM(I794:I843),-3)</f>
        <v>709170000</v>
      </c>
      <c r="J792" s="93">
        <f t="shared" ref="J792:L792" si="97">ROUND(SUM(J794:J843),-3)</f>
        <v>79625000</v>
      </c>
      <c r="K792" s="93">
        <f t="shared" si="97"/>
        <v>0</v>
      </c>
      <c r="L792" s="93">
        <f t="shared" si="97"/>
        <v>79625000</v>
      </c>
      <c r="M792" s="120"/>
    </row>
    <row r="793" spans="1:13" ht="26.25" customHeight="1" x14ac:dyDescent="0.25">
      <c r="A793" s="94"/>
      <c r="B793" s="17" t="s">
        <v>1230</v>
      </c>
      <c r="C793" s="21"/>
      <c r="D793" s="108"/>
      <c r="E793" s="55"/>
      <c r="F793" s="114"/>
      <c r="G793" s="113">
        <f t="shared" si="91"/>
        <v>0</v>
      </c>
      <c r="H793" s="56"/>
      <c r="I793" s="93"/>
      <c r="J793" s="55"/>
      <c r="K793" s="58"/>
      <c r="L793" s="58"/>
      <c r="M793" s="120"/>
    </row>
    <row r="794" spans="1:13" ht="27.75" customHeight="1" x14ac:dyDescent="0.25">
      <c r="A794" s="128">
        <v>1</v>
      </c>
      <c r="B794" s="129" t="s">
        <v>517</v>
      </c>
      <c r="C794" s="130" t="s">
        <v>42</v>
      </c>
      <c r="D794" s="131">
        <v>8.1091999999999995</v>
      </c>
      <c r="E794" s="132"/>
      <c r="F794" s="133"/>
      <c r="G794" s="132">
        <f t="shared" si="91"/>
        <v>0</v>
      </c>
      <c r="H794" s="134">
        <v>1637840</v>
      </c>
      <c r="I794" s="135">
        <f t="shared" ref="I794:I857" si="98">ROUND(D794*H794,0)</f>
        <v>13281572</v>
      </c>
      <c r="J794" s="132">
        <f t="shared" ref="J794:J857" si="99">E794*H794</f>
        <v>0</v>
      </c>
      <c r="K794" s="136">
        <f t="shared" ref="K794:K857" si="100">F794*H794</f>
        <v>0</v>
      </c>
      <c r="L794" s="136">
        <f t="shared" ref="L794:L857" si="101">G794*H794</f>
        <v>0</v>
      </c>
      <c r="M794" s="137"/>
    </row>
    <row r="795" spans="1:13" ht="33" customHeight="1" x14ac:dyDescent="0.25">
      <c r="A795" s="35">
        <v>2</v>
      </c>
      <c r="B795" s="36" t="s">
        <v>519</v>
      </c>
      <c r="C795" s="37" t="s">
        <v>118</v>
      </c>
      <c r="D795" s="98">
        <v>6.9414751999999996E-2</v>
      </c>
      <c r="E795" s="39"/>
      <c r="F795" s="38"/>
      <c r="G795" s="39">
        <f t="shared" si="91"/>
        <v>0</v>
      </c>
      <c r="H795" s="40">
        <v>27102732</v>
      </c>
      <c r="I795" s="103">
        <f t="shared" si="98"/>
        <v>1881329</v>
      </c>
      <c r="J795" s="39">
        <f t="shared" si="99"/>
        <v>0</v>
      </c>
      <c r="K795" s="42">
        <f t="shared" si="100"/>
        <v>0</v>
      </c>
      <c r="L795" s="42">
        <f t="shared" si="101"/>
        <v>0</v>
      </c>
      <c r="M795" s="138"/>
    </row>
    <row r="796" spans="1:13" ht="33.75" customHeight="1" x14ac:dyDescent="0.25">
      <c r="A796" s="35">
        <v>3</v>
      </c>
      <c r="B796" s="36" t="s">
        <v>521</v>
      </c>
      <c r="C796" s="37" t="s">
        <v>39</v>
      </c>
      <c r="D796" s="98">
        <v>1.2093249959999999</v>
      </c>
      <c r="E796" s="39"/>
      <c r="F796" s="38"/>
      <c r="G796" s="39">
        <f t="shared" si="91"/>
        <v>0</v>
      </c>
      <c r="H796" s="40">
        <v>86606</v>
      </c>
      <c r="I796" s="103">
        <f t="shared" si="98"/>
        <v>104735</v>
      </c>
      <c r="J796" s="39">
        <f t="shared" si="99"/>
        <v>0</v>
      </c>
      <c r="K796" s="42">
        <f t="shared" si="100"/>
        <v>0</v>
      </c>
      <c r="L796" s="42">
        <f t="shared" si="101"/>
        <v>0</v>
      </c>
      <c r="M796" s="138"/>
    </row>
    <row r="797" spans="1:13" ht="33" customHeight="1" x14ac:dyDescent="0.25">
      <c r="A797" s="35">
        <v>4</v>
      </c>
      <c r="B797" s="36" t="s">
        <v>238</v>
      </c>
      <c r="C797" s="37" t="s">
        <v>42</v>
      </c>
      <c r="D797" s="98">
        <v>88.795739999999995</v>
      </c>
      <c r="E797" s="39"/>
      <c r="F797" s="38"/>
      <c r="G797" s="39">
        <f t="shared" si="91"/>
        <v>0</v>
      </c>
      <c r="H797" s="40">
        <v>851305</v>
      </c>
      <c r="I797" s="103">
        <f t="shared" si="98"/>
        <v>75592257</v>
      </c>
      <c r="J797" s="39">
        <f t="shared" si="99"/>
        <v>0</v>
      </c>
      <c r="K797" s="42">
        <f t="shared" si="100"/>
        <v>0</v>
      </c>
      <c r="L797" s="42">
        <f t="shared" si="101"/>
        <v>0</v>
      </c>
      <c r="M797" s="138"/>
    </row>
    <row r="798" spans="1:13" ht="42" customHeight="1" x14ac:dyDescent="0.25">
      <c r="A798" s="35">
        <v>5</v>
      </c>
      <c r="B798" s="36" t="s">
        <v>1205</v>
      </c>
      <c r="C798" s="37" t="s">
        <v>233</v>
      </c>
      <c r="D798" s="98">
        <v>8.1091999999999995</v>
      </c>
      <c r="E798" s="39"/>
      <c r="F798" s="38"/>
      <c r="G798" s="39">
        <f t="shared" si="91"/>
        <v>0</v>
      </c>
      <c r="H798" s="40">
        <v>65424</v>
      </c>
      <c r="I798" s="103">
        <f t="shared" si="98"/>
        <v>530536</v>
      </c>
      <c r="J798" s="39">
        <f t="shared" si="99"/>
        <v>0</v>
      </c>
      <c r="K798" s="42">
        <f t="shared" si="100"/>
        <v>0</v>
      </c>
      <c r="L798" s="42">
        <f t="shared" si="101"/>
        <v>0</v>
      </c>
      <c r="M798" s="138"/>
    </row>
    <row r="799" spans="1:13" ht="48.75" customHeight="1" x14ac:dyDescent="0.25">
      <c r="A799" s="35">
        <v>6</v>
      </c>
      <c r="B799" s="36" t="s">
        <v>543</v>
      </c>
      <c r="C799" s="37" t="s">
        <v>233</v>
      </c>
      <c r="D799" s="98">
        <v>8.1091999999999995</v>
      </c>
      <c r="E799" s="39"/>
      <c r="F799" s="38"/>
      <c r="G799" s="39">
        <f t="shared" si="91"/>
        <v>0</v>
      </c>
      <c r="H799" s="40">
        <v>65424</v>
      </c>
      <c r="I799" s="103">
        <f t="shared" si="98"/>
        <v>530536</v>
      </c>
      <c r="J799" s="39">
        <f t="shared" si="99"/>
        <v>0</v>
      </c>
      <c r="K799" s="42">
        <f t="shared" si="100"/>
        <v>0</v>
      </c>
      <c r="L799" s="42">
        <f t="shared" si="101"/>
        <v>0</v>
      </c>
      <c r="M799" s="138"/>
    </row>
    <row r="800" spans="1:13" ht="35.25" customHeight="1" x14ac:dyDescent="0.25">
      <c r="A800" s="35">
        <v>7</v>
      </c>
      <c r="B800" s="36" t="s">
        <v>229</v>
      </c>
      <c r="C800" s="37" t="s">
        <v>230</v>
      </c>
      <c r="D800" s="98">
        <v>2.0272999999999999</v>
      </c>
      <c r="E800" s="39"/>
      <c r="F800" s="38"/>
      <c r="G800" s="39">
        <f t="shared" si="91"/>
        <v>0</v>
      </c>
      <c r="H800" s="40">
        <v>32162</v>
      </c>
      <c r="I800" s="103">
        <f t="shared" si="98"/>
        <v>65202</v>
      </c>
      <c r="J800" s="39">
        <f t="shared" si="99"/>
        <v>0</v>
      </c>
      <c r="K800" s="42">
        <f t="shared" si="100"/>
        <v>0</v>
      </c>
      <c r="L800" s="42">
        <f t="shared" si="101"/>
        <v>0</v>
      </c>
      <c r="M800" s="138"/>
    </row>
    <row r="801" spans="1:13" ht="33.75" customHeight="1" x14ac:dyDescent="0.25">
      <c r="A801" s="35">
        <v>8</v>
      </c>
      <c r="B801" s="36" t="s">
        <v>546</v>
      </c>
      <c r="C801" s="37" t="s">
        <v>278</v>
      </c>
      <c r="D801" s="98">
        <v>8.1091999999999995</v>
      </c>
      <c r="E801" s="39"/>
      <c r="F801" s="38"/>
      <c r="G801" s="39">
        <f t="shared" si="91"/>
        <v>0</v>
      </c>
      <c r="H801" s="40">
        <v>120701</v>
      </c>
      <c r="I801" s="103">
        <f t="shared" si="98"/>
        <v>978789</v>
      </c>
      <c r="J801" s="39">
        <f t="shared" si="99"/>
        <v>0</v>
      </c>
      <c r="K801" s="42">
        <f t="shared" si="100"/>
        <v>0</v>
      </c>
      <c r="L801" s="42">
        <f t="shared" si="101"/>
        <v>0</v>
      </c>
      <c r="M801" s="138"/>
    </row>
    <row r="802" spans="1:13" ht="27.75" customHeight="1" x14ac:dyDescent="0.25">
      <c r="A802" s="35"/>
      <c r="B802" s="36" t="s">
        <v>1231</v>
      </c>
      <c r="C802" s="37" t="s">
        <v>1232</v>
      </c>
      <c r="D802" s="98">
        <v>0</v>
      </c>
      <c r="E802" s="39"/>
      <c r="F802" s="38"/>
      <c r="G802" s="39">
        <f t="shared" si="91"/>
        <v>0</v>
      </c>
      <c r="H802" s="40">
        <v>0</v>
      </c>
      <c r="I802" s="103">
        <f t="shared" si="98"/>
        <v>0</v>
      </c>
      <c r="J802" s="39">
        <f t="shared" si="99"/>
        <v>0</v>
      </c>
      <c r="K802" s="42">
        <f t="shared" si="100"/>
        <v>0</v>
      </c>
      <c r="L802" s="42">
        <f t="shared" si="101"/>
        <v>0</v>
      </c>
      <c r="M802" s="138"/>
    </row>
    <row r="803" spans="1:13" ht="27.75" customHeight="1" x14ac:dyDescent="0.25">
      <c r="A803" s="35">
        <v>1</v>
      </c>
      <c r="B803" s="36" t="s">
        <v>1212</v>
      </c>
      <c r="C803" s="37" t="s">
        <v>42</v>
      </c>
      <c r="D803" s="98">
        <v>9</v>
      </c>
      <c r="E803" s="39"/>
      <c r="F803" s="38"/>
      <c r="G803" s="39">
        <f t="shared" si="91"/>
        <v>0</v>
      </c>
      <c r="H803" s="40">
        <v>1405969</v>
      </c>
      <c r="I803" s="103">
        <f t="shared" si="98"/>
        <v>12653721</v>
      </c>
      <c r="J803" s="39">
        <f t="shared" si="99"/>
        <v>0</v>
      </c>
      <c r="K803" s="42">
        <f t="shared" si="100"/>
        <v>0</v>
      </c>
      <c r="L803" s="42">
        <f t="shared" si="101"/>
        <v>0</v>
      </c>
      <c r="M803" s="138"/>
    </row>
    <row r="804" spans="1:13" ht="33.75" customHeight="1" x14ac:dyDescent="0.25">
      <c r="A804" s="35">
        <v>2</v>
      </c>
      <c r="B804" s="36" t="s">
        <v>238</v>
      </c>
      <c r="C804" s="37" t="s">
        <v>42</v>
      </c>
      <c r="D804" s="98">
        <v>37.447590000000005</v>
      </c>
      <c r="E804" s="39"/>
      <c r="F804" s="38"/>
      <c r="G804" s="39">
        <f t="shared" si="91"/>
        <v>0</v>
      </c>
      <c r="H804" s="40">
        <v>851305</v>
      </c>
      <c r="I804" s="103">
        <f t="shared" si="98"/>
        <v>31879321</v>
      </c>
      <c r="J804" s="39">
        <f t="shared" si="99"/>
        <v>0</v>
      </c>
      <c r="K804" s="42">
        <f t="shared" si="100"/>
        <v>0</v>
      </c>
      <c r="L804" s="42">
        <f t="shared" si="101"/>
        <v>0</v>
      </c>
      <c r="M804" s="138"/>
    </row>
    <row r="805" spans="1:13" ht="27.75" customHeight="1" x14ac:dyDescent="0.25">
      <c r="A805" s="35">
        <v>3</v>
      </c>
      <c r="B805" s="36" t="s">
        <v>1233</v>
      </c>
      <c r="C805" s="37">
        <v>0</v>
      </c>
      <c r="D805" s="98">
        <v>24</v>
      </c>
      <c r="E805" s="39"/>
      <c r="F805" s="38"/>
      <c r="G805" s="39">
        <f t="shared" si="91"/>
        <v>0</v>
      </c>
      <c r="H805" s="40">
        <v>0</v>
      </c>
      <c r="I805" s="103">
        <f t="shared" si="98"/>
        <v>0</v>
      </c>
      <c r="J805" s="39">
        <f t="shared" si="99"/>
        <v>0</v>
      </c>
      <c r="K805" s="42">
        <f t="shared" si="100"/>
        <v>0</v>
      </c>
      <c r="L805" s="42">
        <f t="shared" si="101"/>
        <v>0</v>
      </c>
      <c r="M805" s="138"/>
    </row>
    <row r="806" spans="1:13" ht="27.75" customHeight="1" x14ac:dyDescent="0.25">
      <c r="A806" s="35">
        <v>4</v>
      </c>
      <c r="B806" s="36" t="s">
        <v>495</v>
      </c>
      <c r="C806" s="37" t="s">
        <v>42</v>
      </c>
      <c r="D806" s="98">
        <v>24</v>
      </c>
      <c r="E806" s="39"/>
      <c r="F806" s="38"/>
      <c r="G806" s="39">
        <f t="shared" si="91"/>
        <v>0</v>
      </c>
      <c r="H806" s="40">
        <v>1688075</v>
      </c>
      <c r="I806" s="103">
        <f t="shared" si="98"/>
        <v>40513800</v>
      </c>
      <c r="J806" s="39">
        <f t="shared" si="99"/>
        <v>0</v>
      </c>
      <c r="K806" s="42">
        <f t="shared" si="100"/>
        <v>0</v>
      </c>
      <c r="L806" s="42">
        <f t="shared" si="101"/>
        <v>0</v>
      </c>
      <c r="M806" s="138"/>
    </row>
    <row r="807" spans="1:13" ht="43.5" customHeight="1" x14ac:dyDescent="0.25">
      <c r="A807" s="35">
        <v>5</v>
      </c>
      <c r="B807" s="36" t="s">
        <v>497</v>
      </c>
      <c r="C807" s="37" t="s">
        <v>118</v>
      </c>
      <c r="D807" s="98">
        <v>0.20544000000000001</v>
      </c>
      <c r="E807" s="39"/>
      <c r="F807" s="38"/>
      <c r="G807" s="39">
        <f t="shared" si="91"/>
        <v>0</v>
      </c>
      <c r="H807" s="40">
        <v>28771832</v>
      </c>
      <c r="I807" s="103">
        <f t="shared" si="98"/>
        <v>5910885</v>
      </c>
      <c r="J807" s="39">
        <f t="shared" si="99"/>
        <v>0</v>
      </c>
      <c r="K807" s="42">
        <f t="shared" si="100"/>
        <v>0</v>
      </c>
      <c r="L807" s="42">
        <f t="shared" si="101"/>
        <v>0</v>
      </c>
      <c r="M807" s="138"/>
    </row>
    <row r="808" spans="1:13" ht="33" customHeight="1" x14ac:dyDescent="0.25">
      <c r="A808" s="35">
        <v>6</v>
      </c>
      <c r="B808" s="36" t="s">
        <v>499</v>
      </c>
      <c r="C808" s="37" t="s">
        <v>118</v>
      </c>
      <c r="D808" s="98">
        <v>3.5791199999999996</v>
      </c>
      <c r="E808" s="39"/>
      <c r="F808" s="38"/>
      <c r="G808" s="39">
        <f t="shared" si="91"/>
        <v>0</v>
      </c>
      <c r="H808" s="40">
        <v>27010601</v>
      </c>
      <c r="I808" s="103">
        <f t="shared" si="98"/>
        <v>96674182</v>
      </c>
      <c r="J808" s="39">
        <f t="shared" si="99"/>
        <v>0</v>
      </c>
      <c r="K808" s="42">
        <f t="shared" si="100"/>
        <v>0</v>
      </c>
      <c r="L808" s="42">
        <f t="shared" si="101"/>
        <v>0</v>
      </c>
      <c r="M808" s="138"/>
    </row>
    <row r="809" spans="1:13" ht="33.75" customHeight="1" x14ac:dyDescent="0.25">
      <c r="A809" s="35">
        <v>7</v>
      </c>
      <c r="B809" s="36" t="s">
        <v>501</v>
      </c>
      <c r="C809" s="37" t="s">
        <v>39</v>
      </c>
      <c r="D809" s="98">
        <v>262.8</v>
      </c>
      <c r="E809" s="39"/>
      <c r="F809" s="38"/>
      <c r="G809" s="39">
        <f t="shared" si="91"/>
        <v>0</v>
      </c>
      <c r="H809" s="40">
        <v>102621</v>
      </c>
      <c r="I809" s="103">
        <f t="shared" si="98"/>
        <v>26968799</v>
      </c>
      <c r="J809" s="39">
        <f t="shared" si="99"/>
        <v>0</v>
      </c>
      <c r="K809" s="42">
        <f t="shared" si="100"/>
        <v>0</v>
      </c>
      <c r="L809" s="42">
        <f t="shared" si="101"/>
        <v>0</v>
      </c>
      <c r="M809" s="138"/>
    </row>
    <row r="810" spans="1:13" ht="30.75" customHeight="1" x14ac:dyDescent="0.25">
      <c r="A810" s="35">
        <v>8</v>
      </c>
      <c r="B810" s="36" t="s">
        <v>503</v>
      </c>
      <c r="C810" s="37" t="s">
        <v>233</v>
      </c>
      <c r="D810" s="98">
        <v>24</v>
      </c>
      <c r="E810" s="39"/>
      <c r="F810" s="38"/>
      <c r="G810" s="39">
        <f t="shared" si="91"/>
        <v>0</v>
      </c>
      <c r="H810" s="40">
        <v>113802</v>
      </c>
      <c r="I810" s="103">
        <f t="shared" si="98"/>
        <v>2731248</v>
      </c>
      <c r="J810" s="39">
        <f t="shared" si="99"/>
        <v>0</v>
      </c>
      <c r="K810" s="42">
        <f t="shared" si="100"/>
        <v>0</v>
      </c>
      <c r="L810" s="42">
        <f t="shared" si="101"/>
        <v>0</v>
      </c>
      <c r="M810" s="138"/>
    </row>
    <row r="811" spans="1:13" ht="48" customHeight="1" x14ac:dyDescent="0.25">
      <c r="A811" s="35">
        <v>9</v>
      </c>
      <c r="B811" s="36" t="s">
        <v>331</v>
      </c>
      <c r="C811" s="37" t="s">
        <v>233</v>
      </c>
      <c r="D811" s="98">
        <v>24</v>
      </c>
      <c r="E811" s="39"/>
      <c r="F811" s="38"/>
      <c r="G811" s="39">
        <f t="shared" si="91"/>
        <v>0</v>
      </c>
      <c r="H811" s="40">
        <v>91827</v>
      </c>
      <c r="I811" s="103">
        <f t="shared" si="98"/>
        <v>2203848</v>
      </c>
      <c r="J811" s="39">
        <f t="shared" si="99"/>
        <v>0</v>
      </c>
      <c r="K811" s="42">
        <f t="shared" si="100"/>
        <v>0</v>
      </c>
      <c r="L811" s="42">
        <f t="shared" si="101"/>
        <v>0</v>
      </c>
      <c r="M811" s="138"/>
    </row>
    <row r="812" spans="1:13" ht="51" customHeight="1" x14ac:dyDescent="0.25">
      <c r="A812" s="35">
        <v>10</v>
      </c>
      <c r="B812" s="36" t="s">
        <v>1207</v>
      </c>
      <c r="C812" s="37" t="s">
        <v>334</v>
      </c>
      <c r="D812" s="98">
        <v>6</v>
      </c>
      <c r="E812" s="39"/>
      <c r="F812" s="38"/>
      <c r="G812" s="39">
        <f t="shared" si="91"/>
        <v>0</v>
      </c>
      <c r="H812" s="40">
        <v>36181</v>
      </c>
      <c r="I812" s="103">
        <f t="shared" si="98"/>
        <v>217086</v>
      </c>
      <c r="J812" s="39">
        <f t="shared" si="99"/>
        <v>0</v>
      </c>
      <c r="K812" s="42">
        <f t="shared" si="100"/>
        <v>0</v>
      </c>
      <c r="L812" s="42">
        <f t="shared" si="101"/>
        <v>0</v>
      </c>
      <c r="M812" s="138"/>
    </row>
    <row r="813" spans="1:13" ht="43.5" customHeight="1" x14ac:dyDescent="0.25">
      <c r="A813" s="35">
        <v>11</v>
      </c>
      <c r="B813" s="36" t="s">
        <v>1208</v>
      </c>
      <c r="C813" s="37" t="s">
        <v>327</v>
      </c>
      <c r="D813" s="98">
        <v>24</v>
      </c>
      <c r="E813" s="39"/>
      <c r="F813" s="38"/>
      <c r="G813" s="39">
        <f t="shared" si="91"/>
        <v>0</v>
      </c>
      <c r="H813" s="40">
        <v>319273</v>
      </c>
      <c r="I813" s="103">
        <f t="shared" si="98"/>
        <v>7662552</v>
      </c>
      <c r="J813" s="39">
        <f t="shared" si="99"/>
        <v>0</v>
      </c>
      <c r="K813" s="42">
        <f t="shared" si="100"/>
        <v>0</v>
      </c>
      <c r="L813" s="42">
        <f t="shared" si="101"/>
        <v>0</v>
      </c>
      <c r="M813" s="138"/>
    </row>
    <row r="814" spans="1:13" ht="27.75" customHeight="1" x14ac:dyDescent="0.25">
      <c r="A814" s="35"/>
      <c r="B814" s="36" t="s">
        <v>1234</v>
      </c>
      <c r="C814" s="37">
        <v>0</v>
      </c>
      <c r="D814" s="98">
        <v>48</v>
      </c>
      <c r="E814" s="39"/>
      <c r="F814" s="38"/>
      <c r="G814" s="39">
        <f t="shared" si="91"/>
        <v>0</v>
      </c>
      <c r="H814" s="40"/>
      <c r="I814" s="103">
        <f t="shared" si="98"/>
        <v>0</v>
      </c>
      <c r="J814" s="39">
        <f t="shared" si="99"/>
        <v>0</v>
      </c>
      <c r="K814" s="42">
        <f t="shared" si="100"/>
        <v>0</v>
      </c>
      <c r="L814" s="42">
        <f t="shared" si="101"/>
        <v>0</v>
      </c>
      <c r="M814" s="138"/>
    </row>
    <row r="815" spans="1:13" ht="27.75" customHeight="1" x14ac:dyDescent="0.25">
      <c r="A815" s="35">
        <v>1</v>
      </c>
      <c r="B815" s="36" t="s">
        <v>536</v>
      </c>
      <c r="C815" s="37" t="s">
        <v>42</v>
      </c>
      <c r="D815" s="98">
        <v>15.840000000000002</v>
      </c>
      <c r="E815" s="39"/>
      <c r="F815" s="38"/>
      <c r="G815" s="39">
        <f t="shared" si="91"/>
        <v>0</v>
      </c>
      <c r="H815" s="40">
        <v>1637840</v>
      </c>
      <c r="I815" s="103">
        <f t="shared" si="98"/>
        <v>25943386</v>
      </c>
      <c r="J815" s="39">
        <f t="shared" si="99"/>
        <v>0</v>
      </c>
      <c r="K815" s="42">
        <f t="shared" si="100"/>
        <v>0</v>
      </c>
      <c r="L815" s="42">
        <f t="shared" si="101"/>
        <v>0</v>
      </c>
      <c r="M815" s="138"/>
    </row>
    <row r="816" spans="1:13" ht="46.5" customHeight="1" x14ac:dyDescent="0.25">
      <c r="A816" s="35">
        <v>2</v>
      </c>
      <c r="B816" s="36" t="s">
        <v>521</v>
      </c>
      <c r="C816" s="37" t="s">
        <v>39</v>
      </c>
      <c r="D816" s="98">
        <v>229.44000000000003</v>
      </c>
      <c r="E816" s="39"/>
      <c r="F816" s="38"/>
      <c r="G816" s="39">
        <f t="shared" si="91"/>
        <v>0</v>
      </c>
      <c r="H816" s="40">
        <v>250782</v>
      </c>
      <c r="I816" s="103">
        <f t="shared" si="98"/>
        <v>57539422</v>
      </c>
      <c r="J816" s="39">
        <f t="shared" si="99"/>
        <v>0</v>
      </c>
      <c r="K816" s="42">
        <f t="shared" si="100"/>
        <v>0</v>
      </c>
      <c r="L816" s="42">
        <f t="shared" si="101"/>
        <v>0</v>
      </c>
      <c r="M816" s="138"/>
    </row>
    <row r="817" spans="1:13" ht="41.25" customHeight="1" x14ac:dyDescent="0.25">
      <c r="A817" s="35">
        <v>3</v>
      </c>
      <c r="B817" s="36" t="s">
        <v>519</v>
      </c>
      <c r="C817" s="37" t="s">
        <v>118</v>
      </c>
      <c r="D817" s="98">
        <v>2.0860799999999999</v>
      </c>
      <c r="E817" s="39"/>
      <c r="F817" s="38"/>
      <c r="G817" s="39">
        <f t="shared" si="91"/>
        <v>0</v>
      </c>
      <c r="H817" s="40">
        <v>27102732</v>
      </c>
      <c r="I817" s="103">
        <f t="shared" si="98"/>
        <v>56538467</v>
      </c>
      <c r="J817" s="39">
        <f t="shared" si="99"/>
        <v>0</v>
      </c>
      <c r="K817" s="42">
        <f t="shared" si="100"/>
        <v>0</v>
      </c>
      <c r="L817" s="42">
        <f t="shared" si="101"/>
        <v>0</v>
      </c>
      <c r="M817" s="138"/>
    </row>
    <row r="818" spans="1:13" ht="33.75" customHeight="1" x14ac:dyDescent="0.25">
      <c r="A818" s="35">
        <v>4</v>
      </c>
      <c r="B818" s="36" t="s">
        <v>519</v>
      </c>
      <c r="C818" s="37" t="s">
        <v>118</v>
      </c>
      <c r="D818" s="98">
        <v>1.6411199999999999</v>
      </c>
      <c r="E818" s="39"/>
      <c r="F818" s="38"/>
      <c r="G818" s="39">
        <f t="shared" si="91"/>
        <v>0</v>
      </c>
      <c r="H818" s="40">
        <v>27102732</v>
      </c>
      <c r="I818" s="103">
        <f t="shared" si="98"/>
        <v>44478836</v>
      </c>
      <c r="J818" s="39">
        <f t="shared" si="99"/>
        <v>0</v>
      </c>
      <c r="K818" s="42">
        <f t="shared" si="100"/>
        <v>0</v>
      </c>
      <c r="L818" s="42">
        <f t="shared" si="101"/>
        <v>0</v>
      </c>
      <c r="M818" s="138"/>
    </row>
    <row r="819" spans="1:13" ht="43.5" customHeight="1" x14ac:dyDescent="0.25">
      <c r="A819" s="35">
        <v>5</v>
      </c>
      <c r="B819" s="36" t="s">
        <v>541</v>
      </c>
      <c r="C819" s="37" t="s">
        <v>233</v>
      </c>
      <c r="D819" s="98">
        <v>48.72</v>
      </c>
      <c r="E819" s="39"/>
      <c r="F819" s="38"/>
      <c r="G819" s="39">
        <f t="shared" si="91"/>
        <v>0</v>
      </c>
      <c r="H819" s="40">
        <v>69167</v>
      </c>
      <c r="I819" s="103">
        <f t="shared" si="98"/>
        <v>3369816</v>
      </c>
      <c r="J819" s="39">
        <f t="shared" si="99"/>
        <v>0</v>
      </c>
      <c r="K819" s="42">
        <f t="shared" si="100"/>
        <v>0</v>
      </c>
      <c r="L819" s="42">
        <f t="shared" si="101"/>
        <v>0</v>
      </c>
      <c r="M819" s="138"/>
    </row>
    <row r="820" spans="1:13" ht="54.75" customHeight="1" x14ac:dyDescent="0.25">
      <c r="A820" s="35">
        <v>6</v>
      </c>
      <c r="B820" s="36" t="s">
        <v>543</v>
      </c>
      <c r="C820" s="37" t="s">
        <v>233</v>
      </c>
      <c r="D820" s="98">
        <v>48.72</v>
      </c>
      <c r="E820" s="39"/>
      <c r="F820" s="38"/>
      <c r="G820" s="39">
        <f t="shared" si="91"/>
        <v>0</v>
      </c>
      <c r="H820" s="40">
        <v>52812</v>
      </c>
      <c r="I820" s="103">
        <f t="shared" si="98"/>
        <v>2573001</v>
      </c>
      <c r="J820" s="39">
        <f t="shared" si="99"/>
        <v>0</v>
      </c>
      <c r="K820" s="42">
        <f t="shared" si="100"/>
        <v>0</v>
      </c>
      <c r="L820" s="42">
        <f t="shared" si="101"/>
        <v>0</v>
      </c>
      <c r="M820" s="138"/>
    </row>
    <row r="821" spans="1:13" ht="38.25" customHeight="1" x14ac:dyDescent="0.25">
      <c r="A821" s="35">
        <v>7</v>
      </c>
      <c r="B821" s="36" t="s">
        <v>229</v>
      </c>
      <c r="C821" s="37" t="s">
        <v>334</v>
      </c>
      <c r="D821" s="98">
        <v>12</v>
      </c>
      <c r="E821" s="39"/>
      <c r="F821" s="38"/>
      <c r="G821" s="39">
        <f t="shared" si="91"/>
        <v>0</v>
      </c>
      <c r="H821" s="40">
        <v>32162</v>
      </c>
      <c r="I821" s="103">
        <f t="shared" si="98"/>
        <v>385944</v>
      </c>
      <c r="J821" s="39">
        <f t="shared" si="99"/>
        <v>0</v>
      </c>
      <c r="K821" s="42">
        <f t="shared" si="100"/>
        <v>0</v>
      </c>
      <c r="L821" s="42">
        <f t="shared" si="101"/>
        <v>0</v>
      </c>
      <c r="M821" s="138"/>
    </row>
    <row r="822" spans="1:13" ht="33.75" customHeight="1" x14ac:dyDescent="0.25">
      <c r="A822" s="35">
        <v>8</v>
      </c>
      <c r="B822" s="36" t="s">
        <v>546</v>
      </c>
      <c r="C822" s="37" t="s">
        <v>278</v>
      </c>
      <c r="D822" s="98">
        <v>48</v>
      </c>
      <c r="E822" s="39"/>
      <c r="F822" s="38"/>
      <c r="G822" s="39">
        <f t="shared" si="91"/>
        <v>0</v>
      </c>
      <c r="H822" s="40">
        <v>142868</v>
      </c>
      <c r="I822" s="103">
        <f t="shared" si="98"/>
        <v>6857664</v>
      </c>
      <c r="J822" s="39">
        <f t="shared" si="99"/>
        <v>0</v>
      </c>
      <c r="K822" s="42">
        <f t="shared" si="100"/>
        <v>0</v>
      </c>
      <c r="L822" s="42">
        <f t="shared" si="101"/>
        <v>0</v>
      </c>
      <c r="M822" s="138"/>
    </row>
    <row r="823" spans="1:13" ht="27.75" customHeight="1" x14ac:dyDescent="0.25">
      <c r="A823" s="109">
        <v>9</v>
      </c>
      <c r="B823" s="110" t="s">
        <v>238</v>
      </c>
      <c r="C823" s="111" t="s">
        <v>42</v>
      </c>
      <c r="D823" s="112">
        <v>3.84</v>
      </c>
      <c r="E823" s="113"/>
      <c r="F823" s="114"/>
      <c r="G823" s="113">
        <f t="shared" si="91"/>
        <v>0</v>
      </c>
      <c r="H823" s="115">
        <v>851305</v>
      </c>
      <c r="I823" s="116">
        <f t="shared" si="98"/>
        <v>3269011</v>
      </c>
      <c r="J823" s="113">
        <f t="shared" si="99"/>
        <v>0</v>
      </c>
      <c r="K823" s="117">
        <f t="shared" si="100"/>
        <v>0</v>
      </c>
      <c r="L823" s="117">
        <f t="shared" si="101"/>
        <v>0</v>
      </c>
      <c r="M823" s="141"/>
    </row>
    <row r="824" spans="1:13" ht="27.75" customHeight="1" x14ac:dyDescent="0.25">
      <c r="A824" s="16"/>
      <c r="B824" s="17" t="s">
        <v>1209</v>
      </c>
      <c r="C824" s="18"/>
      <c r="D824" s="105"/>
      <c r="E824" s="59"/>
      <c r="F824" s="54"/>
      <c r="G824" s="55"/>
      <c r="H824" s="60"/>
      <c r="I824" s="95"/>
      <c r="J824" s="55"/>
      <c r="K824" s="58"/>
      <c r="L824" s="58"/>
      <c r="M824" s="120"/>
    </row>
    <row r="825" spans="1:13" ht="21.75" customHeight="1" x14ac:dyDescent="0.25">
      <c r="A825" s="128">
        <v>1</v>
      </c>
      <c r="B825" s="129" t="s">
        <v>548</v>
      </c>
      <c r="C825" s="130" t="s">
        <v>39</v>
      </c>
      <c r="D825" s="131">
        <v>0.39732000000000056</v>
      </c>
      <c r="E825" s="132"/>
      <c r="F825" s="133"/>
      <c r="G825" s="132">
        <f t="shared" si="91"/>
        <v>0</v>
      </c>
      <c r="H825" s="134">
        <v>10502023</v>
      </c>
      <c r="I825" s="135">
        <f t="shared" si="98"/>
        <v>4172664</v>
      </c>
      <c r="J825" s="132">
        <f t="shared" si="99"/>
        <v>0</v>
      </c>
      <c r="K825" s="136">
        <f t="shared" si="100"/>
        <v>0</v>
      </c>
      <c r="L825" s="136">
        <f t="shared" si="101"/>
        <v>0</v>
      </c>
      <c r="M825" s="137"/>
    </row>
    <row r="826" spans="1:13" ht="45.75" customHeight="1" x14ac:dyDescent="0.25">
      <c r="A826" s="35">
        <v>2</v>
      </c>
      <c r="B826" s="36" t="s">
        <v>550</v>
      </c>
      <c r="C826" s="37" t="s">
        <v>42</v>
      </c>
      <c r="D826" s="98">
        <v>0</v>
      </c>
      <c r="E826" s="39"/>
      <c r="F826" s="38"/>
      <c r="G826" s="39">
        <f t="shared" si="91"/>
        <v>0</v>
      </c>
      <c r="H826" s="40">
        <v>26753</v>
      </c>
      <c r="I826" s="103">
        <f t="shared" si="98"/>
        <v>0</v>
      </c>
      <c r="J826" s="39">
        <f t="shared" si="99"/>
        <v>0</v>
      </c>
      <c r="K826" s="42">
        <f t="shared" si="100"/>
        <v>0</v>
      </c>
      <c r="L826" s="42">
        <f t="shared" si="101"/>
        <v>0</v>
      </c>
      <c r="M826" s="138"/>
    </row>
    <row r="827" spans="1:13" ht="21.75" customHeight="1" x14ac:dyDescent="0.25">
      <c r="A827" s="35">
        <v>3</v>
      </c>
      <c r="B827" s="36" t="s">
        <v>1235</v>
      </c>
      <c r="C827" s="37">
        <v>0</v>
      </c>
      <c r="D827" s="98">
        <v>0</v>
      </c>
      <c r="E827" s="39"/>
      <c r="F827" s="38"/>
      <c r="G827" s="39">
        <f t="shared" si="91"/>
        <v>0</v>
      </c>
      <c r="H827" s="40">
        <v>0</v>
      </c>
      <c r="I827" s="103">
        <f t="shared" si="98"/>
        <v>0</v>
      </c>
      <c r="J827" s="39">
        <f t="shared" si="99"/>
        <v>0</v>
      </c>
      <c r="K827" s="42">
        <f t="shared" si="100"/>
        <v>0</v>
      </c>
      <c r="L827" s="42">
        <f t="shared" si="101"/>
        <v>0</v>
      </c>
      <c r="M827" s="138"/>
    </row>
    <row r="828" spans="1:13" ht="21.75" customHeight="1" x14ac:dyDescent="0.25">
      <c r="A828" s="35">
        <v>4</v>
      </c>
      <c r="B828" s="36" t="s">
        <v>1220</v>
      </c>
      <c r="C828" s="37" t="s">
        <v>42</v>
      </c>
      <c r="D828" s="98">
        <v>0.79048000000000007</v>
      </c>
      <c r="E828" s="39"/>
      <c r="F828" s="38"/>
      <c r="G828" s="39">
        <f t="shared" si="91"/>
        <v>0</v>
      </c>
      <c r="H828" s="40">
        <v>1405969</v>
      </c>
      <c r="I828" s="103">
        <f t="shared" si="98"/>
        <v>1111390</v>
      </c>
      <c r="J828" s="39">
        <f t="shared" si="99"/>
        <v>0</v>
      </c>
      <c r="K828" s="42">
        <f t="shared" si="100"/>
        <v>0</v>
      </c>
      <c r="L828" s="42">
        <f t="shared" si="101"/>
        <v>0</v>
      </c>
      <c r="M828" s="138"/>
    </row>
    <row r="829" spans="1:13" ht="21.75" customHeight="1" x14ac:dyDescent="0.25">
      <c r="A829" s="35">
        <v>5</v>
      </c>
      <c r="B829" s="36" t="s">
        <v>142</v>
      </c>
      <c r="C829" s="37" t="s">
        <v>39</v>
      </c>
      <c r="D829" s="98">
        <v>0.39524000000000004</v>
      </c>
      <c r="E829" s="39"/>
      <c r="F829" s="38"/>
      <c r="G829" s="39">
        <f t="shared" si="91"/>
        <v>0</v>
      </c>
      <c r="H829" s="40">
        <v>103945</v>
      </c>
      <c r="I829" s="103">
        <f t="shared" si="98"/>
        <v>41083</v>
      </c>
      <c r="J829" s="39">
        <f t="shared" si="99"/>
        <v>0</v>
      </c>
      <c r="K829" s="42">
        <f t="shared" si="100"/>
        <v>0</v>
      </c>
      <c r="L829" s="42">
        <f t="shared" si="101"/>
        <v>0</v>
      </c>
      <c r="M829" s="138"/>
    </row>
    <row r="830" spans="1:13" ht="21.75" customHeight="1" x14ac:dyDescent="0.25">
      <c r="A830" s="35">
        <v>6</v>
      </c>
      <c r="B830" s="36" t="s">
        <v>238</v>
      </c>
      <c r="C830" s="37" t="s">
        <v>42</v>
      </c>
      <c r="D830" s="98">
        <v>1.62</v>
      </c>
      <c r="E830" s="39"/>
      <c r="F830" s="38"/>
      <c r="G830" s="39">
        <f t="shared" si="91"/>
        <v>0</v>
      </c>
      <c r="H830" s="40">
        <v>851305</v>
      </c>
      <c r="I830" s="103">
        <f t="shared" si="98"/>
        <v>1379114</v>
      </c>
      <c r="J830" s="39">
        <f t="shared" si="99"/>
        <v>0</v>
      </c>
      <c r="K830" s="42">
        <f t="shared" si="100"/>
        <v>0</v>
      </c>
      <c r="L830" s="42">
        <f t="shared" si="101"/>
        <v>0</v>
      </c>
      <c r="M830" s="138"/>
    </row>
    <row r="831" spans="1:13" ht="21.75" customHeight="1" x14ac:dyDescent="0.25">
      <c r="A831" s="35">
        <v>7</v>
      </c>
      <c r="B831" s="36" t="s">
        <v>139</v>
      </c>
      <c r="C831" s="37" t="s">
        <v>42</v>
      </c>
      <c r="D831" s="98">
        <v>1.3153031010131402</v>
      </c>
      <c r="E831" s="39"/>
      <c r="F831" s="38"/>
      <c r="G831" s="39">
        <f t="shared" si="91"/>
        <v>0</v>
      </c>
      <c r="H831" s="40">
        <v>1868221</v>
      </c>
      <c r="I831" s="103">
        <f t="shared" si="98"/>
        <v>2457277</v>
      </c>
      <c r="J831" s="39">
        <f t="shared" si="99"/>
        <v>0</v>
      </c>
      <c r="K831" s="42">
        <f t="shared" si="100"/>
        <v>0</v>
      </c>
      <c r="L831" s="42">
        <f t="shared" si="101"/>
        <v>0</v>
      </c>
      <c r="M831" s="138"/>
    </row>
    <row r="832" spans="1:13" ht="21.75" customHeight="1" x14ac:dyDescent="0.25">
      <c r="A832" s="35">
        <v>8</v>
      </c>
      <c r="B832" s="36" t="s">
        <v>579</v>
      </c>
      <c r="C832" s="37" t="s">
        <v>39</v>
      </c>
      <c r="D832" s="98">
        <v>5.022650459150638</v>
      </c>
      <c r="E832" s="39"/>
      <c r="F832" s="38"/>
      <c r="G832" s="39">
        <f t="shared" si="91"/>
        <v>0</v>
      </c>
      <c r="H832" s="40">
        <v>96763</v>
      </c>
      <c r="I832" s="103">
        <f t="shared" si="98"/>
        <v>486007</v>
      </c>
      <c r="J832" s="39">
        <f t="shared" si="99"/>
        <v>0</v>
      </c>
      <c r="K832" s="42">
        <f t="shared" si="100"/>
        <v>0</v>
      </c>
      <c r="L832" s="42">
        <f t="shared" si="101"/>
        <v>0</v>
      </c>
      <c r="M832" s="138"/>
    </row>
    <row r="833" spans="1:13" ht="21.75" customHeight="1" x14ac:dyDescent="0.25">
      <c r="A833" s="35">
        <v>9</v>
      </c>
      <c r="B833" s="36" t="s">
        <v>1130</v>
      </c>
      <c r="C833" s="37" t="s">
        <v>84</v>
      </c>
      <c r="D833" s="98">
        <v>189.71519999999998</v>
      </c>
      <c r="E833" s="39"/>
      <c r="F833" s="38"/>
      <c r="G833" s="39">
        <f t="shared" si="91"/>
        <v>0</v>
      </c>
      <c r="H833" s="40">
        <v>11223</v>
      </c>
      <c r="I833" s="103">
        <f t="shared" si="98"/>
        <v>2129174</v>
      </c>
      <c r="J833" s="39">
        <f t="shared" si="99"/>
        <v>0</v>
      </c>
      <c r="K833" s="42">
        <f t="shared" si="100"/>
        <v>0</v>
      </c>
      <c r="L833" s="42">
        <f t="shared" si="101"/>
        <v>0</v>
      </c>
      <c r="M833" s="138"/>
    </row>
    <row r="834" spans="1:13" ht="21.75" customHeight="1" x14ac:dyDescent="0.25">
      <c r="A834" s="44">
        <v>10</v>
      </c>
      <c r="B834" s="45" t="s">
        <v>390</v>
      </c>
      <c r="C834" s="46" t="s">
        <v>42</v>
      </c>
      <c r="D834" s="100">
        <v>354.75</v>
      </c>
      <c r="E834" s="48"/>
      <c r="F834" s="47"/>
      <c r="G834" s="48">
        <f t="shared" si="91"/>
        <v>0</v>
      </c>
      <c r="H834" s="49">
        <v>271833</v>
      </c>
      <c r="I834" s="104">
        <f t="shared" si="98"/>
        <v>96432757</v>
      </c>
      <c r="J834" s="48">
        <f t="shared" si="99"/>
        <v>0</v>
      </c>
      <c r="K834" s="51">
        <f t="shared" si="100"/>
        <v>0</v>
      </c>
      <c r="L834" s="51">
        <f t="shared" si="101"/>
        <v>0</v>
      </c>
      <c r="M834" s="139"/>
    </row>
    <row r="835" spans="1:13" ht="21.75" customHeight="1" x14ac:dyDescent="0.25">
      <c r="A835" s="94"/>
      <c r="B835" s="17" t="s">
        <v>1219</v>
      </c>
      <c r="C835" s="21"/>
      <c r="D835" s="108"/>
      <c r="E835" s="55"/>
      <c r="F835" s="54"/>
      <c r="G835" s="55">
        <f t="shared" si="91"/>
        <v>0</v>
      </c>
      <c r="H835" s="56"/>
      <c r="I835" s="95">
        <f t="shared" si="98"/>
        <v>0</v>
      </c>
      <c r="J835" s="55">
        <f t="shared" si="99"/>
        <v>0</v>
      </c>
      <c r="K835" s="58">
        <f t="shared" si="100"/>
        <v>0</v>
      </c>
      <c r="L835" s="58">
        <f t="shared" si="101"/>
        <v>0</v>
      </c>
      <c r="M835" s="120"/>
    </row>
    <row r="836" spans="1:13" ht="27.75" customHeight="1" x14ac:dyDescent="0.25">
      <c r="A836" s="142">
        <v>1</v>
      </c>
      <c r="B836" s="143" t="s">
        <v>142</v>
      </c>
      <c r="C836" s="123" t="s">
        <v>39</v>
      </c>
      <c r="D836" s="124">
        <v>3.1679999999999993</v>
      </c>
      <c r="E836" s="125">
        <v>3.1679999999999993</v>
      </c>
      <c r="F836" s="144"/>
      <c r="G836" s="125">
        <f t="shared" si="91"/>
        <v>3.1679999999999993</v>
      </c>
      <c r="H836" s="126">
        <v>103945</v>
      </c>
      <c r="I836" s="145">
        <f t="shared" si="98"/>
        <v>329298</v>
      </c>
      <c r="J836" s="125">
        <f t="shared" si="99"/>
        <v>329297.75999999995</v>
      </c>
      <c r="K836" s="146">
        <f t="shared" si="100"/>
        <v>0</v>
      </c>
      <c r="L836" s="146">
        <f t="shared" si="101"/>
        <v>329297.75999999995</v>
      </c>
      <c r="M836" s="147"/>
    </row>
    <row r="837" spans="1:13" ht="41.25" customHeight="1" x14ac:dyDescent="0.25">
      <c r="A837" s="16"/>
      <c r="B837" s="17" t="s">
        <v>1236</v>
      </c>
      <c r="C837" s="18"/>
      <c r="D837" s="105"/>
      <c r="E837" s="59"/>
      <c r="F837" s="54"/>
      <c r="G837" s="55">
        <f t="shared" si="91"/>
        <v>0</v>
      </c>
      <c r="H837" s="60"/>
      <c r="I837" s="95">
        <f t="shared" si="98"/>
        <v>0</v>
      </c>
      <c r="J837" s="55">
        <f t="shared" si="99"/>
        <v>0</v>
      </c>
      <c r="K837" s="58">
        <f t="shared" si="100"/>
        <v>0</v>
      </c>
      <c r="L837" s="58">
        <f t="shared" si="101"/>
        <v>0</v>
      </c>
      <c r="M837" s="120"/>
    </row>
    <row r="838" spans="1:13" ht="21.75" customHeight="1" x14ac:dyDescent="0.25">
      <c r="A838" s="94"/>
      <c r="B838" s="17" t="s">
        <v>1201</v>
      </c>
      <c r="C838" s="21"/>
      <c r="D838" s="108"/>
      <c r="E838" s="55"/>
      <c r="F838" s="54"/>
      <c r="G838" s="55">
        <f t="shared" si="91"/>
        <v>0</v>
      </c>
      <c r="H838" s="56"/>
      <c r="I838" s="95">
        <f t="shared" si="98"/>
        <v>0</v>
      </c>
      <c r="J838" s="55">
        <f t="shared" si="99"/>
        <v>0</v>
      </c>
      <c r="K838" s="58">
        <f t="shared" si="100"/>
        <v>0</v>
      </c>
      <c r="L838" s="58">
        <f t="shared" si="101"/>
        <v>0</v>
      </c>
      <c r="M838" s="120"/>
    </row>
    <row r="839" spans="1:13" ht="21.75" customHeight="1" x14ac:dyDescent="0.25">
      <c r="A839" s="25">
        <v>1</v>
      </c>
      <c r="B839" s="26" t="s">
        <v>150</v>
      </c>
      <c r="C839" s="27" t="s">
        <v>84</v>
      </c>
      <c r="D839" s="96">
        <v>201.97999999999956</v>
      </c>
      <c r="E839" s="29">
        <v>201.97999999999956</v>
      </c>
      <c r="F839" s="28"/>
      <c r="G839" s="29">
        <f t="shared" si="91"/>
        <v>201.97999999999956</v>
      </c>
      <c r="H839" s="30">
        <v>388691</v>
      </c>
      <c r="I839" s="102">
        <f t="shared" si="98"/>
        <v>78507808</v>
      </c>
      <c r="J839" s="29">
        <f t="shared" si="99"/>
        <v>78507808.179999828</v>
      </c>
      <c r="K839" s="32">
        <f t="shared" si="100"/>
        <v>0</v>
      </c>
      <c r="L839" s="32">
        <f t="shared" si="101"/>
        <v>78507808.179999828</v>
      </c>
      <c r="M839" s="140"/>
    </row>
    <row r="840" spans="1:13" ht="32.25" customHeight="1" x14ac:dyDescent="0.25">
      <c r="A840" s="35">
        <v>2</v>
      </c>
      <c r="B840" s="36" t="s">
        <v>156</v>
      </c>
      <c r="C840" s="37" t="s">
        <v>65</v>
      </c>
      <c r="D840" s="98">
        <v>0</v>
      </c>
      <c r="E840" s="39"/>
      <c r="F840" s="38"/>
      <c r="G840" s="39">
        <f t="shared" ref="G840:G903" si="102">E840+F840</f>
        <v>0</v>
      </c>
      <c r="H840" s="40">
        <v>669649</v>
      </c>
      <c r="I840" s="103">
        <f t="shared" si="98"/>
        <v>0</v>
      </c>
      <c r="J840" s="39">
        <f t="shared" si="99"/>
        <v>0</v>
      </c>
      <c r="K840" s="42">
        <f t="shared" si="100"/>
        <v>0</v>
      </c>
      <c r="L840" s="42">
        <f t="shared" si="101"/>
        <v>0</v>
      </c>
      <c r="M840" s="138"/>
    </row>
    <row r="841" spans="1:13" ht="21.75" customHeight="1" x14ac:dyDescent="0.25">
      <c r="A841" s="35">
        <v>3</v>
      </c>
      <c r="B841" s="36" t="s">
        <v>158</v>
      </c>
      <c r="C841" s="37" t="s">
        <v>159</v>
      </c>
      <c r="D841" s="98">
        <v>0</v>
      </c>
      <c r="E841" s="39"/>
      <c r="F841" s="38"/>
      <c r="G841" s="39">
        <f t="shared" si="102"/>
        <v>0</v>
      </c>
      <c r="H841" s="40">
        <v>1909908</v>
      </c>
      <c r="I841" s="103">
        <f t="shared" si="98"/>
        <v>0</v>
      </c>
      <c r="J841" s="39">
        <f t="shared" si="99"/>
        <v>0</v>
      </c>
      <c r="K841" s="42">
        <f t="shared" si="100"/>
        <v>0</v>
      </c>
      <c r="L841" s="42">
        <f t="shared" si="101"/>
        <v>0</v>
      </c>
      <c r="M841" s="138"/>
    </row>
    <row r="842" spans="1:13" ht="21.75" customHeight="1" x14ac:dyDescent="0.25">
      <c r="A842" s="35">
        <v>4</v>
      </c>
      <c r="B842" s="36" t="s">
        <v>73</v>
      </c>
      <c r="C842" s="37" t="s">
        <v>42</v>
      </c>
      <c r="D842" s="98">
        <v>49.889059999999901</v>
      </c>
      <c r="E842" s="39">
        <v>49.889059999999901</v>
      </c>
      <c r="F842" s="38"/>
      <c r="G842" s="39">
        <f t="shared" si="102"/>
        <v>49.889059999999901</v>
      </c>
      <c r="H842" s="40">
        <v>2096</v>
      </c>
      <c r="I842" s="103">
        <f t="shared" si="98"/>
        <v>104567</v>
      </c>
      <c r="J842" s="39">
        <f t="shared" si="99"/>
        <v>104567.46975999979</v>
      </c>
      <c r="K842" s="42">
        <f t="shared" si="100"/>
        <v>0</v>
      </c>
      <c r="L842" s="42">
        <f t="shared" si="101"/>
        <v>104567.46975999979</v>
      </c>
      <c r="M842" s="138"/>
    </row>
    <row r="843" spans="1:13" ht="21.75" customHeight="1" x14ac:dyDescent="0.25">
      <c r="A843" s="109">
        <v>5</v>
      </c>
      <c r="B843" s="110" t="s">
        <v>1202</v>
      </c>
      <c r="C843" s="111" t="s">
        <v>163</v>
      </c>
      <c r="D843" s="112">
        <v>0.70894979999999852</v>
      </c>
      <c r="E843" s="113">
        <v>0.70894979999999852</v>
      </c>
      <c r="F843" s="114"/>
      <c r="G843" s="113">
        <f t="shared" si="102"/>
        <v>0.70894979999999852</v>
      </c>
      <c r="H843" s="115">
        <v>963779</v>
      </c>
      <c r="I843" s="116">
        <f t="shared" si="98"/>
        <v>683271</v>
      </c>
      <c r="J843" s="113">
        <f t="shared" si="99"/>
        <v>683270.92929419852</v>
      </c>
      <c r="K843" s="117">
        <f t="shared" si="100"/>
        <v>0</v>
      </c>
      <c r="L843" s="117">
        <f t="shared" si="101"/>
        <v>683270.92929419852</v>
      </c>
      <c r="M843" s="141"/>
    </row>
    <row r="844" spans="1:13" ht="52.5" customHeight="1" x14ac:dyDescent="0.25">
      <c r="A844" s="16" t="s">
        <v>1237</v>
      </c>
      <c r="B844" s="92" t="s">
        <v>1238</v>
      </c>
      <c r="C844" s="18"/>
      <c r="D844" s="105"/>
      <c r="E844" s="55"/>
      <c r="F844" s="54"/>
      <c r="G844" s="55"/>
      <c r="H844" s="56"/>
      <c r="I844" s="93">
        <f>ROUND(SUM(I848:I974),-3)</f>
        <v>1598284000</v>
      </c>
      <c r="J844" s="93">
        <f>ROUND(SUM(J848:J974),-3)</f>
        <v>1331278000</v>
      </c>
      <c r="K844" s="93">
        <f t="shared" ref="K844" si="103">ROUND(SUM(K848:K974),-3)</f>
        <v>267006000</v>
      </c>
      <c r="L844" s="93">
        <f>ROUND(SUM(L848:L974),-3)</f>
        <v>1598284000</v>
      </c>
      <c r="M844" s="120"/>
    </row>
    <row r="845" spans="1:13" ht="27.75" customHeight="1" x14ac:dyDescent="0.25">
      <c r="A845" s="94"/>
      <c r="B845" s="17" t="s">
        <v>1239</v>
      </c>
      <c r="C845" s="18"/>
      <c r="D845" s="105"/>
      <c r="E845" s="55"/>
      <c r="F845" s="54"/>
      <c r="G845" s="55"/>
      <c r="H845" s="56"/>
      <c r="I845" s="95"/>
      <c r="J845" s="55"/>
      <c r="K845" s="58"/>
      <c r="L845" s="58"/>
      <c r="M845" s="120"/>
    </row>
    <row r="846" spans="1:13" ht="22.5" customHeight="1" x14ac:dyDescent="0.25">
      <c r="A846" s="94"/>
      <c r="B846" s="17" t="s">
        <v>1240</v>
      </c>
      <c r="C846" s="18"/>
      <c r="D846" s="105"/>
      <c r="E846" s="55"/>
      <c r="F846" s="54"/>
      <c r="G846" s="55"/>
      <c r="H846" s="56"/>
      <c r="I846" s="95"/>
      <c r="J846" s="55"/>
      <c r="K846" s="58"/>
      <c r="L846" s="58"/>
      <c r="M846" s="120"/>
    </row>
    <row r="847" spans="1:13" ht="27.75" customHeight="1" x14ac:dyDescent="0.25">
      <c r="A847" s="148"/>
      <c r="B847" s="149" t="s">
        <v>1241</v>
      </c>
      <c r="C847" s="150"/>
      <c r="D847" s="151"/>
      <c r="E847" s="152"/>
      <c r="F847" s="153"/>
      <c r="G847" s="152"/>
      <c r="H847" s="154"/>
      <c r="I847" s="155"/>
      <c r="J847" s="152"/>
      <c r="K847" s="156"/>
      <c r="L847" s="156"/>
      <c r="M847" s="157"/>
    </row>
    <row r="848" spans="1:13" ht="33" customHeight="1" x14ac:dyDescent="0.25">
      <c r="A848" s="128">
        <v>1</v>
      </c>
      <c r="B848" s="129" t="s">
        <v>1242</v>
      </c>
      <c r="C848" s="130" t="s">
        <v>278</v>
      </c>
      <c r="D848" s="133">
        <v>6.72</v>
      </c>
      <c r="E848" s="132">
        <v>6.72</v>
      </c>
      <c r="F848" s="133"/>
      <c r="G848" s="132">
        <f t="shared" si="102"/>
        <v>6.72</v>
      </c>
      <c r="H848" s="134">
        <v>1416249</v>
      </c>
      <c r="I848" s="135">
        <f t="shared" si="98"/>
        <v>9517193</v>
      </c>
      <c r="J848" s="132">
        <f t="shared" si="99"/>
        <v>9517193.2799999993</v>
      </c>
      <c r="K848" s="136">
        <f t="shared" si="100"/>
        <v>0</v>
      </c>
      <c r="L848" s="136">
        <f t="shared" si="101"/>
        <v>9517193.2799999993</v>
      </c>
      <c r="M848" s="137"/>
    </row>
    <row r="849" spans="1:13" ht="27.75" customHeight="1" x14ac:dyDescent="0.25">
      <c r="A849" s="35">
        <v>2</v>
      </c>
      <c r="B849" s="36" t="s">
        <v>1243</v>
      </c>
      <c r="C849" s="37" t="s">
        <v>143</v>
      </c>
      <c r="D849" s="38">
        <v>1.6672</v>
      </c>
      <c r="E849" s="39">
        <v>1.6672</v>
      </c>
      <c r="F849" s="38"/>
      <c r="G849" s="39">
        <f t="shared" si="102"/>
        <v>1.6672</v>
      </c>
      <c r="H849" s="40">
        <v>9954381</v>
      </c>
      <c r="I849" s="103">
        <f t="shared" si="98"/>
        <v>16595944</v>
      </c>
      <c r="J849" s="39">
        <f t="shared" si="99"/>
        <v>16595944.0032</v>
      </c>
      <c r="K849" s="42">
        <f t="shared" si="100"/>
        <v>0</v>
      </c>
      <c r="L849" s="42">
        <f t="shared" si="101"/>
        <v>16595944.0032</v>
      </c>
      <c r="M849" s="138"/>
    </row>
    <row r="850" spans="1:13" ht="33.75" customHeight="1" x14ac:dyDescent="0.25">
      <c r="A850" s="35">
        <v>3</v>
      </c>
      <c r="B850" s="36" t="s">
        <v>1244</v>
      </c>
      <c r="C850" s="37" t="s">
        <v>118</v>
      </c>
      <c r="D850" s="38">
        <v>0.62980000000000003</v>
      </c>
      <c r="E850" s="39">
        <v>0.62980000000000003</v>
      </c>
      <c r="F850" s="38"/>
      <c r="G850" s="39">
        <f t="shared" si="102"/>
        <v>0.62980000000000003</v>
      </c>
      <c r="H850" s="40">
        <v>26034998</v>
      </c>
      <c r="I850" s="103">
        <f t="shared" si="98"/>
        <v>16396842</v>
      </c>
      <c r="J850" s="39">
        <f t="shared" si="99"/>
        <v>16396841.740400001</v>
      </c>
      <c r="K850" s="42">
        <f t="shared" si="100"/>
        <v>0</v>
      </c>
      <c r="L850" s="42">
        <f t="shared" si="101"/>
        <v>16396841.740400001</v>
      </c>
      <c r="M850" s="138"/>
    </row>
    <row r="851" spans="1:13" ht="38.25" customHeight="1" x14ac:dyDescent="0.25">
      <c r="A851" s="35">
        <v>4</v>
      </c>
      <c r="B851" s="36" t="s">
        <v>1245</v>
      </c>
      <c r="C851" s="37" t="s">
        <v>857</v>
      </c>
      <c r="D851" s="38">
        <v>16</v>
      </c>
      <c r="E851" s="39">
        <v>16</v>
      </c>
      <c r="F851" s="38"/>
      <c r="G851" s="39">
        <f t="shared" si="102"/>
        <v>16</v>
      </c>
      <c r="H851" s="40">
        <v>543262</v>
      </c>
      <c r="I851" s="103">
        <f t="shared" si="98"/>
        <v>8692192</v>
      </c>
      <c r="J851" s="39">
        <f t="shared" si="99"/>
        <v>8692192</v>
      </c>
      <c r="K851" s="42">
        <f t="shared" si="100"/>
        <v>0</v>
      </c>
      <c r="L851" s="42">
        <f t="shared" si="101"/>
        <v>8692192</v>
      </c>
      <c r="M851" s="138"/>
    </row>
    <row r="852" spans="1:13" ht="45" customHeight="1" x14ac:dyDescent="0.25">
      <c r="A852" s="35">
        <v>5</v>
      </c>
      <c r="B852" s="36" t="s">
        <v>1246</v>
      </c>
      <c r="C852" s="37" t="s">
        <v>334</v>
      </c>
      <c r="D852" s="38">
        <v>1.68</v>
      </c>
      <c r="E852" s="39">
        <v>1.68</v>
      </c>
      <c r="F852" s="38"/>
      <c r="G852" s="39">
        <f t="shared" si="102"/>
        <v>1.68</v>
      </c>
      <c r="H852" s="40">
        <v>34827</v>
      </c>
      <c r="I852" s="103">
        <f t="shared" si="98"/>
        <v>58509</v>
      </c>
      <c r="J852" s="39">
        <f t="shared" si="99"/>
        <v>58509.36</v>
      </c>
      <c r="K852" s="42">
        <f t="shared" si="100"/>
        <v>0</v>
      </c>
      <c r="L852" s="42">
        <f t="shared" si="101"/>
        <v>58509.36</v>
      </c>
      <c r="M852" s="138"/>
    </row>
    <row r="853" spans="1:13" ht="55.5" customHeight="1" x14ac:dyDescent="0.25">
      <c r="A853" s="35">
        <v>6</v>
      </c>
      <c r="B853" s="36" t="s">
        <v>541</v>
      </c>
      <c r="C853" s="37" t="s">
        <v>233</v>
      </c>
      <c r="D853" s="38">
        <v>16</v>
      </c>
      <c r="E853" s="39">
        <v>16</v>
      </c>
      <c r="F853" s="38"/>
      <c r="G853" s="39">
        <f t="shared" si="102"/>
        <v>16</v>
      </c>
      <c r="H853" s="40">
        <v>67973</v>
      </c>
      <c r="I853" s="103">
        <f t="shared" si="98"/>
        <v>1087568</v>
      </c>
      <c r="J853" s="39">
        <f t="shared" si="99"/>
        <v>1087568</v>
      </c>
      <c r="K853" s="42">
        <f t="shared" si="100"/>
        <v>0</v>
      </c>
      <c r="L853" s="42">
        <f t="shared" si="101"/>
        <v>1087568</v>
      </c>
      <c r="M853" s="138"/>
    </row>
    <row r="854" spans="1:13" ht="46.5" customHeight="1" x14ac:dyDescent="0.25">
      <c r="A854" s="44">
        <v>7</v>
      </c>
      <c r="B854" s="45" t="s">
        <v>543</v>
      </c>
      <c r="C854" s="46" t="s">
        <v>233</v>
      </c>
      <c r="D854" s="47">
        <v>16</v>
      </c>
      <c r="E854" s="48">
        <v>16</v>
      </c>
      <c r="F854" s="47"/>
      <c r="G854" s="48">
        <f t="shared" si="102"/>
        <v>16</v>
      </c>
      <c r="H854" s="49">
        <v>51893</v>
      </c>
      <c r="I854" s="104">
        <f t="shared" si="98"/>
        <v>830288</v>
      </c>
      <c r="J854" s="48">
        <f t="shared" si="99"/>
        <v>830288</v>
      </c>
      <c r="K854" s="51">
        <f t="shared" si="100"/>
        <v>0</v>
      </c>
      <c r="L854" s="51">
        <f t="shared" si="101"/>
        <v>830288</v>
      </c>
      <c r="M854" s="139"/>
    </row>
    <row r="855" spans="1:13" ht="27.75" customHeight="1" x14ac:dyDescent="0.25">
      <c r="A855" s="94"/>
      <c r="B855" s="17" t="s">
        <v>1247</v>
      </c>
      <c r="C855" s="21"/>
      <c r="D855" s="54"/>
      <c r="E855" s="55"/>
      <c r="F855" s="54"/>
      <c r="G855" s="55">
        <f t="shared" si="102"/>
        <v>0</v>
      </c>
      <c r="H855" s="56"/>
      <c r="I855" s="95">
        <f t="shared" si="98"/>
        <v>0</v>
      </c>
      <c r="J855" s="55">
        <f t="shared" si="99"/>
        <v>0</v>
      </c>
      <c r="K855" s="58">
        <f t="shared" si="100"/>
        <v>0</v>
      </c>
      <c r="L855" s="58">
        <f t="shared" si="101"/>
        <v>0</v>
      </c>
      <c r="M855" s="120"/>
    </row>
    <row r="856" spans="1:13" ht="36.75" customHeight="1" x14ac:dyDescent="0.25">
      <c r="A856" s="25">
        <v>1</v>
      </c>
      <c r="B856" s="26" t="s">
        <v>1248</v>
      </c>
      <c r="C856" s="27" t="s">
        <v>42</v>
      </c>
      <c r="D856" s="28">
        <v>11.2</v>
      </c>
      <c r="E856" s="29">
        <v>11.2</v>
      </c>
      <c r="F856" s="28"/>
      <c r="G856" s="29">
        <f t="shared" si="102"/>
        <v>11.2</v>
      </c>
      <c r="H856" s="30">
        <v>1414734</v>
      </c>
      <c r="I856" s="102">
        <f t="shared" si="98"/>
        <v>15845021</v>
      </c>
      <c r="J856" s="29">
        <f t="shared" si="99"/>
        <v>15845020.799999999</v>
      </c>
      <c r="K856" s="32">
        <f t="shared" si="100"/>
        <v>0</v>
      </c>
      <c r="L856" s="32">
        <f t="shared" si="101"/>
        <v>15845020.799999999</v>
      </c>
      <c r="M856" s="140"/>
    </row>
    <row r="857" spans="1:13" ht="27.75" customHeight="1" x14ac:dyDescent="0.25">
      <c r="A857" s="35">
        <v>2</v>
      </c>
      <c r="B857" s="36" t="s">
        <v>374</v>
      </c>
      <c r="C857" s="37" t="s">
        <v>143</v>
      </c>
      <c r="D857" s="38">
        <v>0.53280000000000005</v>
      </c>
      <c r="E857" s="39">
        <v>0.53280000000000005</v>
      </c>
      <c r="F857" s="38"/>
      <c r="G857" s="39">
        <f t="shared" si="102"/>
        <v>0.53280000000000005</v>
      </c>
      <c r="H857" s="40">
        <v>9954381</v>
      </c>
      <c r="I857" s="103">
        <f t="shared" si="98"/>
        <v>5303694</v>
      </c>
      <c r="J857" s="39">
        <f t="shared" si="99"/>
        <v>5303694.196800001</v>
      </c>
      <c r="K857" s="42">
        <f t="shared" si="100"/>
        <v>0</v>
      </c>
      <c r="L857" s="42">
        <f t="shared" si="101"/>
        <v>5303694.196800001</v>
      </c>
      <c r="M857" s="138"/>
    </row>
    <row r="858" spans="1:13" ht="27.75" customHeight="1" x14ac:dyDescent="0.25">
      <c r="A858" s="35">
        <v>3</v>
      </c>
      <c r="B858" s="36" t="s">
        <v>1249</v>
      </c>
      <c r="C858" s="37" t="s">
        <v>118</v>
      </c>
      <c r="D858" s="38">
        <v>0.40639999999999998</v>
      </c>
      <c r="E858" s="39">
        <v>0.40639999999999998</v>
      </c>
      <c r="F858" s="38"/>
      <c r="G858" s="39">
        <f t="shared" si="102"/>
        <v>0.40639999999999998</v>
      </c>
      <c r="H858" s="40">
        <v>25366848</v>
      </c>
      <c r="I858" s="103">
        <f t="shared" ref="I858:I921" si="104">ROUND(D858*H858,0)</f>
        <v>10309087</v>
      </c>
      <c r="J858" s="39">
        <f t="shared" ref="J858:J921" si="105">E858*H858</f>
        <v>10309087.0272</v>
      </c>
      <c r="K858" s="42">
        <f t="shared" ref="K858:K921" si="106">F858*H858</f>
        <v>0</v>
      </c>
      <c r="L858" s="42">
        <f t="shared" ref="L858:L921" si="107">G858*H858</f>
        <v>10309087.0272</v>
      </c>
      <c r="M858" s="138"/>
    </row>
    <row r="859" spans="1:13" ht="27.75" customHeight="1" x14ac:dyDescent="0.25">
      <c r="A859" s="35">
        <v>4</v>
      </c>
      <c r="B859" s="36" t="s">
        <v>1250</v>
      </c>
      <c r="C859" s="37" t="s">
        <v>118</v>
      </c>
      <c r="D859" s="38">
        <v>8.9899999999999994E-2</v>
      </c>
      <c r="E859" s="39">
        <v>8.9899999999999994E-2</v>
      </c>
      <c r="F859" s="38"/>
      <c r="G859" s="39">
        <f t="shared" si="102"/>
        <v>8.9899999999999994E-2</v>
      </c>
      <c r="H859" s="40">
        <v>24172058</v>
      </c>
      <c r="I859" s="103">
        <f t="shared" si="104"/>
        <v>2173068</v>
      </c>
      <c r="J859" s="39">
        <f t="shared" si="105"/>
        <v>2173068.0141999996</v>
      </c>
      <c r="K859" s="42">
        <f t="shared" si="106"/>
        <v>0</v>
      </c>
      <c r="L859" s="42">
        <f t="shared" si="107"/>
        <v>2173068.0141999996</v>
      </c>
      <c r="M859" s="138"/>
    </row>
    <row r="860" spans="1:13" ht="27.75" customHeight="1" x14ac:dyDescent="0.25">
      <c r="A860" s="35">
        <v>5</v>
      </c>
      <c r="B860" s="36" t="s">
        <v>1251</v>
      </c>
      <c r="C860" s="37" t="s">
        <v>278</v>
      </c>
      <c r="D860" s="38">
        <v>16</v>
      </c>
      <c r="E860" s="39">
        <v>16</v>
      </c>
      <c r="F860" s="38"/>
      <c r="G860" s="39">
        <f t="shared" si="102"/>
        <v>16</v>
      </c>
      <c r="H860" s="40">
        <v>205124</v>
      </c>
      <c r="I860" s="103">
        <f t="shared" si="104"/>
        <v>3281984</v>
      </c>
      <c r="J860" s="39">
        <f t="shared" si="105"/>
        <v>3281984</v>
      </c>
      <c r="K860" s="42">
        <f t="shared" si="106"/>
        <v>0</v>
      </c>
      <c r="L860" s="42">
        <f t="shared" si="107"/>
        <v>3281984</v>
      </c>
      <c r="M860" s="138"/>
    </row>
    <row r="861" spans="1:13" ht="51.75" customHeight="1" x14ac:dyDescent="0.25">
      <c r="A861" s="35">
        <v>6</v>
      </c>
      <c r="B861" s="36" t="s">
        <v>1252</v>
      </c>
      <c r="C861" s="37" t="s">
        <v>334</v>
      </c>
      <c r="D861" s="38">
        <v>2.8</v>
      </c>
      <c r="E861" s="39">
        <v>2.8</v>
      </c>
      <c r="F861" s="38"/>
      <c r="G861" s="39">
        <f t="shared" si="102"/>
        <v>2.8</v>
      </c>
      <c r="H861" s="40">
        <v>30957</v>
      </c>
      <c r="I861" s="103">
        <f t="shared" si="104"/>
        <v>86680</v>
      </c>
      <c r="J861" s="39">
        <f t="shared" si="105"/>
        <v>86679.599999999991</v>
      </c>
      <c r="K861" s="42">
        <f t="shared" si="106"/>
        <v>0</v>
      </c>
      <c r="L861" s="42">
        <f t="shared" si="107"/>
        <v>86679.599999999991</v>
      </c>
      <c r="M861" s="138"/>
    </row>
    <row r="862" spans="1:13" ht="53.25" customHeight="1" x14ac:dyDescent="0.25">
      <c r="A862" s="35">
        <v>7</v>
      </c>
      <c r="B862" s="36" t="s">
        <v>541</v>
      </c>
      <c r="C862" s="37" t="s">
        <v>233</v>
      </c>
      <c r="D862" s="38">
        <v>16</v>
      </c>
      <c r="E862" s="39">
        <v>16</v>
      </c>
      <c r="F862" s="38"/>
      <c r="G862" s="39">
        <f t="shared" si="102"/>
        <v>16</v>
      </c>
      <c r="H862" s="40">
        <v>67973</v>
      </c>
      <c r="I862" s="103">
        <f t="shared" si="104"/>
        <v>1087568</v>
      </c>
      <c r="J862" s="39">
        <f t="shared" si="105"/>
        <v>1087568</v>
      </c>
      <c r="K862" s="42">
        <f t="shared" si="106"/>
        <v>0</v>
      </c>
      <c r="L862" s="42">
        <f t="shared" si="107"/>
        <v>1087568</v>
      </c>
      <c r="M862" s="138"/>
    </row>
    <row r="863" spans="1:13" ht="50.25" customHeight="1" x14ac:dyDescent="0.25">
      <c r="A863" s="35">
        <v>8</v>
      </c>
      <c r="B863" s="36" t="s">
        <v>543</v>
      </c>
      <c r="C863" s="37" t="s">
        <v>233</v>
      </c>
      <c r="D863" s="38">
        <v>16</v>
      </c>
      <c r="E863" s="39">
        <v>16</v>
      </c>
      <c r="F863" s="38"/>
      <c r="G863" s="39">
        <f t="shared" si="102"/>
        <v>16</v>
      </c>
      <c r="H863" s="40">
        <v>51893</v>
      </c>
      <c r="I863" s="103">
        <f t="shared" si="104"/>
        <v>830288</v>
      </c>
      <c r="J863" s="39">
        <f t="shared" si="105"/>
        <v>830288</v>
      </c>
      <c r="K863" s="42">
        <f t="shared" si="106"/>
        <v>0</v>
      </c>
      <c r="L863" s="42">
        <f t="shared" si="107"/>
        <v>830288</v>
      </c>
      <c r="M863" s="138"/>
    </row>
    <row r="864" spans="1:13" ht="34.5" customHeight="1" x14ac:dyDescent="0.25">
      <c r="A864" s="109">
        <v>9</v>
      </c>
      <c r="B864" s="110" t="s">
        <v>83</v>
      </c>
      <c r="C864" s="111" t="s">
        <v>301</v>
      </c>
      <c r="D864" s="114">
        <v>17.782800000000002</v>
      </c>
      <c r="E864" s="113">
        <v>17.782800000000002</v>
      </c>
      <c r="F864" s="114"/>
      <c r="G864" s="113">
        <f t="shared" si="102"/>
        <v>17.782800000000002</v>
      </c>
      <c r="H864" s="115">
        <v>863017</v>
      </c>
      <c r="I864" s="116">
        <f t="shared" si="104"/>
        <v>15346859</v>
      </c>
      <c r="J864" s="113">
        <f t="shared" si="105"/>
        <v>15346858.707600001</v>
      </c>
      <c r="K864" s="117">
        <f t="shared" si="106"/>
        <v>0</v>
      </c>
      <c r="L864" s="117">
        <f t="shared" si="107"/>
        <v>15346858.707600001</v>
      </c>
      <c r="M864" s="141"/>
    </row>
    <row r="865" spans="1:13" ht="27.75" customHeight="1" x14ac:dyDescent="0.25">
      <c r="A865" s="94"/>
      <c r="B865" s="17" t="s">
        <v>1253</v>
      </c>
      <c r="C865" s="21"/>
      <c r="D865" s="54"/>
      <c r="E865" s="55"/>
      <c r="F865" s="54"/>
      <c r="G865" s="55">
        <f t="shared" si="102"/>
        <v>0</v>
      </c>
      <c r="H865" s="56"/>
      <c r="I865" s="95">
        <f t="shared" si="104"/>
        <v>0</v>
      </c>
      <c r="J865" s="55">
        <f t="shared" si="105"/>
        <v>0</v>
      </c>
      <c r="K865" s="58">
        <f t="shared" si="106"/>
        <v>0</v>
      </c>
      <c r="L865" s="58">
        <f t="shared" si="107"/>
        <v>0</v>
      </c>
      <c r="M865" s="120"/>
    </row>
    <row r="866" spans="1:13" ht="33" customHeight="1" x14ac:dyDescent="0.25">
      <c r="A866" s="128">
        <v>1</v>
      </c>
      <c r="B866" s="129" t="s">
        <v>1254</v>
      </c>
      <c r="C866" s="130" t="s">
        <v>42</v>
      </c>
      <c r="D866" s="133">
        <v>6.78</v>
      </c>
      <c r="E866" s="132"/>
      <c r="F866" s="133">
        <f>D866-E866</f>
        <v>6.78</v>
      </c>
      <c r="G866" s="132">
        <f t="shared" si="102"/>
        <v>6.78</v>
      </c>
      <c r="H866" s="134">
        <v>866925</v>
      </c>
      <c r="I866" s="135">
        <f t="shared" si="104"/>
        <v>5877752</v>
      </c>
      <c r="J866" s="132">
        <f t="shared" si="105"/>
        <v>0</v>
      </c>
      <c r="K866" s="136">
        <f t="shared" si="106"/>
        <v>5877751.5</v>
      </c>
      <c r="L866" s="136">
        <f t="shared" si="107"/>
        <v>5877751.5</v>
      </c>
      <c r="M866" s="137"/>
    </row>
    <row r="867" spans="1:13" ht="27.75" customHeight="1" x14ac:dyDescent="0.25">
      <c r="A867" s="35">
        <v>2</v>
      </c>
      <c r="B867" s="36" t="s">
        <v>1255</v>
      </c>
      <c r="C867" s="37">
        <v>0</v>
      </c>
      <c r="D867" s="38">
        <v>0</v>
      </c>
      <c r="E867" s="39"/>
      <c r="F867" s="28">
        <f t="shared" ref="F867:F875" si="108">D867-E867</f>
        <v>0</v>
      </c>
      <c r="G867" s="39">
        <f t="shared" si="102"/>
        <v>0</v>
      </c>
      <c r="H867" s="40">
        <v>0</v>
      </c>
      <c r="I867" s="103">
        <f t="shared" si="104"/>
        <v>0</v>
      </c>
      <c r="J867" s="39">
        <f t="shared" si="105"/>
        <v>0</v>
      </c>
      <c r="K867" s="42">
        <f t="shared" si="106"/>
        <v>0</v>
      </c>
      <c r="L867" s="42">
        <f t="shared" si="107"/>
        <v>0</v>
      </c>
      <c r="M867" s="138"/>
    </row>
    <row r="868" spans="1:13" ht="27.75" customHeight="1" x14ac:dyDescent="0.25">
      <c r="A868" s="35">
        <v>3</v>
      </c>
      <c r="B868" s="36" t="s">
        <v>1256</v>
      </c>
      <c r="C868" s="37" t="s">
        <v>42</v>
      </c>
      <c r="D868" s="38">
        <v>0.44</v>
      </c>
      <c r="E868" s="39"/>
      <c r="F868" s="38">
        <f t="shared" si="108"/>
        <v>0.44</v>
      </c>
      <c r="G868" s="39">
        <f t="shared" si="102"/>
        <v>0.44</v>
      </c>
      <c r="H868" s="40">
        <v>1243638</v>
      </c>
      <c r="I868" s="103">
        <f t="shared" si="104"/>
        <v>547201</v>
      </c>
      <c r="J868" s="39">
        <f t="shared" si="105"/>
        <v>0</v>
      </c>
      <c r="K868" s="42">
        <f t="shared" si="106"/>
        <v>547200.72</v>
      </c>
      <c r="L868" s="42">
        <f t="shared" si="107"/>
        <v>547200.72</v>
      </c>
      <c r="M868" s="138"/>
    </row>
    <row r="869" spans="1:13" ht="27.75" customHeight="1" x14ac:dyDescent="0.25">
      <c r="A869" s="35">
        <v>4</v>
      </c>
      <c r="B869" s="36" t="s">
        <v>1257</v>
      </c>
      <c r="C869" s="37" t="s">
        <v>42</v>
      </c>
      <c r="D869" s="38">
        <v>0.48</v>
      </c>
      <c r="E869" s="39"/>
      <c r="F869" s="38">
        <f t="shared" si="108"/>
        <v>0.48</v>
      </c>
      <c r="G869" s="39">
        <f t="shared" si="102"/>
        <v>0.48</v>
      </c>
      <c r="H869" s="40">
        <v>1243638</v>
      </c>
      <c r="I869" s="103">
        <f t="shared" si="104"/>
        <v>596946</v>
      </c>
      <c r="J869" s="39">
        <f t="shared" si="105"/>
        <v>0</v>
      </c>
      <c r="K869" s="42">
        <f t="shared" si="106"/>
        <v>596946.24</v>
      </c>
      <c r="L869" s="42">
        <f t="shared" si="107"/>
        <v>596946.24</v>
      </c>
      <c r="M869" s="138"/>
    </row>
    <row r="870" spans="1:13" ht="27.75" customHeight="1" x14ac:dyDescent="0.25">
      <c r="A870" s="35">
        <v>5</v>
      </c>
      <c r="B870" s="36" t="s">
        <v>1258</v>
      </c>
      <c r="C870" s="37" t="s">
        <v>118</v>
      </c>
      <c r="D870" s="38">
        <v>8.5900000000000004E-2</v>
      </c>
      <c r="E870" s="39"/>
      <c r="F870" s="38">
        <f t="shared" si="108"/>
        <v>8.5900000000000004E-2</v>
      </c>
      <c r="G870" s="39">
        <f t="shared" si="102"/>
        <v>8.5900000000000004E-2</v>
      </c>
      <c r="H870" s="40">
        <v>22322787</v>
      </c>
      <c r="I870" s="103">
        <f t="shared" si="104"/>
        <v>1917527</v>
      </c>
      <c r="J870" s="39">
        <f t="shared" si="105"/>
        <v>0</v>
      </c>
      <c r="K870" s="42">
        <f t="shared" si="106"/>
        <v>1917527.4033000001</v>
      </c>
      <c r="L870" s="42">
        <f t="shared" si="107"/>
        <v>1917527.4033000001</v>
      </c>
      <c r="M870" s="138"/>
    </row>
    <row r="871" spans="1:13" ht="27.75" customHeight="1" x14ac:dyDescent="0.25">
      <c r="A871" s="35">
        <v>6</v>
      </c>
      <c r="B871" s="36" t="s">
        <v>1259</v>
      </c>
      <c r="C871" s="37" t="s">
        <v>118</v>
      </c>
      <c r="D871" s="38">
        <v>0.23039999999999999</v>
      </c>
      <c r="E871" s="39"/>
      <c r="F871" s="38">
        <f t="shared" si="108"/>
        <v>0.23039999999999999</v>
      </c>
      <c r="G871" s="39">
        <f t="shared" si="102"/>
        <v>0.23039999999999999</v>
      </c>
      <c r="H871" s="40">
        <v>22447020</v>
      </c>
      <c r="I871" s="103">
        <f t="shared" si="104"/>
        <v>5171793</v>
      </c>
      <c r="J871" s="39">
        <f t="shared" si="105"/>
        <v>0</v>
      </c>
      <c r="K871" s="42">
        <f t="shared" si="106"/>
        <v>5171793.4079999998</v>
      </c>
      <c r="L871" s="42">
        <f t="shared" si="107"/>
        <v>5171793.4079999998</v>
      </c>
      <c r="M871" s="138"/>
    </row>
    <row r="872" spans="1:13" ht="27.75" customHeight="1" x14ac:dyDescent="0.25">
      <c r="A872" s="35">
        <v>7</v>
      </c>
      <c r="B872" s="36" t="s">
        <v>1260</v>
      </c>
      <c r="C872" s="37" t="s">
        <v>233</v>
      </c>
      <c r="D872" s="38">
        <v>2</v>
      </c>
      <c r="E872" s="39"/>
      <c r="F872" s="38">
        <f t="shared" si="108"/>
        <v>2</v>
      </c>
      <c r="G872" s="39">
        <f t="shared" si="102"/>
        <v>2</v>
      </c>
      <c r="H872" s="40">
        <v>1273272</v>
      </c>
      <c r="I872" s="103">
        <f t="shared" si="104"/>
        <v>2546544</v>
      </c>
      <c r="J872" s="39">
        <f t="shared" si="105"/>
        <v>0</v>
      </c>
      <c r="K872" s="42">
        <f t="shared" si="106"/>
        <v>2546544</v>
      </c>
      <c r="L872" s="42">
        <f t="shared" si="107"/>
        <v>2546544</v>
      </c>
      <c r="M872" s="138"/>
    </row>
    <row r="873" spans="1:13" ht="27.75" customHeight="1" x14ac:dyDescent="0.25">
      <c r="A873" s="35">
        <v>8</v>
      </c>
      <c r="B873" s="36" t="s">
        <v>1261</v>
      </c>
      <c r="C873" s="37" t="s">
        <v>143</v>
      </c>
      <c r="D873" s="38">
        <v>0.19220000000000001</v>
      </c>
      <c r="E873" s="39"/>
      <c r="F873" s="38">
        <f t="shared" si="108"/>
        <v>0.19220000000000001</v>
      </c>
      <c r="G873" s="39">
        <f t="shared" si="102"/>
        <v>0.19220000000000001</v>
      </c>
      <c r="H873" s="40">
        <v>6038274</v>
      </c>
      <c r="I873" s="103">
        <f t="shared" si="104"/>
        <v>1160556</v>
      </c>
      <c r="J873" s="39">
        <f t="shared" si="105"/>
        <v>0</v>
      </c>
      <c r="K873" s="42">
        <f t="shared" si="106"/>
        <v>1160556.2628000001</v>
      </c>
      <c r="L873" s="42">
        <f t="shared" si="107"/>
        <v>1160556.2628000001</v>
      </c>
      <c r="M873" s="138"/>
    </row>
    <row r="874" spans="1:13" ht="27.75" customHeight="1" x14ac:dyDescent="0.25">
      <c r="A874" s="35">
        <v>9</v>
      </c>
      <c r="B874" s="36" t="s">
        <v>1262</v>
      </c>
      <c r="C874" s="37" t="s">
        <v>118</v>
      </c>
      <c r="D874" s="38">
        <v>0.22170000000000001</v>
      </c>
      <c r="E874" s="39"/>
      <c r="F874" s="38">
        <f t="shared" si="108"/>
        <v>0.22170000000000001</v>
      </c>
      <c r="G874" s="39">
        <f t="shared" si="102"/>
        <v>0.22170000000000001</v>
      </c>
      <c r="H874" s="40">
        <v>5367401</v>
      </c>
      <c r="I874" s="103">
        <f t="shared" si="104"/>
        <v>1189953</v>
      </c>
      <c r="J874" s="39">
        <f t="shared" si="105"/>
        <v>0</v>
      </c>
      <c r="K874" s="42">
        <f t="shared" si="106"/>
        <v>1189952.8017</v>
      </c>
      <c r="L874" s="42">
        <f t="shared" si="107"/>
        <v>1189952.8017</v>
      </c>
      <c r="M874" s="138"/>
    </row>
    <row r="875" spans="1:13" ht="27.75" customHeight="1" x14ac:dyDescent="0.25">
      <c r="A875" s="109">
        <v>10</v>
      </c>
      <c r="B875" s="110" t="s">
        <v>1263</v>
      </c>
      <c r="C875" s="111" t="s">
        <v>278</v>
      </c>
      <c r="D875" s="114">
        <v>2</v>
      </c>
      <c r="E875" s="113"/>
      <c r="F875" s="38">
        <f t="shared" si="108"/>
        <v>2</v>
      </c>
      <c r="G875" s="113">
        <f t="shared" si="102"/>
        <v>2</v>
      </c>
      <c r="H875" s="115">
        <v>17858580</v>
      </c>
      <c r="I875" s="116">
        <f t="shared" si="104"/>
        <v>35717160</v>
      </c>
      <c r="J875" s="113">
        <f t="shared" si="105"/>
        <v>0</v>
      </c>
      <c r="K875" s="117">
        <f t="shared" si="106"/>
        <v>35717160</v>
      </c>
      <c r="L875" s="117">
        <f t="shared" si="107"/>
        <v>35717160</v>
      </c>
      <c r="M875" s="141"/>
    </row>
    <row r="876" spans="1:13" ht="27.75" customHeight="1" x14ac:dyDescent="0.25">
      <c r="A876" s="148"/>
      <c r="B876" s="149" t="s">
        <v>1264</v>
      </c>
      <c r="C876" s="158"/>
      <c r="D876" s="153"/>
      <c r="E876" s="152"/>
      <c r="F876" s="153"/>
      <c r="G876" s="152">
        <f t="shared" si="102"/>
        <v>0</v>
      </c>
      <c r="H876" s="154"/>
      <c r="I876" s="155">
        <f t="shared" si="104"/>
        <v>0</v>
      </c>
      <c r="J876" s="152">
        <f t="shared" si="105"/>
        <v>0</v>
      </c>
      <c r="K876" s="156">
        <f t="shared" si="106"/>
        <v>0</v>
      </c>
      <c r="L876" s="156">
        <f t="shared" si="107"/>
        <v>0</v>
      </c>
      <c r="M876" s="157"/>
    </row>
    <row r="877" spans="1:13" ht="24" customHeight="1" x14ac:dyDescent="0.25">
      <c r="A877" s="128">
        <v>1</v>
      </c>
      <c r="B877" s="129" t="s">
        <v>1265</v>
      </c>
      <c r="C877" s="130" t="s">
        <v>42</v>
      </c>
      <c r="D877" s="133">
        <v>4.17</v>
      </c>
      <c r="E877" s="132">
        <v>4.17</v>
      </c>
      <c r="F877" s="133"/>
      <c r="G877" s="132">
        <f t="shared" si="102"/>
        <v>4.17</v>
      </c>
      <c r="H877" s="134">
        <v>894131</v>
      </c>
      <c r="I877" s="135">
        <f t="shared" si="104"/>
        <v>3728526</v>
      </c>
      <c r="J877" s="132">
        <f t="shared" si="105"/>
        <v>3728526.27</v>
      </c>
      <c r="K877" s="136">
        <f t="shared" si="106"/>
        <v>0</v>
      </c>
      <c r="L877" s="136">
        <f t="shared" si="107"/>
        <v>3728526.27</v>
      </c>
      <c r="M877" s="137"/>
    </row>
    <row r="878" spans="1:13" ht="24" customHeight="1" x14ac:dyDescent="0.25">
      <c r="A878" s="35">
        <v>2</v>
      </c>
      <c r="B878" s="36" t="s">
        <v>1266</v>
      </c>
      <c r="C878" s="37" t="s">
        <v>143</v>
      </c>
      <c r="D878" s="38">
        <v>0.1759</v>
      </c>
      <c r="E878" s="39">
        <v>0.1759</v>
      </c>
      <c r="F878" s="38"/>
      <c r="G878" s="39">
        <f t="shared" si="102"/>
        <v>0.1759</v>
      </c>
      <c r="H878" s="40">
        <v>6038274</v>
      </c>
      <c r="I878" s="103">
        <f t="shared" si="104"/>
        <v>1062132</v>
      </c>
      <c r="J878" s="39">
        <f t="shared" si="105"/>
        <v>1062132.3966000001</v>
      </c>
      <c r="K878" s="42">
        <f t="shared" si="106"/>
        <v>0</v>
      </c>
      <c r="L878" s="42">
        <f t="shared" si="107"/>
        <v>1062132.3966000001</v>
      </c>
      <c r="M878" s="138"/>
    </row>
    <row r="879" spans="1:13" ht="24" customHeight="1" x14ac:dyDescent="0.25">
      <c r="A879" s="35">
        <v>3</v>
      </c>
      <c r="B879" s="36" t="s">
        <v>1254</v>
      </c>
      <c r="C879" s="37" t="s">
        <v>42</v>
      </c>
      <c r="D879" s="38">
        <v>0.53</v>
      </c>
      <c r="E879" s="39">
        <v>0.53</v>
      </c>
      <c r="F879" s="38"/>
      <c r="G879" s="39">
        <f t="shared" si="102"/>
        <v>0.53</v>
      </c>
      <c r="H879" s="40">
        <v>866925</v>
      </c>
      <c r="I879" s="103">
        <f t="shared" si="104"/>
        <v>459470</v>
      </c>
      <c r="J879" s="39">
        <f t="shared" si="105"/>
        <v>459470.25</v>
      </c>
      <c r="K879" s="42">
        <f t="shared" si="106"/>
        <v>0</v>
      </c>
      <c r="L879" s="42">
        <f t="shared" si="107"/>
        <v>459470.25</v>
      </c>
      <c r="M879" s="138"/>
    </row>
    <row r="880" spans="1:13" ht="24" customHeight="1" x14ac:dyDescent="0.25">
      <c r="A880" s="35">
        <v>4</v>
      </c>
      <c r="B880" s="36" t="s">
        <v>1267</v>
      </c>
      <c r="C880" s="37">
        <v>0</v>
      </c>
      <c r="D880" s="38">
        <v>3</v>
      </c>
      <c r="E880" s="39">
        <v>3</v>
      </c>
      <c r="F880" s="38"/>
      <c r="G880" s="39">
        <f t="shared" si="102"/>
        <v>3</v>
      </c>
      <c r="H880" s="40">
        <v>140060</v>
      </c>
      <c r="I880" s="103">
        <f t="shared" si="104"/>
        <v>420180</v>
      </c>
      <c r="J880" s="39">
        <f t="shared" si="105"/>
        <v>420180</v>
      </c>
      <c r="K880" s="42">
        <f t="shared" si="106"/>
        <v>0</v>
      </c>
      <c r="L880" s="42">
        <f t="shared" si="107"/>
        <v>420180</v>
      </c>
      <c r="M880" s="138"/>
    </row>
    <row r="881" spans="1:13" ht="24" customHeight="1" x14ac:dyDescent="0.25">
      <c r="A881" s="35">
        <v>5</v>
      </c>
      <c r="B881" s="36" t="s">
        <v>1268</v>
      </c>
      <c r="C881" s="37">
        <v>0</v>
      </c>
      <c r="D881" s="38">
        <v>6</v>
      </c>
      <c r="E881" s="39">
        <v>6</v>
      </c>
      <c r="F881" s="38"/>
      <c r="G881" s="39">
        <f t="shared" si="102"/>
        <v>6</v>
      </c>
      <c r="H881" s="40">
        <v>11460</v>
      </c>
      <c r="I881" s="103">
        <f t="shared" si="104"/>
        <v>68760</v>
      </c>
      <c r="J881" s="39">
        <f t="shared" si="105"/>
        <v>68760</v>
      </c>
      <c r="K881" s="42">
        <f t="shared" si="106"/>
        <v>0</v>
      </c>
      <c r="L881" s="42">
        <f t="shared" si="107"/>
        <v>68760</v>
      </c>
      <c r="M881" s="138"/>
    </row>
    <row r="882" spans="1:13" ht="24" customHeight="1" x14ac:dyDescent="0.25">
      <c r="A882" s="35">
        <v>6</v>
      </c>
      <c r="B882" s="36" t="s">
        <v>1269</v>
      </c>
      <c r="C882" s="37">
        <v>0</v>
      </c>
      <c r="D882" s="38">
        <v>11</v>
      </c>
      <c r="E882" s="39">
        <v>11</v>
      </c>
      <c r="F882" s="38"/>
      <c r="G882" s="39">
        <f t="shared" si="102"/>
        <v>11</v>
      </c>
      <c r="H882" s="40">
        <v>3404602</v>
      </c>
      <c r="I882" s="103">
        <f t="shared" si="104"/>
        <v>37450622</v>
      </c>
      <c r="J882" s="39">
        <f t="shared" si="105"/>
        <v>37450622</v>
      </c>
      <c r="K882" s="42">
        <f t="shared" si="106"/>
        <v>0</v>
      </c>
      <c r="L882" s="42">
        <f t="shared" si="107"/>
        <v>37450622</v>
      </c>
      <c r="M882" s="138"/>
    </row>
    <row r="883" spans="1:13" ht="27.75" customHeight="1" x14ac:dyDescent="0.25">
      <c r="A883" s="35">
        <v>7</v>
      </c>
      <c r="B883" s="36" t="s">
        <v>1270</v>
      </c>
      <c r="C883" s="37" t="s">
        <v>301</v>
      </c>
      <c r="D883" s="38">
        <v>2.5344000000000002</v>
      </c>
      <c r="E883" s="39">
        <v>2.5344000000000002</v>
      </c>
      <c r="F883" s="38"/>
      <c r="G883" s="39">
        <f t="shared" si="102"/>
        <v>2.5344000000000002</v>
      </c>
      <c r="H883" s="40">
        <v>908179</v>
      </c>
      <c r="I883" s="103">
        <f t="shared" si="104"/>
        <v>2301689</v>
      </c>
      <c r="J883" s="39">
        <f t="shared" si="105"/>
        <v>2301688.8576000002</v>
      </c>
      <c r="K883" s="42">
        <f t="shared" si="106"/>
        <v>0</v>
      </c>
      <c r="L883" s="42">
        <f t="shared" si="107"/>
        <v>2301688.8576000002</v>
      </c>
      <c r="M883" s="138"/>
    </row>
    <row r="884" spans="1:13" ht="27.75" customHeight="1" x14ac:dyDescent="0.25">
      <c r="A884" s="109">
        <v>8</v>
      </c>
      <c r="B884" s="110" t="s">
        <v>207</v>
      </c>
      <c r="C884" s="111" t="s">
        <v>1002</v>
      </c>
      <c r="D884" s="114">
        <v>4.29</v>
      </c>
      <c r="E884" s="113">
        <v>4.29</v>
      </c>
      <c r="F884" s="114"/>
      <c r="G884" s="113">
        <f t="shared" si="102"/>
        <v>4.29</v>
      </c>
      <c r="H884" s="115">
        <v>143451</v>
      </c>
      <c r="I884" s="116">
        <f t="shared" si="104"/>
        <v>615405</v>
      </c>
      <c r="J884" s="113">
        <f t="shared" si="105"/>
        <v>615404.79</v>
      </c>
      <c r="K884" s="117">
        <f t="shared" si="106"/>
        <v>0</v>
      </c>
      <c r="L884" s="117">
        <f t="shared" si="107"/>
        <v>615404.79</v>
      </c>
      <c r="M884" s="141"/>
    </row>
    <row r="885" spans="1:13" ht="27.75" customHeight="1" x14ac:dyDescent="0.25">
      <c r="A885" s="94"/>
      <c r="B885" s="17" t="s">
        <v>1271</v>
      </c>
      <c r="C885" s="21"/>
      <c r="D885" s="54"/>
      <c r="E885" s="55"/>
      <c r="F885" s="54"/>
      <c r="G885" s="55"/>
      <c r="H885" s="56"/>
      <c r="I885" s="95"/>
      <c r="J885" s="55"/>
      <c r="K885" s="58"/>
      <c r="L885" s="58"/>
      <c r="M885" s="120"/>
    </row>
    <row r="886" spans="1:13" ht="27.75" customHeight="1" x14ac:dyDescent="0.25">
      <c r="A886" s="94"/>
      <c r="B886" s="17" t="s">
        <v>1241</v>
      </c>
      <c r="C886" s="21"/>
      <c r="D886" s="54"/>
      <c r="E886" s="55"/>
      <c r="F886" s="54"/>
      <c r="G886" s="55"/>
      <c r="H886" s="56"/>
      <c r="I886" s="95"/>
      <c r="J886" s="55"/>
      <c r="K886" s="58"/>
      <c r="L886" s="58"/>
      <c r="M886" s="120"/>
    </row>
    <row r="887" spans="1:13" ht="44.25" customHeight="1" x14ac:dyDescent="0.25">
      <c r="A887" s="128">
        <v>1</v>
      </c>
      <c r="B887" s="129" t="s">
        <v>1272</v>
      </c>
      <c r="C887" s="130" t="s">
        <v>327</v>
      </c>
      <c r="D887" s="133">
        <v>14</v>
      </c>
      <c r="E887" s="132">
        <v>14</v>
      </c>
      <c r="F887" s="133"/>
      <c r="G887" s="132">
        <f t="shared" si="102"/>
        <v>14</v>
      </c>
      <c r="H887" s="134">
        <v>5923225</v>
      </c>
      <c r="I887" s="135">
        <f t="shared" si="104"/>
        <v>82925150</v>
      </c>
      <c r="J887" s="132">
        <f t="shared" si="105"/>
        <v>82925150</v>
      </c>
      <c r="K887" s="136">
        <f t="shared" si="106"/>
        <v>0</v>
      </c>
      <c r="L887" s="136">
        <f t="shared" si="107"/>
        <v>82925150</v>
      </c>
      <c r="M887" s="137"/>
    </row>
    <row r="888" spans="1:13" ht="50.25" customHeight="1" x14ac:dyDescent="0.25">
      <c r="A888" s="35">
        <v>2</v>
      </c>
      <c r="B888" s="36" t="s">
        <v>1273</v>
      </c>
      <c r="C888" s="37" t="s">
        <v>1274</v>
      </c>
      <c r="D888" s="38">
        <v>1</v>
      </c>
      <c r="E888" s="39">
        <v>1</v>
      </c>
      <c r="F888" s="38"/>
      <c r="G888" s="39">
        <f t="shared" si="102"/>
        <v>1</v>
      </c>
      <c r="H888" s="40">
        <v>58830</v>
      </c>
      <c r="I888" s="103">
        <f t="shared" si="104"/>
        <v>58830</v>
      </c>
      <c r="J888" s="39">
        <f t="shared" si="105"/>
        <v>58830</v>
      </c>
      <c r="K888" s="42">
        <f t="shared" si="106"/>
        <v>0</v>
      </c>
      <c r="L888" s="42">
        <f t="shared" si="107"/>
        <v>58830</v>
      </c>
      <c r="M888" s="138"/>
    </row>
    <row r="889" spans="1:13" ht="61.5" customHeight="1" x14ac:dyDescent="0.25">
      <c r="A889" s="35">
        <v>3</v>
      </c>
      <c r="B889" s="36" t="s">
        <v>541</v>
      </c>
      <c r="C889" s="37" t="s">
        <v>233</v>
      </c>
      <c r="D889" s="38">
        <v>14</v>
      </c>
      <c r="E889" s="39">
        <v>14</v>
      </c>
      <c r="F889" s="38"/>
      <c r="G889" s="39">
        <f t="shared" si="102"/>
        <v>14</v>
      </c>
      <c r="H889" s="40">
        <v>67973</v>
      </c>
      <c r="I889" s="103">
        <f t="shared" si="104"/>
        <v>951622</v>
      </c>
      <c r="J889" s="39">
        <f t="shared" si="105"/>
        <v>951622</v>
      </c>
      <c r="K889" s="42">
        <f t="shared" si="106"/>
        <v>0</v>
      </c>
      <c r="L889" s="42">
        <f t="shared" si="107"/>
        <v>951622</v>
      </c>
      <c r="M889" s="138"/>
    </row>
    <row r="890" spans="1:13" ht="59.25" customHeight="1" x14ac:dyDescent="0.25">
      <c r="A890" s="35">
        <v>4</v>
      </c>
      <c r="B890" s="36" t="s">
        <v>543</v>
      </c>
      <c r="C890" s="37" t="s">
        <v>233</v>
      </c>
      <c r="D890" s="38">
        <v>14</v>
      </c>
      <c r="E890" s="39">
        <v>14</v>
      </c>
      <c r="F890" s="38"/>
      <c r="G890" s="39">
        <f t="shared" si="102"/>
        <v>14</v>
      </c>
      <c r="H890" s="40">
        <v>51893</v>
      </c>
      <c r="I890" s="103">
        <f t="shared" si="104"/>
        <v>726502</v>
      </c>
      <c r="J890" s="39">
        <f t="shared" si="105"/>
        <v>726502</v>
      </c>
      <c r="K890" s="42">
        <f t="shared" si="106"/>
        <v>0</v>
      </c>
      <c r="L890" s="42">
        <f t="shared" si="107"/>
        <v>726502</v>
      </c>
      <c r="M890" s="138"/>
    </row>
    <row r="891" spans="1:13" ht="27.75" customHeight="1" x14ac:dyDescent="0.25">
      <c r="A891" s="35">
        <v>5</v>
      </c>
      <c r="B891" s="36" t="s">
        <v>1247</v>
      </c>
      <c r="C891" s="37"/>
      <c r="D891" s="38"/>
      <c r="E891" s="39">
        <v>0</v>
      </c>
      <c r="F891" s="38"/>
      <c r="G891" s="39">
        <f t="shared" si="102"/>
        <v>0</v>
      </c>
      <c r="H891" s="40"/>
      <c r="I891" s="103">
        <f t="shared" si="104"/>
        <v>0</v>
      </c>
      <c r="J891" s="39">
        <f t="shared" si="105"/>
        <v>0</v>
      </c>
      <c r="K891" s="42">
        <f t="shared" si="106"/>
        <v>0</v>
      </c>
      <c r="L891" s="42">
        <f t="shared" si="107"/>
        <v>0</v>
      </c>
      <c r="M891" s="138"/>
    </row>
    <row r="892" spans="1:13" ht="27.75" customHeight="1" x14ac:dyDescent="0.25">
      <c r="A892" s="35">
        <v>6</v>
      </c>
      <c r="B892" s="36" t="s">
        <v>1275</v>
      </c>
      <c r="C892" s="37" t="s">
        <v>42</v>
      </c>
      <c r="D892" s="38">
        <v>5.2</v>
      </c>
      <c r="E892" s="39">
        <v>5.2</v>
      </c>
      <c r="F892" s="38"/>
      <c r="G892" s="39">
        <f t="shared" si="102"/>
        <v>5.2</v>
      </c>
      <c r="H892" s="40">
        <v>1366943</v>
      </c>
      <c r="I892" s="103">
        <f t="shared" si="104"/>
        <v>7108104</v>
      </c>
      <c r="J892" s="39">
        <f t="shared" si="105"/>
        <v>7108103.6000000006</v>
      </c>
      <c r="K892" s="42">
        <f t="shared" si="106"/>
        <v>0</v>
      </c>
      <c r="L892" s="42">
        <f t="shared" si="107"/>
        <v>7108103.6000000006</v>
      </c>
      <c r="M892" s="138"/>
    </row>
    <row r="893" spans="1:13" ht="27.75" customHeight="1" x14ac:dyDescent="0.25">
      <c r="A893" s="35">
        <v>7</v>
      </c>
      <c r="B893" s="36" t="s">
        <v>374</v>
      </c>
      <c r="C893" s="37" t="s">
        <v>143</v>
      </c>
      <c r="D893" s="38">
        <v>5.8799999999999998E-2</v>
      </c>
      <c r="E893" s="39">
        <v>5.8799999999999998E-2</v>
      </c>
      <c r="F893" s="38"/>
      <c r="G893" s="39">
        <f t="shared" si="102"/>
        <v>5.8799999999999998E-2</v>
      </c>
      <c r="H893" s="40">
        <v>9954381</v>
      </c>
      <c r="I893" s="103">
        <f t="shared" si="104"/>
        <v>585318</v>
      </c>
      <c r="J893" s="39">
        <f t="shared" si="105"/>
        <v>585317.60279999999</v>
      </c>
      <c r="K893" s="42">
        <f t="shared" si="106"/>
        <v>0</v>
      </c>
      <c r="L893" s="42">
        <f t="shared" si="107"/>
        <v>585317.60279999999</v>
      </c>
      <c r="M893" s="138"/>
    </row>
    <row r="894" spans="1:13" ht="27.75" customHeight="1" x14ac:dyDescent="0.25">
      <c r="A894" s="35">
        <v>8</v>
      </c>
      <c r="B894" s="36" t="s">
        <v>1251</v>
      </c>
      <c r="C894" s="37" t="s">
        <v>278</v>
      </c>
      <c r="D894" s="38">
        <v>14</v>
      </c>
      <c r="E894" s="39">
        <v>14</v>
      </c>
      <c r="F894" s="38"/>
      <c r="G894" s="39">
        <f t="shared" si="102"/>
        <v>14</v>
      </c>
      <c r="H894" s="40">
        <v>205124</v>
      </c>
      <c r="I894" s="103">
        <f t="shared" si="104"/>
        <v>2871736</v>
      </c>
      <c r="J894" s="39">
        <f t="shared" si="105"/>
        <v>2871736</v>
      </c>
      <c r="K894" s="42">
        <f t="shared" si="106"/>
        <v>0</v>
      </c>
      <c r="L894" s="42">
        <f t="shared" si="107"/>
        <v>2871736</v>
      </c>
      <c r="M894" s="138"/>
    </row>
    <row r="895" spans="1:13" ht="27.75" customHeight="1" x14ac:dyDescent="0.25">
      <c r="A895" s="35">
        <v>9</v>
      </c>
      <c r="B895" s="36" t="s">
        <v>1276</v>
      </c>
      <c r="C895" s="37" t="s">
        <v>42</v>
      </c>
      <c r="D895" s="38">
        <v>2.72</v>
      </c>
      <c r="E895" s="39">
        <v>2.72</v>
      </c>
      <c r="F895" s="38"/>
      <c r="G895" s="39">
        <f t="shared" si="102"/>
        <v>2.72</v>
      </c>
      <c r="H895" s="40">
        <v>1366943</v>
      </c>
      <c r="I895" s="103">
        <f t="shared" si="104"/>
        <v>3718085</v>
      </c>
      <c r="J895" s="39">
        <f t="shared" si="105"/>
        <v>3718084.9600000004</v>
      </c>
      <c r="K895" s="42">
        <f t="shared" si="106"/>
        <v>0</v>
      </c>
      <c r="L895" s="42">
        <f t="shared" si="107"/>
        <v>3718084.9600000004</v>
      </c>
      <c r="M895" s="138"/>
    </row>
    <row r="896" spans="1:13" ht="61.5" customHeight="1" x14ac:dyDescent="0.25">
      <c r="A896" s="35">
        <v>10</v>
      </c>
      <c r="B896" s="36" t="s">
        <v>1252</v>
      </c>
      <c r="C896" s="37" t="s">
        <v>334</v>
      </c>
      <c r="D896" s="38">
        <v>1.3</v>
      </c>
      <c r="E896" s="39">
        <v>1.3</v>
      </c>
      <c r="F896" s="38"/>
      <c r="G896" s="39">
        <f t="shared" si="102"/>
        <v>1.3</v>
      </c>
      <c r="H896" s="40">
        <v>30957</v>
      </c>
      <c r="I896" s="103">
        <f t="shared" si="104"/>
        <v>40244</v>
      </c>
      <c r="J896" s="39">
        <f t="shared" si="105"/>
        <v>40244.1</v>
      </c>
      <c r="K896" s="42">
        <f t="shared" si="106"/>
        <v>0</v>
      </c>
      <c r="L896" s="42">
        <f t="shared" si="107"/>
        <v>40244.1</v>
      </c>
      <c r="M896" s="138"/>
    </row>
    <row r="897" spans="1:13" ht="65.25" customHeight="1" x14ac:dyDescent="0.25">
      <c r="A897" s="35">
        <v>11</v>
      </c>
      <c r="B897" s="36" t="s">
        <v>541</v>
      </c>
      <c r="C897" s="37" t="s">
        <v>233</v>
      </c>
      <c r="D897" s="38">
        <v>14</v>
      </c>
      <c r="E897" s="39">
        <v>14</v>
      </c>
      <c r="F897" s="38"/>
      <c r="G897" s="39">
        <f t="shared" si="102"/>
        <v>14</v>
      </c>
      <c r="H897" s="40">
        <v>67973</v>
      </c>
      <c r="I897" s="103">
        <f t="shared" si="104"/>
        <v>951622</v>
      </c>
      <c r="J897" s="39">
        <f t="shared" si="105"/>
        <v>951622</v>
      </c>
      <c r="K897" s="42">
        <f t="shared" si="106"/>
        <v>0</v>
      </c>
      <c r="L897" s="42">
        <f t="shared" si="107"/>
        <v>951622</v>
      </c>
      <c r="M897" s="138"/>
    </row>
    <row r="898" spans="1:13" ht="44.25" customHeight="1" x14ac:dyDescent="0.25">
      <c r="A898" s="109">
        <v>12</v>
      </c>
      <c r="B898" s="110" t="s">
        <v>543</v>
      </c>
      <c r="C898" s="111" t="s">
        <v>233</v>
      </c>
      <c r="D898" s="114">
        <v>14</v>
      </c>
      <c r="E898" s="113">
        <v>14</v>
      </c>
      <c r="F898" s="114"/>
      <c r="G898" s="113">
        <f t="shared" si="102"/>
        <v>14</v>
      </c>
      <c r="H898" s="115">
        <v>51893</v>
      </c>
      <c r="I898" s="116">
        <f t="shared" si="104"/>
        <v>726502</v>
      </c>
      <c r="J898" s="113">
        <f t="shared" si="105"/>
        <v>726502</v>
      </c>
      <c r="K898" s="117">
        <f t="shared" si="106"/>
        <v>0</v>
      </c>
      <c r="L898" s="117">
        <f t="shared" si="107"/>
        <v>726502</v>
      </c>
      <c r="M898" s="141"/>
    </row>
    <row r="899" spans="1:13" ht="24" customHeight="1" x14ac:dyDescent="0.25">
      <c r="A899" s="148"/>
      <c r="B899" s="149" t="s">
        <v>1277</v>
      </c>
      <c r="C899" s="158"/>
      <c r="D899" s="153"/>
      <c r="E899" s="152"/>
      <c r="F899" s="153"/>
      <c r="G899" s="152">
        <f t="shared" si="102"/>
        <v>0</v>
      </c>
      <c r="H899" s="154"/>
      <c r="I899" s="155">
        <f t="shared" si="104"/>
        <v>0</v>
      </c>
      <c r="J899" s="152">
        <f t="shared" si="105"/>
        <v>0</v>
      </c>
      <c r="K899" s="156">
        <f t="shared" si="106"/>
        <v>0</v>
      </c>
      <c r="L899" s="156">
        <f t="shared" si="107"/>
        <v>0</v>
      </c>
      <c r="M899" s="157"/>
    </row>
    <row r="900" spans="1:13" ht="24" customHeight="1" x14ac:dyDescent="0.25">
      <c r="A900" s="128">
        <v>1</v>
      </c>
      <c r="B900" s="129" t="s">
        <v>1278</v>
      </c>
      <c r="C900" s="130" t="s">
        <v>42</v>
      </c>
      <c r="D900" s="133">
        <v>21.72</v>
      </c>
      <c r="E900" s="132">
        <v>21.72</v>
      </c>
      <c r="F900" s="133"/>
      <c r="G900" s="132">
        <f t="shared" si="102"/>
        <v>21.72</v>
      </c>
      <c r="H900" s="134">
        <v>1195136</v>
      </c>
      <c r="I900" s="135">
        <f t="shared" si="104"/>
        <v>25958354</v>
      </c>
      <c r="J900" s="132">
        <f t="shared" si="105"/>
        <v>25958353.919999998</v>
      </c>
      <c r="K900" s="136">
        <f t="shared" si="106"/>
        <v>0</v>
      </c>
      <c r="L900" s="136">
        <f t="shared" si="107"/>
        <v>25958353.919999998</v>
      </c>
      <c r="M900" s="137"/>
    </row>
    <row r="901" spans="1:13" ht="24" customHeight="1" x14ac:dyDescent="0.25">
      <c r="A901" s="109">
        <v>2</v>
      </c>
      <c r="B901" s="110" t="s">
        <v>1279</v>
      </c>
      <c r="C901" s="111" t="s">
        <v>143</v>
      </c>
      <c r="D901" s="114">
        <v>0.87350000000000005</v>
      </c>
      <c r="E901" s="113">
        <v>0.87350000000000005</v>
      </c>
      <c r="F901" s="114"/>
      <c r="G901" s="113">
        <f t="shared" si="102"/>
        <v>0.87350000000000005</v>
      </c>
      <c r="H901" s="115">
        <v>13463333</v>
      </c>
      <c r="I901" s="116">
        <f t="shared" si="104"/>
        <v>11760221</v>
      </c>
      <c r="J901" s="113">
        <f t="shared" si="105"/>
        <v>11760221.375500001</v>
      </c>
      <c r="K901" s="117">
        <f t="shared" si="106"/>
        <v>0</v>
      </c>
      <c r="L901" s="117">
        <f t="shared" si="107"/>
        <v>11760221.375500001</v>
      </c>
      <c r="M901" s="141"/>
    </row>
    <row r="902" spans="1:13" ht="27.75" customHeight="1" x14ac:dyDescent="0.25">
      <c r="A902" s="148"/>
      <c r="B902" s="149" t="s">
        <v>1280</v>
      </c>
      <c r="C902" s="158"/>
      <c r="D902" s="153"/>
      <c r="E902" s="152"/>
      <c r="F902" s="153"/>
      <c r="G902" s="152">
        <f t="shared" si="102"/>
        <v>0</v>
      </c>
      <c r="H902" s="154"/>
      <c r="I902" s="155">
        <f t="shared" si="104"/>
        <v>0</v>
      </c>
      <c r="J902" s="152">
        <f t="shared" si="105"/>
        <v>0</v>
      </c>
      <c r="K902" s="156">
        <f t="shared" si="106"/>
        <v>0</v>
      </c>
      <c r="L902" s="156">
        <f t="shared" si="107"/>
        <v>0</v>
      </c>
      <c r="M902" s="157"/>
    </row>
    <row r="903" spans="1:13" ht="27.75" customHeight="1" x14ac:dyDescent="0.25">
      <c r="A903" s="128">
        <v>1</v>
      </c>
      <c r="B903" s="129" t="s">
        <v>1281</v>
      </c>
      <c r="C903" s="130" t="s">
        <v>42</v>
      </c>
      <c r="D903" s="133">
        <v>2.83</v>
      </c>
      <c r="E903" s="132">
        <v>2.83</v>
      </c>
      <c r="F903" s="133"/>
      <c r="G903" s="132">
        <f t="shared" si="102"/>
        <v>2.83</v>
      </c>
      <c r="H903" s="134">
        <v>1195136</v>
      </c>
      <c r="I903" s="135">
        <f t="shared" si="104"/>
        <v>3382235</v>
      </c>
      <c r="J903" s="132">
        <f t="shared" si="105"/>
        <v>3382234.88</v>
      </c>
      <c r="K903" s="136">
        <f t="shared" si="106"/>
        <v>0</v>
      </c>
      <c r="L903" s="136">
        <f t="shared" si="107"/>
        <v>3382234.88</v>
      </c>
      <c r="M903" s="137"/>
    </row>
    <row r="904" spans="1:13" ht="27.75" customHeight="1" x14ac:dyDescent="0.25">
      <c r="A904" s="109">
        <v>2</v>
      </c>
      <c r="B904" s="110" t="s">
        <v>1279</v>
      </c>
      <c r="C904" s="111" t="s">
        <v>143</v>
      </c>
      <c r="D904" s="114">
        <v>0.1845</v>
      </c>
      <c r="E904" s="113">
        <v>0.1845</v>
      </c>
      <c r="F904" s="114"/>
      <c r="G904" s="113">
        <f t="shared" ref="G904:G967" si="109">E904+F904</f>
        <v>0.1845</v>
      </c>
      <c r="H904" s="115">
        <v>13463333</v>
      </c>
      <c r="I904" s="116">
        <f t="shared" si="104"/>
        <v>2483985</v>
      </c>
      <c r="J904" s="113">
        <f t="shared" si="105"/>
        <v>2483984.9385000002</v>
      </c>
      <c r="K904" s="117">
        <f t="shared" si="106"/>
        <v>0</v>
      </c>
      <c r="L904" s="117">
        <f t="shared" si="107"/>
        <v>2483984.9385000002</v>
      </c>
      <c r="M904" s="141"/>
    </row>
    <row r="905" spans="1:13" ht="27.75" customHeight="1" x14ac:dyDescent="0.25">
      <c r="A905" s="148"/>
      <c r="B905" s="149" t="s">
        <v>1282</v>
      </c>
      <c r="C905" s="158">
        <v>0</v>
      </c>
      <c r="D905" s="153">
        <v>0</v>
      </c>
      <c r="E905" s="152"/>
      <c r="F905" s="153"/>
      <c r="G905" s="152">
        <f t="shared" si="109"/>
        <v>0</v>
      </c>
      <c r="H905" s="154">
        <v>0</v>
      </c>
      <c r="I905" s="155">
        <f t="shared" si="104"/>
        <v>0</v>
      </c>
      <c r="J905" s="152">
        <f t="shared" si="105"/>
        <v>0</v>
      </c>
      <c r="K905" s="156">
        <f t="shared" si="106"/>
        <v>0</v>
      </c>
      <c r="L905" s="156">
        <f t="shared" si="107"/>
        <v>0</v>
      </c>
      <c r="M905" s="157"/>
    </row>
    <row r="906" spans="1:13" ht="27.75" customHeight="1" x14ac:dyDescent="0.25">
      <c r="A906" s="128">
        <v>1</v>
      </c>
      <c r="B906" s="129" t="s">
        <v>372</v>
      </c>
      <c r="C906" s="130" t="s">
        <v>42</v>
      </c>
      <c r="D906" s="133">
        <v>19.87</v>
      </c>
      <c r="E906" s="132">
        <v>19.87</v>
      </c>
      <c r="F906" s="133"/>
      <c r="G906" s="132">
        <f t="shared" si="109"/>
        <v>19.87</v>
      </c>
      <c r="H906" s="134">
        <v>1195136</v>
      </c>
      <c r="I906" s="135">
        <f t="shared" si="104"/>
        <v>23747352</v>
      </c>
      <c r="J906" s="132">
        <f t="shared" si="105"/>
        <v>23747352.32</v>
      </c>
      <c r="K906" s="136">
        <f t="shared" si="106"/>
        <v>0</v>
      </c>
      <c r="L906" s="136">
        <f t="shared" si="107"/>
        <v>23747352.32</v>
      </c>
      <c r="M906" s="137"/>
    </row>
    <row r="907" spans="1:13" ht="27.75" customHeight="1" x14ac:dyDescent="0.25">
      <c r="A907" s="35">
        <v>2</v>
      </c>
      <c r="B907" s="36" t="s">
        <v>1261</v>
      </c>
      <c r="C907" s="37" t="s">
        <v>143</v>
      </c>
      <c r="D907" s="38">
        <v>0.37859999999999999</v>
      </c>
      <c r="E907" s="39">
        <v>0.37859999999999999</v>
      </c>
      <c r="F907" s="38"/>
      <c r="G907" s="39">
        <f t="shared" si="109"/>
        <v>0.37859999999999999</v>
      </c>
      <c r="H907" s="40">
        <v>6038274</v>
      </c>
      <c r="I907" s="103">
        <f t="shared" si="104"/>
        <v>2286091</v>
      </c>
      <c r="J907" s="39">
        <f t="shared" si="105"/>
        <v>2286090.5364000001</v>
      </c>
      <c r="K907" s="42">
        <f t="shared" si="106"/>
        <v>0</v>
      </c>
      <c r="L907" s="42">
        <f t="shared" si="107"/>
        <v>2286090.5364000001</v>
      </c>
      <c r="M907" s="138"/>
    </row>
    <row r="908" spans="1:13" ht="27.75" customHeight="1" x14ac:dyDescent="0.25">
      <c r="A908" s="109">
        <v>3</v>
      </c>
      <c r="B908" s="110" t="s">
        <v>238</v>
      </c>
      <c r="C908" s="111" t="s">
        <v>42</v>
      </c>
      <c r="D908" s="114">
        <v>1.42</v>
      </c>
      <c r="E908" s="113">
        <v>1.42</v>
      </c>
      <c r="F908" s="114"/>
      <c r="G908" s="113">
        <f t="shared" si="109"/>
        <v>1.42</v>
      </c>
      <c r="H908" s="115">
        <v>743380</v>
      </c>
      <c r="I908" s="116">
        <f t="shared" si="104"/>
        <v>1055600</v>
      </c>
      <c r="J908" s="113">
        <f t="shared" si="105"/>
        <v>1055599.5999999999</v>
      </c>
      <c r="K908" s="117">
        <f t="shared" si="106"/>
        <v>0</v>
      </c>
      <c r="L908" s="117">
        <f t="shared" si="107"/>
        <v>1055599.5999999999</v>
      </c>
      <c r="M908" s="141"/>
    </row>
    <row r="909" spans="1:13" ht="27.75" customHeight="1" x14ac:dyDescent="0.25">
      <c r="A909" s="148"/>
      <c r="B909" s="149" t="s">
        <v>1283</v>
      </c>
      <c r="C909" s="158">
        <v>0</v>
      </c>
      <c r="D909" s="153"/>
      <c r="E909" s="152"/>
      <c r="F909" s="153"/>
      <c r="G909" s="152">
        <f t="shared" si="109"/>
        <v>0</v>
      </c>
      <c r="H909" s="154"/>
      <c r="I909" s="155">
        <f t="shared" si="104"/>
        <v>0</v>
      </c>
      <c r="J909" s="152">
        <f t="shared" si="105"/>
        <v>0</v>
      </c>
      <c r="K909" s="156">
        <f t="shared" si="106"/>
        <v>0</v>
      </c>
      <c r="L909" s="156">
        <f t="shared" si="107"/>
        <v>0</v>
      </c>
      <c r="M909" s="157"/>
    </row>
    <row r="910" spans="1:13" ht="27.75" customHeight="1" x14ac:dyDescent="0.25">
      <c r="A910" s="128">
        <v>1</v>
      </c>
      <c r="B910" s="129" t="s">
        <v>372</v>
      </c>
      <c r="C910" s="130" t="s">
        <v>42</v>
      </c>
      <c r="D910" s="133">
        <v>13.54</v>
      </c>
      <c r="E910" s="132">
        <v>13.54</v>
      </c>
      <c r="F910" s="133"/>
      <c r="G910" s="132">
        <f t="shared" si="109"/>
        <v>13.54</v>
      </c>
      <c r="H910" s="134">
        <v>1195136</v>
      </c>
      <c r="I910" s="135">
        <f t="shared" si="104"/>
        <v>16182141</v>
      </c>
      <c r="J910" s="132">
        <f t="shared" si="105"/>
        <v>16182141.439999999</v>
      </c>
      <c r="K910" s="136">
        <f t="shared" si="106"/>
        <v>0</v>
      </c>
      <c r="L910" s="136">
        <f t="shared" si="107"/>
        <v>16182141.439999999</v>
      </c>
      <c r="M910" s="137"/>
    </row>
    <row r="911" spans="1:13" ht="27.75" customHeight="1" x14ac:dyDescent="0.25">
      <c r="A911" s="35">
        <v>2</v>
      </c>
      <c r="B911" s="36" t="s">
        <v>1261</v>
      </c>
      <c r="C911" s="37" t="s">
        <v>143</v>
      </c>
      <c r="D911" s="38">
        <v>0.28179999999999999</v>
      </c>
      <c r="E911" s="39">
        <v>0.28179999999999999</v>
      </c>
      <c r="F911" s="38"/>
      <c r="G911" s="39">
        <f t="shared" si="109"/>
        <v>0.28179999999999999</v>
      </c>
      <c r="H911" s="40">
        <v>6038274</v>
      </c>
      <c r="I911" s="103">
        <f t="shared" si="104"/>
        <v>1701586</v>
      </c>
      <c r="J911" s="39">
        <f t="shared" si="105"/>
        <v>1701585.6132</v>
      </c>
      <c r="K911" s="42">
        <f t="shared" si="106"/>
        <v>0</v>
      </c>
      <c r="L911" s="42">
        <f t="shared" si="107"/>
        <v>1701585.6132</v>
      </c>
      <c r="M911" s="138"/>
    </row>
    <row r="912" spans="1:13" ht="27.75" customHeight="1" x14ac:dyDescent="0.25">
      <c r="A912" s="35">
        <v>3</v>
      </c>
      <c r="B912" s="36" t="s">
        <v>238</v>
      </c>
      <c r="C912" s="37" t="s">
        <v>42</v>
      </c>
      <c r="D912" s="38">
        <v>2.84</v>
      </c>
      <c r="E912" s="39">
        <v>2.84</v>
      </c>
      <c r="F912" s="38"/>
      <c r="G912" s="39">
        <f t="shared" si="109"/>
        <v>2.84</v>
      </c>
      <c r="H912" s="40">
        <v>743380</v>
      </c>
      <c r="I912" s="103">
        <f t="shared" si="104"/>
        <v>2111199</v>
      </c>
      <c r="J912" s="39">
        <f t="shared" si="105"/>
        <v>2111199.1999999997</v>
      </c>
      <c r="K912" s="42">
        <f t="shared" si="106"/>
        <v>0</v>
      </c>
      <c r="L912" s="42">
        <f t="shared" si="107"/>
        <v>2111199.1999999997</v>
      </c>
      <c r="M912" s="138"/>
    </row>
    <row r="913" spans="1:13" ht="27.75" customHeight="1" x14ac:dyDescent="0.25">
      <c r="A913" s="35"/>
      <c r="B913" s="36" t="s">
        <v>1284</v>
      </c>
      <c r="C913" s="37"/>
      <c r="D913" s="38"/>
      <c r="E913" s="39"/>
      <c r="F913" s="38"/>
      <c r="G913" s="39">
        <f t="shared" si="109"/>
        <v>0</v>
      </c>
      <c r="H913" s="40"/>
      <c r="I913" s="103">
        <f t="shared" si="104"/>
        <v>0</v>
      </c>
      <c r="J913" s="39">
        <f t="shared" si="105"/>
        <v>0</v>
      </c>
      <c r="K913" s="42">
        <f t="shared" si="106"/>
        <v>0</v>
      </c>
      <c r="L913" s="42">
        <f t="shared" si="107"/>
        <v>0</v>
      </c>
      <c r="M913" s="138"/>
    </row>
    <row r="914" spans="1:13" ht="39" customHeight="1" x14ac:dyDescent="0.25">
      <c r="A914" s="35">
        <v>1</v>
      </c>
      <c r="B914" s="36" t="s">
        <v>1285</v>
      </c>
      <c r="C914" s="37" t="s">
        <v>163</v>
      </c>
      <c r="D914" s="38">
        <v>0.27200000000000002</v>
      </c>
      <c r="E914" s="39">
        <v>0.27200000000000002</v>
      </c>
      <c r="F914" s="38"/>
      <c r="G914" s="39">
        <f t="shared" si="109"/>
        <v>0.27200000000000002</v>
      </c>
      <c r="H914" s="40">
        <v>1657348</v>
      </c>
      <c r="I914" s="103">
        <f t="shared" si="104"/>
        <v>450799</v>
      </c>
      <c r="J914" s="39">
        <f t="shared" si="105"/>
        <v>450798.65600000002</v>
      </c>
      <c r="K914" s="42">
        <f t="shared" si="106"/>
        <v>0</v>
      </c>
      <c r="L914" s="42">
        <f t="shared" si="107"/>
        <v>450798.65600000002</v>
      </c>
      <c r="M914" s="138"/>
    </row>
    <row r="915" spans="1:13" ht="33.75" customHeight="1" x14ac:dyDescent="0.25">
      <c r="A915" s="109">
        <v>2</v>
      </c>
      <c r="B915" s="110" t="s">
        <v>1286</v>
      </c>
      <c r="C915" s="111" t="s">
        <v>163</v>
      </c>
      <c r="D915" s="114">
        <v>0.29720000000000002</v>
      </c>
      <c r="E915" s="113">
        <v>0.29720000000000002</v>
      </c>
      <c r="F915" s="114"/>
      <c r="G915" s="113">
        <f t="shared" si="109"/>
        <v>0.29720000000000002</v>
      </c>
      <c r="H915" s="115">
        <v>3627538</v>
      </c>
      <c r="I915" s="116">
        <f t="shared" si="104"/>
        <v>1078104</v>
      </c>
      <c r="J915" s="113">
        <f t="shared" si="105"/>
        <v>1078104.2936</v>
      </c>
      <c r="K915" s="117">
        <f t="shared" si="106"/>
        <v>0</v>
      </c>
      <c r="L915" s="117">
        <f t="shared" si="107"/>
        <v>1078104.2936</v>
      </c>
      <c r="M915" s="141"/>
    </row>
    <row r="916" spans="1:13" ht="35.25" customHeight="1" x14ac:dyDescent="0.25">
      <c r="A916" s="94"/>
      <c r="B916" s="17" t="s">
        <v>1287</v>
      </c>
      <c r="C916" s="21"/>
      <c r="D916" s="54"/>
      <c r="E916" s="55"/>
      <c r="F916" s="54"/>
      <c r="G916" s="55">
        <f t="shared" si="109"/>
        <v>0</v>
      </c>
      <c r="H916" s="56"/>
      <c r="I916" s="95">
        <f t="shared" si="104"/>
        <v>0</v>
      </c>
      <c r="J916" s="55">
        <f t="shared" si="105"/>
        <v>0</v>
      </c>
      <c r="K916" s="58">
        <f t="shared" si="106"/>
        <v>0</v>
      </c>
      <c r="L916" s="58">
        <f t="shared" si="107"/>
        <v>0</v>
      </c>
      <c r="M916" s="120"/>
    </row>
    <row r="917" spans="1:13" ht="27.75" customHeight="1" x14ac:dyDescent="0.25">
      <c r="A917" s="94"/>
      <c r="B917" s="17" t="s">
        <v>1241</v>
      </c>
      <c r="C917" s="21"/>
      <c r="D917" s="54"/>
      <c r="E917" s="55"/>
      <c r="F917" s="54"/>
      <c r="G917" s="55">
        <f t="shared" si="109"/>
        <v>0</v>
      </c>
      <c r="H917" s="56"/>
      <c r="I917" s="95">
        <f t="shared" si="104"/>
        <v>0</v>
      </c>
      <c r="J917" s="55">
        <f t="shared" si="105"/>
        <v>0</v>
      </c>
      <c r="K917" s="58">
        <f t="shared" si="106"/>
        <v>0</v>
      </c>
      <c r="L917" s="58">
        <f t="shared" si="107"/>
        <v>0</v>
      </c>
      <c r="M917" s="120"/>
    </row>
    <row r="918" spans="1:13" ht="27.75" customHeight="1" x14ac:dyDescent="0.25">
      <c r="A918" s="128">
        <v>1</v>
      </c>
      <c r="B918" s="129" t="s">
        <v>400</v>
      </c>
      <c r="C918" s="130" t="s">
        <v>42</v>
      </c>
      <c r="D918" s="133">
        <v>40.18</v>
      </c>
      <c r="E918" s="132">
        <v>40.18</v>
      </c>
      <c r="F918" s="133"/>
      <c r="G918" s="132">
        <f t="shared" si="109"/>
        <v>40.18</v>
      </c>
      <c r="H918" s="134">
        <v>1580380</v>
      </c>
      <c r="I918" s="135">
        <f t="shared" si="104"/>
        <v>63499668</v>
      </c>
      <c r="J918" s="132">
        <f t="shared" si="105"/>
        <v>63499668.399999999</v>
      </c>
      <c r="K918" s="136">
        <f t="shared" si="106"/>
        <v>0</v>
      </c>
      <c r="L918" s="136">
        <f t="shared" si="107"/>
        <v>63499668.399999999</v>
      </c>
      <c r="M918" s="137"/>
    </row>
    <row r="919" spans="1:13" ht="45.75" customHeight="1" x14ac:dyDescent="0.25">
      <c r="A919" s="35">
        <v>2</v>
      </c>
      <c r="B919" s="36" t="s">
        <v>923</v>
      </c>
      <c r="C919" s="37" t="s">
        <v>163</v>
      </c>
      <c r="D919" s="38">
        <v>0.4078</v>
      </c>
      <c r="E919" s="39">
        <v>0.4078</v>
      </c>
      <c r="F919" s="38"/>
      <c r="G919" s="39">
        <f t="shared" si="109"/>
        <v>0.4078</v>
      </c>
      <c r="H919" s="40">
        <v>5679289</v>
      </c>
      <c r="I919" s="103">
        <f t="shared" si="104"/>
        <v>2316014</v>
      </c>
      <c r="J919" s="39">
        <f t="shared" si="105"/>
        <v>2316014.0542000001</v>
      </c>
      <c r="K919" s="42">
        <f t="shared" si="106"/>
        <v>0</v>
      </c>
      <c r="L919" s="42">
        <f t="shared" si="107"/>
        <v>2316014.0542000001</v>
      </c>
      <c r="M919" s="138"/>
    </row>
    <row r="920" spans="1:13" ht="45" customHeight="1" x14ac:dyDescent="0.25">
      <c r="A920" s="35">
        <v>3</v>
      </c>
      <c r="B920" s="36" t="s">
        <v>1288</v>
      </c>
      <c r="C920" s="37" t="s">
        <v>163</v>
      </c>
      <c r="D920" s="38">
        <v>0.4078</v>
      </c>
      <c r="E920" s="39">
        <v>0.4078</v>
      </c>
      <c r="F920" s="38"/>
      <c r="G920" s="39">
        <f t="shared" si="109"/>
        <v>0.4078</v>
      </c>
      <c r="H920" s="40">
        <v>0</v>
      </c>
      <c r="I920" s="103">
        <f t="shared" si="104"/>
        <v>0</v>
      </c>
      <c r="J920" s="39">
        <f t="shared" si="105"/>
        <v>0</v>
      </c>
      <c r="K920" s="42">
        <f t="shared" si="106"/>
        <v>0</v>
      </c>
      <c r="L920" s="42">
        <f t="shared" si="107"/>
        <v>0</v>
      </c>
      <c r="M920" s="138"/>
    </row>
    <row r="921" spans="1:13" ht="57" customHeight="1" x14ac:dyDescent="0.25">
      <c r="A921" s="35">
        <v>4</v>
      </c>
      <c r="B921" s="36" t="s">
        <v>1289</v>
      </c>
      <c r="C921" s="37" t="s">
        <v>163</v>
      </c>
      <c r="D921" s="38">
        <v>0.4078</v>
      </c>
      <c r="E921" s="39">
        <v>0.4078</v>
      </c>
      <c r="F921" s="38"/>
      <c r="G921" s="39">
        <f t="shared" si="109"/>
        <v>0.4078</v>
      </c>
      <c r="H921" s="40">
        <v>7675620</v>
      </c>
      <c r="I921" s="103">
        <f t="shared" si="104"/>
        <v>3130118</v>
      </c>
      <c r="J921" s="39">
        <f t="shared" si="105"/>
        <v>3130117.8360000001</v>
      </c>
      <c r="K921" s="42">
        <f t="shared" si="106"/>
        <v>0</v>
      </c>
      <c r="L921" s="42">
        <f t="shared" si="107"/>
        <v>3130117.8360000001</v>
      </c>
      <c r="M921" s="138"/>
    </row>
    <row r="922" spans="1:13" ht="27.75" customHeight="1" x14ac:dyDescent="0.25">
      <c r="A922" s="35">
        <v>5</v>
      </c>
      <c r="B922" s="36" t="s">
        <v>406</v>
      </c>
      <c r="C922" s="37" t="s">
        <v>118</v>
      </c>
      <c r="D922" s="38">
        <v>0.16</v>
      </c>
      <c r="E922" s="39">
        <v>0.16</v>
      </c>
      <c r="F922" s="38"/>
      <c r="G922" s="39">
        <f t="shared" si="109"/>
        <v>0.16</v>
      </c>
      <c r="H922" s="40">
        <v>23113706</v>
      </c>
      <c r="I922" s="103">
        <f t="shared" ref="I922:I974" si="110">ROUND(D922*H922,0)</f>
        <v>3698193</v>
      </c>
      <c r="J922" s="39">
        <f t="shared" ref="J922:J974" si="111">E922*H922</f>
        <v>3698192.96</v>
      </c>
      <c r="K922" s="42">
        <f t="shared" ref="K922:K974" si="112">F922*H922</f>
        <v>0</v>
      </c>
      <c r="L922" s="42">
        <f t="shared" ref="L922:L974" si="113">G922*H922</f>
        <v>3698192.96</v>
      </c>
      <c r="M922" s="138"/>
    </row>
    <row r="923" spans="1:13" ht="27.75" customHeight="1" x14ac:dyDescent="0.25">
      <c r="A923" s="35">
        <v>6</v>
      </c>
      <c r="B923" s="36" t="s">
        <v>408</v>
      </c>
      <c r="C923" s="37" t="s">
        <v>118</v>
      </c>
      <c r="D923" s="38">
        <v>5.86</v>
      </c>
      <c r="E923" s="39">
        <v>5.86</v>
      </c>
      <c r="F923" s="38"/>
      <c r="G923" s="39">
        <f t="shared" si="109"/>
        <v>5.86</v>
      </c>
      <c r="H923" s="40">
        <v>22866957</v>
      </c>
      <c r="I923" s="103">
        <f t="shared" si="110"/>
        <v>134000368</v>
      </c>
      <c r="J923" s="39">
        <f t="shared" si="111"/>
        <v>134000368.02000001</v>
      </c>
      <c r="K923" s="42">
        <f t="shared" si="112"/>
        <v>0</v>
      </c>
      <c r="L923" s="42">
        <f t="shared" si="113"/>
        <v>134000368.02000001</v>
      </c>
      <c r="M923" s="138"/>
    </row>
    <row r="924" spans="1:13" ht="27.75" customHeight="1" x14ac:dyDescent="0.25">
      <c r="A924" s="35">
        <v>7</v>
      </c>
      <c r="B924" s="36" t="s">
        <v>410</v>
      </c>
      <c r="C924" s="37" t="s">
        <v>118</v>
      </c>
      <c r="D924" s="38">
        <v>0</v>
      </c>
      <c r="E924" s="39">
        <v>0</v>
      </c>
      <c r="F924" s="38"/>
      <c r="G924" s="39">
        <f t="shared" si="109"/>
        <v>0</v>
      </c>
      <c r="H924" s="40">
        <v>22196308</v>
      </c>
      <c r="I924" s="103">
        <f t="shared" si="110"/>
        <v>0</v>
      </c>
      <c r="J924" s="39">
        <f t="shared" si="111"/>
        <v>0</v>
      </c>
      <c r="K924" s="42">
        <f t="shared" si="112"/>
        <v>0</v>
      </c>
      <c r="L924" s="42">
        <f t="shared" si="113"/>
        <v>0</v>
      </c>
      <c r="M924" s="138"/>
    </row>
    <row r="925" spans="1:13" ht="27.75" customHeight="1" x14ac:dyDescent="0.25">
      <c r="A925" s="35">
        <v>8</v>
      </c>
      <c r="B925" s="36" t="s">
        <v>1290</v>
      </c>
      <c r="C925" s="37" t="s">
        <v>42</v>
      </c>
      <c r="D925" s="38">
        <v>13.96</v>
      </c>
      <c r="E925" s="39">
        <v>13.96</v>
      </c>
      <c r="F925" s="38"/>
      <c r="G925" s="39">
        <f t="shared" si="109"/>
        <v>13.96</v>
      </c>
      <c r="H925" s="40">
        <v>932092</v>
      </c>
      <c r="I925" s="103">
        <f t="shared" si="110"/>
        <v>13012004</v>
      </c>
      <c r="J925" s="39">
        <f t="shared" si="111"/>
        <v>13012004.32</v>
      </c>
      <c r="K925" s="42">
        <f t="shared" si="112"/>
        <v>0</v>
      </c>
      <c r="L925" s="42">
        <f t="shared" si="113"/>
        <v>13012004.32</v>
      </c>
      <c r="M925" s="138"/>
    </row>
    <row r="926" spans="1:13" ht="27.75" customHeight="1" x14ac:dyDescent="0.25">
      <c r="A926" s="35">
        <v>9</v>
      </c>
      <c r="B926" s="36" t="s">
        <v>414</v>
      </c>
      <c r="C926" s="37" t="s">
        <v>143</v>
      </c>
      <c r="D926" s="38">
        <v>2.4771999999999998</v>
      </c>
      <c r="E926" s="39">
        <v>2.4771999999999998</v>
      </c>
      <c r="F926" s="38"/>
      <c r="G926" s="39">
        <f t="shared" si="109"/>
        <v>2.4771999999999998</v>
      </c>
      <c r="H926" s="40">
        <v>13228830</v>
      </c>
      <c r="I926" s="103">
        <f t="shared" si="110"/>
        <v>32770458</v>
      </c>
      <c r="J926" s="39">
        <f t="shared" si="111"/>
        <v>32770457.675999999</v>
      </c>
      <c r="K926" s="42">
        <f t="shared" si="112"/>
        <v>0</v>
      </c>
      <c r="L926" s="42">
        <f t="shared" si="113"/>
        <v>32770457.675999999</v>
      </c>
      <c r="M926" s="138"/>
    </row>
    <row r="927" spans="1:13" ht="27.75" customHeight="1" x14ac:dyDescent="0.25">
      <c r="A927" s="35">
        <v>10</v>
      </c>
      <c r="B927" s="36" t="s">
        <v>554</v>
      </c>
      <c r="C927" s="37" t="s">
        <v>39</v>
      </c>
      <c r="D927" s="38">
        <v>358.33</v>
      </c>
      <c r="E927" s="39">
        <v>358.33</v>
      </c>
      <c r="F927" s="38"/>
      <c r="G927" s="39">
        <f t="shared" si="109"/>
        <v>358.33</v>
      </c>
      <c r="H927" s="40">
        <v>68250</v>
      </c>
      <c r="I927" s="103">
        <f t="shared" si="110"/>
        <v>24456023</v>
      </c>
      <c r="J927" s="39">
        <f t="shared" si="111"/>
        <v>24456022.5</v>
      </c>
      <c r="K927" s="42">
        <f t="shared" si="112"/>
        <v>0</v>
      </c>
      <c r="L927" s="42">
        <f t="shared" si="113"/>
        <v>24456022.5</v>
      </c>
      <c r="M927" s="138"/>
    </row>
    <row r="928" spans="1:13" ht="27.75" customHeight="1" x14ac:dyDescent="0.25">
      <c r="A928" s="109">
        <v>11</v>
      </c>
      <c r="B928" s="110" t="s">
        <v>348</v>
      </c>
      <c r="C928" s="111" t="s">
        <v>42</v>
      </c>
      <c r="D928" s="114">
        <v>15.99</v>
      </c>
      <c r="E928" s="113">
        <v>15.99</v>
      </c>
      <c r="F928" s="114"/>
      <c r="G928" s="113">
        <f t="shared" si="109"/>
        <v>15.99</v>
      </c>
      <c r="H928" s="115">
        <v>668894</v>
      </c>
      <c r="I928" s="116">
        <f t="shared" si="110"/>
        <v>10695615</v>
      </c>
      <c r="J928" s="113">
        <f t="shared" si="111"/>
        <v>10695615.060000001</v>
      </c>
      <c r="K928" s="117">
        <f t="shared" si="112"/>
        <v>0</v>
      </c>
      <c r="L928" s="117">
        <f t="shared" si="113"/>
        <v>10695615.060000001</v>
      </c>
      <c r="M928" s="141"/>
    </row>
    <row r="929" spans="1:13" ht="27.75" customHeight="1" x14ac:dyDescent="0.25">
      <c r="A929" s="148"/>
      <c r="B929" s="149" t="s">
        <v>1291</v>
      </c>
      <c r="C929" s="158"/>
      <c r="D929" s="153"/>
      <c r="E929" s="152"/>
      <c r="F929" s="153"/>
      <c r="G929" s="152">
        <f t="shared" si="109"/>
        <v>0</v>
      </c>
      <c r="H929" s="154"/>
      <c r="I929" s="155">
        <f t="shared" si="110"/>
        <v>0</v>
      </c>
      <c r="J929" s="152">
        <f t="shared" si="111"/>
        <v>0</v>
      </c>
      <c r="K929" s="156">
        <f t="shared" si="112"/>
        <v>0</v>
      </c>
      <c r="L929" s="156">
        <f t="shared" si="113"/>
        <v>0</v>
      </c>
      <c r="M929" s="157"/>
    </row>
    <row r="930" spans="1:13" ht="24" customHeight="1" x14ac:dyDescent="0.25">
      <c r="A930" s="128">
        <v>1</v>
      </c>
      <c r="B930" s="129" t="s">
        <v>1292</v>
      </c>
      <c r="C930" s="130" t="s">
        <v>118</v>
      </c>
      <c r="D930" s="133">
        <v>0.02</v>
      </c>
      <c r="E930" s="132">
        <v>0.02</v>
      </c>
      <c r="F930" s="133"/>
      <c r="G930" s="132">
        <f t="shared" si="109"/>
        <v>0.02</v>
      </c>
      <c r="H930" s="134">
        <v>23113706</v>
      </c>
      <c r="I930" s="135">
        <f t="shared" si="110"/>
        <v>462274</v>
      </c>
      <c r="J930" s="132">
        <f t="shared" si="111"/>
        <v>462274.12</v>
      </c>
      <c r="K930" s="136">
        <f t="shared" si="112"/>
        <v>0</v>
      </c>
      <c r="L930" s="136">
        <f t="shared" si="113"/>
        <v>462274.12</v>
      </c>
      <c r="M930" s="137"/>
    </row>
    <row r="931" spans="1:13" ht="24" customHeight="1" x14ac:dyDescent="0.25">
      <c r="A931" s="35">
        <v>2</v>
      </c>
      <c r="B931" s="36" t="s">
        <v>1293</v>
      </c>
      <c r="C931" s="37" t="s">
        <v>118</v>
      </c>
      <c r="D931" s="38">
        <v>0.25</v>
      </c>
      <c r="E931" s="39">
        <v>0.25</v>
      </c>
      <c r="F931" s="38"/>
      <c r="G931" s="39">
        <f t="shared" si="109"/>
        <v>0.25</v>
      </c>
      <c r="H931" s="40">
        <v>22196308</v>
      </c>
      <c r="I931" s="103">
        <f t="shared" si="110"/>
        <v>5549077</v>
      </c>
      <c r="J931" s="39">
        <f t="shared" si="111"/>
        <v>5549077</v>
      </c>
      <c r="K931" s="42">
        <f t="shared" si="112"/>
        <v>0</v>
      </c>
      <c r="L931" s="42">
        <f t="shared" si="113"/>
        <v>5549077</v>
      </c>
      <c r="M931" s="138"/>
    </row>
    <row r="932" spans="1:13" ht="24" customHeight="1" x14ac:dyDescent="0.25">
      <c r="A932" s="35">
        <v>3</v>
      </c>
      <c r="B932" s="36" t="s">
        <v>423</v>
      </c>
      <c r="C932" s="37" t="s">
        <v>118</v>
      </c>
      <c r="D932" s="38">
        <v>0.25</v>
      </c>
      <c r="E932" s="39">
        <v>0.25</v>
      </c>
      <c r="F932" s="38"/>
      <c r="G932" s="39">
        <f t="shared" si="109"/>
        <v>0.25</v>
      </c>
      <c r="H932" s="40">
        <v>10186176</v>
      </c>
      <c r="I932" s="103">
        <f t="shared" si="110"/>
        <v>2546544</v>
      </c>
      <c r="J932" s="39">
        <f t="shared" si="111"/>
        <v>2546544</v>
      </c>
      <c r="K932" s="42">
        <f t="shared" si="112"/>
        <v>0</v>
      </c>
      <c r="L932" s="42">
        <f t="shared" si="113"/>
        <v>2546544</v>
      </c>
      <c r="M932" s="138"/>
    </row>
    <row r="933" spans="1:13" ht="24" customHeight="1" x14ac:dyDescent="0.25">
      <c r="A933" s="35">
        <v>4</v>
      </c>
      <c r="B933" s="36" t="s">
        <v>1294</v>
      </c>
      <c r="C933" s="37" t="s">
        <v>301</v>
      </c>
      <c r="D933" s="38">
        <v>0.34320000000000001</v>
      </c>
      <c r="E933" s="39">
        <v>0.34320000000000001</v>
      </c>
      <c r="F933" s="38"/>
      <c r="G933" s="39">
        <f t="shared" si="109"/>
        <v>0.34320000000000001</v>
      </c>
      <c r="H933" s="40">
        <v>2334666</v>
      </c>
      <c r="I933" s="103">
        <f t="shared" si="110"/>
        <v>801257</v>
      </c>
      <c r="J933" s="39">
        <f t="shared" si="111"/>
        <v>801257.37120000005</v>
      </c>
      <c r="K933" s="42">
        <f t="shared" si="112"/>
        <v>0</v>
      </c>
      <c r="L933" s="42">
        <f t="shared" si="113"/>
        <v>801257.37120000005</v>
      </c>
      <c r="M933" s="138"/>
    </row>
    <row r="934" spans="1:13" ht="24" customHeight="1" x14ac:dyDescent="0.25">
      <c r="A934" s="35">
        <v>5</v>
      </c>
      <c r="B934" s="36" t="s">
        <v>1295</v>
      </c>
      <c r="C934" s="37" t="s">
        <v>39</v>
      </c>
      <c r="D934" s="38">
        <v>0.19</v>
      </c>
      <c r="E934" s="39">
        <v>0.19</v>
      </c>
      <c r="F934" s="38"/>
      <c r="G934" s="39">
        <f t="shared" si="109"/>
        <v>0.19</v>
      </c>
      <c r="H934" s="40">
        <v>214797</v>
      </c>
      <c r="I934" s="103">
        <f t="shared" si="110"/>
        <v>40811</v>
      </c>
      <c r="J934" s="39">
        <f t="shared" si="111"/>
        <v>40811.43</v>
      </c>
      <c r="K934" s="42">
        <f t="shared" si="112"/>
        <v>0</v>
      </c>
      <c r="L934" s="42">
        <f t="shared" si="113"/>
        <v>40811.43</v>
      </c>
      <c r="M934" s="138"/>
    </row>
    <row r="935" spans="1:13" ht="24" customHeight="1" x14ac:dyDescent="0.25">
      <c r="A935" s="109">
        <v>6</v>
      </c>
      <c r="B935" s="110" t="s">
        <v>1296</v>
      </c>
      <c r="C935" s="111" t="s">
        <v>84</v>
      </c>
      <c r="D935" s="114">
        <v>31.2</v>
      </c>
      <c r="E935" s="113">
        <v>31.2</v>
      </c>
      <c r="F935" s="114"/>
      <c r="G935" s="113">
        <f t="shared" si="109"/>
        <v>31.2</v>
      </c>
      <c r="H935" s="115">
        <v>226805</v>
      </c>
      <c r="I935" s="116">
        <f t="shared" si="110"/>
        <v>7076316</v>
      </c>
      <c r="J935" s="113">
        <f t="shared" si="111"/>
        <v>7076316</v>
      </c>
      <c r="K935" s="117">
        <f t="shared" si="112"/>
        <v>0</v>
      </c>
      <c r="L935" s="117">
        <f t="shared" si="113"/>
        <v>7076316</v>
      </c>
      <c r="M935" s="141"/>
    </row>
    <row r="936" spans="1:13" ht="27.75" customHeight="1" x14ac:dyDescent="0.25">
      <c r="A936" s="148"/>
      <c r="B936" s="149" t="s">
        <v>1247</v>
      </c>
      <c r="C936" s="158"/>
      <c r="D936" s="153"/>
      <c r="E936" s="152"/>
      <c r="F936" s="153"/>
      <c r="G936" s="152">
        <f t="shared" si="109"/>
        <v>0</v>
      </c>
      <c r="H936" s="154"/>
      <c r="I936" s="155">
        <f t="shared" si="110"/>
        <v>0</v>
      </c>
      <c r="J936" s="152">
        <f t="shared" si="111"/>
        <v>0</v>
      </c>
      <c r="K936" s="156">
        <f t="shared" si="112"/>
        <v>0</v>
      </c>
      <c r="L936" s="156">
        <f t="shared" si="113"/>
        <v>0</v>
      </c>
      <c r="M936" s="157"/>
    </row>
    <row r="937" spans="1:13" ht="27.75" customHeight="1" x14ac:dyDescent="0.25">
      <c r="A937" s="128">
        <v>1</v>
      </c>
      <c r="B937" s="129" t="s">
        <v>431</v>
      </c>
      <c r="C937" s="130" t="s">
        <v>42</v>
      </c>
      <c r="D937" s="133">
        <v>42.77</v>
      </c>
      <c r="E937" s="132">
        <v>42.77</v>
      </c>
      <c r="F937" s="133"/>
      <c r="G937" s="132">
        <f t="shared" si="109"/>
        <v>42.77</v>
      </c>
      <c r="H937" s="134">
        <v>1249493</v>
      </c>
      <c r="I937" s="135">
        <f t="shared" si="110"/>
        <v>53440816</v>
      </c>
      <c r="J937" s="132">
        <f t="shared" si="111"/>
        <v>53440815.610000007</v>
      </c>
      <c r="K937" s="136">
        <f t="shared" si="112"/>
        <v>0</v>
      </c>
      <c r="L937" s="136">
        <f t="shared" si="113"/>
        <v>53440815.610000007</v>
      </c>
      <c r="M937" s="137"/>
    </row>
    <row r="938" spans="1:13" ht="39.75" customHeight="1" x14ac:dyDescent="0.25">
      <c r="A938" s="35">
        <v>2</v>
      </c>
      <c r="B938" s="36" t="s">
        <v>923</v>
      </c>
      <c r="C938" s="37" t="s">
        <v>163</v>
      </c>
      <c r="D938" s="38">
        <v>0.43409999999999999</v>
      </c>
      <c r="E938" s="39">
        <v>0.43409999999999999</v>
      </c>
      <c r="F938" s="38"/>
      <c r="G938" s="39">
        <f t="shared" si="109"/>
        <v>0.43409999999999999</v>
      </c>
      <c r="H938" s="40">
        <v>5679289</v>
      </c>
      <c r="I938" s="103">
        <f t="shared" si="110"/>
        <v>2465379</v>
      </c>
      <c r="J938" s="39">
        <f t="shared" si="111"/>
        <v>2465379.3549000002</v>
      </c>
      <c r="K938" s="42">
        <f t="shared" si="112"/>
        <v>0</v>
      </c>
      <c r="L938" s="42">
        <f t="shared" si="113"/>
        <v>2465379.3549000002</v>
      </c>
      <c r="M938" s="138"/>
    </row>
    <row r="939" spans="1:13" ht="39" customHeight="1" x14ac:dyDescent="0.25">
      <c r="A939" s="35">
        <v>3</v>
      </c>
      <c r="B939" s="36" t="s">
        <v>1288</v>
      </c>
      <c r="C939" s="37" t="s">
        <v>163</v>
      </c>
      <c r="D939" s="38">
        <v>0.43409999999999999</v>
      </c>
      <c r="E939" s="39">
        <v>0.43409999999999999</v>
      </c>
      <c r="F939" s="38"/>
      <c r="G939" s="39">
        <f t="shared" si="109"/>
        <v>0.43409999999999999</v>
      </c>
      <c r="H939" s="40">
        <v>0</v>
      </c>
      <c r="I939" s="103">
        <f t="shared" si="110"/>
        <v>0</v>
      </c>
      <c r="J939" s="39">
        <f t="shared" si="111"/>
        <v>0</v>
      </c>
      <c r="K939" s="42">
        <f t="shared" si="112"/>
        <v>0</v>
      </c>
      <c r="L939" s="42">
        <f t="shared" si="113"/>
        <v>0</v>
      </c>
      <c r="M939" s="138"/>
    </row>
    <row r="940" spans="1:13" ht="63.75" customHeight="1" x14ac:dyDescent="0.25">
      <c r="A940" s="35">
        <v>4</v>
      </c>
      <c r="B940" s="36" t="s">
        <v>1289</v>
      </c>
      <c r="C940" s="37" t="s">
        <v>163</v>
      </c>
      <c r="D940" s="38">
        <v>0.43409999999999999</v>
      </c>
      <c r="E940" s="39">
        <v>0.43409999999999999</v>
      </c>
      <c r="F940" s="38"/>
      <c r="G940" s="39">
        <f t="shared" si="109"/>
        <v>0.43409999999999999</v>
      </c>
      <c r="H940" s="40">
        <v>7675620</v>
      </c>
      <c r="I940" s="103">
        <f t="shared" si="110"/>
        <v>3331987</v>
      </c>
      <c r="J940" s="39">
        <f t="shared" si="111"/>
        <v>3331986.642</v>
      </c>
      <c r="K940" s="42">
        <f t="shared" si="112"/>
        <v>0</v>
      </c>
      <c r="L940" s="42">
        <f t="shared" si="113"/>
        <v>3331986.642</v>
      </c>
      <c r="M940" s="138"/>
    </row>
    <row r="941" spans="1:13" ht="27.75" customHeight="1" x14ac:dyDescent="0.25">
      <c r="A941" s="35">
        <v>5</v>
      </c>
      <c r="B941" s="36" t="s">
        <v>435</v>
      </c>
      <c r="C941" s="37" t="s">
        <v>118</v>
      </c>
      <c r="D941" s="38">
        <v>0.11</v>
      </c>
      <c r="E941" s="39">
        <v>0.11</v>
      </c>
      <c r="F941" s="38"/>
      <c r="G941" s="39">
        <f t="shared" si="109"/>
        <v>0.11</v>
      </c>
      <c r="H941" s="40">
        <v>22447020</v>
      </c>
      <c r="I941" s="103">
        <f t="shared" si="110"/>
        <v>2469172</v>
      </c>
      <c r="J941" s="39">
        <f t="shared" si="111"/>
        <v>2469172.2000000002</v>
      </c>
      <c r="K941" s="42">
        <f t="shared" si="112"/>
        <v>0</v>
      </c>
      <c r="L941" s="42">
        <f t="shared" si="113"/>
        <v>2469172.2000000002</v>
      </c>
      <c r="M941" s="138"/>
    </row>
    <row r="942" spans="1:13" ht="27.75" customHeight="1" x14ac:dyDescent="0.25">
      <c r="A942" s="35">
        <v>6</v>
      </c>
      <c r="B942" s="36" t="s">
        <v>437</v>
      </c>
      <c r="C942" s="37" t="s">
        <v>118</v>
      </c>
      <c r="D942" s="38">
        <v>5.08</v>
      </c>
      <c r="E942" s="39">
        <v>5.08</v>
      </c>
      <c r="F942" s="38"/>
      <c r="G942" s="39">
        <f t="shared" si="109"/>
        <v>5.08</v>
      </c>
      <c r="H942" s="40">
        <v>22076029</v>
      </c>
      <c r="I942" s="103">
        <f t="shared" si="110"/>
        <v>112146227</v>
      </c>
      <c r="J942" s="39">
        <f t="shared" si="111"/>
        <v>112146227.32000001</v>
      </c>
      <c r="K942" s="42">
        <f t="shared" si="112"/>
        <v>0</v>
      </c>
      <c r="L942" s="42">
        <f t="shared" si="113"/>
        <v>112146227.32000001</v>
      </c>
      <c r="M942" s="138"/>
    </row>
    <row r="943" spans="1:13" ht="27.75" customHeight="1" x14ac:dyDescent="0.25">
      <c r="A943" s="35">
        <v>7</v>
      </c>
      <c r="B943" s="36" t="s">
        <v>340</v>
      </c>
      <c r="C943" s="37" t="s">
        <v>143</v>
      </c>
      <c r="D943" s="38">
        <v>0.55430000000000001</v>
      </c>
      <c r="E943" s="39">
        <v>0.55430000000000001</v>
      </c>
      <c r="F943" s="38"/>
      <c r="G943" s="39">
        <f t="shared" si="109"/>
        <v>0.55430000000000001</v>
      </c>
      <c r="H943" s="40">
        <v>5932795</v>
      </c>
      <c r="I943" s="103">
        <f t="shared" si="110"/>
        <v>3288548</v>
      </c>
      <c r="J943" s="39">
        <f t="shared" si="111"/>
        <v>3288548.2685000002</v>
      </c>
      <c r="K943" s="42">
        <f t="shared" si="112"/>
        <v>0</v>
      </c>
      <c r="L943" s="42">
        <f t="shared" si="113"/>
        <v>3288548.2685000002</v>
      </c>
      <c r="M943" s="138"/>
    </row>
    <row r="944" spans="1:13" ht="27.75" customHeight="1" x14ac:dyDescent="0.25">
      <c r="A944" s="35">
        <v>8</v>
      </c>
      <c r="B944" s="36" t="s">
        <v>1297</v>
      </c>
      <c r="C944" s="37">
        <v>0</v>
      </c>
      <c r="D944" s="38">
        <v>0</v>
      </c>
      <c r="E944" s="39">
        <v>0</v>
      </c>
      <c r="F944" s="38"/>
      <c r="G944" s="39">
        <f t="shared" si="109"/>
        <v>0</v>
      </c>
      <c r="H944" s="40">
        <v>0</v>
      </c>
      <c r="I944" s="103">
        <f t="shared" si="110"/>
        <v>0</v>
      </c>
      <c r="J944" s="39">
        <f t="shared" si="111"/>
        <v>0</v>
      </c>
      <c r="K944" s="42">
        <f t="shared" si="112"/>
        <v>0</v>
      </c>
      <c r="L944" s="42">
        <f t="shared" si="113"/>
        <v>0</v>
      </c>
      <c r="M944" s="138"/>
    </row>
    <row r="945" spans="1:13" ht="27.75" customHeight="1" x14ac:dyDescent="0.25">
      <c r="A945" s="35">
        <v>9</v>
      </c>
      <c r="B945" s="36" t="s">
        <v>442</v>
      </c>
      <c r="C945" s="37" t="s">
        <v>42</v>
      </c>
      <c r="D945" s="38">
        <v>32.06</v>
      </c>
      <c r="E945" s="39">
        <v>32.06</v>
      </c>
      <c r="F945" s="38"/>
      <c r="G945" s="39">
        <f t="shared" si="109"/>
        <v>32.06</v>
      </c>
      <c r="H945" s="40">
        <v>1544970</v>
      </c>
      <c r="I945" s="103">
        <f t="shared" si="110"/>
        <v>49531738</v>
      </c>
      <c r="J945" s="39">
        <f t="shared" si="111"/>
        <v>49531738.200000003</v>
      </c>
      <c r="K945" s="42">
        <f t="shared" si="112"/>
        <v>0</v>
      </c>
      <c r="L945" s="42">
        <f t="shared" si="113"/>
        <v>49531738.200000003</v>
      </c>
      <c r="M945" s="138"/>
    </row>
    <row r="946" spans="1:13" ht="36" customHeight="1" x14ac:dyDescent="0.25">
      <c r="A946" s="35">
        <v>10</v>
      </c>
      <c r="B946" s="36" t="s">
        <v>923</v>
      </c>
      <c r="C946" s="37" t="s">
        <v>163</v>
      </c>
      <c r="D946" s="38">
        <v>0.32540000000000002</v>
      </c>
      <c r="E946" s="39">
        <v>0.32540000000000002</v>
      </c>
      <c r="F946" s="38"/>
      <c r="G946" s="39">
        <f t="shared" si="109"/>
        <v>0.32540000000000002</v>
      </c>
      <c r="H946" s="40">
        <v>5679289</v>
      </c>
      <c r="I946" s="103">
        <f t="shared" si="110"/>
        <v>1848041</v>
      </c>
      <c r="J946" s="39">
        <f t="shared" si="111"/>
        <v>1848040.6406</v>
      </c>
      <c r="K946" s="42">
        <f t="shared" si="112"/>
        <v>0</v>
      </c>
      <c r="L946" s="42">
        <f t="shared" si="113"/>
        <v>1848040.6406</v>
      </c>
      <c r="M946" s="138"/>
    </row>
    <row r="947" spans="1:13" ht="44.25" customHeight="1" x14ac:dyDescent="0.25">
      <c r="A947" s="35">
        <v>11</v>
      </c>
      <c r="B947" s="36" t="s">
        <v>1288</v>
      </c>
      <c r="C947" s="37" t="s">
        <v>163</v>
      </c>
      <c r="D947" s="38">
        <v>0.32540000000000002</v>
      </c>
      <c r="E947" s="39">
        <v>0.32540000000000002</v>
      </c>
      <c r="F947" s="38"/>
      <c r="G947" s="39">
        <f t="shared" si="109"/>
        <v>0.32540000000000002</v>
      </c>
      <c r="H947" s="40">
        <v>0</v>
      </c>
      <c r="I947" s="103">
        <f t="shared" si="110"/>
        <v>0</v>
      </c>
      <c r="J947" s="39">
        <f t="shared" si="111"/>
        <v>0</v>
      </c>
      <c r="K947" s="42">
        <f t="shared" si="112"/>
        <v>0</v>
      </c>
      <c r="L947" s="42">
        <f t="shared" si="113"/>
        <v>0</v>
      </c>
      <c r="M947" s="138"/>
    </row>
    <row r="948" spans="1:13" ht="55.5" customHeight="1" x14ac:dyDescent="0.25">
      <c r="A948" s="35">
        <v>12</v>
      </c>
      <c r="B948" s="36" t="s">
        <v>1289</v>
      </c>
      <c r="C948" s="37" t="s">
        <v>163</v>
      </c>
      <c r="D948" s="38">
        <v>0.32540000000000002</v>
      </c>
      <c r="E948" s="39">
        <v>0.32540000000000002</v>
      </c>
      <c r="F948" s="38"/>
      <c r="G948" s="39">
        <f t="shared" si="109"/>
        <v>0.32540000000000002</v>
      </c>
      <c r="H948" s="40">
        <v>7675620</v>
      </c>
      <c r="I948" s="103">
        <f t="shared" si="110"/>
        <v>2497647</v>
      </c>
      <c r="J948" s="39">
        <f t="shared" si="111"/>
        <v>2497646.7480000001</v>
      </c>
      <c r="K948" s="42">
        <f t="shared" si="112"/>
        <v>0</v>
      </c>
      <c r="L948" s="42">
        <f t="shared" si="113"/>
        <v>2497646.7480000001</v>
      </c>
      <c r="M948" s="138"/>
    </row>
    <row r="949" spans="1:13" ht="27.75" customHeight="1" x14ac:dyDescent="0.25">
      <c r="A949" s="35">
        <v>13</v>
      </c>
      <c r="B949" s="36" t="s">
        <v>446</v>
      </c>
      <c r="C949" s="37" t="s">
        <v>118</v>
      </c>
      <c r="D949" s="38">
        <v>0.1</v>
      </c>
      <c r="E949" s="39">
        <v>0.1</v>
      </c>
      <c r="F949" s="38"/>
      <c r="G949" s="39">
        <f t="shared" si="109"/>
        <v>0.1</v>
      </c>
      <c r="H949" s="40">
        <v>23853119</v>
      </c>
      <c r="I949" s="103">
        <f t="shared" si="110"/>
        <v>2385312</v>
      </c>
      <c r="J949" s="39">
        <f t="shared" si="111"/>
        <v>2385311.9</v>
      </c>
      <c r="K949" s="42">
        <f t="shared" si="112"/>
        <v>0</v>
      </c>
      <c r="L949" s="42">
        <f t="shared" si="113"/>
        <v>2385311.9</v>
      </c>
      <c r="M949" s="138"/>
    </row>
    <row r="950" spans="1:13" ht="27.75" customHeight="1" x14ac:dyDescent="0.25">
      <c r="A950" s="35">
        <v>14</v>
      </c>
      <c r="B950" s="36" t="s">
        <v>1298</v>
      </c>
      <c r="C950" s="37" t="s">
        <v>118</v>
      </c>
      <c r="D950" s="38">
        <v>4.38</v>
      </c>
      <c r="E950" s="39">
        <v>4.38</v>
      </c>
      <c r="F950" s="38"/>
      <c r="G950" s="39">
        <f t="shared" si="109"/>
        <v>4.38</v>
      </c>
      <c r="H950" s="40">
        <v>22559764</v>
      </c>
      <c r="I950" s="103">
        <f t="shared" si="110"/>
        <v>98811766</v>
      </c>
      <c r="J950" s="39">
        <f t="shared" si="111"/>
        <v>98811766.319999993</v>
      </c>
      <c r="K950" s="42">
        <f t="shared" si="112"/>
        <v>0</v>
      </c>
      <c r="L950" s="42">
        <f t="shared" si="113"/>
        <v>98811766.319999993</v>
      </c>
      <c r="M950" s="138"/>
    </row>
    <row r="951" spans="1:13" ht="27.75" customHeight="1" x14ac:dyDescent="0.25">
      <c r="A951" s="35">
        <v>15</v>
      </c>
      <c r="B951" s="36" t="s">
        <v>450</v>
      </c>
      <c r="C951" s="37" t="s">
        <v>143</v>
      </c>
      <c r="D951" s="38">
        <v>1.1712</v>
      </c>
      <c r="E951" s="39">
        <v>1.1712</v>
      </c>
      <c r="F951" s="38"/>
      <c r="G951" s="39">
        <f t="shared" si="109"/>
        <v>1.1712</v>
      </c>
      <c r="H951" s="40">
        <v>10317034</v>
      </c>
      <c r="I951" s="103">
        <f t="shared" si="110"/>
        <v>12083310</v>
      </c>
      <c r="J951" s="39">
        <f t="shared" si="111"/>
        <v>12083310.220799999</v>
      </c>
      <c r="K951" s="42">
        <f t="shared" si="112"/>
        <v>0</v>
      </c>
      <c r="L951" s="42">
        <f t="shared" si="113"/>
        <v>12083310.220799999</v>
      </c>
      <c r="M951" s="138"/>
    </row>
    <row r="952" spans="1:13" ht="27.75" customHeight="1" x14ac:dyDescent="0.25">
      <c r="A952" s="35">
        <v>16</v>
      </c>
      <c r="B952" s="36" t="s">
        <v>1299</v>
      </c>
      <c r="C952" s="37"/>
      <c r="D952" s="38"/>
      <c r="E952" s="39">
        <v>0</v>
      </c>
      <c r="F952" s="38"/>
      <c r="G952" s="39">
        <f t="shared" si="109"/>
        <v>0</v>
      </c>
      <c r="H952" s="40"/>
      <c r="I952" s="103">
        <f t="shared" si="110"/>
        <v>0</v>
      </c>
      <c r="J952" s="39">
        <f t="shared" si="111"/>
        <v>0</v>
      </c>
      <c r="K952" s="42">
        <f t="shared" si="112"/>
        <v>0</v>
      </c>
      <c r="L952" s="42">
        <f t="shared" si="113"/>
        <v>0</v>
      </c>
      <c r="M952" s="138"/>
    </row>
    <row r="953" spans="1:13" ht="27.75" customHeight="1" x14ac:dyDescent="0.25">
      <c r="A953" s="35">
        <v>17</v>
      </c>
      <c r="B953" s="36" t="s">
        <v>400</v>
      </c>
      <c r="C953" s="37" t="s">
        <v>42</v>
      </c>
      <c r="D953" s="38">
        <v>4.92</v>
      </c>
      <c r="E953" s="39">
        <v>4.92</v>
      </c>
      <c r="F953" s="38"/>
      <c r="G953" s="39">
        <f t="shared" si="109"/>
        <v>4.92</v>
      </c>
      <c r="H953" s="40">
        <v>1580380</v>
      </c>
      <c r="I953" s="103">
        <f t="shared" si="110"/>
        <v>7775470</v>
      </c>
      <c r="J953" s="39">
        <f t="shared" si="111"/>
        <v>7775469.5999999996</v>
      </c>
      <c r="K953" s="42">
        <f t="shared" si="112"/>
        <v>0</v>
      </c>
      <c r="L953" s="42">
        <f t="shared" si="113"/>
        <v>7775469.5999999996</v>
      </c>
      <c r="M953" s="138"/>
    </row>
    <row r="954" spans="1:13" ht="38.25" customHeight="1" x14ac:dyDescent="0.25">
      <c r="A954" s="35">
        <v>18</v>
      </c>
      <c r="B954" s="36" t="s">
        <v>923</v>
      </c>
      <c r="C954" s="37" t="s">
        <v>163</v>
      </c>
      <c r="D954" s="38">
        <v>4.99E-2</v>
      </c>
      <c r="E954" s="39">
        <v>4.99E-2</v>
      </c>
      <c r="F954" s="38"/>
      <c r="G954" s="39">
        <f t="shared" si="109"/>
        <v>4.99E-2</v>
      </c>
      <c r="H954" s="40">
        <v>5679289</v>
      </c>
      <c r="I954" s="103">
        <f t="shared" si="110"/>
        <v>283397</v>
      </c>
      <c r="J954" s="39">
        <f t="shared" si="111"/>
        <v>283396.52110000001</v>
      </c>
      <c r="K954" s="42">
        <f t="shared" si="112"/>
        <v>0</v>
      </c>
      <c r="L954" s="42">
        <f t="shared" si="113"/>
        <v>283396.52110000001</v>
      </c>
      <c r="M954" s="138"/>
    </row>
    <row r="955" spans="1:13" ht="51.75" customHeight="1" x14ac:dyDescent="0.25">
      <c r="A955" s="35">
        <v>19</v>
      </c>
      <c r="B955" s="36" t="s">
        <v>1289</v>
      </c>
      <c r="C955" s="37" t="s">
        <v>163</v>
      </c>
      <c r="D955" s="38">
        <v>4.99E-2</v>
      </c>
      <c r="E955" s="39">
        <v>4.99E-2</v>
      </c>
      <c r="F955" s="38"/>
      <c r="G955" s="39">
        <f t="shared" si="109"/>
        <v>4.99E-2</v>
      </c>
      <c r="H955" s="40">
        <v>7675620</v>
      </c>
      <c r="I955" s="103">
        <f t="shared" si="110"/>
        <v>383013</v>
      </c>
      <c r="J955" s="39">
        <f t="shared" si="111"/>
        <v>383013.43800000002</v>
      </c>
      <c r="K955" s="42">
        <f t="shared" si="112"/>
        <v>0</v>
      </c>
      <c r="L955" s="42">
        <f t="shared" si="113"/>
        <v>383013.43800000002</v>
      </c>
      <c r="M955" s="138"/>
    </row>
    <row r="956" spans="1:13" ht="27.75" customHeight="1" x14ac:dyDescent="0.25">
      <c r="A956" s="35">
        <v>20</v>
      </c>
      <c r="B956" s="36" t="s">
        <v>408</v>
      </c>
      <c r="C956" s="37" t="s">
        <v>118</v>
      </c>
      <c r="D956" s="38">
        <v>0.56000000000000005</v>
      </c>
      <c r="E956" s="39">
        <v>0.56000000000000005</v>
      </c>
      <c r="F956" s="38"/>
      <c r="G956" s="39">
        <f t="shared" si="109"/>
        <v>0.56000000000000005</v>
      </c>
      <c r="H956" s="40">
        <v>22866957</v>
      </c>
      <c r="I956" s="103">
        <f t="shared" si="110"/>
        <v>12805496</v>
      </c>
      <c r="J956" s="39">
        <f t="shared" si="111"/>
        <v>12805495.920000002</v>
      </c>
      <c r="K956" s="42">
        <f t="shared" si="112"/>
        <v>0</v>
      </c>
      <c r="L956" s="42">
        <f t="shared" si="113"/>
        <v>12805495.920000002</v>
      </c>
      <c r="M956" s="138"/>
    </row>
    <row r="957" spans="1:13" ht="27.75" customHeight="1" x14ac:dyDescent="0.25">
      <c r="A957" s="35">
        <v>21</v>
      </c>
      <c r="B957" s="36" t="s">
        <v>1279</v>
      </c>
      <c r="C957" s="37" t="s">
        <v>143</v>
      </c>
      <c r="D957" s="38">
        <v>0.3634</v>
      </c>
      <c r="E957" s="39">
        <v>0.3634</v>
      </c>
      <c r="F957" s="38"/>
      <c r="G957" s="39">
        <f t="shared" si="109"/>
        <v>0.3634</v>
      </c>
      <c r="H957" s="40">
        <v>13228830</v>
      </c>
      <c r="I957" s="103">
        <f t="shared" si="110"/>
        <v>4807357</v>
      </c>
      <c r="J957" s="39">
        <f t="shared" si="111"/>
        <v>4807356.8219999997</v>
      </c>
      <c r="K957" s="42">
        <f t="shared" si="112"/>
        <v>0</v>
      </c>
      <c r="L957" s="42">
        <f t="shared" si="113"/>
        <v>4807356.8219999997</v>
      </c>
      <c r="M957" s="138"/>
    </row>
    <row r="958" spans="1:13" ht="27.75" customHeight="1" x14ac:dyDescent="0.25">
      <c r="A958" s="35">
        <v>22</v>
      </c>
      <c r="B958" s="36" t="s">
        <v>1300</v>
      </c>
      <c r="C958" s="37">
        <v>0</v>
      </c>
      <c r="D958" s="38">
        <v>0</v>
      </c>
      <c r="E958" s="39">
        <v>0</v>
      </c>
      <c r="F958" s="38"/>
      <c r="G958" s="39">
        <f t="shared" si="109"/>
        <v>0</v>
      </c>
      <c r="H958" s="40">
        <v>0</v>
      </c>
      <c r="I958" s="103">
        <f t="shared" si="110"/>
        <v>0</v>
      </c>
      <c r="J958" s="39">
        <f t="shared" si="111"/>
        <v>0</v>
      </c>
      <c r="K958" s="42">
        <f t="shared" si="112"/>
        <v>0</v>
      </c>
      <c r="L958" s="42">
        <f t="shared" si="113"/>
        <v>0</v>
      </c>
      <c r="M958" s="138"/>
    </row>
    <row r="959" spans="1:13" ht="27.75" customHeight="1" x14ac:dyDescent="0.25">
      <c r="A959" s="35">
        <v>23</v>
      </c>
      <c r="B959" s="36" t="s">
        <v>1301</v>
      </c>
      <c r="C959" s="37" t="s">
        <v>163</v>
      </c>
      <c r="D959" s="38">
        <v>17.6996</v>
      </c>
      <c r="E959" s="39">
        <v>17.6996</v>
      </c>
      <c r="F959" s="38"/>
      <c r="G959" s="39">
        <f t="shared" si="109"/>
        <v>17.6996</v>
      </c>
      <c r="H959" s="40">
        <v>2028553</v>
      </c>
      <c r="I959" s="103">
        <f t="shared" si="110"/>
        <v>35904577</v>
      </c>
      <c r="J959" s="39">
        <f t="shared" si="111"/>
        <v>35904576.678800002</v>
      </c>
      <c r="K959" s="42">
        <f t="shared" si="112"/>
        <v>0</v>
      </c>
      <c r="L959" s="42">
        <f t="shared" si="113"/>
        <v>35904576.678800002</v>
      </c>
      <c r="M959" s="138"/>
    </row>
    <row r="960" spans="1:13" ht="27.75" customHeight="1" x14ac:dyDescent="0.25">
      <c r="A960" s="35">
        <v>24</v>
      </c>
      <c r="B960" s="36" t="s">
        <v>386</v>
      </c>
      <c r="C960" s="37" t="s">
        <v>163</v>
      </c>
      <c r="D960" s="38">
        <v>15.3672</v>
      </c>
      <c r="E960" s="39">
        <v>15.3672</v>
      </c>
      <c r="F960" s="38"/>
      <c r="G960" s="39">
        <f t="shared" si="109"/>
        <v>15.3672</v>
      </c>
      <c r="H960" s="40">
        <v>1256745</v>
      </c>
      <c r="I960" s="103">
        <f t="shared" si="110"/>
        <v>19312652</v>
      </c>
      <c r="J960" s="39">
        <f t="shared" si="111"/>
        <v>19312651.764000002</v>
      </c>
      <c r="K960" s="42">
        <f t="shared" si="112"/>
        <v>0</v>
      </c>
      <c r="L960" s="42">
        <f t="shared" si="113"/>
        <v>19312651.764000002</v>
      </c>
      <c r="M960" s="138"/>
    </row>
    <row r="961" spans="1:14" ht="27.75" customHeight="1" x14ac:dyDescent="0.25">
      <c r="A961" s="35">
        <v>25</v>
      </c>
      <c r="B961" s="36" t="s">
        <v>1302</v>
      </c>
      <c r="C961" s="37" t="s">
        <v>163</v>
      </c>
      <c r="D961" s="38">
        <v>5.3857999999999997</v>
      </c>
      <c r="E961" s="39">
        <v>5.3857999999999997</v>
      </c>
      <c r="F961" s="38"/>
      <c r="G961" s="39">
        <f t="shared" si="109"/>
        <v>5.3857999999999997</v>
      </c>
      <c r="H961" s="40">
        <v>42990868</v>
      </c>
      <c r="I961" s="103">
        <f t="shared" si="110"/>
        <v>231540217</v>
      </c>
      <c r="J961" s="39">
        <f t="shared" si="111"/>
        <v>231540216.87439999</v>
      </c>
      <c r="K961" s="42">
        <f t="shared" si="112"/>
        <v>0</v>
      </c>
      <c r="L961" s="42">
        <f t="shared" si="113"/>
        <v>231540216.87439999</v>
      </c>
      <c r="M961" s="138"/>
    </row>
    <row r="962" spans="1:14" ht="27.75" customHeight="1" x14ac:dyDescent="0.25">
      <c r="A962" s="35">
        <v>26</v>
      </c>
      <c r="B962" s="36" t="s">
        <v>1303</v>
      </c>
      <c r="C962" s="37" t="s">
        <v>143</v>
      </c>
      <c r="D962" s="38">
        <v>7.1196000000000002</v>
      </c>
      <c r="E962" s="39">
        <v>7.1196000000000002</v>
      </c>
      <c r="F962" s="38"/>
      <c r="G962" s="39">
        <f t="shared" si="109"/>
        <v>7.1196000000000002</v>
      </c>
      <c r="H962" s="40">
        <v>2336697</v>
      </c>
      <c r="I962" s="103">
        <f t="shared" si="110"/>
        <v>16636348</v>
      </c>
      <c r="J962" s="39">
        <f t="shared" si="111"/>
        <v>16636347.961200001</v>
      </c>
      <c r="K962" s="42">
        <f t="shared" si="112"/>
        <v>0</v>
      </c>
      <c r="L962" s="42">
        <f t="shared" si="113"/>
        <v>16636347.961200001</v>
      </c>
      <c r="M962" s="138"/>
    </row>
    <row r="963" spans="1:14" ht="27.75" customHeight="1" x14ac:dyDescent="0.25">
      <c r="A963" s="35">
        <v>27</v>
      </c>
      <c r="B963" s="36" t="s">
        <v>379</v>
      </c>
      <c r="C963" s="37" t="s">
        <v>42</v>
      </c>
      <c r="D963" s="38">
        <v>5.07</v>
      </c>
      <c r="E963" s="39">
        <v>5.07</v>
      </c>
      <c r="F963" s="38"/>
      <c r="G963" s="39">
        <f t="shared" si="109"/>
        <v>5.07</v>
      </c>
      <c r="H963" s="40">
        <v>1196679</v>
      </c>
      <c r="I963" s="103">
        <f t="shared" si="110"/>
        <v>6067163</v>
      </c>
      <c r="J963" s="39">
        <f t="shared" si="111"/>
        <v>6067162.5300000003</v>
      </c>
      <c r="K963" s="42">
        <f t="shared" si="112"/>
        <v>0</v>
      </c>
      <c r="L963" s="42">
        <f t="shared" si="113"/>
        <v>6067162.5300000003</v>
      </c>
      <c r="M963" s="138"/>
    </row>
    <row r="964" spans="1:14" ht="27.75" customHeight="1" x14ac:dyDescent="0.25">
      <c r="A964" s="35">
        <v>28</v>
      </c>
      <c r="B964" s="36" t="s">
        <v>1304</v>
      </c>
      <c r="C964" s="37" t="s">
        <v>301</v>
      </c>
      <c r="D964" s="38">
        <v>0</v>
      </c>
      <c r="E964" s="39">
        <v>0</v>
      </c>
      <c r="F964" s="38"/>
      <c r="G964" s="39">
        <f t="shared" si="109"/>
        <v>0</v>
      </c>
      <c r="H964" s="40">
        <v>908179</v>
      </c>
      <c r="I964" s="103">
        <f t="shared" si="110"/>
        <v>0</v>
      </c>
      <c r="J964" s="39">
        <f t="shared" si="111"/>
        <v>0</v>
      </c>
      <c r="K964" s="42">
        <f t="shared" si="112"/>
        <v>0</v>
      </c>
      <c r="L964" s="42">
        <f t="shared" si="113"/>
        <v>0</v>
      </c>
      <c r="M964" s="138"/>
    </row>
    <row r="965" spans="1:14" ht="27.75" customHeight="1" x14ac:dyDescent="0.25">
      <c r="A965" s="35">
        <v>29</v>
      </c>
      <c r="B965" s="36" t="s">
        <v>1305</v>
      </c>
      <c r="C965" s="37" t="s">
        <v>42</v>
      </c>
      <c r="D965" s="38">
        <v>0</v>
      </c>
      <c r="E965" s="39">
        <v>0</v>
      </c>
      <c r="F965" s="38"/>
      <c r="G965" s="39">
        <f t="shared" si="109"/>
        <v>0</v>
      </c>
      <c r="H965" s="40">
        <v>514901</v>
      </c>
      <c r="I965" s="103">
        <f t="shared" si="110"/>
        <v>0</v>
      </c>
      <c r="J965" s="39">
        <f t="shared" si="111"/>
        <v>0</v>
      </c>
      <c r="K965" s="42">
        <f t="shared" si="112"/>
        <v>0</v>
      </c>
      <c r="L965" s="42">
        <f t="shared" si="113"/>
        <v>0</v>
      </c>
      <c r="M965" s="138"/>
    </row>
    <row r="966" spans="1:14" ht="50.25" customHeight="1" x14ac:dyDescent="0.25">
      <c r="A966" s="35">
        <v>30</v>
      </c>
      <c r="B966" s="36" t="s">
        <v>1306</v>
      </c>
      <c r="C966" s="37" t="s">
        <v>163</v>
      </c>
      <c r="D966" s="38">
        <v>0.3347</v>
      </c>
      <c r="E966" s="39">
        <v>0.3347</v>
      </c>
      <c r="F966" s="38"/>
      <c r="G966" s="39">
        <f t="shared" si="109"/>
        <v>0.3347</v>
      </c>
      <c r="H966" s="40">
        <v>1874618</v>
      </c>
      <c r="I966" s="103">
        <f t="shared" si="110"/>
        <v>627435</v>
      </c>
      <c r="J966" s="39">
        <f t="shared" si="111"/>
        <v>627434.6446</v>
      </c>
      <c r="K966" s="42">
        <f t="shared" si="112"/>
        <v>0</v>
      </c>
      <c r="L966" s="42">
        <f t="shared" si="113"/>
        <v>627434.6446</v>
      </c>
      <c r="M966" s="138"/>
    </row>
    <row r="967" spans="1:14" ht="57" customHeight="1" x14ac:dyDescent="0.25">
      <c r="A967" s="35">
        <v>31</v>
      </c>
      <c r="B967" s="36" t="s">
        <v>1307</v>
      </c>
      <c r="C967" s="37" t="s">
        <v>1308</v>
      </c>
      <c r="D967" s="38">
        <v>0.3347</v>
      </c>
      <c r="E967" s="39">
        <v>0.3347</v>
      </c>
      <c r="F967" s="38"/>
      <c r="G967" s="39">
        <f t="shared" si="109"/>
        <v>0.3347</v>
      </c>
      <c r="H967" s="40">
        <v>716695</v>
      </c>
      <c r="I967" s="103">
        <f t="shared" si="110"/>
        <v>239878</v>
      </c>
      <c r="J967" s="39">
        <f t="shared" si="111"/>
        <v>239877.81649999999</v>
      </c>
      <c r="K967" s="42">
        <f t="shared" si="112"/>
        <v>0</v>
      </c>
      <c r="L967" s="42">
        <f t="shared" si="113"/>
        <v>239877.81649999999</v>
      </c>
      <c r="M967" s="138"/>
    </row>
    <row r="968" spans="1:14" ht="59.25" customHeight="1" x14ac:dyDescent="0.25">
      <c r="A968" s="109">
        <v>32</v>
      </c>
      <c r="B968" s="110" t="s">
        <v>1309</v>
      </c>
      <c r="C968" s="111" t="s">
        <v>1308</v>
      </c>
      <c r="D968" s="114">
        <v>0.3347</v>
      </c>
      <c r="E968" s="113">
        <v>0.3347</v>
      </c>
      <c r="F968" s="114"/>
      <c r="G968" s="113">
        <f t="shared" ref="G968:G974" si="114">E968+F968</f>
        <v>0.3347</v>
      </c>
      <c r="H968" s="115">
        <v>386605</v>
      </c>
      <c r="I968" s="116">
        <f t="shared" si="110"/>
        <v>129397</v>
      </c>
      <c r="J968" s="113">
        <f t="shared" si="111"/>
        <v>129396.69349999999</v>
      </c>
      <c r="K968" s="117">
        <f t="shared" si="112"/>
        <v>0</v>
      </c>
      <c r="L968" s="117">
        <f t="shared" si="113"/>
        <v>129396.69349999999</v>
      </c>
      <c r="M968" s="141"/>
    </row>
    <row r="969" spans="1:14" ht="27.75" customHeight="1" x14ac:dyDescent="0.25">
      <c r="A969" s="148">
        <v>33</v>
      </c>
      <c r="B969" s="149" t="s">
        <v>1310</v>
      </c>
      <c r="C969" s="158">
        <v>0</v>
      </c>
      <c r="D969" s="153"/>
      <c r="E969" s="152"/>
      <c r="F969" s="153"/>
      <c r="G969" s="152">
        <f t="shared" si="114"/>
        <v>0</v>
      </c>
      <c r="H969" s="154"/>
      <c r="I969" s="155">
        <f t="shared" si="110"/>
        <v>0</v>
      </c>
      <c r="J969" s="152">
        <f t="shared" si="111"/>
        <v>0</v>
      </c>
      <c r="K969" s="156">
        <f t="shared" si="112"/>
        <v>0</v>
      </c>
      <c r="L969" s="156">
        <f t="shared" si="113"/>
        <v>0</v>
      </c>
      <c r="M969" s="157"/>
    </row>
    <row r="970" spans="1:14" ht="42" customHeight="1" x14ac:dyDescent="0.25">
      <c r="A970" s="128">
        <v>34</v>
      </c>
      <c r="B970" s="129" t="s">
        <v>1311</v>
      </c>
      <c r="C970" s="130" t="s">
        <v>42</v>
      </c>
      <c r="D970" s="133">
        <v>373.74</v>
      </c>
      <c r="E970" s="132"/>
      <c r="F970" s="133">
        <f>D970</f>
        <v>373.74</v>
      </c>
      <c r="G970" s="132">
        <f t="shared" si="114"/>
        <v>373.74</v>
      </c>
      <c r="H970" s="134">
        <v>510187</v>
      </c>
      <c r="I970" s="135">
        <f t="shared" si="110"/>
        <v>190677289</v>
      </c>
      <c r="J970" s="132">
        <f t="shared" si="111"/>
        <v>0</v>
      </c>
      <c r="K970" s="136">
        <f t="shared" si="112"/>
        <v>190677289.38</v>
      </c>
      <c r="L970" s="136">
        <f t="shared" si="113"/>
        <v>190677289.38</v>
      </c>
      <c r="M970" s="137"/>
    </row>
    <row r="971" spans="1:14" ht="39.75" customHeight="1" x14ac:dyDescent="0.25">
      <c r="A971" s="35">
        <v>35</v>
      </c>
      <c r="B971" s="36" t="s">
        <v>1312</v>
      </c>
      <c r="C971" s="37" t="s">
        <v>863</v>
      </c>
      <c r="D971" s="38">
        <v>12</v>
      </c>
      <c r="E971" s="39"/>
      <c r="F971" s="133">
        <f t="shared" ref="F971:F974" si="115">D971</f>
        <v>12</v>
      </c>
      <c r="G971" s="39">
        <f t="shared" si="114"/>
        <v>12</v>
      </c>
      <c r="H971" s="40">
        <v>638856</v>
      </c>
      <c r="I971" s="103">
        <f t="shared" si="110"/>
        <v>7666272</v>
      </c>
      <c r="J971" s="39">
        <f t="shared" si="111"/>
        <v>0</v>
      </c>
      <c r="K971" s="42">
        <f t="shared" si="112"/>
        <v>7666272</v>
      </c>
      <c r="L971" s="42">
        <f t="shared" si="113"/>
        <v>7666272</v>
      </c>
      <c r="M971" s="138"/>
    </row>
    <row r="972" spans="1:14" ht="50.25" customHeight="1" x14ac:dyDescent="0.25">
      <c r="A972" s="35">
        <v>36</v>
      </c>
      <c r="B972" s="36" t="s">
        <v>1313</v>
      </c>
      <c r="C972" s="37" t="s">
        <v>163</v>
      </c>
      <c r="D972" s="38">
        <v>3.7374000000000001</v>
      </c>
      <c r="E972" s="39"/>
      <c r="F972" s="133">
        <f t="shared" si="115"/>
        <v>3.7374000000000001</v>
      </c>
      <c r="G972" s="39">
        <f t="shared" si="114"/>
        <v>3.7374000000000001</v>
      </c>
      <c r="H972" s="40">
        <v>2376763</v>
      </c>
      <c r="I972" s="103">
        <f t="shared" si="110"/>
        <v>8882914</v>
      </c>
      <c r="J972" s="39">
        <f t="shared" si="111"/>
        <v>0</v>
      </c>
      <c r="K972" s="42">
        <f t="shared" si="112"/>
        <v>8882914.0362</v>
      </c>
      <c r="L972" s="42">
        <f t="shared" si="113"/>
        <v>8882914.0362</v>
      </c>
      <c r="M972" s="138"/>
    </row>
    <row r="973" spans="1:14" ht="47.25" customHeight="1" x14ac:dyDescent="0.25">
      <c r="A973" s="35">
        <v>37</v>
      </c>
      <c r="B973" s="36" t="s">
        <v>1314</v>
      </c>
      <c r="C973" s="37" t="s">
        <v>1308</v>
      </c>
      <c r="D973" s="38">
        <v>3.7374000000000001</v>
      </c>
      <c r="E973" s="39"/>
      <c r="F973" s="133">
        <f t="shared" si="115"/>
        <v>3.7374000000000001</v>
      </c>
      <c r="G973" s="39">
        <f t="shared" si="114"/>
        <v>3.7374000000000001</v>
      </c>
      <c r="H973" s="40">
        <v>876795</v>
      </c>
      <c r="I973" s="103">
        <f t="shared" si="110"/>
        <v>3276934</v>
      </c>
      <c r="J973" s="39">
        <f t="shared" si="111"/>
        <v>0</v>
      </c>
      <c r="K973" s="42">
        <f t="shared" si="112"/>
        <v>3276933.6329999999</v>
      </c>
      <c r="L973" s="42">
        <f t="shared" si="113"/>
        <v>3276933.6329999999</v>
      </c>
      <c r="M973" s="138"/>
    </row>
    <row r="974" spans="1:14" ht="53.25" customHeight="1" x14ac:dyDescent="0.25">
      <c r="A974" s="109">
        <v>38</v>
      </c>
      <c r="B974" s="110" t="s">
        <v>1315</v>
      </c>
      <c r="C974" s="111" t="s">
        <v>1308</v>
      </c>
      <c r="D974" s="114">
        <v>3.7374000000000001</v>
      </c>
      <c r="E974" s="113"/>
      <c r="F974" s="133">
        <f t="shared" si="115"/>
        <v>3.7374000000000001</v>
      </c>
      <c r="G974" s="113">
        <f t="shared" si="114"/>
        <v>3.7374000000000001</v>
      </c>
      <c r="H974" s="115">
        <v>475585</v>
      </c>
      <c r="I974" s="116">
        <f t="shared" si="110"/>
        <v>1777451</v>
      </c>
      <c r="J974" s="113">
        <f t="shared" si="111"/>
        <v>0</v>
      </c>
      <c r="K974" s="117">
        <f t="shared" si="112"/>
        <v>1777451.379</v>
      </c>
      <c r="L974" s="117">
        <f t="shared" si="113"/>
        <v>1777451.379</v>
      </c>
      <c r="M974" s="141"/>
    </row>
    <row r="975" spans="1:14" s="161" customFormat="1" ht="33" hidden="1" customHeight="1" x14ac:dyDescent="0.3">
      <c r="A975" s="159" t="s">
        <v>1316</v>
      </c>
      <c r="B975" s="209" t="s">
        <v>1317</v>
      </c>
      <c r="C975" s="210"/>
      <c r="D975" s="210"/>
      <c r="E975" s="210"/>
      <c r="F975" s="211"/>
      <c r="G975" s="210"/>
      <c r="H975" s="212"/>
      <c r="I975" s="60">
        <f>SUM(I17:I723)+I724+I776+I792+I844</f>
        <v>194624561988.4704</v>
      </c>
      <c r="J975" s="60">
        <f>SUM(J17:J723)+J724+J776+J792+J844</f>
        <v>164571826717.38174</v>
      </c>
      <c r="K975" s="60">
        <f>SUM(K17:K723)+K724+K776+K792+K844</f>
        <v>13383541950.633074</v>
      </c>
      <c r="L975" s="60">
        <f>SUM(L17:L723)+L724+L776+L792+L844</f>
        <v>177964031168.01492</v>
      </c>
      <c r="M975" s="120"/>
      <c r="N975" s="160"/>
    </row>
    <row r="976" spans="1:14" s="161" customFormat="1" ht="33" hidden="1" customHeight="1" x14ac:dyDescent="0.3">
      <c r="A976" s="159" t="s">
        <v>1318</v>
      </c>
      <c r="B976" s="213" t="s">
        <v>1319</v>
      </c>
      <c r="C976" s="214"/>
      <c r="D976" s="214"/>
      <c r="E976" s="214"/>
      <c r="F976" s="214"/>
      <c r="G976" s="214"/>
      <c r="H976" s="215"/>
      <c r="I976" s="60"/>
      <c r="J976" s="162">
        <v>2165558511</v>
      </c>
      <c r="K976" s="162">
        <f>K975-(K975/1.1*1.08)</f>
        <v>243337126.37514687</v>
      </c>
      <c r="L976" s="162">
        <f>+J976+K976</f>
        <v>2408895637.3751469</v>
      </c>
      <c r="M976" s="120"/>
      <c r="N976" s="160"/>
    </row>
    <row r="977" spans="1:14" s="161" customFormat="1" ht="31.5" hidden="1" customHeight="1" x14ac:dyDescent="0.3">
      <c r="A977" s="159" t="s">
        <v>1224</v>
      </c>
      <c r="B977" s="213" t="s">
        <v>1320</v>
      </c>
      <c r="C977" s="214"/>
      <c r="D977" s="214"/>
      <c r="E977" s="214"/>
      <c r="F977" s="214"/>
      <c r="G977" s="214"/>
      <c r="H977" s="215"/>
      <c r="I977" s="93">
        <f>I978+I979</f>
        <v>-1505522000</v>
      </c>
      <c r="J977" s="162"/>
      <c r="K977" s="162"/>
      <c r="L977" s="162"/>
      <c r="M977" s="120"/>
      <c r="N977" s="160"/>
    </row>
    <row r="978" spans="1:14" s="161" customFormat="1" ht="47.25" hidden="1" customHeight="1" x14ac:dyDescent="0.3">
      <c r="A978" s="159">
        <v>1</v>
      </c>
      <c r="B978" s="216" t="s">
        <v>1321</v>
      </c>
      <c r="C978" s="217"/>
      <c r="D978" s="217"/>
      <c r="E978" s="217"/>
      <c r="F978" s="217"/>
      <c r="G978" s="217"/>
      <c r="H978" s="218"/>
      <c r="I978" s="93">
        <f>-(1505522000-826727000)</f>
        <v>-678795000</v>
      </c>
      <c r="J978" s="162"/>
      <c r="K978" s="162"/>
      <c r="L978" s="162"/>
      <c r="M978" s="120"/>
      <c r="N978" s="160"/>
    </row>
    <row r="979" spans="1:14" s="161" customFormat="1" ht="42.75" hidden="1" customHeight="1" x14ac:dyDescent="0.3">
      <c r="A979" s="159">
        <v>2</v>
      </c>
      <c r="B979" s="216" t="s">
        <v>1322</v>
      </c>
      <c r="C979" s="217"/>
      <c r="D979" s="217"/>
      <c r="E979" s="217"/>
      <c r="F979" s="217"/>
      <c r="G979" s="217"/>
      <c r="H979" s="218"/>
      <c r="I979" s="93">
        <v>-826727000</v>
      </c>
      <c r="J979" s="93"/>
      <c r="K979" s="163"/>
      <c r="L979" s="93"/>
      <c r="M979" s="120"/>
      <c r="N979" s="160"/>
    </row>
    <row r="980" spans="1:14" s="161" customFormat="1" ht="25.5" hidden="1" customHeight="1" x14ac:dyDescent="0.3">
      <c r="A980" s="164"/>
      <c r="B980" s="209" t="s">
        <v>1323</v>
      </c>
      <c r="C980" s="210"/>
      <c r="D980" s="210"/>
      <c r="E980" s="210"/>
      <c r="F980" s="210"/>
      <c r="G980" s="210"/>
      <c r="H980" s="212"/>
      <c r="I980" s="60">
        <f>ROUND(I975,-3)+I977</f>
        <v>193119040000</v>
      </c>
      <c r="J980" s="162">
        <f>ROUND(J975-J976,-3)</f>
        <v>162406268000</v>
      </c>
      <c r="K980" s="162">
        <f>ROUND(K975-K976,-3)</f>
        <v>13140205000</v>
      </c>
      <c r="L980" s="162">
        <f>ROUND(J980+K980,-3)</f>
        <v>175546473000</v>
      </c>
      <c r="M980" s="120"/>
      <c r="N980" s="160"/>
    </row>
    <row r="981" spans="1:14" s="3" customFormat="1" ht="17.25" hidden="1" customHeight="1" x14ac:dyDescent="0.25">
      <c r="A981" s="165" t="s">
        <v>1324</v>
      </c>
      <c r="B981" s="219" t="s">
        <v>1325</v>
      </c>
      <c r="C981" s="219"/>
      <c r="D981" s="219"/>
      <c r="E981" s="219"/>
      <c r="F981" s="219"/>
      <c r="G981" s="219"/>
      <c r="H981" s="220">
        <f>+I980</f>
        <v>193119040000</v>
      </c>
      <c r="I981" s="220"/>
      <c r="J981" s="166" t="s">
        <v>1326</v>
      </c>
      <c r="K981" s="5"/>
    </row>
    <row r="982" spans="1:14" s="3" customFormat="1" ht="19.5" hidden="1" customHeight="1" x14ac:dyDescent="0.25">
      <c r="A982" s="167" t="s">
        <v>1327</v>
      </c>
      <c r="B982" s="168" t="s">
        <v>1328</v>
      </c>
      <c r="C982" s="168"/>
      <c r="D982" s="169"/>
      <c r="E982" s="169"/>
      <c r="F982" s="170"/>
      <c r="G982" s="171"/>
      <c r="H982" s="195">
        <v>0</v>
      </c>
      <c r="I982" s="195"/>
      <c r="J982" s="172" t="s">
        <v>1326</v>
      </c>
      <c r="K982" s="5"/>
    </row>
    <row r="983" spans="1:14" s="3" customFormat="1" ht="17.25" hidden="1" customHeight="1" x14ac:dyDescent="0.25">
      <c r="A983" s="167" t="s">
        <v>1329</v>
      </c>
      <c r="B983" s="173" t="s">
        <v>1330</v>
      </c>
      <c r="C983" s="173"/>
      <c r="D983" s="170"/>
      <c r="E983" s="170"/>
      <c r="F983" s="170"/>
      <c r="G983" s="171"/>
      <c r="H983" s="195">
        <f>15000000000+12000000000+7200000000+18000000000+12000000000+9000000000+10800000000</f>
        <v>84000000000</v>
      </c>
      <c r="I983" s="195"/>
      <c r="J983" s="172" t="s">
        <v>1326</v>
      </c>
      <c r="K983" s="5"/>
      <c r="L983" s="174"/>
      <c r="N983" s="5"/>
    </row>
    <row r="984" spans="1:14" s="3" customFormat="1" ht="17.25" hidden="1" customHeight="1" x14ac:dyDescent="0.25">
      <c r="A984" s="167" t="s">
        <v>1331</v>
      </c>
      <c r="B984" s="173" t="s">
        <v>1332</v>
      </c>
      <c r="C984" s="173"/>
      <c r="D984" s="170"/>
      <c r="E984" s="170"/>
      <c r="F984" s="170"/>
      <c r="G984" s="171"/>
      <c r="H984" s="195">
        <f>L980</f>
        <v>175546473000</v>
      </c>
      <c r="I984" s="195"/>
      <c r="J984" s="172" t="s">
        <v>1326</v>
      </c>
      <c r="K984" s="5"/>
    </row>
    <row r="985" spans="1:14" s="3" customFormat="1" ht="17.25" hidden="1" customHeight="1" x14ac:dyDescent="0.25">
      <c r="A985" s="167" t="s">
        <v>1333</v>
      </c>
      <c r="B985" s="173" t="s">
        <v>1334</v>
      </c>
      <c r="C985" s="173"/>
      <c r="D985" s="170"/>
      <c r="E985" s="170"/>
      <c r="F985" s="170"/>
      <c r="G985" s="171"/>
      <c r="H985" s="195">
        <v>0</v>
      </c>
      <c r="I985" s="195"/>
      <c r="J985" s="172" t="s">
        <v>1326</v>
      </c>
      <c r="K985" s="5"/>
      <c r="L985" s="175"/>
    </row>
    <row r="986" spans="1:14" s="3" customFormat="1" ht="17.25" hidden="1" customHeight="1" x14ac:dyDescent="0.25">
      <c r="A986" s="167" t="s">
        <v>1335</v>
      </c>
      <c r="B986" s="173" t="s">
        <v>1336</v>
      </c>
      <c r="C986" s="173"/>
      <c r="D986" s="170"/>
      <c r="E986" s="170"/>
      <c r="F986" s="170"/>
      <c r="G986" s="176"/>
      <c r="H986" s="196">
        <f>H988+H989</f>
        <v>8400000000</v>
      </c>
      <c r="I986" s="196"/>
      <c r="J986" s="172" t="s">
        <v>1326</v>
      </c>
      <c r="K986" s="5"/>
      <c r="L986" s="5"/>
    </row>
    <row r="987" spans="1:14" s="3" customFormat="1" ht="17.25" hidden="1" customHeight="1" x14ac:dyDescent="0.25">
      <c r="A987" s="167"/>
      <c r="B987" s="197" t="s">
        <v>1337</v>
      </c>
      <c r="C987" s="197"/>
      <c r="D987" s="197"/>
      <c r="E987" s="197"/>
      <c r="F987" s="197"/>
      <c r="G987" s="197"/>
      <c r="H987" s="197"/>
      <c r="I987" s="197"/>
      <c r="J987" s="198"/>
      <c r="K987" s="5"/>
      <c r="L987" s="5"/>
    </row>
    <row r="988" spans="1:14" s="3" customFormat="1" ht="21.75" hidden="1" customHeight="1" x14ac:dyDescent="0.25">
      <c r="A988" s="167" t="s">
        <v>1338</v>
      </c>
      <c r="B988" s="177" t="s">
        <v>1339</v>
      </c>
      <c r="C988" s="178"/>
      <c r="D988" s="179"/>
      <c r="E988" s="179"/>
      <c r="F988" s="179"/>
      <c r="G988" s="179"/>
      <c r="H988" s="196">
        <f>H982-H985</f>
        <v>0</v>
      </c>
      <c r="I988" s="196"/>
      <c r="J988" s="172" t="s">
        <v>1326</v>
      </c>
      <c r="K988" s="5"/>
      <c r="L988" s="5"/>
    </row>
    <row r="989" spans="1:14" s="3" customFormat="1" ht="21.75" hidden="1" customHeight="1" x14ac:dyDescent="0.25">
      <c r="A989" s="167" t="s">
        <v>1338</v>
      </c>
      <c r="B989" s="177" t="s">
        <v>1340</v>
      </c>
      <c r="C989" s="178"/>
      <c r="D989" s="179"/>
      <c r="E989" s="179"/>
      <c r="F989" s="179"/>
      <c r="G989" s="179"/>
      <c r="H989" s="195">
        <f>ROUND(14000000000*60%,-3)</f>
        <v>8400000000</v>
      </c>
      <c r="I989" s="195"/>
      <c r="J989" s="172" t="s">
        <v>1326</v>
      </c>
      <c r="K989" s="5"/>
      <c r="L989" s="5"/>
    </row>
    <row r="990" spans="1:14" s="3" customFormat="1" ht="21.75" hidden="1" customHeight="1" x14ac:dyDescent="0.25">
      <c r="A990" s="167">
        <v>7</v>
      </c>
      <c r="B990" s="199" t="s">
        <v>1341</v>
      </c>
      <c r="C990" s="199"/>
      <c r="D990" s="199"/>
      <c r="E990" s="199"/>
      <c r="F990" s="200">
        <f>F991+F992</f>
        <v>92400000000</v>
      </c>
      <c r="G990" s="200"/>
      <c r="H990" s="201"/>
      <c r="I990" s="201"/>
      <c r="J990" s="172" t="s">
        <v>1326</v>
      </c>
      <c r="K990" s="180"/>
      <c r="L990" s="181"/>
    </row>
    <row r="991" spans="1:14" s="3" customFormat="1" ht="21.75" hidden="1" customHeight="1" x14ac:dyDescent="0.25">
      <c r="A991" s="167" t="s">
        <v>1338</v>
      </c>
      <c r="B991" s="177" t="s">
        <v>1339</v>
      </c>
      <c r="C991" s="177"/>
      <c r="D991" s="182"/>
      <c r="E991" s="182"/>
      <c r="F991" s="202">
        <f>H982-H985</f>
        <v>0</v>
      </c>
      <c r="G991" s="202"/>
      <c r="H991" s="203"/>
      <c r="I991" s="203"/>
      <c r="J991" s="172" t="s">
        <v>1326</v>
      </c>
      <c r="K991" s="5"/>
    </row>
    <row r="992" spans="1:14" s="3" customFormat="1" ht="21.75" hidden="1" customHeight="1" x14ac:dyDescent="0.25">
      <c r="A992" s="183" t="s">
        <v>1338</v>
      </c>
      <c r="B992" s="184" t="s">
        <v>1342</v>
      </c>
      <c r="C992" s="184"/>
      <c r="D992" s="185"/>
      <c r="E992" s="185"/>
      <c r="F992" s="204">
        <f>H983+H985+H986</f>
        <v>92400000000</v>
      </c>
      <c r="G992" s="204"/>
      <c r="H992" s="205"/>
      <c r="I992" s="205"/>
      <c r="J992" s="186" t="s">
        <v>1326</v>
      </c>
      <c r="K992" s="5"/>
    </row>
    <row r="993" spans="1:13" s="3" customFormat="1" ht="0.95" customHeight="1" x14ac:dyDescent="0.25">
      <c r="A993" s="1"/>
      <c r="D993" s="4"/>
      <c r="E993" s="4"/>
      <c r="F993" s="4"/>
      <c r="G993" s="4"/>
      <c r="H993" s="5"/>
      <c r="I993" s="5"/>
      <c r="K993" s="5"/>
    </row>
    <row r="994" spans="1:13" s="3" customFormat="1" ht="28.5" customHeight="1" x14ac:dyDescent="0.25">
      <c r="A994" s="1"/>
      <c r="D994" s="4"/>
      <c r="E994" s="4"/>
      <c r="F994" s="4"/>
      <c r="G994" s="4"/>
      <c r="H994" s="5"/>
      <c r="I994" s="5"/>
      <c r="J994" s="187" t="s">
        <v>1343</v>
      </c>
      <c r="K994" s="5"/>
    </row>
    <row r="995" spans="1:13" s="3" customFormat="1" ht="23.25" customHeight="1" x14ac:dyDescent="0.25">
      <c r="A995" s="1"/>
      <c r="B995" s="194" t="s">
        <v>1344</v>
      </c>
      <c r="C995" s="194"/>
      <c r="D995" s="194"/>
      <c r="E995" s="194"/>
      <c r="F995" s="194"/>
      <c r="G995" s="194"/>
      <c r="H995" s="194"/>
      <c r="I995" s="5"/>
      <c r="J995" s="188"/>
      <c r="K995" s="189" t="s">
        <v>1345</v>
      </c>
      <c r="L995" s="190"/>
      <c r="M995" s="191"/>
    </row>
  </sheetData>
  <mergeCells count="40">
    <mergeCell ref="A8:M8"/>
    <mergeCell ref="A3:M3"/>
    <mergeCell ref="A4:M4"/>
    <mergeCell ref="A5:M5"/>
    <mergeCell ref="A6:M6"/>
    <mergeCell ref="A7:K7"/>
    <mergeCell ref="A9:K9"/>
    <mergeCell ref="A10:M10"/>
    <mergeCell ref="A11:A13"/>
    <mergeCell ref="B11:B13"/>
    <mergeCell ref="C11:C13"/>
    <mergeCell ref="D11:G11"/>
    <mergeCell ref="H11:H13"/>
    <mergeCell ref="I11:L11"/>
    <mergeCell ref="M11:M13"/>
    <mergeCell ref="D12:D13"/>
    <mergeCell ref="H982:I982"/>
    <mergeCell ref="E12:G12"/>
    <mergeCell ref="I12:I13"/>
    <mergeCell ref="J12:L12"/>
    <mergeCell ref="B975:H975"/>
    <mergeCell ref="B976:H976"/>
    <mergeCell ref="B977:H977"/>
    <mergeCell ref="B978:H978"/>
    <mergeCell ref="B979:H979"/>
    <mergeCell ref="B980:H980"/>
    <mergeCell ref="B981:G981"/>
    <mergeCell ref="H981:I981"/>
    <mergeCell ref="B995:H995"/>
    <mergeCell ref="H983:I983"/>
    <mergeCell ref="H984:I984"/>
    <mergeCell ref="H985:I985"/>
    <mergeCell ref="H986:I986"/>
    <mergeCell ref="B987:J987"/>
    <mergeCell ref="H988:I988"/>
    <mergeCell ref="H989:I989"/>
    <mergeCell ref="B990:E990"/>
    <mergeCell ref="F990:I990"/>
    <mergeCell ref="F991:I991"/>
    <mergeCell ref="F992:I992"/>
  </mergeCells>
  <pageMargins left="0.39370078740157483" right="0" top="0.39370078740157483" bottom="0.39370078740157483" header="0.31496062992125984" footer="0.31496062992125984"/>
  <pageSetup paperSize="9" scale="65" orientation="landscape" r:id="rId1"/>
  <headerFooter alignWithMargins="0"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PL3a ( in)</vt:lpstr>
      <vt:lpstr>'PL3a ( in)'!Print_Titles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2026-10-13T03:04:01Z</dcterms:created>
  <dcterms:modified xsi:type="dcterms:W3CDTF">2026-10-13T06:38:56Z</dcterms:modified>
</cp:coreProperties>
</file>