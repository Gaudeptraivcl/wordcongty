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 ranh L1 18m" sheetId="1" state="visible" r:id="rId1"/>
    <sheet xmlns:r="http://schemas.openxmlformats.org/officeDocument/2006/relationships" name="Thong ke th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sz val="10"/>
    </font>
    <font>
      <name val="Times New Roman"/>
      <b val="1"/>
      <sz val="11"/>
    </font>
    <font>
      <name val="Times New Roman"/>
      <color rgb="000000FF"/>
      <sz val="11"/>
    </font>
    <font>
      <name val="Times New Roman"/>
      <sz val="11"/>
    </font>
    <font>
      <name val="Times New Roman"/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32" customWidth="1" min="4" max="4"/>
    <col width="11" customWidth="1" min="5" max="5"/>
    <col width="10" customWidth="1" min="6" max="6"/>
    <col width="13" customWidth="1" min="7" max="7"/>
    <col width="32" customWidth="1" min="8" max="8"/>
  </cols>
  <sheetData>
    <row r="1">
      <c r="A1" s="1" t="inlineStr">
        <is>
          <t>BẢNG TÍNH KHỐI LƯỢNG RÃNH THOÁT NƯỚC DỌC 40x40cm (LOẠI 1)</t>
        </is>
      </c>
    </row>
    <row r="2" ht="30" customHeight="1">
      <c r="A2" s="2" t="inlineStr">
        <is>
          <t>Công trình: Mương thoát nước thôn Quang Vinh, xã Quang Trung, huyện Ngọc Lặc – Căn cứ bản vẽ R-01 'Chi tiết rãnh dọc 40x40cm' và Bảng tổng hợp khối lượng chung dự án</t>
        </is>
      </c>
    </row>
    <row r="4">
      <c r="B4" s="3" t="inlineStr">
        <is>
          <t>Chiều dài rãnh tính toán L (m)</t>
        </is>
      </c>
      <c r="D4" s="4" t="n">
        <v>18</v>
      </c>
    </row>
    <row r="5">
      <c r="B5" s="3" t="inlineStr">
        <is>
          <t>Số tấm đan L1 (1 tấm / 1 m) – N (tấm)</t>
        </is>
      </c>
      <c r="D5" s="5">
        <f>ROUND(D4/1,0)</f>
        <v/>
      </c>
    </row>
    <row r="6">
      <c r="B6" s="3" t="inlineStr">
        <is>
          <t>Số tấm đan có lỗ thu nước (10 m/tấm)</t>
        </is>
      </c>
      <c r="D6" s="5">
        <f>ROUND(D4/10,0)</f>
        <v/>
      </c>
    </row>
    <row r="8" ht="32" customHeight="1">
      <c r="A8" s="6" t="inlineStr">
        <is>
          <t>STT</t>
        </is>
      </c>
      <c r="B8" s="6" t="inlineStr">
        <is>
          <t>Hạng mục công việc</t>
        </is>
      </c>
      <c r="C8" s="6" t="inlineStr">
        <is>
          <t>Đơn vị</t>
        </is>
      </c>
      <c r="D8" s="6" t="inlineStr">
        <is>
          <t>Diễn giải / công thức</t>
        </is>
      </c>
      <c r="E8" s="6" t="inlineStr">
        <is>
          <t>KL đơn vị</t>
        </is>
      </c>
      <c r="F8" s="6" t="inlineStr">
        <is>
          <t>Hệ số nhân</t>
        </is>
      </c>
      <c r="G8" s="6" t="inlineStr">
        <is>
          <t>Khối lượng</t>
        </is>
      </c>
      <c r="H8" s="6" t="inlineStr">
        <is>
          <t>Ghi chú</t>
        </is>
      </c>
    </row>
    <row r="9">
      <c r="A9" s="7" t="inlineStr">
        <is>
          <t>I</t>
        </is>
      </c>
      <c r="B9" s="8" t="inlineStr">
        <is>
          <t>PHẦN RÃNH (thân rãnh + mũ rãnh)</t>
        </is>
      </c>
      <c r="C9" s="7" t="n"/>
      <c r="D9" s="7" t="n"/>
      <c r="E9" s="7" t="n"/>
      <c r="F9" s="7" t="n"/>
      <c r="G9" s="7" t="n"/>
      <c r="H9" s="7" t="n"/>
    </row>
    <row r="10">
      <c r="A10" s="5" t="n">
        <v>1</v>
      </c>
      <c r="B10" s="9" t="inlineStr">
        <is>
          <t>Đá dăm đệm móng dày 10cm</t>
        </is>
      </c>
      <c r="C10" s="5" t="inlineStr">
        <is>
          <t>m3</t>
        </is>
      </c>
      <c r="D10" s="9" t="inlineStr">
        <is>
          <t>1,04 x 0,10 x L</t>
        </is>
      </c>
      <c r="E10" s="10">
        <f>1.04*0.1</f>
        <v/>
      </c>
      <c r="F10" s="11">
        <f>$D$4</f>
        <v/>
      </c>
      <c r="G10" s="12">
        <f>ROUND(E10*F10,2)</f>
        <v/>
      </c>
      <c r="H10" s="9" t="inlineStr">
        <is>
          <t>Rộng móng 1040mm</t>
        </is>
      </c>
    </row>
    <row r="11">
      <c r="A11" s="5" t="n">
        <v>2</v>
      </c>
      <c r="B11" s="9" t="inlineStr">
        <is>
          <t>Ván khuôn móng rãnh</t>
        </is>
      </c>
      <c r="C11" s="5" t="inlineStr">
        <is>
          <t>m2</t>
        </is>
      </c>
      <c r="D11" s="9" t="inlineStr">
        <is>
          <t>0,10 x 2 x L</t>
        </is>
      </c>
      <c r="E11" s="10">
        <f>0.1*2</f>
        <v/>
      </c>
      <c r="F11" s="11">
        <f>$D$4</f>
        <v/>
      </c>
      <c r="G11" s="12">
        <f>ROUND(E11*F11,2)</f>
        <v/>
      </c>
      <c r="H11" s="9" t="inlineStr">
        <is>
          <t>2 mặt bên móng</t>
        </is>
      </c>
    </row>
    <row r="12">
      <c r="A12" s="5" t="n">
        <v>3</v>
      </c>
      <c r="B12" s="9" t="inlineStr">
        <is>
          <t>Ni lông tái sinh chống mất nước bê tông</t>
        </is>
      </c>
      <c r="C12" s="5" t="inlineStr">
        <is>
          <t>m2</t>
        </is>
      </c>
      <c r="D12" s="9" t="inlineStr">
        <is>
          <t>1,04 x L</t>
        </is>
      </c>
      <c r="E12" s="10">
        <f>1.04</f>
        <v/>
      </c>
      <c r="F12" s="11">
        <f>$D$4</f>
        <v/>
      </c>
      <c r="G12" s="12">
        <f>ROUND(E12*F12,2)</f>
        <v/>
      </c>
      <c r="H12" s="9" t="inlineStr"/>
    </row>
    <row r="13">
      <c r="A13" s="5" t="n">
        <v>4</v>
      </c>
      <c r="B13" s="9" t="inlineStr">
        <is>
          <t>Bê tông móng rãnh M250 đá 1x2, dày 10cm</t>
        </is>
      </c>
      <c r="C13" s="5" t="inlineStr">
        <is>
          <t>m3</t>
        </is>
      </c>
      <c r="D13" s="9" t="inlineStr">
        <is>
          <t>1,04 x 0,10 x L</t>
        </is>
      </c>
      <c r="E13" s="10">
        <f>1.04*0.1</f>
        <v/>
      </c>
      <c r="F13" s="11">
        <f>$D$4</f>
        <v/>
      </c>
      <c r="G13" s="12">
        <f>ROUND(E13*F13,2)</f>
        <v/>
      </c>
      <c r="H13" s="9" t="inlineStr"/>
    </row>
    <row r="14">
      <c r="A14" s="5" t="n">
        <v>5</v>
      </c>
      <c r="B14" s="9" t="inlineStr">
        <is>
          <t>Xây gạch bê tông thân rãnh vữa M75</t>
        </is>
      </c>
      <c r="C14" s="5" t="inlineStr">
        <is>
          <t>m3</t>
        </is>
      </c>
      <c r="D14" s="9" t="inlineStr">
        <is>
          <t>0,30 x 0,22 x 2 x L</t>
        </is>
      </c>
      <c r="E14" s="10">
        <f>0.3*0.22*2</f>
        <v/>
      </c>
      <c r="F14" s="11">
        <f>$D$4</f>
        <v/>
      </c>
      <c r="G14" s="12">
        <f>ROUND(E14*F14,2)</f>
        <v/>
      </c>
      <c r="H14" s="9" t="inlineStr">
        <is>
          <t>Tường dày 220, cao 300</t>
        </is>
      </c>
    </row>
    <row r="15">
      <c r="A15" s="5" t="n">
        <v>6</v>
      </c>
      <c r="B15" s="9" t="inlineStr">
        <is>
          <t>Trát tường rãnh vữa M75 dày 2cm</t>
        </is>
      </c>
      <c r="C15" s="5" t="inlineStr">
        <is>
          <t>m2</t>
        </is>
      </c>
      <c r="D15" s="9" t="inlineStr">
        <is>
          <t>0,30 x 2 x L</t>
        </is>
      </c>
      <c r="E15" s="10">
        <f>0.3*2</f>
        <v/>
      </c>
      <c r="F15" s="11">
        <f>$D$4</f>
        <v/>
      </c>
      <c r="G15" s="12">
        <f>ROUND(E15*F15,2)</f>
        <v/>
      </c>
      <c r="H15" s="9" t="inlineStr">
        <is>
          <t>Trát mặt trong 2 bên</t>
        </is>
      </c>
    </row>
    <row r="16">
      <c r="A16" s="5" t="n">
        <v>7</v>
      </c>
      <c r="B16" s="9" t="inlineStr">
        <is>
          <t>Láng lòng rãnh vữa M75 dày 2cm</t>
        </is>
      </c>
      <c r="C16" s="5" t="inlineStr">
        <is>
          <t>m2</t>
        </is>
      </c>
      <c r="D16" s="9" t="inlineStr">
        <is>
          <t>0,40 x L</t>
        </is>
      </c>
      <c r="E16" s="10">
        <f>0.4</f>
        <v/>
      </c>
      <c r="F16" s="11">
        <f>$D$4</f>
        <v/>
      </c>
      <c r="G16" s="12">
        <f>ROUND(E16*F16,2)</f>
        <v/>
      </c>
      <c r="H16" s="9" t="inlineStr">
        <is>
          <t>Lòng rãnh B=400</t>
        </is>
      </c>
    </row>
    <row r="17">
      <c r="A17" s="5" t="n">
        <v>8</v>
      </c>
      <c r="B17" s="9" t="inlineStr">
        <is>
          <t>Ván khuôn giằng mũ rãnh</t>
        </is>
      </c>
      <c r="C17" s="5" t="inlineStr">
        <is>
          <t>m2</t>
        </is>
      </c>
      <c r="D17" s="9" t="inlineStr">
        <is>
          <t>0,10 x 2 mặt x 2 mũ x L</t>
        </is>
      </c>
      <c r="E17" s="10">
        <f>0.1*2*2</f>
        <v/>
      </c>
      <c r="F17" s="11">
        <f>$D$4</f>
        <v/>
      </c>
      <c r="G17" s="12">
        <f>ROUND(E17*F17,2)</f>
        <v/>
      </c>
      <c r="H17" s="9" t="inlineStr"/>
    </row>
    <row r="18">
      <c r="A18" s="5" t="n">
        <v>9</v>
      </c>
      <c r="B18" s="9" t="inlineStr">
        <is>
          <t>Cốt thép mũ rãnh D&lt;=10 (CB-240T)</t>
        </is>
      </c>
      <c r="C18" s="5" t="inlineStr">
        <is>
          <t>kg</t>
        </is>
      </c>
      <c r="D18" s="9" t="inlineStr">
        <is>
          <t>Bảng thống kê thép mũ (kg/m) x L</t>
        </is>
      </c>
      <c r="E18" s="10">
        <f>'Thong ke thep'!H8</f>
        <v/>
      </c>
      <c r="F18" s="11">
        <f>$D$4</f>
        <v/>
      </c>
      <c r="G18" s="12">
        <f>ROUND(E18*F18,2)</f>
        <v/>
      </c>
      <c r="H18" s="9" t="inlineStr">
        <is>
          <t>Xem sheet Thong ke thep</t>
        </is>
      </c>
    </row>
    <row r="19">
      <c r="A19" s="5" t="n">
        <v>10</v>
      </c>
      <c r="B19" s="9" t="inlineStr">
        <is>
          <t>Bê tông mũ rãnh M250 đá 1x2</t>
        </is>
      </c>
      <c r="C19" s="5" t="inlineStr">
        <is>
          <t>m3</t>
        </is>
      </c>
      <c r="D19" s="9" t="inlineStr">
        <is>
          <t>0,22 x 0,10 x 2 x L</t>
        </is>
      </c>
      <c r="E19" s="10">
        <f>0.22*0.1*2</f>
        <v/>
      </c>
      <c r="F19" s="11">
        <f>$D$4</f>
        <v/>
      </c>
      <c r="G19" s="12">
        <f>ROUND(E19*F19,2)</f>
        <v/>
      </c>
      <c r="H19" s="9" t="inlineStr">
        <is>
          <t>Mũ 220x100, 2 bên</t>
        </is>
      </c>
    </row>
    <row r="20">
      <c r="A20" s="7" t="inlineStr">
        <is>
          <t>II</t>
        </is>
      </c>
      <c r="B20" s="8" t="inlineStr">
        <is>
          <t>TẤM ĐAN CHỊU LỰC L1 (840x1000, dày 150÷210)</t>
        </is>
      </c>
      <c r="C20" s="7" t="n"/>
      <c r="D20" s="7" t="n"/>
      <c r="E20" s="7" t="n"/>
      <c r="F20" s="7" t="n"/>
      <c r="G20" s="7" t="n"/>
      <c r="H20" s="7" t="n"/>
    </row>
    <row r="21">
      <c r="A21" s="5" t="n">
        <v>11</v>
      </c>
      <c r="B21" s="9" t="inlineStr">
        <is>
          <t>Ván khuôn tấm đan</t>
        </is>
      </c>
      <c r="C21" s="5" t="inlineStr">
        <is>
          <t>m2</t>
        </is>
      </c>
      <c r="D21" s="9" t="inlineStr">
        <is>
          <t>2,073 m2/tấm x N</t>
        </is>
      </c>
      <c r="E21" s="10" t="n">
        <v>2.073</v>
      </c>
      <c r="F21" s="11">
        <f>$D$5</f>
        <v/>
      </c>
      <c r="G21" s="12">
        <f>ROUND(E21*F21,2)</f>
        <v/>
      </c>
      <c r="H21" s="9" t="inlineStr">
        <is>
          <t>Theo bảng KL 1 tấm đan</t>
        </is>
      </c>
    </row>
    <row r="22">
      <c r="A22" s="5" t="n">
        <v>12</v>
      </c>
      <c r="B22" s="9" t="inlineStr">
        <is>
          <t>Bê tông tấm đan M300 đá 1x2</t>
        </is>
      </c>
      <c r="C22" s="5" t="inlineStr">
        <is>
          <t>m3</t>
        </is>
      </c>
      <c r="D22" s="9" t="inlineStr">
        <is>
          <t>0,149 m3/tấm x N</t>
        </is>
      </c>
      <c r="E22" s="10" t="n">
        <v>0.149</v>
      </c>
      <c r="F22" s="11">
        <f>$D$5</f>
        <v/>
      </c>
      <c r="G22" s="12">
        <f>ROUND(E22*F22,2)</f>
        <v/>
      </c>
      <c r="H22" s="9" t="inlineStr">
        <is>
          <t>Theo bảng KL 1 tấm đan</t>
        </is>
      </c>
    </row>
    <row r="23">
      <c r="A23" s="5" t="n">
        <v>13</v>
      </c>
      <c r="B23" s="9" t="inlineStr">
        <is>
          <t>Cốt thép tấm đan D&lt;=10 (CB-240T)</t>
        </is>
      </c>
      <c r="C23" s="5" t="inlineStr">
        <is>
          <t>kg</t>
        </is>
      </c>
      <c r="D23" s="9" t="inlineStr">
        <is>
          <t>kg/tấm x N</t>
        </is>
      </c>
      <c r="E23" s="10">
        <f>'Thong ke thep'!H16</f>
        <v/>
      </c>
      <c r="F23" s="11">
        <f>$D$5</f>
        <v/>
      </c>
      <c r="G23" s="12">
        <f>ROUND(E23*F23,2)</f>
        <v/>
      </c>
      <c r="H23" s="9" t="inlineStr">
        <is>
          <t>Thanh 3, 5, 6</t>
        </is>
      </c>
    </row>
    <row r="24">
      <c r="A24" s="5" t="n">
        <v>14</v>
      </c>
      <c r="B24" s="9" t="inlineStr">
        <is>
          <t>Cốt thép tấm đan D&gt;10 (CB-400V)</t>
        </is>
      </c>
      <c r="C24" s="5" t="inlineStr">
        <is>
          <t>kg</t>
        </is>
      </c>
      <c r="D24" s="9" t="inlineStr">
        <is>
          <t>kg/tấm x N</t>
        </is>
      </c>
      <c r="E24" s="10">
        <f>'Thong ke thep'!H17</f>
        <v/>
      </c>
      <c r="F24" s="11">
        <f>$D$5</f>
        <v/>
      </c>
      <c r="G24" s="12">
        <f>ROUND(E24*F24,2)</f>
        <v/>
      </c>
      <c r="H24" s="9" t="inlineStr">
        <is>
          <t>Thanh 4</t>
        </is>
      </c>
    </row>
    <row r="25">
      <c r="A25" s="5" t="n">
        <v>15</v>
      </c>
      <c r="B25" s="9" t="inlineStr">
        <is>
          <t>Ống nhựa PVC D20 (lỗ thu nước)</t>
        </is>
      </c>
      <c r="C25" s="5" t="inlineStr">
        <is>
          <t>m</t>
        </is>
      </c>
      <c r="D25" s="9" t="inlineStr">
        <is>
          <t>0,18 x 10 lỗ x ROUND(L/10)</t>
        </is>
      </c>
      <c r="E25" s="10">
        <f>0.18*10</f>
        <v/>
      </c>
      <c r="F25" s="11">
        <f>$D$6</f>
        <v/>
      </c>
      <c r="G25" s="12">
        <f>ROUND(E25*F25,2)</f>
        <v/>
      </c>
      <c r="H25" s="9" t="inlineStr">
        <is>
          <t>10 lỗ/tấm, 10m/tấm có lỗ</t>
        </is>
      </c>
    </row>
    <row r="26">
      <c r="A26" s="5" t="n">
        <v>16</v>
      </c>
      <c r="B26" s="9" t="inlineStr">
        <is>
          <t>Lắp đặt tấm đan</t>
        </is>
      </c>
      <c r="C26" s="5" t="inlineStr">
        <is>
          <t>ck</t>
        </is>
      </c>
      <c r="D26" s="9" t="inlineStr">
        <is>
          <t>N</t>
        </is>
      </c>
      <c r="E26" s="10" t="n">
        <v>1</v>
      </c>
      <c r="F26" s="11">
        <f>$D$5</f>
        <v/>
      </c>
      <c r="G26" s="12">
        <f>ROUND(E26*F26,2)</f>
        <v/>
      </c>
      <c r="H26" s="9" t="inlineStr"/>
    </row>
    <row r="27">
      <c r="A27" s="7" t="inlineStr">
        <is>
          <t>III</t>
        </is>
      </c>
      <c r="B27" s="8" t="inlineStr">
        <is>
          <t>VẬN CHUYỂN CẤU KIỆN TẤM ĐAN (cự ly &lt;=1km)</t>
        </is>
      </c>
      <c r="C27" s="7" t="n"/>
      <c r="D27" s="7" t="n"/>
      <c r="E27" s="7" t="n"/>
      <c r="F27" s="7" t="n"/>
      <c r="G27" s="7" t="n"/>
      <c r="H27" s="7" t="n"/>
    </row>
    <row r="28">
      <c r="A28" s="5" t="n">
        <v>17</v>
      </c>
      <c r="B28" s="9" t="inlineStr">
        <is>
          <t>Bốc cấu kiện lên phương tiện vận chuyển</t>
        </is>
      </c>
      <c r="C28" s="5" t="inlineStr">
        <is>
          <t>ck</t>
        </is>
      </c>
      <c r="D28" s="9" t="inlineStr">
        <is>
          <t>N</t>
        </is>
      </c>
      <c r="E28" s="10" t="n">
        <v>1</v>
      </c>
      <c r="F28" s="11">
        <f>$D$5</f>
        <v/>
      </c>
      <c r="G28" s="12">
        <f>ROUND(E28*F28,2)</f>
        <v/>
      </c>
      <c r="H28" s="9" t="inlineStr"/>
    </row>
    <row r="29">
      <c r="A29" s="5" t="n">
        <v>18</v>
      </c>
      <c r="B29" s="9" t="inlineStr">
        <is>
          <t>Vận chuyển cấu kiện đến vị trí tập kết cự ly &lt;=1km</t>
        </is>
      </c>
      <c r="C29" s="5" t="inlineStr">
        <is>
          <t>ck</t>
        </is>
      </c>
      <c r="D29" s="9" t="inlineStr">
        <is>
          <t>N</t>
        </is>
      </c>
      <c r="E29" s="10" t="n">
        <v>1</v>
      </c>
      <c r="F29" s="11">
        <f>$D$5</f>
        <v/>
      </c>
      <c r="G29" s="12">
        <f>ROUND(E29*F29,2)</f>
        <v/>
      </c>
      <c r="H29" s="9" t="inlineStr"/>
    </row>
    <row r="30">
      <c r="A30" s="5" t="n">
        <v>19</v>
      </c>
      <c r="B30" s="9" t="inlineStr">
        <is>
          <t>Bốc xuống cấu kiện khỏi phương tiện vận chuyển</t>
        </is>
      </c>
      <c r="C30" s="5" t="inlineStr">
        <is>
          <t>ck</t>
        </is>
      </c>
      <c r="D30" s="9" t="inlineStr">
        <is>
          <t>N</t>
        </is>
      </c>
      <c r="E30" s="10" t="n">
        <v>1</v>
      </c>
      <c r="F30" s="11">
        <f>$D$5</f>
        <v/>
      </c>
      <c r="G30" s="12">
        <f>ROUND(E30*F30,2)</f>
        <v/>
      </c>
      <c r="H30" s="9" t="inlineStr"/>
    </row>
    <row r="31">
      <c r="A31" s="7" t="inlineStr">
        <is>
          <t>IV</t>
        </is>
      </c>
      <c r="B31" s="8" t="inlineStr">
        <is>
          <t>ĐÀO ĐẮP HỐ MÓNG RÃNH (tính theo MCN điển hình – tham khảo)</t>
        </is>
      </c>
      <c r="C31" s="7" t="n"/>
      <c r="D31" s="7" t="n"/>
      <c r="E31" s="7" t="n"/>
      <c r="F31" s="7" t="n"/>
      <c r="G31" s="7" t="n"/>
      <c r="H31" s="7" t="n"/>
    </row>
    <row r="32">
      <c r="A32" s="5" t="n">
        <v>20</v>
      </c>
      <c r="B32" s="9" t="inlineStr">
        <is>
          <t>Đào rãnh đất C2</t>
        </is>
      </c>
      <c r="C32" s="5" t="inlineStr">
        <is>
          <t>m3</t>
        </is>
      </c>
      <c r="D32" s="9" t="inlineStr">
        <is>
          <t>(1,44 + 2,0025)/2 x 0,75 x L</t>
        </is>
      </c>
      <c r="E32" s="10">
        <f>(1.44+(1.44+0.75*0.5+0.75*0.25))/2*0.75</f>
        <v/>
      </c>
      <c r="F32" s="11">
        <f>$D$4</f>
        <v/>
      </c>
      <c r="G32" s="12">
        <f>ROUND(E32*F32,2)</f>
        <v/>
      </c>
      <c r="H32" s="9" t="inlineStr">
        <is>
          <t>Đáy 1040+2x200; sâu 750; taluy 1:0,5 và 1:0,25</t>
        </is>
      </c>
    </row>
    <row r="33">
      <c r="A33" s="5" t="n">
        <v>21</v>
      </c>
      <c r="B33" s="9" t="inlineStr">
        <is>
          <t>Đắp đất trả móng rãnh K95</t>
        </is>
      </c>
      <c r="C33" s="5" t="inlineStr">
        <is>
          <t>m3</t>
        </is>
      </c>
      <c r="D33" s="9" t="inlineStr">
        <is>
          <t>(F đào − F kết cấu) x L</t>
        </is>
      </c>
      <c r="E33" s="10">
        <f>(1.44+(1.44+0.75*0.5+0.75*0.25))/2*0.75-(1.04*0.1*2+0.84*0.55+0.3*0.06/2)</f>
        <v/>
      </c>
      <c r="F33" s="11">
        <f>$D$4</f>
        <v/>
      </c>
      <c r="G33" s="12">
        <f>ROUND(E33*F33,2)</f>
        <v/>
      </c>
      <c r="H33" s="9" t="inlineStr">
        <is>
          <t>F kết cấu ≈ 0,679 m2/m</t>
        </is>
      </c>
    </row>
    <row r="35" ht="15" customHeight="1">
      <c r="A35" s="13" t="inlineStr">
        <is>
          <t>GHI CHÚ:</t>
        </is>
      </c>
    </row>
    <row r="36" ht="28" customHeight="1">
      <c r="A36" s="14" t="inlineStr">
        <is>
          <t>1. Hạng mục 1–16 lấy đúng công thức/đơn vị trong 'Bảng tổng hợp khối lượng chung dự án' (mục III – Rãnh dọc đường 40x40cm), thay L = 18 m.</t>
        </is>
      </c>
    </row>
    <row r="37" ht="28" customHeight="1">
      <c r="A37" s="14" t="inlineStr">
        <is>
          <t>2. Tấm đan L1 dài 1,0 m → 18 m rãnh = 18 tấm. Tấm đan có lỗ thu nước bố trí 10 m/tấm → ROUND(18/10) = 2 tấm có lỗ.</t>
        </is>
      </c>
    </row>
    <row r="38" ht="28" customHeight="1">
      <c r="A38" s="14" t="inlineStr">
        <is>
          <t>3. Khối lượng đào/đắp (mục IV) tính theo mặt cắt ngang điển hình trên bản vẽ (sâu 0,75 m tính từ mặt đường). Theo ghi chú bản vẽ, KL đào đắp chính thức tính theo cắt ngang chi tiết từng cọc – cần đối chiếu nếu đoạn 18 m có địa hình khác.</t>
        </is>
      </c>
    </row>
    <row r="39" ht="28" customHeight="1">
      <c r="A39" s="14" t="inlineStr">
        <is>
          <t>4. Thép có gờ dùng CB-400V, không gờ dùng CB-240T. Ô màu vàng (L) có thể sửa để tính cho chiều dài khác.</t>
        </is>
      </c>
    </row>
  </sheetData>
  <mergeCells count="7">
    <mergeCell ref="A39:H39"/>
    <mergeCell ref="A35:H35"/>
    <mergeCell ref="A38:H38"/>
    <mergeCell ref="A2:H2"/>
    <mergeCell ref="A36:H36"/>
    <mergeCell ref="A1:H1"/>
    <mergeCell ref="A37:H3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14" customWidth="1" min="4" max="4"/>
    <col width="9" customWidth="1" min="5" max="5"/>
    <col width="13" customWidth="1" min="6" max="6"/>
    <col width="13" customWidth="1" min="7" max="7"/>
    <col width="14" customWidth="1" min="8" max="8"/>
    <col width="26" customWidth="1" min="9" max="9"/>
  </cols>
  <sheetData>
    <row r="1">
      <c r="A1" s="15" t="inlineStr">
        <is>
          <t>THỐNG KÊ CỐT THÉP RÃNH DỌC 40x40cm (LOẠI 1)</t>
        </is>
      </c>
    </row>
    <row r="3" ht="32" customHeight="1">
      <c r="A3" s="6" t="inlineStr">
        <is>
          <t>Cấu kiện</t>
        </is>
      </c>
      <c r="B3" s="6" t="inlineStr">
        <is>
          <t>Số hiệu</t>
        </is>
      </c>
      <c r="C3" s="6" t="inlineStr">
        <is>
          <t>Đường kính (mm)</t>
        </is>
      </c>
      <c r="D3" s="6" t="inlineStr">
        <is>
          <t>Chiều dài 1 thanh (mm)</t>
        </is>
      </c>
      <c r="E3" s="6" t="inlineStr">
        <is>
          <t>Số thanh</t>
        </is>
      </c>
      <c r="F3" s="6" t="inlineStr">
        <is>
          <t>Tổng chiều dài (m)</t>
        </is>
      </c>
      <c r="G3" s="6" t="inlineStr">
        <is>
          <t>T.lượng đơn vị (kg/m)</t>
        </is>
      </c>
      <c r="H3" s="6" t="inlineStr">
        <is>
          <t>Trọng lượng (kg)</t>
        </is>
      </c>
      <c r="I3" s="6" t="inlineStr">
        <is>
          <t>Ghi chú</t>
        </is>
      </c>
    </row>
    <row r="4">
      <c r="A4" s="5" t="inlineStr">
        <is>
          <t>Mũ rãnh (1 m dài, 2 bên)</t>
        </is>
      </c>
      <c r="B4" s="5" t="n">
        <v>1</v>
      </c>
      <c r="C4" s="5" t="n">
        <v>10</v>
      </c>
      <c r="D4" s="5" t="n">
        <v>1000</v>
      </c>
      <c r="E4" s="5">
        <f>2*2</f>
        <v/>
      </c>
      <c r="F4" s="16">
        <f>D4*E4/1000</f>
        <v/>
      </c>
      <c r="G4" s="10">
        <f>ROUND(0.00617*10^2,4)</f>
        <v/>
      </c>
      <c r="H4" s="17">
        <f>ROUND(F4*G4,3)</f>
        <v/>
      </c>
      <c r="I4" s="5" t="inlineStr">
        <is>
          <t>2 thanh/mũ x 2 mũ</t>
        </is>
      </c>
    </row>
    <row r="5">
      <c r="A5" s="5" t="inlineStr"/>
      <c r="B5" s="5" t="n">
        <v>2</v>
      </c>
      <c r="C5" s="5" t="n">
        <v>6</v>
      </c>
      <c r="D5" s="5" t="n">
        <v>280</v>
      </c>
      <c r="E5" s="5">
        <f>ROUND(1000/200,0)*2</f>
        <v/>
      </c>
      <c r="F5" s="16">
        <f>D5*E5/1000</f>
        <v/>
      </c>
      <c r="G5" s="10">
        <f>ROUND(0.00617*6^2,4)</f>
        <v/>
      </c>
      <c r="H5" s="17">
        <f>ROUND(F5*G5,3)</f>
        <v/>
      </c>
      <c r="I5" s="5" t="inlineStr">
        <is>
          <t>D6a200, 5 đai/m x 2 mũ</t>
        </is>
      </c>
    </row>
    <row r="7">
      <c r="A7" t="inlineStr"/>
    </row>
    <row r="8">
      <c r="A8" s="18" t="inlineStr">
        <is>
          <t>Tổng thép mũ rãnh D&lt;=10 (kg/m dài rãnh)</t>
        </is>
      </c>
      <c r="B8" s="18" t="n"/>
      <c r="C8" s="18" t="n"/>
      <c r="D8" s="18" t="n"/>
      <c r="E8" s="18" t="n"/>
      <c r="F8" s="18" t="n"/>
      <c r="G8" s="18" t="n"/>
      <c r="H8" s="19">
        <f>SUM(H4:H5)</f>
        <v/>
      </c>
      <c r="I8" s="18" t="n"/>
    </row>
    <row r="10">
      <c r="A10" s="5" t="inlineStr">
        <is>
          <t>Tấm đan L1 (1 tấm)</t>
        </is>
      </c>
      <c r="B10" s="5" t="n">
        <v>3</v>
      </c>
      <c r="C10" s="5" t="n">
        <v>10</v>
      </c>
      <c r="D10" s="5" t="n">
        <v>780</v>
      </c>
      <c r="E10" s="5" t="n">
        <v>6</v>
      </c>
      <c r="F10" s="16">
        <f>D10*E10/1000</f>
        <v/>
      </c>
      <c r="G10" s="10">
        <f>ROUND(0.00617*10^2,4)</f>
        <v/>
      </c>
      <c r="H10" s="17">
        <f>ROUND(F10*G10,3)</f>
        <v/>
      </c>
      <c r="I10" s="5" t="inlineStr">
        <is>
          <t>Thép chịu lực trên</t>
        </is>
      </c>
    </row>
    <row r="11">
      <c r="A11" s="5" t="inlineStr"/>
      <c r="B11" s="5" t="n">
        <v>4</v>
      </c>
      <c r="C11" s="5" t="n">
        <v>12</v>
      </c>
      <c r="D11" s="5" t="n">
        <v>780</v>
      </c>
      <c r="E11" s="5" t="n">
        <v>6</v>
      </c>
      <c r="F11" s="16">
        <f>D11*E11/1000</f>
        <v/>
      </c>
      <c r="G11" s="10">
        <f>ROUND(0.00617*12^2,4)</f>
        <v/>
      </c>
      <c r="H11" s="17">
        <f>ROUND(F11*G11,3)</f>
        <v/>
      </c>
      <c r="I11" s="5" t="inlineStr">
        <is>
          <t>Thép chịu lực dưới</t>
        </is>
      </c>
    </row>
    <row r="12">
      <c r="A12" s="5" t="inlineStr"/>
      <c r="B12" s="5" t="n">
        <v>5</v>
      </c>
      <c r="C12" s="5" t="n">
        <v>8</v>
      </c>
      <c r="D12" s="5" t="n">
        <v>2150</v>
      </c>
      <c r="E12" s="5" t="n">
        <v>5</v>
      </c>
      <c r="F12" s="16">
        <f>D12*E12/1000</f>
        <v/>
      </c>
      <c r="G12" s="10">
        <f>ROUND(0.00617*8^2,4)</f>
        <v/>
      </c>
      <c r="H12" s="17">
        <f>ROUND(F12*G12,3)</f>
        <v/>
      </c>
      <c r="I12" s="5" t="inlineStr">
        <is>
          <t>Thép đai/phân bố</t>
        </is>
      </c>
    </row>
    <row r="13">
      <c r="A13" s="5" t="inlineStr"/>
      <c r="B13" s="5" t="n">
        <v>6</v>
      </c>
      <c r="C13" s="5" t="n">
        <v>10</v>
      </c>
      <c r="D13" s="5" t="n">
        <v>650</v>
      </c>
      <c r="E13" s="5" t="n">
        <v>2</v>
      </c>
      <c r="F13" s="16">
        <f>D13*E13/1000</f>
        <v/>
      </c>
      <c r="G13" s="10">
        <f>ROUND(0.00617*10^2,4)</f>
        <v/>
      </c>
      <c r="H13" s="17">
        <f>ROUND(F13*G13,3)</f>
        <v/>
      </c>
      <c r="I13" s="5" t="inlineStr">
        <is>
          <t>Móc cẩu</t>
        </is>
      </c>
    </row>
    <row r="16">
      <c r="A16" s="18" t="inlineStr">
        <is>
          <t>Tổng thép tấm đan D&lt;=10 (kg/tấm)</t>
        </is>
      </c>
      <c r="B16" s="18" t="n"/>
      <c r="C16" s="18" t="n"/>
      <c r="D16" s="18" t="n"/>
      <c r="E16" s="18" t="n"/>
      <c r="F16" s="18" t="n"/>
      <c r="G16" s="18" t="n"/>
      <c r="H16" s="19">
        <f>H10+H12+H13</f>
        <v/>
      </c>
      <c r="I16" s="18" t="n"/>
    </row>
    <row r="17">
      <c r="A17" s="18" t="inlineStr">
        <is>
          <t>Tổng thép tấm đan D&gt;10 (kg/tấm)</t>
        </is>
      </c>
      <c r="B17" s="18" t="n"/>
      <c r="C17" s="18" t="n"/>
      <c r="D17" s="18" t="n"/>
      <c r="E17" s="18" t="n"/>
      <c r="F17" s="18" t="n"/>
      <c r="G17" s="18" t="n"/>
      <c r="H17" s="19">
        <f>H11</f>
        <v/>
      </c>
      <c r="I17" s="18" t="n"/>
    </row>
    <row r="19" ht="30" customHeight="1">
      <c r="A19" s="14" t="inlineStr">
        <is>
          <t>Đối chiếu bản vẽ: bảng KL 1 tấm đan L1 ghi φ&lt;=10 = 7,93 kg; φ&gt;10 = 4,15 kg; BTHKL ghi thép mũ 3,09 kg/m. T.lượng đơn vị = 0,00617 x d² (kg/m).</t>
        </is>
      </c>
    </row>
  </sheetData>
  <mergeCells count="5">
    <mergeCell ref="A19:I19"/>
    <mergeCell ref="A17:G17"/>
    <mergeCell ref="A8:G8"/>
    <mergeCell ref="A1:I1"/>
    <mergeCell ref="A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2026-10-14T03:38:12Z</dcterms:created>
  <dcterms:modified xmlns:dcterms="http://purl.org/dc/terms/" xmlns:xsi="http://www.w3.org/2001/XMLSchema-instance" xsi:type="dcterms:W3CDTF">2026-10-14T03:38:12Z</dcterms:modified>
</cp:coreProperties>
</file>