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<sst xmlns="http://schemas.openxmlformats.org/spreadsheetml/2006/main" count="300" uniqueCount="53">
  <si>
    <t xml:space="preserve">PHỤ LỤC KIỂM TRA CAO ĐỘ, KÍCH THƯỚC HÌNH HỌC</t>
  </si>
  <si>
    <t xml:space="preserve">Kèm theo BBNT số: 17.NĐXD8/CVXD ngày 24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</si>
  <si>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</si>
  <si>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</si>
  <si>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</si>
  <si>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XD8</t>
  </si>
  <si>
    <t xml:space="preserve">- Đối tượng nghiệm thu:</t>
  </si>
  <si>
    <t xml:space="preserve">Đắp đất nền đường lớp 1, độ chặt K&gt;=0,98 đoạn từ Km0+224,25 - Km0+394,75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</si>
  <si>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</si>
  <si>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</si>
  <si>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</si>
  <si>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</si>
  <si>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</si>
  <si>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</si>
  <si>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</si>
  <si>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</si>
  <si>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</si>
  <si>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</si>
  <si>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</si>
  <si>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</si>
  <si>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</si>
  <si>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</si>
  <si>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</si>
  <si>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12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</si>
  <si>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</si>
  <si>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</si>
  <si>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</si>
  <si>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</si>
  <si>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</si>
  <si>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</si>
  <si>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</si>
  <si>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</si>
  <si>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</si>
  <si>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</si>
  <si>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</si>
  <si>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</si>
  <si>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</si>
  <si>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</si>
  <si>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</si>
  <si>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</si>
  <si>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</si>
  <si>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</si>
  <si>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</si>
  <si>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</si>
  <si>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</si>
  <si>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</si>
  <si>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19.NĐXD8/CVXD ngày 25 tháng 08 năm 2026</t>
  </si>
  <si>
    <t xml:space="preserve">Đắp đất nền đường lớp 2, độ chặt K&gt;=0,98 đoạn từ Km0+224,25 - Km0+394,75</t>
  </si>
  <si>
    <t xml:space="preserve">Kèm theo BBNT số: 21.NĐXD8/CVXD ngày 26 tháng 08 năm 2026</t>
  </si>
  <si>
    <t xml:space="preserve">Đắp cấp phối đá dăm loại 2 đoạn từ Km0+224,25 - Km0+394,75</t>
  </si>
  <si>
    <t xml:space="preserve">Kèm theo BBNT số: 24.NĐXD8/CVXD ngày 27 tháng 08 năm 2026</t>
  </si>
  <si>
    <t xml:space="preserve">Đắp cấp phối đá dăm loại 1 đoạn từ Km0+224,25 - Km0+394,75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</si>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</sst>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Km0+224,25 -:- Km0+394,75</v>
          </cell>
          <cell r="D3" t="str">
            <v xml:space="preserve">ngày 15 tháng 08 năm 2026</v>
          </cell>
          <cell r="G3" t="str">
            <v xml:space="preserve">01.NĐXD8/CVXD </v>
          </cell>
        </row>
        <row r="4">
          <cell r="A4">
            <v>2</v>
          </cell>
          <cell r="B4" t="str">
            <v xml:space="preserve">Đào đất xử lý nền đường đoạn từ Km0+224,25 - Km0+394,75</v>
          </cell>
          <cell r="D4" t="str">
            <v xml:space="preserve">ngày 16 tháng 08 năm 2026</v>
          </cell>
          <cell r="G4" t="str">
            <v xml:space="preserve">02.NĐXD8/CVXD </v>
          </cell>
        </row>
        <row r="5">
          <cell r="A5">
            <v>3</v>
          </cell>
          <cell r="B5" t="str">
            <v xml:space="preserve">Rải vải địa kỹ thuật đoạn từ Km0+224,25 - Km0+394,75</v>
          </cell>
          <cell r="D5" t="str">
            <v xml:space="preserve">ngày 17 tháng 08 năm 2026</v>
          </cell>
          <cell r="G5" t="str">
            <v xml:space="preserve">03.NĐXD8/CVXD </v>
          </cell>
        </row>
        <row r="6">
          <cell r="A6">
            <v>4</v>
          </cell>
          <cell r="B6" t="str">
            <v xml:space="preserve">Đắp cát nền đường lớp 1 đoạn từ Km0+224,25 - Km0+394,75, độ chặt K&gt;=0,95</v>
          </cell>
          <cell r="D6" t="str">
            <v xml:space="preserve">ngày 17 tháng 08 năm 2026</v>
          </cell>
          <cell r="G6" t="str">
            <v xml:space="preserve">04.NĐXD8/CVXD </v>
          </cell>
        </row>
        <row r="7">
          <cell r="A7">
            <v>5</v>
          </cell>
          <cell r="B7" t="str">
            <v xml:space="preserve">Đắp cát nền đường lớp 2 đoạn từ Km0+224,25 - Km0+394,75, độ chặt K&gt;=0,95</v>
          </cell>
          <cell r="D7" t="str">
            <v xml:space="preserve">ngày 18 tháng 08 năm 2026</v>
          </cell>
          <cell r="G7" t="str">
            <v xml:space="preserve">05.NĐXD8/CVXD </v>
          </cell>
        </row>
        <row r="8">
          <cell r="A8">
            <v>6</v>
          </cell>
          <cell r="B8" t="str">
            <v xml:space="preserve">Đắp cát nền đường lớp 3 đoạn từ Km0+224,25 - Km0+394,75, độ chặt K&gt;=0,95</v>
          </cell>
          <cell r="D8" t="str">
            <v xml:space="preserve">ngày 18 tháng 08 năm 2026</v>
          </cell>
          <cell r="G8" t="str">
            <v xml:space="preserve">06.NĐXD8/CVXD </v>
          </cell>
        </row>
        <row r="9">
          <cell r="A9">
            <v>7</v>
          </cell>
          <cell r="B9" t="str">
            <v xml:space="preserve">Đắp cát nền đường lớp 4 đoạn từ Km0+224,25 - Km0+394,75, độ chặt K&gt;=0,95</v>
          </cell>
          <cell r="D9" t="str">
            <v xml:space="preserve">ngày 19 tháng 08 năm 2026</v>
          </cell>
          <cell r="G9" t="str">
            <v xml:space="preserve">07.NĐXD8/CVXD </v>
          </cell>
        </row>
        <row r="10">
          <cell r="A10">
            <v>8</v>
          </cell>
          <cell r="B10" t="str">
            <v xml:space="preserve">Đắp đất nền đường lớp 1 đoạn từ Km0+224,25 - Km0+394,75, độ chặt K&gt;=0,95</v>
          </cell>
          <cell r="D10" t="str">
            <v xml:space="preserve">ngày 19 tháng 08 năm 2026</v>
          </cell>
          <cell r="G10" t="str">
            <v xml:space="preserve">08.NĐXD8/CVXD </v>
          </cell>
        </row>
        <row r="11">
          <cell r="A11">
            <v>9</v>
          </cell>
          <cell r="B11" t="str">
            <v xml:space="preserve">Đắp đất nền đường lớp 2 đoạn từ Km0+224,25 - Km0+394,75, độ chặt K&gt;=0,95</v>
          </cell>
          <cell r="D11" t="str">
            <v xml:space="preserve">ngày 20 tháng 08 năm 2026</v>
          </cell>
          <cell r="G11" t="str">
            <v xml:space="preserve">09.NĐXD8/CVXD </v>
          </cell>
        </row>
        <row r="12">
          <cell r="A12">
            <v>10</v>
          </cell>
          <cell r="B12" t="str">
            <v xml:space="preserve">Đắp đất nền đường lớp 3 đoạn từ Km0+224,25 - Km0+394,75, độ chặt K&gt;=0,95</v>
          </cell>
          <cell r="D12" t="str">
            <v xml:space="preserve">ngày 20 tháng 08 năm 2026</v>
          </cell>
          <cell r="G12" t="str">
            <v xml:space="preserve">10.NĐXD8/CVXD </v>
          </cell>
        </row>
        <row r="13">
          <cell r="A13">
            <v>11</v>
          </cell>
          <cell r="B13" t="str">
            <v xml:space="preserve">Đắp đất nền đường lớp 4 đoạn từ Km0+224,25 - Km0+394,75, độ chặt K&gt;=0,95</v>
          </cell>
          <cell r="D13" t="str">
            <v xml:space="preserve">ngày 21 tháng 08 năm 2026</v>
          </cell>
          <cell r="G13" t="str">
            <v xml:space="preserve">11.NĐXD8/CVXD </v>
          </cell>
        </row>
        <row r="14">
          <cell r="A14">
            <v>12</v>
          </cell>
          <cell r="B14" t="str">
            <v xml:space="preserve">Đắp đất nền đường lớp 5 đoạn từ Km0+224,25 - Km0+394,75, độ chặt K&gt;=0,95</v>
          </cell>
          <cell r="D14" t="str">
            <v xml:space="preserve">ngày 21 tháng 08 năm 2026</v>
          </cell>
          <cell r="G14" t="str">
            <v xml:space="preserve">12.NĐXD8/CVXD </v>
          </cell>
        </row>
        <row r="15">
          <cell r="A15">
            <v>13</v>
          </cell>
          <cell r="B15" t="str">
            <v xml:space="preserve">Đắp đất nền đường lớp 6 đoạn từ Km0+224,25 - Km0+394,75, độ chặt K&gt;=0,95</v>
          </cell>
          <cell r="D15" t="str">
            <v xml:space="preserve">ngày 22 tháng 08 năm 2026</v>
          </cell>
          <cell r="G15" t="str">
            <v xml:space="preserve">13.NĐXD8/CVXD </v>
          </cell>
        </row>
        <row r="16">
          <cell r="A16">
            <v>14</v>
          </cell>
          <cell r="B16" t="str">
            <v xml:space="preserve">Đắp đất nền đường lớp 7 đoạn từ Km0+224,25 - Km0+394,75, độ chặt K&gt;=0,95</v>
          </cell>
          <cell r="D16" t="str">
            <v xml:space="preserve">ngày 22 tháng 08 năm 2026</v>
          </cell>
          <cell r="G16" t="str">
            <v xml:space="preserve">14.NĐXD8/CVXD </v>
          </cell>
        </row>
        <row r="17">
          <cell r="A17">
            <v>15</v>
          </cell>
          <cell r="B17" t="str">
            <v xml:space="preserve">Đắp đất nền đường lớp 8 đoạn từ Km0+224,25 - Km0+394,75, độ chặt K&gt;=0,95</v>
          </cell>
          <cell r="D17" t="str">
            <v xml:space="preserve">ngày 23 tháng 08 năm 2026</v>
          </cell>
          <cell r="G17" t="str">
            <v xml:space="preserve">15.NĐXD8/CVXD </v>
          </cell>
        </row>
        <row r="18">
          <cell r="A18">
            <v>16</v>
          </cell>
          <cell r="B18" t="str">
            <v xml:space="preserve">Đắp đất nền đường lớp 9 đoạn từ Km0+224,25 - Km0+394,75, độ chặt K&gt;=0,95</v>
          </cell>
          <cell r="D18" t="str">
            <v xml:space="preserve">ngày 23 tháng 08 năm 2026</v>
          </cell>
          <cell r="G18" t="str">
            <v xml:space="preserve">16.NĐXD8/CVXD </v>
          </cell>
        </row>
        <row r="19">
          <cell r="A19">
            <v>17</v>
          </cell>
          <cell r="B19" t="str">
            <v xml:space="preserve">Đắp đất nền đường lớp 1, độ chặt K&gt;=0,98 đoạn từ Km0+224,25 - Km0+394,75</v>
          </cell>
          <cell r="D19" t="str">
            <v xml:space="preserve">ngày 24 tháng 08 năm 2026</v>
          </cell>
          <cell r="G19" t="str">
            <v xml:space="preserve">17.NĐXD8/CVXD </v>
          </cell>
        </row>
        <row r="20">
          <cell r="A20">
            <v>18</v>
          </cell>
          <cell r="B20" t="str">
            <v xml:space="preserve">Đắp đất lề đường lớp 1, độ chặt K&gt;=0,95 đoạn từ Km0+224,25 - Km0+394,75</v>
          </cell>
          <cell r="D20" t="str">
            <v xml:space="preserve">ngày 24 tháng 08 năm 2026</v>
          </cell>
          <cell r="G20" t="str">
            <v xml:space="preserve">18.NĐXD8/CVXD </v>
          </cell>
        </row>
        <row r="21">
          <cell r="A21">
            <v>19</v>
          </cell>
          <cell r="B21" t="str">
            <v xml:space="preserve">Đắp đất nền đường lớp 2, độ chặt K&gt;=0,98 đoạn từ Km0+224,25 - Km0+394,75</v>
          </cell>
          <cell r="D21" t="str">
            <v xml:space="preserve">ngày 25 tháng 08 năm 2026</v>
          </cell>
          <cell r="G21" t="str">
            <v xml:space="preserve">19.NĐXD8/CVXD </v>
          </cell>
        </row>
        <row r="22">
          <cell r="A22">
            <v>20</v>
          </cell>
          <cell r="B22" t="str">
            <v xml:space="preserve">Đắp đất lề đường lớp 2, độ chặt K&gt;=0,95 đoạn từ Km0+224,25 - Km0+394,75</v>
          </cell>
          <cell r="D22" t="str">
            <v xml:space="preserve">ngày 25 tháng 08 năm 2026</v>
          </cell>
          <cell r="G22" t="str">
            <v xml:space="preserve">20.NĐXD8/CVXD </v>
          </cell>
        </row>
        <row r="23">
          <cell r="A23">
            <v>21</v>
          </cell>
          <cell r="B23" t="str">
            <v xml:space="preserve">Đắp cấp phối đá dăm loại 2 đoạn từ Km0+224,25 - Km0+394,75</v>
          </cell>
          <cell r="D23" t="str">
            <v xml:space="preserve">ngày 26 tháng 08 năm 2026</v>
          </cell>
          <cell r="G23" t="str">
            <v xml:space="preserve">21.NĐXD8/CVXD </v>
          </cell>
        </row>
        <row r="24">
          <cell r="A24">
            <v>22</v>
          </cell>
          <cell r="B24" t="str">
            <v xml:space="preserve">Đắp đất lề đường lớp 3, độ chặt K&gt;=0,95 đoạn từ Km0+224,25 - Km0+394,75</v>
          </cell>
          <cell r="D24" t="str">
            <v xml:space="preserve">ngày 26 tháng 08 năm 2026</v>
          </cell>
          <cell r="G24" t="str">
            <v xml:space="preserve">22.NĐXD8/CVXD </v>
          </cell>
        </row>
        <row r="25">
          <cell r="A25">
            <v>23</v>
          </cell>
          <cell r="B25" t="str">
            <v xml:space="preserve">Đắp đất lề đường lớp 4, độ chặt K&gt;=0,95 đoạn từ Km0+224,25 - Km0+394,75</v>
          </cell>
          <cell r="D25" t="str">
            <v xml:space="preserve">ngày 27 tháng 08 năm 2026</v>
          </cell>
          <cell r="G25" t="str">
            <v xml:space="preserve">23.NĐXD8/CVXD </v>
          </cell>
        </row>
        <row r="26">
          <cell r="A26">
            <v>24</v>
          </cell>
          <cell r="B26" t="str">
            <v xml:space="preserve">Đắp cấp phối đá dăm loại 1 đoạn từ Km0+224,25 - Km0+394,75</v>
          </cell>
          <cell r="D26" t="str">
            <v xml:space="preserve">ngày 27 tháng 08 năm 2026</v>
          </cell>
          <cell r="G26" t="str">
            <v xml:space="preserve">24.NĐXD8/CVXD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25.NĐXD8/CVXD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26.NĐXD8/CVXD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27.NĐXD8/CVXD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17.NĐXD8/CVXD ngày 24 tháng 08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17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1, độ chặt K&gt;=0,98 đoạn từ Km0+224,25 - Km0+394,75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224.25</v>
      </c>
      <c r="D23" s="16" t="n">
        <v>-5.25</v>
      </c>
      <c r="E23" s="16" t="n">
        <f aca="false">+D23+F23</f>
        <v>-5.2479</v>
      </c>
      <c r="F23" s="16" t="n">
        <f aca="false">RANDBETWEEN(-105,115)/10000</f>
        <v>0.0021</v>
      </c>
      <c r="G23" s="16" t="n">
        <f aca="false">J23-4.95*2%-0.3*6%</f>
        <v>2.292</v>
      </c>
      <c r="H23" s="16" t="n">
        <f aca="false">G23+I23</f>
        <v>2.336</v>
      </c>
      <c r="I23" s="16" t="n">
        <f aca="false">RANDBETWEEN(-20,70)/1000</f>
        <v>0.044</v>
      </c>
      <c r="J23" s="16" t="n">
        <f aca="false">W23+0.25</f>
        <v>2.409</v>
      </c>
      <c r="K23" s="16" t="n">
        <f aca="false">J23+L23</f>
        <v>2.471</v>
      </c>
      <c r="L23" s="16" t="n">
        <f aca="false">RANDBETWEEN(-20,70)/1000</f>
        <v>0.062</v>
      </c>
      <c r="M23" s="16" t="n">
        <v>5.25</v>
      </c>
      <c r="N23" s="16" t="n">
        <f aca="false">+M23+O23</f>
        <v>5.2478</v>
      </c>
      <c r="O23" s="16" t="n">
        <f aca="false">RANDBETWEEN(-105,115)/10000</f>
        <v>-0.0022</v>
      </c>
      <c r="P23" s="16" t="n">
        <f aca="false">G23</f>
        <v>2.292</v>
      </c>
      <c r="Q23" s="16" t="n">
        <f aca="false">P23+R23</f>
        <v>2.351</v>
      </c>
      <c r="R23" s="16" t="n">
        <f aca="false">RANDBETWEEN(-20,70)/1000</f>
        <v>0.059</v>
      </c>
      <c r="S23" s="17"/>
      <c r="T23" s="18" t="n">
        <v>21.5</v>
      </c>
      <c r="V23" s="19"/>
      <c r="W23" s="20" t="n">
        <v>2.159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245.75</v>
      </c>
      <c r="D24" s="16" t="n">
        <v>-5.25</v>
      </c>
      <c r="E24" s="16" t="n">
        <f aca="false">+D24+F24</f>
        <v>-5.2407</v>
      </c>
      <c r="F24" s="16" t="n">
        <f aca="false">RANDBETWEEN(-105,115)/10000</f>
        <v>0.0093</v>
      </c>
      <c r="G24" s="16" t="n">
        <f aca="false">J24-4.95*2%-0.3*6%</f>
        <v>2.273</v>
      </c>
      <c r="H24" s="16" t="n">
        <f aca="false">G24+I24</f>
        <v>2.289</v>
      </c>
      <c r="I24" s="16" t="n">
        <f aca="false">RANDBETWEEN(-20,70)/1000</f>
        <v>0.016</v>
      </c>
      <c r="J24" s="16" t="n">
        <f aca="false">W24+0.25</f>
        <v>2.39</v>
      </c>
      <c r="K24" s="16" t="n">
        <f aca="false">J24+L24</f>
        <v>2.407</v>
      </c>
      <c r="L24" s="16" t="n">
        <f aca="false">RANDBETWEEN(-20,70)/1000</f>
        <v>0.017</v>
      </c>
      <c r="M24" s="16" t="n">
        <v>5.25</v>
      </c>
      <c r="N24" s="16" t="n">
        <f aca="false">+M24+O24</f>
        <v>5.2591</v>
      </c>
      <c r="O24" s="16" t="n">
        <f aca="false">RANDBETWEEN(-105,115)/10000</f>
        <v>0.0091</v>
      </c>
      <c r="P24" s="16" t="n">
        <f aca="false">G24</f>
        <v>2.273</v>
      </c>
      <c r="Q24" s="16" t="n">
        <f aca="false">P24+R24</f>
        <v>2.328</v>
      </c>
      <c r="R24" s="16" t="n">
        <f aca="false">RANDBETWEEN(-20,70)/1000</f>
        <v>0.055</v>
      </c>
      <c r="S24" s="17"/>
      <c r="T24" s="18" t="n">
        <v>11.75</v>
      </c>
      <c r="V24" s="19"/>
      <c r="W24" s="20" t="n">
        <v>2.14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257.5</v>
      </c>
      <c r="D25" s="16" t="n">
        <v>-5.25</v>
      </c>
      <c r="E25" s="16" t="n">
        <f aca="false">+D25+F25</f>
        <v>-5.246</v>
      </c>
      <c r="F25" s="16" t="n">
        <f aca="false">RANDBETWEEN(-105,115)/10000</f>
        <v>0.004</v>
      </c>
      <c r="G25" s="16" t="n">
        <f aca="false">J25-4.95*2%-0.3*6%</f>
        <v>2.265</v>
      </c>
      <c r="H25" s="16" t="n">
        <f aca="false">G25+I25</f>
        <v>2.249</v>
      </c>
      <c r="I25" s="16" t="n">
        <f aca="false">RANDBETWEEN(-20,70)/1000</f>
        <v>-0.016</v>
      </c>
      <c r="J25" s="16" t="n">
        <f aca="false">W25+0.25</f>
        <v>2.382</v>
      </c>
      <c r="K25" s="16" t="n">
        <f aca="false">J25+L25</f>
        <v>2.4</v>
      </c>
      <c r="L25" s="16" t="n">
        <f aca="false">RANDBETWEEN(-20,70)/1000</f>
        <v>0.018</v>
      </c>
      <c r="M25" s="16" t="n">
        <v>5.25</v>
      </c>
      <c r="N25" s="16" t="n">
        <f aca="false">+M25+O25</f>
        <v>5.2396</v>
      </c>
      <c r="O25" s="16" t="n">
        <f aca="false">RANDBETWEEN(-105,115)/10000</f>
        <v>-0.0104</v>
      </c>
      <c r="P25" s="16" t="n">
        <f aca="false">G25</f>
        <v>2.265</v>
      </c>
      <c r="Q25" s="16" t="n">
        <f aca="false">P25+R25</f>
        <v>2.274</v>
      </c>
      <c r="R25" s="16" t="n">
        <f aca="false">RANDBETWEEN(-20,70)/1000</f>
        <v>0.009</v>
      </c>
      <c r="S25" s="17"/>
      <c r="T25" s="18" t="n">
        <v>11.75</v>
      </c>
      <c r="V25" s="19"/>
      <c r="W25" s="20" t="n">
        <v>2.132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269.25</v>
      </c>
      <c r="D26" s="16" t="n">
        <v>-5.25</v>
      </c>
      <c r="E26" s="16" t="n">
        <f aca="false">+D26+F26</f>
        <v>-5.2396</v>
      </c>
      <c r="F26" s="16" t="n">
        <f aca="false">RANDBETWEEN(-105,115)/10000</f>
        <v>0.0104</v>
      </c>
      <c r="G26" s="16" t="n">
        <f aca="false">J26-4.95*2%-0.3*6%</f>
        <v>2.256</v>
      </c>
      <c r="H26" s="16" t="n">
        <f aca="false">G26+I26</f>
        <v>2.264</v>
      </c>
      <c r="I26" s="16" t="n">
        <f aca="false">RANDBETWEEN(-20,70)/1000</f>
        <v>0.008</v>
      </c>
      <c r="J26" s="16" t="n">
        <f aca="false">W26+0.25</f>
        <v>2.373</v>
      </c>
      <c r="K26" s="16" t="n">
        <f aca="false">J26+L26</f>
        <v>2.357</v>
      </c>
      <c r="L26" s="16" t="n">
        <f aca="false">RANDBETWEEN(-20,70)/1000</f>
        <v>-0.016</v>
      </c>
      <c r="M26" s="16" t="n">
        <v>5.25</v>
      </c>
      <c r="N26" s="16" t="n">
        <f aca="false">+M26+O26</f>
        <v>5.2604</v>
      </c>
      <c r="O26" s="16" t="n">
        <f aca="false">RANDBETWEEN(-105,115)/10000</f>
        <v>0.0104</v>
      </c>
      <c r="P26" s="16" t="n">
        <f aca="false">G26</f>
        <v>2.256</v>
      </c>
      <c r="Q26" s="16" t="n">
        <f aca="false">P26+R26</f>
        <v>2.258</v>
      </c>
      <c r="R26" s="16" t="n">
        <f aca="false">RANDBETWEEN(-20,70)/1000</f>
        <v>0.002</v>
      </c>
      <c r="S26" s="17"/>
      <c r="T26" s="18" t="n">
        <v>20</v>
      </c>
      <c r="V26" s="19"/>
      <c r="W26" s="20" t="n">
        <v>2.123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289.25</v>
      </c>
      <c r="D27" s="16" t="n">
        <v>-5.25</v>
      </c>
      <c r="E27" s="16" t="n">
        <f aca="false">+D27+F27</f>
        <v>-5.2552</v>
      </c>
      <c r="F27" s="16" t="n">
        <f aca="false">RANDBETWEEN(-105,115)/10000</f>
        <v>-0.0052</v>
      </c>
      <c r="G27" s="16" t="n">
        <f aca="false">J27-4.95*2%-0.3*6%</f>
        <v>2.245</v>
      </c>
      <c r="H27" s="16" t="n">
        <f aca="false">G27+I27</f>
        <v>2.246</v>
      </c>
      <c r="I27" s="16" t="n">
        <f aca="false">RANDBETWEEN(-20,70)/1000</f>
        <v>0.001</v>
      </c>
      <c r="J27" s="16" t="n">
        <f aca="false">W27+0.25</f>
        <v>2.362</v>
      </c>
      <c r="K27" s="16" t="n">
        <f aca="false">J27+L27</f>
        <v>2.431</v>
      </c>
      <c r="L27" s="16" t="n">
        <f aca="false">RANDBETWEEN(-20,70)/1000</f>
        <v>0.069</v>
      </c>
      <c r="M27" s="16" t="n">
        <v>5.25</v>
      </c>
      <c r="N27" s="16" t="n">
        <f aca="false">+M27+O27</f>
        <v>5.2604</v>
      </c>
      <c r="O27" s="16" t="n">
        <f aca="false">RANDBETWEEN(-105,115)/10000</f>
        <v>0.0104</v>
      </c>
      <c r="P27" s="16" t="n">
        <f aca="false">G27</f>
        <v>2.245</v>
      </c>
      <c r="Q27" s="16" t="n">
        <f aca="false">P27+R27</f>
        <v>2.244</v>
      </c>
      <c r="R27" s="16" t="n">
        <f aca="false">RANDBETWEEN(-20,70)/1000</f>
        <v>-0.001</v>
      </c>
      <c r="S27" s="17"/>
      <c r="T27" s="18" t="n">
        <v>20</v>
      </c>
      <c r="V27" s="19"/>
      <c r="W27" s="20" t="n">
        <v>2.112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309.25</v>
      </c>
      <c r="D28" s="16" t="n">
        <v>-5.25</v>
      </c>
      <c r="E28" s="16" t="n">
        <f aca="false">+D28+F28</f>
        <v>-5.2472</v>
      </c>
      <c r="F28" s="16" t="n">
        <f aca="false">RANDBETWEEN(-105,115)/10000</f>
        <v>0.0028</v>
      </c>
      <c r="G28" s="16" t="n">
        <f aca="false">J28-4.95*2%-0.3*6%</f>
        <v>2.234</v>
      </c>
      <c r="H28" s="16" t="n">
        <f aca="false">G28+I28</f>
        <v>2.292</v>
      </c>
      <c r="I28" s="16" t="n">
        <f aca="false">RANDBETWEEN(-20,70)/1000</f>
        <v>0.058</v>
      </c>
      <c r="J28" s="16" t="n">
        <f aca="false">W28+0.25</f>
        <v>2.351</v>
      </c>
      <c r="K28" s="16" t="n">
        <f aca="false">J28+L28</f>
        <v>2.411</v>
      </c>
      <c r="L28" s="16" t="n">
        <f aca="false">RANDBETWEEN(-20,70)/1000</f>
        <v>0.06</v>
      </c>
      <c r="M28" s="16" t="n">
        <v>5.25</v>
      </c>
      <c r="N28" s="16" t="n">
        <f aca="false">+M28+O28</f>
        <v>5.2558</v>
      </c>
      <c r="O28" s="16" t="n">
        <f aca="false">RANDBETWEEN(-105,115)/10000</f>
        <v>0.0058</v>
      </c>
      <c r="P28" s="16" t="n">
        <f aca="false">G28</f>
        <v>2.234</v>
      </c>
      <c r="Q28" s="16" t="n">
        <f aca="false">P28+R28</f>
        <v>2.251</v>
      </c>
      <c r="R28" s="16" t="n">
        <f aca="false">RANDBETWEEN(-20,70)/1000</f>
        <v>0.017</v>
      </c>
      <c r="S28" s="17"/>
      <c r="T28" s="18" t="n">
        <v>20</v>
      </c>
      <c r="V28" s="19"/>
      <c r="W28" s="20" t="n">
        <v>2.101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329.25</v>
      </c>
      <c r="D29" s="16" t="n">
        <v>-5.25</v>
      </c>
      <c r="E29" s="16" t="n">
        <f aca="false">+D29+F29</f>
        <v>-5.2493</v>
      </c>
      <c r="F29" s="16" t="n">
        <f aca="false">RANDBETWEEN(-105,115)/10000</f>
        <v>0.0007</v>
      </c>
      <c r="G29" s="16" t="n">
        <f aca="false">J29-4.95*2%-0.3*6%</f>
        <v>2.223</v>
      </c>
      <c r="H29" s="16" t="n">
        <f aca="false">G29+I29</f>
        <v>2.23</v>
      </c>
      <c r="I29" s="16" t="n">
        <f aca="false">RANDBETWEEN(-20,70)/1000</f>
        <v>0.007</v>
      </c>
      <c r="J29" s="16" t="n">
        <f aca="false">W29+0.25</f>
        <v>2.34</v>
      </c>
      <c r="K29" s="16" t="n">
        <f aca="false">J29+L29</f>
        <v>2.323</v>
      </c>
      <c r="L29" s="16" t="n">
        <f aca="false">RANDBETWEEN(-20,70)/1000</f>
        <v>-0.017</v>
      </c>
      <c r="M29" s="16" t="n">
        <v>5.25</v>
      </c>
      <c r="N29" s="16" t="n">
        <f aca="false">+M29+O29</f>
        <v>5.2399</v>
      </c>
      <c r="O29" s="16" t="n">
        <f aca="false">RANDBETWEEN(-105,115)/10000</f>
        <v>-0.0101</v>
      </c>
      <c r="P29" s="16" t="n">
        <f aca="false">G29</f>
        <v>2.223</v>
      </c>
      <c r="Q29" s="16" t="n">
        <f aca="false">P29+R29</f>
        <v>2.267</v>
      </c>
      <c r="R29" s="16" t="n">
        <f aca="false">RANDBETWEEN(-20,70)/1000</f>
        <v>0.044</v>
      </c>
      <c r="S29" s="17"/>
      <c r="T29" s="18" t="n">
        <v>20</v>
      </c>
      <c r="V29" s="19"/>
      <c r="W29" s="20" t="n">
        <v>2.09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349.25</v>
      </c>
      <c r="D30" s="16" t="n">
        <v>-5.25</v>
      </c>
      <c r="E30" s="16" t="n">
        <f aca="false">+D30+F30</f>
        <v>-5.2577</v>
      </c>
      <c r="F30" s="16" t="n">
        <f aca="false">RANDBETWEEN(-105,115)/10000</f>
        <v>-0.0077</v>
      </c>
      <c r="G30" s="16" t="n">
        <f aca="false">J30-4.95*2%-0.3*6%</f>
        <v>2.211</v>
      </c>
      <c r="H30" s="16" t="n">
        <f aca="false">G30+I30</f>
        <v>2.199</v>
      </c>
      <c r="I30" s="16" t="n">
        <f aca="false">RANDBETWEEN(-20,70)/1000</f>
        <v>-0.012</v>
      </c>
      <c r="J30" s="16" t="n">
        <f aca="false">W30+0.25</f>
        <v>2.328</v>
      </c>
      <c r="K30" s="16" t="n">
        <f aca="false">J30+L30</f>
        <v>2.377</v>
      </c>
      <c r="L30" s="16" t="n">
        <f aca="false">RANDBETWEEN(-20,70)/1000</f>
        <v>0.049</v>
      </c>
      <c r="M30" s="16" t="n">
        <v>5.25</v>
      </c>
      <c r="N30" s="16" t="n">
        <f aca="false">+M30+O30</f>
        <v>5.2553</v>
      </c>
      <c r="O30" s="16" t="n">
        <f aca="false">RANDBETWEEN(-105,115)/10000</f>
        <v>0.0053</v>
      </c>
      <c r="P30" s="16" t="n">
        <f aca="false">G30</f>
        <v>2.211</v>
      </c>
      <c r="Q30" s="16" t="n">
        <f aca="false">P30+R30</f>
        <v>2.268</v>
      </c>
      <c r="R30" s="16" t="n">
        <f aca="false">RANDBETWEEN(-20,70)/1000</f>
        <v>0.057</v>
      </c>
      <c r="S30" s="17"/>
      <c r="T30" s="18" t="n">
        <v>19</v>
      </c>
      <c r="V30" s="19"/>
      <c r="W30" s="20" t="n">
        <v>2.078</v>
      </c>
    </row>
    <row r="31" s="10" customFormat="true" ht="18" hidden="false" customHeight="true" outlineLevel="0" collapsed="false">
      <c r="A31" s="13" t="n">
        <v>9</v>
      </c>
      <c r="B31" s="14" t="s">
        <v>31</v>
      </c>
      <c r="C31" s="15" t="n">
        <f aca="false">+C30+T30</f>
        <v>368.25</v>
      </c>
      <c r="D31" s="16" t="n">
        <v>-5.25</v>
      </c>
      <c r="E31" s="16" t="n">
        <f aca="false">+D31+F31</f>
        <v>-5.2398</v>
      </c>
      <c r="F31" s="16" t="n">
        <f aca="false">RANDBETWEEN(-105,115)/10000</f>
        <v>0.0102</v>
      </c>
      <c r="G31" s="16" t="n">
        <f aca="false">J31-4.95*2%-0.3*6%</f>
        <v>2.2</v>
      </c>
      <c r="H31" s="16" t="n">
        <f aca="false">G31+I31</f>
        <v>2.198</v>
      </c>
      <c r="I31" s="16" t="n">
        <f aca="false">RANDBETWEEN(-20,70)/1000</f>
        <v>-0.002</v>
      </c>
      <c r="J31" s="16" t="n">
        <f aca="false">W31+0.25</f>
        <v>2.317</v>
      </c>
      <c r="K31" s="16" t="n">
        <f aca="false">J31+L31</f>
        <v>2.309</v>
      </c>
      <c r="L31" s="16" t="n">
        <f aca="false">RANDBETWEEN(-20,70)/1000</f>
        <v>-0.008</v>
      </c>
      <c r="M31" s="16" t="n">
        <v>5.25</v>
      </c>
      <c r="N31" s="16" t="n">
        <f aca="false">+M31+O31</f>
        <v>5.2599</v>
      </c>
      <c r="O31" s="16" t="n">
        <f aca="false">RANDBETWEEN(-105,115)/10000</f>
        <v>0.0099</v>
      </c>
      <c r="P31" s="16" t="n">
        <f aca="false">G31</f>
        <v>2.2</v>
      </c>
      <c r="Q31" s="16" t="n">
        <f aca="false">P31+R31</f>
        <v>2.207</v>
      </c>
      <c r="R31" s="16" t="n">
        <f aca="false">RANDBETWEEN(-20,70)/1000</f>
        <v>0.007</v>
      </c>
      <c r="S31" s="17"/>
      <c r="T31" s="18" t="n">
        <v>13.25</v>
      </c>
      <c r="V31" s="19"/>
      <c r="W31" s="20" t="n">
        <v>2.067</v>
      </c>
    </row>
    <row r="32" s="10" customFormat="true" ht="18" hidden="false" customHeight="true" outlineLevel="0" collapsed="false">
      <c r="A32" s="13" t="n">
        <v>10</v>
      </c>
      <c r="B32" s="14" t="s">
        <v>32</v>
      </c>
      <c r="C32" s="15" t="n">
        <f aca="false">+C31+T31</f>
        <v>381.5</v>
      </c>
      <c r="D32" s="16" t="n">
        <v>-5.25</v>
      </c>
      <c r="E32" s="16" t="n">
        <f aca="false">+D32+F32</f>
        <v>-5.243</v>
      </c>
      <c r="F32" s="16" t="n">
        <f aca="false">RANDBETWEEN(-105,115)/10000</f>
        <v>0.007</v>
      </c>
      <c r="G32" s="16" t="n">
        <f aca="false">J32-4.95*2%-0.3*6%</f>
        <v>2.192</v>
      </c>
      <c r="H32" s="16" t="n">
        <f aca="false">G32+I32</f>
        <v>2.256</v>
      </c>
      <c r="I32" s="16" t="n">
        <f aca="false">RANDBETWEEN(-20,70)/1000</f>
        <v>0.064</v>
      </c>
      <c r="J32" s="16" t="n">
        <f aca="false">W32+0.25</f>
        <v>2.309</v>
      </c>
      <c r="K32" s="16" t="n">
        <f aca="false">J32+L32</f>
        <v>2.333</v>
      </c>
      <c r="L32" s="16" t="n">
        <f aca="false">RANDBETWEEN(-20,70)/1000</f>
        <v>0.024</v>
      </c>
      <c r="M32" s="16" t="n">
        <v>5.25</v>
      </c>
      <c r="N32" s="16" t="n">
        <f aca="false">+M32+O32</f>
        <v>5.2547</v>
      </c>
      <c r="O32" s="16" t="n">
        <f aca="false">RANDBETWEEN(-105,115)/10000</f>
        <v>0.0047</v>
      </c>
      <c r="P32" s="16" t="n">
        <f aca="false">G32</f>
        <v>2.192</v>
      </c>
      <c r="Q32" s="16" t="n">
        <f aca="false">P32+R32</f>
        <v>2.246</v>
      </c>
      <c r="R32" s="16" t="n">
        <f aca="false">RANDBETWEEN(-20,70)/1000</f>
        <v>0.054</v>
      </c>
      <c r="S32" s="17"/>
      <c r="T32" s="18" t="n">
        <v>13.25</v>
      </c>
      <c r="V32" s="19"/>
      <c r="W32" s="20" t="n">
        <v>2.059</v>
      </c>
    </row>
    <row r="33" s="10" customFormat="true" ht="18" hidden="false" customHeight="true" outlineLevel="0" collapsed="false">
      <c r="A33" s="13" t="n">
        <v>11</v>
      </c>
      <c r="B33" s="14" t="s">
        <v>33</v>
      </c>
      <c r="C33" s="15" t="n">
        <f aca="false">+C32+T32</f>
        <v>394.75</v>
      </c>
      <c r="D33" s="16" t="n">
        <v>-5.25</v>
      </c>
      <c r="E33" s="16" t="n">
        <f aca="false">+D33+F33</f>
        <v>-5.2598</v>
      </c>
      <c r="F33" s="16" t="n">
        <f aca="false">RANDBETWEEN(-105,115)/10000</f>
        <v>-0.0098</v>
      </c>
      <c r="G33" s="16" t="n">
        <f aca="false">J33-4.95*2%-0.3*6%</f>
        <v>2.184</v>
      </c>
      <c r="H33" s="16" t="n">
        <f aca="false">G33+I33</f>
        <v>2.242</v>
      </c>
      <c r="I33" s="16" t="n">
        <f aca="false">RANDBETWEEN(-20,70)/1000</f>
        <v>0.058</v>
      </c>
      <c r="J33" s="16" t="n">
        <f aca="false">W33+0.25</f>
        <v>2.301</v>
      </c>
      <c r="K33" s="16" t="n">
        <f aca="false">J33+L33</f>
        <v>2.344</v>
      </c>
      <c r="L33" s="16" t="n">
        <f aca="false">RANDBETWEEN(-20,70)/1000</f>
        <v>0.043</v>
      </c>
      <c r="M33" s="16" t="n">
        <v>5.25</v>
      </c>
      <c r="N33" s="16" t="n">
        <f aca="false">+M33+O33</f>
        <v>5.2502</v>
      </c>
      <c r="O33" s="16" t="n">
        <f aca="false">RANDBETWEEN(-105,115)/10000</f>
        <v>0.0002</v>
      </c>
      <c r="P33" s="16" t="n">
        <f aca="false">G33</f>
        <v>2.184</v>
      </c>
      <c r="Q33" s="16" t="n">
        <f aca="false">P33+R33</f>
        <v>2.239</v>
      </c>
      <c r="R33" s="16" t="n">
        <f aca="false">RANDBETWEEN(-20,70)/1000</f>
        <v>0.055</v>
      </c>
      <c r="S33" s="17"/>
      <c r="T33" s="18"/>
      <c r="V33" s="19"/>
      <c r="W33" s="20" t="n">
        <v>2.051</v>
      </c>
    </row>
    <row r="34" s="10" customFormat="true" ht="18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  <c r="W34" s="20"/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34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35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36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17.NĐXD8/CVXD ngày 24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17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1, độ chặt K&gt;=0,98 đoạn từ Km0+224,25 - Km0+394,75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39</v>
      </c>
      <c r="B9" s="36" t="s">
        <v>10</v>
      </c>
      <c r="C9" s="36" t="s">
        <v>11</v>
      </c>
      <c r="D9" s="37" t="s">
        <v>40</v>
      </c>
      <c r="E9" s="38"/>
      <c r="F9" s="38"/>
      <c r="G9" s="37"/>
      <c r="H9" s="38"/>
      <c r="I9" s="38"/>
      <c r="J9" s="38"/>
      <c r="K9" s="38"/>
      <c r="L9" s="38"/>
      <c r="M9" s="39" t="s">
        <v>41</v>
      </c>
      <c r="N9" s="40"/>
      <c r="O9" s="41" t="s">
        <v>42</v>
      </c>
      <c r="P9" s="42"/>
      <c r="Q9" s="42"/>
      <c r="R9" s="42"/>
      <c r="S9" s="42"/>
      <c r="T9" s="42"/>
      <c r="U9" s="42"/>
      <c r="V9" s="42"/>
      <c r="W9" s="41" t="s">
        <v>43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42</v>
      </c>
      <c r="O10" s="41"/>
      <c r="P10" s="41" t="s">
        <v>42</v>
      </c>
      <c r="Q10" s="41" t="s">
        <v>42</v>
      </c>
      <c r="R10" s="41"/>
      <c r="S10" s="41"/>
      <c r="T10" s="41"/>
      <c r="U10" s="41" t="s">
        <v>43</v>
      </c>
      <c r="V10" s="41" t="s">
        <v>43</v>
      </c>
      <c r="W10" s="41"/>
      <c r="X10" s="41" t="s">
        <v>43</v>
      </c>
      <c r="Y10" s="41" t="s">
        <v>43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12</v>
      </c>
      <c r="C11" s="15" t="n">
        <f aca="false">'KTHH Lớp 1'!C23</f>
        <v>224.25</v>
      </c>
      <c r="D11" s="13" t="n">
        <f aca="false">'KTHH Lớp 1'!T23</f>
        <v>21.5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56.4375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13</v>
      </c>
      <c r="C12" s="15" t="n">
        <f aca="false">'KTHH Lớp 1'!C24</f>
        <v>245.75</v>
      </c>
      <c r="D12" s="13" t="n">
        <f aca="false">'KTHH Lớp 1'!T24</f>
        <v>11.75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30.84375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B5</v>
      </c>
      <c r="C13" s="15" t="n">
        <f aca="false">'KTHH Lớp 1'!C25</f>
        <v>257.5</v>
      </c>
      <c r="D13" s="13" t="n">
        <f aca="false">'KTHH Lớp 1'!T25</f>
        <v>11.75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30.84375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14</v>
      </c>
      <c r="C14" s="15" t="n">
        <f aca="false">'KTHH Lớp 1'!C26</f>
        <v>269.25</v>
      </c>
      <c r="D14" s="13" t="n">
        <f aca="false">'KTHH Lớp 1'!T26</f>
        <v>20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52.5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15</v>
      </c>
      <c r="C15" s="15" t="n">
        <f aca="false">'KTHH Lớp 1'!C27</f>
        <v>289.25</v>
      </c>
      <c r="D15" s="13" t="n">
        <f aca="false">'KTHH Lớp 1'!T27</f>
        <v>20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52.5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16</v>
      </c>
      <c r="C16" s="15" t="n">
        <f aca="false">'KTHH Lớp 1'!C28</f>
        <v>309.25</v>
      </c>
      <c r="D16" s="13" t="n">
        <f aca="false">'KTHH Lớp 1'!T28</f>
        <v>20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52.5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17</v>
      </c>
      <c r="C17" s="15" t="n">
        <f aca="false">'KTHH Lớp 1'!C29</f>
        <v>329.25</v>
      </c>
      <c r="D17" s="13" t="n">
        <f aca="false">'KTHH Lớp 1'!T29</f>
        <v>20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10.5*0.25</f>
        <v>2.625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52.5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18</v>
      </c>
      <c r="C18" s="15" t="n">
        <f aca="false">'KTHH Lớp 1'!C30</f>
        <v>349.25</v>
      </c>
      <c r="D18" s="13" t="n">
        <f aca="false">'KTHH Lớp 1'!T30</f>
        <v>19</v>
      </c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10.5*0.25</f>
        <v>2.625</v>
      </c>
      <c r="P18" s="52"/>
      <c r="Q18" s="52"/>
      <c r="R18" s="54"/>
      <c r="S18" s="54"/>
      <c r="T18" s="54"/>
      <c r="U18" s="54"/>
      <c r="V18" s="54"/>
      <c r="W18" s="54" t="n">
        <f aca="false">(O18+O19)*D18/2</f>
        <v>49.875</v>
      </c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false" customHeight="true" outlineLevel="0" collapsed="false">
      <c r="A19" s="13" t="n">
        <v>9</v>
      </c>
      <c r="B19" s="13" t="str">
        <f aca="false">'KTHH Lớp 1'!B31</f>
        <v>19</v>
      </c>
      <c r="C19" s="15" t="n">
        <f aca="false">'KTHH Lớp 1'!C31</f>
        <v>368.25</v>
      </c>
      <c r="D19" s="13" t="n">
        <f aca="false">'KTHH Lớp 1'!T31</f>
        <v>13.25</v>
      </c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 t="n">
        <f aca="false">10.5*0.25</f>
        <v>2.625</v>
      </c>
      <c r="P19" s="52"/>
      <c r="Q19" s="52"/>
      <c r="R19" s="54"/>
      <c r="S19" s="54"/>
      <c r="T19" s="54"/>
      <c r="U19" s="54"/>
      <c r="V19" s="54"/>
      <c r="W19" s="54" t="n">
        <f aca="false">(O19+O20)*D19/2</f>
        <v>34.78125</v>
      </c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false" customHeight="true" outlineLevel="0" collapsed="false">
      <c r="A20" s="13" t="n">
        <v>10</v>
      </c>
      <c r="B20" s="13" t="str">
        <f aca="false">'KTHH Lớp 1'!B32</f>
        <v>C2</v>
      </c>
      <c r="C20" s="15" t="n">
        <f aca="false">'KTHH Lớp 1'!C32</f>
        <v>381.5</v>
      </c>
      <c r="D20" s="13" t="n">
        <f aca="false">'KTHH Lớp 1'!T32</f>
        <v>13.25</v>
      </c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 t="n">
        <f aca="false">10.5*0.25</f>
        <v>2.625</v>
      </c>
      <c r="P20" s="52"/>
      <c r="Q20" s="52"/>
      <c r="R20" s="54"/>
      <c r="S20" s="54"/>
      <c r="T20" s="54"/>
      <c r="U20" s="54"/>
      <c r="V20" s="54"/>
      <c r="W20" s="54" t="n">
        <f aca="false">(O20+O21)*D20/2</f>
        <v>34.78125</v>
      </c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false" customHeight="true" outlineLevel="0" collapsed="false">
      <c r="A21" s="13" t="n">
        <v>11</v>
      </c>
      <c r="B21" s="13" t="str">
        <f aca="false">'KTHH Lớp 1'!B33</f>
        <v>20</v>
      </c>
      <c r="C21" s="15" t="n">
        <f aca="false">'KTHH Lớp 1'!C33</f>
        <v>394.75</v>
      </c>
      <c r="D21" s="13"/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 t="n">
        <f aca="false">10.5*0.25</f>
        <v>2.625</v>
      </c>
      <c r="P21" s="52"/>
      <c r="Q21" s="52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true" customHeight="true" outlineLevel="0" collapsed="false">
      <c r="A22" s="13"/>
      <c r="B22" s="13"/>
      <c r="C22" s="15"/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/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44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SUM(W11:W21)</f>
        <v>447.5625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34</v>
      </c>
      <c r="B51" s="21"/>
      <c r="C51" s="21"/>
      <c r="D51" s="75" t="s">
        <v>45</v>
      </c>
      <c r="E51" s="21" t="s">
        <v>35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36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37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19.NĐXD8/CVXD ngày 25 tháng 08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2, độ chặt K&gt;=0,98 đoạn từ Km0+224,25 - Km0+394,75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224.25</v>
      </c>
      <c r="D23" s="16" t="n">
        <v>-5.25</v>
      </c>
      <c r="E23" s="16" t="n">
        <f aca="false">+D23+F23</f>
        <v>-5.2416</v>
      </c>
      <c r="F23" s="16" t="n">
        <f aca="false">RANDBETWEEN(-105,115)/10000</f>
        <v>0.0084</v>
      </c>
      <c r="G23" s="16" t="n">
        <f aca="false">W23+0.25</f>
        <v>2.542</v>
      </c>
      <c r="H23" s="16" t="n">
        <f aca="false">G23+I23</f>
        <v>2.536</v>
      </c>
      <c r="I23" s="16" t="n">
        <f aca="false">RANDBETWEEN(-20,70)/1000</f>
        <v>-0.006</v>
      </c>
      <c r="J23" s="16" t="n">
        <f aca="false">X23+0.25</f>
        <v>2.659</v>
      </c>
      <c r="K23" s="16" t="n">
        <f aca="false">J23+L23</f>
        <v>2.663</v>
      </c>
      <c r="L23" s="16" t="n">
        <f aca="false">RANDBETWEEN(-20,70)/1000</f>
        <v>0.004</v>
      </c>
      <c r="M23" s="16" t="n">
        <v>5.25</v>
      </c>
      <c r="N23" s="16" t="n">
        <f aca="false">+M23+O23</f>
        <v>5.2505</v>
      </c>
      <c r="O23" s="16" t="n">
        <f aca="false">RANDBETWEEN(-105,115)/10000</f>
        <v>0.0005</v>
      </c>
      <c r="P23" s="16" t="n">
        <f aca="false">Y23+0.25</f>
        <v>2.542</v>
      </c>
      <c r="Q23" s="16" t="n">
        <f aca="false">P23+R23</f>
        <v>2.572</v>
      </c>
      <c r="R23" s="16" t="n">
        <f aca="false">RANDBETWEEN(-20,70)/1000</f>
        <v>0.03</v>
      </c>
      <c r="S23" s="17"/>
      <c r="T23" s="18" t="n">
        <v>21.5</v>
      </c>
      <c r="V23" s="19"/>
      <c r="W23" s="19" t="n">
        <f aca="false">'KTHH Lớp 1'!G23</f>
        <v>2.292</v>
      </c>
      <c r="X23" s="19" t="n">
        <f aca="false">'KTHH Lớp 1'!J23</f>
        <v>2.409</v>
      </c>
      <c r="Y23" s="19" t="n">
        <f aca="false">'KTHH Lớp 1'!P23</f>
        <v>2.292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245.75</v>
      </c>
      <c r="D24" s="16" t="n">
        <v>-5.25</v>
      </c>
      <c r="E24" s="16" t="n">
        <f aca="false">+D24+F24</f>
        <v>-5.2425</v>
      </c>
      <c r="F24" s="16" t="n">
        <f aca="false">RANDBETWEEN(-105,115)/10000</f>
        <v>0.0075</v>
      </c>
      <c r="G24" s="16" t="n">
        <f aca="false">W24+0.25</f>
        <v>2.523</v>
      </c>
      <c r="H24" s="16" t="n">
        <f aca="false">G24+I24</f>
        <v>2.532</v>
      </c>
      <c r="I24" s="16" t="n">
        <f aca="false">RANDBETWEEN(-20,70)/1000</f>
        <v>0.009</v>
      </c>
      <c r="J24" s="16" t="n">
        <f aca="false">X24+0.25</f>
        <v>2.64</v>
      </c>
      <c r="K24" s="16" t="n">
        <f aca="false">J24+L24</f>
        <v>2.634</v>
      </c>
      <c r="L24" s="16" t="n">
        <f aca="false">RANDBETWEEN(-20,70)/1000</f>
        <v>-0.006</v>
      </c>
      <c r="M24" s="16" t="n">
        <v>5.25</v>
      </c>
      <c r="N24" s="16" t="n">
        <f aca="false">+M24+O24</f>
        <v>5.2559</v>
      </c>
      <c r="O24" s="16" t="n">
        <f aca="false">RANDBETWEEN(-105,115)/10000</f>
        <v>0.0059</v>
      </c>
      <c r="P24" s="16" t="n">
        <f aca="false">Y24+0.25</f>
        <v>2.523</v>
      </c>
      <c r="Q24" s="16" t="n">
        <f aca="false">P24+R24</f>
        <v>2.548</v>
      </c>
      <c r="R24" s="16" t="n">
        <f aca="false">RANDBETWEEN(-20,70)/1000</f>
        <v>0.025</v>
      </c>
      <c r="S24" s="17"/>
      <c r="T24" s="18" t="n">
        <v>11.75</v>
      </c>
      <c r="V24" s="19"/>
      <c r="W24" s="19" t="n">
        <f aca="false">'KTHH Lớp 1'!G24</f>
        <v>2.273</v>
      </c>
      <c r="X24" s="19" t="n">
        <f aca="false">'KTHH Lớp 1'!J24</f>
        <v>2.39</v>
      </c>
      <c r="Y24" s="19" t="n">
        <f aca="false">'KTHH Lớp 1'!P24</f>
        <v>2.273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257.5</v>
      </c>
      <c r="D25" s="16" t="n">
        <v>-5.25</v>
      </c>
      <c r="E25" s="16" t="n">
        <f aca="false">+D25+F25</f>
        <v>-5.2571</v>
      </c>
      <c r="F25" s="16" t="n">
        <f aca="false">RANDBETWEEN(-105,115)/10000</f>
        <v>-0.0071</v>
      </c>
      <c r="G25" s="16" t="n">
        <f aca="false">W25+0.25</f>
        <v>2.515</v>
      </c>
      <c r="H25" s="16" t="n">
        <f aca="false">G25+I25</f>
        <v>2.547</v>
      </c>
      <c r="I25" s="16" t="n">
        <f aca="false">RANDBETWEEN(-20,70)/1000</f>
        <v>0.032</v>
      </c>
      <c r="J25" s="16" t="n">
        <f aca="false">X25+0.25</f>
        <v>2.632</v>
      </c>
      <c r="K25" s="16" t="n">
        <f aca="false">J25+L25</f>
        <v>2.628</v>
      </c>
      <c r="L25" s="16" t="n">
        <f aca="false">RANDBETWEEN(-20,70)/1000</f>
        <v>-0.004</v>
      </c>
      <c r="M25" s="16" t="n">
        <v>5.25</v>
      </c>
      <c r="N25" s="16" t="n">
        <f aca="false">+M25+O25</f>
        <v>5.2419</v>
      </c>
      <c r="O25" s="16" t="n">
        <f aca="false">RANDBETWEEN(-105,115)/10000</f>
        <v>-0.0081</v>
      </c>
      <c r="P25" s="16" t="n">
        <f aca="false">Y25+0.25</f>
        <v>2.515</v>
      </c>
      <c r="Q25" s="16" t="n">
        <f aca="false">P25+R25</f>
        <v>2.534</v>
      </c>
      <c r="R25" s="16" t="n">
        <f aca="false">RANDBETWEEN(-20,70)/1000</f>
        <v>0.019</v>
      </c>
      <c r="S25" s="17"/>
      <c r="T25" s="18" t="n">
        <v>11.75</v>
      </c>
      <c r="V25" s="19"/>
      <c r="W25" s="19" t="n">
        <f aca="false">'KTHH Lớp 1'!G25</f>
        <v>2.265</v>
      </c>
      <c r="X25" s="19" t="n">
        <f aca="false">'KTHH Lớp 1'!J25</f>
        <v>2.382</v>
      </c>
      <c r="Y25" s="19" t="n">
        <f aca="false">'KTHH Lớp 1'!P25</f>
        <v>2.265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269.25</v>
      </c>
      <c r="D26" s="16" t="n">
        <v>-5.25</v>
      </c>
      <c r="E26" s="16" t="n">
        <f aca="false">+D26+F26</f>
        <v>-5.2406</v>
      </c>
      <c r="F26" s="16" t="n">
        <f aca="false">RANDBETWEEN(-105,115)/10000</f>
        <v>0.0094</v>
      </c>
      <c r="G26" s="16" t="n">
        <f aca="false">W26+0.25</f>
        <v>2.506</v>
      </c>
      <c r="H26" s="16" t="n">
        <f aca="false">G26+I26</f>
        <v>2.513</v>
      </c>
      <c r="I26" s="16" t="n">
        <f aca="false">RANDBETWEEN(-20,70)/1000</f>
        <v>0.007</v>
      </c>
      <c r="J26" s="16" t="n">
        <f aca="false">X26+0.25</f>
        <v>2.623</v>
      </c>
      <c r="K26" s="16" t="n">
        <f aca="false">J26+L26</f>
        <v>2.686</v>
      </c>
      <c r="L26" s="16" t="n">
        <f aca="false">RANDBETWEEN(-20,70)/1000</f>
        <v>0.063</v>
      </c>
      <c r="M26" s="16" t="n">
        <v>5.25</v>
      </c>
      <c r="N26" s="16" t="n">
        <f aca="false">+M26+O26</f>
        <v>5.2427</v>
      </c>
      <c r="O26" s="16" t="n">
        <f aca="false">RANDBETWEEN(-105,115)/10000</f>
        <v>-0.0073</v>
      </c>
      <c r="P26" s="16" t="n">
        <f aca="false">Y26+0.25</f>
        <v>2.506</v>
      </c>
      <c r="Q26" s="16" t="n">
        <f aca="false">P26+R26</f>
        <v>2.539</v>
      </c>
      <c r="R26" s="16" t="n">
        <f aca="false">RANDBETWEEN(-20,70)/1000</f>
        <v>0.033</v>
      </c>
      <c r="S26" s="17"/>
      <c r="T26" s="18" t="n">
        <v>20</v>
      </c>
      <c r="V26" s="19"/>
      <c r="W26" s="19" t="n">
        <f aca="false">'KTHH Lớp 1'!G26</f>
        <v>2.256</v>
      </c>
      <c r="X26" s="19" t="n">
        <f aca="false">'KTHH Lớp 1'!J26</f>
        <v>2.373</v>
      </c>
      <c r="Y26" s="19" t="n">
        <f aca="false">'KTHH Lớp 1'!P26</f>
        <v>2.256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289.25</v>
      </c>
      <c r="D27" s="16" t="n">
        <v>-5.25</v>
      </c>
      <c r="E27" s="16" t="n">
        <f aca="false">+D27+F27</f>
        <v>-5.24</v>
      </c>
      <c r="F27" s="16" t="n">
        <f aca="false">RANDBETWEEN(-105,115)/10000</f>
        <v>0.01</v>
      </c>
      <c r="G27" s="16" t="n">
        <f aca="false">W27+0.25</f>
        <v>2.495</v>
      </c>
      <c r="H27" s="16" t="n">
        <f aca="false">G27+I27</f>
        <v>2.538</v>
      </c>
      <c r="I27" s="16" t="n">
        <f aca="false">RANDBETWEEN(-20,70)/1000</f>
        <v>0.043</v>
      </c>
      <c r="J27" s="16" t="n">
        <f aca="false">X27+0.25</f>
        <v>2.612</v>
      </c>
      <c r="K27" s="16" t="n">
        <f aca="false">J27+L27</f>
        <v>2.636</v>
      </c>
      <c r="L27" s="16" t="n">
        <f aca="false">RANDBETWEEN(-20,70)/1000</f>
        <v>0.024</v>
      </c>
      <c r="M27" s="16" t="n">
        <v>5.25</v>
      </c>
      <c r="N27" s="16" t="n">
        <f aca="false">+M27+O27</f>
        <v>5.2489</v>
      </c>
      <c r="O27" s="16" t="n">
        <f aca="false">RANDBETWEEN(-105,115)/10000</f>
        <v>-0.0011</v>
      </c>
      <c r="P27" s="16" t="n">
        <f aca="false">Y27+0.25</f>
        <v>2.495</v>
      </c>
      <c r="Q27" s="16" t="n">
        <f aca="false">P27+R27</f>
        <v>2.548</v>
      </c>
      <c r="R27" s="16" t="n">
        <f aca="false">RANDBETWEEN(-20,70)/1000</f>
        <v>0.053</v>
      </c>
      <c r="S27" s="17"/>
      <c r="T27" s="18" t="n">
        <v>20</v>
      </c>
      <c r="V27" s="19"/>
      <c r="W27" s="19" t="n">
        <f aca="false">'KTHH Lớp 1'!G27</f>
        <v>2.245</v>
      </c>
      <c r="X27" s="19" t="n">
        <f aca="false">'KTHH Lớp 1'!J27</f>
        <v>2.362</v>
      </c>
      <c r="Y27" s="19" t="n">
        <f aca="false">'KTHH Lớp 1'!P27</f>
        <v>2.245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309.25</v>
      </c>
      <c r="D28" s="16" t="n">
        <v>-5.25</v>
      </c>
      <c r="E28" s="16" t="n">
        <f aca="false">+D28+F28</f>
        <v>-5.2582</v>
      </c>
      <c r="F28" s="16" t="n">
        <f aca="false">RANDBETWEEN(-105,115)/10000</f>
        <v>-0.0082</v>
      </c>
      <c r="G28" s="16" t="n">
        <f aca="false">W28+0.25</f>
        <v>2.484</v>
      </c>
      <c r="H28" s="16" t="n">
        <f aca="false">G28+I28</f>
        <v>2.476</v>
      </c>
      <c r="I28" s="16" t="n">
        <f aca="false">RANDBETWEEN(-20,70)/1000</f>
        <v>-0.008</v>
      </c>
      <c r="J28" s="16" t="n">
        <f aca="false">X28+0.25</f>
        <v>2.601</v>
      </c>
      <c r="K28" s="16" t="n">
        <f aca="false">J28+L28</f>
        <v>2.633</v>
      </c>
      <c r="L28" s="16" t="n">
        <f aca="false">RANDBETWEEN(-20,70)/1000</f>
        <v>0.032</v>
      </c>
      <c r="M28" s="16" t="n">
        <v>5.25</v>
      </c>
      <c r="N28" s="16" t="n">
        <f aca="false">+M28+O28</f>
        <v>5.2455</v>
      </c>
      <c r="O28" s="16" t="n">
        <f aca="false">RANDBETWEEN(-105,115)/10000</f>
        <v>-0.0045</v>
      </c>
      <c r="P28" s="16" t="n">
        <f aca="false">Y28+0.25</f>
        <v>2.484</v>
      </c>
      <c r="Q28" s="16" t="n">
        <f aca="false">P28+R28</f>
        <v>2.511</v>
      </c>
      <c r="R28" s="16" t="n">
        <f aca="false">RANDBETWEEN(-20,70)/1000</f>
        <v>0.027</v>
      </c>
      <c r="S28" s="17"/>
      <c r="T28" s="18" t="n">
        <v>20</v>
      </c>
      <c r="V28" s="19"/>
      <c r="W28" s="19" t="n">
        <f aca="false">'KTHH Lớp 1'!G28</f>
        <v>2.234</v>
      </c>
      <c r="X28" s="19" t="n">
        <f aca="false">'KTHH Lớp 1'!J28</f>
        <v>2.351</v>
      </c>
      <c r="Y28" s="19" t="n">
        <f aca="false">'KTHH Lớp 1'!P28</f>
        <v>2.234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329.25</v>
      </c>
      <c r="D29" s="16" t="n">
        <v>-5.25</v>
      </c>
      <c r="E29" s="16" t="n">
        <f aca="false">+D29+F29</f>
        <v>-5.2589</v>
      </c>
      <c r="F29" s="16" t="n">
        <f aca="false">RANDBETWEEN(-105,115)/10000</f>
        <v>-0.0089</v>
      </c>
      <c r="G29" s="16" t="n">
        <f aca="false">W29+0.25</f>
        <v>2.473</v>
      </c>
      <c r="H29" s="16" t="n">
        <f aca="false">G29+I29</f>
        <v>2.479</v>
      </c>
      <c r="I29" s="16" t="n">
        <f aca="false">RANDBETWEEN(-20,70)/1000</f>
        <v>0.006</v>
      </c>
      <c r="J29" s="16" t="n">
        <f aca="false">X29+0.25</f>
        <v>2.59</v>
      </c>
      <c r="K29" s="16" t="n">
        <f aca="false">J29+L29</f>
        <v>2.58</v>
      </c>
      <c r="L29" s="16" t="n">
        <f aca="false">RANDBETWEEN(-20,70)/1000</f>
        <v>-0.01</v>
      </c>
      <c r="M29" s="16" t="n">
        <v>5.25</v>
      </c>
      <c r="N29" s="16" t="n">
        <f aca="false">+M29+O29</f>
        <v>5.2405</v>
      </c>
      <c r="O29" s="16" t="n">
        <f aca="false">RANDBETWEEN(-105,115)/10000</f>
        <v>-0.0095</v>
      </c>
      <c r="P29" s="16" t="n">
        <f aca="false">Y29+0.25</f>
        <v>2.473</v>
      </c>
      <c r="Q29" s="16" t="n">
        <f aca="false">P29+R29</f>
        <v>2.525</v>
      </c>
      <c r="R29" s="16" t="n">
        <f aca="false">RANDBETWEEN(-20,70)/1000</f>
        <v>0.052</v>
      </c>
      <c r="S29" s="17"/>
      <c r="T29" s="18" t="n">
        <v>20</v>
      </c>
      <c r="V29" s="19"/>
      <c r="W29" s="19" t="n">
        <f aca="false">'KTHH Lớp 1'!G29</f>
        <v>2.223</v>
      </c>
      <c r="X29" s="19" t="n">
        <f aca="false">'KTHH Lớp 1'!J29</f>
        <v>2.34</v>
      </c>
      <c r="Y29" s="19" t="n">
        <f aca="false">'KTHH Lớp 1'!P29</f>
        <v>2.223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349.25</v>
      </c>
      <c r="D30" s="16" t="n">
        <v>-5.25</v>
      </c>
      <c r="E30" s="16" t="n">
        <f aca="false">+D30+F30</f>
        <v>-5.2588</v>
      </c>
      <c r="F30" s="16" t="n">
        <f aca="false">RANDBETWEEN(-105,115)/10000</f>
        <v>-0.0088</v>
      </c>
      <c r="G30" s="16" t="n">
        <f aca="false">W30+0.25</f>
        <v>2.461</v>
      </c>
      <c r="H30" s="16" t="n">
        <f aca="false">G30+I30</f>
        <v>2.452</v>
      </c>
      <c r="I30" s="16" t="n">
        <f aca="false">RANDBETWEEN(-20,70)/1000</f>
        <v>-0.009</v>
      </c>
      <c r="J30" s="16" t="n">
        <f aca="false">X30+0.25</f>
        <v>2.578</v>
      </c>
      <c r="K30" s="16" t="n">
        <f aca="false">J30+L30</f>
        <v>2.634</v>
      </c>
      <c r="L30" s="16" t="n">
        <f aca="false">RANDBETWEEN(-20,70)/1000</f>
        <v>0.056</v>
      </c>
      <c r="M30" s="16" t="n">
        <v>5.25</v>
      </c>
      <c r="N30" s="16" t="n">
        <f aca="false">+M30+O30</f>
        <v>5.2515</v>
      </c>
      <c r="O30" s="16" t="n">
        <f aca="false">RANDBETWEEN(-105,115)/10000</f>
        <v>0.0015</v>
      </c>
      <c r="P30" s="16" t="n">
        <f aca="false">Y30+0.25</f>
        <v>2.461</v>
      </c>
      <c r="Q30" s="16" t="n">
        <f aca="false">P30+R30</f>
        <v>2.447</v>
      </c>
      <c r="R30" s="16" t="n">
        <f aca="false">RANDBETWEEN(-20,70)/1000</f>
        <v>-0.014</v>
      </c>
      <c r="S30" s="17"/>
      <c r="T30" s="18" t="n">
        <v>19</v>
      </c>
      <c r="V30" s="19"/>
      <c r="W30" s="19" t="n">
        <f aca="false">'KTHH Lớp 1'!G30</f>
        <v>2.211</v>
      </c>
      <c r="X30" s="19" t="n">
        <f aca="false">'KTHH Lớp 1'!J30</f>
        <v>2.328</v>
      </c>
      <c r="Y30" s="19" t="n">
        <f aca="false">'KTHH Lớp 1'!P30</f>
        <v>2.211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368.25</v>
      </c>
      <c r="D31" s="16" t="n">
        <v>-5.25</v>
      </c>
      <c r="E31" s="16" t="n">
        <f aca="false">+D31+F31</f>
        <v>-5.2557</v>
      </c>
      <c r="F31" s="16" t="n">
        <f aca="false">RANDBETWEEN(-105,115)/10000</f>
        <v>-0.0057</v>
      </c>
      <c r="G31" s="16" t="n">
        <f aca="false">W31+0.25</f>
        <v>2.45</v>
      </c>
      <c r="H31" s="16" t="n">
        <f aca="false">G31+I31</f>
        <v>2.45</v>
      </c>
      <c r="I31" s="16" t="n">
        <f aca="false">RANDBETWEEN(-20,70)/1000</f>
        <v>0</v>
      </c>
      <c r="J31" s="16" t="n">
        <f aca="false">X31+0.25</f>
        <v>2.567</v>
      </c>
      <c r="K31" s="16" t="n">
        <f aca="false">J31+L31</f>
        <v>2.607</v>
      </c>
      <c r="L31" s="16" t="n">
        <f aca="false">RANDBETWEEN(-20,70)/1000</f>
        <v>0.04</v>
      </c>
      <c r="M31" s="16" t="n">
        <v>5.25</v>
      </c>
      <c r="N31" s="16" t="n">
        <f aca="false">+M31+O31</f>
        <v>5.246</v>
      </c>
      <c r="O31" s="16" t="n">
        <f aca="false">RANDBETWEEN(-105,115)/10000</f>
        <v>-0.004</v>
      </c>
      <c r="P31" s="16" t="n">
        <f aca="false">Y31+0.25</f>
        <v>2.45</v>
      </c>
      <c r="Q31" s="16" t="n">
        <f aca="false">P31+R31</f>
        <v>2.489</v>
      </c>
      <c r="R31" s="16" t="n">
        <f aca="false">RANDBETWEEN(-20,70)/1000</f>
        <v>0.039</v>
      </c>
      <c r="S31" s="17"/>
      <c r="T31" s="18" t="n">
        <v>13.25</v>
      </c>
      <c r="V31" s="19"/>
      <c r="W31" s="19" t="n">
        <f aca="false">'KTHH Lớp 1'!G31</f>
        <v>2.2</v>
      </c>
      <c r="X31" s="19" t="n">
        <f aca="false">'KTHH Lớp 1'!J31</f>
        <v>2.317</v>
      </c>
      <c r="Y31" s="19" t="n">
        <f aca="false">'KTHH Lớp 1'!P31</f>
        <v>2.2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381.5</v>
      </c>
      <c r="D32" s="16" t="n">
        <v>-5.25</v>
      </c>
      <c r="E32" s="16" t="n">
        <f aca="false">+D32+F32</f>
        <v>-5.254</v>
      </c>
      <c r="F32" s="16" t="n">
        <f aca="false">RANDBETWEEN(-105,115)/10000</f>
        <v>-0.004</v>
      </c>
      <c r="G32" s="16" t="n">
        <f aca="false">W32+0.25</f>
        <v>2.442</v>
      </c>
      <c r="H32" s="16" t="n">
        <f aca="false">G32+I32</f>
        <v>2.422</v>
      </c>
      <c r="I32" s="16" t="n">
        <f aca="false">RANDBETWEEN(-20,70)/1000</f>
        <v>-0.02</v>
      </c>
      <c r="J32" s="16" t="n">
        <f aca="false">X32+0.25</f>
        <v>2.559</v>
      </c>
      <c r="K32" s="16" t="n">
        <f aca="false">J32+L32</f>
        <v>2.596</v>
      </c>
      <c r="L32" s="16" t="n">
        <f aca="false">RANDBETWEEN(-20,70)/1000</f>
        <v>0.037</v>
      </c>
      <c r="M32" s="16" t="n">
        <v>5.25</v>
      </c>
      <c r="N32" s="16" t="n">
        <f aca="false">+M32+O32</f>
        <v>5.2589</v>
      </c>
      <c r="O32" s="16" t="n">
        <f aca="false">RANDBETWEEN(-105,115)/10000</f>
        <v>0.0089</v>
      </c>
      <c r="P32" s="16" t="n">
        <f aca="false">Y32+0.25</f>
        <v>2.442</v>
      </c>
      <c r="Q32" s="16" t="n">
        <f aca="false">P32+R32</f>
        <v>2.482</v>
      </c>
      <c r="R32" s="16" t="n">
        <f aca="false">RANDBETWEEN(-20,70)/1000</f>
        <v>0.04</v>
      </c>
      <c r="S32" s="17"/>
      <c r="T32" s="18" t="n">
        <v>13.25</v>
      </c>
      <c r="V32" s="19"/>
      <c r="W32" s="19" t="n">
        <f aca="false">'KTHH Lớp 1'!G32</f>
        <v>2.192</v>
      </c>
      <c r="X32" s="19" t="n">
        <f aca="false">'KTHH Lớp 1'!J32</f>
        <v>2.309</v>
      </c>
      <c r="Y32" s="19" t="n">
        <f aca="false">'KTHH Lớp 1'!P32</f>
        <v>2.192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394.75</v>
      </c>
      <c r="D33" s="16" t="n">
        <v>-5.25</v>
      </c>
      <c r="E33" s="16" t="n">
        <f aca="false">+D33+F33</f>
        <v>-5.2404</v>
      </c>
      <c r="F33" s="16" t="n">
        <f aca="false">RANDBETWEEN(-105,115)/10000</f>
        <v>0.0096</v>
      </c>
      <c r="G33" s="16" t="n">
        <f aca="false">W33+0.25</f>
        <v>2.434</v>
      </c>
      <c r="H33" s="16" t="n">
        <f aca="false">G33+I33</f>
        <v>2.455</v>
      </c>
      <c r="I33" s="16" t="n">
        <f aca="false">RANDBETWEEN(-20,70)/1000</f>
        <v>0.021</v>
      </c>
      <c r="J33" s="16" t="n">
        <f aca="false">X33+0.25</f>
        <v>2.551</v>
      </c>
      <c r="K33" s="16" t="n">
        <f aca="false">J33+L33</f>
        <v>2.594</v>
      </c>
      <c r="L33" s="16" t="n">
        <f aca="false">RANDBETWEEN(-20,70)/1000</f>
        <v>0.043</v>
      </c>
      <c r="M33" s="16" t="n">
        <v>5.25</v>
      </c>
      <c r="N33" s="16" t="n">
        <f aca="false">+M33+O33</f>
        <v>5.2587</v>
      </c>
      <c r="O33" s="16" t="n">
        <f aca="false">RANDBETWEEN(-105,115)/10000</f>
        <v>0.0087</v>
      </c>
      <c r="P33" s="16" t="n">
        <f aca="false">Y33+0.25</f>
        <v>2.434</v>
      </c>
      <c r="Q33" s="16" t="n">
        <f aca="false">P33+R33</f>
        <v>2.498</v>
      </c>
      <c r="R33" s="16" t="n">
        <f aca="false">RANDBETWEEN(-20,70)/1000</f>
        <v>0.064</v>
      </c>
      <c r="S33" s="17"/>
      <c r="T33" s="18"/>
      <c r="V33" s="19"/>
      <c r="W33" s="19" t="n">
        <f aca="false">'KTHH Lớp 1'!G33</f>
        <v>2.184</v>
      </c>
      <c r="X33" s="19" t="n">
        <f aca="false">'KTHH Lớp 1'!J33</f>
        <v>2.301</v>
      </c>
      <c r="Y33" s="19" t="n">
        <f aca="false">'KTHH Lớp 1'!P33</f>
        <v>2.184</v>
      </c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34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35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36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19.NĐXD8/CVXD ngày 25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2, độ chặt K&gt;=0,98 đoạn từ Km0+224,25 - Km0+394,75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39</v>
      </c>
      <c r="B9" s="83" t="s">
        <v>10</v>
      </c>
      <c r="C9" s="83" t="s">
        <v>11</v>
      </c>
      <c r="D9" s="84" t="s">
        <v>40</v>
      </c>
      <c r="E9" s="85"/>
      <c r="F9" s="85"/>
      <c r="G9" s="84"/>
      <c r="H9" s="85"/>
      <c r="I9" s="85"/>
      <c r="J9" s="85"/>
      <c r="K9" s="85"/>
      <c r="L9" s="85"/>
      <c r="M9" s="86" t="s">
        <v>41</v>
      </c>
      <c r="N9" s="87"/>
      <c r="O9" s="88" t="s">
        <v>42</v>
      </c>
      <c r="P9" s="89"/>
      <c r="Q9" s="89"/>
      <c r="R9" s="89"/>
      <c r="S9" s="89"/>
      <c r="T9" s="89"/>
      <c r="U9" s="89"/>
      <c r="V9" s="89"/>
      <c r="W9" s="88" t="s">
        <v>43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42</v>
      </c>
      <c r="O10" s="88"/>
      <c r="P10" s="88" t="s">
        <v>42</v>
      </c>
      <c r="Q10" s="88" t="s">
        <v>42</v>
      </c>
      <c r="R10" s="88"/>
      <c r="S10" s="88"/>
      <c r="T10" s="88"/>
      <c r="U10" s="88" t="s">
        <v>43</v>
      </c>
      <c r="V10" s="88" t="s">
        <v>43</v>
      </c>
      <c r="W10" s="88"/>
      <c r="X10" s="88" t="s">
        <v>43</v>
      </c>
      <c r="Y10" s="88" t="s">
        <v>43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12</v>
      </c>
      <c r="C11" s="94" t="n">
        <f aca="false">'KTHH Lớp 2'!C23</f>
        <v>224.25</v>
      </c>
      <c r="D11" s="93" t="n">
        <f aca="false">'KTHH Lớp 2'!T23</f>
        <v>21.5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56.4375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13</v>
      </c>
      <c r="C12" s="94" t="n">
        <f aca="false">'KTHH Lớp 2'!C24</f>
        <v>245.75</v>
      </c>
      <c r="D12" s="93" t="n">
        <f aca="false">'KTHH Lớp 2'!T24</f>
        <v>11.75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30.84375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B5</v>
      </c>
      <c r="C13" s="94" t="n">
        <f aca="false">'KTHH Lớp 2'!C25</f>
        <v>257.5</v>
      </c>
      <c r="D13" s="93" t="n">
        <f aca="false">'KTHH Lớp 2'!T25</f>
        <v>11.75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30.84375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14</v>
      </c>
      <c r="C14" s="94" t="n">
        <f aca="false">'KTHH Lớp 2'!C26</f>
        <v>269.25</v>
      </c>
      <c r="D14" s="93" t="n">
        <f aca="false">'KTHH Lớp 2'!T26</f>
        <v>20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52.5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15</v>
      </c>
      <c r="C15" s="94" t="n">
        <f aca="false">'KTHH Lớp 2'!C27</f>
        <v>289.25</v>
      </c>
      <c r="D15" s="93" t="n">
        <f aca="false">'KTHH Lớp 2'!T27</f>
        <v>20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52.5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16</v>
      </c>
      <c r="C16" s="94" t="n">
        <f aca="false">'KTHH Lớp 2'!C28</f>
        <v>309.25</v>
      </c>
      <c r="D16" s="93" t="n">
        <f aca="false">'KTHH Lớp 2'!T28</f>
        <v>20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52.5</v>
      </c>
      <c r="X16" s="56"/>
      <c r="Y16" s="56"/>
      <c r="Z16" s="56"/>
      <c r="AA16" s="56"/>
      <c r="AB16" s="100"/>
      <c r="AC16" s="56"/>
      <c r="AE16" s="73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17</v>
      </c>
      <c r="C17" s="94" t="n">
        <f aca="false">'KTHH Lớp 2'!C29</f>
        <v>329.25</v>
      </c>
      <c r="D17" s="93" t="n">
        <f aca="false">'KTHH Lớp 2'!T29</f>
        <v>20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10.5*0.25</f>
        <v>2.625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52.5</v>
      </c>
      <c r="X17" s="56"/>
      <c r="Y17" s="56"/>
      <c r="Z17" s="56"/>
      <c r="AA17" s="56"/>
      <c r="AB17" s="100"/>
      <c r="AC17" s="56"/>
      <c r="AE17" s="73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18</v>
      </c>
      <c r="C18" s="94" t="n">
        <f aca="false">'KTHH Lớp 2'!C30</f>
        <v>349.25</v>
      </c>
      <c r="D18" s="93" t="n">
        <f aca="false">'KTHH Lớp 2'!T30</f>
        <v>19</v>
      </c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10.5*0.25</f>
        <v>2.625</v>
      </c>
      <c r="P18" s="96"/>
      <c r="Q18" s="96"/>
      <c r="R18" s="56"/>
      <c r="S18" s="56"/>
      <c r="T18" s="56"/>
      <c r="U18" s="56"/>
      <c r="V18" s="56"/>
      <c r="W18" s="56" t="n">
        <f aca="false">(O18+O19)*D18/2</f>
        <v>49.875</v>
      </c>
      <c r="X18" s="56"/>
      <c r="Y18" s="56"/>
      <c r="Z18" s="56"/>
      <c r="AA18" s="56"/>
      <c r="AB18" s="100"/>
      <c r="AC18" s="56"/>
      <c r="AE18" s="73"/>
    </row>
    <row r="19" s="50" customFormat="true" ht="15" hidden="false" customHeight="true" outlineLevel="0" collapsed="false">
      <c r="A19" s="93" t="n">
        <v>9</v>
      </c>
      <c r="B19" s="93" t="str">
        <f aca="false">'KTHH Lớp 2'!B31</f>
        <v>19</v>
      </c>
      <c r="C19" s="94" t="n">
        <f aca="false">'KTHH Lớp 2'!C31</f>
        <v>368.25</v>
      </c>
      <c r="D19" s="93" t="n">
        <f aca="false">'KTHH Lớp 2'!T31</f>
        <v>13.25</v>
      </c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 t="n">
        <f aca="false">10.5*0.25</f>
        <v>2.625</v>
      </c>
      <c r="P19" s="96"/>
      <c r="Q19" s="96"/>
      <c r="R19" s="56"/>
      <c r="S19" s="56"/>
      <c r="T19" s="56"/>
      <c r="U19" s="56"/>
      <c r="V19" s="56"/>
      <c r="W19" s="56" t="n">
        <f aca="false">(O19+O20)*D19/2</f>
        <v>34.78125</v>
      </c>
      <c r="X19" s="56"/>
      <c r="Y19" s="56"/>
      <c r="Z19" s="56"/>
      <c r="AA19" s="56"/>
      <c r="AB19" s="100"/>
      <c r="AC19" s="56"/>
      <c r="AE19" s="73"/>
    </row>
    <row r="20" s="50" customFormat="true" ht="15" hidden="false" customHeight="true" outlineLevel="0" collapsed="false">
      <c r="A20" s="93" t="n">
        <v>10</v>
      </c>
      <c r="B20" s="93" t="str">
        <f aca="false">'KTHH Lớp 2'!B32</f>
        <v>C2</v>
      </c>
      <c r="C20" s="94" t="n">
        <f aca="false">'KTHH Lớp 2'!C32</f>
        <v>381.5</v>
      </c>
      <c r="D20" s="93" t="n">
        <f aca="false">'KTHH Lớp 2'!T32</f>
        <v>13.25</v>
      </c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 t="n">
        <f aca="false">10.5*0.25</f>
        <v>2.625</v>
      </c>
      <c r="P20" s="96"/>
      <c r="Q20" s="96"/>
      <c r="R20" s="56"/>
      <c r="S20" s="56"/>
      <c r="T20" s="56"/>
      <c r="U20" s="56"/>
      <c r="V20" s="56"/>
      <c r="W20" s="56" t="n">
        <f aca="false">(O20+O21)*D20/2</f>
        <v>34.78125</v>
      </c>
      <c r="X20" s="56"/>
      <c r="Y20" s="56"/>
      <c r="Z20" s="56"/>
      <c r="AA20" s="56"/>
      <c r="AB20" s="100"/>
      <c r="AC20" s="56"/>
      <c r="AE20" s="73"/>
    </row>
    <row r="21" s="50" customFormat="true" ht="15" hidden="false" customHeight="true" outlineLevel="0" collapsed="false">
      <c r="A21" s="93" t="n">
        <v>11</v>
      </c>
      <c r="B21" s="93" t="str">
        <f aca="false">'KTHH Lớp 2'!B33</f>
        <v>20</v>
      </c>
      <c r="C21" s="94" t="n">
        <f aca="false">'KTHH Lớp 2'!C33</f>
        <v>394.75</v>
      </c>
      <c r="D21" s="93"/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 t="n">
        <f aca="false">10.5*0.25</f>
        <v>2.625</v>
      </c>
      <c r="P21" s="96"/>
      <c r="Q21" s="9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100"/>
      <c r="AC21" s="56"/>
      <c r="AE21" s="73"/>
    </row>
    <row r="22" s="50" customFormat="true" ht="15" hidden="true" customHeight="true" outlineLevel="0" collapsed="false">
      <c r="A22" s="93"/>
      <c r="B22" s="93"/>
      <c r="C22" s="94"/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/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44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SUM(W11:W21)</f>
        <v>447.5625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34</v>
      </c>
      <c r="B51" s="111"/>
      <c r="C51" s="111"/>
      <c r="D51" s="112" t="s">
        <v>45</v>
      </c>
      <c r="E51" s="111" t="s">
        <v>35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36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37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21.NĐXD8/CVXD ngày 26 tháng 08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21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2 đoạn từ Km0+224,25 - Km0+394,75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224.25</v>
      </c>
      <c r="D23" s="16" t="n">
        <v>-5.25</v>
      </c>
      <c r="E23" s="16" t="n">
        <f aca="false">+D23+F23</f>
        <v>-5.2389</v>
      </c>
      <c r="F23" s="16" t="n">
        <f aca="false">RANDBETWEEN(-105,115)/10000</f>
        <v>0.0111</v>
      </c>
      <c r="G23" s="16" t="n">
        <f aca="false">W23+0.18</f>
        <v>2.722</v>
      </c>
      <c r="H23" s="16" t="n">
        <f aca="false">G23+I23</f>
        <v>2.771</v>
      </c>
      <c r="I23" s="16" t="n">
        <f aca="false">RANDBETWEEN(-20,70)/1000</f>
        <v>0.049</v>
      </c>
      <c r="J23" s="16" t="n">
        <f aca="false">X23+0.18</f>
        <v>2.839</v>
      </c>
      <c r="K23" s="16" t="n">
        <f aca="false">J23+L23</f>
        <v>2.858</v>
      </c>
      <c r="L23" s="16" t="n">
        <f aca="false">RANDBETWEEN(-20,70)/1000</f>
        <v>0.019</v>
      </c>
      <c r="M23" s="16" t="n">
        <v>5.25</v>
      </c>
      <c r="N23" s="16" t="n">
        <f aca="false">+M23+O23</f>
        <v>5.2427</v>
      </c>
      <c r="O23" s="16" t="n">
        <f aca="false">RANDBETWEEN(-105,115)/10000</f>
        <v>-0.0073</v>
      </c>
      <c r="P23" s="16" t="n">
        <f aca="false">Y23+0.18</f>
        <v>2.722</v>
      </c>
      <c r="Q23" s="16" t="n">
        <f aca="false">P23+R23</f>
        <v>2.729</v>
      </c>
      <c r="R23" s="16" t="n">
        <f aca="false">RANDBETWEEN(-20,70)/1000</f>
        <v>0.007</v>
      </c>
      <c r="S23" s="17"/>
      <c r="T23" s="18" t="n">
        <v>21.5</v>
      </c>
      <c r="V23" s="19"/>
      <c r="W23" s="19" t="n">
        <f aca="false">'KTHH Lớp 2'!G23</f>
        <v>2.542</v>
      </c>
      <c r="X23" s="19" t="n">
        <f aca="false">'KTHH Lớp 2'!J23</f>
        <v>2.659</v>
      </c>
      <c r="Y23" s="19" t="n">
        <f aca="false">'KTHH Lớp 2'!P23</f>
        <v>2.542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245.75</v>
      </c>
      <c r="D24" s="16" t="n">
        <v>-5.25</v>
      </c>
      <c r="E24" s="16" t="n">
        <f aca="false">+D24+F24</f>
        <v>-5.2389</v>
      </c>
      <c r="F24" s="16" t="n">
        <f aca="false">RANDBETWEEN(-105,115)/10000</f>
        <v>0.0111</v>
      </c>
      <c r="G24" s="16" t="n">
        <f aca="false">W24+0.18</f>
        <v>2.703</v>
      </c>
      <c r="H24" s="16" t="n">
        <f aca="false">G24+I24</f>
        <v>2.692</v>
      </c>
      <c r="I24" s="16" t="n">
        <f aca="false">RANDBETWEEN(-20,70)/1000</f>
        <v>-0.011</v>
      </c>
      <c r="J24" s="16" t="n">
        <f aca="false">X24+0.18</f>
        <v>2.82</v>
      </c>
      <c r="K24" s="16" t="n">
        <f aca="false">J24+L24</f>
        <v>2.845</v>
      </c>
      <c r="L24" s="16" t="n">
        <f aca="false">RANDBETWEEN(-20,70)/1000</f>
        <v>0.025</v>
      </c>
      <c r="M24" s="16" t="n">
        <v>5.25</v>
      </c>
      <c r="N24" s="16" t="n">
        <f aca="false">+M24+O24</f>
        <v>5.2476</v>
      </c>
      <c r="O24" s="16" t="n">
        <f aca="false">RANDBETWEEN(-105,115)/10000</f>
        <v>-0.0024</v>
      </c>
      <c r="P24" s="16" t="n">
        <f aca="false">Y24+0.18</f>
        <v>2.703</v>
      </c>
      <c r="Q24" s="16" t="n">
        <f aca="false">P24+R24</f>
        <v>2.734</v>
      </c>
      <c r="R24" s="16" t="n">
        <f aca="false">RANDBETWEEN(-20,70)/1000</f>
        <v>0.031</v>
      </c>
      <c r="S24" s="17"/>
      <c r="T24" s="18" t="n">
        <v>11.75</v>
      </c>
      <c r="V24" s="19"/>
      <c r="W24" s="19" t="n">
        <f aca="false">'KTHH Lớp 2'!G24</f>
        <v>2.523</v>
      </c>
      <c r="X24" s="19" t="n">
        <f aca="false">'KTHH Lớp 2'!J24</f>
        <v>2.64</v>
      </c>
      <c r="Y24" s="19" t="n">
        <f aca="false">'KTHH Lớp 2'!P24</f>
        <v>2.523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257.5</v>
      </c>
      <c r="D25" s="16" t="n">
        <v>-5.25</v>
      </c>
      <c r="E25" s="16" t="n">
        <f aca="false">+D25+F25</f>
        <v>-5.2456</v>
      </c>
      <c r="F25" s="16" t="n">
        <f aca="false">RANDBETWEEN(-105,115)/10000</f>
        <v>0.0044</v>
      </c>
      <c r="G25" s="16" t="n">
        <f aca="false">W25+0.18</f>
        <v>2.695</v>
      </c>
      <c r="H25" s="16" t="n">
        <f aca="false">G25+I25</f>
        <v>2.717</v>
      </c>
      <c r="I25" s="16" t="n">
        <f aca="false">RANDBETWEEN(-20,70)/1000</f>
        <v>0.022</v>
      </c>
      <c r="J25" s="16" t="n">
        <f aca="false">X25+0.18</f>
        <v>2.812</v>
      </c>
      <c r="K25" s="16" t="n">
        <f aca="false">J25+L25</f>
        <v>2.813</v>
      </c>
      <c r="L25" s="16" t="n">
        <f aca="false">RANDBETWEEN(-20,70)/1000</f>
        <v>0.001</v>
      </c>
      <c r="M25" s="16" t="n">
        <v>5.25</v>
      </c>
      <c r="N25" s="16" t="n">
        <f aca="false">+M25+O25</f>
        <v>5.2422</v>
      </c>
      <c r="O25" s="16" t="n">
        <f aca="false">RANDBETWEEN(-105,115)/10000</f>
        <v>-0.0078</v>
      </c>
      <c r="P25" s="16" t="n">
        <f aca="false">Y25+0.18</f>
        <v>2.695</v>
      </c>
      <c r="Q25" s="16" t="n">
        <f aca="false">P25+R25</f>
        <v>2.682</v>
      </c>
      <c r="R25" s="16" t="n">
        <f aca="false">RANDBETWEEN(-20,70)/1000</f>
        <v>-0.013</v>
      </c>
      <c r="S25" s="17"/>
      <c r="T25" s="18" t="n">
        <v>11.75</v>
      </c>
      <c r="V25" s="19"/>
      <c r="W25" s="19" t="n">
        <f aca="false">'KTHH Lớp 2'!G25</f>
        <v>2.515</v>
      </c>
      <c r="X25" s="19" t="n">
        <f aca="false">'KTHH Lớp 2'!J25</f>
        <v>2.632</v>
      </c>
      <c r="Y25" s="19" t="n">
        <f aca="false">'KTHH Lớp 2'!P25</f>
        <v>2.515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269.25</v>
      </c>
      <c r="D26" s="16" t="n">
        <v>-5.25</v>
      </c>
      <c r="E26" s="16" t="n">
        <f aca="false">+D26+F26</f>
        <v>-5.252</v>
      </c>
      <c r="F26" s="16" t="n">
        <f aca="false">RANDBETWEEN(-105,115)/10000</f>
        <v>-0.002</v>
      </c>
      <c r="G26" s="16" t="n">
        <f aca="false">W26+0.18</f>
        <v>2.686</v>
      </c>
      <c r="H26" s="16" t="n">
        <f aca="false">G26+I26</f>
        <v>2.746</v>
      </c>
      <c r="I26" s="16" t="n">
        <f aca="false">RANDBETWEEN(-20,70)/1000</f>
        <v>0.06</v>
      </c>
      <c r="J26" s="16" t="n">
        <f aca="false">X26+0.18</f>
        <v>2.803</v>
      </c>
      <c r="K26" s="16" t="n">
        <f aca="false">J26+L26</f>
        <v>2.866</v>
      </c>
      <c r="L26" s="16" t="n">
        <f aca="false">RANDBETWEEN(-20,70)/1000</f>
        <v>0.063</v>
      </c>
      <c r="M26" s="16" t="n">
        <v>5.25</v>
      </c>
      <c r="N26" s="16" t="n">
        <f aca="false">+M26+O26</f>
        <v>5.2506</v>
      </c>
      <c r="O26" s="16" t="n">
        <f aca="false">RANDBETWEEN(-105,115)/10000</f>
        <v>0.0006</v>
      </c>
      <c r="P26" s="16" t="n">
        <f aca="false">Y26+0.18</f>
        <v>2.686</v>
      </c>
      <c r="Q26" s="16" t="n">
        <f aca="false">P26+R26</f>
        <v>2.688</v>
      </c>
      <c r="R26" s="16" t="n">
        <f aca="false">RANDBETWEEN(-20,70)/1000</f>
        <v>0.002</v>
      </c>
      <c r="S26" s="17"/>
      <c r="T26" s="18" t="n">
        <v>20</v>
      </c>
      <c r="V26" s="19"/>
      <c r="W26" s="19" t="n">
        <f aca="false">'KTHH Lớp 2'!G26</f>
        <v>2.506</v>
      </c>
      <c r="X26" s="19" t="n">
        <f aca="false">'KTHH Lớp 2'!J26</f>
        <v>2.623</v>
      </c>
      <c r="Y26" s="19" t="n">
        <f aca="false">'KTHH Lớp 2'!P26</f>
        <v>2.506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289.25</v>
      </c>
      <c r="D27" s="16" t="n">
        <v>-5.25</v>
      </c>
      <c r="E27" s="16" t="n">
        <f aca="false">+D27+F27</f>
        <v>-5.2488</v>
      </c>
      <c r="F27" s="16" t="n">
        <f aca="false">RANDBETWEEN(-105,115)/10000</f>
        <v>0.0012</v>
      </c>
      <c r="G27" s="16" t="n">
        <f aca="false">W27+0.18</f>
        <v>2.675</v>
      </c>
      <c r="H27" s="16" t="n">
        <f aca="false">G27+I27</f>
        <v>2.708</v>
      </c>
      <c r="I27" s="16" t="n">
        <f aca="false">RANDBETWEEN(-20,70)/1000</f>
        <v>0.033</v>
      </c>
      <c r="J27" s="16" t="n">
        <f aca="false">X27+0.18</f>
        <v>2.792</v>
      </c>
      <c r="K27" s="16" t="n">
        <f aca="false">J27+L27</f>
        <v>2.861</v>
      </c>
      <c r="L27" s="16" t="n">
        <f aca="false">RANDBETWEEN(-20,70)/1000</f>
        <v>0.069</v>
      </c>
      <c r="M27" s="16" t="n">
        <v>5.25</v>
      </c>
      <c r="N27" s="16" t="n">
        <f aca="false">+M27+O27</f>
        <v>5.2583</v>
      </c>
      <c r="O27" s="16" t="n">
        <f aca="false">RANDBETWEEN(-105,115)/10000</f>
        <v>0.0083</v>
      </c>
      <c r="P27" s="16" t="n">
        <f aca="false">Y27+0.18</f>
        <v>2.675</v>
      </c>
      <c r="Q27" s="16" t="n">
        <f aca="false">P27+R27</f>
        <v>2.743</v>
      </c>
      <c r="R27" s="16" t="n">
        <f aca="false">RANDBETWEEN(-20,70)/1000</f>
        <v>0.068</v>
      </c>
      <c r="S27" s="17"/>
      <c r="T27" s="18" t="n">
        <v>20</v>
      </c>
      <c r="V27" s="19"/>
      <c r="W27" s="19" t="n">
        <f aca="false">'KTHH Lớp 2'!G27</f>
        <v>2.495</v>
      </c>
      <c r="X27" s="19" t="n">
        <f aca="false">'KTHH Lớp 2'!J27</f>
        <v>2.612</v>
      </c>
      <c r="Y27" s="19" t="n">
        <f aca="false">'KTHH Lớp 2'!P27</f>
        <v>2.495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309.25</v>
      </c>
      <c r="D28" s="16" t="n">
        <v>-5.25</v>
      </c>
      <c r="E28" s="16" t="n">
        <f aca="false">+D28+F28</f>
        <v>-5.2525</v>
      </c>
      <c r="F28" s="16" t="n">
        <f aca="false">RANDBETWEEN(-105,115)/10000</f>
        <v>-0.0025</v>
      </c>
      <c r="G28" s="16" t="n">
        <f aca="false">W28+0.18</f>
        <v>2.664</v>
      </c>
      <c r="H28" s="16" t="n">
        <f aca="false">G28+I28</f>
        <v>2.704</v>
      </c>
      <c r="I28" s="16" t="n">
        <f aca="false">RANDBETWEEN(-20,70)/1000</f>
        <v>0.04</v>
      </c>
      <c r="J28" s="16" t="n">
        <f aca="false">X28+0.18</f>
        <v>2.781</v>
      </c>
      <c r="K28" s="16" t="n">
        <f aca="false">J28+L28</f>
        <v>2.775</v>
      </c>
      <c r="L28" s="16" t="n">
        <f aca="false">RANDBETWEEN(-20,70)/1000</f>
        <v>-0.006</v>
      </c>
      <c r="M28" s="16" t="n">
        <v>5.25</v>
      </c>
      <c r="N28" s="16" t="n">
        <f aca="false">+M28+O28</f>
        <v>5.2421</v>
      </c>
      <c r="O28" s="16" t="n">
        <f aca="false">RANDBETWEEN(-105,115)/10000</f>
        <v>-0.0079</v>
      </c>
      <c r="P28" s="16" t="n">
        <f aca="false">Y28+0.18</f>
        <v>2.664</v>
      </c>
      <c r="Q28" s="16" t="n">
        <f aca="false">P28+R28</f>
        <v>2.717</v>
      </c>
      <c r="R28" s="16" t="n">
        <f aca="false">RANDBETWEEN(-20,70)/1000</f>
        <v>0.053</v>
      </c>
      <c r="S28" s="17"/>
      <c r="T28" s="18" t="n">
        <v>20</v>
      </c>
      <c r="V28" s="19"/>
      <c r="W28" s="19" t="n">
        <f aca="false">'KTHH Lớp 2'!G28</f>
        <v>2.484</v>
      </c>
      <c r="X28" s="19" t="n">
        <f aca="false">'KTHH Lớp 2'!J28</f>
        <v>2.601</v>
      </c>
      <c r="Y28" s="19" t="n">
        <f aca="false">'KTHH Lớp 2'!P28</f>
        <v>2.484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329.25</v>
      </c>
      <c r="D29" s="16" t="n">
        <v>-5.25</v>
      </c>
      <c r="E29" s="16" t="n">
        <f aca="false">+D29+F29</f>
        <v>-5.2482</v>
      </c>
      <c r="F29" s="16" t="n">
        <f aca="false">RANDBETWEEN(-105,115)/10000</f>
        <v>0.0018</v>
      </c>
      <c r="G29" s="16" t="n">
        <f aca="false">W29+0.18</f>
        <v>2.653</v>
      </c>
      <c r="H29" s="16" t="n">
        <f aca="false">G29+I29</f>
        <v>2.665</v>
      </c>
      <c r="I29" s="16" t="n">
        <f aca="false">RANDBETWEEN(-20,70)/1000</f>
        <v>0.012</v>
      </c>
      <c r="J29" s="16" t="n">
        <f aca="false">X29+0.18</f>
        <v>2.77</v>
      </c>
      <c r="K29" s="16" t="n">
        <f aca="false">J29+L29</f>
        <v>2.772</v>
      </c>
      <c r="L29" s="16" t="n">
        <f aca="false">RANDBETWEEN(-20,70)/1000</f>
        <v>0.002</v>
      </c>
      <c r="M29" s="16" t="n">
        <v>5.25</v>
      </c>
      <c r="N29" s="16" t="n">
        <f aca="false">+M29+O29</f>
        <v>5.2553</v>
      </c>
      <c r="O29" s="16" t="n">
        <f aca="false">RANDBETWEEN(-105,115)/10000</f>
        <v>0.0053</v>
      </c>
      <c r="P29" s="16" t="n">
        <f aca="false">Y29+0.18</f>
        <v>2.653</v>
      </c>
      <c r="Q29" s="16" t="n">
        <f aca="false">P29+R29</f>
        <v>2.701</v>
      </c>
      <c r="R29" s="16" t="n">
        <f aca="false">RANDBETWEEN(-20,70)/1000</f>
        <v>0.048</v>
      </c>
      <c r="S29" s="17"/>
      <c r="T29" s="18" t="n">
        <v>20</v>
      </c>
      <c r="V29" s="19"/>
      <c r="W29" s="19" t="n">
        <f aca="false">'KTHH Lớp 2'!G29</f>
        <v>2.473</v>
      </c>
      <c r="X29" s="19" t="n">
        <f aca="false">'KTHH Lớp 2'!J29</f>
        <v>2.59</v>
      </c>
      <c r="Y29" s="19" t="n">
        <f aca="false">'KTHH Lớp 2'!P29</f>
        <v>2.473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349.25</v>
      </c>
      <c r="D30" s="16" t="n">
        <v>-5.25</v>
      </c>
      <c r="E30" s="16" t="n">
        <f aca="false">+D30+F30</f>
        <v>-5.2441</v>
      </c>
      <c r="F30" s="16" t="n">
        <f aca="false">RANDBETWEEN(-105,115)/10000</f>
        <v>0.0059</v>
      </c>
      <c r="G30" s="16" t="n">
        <f aca="false">W30+0.18</f>
        <v>2.641</v>
      </c>
      <c r="H30" s="16" t="n">
        <f aca="false">G30+I30</f>
        <v>2.628</v>
      </c>
      <c r="I30" s="16" t="n">
        <f aca="false">RANDBETWEEN(-20,70)/1000</f>
        <v>-0.013</v>
      </c>
      <c r="J30" s="16" t="n">
        <f aca="false">X30+0.18</f>
        <v>2.758</v>
      </c>
      <c r="K30" s="16" t="n">
        <f aca="false">J30+L30</f>
        <v>2.752</v>
      </c>
      <c r="L30" s="16" t="n">
        <f aca="false">RANDBETWEEN(-20,70)/1000</f>
        <v>-0.006</v>
      </c>
      <c r="M30" s="16" t="n">
        <v>5.25</v>
      </c>
      <c r="N30" s="16" t="n">
        <f aca="false">+M30+O30</f>
        <v>5.2473</v>
      </c>
      <c r="O30" s="16" t="n">
        <f aca="false">RANDBETWEEN(-105,115)/10000</f>
        <v>-0.0027</v>
      </c>
      <c r="P30" s="16" t="n">
        <f aca="false">Y30+0.18</f>
        <v>2.641</v>
      </c>
      <c r="Q30" s="16" t="n">
        <f aca="false">P30+R30</f>
        <v>2.703</v>
      </c>
      <c r="R30" s="16" t="n">
        <f aca="false">RANDBETWEEN(-20,70)/1000</f>
        <v>0.062</v>
      </c>
      <c r="S30" s="17"/>
      <c r="T30" s="18" t="n">
        <v>19</v>
      </c>
      <c r="V30" s="19"/>
      <c r="W30" s="19" t="n">
        <f aca="false">'KTHH Lớp 2'!G30</f>
        <v>2.461</v>
      </c>
      <c r="X30" s="19" t="n">
        <f aca="false">'KTHH Lớp 2'!J30</f>
        <v>2.578</v>
      </c>
      <c r="Y30" s="19" t="n">
        <f aca="false">'KTHH Lớp 2'!P30</f>
        <v>2.461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368.25</v>
      </c>
      <c r="D31" s="16" t="n">
        <v>-5.25</v>
      </c>
      <c r="E31" s="16" t="n">
        <f aca="false">+D31+F31</f>
        <v>-5.2393</v>
      </c>
      <c r="F31" s="16" t="n">
        <f aca="false">RANDBETWEEN(-105,115)/10000</f>
        <v>0.0107</v>
      </c>
      <c r="G31" s="16" t="n">
        <f aca="false">W31+0.18</f>
        <v>2.63</v>
      </c>
      <c r="H31" s="16" t="n">
        <f aca="false">G31+I31</f>
        <v>2.643</v>
      </c>
      <c r="I31" s="16" t="n">
        <f aca="false">RANDBETWEEN(-20,70)/1000</f>
        <v>0.013</v>
      </c>
      <c r="J31" s="16" t="n">
        <f aca="false">X31+0.18</f>
        <v>2.747</v>
      </c>
      <c r="K31" s="16" t="n">
        <f aca="false">J31+L31</f>
        <v>2.799</v>
      </c>
      <c r="L31" s="16" t="n">
        <f aca="false">RANDBETWEEN(-20,70)/1000</f>
        <v>0.052</v>
      </c>
      <c r="M31" s="16" t="n">
        <v>5.25</v>
      </c>
      <c r="N31" s="16" t="n">
        <f aca="false">+M31+O31</f>
        <v>5.2399</v>
      </c>
      <c r="O31" s="16" t="n">
        <f aca="false">RANDBETWEEN(-105,115)/10000</f>
        <v>-0.0101</v>
      </c>
      <c r="P31" s="16" t="n">
        <f aca="false">Y31+0.18</f>
        <v>2.63</v>
      </c>
      <c r="Q31" s="16" t="n">
        <f aca="false">P31+R31</f>
        <v>2.651</v>
      </c>
      <c r="R31" s="16" t="n">
        <f aca="false">RANDBETWEEN(-20,70)/1000</f>
        <v>0.021</v>
      </c>
      <c r="S31" s="17"/>
      <c r="T31" s="18" t="n">
        <v>13.25</v>
      </c>
      <c r="V31" s="19"/>
      <c r="W31" s="19" t="n">
        <f aca="false">'KTHH Lớp 2'!G31</f>
        <v>2.45</v>
      </c>
      <c r="X31" s="19" t="n">
        <f aca="false">'KTHH Lớp 2'!J31</f>
        <v>2.567</v>
      </c>
      <c r="Y31" s="19" t="n">
        <f aca="false">'KTHH Lớp 2'!P31</f>
        <v>2.45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381.5</v>
      </c>
      <c r="D32" s="16" t="n">
        <v>-5.25</v>
      </c>
      <c r="E32" s="16" t="n">
        <f aca="false">+D32+F32</f>
        <v>-5.2456</v>
      </c>
      <c r="F32" s="16" t="n">
        <f aca="false">RANDBETWEEN(-105,115)/10000</f>
        <v>0.0044</v>
      </c>
      <c r="G32" s="16" t="n">
        <f aca="false">W32+0.18</f>
        <v>2.622</v>
      </c>
      <c r="H32" s="16" t="n">
        <f aca="false">G32+I32</f>
        <v>2.61</v>
      </c>
      <c r="I32" s="16" t="n">
        <f aca="false">RANDBETWEEN(-20,70)/1000</f>
        <v>-0.012</v>
      </c>
      <c r="J32" s="16" t="n">
        <f aca="false">X32+0.18</f>
        <v>2.739</v>
      </c>
      <c r="K32" s="16" t="n">
        <f aca="false">J32+L32</f>
        <v>2.772</v>
      </c>
      <c r="L32" s="16" t="n">
        <f aca="false">RANDBETWEEN(-20,70)/1000</f>
        <v>0.033</v>
      </c>
      <c r="M32" s="16" t="n">
        <v>5.25</v>
      </c>
      <c r="N32" s="16" t="n">
        <f aca="false">+M32+O32</f>
        <v>5.2538</v>
      </c>
      <c r="O32" s="16" t="n">
        <f aca="false">RANDBETWEEN(-105,115)/10000</f>
        <v>0.0038</v>
      </c>
      <c r="P32" s="16" t="n">
        <f aca="false">Y32+0.18</f>
        <v>2.622</v>
      </c>
      <c r="Q32" s="16" t="n">
        <f aca="false">P32+R32</f>
        <v>2.65</v>
      </c>
      <c r="R32" s="16" t="n">
        <f aca="false">RANDBETWEEN(-20,70)/1000</f>
        <v>0.028</v>
      </c>
      <c r="S32" s="17"/>
      <c r="T32" s="18" t="n">
        <v>13.25</v>
      </c>
      <c r="V32" s="19"/>
      <c r="W32" s="19" t="n">
        <f aca="false">'KTHH Lớp 2'!G32</f>
        <v>2.442</v>
      </c>
      <c r="X32" s="19" t="n">
        <f aca="false">'KTHH Lớp 2'!J32</f>
        <v>2.559</v>
      </c>
      <c r="Y32" s="19" t="n">
        <f aca="false">'KTHH Lớp 2'!P32</f>
        <v>2.442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394.75</v>
      </c>
      <c r="D33" s="16" t="n">
        <v>-5.25</v>
      </c>
      <c r="E33" s="16" t="n">
        <f aca="false">+D33+F33</f>
        <v>-5.2385</v>
      </c>
      <c r="F33" s="16" t="n">
        <f aca="false">RANDBETWEEN(-105,115)/10000</f>
        <v>0.0115</v>
      </c>
      <c r="G33" s="16" t="n">
        <f aca="false">W33+0.18</f>
        <v>2.614</v>
      </c>
      <c r="H33" s="16" t="n">
        <f aca="false">G33+I33</f>
        <v>2.673</v>
      </c>
      <c r="I33" s="16" t="n">
        <f aca="false">RANDBETWEEN(-20,70)/1000</f>
        <v>0.059</v>
      </c>
      <c r="J33" s="16" t="n">
        <f aca="false">X33+0.18</f>
        <v>2.731</v>
      </c>
      <c r="K33" s="16" t="n">
        <f aca="false">J33+L33</f>
        <v>2.756</v>
      </c>
      <c r="L33" s="16" t="n">
        <f aca="false">RANDBETWEEN(-20,70)/1000</f>
        <v>0.025</v>
      </c>
      <c r="M33" s="16" t="n">
        <v>5.25</v>
      </c>
      <c r="N33" s="16" t="n">
        <f aca="false">+M33+O33</f>
        <v>5.2474</v>
      </c>
      <c r="O33" s="16" t="n">
        <f aca="false">RANDBETWEEN(-105,115)/10000</f>
        <v>-0.0026</v>
      </c>
      <c r="P33" s="16" t="n">
        <f aca="false">Y33+0.18</f>
        <v>2.614</v>
      </c>
      <c r="Q33" s="16" t="n">
        <f aca="false">P33+R33</f>
        <v>2.641</v>
      </c>
      <c r="R33" s="16" t="n">
        <f aca="false">RANDBETWEEN(-20,70)/1000</f>
        <v>0.027</v>
      </c>
      <c r="S33" s="17"/>
      <c r="T33" s="18"/>
      <c r="V33" s="19"/>
      <c r="W33" s="19" t="n">
        <f aca="false">'KTHH Lớp 2'!G33</f>
        <v>2.434</v>
      </c>
      <c r="X33" s="19" t="n">
        <f aca="false">'KTHH Lớp 2'!J33</f>
        <v>2.551</v>
      </c>
      <c r="Y33" s="19" t="n">
        <f aca="false">'KTHH Lớp 2'!P33</f>
        <v>2.434</v>
      </c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34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35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36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21.NĐXD8/CVXD ngày 26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21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2 đoạn từ Km0+224,25 - Km0+394,75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39</v>
      </c>
      <c r="B9" s="117" t="s">
        <v>10</v>
      </c>
      <c r="C9" s="117" t="s">
        <v>11</v>
      </c>
      <c r="D9" s="118" t="s">
        <v>40</v>
      </c>
      <c r="E9" s="119"/>
      <c r="F9" s="119"/>
      <c r="G9" s="118"/>
      <c r="H9" s="119"/>
      <c r="I9" s="119"/>
      <c r="J9" s="119"/>
      <c r="K9" s="119"/>
      <c r="L9" s="119"/>
      <c r="M9" s="120" t="s">
        <v>41</v>
      </c>
      <c r="N9" s="121"/>
      <c r="O9" s="122" t="s">
        <v>42</v>
      </c>
      <c r="P9" s="123"/>
      <c r="Q9" s="123"/>
      <c r="R9" s="123"/>
      <c r="S9" s="123"/>
      <c r="T9" s="123"/>
      <c r="U9" s="123"/>
      <c r="V9" s="123"/>
      <c r="W9" s="122" t="s">
        <v>43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42</v>
      </c>
      <c r="O10" s="122"/>
      <c r="P10" s="122" t="s">
        <v>42</v>
      </c>
      <c r="Q10" s="122" t="s">
        <v>42</v>
      </c>
      <c r="R10" s="122"/>
      <c r="S10" s="122"/>
      <c r="T10" s="122"/>
      <c r="U10" s="122" t="s">
        <v>43</v>
      </c>
      <c r="V10" s="122" t="s">
        <v>43</v>
      </c>
      <c r="W10" s="122"/>
      <c r="X10" s="122" t="s">
        <v>43</v>
      </c>
      <c r="Y10" s="122" t="s">
        <v>43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12</v>
      </c>
      <c r="C11" s="133" t="n">
        <f aca="false">'Base A'!C23</f>
        <v>224.25</v>
      </c>
      <c r="D11" s="132" t="n">
        <f aca="false">'Base A'!T23</f>
        <v>21.5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40.635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13</v>
      </c>
      <c r="C12" s="133" t="n">
        <f aca="false">'Base A'!C24</f>
        <v>245.75</v>
      </c>
      <c r="D12" s="132" t="n">
        <f aca="false">'Base A'!T24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22.2075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B5</v>
      </c>
      <c r="C13" s="133" t="n">
        <f aca="false">'Base A'!C25</f>
        <v>257.5</v>
      </c>
      <c r="D13" s="132" t="n">
        <f aca="false">'Base A'!T25</f>
        <v>11.75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22.2075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14</v>
      </c>
      <c r="C14" s="133" t="n">
        <f aca="false">'Base A'!C26</f>
        <v>269.25</v>
      </c>
      <c r="D14" s="132" t="n">
        <f aca="false">'Base A'!T26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37.8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15</v>
      </c>
      <c r="C15" s="133" t="n">
        <f aca="false">'Base A'!C27</f>
        <v>289.25</v>
      </c>
      <c r="D15" s="132" t="n">
        <f aca="false">'Base A'!T27</f>
        <v>20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37.8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16</v>
      </c>
      <c r="C16" s="133" t="n">
        <f aca="false">'Base A'!C28</f>
        <v>309.25</v>
      </c>
      <c r="D16" s="132" t="n">
        <f aca="false">'Base A'!T28</f>
        <v>20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37.8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17</v>
      </c>
      <c r="C17" s="133" t="n">
        <f aca="false">'Base A'!C29</f>
        <v>329.25</v>
      </c>
      <c r="D17" s="132" t="n">
        <f aca="false">'Base A'!T29</f>
        <v>20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10.5*0.18</f>
        <v>1.89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37.8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18</v>
      </c>
      <c r="C18" s="133" t="n">
        <f aca="false">'Base A'!C30</f>
        <v>349.25</v>
      </c>
      <c r="D18" s="132" t="n">
        <f aca="false">'Base A'!T30</f>
        <v>19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10.5*0.18</f>
        <v>1.89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35.91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A'!B31</f>
        <v>19</v>
      </c>
      <c r="C19" s="133" t="n">
        <f aca="false">'Base A'!C31</f>
        <v>368.25</v>
      </c>
      <c r="D19" s="132" t="n">
        <f aca="false">'Base A'!T31</f>
        <v>13.25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10.5*0.18</f>
        <v>1.89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25.0425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A'!B32</f>
        <v>C2</v>
      </c>
      <c r="C20" s="133" t="n">
        <f aca="false">'Base A'!C32</f>
        <v>381.5</v>
      </c>
      <c r="D20" s="132" t="n">
        <f aca="false">'Base A'!T32</f>
        <v>13.25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10.5*0.18</f>
        <v>1.89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25.0425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A'!B33</f>
        <v>20</v>
      </c>
      <c r="C21" s="133" t="n">
        <f aca="false">'Base A'!C33</f>
        <v>394.75</v>
      </c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10.5*0.18</f>
        <v>1.89</v>
      </c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44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SUM(W11:W21)</f>
        <v>322.245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34</v>
      </c>
      <c r="B51" s="153"/>
      <c r="C51" s="153"/>
      <c r="D51" s="154" t="s">
        <v>45</v>
      </c>
      <c r="E51" s="153" t="s">
        <v>35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36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37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24.NĐXD8/CVXD ngày 27 tháng 08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24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1 đoạn từ Km0+224,25 - Km0+394,75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224.25</v>
      </c>
      <c r="D23" s="16" t="n">
        <v>-5.25</v>
      </c>
      <c r="E23" s="16" t="n">
        <f aca="false">+D23+F23</f>
        <v>-5.2575</v>
      </c>
      <c r="F23" s="16" t="n">
        <f aca="false">RANDBETWEEN(-105,115)/10000</f>
        <v>-0.0075</v>
      </c>
      <c r="G23" s="16" t="n">
        <f aca="false">W23+0.15</f>
        <v>2.872</v>
      </c>
      <c r="H23" s="16" t="n">
        <f aca="false">G23+I23</f>
        <v>2.902</v>
      </c>
      <c r="I23" s="16" t="n">
        <f aca="false">RANDBETWEEN(-20,70)/1000</f>
        <v>0.03</v>
      </c>
      <c r="J23" s="16" t="n">
        <f aca="false">X23+0.15</f>
        <v>2.989</v>
      </c>
      <c r="K23" s="16" t="n">
        <f aca="false">J23+L23</f>
        <v>2.972</v>
      </c>
      <c r="L23" s="16" t="n">
        <f aca="false">RANDBETWEEN(-20,70)/1000</f>
        <v>-0.017</v>
      </c>
      <c r="M23" s="16" t="n">
        <v>5.25</v>
      </c>
      <c r="N23" s="16" t="n">
        <f aca="false">+M23+O23</f>
        <v>5.2426</v>
      </c>
      <c r="O23" s="16" t="n">
        <f aca="false">RANDBETWEEN(-105,115)/10000</f>
        <v>-0.0074</v>
      </c>
      <c r="P23" s="16" t="n">
        <f aca="false">Y23+0.15</f>
        <v>2.872</v>
      </c>
      <c r="Q23" s="16" t="n">
        <f aca="false">P23+R23</f>
        <v>2.923</v>
      </c>
      <c r="R23" s="16" t="n">
        <f aca="false">RANDBETWEEN(-20,70)/1000</f>
        <v>0.051</v>
      </c>
      <c r="S23" s="17"/>
      <c r="T23" s="18" t="n">
        <v>21.5</v>
      </c>
      <c r="V23" s="19"/>
      <c r="W23" s="19" t="n">
        <f aca="false">'Base A'!G23</f>
        <v>2.722</v>
      </c>
      <c r="X23" s="19" t="n">
        <f aca="false">'Base A'!J23</f>
        <v>2.839</v>
      </c>
      <c r="Y23" s="19" t="n">
        <f aca="false">'Base A'!P23</f>
        <v>2.722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245.75</v>
      </c>
      <c r="D24" s="16" t="n">
        <v>-5.25</v>
      </c>
      <c r="E24" s="16" t="n">
        <f aca="false">+D24+F24</f>
        <v>-5.253</v>
      </c>
      <c r="F24" s="16" t="n">
        <f aca="false">RANDBETWEEN(-105,115)/10000</f>
        <v>-0.003</v>
      </c>
      <c r="G24" s="16" t="n">
        <f aca="false">W24+0.15</f>
        <v>2.853</v>
      </c>
      <c r="H24" s="16" t="n">
        <f aca="false">G24+I24</f>
        <v>2.901</v>
      </c>
      <c r="I24" s="16" t="n">
        <f aca="false">RANDBETWEEN(-20,70)/1000</f>
        <v>0.048</v>
      </c>
      <c r="J24" s="16" t="n">
        <f aca="false">X24+0.15</f>
        <v>2.97</v>
      </c>
      <c r="K24" s="16" t="n">
        <f aca="false">J24+L24</f>
        <v>2.963</v>
      </c>
      <c r="L24" s="16" t="n">
        <f aca="false">RANDBETWEEN(-20,70)/1000</f>
        <v>-0.007</v>
      </c>
      <c r="M24" s="16" t="n">
        <v>5.25</v>
      </c>
      <c r="N24" s="16" t="n">
        <f aca="false">+M24+O24</f>
        <v>5.2449</v>
      </c>
      <c r="O24" s="16" t="n">
        <f aca="false">RANDBETWEEN(-105,115)/10000</f>
        <v>-0.0051</v>
      </c>
      <c r="P24" s="16" t="n">
        <f aca="false">Y24+0.15</f>
        <v>2.853</v>
      </c>
      <c r="Q24" s="16" t="n">
        <f aca="false">P24+R24</f>
        <v>2.892</v>
      </c>
      <c r="R24" s="16" t="n">
        <f aca="false">RANDBETWEEN(-20,70)/1000</f>
        <v>0.039</v>
      </c>
      <c r="S24" s="17"/>
      <c r="T24" s="18" t="n">
        <v>11.75</v>
      </c>
      <c r="V24" s="19"/>
      <c r="W24" s="19" t="n">
        <f aca="false">'Base A'!G24</f>
        <v>2.703</v>
      </c>
      <c r="X24" s="19" t="n">
        <f aca="false">'Base A'!J24</f>
        <v>2.82</v>
      </c>
      <c r="Y24" s="19" t="n">
        <f aca="false">'Base A'!P24</f>
        <v>2.703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257.5</v>
      </c>
      <c r="D25" s="16" t="n">
        <v>-5.25</v>
      </c>
      <c r="E25" s="16" t="n">
        <f aca="false">+D25+F25</f>
        <v>-5.2526</v>
      </c>
      <c r="F25" s="16" t="n">
        <f aca="false">RANDBETWEEN(-105,115)/10000</f>
        <v>-0.0026</v>
      </c>
      <c r="G25" s="16" t="n">
        <f aca="false">W25+0.15</f>
        <v>2.845</v>
      </c>
      <c r="H25" s="16" t="n">
        <f aca="false">G25+I25</f>
        <v>2.85</v>
      </c>
      <c r="I25" s="16" t="n">
        <f aca="false">RANDBETWEEN(-20,70)/1000</f>
        <v>0.005</v>
      </c>
      <c r="J25" s="16" t="n">
        <f aca="false">X25+0.15</f>
        <v>2.962</v>
      </c>
      <c r="K25" s="16" t="n">
        <f aca="false">J25+L25</f>
        <v>3</v>
      </c>
      <c r="L25" s="16" t="n">
        <f aca="false">RANDBETWEEN(-20,70)/1000</f>
        <v>0.038</v>
      </c>
      <c r="M25" s="16" t="n">
        <v>5.25</v>
      </c>
      <c r="N25" s="16" t="n">
        <f aca="false">+M25+O25</f>
        <v>5.2417</v>
      </c>
      <c r="O25" s="16" t="n">
        <f aca="false">RANDBETWEEN(-105,115)/10000</f>
        <v>-0.0083</v>
      </c>
      <c r="P25" s="16" t="n">
        <f aca="false">Y25+0.15</f>
        <v>2.845</v>
      </c>
      <c r="Q25" s="16" t="n">
        <f aca="false">P25+R25</f>
        <v>2.826</v>
      </c>
      <c r="R25" s="16" t="n">
        <f aca="false">RANDBETWEEN(-20,70)/1000</f>
        <v>-0.019</v>
      </c>
      <c r="S25" s="17"/>
      <c r="T25" s="18" t="n">
        <v>11.75</v>
      </c>
      <c r="V25" s="19"/>
      <c r="W25" s="19" t="n">
        <f aca="false">'Base A'!G25</f>
        <v>2.695</v>
      </c>
      <c r="X25" s="19" t="n">
        <f aca="false">'Base A'!J25</f>
        <v>2.812</v>
      </c>
      <c r="Y25" s="19" t="n">
        <f aca="false">'Base A'!P25</f>
        <v>2.695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269.25</v>
      </c>
      <c r="D26" s="16" t="n">
        <v>-5.25</v>
      </c>
      <c r="E26" s="16" t="n">
        <f aca="false">+D26+F26</f>
        <v>-5.2584</v>
      </c>
      <c r="F26" s="16" t="n">
        <f aca="false">RANDBETWEEN(-105,115)/10000</f>
        <v>-0.0084</v>
      </c>
      <c r="G26" s="16" t="n">
        <f aca="false">W26+0.15</f>
        <v>2.836</v>
      </c>
      <c r="H26" s="16" t="n">
        <f aca="false">G26+I26</f>
        <v>2.827</v>
      </c>
      <c r="I26" s="16" t="n">
        <f aca="false">RANDBETWEEN(-20,70)/1000</f>
        <v>-0.009</v>
      </c>
      <c r="J26" s="16" t="n">
        <f aca="false">X26+0.15</f>
        <v>2.953</v>
      </c>
      <c r="K26" s="16" t="n">
        <f aca="false">J26+L26</f>
        <v>2.999</v>
      </c>
      <c r="L26" s="16" t="n">
        <f aca="false">RANDBETWEEN(-20,70)/1000</f>
        <v>0.046</v>
      </c>
      <c r="M26" s="16" t="n">
        <v>5.25</v>
      </c>
      <c r="N26" s="16" t="n">
        <f aca="false">+M26+O26</f>
        <v>5.2425</v>
      </c>
      <c r="O26" s="16" t="n">
        <f aca="false">RANDBETWEEN(-105,115)/10000</f>
        <v>-0.0075</v>
      </c>
      <c r="P26" s="16" t="n">
        <f aca="false">Y26+0.15</f>
        <v>2.836</v>
      </c>
      <c r="Q26" s="16" t="n">
        <f aca="false">P26+R26</f>
        <v>2.888</v>
      </c>
      <c r="R26" s="16" t="n">
        <f aca="false">RANDBETWEEN(-20,70)/1000</f>
        <v>0.052</v>
      </c>
      <c r="S26" s="17"/>
      <c r="T26" s="18" t="n">
        <v>20</v>
      </c>
      <c r="V26" s="19"/>
      <c r="W26" s="19" t="n">
        <f aca="false">'Base A'!G26</f>
        <v>2.686</v>
      </c>
      <c r="X26" s="19" t="n">
        <f aca="false">'Base A'!J26</f>
        <v>2.803</v>
      </c>
      <c r="Y26" s="19" t="n">
        <f aca="false">'Base A'!P26</f>
        <v>2.686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289.25</v>
      </c>
      <c r="D27" s="16" t="n">
        <v>-5.25</v>
      </c>
      <c r="E27" s="16" t="n">
        <f aca="false">+D27+F27</f>
        <v>-5.2415</v>
      </c>
      <c r="F27" s="16" t="n">
        <f aca="false">RANDBETWEEN(-105,115)/10000</f>
        <v>0.0085</v>
      </c>
      <c r="G27" s="16" t="n">
        <f aca="false">W27+0.15</f>
        <v>2.825</v>
      </c>
      <c r="H27" s="16" t="n">
        <f aca="false">G27+I27</f>
        <v>2.855</v>
      </c>
      <c r="I27" s="16" t="n">
        <f aca="false">RANDBETWEEN(-20,70)/1000</f>
        <v>0.03</v>
      </c>
      <c r="J27" s="16" t="n">
        <f aca="false">X27+0.15</f>
        <v>2.942</v>
      </c>
      <c r="K27" s="16" t="n">
        <f aca="false">J27+L27</f>
        <v>2.935</v>
      </c>
      <c r="L27" s="16" t="n">
        <f aca="false">RANDBETWEEN(-20,70)/1000</f>
        <v>-0.007</v>
      </c>
      <c r="M27" s="16" t="n">
        <v>5.25</v>
      </c>
      <c r="N27" s="16" t="n">
        <f aca="false">+M27+O27</f>
        <v>5.2426</v>
      </c>
      <c r="O27" s="16" t="n">
        <f aca="false">RANDBETWEEN(-105,115)/10000</f>
        <v>-0.0074</v>
      </c>
      <c r="P27" s="16" t="n">
        <f aca="false">Y27+0.15</f>
        <v>2.825</v>
      </c>
      <c r="Q27" s="16" t="n">
        <f aca="false">P27+R27</f>
        <v>2.873</v>
      </c>
      <c r="R27" s="16" t="n">
        <f aca="false">RANDBETWEEN(-20,70)/1000</f>
        <v>0.048</v>
      </c>
      <c r="S27" s="17"/>
      <c r="T27" s="18" t="n">
        <v>20</v>
      </c>
      <c r="V27" s="19"/>
      <c r="W27" s="19" t="n">
        <f aca="false">'Base A'!G27</f>
        <v>2.675</v>
      </c>
      <c r="X27" s="19" t="n">
        <f aca="false">'Base A'!J27</f>
        <v>2.792</v>
      </c>
      <c r="Y27" s="19" t="n">
        <f aca="false">'Base A'!P27</f>
        <v>2.675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309.25</v>
      </c>
      <c r="D28" s="16" t="n">
        <v>-5.25</v>
      </c>
      <c r="E28" s="16" t="n">
        <f aca="false">+D28+F28</f>
        <v>-5.2434</v>
      </c>
      <c r="F28" s="16" t="n">
        <f aca="false">RANDBETWEEN(-105,115)/10000</f>
        <v>0.0066</v>
      </c>
      <c r="G28" s="16" t="n">
        <f aca="false">W28+0.15</f>
        <v>2.814</v>
      </c>
      <c r="H28" s="16" t="n">
        <f aca="false">G28+I28</f>
        <v>2.876</v>
      </c>
      <c r="I28" s="16" t="n">
        <f aca="false">RANDBETWEEN(-20,70)/1000</f>
        <v>0.062</v>
      </c>
      <c r="J28" s="16" t="n">
        <f aca="false">X28+0.15</f>
        <v>2.931</v>
      </c>
      <c r="K28" s="16" t="n">
        <f aca="false">J28+L28</f>
        <v>2.944</v>
      </c>
      <c r="L28" s="16" t="n">
        <f aca="false">RANDBETWEEN(-20,70)/1000</f>
        <v>0.013</v>
      </c>
      <c r="M28" s="16" t="n">
        <v>5.25</v>
      </c>
      <c r="N28" s="16" t="n">
        <f aca="false">+M28+O28</f>
        <v>5.2409</v>
      </c>
      <c r="O28" s="16" t="n">
        <f aca="false">RANDBETWEEN(-105,115)/10000</f>
        <v>-0.0091</v>
      </c>
      <c r="P28" s="16" t="n">
        <f aca="false">Y28+0.15</f>
        <v>2.814</v>
      </c>
      <c r="Q28" s="16" t="n">
        <f aca="false">P28+R28</f>
        <v>2.866</v>
      </c>
      <c r="R28" s="16" t="n">
        <f aca="false">RANDBETWEEN(-20,70)/1000</f>
        <v>0.052</v>
      </c>
      <c r="S28" s="17"/>
      <c r="T28" s="18" t="n">
        <v>20</v>
      </c>
      <c r="V28" s="19"/>
      <c r="W28" s="19" t="n">
        <f aca="false">'Base A'!G28</f>
        <v>2.664</v>
      </c>
      <c r="X28" s="19" t="n">
        <f aca="false">'Base A'!J28</f>
        <v>2.781</v>
      </c>
      <c r="Y28" s="19" t="n">
        <f aca="false">'Base A'!P28</f>
        <v>2.664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329.25</v>
      </c>
      <c r="D29" s="16" t="n">
        <v>-5.25</v>
      </c>
      <c r="E29" s="16" t="n">
        <f aca="false">+D29+F29</f>
        <v>-5.2397</v>
      </c>
      <c r="F29" s="16" t="n">
        <f aca="false">RANDBETWEEN(-105,115)/10000</f>
        <v>0.0103</v>
      </c>
      <c r="G29" s="16" t="n">
        <f aca="false">W29+0.15</f>
        <v>2.803</v>
      </c>
      <c r="H29" s="16" t="n">
        <f aca="false">G29+I29</f>
        <v>2.841</v>
      </c>
      <c r="I29" s="16" t="n">
        <f aca="false">RANDBETWEEN(-20,70)/1000</f>
        <v>0.038</v>
      </c>
      <c r="J29" s="16" t="n">
        <f aca="false">X29+0.15</f>
        <v>2.92</v>
      </c>
      <c r="K29" s="16" t="n">
        <f aca="false">J29+L29</f>
        <v>2.936</v>
      </c>
      <c r="L29" s="16" t="n">
        <f aca="false">RANDBETWEEN(-20,70)/1000</f>
        <v>0.016</v>
      </c>
      <c r="M29" s="16" t="n">
        <v>5.25</v>
      </c>
      <c r="N29" s="16" t="n">
        <f aca="false">+M29+O29</f>
        <v>5.2506</v>
      </c>
      <c r="O29" s="16" t="n">
        <f aca="false">RANDBETWEEN(-105,115)/10000</f>
        <v>0.0006</v>
      </c>
      <c r="P29" s="16" t="n">
        <f aca="false">Y29+0.15</f>
        <v>2.803</v>
      </c>
      <c r="Q29" s="16" t="n">
        <f aca="false">P29+R29</f>
        <v>2.852</v>
      </c>
      <c r="R29" s="16" t="n">
        <f aca="false">RANDBETWEEN(-20,70)/1000</f>
        <v>0.049</v>
      </c>
      <c r="S29" s="17"/>
      <c r="T29" s="18" t="n">
        <v>20</v>
      </c>
      <c r="V29" s="19"/>
      <c r="W29" s="19" t="n">
        <f aca="false">'Base A'!G29</f>
        <v>2.653</v>
      </c>
      <c r="X29" s="19" t="n">
        <f aca="false">'Base A'!J29</f>
        <v>2.77</v>
      </c>
      <c r="Y29" s="19" t="n">
        <f aca="false">'Base A'!P29</f>
        <v>2.653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349.25</v>
      </c>
      <c r="D30" s="16" t="n">
        <v>-5.25</v>
      </c>
      <c r="E30" s="16" t="n">
        <f aca="false">+D30+F30</f>
        <v>-5.26</v>
      </c>
      <c r="F30" s="16" t="n">
        <f aca="false">RANDBETWEEN(-105,115)/10000</f>
        <v>-0.01</v>
      </c>
      <c r="G30" s="16" t="n">
        <f aca="false">W30+0.15</f>
        <v>2.791</v>
      </c>
      <c r="H30" s="16" t="n">
        <f aca="false">G30+I30</f>
        <v>2.857</v>
      </c>
      <c r="I30" s="16" t="n">
        <f aca="false">RANDBETWEEN(-20,70)/1000</f>
        <v>0.066</v>
      </c>
      <c r="J30" s="16" t="n">
        <f aca="false">X30+0.15</f>
        <v>2.908</v>
      </c>
      <c r="K30" s="16" t="n">
        <f aca="false">J30+L30</f>
        <v>2.934</v>
      </c>
      <c r="L30" s="16" t="n">
        <f aca="false">RANDBETWEEN(-20,70)/1000</f>
        <v>0.026</v>
      </c>
      <c r="M30" s="16" t="n">
        <v>5.25</v>
      </c>
      <c r="N30" s="16" t="n">
        <f aca="false">+M30+O30</f>
        <v>5.241</v>
      </c>
      <c r="O30" s="16" t="n">
        <f aca="false">RANDBETWEEN(-105,115)/10000</f>
        <v>-0.009</v>
      </c>
      <c r="P30" s="16" t="n">
        <f aca="false">Y30+0.15</f>
        <v>2.791</v>
      </c>
      <c r="Q30" s="16" t="n">
        <f aca="false">P30+R30</f>
        <v>2.771</v>
      </c>
      <c r="R30" s="16" t="n">
        <f aca="false">RANDBETWEEN(-20,70)/1000</f>
        <v>-0.02</v>
      </c>
      <c r="S30" s="17"/>
      <c r="T30" s="18" t="n">
        <v>19</v>
      </c>
      <c r="V30" s="19"/>
      <c r="W30" s="19" t="n">
        <f aca="false">'Base A'!G30</f>
        <v>2.641</v>
      </c>
      <c r="X30" s="19" t="n">
        <f aca="false">'Base A'!J30</f>
        <v>2.758</v>
      </c>
      <c r="Y30" s="19" t="n">
        <f aca="false">'Base A'!P30</f>
        <v>2.641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368.25</v>
      </c>
      <c r="D31" s="16" t="n">
        <v>-5.25</v>
      </c>
      <c r="E31" s="16" t="n">
        <f aca="false">+D31+F31</f>
        <v>-5.2601</v>
      </c>
      <c r="F31" s="16" t="n">
        <f aca="false">RANDBETWEEN(-105,115)/10000</f>
        <v>-0.0101</v>
      </c>
      <c r="G31" s="16" t="n">
        <f aca="false">W31+0.15</f>
        <v>2.78</v>
      </c>
      <c r="H31" s="16" t="n">
        <f aca="false">G31+I31</f>
        <v>2.799</v>
      </c>
      <c r="I31" s="16" t="n">
        <f aca="false">RANDBETWEEN(-20,70)/1000</f>
        <v>0.019</v>
      </c>
      <c r="J31" s="16" t="n">
        <f aca="false">X31+0.15</f>
        <v>2.897</v>
      </c>
      <c r="K31" s="16" t="n">
        <f aca="false">J31+L31</f>
        <v>2.965</v>
      </c>
      <c r="L31" s="16" t="n">
        <f aca="false">RANDBETWEEN(-20,70)/1000</f>
        <v>0.068</v>
      </c>
      <c r="M31" s="16" t="n">
        <v>5.25</v>
      </c>
      <c r="N31" s="16" t="n">
        <f aca="false">+M31+O31</f>
        <v>5.2408</v>
      </c>
      <c r="O31" s="16" t="n">
        <f aca="false">RANDBETWEEN(-105,115)/10000</f>
        <v>-0.0092</v>
      </c>
      <c r="P31" s="16" t="n">
        <f aca="false">Y31+0.15</f>
        <v>2.78</v>
      </c>
      <c r="Q31" s="16" t="n">
        <f aca="false">P31+R31</f>
        <v>2.82</v>
      </c>
      <c r="R31" s="16" t="n">
        <f aca="false">RANDBETWEEN(-20,70)/1000</f>
        <v>0.04</v>
      </c>
      <c r="S31" s="17"/>
      <c r="T31" s="18" t="n">
        <v>13.25</v>
      </c>
      <c r="V31" s="19"/>
      <c r="W31" s="19" t="n">
        <f aca="false">'Base A'!G31</f>
        <v>2.63</v>
      </c>
      <c r="X31" s="19" t="n">
        <f aca="false">'Base A'!J31</f>
        <v>2.747</v>
      </c>
      <c r="Y31" s="19" t="n">
        <f aca="false">'Base A'!P31</f>
        <v>2.63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381.5</v>
      </c>
      <c r="D32" s="16" t="n">
        <v>-5.25</v>
      </c>
      <c r="E32" s="16" t="n">
        <f aca="false">+D32+F32</f>
        <v>-5.2555</v>
      </c>
      <c r="F32" s="16" t="n">
        <f aca="false">RANDBETWEEN(-105,115)/10000</f>
        <v>-0.0055</v>
      </c>
      <c r="G32" s="16" t="n">
        <f aca="false">W32+0.15</f>
        <v>2.772</v>
      </c>
      <c r="H32" s="16" t="n">
        <f aca="false">G32+I32</f>
        <v>2.769</v>
      </c>
      <c r="I32" s="16" t="n">
        <f aca="false">RANDBETWEEN(-20,70)/1000</f>
        <v>-0.003</v>
      </c>
      <c r="J32" s="16" t="n">
        <f aca="false">X32+0.15</f>
        <v>2.889</v>
      </c>
      <c r="K32" s="16" t="n">
        <f aca="false">J32+L32</f>
        <v>2.901</v>
      </c>
      <c r="L32" s="16" t="n">
        <f aca="false">RANDBETWEEN(-20,70)/1000</f>
        <v>0.012</v>
      </c>
      <c r="M32" s="16" t="n">
        <v>5.25</v>
      </c>
      <c r="N32" s="16" t="n">
        <f aca="false">+M32+O32</f>
        <v>5.245</v>
      </c>
      <c r="O32" s="16" t="n">
        <f aca="false">RANDBETWEEN(-105,115)/10000</f>
        <v>-0.005</v>
      </c>
      <c r="P32" s="16" t="n">
        <f aca="false">Y32+0.15</f>
        <v>2.772</v>
      </c>
      <c r="Q32" s="16" t="n">
        <f aca="false">P32+R32</f>
        <v>2.806</v>
      </c>
      <c r="R32" s="16" t="n">
        <f aca="false">RANDBETWEEN(-20,70)/1000</f>
        <v>0.034</v>
      </c>
      <c r="S32" s="17"/>
      <c r="T32" s="18" t="n">
        <v>13.25</v>
      </c>
      <c r="V32" s="19"/>
      <c r="W32" s="19" t="n">
        <f aca="false">'Base A'!G32</f>
        <v>2.622</v>
      </c>
      <c r="X32" s="19" t="n">
        <f aca="false">'Base A'!J32</f>
        <v>2.739</v>
      </c>
      <c r="Y32" s="19" t="n">
        <f aca="false">'Base A'!P32</f>
        <v>2.622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394.75</v>
      </c>
      <c r="D33" s="16" t="n">
        <v>-5.25</v>
      </c>
      <c r="E33" s="16" t="n">
        <f aca="false">+D33+F33</f>
        <v>-5.2461</v>
      </c>
      <c r="F33" s="16" t="n">
        <f aca="false">RANDBETWEEN(-105,115)/10000</f>
        <v>0.0039</v>
      </c>
      <c r="G33" s="16" t="n">
        <f aca="false">W33+0.15</f>
        <v>2.764</v>
      </c>
      <c r="H33" s="16" t="n">
        <f aca="false">G33+I33</f>
        <v>2.759</v>
      </c>
      <c r="I33" s="16" t="n">
        <f aca="false">RANDBETWEEN(-20,70)/1000</f>
        <v>-0.005</v>
      </c>
      <c r="J33" s="16" t="n">
        <f aca="false">X33+0.15</f>
        <v>2.881</v>
      </c>
      <c r="K33" s="16" t="n">
        <f aca="false">J33+L33</f>
        <v>2.922</v>
      </c>
      <c r="L33" s="16" t="n">
        <f aca="false">RANDBETWEEN(-20,70)/1000</f>
        <v>0.041</v>
      </c>
      <c r="M33" s="16" t="n">
        <v>5.25</v>
      </c>
      <c r="N33" s="16" t="n">
        <f aca="false">+M33+O33</f>
        <v>5.2551</v>
      </c>
      <c r="O33" s="16" t="n">
        <f aca="false">RANDBETWEEN(-105,115)/10000</f>
        <v>0.0051</v>
      </c>
      <c r="P33" s="16" t="n">
        <f aca="false">Y33+0.15</f>
        <v>2.764</v>
      </c>
      <c r="Q33" s="16" t="n">
        <f aca="false">P33+R33</f>
        <v>2.781</v>
      </c>
      <c r="R33" s="16" t="n">
        <f aca="false">RANDBETWEEN(-20,70)/1000</f>
        <v>0.017</v>
      </c>
      <c r="S33" s="17"/>
      <c r="T33" s="18"/>
      <c r="V33" s="19"/>
      <c r="W33" s="19" t="n">
        <f aca="false">'Base A'!G33</f>
        <v>2.614</v>
      </c>
      <c r="X33" s="19" t="n">
        <f aca="false">'Base A'!J33</f>
        <v>2.731</v>
      </c>
      <c r="Y33" s="19" t="n">
        <f aca="false">'Base A'!P33</f>
        <v>2.614</v>
      </c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34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35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36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52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24.NĐXD8/CVXD ngày 27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24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1 đoạn từ Km0+224,25 - Km0+394,75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39</v>
      </c>
      <c r="B9" s="117" t="s">
        <v>10</v>
      </c>
      <c r="C9" s="117" t="s">
        <v>11</v>
      </c>
      <c r="D9" s="118" t="s">
        <v>40</v>
      </c>
      <c r="E9" s="119"/>
      <c r="F9" s="119"/>
      <c r="G9" s="118"/>
      <c r="H9" s="119"/>
      <c r="I9" s="119"/>
      <c r="J9" s="119"/>
      <c r="K9" s="119"/>
      <c r="L9" s="119"/>
      <c r="M9" s="120" t="s">
        <v>41</v>
      </c>
      <c r="N9" s="121"/>
      <c r="O9" s="122" t="s">
        <v>42</v>
      </c>
      <c r="P9" s="123"/>
      <c r="Q9" s="123"/>
      <c r="R9" s="123"/>
      <c r="S9" s="123"/>
      <c r="T9" s="123"/>
      <c r="U9" s="123"/>
      <c r="V9" s="123"/>
      <c r="W9" s="122" t="s">
        <v>43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42</v>
      </c>
      <c r="O10" s="122"/>
      <c r="P10" s="122" t="s">
        <v>42</v>
      </c>
      <c r="Q10" s="122" t="s">
        <v>42</v>
      </c>
      <c r="R10" s="122"/>
      <c r="S10" s="122"/>
      <c r="T10" s="122"/>
      <c r="U10" s="122" t="s">
        <v>43</v>
      </c>
      <c r="V10" s="122" t="s">
        <v>43</v>
      </c>
      <c r="W10" s="122"/>
      <c r="X10" s="122" t="s">
        <v>43</v>
      </c>
      <c r="Y10" s="122" t="s">
        <v>43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12</v>
      </c>
      <c r="C11" s="133" t="n">
        <f aca="false">'Base B'!C23</f>
        <v>224.25</v>
      </c>
      <c r="D11" s="132" t="n">
        <f aca="false">'Base B'!T23</f>
        <v>21.5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33.8625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13</v>
      </c>
      <c r="C12" s="133" t="n">
        <f aca="false">'Base B'!C24</f>
        <v>245.75</v>
      </c>
      <c r="D12" s="132" t="n">
        <f aca="false">'Base B'!T24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18.50625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B5</v>
      </c>
      <c r="C13" s="133" t="n">
        <f aca="false">'Base B'!C25</f>
        <v>257.5</v>
      </c>
      <c r="D13" s="132" t="n">
        <f aca="false">'Base B'!T25</f>
        <v>11.75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18.50625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14</v>
      </c>
      <c r="C14" s="133" t="n">
        <f aca="false">'Base B'!C26</f>
        <v>269.25</v>
      </c>
      <c r="D14" s="132" t="n">
        <f aca="false">'Base B'!T26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31.5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15</v>
      </c>
      <c r="C15" s="133" t="n">
        <f aca="false">'Base B'!C27</f>
        <v>289.25</v>
      </c>
      <c r="D15" s="132" t="n">
        <f aca="false">'Base B'!T27</f>
        <v>20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31.5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16</v>
      </c>
      <c r="C16" s="133" t="n">
        <f aca="false">'Base B'!C28</f>
        <v>309.25</v>
      </c>
      <c r="D16" s="132" t="n">
        <f aca="false">'Base B'!T28</f>
        <v>20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31.5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17</v>
      </c>
      <c r="C17" s="133" t="n">
        <f aca="false">'Base B'!C29</f>
        <v>329.25</v>
      </c>
      <c r="D17" s="132" t="n">
        <f aca="false">'Base B'!T29</f>
        <v>20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10.5*0.15</f>
        <v>1.575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31.5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18</v>
      </c>
      <c r="C18" s="133" t="n">
        <f aca="false">'Base B'!C30</f>
        <v>349.25</v>
      </c>
      <c r="D18" s="132" t="n">
        <f aca="false">'Base B'!T30</f>
        <v>19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10.5*0.15</f>
        <v>1.575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29.925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B'!B31</f>
        <v>19</v>
      </c>
      <c r="C19" s="133" t="n">
        <f aca="false">'Base B'!C31</f>
        <v>368.25</v>
      </c>
      <c r="D19" s="132" t="n">
        <f aca="false">'Base B'!T31</f>
        <v>13.25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10.5*0.15</f>
        <v>1.575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20.86875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B'!B32</f>
        <v>C2</v>
      </c>
      <c r="C20" s="133" t="n">
        <f aca="false">'Base B'!C32</f>
        <v>381.5</v>
      </c>
      <c r="D20" s="132" t="n">
        <f aca="false">'Base B'!T32</f>
        <v>13.25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10.5*0.15</f>
        <v>1.575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20.86875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B'!B33</f>
        <v>20</v>
      </c>
      <c r="C21" s="133" t="n">
        <f aca="false">'Base B'!C33</f>
        <v>394.75</v>
      </c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10.5*0.15</f>
        <v>1.575</v>
      </c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44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SUM(W11:W21)</f>
        <v>268.5375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34</v>
      </c>
      <c r="B51" s="153"/>
      <c r="C51" s="153"/>
      <c r="D51" s="154" t="s">
        <v>45</v>
      </c>
      <c r="E51" s="153" t="s">
        <v>35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36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2026-10-13T07:37:10Z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