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<sst xmlns="http://schemas.openxmlformats.org/spreadsheetml/2006/main" count="826" uniqueCount="66">
  <si>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</si>
  <si>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</si>
  <si>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</si>
  <si>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</si>
  <si>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</si>
  <si>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</si>
  <si>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</si>
  <si>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</si>
  <si>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</si>
  <si>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</si>
  <si>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</si>
  <si>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</si>
  <si>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</si>
  <si>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</si>
  <si>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</si>
  <si>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</si>
  <si>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</si>
  <si>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</si>
  <si>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-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</si>
  <si>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</si>
  <si>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</si>
  <si>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</si>
  <si>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</si>
  <si>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</si>
  <si>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</si>
  <si>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</si>
  <si>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</si>
  <si>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</si>
  <si>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</si>
  <si>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</t>
  </si>
  <si>
    <t xml:space="preserve">Kèm theo BBNT số: 18.NĐXD8/CVXD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</si>
  <si>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</si>
  <si>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</si>
  <si>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</si>
  <si>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</si>
  <si>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</si>
  <si>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Km0+224,25 - Km0+394,75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</si>
  <si>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</si>
  <si>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</si>
  <si>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</si>
  <si>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</si>
  <si>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</si>
  <si>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</si>
  <si>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</si>
  <si>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</si>
  <si>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</si>
  <si>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</si>
  <si>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</si>
  <si>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</si>
  <si>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</si>
  <si>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</si>
  <si>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</si>
  <si>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</si>
  <si>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</si>
  <si>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</si>
  <si>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</si>
  <si>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</si>
  <si>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</si>
  <si>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</si>
  <si>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20.NĐXD8/CVXD ngày 25 tháng 08 năm 2026</t>
  </si>
  <si>
    <t xml:space="preserve">Đắp đất lề đường lớp 2, độ chặt K&gt;=0,95 đoạn từ Km0+224,25 - Km0+394,75</t>
  </si>
  <si>
    <t xml:space="preserve">Kèm theo BBNT số: 22.NĐXD8/CVXD ngày 26 tháng 08 năm 2026</t>
  </si>
  <si>
    <t xml:space="preserve">Đắp đất lề đường lớp 3, độ chặt K&gt;=0,95 đoạn từ Km0+224,25 - Km0+394,75</t>
  </si>
  <si>
    <t xml:space="preserve">Kèm theo BBNT số: 23.NĐXD8/CVXD ngày 27 tháng 08 năm 2026</t>
  </si>
  <si>
    <t xml:space="preserve">Đắp đất lề đường lớp 4, độ chặt K&gt;=0,95 đoạn từ Km0+224,25 - Km0+394,75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</si>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</sst>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224.25</v>
      </c>
      <c r="D2" s="0" t="n">
        <v>4</v>
      </c>
      <c r="E2" s="0" t="n">
        <v>1.56</v>
      </c>
      <c r="F2" s="0" t="n">
        <v>-10.12</v>
      </c>
      <c r="G2" s="2" t="n">
        <v>3.06</v>
      </c>
      <c r="H2" s="0" t="n">
        <v>-5.51</v>
      </c>
      <c r="I2" s="2" t="n">
        <v>2.78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2.72</v>
      </c>
      <c r="H3" s="0" t="n">
        <v>-5.25</v>
      </c>
      <c r="I3" s="2" t="n">
        <v>2.72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2.54</v>
      </c>
      <c r="H4" s="0" t="n">
        <v>-5.25</v>
      </c>
      <c r="I4" s="2" t="n">
        <v>2.54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2.29</v>
      </c>
      <c r="H5" s="0" t="n">
        <v>-5.25</v>
      </c>
      <c r="I5" s="2" t="n">
        <v>2.29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224.25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2.97</v>
      </c>
      <c r="N6" s="0" t="n">
        <v>10.12</v>
      </c>
      <c r="O6" s="2" t="n">
        <v>2.97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2.72</v>
      </c>
      <c r="N7" s="0" t="n">
        <v>10.93</v>
      </c>
      <c r="O7" s="2" t="n">
        <v>2.72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2.54</v>
      </c>
      <c r="N8" s="0" t="n">
        <v>11.2</v>
      </c>
      <c r="O8" s="2" t="n">
        <v>2.54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2.29</v>
      </c>
      <c r="N9" s="0" t="n">
        <v>11.58</v>
      </c>
      <c r="O9" s="2" t="n">
        <v>2.29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245.75</v>
      </c>
      <c r="D10" s="0" t="n">
        <v>4</v>
      </c>
      <c r="E10" s="0" t="n">
        <v>1.56</v>
      </c>
      <c r="F10" s="0" t="n">
        <v>-10.12</v>
      </c>
      <c r="G10" s="2" t="n">
        <v>3.04</v>
      </c>
      <c r="H10" s="0" t="n">
        <v>-5.51</v>
      </c>
      <c r="I10" s="2" t="n">
        <v>2.76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2.7</v>
      </c>
      <c r="H11" s="0" t="n">
        <v>-5.25</v>
      </c>
      <c r="I11" s="2" t="n">
        <v>2.7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2.52</v>
      </c>
      <c r="H12" s="0" t="n">
        <v>-5.25</v>
      </c>
      <c r="I12" s="2" t="n">
        <v>2.52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2.27</v>
      </c>
      <c r="H13" s="0" t="n">
        <v>-5.25</v>
      </c>
      <c r="I13" s="2" t="n">
        <v>2.27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245.75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2.95</v>
      </c>
      <c r="N14" s="0" t="n">
        <v>10.12</v>
      </c>
      <c r="O14" s="2" t="n">
        <v>2.95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2.7</v>
      </c>
      <c r="N15" s="0" t="n">
        <v>10.93</v>
      </c>
      <c r="O15" s="2" t="n">
        <v>2.7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2.52</v>
      </c>
      <c r="N16" s="0" t="n">
        <v>11.2</v>
      </c>
      <c r="O16" s="2" t="n">
        <v>2.52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2.27</v>
      </c>
      <c r="N17" s="0" t="n">
        <v>11.58</v>
      </c>
      <c r="O17" s="2" t="n">
        <v>2.27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257.5</v>
      </c>
      <c r="D18" s="0" t="n">
        <v>4</v>
      </c>
      <c r="E18" s="0" t="n">
        <v>1.56</v>
      </c>
      <c r="F18" s="0" t="n">
        <v>-10.12</v>
      </c>
      <c r="G18" s="2" t="n">
        <v>3.04</v>
      </c>
      <c r="H18" s="0" t="n">
        <v>-5.51</v>
      </c>
      <c r="I18" s="2" t="n">
        <v>2.75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2.69</v>
      </c>
      <c r="H19" s="0" t="n">
        <v>-5.25</v>
      </c>
      <c r="I19" s="2" t="n">
        <v>2.69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2.51</v>
      </c>
      <c r="H20" s="0" t="n">
        <v>-5.25</v>
      </c>
      <c r="I20" s="2" t="n">
        <v>2.51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2.26</v>
      </c>
      <c r="H21" s="0" t="n">
        <v>-5.25</v>
      </c>
      <c r="I21" s="2" t="n">
        <v>2.26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257.5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2.94</v>
      </c>
      <c r="N22" s="0" t="n">
        <v>10.12</v>
      </c>
      <c r="O22" s="2" t="n">
        <v>2.94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2.69</v>
      </c>
      <c r="N23" s="0" t="n">
        <v>10.93</v>
      </c>
      <c r="O23" s="2" t="n">
        <v>2.69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2.51</v>
      </c>
      <c r="N24" s="0" t="n">
        <v>11.2</v>
      </c>
      <c r="O24" s="2" t="n">
        <v>2.51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2.26</v>
      </c>
      <c r="N25" s="0" t="n">
        <v>11.58</v>
      </c>
      <c r="O25" s="2" t="n">
        <v>2.26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269.25</v>
      </c>
      <c r="D26" s="0" t="n">
        <v>4</v>
      </c>
      <c r="E26" s="0" t="n">
        <v>1.56</v>
      </c>
      <c r="F26" s="0" t="n">
        <v>-10.12</v>
      </c>
      <c r="G26" s="2" t="n">
        <v>3.03</v>
      </c>
      <c r="H26" s="0" t="n">
        <v>-5.51</v>
      </c>
      <c r="I26" s="2" t="n">
        <v>2.75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2.69</v>
      </c>
      <c r="H27" s="0" t="n">
        <v>-5.25</v>
      </c>
      <c r="I27" s="2" t="n">
        <v>2.69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2.51</v>
      </c>
      <c r="H28" s="0" t="n">
        <v>-5.25</v>
      </c>
      <c r="I28" s="2" t="n">
        <v>2.51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2.26</v>
      </c>
      <c r="H29" s="0" t="n">
        <v>-5.25</v>
      </c>
      <c r="I29" s="2" t="n">
        <v>2.26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269.25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2.94</v>
      </c>
      <c r="N30" s="0" t="n">
        <v>10.12</v>
      </c>
      <c r="O30" s="2" t="n">
        <v>2.93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2.69</v>
      </c>
      <c r="N31" s="0" t="n">
        <v>10.93</v>
      </c>
      <c r="O31" s="2" t="n">
        <v>2.69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2.51</v>
      </c>
      <c r="N32" s="0" t="n">
        <v>11.2</v>
      </c>
      <c r="O32" s="2" t="n">
        <v>2.51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2.26</v>
      </c>
      <c r="N33" s="0" t="n">
        <v>11.58</v>
      </c>
      <c r="O33" s="2" t="n">
        <v>2.26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289.25</v>
      </c>
      <c r="D34" s="0" t="n">
        <v>4</v>
      </c>
      <c r="E34" s="0" t="n">
        <v>1.56</v>
      </c>
      <c r="F34" s="0" t="n">
        <v>-10.12</v>
      </c>
      <c r="G34" s="2" t="n">
        <v>3.02</v>
      </c>
      <c r="H34" s="0" t="n">
        <v>-5.51</v>
      </c>
      <c r="I34" s="2" t="n">
        <v>2.73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2.68</v>
      </c>
      <c r="H35" s="0" t="n">
        <v>-5.25</v>
      </c>
      <c r="I35" s="2" t="n">
        <v>2.68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2.5</v>
      </c>
      <c r="H36" s="0" t="n">
        <v>-5.25</v>
      </c>
      <c r="I36" s="2" t="n">
        <v>2.5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2.25</v>
      </c>
      <c r="H37" s="0" t="n">
        <v>-5.25</v>
      </c>
      <c r="I37" s="2" t="n">
        <v>2.25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289.25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2.92</v>
      </c>
      <c r="N38" s="0" t="n">
        <v>10.12</v>
      </c>
      <c r="O38" s="2" t="n">
        <v>2.92</v>
      </c>
      <c r="P38" s="0" t="n">
        <v>5.47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2.68</v>
      </c>
      <c r="N39" s="0" t="n">
        <v>10.93</v>
      </c>
      <c r="O39" s="2" t="n">
        <v>2.68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2.5</v>
      </c>
      <c r="N40" s="0" t="n">
        <v>11.2</v>
      </c>
      <c r="O40" s="2" t="n">
        <v>2.5</v>
      </c>
    </row>
    <row r="41" customFormat="false" ht="15" hidden="false" customHeight="false" outlineLevel="0" collapsed="false">
      <c r="D41" s="0" t="n">
        <v>1</v>
      </c>
      <c r="E41" s="0" t="n">
        <v>1.33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2.25</v>
      </c>
      <c r="N41" s="0" t="n">
        <v>11.58</v>
      </c>
      <c r="O41" s="2" t="n">
        <v>2.25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309.25</v>
      </c>
      <c r="D42" s="0" t="n">
        <v>4</v>
      </c>
      <c r="E42" s="0" t="n">
        <v>1.56</v>
      </c>
      <c r="F42" s="0" t="n">
        <v>-10.12</v>
      </c>
      <c r="G42" s="2" t="n">
        <v>3.01</v>
      </c>
      <c r="H42" s="0" t="n">
        <v>-5.51</v>
      </c>
      <c r="I42" s="2" t="n">
        <v>2.72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5.67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2.66</v>
      </c>
      <c r="H43" s="0" t="n">
        <v>-5.25</v>
      </c>
      <c r="I43" s="2" t="n">
        <v>2.66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2.48</v>
      </c>
      <c r="H44" s="0" t="n">
        <v>-5.25</v>
      </c>
      <c r="I44" s="2" t="n">
        <v>2.48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1.53</v>
      </c>
      <c r="F45" s="0" t="n">
        <v>-11.58</v>
      </c>
      <c r="G45" s="2" t="n">
        <v>2.23</v>
      </c>
      <c r="H45" s="0" t="n">
        <v>-5.25</v>
      </c>
      <c r="I45" s="2" t="n">
        <v>2.23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309.25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2.91</v>
      </c>
      <c r="N46" s="0" t="n">
        <v>10.12</v>
      </c>
      <c r="O46" s="2" t="n">
        <v>2.91</v>
      </c>
      <c r="P46" s="0" t="n">
        <v>4.33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0.93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2.66</v>
      </c>
      <c r="N47" s="0" t="n">
        <v>10.93</v>
      </c>
      <c r="O47" s="2" t="n">
        <v>2.66</v>
      </c>
    </row>
    <row r="48" customFormat="false" ht="15" hidden="false" customHeight="false" outlineLevel="0" collapsed="false">
      <c r="D48" s="0" t="n">
        <v>2</v>
      </c>
      <c r="E48" s="0" t="n">
        <v>0.95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2.48</v>
      </c>
      <c r="N48" s="0" t="n">
        <v>9.18</v>
      </c>
      <c r="O48" s="2" t="n">
        <v>2.48</v>
      </c>
    </row>
    <row r="49" customFormat="false" ht="15" hidden="false" customHeight="false" outlineLevel="0" collapsed="false">
      <c r="D49" s="0" t="n">
        <v>1</v>
      </c>
      <c r="E49" s="0" t="n">
        <v>0.89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2.23</v>
      </c>
      <c r="N49" s="0" t="n">
        <v>8.93</v>
      </c>
      <c r="O49" s="2" t="n">
        <v>2.23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329.25</v>
      </c>
      <c r="D50" s="0" t="n">
        <v>4</v>
      </c>
      <c r="E50" s="0" t="n">
        <v>1.56</v>
      </c>
      <c r="F50" s="0" t="n">
        <v>-10.12</v>
      </c>
      <c r="G50" s="2" t="n">
        <v>2.99</v>
      </c>
      <c r="H50" s="0" t="n">
        <v>-5.51</v>
      </c>
      <c r="I50" s="2" t="n">
        <v>2.71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5.76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2.65</v>
      </c>
      <c r="H51" s="0" t="n">
        <v>-5.25</v>
      </c>
      <c r="I51" s="2" t="n">
        <v>2.65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2.47</v>
      </c>
      <c r="H52" s="0" t="n">
        <v>-5.25</v>
      </c>
      <c r="I52" s="2" t="n">
        <v>2.47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1.62</v>
      </c>
      <c r="F53" s="0" t="n">
        <v>-11.58</v>
      </c>
      <c r="G53" s="2" t="n">
        <v>2.22</v>
      </c>
      <c r="H53" s="0" t="n">
        <v>-5.25</v>
      </c>
      <c r="I53" s="2" t="n">
        <v>2.22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329.25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2.9</v>
      </c>
      <c r="N54" s="0" t="n">
        <v>10.12</v>
      </c>
      <c r="O54" s="2" t="n">
        <v>2.9</v>
      </c>
      <c r="P54" s="0" t="n">
        <v>4.64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2.65</v>
      </c>
      <c r="N55" s="0" t="n">
        <v>10.93</v>
      </c>
      <c r="O55" s="2" t="n">
        <v>2.65</v>
      </c>
    </row>
    <row r="56" customFormat="false" ht="15" hidden="false" customHeight="false" outlineLevel="0" collapsed="false">
      <c r="D56" s="0" t="n">
        <v>2</v>
      </c>
      <c r="E56" s="0" t="n">
        <v>1.14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2.47</v>
      </c>
      <c r="N56" s="0" t="n">
        <v>11.2</v>
      </c>
      <c r="O56" s="2" t="n">
        <v>2.47</v>
      </c>
    </row>
    <row r="57" customFormat="false" ht="15" hidden="false" customHeight="false" outlineLevel="0" collapsed="false">
      <c r="D57" s="0" t="n">
        <v>1</v>
      </c>
      <c r="E57" s="0" t="n">
        <v>0.89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2.22</v>
      </c>
      <c r="N57" s="0" t="n">
        <v>8.92</v>
      </c>
      <c r="O57" s="2" t="n">
        <v>2.22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349.25</v>
      </c>
      <c r="D58" s="0" t="n">
        <v>4</v>
      </c>
      <c r="E58" s="0" t="n">
        <v>1.56</v>
      </c>
      <c r="F58" s="0" t="n">
        <v>-10.12</v>
      </c>
      <c r="G58" s="2" t="n">
        <v>2.98</v>
      </c>
      <c r="H58" s="0" t="n">
        <v>-5.51</v>
      </c>
      <c r="I58" s="2" t="n">
        <v>2.7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2.64</v>
      </c>
      <c r="H59" s="0" t="n">
        <v>-5.25</v>
      </c>
      <c r="I59" s="2" t="n">
        <v>2.64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2.46</v>
      </c>
      <c r="H60" s="0" t="n">
        <v>-5.25</v>
      </c>
      <c r="I60" s="2" t="n">
        <v>2.46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2.21</v>
      </c>
      <c r="H61" s="0" t="n">
        <v>-5.25</v>
      </c>
      <c r="I61" s="2" t="n">
        <v>2.21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349.25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2.89</v>
      </c>
      <c r="N62" s="0" t="n">
        <v>10.12</v>
      </c>
      <c r="O62" s="2" t="n">
        <v>2.89</v>
      </c>
      <c r="P62" s="0" t="n">
        <v>5.47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2.64</v>
      </c>
      <c r="N63" s="0" t="n">
        <v>10.93</v>
      </c>
      <c r="O63" s="2" t="n">
        <v>2.64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2.46</v>
      </c>
      <c r="N64" s="0" t="n">
        <v>11.2</v>
      </c>
      <c r="O64" s="2" t="n">
        <v>2.46</v>
      </c>
    </row>
    <row r="65" customFormat="false" ht="15" hidden="false" customHeight="false" outlineLevel="0" collapsed="false">
      <c r="D65" s="0" t="n">
        <v>1</v>
      </c>
      <c r="E65" s="0" t="n">
        <v>1.33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2.21</v>
      </c>
      <c r="N65" s="0" t="n">
        <v>11.58</v>
      </c>
      <c r="O65" s="2" t="n">
        <v>2.21</v>
      </c>
    </row>
    <row r="66" customFormat="false" ht="15" hidden="false" customHeight="false" outlineLevel="0" collapsed="false">
      <c r="A66" s="1" t="n">
        <v>9</v>
      </c>
      <c r="B66" s="2" t="s">
        <v>26</v>
      </c>
      <c r="C66" s="0" t="n">
        <v>368.25</v>
      </c>
      <c r="D66" s="0" t="n">
        <v>4</v>
      </c>
      <c r="E66" s="0" t="n">
        <v>1.56</v>
      </c>
      <c r="F66" s="0" t="n">
        <v>-10.12</v>
      </c>
      <c r="G66" s="2" t="n">
        <v>2.97</v>
      </c>
      <c r="H66" s="0" t="n">
        <v>-5.51</v>
      </c>
      <c r="I66" s="2" t="n">
        <v>2.69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2.63</v>
      </c>
      <c r="H67" s="0" t="n">
        <v>-5.25</v>
      </c>
      <c r="I67" s="2" t="n">
        <v>2.63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2.45</v>
      </c>
      <c r="H68" s="0" t="n">
        <v>-5.25</v>
      </c>
      <c r="I68" s="2" t="n">
        <v>2.45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2.2</v>
      </c>
      <c r="H69" s="0" t="n">
        <v>-5.25</v>
      </c>
      <c r="I69" s="2" t="n">
        <v>2.2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26</v>
      </c>
      <c r="C70" s="0" t="n">
        <v>368.25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2.88</v>
      </c>
      <c r="N70" s="0" t="n">
        <v>10.12</v>
      </c>
      <c r="O70" s="2" t="n">
        <v>2.87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2.63</v>
      </c>
      <c r="N71" s="0" t="n">
        <v>10.93</v>
      </c>
      <c r="O71" s="2" t="n">
        <v>2.63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2.45</v>
      </c>
      <c r="N72" s="0" t="n">
        <v>11.2</v>
      </c>
      <c r="O72" s="2" t="n">
        <v>2.45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2.2</v>
      </c>
      <c r="N73" s="0" t="n">
        <v>11.58</v>
      </c>
      <c r="O73" s="2" t="n">
        <v>2.2</v>
      </c>
    </row>
    <row r="74" customFormat="false" ht="15" hidden="false" customHeight="false" outlineLevel="0" collapsed="false">
      <c r="A74" s="1" t="n">
        <v>10</v>
      </c>
      <c r="B74" s="2" t="s">
        <v>27</v>
      </c>
      <c r="C74" s="0" t="n">
        <v>381.5</v>
      </c>
      <c r="D74" s="0" t="n">
        <v>4</v>
      </c>
      <c r="E74" s="0" t="n">
        <v>1.56</v>
      </c>
      <c r="F74" s="0" t="n">
        <v>-10.12</v>
      </c>
      <c r="G74" s="2" t="n">
        <v>2.96</v>
      </c>
      <c r="H74" s="0" t="n">
        <v>-5.51</v>
      </c>
      <c r="I74" s="2" t="n">
        <v>2.68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2.62</v>
      </c>
      <c r="H75" s="0" t="n">
        <v>-5.25</v>
      </c>
      <c r="I75" s="2" t="n">
        <v>2.62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2.44</v>
      </c>
      <c r="H76" s="0" t="n">
        <v>-5.25</v>
      </c>
      <c r="I76" s="2" t="n">
        <v>2.44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2.19</v>
      </c>
      <c r="H77" s="0" t="n">
        <v>-5.25</v>
      </c>
      <c r="I77" s="2" t="n">
        <v>2.19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27</v>
      </c>
      <c r="C78" s="0" t="n">
        <v>381.5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2.87</v>
      </c>
      <c r="N78" s="0" t="n">
        <v>10.12</v>
      </c>
      <c r="O78" s="2" t="n">
        <v>2.87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2.62</v>
      </c>
      <c r="N79" s="0" t="n">
        <v>10.93</v>
      </c>
      <c r="O79" s="2" t="n">
        <v>2.62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2.44</v>
      </c>
      <c r="N80" s="0" t="n">
        <v>11.2</v>
      </c>
      <c r="O80" s="2" t="n">
        <v>2.44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2.19</v>
      </c>
      <c r="N81" s="0" t="n">
        <v>11.58</v>
      </c>
      <c r="O81" s="2" t="n">
        <v>2.19</v>
      </c>
    </row>
    <row r="82" customFormat="false" ht="15" hidden="false" customHeight="false" outlineLevel="0" collapsed="false">
      <c r="A82" s="1" t="n">
        <v>11</v>
      </c>
      <c r="B82" s="2" t="s">
        <v>28</v>
      </c>
      <c r="C82" s="0" t="n">
        <v>394.75</v>
      </c>
      <c r="D82" s="0" t="n">
        <v>4</v>
      </c>
      <c r="E82" s="0" t="n">
        <v>1.56</v>
      </c>
      <c r="F82" s="0" t="n">
        <v>-10.12</v>
      </c>
      <c r="G82" s="2" t="n">
        <v>2.96</v>
      </c>
      <c r="H82" s="0" t="n">
        <v>-5.51</v>
      </c>
      <c r="I82" s="2" t="n">
        <v>2.67</v>
      </c>
      <c r="J82" s="1" t="s">
        <v>18</v>
      </c>
      <c r="K82" s="1" t="s">
        <v>18</v>
      </c>
      <c r="L82" s="1" t="s">
        <v>18</v>
      </c>
      <c r="M82" s="2" t="s">
        <v>18</v>
      </c>
      <c r="N82" s="1" t="s">
        <v>18</v>
      </c>
      <c r="O82" s="2" t="s">
        <v>18</v>
      </c>
      <c r="P82" s="0" t="n">
        <v>5.77</v>
      </c>
      <c r="Q82" s="0" t="n">
        <v>0</v>
      </c>
    </row>
    <row r="83" customFormat="false" ht="15" hidden="false" customHeight="false" outlineLevel="0" collapsed="false">
      <c r="D83" s="0" t="n">
        <v>3</v>
      </c>
      <c r="E83" s="0" t="n">
        <v>1.05</v>
      </c>
      <c r="F83" s="0" t="n">
        <v>-10.93</v>
      </c>
      <c r="G83" s="2" t="n">
        <v>2.61</v>
      </c>
      <c r="H83" s="0" t="n">
        <v>-5.25</v>
      </c>
      <c r="I83" s="2" t="n">
        <v>2.61</v>
      </c>
      <c r="J83" s="1" t="s">
        <v>18</v>
      </c>
      <c r="K83" s="1" t="s">
        <v>18</v>
      </c>
      <c r="L83" s="1" t="s">
        <v>18</v>
      </c>
      <c r="M83" s="2" t="s">
        <v>18</v>
      </c>
      <c r="N83" s="1" t="s">
        <v>18</v>
      </c>
      <c r="O83" s="2" t="s">
        <v>18</v>
      </c>
    </row>
    <row r="84" customFormat="false" ht="15" hidden="false" customHeight="false" outlineLevel="0" collapsed="false">
      <c r="D84" s="0" t="n">
        <v>2</v>
      </c>
      <c r="E84" s="0" t="n">
        <v>1.53</v>
      </c>
      <c r="F84" s="0" t="n">
        <v>-11.2</v>
      </c>
      <c r="G84" s="2" t="n">
        <v>2.43</v>
      </c>
      <c r="H84" s="0" t="n">
        <v>-5.25</v>
      </c>
      <c r="I84" s="2" t="n">
        <v>2.43</v>
      </c>
      <c r="J84" s="1" t="s">
        <v>18</v>
      </c>
      <c r="K84" s="1" t="s">
        <v>18</v>
      </c>
      <c r="L84" s="1" t="s">
        <v>18</v>
      </c>
      <c r="M84" s="2" t="s">
        <v>18</v>
      </c>
      <c r="N84" s="1" t="s">
        <v>18</v>
      </c>
      <c r="O84" s="2" t="s">
        <v>18</v>
      </c>
    </row>
    <row r="85" customFormat="false" ht="15" hidden="false" customHeight="false" outlineLevel="0" collapsed="false">
      <c r="D85" s="0" t="n">
        <v>1</v>
      </c>
      <c r="E85" s="0" t="n">
        <v>1.63</v>
      </c>
      <c r="F85" s="0" t="n">
        <v>-11.58</v>
      </c>
      <c r="G85" s="2" t="n">
        <v>2.18</v>
      </c>
      <c r="H85" s="0" t="n">
        <v>-5.25</v>
      </c>
      <c r="I85" s="2" t="n">
        <v>2.18</v>
      </c>
      <c r="J85" s="1" t="s">
        <v>18</v>
      </c>
      <c r="K85" s="1" t="s">
        <v>18</v>
      </c>
      <c r="L85" s="1" t="s">
        <v>18</v>
      </c>
      <c r="M85" s="2" t="s">
        <v>18</v>
      </c>
      <c r="N85" s="1" t="s">
        <v>18</v>
      </c>
      <c r="O85" s="2" t="s">
        <v>18</v>
      </c>
    </row>
    <row r="86" customFormat="false" ht="15" hidden="false" customHeight="false" outlineLevel="0" collapsed="false">
      <c r="A86" s="1" t="n">
        <v>11</v>
      </c>
      <c r="B86" s="2" t="s">
        <v>28</v>
      </c>
      <c r="C86" s="0" t="n">
        <v>394.75</v>
      </c>
      <c r="D86" s="0" t="n">
        <v>4</v>
      </c>
      <c r="E86" s="0" t="n">
        <v>1.56</v>
      </c>
      <c r="F86" s="1" t="s">
        <v>18</v>
      </c>
      <c r="G86" s="2" t="s">
        <v>18</v>
      </c>
      <c r="H86" s="1" t="s">
        <v>18</v>
      </c>
      <c r="I86" s="2" t="s">
        <v>18</v>
      </c>
      <c r="J86" s="1" t="s">
        <v>18</v>
      </c>
      <c r="K86" s="1" t="s">
        <v>18</v>
      </c>
      <c r="L86" s="0" t="n">
        <v>5.51</v>
      </c>
      <c r="M86" s="2" t="n">
        <v>2.86</v>
      </c>
      <c r="N86" s="0" t="n">
        <v>10.12</v>
      </c>
      <c r="O86" s="2" t="n">
        <v>2.86</v>
      </c>
      <c r="P86" s="0" t="n">
        <v>5.77</v>
      </c>
      <c r="Q86" s="0" t="n">
        <v>0</v>
      </c>
    </row>
    <row r="87" customFormat="false" ht="15" hidden="false" customHeight="false" outlineLevel="0" collapsed="false">
      <c r="D87" s="0" t="n">
        <v>3</v>
      </c>
      <c r="E87" s="0" t="n">
        <v>1.05</v>
      </c>
      <c r="F87" s="1" t="s">
        <v>18</v>
      </c>
      <c r="G87" s="2" t="s">
        <v>18</v>
      </c>
      <c r="H87" s="1" t="s">
        <v>18</v>
      </c>
      <c r="I87" s="2" t="s">
        <v>18</v>
      </c>
      <c r="J87" s="1" t="s">
        <v>18</v>
      </c>
      <c r="K87" s="1" t="s">
        <v>18</v>
      </c>
      <c r="L87" s="0" t="n">
        <v>5.25</v>
      </c>
      <c r="M87" s="2" t="n">
        <v>2.61</v>
      </c>
      <c r="N87" s="0" t="n">
        <v>10.93</v>
      </c>
      <c r="O87" s="2" t="n">
        <v>2.61</v>
      </c>
    </row>
    <row r="88" customFormat="false" ht="15" hidden="false" customHeight="false" outlineLevel="0" collapsed="false">
      <c r="D88" s="0" t="n">
        <v>2</v>
      </c>
      <c r="E88" s="0" t="n">
        <v>1.53</v>
      </c>
      <c r="F88" s="1" t="s">
        <v>18</v>
      </c>
      <c r="G88" s="2" t="s">
        <v>18</v>
      </c>
      <c r="H88" s="1" t="s">
        <v>18</v>
      </c>
      <c r="I88" s="2" t="s">
        <v>18</v>
      </c>
      <c r="J88" s="1" t="s">
        <v>18</v>
      </c>
      <c r="K88" s="1" t="s">
        <v>18</v>
      </c>
      <c r="L88" s="0" t="n">
        <v>5.25</v>
      </c>
      <c r="M88" s="2" t="n">
        <v>2.43</v>
      </c>
      <c r="N88" s="0" t="n">
        <v>11.2</v>
      </c>
      <c r="O88" s="2" t="n">
        <v>2.43</v>
      </c>
    </row>
    <row r="89" customFormat="false" ht="15" hidden="false" customHeight="false" outlineLevel="0" collapsed="false">
      <c r="D89" s="0" t="n">
        <v>1</v>
      </c>
      <c r="E89" s="0" t="n">
        <v>1.63</v>
      </c>
      <c r="F89" s="1" t="s">
        <v>18</v>
      </c>
      <c r="G89" s="2" t="s">
        <v>18</v>
      </c>
      <c r="H89" s="1" t="s">
        <v>18</v>
      </c>
      <c r="I89" s="2" t="s">
        <v>18</v>
      </c>
      <c r="J89" s="1" t="s">
        <v>18</v>
      </c>
      <c r="K89" s="1" t="s">
        <v>18</v>
      </c>
      <c r="L89" s="0" t="n">
        <v>5.25</v>
      </c>
      <c r="M89" s="2" t="n">
        <v>2.18</v>
      </c>
      <c r="N89" s="0" t="n">
        <v>11.58</v>
      </c>
      <c r="O89" s="2" t="n">
        <v>2.18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30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">
        <v>36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Chạy!G5</f>
        <v>2.29</v>
      </c>
      <c r="E21" s="16" t="n">
        <f aca="false">D21+F21</f>
        <v>2.281</v>
      </c>
      <c r="F21" s="16" t="n">
        <f aca="false">RANDBETWEEN(-30,100)/1000</f>
        <v>-0.009</v>
      </c>
      <c r="G21" s="16" t="n">
        <f aca="false">Chạy!I5</f>
        <v>2.29</v>
      </c>
      <c r="H21" s="16" t="n">
        <f aca="false">G21+I21</f>
        <v>2.303</v>
      </c>
      <c r="I21" s="16" t="n">
        <f aca="false">RANDBETWEEN(-30,100)/1000</f>
        <v>0.013</v>
      </c>
      <c r="J21" s="16" t="n">
        <f aca="false">Chạy!M9</f>
        <v>2.29</v>
      </c>
      <c r="K21" s="16" t="n">
        <f aca="false">J21+L21</f>
        <v>2.281</v>
      </c>
      <c r="L21" s="16" t="n">
        <f aca="false">RANDBETWEEN(-30,100)/1000</f>
        <v>-0.009</v>
      </c>
      <c r="M21" s="16" t="n">
        <f aca="false">Chạy!O9</f>
        <v>2.29</v>
      </c>
      <c r="N21" s="16" t="n">
        <f aca="false">M21+O21</f>
        <v>2.38</v>
      </c>
      <c r="O21" s="16" t="n">
        <f aca="false">RANDBETWEEN(-30,100)/1000</f>
        <v>0.09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Chạy!G13</f>
        <v>2.27</v>
      </c>
      <c r="E22" s="16" t="n">
        <f aca="false">D22+F22</f>
        <v>2.268</v>
      </c>
      <c r="F22" s="16" t="n">
        <f aca="false">RANDBETWEEN(-30,100)/1000</f>
        <v>-0.002</v>
      </c>
      <c r="G22" s="16" t="n">
        <f aca="false">Chạy!I13</f>
        <v>2.27</v>
      </c>
      <c r="H22" s="16" t="n">
        <f aca="false">G22+I22</f>
        <v>2.269</v>
      </c>
      <c r="I22" s="16" t="n">
        <f aca="false">RANDBETWEEN(-30,100)/1000</f>
        <v>-0.001</v>
      </c>
      <c r="J22" s="16" t="n">
        <f aca="false">Chạy!M17</f>
        <v>2.27</v>
      </c>
      <c r="K22" s="16" t="n">
        <f aca="false">J22+L22</f>
        <v>2.35</v>
      </c>
      <c r="L22" s="16" t="n">
        <f aca="false">RANDBETWEEN(-30,100)/1000</f>
        <v>0.08</v>
      </c>
      <c r="M22" s="16" t="n">
        <f aca="false">Chạy!O17</f>
        <v>2.27</v>
      </c>
      <c r="N22" s="16" t="n">
        <f aca="false">M22+O22</f>
        <v>2.361</v>
      </c>
      <c r="O22" s="16" t="n">
        <f aca="false">RANDBETWEEN(-30,100)/1000</f>
        <v>0.091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Chạy!G21</f>
        <v>2.26</v>
      </c>
      <c r="E23" s="16" t="n">
        <f aca="false">D23+F23</f>
        <v>2.242</v>
      </c>
      <c r="F23" s="16" t="n">
        <f aca="false">RANDBETWEEN(-30,100)/1000</f>
        <v>-0.018</v>
      </c>
      <c r="G23" s="16" t="n">
        <f aca="false">Chạy!I21</f>
        <v>2.26</v>
      </c>
      <c r="H23" s="16" t="n">
        <f aca="false">G23+I23</f>
        <v>2.345</v>
      </c>
      <c r="I23" s="16" t="n">
        <f aca="false">RANDBETWEEN(-30,100)/1000</f>
        <v>0.085</v>
      </c>
      <c r="J23" s="16" t="n">
        <f aca="false">Chạy!M25</f>
        <v>2.26</v>
      </c>
      <c r="K23" s="16" t="n">
        <f aca="false">J23+L23</f>
        <v>2.337</v>
      </c>
      <c r="L23" s="16" t="n">
        <f aca="false">RANDBETWEEN(-30,100)/1000</f>
        <v>0.077</v>
      </c>
      <c r="M23" s="16" t="n">
        <f aca="false">Chạy!O25</f>
        <v>2.26</v>
      </c>
      <c r="N23" s="16" t="n">
        <f aca="false">M23+O23</f>
        <v>2.235</v>
      </c>
      <c r="O23" s="16" t="n">
        <f aca="false">RANDBETWEEN(-30,100)/1000</f>
        <v>-0.025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Chạy!G29</f>
        <v>2.26</v>
      </c>
      <c r="E24" s="16" t="n">
        <f aca="false">D24+F24</f>
        <v>2.302</v>
      </c>
      <c r="F24" s="16" t="n">
        <f aca="false">RANDBETWEEN(-30,100)/1000</f>
        <v>0.042</v>
      </c>
      <c r="G24" s="16" t="n">
        <f aca="false">Chạy!I29</f>
        <v>2.26</v>
      </c>
      <c r="H24" s="16" t="n">
        <f aca="false">G24+I24</f>
        <v>2.316</v>
      </c>
      <c r="I24" s="16" t="n">
        <f aca="false">RANDBETWEEN(-30,100)/1000</f>
        <v>0.056</v>
      </c>
      <c r="J24" s="16" t="n">
        <f aca="false">Chạy!M33</f>
        <v>2.26</v>
      </c>
      <c r="K24" s="16" t="n">
        <f aca="false">J24+L24</f>
        <v>2.288</v>
      </c>
      <c r="L24" s="16" t="n">
        <f aca="false">RANDBETWEEN(-30,100)/1000</f>
        <v>0.028</v>
      </c>
      <c r="M24" s="16" t="n">
        <f aca="false">Chạy!O33</f>
        <v>2.26</v>
      </c>
      <c r="N24" s="16" t="n">
        <f aca="false">M24+O24</f>
        <v>2.232</v>
      </c>
      <c r="O24" s="16" t="n">
        <f aca="false">RANDBETWEEN(-30,100)/1000</f>
        <v>-0.028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Chạy!G37</f>
        <v>2.25</v>
      </c>
      <c r="E25" s="16" t="n">
        <f aca="false">D25+F25</f>
        <v>2.268</v>
      </c>
      <c r="F25" s="16" t="n">
        <f aca="false">RANDBETWEEN(-30,100)/1000</f>
        <v>0.018</v>
      </c>
      <c r="G25" s="16" t="n">
        <f aca="false">Chạy!I37</f>
        <v>2.25</v>
      </c>
      <c r="H25" s="16" t="n">
        <f aca="false">G25+I25</f>
        <v>2.321</v>
      </c>
      <c r="I25" s="16" t="n">
        <f aca="false">RANDBETWEEN(-30,100)/1000</f>
        <v>0.071</v>
      </c>
      <c r="J25" s="16" t="n">
        <f aca="false">Chạy!M41</f>
        <v>2.25</v>
      </c>
      <c r="K25" s="16" t="n">
        <f aca="false">J25+L25</f>
        <v>2.289</v>
      </c>
      <c r="L25" s="16" t="n">
        <f aca="false">RANDBETWEEN(-30,100)/1000</f>
        <v>0.039</v>
      </c>
      <c r="M25" s="16" t="n">
        <f aca="false">Chạy!O41</f>
        <v>2.25</v>
      </c>
      <c r="N25" s="16" t="n">
        <f aca="false">M25+O25</f>
        <v>2.322</v>
      </c>
      <c r="O25" s="16" t="n">
        <f aca="false">RANDBETWEEN(-30,100)/1000</f>
        <v>0.072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Chạy!G45</f>
        <v>2.23</v>
      </c>
      <c r="E26" s="16" t="n">
        <f aca="false">D26+F26</f>
        <v>2.234</v>
      </c>
      <c r="F26" s="16" t="n">
        <f aca="false">RANDBETWEEN(-30,100)/1000</f>
        <v>0.004</v>
      </c>
      <c r="G26" s="16" t="n">
        <f aca="false">Chạy!I45</f>
        <v>2.23</v>
      </c>
      <c r="H26" s="16" t="n">
        <f aca="false">G26+I26</f>
        <v>2.324</v>
      </c>
      <c r="I26" s="16" t="n">
        <f aca="false">RANDBETWEEN(-30,100)/1000</f>
        <v>0.094</v>
      </c>
      <c r="J26" s="16" t="n">
        <f aca="false">Chạy!M49</f>
        <v>2.23</v>
      </c>
      <c r="K26" s="16" t="n">
        <f aca="false">J26+L26</f>
        <v>2.291</v>
      </c>
      <c r="L26" s="16" t="n">
        <f aca="false">RANDBETWEEN(-30,100)/1000</f>
        <v>0.061</v>
      </c>
      <c r="M26" s="16" t="n">
        <f aca="false">Chạy!O49</f>
        <v>2.23</v>
      </c>
      <c r="N26" s="16" t="n">
        <f aca="false">M26+O26</f>
        <v>2.286</v>
      </c>
      <c r="O26" s="16" t="n">
        <f aca="false">RANDBETWEEN(-30,100)/1000</f>
        <v>0.056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Chạy!G53</f>
        <v>2.22</v>
      </c>
      <c r="E27" s="16" t="n">
        <f aca="false">D27+F27</f>
        <v>2.21</v>
      </c>
      <c r="F27" s="16" t="n">
        <f aca="false">RANDBETWEEN(-30,100)/1000</f>
        <v>-0.01</v>
      </c>
      <c r="G27" s="16" t="n">
        <f aca="false">Chạy!I53</f>
        <v>2.22</v>
      </c>
      <c r="H27" s="16" t="n">
        <f aca="false">G27+I27</f>
        <v>2.301</v>
      </c>
      <c r="I27" s="16" t="n">
        <f aca="false">RANDBETWEEN(-30,100)/1000</f>
        <v>0.081</v>
      </c>
      <c r="J27" s="16" t="n">
        <f aca="false">Chạy!M57</f>
        <v>2.22</v>
      </c>
      <c r="K27" s="16" t="n">
        <f aca="false">J27+L27</f>
        <v>2.238</v>
      </c>
      <c r="L27" s="16" t="n">
        <f aca="false">RANDBETWEEN(-30,100)/1000</f>
        <v>0.018</v>
      </c>
      <c r="M27" s="16" t="n">
        <f aca="false">Chạy!O57</f>
        <v>2.22</v>
      </c>
      <c r="N27" s="16" t="n">
        <f aca="false">M27+O27</f>
        <v>2.239</v>
      </c>
      <c r="O27" s="16" t="n">
        <f aca="false">RANDBETWEEN(-30,100)/1000</f>
        <v>0.019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Chạy!G61</f>
        <v>2.21</v>
      </c>
      <c r="E28" s="16" t="n">
        <f aca="false">D28+F28</f>
        <v>2.214</v>
      </c>
      <c r="F28" s="16" t="n">
        <f aca="false">RANDBETWEEN(-30,100)/1000</f>
        <v>0.004</v>
      </c>
      <c r="G28" s="16" t="n">
        <f aca="false">Chạy!I61</f>
        <v>2.21</v>
      </c>
      <c r="H28" s="16" t="n">
        <f aca="false">G28+I28</f>
        <v>2.257</v>
      </c>
      <c r="I28" s="16" t="n">
        <f aca="false">RANDBETWEEN(-30,100)/1000</f>
        <v>0.047</v>
      </c>
      <c r="J28" s="16" t="n">
        <f aca="false">Chạy!M65</f>
        <v>2.21</v>
      </c>
      <c r="K28" s="16" t="n">
        <f aca="false">J28+L28</f>
        <v>2.213</v>
      </c>
      <c r="L28" s="16" t="n">
        <f aca="false">RANDBETWEEN(-30,100)/1000</f>
        <v>0.003</v>
      </c>
      <c r="M28" s="16" t="n">
        <f aca="false">Chạy!O65</f>
        <v>2.21</v>
      </c>
      <c r="N28" s="16" t="n">
        <f aca="false">M28+O28</f>
        <v>2.255</v>
      </c>
      <c r="O28" s="16" t="n">
        <f aca="false">RANDBETWEEN(-30,100)/1000</f>
        <v>0.045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Chạy!G69</f>
        <v>2.2</v>
      </c>
      <c r="E29" s="16" t="n">
        <f aca="false">D29+F29</f>
        <v>2.219</v>
      </c>
      <c r="F29" s="16" t="n">
        <f aca="false">RANDBETWEEN(-30,100)/1000</f>
        <v>0.019</v>
      </c>
      <c r="G29" s="16" t="n">
        <f aca="false">Chạy!I69</f>
        <v>2.2</v>
      </c>
      <c r="H29" s="16" t="n">
        <f aca="false">G29+I29</f>
        <v>2.197</v>
      </c>
      <c r="I29" s="16" t="n">
        <f aca="false">RANDBETWEEN(-30,100)/1000</f>
        <v>-0.003</v>
      </c>
      <c r="J29" s="16" t="n">
        <f aca="false">Chạy!M73</f>
        <v>2.2</v>
      </c>
      <c r="K29" s="16" t="n">
        <f aca="false">J29+L29</f>
        <v>2.232</v>
      </c>
      <c r="L29" s="16" t="n">
        <f aca="false">RANDBETWEEN(-30,100)/1000</f>
        <v>0.032</v>
      </c>
      <c r="M29" s="16" t="n">
        <f aca="false">Chạy!O73</f>
        <v>2.2</v>
      </c>
      <c r="N29" s="16" t="n">
        <f aca="false">M29+O29</f>
        <v>2.233</v>
      </c>
      <c r="O29" s="16" t="n">
        <f aca="false">RANDBETWEEN(-30,100)/1000</f>
        <v>0.033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Chạy!G77</f>
        <v>2.19</v>
      </c>
      <c r="E30" s="16" t="n">
        <f aca="false">D30+F30</f>
        <v>2.182</v>
      </c>
      <c r="F30" s="16" t="n">
        <f aca="false">RANDBETWEEN(-30,100)/1000</f>
        <v>-0.008</v>
      </c>
      <c r="G30" s="16" t="n">
        <f aca="false">Chạy!I77</f>
        <v>2.19</v>
      </c>
      <c r="H30" s="16" t="n">
        <f aca="false">G30+I30</f>
        <v>2.286</v>
      </c>
      <c r="I30" s="16" t="n">
        <f aca="false">RANDBETWEEN(-30,100)/1000</f>
        <v>0.096</v>
      </c>
      <c r="J30" s="16" t="n">
        <f aca="false">Chạy!M81</f>
        <v>2.19</v>
      </c>
      <c r="K30" s="16" t="n">
        <f aca="false">J30+L30</f>
        <v>2.209</v>
      </c>
      <c r="L30" s="16" t="n">
        <f aca="false">RANDBETWEEN(-30,100)/1000</f>
        <v>0.019</v>
      </c>
      <c r="M30" s="16" t="n">
        <f aca="false">Chạy!O81</f>
        <v>2.19</v>
      </c>
      <c r="N30" s="16" t="n">
        <f aca="false">M30+O30</f>
        <v>2.286</v>
      </c>
      <c r="O30" s="16" t="n">
        <f aca="false">RANDBETWEEN(-30,100)/1000</f>
        <v>0.096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Chạy!G85</f>
        <v>2.18</v>
      </c>
      <c r="E31" s="16" t="n">
        <f aca="false">D31+F31</f>
        <v>2.272</v>
      </c>
      <c r="F31" s="16" t="n">
        <f aca="false">RANDBETWEEN(-30,100)/1000</f>
        <v>0.092</v>
      </c>
      <c r="G31" s="16" t="n">
        <f aca="false">Chạy!I85</f>
        <v>2.18</v>
      </c>
      <c r="H31" s="16" t="n">
        <f aca="false">G31+I31</f>
        <v>2.23</v>
      </c>
      <c r="I31" s="16" t="n">
        <f aca="false">RANDBETWEEN(-30,100)/1000</f>
        <v>0.05</v>
      </c>
      <c r="J31" s="16" t="n">
        <f aca="false">Chạy!M89</f>
        <v>2.18</v>
      </c>
      <c r="K31" s="16" t="n">
        <f aca="false">J31+L31</f>
        <v>2.248</v>
      </c>
      <c r="L31" s="16" t="n">
        <f aca="false">RANDBETWEEN(-30,100)/1000</f>
        <v>0.068</v>
      </c>
      <c r="M31" s="16" t="n">
        <f aca="false">Chạy!O89</f>
        <v>2.18</v>
      </c>
      <c r="N31" s="16" t="n">
        <f aca="false">M31+O31</f>
        <v>2.187</v>
      </c>
      <c r="O31" s="16" t="n">
        <f aca="false">RANDBETWEEN(-30,100)/1000</f>
        <v>0.007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30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35</v>
      </c>
      <c r="B7" s="32"/>
      <c r="C7" s="33"/>
      <c r="D7" s="34" t="s">
        <v>36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12</v>
      </c>
      <c r="C11" s="15" t="n">
        <f aca="false">'1. KTHH L1'!C21</f>
        <v>224.25</v>
      </c>
      <c r="D11" s="13" t="n">
        <f aca="false">'1. KTHH L1'!Q21</f>
        <v>21.5</v>
      </c>
      <c r="E11" s="42" t="n">
        <f aca="false">Chạy!E5+Chạy!E9</f>
        <v>3.26</v>
      </c>
      <c r="F11" s="43" t="n">
        <f aca="false">(E11+E12)*D11/2</f>
        <v>70.09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13</v>
      </c>
      <c r="C12" s="15" t="n">
        <f aca="false">'1. KTHH L1'!C22</f>
        <v>245.75</v>
      </c>
      <c r="D12" s="13" t="n">
        <f aca="false">'1. KTHH L1'!Q22</f>
        <v>11.75</v>
      </c>
      <c r="E12" s="42" t="n">
        <f aca="false">Chạy!E13+Chạy!E17</f>
        <v>3.26</v>
      </c>
      <c r="F12" s="43" t="n">
        <f aca="false">(E12+E13)*D12/2</f>
        <v>38.305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B5</v>
      </c>
      <c r="C13" s="15" t="n">
        <f aca="false">'1. KTHH L1'!C23</f>
        <v>257.5</v>
      </c>
      <c r="D13" s="13" t="n">
        <f aca="false">'1. KTHH L1'!Q23</f>
        <v>11.75</v>
      </c>
      <c r="E13" s="42" t="n">
        <f aca="false">Chạy!E21+Chạy!E25</f>
        <v>3.26</v>
      </c>
      <c r="F13" s="43" t="n">
        <f aca="false">(E13+E14)*D13/2</f>
        <v>38.305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14</v>
      </c>
      <c r="C14" s="15" t="n">
        <f aca="false">'1. KTHH L1'!C24</f>
        <v>269.25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62.2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15</v>
      </c>
      <c r="C15" s="15" t="n">
        <f aca="false">'1. KTHH L1'!C25</f>
        <v>289.25</v>
      </c>
      <c r="D15" s="13" t="n">
        <f aca="false">'1. KTHH L1'!Q25</f>
        <v>20</v>
      </c>
      <c r="E15" s="42" t="n">
        <f aca="false">Chạy!E37+Chạy!E41</f>
        <v>2.96</v>
      </c>
      <c r="F15" s="43" t="n">
        <f aca="false">(E15+E16)*D15/2</f>
        <v>53.8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16</v>
      </c>
      <c r="C16" s="15" t="n">
        <f aca="false">'1. KTHH L1'!C26</f>
        <v>309.25</v>
      </c>
      <c r="D16" s="13" t="n">
        <f aca="false">'1. KTHH L1'!Q26</f>
        <v>20</v>
      </c>
      <c r="E16" s="42" t="n">
        <f aca="false">Chạy!E45+Chạy!E49</f>
        <v>2.42</v>
      </c>
      <c r="F16" s="43" t="n">
        <f aca="false">(E16+E17)*D16/2</f>
        <v>49.3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17</v>
      </c>
      <c r="C17" s="15" t="n">
        <f aca="false">'1. KTHH L1'!C27</f>
        <v>329.25</v>
      </c>
      <c r="D17" s="13" t="n">
        <f aca="false">'1. KTHH L1'!Q27</f>
        <v>20</v>
      </c>
      <c r="E17" s="42" t="n">
        <f aca="false">Chạy!E53+Chạy!E57</f>
        <v>2.51</v>
      </c>
      <c r="F17" s="43" t="n">
        <f aca="false">(E17+E18)*D17/2</f>
        <v>54.7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18</v>
      </c>
      <c r="C18" s="15" t="n">
        <f aca="false">'1. KTHH L1'!C28</f>
        <v>349.25</v>
      </c>
      <c r="D18" s="13" t="n">
        <f aca="false">'1. KTHH L1'!Q28</f>
        <v>19</v>
      </c>
      <c r="E18" s="42" t="n">
        <f aca="false">Chạy!E61+Chạy!E65</f>
        <v>2.96</v>
      </c>
      <c r="F18" s="43" t="n">
        <f aca="false">(E18+E19)*D18/2</f>
        <v>59.09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19</v>
      </c>
      <c r="C19" s="15" t="n">
        <f aca="false">'1. KTHH L1'!C29</f>
        <v>368.25</v>
      </c>
      <c r="D19" s="13" t="n">
        <f aca="false">'1. KTHH L1'!Q29</f>
        <v>13.25</v>
      </c>
      <c r="E19" s="42" t="n">
        <f aca="false">Chạy!E69+Chạy!E73</f>
        <v>3.26</v>
      </c>
      <c r="F19" s="43" t="n">
        <f aca="false">(E19+E20)*D19/2</f>
        <v>43.195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C2</v>
      </c>
      <c r="C20" s="15" t="n">
        <f aca="false">'1. KTHH L1'!C30</f>
        <v>381.5</v>
      </c>
      <c r="D20" s="13" t="n">
        <f aca="false">'1. KTHH L1'!Q30</f>
        <v>13.25</v>
      </c>
      <c r="E20" s="42" t="n">
        <f aca="false">Chạy!E77+Chạy!E81</f>
        <v>3.26</v>
      </c>
      <c r="F20" s="43" t="n">
        <f aca="false">(E20+E21)*D20/2</f>
        <v>43.195</v>
      </c>
      <c r="G20" s="44"/>
      <c r="I20" s="45"/>
      <c r="J20" s="45"/>
    </row>
    <row r="21" s="41" customFormat="true" ht="15" hidden="false" customHeight="true" outlineLevel="0" collapsed="false">
      <c r="A21" s="13" t="n">
        <v>11</v>
      </c>
      <c r="B21" s="14" t="str">
        <f aca="false">'1. KTHH L1'!B31</f>
        <v>20</v>
      </c>
      <c r="C21" s="15" t="n">
        <f aca="false">'1. KTHH L1'!C31</f>
        <v>394.75</v>
      </c>
      <c r="D21" s="13"/>
      <c r="E21" s="42" t="n">
        <f aca="false">Chạy!E85+Chạy!E89</f>
        <v>3.26</v>
      </c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47"/>
      <c r="F49" s="48" t="n">
        <f aca="false">SUM(F11:F21)</f>
        <v>512.18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">
        <v>60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3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Chạy!G4</f>
        <v>2.54</v>
      </c>
      <c r="E21" s="16" t="n">
        <f aca="false">D21+F21</f>
        <v>2.541</v>
      </c>
      <c r="F21" s="16" t="n">
        <f aca="false">RANDBETWEEN(-30,100)/1000</f>
        <v>0.001</v>
      </c>
      <c r="G21" s="16" t="n">
        <f aca="false">Chạy!I4</f>
        <v>2.54</v>
      </c>
      <c r="H21" s="16" t="n">
        <f aca="false">G21+I21</f>
        <v>2.606</v>
      </c>
      <c r="I21" s="16" t="n">
        <f aca="false">RANDBETWEEN(-30,100)/1000</f>
        <v>0.066</v>
      </c>
      <c r="J21" s="16" t="n">
        <f aca="false">Chạy!M8</f>
        <v>2.54</v>
      </c>
      <c r="K21" s="16" t="n">
        <f aca="false">J21+L21</f>
        <v>2.57</v>
      </c>
      <c r="L21" s="16" t="n">
        <f aca="false">RANDBETWEEN(-30,100)/1000</f>
        <v>0.03</v>
      </c>
      <c r="M21" s="16" t="n">
        <f aca="false">Chạy!O8</f>
        <v>2.54</v>
      </c>
      <c r="N21" s="16" t="n">
        <f aca="false">M21+O21</f>
        <v>2.595</v>
      </c>
      <c r="O21" s="16" t="n">
        <f aca="false">RANDBETWEEN(-30,100)/1000</f>
        <v>0.055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Chạy!G12</f>
        <v>2.52</v>
      </c>
      <c r="E22" s="16" t="n">
        <f aca="false">D22+F22</f>
        <v>2.541</v>
      </c>
      <c r="F22" s="16" t="n">
        <f aca="false">RANDBETWEEN(-30,100)/1000</f>
        <v>0.021</v>
      </c>
      <c r="G22" s="16" t="n">
        <f aca="false">Chạy!I12</f>
        <v>2.52</v>
      </c>
      <c r="H22" s="16" t="n">
        <f aca="false">G22+I22</f>
        <v>2.524</v>
      </c>
      <c r="I22" s="16" t="n">
        <f aca="false">RANDBETWEEN(-30,100)/1000</f>
        <v>0.004</v>
      </c>
      <c r="J22" s="16" t="n">
        <f aca="false">Chạy!M16</f>
        <v>2.52</v>
      </c>
      <c r="K22" s="16" t="n">
        <f aca="false">J22+L22</f>
        <v>2.602</v>
      </c>
      <c r="L22" s="16" t="n">
        <f aca="false">RANDBETWEEN(-30,100)/1000</f>
        <v>0.082</v>
      </c>
      <c r="M22" s="16" t="n">
        <f aca="false">Chạy!O16</f>
        <v>2.52</v>
      </c>
      <c r="N22" s="16" t="n">
        <f aca="false">M22+O22</f>
        <v>2.554</v>
      </c>
      <c r="O22" s="16" t="n">
        <f aca="false">RANDBETWEEN(-30,100)/1000</f>
        <v>0.034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Chạy!G20</f>
        <v>2.51</v>
      </c>
      <c r="E23" s="16" t="n">
        <f aca="false">D23+F23</f>
        <v>2.577</v>
      </c>
      <c r="F23" s="16" t="n">
        <f aca="false">RANDBETWEEN(-30,100)/1000</f>
        <v>0.067</v>
      </c>
      <c r="G23" s="16" t="n">
        <f aca="false">Chạy!I20</f>
        <v>2.51</v>
      </c>
      <c r="H23" s="16" t="n">
        <f aca="false">G23+I23</f>
        <v>2.563</v>
      </c>
      <c r="I23" s="16" t="n">
        <f aca="false">RANDBETWEEN(-30,100)/1000</f>
        <v>0.053</v>
      </c>
      <c r="J23" s="16" t="n">
        <f aca="false">Chạy!M24</f>
        <v>2.51</v>
      </c>
      <c r="K23" s="16" t="n">
        <f aca="false">J23+L23</f>
        <v>2.566</v>
      </c>
      <c r="L23" s="16" t="n">
        <f aca="false">RANDBETWEEN(-30,100)/1000</f>
        <v>0.056</v>
      </c>
      <c r="M23" s="16" t="n">
        <f aca="false">Chạy!O24</f>
        <v>2.51</v>
      </c>
      <c r="N23" s="16" t="n">
        <f aca="false">M23+O23</f>
        <v>2.539</v>
      </c>
      <c r="O23" s="16" t="n">
        <f aca="false">RANDBETWEEN(-30,100)/1000</f>
        <v>0.029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Chạy!G28</f>
        <v>2.51</v>
      </c>
      <c r="E24" s="16" t="n">
        <f aca="false">D24+F24</f>
        <v>2.591</v>
      </c>
      <c r="F24" s="16" t="n">
        <f aca="false">RANDBETWEEN(-30,100)/1000</f>
        <v>0.081</v>
      </c>
      <c r="G24" s="16" t="n">
        <f aca="false">Chạy!I28</f>
        <v>2.51</v>
      </c>
      <c r="H24" s="16" t="n">
        <f aca="false">G24+I24</f>
        <v>2.54</v>
      </c>
      <c r="I24" s="16" t="n">
        <f aca="false">RANDBETWEEN(-30,100)/1000</f>
        <v>0.03</v>
      </c>
      <c r="J24" s="16" t="n">
        <f aca="false">Chạy!M32</f>
        <v>2.51</v>
      </c>
      <c r="K24" s="16" t="n">
        <f aca="false">J24+L24</f>
        <v>2.558</v>
      </c>
      <c r="L24" s="16" t="n">
        <f aca="false">RANDBETWEEN(-30,100)/1000</f>
        <v>0.048</v>
      </c>
      <c r="M24" s="16" t="n">
        <f aca="false">Chạy!O32</f>
        <v>2.51</v>
      </c>
      <c r="N24" s="16" t="n">
        <f aca="false">M24+O24</f>
        <v>2.519</v>
      </c>
      <c r="O24" s="16" t="n">
        <f aca="false">RANDBETWEEN(-30,100)/1000</f>
        <v>0.009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Chạy!G36</f>
        <v>2.5</v>
      </c>
      <c r="E25" s="16" t="n">
        <f aca="false">D25+F25</f>
        <v>2.573</v>
      </c>
      <c r="F25" s="16" t="n">
        <f aca="false">RANDBETWEEN(-30,100)/1000</f>
        <v>0.073</v>
      </c>
      <c r="G25" s="16" t="n">
        <f aca="false">Chạy!I36</f>
        <v>2.5</v>
      </c>
      <c r="H25" s="16" t="n">
        <f aca="false">G25+I25</f>
        <v>2.566</v>
      </c>
      <c r="I25" s="16" t="n">
        <f aca="false">RANDBETWEEN(-30,100)/1000</f>
        <v>0.066</v>
      </c>
      <c r="J25" s="16" t="n">
        <f aca="false">Chạy!M40</f>
        <v>2.5</v>
      </c>
      <c r="K25" s="16" t="n">
        <f aca="false">J25+L25</f>
        <v>2.508</v>
      </c>
      <c r="L25" s="16" t="n">
        <f aca="false">RANDBETWEEN(-30,100)/1000</f>
        <v>0.008</v>
      </c>
      <c r="M25" s="16" t="n">
        <f aca="false">Chạy!O40</f>
        <v>2.5</v>
      </c>
      <c r="N25" s="16" t="n">
        <f aca="false">M25+O25</f>
        <v>2.558</v>
      </c>
      <c r="O25" s="16" t="n">
        <f aca="false">RANDBETWEEN(-30,100)/1000</f>
        <v>0.058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Chạy!G44</f>
        <v>2.48</v>
      </c>
      <c r="E26" s="16" t="n">
        <f aca="false">D26+F26</f>
        <v>2.487</v>
      </c>
      <c r="F26" s="16" t="n">
        <f aca="false">RANDBETWEEN(-30,100)/1000</f>
        <v>0.007</v>
      </c>
      <c r="G26" s="16" t="n">
        <f aca="false">Chạy!I44</f>
        <v>2.48</v>
      </c>
      <c r="H26" s="16" t="n">
        <f aca="false">G26+I26</f>
        <v>2.57</v>
      </c>
      <c r="I26" s="16" t="n">
        <f aca="false">RANDBETWEEN(-30,100)/1000</f>
        <v>0.09</v>
      </c>
      <c r="J26" s="16" t="n">
        <f aca="false">Chạy!M48</f>
        <v>2.48</v>
      </c>
      <c r="K26" s="16" t="n">
        <f aca="false">J26+L26</f>
        <v>2.572</v>
      </c>
      <c r="L26" s="16" t="n">
        <f aca="false">RANDBETWEEN(-30,100)/1000</f>
        <v>0.092</v>
      </c>
      <c r="M26" s="16" t="n">
        <f aca="false">Chạy!O48</f>
        <v>2.48</v>
      </c>
      <c r="N26" s="16" t="n">
        <f aca="false">M26+O26</f>
        <v>2.475</v>
      </c>
      <c r="O26" s="16" t="n">
        <f aca="false">RANDBETWEEN(-30,100)/1000</f>
        <v>-0.005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Chạy!G52</f>
        <v>2.47</v>
      </c>
      <c r="E27" s="16" t="n">
        <f aca="false">D27+F27</f>
        <v>2.441</v>
      </c>
      <c r="F27" s="16" t="n">
        <f aca="false">RANDBETWEEN(-30,100)/1000</f>
        <v>-0.029</v>
      </c>
      <c r="G27" s="16" t="n">
        <f aca="false">Chạy!I52</f>
        <v>2.47</v>
      </c>
      <c r="H27" s="16" t="n">
        <f aca="false">G27+I27</f>
        <v>2.567</v>
      </c>
      <c r="I27" s="16" t="n">
        <f aca="false">RANDBETWEEN(-30,100)/1000</f>
        <v>0.097</v>
      </c>
      <c r="J27" s="16" t="n">
        <f aca="false">Chạy!M56</f>
        <v>2.47</v>
      </c>
      <c r="K27" s="16" t="n">
        <f aca="false">J27+L27</f>
        <v>2.541</v>
      </c>
      <c r="L27" s="16" t="n">
        <f aca="false">RANDBETWEEN(-30,100)/1000</f>
        <v>0.071</v>
      </c>
      <c r="M27" s="16" t="n">
        <f aca="false">Chạy!O56</f>
        <v>2.47</v>
      </c>
      <c r="N27" s="16" t="n">
        <f aca="false">M27+O27</f>
        <v>2.563</v>
      </c>
      <c r="O27" s="16" t="n">
        <f aca="false">RANDBETWEEN(-30,100)/1000</f>
        <v>0.093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Chạy!G60</f>
        <v>2.46</v>
      </c>
      <c r="E28" s="16" t="n">
        <f aca="false">D28+F28</f>
        <v>2.545</v>
      </c>
      <c r="F28" s="16" t="n">
        <f aca="false">RANDBETWEEN(-30,100)/1000</f>
        <v>0.085</v>
      </c>
      <c r="G28" s="16" t="n">
        <f aca="false">Chạy!I60</f>
        <v>2.46</v>
      </c>
      <c r="H28" s="16" t="n">
        <f aca="false">G28+I28</f>
        <v>2.546</v>
      </c>
      <c r="I28" s="16" t="n">
        <f aca="false">RANDBETWEEN(-30,100)/1000</f>
        <v>0.086</v>
      </c>
      <c r="J28" s="16" t="n">
        <f aca="false">Chạy!M64</f>
        <v>2.46</v>
      </c>
      <c r="K28" s="16" t="n">
        <f aca="false">J28+L28</f>
        <v>2.479</v>
      </c>
      <c r="L28" s="16" t="n">
        <f aca="false">RANDBETWEEN(-30,100)/1000</f>
        <v>0.019</v>
      </c>
      <c r="M28" s="16" t="n">
        <f aca="false">Chạy!O64</f>
        <v>2.46</v>
      </c>
      <c r="N28" s="16" t="n">
        <f aca="false">M28+O28</f>
        <v>2.508</v>
      </c>
      <c r="O28" s="16" t="n">
        <f aca="false">RANDBETWEEN(-30,100)/1000</f>
        <v>0.048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Chạy!G68</f>
        <v>2.45</v>
      </c>
      <c r="E29" s="16" t="n">
        <f aca="false">D29+F29</f>
        <v>2.493</v>
      </c>
      <c r="F29" s="16" t="n">
        <f aca="false">RANDBETWEEN(-30,100)/1000</f>
        <v>0.043</v>
      </c>
      <c r="G29" s="16" t="n">
        <f aca="false">Chạy!I68</f>
        <v>2.45</v>
      </c>
      <c r="H29" s="16" t="n">
        <f aca="false">G29+I29</f>
        <v>2.543</v>
      </c>
      <c r="I29" s="16" t="n">
        <f aca="false">RANDBETWEEN(-30,100)/1000</f>
        <v>0.093</v>
      </c>
      <c r="J29" s="16" t="n">
        <f aca="false">Chạy!M72</f>
        <v>2.45</v>
      </c>
      <c r="K29" s="16" t="n">
        <f aca="false">J29+L29</f>
        <v>2.502</v>
      </c>
      <c r="L29" s="16" t="n">
        <f aca="false">RANDBETWEEN(-30,100)/1000</f>
        <v>0.052</v>
      </c>
      <c r="M29" s="16" t="n">
        <f aca="false">Chạy!O72</f>
        <v>2.45</v>
      </c>
      <c r="N29" s="16" t="n">
        <f aca="false">M29+O29</f>
        <v>2.536</v>
      </c>
      <c r="O29" s="16" t="n">
        <f aca="false">RANDBETWEEN(-30,100)/1000</f>
        <v>0.086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Chạy!G76</f>
        <v>2.44</v>
      </c>
      <c r="E30" s="16" t="n">
        <f aca="false">D30+F30</f>
        <v>2.508</v>
      </c>
      <c r="F30" s="16" t="n">
        <f aca="false">RANDBETWEEN(-30,100)/1000</f>
        <v>0.068</v>
      </c>
      <c r="G30" s="16" t="n">
        <f aca="false">Chạy!I76</f>
        <v>2.44</v>
      </c>
      <c r="H30" s="16" t="n">
        <f aca="false">G30+I30</f>
        <v>2.507</v>
      </c>
      <c r="I30" s="16" t="n">
        <f aca="false">RANDBETWEEN(-30,100)/1000</f>
        <v>0.067</v>
      </c>
      <c r="J30" s="16" t="n">
        <f aca="false">Chạy!M80</f>
        <v>2.44</v>
      </c>
      <c r="K30" s="16" t="n">
        <f aca="false">J30+L30</f>
        <v>2.446</v>
      </c>
      <c r="L30" s="16" t="n">
        <f aca="false">RANDBETWEEN(-30,100)/1000</f>
        <v>0.006</v>
      </c>
      <c r="M30" s="16" t="n">
        <f aca="false">Chạy!O80</f>
        <v>2.44</v>
      </c>
      <c r="N30" s="16" t="n">
        <f aca="false">M30+O30</f>
        <v>2.499</v>
      </c>
      <c r="O30" s="16" t="n">
        <f aca="false">RANDBETWEEN(-30,100)/1000</f>
        <v>0.059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Chạy!G84</f>
        <v>2.43</v>
      </c>
      <c r="E31" s="16" t="n">
        <f aca="false">D31+F31</f>
        <v>2.445</v>
      </c>
      <c r="F31" s="16" t="n">
        <f aca="false">RANDBETWEEN(-30,100)/1000</f>
        <v>0.015</v>
      </c>
      <c r="G31" s="16" t="n">
        <f aca="false">Chạy!I84</f>
        <v>2.43</v>
      </c>
      <c r="H31" s="16" t="n">
        <f aca="false">G31+I31</f>
        <v>2.467</v>
      </c>
      <c r="I31" s="16" t="n">
        <f aca="false">RANDBETWEEN(-30,100)/1000</f>
        <v>0.037</v>
      </c>
      <c r="J31" s="16" t="n">
        <f aca="false">Chạy!M88</f>
        <v>2.43</v>
      </c>
      <c r="K31" s="16" t="n">
        <f aca="false">J31+L31</f>
        <v>2.485</v>
      </c>
      <c r="L31" s="16" t="n">
        <f aca="false">RANDBETWEEN(-30,100)/1000</f>
        <v>0.055</v>
      </c>
      <c r="M31" s="16" t="n">
        <f aca="false">Chạy!O88</f>
        <v>2.43</v>
      </c>
      <c r="N31" s="16" t="n">
        <f aca="false">M31+O31</f>
        <v>2.474</v>
      </c>
      <c r="O31" s="16" t="n">
        <f aca="false">RANDBETWEEN(-30,100)/1000</f>
        <v>0.044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59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35</v>
      </c>
      <c r="B7" s="32"/>
      <c r="C7" s="33"/>
      <c r="D7" s="34" t="s">
        <v>60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12</v>
      </c>
      <c r="C11" s="15" t="n">
        <f aca="false">'1. KTHH L2'!C21</f>
        <v>224.25</v>
      </c>
      <c r="D11" s="13" t="n">
        <f aca="false">'1. KTHH L2'!Q21</f>
        <v>21.5</v>
      </c>
      <c r="E11" s="42" t="n">
        <f aca="false">Chạy!E4+Chạy!E8</f>
        <v>3.06</v>
      </c>
      <c r="F11" s="43" t="n">
        <f aca="false">(E11+E12)*D11/2</f>
        <v>65.79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13</v>
      </c>
      <c r="C12" s="15" t="n">
        <f aca="false">'1. KTHH L2'!C22</f>
        <v>245.75</v>
      </c>
      <c r="D12" s="13" t="n">
        <f aca="false">'1. KTHH L2'!Q22</f>
        <v>11.75</v>
      </c>
      <c r="E12" s="42" t="n">
        <f aca="false">Chạy!E12+Chạy!E16</f>
        <v>3.06</v>
      </c>
      <c r="F12" s="43" t="n">
        <f aca="false">(E12+E13)*D12/2</f>
        <v>35.955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B5</v>
      </c>
      <c r="C13" s="15" t="n">
        <f aca="false">'1. KTHH L2'!C23</f>
        <v>257.5</v>
      </c>
      <c r="D13" s="13" t="n">
        <f aca="false">'1. KTHH L2'!Q23</f>
        <v>11.75</v>
      </c>
      <c r="E13" s="42" t="n">
        <f aca="false">Chạy!E20+Chạy!E24</f>
        <v>3.06</v>
      </c>
      <c r="F13" s="43" t="n">
        <f aca="false">(E13+E14)*D13/2</f>
        <v>35.955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14</v>
      </c>
      <c r="C14" s="15" t="n">
        <f aca="false">'1. KTHH L2'!C24</f>
        <v>269.25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15</v>
      </c>
      <c r="C15" s="15" t="n">
        <f aca="false">'1. KTHH L2'!C25</f>
        <v>289.25</v>
      </c>
      <c r="D15" s="13" t="n">
        <f aca="false">'1. KTHH L2'!Q25</f>
        <v>20</v>
      </c>
      <c r="E15" s="42" t="n">
        <f aca="false">Chạy!E36+Chạy!E40</f>
        <v>3.06</v>
      </c>
      <c r="F15" s="43" t="n">
        <f aca="false">(E15+E16)*D15/2</f>
        <v>55.4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16</v>
      </c>
      <c r="C16" s="15" t="n">
        <f aca="false">'1. KTHH L2'!C26</f>
        <v>309.25</v>
      </c>
      <c r="D16" s="13" t="n">
        <f aca="false">'1. KTHH L2'!Q26</f>
        <v>20</v>
      </c>
      <c r="E16" s="42" t="n">
        <f aca="false">Chạy!E44+Chạy!E48</f>
        <v>2.48</v>
      </c>
      <c r="F16" s="43" t="n">
        <f aca="false">(E16+E17)*D16/2</f>
        <v>51.5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17</v>
      </c>
      <c r="C17" s="15" t="n">
        <f aca="false">'1. KTHH L2'!C27</f>
        <v>329.25</v>
      </c>
      <c r="D17" s="13" t="n">
        <f aca="false">'1. KTHH L2'!Q27</f>
        <v>20</v>
      </c>
      <c r="E17" s="42" t="n">
        <f aca="false">Chạy!E52+Chạy!E56</f>
        <v>2.67</v>
      </c>
      <c r="F17" s="43" t="n">
        <f aca="false">(E17+E18)*D17/2</f>
        <v>57.3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18</v>
      </c>
      <c r="C18" s="15" t="n">
        <f aca="false">'1. KTHH L2'!C28</f>
        <v>349.25</v>
      </c>
      <c r="D18" s="13" t="n">
        <f aca="false">'1. KTHH L2'!Q28</f>
        <v>19</v>
      </c>
      <c r="E18" s="42" t="n">
        <f aca="false">Chạy!E60+Chạy!E64</f>
        <v>3.06</v>
      </c>
      <c r="F18" s="43" t="n">
        <f aca="false">(E18+E19)*D18/2</f>
        <v>58.14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19</v>
      </c>
      <c r="C19" s="15" t="n">
        <f aca="false">'1. KTHH L2'!C29</f>
        <v>368.25</v>
      </c>
      <c r="D19" s="13" t="n">
        <f aca="false">'1. KTHH L2'!Q29</f>
        <v>13.25</v>
      </c>
      <c r="E19" s="42" t="n">
        <f aca="false">Chạy!E68+Chạy!E72</f>
        <v>3.06</v>
      </c>
      <c r="F19" s="43" t="n">
        <f aca="false">(E19+E20)*D19/2</f>
        <v>40.545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C2</v>
      </c>
      <c r="C20" s="15" t="n">
        <f aca="false">'1. KTHH L2'!C30</f>
        <v>381.5</v>
      </c>
      <c r="D20" s="13" t="n">
        <f aca="false">'1. KTHH L2'!Q30</f>
        <v>13.25</v>
      </c>
      <c r="E20" s="42" t="n">
        <f aca="false">Chạy!E76+Chạy!E80</f>
        <v>3.06</v>
      </c>
      <c r="F20" s="43" t="n">
        <f aca="false">(E20+E21)*D20/2</f>
        <v>40.545</v>
      </c>
      <c r="G20" s="44"/>
      <c r="H20" s="40"/>
      <c r="I20" s="40"/>
    </row>
    <row r="21" s="41" customFormat="true" ht="15" hidden="false" customHeight="true" outlineLevel="0" collapsed="false">
      <c r="A21" s="13" t="n">
        <v>11</v>
      </c>
      <c r="B21" s="14" t="str">
        <f aca="false">'1. KTHH L2'!B31</f>
        <v>20</v>
      </c>
      <c r="C21" s="15" t="n">
        <f aca="false">'1. KTHH L2'!C31</f>
        <v>394.75</v>
      </c>
      <c r="D21" s="13"/>
      <c r="E21" s="42" t="n">
        <f aca="false">Chạy!E84+Chạy!E88</f>
        <v>3.06</v>
      </c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66"/>
      <c r="F49" s="67" t="n">
        <f aca="false">SUM(F11:F21)</f>
        <v>502.33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61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">
        <v>62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224.25</v>
      </c>
      <c r="D21" s="16" t="n">
        <f aca="false">Chạy!G3</f>
        <v>2.72</v>
      </c>
      <c r="E21" s="16" t="n">
        <f aca="false">D21+F21</f>
        <v>2.71</v>
      </c>
      <c r="F21" s="16" t="n">
        <f aca="false">RANDBETWEEN(-30,100)/1000</f>
        <v>-0.01</v>
      </c>
      <c r="G21" s="16" t="n">
        <f aca="false">Chạy!I3</f>
        <v>2.72</v>
      </c>
      <c r="H21" s="16" t="n">
        <f aca="false">G21+I21</f>
        <v>2.774</v>
      </c>
      <c r="I21" s="16" t="n">
        <f aca="false">RANDBETWEEN(-30,100)/1000</f>
        <v>0.054</v>
      </c>
      <c r="J21" s="16" t="n">
        <f aca="false">Chạy!M7</f>
        <v>2.72</v>
      </c>
      <c r="K21" s="16" t="n">
        <f aca="false">J21+L21</f>
        <v>2.747</v>
      </c>
      <c r="L21" s="16" t="n">
        <f aca="false">RANDBETWEEN(-30,100)/1000</f>
        <v>0.027</v>
      </c>
      <c r="M21" s="16" t="n">
        <f aca="false">Chạy!O7</f>
        <v>2.72</v>
      </c>
      <c r="N21" s="16" t="n">
        <f aca="false">M21+O21</f>
        <v>2.752</v>
      </c>
      <c r="O21" s="16" t="n">
        <f aca="false">RANDBETWEEN(-30,100)/1000</f>
        <v>0.032</v>
      </c>
      <c r="P21" s="17"/>
      <c r="Q21" s="18" t="n">
        <v>21.5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245.75</v>
      </c>
      <c r="D22" s="16" t="n">
        <f aca="false">Chạy!G11</f>
        <v>2.7</v>
      </c>
      <c r="E22" s="16" t="n">
        <f aca="false">D22+F22</f>
        <v>2.767</v>
      </c>
      <c r="F22" s="16" t="n">
        <f aca="false">RANDBETWEEN(-30,100)/1000</f>
        <v>0.067</v>
      </c>
      <c r="G22" s="16" t="n">
        <f aca="false">Chạy!I11</f>
        <v>2.7</v>
      </c>
      <c r="H22" s="16" t="n">
        <f aca="false">G22+I22</f>
        <v>2.677</v>
      </c>
      <c r="I22" s="16" t="n">
        <f aca="false">RANDBETWEEN(-30,100)/1000</f>
        <v>-0.023</v>
      </c>
      <c r="J22" s="16" t="n">
        <f aca="false">Chạy!M15</f>
        <v>2.7</v>
      </c>
      <c r="K22" s="16" t="n">
        <f aca="false">J22+L22</f>
        <v>2.719</v>
      </c>
      <c r="L22" s="16" t="n">
        <f aca="false">RANDBETWEEN(-30,100)/1000</f>
        <v>0.019</v>
      </c>
      <c r="M22" s="16" t="n">
        <f aca="false">Chạy!O15</f>
        <v>2.7</v>
      </c>
      <c r="N22" s="16" t="n">
        <f aca="false">M22+O22</f>
        <v>2.776</v>
      </c>
      <c r="O22" s="16" t="n">
        <f aca="false">RANDBETWEEN(-30,100)/1000</f>
        <v>0.076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257.5</v>
      </c>
      <c r="D23" s="16" t="n">
        <f aca="false">Chạy!G19</f>
        <v>2.69</v>
      </c>
      <c r="E23" s="16" t="n">
        <f aca="false">D23+F23</f>
        <v>2.776</v>
      </c>
      <c r="F23" s="16" t="n">
        <f aca="false">RANDBETWEEN(-30,100)/1000</f>
        <v>0.086</v>
      </c>
      <c r="G23" s="16" t="n">
        <f aca="false">Chạy!I19</f>
        <v>2.69</v>
      </c>
      <c r="H23" s="16" t="n">
        <f aca="false">G23+I23</f>
        <v>2.711</v>
      </c>
      <c r="I23" s="16" t="n">
        <f aca="false">RANDBETWEEN(-30,100)/1000</f>
        <v>0.021</v>
      </c>
      <c r="J23" s="16" t="n">
        <f aca="false">Chạy!M23</f>
        <v>2.69</v>
      </c>
      <c r="K23" s="16" t="n">
        <f aca="false">J23+L23</f>
        <v>2.762</v>
      </c>
      <c r="L23" s="16" t="n">
        <f aca="false">RANDBETWEEN(-30,100)/1000</f>
        <v>0.072</v>
      </c>
      <c r="M23" s="16" t="n">
        <f aca="false">Chạy!O23</f>
        <v>2.69</v>
      </c>
      <c r="N23" s="16" t="n">
        <f aca="false">M23+O23</f>
        <v>2.783</v>
      </c>
      <c r="O23" s="16" t="n">
        <f aca="false">RANDBETWEEN(-30,100)/1000</f>
        <v>0.093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269.25</v>
      </c>
      <c r="D24" s="16" t="n">
        <f aca="false">Chạy!G27</f>
        <v>2.69</v>
      </c>
      <c r="E24" s="16" t="n">
        <f aca="false">D24+F24</f>
        <v>2.742</v>
      </c>
      <c r="F24" s="16" t="n">
        <f aca="false">RANDBETWEEN(-30,100)/1000</f>
        <v>0.052</v>
      </c>
      <c r="G24" s="16" t="n">
        <f aca="false">Chạy!I27</f>
        <v>2.69</v>
      </c>
      <c r="H24" s="16" t="n">
        <f aca="false">G24+I24</f>
        <v>2.725</v>
      </c>
      <c r="I24" s="16" t="n">
        <f aca="false">RANDBETWEEN(-30,100)/1000</f>
        <v>0.035</v>
      </c>
      <c r="J24" s="16" t="n">
        <f aca="false">Chạy!M31</f>
        <v>2.69</v>
      </c>
      <c r="K24" s="16" t="n">
        <f aca="false">J24+L24</f>
        <v>2.786</v>
      </c>
      <c r="L24" s="16" t="n">
        <f aca="false">RANDBETWEEN(-30,100)/1000</f>
        <v>0.096</v>
      </c>
      <c r="M24" s="16" t="n">
        <f aca="false">Chạy!O31</f>
        <v>2.69</v>
      </c>
      <c r="N24" s="16" t="n">
        <f aca="false">M24+O24</f>
        <v>2.744</v>
      </c>
      <c r="O24" s="16" t="n">
        <f aca="false">RANDBETWEEN(-30,100)/1000</f>
        <v>0.054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289.25</v>
      </c>
      <c r="D25" s="16" t="n">
        <f aca="false">Chạy!G35</f>
        <v>2.68</v>
      </c>
      <c r="E25" s="16" t="n">
        <f aca="false">D25+F25</f>
        <v>2.666</v>
      </c>
      <c r="F25" s="16" t="n">
        <f aca="false">RANDBETWEEN(-30,100)/1000</f>
        <v>-0.014</v>
      </c>
      <c r="G25" s="16" t="n">
        <f aca="false">Chạy!I35</f>
        <v>2.68</v>
      </c>
      <c r="H25" s="16" t="n">
        <f aca="false">G25+I25</f>
        <v>2.679</v>
      </c>
      <c r="I25" s="16" t="n">
        <f aca="false">RANDBETWEEN(-30,100)/1000</f>
        <v>-0.001</v>
      </c>
      <c r="J25" s="16" t="n">
        <f aca="false">Chạy!M39</f>
        <v>2.68</v>
      </c>
      <c r="K25" s="16" t="n">
        <f aca="false">J25+L25</f>
        <v>2.667</v>
      </c>
      <c r="L25" s="16" t="n">
        <f aca="false">RANDBETWEEN(-30,100)/1000</f>
        <v>-0.013</v>
      </c>
      <c r="M25" s="16" t="n">
        <f aca="false">Chạy!O39</f>
        <v>2.68</v>
      </c>
      <c r="N25" s="16" t="n">
        <f aca="false">M25+O25</f>
        <v>2.74</v>
      </c>
      <c r="O25" s="16" t="n">
        <f aca="false">RANDBETWEEN(-30,100)/1000</f>
        <v>0.06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309.25</v>
      </c>
      <c r="D26" s="16" t="n">
        <f aca="false">Chạy!G43</f>
        <v>2.66</v>
      </c>
      <c r="E26" s="16" t="n">
        <f aca="false">D26+F26</f>
        <v>2.636</v>
      </c>
      <c r="F26" s="16" t="n">
        <f aca="false">RANDBETWEEN(-30,100)/1000</f>
        <v>-0.024</v>
      </c>
      <c r="G26" s="16" t="n">
        <f aca="false">Chạy!I43</f>
        <v>2.66</v>
      </c>
      <c r="H26" s="16" t="n">
        <f aca="false">G26+I26</f>
        <v>2.701</v>
      </c>
      <c r="I26" s="16" t="n">
        <f aca="false">RANDBETWEEN(-30,100)/1000</f>
        <v>0.041</v>
      </c>
      <c r="J26" s="16" t="n">
        <f aca="false">Chạy!M47</f>
        <v>2.66</v>
      </c>
      <c r="K26" s="16" t="n">
        <f aca="false">J26+L26</f>
        <v>2.759</v>
      </c>
      <c r="L26" s="16" t="n">
        <f aca="false">RANDBETWEEN(-30,100)/1000</f>
        <v>0.099</v>
      </c>
      <c r="M26" s="16" t="n">
        <f aca="false">Chạy!O47</f>
        <v>2.66</v>
      </c>
      <c r="N26" s="16" t="n">
        <f aca="false">M26+O26</f>
        <v>2.642</v>
      </c>
      <c r="O26" s="16" t="n">
        <f aca="false">RANDBETWEEN(-30,100)/1000</f>
        <v>-0.018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329.25</v>
      </c>
      <c r="D27" s="16" t="n">
        <f aca="false">Chạy!G51</f>
        <v>2.65</v>
      </c>
      <c r="E27" s="16" t="n">
        <f aca="false">D27+F27</f>
        <v>2.733</v>
      </c>
      <c r="F27" s="16" t="n">
        <f aca="false">RANDBETWEEN(-30,100)/1000</f>
        <v>0.083</v>
      </c>
      <c r="G27" s="16" t="n">
        <f aca="false">Chạy!I51</f>
        <v>2.65</v>
      </c>
      <c r="H27" s="16" t="n">
        <f aca="false">G27+I27</f>
        <v>2.671</v>
      </c>
      <c r="I27" s="16" t="n">
        <f aca="false">RANDBETWEEN(-30,100)/1000</f>
        <v>0.021</v>
      </c>
      <c r="J27" s="16" t="n">
        <f aca="false">Chạy!M55</f>
        <v>2.65</v>
      </c>
      <c r="K27" s="16" t="n">
        <f aca="false">J27+L27</f>
        <v>2.681</v>
      </c>
      <c r="L27" s="16" t="n">
        <f aca="false">RANDBETWEEN(-30,100)/1000</f>
        <v>0.031</v>
      </c>
      <c r="M27" s="16" t="n">
        <f aca="false">Chạy!O55</f>
        <v>2.65</v>
      </c>
      <c r="N27" s="16" t="n">
        <f aca="false">M27+O27</f>
        <v>2.633</v>
      </c>
      <c r="O27" s="16" t="n">
        <f aca="false">RANDBETWEEN(-30,100)/1000</f>
        <v>-0.017</v>
      </c>
      <c r="P27" s="17"/>
      <c r="Q27" s="18" t="n">
        <v>20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349.25</v>
      </c>
      <c r="D28" s="16" t="n">
        <f aca="false">Chạy!G59</f>
        <v>2.64</v>
      </c>
      <c r="E28" s="16" t="n">
        <f aca="false">D28+F28</f>
        <v>2.724</v>
      </c>
      <c r="F28" s="16" t="n">
        <f aca="false">RANDBETWEEN(-30,100)/1000</f>
        <v>0.084</v>
      </c>
      <c r="G28" s="16" t="n">
        <f aca="false">Chạy!I59</f>
        <v>2.64</v>
      </c>
      <c r="H28" s="16" t="n">
        <f aca="false">G28+I28</f>
        <v>2.614</v>
      </c>
      <c r="I28" s="16" t="n">
        <f aca="false">RANDBETWEEN(-30,100)/1000</f>
        <v>-0.026</v>
      </c>
      <c r="J28" s="16" t="n">
        <f aca="false">Chạy!M63</f>
        <v>2.64</v>
      </c>
      <c r="K28" s="16" t="n">
        <f aca="false">J28+L28</f>
        <v>2.695</v>
      </c>
      <c r="L28" s="16" t="n">
        <f aca="false">RANDBETWEEN(-30,100)/1000</f>
        <v>0.055</v>
      </c>
      <c r="M28" s="16" t="n">
        <f aca="false">Chạy!O63</f>
        <v>2.64</v>
      </c>
      <c r="N28" s="16" t="n">
        <f aca="false">M28+O28</f>
        <v>2.702</v>
      </c>
      <c r="O28" s="16" t="n">
        <f aca="false">RANDBETWEEN(-30,100)/1000</f>
        <v>0.062</v>
      </c>
      <c r="P28" s="17"/>
      <c r="Q28" s="18" t="n">
        <v>19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368.25</v>
      </c>
      <c r="D29" s="16" t="n">
        <f aca="false">Chạy!G67</f>
        <v>2.63</v>
      </c>
      <c r="E29" s="16" t="n">
        <f aca="false">D29+F29</f>
        <v>2.691</v>
      </c>
      <c r="F29" s="16" t="n">
        <f aca="false">RANDBETWEEN(-30,100)/1000</f>
        <v>0.061</v>
      </c>
      <c r="G29" s="16" t="n">
        <f aca="false">Chạy!I67</f>
        <v>2.63</v>
      </c>
      <c r="H29" s="16" t="n">
        <f aca="false">G29+I29</f>
        <v>2.647</v>
      </c>
      <c r="I29" s="16" t="n">
        <f aca="false">RANDBETWEEN(-30,100)/1000</f>
        <v>0.017</v>
      </c>
      <c r="J29" s="16" t="n">
        <f aca="false">Chạy!M71</f>
        <v>2.63</v>
      </c>
      <c r="K29" s="16" t="n">
        <f aca="false">J29+L29</f>
        <v>2.687</v>
      </c>
      <c r="L29" s="16" t="n">
        <f aca="false">RANDBETWEEN(-30,100)/1000</f>
        <v>0.057</v>
      </c>
      <c r="M29" s="16" t="n">
        <f aca="false">Chạy!O71</f>
        <v>2.63</v>
      </c>
      <c r="N29" s="16" t="n">
        <f aca="false">M29+O29</f>
        <v>2.631</v>
      </c>
      <c r="O29" s="16" t="n">
        <f aca="false">RANDBETWEEN(-30,100)/1000</f>
        <v>0.001</v>
      </c>
      <c r="P29" s="17"/>
      <c r="Q29" s="18" t="n">
        <v>13.25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381.5</v>
      </c>
      <c r="D30" s="16" t="n">
        <f aca="false">Chạy!G75</f>
        <v>2.62</v>
      </c>
      <c r="E30" s="16" t="n">
        <f aca="false">D30+F30</f>
        <v>2.684</v>
      </c>
      <c r="F30" s="16" t="n">
        <f aca="false">RANDBETWEEN(-30,100)/1000</f>
        <v>0.064</v>
      </c>
      <c r="G30" s="16" t="n">
        <f aca="false">Chạy!I75</f>
        <v>2.62</v>
      </c>
      <c r="H30" s="16" t="n">
        <f aca="false">G30+I30</f>
        <v>2.703</v>
      </c>
      <c r="I30" s="16" t="n">
        <f aca="false">RANDBETWEEN(-30,100)/1000</f>
        <v>0.083</v>
      </c>
      <c r="J30" s="16" t="n">
        <f aca="false">Chạy!M79</f>
        <v>2.62</v>
      </c>
      <c r="K30" s="16" t="n">
        <f aca="false">J30+L30</f>
        <v>2.665</v>
      </c>
      <c r="L30" s="16" t="n">
        <f aca="false">RANDBETWEEN(-30,100)/1000</f>
        <v>0.045</v>
      </c>
      <c r="M30" s="16" t="n">
        <f aca="false">Chạy!O79</f>
        <v>2.62</v>
      </c>
      <c r="N30" s="16" t="n">
        <f aca="false">M30+O30</f>
        <v>2.666</v>
      </c>
      <c r="O30" s="16" t="n">
        <f aca="false">RANDBETWEEN(-30,100)/1000</f>
        <v>0.046</v>
      </c>
      <c r="P30" s="17"/>
      <c r="Q30" s="18" t="n">
        <v>13.25</v>
      </c>
    </row>
    <row r="31" customFormat="false" ht="15" hidden="false" customHeight="false" outlineLevel="0" collapsed="false">
      <c r="A31" s="13" t="n">
        <v>11</v>
      </c>
      <c r="B31" s="14" t="s">
        <v>28</v>
      </c>
      <c r="C31" s="15" t="n">
        <f aca="false">C30+Q30</f>
        <v>394.75</v>
      </c>
      <c r="D31" s="16" t="n">
        <f aca="false">Chạy!G83</f>
        <v>2.61</v>
      </c>
      <c r="E31" s="16" t="n">
        <f aca="false">D31+F31</f>
        <v>2.628</v>
      </c>
      <c r="F31" s="16" t="n">
        <f aca="false">RANDBETWEEN(-30,100)/1000</f>
        <v>0.018</v>
      </c>
      <c r="G31" s="16" t="n">
        <f aca="false">Chạy!I83</f>
        <v>2.61</v>
      </c>
      <c r="H31" s="16" t="n">
        <f aca="false">G31+I31</f>
        <v>2.615</v>
      </c>
      <c r="I31" s="16" t="n">
        <f aca="false">RANDBETWEEN(-30,100)/1000</f>
        <v>0.005</v>
      </c>
      <c r="J31" s="16" t="n">
        <f aca="false">Chạy!M87</f>
        <v>2.61</v>
      </c>
      <c r="K31" s="16" t="n">
        <f aca="false">J31+L31</f>
        <v>2.687</v>
      </c>
      <c r="L31" s="16" t="n">
        <f aca="false">RANDBETWEEN(-30,100)/1000</f>
        <v>0.077</v>
      </c>
      <c r="M31" s="16" t="n">
        <f aca="false">Chạy!O87</f>
        <v>2.61</v>
      </c>
      <c r="N31" s="16" t="n">
        <f aca="false">M31+O31</f>
        <v>2.624</v>
      </c>
      <c r="O31" s="16" t="n">
        <f aca="false">RANDBETWEEN(-30,100)/1000</f>
        <v>0.014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">
        <v>61</v>
      </c>
      <c r="B2" s="27"/>
      <c r="C2" s="27"/>
      <c r="D2" s="27"/>
      <c r="E2" s="27"/>
      <c r="F2" s="27"/>
      <c r="G2" s="27"/>
    </row>
    <row r="3" s="5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35</v>
      </c>
      <c r="B7" s="32"/>
      <c r="C7" s="33"/>
      <c r="D7" s="34" t="s">
        <v>62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12</v>
      </c>
      <c r="C11" s="15" t="n">
        <f aca="false">'1. KTHH L3'!C21</f>
        <v>224.25</v>
      </c>
      <c r="D11" s="13" t="n">
        <f aca="false">'1. KTHH L3'!Q21</f>
        <v>21.5</v>
      </c>
      <c r="E11" s="42" t="n">
        <f aca="false">Chạy!E3+Chạy!E7</f>
        <v>2.1</v>
      </c>
      <c r="F11" s="43" t="n">
        <f aca="false">(E11+E12)*D11/2</f>
        <v>45.15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13</v>
      </c>
      <c r="C12" s="15" t="n">
        <f aca="false">'1. KTHH L3'!C22</f>
        <v>245.75</v>
      </c>
      <c r="D12" s="13" t="n">
        <f aca="false">'1. KTHH L3'!Q22</f>
        <v>11.75</v>
      </c>
      <c r="E12" s="42" t="n">
        <f aca="false">Chạy!E11+Chạy!E15</f>
        <v>2.1</v>
      </c>
      <c r="F12" s="43" t="n">
        <f aca="false">(E12+E13)*D12/2</f>
        <v>24.675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B5</v>
      </c>
      <c r="C13" s="15" t="n">
        <f aca="false">'1. KTHH L3'!C23</f>
        <v>257.5</v>
      </c>
      <c r="D13" s="13" t="n">
        <f aca="false">'1. KTHH L3'!Q23</f>
        <v>11.75</v>
      </c>
      <c r="E13" s="42" t="n">
        <f aca="false">Chạy!E19+Chạy!E23</f>
        <v>2.1</v>
      </c>
      <c r="F13" s="43" t="n">
        <f aca="false">(E13+E14)*D13/2</f>
        <v>24.675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14</v>
      </c>
      <c r="C14" s="15" t="n">
        <f aca="false">'1. KTHH L3'!C24</f>
        <v>269.25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15</v>
      </c>
      <c r="C15" s="15" t="n">
        <f aca="false">'1. KTHH L3'!C25</f>
        <v>289.25</v>
      </c>
      <c r="D15" s="13" t="n">
        <f aca="false">'1. KTHH L3'!Q25</f>
        <v>20</v>
      </c>
      <c r="E15" s="42" t="n">
        <f aca="false">Chạy!E35+Chạy!E39</f>
        <v>2.1</v>
      </c>
      <c r="F15" s="43" t="n">
        <f aca="false">(E15+E16)*D15/2</f>
        <v>40.8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16</v>
      </c>
      <c r="C16" s="15" t="n">
        <f aca="false">'1. KTHH L3'!C26</f>
        <v>309.25</v>
      </c>
      <c r="D16" s="13" t="n">
        <f aca="false">'1. KTHH L3'!Q26</f>
        <v>20</v>
      </c>
      <c r="E16" s="42" t="n">
        <f aca="false">Chạy!E43+Chạy!E47</f>
        <v>1.98</v>
      </c>
      <c r="F16" s="43" t="n">
        <f aca="false">(E16+E17)*D16/2</f>
        <v>40.8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17</v>
      </c>
      <c r="C17" s="15" t="n">
        <f aca="false">'1. KTHH L3'!C27</f>
        <v>329.25</v>
      </c>
      <c r="D17" s="13" t="n">
        <f aca="false">'1. KTHH L3'!Q27</f>
        <v>20</v>
      </c>
      <c r="E17" s="42" t="n">
        <f aca="false">Chạy!E51+Chạy!E55</f>
        <v>2.1</v>
      </c>
      <c r="F17" s="43" t="n">
        <f aca="false">(E17+E18)*D17/2</f>
        <v>42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18</v>
      </c>
      <c r="C18" s="15" t="n">
        <f aca="false">'1. KTHH L3'!C28</f>
        <v>349.25</v>
      </c>
      <c r="D18" s="13" t="n">
        <f aca="false">'1. KTHH L3'!Q28</f>
        <v>19</v>
      </c>
      <c r="E18" s="42" t="n">
        <f aca="false">Chạy!E59+Chạy!E63</f>
        <v>2.1</v>
      </c>
      <c r="F18" s="43" t="n">
        <f aca="false">(E18+E19)*D18/2</f>
        <v>39.9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19</v>
      </c>
      <c r="C19" s="15" t="n">
        <f aca="false">'1. KTHH L3'!C29</f>
        <v>368.25</v>
      </c>
      <c r="D19" s="13" t="n">
        <f aca="false">'1. KTHH L3'!Q29</f>
        <v>13.25</v>
      </c>
      <c r="E19" s="42" t="n">
        <f aca="false">Chạy!E67+Chạy!E71</f>
        <v>2.1</v>
      </c>
      <c r="F19" s="43" t="n">
        <f aca="false">(E19+E20)*D19/2</f>
        <v>27.825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C2</v>
      </c>
      <c r="C20" s="15" t="n">
        <f aca="false">'1. KTHH L3'!C30</f>
        <v>381.5</v>
      </c>
      <c r="D20" s="13" t="n">
        <f aca="false">'1. KTHH L3'!Q30</f>
        <v>13.25</v>
      </c>
      <c r="E20" s="42" t="n">
        <f aca="false">Chạy!E75+Chạy!E79</f>
        <v>2.1</v>
      </c>
      <c r="F20" s="43" t="n">
        <f aca="false">(E20+E21)*D20/2</f>
        <v>27.825</v>
      </c>
      <c r="G20" s="44"/>
      <c r="H20" s="39"/>
      <c r="I20" s="39"/>
      <c r="K20" s="39"/>
      <c r="L20" s="65"/>
    </row>
    <row r="21" s="41" customFormat="true" ht="22.5" hidden="false" customHeight="true" outlineLevel="0" collapsed="false">
      <c r="A21" s="13" t="n">
        <v>11</v>
      </c>
      <c r="B21" s="14" t="str">
        <f aca="false">'1. KTHH L3'!B31</f>
        <v>20</v>
      </c>
      <c r="C21" s="15" t="n">
        <f aca="false">'1. KTHH L3'!C31</f>
        <v>394.75</v>
      </c>
      <c r="D21" s="13"/>
      <c r="E21" s="42" t="n">
        <f aca="false">Chạy!E83+Chạy!E87</f>
        <v>2.1</v>
      </c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SUM(F11:F21)</f>
        <v>355.65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">
        <v>63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">
        <v>64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38</v>
      </c>
      <c r="B18" s="10" t="s">
        <v>39</v>
      </c>
      <c r="C18" s="10" t="s">
        <v>40</v>
      </c>
      <c r="D18" s="11" t="s">
        <v>41</v>
      </c>
      <c r="E18" s="11"/>
      <c r="F18" s="11"/>
      <c r="G18" s="11" t="s">
        <v>42</v>
      </c>
      <c r="H18" s="11"/>
      <c r="I18" s="11"/>
      <c r="J18" s="11" t="s">
        <v>43</v>
      </c>
      <c r="K18" s="11"/>
      <c r="L18" s="11"/>
      <c r="M18" s="11" t="s">
        <v>44</v>
      </c>
      <c r="N18" s="11"/>
      <c r="O18" s="11"/>
      <c r="P18" s="10" t="s">
        <v>45</v>
      </c>
    </row>
    <row r="19" customFormat="false" ht="30" hidden="false" customHeight="true" outlineLevel="0" collapsed="false">
      <c r="A19" s="10"/>
      <c r="B19" s="10"/>
      <c r="C19" s="10"/>
      <c r="D19" s="11" t="s">
        <v>46</v>
      </c>
      <c r="E19" s="11" t="s">
        <v>47</v>
      </c>
      <c r="F19" s="11" t="s">
        <v>48</v>
      </c>
      <c r="G19" s="11" t="s">
        <v>46</v>
      </c>
      <c r="H19" s="11" t="s">
        <v>47</v>
      </c>
      <c r="I19" s="11" t="s">
        <v>48</v>
      </c>
      <c r="J19" s="11" t="s">
        <v>46</v>
      </c>
      <c r="K19" s="11" t="s">
        <v>47</v>
      </c>
      <c r="L19" s="11" t="s">
        <v>48</v>
      </c>
      <c r="M19" s="11" t="s">
        <v>46</v>
      </c>
      <c r="N19" s="11" t="s">
        <v>47</v>
      </c>
      <c r="O19" s="11" t="s">
        <v>48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224.25</v>
      </c>
      <c r="D20" s="16" t="n">
        <f aca="false">Chạy!G2</f>
        <v>3.06</v>
      </c>
      <c r="E20" s="16" t="n">
        <f aca="false">D20+F20</f>
        <v>3.155</v>
      </c>
      <c r="F20" s="16" t="n">
        <f aca="false">RANDBETWEEN(-30,100)/1000</f>
        <v>0.095</v>
      </c>
      <c r="G20" s="16" t="n">
        <f aca="false">Chạy!I2</f>
        <v>2.78</v>
      </c>
      <c r="H20" s="16" t="n">
        <f aca="false">G20+I20</f>
        <v>2.866</v>
      </c>
      <c r="I20" s="16" t="n">
        <f aca="false">RANDBETWEEN(-30,100)/1000</f>
        <v>0.086</v>
      </c>
      <c r="J20" s="16" t="n">
        <f aca="false">Chạy!M6</f>
        <v>2.97</v>
      </c>
      <c r="K20" s="16" t="n">
        <f aca="false">J20+L20</f>
        <v>3.053</v>
      </c>
      <c r="L20" s="16" t="n">
        <f aca="false">RANDBETWEEN(-30,100)/1000</f>
        <v>0.083</v>
      </c>
      <c r="M20" s="16" t="n">
        <f aca="false">Chạy!O6</f>
        <v>2.97</v>
      </c>
      <c r="N20" s="16" t="n">
        <f aca="false">M20+O20</f>
        <v>2.946</v>
      </c>
      <c r="O20" s="16" t="n">
        <f aca="false">RANDBETWEEN(-30,100)/1000</f>
        <v>-0.024</v>
      </c>
      <c r="P20" s="17"/>
      <c r="Q20" s="18" t="n">
        <v>21.5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245.75</v>
      </c>
      <c r="D21" s="16" t="n">
        <f aca="false">Chạy!G10</f>
        <v>3.04</v>
      </c>
      <c r="E21" s="16" t="n">
        <f aca="false">D21+F21</f>
        <v>3.067</v>
      </c>
      <c r="F21" s="16" t="n">
        <f aca="false">RANDBETWEEN(-30,100)/1000</f>
        <v>0.027</v>
      </c>
      <c r="G21" s="16" t="n">
        <f aca="false">Chạy!I10</f>
        <v>2.76</v>
      </c>
      <c r="H21" s="16" t="n">
        <f aca="false">G21+I21</f>
        <v>2.79</v>
      </c>
      <c r="I21" s="16" t="n">
        <f aca="false">RANDBETWEEN(-30,100)/1000</f>
        <v>0.03</v>
      </c>
      <c r="J21" s="16" t="n">
        <f aca="false">Chạy!M14</f>
        <v>2.95</v>
      </c>
      <c r="K21" s="16" t="n">
        <f aca="false">J21+L21</f>
        <v>3.034</v>
      </c>
      <c r="L21" s="16" t="n">
        <f aca="false">RANDBETWEEN(-30,100)/1000</f>
        <v>0.084</v>
      </c>
      <c r="M21" s="16" t="n">
        <f aca="false">Chạy!O14</f>
        <v>2.95</v>
      </c>
      <c r="N21" s="16" t="n">
        <f aca="false">M21+O21</f>
        <v>3.037</v>
      </c>
      <c r="O21" s="16" t="n">
        <f aca="false">RANDBETWEEN(-30,100)/1000</f>
        <v>0.087</v>
      </c>
      <c r="P21" s="17"/>
      <c r="Q21" s="18" t="n">
        <v>11.75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257.5</v>
      </c>
      <c r="D22" s="16" t="n">
        <f aca="false">Chạy!G18</f>
        <v>3.04</v>
      </c>
      <c r="E22" s="16" t="n">
        <f aca="false">D22+F22</f>
        <v>3.018</v>
      </c>
      <c r="F22" s="16" t="n">
        <f aca="false">RANDBETWEEN(-30,100)/1000</f>
        <v>-0.022</v>
      </c>
      <c r="G22" s="16" t="n">
        <f aca="false">Chạy!I18</f>
        <v>2.75</v>
      </c>
      <c r="H22" s="16" t="n">
        <f aca="false">G22+I22</f>
        <v>2.731</v>
      </c>
      <c r="I22" s="16" t="n">
        <f aca="false">RANDBETWEEN(-30,100)/1000</f>
        <v>-0.019</v>
      </c>
      <c r="J22" s="16" t="n">
        <f aca="false">Chạy!M22</f>
        <v>2.94</v>
      </c>
      <c r="K22" s="16" t="n">
        <f aca="false">J22+L22</f>
        <v>3.025</v>
      </c>
      <c r="L22" s="16" t="n">
        <f aca="false">RANDBETWEEN(-30,100)/1000</f>
        <v>0.085</v>
      </c>
      <c r="M22" s="16" t="n">
        <f aca="false">Chạy!O22</f>
        <v>2.94</v>
      </c>
      <c r="N22" s="16" t="n">
        <f aca="false">M22+O22</f>
        <v>2.997</v>
      </c>
      <c r="O22" s="16" t="n">
        <f aca="false">RANDBETWEEN(-30,100)/1000</f>
        <v>0.057</v>
      </c>
      <c r="P22" s="17"/>
      <c r="Q22" s="18" t="n">
        <v>11.75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269.25</v>
      </c>
      <c r="D23" s="16" t="n">
        <f aca="false">Chạy!G26</f>
        <v>3.03</v>
      </c>
      <c r="E23" s="16" t="n">
        <f aca="false">D23+F23</f>
        <v>3.045</v>
      </c>
      <c r="F23" s="16" t="n">
        <f aca="false">RANDBETWEEN(-30,100)/1000</f>
        <v>0.015</v>
      </c>
      <c r="G23" s="16" t="n">
        <f aca="false">Chạy!I26</f>
        <v>2.75</v>
      </c>
      <c r="H23" s="16" t="n">
        <f aca="false">G23+I23</f>
        <v>2.834</v>
      </c>
      <c r="I23" s="16" t="n">
        <f aca="false">RANDBETWEEN(-30,100)/1000</f>
        <v>0.084</v>
      </c>
      <c r="J23" s="16" t="n">
        <f aca="false">Chạy!M30</f>
        <v>2.94</v>
      </c>
      <c r="K23" s="16" t="n">
        <f aca="false">J23+L23</f>
        <v>3.02</v>
      </c>
      <c r="L23" s="16" t="n">
        <f aca="false">RANDBETWEEN(-30,100)/1000</f>
        <v>0.08</v>
      </c>
      <c r="M23" s="16" t="n">
        <f aca="false">Chạy!O30</f>
        <v>2.93</v>
      </c>
      <c r="N23" s="16" t="n">
        <f aca="false">M23+O23</f>
        <v>2.901</v>
      </c>
      <c r="O23" s="16" t="n">
        <f aca="false">RANDBETWEEN(-30,100)/1000</f>
        <v>-0.029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289.25</v>
      </c>
      <c r="D24" s="16" t="n">
        <f aca="false">Chạy!G34</f>
        <v>3.02</v>
      </c>
      <c r="E24" s="16" t="n">
        <f aca="false">D24+F24</f>
        <v>3.052</v>
      </c>
      <c r="F24" s="16" t="n">
        <f aca="false">RANDBETWEEN(-30,100)/1000</f>
        <v>0.032</v>
      </c>
      <c r="G24" s="16" t="n">
        <f aca="false">Chạy!I34</f>
        <v>2.73</v>
      </c>
      <c r="H24" s="16" t="n">
        <f aca="false">G24+I24</f>
        <v>2.79</v>
      </c>
      <c r="I24" s="16" t="n">
        <f aca="false">RANDBETWEEN(-30,100)/1000</f>
        <v>0.06</v>
      </c>
      <c r="J24" s="16" t="n">
        <f aca="false">Chạy!M38</f>
        <v>2.92</v>
      </c>
      <c r="K24" s="16" t="n">
        <f aca="false">J24+L24</f>
        <v>2.903</v>
      </c>
      <c r="L24" s="16" t="n">
        <f aca="false">RANDBETWEEN(-30,100)/1000</f>
        <v>-0.017</v>
      </c>
      <c r="M24" s="16" t="n">
        <f aca="false">Chạy!O38</f>
        <v>2.92</v>
      </c>
      <c r="N24" s="16" t="n">
        <f aca="false">M24+O24</f>
        <v>2.95</v>
      </c>
      <c r="O24" s="16" t="n">
        <f aca="false">RANDBETWEEN(-30,100)/1000</f>
        <v>0.03</v>
      </c>
      <c r="P24" s="17"/>
      <c r="Q24" s="18" t="n">
        <v>20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309.25</v>
      </c>
      <c r="D25" s="16" t="n">
        <f aca="false">Chạy!G42</f>
        <v>3.01</v>
      </c>
      <c r="E25" s="16" t="n">
        <f aca="false">D25+F25</f>
        <v>2.994</v>
      </c>
      <c r="F25" s="16" t="n">
        <f aca="false">RANDBETWEEN(-30,100)/1000</f>
        <v>-0.016</v>
      </c>
      <c r="G25" s="16" t="n">
        <f aca="false">Chạy!I42</f>
        <v>2.72</v>
      </c>
      <c r="H25" s="16" t="n">
        <f aca="false">G25+I25</f>
        <v>2.779</v>
      </c>
      <c r="I25" s="16" t="n">
        <f aca="false">RANDBETWEEN(-30,100)/1000</f>
        <v>0.059</v>
      </c>
      <c r="J25" s="16" t="n">
        <f aca="false">Chạy!M46</f>
        <v>2.91</v>
      </c>
      <c r="K25" s="16" t="n">
        <f aca="false">J25+L25</f>
        <v>2.983</v>
      </c>
      <c r="L25" s="16" t="n">
        <f aca="false">RANDBETWEEN(-30,100)/1000</f>
        <v>0.073</v>
      </c>
      <c r="M25" s="16" t="n">
        <f aca="false">Chạy!O46</f>
        <v>2.91</v>
      </c>
      <c r="N25" s="16" t="n">
        <f aca="false">M25+O25</f>
        <v>2.919</v>
      </c>
      <c r="O25" s="16" t="n">
        <f aca="false">RANDBETWEEN(-30,100)/1000</f>
        <v>0.009</v>
      </c>
      <c r="P25" s="17"/>
      <c r="Q25" s="18" t="n">
        <v>20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329.25</v>
      </c>
      <c r="D26" s="16" t="n">
        <f aca="false">Chạy!G50</f>
        <v>2.99</v>
      </c>
      <c r="E26" s="16" t="n">
        <f aca="false">D26+F26</f>
        <v>3.075</v>
      </c>
      <c r="F26" s="16" t="n">
        <f aca="false">RANDBETWEEN(-30,100)/1000</f>
        <v>0.085</v>
      </c>
      <c r="G26" s="16" t="n">
        <f aca="false">Chạy!I50</f>
        <v>2.71</v>
      </c>
      <c r="H26" s="16" t="n">
        <f aca="false">G26+I26</f>
        <v>2.767</v>
      </c>
      <c r="I26" s="16" t="n">
        <f aca="false">RANDBETWEEN(-30,100)/1000</f>
        <v>0.057</v>
      </c>
      <c r="J26" s="16" t="n">
        <f aca="false">Chạy!M54</f>
        <v>2.9</v>
      </c>
      <c r="K26" s="16" t="n">
        <f aca="false">J26+L26</f>
        <v>2.996</v>
      </c>
      <c r="L26" s="16" t="n">
        <f aca="false">RANDBETWEEN(-30,100)/1000</f>
        <v>0.096</v>
      </c>
      <c r="M26" s="16" t="n">
        <f aca="false">Chạy!O54</f>
        <v>2.9</v>
      </c>
      <c r="N26" s="16" t="n">
        <f aca="false">M26+O26</f>
        <v>2.935</v>
      </c>
      <c r="O26" s="16" t="n">
        <f aca="false">RANDBETWEEN(-30,100)/1000</f>
        <v>0.035</v>
      </c>
      <c r="P26" s="17"/>
      <c r="Q26" s="18" t="n">
        <v>20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349.25</v>
      </c>
      <c r="D27" s="16" t="n">
        <f aca="false">Chạy!G58</f>
        <v>2.98</v>
      </c>
      <c r="E27" s="16" t="n">
        <f aca="false">D27+F27</f>
        <v>3.072</v>
      </c>
      <c r="F27" s="16" t="n">
        <f aca="false">RANDBETWEEN(-30,100)/1000</f>
        <v>0.092</v>
      </c>
      <c r="G27" s="16" t="n">
        <f aca="false">Chạy!I58</f>
        <v>2.7</v>
      </c>
      <c r="H27" s="16" t="n">
        <f aca="false">G27+I27</f>
        <v>2.673</v>
      </c>
      <c r="I27" s="16" t="n">
        <f aca="false">RANDBETWEEN(-30,100)/1000</f>
        <v>-0.027</v>
      </c>
      <c r="J27" s="16" t="n">
        <f aca="false">Chạy!M62</f>
        <v>2.89</v>
      </c>
      <c r="K27" s="16" t="n">
        <f aca="false">J27+L27</f>
        <v>2.983</v>
      </c>
      <c r="L27" s="16" t="n">
        <f aca="false">RANDBETWEEN(-30,100)/1000</f>
        <v>0.093</v>
      </c>
      <c r="M27" s="16" t="n">
        <f aca="false">Chạy!O62</f>
        <v>2.89</v>
      </c>
      <c r="N27" s="16" t="n">
        <f aca="false">M27+O27</f>
        <v>2.956</v>
      </c>
      <c r="O27" s="16" t="n">
        <f aca="false">RANDBETWEEN(-30,100)/1000</f>
        <v>0.066</v>
      </c>
      <c r="P27" s="17"/>
      <c r="Q27" s="18" t="n">
        <v>19</v>
      </c>
    </row>
    <row r="28" customFormat="false" ht="15" hidden="false" customHeight="false" outlineLevel="0" collapsed="false">
      <c r="A28" s="13" t="n">
        <v>9</v>
      </c>
      <c r="B28" s="14" t="s">
        <v>26</v>
      </c>
      <c r="C28" s="15" t="n">
        <f aca="false">C27+Q27</f>
        <v>368.25</v>
      </c>
      <c r="D28" s="16" t="n">
        <f aca="false">Chạy!G66</f>
        <v>2.97</v>
      </c>
      <c r="E28" s="16" t="n">
        <f aca="false">D28+F28</f>
        <v>3.046</v>
      </c>
      <c r="F28" s="16" t="n">
        <f aca="false">RANDBETWEEN(-30,100)/1000</f>
        <v>0.076</v>
      </c>
      <c r="G28" s="16" t="n">
        <f aca="false">Chạy!I66</f>
        <v>2.69</v>
      </c>
      <c r="H28" s="16" t="n">
        <f aca="false">G28+I28</f>
        <v>2.729</v>
      </c>
      <c r="I28" s="16" t="n">
        <f aca="false">RANDBETWEEN(-30,100)/1000</f>
        <v>0.039</v>
      </c>
      <c r="J28" s="16" t="n">
        <f aca="false">Chạy!M70</f>
        <v>2.88</v>
      </c>
      <c r="K28" s="16" t="n">
        <f aca="false">J28+L28</f>
        <v>2.857</v>
      </c>
      <c r="L28" s="16" t="n">
        <f aca="false">RANDBETWEEN(-30,100)/1000</f>
        <v>-0.023</v>
      </c>
      <c r="M28" s="16" t="n">
        <f aca="false">Chạy!O70</f>
        <v>2.87</v>
      </c>
      <c r="N28" s="16" t="n">
        <f aca="false">M28+O28</f>
        <v>2.85</v>
      </c>
      <c r="O28" s="16" t="n">
        <f aca="false">RANDBETWEEN(-30,100)/1000</f>
        <v>-0.02</v>
      </c>
      <c r="P28" s="17"/>
      <c r="Q28" s="18" t="n">
        <v>13.25</v>
      </c>
    </row>
    <row r="29" customFormat="false" ht="15" hidden="false" customHeight="false" outlineLevel="0" collapsed="false">
      <c r="A29" s="13" t="n">
        <v>10</v>
      </c>
      <c r="B29" s="14" t="s">
        <v>27</v>
      </c>
      <c r="C29" s="15" t="n">
        <f aca="false">C28+Q28</f>
        <v>381.5</v>
      </c>
      <c r="D29" s="16" t="n">
        <f aca="false">Chạy!G74</f>
        <v>2.96</v>
      </c>
      <c r="E29" s="16" t="n">
        <f aca="false">D29+F29</f>
        <v>3.028</v>
      </c>
      <c r="F29" s="16" t="n">
        <f aca="false">RANDBETWEEN(-30,100)/1000</f>
        <v>0.068</v>
      </c>
      <c r="G29" s="16" t="n">
        <f aca="false">Chạy!I74</f>
        <v>2.68</v>
      </c>
      <c r="H29" s="16" t="n">
        <f aca="false">G29+I29</f>
        <v>2.7</v>
      </c>
      <c r="I29" s="16" t="n">
        <f aca="false">RANDBETWEEN(-30,100)/1000</f>
        <v>0.02</v>
      </c>
      <c r="J29" s="16" t="n">
        <f aca="false">Chạy!M78</f>
        <v>2.87</v>
      </c>
      <c r="K29" s="16" t="n">
        <f aca="false">J29+L29</f>
        <v>2.918</v>
      </c>
      <c r="L29" s="16" t="n">
        <f aca="false">RANDBETWEEN(-30,100)/1000</f>
        <v>0.048</v>
      </c>
      <c r="M29" s="16" t="n">
        <f aca="false">Chạy!O78</f>
        <v>2.87</v>
      </c>
      <c r="N29" s="16" t="n">
        <f aca="false">M29+O29</f>
        <v>2.937</v>
      </c>
      <c r="O29" s="16" t="n">
        <f aca="false">RANDBETWEEN(-30,100)/1000</f>
        <v>0.067</v>
      </c>
      <c r="P29" s="17"/>
      <c r="Q29" s="18" t="n">
        <v>13.25</v>
      </c>
    </row>
    <row r="30" customFormat="false" ht="15" hidden="false" customHeight="false" outlineLevel="0" collapsed="false">
      <c r="A30" s="13" t="n">
        <v>11</v>
      </c>
      <c r="B30" s="14" t="s">
        <v>28</v>
      </c>
      <c r="C30" s="15" t="n">
        <f aca="false">C29+Q29</f>
        <v>394.75</v>
      </c>
      <c r="D30" s="16" t="n">
        <f aca="false">Chạy!G82</f>
        <v>2.96</v>
      </c>
      <c r="E30" s="16" t="n">
        <f aca="false">D30+F30</f>
        <v>2.967</v>
      </c>
      <c r="F30" s="16" t="n">
        <f aca="false">RANDBETWEEN(-30,100)/1000</f>
        <v>0.007</v>
      </c>
      <c r="G30" s="16" t="n">
        <f aca="false">Chạy!I82</f>
        <v>2.67</v>
      </c>
      <c r="H30" s="16" t="n">
        <f aca="false">G30+I30</f>
        <v>2.671</v>
      </c>
      <c r="I30" s="16" t="n">
        <f aca="false">RANDBETWEEN(-30,100)/1000</f>
        <v>0.001</v>
      </c>
      <c r="J30" s="16" t="n">
        <f aca="false">Chạy!M86</f>
        <v>2.86</v>
      </c>
      <c r="K30" s="16" t="n">
        <f aca="false">J30+L30</f>
        <v>2.929</v>
      </c>
      <c r="L30" s="16" t="n">
        <f aca="false">RANDBETWEEN(-30,100)/1000</f>
        <v>0.069</v>
      </c>
      <c r="M30" s="16" t="n">
        <f aca="false">Chạy!O86</f>
        <v>2.86</v>
      </c>
      <c r="N30" s="16" t="n">
        <f aca="false">M30+O30</f>
        <v>2.893</v>
      </c>
      <c r="O30" s="16" t="n">
        <f aca="false">RANDBETWEEN(-30,100)/1000</f>
        <v>0.033</v>
      </c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49</v>
      </c>
      <c r="D59" s="19"/>
      <c r="E59" s="19"/>
      <c r="F59" s="19"/>
      <c r="G59" s="20"/>
      <c r="H59" s="20"/>
      <c r="I59" s="20"/>
      <c r="K59" s="19" t="s">
        <v>50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51</v>
      </c>
      <c r="D64" s="19"/>
      <c r="E64" s="19"/>
      <c r="F64" s="19"/>
      <c r="G64" s="20"/>
      <c r="H64" s="20"/>
      <c r="I64" s="20"/>
      <c r="J64" s="21"/>
      <c r="K64" s="19" t="s">
        <v>65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">
        <v>63</v>
      </c>
      <c r="B2" s="27"/>
      <c r="C2" s="27"/>
      <c r="D2" s="27"/>
      <c r="E2" s="27"/>
      <c r="F2" s="27"/>
      <c r="G2" s="27"/>
    </row>
    <row r="3" s="33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35</v>
      </c>
      <c r="B7" s="32"/>
      <c r="D7" s="34" t="s">
        <v>64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12</v>
      </c>
      <c r="C11" s="15" t="n">
        <f aca="false">'1. KTHH L4'!C20</f>
        <v>224.25</v>
      </c>
      <c r="D11" s="13" t="n">
        <f aca="false">'1. KTHH L4'!Q20</f>
        <v>21.5</v>
      </c>
      <c r="E11" s="42" t="n">
        <f aca="false">Chạy!E2+Chạy!E6</f>
        <v>3.12</v>
      </c>
      <c r="F11" s="43" t="n">
        <f aca="false">(E11+E12)*D11/2</f>
        <v>67.08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13</v>
      </c>
      <c r="C12" s="15" t="n">
        <f aca="false">'1. KTHH L4'!C21</f>
        <v>245.75</v>
      </c>
      <c r="D12" s="13" t="n">
        <f aca="false">'1. KTHH L4'!Q21</f>
        <v>11.75</v>
      </c>
      <c r="E12" s="42" t="n">
        <f aca="false">Chạy!E10+Chạy!E14</f>
        <v>3.12</v>
      </c>
      <c r="F12" s="43" t="n">
        <f aca="false">(E12+E13)*D12/2</f>
        <v>36.66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B5</v>
      </c>
      <c r="C13" s="15" t="n">
        <f aca="false">'1. KTHH L4'!C22</f>
        <v>257.5</v>
      </c>
      <c r="D13" s="13" t="n">
        <f aca="false">'1. KTHH L4'!Q22</f>
        <v>11.75</v>
      </c>
      <c r="E13" s="42" t="n">
        <f aca="false">Chạy!E18+Chạy!E22</f>
        <v>3.12</v>
      </c>
      <c r="F13" s="43" t="n">
        <f aca="false">(E13+E14)*D13/2</f>
        <v>36.66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14</v>
      </c>
      <c r="C14" s="15" t="n">
        <f aca="false">'1. KTHH L4'!C23</f>
        <v>269.25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15</v>
      </c>
      <c r="C15" s="15" t="n">
        <f aca="false">'1. KTHH L4'!C24</f>
        <v>289.25</v>
      </c>
      <c r="D15" s="13" t="n">
        <f aca="false">'1. KTHH L4'!Q24</f>
        <v>20</v>
      </c>
      <c r="E15" s="42" t="n">
        <f aca="false">Chạy!E34+Chạy!E38</f>
        <v>3.12</v>
      </c>
      <c r="F15" s="43" t="n">
        <f aca="false">(E15+E16)*D15/2</f>
        <v>62.4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16</v>
      </c>
      <c r="C16" s="15" t="n">
        <f aca="false">'1. KTHH L4'!C25</f>
        <v>309.25</v>
      </c>
      <c r="D16" s="13" t="n">
        <f aca="false">'1. KTHH L4'!Q25</f>
        <v>20</v>
      </c>
      <c r="E16" s="42" t="n">
        <f aca="false">Chạy!E42+Chạy!E46</f>
        <v>3.12</v>
      </c>
      <c r="F16" s="43" t="n">
        <f aca="false">(E16+E17)*D16/2</f>
        <v>62.4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17</v>
      </c>
      <c r="C17" s="15" t="n">
        <f aca="false">'1. KTHH L4'!C26</f>
        <v>329.25</v>
      </c>
      <c r="D17" s="13" t="n">
        <f aca="false">'1. KTHH L4'!Q26</f>
        <v>20</v>
      </c>
      <c r="E17" s="42" t="n">
        <f aca="false">Chạy!E50+Chạy!E54</f>
        <v>3.12</v>
      </c>
      <c r="F17" s="43" t="n">
        <f aca="false">(E17+E18)*D17/2</f>
        <v>62.4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18</v>
      </c>
      <c r="C18" s="15" t="n">
        <f aca="false">'1. KTHH L4'!C27</f>
        <v>349.25</v>
      </c>
      <c r="D18" s="13" t="n">
        <f aca="false">'1. KTHH L4'!Q27</f>
        <v>19</v>
      </c>
      <c r="E18" s="42" t="n">
        <f aca="false">Chạy!E58+Chạy!E62</f>
        <v>3.12</v>
      </c>
      <c r="F18" s="43" t="n">
        <f aca="false">(E18+E19)*D18/2</f>
        <v>59.28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19</v>
      </c>
      <c r="C19" s="15" t="n">
        <f aca="false">'1. KTHH L4'!C28</f>
        <v>368.25</v>
      </c>
      <c r="D19" s="13" t="n">
        <f aca="false">'1. KTHH L4'!Q28</f>
        <v>13.25</v>
      </c>
      <c r="E19" s="42" t="n">
        <f aca="false">Chạy!E66+Chạy!E70</f>
        <v>3.12</v>
      </c>
      <c r="F19" s="43" t="n">
        <f aca="false">(E19+E20)*D19/2</f>
        <v>41.34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C2</v>
      </c>
      <c r="C20" s="15" t="n">
        <f aca="false">'1. KTHH L4'!C29</f>
        <v>381.5</v>
      </c>
      <c r="D20" s="13" t="n">
        <f aca="false">'1. KTHH L4'!Q29</f>
        <v>13.25</v>
      </c>
      <c r="E20" s="42" t="n">
        <f aca="false">Chạy!E74+Chạy!E78</f>
        <v>3.12</v>
      </c>
      <c r="F20" s="43" t="n">
        <f aca="false">(E20+E21)*D20/2</f>
        <v>41.34</v>
      </c>
      <c r="G20" s="44"/>
      <c r="H20" s="54"/>
      <c r="I20" s="69"/>
    </row>
    <row r="21" s="41" customFormat="true" ht="15" hidden="false" customHeight="true" outlineLevel="0" collapsed="false">
      <c r="A21" s="13" t="n">
        <v>11</v>
      </c>
      <c r="B21" s="14" t="str">
        <f aca="false">'1. KTHH L4'!B30</f>
        <v>20</v>
      </c>
      <c r="C21" s="15" t="n">
        <f aca="false">'1. KTHH L4'!C30</f>
        <v>394.75</v>
      </c>
      <c r="D21" s="13"/>
      <c r="E21" s="42" t="n">
        <f aca="false">Chạy!E82+Chạy!E86</f>
        <v>3.12</v>
      </c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SUM(F11:F21)</f>
        <v>531.96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