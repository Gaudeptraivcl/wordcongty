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<sst xmlns="http://schemas.openxmlformats.org/spreadsheetml/2006/main" count="328" uniqueCount="69">
  <si>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</si>
  <si>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</si>
  <si>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</si>
  <si>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</si>
  <si>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</si>
  <si>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</si>
  <si>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</si>
  <si>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</si>
  <si>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</si>
  <si>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</si>
  <si>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</si>
  <si>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</si>
  <si>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</si>
  <si>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</si>
  <si>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</si>
  <si>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</si>
  <si>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</si>
  <si>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</si>
  <si>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</si>
  <si>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</si>
  <si>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</si>
  <si>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</si>
  <si>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</si>
  <si>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</si>
  <si>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</si>
  <si>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</si>
  <si>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</si>
  <si>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</si>
  <si>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 ĐẮP CÁT</t>
  </si>
  <si>
    <t xml:space="preserve">Kèm theo BBNT số: 04.NĐXD8/CVXD ngày 17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</si>
  <si>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</si>
  <si>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</si>
  <si>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</si>
  <si>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</si>
  <si>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</si>
  <si>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Km0+224,25 - Km0+394,75,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</si>
  <si>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</si>
  <si>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</si>
  <si>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</si>
  <si>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</si>
  <si>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</si>
  <si>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</si>
  <si>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</si>
  <si>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</si>
  <si>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</si>
  <si>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</si>
  <si>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</si>
  <si>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</si>
  <si>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</si>
  <si>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</si>
  <si>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</si>
  <si>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</si>
  <si>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</si>
  <si>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</si>
  <si>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</si>
  <si>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</si>
  <si>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</si>
  <si>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</si>
  <si>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</si>
  <si>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</si>
  <si>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</si>
  <si>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</si>
  <si>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</si>
  <si>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05.NĐXD8/CVXD ngày 18 tháng 08 năm 2026</t>
  </si>
  <si>
    <t xml:space="preserve">Đắp cát nền đường lớp 2 đoạn từ Km0+224,25 - Km0+394,75, độ chặt K&gt;=0,95</t>
  </si>
  <si>
    <t xml:space="preserve">Kèm theo BBNT số: 06.NĐXD8/CVXD ngày 18 tháng 08 năm 2026</t>
  </si>
  <si>
    <t xml:space="preserve">Đắp cát nền đường lớp 3 đoạn từ Km0+224,25 - Km0+394,75, độ chặt K&gt;=0,95</t>
  </si>
  <si>
    <t xml:space="preserve">Kèm theo BBNT số: 07.NĐXD8/CVXD ngày 19 tháng 08 năm 2026</t>
  </si>
  <si>
    <t xml:space="preserve">Đắp cát nền đường lớp 4 đoạn từ Km0+224,25 - Km0+394,75,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</si>
</sst>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Km0+224,25 -:- Km0+394,75</v>
          </cell>
          <cell r="D3" t="str">
            <v xml:space="preserve">ngày 15 tháng 08 năm 2026</v>
          </cell>
          <cell r="G3" t="str">
            <v xml:space="preserve">01.NĐXD8/CVXD </v>
          </cell>
        </row>
        <row r="4">
          <cell r="A4">
            <v>2</v>
          </cell>
          <cell r="B4" t="str">
            <v xml:space="preserve">Đào đất xử lý nền đường đoạn từ Km0+224,25 - Km0+394,75</v>
          </cell>
          <cell r="D4" t="str">
            <v xml:space="preserve">ngày 16 tháng 08 năm 2026</v>
          </cell>
          <cell r="G4" t="str">
            <v xml:space="preserve">02.NĐXD8/CVXD </v>
          </cell>
        </row>
        <row r="5">
          <cell r="A5">
            <v>3</v>
          </cell>
          <cell r="B5" t="str">
            <v xml:space="preserve">Rải vải địa kỹ thuật đoạn từ Km0+224,25 - Km0+394,75</v>
          </cell>
          <cell r="D5" t="str">
            <v xml:space="preserve">ngày 17 tháng 08 năm 2026</v>
          </cell>
          <cell r="G5" t="str">
            <v xml:space="preserve">03.NĐXD8/CVXD </v>
          </cell>
        </row>
        <row r="6">
          <cell r="A6">
            <v>4</v>
          </cell>
          <cell r="B6" t="str">
            <v xml:space="preserve">Đắp cát nền đường lớp 1 đoạn từ Km0+224,25 - Km0+394,75, độ chặt K&gt;=0,95</v>
          </cell>
          <cell r="D6" t="str">
            <v xml:space="preserve">ngày 17 tháng 08 năm 2026</v>
          </cell>
          <cell r="G6" t="str">
            <v xml:space="preserve">04.NĐXD8/CVXD </v>
          </cell>
        </row>
        <row r="7">
          <cell r="A7">
            <v>5</v>
          </cell>
          <cell r="B7" t="str">
            <v xml:space="preserve">Đắp cát nền đường lớp 2 đoạn từ Km0+224,25 - Km0+394,75, độ chặt K&gt;=0,95</v>
          </cell>
          <cell r="D7" t="str">
            <v xml:space="preserve">ngày 18 tháng 08 năm 2026</v>
          </cell>
          <cell r="G7" t="str">
            <v xml:space="preserve">05.NĐXD8/CVXD </v>
          </cell>
        </row>
        <row r="8">
          <cell r="A8">
            <v>6</v>
          </cell>
          <cell r="B8" t="str">
            <v xml:space="preserve">Đắp cát nền đường lớp 3 đoạn từ Km0+224,25 - Km0+394,75, độ chặt K&gt;=0,95</v>
          </cell>
          <cell r="D8" t="str">
            <v xml:space="preserve">ngày 18 tháng 08 năm 2026</v>
          </cell>
          <cell r="G8" t="str">
            <v xml:space="preserve">06.NĐXD8/CVXD </v>
          </cell>
        </row>
        <row r="9">
          <cell r="A9">
            <v>7</v>
          </cell>
          <cell r="B9" t="str">
            <v xml:space="preserve">Đắp cát nền đường lớp 4 đoạn từ Km0+224,25 - Km0+394,75, độ chặt K&gt;=0,95</v>
          </cell>
          <cell r="D9" t="str">
            <v xml:space="preserve">ngày 19 tháng 08 năm 2026</v>
          </cell>
          <cell r="G9" t="str">
            <v xml:space="preserve">07.NĐXD8/CVXD </v>
          </cell>
        </row>
        <row r="10">
          <cell r="A10">
            <v>8</v>
          </cell>
          <cell r="B10" t="str">
            <v xml:space="preserve">Đắp đất nền đường lớp 1 đoạn từ Km0+224,25 - Km0+394,75, độ chặt K&gt;=0,95</v>
          </cell>
          <cell r="D10" t="str">
            <v xml:space="preserve">ngày 19 tháng 08 năm 2026</v>
          </cell>
          <cell r="G10" t="str">
            <v xml:space="preserve">08.NĐXD8/CVXD </v>
          </cell>
        </row>
        <row r="11">
          <cell r="A11">
            <v>9</v>
          </cell>
          <cell r="B11" t="str">
            <v xml:space="preserve">Đắp đất nền đường lớp 2 đoạn từ Km0+224,25 - Km0+394,75, độ chặt K&gt;=0,95</v>
          </cell>
          <cell r="D11" t="str">
            <v xml:space="preserve">ngày 20 tháng 08 năm 2026</v>
          </cell>
          <cell r="G11" t="str">
            <v xml:space="preserve">09.NĐXD8/CVXD </v>
          </cell>
        </row>
        <row r="12">
          <cell r="A12">
            <v>10</v>
          </cell>
          <cell r="B12" t="str">
            <v xml:space="preserve">Đắp đất nền đường lớp 3 đoạn từ Km0+224,25 - Km0+394,75, độ chặt K&gt;=0,95</v>
          </cell>
          <cell r="D12" t="str">
            <v xml:space="preserve">ngày 20 tháng 08 năm 2026</v>
          </cell>
          <cell r="G12" t="str">
            <v xml:space="preserve">10.NĐXD8/CVXD </v>
          </cell>
        </row>
        <row r="13">
          <cell r="A13">
            <v>11</v>
          </cell>
          <cell r="B13" t="str">
            <v xml:space="preserve">Đắp đất nền đường lớp 4 đoạn từ Km0+224,25 - Km0+394,75, độ chặt K&gt;=0,95</v>
          </cell>
          <cell r="D13" t="str">
            <v xml:space="preserve">ngày 21 tháng 08 năm 2026</v>
          </cell>
          <cell r="G13" t="str">
            <v xml:space="preserve">11.NĐXD8/CVXD </v>
          </cell>
        </row>
        <row r="14">
          <cell r="A14">
            <v>12</v>
          </cell>
          <cell r="B14" t="str">
            <v xml:space="preserve">Đắp đất nền đường lớp 5 đoạn từ Km0+224,25 - Km0+394,75, độ chặt K&gt;=0,95</v>
          </cell>
          <cell r="D14" t="str">
            <v xml:space="preserve">ngày 21 tháng 08 năm 2026</v>
          </cell>
          <cell r="G14" t="str">
            <v xml:space="preserve">12.NĐXD8/CVXD </v>
          </cell>
        </row>
        <row r="15">
          <cell r="A15">
            <v>13</v>
          </cell>
          <cell r="B15" t="str">
            <v xml:space="preserve">Đắp đất nền đường lớp 6 đoạn từ Km0+224,25 - Km0+394,75, độ chặt K&gt;=0,95</v>
          </cell>
          <cell r="D15" t="str">
            <v xml:space="preserve">ngày 22 tháng 08 năm 2026</v>
          </cell>
          <cell r="G15" t="str">
            <v xml:space="preserve">13.NĐXD8/CVXD </v>
          </cell>
        </row>
        <row r="16">
          <cell r="A16">
            <v>14</v>
          </cell>
          <cell r="B16" t="str">
            <v xml:space="preserve">Đắp đất nền đường lớp 7 đoạn từ Km0+224,25 - Km0+394,75, độ chặt K&gt;=0,95</v>
          </cell>
          <cell r="D16" t="str">
            <v xml:space="preserve">ngày 22 tháng 08 năm 2026</v>
          </cell>
          <cell r="G16" t="str">
            <v xml:space="preserve">14.NĐXD8/CVXD </v>
          </cell>
        </row>
        <row r="17">
          <cell r="A17">
            <v>15</v>
          </cell>
          <cell r="B17" t="str">
            <v xml:space="preserve">Đắp đất nền đường lớp 8 đoạn từ Km0+224,25 - Km0+394,75, độ chặt K&gt;=0,95</v>
          </cell>
          <cell r="D17" t="str">
            <v xml:space="preserve">ngày 23 tháng 08 năm 2026</v>
          </cell>
          <cell r="G17" t="str">
            <v xml:space="preserve">15.NĐXD8/CVXD </v>
          </cell>
        </row>
        <row r="18">
          <cell r="A18">
            <v>16</v>
          </cell>
          <cell r="B18" t="str">
            <v xml:space="preserve">Đắp đất nền đường lớp 9 đoạn từ Km0+224,25 - Km0+394,75, độ chặt K&gt;=0,95</v>
          </cell>
          <cell r="D18" t="str">
            <v xml:space="preserve">ngày 23 tháng 08 năm 2026</v>
          </cell>
          <cell r="G18" t="str">
            <v xml:space="preserve">16.NĐXD8/CVXD </v>
          </cell>
        </row>
        <row r="19">
          <cell r="A19">
            <v>17</v>
          </cell>
          <cell r="B19" t="str">
            <v xml:space="preserve">Đắp đất nền đường lớp 1, độ chặt K&gt;=0,98 đoạn từ Km0+224,25 - Km0+394,75</v>
          </cell>
          <cell r="D19" t="str">
            <v xml:space="preserve">ngày 24 tháng 08 năm 2026</v>
          </cell>
          <cell r="G19" t="str">
            <v xml:space="preserve">17.NĐXD8/CVXD </v>
          </cell>
        </row>
        <row r="20">
          <cell r="A20">
            <v>18</v>
          </cell>
          <cell r="B20" t="str">
            <v xml:space="preserve">Đắp đất lề đường lớp 1, độ chặt K&gt;=0,95 đoạn từ Km0+224,25 - Km0+394,75</v>
          </cell>
          <cell r="D20" t="str">
            <v xml:space="preserve">ngày 24 tháng 08 năm 2026</v>
          </cell>
          <cell r="G20" t="str">
            <v xml:space="preserve">18.NĐXD8/CVXD </v>
          </cell>
        </row>
        <row r="21">
          <cell r="A21">
            <v>19</v>
          </cell>
          <cell r="B21" t="str">
            <v xml:space="preserve">Đắp đất nền đường lớp 2, độ chặt K&gt;=0,98 đoạn từ Km0+224,25 - Km0+394,75</v>
          </cell>
          <cell r="D21" t="str">
            <v xml:space="preserve">ngày 25 tháng 08 năm 2026</v>
          </cell>
          <cell r="G21" t="str">
            <v xml:space="preserve">19.NĐXD8/CVXD </v>
          </cell>
        </row>
        <row r="22">
          <cell r="A22">
            <v>20</v>
          </cell>
          <cell r="B22" t="str">
            <v xml:space="preserve">Đắp đất lề đường lớp 2, độ chặt K&gt;=0,95 đoạn từ Km0+224,25 - Km0+394,75</v>
          </cell>
          <cell r="D22" t="str">
            <v xml:space="preserve">ngày 25 tháng 08 năm 2026</v>
          </cell>
          <cell r="G22" t="str">
            <v xml:space="preserve">20.NĐXD8/CVXD </v>
          </cell>
        </row>
        <row r="23">
          <cell r="A23">
            <v>21</v>
          </cell>
          <cell r="B23" t="str">
            <v xml:space="preserve">Đắp cấp phối đá dăm loại 2 đoạn từ Km0+224,25 - Km0+394,75</v>
          </cell>
          <cell r="D23" t="str">
            <v xml:space="preserve">ngày 26 tháng 08 năm 2026</v>
          </cell>
          <cell r="G23" t="str">
            <v xml:space="preserve">21.NĐXD8/CVXD </v>
          </cell>
        </row>
        <row r="24">
          <cell r="A24">
            <v>22</v>
          </cell>
          <cell r="B24" t="str">
            <v xml:space="preserve">Đắp đất lề đường lớp 3, độ chặt K&gt;=0,95 đoạn từ Km0+224,25 - Km0+394,75</v>
          </cell>
          <cell r="D24" t="str">
            <v xml:space="preserve">ngày 26 tháng 08 năm 2026</v>
          </cell>
          <cell r="G24" t="str">
            <v xml:space="preserve">22.NĐXD8/CVXD </v>
          </cell>
        </row>
        <row r="25">
          <cell r="A25">
            <v>23</v>
          </cell>
          <cell r="B25" t="str">
            <v xml:space="preserve">Đắp đất lề đường lớp 4, độ chặt K&gt;=0,95 đoạn từ Km0+224,25 - Km0+394,75</v>
          </cell>
          <cell r="D25" t="str">
            <v xml:space="preserve">ngày 27 tháng 08 năm 2026</v>
          </cell>
          <cell r="G25" t="str">
            <v xml:space="preserve">23.NĐXD8/CVXD </v>
          </cell>
        </row>
        <row r="26">
          <cell r="A26">
            <v>24</v>
          </cell>
          <cell r="B26" t="str">
            <v xml:space="preserve">Đắp cấp phối đá dăm loại 1 đoạn từ Km0+224,25 - Km0+394,75</v>
          </cell>
          <cell r="D26" t="str">
            <v xml:space="preserve">ngày 27 tháng 08 năm 2026</v>
          </cell>
          <cell r="G26" t="str">
            <v xml:space="preserve">24.NĐXD8/CVXD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25.NĐXD8/CVXD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26.NĐXD8/CVXD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27.NĐXD8/CVXD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224.25</v>
      </c>
      <c r="D2" s="0" t="n">
        <v>4</v>
      </c>
      <c r="E2" s="0" t="n">
        <v>4.91</v>
      </c>
      <c r="F2" s="0" t="n">
        <v>-10.15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6.5</v>
      </c>
      <c r="O2" s="0" t="n">
        <v>-0.45</v>
      </c>
      <c r="P2" s="0" t="n">
        <v>15.65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4.73</v>
      </c>
      <c r="F3" s="0" t="n">
        <v>-9.85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6.2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4.55</v>
      </c>
      <c r="F4" s="0" t="n">
        <v>-9.55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5.9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1.48</v>
      </c>
      <c r="F5" s="0" t="n">
        <v>-9.25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5.6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245.75</v>
      </c>
      <c r="D6" s="0" t="n">
        <v>4</v>
      </c>
      <c r="E6" s="0" t="n">
        <v>3.66</v>
      </c>
      <c r="F6" s="0" t="n">
        <v>-6.25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6.25</v>
      </c>
      <c r="O6" s="0" t="n">
        <v>-0.45</v>
      </c>
      <c r="P6" s="0" t="n">
        <v>11.5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3.48</v>
      </c>
      <c r="F7" s="0" t="n">
        <v>-5.95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5.95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3.3</v>
      </c>
      <c r="F8" s="0" t="n">
        <v>-5.65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5.65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1.06</v>
      </c>
      <c r="F9" s="0" t="n">
        <v>-5.35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5.35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257.5</v>
      </c>
      <c r="D10" s="0" t="n">
        <v>4</v>
      </c>
      <c r="E10" s="0" t="n">
        <v>3.66</v>
      </c>
      <c r="F10" s="0" t="n">
        <v>-6.25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6.25</v>
      </c>
      <c r="O10" s="0" t="n">
        <v>-0.45</v>
      </c>
      <c r="P10" s="0" t="n">
        <v>11.61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3.48</v>
      </c>
      <c r="F11" s="0" t="n">
        <v>-5.95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5.95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3.3</v>
      </c>
      <c r="F12" s="0" t="n">
        <v>-5.65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5.65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1.16</v>
      </c>
      <c r="F13" s="0" t="n">
        <v>-5.35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5.35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269.25</v>
      </c>
      <c r="D14" s="0" t="n">
        <v>4</v>
      </c>
      <c r="E14" s="0" t="n">
        <v>3.66</v>
      </c>
      <c r="F14" s="0" t="n">
        <v>-6.25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6.25</v>
      </c>
      <c r="O14" s="0" t="n">
        <v>-0.45</v>
      </c>
      <c r="P14" s="0" t="n">
        <v>11.5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3.48</v>
      </c>
      <c r="F15" s="0" t="n">
        <v>-5.95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5.95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3.3</v>
      </c>
      <c r="F16" s="0" t="n">
        <v>-5.65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5.65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1.06</v>
      </c>
      <c r="F17" s="0" t="n">
        <v>-5.35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5.35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289.25</v>
      </c>
      <c r="D18" s="0" t="n">
        <v>4</v>
      </c>
      <c r="E18" s="0" t="n">
        <v>3.66</v>
      </c>
      <c r="F18" s="0" t="n">
        <v>-6.25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6.25</v>
      </c>
      <c r="O18" s="0" t="n">
        <v>-0.45</v>
      </c>
      <c r="P18" s="0" t="n">
        <v>11.5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3.48</v>
      </c>
      <c r="F19" s="0" t="n">
        <v>-5.95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5.95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3.3</v>
      </c>
      <c r="F20" s="0" t="n">
        <v>-5.65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5.65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1.06</v>
      </c>
      <c r="F21" s="0" t="n">
        <v>-5.35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5.35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309.25</v>
      </c>
      <c r="D22" s="0" t="n">
        <v>4</v>
      </c>
      <c r="E22" s="0" t="n">
        <v>3.66</v>
      </c>
      <c r="F22" s="0" t="n">
        <v>-6.25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6.25</v>
      </c>
      <c r="O22" s="0" t="n">
        <v>-0.45</v>
      </c>
      <c r="P22" s="0" t="n">
        <v>11.5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3.48</v>
      </c>
      <c r="F23" s="0" t="n">
        <v>-5.95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5.95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3.3</v>
      </c>
      <c r="F24" s="0" t="n">
        <v>-5.65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5.65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1.06</v>
      </c>
      <c r="F25" s="0" t="n">
        <v>-5.35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5.35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329.25</v>
      </c>
      <c r="D26" s="0" t="n">
        <v>4</v>
      </c>
      <c r="E26" s="0" t="n">
        <v>3.66</v>
      </c>
      <c r="F26" s="0" t="n">
        <v>-6.25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6.25</v>
      </c>
      <c r="O26" s="0" t="n">
        <v>-0.45</v>
      </c>
      <c r="P26" s="0" t="n">
        <v>11.5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3.48</v>
      </c>
      <c r="F27" s="0" t="n">
        <v>-5.95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5.95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3.3</v>
      </c>
      <c r="F28" s="0" t="n">
        <v>-5.65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5.65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1.06</v>
      </c>
      <c r="F29" s="0" t="n">
        <v>-5.35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5.35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349.25</v>
      </c>
      <c r="D30" s="0" t="n">
        <v>4</v>
      </c>
      <c r="E30" s="0" t="n">
        <v>3.66</v>
      </c>
      <c r="F30" s="0" t="n">
        <v>-6.25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6.25</v>
      </c>
      <c r="O30" s="0" t="n">
        <v>-0.45</v>
      </c>
      <c r="P30" s="0" t="n">
        <v>11.5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3.48</v>
      </c>
      <c r="F31" s="0" t="n">
        <v>-5.95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5.95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3.3</v>
      </c>
      <c r="F32" s="0" t="n">
        <v>-5.65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5.65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1.06</v>
      </c>
      <c r="F33" s="0" t="n">
        <v>-5.35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5.35</v>
      </c>
      <c r="O33" s="0" t="n">
        <v>-1.35</v>
      </c>
    </row>
    <row r="34" customFormat="false" ht="15" hidden="false" customHeight="false" outlineLevel="0" collapsed="false">
      <c r="A34" s="1" t="n">
        <v>9</v>
      </c>
      <c r="B34" s="1" t="s">
        <v>25</v>
      </c>
      <c r="C34" s="0" t="n">
        <v>368.25</v>
      </c>
      <c r="D34" s="0" t="n">
        <v>4</v>
      </c>
      <c r="E34" s="0" t="n">
        <v>4.75</v>
      </c>
      <c r="F34" s="0" t="n">
        <v>-9.86</v>
      </c>
      <c r="G34" s="0" t="n">
        <v>-0.45</v>
      </c>
      <c r="H34" s="1" t="n">
        <v>0</v>
      </c>
      <c r="I34" s="1" t="n">
        <v>-0.45</v>
      </c>
      <c r="J34" s="0" t="n">
        <v>0</v>
      </c>
      <c r="K34" s="0" t="n">
        <v>-0.45</v>
      </c>
      <c r="L34" s="1" t="n">
        <v>0</v>
      </c>
      <c r="M34" s="1" t="n">
        <v>-0.45</v>
      </c>
      <c r="N34" s="0" t="n">
        <v>6.25</v>
      </c>
      <c r="O34" s="0" t="n">
        <v>-0.45</v>
      </c>
      <c r="P34" s="0" t="n">
        <v>15.15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4.57</v>
      </c>
      <c r="F35" s="0" t="n">
        <v>-9.58</v>
      </c>
      <c r="G35" s="0" t="n">
        <v>-0.75</v>
      </c>
      <c r="H35" s="1" t="n">
        <v>0</v>
      </c>
      <c r="I35" s="1" t="n">
        <v>-0.75</v>
      </c>
      <c r="J35" s="0" t="n">
        <v>0</v>
      </c>
      <c r="K35" s="0" t="n">
        <v>-0.75</v>
      </c>
      <c r="L35" s="1" t="n">
        <v>0</v>
      </c>
      <c r="M35" s="1" t="n">
        <v>-0.75</v>
      </c>
      <c r="N35" s="0" t="n">
        <v>5.95</v>
      </c>
      <c r="O35" s="0" t="n">
        <v>-0.75</v>
      </c>
    </row>
    <row r="36" customFormat="false" ht="15" hidden="false" customHeight="false" outlineLevel="0" collapsed="false">
      <c r="D36" s="0" t="n">
        <v>2</v>
      </c>
      <c r="E36" s="0" t="n">
        <v>4.4</v>
      </c>
      <c r="F36" s="0" t="n">
        <v>-9.3</v>
      </c>
      <c r="G36" s="0" t="n">
        <v>-1.05</v>
      </c>
      <c r="H36" s="1" t="n">
        <v>0</v>
      </c>
      <c r="I36" s="1" t="n">
        <v>-1.05</v>
      </c>
      <c r="J36" s="0" t="n">
        <v>0</v>
      </c>
      <c r="K36" s="0" t="n">
        <v>-1.05</v>
      </c>
      <c r="L36" s="1" t="n">
        <v>0</v>
      </c>
      <c r="M36" s="1" t="n">
        <v>-1.05</v>
      </c>
      <c r="N36" s="0" t="n">
        <v>5.65</v>
      </c>
      <c r="O36" s="0" t="n">
        <v>-1.05</v>
      </c>
    </row>
    <row r="37" customFormat="false" ht="15" hidden="false" customHeight="false" outlineLevel="0" collapsed="false">
      <c r="D37" s="0" t="n">
        <v>1</v>
      </c>
      <c r="E37" s="0" t="n">
        <v>1.43</v>
      </c>
      <c r="F37" s="0" t="n">
        <v>-9.03</v>
      </c>
      <c r="G37" s="0" t="n">
        <v>-1.35</v>
      </c>
      <c r="H37" s="1" t="n">
        <v>0</v>
      </c>
      <c r="I37" s="1" t="n">
        <v>-1.35</v>
      </c>
      <c r="J37" s="0" t="n">
        <v>0</v>
      </c>
      <c r="K37" s="0" t="n">
        <v>-1.35</v>
      </c>
      <c r="L37" s="1" t="n">
        <v>0</v>
      </c>
      <c r="M37" s="1" t="n">
        <v>-1.35</v>
      </c>
      <c r="N37" s="0" t="n">
        <v>5.35</v>
      </c>
      <c r="O37" s="0" t="n">
        <v>-1.35</v>
      </c>
    </row>
    <row r="38" customFormat="false" ht="15" hidden="false" customHeight="false" outlineLevel="0" collapsed="false">
      <c r="A38" s="1" t="n">
        <v>10</v>
      </c>
      <c r="B38" s="1" t="s">
        <v>26</v>
      </c>
      <c r="C38" s="0" t="n">
        <v>381.5</v>
      </c>
      <c r="D38" s="0" t="n">
        <v>4</v>
      </c>
      <c r="E38" s="0" t="n">
        <v>5.97</v>
      </c>
      <c r="F38" s="0" t="n">
        <v>-10.19</v>
      </c>
      <c r="G38" s="0" t="n">
        <v>-0.45</v>
      </c>
      <c r="H38" s="1" t="n">
        <v>0</v>
      </c>
      <c r="I38" s="1" t="n">
        <v>-0.45</v>
      </c>
      <c r="J38" s="0" t="n">
        <v>0</v>
      </c>
      <c r="K38" s="0" t="n">
        <v>-0.45</v>
      </c>
      <c r="L38" s="1" t="n">
        <v>0</v>
      </c>
      <c r="M38" s="1" t="n">
        <v>-0.45</v>
      </c>
      <c r="N38" s="0" t="n">
        <v>10.02</v>
      </c>
      <c r="O38" s="0" t="n">
        <v>-0.45</v>
      </c>
      <c r="P38" s="0" t="n">
        <v>19.21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5.79</v>
      </c>
      <c r="F39" s="0" t="n">
        <v>-9.89</v>
      </c>
      <c r="G39" s="0" t="n">
        <v>-0.75</v>
      </c>
      <c r="H39" s="1" t="n">
        <v>0</v>
      </c>
      <c r="I39" s="1" t="n">
        <v>-0.75</v>
      </c>
      <c r="J39" s="0" t="n">
        <v>0</v>
      </c>
      <c r="K39" s="0" t="n">
        <v>-0.75</v>
      </c>
      <c r="L39" s="1" t="n">
        <v>0</v>
      </c>
      <c r="M39" s="1" t="n">
        <v>-0.75</v>
      </c>
      <c r="N39" s="0" t="n">
        <v>9.72</v>
      </c>
      <c r="O39" s="0" t="n">
        <v>-0.75</v>
      </c>
    </row>
    <row r="40" customFormat="false" ht="15" hidden="false" customHeight="false" outlineLevel="0" collapsed="false">
      <c r="D40" s="0" t="n">
        <v>2</v>
      </c>
      <c r="E40" s="0" t="n">
        <v>5.61</v>
      </c>
      <c r="F40" s="0" t="n">
        <v>-9.59</v>
      </c>
      <c r="G40" s="0" t="n">
        <v>-1.05</v>
      </c>
      <c r="H40" s="1" t="n">
        <v>0</v>
      </c>
      <c r="I40" s="1" t="n">
        <v>-1.05</v>
      </c>
      <c r="J40" s="0" t="n">
        <v>0</v>
      </c>
      <c r="K40" s="0" t="n">
        <v>-1.05</v>
      </c>
      <c r="L40" s="1" t="n">
        <v>0</v>
      </c>
      <c r="M40" s="1" t="n">
        <v>-1.05</v>
      </c>
      <c r="N40" s="0" t="n">
        <v>9.42</v>
      </c>
      <c r="O40" s="0" t="n">
        <v>-1.05</v>
      </c>
    </row>
    <row r="41" customFormat="false" ht="15" hidden="false" customHeight="false" outlineLevel="0" collapsed="false">
      <c r="D41" s="0" t="n">
        <v>1</v>
      </c>
      <c r="E41" s="0" t="n">
        <v>1.83</v>
      </c>
      <c r="F41" s="0" t="n">
        <v>-9.29</v>
      </c>
      <c r="G41" s="0" t="n">
        <v>-1.35</v>
      </c>
      <c r="H41" s="1" t="n">
        <v>0</v>
      </c>
      <c r="I41" s="1" t="n">
        <v>-1.35</v>
      </c>
      <c r="J41" s="0" t="n">
        <v>0</v>
      </c>
      <c r="K41" s="0" t="n">
        <v>-1.35</v>
      </c>
      <c r="L41" s="1" t="n">
        <v>0</v>
      </c>
      <c r="M41" s="1" t="n">
        <v>-1.35</v>
      </c>
      <c r="N41" s="0" t="n">
        <v>9.12</v>
      </c>
      <c r="O41" s="0" t="n">
        <v>-1.35</v>
      </c>
    </row>
    <row r="42" customFormat="false" ht="15" hidden="false" customHeight="false" outlineLevel="0" collapsed="false">
      <c r="A42" s="1" t="n">
        <v>11</v>
      </c>
      <c r="B42" s="1" t="s">
        <v>27</v>
      </c>
      <c r="C42" s="0" t="n">
        <v>394.75</v>
      </c>
      <c r="D42" s="0" t="n">
        <v>4</v>
      </c>
      <c r="E42" s="0" t="n">
        <v>5.87</v>
      </c>
      <c r="F42" s="0" t="n">
        <v>-9.86</v>
      </c>
      <c r="G42" s="0" t="n">
        <v>-0.45</v>
      </c>
      <c r="H42" s="1" t="n">
        <v>0</v>
      </c>
      <c r="I42" s="1" t="n">
        <v>-0.45</v>
      </c>
      <c r="J42" s="0" t="n">
        <v>0</v>
      </c>
      <c r="K42" s="0" t="n">
        <v>-0.45</v>
      </c>
      <c r="L42" s="1" t="n">
        <v>0</v>
      </c>
      <c r="M42" s="1" t="n">
        <v>-0.45</v>
      </c>
      <c r="N42" s="0" t="n">
        <v>9.99</v>
      </c>
      <c r="O42" s="0" t="n">
        <v>-0.45</v>
      </c>
      <c r="P42" s="0" t="n">
        <v>18.86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5.69</v>
      </c>
      <c r="F43" s="0" t="n">
        <v>-9.56</v>
      </c>
      <c r="G43" s="0" t="n">
        <v>-0.75</v>
      </c>
      <c r="H43" s="1" t="n">
        <v>0</v>
      </c>
      <c r="I43" s="1" t="n">
        <v>-0.75</v>
      </c>
      <c r="J43" s="0" t="n">
        <v>0</v>
      </c>
      <c r="K43" s="0" t="n">
        <v>-0.75</v>
      </c>
      <c r="L43" s="1" t="n">
        <v>0</v>
      </c>
      <c r="M43" s="1" t="n">
        <v>-0.75</v>
      </c>
      <c r="N43" s="0" t="n">
        <v>9.69</v>
      </c>
      <c r="O43" s="0" t="n">
        <v>-0.75</v>
      </c>
    </row>
    <row r="44" customFormat="false" ht="15" hidden="false" customHeight="false" outlineLevel="0" collapsed="false">
      <c r="D44" s="0" t="n">
        <v>2</v>
      </c>
      <c r="E44" s="0" t="n">
        <v>5.51</v>
      </c>
      <c r="F44" s="0" t="n">
        <v>-9.26</v>
      </c>
      <c r="G44" s="0" t="n">
        <v>-1.05</v>
      </c>
      <c r="H44" s="1" t="n">
        <v>0</v>
      </c>
      <c r="I44" s="1" t="n">
        <v>-1.05</v>
      </c>
      <c r="J44" s="0" t="n">
        <v>0</v>
      </c>
      <c r="K44" s="0" t="n">
        <v>-1.05</v>
      </c>
      <c r="L44" s="1" t="n">
        <v>0</v>
      </c>
      <c r="M44" s="1" t="n">
        <v>-1.05</v>
      </c>
      <c r="N44" s="0" t="n">
        <v>9.39</v>
      </c>
      <c r="O44" s="0" t="n">
        <v>-1.05</v>
      </c>
    </row>
    <row r="45" customFormat="false" ht="15" hidden="false" customHeight="false" outlineLevel="0" collapsed="false">
      <c r="D45" s="0" t="n">
        <v>1</v>
      </c>
      <c r="E45" s="0" t="n">
        <v>1.8</v>
      </c>
      <c r="F45" s="0" t="n">
        <v>-8.96</v>
      </c>
      <c r="G45" s="0" t="n">
        <v>-1.35</v>
      </c>
      <c r="H45" s="1" t="n">
        <v>0</v>
      </c>
      <c r="I45" s="1" t="n">
        <v>-1.35</v>
      </c>
      <c r="J45" s="0" t="n">
        <v>0</v>
      </c>
      <c r="K45" s="0" t="n">
        <v>-1.35</v>
      </c>
      <c r="L45" s="1" t="n">
        <v>0</v>
      </c>
      <c r="M45" s="1" t="n">
        <v>-1.35</v>
      </c>
      <c r="N45" s="0" t="n">
        <v>9.09</v>
      </c>
      <c r="O45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04.NĐXD8/CVXD ngày 17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4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1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224.25</v>
      </c>
      <c r="D23" s="17" t="n">
        <f aca="false">+Chạy!F5</f>
        <v>-9.25</v>
      </c>
      <c r="E23" s="17" t="n">
        <f aca="false">+D23+F23</f>
        <v>-9.2484</v>
      </c>
      <c r="F23" s="17" t="n">
        <f aca="false">RANDBETWEEN(-105,115)/10000</f>
        <v>0.0016</v>
      </c>
      <c r="G23" s="17" t="n">
        <f aca="false">+Chạy!G5</f>
        <v>-1.35</v>
      </c>
      <c r="H23" s="17" t="n">
        <f aca="false">G23+I23</f>
        <v>-1.3</v>
      </c>
      <c r="I23" s="17" t="n">
        <f aca="false">RANDBETWEEN(-30,90)/1000</f>
        <v>0.05</v>
      </c>
      <c r="J23" s="17" t="n">
        <f aca="false">+Chạy!K5</f>
        <v>-1.35</v>
      </c>
      <c r="K23" s="17" t="n">
        <f aca="false">J23+L23</f>
        <v>-1.38</v>
      </c>
      <c r="L23" s="17" t="n">
        <f aca="false">RANDBETWEEN(-30,90)/1000</f>
        <v>-0.03</v>
      </c>
      <c r="M23" s="17" t="n">
        <f aca="false">+Chạy!N5</f>
        <v>5.6</v>
      </c>
      <c r="N23" s="17" t="n">
        <f aca="false">+M23+O23</f>
        <v>5.6005</v>
      </c>
      <c r="O23" s="17" t="n">
        <f aca="false">RANDBETWEEN(-105,115)/10000</f>
        <v>0.0005</v>
      </c>
      <c r="P23" s="17" t="n">
        <f aca="false">+Chạy!O5</f>
        <v>-1.35</v>
      </c>
      <c r="Q23" s="17" t="n">
        <f aca="false">P23+R23</f>
        <v>-1.338</v>
      </c>
      <c r="R23" s="17" t="n">
        <f aca="false">RANDBETWEEN(-30,90)/1000</f>
        <v>0.012</v>
      </c>
      <c r="S23" s="18"/>
      <c r="T23" s="19" t="n">
        <v>21.5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245.75</v>
      </c>
      <c r="D24" s="17" t="n">
        <f aca="false">+Chạy!F9</f>
        <v>-5.35</v>
      </c>
      <c r="E24" s="17" t="n">
        <f aca="false">+D24+F24</f>
        <v>-5.3573</v>
      </c>
      <c r="F24" s="17" t="n">
        <f aca="false">RANDBETWEEN(-105,115)/10000</f>
        <v>-0.0073</v>
      </c>
      <c r="G24" s="17" t="n">
        <f aca="false">+Chạy!G9</f>
        <v>-1.35</v>
      </c>
      <c r="H24" s="17" t="n">
        <f aca="false">G24+I24</f>
        <v>-1.337</v>
      </c>
      <c r="I24" s="17" t="n">
        <f aca="false">RANDBETWEEN(-30,90)/1000</f>
        <v>0.013</v>
      </c>
      <c r="J24" s="17" t="n">
        <f aca="false">+Chạy!K9</f>
        <v>-1.35</v>
      </c>
      <c r="K24" s="17" t="n">
        <f aca="false">J24+L24</f>
        <v>-1.299</v>
      </c>
      <c r="L24" s="17" t="n">
        <f aca="false">RANDBETWEEN(-30,90)/1000</f>
        <v>0.051</v>
      </c>
      <c r="M24" s="17" t="n">
        <f aca="false">+Chạy!N9</f>
        <v>5.35</v>
      </c>
      <c r="N24" s="17" t="n">
        <f aca="false">+M24+O24</f>
        <v>5.3558</v>
      </c>
      <c r="O24" s="17" t="n">
        <f aca="false">RANDBETWEEN(-105,115)/10000</f>
        <v>0.0058</v>
      </c>
      <c r="P24" s="17" t="n">
        <f aca="false">+Chạy!O9</f>
        <v>-1.35</v>
      </c>
      <c r="Q24" s="17" t="n">
        <f aca="false">P24+R24</f>
        <v>-1.263</v>
      </c>
      <c r="R24" s="17" t="n">
        <f aca="false">RANDBETWEEN(-30,90)/1000</f>
        <v>0.087</v>
      </c>
      <c r="S24" s="18"/>
      <c r="T24" s="19" t="n">
        <v>11.75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257.5</v>
      </c>
      <c r="D25" s="17" t="n">
        <f aca="false">+Chạy!F13</f>
        <v>-5.35</v>
      </c>
      <c r="E25" s="17" t="n">
        <f aca="false">+D25+F25</f>
        <v>-5.3575</v>
      </c>
      <c r="F25" s="17" t="n">
        <f aca="false">RANDBETWEEN(-105,115)/10000</f>
        <v>-0.0075</v>
      </c>
      <c r="G25" s="17" t="n">
        <f aca="false">+Chạy!G13</f>
        <v>-1.35</v>
      </c>
      <c r="H25" s="17" t="n">
        <f aca="false">G25+I25</f>
        <v>-1.32</v>
      </c>
      <c r="I25" s="17" t="n">
        <f aca="false">RANDBETWEEN(-30,90)/1000</f>
        <v>0.03</v>
      </c>
      <c r="J25" s="17" t="n">
        <f aca="false">+Chạy!K13</f>
        <v>-1.35</v>
      </c>
      <c r="K25" s="17" t="n">
        <f aca="false">J25+L25</f>
        <v>-1.342</v>
      </c>
      <c r="L25" s="17" t="n">
        <f aca="false">RANDBETWEEN(-30,90)/1000</f>
        <v>0.008</v>
      </c>
      <c r="M25" s="17" t="n">
        <f aca="false">+Chạy!N13</f>
        <v>5.35</v>
      </c>
      <c r="N25" s="17" t="n">
        <f aca="false">+M25+O25</f>
        <v>5.3584</v>
      </c>
      <c r="O25" s="17" t="n">
        <f aca="false">RANDBETWEEN(-105,115)/10000</f>
        <v>0.0084</v>
      </c>
      <c r="P25" s="17" t="n">
        <f aca="false">+Chạy!O13</f>
        <v>-1.35</v>
      </c>
      <c r="Q25" s="17" t="n">
        <f aca="false">P25+R25</f>
        <v>-1.374</v>
      </c>
      <c r="R25" s="17" t="n">
        <f aca="false">RANDBETWEEN(-30,90)/1000</f>
        <v>-0.024</v>
      </c>
      <c r="S25" s="18"/>
      <c r="T25" s="19" t="n">
        <v>11.75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269.25</v>
      </c>
      <c r="D26" s="17" t="n">
        <f aca="false">+Chạy!F17</f>
        <v>-5.35</v>
      </c>
      <c r="E26" s="17" t="n">
        <f aca="false">+D26+F26</f>
        <v>-5.3567</v>
      </c>
      <c r="F26" s="17" t="n">
        <f aca="false">RANDBETWEEN(-105,115)/10000</f>
        <v>-0.0067</v>
      </c>
      <c r="G26" s="17" t="n">
        <f aca="false">+Chạy!G17</f>
        <v>-1.35</v>
      </c>
      <c r="H26" s="17" t="n">
        <f aca="false">G26+I26</f>
        <v>-1.376</v>
      </c>
      <c r="I26" s="17" t="n">
        <f aca="false">RANDBETWEEN(-30,90)/1000</f>
        <v>-0.026</v>
      </c>
      <c r="J26" s="17" t="n">
        <f aca="false">+Chạy!K17</f>
        <v>-1.35</v>
      </c>
      <c r="K26" s="17" t="n">
        <f aca="false">J26+L26</f>
        <v>-1.274</v>
      </c>
      <c r="L26" s="17" t="n">
        <f aca="false">RANDBETWEEN(-30,90)/1000</f>
        <v>0.076</v>
      </c>
      <c r="M26" s="17" t="n">
        <f aca="false">+Chạy!N17</f>
        <v>5.35</v>
      </c>
      <c r="N26" s="17" t="n">
        <f aca="false">+M26+O26</f>
        <v>5.3485</v>
      </c>
      <c r="O26" s="17" t="n">
        <f aca="false">RANDBETWEEN(-105,115)/10000</f>
        <v>-0.0015</v>
      </c>
      <c r="P26" s="17" t="n">
        <f aca="false">+Chạy!O17</f>
        <v>-1.35</v>
      </c>
      <c r="Q26" s="17" t="n">
        <f aca="false">P26+R26</f>
        <v>-1.284</v>
      </c>
      <c r="R26" s="17" t="n">
        <f aca="false">RANDBETWEEN(-30,90)/1000</f>
        <v>0.066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289.25</v>
      </c>
      <c r="D27" s="17" t="n">
        <f aca="false">+Chạy!F21</f>
        <v>-5.35</v>
      </c>
      <c r="E27" s="17" t="n">
        <f aca="false">+D27+F27</f>
        <v>-5.3452</v>
      </c>
      <c r="F27" s="17" t="n">
        <f aca="false">RANDBETWEEN(-105,115)/10000</f>
        <v>0.0048</v>
      </c>
      <c r="G27" s="17" t="n">
        <f aca="false">+Chạy!G21</f>
        <v>-1.35</v>
      </c>
      <c r="H27" s="17" t="n">
        <f aca="false">G27+I27</f>
        <v>-1.273</v>
      </c>
      <c r="I27" s="17" t="n">
        <f aca="false">RANDBETWEEN(-30,90)/1000</f>
        <v>0.077</v>
      </c>
      <c r="J27" s="17" t="n">
        <f aca="false">+Chạy!K21</f>
        <v>-1.35</v>
      </c>
      <c r="K27" s="17" t="n">
        <f aca="false">J27+L27</f>
        <v>-1.359</v>
      </c>
      <c r="L27" s="17" t="n">
        <f aca="false">RANDBETWEEN(-30,90)/1000</f>
        <v>-0.009</v>
      </c>
      <c r="M27" s="17" t="n">
        <f aca="false">+Chạy!N21</f>
        <v>5.35</v>
      </c>
      <c r="N27" s="17" t="n">
        <f aca="false">+M27+O27</f>
        <v>5.3498</v>
      </c>
      <c r="O27" s="17" t="n">
        <f aca="false">RANDBETWEEN(-105,115)/10000</f>
        <v>-0.0002</v>
      </c>
      <c r="P27" s="17" t="n">
        <f aca="false">+Chạy!O21</f>
        <v>-1.35</v>
      </c>
      <c r="Q27" s="17" t="n">
        <f aca="false">P27+R27</f>
        <v>-1.319</v>
      </c>
      <c r="R27" s="17" t="n">
        <f aca="false">RANDBETWEEN(-30,90)/1000</f>
        <v>0.031</v>
      </c>
      <c r="S27" s="18"/>
      <c r="T27" s="19" t="n">
        <v>20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309.25</v>
      </c>
      <c r="D28" s="17" t="n">
        <f aca="false">+Chạy!F25</f>
        <v>-5.35</v>
      </c>
      <c r="E28" s="17" t="n">
        <f aca="false">+D28+F28</f>
        <v>-5.3468</v>
      </c>
      <c r="F28" s="17" t="n">
        <f aca="false">RANDBETWEEN(-105,115)/10000</f>
        <v>0.0032</v>
      </c>
      <c r="G28" s="17" t="n">
        <f aca="false">+Chạy!G25</f>
        <v>-1.35</v>
      </c>
      <c r="H28" s="17" t="n">
        <f aca="false">G28+I28</f>
        <v>-1.298</v>
      </c>
      <c r="I28" s="17" t="n">
        <f aca="false">RANDBETWEEN(-30,90)/1000</f>
        <v>0.052</v>
      </c>
      <c r="J28" s="17" t="n">
        <f aca="false">+Chạy!K25</f>
        <v>-1.35</v>
      </c>
      <c r="K28" s="17" t="n">
        <f aca="false">J28+L28</f>
        <v>-1.303</v>
      </c>
      <c r="L28" s="17" t="n">
        <f aca="false">RANDBETWEEN(-30,90)/1000</f>
        <v>0.047</v>
      </c>
      <c r="M28" s="17" t="n">
        <f aca="false">+Chạy!N25</f>
        <v>5.35</v>
      </c>
      <c r="N28" s="17" t="n">
        <f aca="false">+M28+O28</f>
        <v>5.341</v>
      </c>
      <c r="O28" s="17" t="n">
        <f aca="false">RANDBETWEEN(-105,115)/10000</f>
        <v>-0.009</v>
      </c>
      <c r="P28" s="17" t="n">
        <f aca="false">+Chạy!O25</f>
        <v>-1.35</v>
      </c>
      <c r="Q28" s="17" t="n">
        <f aca="false">P28+R28</f>
        <v>-1.293</v>
      </c>
      <c r="R28" s="17" t="n">
        <f aca="false">RANDBETWEEN(-30,90)/1000</f>
        <v>0.057</v>
      </c>
      <c r="S28" s="18"/>
      <c r="T28" s="19" t="n">
        <v>20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329.25</v>
      </c>
      <c r="D29" s="17" t="n">
        <f aca="false">+Chạy!F29</f>
        <v>-5.35</v>
      </c>
      <c r="E29" s="17" t="n">
        <f aca="false">+D29+F29</f>
        <v>-5.3463</v>
      </c>
      <c r="F29" s="17" t="n">
        <f aca="false">RANDBETWEEN(-105,115)/10000</f>
        <v>0.0037</v>
      </c>
      <c r="G29" s="17" t="n">
        <f aca="false">+Chạy!G29</f>
        <v>-1.35</v>
      </c>
      <c r="H29" s="17" t="n">
        <f aca="false">G29+I29</f>
        <v>-1.302</v>
      </c>
      <c r="I29" s="17" t="n">
        <f aca="false">RANDBETWEEN(-30,90)/1000</f>
        <v>0.048</v>
      </c>
      <c r="J29" s="17" t="n">
        <f aca="false">+Chạy!K29</f>
        <v>-1.35</v>
      </c>
      <c r="K29" s="17" t="n">
        <f aca="false">J29+L29</f>
        <v>-1.266</v>
      </c>
      <c r="L29" s="17" t="n">
        <f aca="false">RANDBETWEEN(-30,90)/1000</f>
        <v>0.084</v>
      </c>
      <c r="M29" s="17" t="n">
        <f aca="false">+Chạy!N29</f>
        <v>5.35</v>
      </c>
      <c r="N29" s="17" t="n">
        <f aca="false">+M29+O29</f>
        <v>5.3398</v>
      </c>
      <c r="O29" s="17" t="n">
        <f aca="false">RANDBETWEEN(-105,115)/10000</f>
        <v>-0.0102</v>
      </c>
      <c r="P29" s="17" t="n">
        <f aca="false">+Chạy!O29</f>
        <v>-1.35</v>
      </c>
      <c r="Q29" s="17" t="n">
        <f aca="false">P29+R29</f>
        <v>-1.299</v>
      </c>
      <c r="R29" s="17" t="n">
        <f aca="false">RANDBETWEEN(-30,90)/1000</f>
        <v>0.051</v>
      </c>
      <c r="S29" s="18"/>
      <c r="T29" s="19" t="n">
        <v>20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349.25</v>
      </c>
      <c r="D30" s="17" t="n">
        <f aca="false">+Chạy!F33</f>
        <v>-5.35</v>
      </c>
      <c r="E30" s="17" t="n">
        <f aca="false">+D30+F30</f>
        <v>-5.3605</v>
      </c>
      <c r="F30" s="17" t="n">
        <f aca="false">RANDBETWEEN(-105,115)/10000</f>
        <v>-0.0105</v>
      </c>
      <c r="G30" s="17" t="n">
        <f aca="false">+Chạy!G33</f>
        <v>-1.35</v>
      </c>
      <c r="H30" s="17" t="n">
        <f aca="false">G30+I30</f>
        <v>-1.368</v>
      </c>
      <c r="I30" s="17" t="n">
        <f aca="false">RANDBETWEEN(-30,90)/1000</f>
        <v>-0.018</v>
      </c>
      <c r="J30" s="17" t="n">
        <f aca="false">+Chạy!K33</f>
        <v>-1.35</v>
      </c>
      <c r="K30" s="17" t="n">
        <f aca="false">J30+L30</f>
        <v>-1.287</v>
      </c>
      <c r="L30" s="17" t="n">
        <f aca="false">RANDBETWEEN(-30,90)/1000</f>
        <v>0.063</v>
      </c>
      <c r="M30" s="17" t="n">
        <f aca="false">+Chạy!N33</f>
        <v>5.35</v>
      </c>
      <c r="N30" s="17" t="n">
        <f aca="false">+M30+O30</f>
        <v>5.3591</v>
      </c>
      <c r="O30" s="17" t="n">
        <f aca="false">RANDBETWEEN(-105,115)/10000</f>
        <v>0.0091</v>
      </c>
      <c r="P30" s="17" t="n">
        <f aca="false">+Chạy!O33</f>
        <v>-1.35</v>
      </c>
      <c r="Q30" s="17" t="n">
        <f aca="false">P30+R30</f>
        <v>-1.28</v>
      </c>
      <c r="R30" s="17" t="n">
        <f aca="false">RANDBETWEEN(-30,90)/1000</f>
        <v>0.07</v>
      </c>
      <c r="S30" s="18"/>
      <c r="T30" s="19" t="n">
        <v>19</v>
      </c>
    </row>
    <row r="31" customFormat="false" ht="15" hidden="false" customHeight="false" outlineLevel="0" collapsed="false">
      <c r="A31" s="14" t="n">
        <v>9</v>
      </c>
      <c r="B31" s="15" t="s">
        <v>25</v>
      </c>
      <c r="C31" s="16" t="n">
        <f aca="false">+C30+T30</f>
        <v>368.25</v>
      </c>
      <c r="D31" s="17" t="n">
        <f aca="false">+Chạy!F37</f>
        <v>-9.03</v>
      </c>
      <c r="E31" s="17" t="n">
        <f aca="false">+D31+F31</f>
        <v>-9.0275</v>
      </c>
      <c r="F31" s="17" t="n">
        <f aca="false">RANDBETWEEN(-105,115)/10000</f>
        <v>0.0025</v>
      </c>
      <c r="G31" s="17" t="n">
        <f aca="false">+Chạy!G37</f>
        <v>-1.35</v>
      </c>
      <c r="H31" s="17" t="n">
        <f aca="false">G31+I31</f>
        <v>-1.359</v>
      </c>
      <c r="I31" s="17" t="n">
        <f aca="false">RANDBETWEEN(-30,90)/1000</f>
        <v>-0.009</v>
      </c>
      <c r="J31" s="17" t="n">
        <f aca="false">+Chạy!K37</f>
        <v>-1.35</v>
      </c>
      <c r="K31" s="17" t="n">
        <f aca="false">J31+L31</f>
        <v>-1.305</v>
      </c>
      <c r="L31" s="17" t="n">
        <f aca="false">RANDBETWEEN(-30,90)/1000</f>
        <v>0.045</v>
      </c>
      <c r="M31" s="17" t="n">
        <f aca="false">+Chạy!N37</f>
        <v>5.35</v>
      </c>
      <c r="N31" s="17" t="n">
        <f aca="false">+M31+O31</f>
        <v>5.3509</v>
      </c>
      <c r="O31" s="17" t="n">
        <f aca="false">RANDBETWEEN(-105,115)/10000</f>
        <v>0.0009</v>
      </c>
      <c r="P31" s="17" t="n">
        <f aca="false">+Chạy!O37</f>
        <v>-1.35</v>
      </c>
      <c r="Q31" s="17" t="n">
        <f aca="false">P31+R31</f>
        <v>-1.313</v>
      </c>
      <c r="R31" s="17" t="n">
        <f aca="false">RANDBETWEEN(-30,90)/1000</f>
        <v>0.037</v>
      </c>
      <c r="S31" s="18"/>
      <c r="T31" s="19" t="n">
        <v>13.25</v>
      </c>
    </row>
    <row r="32" customFormat="false" ht="15" hidden="false" customHeight="false" outlineLevel="0" collapsed="false">
      <c r="A32" s="14" t="n">
        <v>10</v>
      </c>
      <c r="B32" s="15" t="s">
        <v>26</v>
      </c>
      <c r="C32" s="16" t="n">
        <f aca="false">+C31+T31</f>
        <v>381.5</v>
      </c>
      <c r="D32" s="17" t="n">
        <f aca="false">+Chạy!F41</f>
        <v>-9.29</v>
      </c>
      <c r="E32" s="17" t="n">
        <f aca="false">+D32+F32</f>
        <v>-9.2957</v>
      </c>
      <c r="F32" s="17" t="n">
        <f aca="false">RANDBETWEEN(-105,115)/10000</f>
        <v>-0.0057</v>
      </c>
      <c r="G32" s="17" t="n">
        <f aca="false">+Chạy!G41</f>
        <v>-1.35</v>
      </c>
      <c r="H32" s="17" t="n">
        <f aca="false">G32+I32</f>
        <v>-1.275</v>
      </c>
      <c r="I32" s="17" t="n">
        <f aca="false">RANDBETWEEN(-30,90)/1000</f>
        <v>0.075</v>
      </c>
      <c r="J32" s="17" t="n">
        <f aca="false">+Chạy!K41</f>
        <v>-1.35</v>
      </c>
      <c r="K32" s="17" t="n">
        <f aca="false">J32+L32</f>
        <v>-1.318</v>
      </c>
      <c r="L32" s="17" t="n">
        <f aca="false">RANDBETWEEN(-30,90)/1000</f>
        <v>0.032</v>
      </c>
      <c r="M32" s="17" t="n">
        <f aca="false">+Chạy!N41</f>
        <v>9.12</v>
      </c>
      <c r="N32" s="17" t="n">
        <f aca="false">+M32+O32</f>
        <v>9.1186</v>
      </c>
      <c r="O32" s="17" t="n">
        <f aca="false">RANDBETWEEN(-105,115)/10000</f>
        <v>-0.0014</v>
      </c>
      <c r="P32" s="17" t="n">
        <f aca="false">+Chạy!O41</f>
        <v>-1.35</v>
      </c>
      <c r="Q32" s="17" t="n">
        <f aca="false">P32+R32</f>
        <v>-1.263</v>
      </c>
      <c r="R32" s="17" t="n">
        <f aca="false">RANDBETWEEN(-30,90)/1000</f>
        <v>0.087</v>
      </c>
      <c r="S32" s="18"/>
      <c r="T32" s="19" t="n">
        <v>13.25</v>
      </c>
    </row>
    <row r="33" customFormat="false" ht="15" hidden="false" customHeight="false" outlineLevel="0" collapsed="false">
      <c r="A33" s="14" t="n">
        <v>11</v>
      </c>
      <c r="B33" s="15" t="s">
        <v>27</v>
      </c>
      <c r="C33" s="16" t="n">
        <f aca="false">+C32+T32</f>
        <v>394.75</v>
      </c>
      <c r="D33" s="17" t="n">
        <f aca="false">+Chạy!F45</f>
        <v>-8.96</v>
      </c>
      <c r="E33" s="17" t="n">
        <f aca="false">+D33+F33</f>
        <v>-8.9648</v>
      </c>
      <c r="F33" s="17" t="n">
        <f aca="false">RANDBETWEEN(-105,115)/10000</f>
        <v>-0.0048</v>
      </c>
      <c r="G33" s="17" t="n">
        <f aca="false">+Chạy!G45</f>
        <v>-1.35</v>
      </c>
      <c r="H33" s="17" t="n">
        <f aca="false">G33+I33</f>
        <v>-1.371</v>
      </c>
      <c r="I33" s="17" t="n">
        <f aca="false">RANDBETWEEN(-30,90)/1000</f>
        <v>-0.021</v>
      </c>
      <c r="J33" s="17" t="n">
        <f aca="false">+Chạy!K45</f>
        <v>-1.35</v>
      </c>
      <c r="K33" s="17" t="n">
        <f aca="false">J33+L33</f>
        <v>-1.351</v>
      </c>
      <c r="L33" s="17" t="n">
        <f aca="false">RANDBETWEEN(-30,90)/1000</f>
        <v>-0.001</v>
      </c>
      <c r="M33" s="17" t="n">
        <f aca="false">+Chạy!N45</f>
        <v>9.09</v>
      </c>
      <c r="N33" s="17" t="n">
        <f aca="false">+M33+O33</f>
        <v>9.0931</v>
      </c>
      <c r="O33" s="17" t="n">
        <f aca="false">RANDBETWEEN(-105,115)/10000</f>
        <v>0.0031</v>
      </c>
      <c r="P33" s="17" t="n">
        <f aca="false">+Chạy!O45</f>
        <v>-1.35</v>
      </c>
      <c r="Q33" s="17" t="n">
        <f aca="false">P33+R33</f>
        <v>-1.375</v>
      </c>
      <c r="R33" s="17" t="n">
        <f aca="false">RANDBETWEEN(-30,90)/1000</f>
        <v>-0.025</v>
      </c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04.NĐXD8/CVXD ngày 17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4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1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12</v>
      </c>
      <c r="C11" s="16" t="n">
        <f aca="false">'1.KTHH L1'!C23</f>
        <v>224.25</v>
      </c>
      <c r="D11" s="14" t="n">
        <f aca="false">'1.KTHH L1'!T23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1.48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27.305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13</v>
      </c>
      <c r="C12" s="16" t="n">
        <f aca="false">'1.KTHH L1'!C24</f>
        <v>245.75</v>
      </c>
      <c r="D12" s="14" t="n">
        <f aca="false">'1.KTHH L1'!T24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1.06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13.0425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B5</v>
      </c>
      <c r="C13" s="16" t="n">
        <f aca="false">'1.KTHH L1'!C25</f>
        <v>257.5</v>
      </c>
      <c r="D13" s="14" t="n">
        <f aca="false">'1.KTHH L1'!T25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1.16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13.0425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14</v>
      </c>
      <c r="C14" s="16" t="n">
        <f aca="false">'1.KTHH L1'!C26</f>
        <v>269.25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1.06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21.2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15</v>
      </c>
      <c r="C15" s="16" t="n">
        <f aca="false">'1.KTHH L1'!C27</f>
        <v>289.25</v>
      </c>
      <c r="D15" s="14" t="n">
        <f aca="false">'1.KTHH L1'!T27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1.06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21.2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16</v>
      </c>
      <c r="C16" s="16" t="n">
        <f aca="false">'1.KTHH L1'!C28</f>
        <v>309.25</v>
      </c>
      <c r="D16" s="14" t="n">
        <f aca="false">'1.KTHH L1'!T28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1.06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21.2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17</v>
      </c>
      <c r="C17" s="16" t="n">
        <f aca="false">'1.KTHH L1'!C29</f>
        <v>329.25</v>
      </c>
      <c r="D17" s="14" t="n">
        <f aca="false">'1.KTHH L1'!T29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1.06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21.2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18</v>
      </c>
      <c r="C18" s="16" t="n">
        <f aca="false">'1.KTHH L1'!C30</f>
        <v>349.25</v>
      </c>
      <c r="D18" s="14" t="n">
        <f aca="false">'1.KTHH L1'!T30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1.06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23.655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19</v>
      </c>
      <c r="C19" s="16" t="n">
        <f aca="false">'1.KTHH L1'!C31</f>
        <v>368.25</v>
      </c>
      <c r="D19" s="14" t="n">
        <f aca="false">'1.KTHH L1'!T31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1.43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21.5975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C2</v>
      </c>
      <c r="C20" s="16" t="n">
        <f aca="false">'1.KTHH L1'!C32</f>
        <v>381.5</v>
      </c>
      <c r="D20" s="14" t="n">
        <f aca="false">'1.KTHH L1'!T32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1.83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24.04875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'1.KTHH L1'!B33</f>
        <v>20</v>
      </c>
      <c r="C21" s="16" t="n">
        <f aca="false">'1.KTHH L1'!C33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Chạy!E45</f>
        <v>1.8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61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SUM(W11:W21)</f>
        <v>207.49125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05.NĐXD8/CVXD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5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2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224.25</v>
      </c>
      <c r="D23" s="17" t="n">
        <f aca="false">+Chạy!F4</f>
        <v>-9.55</v>
      </c>
      <c r="E23" s="17" t="n">
        <f aca="false">+D23+F23</f>
        <v>-9.5518</v>
      </c>
      <c r="F23" s="17" t="n">
        <f aca="false">RANDBETWEEN(-105,115)/10000</f>
        <v>-0.0018</v>
      </c>
      <c r="G23" s="17" t="n">
        <f aca="false">+Chạy!G4</f>
        <v>-1.05</v>
      </c>
      <c r="H23" s="17" t="n">
        <f aca="false">G23+I23</f>
        <v>-1.012</v>
      </c>
      <c r="I23" s="17" t="n">
        <f aca="false">RANDBETWEEN(-30,90)/1000</f>
        <v>0.038</v>
      </c>
      <c r="J23" s="17" t="n">
        <f aca="false">+Chạy!K4</f>
        <v>-1.05</v>
      </c>
      <c r="K23" s="17" t="n">
        <f aca="false">J23+L23</f>
        <v>-1.008</v>
      </c>
      <c r="L23" s="17" t="n">
        <f aca="false">RANDBETWEEN(-30,90)/1000</f>
        <v>0.042</v>
      </c>
      <c r="M23" s="17" t="n">
        <f aca="false">+Chạy!N4</f>
        <v>5.9</v>
      </c>
      <c r="N23" s="17" t="n">
        <f aca="false">+M23+O23</f>
        <v>5.9035</v>
      </c>
      <c r="O23" s="17" t="n">
        <f aca="false">RANDBETWEEN(-105,115)/10000</f>
        <v>0.0035</v>
      </c>
      <c r="P23" s="17" t="n">
        <f aca="false">+Chạy!O4</f>
        <v>-1.05</v>
      </c>
      <c r="Q23" s="17" t="n">
        <f aca="false">P23+R23</f>
        <v>-1.009</v>
      </c>
      <c r="R23" s="17" t="n">
        <f aca="false">RANDBETWEEN(-30,90)/1000</f>
        <v>0.041</v>
      </c>
      <c r="S23" s="18"/>
      <c r="T23" s="0" t="n">
        <v>21.5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245.75</v>
      </c>
      <c r="D24" s="17" t="n">
        <f aca="false">+Chạy!F8</f>
        <v>-5.65</v>
      </c>
      <c r="E24" s="17" t="n">
        <f aca="false">+D24+F24</f>
        <v>-5.6478</v>
      </c>
      <c r="F24" s="17" t="n">
        <f aca="false">RANDBETWEEN(-105,115)/10000</f>
        <v>0.0022</v>
      </c>
      <c r="G24" s="17" t="n">
        <f aca="false">+Chạy!G8</f>
        <v>-1.05</v>
      </c>
      <c r="H24" s="17" t="n">
        <f aca="false">G24+I24</f>
        <v>-0.996</v>
      </c>
      <c r="I24" s="17" t="n">
        <f aca="false">RANDBETWEEN(-30,90)/1000</f>
        <v>0.054</v>
      </c>
      <c r="J24" s="17" t="n">
        <f aca="false">+Chạy!K8</f>
        <v>-1.05</v>
      </c>
      <c r="K24" s="17" t="n">
        <f aca="false">J24+L24</f>
        <v>-1.056</v>
      </c>
      <c r="L24" s="17" t="n">
        <f aca="false">RANDBETWEEN(-30,90)/1000</f>
        <v>-0.006</v>
      </c>
      <c r="M24" s="17" t="n">
        <f aca="false">+Chạy!N8</f>
        <v>5.65</v>
      </c>
      <c r="N24" s="17" t="n">
        <f aca="false">+M24+O24</f>
        <v>5.6444</v>
      </c>
      <c r="O24" s="17" t="n">
        <f aca="false">RANDBETWEEN(-105,115)/10000</f>
        <v>-0.0056</v>
      </c>
      <c r="P24" s="17" t="n">
        <f aca="false">+Chạy!O8</f>
        <v>-1.05</v>
      </c>
      <c r="Q24" s="17" t="n">
        <f aca="false">P24+R24</f>
        <v>-1.06</v>
      </c>
      <c r="R24" s="17" t="n">
        <f aca="false">RANDBETWEEN(-30,90)/1000</f>
        <v>-0.01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257.5</v>
      </c>
      <c r="D25" s="17" t="n">
        <f aca="false">+Chạy!F12</f>
        <v>-5.65</v>
      </c>
      <c r="E25" s="17" t="n">
        <f aca="false">+D25+F25</f>
        <v>-5.6448</v>
      </c>
      <c r="F25" s="17" t="n">
        <f aca="false">RANDBETWEEN(-105,115)/10000</f>
        <v>0.0052</v>
      </c>
      <c r="G25" s="17" t="n">
        <f aca="false">+Chạy!G12</f>
        <v>-1.05</v>
      </c>
      <c r="H25" s="17" t="n">
        <f aca="false">G25+I25</f>
        <v>-1.028</v>
      </c>
      <c r="I25" s="17" t="n">
        <f aca="false">RANDBETWEEN(-30,90)/1000</f>
        <v>0.022</v>
      </c>
      <c r="J25" s="17" t="n">
        <f aca="false">+Chạy!K12</f>
        <v>-1.05</v>
      </c>
      <c r="K25" s="17" t="n">
        <f aca="false">J25+L25</f>
        <v>-1.012</v>
      </c>
      <c r="L25" s="17" t="n">
        <f aca="false">RANDBETWEEN(-30,90)/1000</f>
        <v>0.038</v>
      </c>
      <c r="M25" s="17" t="n">
        <f aca="false">+Chạy!N12</f>
        <v>5.65</v>
      </c>
      <c r="N25" s="17" t="n">
        <f aca="false">+M25+O25</f>
        <v>5.6478</v>
      </c>
      <c r="O25" s="17" t="n">
        <f aca="false">RANDBETWEEN(-105,115)/10000</f>
        <v>-0.0022</v>
      </c>
      <c r="P25" s="17" t="n">
        <f aca="false">+Chạy!O12</f>
        <v>-1.05</v>
      </c>
      <c r="Q25" s="17" t="n">
        <f aca="false">P25+R25</f>
        <v>-0.988</v>
      </c>
      <c r="R25" s="17" t="n">
        <f aca="false">RANDBETWEEN(-30,90)/1000</f>
        <v>0.062</v>
      </c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269.25</v>
      </c>
      <c r="D26" s="17" t="n">
        <f aca="false">+Chạy!F16</f>
        <v>-5.65</v>
      </c>
      <c r="E26" s="17" t="n">
        <f aca="false">+D26+F26</f>
        <v>-5.6413</v>
      </c>
      <c r="F26" s="17" t="n">
        <f aca="false">RANDBETWEEN(-105,115)/10000</f>
        <v>0.0087</v>
      </c>
      <c r="G26" s="17" t="n">
        <f aca="false">+Chạy!G16</f>
        <v>-1.05</v>
      </c>
      <c r="H26" s="17" t="n">
        <f aca="false">G26+I26</f>
        <v>-0.976</v>
      </c>
      <c r="I26" s="17" t="n">
        <f aca="false">RANDBETWEEN(-30,90)/1000</f>
        <v>0.074</v>
      </c>
      <c r="J26" s="17" t="n">
        <f aca="false">+Chạy!K16</f>
        <v>-1.05</v>
      </c>
      <c r="K26" s="17" t="n">
        <f aca="false">J26+L26</f>
        <v>-1.066</v>
      </c>
      <c r="L26" s="17" t="n">
        <f aca="false">RANDBETWEEN(-30,90)/1000</f>
        <v>-0.016</v>
      </c>
      <c r="M26" s="17" t="n">
        <f aca="false">+Chạy!N16</f>
        <v>5.65</v>
      </c>
      <c r="N26" s="17" t="n">
        <f aca="false">+M26+O26</f>
        <v>5.6424</v>
      </c>
      <c r="O26" s="17" t="n">
        <f aca="false">RANDBETWEEN(-105,115)/10000</f>
        <v>-0.0076</v>
      </c>
      <c r="P26" s="17" t="n">
        <f aca="false">+Chạy!O16</f>
        <v>-1.05</v>
      </c>
      <c r="Q26" s="17" t="n">
        <f aca="false">P26+R26</f>
        <v>-0.99</v>
      </c>
      <c r="R26" s="17" t="n">
        <f aca="false">RANDBETWEEN(-30,90)/1000</f>
        <v>0.06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289.25</v>
      </c>
      <c r="D27" s="17" t="n">
        <f aca="false">+Chạy!F20</f>
        <v>-5.65</v>
      </c>
      <c r="E27" s="17" t="n">
        <f aca="false">+D27+F27</f>
        <v>-5.6417</v>
      </c>
      <c r="F27" s="17" t="n">
        <f aca="false">RANDBETWEEN(-105,115)/10000</f>
        <v>0.0083</v>
      </c>
      <c r="G27" s="17" t="n">
        <f aca="false">+Chạy!G20</f>
        <v>-1.05</v>
      </c>
      <c r="H27" s="17" t="n">
        <f aca="false">G27+I27</f>
        <v>-1.026</v>
      </c>
      <c r="I27" s="17" t="n">
        <f aca="false">RANDBETWEEN(-30,90)/1000</f>
        <v>0.024</v>
      </c>
      <c r="J27" s="17" t="n">
        <f aca="false">+Chạy!K20</f>
        <v>-1.05</v>
      </c>
      <c r="K27" s="17" t="n">
        <f aca="false">J27+L27</f>
        <v>-1.059</v>
      </c>
      <c r="L27" s="17" t="n">
        <f aca="false">RANDBETWEEN(-30,90)/1000</f>
        <v>-0.009</v>
      </c>
      <c r="M27" s="17" t="n">
        <f aca="false">+Chạy!N20</f>
        <v>5.65</v>
      </c>
      <c r="N27" s="17" t="n">
        <f aca="false">+M27+O27</f>
        <v>5.6529</v>
      </c>
      <c r="O27" s="17" t="n">
        <f aca="false">RANDBETWEEN(-105,115)/10000</f>
        <v>0.0029</v>
      </c>
      <c r="P27" s="17" t="n">
        <f aca="false">+Chạy!O20</f>
        <v>-1.05</v>
      </c>
      <c r="Q27" s="17" t="n">
        <f aca="false">P27+R27</f>
        <v>-1.044</v>
      </c>
      <c r="R27" s="17" t="n">
        <f aca="false">RANDBETWEEN(-30,90)/1000</f>
        <v>0.006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309.25</v>
      </c>
      <c r="D28" s="17" t="n">
        <f aca="false">+Chạy!F24</f>
        <v>-5.65</v>
      </c>
      <c r="E28" s="17" t="n">
        <f aca="false">+D28+F28</f>
        <v>-5.6541</v>
      </c>
      <c r="F28" s="17" t="n">
        <f aca="false">RANDBETWEEN(-105,115)/10000</f>
        <v>-0.0041</v>
      </c>
      <c r="G28" s="17" t="n">
        <f aca="false">+Chạy!G24</f>
        <v>-1.05</v>
      </c>
      <c r="H28" s="17" t="n">
        <f aca="false">G28+I28</f>
        <v>-1.049</v>
      </c>
      <c r="I28" s="17" t="n">
        <f aca="false">RANDBETWEEN(-30,90)/1000</f>
        <v>0.001</v>
      </c>
      <c r="J28" s="17" t="n">
        <f aca="false">+Chạy!K24</f>
        <v>-1.05</v>
      </c>
      <c r="K28" s="17" t="n">
        <f aca="false">J28+L28</f>
        <v>-1.026</v>
      </c>
      <c r="L28" s="17" t="n">
        <f aca="false">RANDBETWEEN(-30,90)/1000</f>
        <v>0.024</v>
      </c>
      <c r="M28" s="17" t="n">
        <f aca="false">+Chạy!N24</f>
        <v>5.65</v>
      </c>
      <c r="N28" s="17" t="n">
        <f aca="false">+M28+O28</f>
        <v>5.6543</v>
      </c>
      <c r="O28" s="17" t="n">
        <f aca="false">RANDBETWEEN(-105,115)/10000</f>
        <v>0.0043</v>
      </c>
      <c r="P28" s="17" t="n">
        <f aca="false">+Chạy!O24</f>
        <v>-1.05</v>
      </c>
      <c r="Q28" s="17" t="n">
        <f aca="false">P28+R28</f>
        <v>-0.962</v>
      </c>
      <c r="R28" s="17" t="n">
        <f aca="false">RANDBETWEEN(-30,90)/1000</f>
        <v>0.088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329.25</v>
      </c>
      <c r="D29" s="17" t="n">
        <f aca="false">+Chạy!F28</f>
        <v>-5.65</v>
      </c>
      <c r="E29" s="17" t="n">
        <f aca="false">+D29+F29</f>
        <v>-5.6455</v>
      </c>
      <c r="F29" s="17" t="n">
        <f aca="false">RANDBETWEEN(-105,115)/10000</f>
        <v>0.0045</v>
      </c>
      <c r="G29" s="17" t="n">
        <f aca="false">+Chạy!G28</f>
        <v>-1.05</v>
      </c>
      <c r="H29" s="17" t="n">
        <f aca="false">G29+I29</f>
        <v>-0.979</v>
      </c>
      <c r="I29" s="17" t="n">
        <f aca="false">RANDBETWEEN(-30,90)/1000</f>
        <v>0.071</v>
      </c>
      <c r="J29" s="17" t="n">
        <f aca="false">+Chạy!K28</f>
        <v>-1.05</v>
      </c>
      <c r="K29" s="17" t="n">
        <f aca="false">J29+L29</f>
        <v>-0.996</v>
      </c>
      <c r="L29" s="17" t="n">
        <f aca="false">RANDBETWEEN(-30,90)/1000</f>
        <v>0.054</v>
      </c>
      <c r="M29" s="17" t="n">
        <f aca="false">+Chạy!N28</f>
        <v>5.65</v>
      </c>
      <c r="N29" s="17" t="n">
        <f aca="false">+M29+O29</f>
        <v>5.653</v>
      </c>
      <c r="O29" s="17" t="n">
        <f aca="false">RANDBETWEEN(-105,115)/10000</f>
        <v>0.003</v>
      </c>
      <c r="P29" s="17" t="n">
        <f aca="false">+Chạy!O28</f>
        <v>-1.05</v>
      </c>
      <c r="Q29" s="17" t="n">
        <f aca="false">P29+R29</f>
        <v>-1.055</v>
      </c>
      <c r="R29" s="17" t="n">
        <f aca="false">RANDBETWEEN(-30,90)/1000</f>
        <v>-0.005</v>
      </c>
      <c r="S29" s="18"/>
      <c r="T29" s="0" t="n">
        <v>20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349.25</v>
      </c>
      <c r="D30" s="17" t="n">
        <f aca="false">+Chạy!F32</f>
        <v>-5.65</v>
      </c>
      <c r="E30" s="17" t="n">
        <f aca="false">+D30+F30</f>
        <v>-5.6575</v>
      </c>
      <c r="F30" s="17" t="n">
        <f aca="false">RANDBETWEEN(-105,115)/10000</f>
        <v>-0.0075</v>
      </c>
      <c r="G30" s="17" t="n">
        <f aca="false">+Chạy!G32</f>
        <v>-1.05</v>
      </c>
      <c r="H30" s="17" t="n">
        <f aca="false">G30+I30</f>
        <v>-1.062</v>
      </c>
      <c r="I30" s="17" t="n">
        <f aca="false">RANDBETWEEN(-30,90)/1000</f>
        <v>-0.012</v>
      </c>
      <c r="J30" s="17" t="n">
        <f aca="false">+Chạy!K32</f>
        <v>-1.05</v>
      </c>
      <c r="K30" s="17" t="n">
        <f aca="false">J30+L30</f>
        <v>-0.993</v>
      </c>
      <c r="L30" s="17" t="n">
        <f aca="false">RANDBETWEEN(-30,90)/1000</f>
        <v>0.057</v>
      </c>
      <c r="M30" s="17" t="n">
        <f aca="false">+Chạy!N32</f>
        <v>5.65</v>
      </c>
      <c r="N30" s="17" t="n">
        <f aca="false">+M30+O30</f>
        <v>5.6424</v>
      </c>
      <c r="O30" s="17" t="n">
        <f aca="false">RANDBETWEEN(-105,115)/10000</f>
        <v>-0.0076</v>
      </c>
      <c r="P30" s="17" t="n">
        <f aca="false">+Chạy!O32</f>
        <v>-1.05</v>
      </c>
      <c r="Q30" s="17" t="n">
        <f aca="false">P30+R30</f>
        <v>-1.054</v>
      </c>
      <c r="R30" s="17" t="n">
        <f aca="false">RANDBETWEEN(-30,90)/1000</f>
        <v>-0.004</v>
      </c>
      <c r="S30" s="18"/>
      <c r="T30" s="0" t="n">
        <v>19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368.25</v>
      </c>
      <c r="D31" s="17" t="n">
        <f aca="false">+Chạy!F36</f>
        <v>-9.3</v>
      </c>
      <c r="E31" s="17" t="n">
        <f aca="false">+D31+F31</f>
        <v>-9.2974</v>
      </c>
      <c r="F31" s="17" t="n">
        <f aca="false">RANDBETWEEN(-105,115)/10000</f>
        <v>0.0026</v>
      </c>
      <c r="G31" s="17" t="n">
        <f aca="false">+Chạy!G36</f>
        <v>-1.05</v>
      </c>
      <c r="H31" s="17" t="n">
        <f aca="false">G31+I31</f>
        <v>-1.065</v>
      </c>
      <c r="I31" s="17" t="n">
        <f aca="false">RANDBETWEEN(-30,90)/1000</f>
        <v>-0.015</v>
      </c>
      <c r="J31" s="17" t="n">
        <f aca="false">+Chạy!K36</f>
        <v>-1.05</v>
      </c>
      <c r="K31" s="17" t="n">
        <f aca="false">J31+L31</f>
        <v>-1.023</v>
      </c>
      <c r="L31" s="17" t="n">
        <f aca="false">RANDBETWEEN(-30,90)/1000</f>
        <v>0.027</v>
      </c>
      <c r="M31" s="17" t="n">
        <f aca="false">+Chạy!N36</f>
        <v>5.65</v>
      </c>
      <c r="N31" s="17" t="n">
        <f aca="false">+M31+O31</f>
        <v>5.6466</v>
      </c>
      <c r="O31" s="17" t="n">
        <f aca="false">RANDBETWEEN(-105,115)/10000</f>
        <v>-0.0034</v>
      </c>
      <c r="P31" s="17" t="n">
        <f aca="false">+Chạy!O36</f>
        <v>-1.05</v>
      </c>
      <c r="Q31" s="17" t="n">
        <f aca="false">P31+R31</f>
        <v>-1.069</v>
      </c>
      <c r="R31" s="17" t="n">
        <f aca="false">RANDBETWEEN(-30,90)/1000</f>
        <v>-0.019</v>
      </c>
      <c r="S31" s="18"/>
      <c r="T31" s="0" t="n">
        <v>13.25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381.5</v>
      </c>
      <c r="D32" s="17" t="n">
        <f aca="false">+Chạy!F40</f>
        <v>-9.59</v>
      </c>
      <c r="E32" s="17" t="n">
        <f aca="false">+D32+F32</f>
        <v>-9.5967</v>
      </c>
      <c r="F32" s="17" t="n">
        <f aca="false">RANDBETWEEN(-105,115)/10000</f>
        <v>-0.0067</v>
      </c>
      <c r="G32" s="17" t="n">
        <f aca="false">+Chạy!G40</f>
        <v>-1.05</v>
      </c>
      <c r="H32" s="17" t="n">
        <f aca="false">G32+I32</f>
        <v>-1.05</v>
      </c>
      <c r="I32" s="17" t="n">
        <f aca="false">RANDBETWEEN(-30,90)/1000</f>
        <v>0</v>
      </c>
      <c r="J32" s="17" t="n">
        <f aca="false">+Chạy!K40</f>
        <v>-1.05</v>
      </c>
      <c r="K32" s="17" t="n">
        <f aca="false">J32+L32</f>
        <v>-1.012</v>
      </c>
      <c r="L32" s="17" t="n">
        <f aca="false">RANDBETWEEN(-30,90)/1000</f>
        <v>0.038</v>
      </c>
      <c r="M32" s="17" t="n">
        <f aca="false">+Chạy!N40</f>
        <v>9.42</v>
      </c>
      <c r="N32" s="17" t="n">
        <f aca="false">+M32+O32</f>
        <v>9.4255</v>
      </c>
      <c r="O32" s="17" t="n">
        <f aca="false">RANDBETWEEN(-105,115)/10000</f>
        <v>0.0055</v>
      </c>
      <c r="P32" s="17" t="n">
        <f aca="false">+Chạy!O40</f>
        <v>-1.05</v>
      </c>
      <c r="Q32" s="17" t="n">
        <f aca="false">P32+R32</f>
        <v>-1.006</v>
      </c>
      <c r="R32" s="17" t="n">
        <f aca="false">RANDBETWEEN(-30,90)/1000</f>
        <v>0.044</v>
      </c>
      <c r="S32" s="18"/>
      <c r="T32" s="0" t="n">
        <v>13.25</v>
      </c>
    </row>
    <row r="33" customFormat="false" ht="15" hidden="false" customHeight="false" outlineLevel="0" collapsed="false">
      <c r="A33" s="14" t="n">
        <v>11</v>
      </c>
      <c r="B33" s="14" t="s">
        <v>27</v>
      </c>
      <c r="C33" s="71" t="n">
        <f aca="false">+C32+T32</f>
        <v>394.75</v>
      </c>
      <c r="D33" s="17" t="n">
        <f aca="false">+Chạy!F44</f>
        <v>-9.26</v>
      </c>
      <c r="E33" s="17" t="n">
        <f aca="false">+D33+F33</f>
        <v>-9.2693</v>
      </c>
      <c r="F33" s="17" t="n">
        <f aca="false">RANDBETWEEN(-105,115)/10000</f>
        <v>-0.0093</v>
      </c>
      <c r="G33" s="17" t="n">
        <f aca="false">+Chạy!G44</f>
        <v>-1.05</v>
      </c>
      <c r="H33" s="17" t="n">
        <f aca="false">G33+I33</f>
        <v>-1.007</v>
      </c>
      <c r="I33" s="17" t="n">
        <f aca="false">RANDBETWEEN(-30,90)/1000</f>
        <v>0.043</v>
      </c>
      <c r="J33" s="17" t="n">
        <f aca="false">+Chạy!K44</f>
        <v>-1.05</v>
      </c>
      <c r="K33" s="17" t="n">
        <f aca="false">J33+L33</f>
        <v>-0.97</v>
      </c>
      <c r="L33" s="17" t="n">
        <f aca="false">RANDBETWEEN(-30,90)/1000</f>
        <v>0.08</v>
      </c>
      <c r="M33" s="17" t="n">
        <f aca="false">+Chạy!N44</f>
        <v>9.39</v>
      </c>
      <c r="N33" s="17" t="n">
        <f aca="false">+M33+O33</f>
        <v>9.3806</v>
      </c>
      <c r="O33" s="17" t="n">
        <f aca="false">RANDBETWEEN(-105,115)/10000</f>
        <v>-0.0094</v>
      </c>
      <c r="P33" s="17" t="n">
        <f aca="false">+Chạy!O44</f>
        <v>-1.05</v>
      </c>
      <c r="Q33" s="17" t="n">
        <f aca="false">P33+R33</f>
        <v>-1.024</v>
      </c>
      <c r="R33" s="17" t="n">
        <f aca="false">RANDBETWEEN(-30,90)/1000</f>
        <v>0.026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05.NĐXD8/CVXD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5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2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12</v>
      </c>
      <c r="C11" s="16" t="n">
        <f aca="false">'2.KTHH L2'!C23</f>
        <v>224.25</v>
      </c>
      <c r="D11" s="14" t="n">
        <f aca="false">'2.KTHH L2'!T23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4.55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84.3875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13</v>
      </c>
      <c r="C12" s="16" t="n">
        <f aca="false">'2.KTHH L2'!C24</f>
        <v>245.75</v>
      </c>
      <c r="D12" s="14" t="n">
        <f aca="false">'2.KTHH L2'!T24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3.3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38.775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B5</v>
      </c>
      <c r="C13" s="16" t="n">
        <f aca="false">'2.KTHH L2'!C25</f>
        <v>257.5</v>
      </c>
      <c r="D13" s="14" t="n">
        <f aca="false">'2.KTHH L2'!T25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3.3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38.775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14</v>
      </c>
      <c r="C14" s="16" t="n">
        <f aca="false">'2.KTHH L2'!C26</f>
        <v>269.25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3.3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66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15</v>
      </c>
      <c r="C15" s="16" t="n">
        <f aca="false">'2.KTHH L2'!C27</f>
        <v>289.25</v>
      </c>
      <c r="D15" s="14" t="n">
        <f aca="false">'2.KTHH L2'!T27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3.3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16</v>
      </c>
      <c r="C16" s="16" t="n">
        <f aca="false">'2.KTHH L2'!C28</f>
        <v>309.25</v>
      </c>
      <c r="D16" s="14" t="n">
        <f aca="false">'2.KTHH L2'!T28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3.3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66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17</v>
      </c>
      <c r="C17" s="16" t="n">
        <f aca="false">'2.KTHH L2'!C29</f>
        <v>329.25</v>
      </c>
      <c r="D17" s="14" t="n">
        <f aca="false">'2.KTHH L2'!T29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3.3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66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18</v>
      </c>
      <c r="C18" s="16" t="n">
        <f aca="false">'2.KTHH L2'!C30</f>
        <v>349.25</v>
      </c>
      <c r="D18" s="14" t="n">
        <f aca="false">'2.KTHH L2'!T30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3.3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73.15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19</v>
      </c>
      <c r="C19" s="16" t="n">
        <f aca="false">'2.KTHH L2'!C31</f>
        <v>368.25</v>
      </c>
      <c r="D19" s="14" t="n">
        <f aca="false">'2.KTHH L2'!T31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4.4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66.31625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C2</v>
      </c>
      <c r="C20" s="16" t="n">
        <f aca="false">'2.KTHH L2'!C32</f>
        <v>381.5</v>
      </c>
      <c r="D20" s="14" t="n">
        <f aca="false">'2.KTHH L2'!T32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5.61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73.67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'2.KTHH L2'!B33</f>
        <v>20</v>
      </c>
      <c r="C21" s="16" t="n">
        <f aca="false">'2.KTHH L2'!C33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Chạy!E44</f>
        <v>5.51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61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SUM(W11:W21)</f>
        <v>639.07375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06.NĐXD8/CVXD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3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37</v>
      </c>
      <c r="B20" s="10" t="s">
        <v>38</v>
      </c>
      <c r="C20" s="10" t="s">
        <v>39</v>
      </c>
      <c r="D20" s="11" t="s">
        <v>40</v>
      </c>
      <c r="E20" s="11"/>
      <c r="F20" s="11"/>
      <c r="G20" s="11"/>
      <c r="H20" s="11"/>
      <c r="I20" s="11"/>
      <c r="J20" s="11" t="s">
        <v>41</v>
      </c>
      <c r="K20" s="11"/>
      <c r="L20" s="11"/>
      <c r="M20" s="11" t="s">
        <v>42</v>
      </c>
      <c r="N20" s="11"/>
      <c r="O20" s="11"/>
      <c r="P20" s="11"/>
      <c r="Q20" s="11"/>
      <c r="R20" s="11"/>
      <c r="S20" s="10" t="s">
        <v>43</v>
      </c>
    </row>
    <row r="21" customFormat="false" ht="30" hidden="false" customHeight="true" outlineLevel="0" collapsed="false">
      <c r="A21" s="10"/>
      <c r="B21" s="10"/>
      <c r="C21" s="10"/>
      <c r="D21" s="12" t="s">
        <v>44</v>
      </c>
      <c r="E21" s="12" t="s">
        <v>45</v>
      </c>
      <c r="F21" s="12" t="s">
        <v>46</v>
      </c>
      <c r="G21" s="12" t="s">
        <v>47</v>
      </c>
      <c r="H21" s="12" t="s">
        <v>48</v>
      </c>
      <c r="I21" s="12" t="s">
        <v>49</v>
      </c>
      <c r="J21" s="12" t="s">
        <v>47</v>
      </c>
      <c r="K21" s="12" t="s">
        <v>48</v>
      </c>
      <c r="L21" s="12" t="s">
        <v>49</v>
      </c>
      <c r="M21" s="12" t="s">
        <v>44</v>
      </c>
      <c r="N21" s="12" t="s">
        <v>45</v>
      </c>
      <c r="O21" s="12" t="s">
        <v>46</v>
      </c>
      <c r="P21" s="12" t="s">
        <v>47</v>
      </c>
      <c r="Q21" s="12" t="s">
        <v>48</v>
      </c>
      <c r="R21" s="12" t="s">
        <v>49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224.25</v>
      </c>
      <c r="D22" s="17" t="n">
        <f aca="false">+Chạy!F3</f>
        <v>-9.85</v>
      </c>
      <c r="E22" s="17" t="n">
        <f aca="false">+D22+F22</f>
        <v>-9.841</v>
      </c>
      <c r="F22" s="17" t="n">
        <f aca="false">RANDBETWEEN(-105,115)/10000</f>
        <v>0.009</v>
      </c>
      <c r="G22" s="17" t="n">
        <f aca="false">+Chạy!G3</f>
        <v>-0.75</v>
      </c>
      <c r="H22" s="17" t="n">
        <f aca="false">G22+I22</f>
        <v>-0.673</v>
      </c>
      <c r="I22" s="17" t="n">
        <f aca="false">RANDBETWEEN(-30,90)/1000</f>
        <v>0.077</v>
      </c>
      <c r="J22" s="17" t="n">
        <f aca="false">+Chạy!K3</f>
        <v>-0.75</v>
      </c>
      <c r="K22" s="17" t="n">
        <f aca="false">J22+L22</f>
        <v>-0.672</v>
      </c>
      <c r="L22" s="17" t="n">
        <f aca="false">RANDBETWEEN(-30,90)/1000</f>
        <v>0.078</v>
      </c>
      <c r="M22" s="17" t="n">
        <f aca="false">+Chạy!N3</f>
        <v>6.2</v>
      </c>
      <c r="N22" s="17" t="n">
        <f aca="false">+M22+O22</f>
        <v>6.2002</v>
      </c>
      <c r="O22" s="17" t="n">
        <f aca="false">RANDBETWEEN(-105,115)/10000</f>
        <v>0.0002</v>
      </c>
      <c r="P22" s="17" t="n">
        <f aca="false">+Chạy!O3</f>
        <v>-0.75</v>
      </c>
      <c r="Q22" s="17" t="n">
        <f aca="false">P22+R22</f>
        <v>-0.771</v>
      </c>
      <c r="R22" s="17" t="n">
        <f aca="false">RANDBETWEEN(-30,90)/1000</f>
        <v>-0.021</v>
      </c>
      <c r="S22" s="18"/>
      <c r="T22" s="0" t="n">
        <v>21.5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245.75</v>
      </c>
      <c r="D23" s="17" t="n">
        <f aca="false">+Chạy!F7</f>
        <v>-5.95</v>
      </c>
      <c r="E23" s="17" t="n">
        <f aca="false">+D23+F23</f>
        <v>-5.9559</v>
      </c>
      <c r="F23" s="17" t="n">
        <f aca="false">RANDBETWEEN(-105,115)/10000</f>
        <v>-0.0059</v>
      </c>
      <c r="G23" s="17" t="n">
        <f aca="false">+Chạy!G7</f>
        <v>-0.75</v>
      </c>
      <c r="H23" s="17" t="n">
        <f aca="false">G23+I23</f>
        <v>-0.756</v>
      </c>
      <c r="I23" s="17" t="n">
        <f aca="false">RANDBETWEEN(-30,90)/1000</f>
        <v>-0.006</v>
      </c>
      <c r="J23" s="17" t="n">
        <f aca="false">+Chạy!K7</f>
        <v>-0.75</v>
      </c>
      <c r="K23" s="17" t="n">
        <f aca="false">J23+L23</f>
        <v>-0.754</v>
      </c>
      <c r="L23" s="17" t="n">
        <f aca="false">RANDBETWEEN(-30,90)/1000</f>
        <v>-0.004</v>
      </c>
      <c r="M23" s="17" t="n">
        <f aca="false">+Chạy!N7</f>
        <v>5.95</v>
      </c>
      <c r="N23" s="17" t="n">
        <f aca="false">+M23+O23</f>
        <v>5.9464</v>
      </c>
      <c r="O23" s="17" t="n">
        <f aca="false">RANDBETWEEN(-105,115)/10000</f>
        <v>-0.0036</v>
      </c>
      <c r="P23" s="17" t="n">
        <f aca="false">+Chạy!O7</f>
        <v>-0.75</v>
      </c>
      <c r="Q23" s="17" t="n">
        <f aca="false">P23+R23</f>
        <v>-0.722</v>
      </c>
      <c r="R23" s="17" t="n">
        <f aca="false">RANDBETWEEN(-30,90)/1000</f>
        <v>0.028</v>
      </c>
      <c r="S23" s="18"/>
      <c r="T23" s="0" t="n">
        <v>11.75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257.5</v>
      </c>
      <c r="D24" s="17" t="n">
        <f aca="false">+Chạy!F11</f>
        <v>-5.95</v>
      </c>
      <c r="E24" s="17" t="n">
        <f aca="false">+D24+F24</f>
        <v>-5.9562</v>
      </c>
      <c r="F24" s="17" t="n">
        <f aca="false">RANDBETWEEN(-105,115)/10000</f>
        <v>-0.0062</v>
      </c>
      <c r="G24" s="17" t="n">
        <f aca="false">+Chạy!G11</f>
        <v>-0.75</v>
      </c>
      <c r="H24" s="17" t="n">
        <f aca="false">G24+I24</f>
        <v>-0.702</v>
      </c>
      <c r="I24" s="17" t="n">
        <f aca="false">RANDBETWEEN(-30,90)/1000</f>
        <v>0.048</v>
      </c>
      <c r="J24" s="17" t="n">
        <f aca="false">+Chạy!K11</f>
        <v>-0.75</v>
      </c>
      <c r="K24" s="17" t="n">
        <f aca="false">J24+L24</f>
        <v>-0.766</v>
      </c>
      <c r="L24" s="17" t="n">
        <f aca="false">RANDBETWEEN(-30,90)/1000</f>
        <v>-0.016</v>
      </c>
      <c r="M24" s="17" t="n">
        <f aca="false">+Chạy!N11</f>
        <v>5.95</v>
      </c>
      <c r="N24" s="17" t="n">
        <f aca="false">+M24+O24</f>
        <v>5.9537</v>
      </c>
      <c r="O24" s="17" t="n">
        <f aca="false">RANDBETWEEN(-105,115)/10000</f>
        <v>0.0037</v>
      </c>
      <c r="P24" s="17" t="n">
        <f aca="false">+Chạy!O11</f>
        <v>-0.75</v>
      </c>
      <c r="Q24" s="17" t="n">
        <f aca="false">P24+R24</f>
        <v>-0.691</v>
      </c>
      <c r="R24" s="17" t="n">
        <f aca="false">RANDBETWEEN(-30,90)/1000</f>
        <v>0.059</v>
      </c>
      <c r="S24" s="18"/>
      <c r="T24" s="0" t="n">
        <v>11.75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269.25</v>
      </c>
      <c r="D25" s="17" t="n">
        <f aca="false">+Chạy!F15</f>
        <v>-5.95</v>
      </c>
      <c r="E25" s="17" t="n">
        <f aca="false">+D25+F25</f>
        <v>-5.9435</v>
      </c>
      <c r="F25" s="17" t="n">
        <f aca="false">RANDBETWEEN(-105,115)/10000</f>
        <v>0.0065</v>
      </c>
      <c r="G25" s="17" t="n">
        <f aca="false">+Chạy!G15</f>
        <v>-0.75</v>
      </c>
      <c r="H25" s="17" t="n">
        <f aca="false">G25+I25</f>
        <v>-0.66</v>
      </c>
      <c r="I25" s="17" t="n">
        <f aca="false">RANDBETWEEN(-30,90)/1000</f>
        <v>0.09</v>
      </c>
      <c r="J25" s="17" t="n">
        <f aca="false">+Chạy!K15</f>
        <v>-0.75</v>
      </c>
      <c r="K25" s="17" t="n">
        <f aca="false">J25+L25</f>
        <v>-0.768</v>
      </c>
      <c r="L25" s="17" t="n">
        <f aca="false">RANDBETWEEN(-30,90)/1000</f>
        <v>-0.018</v>
      </c>
      <c r="M25" s="17" t="n">
        <f aca="false">+Chạy!N15</f>
        <v>5.95</v>
      </c>
      <c r="N25" s="17" t="n">
        <f aca="false">+M25+O25</f>
        <v>5.9436</v>
      </c>
      <c r="O25" s="17" t="n">
        <f aca="false">RANDBETWEEN(-105,115)/10000</f>
        <v>-0.0064</v>
      </c>
      <c r="P25" s="17" t="n">
        <f aca="false">+Chạy!O15</f>
        <v>-0.75</v>
      </c>
      <c r="Q25" s="17" t="n">
        <f aca="false">P25+R25</f>
        <v>-0.675</v>
      </c>
      <c r="R25" s="17" t="n">
        <f aca="false">RANDBETWEEN(-30,90)/1000</f>
        <v>0.075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289.25</v>
      </c>
      <c r="D26" s="17" t="n">
        <f aca="false">+Chạy!F19</f>
        <v>-5.95</v>
      </c>
      <c r="E26" s="17" t="n">
        <f aca="false">+D26+F26</f>
        <v>-5.9563</v>
      </c>
      <c r="F26" s="17" t="n">
        <f aca="false">RANDBETWEEN(-105,115)/10000</f>
        <v>-0.0063</v>
      </c>
      <c r="G26" s="17" t="n">
        <f aca="false">+Chạy!G19</f>
        <v>-0.75</v>
      </c>
      <c r="H26" s="17" t="n">
        <f aca="false">G26+I26</f>
        <v>-0.705</v>
      </c>
      <c r="I26" s="17" t="n">
        <f aca="false">RANDBETWEEN(-30,90)/1000</f>
        <v>0.045</v>
      </c>
      <c r="J26" s="17" t="n">
        <f aca="false">+Chạy!K19</f>
        <v>-0.75</v>
      </c>
      <c r="K26" s="17" t="n">
        <f aca="false">J26+L26</f>
        <v>-0.717</v>
      </c>
      <c r="L26" s="17" t="n">
        <f aca="false">RANDBETWEEN(-30,90)/1000</f>
        <v>0.033</v>
      </c>
      <c r="M26" s="17" t="n">
        <f aca="false">+Chạy!N19</f>
        <v>5.95</v>
      </c>
      <c r="N26" s="17" t="n">
        <f aca="false">+M26+O26</f>
        <v>5.9528</v>
      </c>
      <c r="O26" s="17" t="n">
        <f aca="false">RANDBETWEEN(-105,115)/10000</f>
        <v>0.0028</v>
      </c>
      <c r="P26" s="17" t="n">
        <f aca="false">+Chạy!O19</f>
        <v>-0.75</v>
      </c>
      <c r="Q26" s="17" t="n">
        <f aca="false">P26+R26</f>
        <v>-0.664</v>
      </c>
      <c r="R26" s="17" t="n">
        <f aca="false">RANDBETWEEN(-30,90)/1000</f>
        <v>0.086</v>
      </c>
      <c r="S26" s="18"/>
      <c r="T26" s="0" t="n">
        <v>20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309.25</v>
      </c>
      <c r="D27" s="17" t="n">
        <f aca="false">+Chạy!F23</f>
        <v>-5.95</v>
      </c>
      <c r="E27" s="17" t="n">
        <f aca="false">+D27+F27</f>
        <v>-5.9476</v>
      </c>
      <c r="F27" s="17" t="n">
        <f aca="false">RANDBETWEEN(-105,115)/10000</f>
        <v>0.0024</v>
      </c>
      <c r="G27" s="17" t="n">
        <f aca="false">+Chạy!G23</f>
        <v>-0.75</v>
      </c>
      <c r="H27" s="17" t="n">
        <f aca="false">G27+I27</f>
        <v>-0.741</v>
      </c>
      <c r="I27" s="17" t="n">
        <f aca="false">RANDBETWEEN(-30,90)/1000</f>
        <v>0.009</v>
      </c>
      <c r="J27" s="17" t="n">
        <f aca="false">+Chạy!K23</f>
        <v>-0.75</v>
      </c>
      <c r="K27" s="17" t="n">
        <f aca="false">J27+L27</f>
        <v>-0.723</v>
      </c>
      <c r="L27" s="17" t="n">
        <f aca="false">RANDBETWEEN(-30,90)/1000</f>
        <v>0.027</v>
      </c>
      <c r="M27" s="17" t="n">
        <f aca="false">+Chạy!N23</f>
        <v>5.95</v>
      </c>
      <c r="N27" s="17" t="n">
        <f aca="false">+M27+O27</f>
        <v>5.9573</v>
      </c>
      <c r="O27" s="17" t="n">
        <f aca="false">RANDBETWEEN(-105,115)/10000</f>
        <v>0.0073</v>
      </c>
      <c r="P27" s="17" t="n">
        <f aca="false">+Chạy!O23</f>
        <v>-0.75</v>
      </c>
      <c r="Q27" s="17" t="n">
        <f aca="false">P27+R27</f>
        <v>-0.748</v>
      </c>
      <c r="R27" s="17" t="n">
        <f aca="false">RANDBETWEEN(-30,90)/1000</f>
        <v>0.002</v>
      </c>
      <c r="S27" s="18"/>
      <c r="T27" s="0" t="n">
        <v>20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329.25</v>
      </c>
      <c r="D28" s="17" t="n">
        <f aca="false">+Chạy!F27</f>
        <v>-5.95</v>
      </c>
      <c r="E28" s="17" t="n">
        <f aca="false">+D28+F28</f>
        <v>-5.9548</v>
      </c>
      <c r="F28" s="17" t="n">
        <f aca="false">RANDBETWEEN(-105,115)/10000</f>
        <v>-0.0048</v>
      </c>
      <c r="G28" s="17" t="n">
        <f aca="false">+Chạy!G27</f>
        <v>-0.75</v>
      </c>
      <c r="H28" s="17" t="n">
        <f aca="false">G28+I28</f>
        <v>-0.665</v>
      </c>
      <c r="I28" s="17" t="n">
        <f aca="false">RANDBETWEEN(-30,90)/1000</f>
        <v>0.085</v>
      </c>
      <c r="J28" s="17" t="n">
        <f aca="false">+Chạy!K27</f>
        <v>-0.75</v>
      </c>
      <c r="K28" s="17" t="n">
        <f aca="false">J28+L28</f>
        <v>-0.762</v>
      </c>
      <c r="L28" s="17" t="n">
        <f aca="false">RANDBETWEEN(-30,90)/1000</f>
        <v>-0.012</v>
      </c>
      <c r="M28" s="17" t="n">
        <f aca="false">+Chạy!N27</f>
        <v>5.95</v>
      </c>
      <c r="N28" s="17" t="n">
        <f aca="false">+M28+O28</f>
        <v>5.951</v>
      </c>
      <c r="O28" s="17" t="n">
        <f aca="false">RANDBETWEEN(-105,115)/10000</f>
        <v>0.001</v>
      </c>
      <c r="P28" s="17" t="n">
        <f aca="false">+Chạy!O27</f>
        <v>-0.75</v>
      </c>
      <c r="Q28" s="17" t="n">
        <f aca="false">P28+R28</f>
        <v>-0.769</v>
      </c>
      <c r="R28" s="17" t="n">
        <f aca="false">RANDBETWEEN(-30,90)/1000</f>
        <v>-0.019</v>
      </c>
      <c r="S28" s="18"/>
      <c r="T28" s="0" t="n">
        <v>20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349.25</v>
      </c>
      <c r="D29" s="17" t="n">
        <f aca="false">+Chạy!F31</f>
        <v>-5.95</v>
      </c>
      <c r="E29" s="17" t="n">
        <f aca="false">+D29+F29</f>
        <v>-5.9431</v>
      </c>
      <c r="F29" s="17" t="n">
        <f aca="false">RANDBETWEEN(-105,115)/10000</f>
        <v>0.0069</v>
      </c>
      <c r="G29" s="17" t="n">
        <f aca="false">+Chạy!G31</f>
        <v>-0.75</v>
      </c>
      <c r="H29" s="17" t="n">
        <f aca="false">G29+I29</f>
        <v>-0.707</v>
      </c>
      <c r="I29" s="17" t="n">
        <f aca="false">RANDBETWEEN(-30,90)/1000</f>
        <v>0.043</v>
      </c>
      <c r="J29" s="17" t="n">
        <f aca="false">+Chạy!K31</f>
        <v>-0.75</v>
      </c>
      <c r="K29" s="17" t="n">
        <f aca="false">J29+L29</f>
        <v>-0.688</v>
      </c>
      <c r="L29" s="17" t="n">
        <f aca="false">RANDBETWEEN(-30,90)/1000</f>
        <v>0.062</v>
      </c>
      <c r="M29" s="17" t="n">
        <f aca="false">+Chạy!N31</f>
        <v>5.95</v>
      </c>
      <c r="N29" s="17" t="n">
        <f aca="false">+M29+O29</f>
        <v>5.9544</v>
      </c>
      <c r="O29" s="17" t="n">
        <f aca="false">RANDBETWEEN(-105,115)/10000</f>
        <v>0.0044</v>
      </c>
      <c r="P29" s="17" t="n">
        <f aca="false">+Chạy!O31</f>
        <v>-0.75</v>
      </c>
      <c r="Q29" s="17" t="n">
        <f aca="false">P29+R29</f>
        <v>-0.663</v>
      </c>
      <c r="R29" s="17" t="n">
        <f aca="false">RANDBETWEEN(-30,90)/1000</f>
        <v>0.087</v>
      </c>
      <c r="S29" s="18"/>
      <c r="T29" s="0" t="n">
        <v>19</v>
      </c>
    </row>
    <row r="30" customFormat="false" ht="15" hidden="false" customHeight="false" outlineLevel="0" collapsed="false">
      <c r="A30" s="14" t="n">
        <v>9</v>
      </c>
      <c r="B30" s="14" t="s">
        <v>25</v>
      </c>
      <c r="C30" s="71" t="n">
        <f aca="false">+C29+T29</f>
        <v>368.25</v>
      </c>
      <c r="D30" s="17" t="n">
        <f aca="false">+Chạy!F35</f>
        <v>-9.58</v>
      </c>
      <c r="E30" s="17" t="n">
        <f aca="false">+D30+F30</f>
        <v>-9.5882</v>
      </c>
      <c r="F30" s="17" t="n">
        <f aca="false">RANDBETWEEN(-105,115)/10000</f>
        <v>-0.0082</v>
      </c>
      <c r="G30" s="17" t="n">
        <f aca="false">+Chạy!G35</f>
        <v>-0.75</v>
      </c>
      <c r="H30" s="17" t="n">
        <f aca="false">G30+I30</f>
        <v>-0.672</v>
      </c>
      <c r="I30" s="17" t="n">
        <f aca="false">RANDBETWEEN(-30,90)/1000</f>
        <v>0.078</v>
      </c>
      <c r="J30" s="17" t="n">
        <f aca="false">+Chạy!K35</f>
        <v>-0.75</v>
      </c>
      <c r="K30" s="17" t="n">
        <f aca="false">J30+L30</f>
        <v>-0.666</v>
      </c>
      <c r="L30" s="17" t="n">
        <f aca="false">RANDBETWEEN(-30,90)/1000</f>
        <v>0.084</v>
      </c>
      <c r="M30" s="17" t="n">
        <f aca="false">+Chạy!N35</f>
        <v>5.95</v>
      </c>
      <c r="N30" s="17" t="n">
        <f aca="false">+M30+O30</f>
        <v>5.9552</v>
      </c>
      <c r="O30" s="17" t="n">
        <f aca="false">RANDBETWEEN(-105,115)/10000</f>
        <v>0.0052</v>
      </c>
      <c r="P30" s="17" t="n">
        <f aca="false">+Chạy!O35</f>
        <v>-0.75</v>
      </c>
      <c r="Q30" s="17" t="n">
        <f aca="false">P30+R30</f>
        <v>-0.705</v>
      </c>
      <c r="R30" s="17" t="n">
        <f aca="false">RANDBETWEEN(-30,90)/1000</f>
        <v>0.045</v>
      </c>
      <c r="S30" s="18"/>
      <c r="T30" s="0" t="n">
        <v>13.25</v>
      </c>
    </row>
    <row r="31" customFormat="false" ht="15" hidden="false" customHeight="false" outlineLevel="0" collapsed="false">
      <c r="A31" s="14" t="n">
        <v>10</v>
      </c>
      <c r="B31" s="14" t="s">
        <v>26</v>
      </c>
      <c r="C31" s="71" t="n">
        <f aca="false">+C30+T30</f>
        <v>381.5</v>
      </c>
      <c r="D31" s="17" t="n">
        <f aca="false">+Chạy!F39</f>
        <v>-9.89</v>
      </c>
      <c r="E31" s="17" t="n">
        <f aca="false">+D31+F31</f>
        <v>-9.8981</v>
      </c>
      <c r="F31" s="17" t="n">
        <f aca="false">RANDBETWEEN(-105,115)/10000</f>
        <v>-0.0081</v>
      </c>
      <c r="G31" s="17" t="n">
        <f aca="false">+Chạy!G39</f>
        <v>-0.75</v>
      </c>
      <c r="H31" s="17" t="n">
        <f aca="false">G31+I31</f>
        <v>-0.756</v>
      </c>
      <c r="I31" s="17" t="n">
        <f aca="false">RANDBETWEEN(-30,90)/1000</f>
        <v>-0.006</v>
      </c>
      <c r="J31" s="17" t="n">
        <f aca="false">+Chạy!K39</f>
        <v>-0.75</v>
      </c>
      <c r="K31" s="17" t="n">
        <f aca="false">J31+L31</f>
        <v>-0.667</v>
      </c>
      <c r="L31" s="17" t="n">
        <f aca="false">RANDBETWEEN(-30,90)/1000</f>
        <v>0.083</v>
      </c>
      <c r="M31" s="17" t="n">
        <f aca="false">+Chạy!N39</f>
        <v>9.72</v>
      </c>
      <c r="N31" s="17" t="n">
        <f aca="false">+M31+O31</f>
        <v>9.7278</v>
      </c>
      <c r="O31" s="17" t="n">
        <f aca="false">RANDBETWEEN(-105,115)/10000</f>
        <v>0.0078</v>
      </c>
      <c r="P31" s="17" t="n">
        <f aca="false">+Chạy!O39</f>
        <v>-0.75</v>
      </c>
      <c r="Q31" s="17" t="n">
        <f aca="false">P31+R31</f>
        <v>-0.731</v>
      </c>
      <c r="R31" s="17" t="n">
        <f aca="false">RANDBETWEEN(-30,90)/1000</f>
        <v>0.019</v>
      </c>
      <c r="S31" s="18"/>
      <c r="T31" s="0" t="n">
        <v>13.25</v>
      </c>
    </row>
    <row r="32" customFormat="false" ht="15" hidden="false" customHeight="false" outlineLevel="0" collapsed="false">
      <c r="A32" s="14" t="n">
        <v>11</v>
      </c>
      <c r="B32" s="14" t="s">
        <v>27</v>
      </c>
      <c r="C32" s="71" t="n">
        <f aca="false">+C31+T31</f>
        <v>394.75</v>
      </c>
      <c r="D32" s="17" t="n">
        <f aca="false">+Chạy!F43</f>
        <v>-9.56</v>
      </c>
      <c r="E32" s="17" t="n">
        <f aca="false">+D32+F32</f>
        <v>-9.5568</v>
      </c>
      <c r="F32" s="17" t="n">
        <f aca="false">RANDBETWEEN(-105,115)/10000</f>
        <v>0.0032</v>
      </c>
      <c r="G32" s="17" t="n">
        <f aca="false">+Chạy!G43</f>
        <v>-0.75</v>
      </c>
      <c r="H32" s="17" t="n">
        <f aca="false">G32+I32</f>
        <v>-0.689</v>
      </c>
      <c r="I32" s="17" t="n">
        <f aca="false">RANDBETWEEN(-30,90)/1000</f>
        <v>0.061</v>
      </c>
      <c r="J32" s="17" t="n">
        <f aca="false">+Chạy!K43</f>
        <v>-0.75</v>
      </c>
      <c r="K32" s="17" t="n">
        <f aca="false">J32+L32</f>
        <v>-0.761</v>
      </c>
      <c r="L32" s="17" t="n">
        <f aca="false">RANDBETWEEN(-30,90)/1000</f>
        <v>-0.011</v>
      </c>
      <c r="M32" s="17" t="n">
        <f aca="false">+Chạy!N43</f>
        <v>9.69</v>
      </c>
      <c r="N32" s="17" t="n">
        <f aca="false">+M32+O32</f>
        <v>9.6839</v>
      </c>
      <c r="O32" s="17" t="n">
        <f aca="false">RANDBETWEEN(-105,115)/10000</f>
        <v>-0.0061</v>
      </c>
      <c r="P32" s="17" t="n">
        <f aca="false">+Chạy!O43</f>
        <v>-0.75</v>
      </c>
      <c r="Q32" s="17" t="n">
        <f aca="false">P32+R32</f>
        <v>-0.764</v>
      </c>
      <c r="R32" s="17" t="n">
        <f aca="false">RANDBETWEEN(-30,90)/1000</f>
        <v>-0.014</v>
      </c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50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51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52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53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06.NĐXD8/CVXD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3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12</v>
      </c>
      <c r="C11" s="16" t="n">
        <f aca="false">'3.KTHH L3'!C22</f>
        <v>224.25</v>
      </c>
      <c r="D11" s="14" t="n">
        <f aca="false">'3.KTHH L3'!T22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4.73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88.2575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13</v>
      </c>
      <c r="C12" s="16" t="n">
        <f aca="false">'3.KTHH L3'!C23</f>
        <v>245.75</v>
      </c>
      <c r="D12" s="14" t="n">
        <f aca="false">'3.KTHH L3'!T23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3.48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40.89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B5</v>
      </c>
      <c r="C13" s="16" t="n">
        <f aca="false">'3.KTHH L3'!C24</f>
        <v>257.5</v>
      </c>
      <c r="D13" s="14" t="n">
        <f aca="false">'3.KTHH L3'!T24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3.48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40.89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14</v>
      </c>
      <c r="C14" s="16" t="n">
        <f aca="false">'3.KTHH L3'!C25</f>
        <v>269.25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3.48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69.6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15</v>
      </c>
      <c r="C15" s="16" t="n">
        <f aca="false">'3.KTHH L3'!C26</f>
        <v>289.25</v>
      </c>
      <c r="D15" s="14" t="n">
        <f aca="false">'3.KTHH L3'!T26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3.48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69.6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16</v>
      </c>
      <c r="C16" s="16" t="n">
        <f aca="false">'3.KTHH L3'!C27</f>
        <v>309.25</v>
      </c>
      <c r="D16" s="14" t="n">
        <f aca="false">'3.KTHH L3'!T27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3.48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69.6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17</v>
      </c>
      <c r="C17" s="16" t="n">
        <f aca="false">'3.KTHH L3'!C28</f>
        <v>329.25</v>
      </c>
      <c r="D17" s="14" t="n">
        <f aca="false">'3.KTHH L3'!T28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3.48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69.6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18</v>
      </c>
      <c r="C18" s="16" t="n">
        <f aca="false">'3.KTHH L3'!C29</f>
        <v>349.25</v>
      </c>
      <c r="D18" s="14" t="n">
        <f aca="false">'3.KTHH L3'!T29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3.48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76.475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19</v>
      </c>
      <c r="C19" s="16" t="n">
        <f aca="false">'3.KTHH L3'!C30</f>
        <v>368.25</v>
      </c>
      <c r="D19" s="14" t="n">
        <f aca="false">'3.KTHH L3'!T30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4.57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68.635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C2</v>
      </c>
      <c r="C20" s="16" t="n">
        <f aca="false">'3.KTHH L3'!C31</f>
        <v>381.5</v>
      </c>
      <c r="D20" s="14" t="n">
        <f aca="false">'3.KTHH L3'!T31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5.79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76.055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'3.KTHH L3'!B32</f>
        <v>20</v>
      </c>
      <c r="C21" s="16" t="n">
        <f aca="false">'3.KTHH L3'!C32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Chạy!E43</f>
        <v>5.69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SUM(W11:W21)</f>
        <v>669.6025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07.NĐXD8/CVXD ngày 19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7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4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224.25</v>
      </c>
      <c r="D23" s="17" t="n">
        <f aca="false">+Chạy!F2</f>
        <v>-10.15</v>
      </c>
      <c r="E23" s="17" t="n">
        <f aca="false">+D23+F23</f>
        <v>-10.1441</v>
      </c>
      <c r="F23" s="17" t="n">
        <f aca="false">RANDBETWEEN(-105,115)/10000</f>
        <v>0.0059</v>
      </c>
      <c r="G23" s="17" t="n">
        <f aca="false">+Chạy!G2</f>
        <v>-0.45</v>
      </c>
      <c r="H23" s="17" t="n">
        <f aca="false">G23+I23</f>
        <v>-0.361</v>
      </c>
      <c r="I23" s="17" t="n">
        <f aca="false">RANDBETWEEN(-30,90)/1000</f>
        <v>0.089</v>
      </c>
      <c r="J23" s="17" t="n">
        <f aca="false">+Chạy!K2</f>
        <v>-0.45</v>
      </c>
      <c r="K23" s="17" t="n">
        <f aca="false">J23+L23</f>
        <v>-0.361</v>
      </c>
      <c r="L23" s="17" t="n">
        <f aca="false">RANDBETWEEN(-30,90)/1000</f>
        <v>0.089</v>
      </c>
      <c r="M23" s="17" t="n">
        <f aca="false">+Chạy!N2</f>
        <v>6.5</v>
      </c>
      <c r="N23" s="17" t="n">
        <f aca="false">+M23+O23</f>
        <v>6.5074</v>
      </c>
      <c r="O23" s="17" t="n">
        <f aca="false">RANDBETWEEN(-105,115)/10000</f>
        <v>0.0074</v>
      </c>
      <c r="P23" s="17" t="n">
        <f aca="false">+Chạy!O2</f>
        <v>-0.45</v>
      </c>
      <c r="Q23" s="17" t="n">
        <f aca="false">P23+R23</f>
        <v>-0.449</v>
      </c>
      <c r="R23" s="17" t="n">
        <f aca="false">RANDBETWEEN(-30,90)/1000</f>
        <v>0.001</v>
      </c>
      <c r="S23" s="18"/>
      <c r="T23" s="0" t="n">
        <v>21.5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245.75</v>
      </c>
      <c r="D24" s="17" t="n">
        <f aca="false">+Chạy!F6</f>
        <v>-6.25</v>
      </c>
      <c r="E24" s="17" t="n">
        <f aca="false">+D24+F24</f>
        <v>-6.2403</v>
      </c>
      <c r="F24" s="17" t="n">
        <f aca="false">RANDBETWEEN(-105,115)/10000</f>
        <v>0.0097</v>
      </c>
      <c r="G24" s="17" t="n">
        <f aca="false">+Chạy!G6</f>
        <v>-0.45</v>
      </c>
      <c r="H24" s="17" t="n">
        <f aca="false">G24+I24</f>
        <v>-0.387</v>
      </c>
      <c r="I24" s="17" t="n">
        <f aca="false">RANDBETWEEN(-30,90)/1000</f>
        <v>0.063</v>
      </c>
      <c r="J24" s="17" t="n">
        <f aca="false">+Chạy!K6</f>
        <v>-0.45</v>
      </c>
      <c r="K24" s="17" t="n">
        <f aca="false">J24+L24</f>
        <v>-0.446</v>
      </c>
      <c r="L24" s="17" t="n">
        <f aca="false">RANDBETWEEN(-30,90)/1000</f>
        <v>0.004</v>
      </c>
      <c r="M24" s="17" t="n">
        <f aca="false">+Chạy!N6</f>
        <v>6.25</v>
      </c>
      <c r="N24" s="17" t="n">
        <f aca="false">+M24+O24</f>
        <v>6.2437</v>
      </c>
      <c r="O24" s="17" t="n">
        <f aca="false">RANDBETWEEN(-105,115)/10000</f>
        <v>-0.0063</v>
      </c>
      <c r="P24" s="17" t="n">
        <f aca="false">+Chạy!O6</f>
        <v>-0.45</v>
      </c>
      <c r="Q24" s="17" t="n">
        <f aca="false">P24+R24</f>
        <v>-0.475</v>
      </c>
      <c r="R24" s="17" t="n">
        <f aca="false">RANDBETWEEN(-30,90)/1000</f>
        <v>-0.025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257.5</v>
      </c>
      <c r="D25" s="17" t="n">
        <f aca="false">+Chạy!F10</f>
        <v>-6.25</v>
      </c>
      <c r="E25" s="17" t="n">
        <f aca="false">+D25+F25</f>
        <v>-6.2475</v>
      </c>
      <c r="F25" s="17" t="n">
        <f aca="false">RANDBETWEEN(-105,115)/10000</f>
        <v>0.0025</v>
      </c>
      <c r="G25" s="17" t="n">
        <f aca="false">+Chạy!G10</f>
        <v>-0.45</v>
      </c>
      <c r="H25" s="17" t="n">
        <f aca="false">G25+I25</f>
        <v>-0.413</v>
      </c>
      <c r="I25" s="17" t="n">
        <f aca="false">RANDBETWEEN(-30,90)/1000</f>
        <v>0.037</v>
      </c>
      <c r="J25" s="17" t="n">
        <f aca="false">+Chạy!K10</f>
        <v>-0.45</v>
      </c>
      <c r="K25" s="17" t="n">
        <f aca="false">J25+L25</f>
        <v>-0.46</v>
      </c>
      <c r="L25" s="17" t="n">
        <f aca="false">RANDBETWEEN(-30,90)/1000</f>
        <v>-0.01</v>
      </c>
      <c r="M25" s="17" t="n">
        <f aca="false">+Chạy!N10</f>
        <v>6.25</v>
      </c>
      <c r="N25" s="17" t="n">
        <f aca="false">+M25+O25</f>
        <v>6.258</v>
      </c>
      <c r="O25" s="17" t="n">
        <f aca="false">RANDBETWEEN(-105,115)/10000</f>
        <v>0.008</v>
      </c>
      <c r="P25" s="17" t="n">
        <f aca="false">+Chạy!O10</f>
        <v>-0.45</v>
      </c>
      <c r="Q25" s="17" t="n">
        <f aca="false">P25+R25</f>
        <v>-0.438</v>
      </c>
      <c r="R25" s="17" t="n">
        <f aca="false">RANDBETWEEN(-30,90)/1000</f>
        <v>0.012</v>
      </c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269.25</v>
      </c>
      <c r="D26" s="17" t="n">
        <f aca="false">+Chạy!F14</f>
        <v>-6.25</v>
      </c>
      <c r="E26" s="17" t="n">
        <f aca="false">+D26+F26</f>
        <v>-6.2584</v>
      </c>
      <c r="F26" s="17" t="n">
        <f aca="false">RANDBETWEEN(-105,115)/10000</f>
        <v>-0.0084</v>
      </c>
      <c r="G26" s="17" t="n">
        <f aca="false">+Chạy!G14</f>
        <v>-0.45</v>
      </c>
      <c r="H26" s="17" t="n">
        <f aca="false">G26+I26</f>
        <v>-0.386</v>
      </c>
      <c r="I26" s="17" t="n">
        <f aca="false">RANDBETWEEN(-30,90)/1000</f>
        <v>0.064</v>
      </c>
      <c r="J26" s="17" t="n">
        <f aca="false">+Chạy!K14</f>
        <v>-0.45</v>
      </c>
      <c r="K26" s="17" t="n">
        <f aca="false">J26+L26</f>
        <v>-0.417</v>
      </c>
      <c r="L26" s="17" t="n">
        <f aca="false">RANDBETWEEN(-30,90)/1000</f>
        <v>0.033</v>
      </c>
      <c r="M26" s="17" t="n">
        <f aca="false">+Chạy!N14</f>
        <v>6.25</v>
      </c>
      <c r="N26" s="17" t="n">
        <f aca="false">+M26+O26</f>
        <v>6.2421</v>
      </c>
      <c r="O26" s="17" t="n">
        <f aca="false">RANDBETWEEN(-105,115)/10000</f>
        <v>-0.0079</v>
      </c>
      <c r="P26" s="17" t="n">
        <f aca="false">+Chạy!O14</f>
        <v>-0.45</v>
      </c>
      <c r="Q26" s="17" t="n">
        <f aca="false">P26+R26</f>
        <v>-0.449</v>
      </c>
      <c r="R26" s="17" t="n">
        <f aca="false">RANDBETWEEN(-30,90)/1000</f>
        <v>0.001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289.25</v>
      </c>
      <c r="D27" s="17" t="n">
        <f aca="false">+Chạy!F18</f>
        <v>-6.25</v>
      </c>
      <c r="E27" s="17" t="n">
        <f aca="false">+D27+F27</f>
        <v>-6.2461</v>
      </c>
      <c r="F27" s="17" t="n">
        <f aca="false">RANDBETWEEN(-105,115)/10000</f>
        <v>0.0039</v>
      </c>
      <c r="G27" s="17" t="n">
        <f aca="false">+Chạy!G18</f>
        <v>-0.45</v>
      </c>
      <c r="H27" s="17" t="n">
        <f aca="false">G27+I27</f>
        <v>-0.368</v>
      </c>
      <c r="I27" s="17" t="n">
        <f aca="false">RANDBETWEEN(-30,90)/1000</f>
        <v>0.082</v>
      </c>
      <c r="J27" s="17" t="n">
        <f aca="false">+Chạy!K18</f>
        <v>-0.45</v>
      </c>
      <c r="K27" s="17" t="n">
        <f aca="false">J27+L27</f>
        <v>-0.426</v>
      </c>
      <c r="L27" s="17" t="n">
        <f aca="false">RANDBETWEEN(-30,90)/1000</f>
        <v>0.024</v>
      </c>
      <c r="M27" s="17" t="n">
        <f aca="false">+Chạy!N18</f>
        <v>6.25</v>
      </c>
      <c r="N27" s="17" t="n">
        <f aca="false">+M27+O27</f>
        <v>6.2406</v>
      </c>
      <c r="O27" s="17" t="n">
        <f aca="false">RANDBETWEEN(-105,115)/10000</f>
        <v>-0.0094</v>
      </c>
      <c r="P27" s="17" t="n">
        <f aca="false">+Chạy!O18</f>
        <v>-0.45</v>
      </c>
      <c r="Q27" s="17" t="n">
        <f aca="false">P27+R27</f>
        <v>-0.471</v>
      </c>
      <c r="R27" s="17" t="n">
        <f aca="false">RANDBETWEEN(-30,90)/1000</f>
        <v>-0.021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309.25</v>
      </c>
      <c r="D28" s="17" t="n">
        <f aca="false">+Chạy!F22</f>
        <v>-6.25</v>
      </c>
      <c r="E28" s="17" t="n">
        <f aca="false">+D28+F28</f>
        <v>-6.2428</v>
      </c>
      <c r="F28" s="17" t="n">
        <f aca="false">RANDBETWEEN(-105,115)/10000</f>
        <v>0.0072</v>
      </c>
      <c r="G28" s="17" t="n">
        <f aca="false">+Chạy!G22</f>
        <v>-0.45</v>
      </c>
      <c r="H28" s="17" t="n">
        <f aca="false">G28+I28</f>
        <v>-0.422</v>
      </c>
      <c r="I28" s="17" t="n">
        <f aca="false">RANDBETWEEN(-30,90)/1000</f>
        <v>0.028</v>
      </c>
      <c r="J28" s="17" t="n">
        <f aca="false">+Chạy!K22</f>
        <v>-0.45</v>
      </c>
      <c r="K28" s="17" t="n">
        <f aca="false">J28+L28</f>
        <v>-0.361</v>
      </c>
      <c r="L28" s="17" t="n">
        <f aca="false">RANDBETWEEN(-30,90)/1000</f>
        <v>0.089</v>
      </c>
      <c r="M28" s="17" t="n">
        <f aca="false">+Chạy!N22</f>
        <v>6.25</v>
      </c>
      <c r="N28" s="17" t="n">
        <f aca="false">+M28+O28</f>
        <v>6.2556</v>
      </c>
      <c r="O28" s="17" t="n">
        <f aca="false">RANDBETWEEN(-105,115)/10000</f>
        <v>0.0056</v>
      </c>
      <c r="P28" s="17" t="n">
        <f aca="false">+Chạy!O22</f>
        <v>-0.45</v>
      </c>
      <c r="Q28" s="17" t="n">
        <f aca="false">P28+R28</f>
        <v>-0.398</v>
      </c>
      <c r="R28" s="17" t="n">
        <f aca="false">RANDBETWEEN(-30,90)/1000</f>
        <v>0.052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329.25</v>
      </c>
      <c r="D29" s="17" t="n">
        <f aca="false">+Chạy!F26</f>
        <v>-6.25</v>
      </c>
      <c r="E29" s="17" t="n">
        <f aca="false">+D29+F29</f>
        <v>-6.2385</v>
      </c>
      <c r="F29" s="17" t="n">
        <f aca="false">RANDBETWEEN(-105,115)/10000</f>
        <v>0.0115</v>
      </c>
      <c r="G29" s="17" t="n">
        <f aca="false">+Chạy!G26</f>
        <v>-0.45</v>
      </c>
      <c r="H29" s="17" t="n">
        <f aca="false">G29+I29</f>
        <v>-0.395</v>
      </c>
      <c r="I29" s="17" t="n">
        <f aca="false">RANDBETWEEN(-30,90)/1000</f>
        <v>0.055</v>
      </c>
      <c r="J29" s="17" t="n">
        <f aca="false">+Chạy!K26</f>
        <v>-0.45</v>
      </c>
      <c r="K29" s="17" t="n">
        <f aca="false">J29+L29</f>
        <v>-0.47</v>
      </c>
      <c r="L29" s="17" t="n">
        <f aca="false">RANDBETWEEN(-30,90)/1000</f>
        <v>-0.02</v>
      </c>
      <c r="M29" s="17" t="n">
        <f aca="false">+Chạy!N26</f>
        <v>6.25</v>
      </c>
      <c r="N29" s="17" t="n">
        <f aca="false">+M29+O29</f>
        <v>6.2586</v>
      </c>
      <c r="O29" s="17" t="n">
        <f aca="false">RANDBETWEEN(-105,115)/10000</f>
        <v>0.0086</v>
      </c>
      <c r="P29" s="17" t="n">
        <f aca="false">+Chạy!O26</f>
        <v>-0.45</v>
      </c>
      <c r="Q29" s="17" t="n">
        <f aca="false">P29+R29</f>
        <v>-0.466</v>
      </c>
      <c r="R29" s="17" t="n">
        <f aca="false">RANDBETWEEN(-30,90)/1000</f>
        <v>-0.016</v>
      </c>
      <c r="S29" s="18"/>
      <c r="T29" s="0" t="n">
        <v>20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349.25</v>
      </c>
      <c r="D30" s="17" t="n">
        <f aca="false">+Chạy!F30</f>
        <v>-6.25</v>
      </c>
      <c r="E30" s="17" t="n">
        <f aca="false">+D30+F30</f>
        <v>-6.2397</v>
      </c>
      <c r="F30" s="17" t="n">
        <f aca="false">RANDBETWEEN(-105,115)/10000</f>
        <v>0.0103</v>
      </c>
      <c r="G30" s="17" t="n">
        <f aca="false">+Chạy!G30</f>
        <v>-0.45</v>
      </c>
      <c r="H30" s="17" t="n">
        <f aca="false">G30+I30</f>
        <v>-0.37</v>
      </c>
      <c r="I30" s="17" t="n">
        <f aca="false">RANDBETWEEN(-30,90)/1000</f>
        <v>0.08</v>
      </c>
      <c r="J30" s="17" t="n">
        <f aca="false">+Chạy!K30</f>
        <v>-0.45</v>
      </c>
      <c r="K30" s="17" t="n">
        <f aca="false">J30+L30</f>
        <v>-0.463</v>
      </c>
      <c r="L30" s="17" t="n">
        <f aca="false">RANDBETWEEN(-30,90)/1000</f>
        <v>-0.013</v>
      </c>
      <c r="M30" s="17" t="n">
        <f aca="false">+Chạy!N30</f>
        <v>6.25</v>
      </c>
      <c r="N30" s="17" t="n">
        <f aca="false">+M30+O30</f>
        <v>6.2414</v>
      </c>
      <c r="O30" s="17" t="n">
        <f aca="false">RANDBETWEEN(-105,115)/10000</f>
        <v>-0.0086</v>
      </c>
      <c r="P30" s="17" t="n">
        <f aca="false">+Chạy!O30</f>
        <v>-0.45</v>
      </c>
      <c r="Q30" s="17" t="n">
        <f aca="false">P30+R30</f>
        <v>-0.371</v>
      </c>
      <c r="R30" s="17" t="n">
        <f aca="false">RANDBETWEEN(-30,90)/1000</f>
        <v>0.079</v>
      </c>
      <c r="S30" s="18"/>
      <c r="T30" s="0" t="n">
        <v>19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368.25</v>
      </c>
      <c r="D31" s="17" t="n">
        <f aca="false">+Chạy!F34</f>
        <v>-9.86</v>
      </c>
      <c r="E31" s="17" t="n">
        <f aca="false">+D31+F31</f>
        <v>-9.8531</v>
      </c>
      <c r="F31" s="17" t="n">
        <f aca="false">RANDBETWEEN(-105,115)/10000</f>
        <v>0.0069</v>
      </c>
      <c r="G31" s="17" t="n">
        <f aca="false">+Chạy!G34</f>
        <v>-0.45</v>
      </c>
      <c r="H31" s="17" t="n">
        <f aca="false">G31+I31</f>
        <v>-0.37</v>
      </c>
      <c r="I31" s="17" t="n">
        <f aca="false">RANDBETWEEN(-30,90)/1000</f>
        <v>0.08</v>
      </c>
      <c r="J31" s="17" t="n">
        <f aca="false">+Chạy!K34</f>
        <v>-0.45</v>
      </c>
      <c r="K31" s="17" t="n">
        <f aca="false">J31+L31</f>
        <v>-0.363</v>
      </c>
      <c r="L31" s="17" t="n">
        <f aca="false">RANDBETWEEN(-30,90)/1000</f>
        <v>0.087</v>
      </c>
      <c r="M31" s="17" t="n">
        <f aca="false">+Chạy!N34</f>
        <v>6.25</v>
      </c>
      <c r="N31" s="17" t="n">
        <f aca="false">+M31+O31</f>
        <v>6.2499</v>
      </c>
      <c r="O31" s="17" t="n">
        <f aca="false">RANDBETWEEN(-105,115)/10000</f>
        <v>-0.0001</v>
      </c>
      <c r="P31" s="17" t="n">
        <f aca="false">+Chạy!O34</f>
        <v>-0.45</v>
      </c>
      <c r="Q31" s="17" t="n">
        <f aca="false">P31+R31</f>
        <v>-0.445</v>
      </c>
      <c r="R31" s="17" t="n">
        <f aca="false">RANDBETWEEN(-30,90)/1000</f>
        <v>0.005</v>
      </c>
      <c r="S31" s="18"/>
      <c r="T31" s="0" t="n">
        <v>13.25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381.5</v>
      </c>
      <c r="D32" s="17" t="n">
        <f aca="false">+Chạy!F38</f>
        <v>-10.19</v>
      </c>
      <c r="E32" s="17" t="n">
        <f aca="false">+D32+F32</f>
        <v>-10.183</v>
      </c>
      <c r="F32" s="17" t="n">
        <f aca="false">RANDBETWEEN(-105,115)/10000</f>
        <v>0.007</v>
      </c>
      <c r="G32" s="17" t="n">
        <f aca="false">+Chạy!G38</f>
        <v>-0.45</v>
      </c>
      <c r="H32" s="17" t="n">
        <f aca="false">G32+I32</f>
        <v>-0.447</v>
      </c>
      <c r="I32" s="17" t="n">
        <f aca="false">RANDBETWEEN(-30,90)/1000</f>
        <v>0.003</v>
      </c>
      <c r="J32" s="17" t="n">
        <f aca="false">+Chạy!K38</f>
        <v>-0.45</v>
      </c>
      <c r="K32" s="17" t="n">
        <f aca="false">J32+L32</f>
        <v>-0.385</v>
      </c>
      <c r="L32" s="17" t="n">
        <f aca="false">RANDBETWEEN(-30,90)/1000</f>
        <v>0.065</v>
      </c>
      <c r="M32" s="17" t="n">
        <f aca="false">+Chạy!N38</f>
        <v>10.02</v>
      </c>
      <c r="N32" s="17" t="n">
        <f aca="false">+M32+O32</f>
        <v>10.0288</v>
      </c>
      <c r="O32" s="17" t="n">
        <f aca="false">RANDBETWEEN(-105,115)/10000</f>
        <v>0.0088</v>
      </c>
      <c r="P32" s="17" t="n">
        <f aca="false">+Chạy!O38</f>
        <v>-0.45</v>
      </c>
      <c r="Q32" s="17" t="n">
        <f aca="false">P32+R32</f>
        <v>-0.405</v>
      </c>
      <c r="R32" s="17" t="n">
        <f aca="false">RANDBETWEEN(-30,90)/1000</f>
        <v>0.045</v>
      </c>
      <c r="S32" s="18"/>
      <c r="T32" s="0" t="n">
        <v>13.25</v>
      </c>
    </row>
    <row r="33" customFormat="false" ht="15" hidden="false" customHeight="false" outlineLevel="0" collapsed="false">
      <c r="A33" s="14" t="n">
        <v>11</v>
      </c>
      <c r="B33" s="14" t="s">
        <v>27</v>
      </c>
      <c r="C33" s="71" t="n">
        <f aca="false">+C32+T32</f>
        <v>394.75</v>
      </c>
      <c r="D33" s="17" t="n">
        <f aca="false">+Chạy!F42</f>
        <v>-9.86</v>
      </c>
      <c r="E33" s="17" t="n">
        <f aca="false">+D33+F33</f>
        <v>-9.8663</v>
      </c>
      <c r="F33" s="17" t="n">
        <f aca="false">RANDBETWEEN(-105,115)/10000</f>
        <v>-0.0063</v>
      </c>
      <c r="G33" s="17" t="n">
        <f aca="false">+Chạy!G42</f>
        <v>-0.45</v>
      </c>
      <c r="H33" s="17" t="n">
        <f aca="false">G33+I33</f>
        <v>-0.436</v>
      </c>
      <c r="I33" s="17" t="n">
        <f aca="false">RANDBETWEEN(-30,90)/1000</f>
        <v>0.014</v>
      </c>
      <c r="J33" s="17" t="n">
        <f aca="false">+Chạy!K42</f>
        <v>-0.45</v>
      </c>
      <c r="K33" s="17" t="n">
        <f aca="false">J33+L33</f>
        <v>-0.427</v>
      </c>
      <c r="L33" s="17" t="n">
        <f aca="false">RANDBETWEEN(-30,90)/1000</f>
        <v>0.023</v>
      </c>
      <c r="M33" s="17" t="n">
        <f aca="false">+Chạy!N42</f>
        <v>9.99</v>
      </c>
      <c r="N33" s="17" t="n">
        <f aca="false">+M33+O33</f>
        <v>9.9912</v>
      </c>
      <c r="O33" s="17" t="n">
        <f aca="false">RANDBETWEEN(-105,115)/10000</f>
        <v>0.0012</v>
      </c>
      <c r="P33" s="17" t="n">
        <f aca="false">+Chạy!O42</f>
        <v>-0.45</v>
      </c>
      <c r="Q33" s="17" t="n">
        <f aca="false">P33+R33</f>
        <v>-0.388</v>
      </c>
      <c r="R33" s="17" t="n">
        <f aca="false">RANDBETWEEN(-30,90)/1000</f>
        <v>0.062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50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51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52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53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07.NĐXD8/CVXD ngày 19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7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4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12</v>
      </c>
      <c r="C11" s="16" t="n">
        <f aca="false">'4.KTHH L4'!C23</f>
        <v>224.25</v>
      </c>
      <c r="D11" s="14" t="n">
        <f aca="false">'4.KTHH L4'!T23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4.91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92.1275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13</v>
      </c>
      <c r="C12" s="16" t="n">
        <f aca="false">'4.KTHH L4'!C24</f>
        <v>245.75</v>
      </c>
      <c r="D12" s="14" t="n">
        <f aca="false">'4.KTHH L4'!T24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3.66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43.005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B5</v>
      </c>
      <c r="C13" s="16" t="n">
        <f aca="false">'4.KTHH L4'!C25</f>
        <v>257.5</v>
      </c>
      <c r="D13" s="14" t="n">
        <f aca="false">'4.KTHH L4'!T25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3.66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43.005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14</v>
      </c>
      <c r="C14" s="16" t="n">
        <f aca="false">'4.KTHH L4'!C26</f>
        <v>269.25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3.66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73.2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15</v>
      </c>
      <c r="C15" s="16" t="n">
        <f aca="false">'4.KTHH L4'!C27</f>
        <v>289.25</v>
      </c>
      <c r="D15" s="14" t="n">
        <f aca="false">'4.KTHH L4'!T27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3.66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73.2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16</v>
      </c>
      <c r="C16" s="16" t="n">
        <f aca="false">'4.KTHH L4'!C28</f>
        <v>309.25</v>
      </c>
      <c r="D16" s="14" t="n">
        <f aca="false">'4.KTHH L4'!T28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3.66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73.2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17</v>
      </c>
      <c r="C17" s="16" t="n">
        <f aca="false">'4.KTHH L4'!C29</f>
        <v>329.25</v>
      </c>
      <c r="D17" s="14" t="n">
        <f aca="false">'4.KTHH L4'!T29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3.66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73.2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18</v>
      </c>
      <c r="C18" s="16" t="n">
        <f aca="false">'4.KTHH L4'!C30</f>
        <v>349.25</v>
      </c>
      <c r="D18" s="14" t="n">
        <f aca="false">'4.KTHH L4'!T30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3.66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79.895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19</v>
      </c>
      <c r="C19" s="16" t="n">
        <f aca="false">'4.KTHH L4'!C31</f>
        <v>368.25</v>
      </c>
      <c r="D19" s="14" t="n">
        <f aca="false">'4.KTHH L4'!T31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4.75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71.02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C2</v>
      </c>
      <c r="C20" s="16" t="n">
        <f aca="false">'4.KTHH L4'!C32</f>
        <v>381.5</v>
      </c>
      <c r="D20" s="14" t="n">
        <f aca="false">'4.KTHH L4'!T32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5.97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78.44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'4.KTHH L4'!B33</f>
        <v>20</v>
      </c>
      <c r="C21" s="16" t="n">
        <f aca="false">'4.KTHH L4'!C33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Chạy!E42</f>
        <v>5.87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SUM(W11:W21)</f>
        <v>700.2925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