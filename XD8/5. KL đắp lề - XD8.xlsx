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<sst xmlns="http://schemas.openxmlformats.org/spreadsheetml/2006/main" count="2176" uniqueCount="90">
  <si>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</si>
  <si>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</si>
  <si>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</si>
  <si>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</si>
  <si>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</si>
  <si>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</si>
  <si>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</si>
  <si>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</si>
  <si>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</si>
  <si>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</si>
  <si>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</si>
  <si>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</si>
  <si>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</si>
  <si>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</si>
  <si>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</si>
  <si>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</si>
  <si>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</si>
  <si>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B4</t>
  </si>
  <si>
    <t xml:space="preserve">-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</si>
  <si>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</si>
  <si>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</si>
  <si>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</si>
  <si>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</si>
  <si>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</si>
  <si>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</si>
  <si>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</si>
  <si>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</si>
  <si>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</si>
  <si>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</si>
  <si>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</si>
  <si>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</si>
  <si>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</si>
  <si>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</si>
  <si>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</si>
  <si>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</si>
  <si>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</si>
  <si>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</si>
  <si>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</si>
  <si>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</si>
  <si>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</si>
  <si>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</si>
  <si>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</si>
  <si>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29</t>
  </si>
  <si>
    <t xml:space="preserve">30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</si>
  <si>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</si>
  <si>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</si>
  <si>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</si>
  <si>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</si>
  <si>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</si>
  <si>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</si>
  <si>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</si>
  <si>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</si>
  <si>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G6</t>
  </si>
  <si>
    <t xml:space="preserve">PHỤ LỤC KIỂM TRA CAO ĐỘ, KÍCH THƯỚC HÌNH HỌC</t>
  </si>
  <si>
    <t xml:space="preserve">Kèm theo BBNT số: 18.NĐXD8/CVXD ngày 24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</si>
  <si>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</si>
  <si>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</si>
  <si>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</si>
  <si>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</si>
  <si>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</si>
  <si>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lề đường lớp 1, độ chặt K&gt;=0,95 đoạn từ Km0+211,00 - Km0+737,36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</si>
  <si>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</si>
  <si>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</si>
  <si>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</si>
  <si>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</si>
  <si>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</si>
  <si>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</si>
  <si>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</si>
  <si>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</si>
  <si>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</si>
  <si>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</si>
  <si>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</si>
  <si>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</si>
  <si>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</si>
  <si>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</si>
  <si>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</si>
  <si>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</si>
  <si>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</si>
  <si>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</si>
  <si>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</si>
  <si>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</si>
  <si>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</si>
  <si>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</si>
  <si>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20.NĐXD8/CVXD ngày 25 tháng 08 năm 2026</t>
  </si>
  <si>
    <t xml:space="preserve">Đắp đất lề đường lớp 2, độ chặt K&gt;=0,95 đoạn từ Km0+211,00 - Km0+737,36</t>
  </si>
  <si>
    <t xml:space="preserve">Kèm theo BBNT số: 22.NĐXD8/CVXD ngày 26 tháng 08 năm 2026</t>
  </si>
  <si>
    <t xml:space="preserve">Đắp đất lề đường lớp 3, độ chặt K&gt;=0,95 đoạn từ Km0+211,00 - Km0+737,36</t>
  </si>
  <si>
    <t xml:space="preserve">Kèm theo BBNT số: 23.NĐXD8/CVXD ngày 27 tháng 08 năm 2026</t>
  </si>
  <si>
    <t xml:space="preserve">Đắp đất lề đường lớp 4, độ chặt K&gt;=0,95 đoạn từ Km0+211,00 - Km0+737,36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</si>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</sst>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211</v>
      </c>
      <c r="D2" s="0" t="n">
        <v>4</v>
      </c>
      <c r="E2" s="0" t="n">
        <v>1.56</v>
      </c>
      <c r="F2" s="0" t="n">
        <v>-10.12</v>
      </c>
      <c r="G2" s="2" t="n">
        <v>3.07</v>
      </c>
      <c r="H2" s="0" t="n">
        <v>-5.51</v>
      </c>
      <c r="I2" s="2" t="n">
        <v>2.79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2.73</v>
      </c>
      <c r="H3" s="0" t="n">
        <v>-5.25</v>
      </c>
      <c r="I3" s="2" t="n">
        <v>2.73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2.55</v>
      </c>
      <c r="H4" s="0" t="n">
        <v>-5.25</v>
      </c>
      <c r="I4" s="2" t="n">
        <v>2.55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2.3</v>
      </c>
      <c r="H5" s="0" t="n">
        <v>-5.25</v>
      </c>
      <c r="I5" s="2" t="n">
        <v>2.3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211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2.98</v>
      </c>
      <c r="N6" s="0" t="n">
        <v>10.12</v>
      </c>
      <c r="O6" s="2" t="n">
        <v>2.97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2.73</v>
      </c>
      <c r="N7" s="0" t="n">
        <v>10.93</v>
      </c>
      <c r="O7" s="2" t="n">
        <v>2.73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2.55</v>
      </c>
      <c r="N8" s="0" t="n">
        <v>11.2</v>
      </c>
      <c r="O8" s="2" t="n">
        <v>2.55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2.3</v>
      </c>
      <c r="N9" s="0" t="n">
        <v>11.58</v>
      </c>
      <c r="O9" s="2" t="n">
        <v>2.3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224.25</v>
      </c>
      <c r="D10" s="0" t="n">
        <v>4</v>
      </c>
      <c r="E10" s="0" t="n">
        <v>1.56</v>
      </c>
      <c r="F10" s="0" t="n">
        <v>-10.12</v>
      </c>
      <c r="G10" s="2" t="n">
        <v>3.06</v>
      </c>
      <c r="H10" s="0" t="n">
        <v>-5.51</v>
      </c>
      <c r="I10" s="2" t="n">
        <v>2.78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2.72</v>
      </c>
      <c r="H11" s="0" t="n">
        <v>-5.25</v>
      </c>
      <c r="I11" s="2" t="n">
        <v>2.72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2.54</v>
      </c>
      <c r="H12" s="0" t="n">
        <v>-5.25</v>
      </c>
      <c r="I12" s="2" t="n">
        <v>2.54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2.29</v>
      </c>
      <c r="H13" s="0" t="n">
        <v>-5.25</v>
      </c>
      <c r="I13" s="2" t="n">
        <v>2.29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224.25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2.97</v>
      </c>
      <c r="N14" s="0" t="n">
        <v>10.12</v>
      </c>
      <c r="O14" s="2" t="n">
        <v>2.97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2.72</v>
      </c>
      <c r="N15" s="0" t="n">
        <v>10.93</v>
      </c>
      <c r="O15" s="2" t="n">
        <v>2.72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2.54</v>
      </c>
      <c r="N16" s="0" t="n">
        <v>11.2</v>
      </c>
      <c r="O16" s="2" t="n">
        <v>2.54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2.29</v>
      </c>
      <c r="N17" s="0" t="n">
        <v>11.58</v>
      </c>
      <c r="O17" s="2" t="n">
        <v>2.29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245.75</v>
      </c>
      <c r="D18" s="0" t="n">
        <v>4</v>
      </c>
      <c r="E18" s="0" t="n">
        <v>1.56</v>
      </c>
      <c r="F18" s="0" t="n">
        <v>-10.12</v>
      </c>
      <c r="G18" s="2" t="n">
        <v>3.04</v>
      </c>
      <c r="H18" s="0" t="n">
        <v>-5.51</v>
      </c>
      <c r="I18" s="2" t="n">
        <v>2.76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2.7</v>
      </c>
      <c r="H19" s="0" t="n">
        <v>-5.25</v>
      </c>
      <c r="I19" s="2" t="n">
        <v>2.7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2.52</v>
      </c>
      <c r="H20" s="0" t="n">
        <v>-5.25</v>
      </c>
      <c r="I20" s="2" t="n">
        <v>2.52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2.27</v>
      </c>
      <c r="H21" s="0" t="n">
        <v>-5.25</v>
      </c>
      <c r="I21" s="2" t="n">
        <v>2.27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245.75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2.95</v>
      </c>
      <c r="N22" s="0" t="n">
        <v>10.12</v>
      </c>
      <c r="O22" s="2" t="n">
        <v>2.95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2.7</v>
      </c>
      <c r="N23" s="0" t="n">
        <v>10.93</v>
      </c>
      <c r="O23" s="2" t="n">
        <v>2.7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2.52</v>
      </c>
      <c r="N24" s="0" t="n">
        <v>11.2</v>
      </c>
      <c r="O24" s="2" t="n">
        <v>2.52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2.27</v>
      </c>
      <c r="N25" s="0" t="n">
        <v>11.58</v>
      </c>
      <c r="O25" s="2" t="n">
        <v>2.27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257.5</v>
      </c>
      <c r="D26" s="0" t="n">
        <v>4</v>
      </c>
      <c r="E26" s="0" t="n">
        <v>1.56</v>
      </c>
      <c r="F26" s="0" t="n">
        <v>-10.12</v>
      </c>
      <c r="G26" s="2" t="n">
        <v>3.04</v>
      </c>
      <c r="H26" s="0" t="n">
        <v>-5.51</v>
      </c>
      <c r="I26" s="2" t="n">
        <v>2.75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2.69</v>
      </c>
      <c r="H27" s="0" t="n">
        <v>-5.25</v>
      </c>
      <c r="I27" s="2" t="n">
        <v>2.69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2.51</v>
      </c>
      <c r="H28" s="0" t="n">
        <v>-5.25</v>
      </c>
      <c r="I28" s="2" t="n">
        <v>2.51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2.26</v>
      </c>
      <c r="H29" s="0" t="n">
        <v>-5.25</v>
      </c>
      <c r="I29" s="2" t="n">
        <v>2.26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257.5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2.94</v>
      </c>
      <c r="N30" s="0" t="n">
        <v>10.12</v>
      </c>
      <c r="O30" s="2" t="n">
        <v>2.94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2.69</v>
      </c>
      <c r="N31" s="0" t="n">
        <v>10.93</v>
      </c>
      <c r="O31" s="2" t="n">
        <v>2.69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2.51</v>
      </c>
      <c r="N32" s="0" t="n">
        <v>11.2</v>
      </c>
      <c r="O32" s="2" t="n">
        <v>2.51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2.26</v>
      </c>
      <c r="N33" s="0" t="n">
        <v>11.58</v>
      </c>
      <c r="O33" s="2" t="n">
        <v>2.26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269.25</v>
      </c>
      <c r="D34" s="0" t="n">
        <v>4</v>
      </c>
      <c r="E34" s="0" t="n">
        <v>1.56</v>
      </c>
      <c r="F34" s="0" t="n">
        <v>-10.12</v>
      </c>
      <c r="G34" s="2" t="n">
        <v>3.03</v>
      </c>
      <c r="H34" s="0" t="n">
        <v>-5.51</v>
      </c>
      <c r="I34" s="2" t="n">
        <v>2.75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2.69</v>
      </c>
      <c r="H35" s="0" t="n">
        <v>-5.25</v>
      </c>
      <c r="I35" s="2" t="n">
        <v>2.69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2.51</v>
      </c>
      <c r="H36" s="0" t="n">
        <v>-5.25</v>
      </c>
      <c r="I36" s="2" t="n">
        <v>2.51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2.26</v>
      </c>
      <c r="H37" s="0" t="n">
        <v>-5.25</v>
      </c>
      <c r="I37" s="2" t="n">
        <v>2.26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269.25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2.94</v>
      </c>
      <c r="N38" s="0" t="n">
        <v>10.12</v>
      </c>
      <c r="O38" s="2" t="n">
        <v>2.93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2.69</v>
      </c>
      <c r="N39" s="0" t="n">
        <v>10.93</v>
      </c>
      <c r="O39" s="2" t="n">
        <v>2.69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2.51</v>
      </c>
      <c r="N40" s="0" t="n">
        <v>11.2</v>
      </c>
      <c r="O40" s="2" t="n">
        <v>2.51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2.26</v>
      </c>
      <c r="N41" s="0" t="n">
        <v>11.58</v>
      </c>
      <c r="O41" s="2" t="n">
        <v>2.26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289.25</v>
      </c>
      <c r="D42" s="0" t="n">
        <v>4</v>
      </c>
      <c r="E42" s="0" t="n">
        <v>1.56</v>
      </c>
      <c r="F42" s="0" t="n">
        <v>-10.12</v>
      </c>
      <c r="G42" s="2" t="n">
        <v>3.02</v>
      </c>
      <c r="H42" s="0" t="n">
        <v>-5.51</v>
      </c>
      <c r="I42" s="2" t="n">
        <v>2.73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2.68</v>
      </c>
      <c r="H43" s="0" t="n">
        <v>-5.25</v>
      </c>
      <c r="I43" s="2" t="n">
        <v>2.68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2.5</v>
      </c>
      <c r="H44" s="0" t="n">
        <v>-5.25</v>
      </c>
      <c r="I44" s="2" t="n">
        <v>2.5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2.25</v>
      </c>
      <c r="H45" s="0" t="n">
        <v>-5.25</v>
      </c>
      <c r="I45" s="2" t="n">
        <v>2.25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289.25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2.92</v>
      </c>
      <c r="N46" s="0" t="n">
        <v>10.12</v>
      </c>
      <c r="O46" s="2" t="n">
        <v>2.92</v>
      </c>
      <c r="P46" s="0" t="n">
        <v>5.47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2.68</v>
      </c>
      <c r="N47" s="0" t="n">
        <v>10.93</v>
      </c>
      <c r="O47" s="2" t="n">
        <v>2.68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2.5</v>
      </c>
      <c r="N48" s="0" t="n">
        <v>11.2</v>
      </c>
      <c r="O48" s="2" t="n">
        <v>2.5</v>
      </c>
    </row>
    <row r="49" customFormat="false" ht="15" hidden="false" customHeight="false" outlineLevel="0" collapsed="false">
      <c r="D49" s="0" t="n">
        <v>1</v>
      </c>
      <c r="E49" s="0" t="n">
        <v>1.33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2.25</v>
      </c>
      <c r="N49" s="0" t="n">
        <v>11.58</v>
      </c>
      <c r="O49" s="2" t="n">
        <v>2.25</v>
      </c>
    </row>
    <row r="50" customFormat="false" ht="15" hidden="false" customHeight="false" outlineLevel="0" collapsed="false">
      <c r="A50" s="1" t="n">
        <v>7</v>
      </c>
      <c r="B50" s="2" t="s">
        <v>24</v>
      </c>
      <c r="C50" s="0" t="n">
        <v>309.25</v>
      </c>
      <c r="D50" s="0" t="n">
        <v>4</v>
      </c>
      <c r="E50" s="0" t="n">
        <v>1.56</v>
      </c>
      <c r="F50" s="0" t="n">
        <v>-10.12</v>
      </c>
      <c r="G50" s="2" t="n">
        <v>3.01</v>
      </c>
      <c r="H50" s="0" t="n">
        <v>-5.51</v>
      </c>
      <c r="I50" s="2" t="n">
        <v>2.72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5.67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-10.93</v>
      </c>
      <c r="G51" s="2" t="n">
        <v>2.66</v>
      </c>
      <c r="H51" s="0" t="n">
        <v>-5.25</v>
      </c>
      <c r="I51" s="2" t="n">
        <v>2.66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-11.2</v>
      </c>
      <c r="G52" s="2" t="n">
        <v>2.48</v>
      </c>
      <c r="H52" s="0" t="n">
        <v>-5.25</v>
      </c>
      <c r="I52" s="2" t="n">
        <v>2.48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1.53</v>
      </c>
      <c r="F53" s="0" t="n">
        <v>-11.58</v>
      </c>
      <c r="G53" s="2" t="n">
        <v>2.23</v>
      </c>
      <c r="H53" s="0" t="n">
        <v>-5.25</v>
      </c>
      <c r="I53" s="2" t="n">
        <v>2.23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24</v>
      </c>
      <c r="C54" s="0" t="n">
        <v>309.25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5.51</v>
      </c>
      <c r="M54" s="2" t="n">
        <v>2.91</v>
      </c>
      <c r="N54" s="0" t="n">
        <v>10.12</v>
      </c>
      <c r="O54" s="2" t="n">
        <v>2.91</v>
      </c>
      <c r="P54" s="0" t="n">
        <v>4.33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0.93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5.25</v>
      </c>
      <c r="M55" s="2" t="n">
        <v>2.66</v>
      </c>
      <c r="N55" s="0" t="n">
        <v>10.93</v>
      </c>
      <c r="O55" s="2" t="n">
        <v>2.66</v>
      </c>
    </row>
    <row r="56" customFormat="false" ht="15" hidden="false" customHeight="false" outlineLevel="0" collapsed="false">
      <c r="D56" s="0" t="n">
        <v>2</v>
      </c>
      <c r="E56" s="0" t="n">
        <v>0.95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5.25</v>
      </c>
      <c r="M56" s="2" t="n">
        <v>2.48</v>
      </c>
      <c r="N56" s="0" t="n">
        <v>9.18</v>
      </c>
      <c r="O56" s="2" t="n">
        <v>2.48</v>
      </c>
    </row>
    <row r="57" customFormat="false" ht="15" hidden="false" customHeight="false" outlineLevel="0" collapsed="false">
      <c r="D57" s="0" t="n">
        <v>1</v>
      </c>
      <c r="E57" s="0" t="n">
        <v>0.89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5.25</v>
      </c>
      <c r="M57" s="2" t="n">
        <v>2.23</v>
      </c>
      <c r="N57" s="0" t="n">
        <v>8.93</v>
      </c>
      <c r="O57" s="2" t="n">
        <v>2.23</v>
      </c>
    </row>
    <row r="58" customFormat="false" ht="15" hidden="false" customHeight="false" outlineLevel="0" collapsed="false">
      <c r="A58" s="1" t="n">
        <v>8</v>
      </c>
      <c r="B58" s="2" t="s">
        <v>25</v>
      </c>
      <c r="C58" s="0" t="n">
        <v>329.25</v>
      </c>
      <c r="D58" s="0" t="n">
        <v>4</v>
      </c>
      <c r="E58" s="0" t="n">
        <v>1.56</v>
      </c>
      <c r="F58" s="0" t="n">
        <v>-10.12</v>
      </c>
      <c r="G58" s="2" t="n">
        <v>2.99</v>
      </c>
      <c r="H58" s="0" t="n">
        <v>-5.51</v>
      </c>
      <c r="I58" s="2" t="n">
        <v>2.71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5.76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-10.93</v>
      </c>
      <c r="G59" s="2" t="n">
        <v>2.65</v>
      </c>
      <c r="H59" s="0" t="n">
        <v>-5.25</v>
      </c>
      <c r="I59" s="2" t="n">
        <v>2.65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-11.2</v>
      </c>
      <c r="G60" s="2" t="n">
        <v>2.47</v>
      </c>
      <c r="H60" s="0" t="n">
        <v>-5.25</v>
      </c>
      <c r="I60" s="2" t="n">
        <v>2.47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1.62</v>
      </c>
      <c r="F61" s="0" t="n">
        <v>-11.58</v>
      </c>
      <c r="G61" s="2" t="n">
        <v>2.22</v>
      </c>
      <c r="H61" s="0" t="n">
        <v>-5.25</v>
      </c>
      <c r="I61" s="2" t="n">
        <v>2.22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25</v>
      </c>
      <c r="C62" s="0" t="n">
        <v>329.25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5.51</v>
      </c>
      <c r="M62" s="2" t="n">
        <v>2.9</v>
      </c>
      <c r="N62" s="0" t="n">
        <v>10.12</v>
      </c>
      <c r="O62" s="2" t="n">
        <v>2.9</v>
      </c>
      <c r="P62" s="0" t="n">
        <v>4.64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5.25</v>
      </c>
      <c r="M63" s="2" t="n">
        <v>2.65</v>
      </c>
      <c r="N63" s="0" t="n">
        <v>10.93</v>
      </c>
      <c r="O63" s="2" t="n">
        <v>2.65</v>
      </c>
    </row>
    <row r="64" customFormat="false" ht="15" hidden="false" customHeight="false" outlineLevel="0" collapsed="false">
      <c r="D64" s="0" t="n">
        <v>2</v>
      </c>
      <c r="E64" s="0" t="n">
        <v>1.14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5.25</v>
      </c>
      <c r="M64" s="2" t="n">
        <v>2.47</v>
      </c>
      <c r="N64" s="0" t="n">
        <v>11.2</v>
      </c>
      <c r="O64" s="2" t="n">
        <v>2.47</v>
      </c>
    </row>
    <row r="65" customFormat="false" ht="15" hidden="false" customHeight="false" outlineLevel="0" collapsed="false">
      <c r="D65" s="0" t="n">
        <v>1</v>
      </c>
      <c r="E65" s="0" t="n">
        <v>0.89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5.25</v>
      </c>
      <c r="M65" s="2" t="n">
        <v>2.22</v>
      </c>
      <c r="N65" s="0" t="n">
        <v>8.92</v>
      </c>
      <c r="O65" s="2" t="n">
        <v>2.22</v>
      </c>
    </row>
    <row r="66" customFormat="false" ht="15" hidden="false" customHeight="false" outlineLevel="0" collapsed="false">
      <c r="A66" s="1" t="n">
        <v>9</v>
      </c>
      <c r="B66" s="2" t="s">
        <v>26</v>
      </c>
      <c r="C66" s="0" t="n">
        <v>349.25</v>
      </c>
      <c r="D66" s="0" t="n">
        <v>4</v>
      </c>
      <c r="E66" s="0" t="n">
        <v>1.56</v>
      </c>
      <c r="F66" s="0" t="n">
        <v>-10.12</v>
      </c>
      <c r="G66" s="2" t="n">
        <v>2.98</v>
      </c>
      <c r="H66" s="0" t="n">
        <v>-5.51</v>
      </c>
      <c r="I66" s="2" t="n">
        <v>2.7</v>
      </c>
      <c r="J66" s="1" t="s">
        <v>18</v>
      </c>
      <c r="K66" s="1" t="s">
        <v>18</v>
      </c>
      <c r="L66" s="1" t="s">
        <v>18</v>
      </c>
      <c r="M66" s="2" t="s">
        <v>18</v>
      </c>
      <c r="N66" s="1" t="s">
        <v>18</v>
      </c>
      <c r="O66" s="2" t="s">
        <v>18</v>
      </c>
      <c r="P66" s="0" t="n">
        <v>5.77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1.05</v>
      </c>
      <c r="F67" s="0" t="n">
        <v>-10.93</v>
      </c>
      <c r="G67" s="2" t="n">
        <v>2.64</v>
      </c>
      <c r="H67" s="0" t="n">
        <v>-5.25</v>
      </c>
      <c r="I67" s="2" t="n">
        <v>2.64</v>
      </c>
      <c r="J67" s="1" t="s">
        <v>18</v>
      </c>
      <c r="K67" s="1" t="s">
        <v>18</v>
      </c>
      <c r="L67" s="1" t="s">
        <v>18</v>
      </c>
      <c r="M67" s="2" t="s">
        <v>18</v>
      </c>
      <c r="N67" s="1" t="s">
        <v>18</v>
      </c>
      <c r="O67" s="2" t="s">
        <v>18</v>
      </c>
    </row>
    <row r="68" customFormat="false" ht="15" hidden="false" customHeight="false" outlineLevel="0" collapsed="false">
      <c r="D68" s="0" t="n">
        <v>2</v>
      </c>
      <c r="E68" s="0" t="n">
        <v>1.53</v>
      </c>
      <c r="F68" s="0" t="n">
        <v>-11.2</v>
      </c>
      <c r="G68" s="2" t="n">
        <v>2.46</v>
      </c>
      <c r="H68" s="0" t="n">
        <v>-5.25</v>
      </c>
      <c r="I68" s="2" t="n">
        <v>2.46</v>
      </c>
      <c r="J68" s="1" t="s">
        <v>18</v>
      </c>
      <c r="K68" s="1" t="s">
        <v>18</v>
      </c>
      <c r="L68" s="1" t="s">
        <v>18</v>
      </c>
      <c r="M68" s="2" t="s">
        <v>18</v>
      </c>
      <c r="N68" s="1" t="s">
        <v>18</v>
      </c>
      <c r="O68" s="2" t="s">
        <v>18</v>
      </c>
    </row>
    <row r="69" customFormat="false" ht="15" hidden="false" customHeight="false" outlineLevel="0" collapsed="false">
      <c r="D69" s="0" t="n">
        <v>1</v>
      </c>
      <c r="E69" s="0" t="n">
        <v>1.63</v>
      </c>
      <c r="F69" s="0" t="n">
        <v>-11.58</v>
      </c>
      <c r="G69" s="2" t="n">
        <v>2.21</v>
      </c>
      <c r="H69" s="0" t="n">
        <v>-5.25</v>
      </c>
      <c r="I69" s="2" t="n">
        <v>2.21</v>
      </c>
      <c r="J69" s="1" t="s">
        <v>18</v>
      </c>
      <c r="K69" s="1" t="s">
        <v>18</v>
      </c>
      <c r="L69" s="1" t="s">
        <v>18</v>
      </c>
      <c r="M69" s="2" t="s">
        <v>18</v>
      </c>
      <c r="N69" s="1" t="s">
        <v>18</v>
      </c>
      <c r="O69" s="2" t="s">
        <v>18</v>
      </c>
    </row>
    <row r="70" customFormat="false" ht="15" hidden="false" customHeight="false" outlineLevel="0" collapsed="false">
      <c r="A70" s="1" t="n">
        <v>9</v>
      </c>
      <c r="B70" s="2" t="s">
        <v>26</v>
      </c>
      <c r="C70" s="0" t="n">
        <v>349.25</v>
      </c>
      <c r="D70" s="0" t="n">
        <v>4</v>
      </c>
      <c r="E70" s="0" t="n">
        <v>1.56</v>
      </c>
      <c r="F70" s="1" t="s">
        <v>18</v>
      </c>
      <c r="G70" s="2" t="s">
        <v>18</v>
      </c>
      <c r="H70" s="1" t="s">
        <v>18</v>
      </c>
      <c r="I70" s="2" t="s">
        <v>18</v>
      </c>
      <c r="J70" s="1" t="s">
        <v>18</v>
      </c>
      <c r="K70" s="1" t="s">
        <v>18</v>
      </c>
      <c r="L70" s="0" t="n">
        <v>5.51</v>
      </c>
      <c r="M70" s="2" t="n">
        <v>2.89</v>
      </c>
      <c r="N70" s="0" t="n">
        <v>10.12</v>
      </c>
      <c r="O70" s="2" t="n">
        <v>2.89</v>
      </c>
      <c r="P70" s="0" t="n">
        <v>5.47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1.05</v>
      </c>
      <c r="F71" s="1" t="s">
        <v>18</v>
      </c>
      <c r="G71" s="2" t="s">
        <v>18</v>
      </c>
      <c r="H71" s="1" t="s">
        <v>18</v>
      </c>
      <c r="I71" s="2" t="s">
        <v>18</v>
      </c>
      <c r="J71" s="1" t="s">
        <v>18</v>
      </c>
      <c r="K71" s="1" t="s">
        <v>18</v>
      </c>
      <c r="L71" s="0" t="n">
        <v>5.25</v>
      </c>
      <c r="M71" s="2" t="n">
        <v>2.64</v>
      </c>
      <c r="N71" s="0" t="n">
        <v>10.93</v>
      </c>
      <c r="O71" s="2" t="n">
        <v>2.64</v>
      </c>
    </row>
    <row r="72" customFormat="false" ht="15" hidden="false" customHeight="false" outlineLevel="0" collapsed="false">
      <c r="D72" s="0" t="n">
        <v>2</v>
      </c>
      <c r="E72" s="0" t="n">
        <v>1.53</v>
      </c>
      <c r="F72" s="1" t="s">
        <v>18</v>
      </c>
      <c r="G72" s="2" t="s">
        <v>18</v>
      </c>
      <c r="H72" s="1" t="s">
        <v>18</v>
      </c>
      <c r="I72" s="2" t="s">
        <v>18</v>
      </c>
      <c r="J72" s="1" t="s">
        <v>18</v>
      </c>
      <c r="K72" s="1" t="s">
        <v>18</v>
      </c>
      <c r="L72" s="0" t="n">
        <v>5.25</v>
      </c>
      <c r="M72" s="2" t="n">
        <v>2.46</v>
      </c>
      <c r="N72" s="0" t="n">
        <v>11.2</v>
      </c>
      <c r="O72" s="2" t="n">
        <v>2.46</v>
      </c>
    </row>
    <row r="73" customFormat="false" ht="15" hidden="false" customHeight="false" outlineLevel="0" collapsed="false">
      <c r="D73" s="0" t="n">
        <v>1</v>
      </c>
      <c r="E73" s="0" t="n">
        <v>1.33</v>
      </c>
      <c r="F73" s="1" t="s">
        <v>18</v>
      </c>
      <c r="G73" s="2" t="s">
        <v>18</v>
      </c>
      <c r="H73" s="1" t="s">
        <v>18</v>
      </c>
      <c r="I73" s="2" t="s">
        <v>18</v>
      </c>
      <c r="J73" s="1" t="s">
        <v>18</v>
      </c>
      <c r="K73" s="1" t="s">
        <v>18</v>
      </c>
      <c r="L73" s="0" t="n">
        <v>5.25</v>
      </c>
      <c r="M73" s="2" t="n">
        <v>2.21</v>
      </c>
      <c r="N73" s="0" t="n">
        <v>11.58</v>
      </c>
      <c r="O73" s="2" t="n">
        <v>2.21</v>
      </c>
    </row>
    <row r="74" customFormat="false" ht="15" hidden="false" customHeight="false" outlineLevel="0" collapsed="false">
      <c r="A74" s="1" t="n">
        <v>10</v>
      </c>
      <c r="B74" s="2" t="s">
        <v>27</v>
      </c>
      <c r="C74" s="0" t="n">
        <v>368.25</v>
      </c>
      <c r="D74" s="0" t="n">
        <v>4</v>
      </c>
      <c r="E74" s="0" t="n">
        <v>1.56</v>
      </c>
      <c r="F74" s="0" t="n">
        <v>-10.12</v>
      </c>
      <c r="G74" s="2" t="n">
        <v>2.97</v>
      </c>
      <c r="H74" s="0" t="n">
        <v>-5.51</v>
      </c>
      <c r="I74" s="2" t="n">
        <v>2.69</v>
      </c>
      <c r="J74" s="1" t="s">
        <v>18</v>
      </c>
      <c r="K74" s="1" t="s">
        <v>18</v>
      </c>
      <c r="L74" s="1" t="s">
        <v>18</v>
      </c>
      <c r="M74" s="2" t="s">
        <v>18</v>
      </c>
      <c r="N74" s="1" t="s">
        <v>18</v>
      </c>
      <c r="O74" s="2" t="s">
        <v>18</v>
      </c>
      <c r="P74" s="0" t="n">
        <v>5.77</v>
      </c>
      <c r="Q74" s="0" t="n">
        <v>0</v>
      </c>
    </row>
    <row r="75" customFormat="false" ht="15" hidden="false" customHeight="false" outlineLevel="0" collapsed="false">
      <c r="D75" s="0" t="n">
        <v>3</v>
      </c>
      <c r="E75" s="0" t="n">
        <v>1.05</v>
      </c>
      <c r="F75" s="0" t="n">
        <v>-10.93</v>
      </c>
      <c r="G75" s="2" t="n">
        <v>2.63</v>
      </c>
      <c r="H75" s="0" t="n">
        <v>-5.25</v>
      </c>
      <c r="I75" s="2" t="n">
        <v>2.63</v>
      </c>
      <c r="J75" s="1" t="s">
        <v>18</v>
      </c>
      <c r="K75" s="1" t="s">
        <v>18</v>
      </c>
      <c r="L75" s="1" t="s">
        <v>18</v>
      </c>
      <c r="M75" s="2" t="s">
        <v>18</v>
      </c>
      <c r="N75" s="1" t="s">
        <v>18</v>
      </c>
      <c r="O75" s="2" t="s">
        <v>18</v>
      </c>
    </row>
    <row r="76" customFormat="false" ht="15" hidden="false" customHeight="false" outlineLevel="0" collapsed="false">
      <c r="D76" s="0" t="n">
        <v>2</v>
      </c>
      <c r="E76" s="0" t="n">
        <v>1.53</v>
      </c>
      <c r="F76" s="0" t="n">
        <v>-11.2</v>
      </c>
      <c r="G76" s="2" t="n">
        <v>2.45</v>
      </c>
      <c r="H76" s="0" t="n">
        <v>-5.25</v>
      </c>
      <c r="I76" s="2" t="n">
        <v>2.45</v>
      </c>
      <c r="J76" s="1" t="s">
        <v>18</v>
      </c>
      <c r="K76" s="1" t="s">
        <v>18</v>
      </c>
      <c r="L76" s="1" t="s">
        <v>18</v>
      </c>
      <c r="M76" s="2" t="s">
        <v>18</v>
      </c>
      <c r="N76" s="1" t="s">
        <v>18</v>
      </c>
      <c r="O76" s="2" t="s">
        <v>18</v>
      </c>
    </row>
    <row r="77" customFormat="false" ht="15" hidden="false" customHeight="false" outlineLevel="0" collapsed="false">
      <c r="D77" s="0" t="n">
        <v>1</v>
      </c>
      <c r="E77" s="0" t="n">
        <v>1.63</v>
      </c>
      <c r="F77" s="0" t="n">
        <v>-11.58</v>
      </c>
      <c r="G77" s="2" t="n">
        <v>2.2</v>
      </c>
      <c r="H77" s="0" t="n">
        <v>-5.25</v>
      </c>
      <c r="I77" s="2" t="n">
        <v>2.2</v>
      </c>
      <c r="J77" s="1" t="s">
        <v>18</v>
      </c>
      <c r="K77" s="1" t="s">
        <v>18</v>
      </c>
      <c r="L77" s="1" t="s">
        <v>18</v>
      </c>
      <c r="M77" s="2" t="s">
        <v>18</v>
      </c>
      <c r="N77" s="1" t="s">
        <v>18</v>
      </c>
      <c r="O77" s="2" t="s">
        <v>18</v>
      </c>
    </row>
    <row r="78" customFormat="false" ht="15" hidden="false" customHeight="false" outlineLevel="0" collapsed="false">
      <c r="A78" s="1" t="n">
        <v>10</v>
      </c>
      <c r="B78" s="2" t="s">
        <v>27</v>
      </c>
      <c r="C78" s="0" t="n">
        <v>368.25</v>
      </c>
      <c r="D78" s="0" t="n">
        <v>4</v>
      </c>
      <c r="E78" s="0" t="n">
        <v>1.56</v>
      </c>
      <c r="F78" s="1" t="s">
        <v>18</v>
      </c>
      <c r="G78" s="2" t="s">
        <v>18</v>
      </c>
      <c r="H78" s="1" t="s">
        <v>18</v>
      </c>
      <c r="I78" s="2" t="s">
        <v>18</v>
      </c>
      <c r="J78" s="1" t="s">
        <v>18</v>
      </c>
      <c r="K78" s="1" t="s">
        <v>18</v>
      </c>
      <c r="L78" s="0" t="n">
        <v>5.51</v>
      </c>
      <c r="M78" s="2" t="n">
        <v>2.88</v>
      </c>
      <c r="N78" s="0" t="n">
        <v>10.12</v>
      </c>
      <c r="O78" s="2" t="n">
        <v>2.87</v>
      </c>
      <c r="P78" s="0" t="n">
        <v>5.77</v>
      </c>
      <c r="Q78" s="0" t="n">
        <v>0</v>
      </c>
    </row>
    <row r="79" customFormat="false" ht="15" hidden="false" customHeight="false" outlineLevel="0" collapsed="false">
      <c r="D79" s="0" t="n">
        <v>3</v>
      </c>
      <c r="E79" s="0" t="n">
        <v>1.05</v>
      </c>
      <c r="F79" s="1" t="s">
        <v>18</v>
      </c>
      <c r="G79" s="2" t="s">
        <v>18</v>
      </c>
      <c r="H79" s="1" t="s">
        <v>18</v>
      </c>
      <c r="I79" s="2" t="s">
        <v>18</v>
      </c>
      <c r="J79" s="1" t="s">
        <v>18</v>
      </c>
      <c r="K79" s="1" t="s">
        <v>18</v>
      </c>
      <c r="L79" s="0" t="n">
        <v>5.25</v>
      </c>
      <c r="M79" s="2" t="n">
        <v>2.63</v>
      </c>
      <c r="N79" s="0" t="n">
        <v>10.93</v>
      </c>
      <c r="O79" s="2" t="n">
        <v>2.63</v>
      </c>
    </row>
    <row r="80" customFormat="false" ht="15" hidden="false" customHeight="false" outlineLevel="0" collapsed="false">
      <c r="D80" s="0" t="n">
        <v>2</v>
      </c>
      <c r="E80" s="0" t="n">
        <v>1.53</v>
      </c>
      <c r="F80" s="1" t="s">
        <v>18</v>
      </c>
      <c r="G80" s="2" t="s">
        <v>18</v>
      </c>
      <c r="H80" s="1" t="s">
        <v>18</v>
      </c>
      <c r="I80" s="2" t="s">
        <v>18</v>
      </c>
      <c r="J80" s="1" t="s">
        <v>18</v>
      </c>
      <c r="K80" s="1" t="s">
        <v>18</v>
      </c>
      <c r="L80" s="0" t="n">
        <v>5.25</v>
      </c>
      <c r="M80" s="2" t="n">
        <v>2.45</v>
      </c>
      <c r="N80" s="0" t="n">
        <v>11.2</v>
      </c>
      <c r="O80" s="2" t="n">
        <v>2.45</v>
      </c>
    </row>
    <row r="81" customFormat="false" ht="15" hidden="false" customHeight="false" outlineLevel="0" collapsed="false">
      <c r="D81" s="0" t="n">
        <v>1</v>
      </c>
      <c r="E81" s="0" t="n">
        <v>1.63</v>
      </c>
      <c r="F81" s="1" t="s">
        <v>18</v>
      </c>
      <c r="G81" s="2" t="s">
        <v>18</v>
      </c>
      <c r="H81" s="1" t="s">
        <v>18</v>
      </c>
      <c r="I81" s="2" t="s">
        <v>18</v>
      </c>
      <c r="J81" s="1" t="s">
        <v>18</v>
      </c>
      <c r="K81" s="1" t="s">
        <v>18</v>
      </c>
      <c r="L81" s="0" t="n">
        <v>5.25</v>
      </c>
      <c r="M81" s="2" t="n">
        <v>2.2</v>
      </c>
      <c r="N81" s="0" t="n">
        <v>11.58</v>
      </c>
      <c r="O81" s="2" t="n">
        <v>2.2</v>
      </c>
    </row>
    <row r="82" customFormat="false" ht="15" hidden="false" customHeight="false" outlineLevel="0" collapsed="false">
      <c r="A82" s="1" t="n">
        <v>11</v>
      </c>
      <c r="B82" s="2" t="s">
        <v>28</v>
      </c>
      <c r="C82" s="0" t="n">
        <v>381.5</v>
      </c>
      <c r="D82" s="0" t="n">
        <v>4</v>
      </c>
      <c r="E82" s="0" t="n">
        <v>1.56</v>
      </c>
      <c r="F82" s="0" t="n">
        <v>-10.12</v>
      </c>
      <c r="G82" s="2" t="n">
        <v>2.96</v>
      </c>
      <c r="H82" s="0" t="n">
        <v>-5.51</v>
      </c>
      <c r="I82" s="2" t="n">
        <v>2.68</v>
      </c>
      <c r="J82" s="1" t="s">
        <v>18</v>
      </c>
      <c r="K82" s="1" t="s">
        <v>18</v>
      </c>
      <c r="L82" s="1" t="s">
        <v>18</v>
      </c>
      <c r="M82" s="2" t="s">
        <v>18</v>
      </c>
      <c r="N82" s="1" t="s">
        <v>18</v>
      </c>
      <c r="O82" s="2" t="s">
        <v>18</v>
      </c>
      <c r="P82" s="0" t="n">
        <v>5.77</v>
      </c>
      <c r="Q82" s="0" t="n">
        <v>0</v>
      </c>
    </row>
    <row r="83" customFormat="false" ht="15" hidden="false" customHeight="false" outlineLevel="0" collapsed="false">
      <c r="D83" s="0" t="n">
        <v>3</v>
      </c>
      <c r="E83" s="0" t="n">
        <v>1.05</v>
      </c>
      <c r="F83" s="0" t="n">
        <v>-10.93</v>
      </c>
      <c r="G83" s="2" t="n">
        <v>2.62</v>
      </c>
      <c r="H83" s="0" t="n">
        <v>-5.25</v>
      </c>
      <c r="I83" s="2" t="n">
        <v>2.62</v>
      </c>
      <c r="J83" s="1" t="s">
        <v>18</v>
      </c>
      <c r="K83" s="1" t="s">
        <v>18</v>
      </c>
      <c r="L83" s="1" t="s">
        <v>18</v>
      </c>
      <c r="M83" s="2" t="s">
        <v>18</v>
      </c>
      <c r="N83" s="1" t="s">
        <v>18</v>
      </c>
      <c r="O83" s="2" t="s">
        <v>18</v>
      </c>
    </row>
    <row r="84" customFormat="false" ht="15" hidden="false" customHeight="false" outlineLevel="0" collapsed="false">
      <c r="D84" s="0" t="n">
        <v>2</v>
      </c>
      <c r="E84" s="0" t="n">
        <v>1.53</v>
      </c>
      <c r="F84" s="0" t="n">
        <v>-11.2</v>
      </c>
      <c r="G84" s="2" t="n">
        <v>2.44</v>
      </c>
      <c r="H84" s="0" t="n">
        <v>-5.25</v>
      </c>
      <c r="I84" s="2" t="n">
        <v>2.44</v>
      </c>
      <c r="J84" s="1" t="s">
        <v>18</v>
      </c>
      <c r="K84" s="1" t="s">
        <v>18</v>
      </c>
      <c r="L84" s="1" t="s">
        <v>18</v>
      </c>
      <c r="M84" s="2" t="s">
        <v>18</v>
      </c>
      <c r="N84" s="1" t="s">
        <v>18</v>
      </c>
      <c r="O84" s="2" t="s">
        <v>18</v>
      </c>
    </row>
    <row r="85" customFormat="false" ht="15" hidden="false" customHeight="false" outlineLevel="0" collapsed="false">
      <c r="D85" s="0" t="n">
        <v>1</v>
      </c>
      <c r="E85" s="0" t="n">
        <v>1.63</v>
      </c>
      <c r="F85" s="0" t="n">
        <v>-11.58</v>
      </c>
      <c r="G85" s="2" t="n">
        <v>2.19</v>
      </c>
      <c r="H85" s="0" t="n">
        <v>-5.25</v>
      </c>
      <c r="I85" s="2" t="n">
        <v>2.19</v>
      </c>
      <c r="J85" s="1" t="s">
        <v>18</v>
      </c>
      <c r="K85" s="1" t="s">
        <v>18</v>
      </c>
      <c r="L85" s="1" t="s">
        <v>18</v>
      </c>
      <c r="M85" s="2" t="s">
        <v>18</v>
      </c>
      <c r="N85" s="1" t="s">
        <v>18</v>
      </c>
      <c r="O85" s="2" t="s">
        <v>18</v>
      </c>
    </row>
    <row r="86" customFormat="false" ht="15" hidden="false" customHeight="false" outlineLevel="0" collapsed="false">
      <c r="A86" s="1" t="n">
        <v>11</v>
      </c>
      <c r="B86" s="2" t="s">
        <v>28</v>
      </c>
      <c r="C86" s="0" t="n">
        <v>381.5</v>
      </c>
      <c r="D86" s="0" t="n">
        <v>4</v>
      </c>
      <c r="E86" s="0" t="n">
        <v>1.56</v>
      </c>
      <c r="F86" s="1" t="s">
        <v>18</v>
      </c>
      <c r="G86" s="2" t="s">
        <v>18</v>
      </c>
      <c r="H86" s="1" t="s">
        <v>18</v>
      </c>
      <c r="I86" s="2" t="s">
        <v>18</v>
      </c>
      <c r="J86" s="1" t="s">
        <v>18</v>
      </c>
      <c r="K86" s="1" t="s">
        <v>18</v>
      </c>
      <c r="L86" s="0" t="n">
        <v>5.51</v>
      </c>
      <c r="M86" s="2" t="n">
        <v>2.87</v>
      </c>
      <c r="N86" s="0" t="n">
        <v>10.12</v>
      </c>
      <c r="O86" s="2" t="n">
        <v>2.87</v>
      </c>
      <c r="P86" s="0" t="n">
        <v>5.77</v>
      </c>
      <c r="Q86" s="0" t="n">
        <v>0</v>
      </c>
    </row>
    <row r="87" customFormat="false" ht="15" hidden="false" customHeight="false" outlineLevel="0" collapsed="false">
      <c r="D87" s="0" t="n">
        <v>3</v>
      </c>
      <c r="E87" s="0" t="n">
        <v>1.05</v>
      </c>
      <c r="F87" s="1" t="s">
        <v>18</v>
      </c>
      <c r="G87" s="2" t="s">
        <v>18</v>
      </c>
      <c r="H87" s="1" t="s">
        <v>18</v>
      </c>
      <c r="I87" s="2" t="s">
        <v>18</v>
      </c>
      <c r="J87" s="1" t="s">
        <v>18</v>
      </c>
      <c r="K87" s="1" t="s">
        <v>18</v>
      </c>
      <c r="L87" s="0" t="n">
        <v>5.25</v>
      </c>
      <c r="M87" s="2" t="n">
        <v>2.62</v>
      </c>
      <c r="N87" s="0" t="n">
        <v>10.93</v>
      </c>
      <c r="O87" s="2" t="n">
        <v>2.62</v>
      </c>
    </row>
    <row r="88" customFormat="false" ht="15" hidden="false" customHeight="false" outlineLevel="0" collapsed="false">
      <c r="D88" s="0" t="n">
        <v>2</v>
      </c>
      <c r="E88" s="0" t="n">
        <v>1.53</v>
      </c>
      <c r="F88" s="1" t="s">
        <v>18</v>
      </c>
      <c r="G88" s="2" t="s">
        <v>18</v>
      </c>
      <c r="H88" s="1" t="s">
        <v>18</v>
      </c>
      <c r="I88" s="2" t="s">
        <v>18</v>
      </c>
      <c r="J88" s="1" t="s">
        <v>18</v>
      </c>
      <c r="K88" s="1" t="s">
        <v>18</v>
      </c>
      <c r="L88" s="0" t="n">
        <v>5.25</v>
      </c>
      <c r="M88" s="2" t="n">
        <v>2.44</v>
      </c>
      <c r="N88" s="0" t="n">
        <v>11.2</v>
      </c>
      <c r="O88" s="2" t="n">
        <v>2.44</v>
      </c>
    </row>
    <row r="89" customFormat="false" ht="15" hidden="false" customHeight="false" outlineLevel="0" collapsed="false">
      <c r="D89" s="0" t="n">
        <v>1</v>
      </c>
      <c r="E89" s="0" t="n">
        <v>1.63</v>
      </c>
      <c r="F89" s="1" t="s">
        <v>18</v>
      </c>
      <c r="G89" s="2" t="s">
        <v>18</v>
      </c>
      <c r="H89" s="1" t="s">
        <v>18</v>
      </c>
      <c r="I89" s="2" t="s">
        <v>18</v>
      </c>
      <c r="J89" s="1" t="s">
        <v>18</v>
      </c>
      <c r="K89" s="1" t="s">
        <v>18</v>
      </c>
      <c r="L89" s="0" t="n">
        <v>5.25</v>
      </c>
      <c r="M89" s="2" t="n">
        <v>2.19</v>
      </c>
      <c r="N89" s="0" t="n">
        <v>11.58</v>
      </c>
      <c r="O89" s="2" t="n">
        <v>2.19</v>
      </c>
    </row>
    <row r="90" customFormat="false" ht="15" hidden="false" customHeight="false" outlineLevel="0" collapsed="false">
      <c r="A90" s="1" t="n">
        <v>12</v>
      </c>
      <c r="B90" s="2" t="s">
        <v>29</v>
      </c>
      <c r="C90" s="0" t="n">
        <v>394.75</v>
      </c>
      <c r="D90" s="0" t="n">
        <v>4</v>
      </c>
      <c r="E90" s="0" t="n">
        <v>1.56</v>
      </c>
      <c r="F90" s="0" t="n">
        <v>-10.12</v>
      </c>
      <c r="G90" s="2" t="n">
        <v>2.96</v>
      </c>
      <c r="H90" s="0" t="n">
        <v>-5.51</v>
      </c>
      <c r="I90" s="2" t="n">
        <v>2.67</v>
      </c>
      <c r="J90" s="1" t="s">
        <v>18</v>
      </c>
      <c r="K90" s="1" t="s">
        <v>18</v>
      </c>
      <c r="L90" s="1" t="s">
        <v>18</v>
      </c>
      <c r="M90" s="2" t="s">
        <v>18</v>
      </c>
      <c r="N90" s="1" t="s">
        <v>18</v>
      </c>
      <c r="O90" s="2" t="s">
        <v>18</v>
      </c>
      <c r="P90" s="0" t="n">
        <v>5.77</v>
      </c>
      <c r="Q90" s="0" t="n">
        <v>0</v>
      </c>
    </row>
    <row r="91" customFormat="false" ht="15" hidden="false" customHeight="false" outlineLevel="0" collapsed="false">
      <c r="D91" s="0" t="n">
        <v>3</v>
      </c>
      <c r="E91" s="0" t="n">
        <v>1.05</v>
      </c>
      <c r="F91" s="0" t="n">
        <v>-10.93</v>
      </c>
      <c r="G91" s="2" t="n">
        <v>2.61</v>
      </c>
      <c r="H91" s="0" t="n">
        <v>-5.25</v>
      </c>
      <c r="I91" s="2" t="n">
        <v>2.61</v>
      </c>
      <c r="J91" s="1" t="s">
        <v>18</v>
      </c>
      <c r="K91" s="1" t="s">
        <v>18</v>
      </c>
      <c r="L91" s="1" t="s">
        <v>18</v>
      </c>
      <c r="M91" s="2" t="s">
        <v>18</v>
      </c>
      <c r="N91" s="1" t="s">
        <v>18</v>
      </c>
      <c r="O91" s="2" t="s">
        <v>18</v>
      </c>
    </row>
    <row r="92" customFormat="false" ht="15" hidden="false" customHeight="false" outlineLevel="0" collapsed="false">
      <c r="D92" s="0" t="n">
        <v>2</v>
      </c>
      <c r="E92" s="0" t="n">
        <v>1.53</v>
      </c>
      <c r="F92" s="0" t="n">
        <v>-11.2</v>
      </c>
      <c r="G92" s="2" t="n">
        <v>2.43</v>
      </c>
      <c r="H92" s="0" t="n">
        <v>-5.25</v>
      </c>
      <c r="I92" s="2" t="n">
        <v>2.43</v>
      </c>
      <c r="J92" s="1" t="s">
        <v>18</v>
      </c>
      <c r="K92" s="1" t="s">
        <v>18</v>
      </c>
      <c r="L92" s="1" t="s">
        <v>18</v>
      </c>
      <c r="M92" s="2" t="s">
        <v>18</v>
      </c>
      <c r="N92" s="1" t="s">
        <v>18</v>
      </c>
      <c r="O92" s="2" t="s">
        <v>18</v>
      </c>
    </row>
    <row r="93" customFormat="false" ht="15" hidden="false" customHeight="false" outlineLevel="0" collapsed="false">
      <c r="D93" s="0" t="n">
        <v>1</v>
      </c>
      <c r="E93" s="0" t="n">
        <v>1.63</v>
      </c>
      <c r="F93" s="0" t="n">
        <v>-11.58</v>
      </c>
      <c r="G93" s="2" t="n">
        <v>2.18</v>
      </c>
      <c r="H93" s="0" t="n">
        <v>-5.25</v>
      </c>
      <c r="I93" s="2" t="n">
        <v>2.18</v>
      </c>
      <c r="J93" s="1" t="s">
        <v>18</v>
      </c>
      <c r="K93" s="1" t="s">
        <v>18</v>
      </c>
      <c r="L93" s="1" t="s">
        <v>18</v>
      </c>
      <c r="M93" s="2" t="s">
        <v>18</v>
      </c>
      <c r="N93" s="1" t="s">
        <v>18</v>
      </c>
      <c r="O93" s="2" t="s">
        <v>18</v>
      </c>
    </row>
    <row r="94" customFormat="false" ht="15" hidden="false" customHeight="false" outlineLevel="0" collapsed="false">
      <c r="A94" s="1" t="n">
        <v>12</v>
      </c>
      <c r="B94" s="2" t="s">
        <v>29</v>
      </c>
      <c r="C94" s="0" t="n">
        <v>394.75</v>
      </c>
      <c r="D94" s="0" t="n">
        <v>4</v>
      </c>
      <c r="E94" s="0" t="n">
        <v>1.56</v>
      </c>
      <c r="F94" s="1" t="s">
        <v>18</v>
      </c>
      <c r="G94" s="2" t="s">
        <v>18</v>
      </c>
      <c r="H94" s="1" t="s">
        <v>18</v>
      </c>
      <c r="I94" s="2" t="s">
        <v>18</v>
      </c>
      <c r="J94" s="1" t="s">
        <v>18</v>
      </c>
      <c r="K94" s="1" t="s">
        <v>18</v>
      </c>
      <c r="L94" s="0" t="n">
        <v>5.51</v>
      </c>
      <c r="M94" s="2" t="n">
        <v>2.86</v>
      </c>
      <c r="N94" s="0" t="n">
        <v>10.12</v>
      </c>
      <c r="O94" s="2" t="n">
        <v>2.86</v>
      </c>
      <c r="P94" s="0" t="n">
        <v>5.77</v>
      </c>
      <c r="Q94" s="0" t="n">
        <v>0</v>
      </c>
    </row>
    <row r="95" customFormat="false" ht="15" hidden="false" customHeight="false" outlineLevel="0" collapsed="false">
      <c r="D95" s="0" t="n">
        <v>3</v>
      </c>
      <c r="E95" s="0" t="n">
        <v>1.05</v>
      </c>
      <c r="F95" s="1" t="s">
        <v>18</v>
      </c>
      <c r="G95" s="2" t="s">
        <v>18</v>
      </c>
      <c r="H95" s="1" t="s">
        <v>18</v>
      </c>
      <c r="I95" s="2" t="s">
        <v>18</v>
      </c>
      <c r="J95" s="1" t="s">
        <v>18</v>
      </c>
      <c r="K95" s="1" t="s">
        <v>18</v>
      </c>
      <c r="L95" s="0" t="n">
        <v>5.25</v>
      </c>
      <c r="M95" s="2" t="n">
        <v>2.61</v>
      </c>
      <c r="N95" s="0" t="n">
        <v>10.93</v>
      </c>
      <c r="O95" s="2" t="n">
        <v>2.61</v>
      </c>
    </row>
    <row r="96" customFormat="false" ht="15" hidden="false" customHeight="false" outlineLevel="0" collapsed="false">
      <c r="D96" s="0" t="n">
        <v>2</v>
      </c>
      <c r="E96" s="0" t="n">
        <v>1.53</v>
      </c>
      <c r="F96" s="1" t="s">
        <v>18</v>
      </c>
      <c r="G96" s="2" t="s">
        <v>18</v>
      </c>
      <c r="H96" s="1" t="s">
        <v>18</v>
      </c>
      <c r="I96" s="2" t="s">
        <v>18</v>
      </c>
      <c r="J96" s="1" t="s">
        <v>18</v>
      </c>
      <c r="K96" s="1" t="s">
        <v>18</v>
      </c>
      <c r="L96" s="0" t="n">
        <v>5.25</v>
      </c>
      <c r="M96" s="2" t="n">
        <v>2.43</v>
      </c>
      <c r="N96" s="0" t="n">
        <v>11.2</v>
      </c>
      <c r="O96" s="2" t="n">
        <v>2.43</v>
      </c>
    </row>
    <row r="97" customFormat="false" ht="15" hidden="false" customHeight="false" outlineLevel="0" collapsed="false">
      <c r="D97" s="0" t="n">
        <v>1</v>
      </c>
      <c r="E97" s="0" t="n">
        <v>1.63</v>
      </c>
      <c r="F97" s="1" t="s">
        <v>18</v>
      </c>
      <c r="G97" s="2" t="s">
        <v>18</v>
      </c>
      <c r="H97" s="1" t="s">
        <v>18</v>
      </c>
      <c r="I97" s="2" t="s">
        <v>18</v>
      </c>
      <c r="J97" s="1" t="s">
        <v>18</v>
      </c>
      <c r="K97" s="1" t="s">
        <v>18</v>
      </c>
      <c r="L97" s="0" t="n">
        <v>5.25</v>
      </c>
      <c r="M97" s="2" t="n">
        <v>2.18</v>
      </c>
      <c r="N97" s="0" t="n">
        <v>11.58</v>
      </c>
      <c r="O97" s="2" t="n">
        <v>2.18</v>
      </c>
    </row>
    <row r="98" customFormat="false" ht="15" hidden="false" customHeight="false" outlineLevel="0" collapsed="false">
      <c r="A98" s="1" t="n">
        <v>13</v>
      </c>
      <c r="B98" s="2" t="s">
        <v>30</v>
      </c>
      <c r="C98" s="0" t="n">
        <v>414.75</v>
      </c>
      <c r="D98" s="0" t="n">
        <v>4</v>
      </c>
      <c r="E98" s="0" t="n">
        <v>1.56</v>
      </c>
      <c r="F98" s="0" t="n">
        <v>-10.12</v>
      </c>
      <c r="G98" s="2" t="n">
        <v>2.94</v>
      </c>
      <c r="H98" s="0" t="n">
        <v>-5.51</v>
      </c>
      <c r="I98" s="2" t="n">
        <v>2.66</v>
      </c>
      <c r="J98" s="1" t="s">
        <v>18</v>
      </c>
      <c r="K98" s="1" t="s">
        <v>18</v>
      </c>
      <c r="L98" s="1" t="s">
        <v>18</v>
      </c>
      <c r="M98" s="2" t="s">
        <v>18</v>
      </c>
      <c r="N98" s="1" t="s">
        <v>18</v>
      </c>
      <c r="O98" s="2" t="s">
        <v>18</v>
      </c>
      <c r="P98" s="0" t="n">
        <v>5.77</v>
      </c>
      <c r="Q98" s="0" t="n">
        <v>0</v>
      </c>
    </row>
    <row r="99" customFormat="false" ht="15" hidden="false" customHeight="false" outlineLevel="0" collapsed="false">
      <c r="D99" s="0" t="n">
        <v>3</v>
      </c>
      <c r="E99" s="0" t="n">
        <v>1.05</v>
      </c>
      <c r="F99" s="0" t="n">
        <v>-10.93</v>
      </c>
      <c r="G99" s="2" t="n">
        <v>2.6</v>
      </c>
      <c r="H99" s="0" t="n">
        <v>-5.25</v>
      </c>
      <c r="I99" s="2" t="n">
        <v>2.6</v>
      </c>
      <c r="J99" s="1" t="s">
        <v>18</v>
      </c>
      <c r="K99" s="1" t="s">
        <v>18</v>
      </c>
      <c r="L99" s="1" t="s">
        <v>18</v>
      </c>
      <c r="M99" s="2" t="s">
        <v>18</v>
      </c>
      <c r="N99" s="1" t="s">
        <v>18</v>
      </c>
      <c r="O99" s="2" t="s">
        <v>18</v>
      </c>
    </row>
    <row r="100" customFormat="false" ht="15" hidden="false" customHeight="false" outlineLevel="0" collapsed="false">
      <c r="D100" s="0" t="n">
        <v>2</v>
      </c>
      <c r="E100" s="0" t="n">
        <v>1.53</v>
      </c>
      <c r="F100" s="0" t="n">
        <v>-11.2</v>
      </c>
      <c r="G100" s="2" t="n">
        <v>2.42</v>
      </c>
      <c r="H100" s="0" t="n">
        <v>-5.25</v>
      </c>
      <c r="I100" s="2" t="n">
        <v>2.42</v>
      </c>
      <c r="J100" s="1" t="s">
        <v>18</v>
      </c>
      <c r="K100" s="1" t="s">
        <v>18</v>
      </c>
      <c r="L100" s="1" t="s">
        <v>18</v>
      </c>
      <c r="M100" s="2" t="s">
        <v>18</v>
      </c>
      <c r="N100" s="1" t="s">
        <v>18</v>
      </c>
      <c r="O100" s="2" t="s">
        <v>18</v>
      </c>
    </row>
    <row r="101" customFormat="false" ht="15" hidden="false" customHeight="false" outlineLevel="0" collapsed="false">
      <c r="D101" s="0" t="n">
        <v>1</v>
      </c>
      <c r="E101" s="0" t="n">
        <v>1.63</v>
      </c>
      <c r="F101" s="0" t="n">
        <v>-11.58</v>
      </c>
      <c r="G101" s="2" t="n">
        <v>2.17</v>
      </c>
      <c r="H101" s="0" t="n">
        <v>-5.25</v>
      </c>
      <c r="I101" s="2" t="n">
        <v>2.17</v>
      </c>
      <c r="J101" s="1" t="s">
        <v>18</v>
      </c>
      <c r="K101" s="1" t="s">
        <v>18</v>
      </c>
      <c r="L101" s="1" t="s">
        <v>18</v>
      </c>
      <c r="M101" s="2" t="s">
        <v>18</v>
      </c>
      <c r="N101" s="1" t="s">
        <v>18</v>
      </c>
      <c r="O101" s="2" t="s">
        <v>18</v>
      </c>
    </row>
    <row r="102" customFormat="false" ht="15" hidden="false" customHeight="false" outlineLevel="0" collapsed="false">
      <c r="A102" s="1" t="n">
        <v>13</v>
      </c>
      <c r="B102" s="2" t="s">
        <v>30</v>
      </c>
      <c r="C102" s="0" t="n">
        <v>414.75</v>
      </c>
      <c r="D102" s="0" t="n">
        <v>4</v>
      </c>
      <c r="E102" s="0" t="n">
        <v>1.56</v>
      </c>
      <c r="F102" s="1" t="s">
        <v>18</v>
      </c>
      <c r="G102" s="2" t="s">
        <v>18</v>
      </c>
      <c r="H102" s="1" t="s">
        <v>18</v>
      </c>
      <c r="I102" s="2" t="s">
        <v>18</v>
      </c>
      <c r="J102" s="1" t="s">
        <v>18</v>
      </c>
      <c r="K102" s="1" t="s">
        <v>18</v>
      </c>
      <c r="L102" s="0" t="n">
        <v>5.51</v>
      </c>
      <c r="M102" s="2" t="n">
        <v>2.85</v>
      </c>
      <c r="N102" s="0" t="n">
        <v>10.12</v>
      </c>
      <c r="O102" s="2" t="n">
        <v>2.85</v>
      </c>
      <c r="P102" s="0" t="n">
        <v>5.77</v>
      </c>
      <c r="Q102" s="0" t="n">
        <v>0</v>
      </c>
    </row>
    <row r="103" customFormat="false" ht="15" hidden="false" customHeight="false" outlineLevel="0" collapsed="false">
      <c r="D103" s="0" t="n">
        <v>3</v>
      </c>
      <c r="E103" s="0" t="n">
        <v>1.05</v>
      </c>
      <c r="F103" s="1" t="s">
        <v>18</v>
      </c>
      <c r="G103" s="2" t="s">
        <v>18</v>
      </c>
      <c r="H103" s="1" t="s">
        <v>18</v>
      </c>
      <c r="I103" s="2" t="s">
        <v>18</v>
      </c>
      <c r="J103" s="1" t="s">
        <v>18</v>
      </c>
      <c r="K103" s="1" t="s">
        <v>18</v>
      </c>
      <c r="L103" s="0" t="n">
        <v>5.25</v>
      </c>
      <c r="M103" s="2" t="n">
        <v>2.6</v>
      </c>
      <c r="N103" s="0" t="n">
        <v>10.93</v>
      </c>
      <c r="O103" s="2" t="n">
        <v>2.6</v>
      </c>
    </row>
    <row r="104" customFormat="false" ht="15" hidden="false" customHeight="false" outlineLevel="0" collapsed="false">
      <c r="D104" s="0" t="n">
        <v>2</v>
      </c>
      <c r="E104" s="0" t="n">
        <v>1.53</v>
      </c>
      <c r="F104" s="1" t="s">
        <v>18</v>
      </c>
      <c r="G104" s="2" t="s">
        <v>18</v>
      </c>
      <c r="H104" s="1" t="s">
        <v>18</v>
      </c>
      <c r="I104" s="2" t="s">
        <v>18</v>
      </c>
      <c r="J104" s="1" t="s">
        <v>18</v>
      </c>
      <c r="K104" s="1" t="s">
        <v>18</v>
      </c>
      <c r="L104" s="0" t="n">
        <v>5.25</v>
      </c>
      <c r="M104" s="2" t="n">
        <v>2.42</v>
      </c>
      <c r="N104" s="0" t="n">
        <v>11.2</v>
      </c>
      <c r="O104" s="2" t="n">
        <v>2.42</v>
      </c>
    </row>
    <row r="105" customFormat="false" ht="15" hidden="false" customHeight="false" outlineLevel="0" collapsed="false">
      <c r="D105" s="0" t="n">
        <v>1</v>
      </c>
      <c r="E105" s="0" t="n">
        <v>1.63</v>
      </c>
      <c r="F105" s="1" t="s">
        <v>18</v>
      </c>
      <c r="G105" s="2" t="s">
        <v>18</v>
      </c>
      <c r="H105" s="1" t="s">
        <v>18</v>
      </c>
      <c r="I105" s="2" t="s">
        <v>18</v>
      </c>
      <c r="J105" s="1" t="s">
        <v>18</v>
      </c>
      <c r="K105" s="1" t="s">
        <v>18</v>
      </c>
      <c r="L105" s="0" t="n">
        <v>5.25</v>
      </c>
      <c r="M105" s="2" t="n">
        <v>2.17</v>
      </c>
      <c r="N105" s="0" t="n">
        <v>11.58</v>
      </c>
      <c r="O105" s="2" t="n">
        <v>2.17</v>
      </c>
    </row>
    <row r="106" customFormat="false" ht="15" hidden="false" customHeight="false" outlineLevel="0" collapsed="false">
      <c r="A106" s="1" t="n">
        <v>14</v>
      </c>
      <c r="B106" s="2" t="s">
        <v>31</v>
      </c>
      <c r="C106" s="0" t="n">
        <v>434.75</v>
      </c>
      <c r="D106" s="0" t="n">
        <v>4</v>
      </c>
      <c r="E106" s="0" t="n">
        <v>1.56</v>
      </c>
      <c r="F106" s="0" t="n">
        <v>-10.12</v>
      </c>
      <c r="G106" s="2" t="n">
        <v>2.93</v>
      </c>
      <c r="H106" s="0" t="n">
        <v>-5.51</v>
      </c>
      <c r="I106" s="2" t="n">
        <v>2.65</v>
      </c>
      <c r="J106" s="1" t="s">
        <v>18</v>
      </c>
      <c r="K106" s="1" t="s">
        <v>18</v>
      </c>
      <c r="L106" s="1" t="s">
        <v>18</v>
      </c>
      <c r="M106" s="2" t="s">
        <v>18</v>
      </c>
      <c r="N106" s="1" t="s">
        <v>18</v>
      </c>
      <c r="O106" s="2" t="s">
        <v>18</v>
      </c>
      <c r="P106" s="0" t="n">
        <v>5.77</v>
      </c>
      <c r="Q106" s="0" t="n">
        <v>0</v>
      </c>
    </row>
    <row r="107" customFormat="false" ht="15" hidden="false" customHeight="false" outlineLevel="0" collapsed="false">
      <c r="D107" s="0" t="n">
        <v>3</v>
      </c>
      <c r="E107" s="0" t="n">
        <v>1.05</v>
      </c>
      <c r="F107" s="0" t="n">
        <v>-10.93</v>
      </c>
      <c r="G107" s="2" t="n">
        <v>2.59</v>
      </c>
      <c r="H107" s="0" t="n">
        <v>-5.25</v>
      </c>
      <c r="I107" s="2" t="n">
        <v>2.59</v>
      </c>
      <c r="J107" s="1" t="s">
        <v>18</v>
      </c>
      <c r="K107" s="1" t="s">
        <v>18</v>
      </c>
      <c r="L107" s="1" t="s">
        <v>18</v>
      </c>
      <c r="M107" s="2" t="s">
        <v>18</v>
      </c>
      <c r="N107" s="1" t="s">
        <v>18</v>
      </c>
      <c r="O107" s="2" t="s">
        <v>18</v>
      </c>
    </row>
    <row r="108" customFormat="false" ht="15" hidden="false" customHeight="false" outlineLevel="0" collapsed="false">
      <c r="D108" s="0" t="n">
        <v>2</v>
      </c>
      <c r="E108" s="0" t="n">
        <v>1.53</v>
      </c>
      <c r="F108" s="0" t="n">
        <v>-11.2</v>
      </c>
      <c r="G108" s="2" t="n">
        <v>2.41</v>
      </c>
      <c r="H108" s="0" t="n">
        <v>-5.25</v>
      </c>
      <c r="I108" s="2" t="n">
        <v>2.41</v>
      </c>
      <c r="J108" s="1" t="s">
        <v>18</v>
      </c>
      <c r="K108" s="1" t="s">
        <v>18</v>
      </c>
      <c r="L108" s="1" t="s">
        <v>18</v>
      </c>
      <c r="M108" s="2" t="s">
        <v>18</v>
      </c>
      <c r="N108" s="1" t="s">
        <v>18</v>
      </c>
      <c r="O108" s="2" t="s">
        <v>18</v>
      </c>
    </row>
    <row r="109" customFormat="false" ht="15" hidden="false" customHeight="false" outlineLevel="0" collapsed="false">
      <c r="D109" s="0" t="n">
        <v>1</v>
      </c>
      <c r="E109" s="0" t="n">
        <v>1.63</v>
      </c>
      <c r="F109" s="0" t="n">
        <v>-11.58</v>
      </c>
      <c r="G109" s="2" t="n">
        <v>2.16</v>
      </c>
      <c r="H109" s="0" t="n">
        <v>-5.25</v>
      </c>
      <c r="I109" s="2" t="n">
        <v>2.16</v>
      </c>
      <c r="J109" s="1" t="s">
        <v>18</v>
      </c>
      <c r="K109" s="1" t="s">
        <v>18</v>
      </c>
      <c r="L109" s="1" t="s">
        <v>18</v>
      </c>
      <c r="M109" s="2" t="s">
        <v>18</v>
      </c>
      <c r="N109" s="1" t="s">
        <v>18</v>
      </c>
      <c r="O109" s="2" t="s">
        <v>18</v>
      </c>
    </row>
    <row r="110" customFormat="false" ht="15" hidden="false" customHeight="false" outlineLevel="0" collapsed="false">
      <c r="A110" s="1" t="n">
        <v>14</v>
      </c>
      <c r="B110" s="2" t="s">
        <v>31</v>
      </c>
      <c r="C110" s="0" t="n">
        <v>434.75</v>
      </c>
      <c r="D110" s="0" t="n">
        <v>4</v>
      </c>
      <c r="E110" s="0" t="n">
        <v>1.56</v>
      </c>
      <c r="F110" s="1" t="s">
        <v>18</v>
      </c>
      <c r="G110" s="2" t="s">
        <v>18</v>
      </c>
      <c r="H110" s="1" t="s">
        <v>18</v>
      </c>
      <c r="I110" s="2" t="s">
        <v>18</v>
      </c>
      <c r="J110" s="1" t="s">
        <v>18</v>
      </c>
      <c r="K110" s="1" t="s">
        <v>18</v>
      </c>
      <c r="L110" s="0" t="n">
        <v>5.51</v>
      </c>
      <c r="M110" s="2" t="n">
        <v>2.84</v>
      </c>
      <c r="N110" s="0" t="n">
        <v>10.12</v>
      </c>
      <c r="O110" s="2" t="n">
        <v>2.83</v>
      </c>
      <c r="P110" s="0" t="n">
        <v>5.77</v>
      </c>
      <c r="Q110" s="0" t="n">
        <v>0</v>
      </c>
    </row>
    <row r="111" customFormat="false" ht="15" hidden="false" customHeight="false" outlineLevel="0" collapsed="false">
      <c r="D111" s="0" t="n">
        <v>3</v>
      </c>
      <c r="E111" s="0" t="n">
        <v>1.05</v>
      </c>
      <c r="F111" s="1" t="s">
        <v>18</v>
      </c>
      <c r="G111" s="2" t="s">
        <v>18</v>
      </c>
      <c r="H111" s="1" t="s">
        <v>18</v>
      </c>
      <c r="I111" s="2" t="s">
        <v>18</v>
      </c>
      <c r="J111" s="1" t="s">
        <v>18</v>
      </c>
      <c r="K111" s="1" t="s">
        <v>18</v>
      </c>
      <c r="L111" s="0" t="n">
        <v>5.25</v>
      </c>
      <c r="M111" s="2" t="n">
        <v>2.59</v>
      </c>
      <c r="N111" s="0" t="n">
        <v>10.93</v>
      </c>
      <c r="O111" s="2" t="n">
        <v>2.59</v>
      </c>
    </row>
    <row r="112" customFormat="false" ht="15" hidden="false" customHeight="false" outlineLevel="0" collapsed="false">
      <c r="D112" s="0" t="n">
        <v>2</v>
      </c>
      <c r="E112" s="0" t="n">
        <v>1.53</v>
      </c>
      <c r="F112" s="1" t="s">
        <v>18</v>
      </c>
      <c r="G112" s="2" t="s">
        <v>18</v>
      </c>
      <c r="H112" s="1" t="s">
        <v>18</v>
      </c>
      <c r="I112" s="2" t="s">
        <v>18</v>
      </c>
      <c r="J112" s="1" t="s">
        <v>18</v>
      </c>
      <c r="K112" s="1" t="s">
        <v>18</v>
      </c>
      <c r="L112" s="0" t="n">
        <v>5.25</v>
      </c>
      <c r="M112" s="2" t="n">
        <v>2.41</v>
      </c>
      <c r="N112" s="0" t="n">
        <v>11.2</v>
      </c>
      <c r="O112" s="2" t="n">
        <v>2.41</v>
      </c>
    </row>
    <row r="113" customFormat="false" ht="15" hidden="false" customHeight="false" outlineLevel="0" collapsed="false">
      <c r="D113" s="0" t="n">
        <v>1</v>
      </c>
      <c r="E113" s="0" t="n">
        <v>1.63</v>
      </c>
      <c r="F113" s="1" t="s">
        <v>18</v>
      </c>
      <c r="G113" s="2" t="s">
        <v>18</v>
      </c>
      <c r="H113" s="1" t="s">
        <v>18</v>
      </c>
      <c r="I113" s="2" t="s">
        <v>18</v>
      </c>
      <c r="J113" s="1" t="s">
        <v>18</v>
      </c>
      <c r="K113" s="1" t="s">
        <v>18</v>
      </c>
      <c r="L113" s="0" t="n">
        <v>5.25</v>
      </c>
      <c r="M113" s="2" t="n">
        <v>2.16</v>
      </c>
      <c r="N113" s="0" t="n">
        <v>11.58</v>
      </c>
      <c r="O113" s="2" t="n">
        <v>2.16</v>
      </c>
    </row>
    <row r="114" customFormat="false" ht="15" hidden="false" customHeight="false" outlineLevel="0" collapsed="false">
      <c r="A114" s="1" t="n">
        <v>15</v>
      </c>
      <c r="B114" s="2" t="s">
        <v>32</v>
      </c>
      <c r="C114" s="0" t="n">
        <v>454.75</v>
      </c>
      <c r="D114" s="0" t="n">
        <v>4</v>
      </c>
      <c r="E114" s="0" t="n">
        <v>1.56</v>
      </c>
      <c r="F114" s="0" t="n">
        <v>-10.12</v>
      </c>
      <c r="G114" s="2" t="n">
        <v>2.92</v>
      </c>
      <c r="H114" s="0" t="n">
        <v>-5.51</v>
      </c>
      <c r="I114" s="2" t="n">
        <v>2.63</v>
      </c>
      <c r="J114" s="1" t="s">
        <v>18</v>
      </c>
      <c r="K114" s="1" t="s">
        <v>18</v>
      </c>
      <c r="L114" s="1" t="s">
        <v>18</v>
      </c>
      <c r="M114" s="2" t="s">
        <v>18</v>
      </c>
      <c r="N114" s="1" t="s">
        <v>18</v>
      </c>
      <c r="O114" s="2" t="s">
        <v>18</v>
      </c>
      <c r="P114" s="0" t="n">
        <v>5.77</v>
      </c>
      <c r="Q114" s="0" t="n">
        <v>0</v>
      </c>
    </row>
    <row r="115" customFormat="false" ht="15" hidden="false" customHeight="false" outlineLevel="0" collapsed="false">
      <c r="D115" s="0" t="n">
        <v>3</v>
      </c>
      <c r="E115" s="0" t="n">
        <v>1.05</v>
      </c>
      <c r="F115" s="0" t="n">
        <v>-10.93</v>
      </c>
      <c r="G115" s="2" t="n">
        <v>2.57</v>
      </c>
      <c r="H115" s="0" t="n">
        <v>-5.25</v>
      </c>
      <c r="I115" s="2" t="n">
        <v>2.57</v>
      </c>
      <c r="J115" s="1" t="s">
        <v>18</v>
      </c>
      <c r="K115" s="1" t="s">
        <v>18</v>
      </c>
      <c r="L115" s="1" t="s">
        <v>18</v>
      </c>
      <c r="M115" s="2" t="s">
        <v>18</v>
      </c>
      <c r="N115" s="1" t="s">
        <v>18</v>
      </c>
      <c r="O115" s="2" t="s">
        <v>18</v>
      </c>
    </row>
    <row r="116" customFormat="false" ht="15" hidden="false" customHeight="false" outlineLevel="0" collapsed="false">
      <c r="D116" s="0" t="n">
        <v>2</v>
      </c>
      <c r="E116" s="0" t="n">
        <v>1.53</v>
      </c>
      <c r="F116" s="0" t="n">
        <v>-11.2</v>
      </c>
      <c r="G116" s="2" t="n">
        <v>2.39</v>
      </c>
      <c r="H116" s="0" t="n">
        <v>-5.25</v>
      </c>
      <c r="I116" s="2" t="n">
        <v>2.39</v>
      </c>
      <c r="J116" s="1" t="s">
        <v>18</v>
      </c>
      <c r="K116" s="1" t="s">
        <v>18</v>
      </c>
      <c r="L116" s="1" t="s">
        <v>18</v>
      </c>
      <c r="M116" s="2" t="s">
        <v>18</v>
      </c>
      <c r="N116" s="1" t="s">
        <v>18</v>
      </c>
      <c r="O116" s="2" t="s">
        <v>18</v>
      </c>
    </row>
    <row r="117" customFormat="false" ht="15" hidden="false" customHeight="false" outlineLevel="0" collapsed="false">
      <c r="D117" s="0" t="n">
        <v>1</v>
      </c>
      <c r="E117" s="0" t="n">
        <v>1.63</v>
      </c>
      <c r="F117" s="0" t="n">
        <v>-11.58</v>
      </c>
      <c r="G117" s="2" t="n">
        <v>2.14</v>
      </c>
      <c r="H117" s="0" t="n">
        <v>-5.25</v>
      </c>
      <c r="I117" s="2" t="n">
        <v>2.14</v>
      </c>
      <c r="J117" s="1" t="s">
        <v>18</v>
      </c>
      <c r="K117" s="1" t="s">
        <v>18</v>
      </c>
      <c r="L117" s="1" t="s">
        <v>18</v>
      </c>
      <c r="M117" s="2" t="s">
        <v>18</v>
      </c>
      <c r="N117" s="1" t="s">
        <v>18</v>
      </c>
      <c r="O117" s="2" t="s">
        <v>18</v>
      </c>
    </row>
    <row r="118" customFormat="false" ht="15" hidden="false" customHeight="false" outlineLevel="0" collapsed="false">
      <c r="A118" s="1" t="n">
        <v>15</v>
      </c>
      <c r="B118" s="2" t="s">
        <v>32</v>
      </c>
      <c r="C118" s="0" t="n">
        <v>454.75</v>
      </c>
      <c r="D118" s="0" t="n">
        <v>4</v>
      </c>
      <c r="E118" s="0" t="n">
        <v>1.56</v>
      </c>
      <c r="F118" s="1" t="s">
        <v>18</v>
      </c>
      <c r="G118" s="2" t="s">
        <v>18</v>
      </c>
      <c r="H118" s="1" t="s">
        <v>18</v>
      </c>
      <c r="I118" s="2" t="s">
        <v>18</v>
      </c>
      <c r="J118" s="1" t="s">
        <v>18</v>
      </c>
      <c r="K118" s="1" t="s">
        <v>18</v>
      </c>
      <c r="L118" s="0" t="n">
        <v>5.51</v>
      </c>
      <c r="M118" s="2" t="n">
        <v>2.82</v>
      </c>
      <c r="N118" s="0" t="n">
        <v>10.12</v>
      </c>
      <c r="O118" s="2" t="n">
        <v>2.82</v>
      </c>
      <c r="P118" s="0" t="n">
        <v>5.77</v>
      </c>
      <c r="Q118" s="0" t="n">
        <v>0</v>
      </c>
    </row>
    <row r="119" customFormat="false" ht="15" hidden="false" customHeight="false" outlineLevel="0" collapsed="false">
      <c r="D119" s="0" t="n">
        <v>3</v>
      </c>
      <c r="E119" s="0" t="n">
        <v>1.05</v>
      </c>
      <c r="F119" s="1" t="s">
        <v>18</v>
      </c>
      <c r="G119" s="2" t="s">
        <v>18</v>
      </c>
      <c r="H119" s="1" t="s">
        <v>18</v>
      </c>
      <c r="I119" s="2" t="s">
        <v>18</v>
      </c>
      <c r="J119" s="1" t="s">
        <v>18</v>
      </c>
      <c r="K119" s="1" t="s">
        <v>18</v>
      </c>
      <c r="L119" s="0" t="n">
        <v>5.25</v>
      </c>
      <c r="M119" s="2" t="n">
        <v>2.57</v>
      </c>
      <c r="N119" s="0" t="n">
        <v>10.93</v>
      </c>
      <c r="O119" s="2" t="n">
        <v>2.57</v>
      </c>
    </row>
    <row r="120" customFormat="false" ht="15" hidden="false" customHeight="false" outlineLevel="0" collapsed="false">
      <c r="D120" s="0" t="n">
        <v>2</v>
      </c>
      <c r="E120" s="0" t="n">
        <v>1.53</v>
      </c>
      <c r="F120" s="1" t="s">
        <v>18</v>
      </c>
      <c r="G120" s="2" t="s">
        <v>18</v>
      </c>
      <c r="H120" s="1" t="s">
        <v>18</v>
      </c>
      <c r="I120" s="2" t="s">
        <v>18</v>
      </c>
      <c r="J120" s="1" t="s">
        <v>18</v>
      </c>
      <c r="K120" s="1" t="s">
        <v>18</v>
      </c>
      <c r="L120" s="0" t="n">
        <v>5.25</v>
      </c>
      <c r="M120" s="2" t="n">
        <v>2.39</v>
      </c>
      <c r="N120" s="0" t="n">
        <v>11.2</v>
      </c>
      <c r="O120" s="2" t="n">
        <v>2.39</v>
      </c>
    </row>
    <row r="121" customFormat="false" ht="15" hidden="false" customHeight="false" outlineLevel="0" collapsed="false">
      <c r="D121" s="0" t="n">
        <v>1</v>
      </c>
      <c r="E121" s="0" t="n">
        <v>1.63</v>
      </c>
      <c r="F121" s="1" t="s">
        <v>18</v>
      </c>
      <c r="G121" s="2" t="s">
        <v>18</v>
      </c>
      <c r="H121" s="1" t="s">
        <v>18</v>
      </c>
      <c r="I121" s="2" t="s">
        <v>18</v>
      </c>
      <c r="J121" s="1" t="s">
        <v>18</v>
      </c>
      <c r="K121" s="1" t="s">
        <v>18</v>
      </c>
      <c r="L121" s="0" t="n">
        <v>5.25</v>
      </c>
      <c r="M121" s="2" t="n">
        <v>2.14</v>
      </c>
      <c r="N121" s="0" t="n">
        <v>11.58</v>
      </c>
      <c r="O121" s="2" t="n">
        <v>2.14</v>
      </c>
    </row>
    <row r="122" customFormat="false" ht="15" hidden="false" customHeight="false" outlineLevel="0" collapsed="false">
      <c r="A122" s="1" t="n">
        <v>16</v>
      </c>
      <c r="B122" s="2" t="s">
        <v>33</v>
      </c>
      <c r="C122" s="0" t="n">
        <v>474.75</v>
      </c>
      <c r="D122" s="0" t="n">
        <v>4</v>
      </c>
      <c r="E122" s="0" t="n">
        <v>1.56</v>
      </c>
      <c r="F122" s="0" t="n">
        <v>-10.12</v>
      </c>
      <c r="G122" s="2" t="n">
        <v>2.9</v>
      </c>
      <c r="H122" s="0" t="n">
        <v>-5.51</v>
      </c>
      <c r="I122" s="2" t="n">
        <v>2.62</v>
      </c>
      <c r="J122" s="1" t="s">
        <v>18</v>
      </c>
      <c r="K122" s="1" t="s">
        <v>18</v>
      </c>
      <c r="L122" s="1" t="s">
        <v>18</v>
      </c>
      <c r="M122" s="2" t="s">
        <v>18</v>
      </c>
      <c r="N122" s="1" t="s">
        <v>18</v>
      </c>
      <c r="O122" s="2" t="s">
        <v>18</v>
      </c>
      <c r="P122" s="0" t="n">
        <v>5.77</v>
      </c>
      <c r="Q122" s="0" t="n">
        <v>0</v>
      </c>
    </row>
    <row r="123" customFormat="false" ht="15" hidden="false" customHeight="false" outlineLevel="0" collapsed="false">
      <c r="D123" s="0" t="n">
        <v>3</v>
      </c>
      <c r="E123" s="0" t="n">
        <v>1.05</v>
      </c>
      <c r="F123" s="0" t="n">
        <v>-10.93</v>
      </c>
      <c r="G123" s="2" t="n">
        <v>2.56</v>
      </c>
      <c r="H123" s="0" t="n">
        <v>-5.25</v>
      </c>
      <c r="I123" s="2" t="n">
        <v>2.56</v>
      </c>
      <c r="J123" s="1" t="s">
        <v>18</v>
      </c>
      <c r="K123" s="1" t="s">
        <v>18</v>
      </c>
      <c r="L123" s="1" t="s">
        <v>18</v>
      </c>
      <c r="M123" s="2" t="s">
        <v>18</v>
      </c>
      <c r="N123" s="1" t="s">
        <v>18</v>
      </c>
      <c r="O123" s="2" t="s">
        <v>18</v>
      </c>
    </row>
    <row r="124" customFormat="false" ht="15" hidden="false" customHeight="false" outlineLevel="0" collapsed="false">
      <c r="D124" s="0" t="n">
        <v>2</v>
      </c>
      <c r="E124" s="0" t="n">
        <v>1.53</v>
      </c>
      <c r="F124" s="0" t="n">
        <v>-11.2</v>
      </c>
      <c r="G124" s="2" t="n">
        <v>2.38</v>
      </c>
      <c r="H124" s="0" t="n">
        <v>-5.25</v>
      </c>
      <c r="I124" s="2" t="n">
        <v>2.38</v>
      </c>
      <c r="J124" s="1" t="s">
        <v>18</v>
      </c>
      <c r="K124" s="1" t="s">
        <v>18</v>
      </c>
      <c r="L124" s="1" t="s">
        <v>18</v>
      </c>
      <c r="M124" s="2" t="s">
        <v>18</v>
      </c>
      <c r="N124" s="1" t="s">
        <v>18</v>
      </c>
      <c r="O124" s="2" t="s">
        <v>18</v>
      </c>
    </row>
    <row r="125" customFormat="false" ht="15" hidden="false" customHeight="false" outlineLevel="0" collapsed="false">
      <c r="D125" s="0" t="n">
        <v>1</v>
      </c>
      <c r="E125" s="0" t="n">
        <v>1.63</v>
      </c>
      <c r="F125" s="0" t="n">
        <v>-11.58</v>
      </c>
      <c r="G125" s="2" t="n">
        <v>2.13</v>
      </c>
      <c r="H125" s="0" t="n">
        <v>-5.25</v>
      </c>
      <c r="I125" s="2" t="n">
        <v>2.13</v>
      </c>
      <c r="J125" s="1" t="s">
        <v>18</v>
      </c>
      <c r="K125" s="1" t="s">
        <v>18</v>
      </c>
      <c r="L125" s="1" t="s">
        <v>18</v>
      </c>
      <c r="M125" s="2" t="s">
        <v>18</v>
      </c>
      <c r="N125" s="1" t="s">
        <v>18</v>
      </c>
      <c r="O125" s="2" t="s">
        <v>18</v>
      </c>
    </row>
    <row r="126" customFormat="false" ht="15" hidden="false" customHeight="false" outlineLevel="0" collapsed="false">
      <c r="A126" s="1" t="n">
        <v>16</v>
      </c>
      <c r="B126" s="2" t="s">
        <v>33</v>
      </c>
      <c r="C126" s="0" t="n">
        <v>474.75</v>
      </c>
      <c r="D126" s="0" t="n">
        <v>4</v>
      </c>
      <c r="E126" s="0" t="n">
        <v>1.56</v>
      </c>
      <c r="F126" s="1" t="s">
        <v>18</v>
      </c>
      <c r="G126" s="2" t="s">
        <v>18</v>
      </c>
      <c r="H126" s="1" t="s">
        <v>18</v>
      </c>
      <c r="I126" s="2" t="s">
        <v>18</v>
      </c>
      <c r="J126" s="1" t="s">
        <v>18</v>
      </c>
      <c r="K126" s="1" t="s">
        <v>18</v>
      </c>
      <c r="L126" s="0" t="n">
        <v>5.51</v>
      </c>
      <c r="M126" s="2" t="n">
        <v>2.81</v>
      </c>
      <c r="N126" s="0" t="n">
        <v>10.12</v>
      </c>
      <c r="O126" s="2" t="n">
        <v>2.81</v>
      </c>
      <c r="P126" s="0" t="n">
        <v>5.77</v>
      </c>
      <c r="Q126" s="0" t="n">
        <v>0</v>
      </c>
    </row>
    <row r="127" customFormat="false" ht="15" hidden="false" customHeight="false" outlineLevel="0" collapsed="false">
      <c r="D127" s="0" t="n">
        <v>3</v>
      </c>
      <c r="E127" s="0" t="n">
        <v>1.05</v>
      </c>
      <c r="F127" s="1" t="s">
        <v>18</v>
      </c>
      <c r="G127" s="2" t="s">
        <v>18</v>
      </c>
      <c r="H127" s="1" t="s">
        <v>18</v>
      </c>
      <c r="I127" s="2" t="s">
        <v>18</v>
      </c>
      <c r="J127" s="1" t="s">
        <v>18</v>
      </c>
      <c r="K127" s="1" t="s">
        <v>18</v>
      </c>
      <c r="L127" s="0" t="n">
        <v>5.25</v>
      </c>
      <c r="M127" s="2" t="n">
        <v>2.56</v>
      </c>
      <c r="N127" s="0" t="n">
        <v>10.93</v>
      </c>
      <c r="O127" s="2" t="n">
        <v>2.56</v>
      </c>
    </row>
    <row r="128" customFormat="false" ht="15" hidden="false" customHeight="false" outlineLevel="0" collapsed="false">
      <c r="D128" s="0" t="n">
        <v>2</v>
      </c>
      <c r="E128" s="0" t="n">
        <v>1.53</v>
      </c>
      <c r="F128" s="1" t="s">
        <v>18</v>
      </c>
      <c r="G128" s="2" t="s">
        <v>18</v>
      </c>
      <c r="H128" s="1" t="s">
        <v>18</v>
      </c>
      <c r="I128" s="2" t="s">
        <v>18</v>
      </c>
      <c r="J128" s="1" t="s">
        <v>18</v>
      </c>
      <c r="K128" s="1" t="s">
        <v>18</v>
      </c>
      <c r="L128" s="0" t="n">
        <v>5.25</v>
      </c>
      <c r="M128" s="2" t="n">
        <v>2.38</v>
      </c>
      <c r="N128" s="0" t="n">
        <v>11.2</v>
      </c>
      <c r="O128" s="2" t="n">
        <v>2.38</v>
      </c>
    </row>
    <row r="129" customFormat="false" ht="15" hidden="false" customHeight="false" outlineLevel="0" collapsed="false">
      <c r="D129" s="0" t="n">
        <v>1</v>
      </c>
      <c r="E129" s="0" t="n">
        <v>1.63</v>
      </c>
      <c r="F129" s="1" t="s">
        <v>18</v>
      </c>
      <c r="G129" s="2" t="s">
        <v>18</v>
      </c>
      <c r="H129" s="1" t="s">
        <v>18</v>
      </c>
      <c r="I129" s="2" t="s">
        <v>18</v>
      </c>
      <c r="J129" s="1" t="s">
        <v>18</v>
      </c>
      <c r="K129" s="1" t="s">
        <v>18</v>
      </c>
      <c r="L129" s="0" t="n">
        <v>5.25</v>
      </c>
      <c r="M129" s="2" t="n">
        <v>2.13</v>
      </c>
      <c r="N129" s="0" t="n">
        <v>11.58</v>
      </c>
      <c r="O129" s="2" t="n">
        <v>2.13</v>
      </c>
    </row>
    <row r="130" customFormat="false" ht="15" hidden="false" customHeight="false" outlineLevel="0" collapsed="false">
      <c r="A130" s="1" t="n">
        <v>17</v>
      </c>
      <c r="B130" s="2" t="s">
        <v>34</v>
      </c>
      <c r="C130" s="0" t="n">
        <v>489.19</v>
      </c>
      <c r="D130" s="0" t="n">
        <v>4</v>
      </c>
      <c r="E130" s="0" t="n">
        <v>1.56</v>
      </c>
      <c r="F130" s="0" t="n">
        <v>-10.12</v>
      </c>
      <c r="G130" s="2" t="n">
        <v>2.89</v>
      </c>
      <c r="H130" s="0" t="n">
        <v>-5.51</v>
      </c>
      <c r="I130" s="2" t="n">
        <v>2.61</v>
      </c>
      <c r="J130" s="1" t="s">
        <v>18</v>
      </c>
      <c r="K130" s="1" t="s">
        <v>18</v>
      </c>
      <c r="L130" s="1" t="s">
        <v>18</v>
      </c>
      <c r="M130" s="2" t="s">
        <v>18</v>
      </c>
      <c r="N130" s="1" t="s">
        <v>18</v>
      </c>
      <c r="O130" s="2" t="s">
        <v>18</v>
      </c>
      <c r="P130" s="0" t="n">
        <v>5.77</v>
      </c>
      <c r="Q130" s="0" t="n">
        <v>0</v>
      </c>
    </row>
    <row r="131" customFormat="false" ht="15" hidden="false" customHeight="false" outlineLevel="0" collapsed="false">
      <c r="D131" s="0" t="n">
        <v>3</v>
      </c>
      <c r="E131" s="0" t="n">
        <v>1.05</v>
      </c>
      <c r="F131" s="0" t="n">
        <v>-10.93</v>
      </c>
      <c r="G131" s="2" t="n">
        <v>2.55</v>
      </c>
      <c r="H131" s="0" t="n">
        <v>-5.25</v>
      </c>
      <c r="I131" s="2" t="n">
        <v>2.55</v>
      </c>
      <c r="J131" s="1" t="s">
        <v>18</v>
      </c>
      <c r="K131" s="1" t="s">
        <v>18</v>
      </c>
      <c r="L131" s="1" t="s">
        <v>18</v>
      </c>
      <c r="M131" s="2" t="s">
        <v>18</v>
      </c>
      <c r="N131" s="1" t="s">
        <v>18</v>
      </c>
      <c r="O131" s="2" t="s">
        <v>18</v>
      </c>
    </row>
    <row r="132" customFormat="false" ht="15" hidden="false" customHeight="false" outlineLevel="0" collapsed="false">
      <c r="D132" s="0" t="n">
        <v>2</v>
      </c>
      <c r="E132" s="0" t="n">
        <v>1.53</v>
      </c>
      <c r="F132" s="0" t="n">
        <v>-11.2</v>
      </c>
      <c r="G132" s="2" t="n">
        <v>2.37</v>
      </c>
      <c r="H132" s="0" t="n">
        <v>-5.25</v>
      </c>
      <c r="I132" s="2" t="n">
        <v>2.37</v>
      </c>
      <c r="J132" s="1" t="s">
        <v>18</v>
      </c>
      <c r="K132" s="1" t="s">
        <v>18</v>
      </c>
      <c r="L132" s="1" t="s">
        <v>18</v>
      </c>
      <c r="M132" s="2" t="s">
        <v>18</v>
      </c>
      <c r="N132" s="1" t="s">
        <v>18</v>
      </c>
      <c r="O132" s="2" t="s">
        <v>18</v>
      </c>
    </row>
    <row r="133" customFormat="false" ht="15" hidden="false" customHeight="false" outlineLevel="0" collapsed="false">
      <c r="D133" s="0" t="n">
        <v>1</v>
      </c>
      <c r="E133" s="0" t="n">
        <v>1.63</v>
      </c>
      <c r="F133" s="0" t="n">
        <v>-11.58</v>
      </c>
      <c r="G133" s="2" t="n">
        <v>2.12</v>
      </c>
      <c r="H133" s="0" t="n">
        <v>-5.25</v>
      </c>
      <c r="I133" s="2" t="n">
        <v>2.12</v>
      </c>
      <c r="J133" s="1" t="s">
        <v>18</v>
      </c>
      <c r="K133" s="1" t="s">
        <v>18</v>
      </c>
      <c r="L133" s="1" t="s">
        <v>18</v>
      </c>
      <c r="M133" s="2" t="s">
        <v>18</v>
      </c>
      <c r="N133" s="1" t="s">
        <v>18</v>
      </c>
      <c r="O133" s="2" t="s">
        <v>18</v>
      </c>
    </row>
    <row r="134" customFormat="false" ht="15" hidden="false" customHeight="false" outlineLevel="0" collapsed="false">
      <c r="A134" s="1" t="n">
        <v>17</v>
      </c>
      <c r="B134" s="2" t="s">
        <v>34</v>
      </c>
      <c r="C134" s="0" t="n">
        <v>489.19</v>
      </c>
      <c r="D134" s="0" t="n">
        <v>4</v>
      </c>
      <c r="E134" s="0" t="n">
        <v>1.56</v>
      </c>
      <c r="F134" s="1" t="s">
        <v>18</v>
      </c>
      <c r="G134" s="2" t="s">
        <v>18</v>
      </c>
      <c r="H134" s="1" t="s">
        <v>18</v>
      </c>
      <c r="I134" s="2" t="s">
        <v>18</v>
      </c>
      <c r="J134" s="1" t="s">
        <v>18</v>
      </c>
      <c r="K134" s="1" t="s">
        <v>18</v>
      </c>
      <c r="L134" s="0" t="n">
        <v>5.51</v>
      </c>
      <c r="M134" s="2" t="n">
        <v>2.8</v>
      </c>
      <c r="N134" s="0" t="n">
        <v>10.12</v>
      </c>
      <c r="O134" s="2" t="n">
        <v>2.8</v>
      </c>
      <c r="P134" s="0" t="n">
        <v>5.77</v>
      </c>
      <c r="Q134" s="0" t="n">
        <v>0</v>
      </c>
    </row>
    <row r="135" customFormat="false" ht="15" hidden="false" customHeight="false" outlineLevel="0" collapsed="false">
      <c r="D135" s="0" t="n">
        <v>3</v>
      </c>
      <c r="E135" s="0" t="n">
        <v>1.05</v>
      </c>
      <c r="F135" s="1" t="s">
        <v>18</v>
      </c>
      <c r="G135" s="2" t="s">
        <v>18</v>
      </c>
      <c r="H135" s="1" t="s">
        <v>18</v>
      </c>
      <c r="I135" s="2" t="s">
        <v>18</v>
      </c>
      <c r="J135" s="1" t="s">
        <v>18</v>
      </c>
      <c r="K135" s="1" t="s">
        <v>18</v>
      </c>
      <c r="L135" s="0" t="n">
        <v>5.25</v>
      </c>
      <c r="M135" s="2" t="n">
        <v>2.55</v>
      </c>
      <c r="N135" s="0" t="n">
        <v>10.93</v>
      </c>
      <c r="O135" s="2" t="n">
        <v>2.55</v>
      </c>
    </row>
    <row r="136" customFormat="false" ht="15" hidden="false" customHeight="false" outlineLevel="0" collapsed="false">
      <c r="D136" s="0" t="n">
        <v>2</v>
      </c>
      <c r="E136" s="0" t="n">
        <v>1.53</v>
      </c>
      <c r="F136" s="1" t="s">
        <v>18</v>
      </c>
      <c r="G136" s="2" t="s">
        <v>18</v>
      </c>
      <c r="H136" s="1" t="s">
        <v>18</v>
      </c>
      <c r="I136" s="2" t="s">
        <v>18</v>
      </c>
      <c r="J136" s="1" t="s">
        <v>18</v>
      </c>
      <c r="K136" s="1" t="s">
        <v>18</v>
      </c>
      <c r="L136" s="0" t="n">
        <v>5.25</v>
      </c>
      <c r="M136" s="2" t="n">
        <v>2.37</v>
      </c>
      <c r="N136" s="0" t="n">
        <v>11.2</v>
      </c>
      <c r="O136" s="2" t="n">
        <v>2.37</v>
      </c>
    </row>
    <row r="137" customFormat="false" ht="15" hidden="false" customHeight="false" outlineLevel="0" collapsed="false">
      <c r="D137" s="0" t="n">
        <v>1</v>
      </c>
      <c r="E137" s="0" t="n">
        <v>1.63</v>
      </c>
      <c r="F137" s="1" t="s">
        <v>18</v>
      </c>
      <c r="G137" s="2" t="s">
        <v>18</v>
      </c>
      <c r="H137" s="1" t="s">
        <v>18</v>
      </c>
      <c r="I137" s="2" t="s">
        <v>18</v>
      </c>
      <c r="J137" s="1" t="s">
        <v>18</v>
      </c>
      <c r="K137" s="1" t="s">
        <v>18</v>
      </c>
      <c r="L137" s="0" t="n">
        <v>5.25</v>
      </c>
      <c r="M137" s="2" t="n">
        <v>2.12</v>
      </c>
      <c r="N137" s="0" t="n">
        <v>11.58</v>
      </c>
      <c r="O137" s="2" t="n">
        <v>2.12</v>
      </c>
    </row>
    <row r="138" customFormat="false" ht="15" hidden="false" customHeight="false" outlineLevel="0" collapsed="false">
      <c r="A138" s="1" t="n">
        <v>18</v>
      </c>
      <c r="B138" s="2" t="s">
        <v>35</v>
      </c>
      <c r="C138" s="0" t="n">
        <v>502.36</v>
      </c>
      <c r="D138" s="0" t="n">
        <v>4</v>
      </c>
      <c r="E138" s="0" t="n">
        <v>1.56</v>
      </c>
      <c r="F138" s="0" t="n">
        <v>-10.12</v>
      </c>
      <c r="G138" s="2" t="n">
        <v>2.89</v>
      </c>
      <c r="H138" s="0" t="n">
        <v>-5.51</v>
      </c>
      <c r="I138" s="2" t="n">
        <v>2.6</v>
      </c>
      <c r="J138" s="1" t="s">
        <v>18</v>
      </c>
      <c r="K138" s="1" t="s">
        <v>18</v>
      </c>
      <c r="L138" s="1" t="s">
        <v>18</v>
      </c>
      <c r="M138" s="2" t="s">
        <v>18</v>
      </c>
      <c r="N138" s="1" t="s">
        <v>18</v>
      </c>
      <c r="O138" s="2" t="s">
        <v>18</v>
      </c>
      <c r="P138" s="0" t="n">
        <v>5.77</v>
      </c>
      <c r="Q138" s="0" t="n">
        <v>0</v>
      </c>
    </row>
    <row r="139" customFormat="false" ht="15" hidden="false" customHeight="false" outlineLevel="0" collapsed="false">
      <c r="D139" s="0" t="n">
        <v>3</v>
      </c>
      <c r="E139" s="0" t="n">
        <v>1.05</v>
      </c>
      <c r="F139" s="0" t="n">
        <v>-10.93</v>
      </c>
      <c r="G139" s="2" t="n">
        <v>2.54</v>
      </c>
      <c r="H139" s="0" t="n">
        <v>-5.25</v>
      </c>
      <c r="I139" s="2" t="n">
        <v>2.54</v>
      </c>
      <c r="J139" s="1" t="s">
        <v>18</v>
      </c>
      <c r="K139" s="1" t="s">
        <v>18</v>
      </c>
      <c r="L139" s="1" t="s">
        <v>18</v>
      </c>
      <c r="M139" s="2" t="s">
        <v>18</v>
      </c>
      <c r="N139" s="1" t="s">
        <v>18</v>
      </c>
      <c r="O139" s="2" t="s">
        <v>18</v>
      </c>
    </row>
    <row r="140" customFormat="false" ht="15" hidden="false" customHeight="false" outlineLevel="0" collapsed="false">
      <c r="D140" s="0" t="n">
        <v>2</v>
      </c>
      <c r="E140" s="0" t="n">
        <v>1.53</v>
      </c>
      <c r="F140" s="0" t="n">
        <v>-11.2</v>
      </c>
      <c r="G140" s="2" t="n">
        <v>2.36</v>
      </c>
      <c r="H140" s="0" t="n">
        <v>-5.25</v>
      </c>
      <c r="I140" s="2" t="n">
        <v>2.36</v>
      </c>
      <c r="J140" s="1" t="s">
        <v>18</v>
      </c>
      <c r="K140" s="1" t="s">
        <v>18</v>
      </c>
      <c r="L140" s="1" t="s">
        <v>18</v>
      </c>
      <c r="M140" s="2" t="s">
        <v>18</v>
      </c>
      <c r="N140" s="1" t="s">
        <v>18</v>
      </c>
      <c r="O140" s="2" t="s">
        <v>18</v>
      </c>
    </row>
    <row r="141" customFormat="false" ht="15" hidden="false" customHeight="false" outlineLevel="0" collapsed="false">
      <c r="D141" s="0" t="n">
        <v>1</v>
      </c>
      <c r="E141" s="0" t="n">
        <v>1.63</v>
      </c>
      <c r="F141" s="0" t="n">
        <v>-11.58</v>
      </c>
      <c r="G141" s="2" t="n">
        <v>2.11</v>
      </c>
      <c r="H141" s="0" t="n">
        <v>-5.25</v>
      </c>
      <c r="I141" s="2" t="n">
        <v>2.11</v>
      </c>
      <c r="J141" s="1" t="s">
        <v>18</v>
      </c>
      <c r="K141" s="1" t="s">
        <v>18</v>
      </c>
      <c r="L141" s="1" t="s">
        <v>18</v>
      </c>
      <c r="M141" s="2" t="s">
        <v>18</v>
      </c>
      <c r="N141" s="1" t="s">
        <v>18</v>
      </c>
      <c r="O141" s="2" t="s">
        <v>18</v>
      </c>
    </row>
    <row r="142" customFormat="false" ht="15" hidden="false" customHeight="false" outlineLevel="0" collapsed="false">
      <c r="A142" s="1" t="n">
        <v>18</v>
      </c>
      <c r="B142" s="2" t="s">
        <v>35</v>
      </c>
      <c r="C142" s="0" t="n">
        <v>502.36</v>
      </c>
      <c r="D142" s="0" t="n">
        <v>4</v>
      </c>
      <c r="E142" s="0" t="n">
        <v>1.56</v>
      </c>
      <c r="F142" s="1" t="s">
        <v>18</v>
      </c>
      <c r="G142" s="2" t="s">
        <v>18</v>
      </c>
      <c r="H142" s="1" t="s">
        <v>18</v>
      </c>
      <c r="I142" s="2" t="s">
        <v>18</v>
      </c>
      <c r="J142" s="1" t="s">
        <v>18</v>
      </c>
      <c r="K142" s="1" t="s">
        <v>18</v>
      </c>
      <c r="L142" s="0" t="n">
        <v>5.51</v>
      </c>
      <c r="M142" s="2" t="n">
        <v>2.79</v>
      </c>
      <c r="N142" s="0" t="n">
        <v>10.12</v>
      </c>
      <c r="O142" s="2" t="n">
        <v>2.79</v>
      </c>
      <c r="P142" s="0" t="n">
        <v>5.77</v>
      </c>
      <c r="Q142" s="0" t="n">
        <v>0</v>
      </c>
    </row>
    <row r="143" customFormat="false" ht="15" hidden="false" customHeight="false" outlineLevel="0" collapsed="false">
      <c r="D143" s="0" t="n">
        <v>3</v>
      </c>
      <c r="E143" s="0" t="n">
        <v>1.05</v>
      </c>
      <c r="F143" s="1" t="s">
        <v>18</v>
      </c>
      <c r="G143" s="2" t="s">
        <v>18</v>
      </c>
      <c r="H143" s="1" t="s">
        <v>18</v>
      </c>
      <c r="I143" s="2" t="s">
        <v>18</v>
      </c>
      <c r="J143" s="1" t="s">
        <v>18</v>
      </c>
      <c r="K143" s="1" t="s">
        <v>18</v>
      </c>
      <c r="L143" s="0" t="n">
        <v>5.25</v>
      </c>
      <c r="M143" s="2" t="n">
        <v>2.54</v>
      </c>
      <c r="N143" s="0" t="n">
        <v>10.93</v>
      </c>
      <c r="O143" s="2" t="n">
        <v>2.54</v>
      </c>
    </row>
    <row r="144" customFormat="false" ht="15" hidden="false" customHeight="false" outlineLevel="0" collapsed="false">
      <c r="D144" s="0" t="n">
        <v>2</v>
      </c>
      <c r="E144" s="0" t="n">
        <v>1.53</v>
      </c>
      <c r="F144" s="1" t="s">
        <v>18</v>
      </c>
      <c r="G144" s="2" t="s">
        <v>18</v>
      </c>
      <c r="H144" s="1" t="s">
        <v>18</v>
      </c>
      <c r="I144" s="2" t="s">
        <v>18</v>
      </c>
      <c r="J144" s="1" t="s">
        <v>18</v>
      </c>
      <c r="K144" s="1" t="s">
        <v>18</v>
      </c>
      <c r="L144" s="0" t="n">
        <v>5.25</v>
      </c>
      <c r="M144" s="2" t="n">
        <v>2.36</v>
      </c>
      <c r="N144" s="0" t="n">
        <v>11.2</v>
      </c>
      <c r="O144" s="2" t="n">
        <v>2.36</v>
      </c>
    </row>
    <row r="145" customFormat="false" ht="15" hidden="false" customHeight="false" outlineLevel="0" collapsed="false">
      <c r="D145" s="0" t="n">
        <v>1</v>
      </c>
      <c r="E145" s="0" t="n">
        <v>1.63</v>
      </c>
      <c r="F145" s="1" t="s">
        <v>18</v>
      </c>
      <c r="G145" s="2" t="s">
        <v>18</v>
      </c>
      <c r="H145" s="1" t="s">
        <v>18</v>
      </c>
      <c r="I145" s="2" t="s">
        <v>18</v>
      </c>
      <c r="J145" s="1" t="s">
        <v>18</v>
      </c>
      <c r="K145" s="1" t="s">
        <v>18</v>
      </c>
      <c r="L145" s="0" t="n">
        <v>5.25</v>
      </c>
      <c r="M145" s="2" t="n">
        <v>2.11</v>
      </c>
      <c r="N145" s="0" t="n">
        <v>11.58</v>
      </c>
      <c r="O145" s="2" t="n">
        <v>2.11</v>
      </c>
    </row>
    <row r="146" customFormat="false" ht="15" hidden="false" customHeight="false" outlineLevel="0" collapsed="false">
      <c r="A146" s="1" t="n">
        <v>19</v>
      </c>
      <c r="B146" s="2" t="s">
        <v>36</v>
      </c>
      <c r="C146" s="0" t="n">
        <v>512.84</v>
      </c>
      <c r="D146" s="0" t="n">
        <v>4</v>
      </c>
      <c r="E146" s="0" t="n">
        <v>1.56</v>
      </c>
      <c r="F146" s="0" t="n">
        <v>-10.12</v>
      </c>
      <c r="G146" s="2" t="n">
        <v>2.88</v>
      </c>
      <c r="H146" s="0" t="n">
        <v>-5.51</v>
      </c>
      <c r="I146" s="2" t="n">
        <v>2.6</v>
      </c>
      <c r="J146" s="1" t="s">
        <v>18</v>
      </c>
      <c r="K146" s="1" t="s">
        <v>18</v>
      </c>
      <c r="L146" s="1" t="s">
        <v>18</v>
      </c>
      <c r="M146" s="2" t="s">
        <v>18</v>
      </c>
      <c r="N146" s="1" t="s">
        <v>18</v>
      </c>
      <c r="O146" s="2" t="s">
        <v>18</v>
      </c>
      <c r="P146" s="0" t="n">
        <v>5.77</v>
      </c>
      <c r="Q146" s="0" t="n">
        <v>0</v>
      </c>
    </row>
    <row r="147" customFormat="false" ht="15" hidden="false" customHeight="false" outlineLevel="0" collapsed="false">
      <c r="D147" s="0" t="n">
        <v>3</v>
      </c>
      <c r="E147" s="0" t="n">
        <v>1.05</v>
      </c>
      <c r="F147" s="0" t="n">
        <v>-10.93</v>
      </c>
      <c r="G147" s="2" t="n">
        <v>2.54</v>
      </c>
      <c r="H147" s="0" t="n">
        <v>-5.25</v>
      </c>
      <c r="I147" s="2" t="n">
        <v>2.54</v>
      </c>
      <c r="J147" s="1" t="s">
        <v>18</v>
      </c>
      <c r="K147" s="1" t="s">
        <v>18</v>
      </c>
      <c r="L147" s="1" t="s">
        <v>18</v>
      </c>
      <c r="M147" s="2" t="s">
        <v>18</v>
      </c>
      <c r="N147" s="1" t="s">
        <v>18</v>
      </c>
      <c r="O147" s="2" t="s">
        <v>18</v>
      </c>
    </row>
    <row r="148" customFormat="false" ht="15" hidden="false" customHeight="false" outlineLevel="0" collapsed="false">
      <c r="D148" s="0" t="n">
        <v>2</v>
      </c>
      <c r="E148" s="0" t="n">
        <v>1.53</v>
      </c>
      <c r="F148" s="0" t="n">
        <v>-11.2</v>
      </c>
      <c r="G148" s="2" t="n">
        <v>2.36</v>
      </c>
      <c r="H148" s="0" t="n">
        <v>-5.25</v>
      </c>
      <c r="I148" s="2" t="n">
        <v>2.36</v>
      </c>
      <c r="J148" s="1" t="s">
        <v>18</v>
      </c>
      <c r="K148" s="1" t="s">
        <v>18</v>
      </c>
      <c r="L148" s="1" t="s">
        <v>18</v>
      </c>
      <c r="M148" s="2" t="s">
        <v>18</v>
      </c>
      <c r="N148" s="1" t="s">
        <v>18</v>
      </c>
      <c r="O148" s="2" t="s">
        <v>18</v>
      </c>
    </row>
    <row r="149" customFormat="false" ht="15" hidden="false" customHeight="false" outlineLevel="0" collapsed="false">
      <c r="D149" s="0" t="n">
        <v>1</v>
      </c>
      <c r="E149" s="0" t="n">
        <v>1.63</v>
      </c>
      <c r="F149" s="0" t="n">
        <v>-11.58</v>
      </c>
      <c r="G149" s="2" t="n">
        <v>2.11</v>
      </c>
      <c r="H149" s="0" t="n">
        <v>-5.25</v>
      </c>
      <c r="I149" s="2" t="n">
        <v>2.11</v>
      </c>
      <c r="J149" s="1" t="s">
        <v>18</v>
      </c>
      <c r="K149" s="1" t="s">
        <v>18</v>
      </c>
      <c r="L149" s="1" t="s">
        <v>18</v>
      </c>
      <c r="M149" s="2" t="s">
        <v>18</v>
      </c>
      <c r="N149" s="1" t="s">
        <v>18</v>
      </c>
      <c r="O149" s="2" t="s">
        <v>18</v>
      </c>
    </row>
    <row r="150" customFormat="false" ht="15" hidden="false" customHeight="false" outlineLevel="0" collapsed="false">
      <c r="A150" s="1" t="n">
        <v>19</v>
      </c>
      <c r="B150" s="2" t="s">
        <v>36</v>
      </c>
      <c r="C150" s="0" t="n">
        <v>512.84</v>
      </c>
      <c r="D150" s="0" t="n">
        <v>4</v>
      </c>
      <c r="E150" s="0" t="n">
        <v>1.56</v>
      </c>
      <c r="F150" s="1" t="s">
        <v>18</v>
      </c>
      <c r="G150" s="2" t="s">
        <v>18</v>
      </c>
      <c r="H150" s="1" t="s">
        <v>18</v>
      </c>
      <c r="I150" s="2" t="s">
        <v>18</v>
      </c>
      <c r="J150" s="1" t="s">
        <v>18</v>
      </c>
      <c r="K150" s="1" t="s">
        <v>18</v>
      </c>
      <c r="L150" s="0" t="n">
        <v>5.51</v>
      </c>
      <c r="M150" s="2" t="n">
        <v>2.79</v>
      </c>
      <c r="N150" s="0" t="n">
        <v>10.12</v>
      </c>
      <c r="O150" s="2" t="n">
        <v>2.78</v>
      </c>
      <c r="P150" s="0" t="n">
        <v>5.77</v>
      </c>
      <c r="Q150" s="0" t="n">
        <v>0</v>
      </c>
    </row>
    <row r="151" customFormat="false" ht="15" hidden="false" customHeight="false" outlineLevel="0" collapsed="false">
      <c r="D151" s="0" t="n">
        <v>3</v>
      </c>
      <c r="E151" s="0" t="n">
        <v>1.05</v>
      </c>
      <c r="F151" s="1" t="s">
        <v>18</v>
      </c>
      <c r="G151" s="2" t="s">
        <v>18</v>
      </c>
      <c r="H151" s="1" t="s">
        <v>18</v>
      </c>
      <c r="I151" s="2" t="s">
        <v>18</v>
      </c>
      <c r="J151" s="1" t="s">
        <v>18</v>
      </c>
      <c r="K151" s="1" t="s">
        <v>18</v>
      </c>
      <c r="L151" s="0" t="n">
        <v>5.25</v>
      </c>
      <c r="M151" s="2" t="n">
        <v>2.54</v>
      </c>
      <c r="N151" s="0" t="n">
        <v>10.93</v>
      </c>
      <c r="O151" s="2" t="n">
        <v>2.54</v>
      </c>
    </row>
    <row r="152" customFormat="false" ht="15" hidden="false" customHeight="false" outlineLevel="0" collapsed="false">
      <c r="D152" s="0" t="n">
        <v>2</v>
      </c>
      <c r="E152" s="0" t="n">
        <v>1.53</v>
      </c>
      <c r="F152" s="1" t="s">
        <v>18</v>
      </c>
      <c r="G152" s="2" t="s">
        <v>18</v>
      </c>
      <c r="H152" s="1" t="s">
        <v>18</v>
      </c>
      <c r="I152" s="2" t="s">
        <v>18</v>
      </c>
      <c r="J152" s="1" t="s">
        <v>18</v>
      </c>
      <c r="K152" s="1" t="s">
        <v>18</v>
      </c>
      <c r="L152" s="0" t="n">
        <v>5.25</v>
      </c>
      <c r="M152" s="2" t="n">
        <v>2.36</v>
      </c>
      <c r="N152" s="0" t="n">
        <v>11.2</v>
      </c>
      <c r="O152" s="2" t="n">
        <v>2.36</v>
      </c>
    </row>
    <row r="153" customFormat="false" ht="15" hidden="false" customHeight="false" outlineLevel="0" collapsed="false">
      <c r="D153" s="0" t="n">
        <v>1</v>
      </c>
      <c r="E153" s="0" t="n">
        <v>1.63</v>
      </c>
      <c r="F153" s="1" t="s">
        <v>18</v>
      </c>
      <c r="G153" s="2" t="s">
        <v>18</v>
      </c>
      <c r="H153" s="1" t="s">
        <v>18</v>
      </c>
      <c r="I153" s="2" t="s">
        <v>18</v>
      </c>
      <c r="J153" s="1" t="s">
        <v>18</v>
      </c>
      <c r="K153" s="1" t="s">
        <v>18</v>
      </c>
      <c r="L153" s="0" t="n">
        <v>5.25</v>
      </c>
      <c r="M153" s="2" t="n">
        <v>2.11</v>
      </c>
      <c r="N153" s="0" t="n">
        <v>11.58</v>
      </c>
      <c r="O153" s="2" t="n">
        <v>2.11</v>
      </c>
    </row>
    <row r="154" customFormat="false" ht="15" hidden="false" customHeight="false" outlineLevel="0" collapsed="false">
      <c r="A154" s="1" t="n">
        <v>20</v>
      </c>
      <c r="B154" s="2" t="s">
        <v>37</v>
      </c>
      <c r="C154" s="0" t="n">
        <v>529.62</v>
      </c>
      <c r="D154" s="0" t="n">
        <v>4</v>
      </c>
      <c r="E154" s="0" t="n">
        <v>1.56</v>
      </c>
      <c r="F154" s="0" t="n">
        <v>-10.12</v>
      </c>
      <c r="G154" s="2" t="n">
        <v>2.87</v>
      </c>
      <c r="H154" s="0" t="n">
        <v>-5.51</v>
      </c>
      <c r="I154" s="2" t="n">
        <v>2.59</v>
      </c>
      <c r="J154" s="1" t="s">
        <v>18</v>
      </c>
      <c r="K154" s="1" t="s">
        <v>18</v>
      </c>
      <c r="L154" s="1" t="s">
        <v>18</v>
      </c>
      <c r="M154" s="2" t="s">
        <v>18</v>
      </c>
      <c r="N154" s="1" t="s">
        <v>18</v>
      </c>
      <c r="O154" s="2" t="s">
        <v>18</v>
      </c>
      <c r="P154" s="0" t="n">
        <v>5.77</v>
      </c>
      <c r="Q154" s="0" t="n">
        <v>0</v>
      </c>
    </row>
    <row r="155" customFormat="false" ht="15" hidden="false" customHeight="false" outlineLevel="0" collapsed="false">
      <c r="D155" s="0" t="n">
        <v>3</v>
      </c>
      <c r="E155" s="0" t="n">
        <v>1.05</v>
      </c>
      <c r="F155" s="0" t="n">
        <v>-10.93</v>
      </c>
      <c r="G155" s="2" t="n">
        <v>2.53</v>
      </c>
      <c r="H155" s="0" t="n">
        <v>-5.25</v>
      </c>
      <c r="I155" s="2" t="n">
        <v>2.53</v>
      </c>
      <c r="J155" s="1" t="s">
        <v>18</v>
      </c>
      <c r="K155" s="1" t="s">
        <v>18</v>
      </c>
      <c r="L155" s="1" t="s">
        <v>18</v>
      </c>
      <c r="M155" s="2" t="s">
        <v>18</v>
      </c>
      <c r="N155" s="1" t="s">
        <v>18</v>
      </c>
      <c r="O155" s="2" t="s">
        <v>18</v>
      </c>
    </row>
    <row r="156" customFormat="false" ht="15" hidden="false" customHeight="false" outlineLevel="0" collapsed="false">
      <c r="D156" s="0" t="n">
        <v>2</v>
      </c>
      <c r="E156" s="0" t="n">
        <v>1.53</v>
      </c>
      <c r="F156" s="0" t="n">
        <v>-11.2</v>
      </c>
      <c r="G156" s="2" t="n">
        <v>2.35</v>
      </c>
      <c r="H156" s="0" t="n">
        <v>-5.25</v>
      </c>
      <c r="I156" s="2" t="n">
        <v>2.35</v>
      </c>
      <c r="J156" s="1" t="s">
        <v>18</v>
      </c>
      <c r="K156" s="1" t="s">
        <v>18</v>
      </c>
      <c r="L156" s="1" t="s">
        <v>18</v>
      </c>
      <c r="M156" s="2" t="s">
        <v>18</v>
      </c>
      <c r="N156" s="1" t="s">
        <v>18</v>
      </c>
      <c r="O156" s="2" t="s">
        <v>18</v>
      </c>
    </row>
    <row r="157" customFormat="false" ht="15" hidden="false" customHeight="false" outlineLevel="0" collapsed="false">
      <c r="D157" s="0" t="n">
        <v>1</v>
      </c>
      <c r="E157" s="0" t="n">
        <v>1.63</v>
      </c>
      <c r="F157" s="0" t="n">
        <v>-11.58</v>
      </c>
      <c r="G157" s="2" t="n">
        <v>2.1</v>
      </c>
      <c r="H157" s="0" t="n">
        <v>-5.25</v>
      </c>
      <c r="I157" s="2" t="n">
        <v>2.1</v>
      </c>
      <c r="J157" s="1" t="s">
        <v>18</v>
      </c>
      <c r="K157" s="1" t="s">
        <v>18</v>
      </c>
      <c r="L157" s="1" t="s">
        <v>18</v>
      </c>
      <c r="M157" s="2" t="s">
        <v>18</v>
      </c>
      <c r="N157" s="1" t="s">
        <v>18</v>
      </c>
      <c r="O157" s="2" t="s">
        <v>18</v>
      </c>
    </row>
    <row r="158" customFormat="false" ht="15" hidden="false" customHeight="false" outlineLevel="0" collapsed="false">
      <c r="A158" s="1" t="n">
        <v>20</v>
      </c>
      <c r="B158" s="2" t="s">
        <v>37</v>
      </c>
      <c r="C158" s="0" t="n">
        <v>529.62</v>
      </c>
      <c r="D158" s="0" t="n">
        <v>4</v>
      </c>
      <c r="E158" s="0" t="n">
        <v>1.56</v>
      </c>
      <c r="F158" s="1" t="s">
        <v>18</v>
      </c>
      <c r="G158" s="2" t="s">
        <v>18</v>
      </c>
      <c r="H158" s="1" t="s">
        <v>18</v>
      </c>
      <c r="I158" s="2" t="s">
        <v>18</v>
      </c>
      <c r="J158" s="1" t="s">
        <v>18</v>
      </c>
      <c r="K158" s="1" t="s">
        <v>18</v>
      </c>
      <c r="L158" s="0" t="n">
        <v>5.51</v>
      </c>
      <c r="M158" s="2" t="n">
        <v>2.78</v>
      </c>
      <c r="N158" s="0" t="n">
        <v>10.12</v>
      </c>
      <c r="O158" s="2" t="n">
        <v>2.77</v>
      </c>
      <c r="P158" s="0" t="n">
        <v>5.77</v>
      </c>
      <c r="Q158" s="0" t="n">
        <v>0</v>
      </c>
    </row>
    <row r="159" customFormat="false" ht="15" hidden="false" customHeight="false" outlineLevel="0" collapsed="false">
      <c r="D159" s="0" t="n">
        <v>3</v>
      </c>
      <c r="E159" s="0" t="n">
        <v>1.05</v>
      </c>
      <c r="F159" s="1" t="s">
        <v>18</v>
      </c>
      <c r="G159" s="2" t="s">
        <v>18</v>
      </c>
      <c r="H159" s="1" t="s">
        <v>18</v>
      </c>
      <c r="I159" s="2" t="s">
        <v>18</v>
      </c>
      <c r="J159" s="1" t="s">
        <v>18</v>
      </c>
      <c r="K159" s="1" t="s">
        <v>18</v>
      </c>
      <c r="L159" s="0" t="n">
        <v>5.25</v>
      </c>
      <c r="M159" s="2" t="n">
        <v>2.53</v>
      </c>
      <c r="N159" s="0" t="n">
        <v>10.93</v>
      </c>
      <c r="O159" s="2" t="n">
        <v>2.53</v>
      </c>
    </row>
    <row r="160" customFormat="false" ht="15" hidden="false" customHeight="false" outlineLevel="0" collapsed="false">
      <c r="D160" s="0" t="n">
        <v>2</v>
      </c>
      <c r="E160" s="0" t="n">
        <v>1.53</v>
      </c>
      <c r="F160" s="1" t="s">
        <v>18</v>
      </c>
      <c r="G160" s="2" t="s">
        <v>18</v>
      </c>
      <c r="H160" s="1" t="s">
        <v>18</v>
      </c>
      <c r="I160" s="2" t="s">
        <v>18</v>
      </c>
      <c r="J160" s="1" t="s">
        <v>18</v>
      </c>
      <c r="K160" s="1" t="s">
        <v>18</v>
      </c>
      <c r="L160" s="0" t="n">
        <v>5.25</v>
      </c>
      <c r="M160" s="2" t="n">
        <v>2.35</v>
      </c>
      <c r="N160" s="0" t="n">
        <v>11.2</v>
      </c>
      <c r="O160" s="2" t="n">
        <v>2.35</v>
      </c>
    </row>
    <row r="161" customFormat="false" ht="15" hidden="false" customHeight="false" outlineLevel="0" collapsed="false">
      <c r="D161" s="0" t="n">
        <v>1</v>
      </c>
      <c r="E161" s="0" t="n">
        <v>1.63</v>
      </c>
      <c r="F161" s="1" t="s">
        <v>18</v>
      </c>
      <c r="G161" s="2" t="s">
        <v>18</v>
      </c>
      <c r="H161" s="1" t="s">
        <v>18</v>
      </c>
      <c r="I161" s="2" t="s">
        <v>18</v>
      </c>
      <c r="J161" s="1" t="s">
        <v>18</v>
      </c>
      <c r="K161" s="1" t="s">
        <v>18</v>
      </c>
      <c r="L161" s="0" t="n">
        <v>5.25</v>
      </c>
      <c r="M161" s="2" t="n">
        <v>2.1</v>
      </c>
      <c r="N161" s="0" t="n">
        <v>11.58</v>
      </c>
      <c r="O161" s="2" t="n">
        <v>2.1</v>
      </c>
    </row>
    <row r="162" customFormat="false" ht="15" hidden="false" customHeight="false" outlineLevel="0" collapsed="false">
      <c r="A162" s="1" t="n">
        <v>21</v>
      </c>
      <c r="B162" s="2" t="s">
        <v>38</v>
      </c>
      <c r="C162" s="0" t="n">
        <v>546.72</v>
      </c>
      <c r="D162" s="0" t="n">
        <v>4</v>
      </c>
      <c r="E162" s="0" t="n">
        <v>1.56</v>
      </c>
      <c r="F162" s="0" t="n">
        <v>-10.12</v>
      </c>
      <c r="G162" s="2" t="n">
        <v>2.86</v>
      </c>
      <c r="H162" s="0" t="n">
        <v>-5.51</v>
      </c>
      <c r="I162" s="2" t="n">
        <v>2.58</v>
      </c>
      <c r="J162" s="1" t="s">
        <v>18</v>
      </c>
      <c r="K162" s="1" t="s">
        <v>18</v>
      </c>
      <c r="L162" s="1" t="s">
        <v>18</v>
      </c>
      <c r="M162" s="2" t="s">
        <v>18</v>
      </c>
      <c r="N162" s="1" t="s">
        <v>18</v>
      </c>
      <c r="O162" s="2" t="s">
        <v>18</v>
      </c>
      <c r="P162" s="0" t="n">
        <v>5.77</v>
      </c>
      <c r="Q162" s="0" t="n">
        <v>0</v>
      </c>
    </row>
    <row r="163" customFormat="false" ht="15" hidden="false" customHeight="false" outlineLevel="0" collapsed="false">
      <c r="D163" s="0" t="n">
        <v>3</v>
      </c>
      <c r="E163" s="0" t="n">
        <v>1.05</v>
      </c>
      <c r="F163" s="0" t="n">
        <v>-10.93</v>
      </c>
      <c r="G163" s="2" t="n">
        <v>2.52</v>
      </c>
      <c r="H163" s="0" t="n">
        <v>-5.25</v>
      </c>
      <c r="I163" s="2" t="n">
        <v>2.52</v>
      </c>
      <c r="J163" s="1" t="s">
        <v>18</v>
      </c>
      <c r="K163" s="1" t="s">
        <v>18</v>
      </c>
      <c r="L163" s="1" t="s">
        <v>18</v>
      </c>
      <c r="M163" s="2" t="s">
        <v>18</v>
      </c>
      <c r="N163" s="1" t="s">
        <v>18</v>
      </c>
      <c r="O163" s="2" t="s">
        <v>18</v>
      </c>
    </row>
    <row r="164" customFormat="false" ht="15" hidden="false" customHeight="false" outlineLevel="0" collapsed="false">
      <c r="D164" s="0" t="n">
        <v>2</v>
      </c>
      <c r="E164" s="0" t="n">
        <v>1.53</v>
      </c>
      <c r="F164" s="0" t="n">
        <v>-11.2</v>
      </c>
      <c r="G164" s="2" t="n">
        <v>2.34</v>
      </c>
      <c r="H164" s="0" t="n">
        <v>-5.25</v>
      </c>
      <c r="I164" s="2" t="n">
        <v>2.34</v>
      </c>
      <c r="J164" s="1" t="s">
        <v>18</v>
      </c>
      <c r="K164" s="1" t="s">
        <v>18</v>
      </c>
      <c r="L164" s="1" t="s">
        <v>18</v>
      </c>
      <c r="M164" s="2" t="s">
        <v>18</v>
      </c>
      <c r="N164" s="1" t="s">
        <v>18</v>
      </c>
      <c r="O164" s="2" t="s">
        <v>18</v>
      </c>
    </row>
    <row r="165" customFormat="false" ht="15" hidden="false" customHeight="false" outlineLevel="0" collapsed="false">
      <c r="D165" s="0" t="n">
        <v>1</v>
      </c>
      <c r="E165" s="0" t="n">
        <v>1.63</v>
      </c>
      <c r="F165" s="0" t="n">
        <v>-11.58</v>
      </c>
      <c r="G165" s="2" t="n">
        <v>2.09</v>
      </c>
      <c r="H165" s="0" t="n">
        <v>-5.25</v>
      </c>
      <c r="I165" s="2" t="n">
        <v>2.09</v>
      </c>
      <c r="J165" s="1" t="s">
        <v>18</v>
      </c>
      <c r="K165" s="1" t="s">
        <v>18</v>
      </c>
      <c r="L165" s="1" t="s">
        <v>18</v>
      </c>
      <c r="M165" s="2" t="s">
        <v>18</v>
      </c>
      <c r="N165" s="1" t="s">
        <v>18</v>
      </c>
      <c r="O165" s="2" t="s">
        <v>18</v>
      </c>
    </row>
    <row r="166" customFormat="false" ht="15" hidden="false" customHeight="false" outlineLevel="0" collapsed="false">
      <c r="A166" s="1" t="n">
        <v>21</v>
      </c>
      <c r="B166" s="2" t="s">
        <v>38</v>
      </c>
      <c r="C166" s="0" t="n">
        <v>546.72</v>
      </c>
      <c r="D166" s="0" t="n">
        <v>4</v>
      </c>
      <c r="E166" s="0" t="n">
        <v>1.56</v>
      </c>
      <c r="F166" s="1" t="s">
        <v>18</v>
      </c>
      <c r="G166" s="2" t="s">
        <v>18</v>
      </c>
      <c r="H166" s="1" t="s">
        <v>18</v>
      </c>
      <c r="I166" s="2" t="s">
        <v>18</v>
      </c>
      <c r="J166" s="1" t="s">
        <v>18</v>
      </c>
      <c r="K166" s="1" t="s">
        <v>18</v>
      </c>
      <c r="L166" s="0" t="n">
        <v>5.51</v>
      </c>
      <c r="M166" s="2" t="n">
        <v>2.77</v>
      </c>
      <c r="N166" s="0" t="n">
        <v>10.12</v>
      </c>
      <c r="O166" s="2" t="n">
        <v>2.76</v>
      </c>
      <c r="P166" s="0" t="n">
        <v>5.77</v>
      </c>
      <c r="Q166" s="0" t="n">
        <v>0</v>
      </c>
    </row>
    <row r="167" customFormat="false" ht="15" hidden="false" customHeight="false" outlineLevel="0" collapsed="false">
      <c r="D167" s="0" t="n">
        <v>3</v>
      </c>
      <c r="E167" s="0" t="n">
        <v>1.05</v>
      </c>
      <c r="F167" s="1" t="s">
        <v>18</v>
      </c>
      <c r="G167" s="2" t="s">
        <v>18</v>
      </c>
      <c r="H167" s="1" t="s">
        <v>18</v>
      </c>
      <c r="I167" s="2" t="s">
        <v>18</v>
      </c>
      <c r="J167" s="1" t="s">
        <v>18</v>
      </c>
      <c r="K167" s="1" t="s">
        <v>18</v>
      </c>
      <c r="L167" s="0" t="n">
        <v>5.25</v>
      </c>
      <c r="M167" s="2" t="n">
        <v>2.52</v>
      </c>
      <c r="N167" s="0" t="n">
        <v>10.93</v>
      </c>
      <c r="O167" s="2" t="n">
        <v>2.52</v>
      </c>
    </row>
    <row r="168" customFormat="false" ht="15" hidden="false" customHeight="false" outlineLevel="0" collapsed="false">
      <c r="D168" s="0" t="n">
        <v>2</v>
      </c>
      <c r="E168" s="0" t="n">
        <v>1.53</v>
      </c>
      <c r="F168" s="1" t="s">
        <v>18</v>
      </c>
      <c r="G168" s="2" t="s">
        <v>18</v>
      </c>
      <c r="H168" s="1" t="s">
        <v>18</v>
      </c>
      <c r="I168" s="2" t="s">
        <v>18</v>
      </c>
      <c r="J168" s="1" t="s">
        <v>18</v>
      </c>
      <c r="K168" s="1" t="s">
        <v>18</v>
      </c>
      <c r="L168" s="0" t="n">
        <v>5.25</v>
      </c>
      <c r="M168" s="2" t="n">
        <v>2.34</v>
      </c>
      <c r="N168" s="0" t="n">
        <v>11.2</v>
      </c>
      <c r="O168" s="2" t="n">
        <v>2.34</v>
      </c>
    </row>
    <row r="169" customFormat="false" ht="15" hidden="false" customHeight="false" outlineLevel="0" collapsed="false">
      <c r="D169" s="0" t="n">
        <v>1</v>
      </c>
      <c r="E169" s="0" t="n">
        <v>1.63</v>
      </c>
      <c r="F169" s="1" t="s">
        <v>18</v>
      </c>
      <c r="G169" s="2" t="s">
        <v>18</v>
      </c>
      <c r="H169" s="1" t="s">
        <v>18</v>
      </c>
      <c r="I169" s="2" t="s">
        <v>18</v>
      </c>
      <c r="J169" s="1" t="s">
        <v>18</v>
      </c>
      <c r="K169" s="1" t="s">
        <v>18</v>
      </c>
      <c r="L169" s="0" t="n">
        <v>5.25</v>
      </c>
      <c r="M169" s="2" t="n">
        <v>2.09</v>
      </c>
      <c r="N169" s="0" t="n">
        <v>11.58</v>
      </c>
      <c r="O169" s="2" t="n">
        <v>2.09</v>
      </c>
    </row>
    <row r="170" customFormat="false" ht="15" hidden="false" customHeight="false" outlineLevel="0" collapsed="false">
      <c r="A170" s="1" t="n">
        <v>22</v>
      </c>
      <c r="B170" s="2" t="s">
        <v>39</v>
      </c>
      <c r="C170" s="0" t="n">
        <v>561.87</v>
      </c>
      <c r="D170" s="0" t="n">
        <v>4</v>
      </c>
      <c r="E170" s="0" t="n">
        <v>1.56</v>
      </c>
      <c r="F170" s="0" t="n">
        <v>-10.12</v>
      </c>
      <c r="G170" s="2" t="n">
        <v>2.86</v>
      </c>
      <c r="H170" s="0" t="n">
        <v>-5.51</v>
      </c>
      <c r="I170" s="2" t="n">
        <v>2.58</v>
      </c>
      <c r="J170" s="1" t="s">
        <v>18</v>
      </c>
      <c r="K170" s="1" t="s">
        <v>18</v>
      </c>
      <c r="L170" s="1" t="s">
        <v>18</v>
      </c>
      <c r="M170" s="2" t="s">
        <v>18</v>
      </c>
      <c r="N170" s="1" t="s">
        <v>18</v>
      </c>
      <c r="O170" s="2" t="s">
        <v>18</v>
      </c>
      <c r="P170" s="0" t="n">
        <v>5.77</v>
      </c>
      <c r="Q170" s="0" t="n">
        <v>0</v>
      </c>
    </row>
    <row r="171" customFormat="false" ht="15" hidden="false" customHeight="false" outlineLevel="0" collapsed="false">
      <c r="D171" s="0" t="n">
        <v>3</v>
      </c>
      <c r="E171" s="0" t="n">
        <v>1.05</v>
      </c>
      <c r="F171" s="0" t="n">
        <v>-10.93</v>
      </c>
      <c r="G171" s="2" t="n">
        <v>2.52</v>
      </c>
      <c r="H171" s="0" t="n">
        <v>-5.25</v>
      </c>
      <c r="I171" s="2" t="n">
        <v>2.52</v>
      </c>
      <c r="J171" s="1" t="s">
        <v>18</v>
      </c>
      <c r="K171" s="1" t="s">
        <v>18</v>
      </c>
      <c r="L171" s="1" t="s">
        <v>18</v>
      </c>
      <c r="M171" s="2" t="s">
        <v>18</v>
      </c>
      <c r="N171" s="1" t="s">
        <v>18</v>
      </c>
      <c r="O171" s="2" t="s">
        <v>18</v>
      </c>
    </row>
    <row r="172" customFormat="false" ht="15" hidden="false" customHeight="false" outlineLevel="0" collapsed="false">
      <c r="D172" s="0" t="n">
        <v>2</v>
      </c>
      <c r="E172" s="0" t="n">
        <v>1.53</v>
      </c>
      <c r="F172" s="0" t="n">
        <v>-11.2</v>
      </c>
      <c r="G172" s="2" t="n">
        <v>2.34</v>
      </c>
      <c r="H172" s="0" t="n">
        <v>-5.25</v>
      </c>
      <c r="I172" s="2" t="n">
        <v>2.34</v>
      </c>
      <c r="J172" s="1" t="s">
        <v>18</v>
      </c>
      <c r="K172" s="1" t="s">
        <v>18</v>
      </c>
      <c r="L172" s="1" t="s">
        <v>18</v>
      </c>
      <c r="M172" s="2" t="s">
        <v>18</v>
      </c>
      <c r="N172" s="1" t="s">
        <v>18</v>
      </c>
      <c r="O172" s="2" t="s">
        <v>18</v>
      </c>
    </row>
    <row r="173" customFormat="false" ht="15" hidden="false" customHeight="false" outlineLevel="0" collapsed="false">
      <c r="D173" s="0" t="n">
        <v>1</v>
      </c>
      <c r="E173" s="0" t="n">
        <v>1.63</v>
      </c>
      <c r="F173" s="0" t="n">
        <v>-11.58</v>
      </c>
      <c r="G173" s="2" t="n">
        <v>2.09</v>
      </c>
      <c r="H173" s="0" t="n">
        <v>-5.25</v>
      </c>
      <c r="I173" s="2" t="n">
        <v>2.09</v>
      </c>
      <c r="J173" s="1" t="s">
        <v>18</v>
      </c>
      <c r="K173" s="1" t="s">
        <v>18</v>
      </c>
      <c r="L173" s="1" t="s">
        <v>18</v>
      </c>
      <c r="M173" s="2" t="s">
        <v>18</v>
      </c>
      <c r="N173" s="1" t="s">
        <v>18</v>
      </c>
      <c r="O173" s="2" t="s">
        <v>18</v>
      </c>
    </row>
    <row r="174" customFormat="false" ht="15" hidden="false" customHeight="false" outlineLevel="0" collapsed="false">
      <c r="A174" s="1" t="n">
        <v>22</v>
      </c>
      <c r="B174" s="2" t="s">
        <v>39</v>
      </c>
      <c r="C174" s="0" t="n">
        <v>561.87</v>
      </c>
      <c r="D174" s="0" t="n">
        <v>4</v>
      </c>
      <c r="E174" s="0" t="n">
        <v>1.56</v>
      </c>
      <c r="F174" s="1" t="s">
        <v>18</v>
      </c>
      <c r="G174" s="2" t="s">
        <v>18</v>
      </c>
      <c r="H174" s="1" t="s">
        <v>18</v>
      </c>
      <c r="I174" s="2" t="s">
        <v>18</v>
      </c>
      <c r="J174" s="1" t="s">
        <v>18</v>
      </c>
      <c r="K174" s="1" t="s">
        <v>18</v>
      </c>
      <c r="L174" s="0" t="n">
        <v>5.51</v>
      </c>
      <c r="M174" s="2" t="n">
        <v>2.77</v>
      </c>
      <c r="N174" s="0" t="n">
        <v>10.12</v>
      </c>
      <c r="O174" s="2" t="n">
        <v>2.76</v>
      </c>
      <c r="P174" s="0" t="n">
        <v>5.77</v>
      </c>
      <c r="Q174" s="0" t="n">
        <v>0</v>
      </c>
    </row>
    <row r="175" customFormat="false" ht="15" hidden="false" customHeight="false" outlineLevel="0" collapsed="false">
      <c r="D175" s="0" t="n">
        <v>3</v>
      </c>
      <c r="E175" s="0" t="n">
        <v>1.05</v>
      </c>
      <c r="F175" s="1" t="s">
        <v>18</v>
      </c>
      <c r="G175" s="2" t="s">
        <v>18</v>
      </c>
      <c r="H175" s="1" t="s">
        <v>18</v>
      </c>
      <c r="I175" s="2" t="s">
        <v>18</v>
      </c>
      <c r="J175" s="1" t="s">
        <v>18</v>
      </c>
      <c r="K175" s="1" t="s">
        <v>18</v>
      </c>
      <c r="L175" s="0" t="n">
        <v>5.25</v>
      </c>
      <c r="M175" s="2" t="n">
        <v>2.52</v>
      </c>
      <c r="N175" s="0" t="n">
        <v>10.93</v>
      </c>
      <c r="O175" s="2" t="n">
        <v>2.52</v>
      </c>
    </row>
    <row r="176" customFormat="false" ht="15" hidden="false" customHeight="false" outlineLevel="0" collapsed="false">
      <c r="D176" s="0" t="n">
        <v>2</v>
      </c>
      <c r="E176" s="0" t="n">
        <v>1.53</v>
      </c>
      <c r="F176" s="1" t="s">
        <v>18</v>
      </c>
      <c r="G176" s="2" t="s">
        <v>18</v>
      </c>
      <c r="H176" s="1" t="s">
        <v>18</v>
      </c>
      <c r="I176" s="2" t="s">
        <v>18</v>
      </c>
      <c r="J176" s="1" t="s">
        <v>18</v>
      </c>
      <c r="K176" s="1" t="s">
        <v>18</v>
      </c>
      <c r="L176" s="0" t="n">
        <v>5.25</v>
      </c>
      <c r="M176" s="2" t="n">
        <v>2.34</v>
      </c>
      <c r="N176" s="0" t="n">
        <v>11.2</v>
      </c>
      <c r="O176" s="2" t="n">
        <v>2.34</v>
      </c>
    </row>
    <row r="177" customFormat="false" ht="15" hidden="false" customHeight="false" outlineLevel="0" collapsed="false">
      <c r="D177" s="0" t="n">
        <v>1</v>
      </c>
      <c r="E177" s="0" t="n">
        <v>1.63</v>
      </c>
      <c r="F177" s="1" t="s">
        <v>18</v>
      </c>
      <c r="G177" s="2" t="s">
        <v>18</v>
      </c>
      <c r="H177" s="1" t="s">
        <v>18</v>
      </c>
      <c r="I177" s="2" t="s">
        <v>18</v>
      </c>
      <c r="J177" s="1" t="s">
        <v>18</v>
      </c>
      <c r="K177" s="1" t="s">
        <v>18</v>
      </c>
      <c r="L177" s="0" t="n">
        <v>5.25</v>
      </c>
      <c r="M177" s="2" t="n">
        <v>2.09</v>
      </c>
      <c r="N177" s="0" t="n">
        <v>11.58</v>
      </c>
      <c r="O177" s="2" t="n">
        <v>2.09</v>
      </c>
    </row>
    <row r="178" customFormat="false" ht="15" hidden="false" customHeight="false" outlineLevel="0" collapsed="false">
      <c r="A178" s="1" t="n">
        <v>23</v>
      </c>
      <c r="B178" s="2" t="s">
        <v>40</v>
      </c>
      <c r="C178" s="0" t="n">
        <v>562.02</v>
      </c>
      <c r="D178" s="0" t="n">
        <v>4</v>
      </c>
      <c r="E178" s="0" t="n">
        <v>1.56</v>
      </c>
      <c r="F178" s="0" t="n">
        <v>-10.12</v>
      </c>
      <c r="G178" s="2" t="n">
        <v>2.86</v>
      </c>
      <c r="H178" s="0" t="n">
        <v>-5.51</v>
      </c>
      <c r="I178" s="2" t="n">
        <v>2.58</v>
      </c>
      <c r="J178" s="1" t="s">
        <v>18</v>
      </c>
      <c r="K178" s="1" t="s">
        <v>18</v>
      </c>
      <c r="L178" s="1" t="s">
        <v>18</v>
      </c>
      <c r="M178" s="2" t="s">
        <v>18</v>
      </c>
      <c r="N178" s="1" t="s">
        <v>18</v>
      </c>
      <c r="O178" s="2" t="s">
        <v>18</v>
      </c>
      <c r="P178" s="0" t="n">
        <v>5.77</v>
      </c>
      <c r="Q178" s="0" t="n">
        <v>0</v>
      </c>
    </row>
    <row r="179" customFormat="false" ht="15" hidden="false" customHeight="false" outlineLevel="0" collapsed="false">
      <c r="D179" s="0" t="n">
        <v>3</v>
      </c>
      <c r="E179" s="0" t="n">
        <v>1.05</v>
      </c>
      <c r="F179" s="0" t="n">
        <v>-10.93</v>
      </c>
      <c r="G179" s="2" t="n">
        <v>2.52</v>
      </c>
      <c r="H179" s="0" t="n">
        <v>-5.25</v>
      </c>
      <c r="I179" s="2" t="n">
        <v>2.52</v>
      </c>
      <c r="J179" s="1" t="s">
        <v>18</v>
      </c>
      <c r="K179" s="1" t="s">
        <v>18</v>
      </c>
      <c r="L179" s="1" t="s">
        <v>18</v>
      </c>
      <c r="M179" s="2" t="s">
        <v>18</v>
      </c>
      <c r="N179" s="1" t="s">
        <v>18</v>
      </c>
      <c r="O179" s="2" t="s">
        <v>18</v>
      </c>
    </row>
    <row r="180" customFormat="false" ht="15" hidden="false" customHeight="false" outlineLevel="0" collapsed="false">
      <c r="D180" s="0" t="n">
        <v>2</v>
      </c>
      <c r="E180" s="0" t="n">
        <v>1.53</v>
      </c>
      <c r="F180" s="0" t="n">
        <v>-11.2</v>
      </c>
      <c r="G180" s="2" t="n">
        <v>2.34</v>
      </c>
      <c r="H180" s="0" t="n">
        <v>-5.25</v>
      </c>
      <c r="I180" s="2" t="n">
        <v>2.34</v>
      </c>
      <c r="J180" s="1" t="s">
        <v>18</v>
      </c>
      <c r="K180" s="1" t="s">
        <v>18</v>
      </c>
      <c r="L180" s="1" t="s">
        <v>18</v>
      </c>
      <c r="M180" s="2" t="s">
        <v>18</v>
      </c>
      <c r="N180" s="1" t="s">
        <v>18</v>
      </c>
      <c r="O180" s="2" t="s">
        <v>18</v>
      </c>
    </row>
    <row r="181" customFormat="false" ht="15" hidden="false" customHeight="false" outlineLevel="0" collapsed="false">
      <c r="D181" s="0" t="n">
        <v>1</v>
      </c>
      <c r="E181" s="0" t="n">
        <v>1.63</v>
      </c>
      <c r="F181" s="0" t="n">
        <v>-11.58</v>
      </c>
      <c r="G181" s="2" t="n">
        <v>2.09</v>
      </c>
      <c r="H181" s="0" t="n">
        <v>-5.25</v>
      </c>
      <c r="I181" s="2" t="n">
        <v>2.09</v>
      </c>
      <c r="J181" s="1" t="s">
        <v>18</v>
      </c>
      <c r="K181" s="1" t="s">
        <v>18</v>
      </c>
      <c r="L181" s="1" t="s">
        <v>18</v>
      </c>
      <c r="M181" s="2" t="s">
        <v>18</v>
      </c>
      <c r="N181" s="1" t="s">
        <v>18</v>
      </c>
      <c r="O181" s="2" t="s">
        <v>18</v>
      </c>
    </row>
    <row r="182" customFormat="false" ht="15" hidden="false" customHeight="false" outlineLevel="0" collapsed="false">
      <c r="A182" s="1" t="n">
        <v>23</v>
      </c>
      <c r="B182" s="2" t="s">
        <v>40</v>
      </c>
      <c r="C182" s="0" t="n">
        <v>562.02</v>
      </c>
      <c r="D182" s="0" t="n">
        <v>4</v>
      </c>
      <c r="E182" s="0" t="n">
        <v>1.56</v>
      </c>
      <c r="F182" s="1" t="s">
        <v>18</v>
      </c>
      <c r="G182" s="2" t="s">
        <v>18</v>
      </c>
      <c r="H182" s="1" t="s">
        <v>18</v>
      </c>
      <c r="I182" s="2" t="s">
        <v>18</v>
      </c>
      <c r="J182" s="1" t="s">
        <v>18</v>
      </c>
      <c r="K182" s="1" t="s">
        <v>18</v>
      </c>
      <c r="L182" s="0" t="n">
        <v>5.51</v>
      </c>
      <c r="M182" s="2" t="n">
        <v>2.77</v>
      </c>
      <c r="N182" s="0" t="n">
        <v>10.12</v>
      </c>
      <c r="O182" s="2" t="n">
        <v>2.76</v>
      </c>
      <c r="P182" s="0" t="n">
        <v>5.77</v>
      </c>
      <c r="Q182" s="0" t="n">
        <v>0</v>
      </c>
    </row>
    <row r="183" customFormat="false" ht="15" hidden="false" customHeight="false" outlineLevel="0" collapsed="false">
      <c r="D183" s="0" t="n">
        <v>3</v>
      </c>
      <c r="E183" s="0" t="n">
        <v>1.05</v>
      </c>
      <c r="F183" s="1" t="s">
        <v>18</v>
      </c>
      <c r="G183" s="2" t="s">
        <v>18</v>
      </c>
      <c r="H183" s="1" t="s">
        <v>18</v>
      </c>
      <c r="I183" s="2" t="s">
        <v>18</v>
      </c>
      <c r="J183" s="1" t="s">
        <v>18</v>
      </c>
      <c r="K183" s="1" t="s">
        <v>18</v>
      </c>
      <c r="L183" s="0" t="n">
        <v>5.25</v>
      </c>
      <c r="M183" s="2" t="n">
        <v>2.52</v>
      </c>
      <c r="N183" s="0" t="n">
        <v>10.93</v>
      </c>
      <c r="O183" s="2" t="n">
        <v>2.52</v>
      </c>
    </row>
    <row r="184" customFormat="false" ht="15" hidden="false" customHeight="false" outlineLevel="0" collapsed="false">
      <c r="D184" s="0" t="n">
        <v>2</v>
      </c>
      <c r="E184" s="0" t="n">
        <v>1.53</v>
      </c>
      <c r="F184" s="1" t="s">
        <v>18</v>
      </c>
      <c r="G184" s="2" t="s">
        <v>18</v>
      </c>
      <c r="H184" s="1" t="s">
        <v>18</v>
      </c>
      <c r="I184" s="2" t="s">
        <v>18</v>
      </c>
      <c r="J184" s="1" t="s">
        <v>18</v>
      </c>
      <c r="K184" s="1" t="s">
        <v>18</v>
      </c>
      <c r="L184" s="0" t="n">
        <v>5.25</v>
      </c>
      <c r="M184" s="2" t="n">
        <v>2.34</v>
      </c>
      <c r="N184" s="0" t="n">
        <v>11.2</v>
      </c>
      <c r="O184" s="2" t="n">
        <v>2.34</v>
      </c>
    </row>
    <row r="185" customFormat="false" ht="15" hidden="false" customHeight="false" outlineLevel="0" collapsed="false">
      <c r="D185" s="0" t="n">
        <v>1</v>
      </c>
      <c r="E185" s="0" t="n">
        <v>1.63</v>
      </c>
      <c r="F185" s="1" t="s">
        <v>18</v>
      </c>
      <c r="G185" s="2" t="s">
        <v>18</v>
      </c>
      <c r="H185" s="1" t="s">
        <v>18</v>
      </c>
      <c r="I185" s="2" t="s">
        <v>18</v>
      </c>
      <c r="J185" s="1" t="s">
        <v>18</v>
      </c>
      <c r="K185" s="1" t="s">
        <v>18</v>
      </c>
      <c r="L185" s="0" t="n">
        <v>5.25</v>
      </c>
      <c r="M185" s="2" t="n">
        <v>2.09</v>
      </c>
      <c r="N185" s="0" t="n">
        <v>11.58</v>
      </c>
      <c r="O185" s="2" t="n">
        <v>2.09</v>
      </c>
    </row>
    <row r="186" customFormat="false" ht="15" hidden="false" customHeight="false" outlineLevel="0" collapsed="false">
      <c r="A186" s="1" t="n">
        <v>24</v>
      </c>
      <c r="B186" s="2" t="s">
        <v>41</v>
      </c>
      <c r="C186" s="0" t="n">
        <v>568.57</v>
      </c>
      <c r="D186" s="0" t="n">
        <v>4</v>
      </c>
      <c r="E186" s="0" t="n">
        <v>1.56</v>
      </c>
      <c r="F186" s="0" t="n">
        <v>-10.12</v>
      </c>
      <c r="G186" s="2" t="n">
        <v>2.86</v>
      </c>
      <c r="H186" s="0" t="n">
        <v>-5.51</v>
      </c>
      <c r="I186" s="2" t="n">
        <v>2.58</v>
      </c>
      <c r="J186" s="1" t="s">
        <v>18</v>
      </c>
      <c r="K186" s="1" t="s">
        <v>18</v>
      </c>
      <c r="L186" s="1" t="s">
        <v>18</v>
      </c>
      <c r="M186" s="2" t="s">
        <v>18</v>
      </c>
      <c r="N186" s="1" t="s">
        <v>18</v>
      </c>
      <c r="O186" s="2" t="s">
        <v>18</v>
      </c>
      <c r="P186" s="0" t="n">
        <v>5.77</v>
      </c>
      <c r="Q186" s="0" t="n">
        <v>0</v>
      </c>
    </row>
    <row r="187" customFormat="false" ht="15" hidden="false" customHeight="false" outlineLevel="0" collapsed="false">
      <c r="D187" s="0" t="n">
        <v>3</v>
      </c>
      <c r="E187" s="0" t="n">
        <v>1.05</v>
      </c>
      <c r="F187" s="0" t="n">
        <v>-10.93</v>
      </c>
      <c r="G187" s="2" t="n">
        <v>2.52</v>
      </c>
      <c r="H187" s="0" t="n">
        <v>-5.25</v>
      </c>
      <c r="I187" s="2" t="n">
        <v>2.52</v>
      </c>
      <c r="J187" s="1" t="s">
        <v>18</v>
      </c>
      <c r="K187" s="1" t="s">
        <v>18</v>
      </c>
      <c r="L187" s="1" t="s">
        <v>18</v>
      </c>
      <c r="M187" s="2" t="s">
        <v>18</v>
      </c>
      <c r="N187" s="1" t="s">
        <v>18</v>
      </c>
      <c r="O187" s="2" t="s">
        <v>18</v>
      </c>
    </row>
    <row r="188" customFormat="false" ht="15" hidden="false" customHeight="false" outlineLevel="0" collapsed="false">
      <c r="D188" s="0" t="n">
        <v>2</v>
      </c>
      <c r="E188" s="0" t="n">
        <v>1.53</v>
      </c>
      <c r="F188" s="0" t="n">
        <v>-11.2</v>
      </c>
      <c r="G188" s="2" t="n">
        <v>2.34</v>
      </c>
      <c r="H188" s="0" t="n">
        <v>-5.25</v>
      </c>
      <c r="I188" s="2" t="n">
        <v>2.34</v>
      </c>
      <c r="J188" s="1" t="s">
        <v>18</v>
      </c>
      <c r="K188" s="1" t="s">
        <v>18</v>
      </c>
      <c r="L188" s="1" t="s">
        <v>18</v>
      </c>
      <c r="M188" s="2" t="s">
        <v>18</v>
      </c>
      <c r="N188" s="1" t="s">
        <v>18</v>
      </c>
      <c r="O188" s="2" t="s">
        <v>18</v>
      </c>
    </row>
    <row r="189" customFormat="false" ht="15" hidden="false" customHeight="false" outlineLevel="0" collapsed="false">
      <c r="D189" s="0" t="n">
        <v>1</v>
      </c>
      <c r="E189" s="0" t="n">
        <v>1.63</v>
      </c>
      <c r="F189" s="0" t="n">
        <v>-11.58</v>
      </c>
      <c r="G189" s="2" t="n">
        <v>2.09</v>
      </c>
      <c r="H189" s="0" t="n">
        <v>-5.25</v>
      </c>
      <c r="I189" s="2" t="n">
        <v>2.09</v>
      </c>
      <c r="J189" s="1" t="s">
        <v>18</v>
      </c>
      <c r="K189" s="1" t="s">
        <v>18</v>
      </c>
      <c r="L189" s="1" t="s">
        <v>18</v>
      </c>
      <c r="M189" s="2" t="s">
        <v>18</v>
      </c>
      <c r="N189" s="1" t="s">
        <v>18</v>
      </c>
      <c r="O189" s="2" t="s">
        <v>18</v>
      </c>
    </row>
    <row r="190" customFormat="false" ht="15" hidden="false" customHeight="false" outlineLevel="0" collapsed="false">
      <c r="A190" s="1" t="n">
        <v>24</v>
      </c>
      <c r="B190" s="2" t="s">
        <v>41</v>
      </c>
      <c r="C190" s="0" t="n">
        <v>568.57</v>
      </c>
      <c r="D190" s="0" t="n">
        <v>4</v>
      </c>
      <c r="E190" s="0" t="n">
        <v>1.56</v>
      </c>
      <c r="F190" s="1" t="s">
        <v>18</v>
      </c>
      <c r="G190" s="2" t="s">
        <v>18</v>
      </c>
      <c r="H190" s="1" t="s">
        <v>18</v>
      </c>
      <c r="I190" s="2" t="s">
        <v>18</v>
      </c>
      <c r="J190" s="1" t="s">
        <v>18</v>
      </c>
      <c r="K190" s="1" t="s">
        <v>18</v>
      </c>
      <c r="L190" s="0" t="n">
        <v>5.51</v>
      </c>
      <c r="M190" s="2" t="n">
        <v>2.77</v>
      </c>
      <c r="N190" s="0" t="n">
        <v>10.12</v>
      </c>
      <c r="O190" s="2" t="n">
        <v>2.76</v>
      </c>
      <c r="P190" s="0" t="n">
        <v>5.77</v>
      </c>
      <c r="Q190" s="0" t="n">
        <v>0</v>
      </c>
    </row>
    <row r="191" customFormat="false" ht="15" hidden="false" customHeight="false" outlineLevel="0" collapsed="false">
      <c r="D191" s="0" t="n">
        <v>3</v>
      </c>
      <c r="E191" s="0" t="n">
        <v>1.05</v>
      </c>
      <c r="F191" s="1" t="s">
        <v>18</v>
      </c>
      <c r="G191" s="2" t="s">
        <v>18</v>
      </c>
      <c r="H191" s="1" t="s">
        <v>18</v>
      </c>
      <c r="I191" s="2" t="s">
        <v>18</v>
      </c>
      <c r="J191" s="1" t="s">
        <v>18</v>
      </c>
      <c r="K191" s="1" t="s">
        <v>18</v>
      </c>
      <c r="L191" s="0" t="n">
        <v>5.25</v>
      </c>
      <c r="M191" s="2" t="n">
        <v>2.52</v>
      </c>
      <c r="N191" s="0" t="n">
        <v>10.93</v>
      </c>
      <c r="O191" s="2" t="n">
        <v>2.52</v>
      </c>
    </row>
    <row r="192" customFormat="false" ht="15" hidden="false" customHeight="false" outlineLevel="0" collapsed="false">
      <c r="D192" s="0" t="n">
        <v>2</v>
      </c>
      <c r="E192" s="0" t="n">
        <v>1.53</v>
      </c>
      <c r="F192" s="1" t="s">
        <v>18</v>
      </c>
      <c r="G192" s="2" t="s">
        <v>18</v>
      </c>
      <c r="H192" s="1" t="s">
        <v>18</v>
      </c>
      <c r="I192" s="2" t="s">
        <v>18</v>
      </c>
      <c r="J192" s="1" t="s">
        <v>18</v>
      </c>
      <c r="K192" s="1" t="s">
        <v>18</v>
      </c>
      <c r="L192" s="0" t="n">
        <v>5.25</v>
      </c>
      <c r="M192" s="2" t="n">
        <v>2.34</v>
      </c>
      <c r="N192" s="0" t="n">
        <v>11.2</v>
      </c>
      <c r="O192" s="2" t="n">
        <v>2.34</v>
      </c>
    </row>
    <row r="193" customFormat="false" ht="15" hidden="false" customHeight="false" outlineLevel="0" collapsed="false">
      <c r="D193" s="0" t="n">
        <v>1</v>
      </c>
      <c r="E193" s="0" t="n">
        <v>1.63</v>
      </c>
      <c r="F193" s="1" t="s">
        <v>18</v>
      </c>
      <c r="G193" s="2" t="s">
        <v>18</v>
      </c>
      <c r="H193" s="1" t="s">
        <v>18</v>
      </c>
      <c r="I193" s="2" t="s">
        <v>18</v>
      </c>
      <c r="J193" s="1" t="s">
        <v>18</v>
      </c>
      <c r="K193" s="1" t="s">
        <v>18</v>
      </c>
      <c r="L193" s="0" t="n">
        <v>5.25</v>
      </c>
      <c r="M193" s="2" t="n">
        <v>2.09</v>
      </c>
      <c r="N193" s="0" t="n">
        <v>11.58</v>
      </c>
      <c r="O193" s="2" t="n">
        <v>2.09</v>
      </c>
    </row>
    <row r="194" customFormat="false" ht="15" hidden="false" customHeight="false" outlineLevel="0" collapsed="false">
      <c r="A194" s="1" t="n">
        <v>25</v>
      </c>
      <c r="B194" s="2" t="s">
        <v>1</v>
      </c>
      <c r="C194" s="0" t="n">
        <v>575.12</v>
      </c>
      <c r="D194" s="0" t="n">
        <v>4</v>
      </c>
      <c r="E194" s="0" t="n">
        <v>1.56</v>
      </c>
      <c r="F194" s="0" t="n">
        <v>-10.12</v>
      </c>
      <c r="G194" s="2" t="n">
        <v>2.86</v>
      </c>
      <c r="H194" s="0" t="n">
        <v>-5.51</v>
      </c>
      <c r="I194" s="2" t="n">
        <v>2.57</v>
      </c>
      <c r="J194" s="1" t="s">
        <v>18</v>
      </c>
      <c r="K194" s="1" t="s">
        <v>18</v>
      </c>
      <c r="L194" s="1" t="s">
        <v>18</v>
      </c>
      <c r="M194" s="2" t="s">
        <v>18</v>
      </c>
      <c r="N194" s="1" t="s">
        <v>18</v>
      </c>
      <c r="O194" s="2" t="s">
        <v>18</v>
      </c>
      <c r="P194" s="0" t="n">
        <v>5.77</v>
      </c>
      <c r="Q194" s="0" t="n">
        <v>0</v>
      </c>
    </row>
    <row r="195" customFormat="false" ht="15" hidden="false" customHeight="false" outlineLevel="0" collapsed="false">
      <c r="D195" s="0" t="n">
        <v>3</v>
      </c>
      <c r="E195" s="0" t="n">
        <v>1.05</v>
      </c>
      <c r="F195" s="0" t="n">
        <v>-10.93</v>
      </c>
      <c r="G195" s="2" t="n">
        <v>2.52</v>
      </c>
      <c r="H195" s="0" t="n">
        <v>-5.25</v>
      </c>
      <c r="I195" s="2" t="n">
        <v>2.52</v>
      </c>
      <c r="J195" s="1" t="s">
        <v>18</v>
      </c>
      <c r="K195" s="1" t="s">
        <v>18</v>
      </c>
      <c r="L195" s="1" t="s">
        <v>18</v>
      </c>
      <c r="M195" s="2" t="s">
        <v>18</v>
      </c>
      <c r="N195" s="1" t="s">
        <v>18</v>
      </c>
      <c r="O195" s="2" t="s">
        <v>18</v>
      </c>
    </row>
    <row r="196" customFormat="false" ht="15" hidden="false" customHeight="false" outlineLevel="0" collapsed="false">
      <c r="D196" s="0" t="n">
        <v>2</v>
      </c>
      <c r="E196" s="0" t="n">
        <v>1.53</v>
      </c>
      <c r="F196" s="0" t="n">
        <v>-11.2</v>
      </c>
      <c r="G196" s="2" t="n">
        <v>2.34</v>
      </c>
      <c r="H196" s="0" t="n">
        <v>-5.25</v>
      </c>
      <c r="I196" s="2" t="n">
        <v>2.34</v>
      </c>
      <c r="J196" s="1" t="s">
        <v>18</v>
      </c>
      <c r="K196" s="1" t="s">
        <v>18</v>
      </c>
      <c r="L196" s="1" t="s">
        <v>18</v>
      </c>
      <c r="M196" s="2" t="s">
        <v>18</v>
      </c>
      <c r="N196" s="1" t="s">
        <v>18</v>
      </c>
      <c r="O196" s="2" t="s">
        <v>18</v>
      </c>
    </row>
    <row r="197" customFormat="false" ht="15" hidden="false" customHeight="false" outlineLevel="0" collapsed="false">
      <c r="D197" s="0" t="n">
        <v>1</v>
      </c>
      <c r="E197" s="0" t="n">
        <v>1.63</v>
      </c>
      <c r="F197" s="0" t="n">
        <v>-11.58</v>
      </c>
      <c r="G197" s="2" t="n">
        <v>2.09</v>
      </c>
      <c r="H197" s="0" t="n">
        <v>-5.25</v>
      </c>
      <c r="I197" s="2" t="n">
        <v>2.09</v>
      </c>
      <c r="J197" s="1" t="s">
        <v>18</v>
      </c>
      <c r="K197" s="1" t="s">
        <v>18</v>
      </c>
      <c r="L197" s="1" t="s">
        <v>18</v>
      </c>
      <c r="M197" s="2" t="s">
        <v>18</v>
      </c>
      <c r="N197" s="1" t="s">
        <v>18</v>
      </c>
      <c r="O197" s="2" t="s">
        <v>18</v>
      </c>
    </row>
    <row r="198" customFormat="false" ht="15" hidden="false" customHeight="false" outlineLevel="0" collapsed="false">
      <c r="A198" s="1" t="n">
        <v>25</v>
      </c>
      <c r="B198" s="2" t="s">
        <v>1</v>
      </c>
      <c r="C198" s="0" t="n">
        <v>575.12</v>
      </c>
      <c r="D198" s="0" t="n">
        <v>4</v>
      </c>
      <c r="E198" s="0" t="n">
        <v>1.56</v>
      </c>
      <c r="F198" s="1" t="s">
        <v>18</v>
      </c>
      <c r="G198" s="2" t="s">
        <v>18</v>
      </c>
      <c r="H198" s="1" t="s">
        <v>18</v>
      </c>
      <c r="I198" s="2" t="s">
        <v>18</v>
      </c>
      <c r="J198" s="1" t="s">
        <v>18</v>
      </c>
      <c r="K198" s="1" t="s">
        <v>18</v>
      </c>
      <c r="L198" s="0" t="n">
        <v>5.51</v>
      </c>
      <c r="M198" s="2" t="n">
        <v>2.76</v>
      </c>
      <c r="N198" s="0" t="n">
        <v>10.12</v>
      </c>
      <c r="O198" s="2" t="n">
        <v>2.76</v>
      </c>
      <c r="P198" s="0" t="n">
        <v>5.77</v>
      </c>
      <c r="Q198" s="0" t="n">
        <v>0</v>
      </c>
    </row>
    <row r="199" customFormat="false" ht="15" hidden="false" customHeight="false" outlineLevel="0" collapsed="false">
      <c r="D199" s="0" t="n">
        <v>3</v>
      </c>
      <c r="E199" s="0" t="n">
        <v>1.05</v>
      </c>
      <c r="F199" s="1" t="s">
        <v>18</v>
      </c>
      <c r="G199" s="2" t="s">
        <v>18</v>
      </c>
      <c r="H199" s="1" t="s">
        <v>18</v>
      </c>
      <c r="I199" s="2" t="s">
        <v>18</v>
      </c>
      <c r="J199" s="1" t="s">
        <v>18</v>
      </c>
      <c r="K199" s="1" t="s">
        <v>18</v>
      </c>
      <c r="L199" s="0" t="n">
        <v>5.25</v>
      </c>
      <c r="M199" s="2" t="n">
        <v>2.52</v>
      </c>
      <c r="N199" s="0" t="n">
        <v>10.93</v>
      </c>
      <c r="O199" s="2" t="n">
        <v>2.52</v>
      </c>
    </row>
    <row r="200" customFormat="false" ht="15" hidden="false" customHeight="false" outlineLevel="0" collapsed="false">
      <c r="D200" s="0" t="n">
        <v>2</v>
      </c>
      <c r="E200" s="0" t="n">
        <v>1.53</v>
      </c>
      <c r="F200" s="1" t="s">
        <v>18</v>
      </c>
      <c r="G200" s="2" t="s">
        <v>18</v>
      </c>
      <c r="H200" s="1" t="s">
        <v>18</v>
      </c>
      <c r="I200" s="2" t="s">
        <v>18</v>
      </c>
      <c r="J200" s="1" t="s">
        <v>18</v>
      </c>
      <c r="K200" s="1" t="s">
        <v>18</v>
      </c>
      <c r="L200" s="0" t="n">
        <v>5.25</v>
      </c>
      <c r="M200" s="2" t="n">
        <v>2.34</v>
      </c>
      <c r="N200" s="0" t="n">
        <v>11.2</v>
      </c>
      <c r="O200" s="2" t="n">
        <v>2.34</v>
      </c>
    </row>
    <row r="201" customFormat="false" ht="15" hidden="false" customHeight="false" outlineLevel="0" collapsed="false">
      <c r="D201" s="0" t="n">
        <v>1</v>
      </c>
      <c r="E201" s="0" t="n">
        <v>1.63</v>
      </c>
      <c r="F201" s="1" t="s">
        <v>18</v>
      </c>
      <c r="G201" s="2" t="s">
        <v>18</v>
      </c>
      <c r="H201" s="1" t="s">
        <v>18</v>
      </c>
      <c r="I201" s="2" t="s">
        <v>18</v>
      </c>
      <c r="J201" s="1" t="s">
        <v>18</v>
      </c>
      <c r="K201" s="1" t="s">
        <v>18</v>
      </c>
      <c r="L201" s="0" t="n">
        <v>5.25</v>
      </c>
      <c r="M201" s="2" t="n">
        <v>2.09</v>
      </c>
      <c r="N201" s="0" t="n">
        <v>11.58</v>
      </c>
      <c r="O201" s="2" t="n">
        <v>2.09</v>
      </c>
    </row>
    <row r="202" customFormat="false" ht="15" hidden="false" customHeight="false" outlineLevel="0" collapsed="false">
      <c r="A202" s="1" t="n">
        <v>26</v>
      </c>
      <c r="B202" s="2" t="s">
        <v>42</v>
      </c>
      <c r="C202" s="0" t="n">
        <v>575.16</v>
      </c>
      <c r="D202" s="0" t="n">
        <v>4</v>
      </c>
      <c r="E202" s="0" t="n">
        <v>1.56</v>
      </c>
      <c r="F202" s="0" t="n">
        <v>-10.12</v>
      </c>
      <c r="G202" s="2" t="n">
        <v>2.99</v>
      </c>
      <c r="H202" s="0" t="n">
        <v>-5.51</v>
      </c>
      <c r="I202" s="2" t="n">
        <v>2.7</v>
      </c>
      <c r="J202" s="1" t="s">
        <v>18</v>
      </c>
      <c r="K202" s="1" t="s">
        <v>18</v>
      </c>
      <c r="L202" s="1" t="s">
        <v>18</v>
      </c>
      <c r="M202" s="2" t="s">
        <v>18</v>
      </c>
      <c r="N202" s="1" t="s">
        <v>18</v>
      </c>
      <c r="O202" s="2" t="s">
        <v>18</v>
      </c>
      <c r="P202" s="0" t="n">
        <v>5.77</v>
      </c>
      <c r="Q202" s="0" t="n">
        <v>0</v>
      </c>
    </row>
    <row r="203" customFormat="false" ht="15" hidden="false" customHeight="false" outlineLevel="0" collapsed="false">
      <c r="D203" s="0" t="n">
        <v>3</v>
      </c>
      <c r="E203" s="0" t="n">
        <v>1.05</v>
      </c>
      <c r="F203" s="0" t="n">
        <v>-10.93</v>
      </c>
      <c r="G203" s="2" t="n">
        <v>2.65</v>
      </c>
      <c r="H203" s="0" t="n">
        <v>-5.25</v>
      </c>
      <c r="I203" s="2" t="n">
        <v>2.65</v>
      </c>
      <c r="J203" s="1" t="s">
        <v>18</v>
      </c>
      <c r="K203" s="1" t="s">
        <v>18</v>
      </c>
      <c r="L203" s="1" t="s">
        <v>18</v>
      </c>
      <c r="M203" s="2" t="s">
        <v>18</v>
      </c>
      <c r="N203" s="1" t="s">
        <v>18</v>
      </c>
      <c r="O203" s="2" t="s">
        <v>18</v>
      </c>
    </row>
    <row r="204" customFormat="false" ht="15" hidden="false" customHeight="false" outlineLevel="0" collapsed="false">
      <c r="D204" s="0" t="n">
        <v>2</v>
      </c>
      <c r="E204" s="0" t="n">
        <v>1.53</v>
      </c>
      <c r="F204" s="0" t="n">
        <v>-11.2</v>
      </c>
      <c r="G204" s="2" t="n">
        <v>2.47</v>
      </c>
      <c r="H204" s="0" t="n">
        <v>-5.25</v>
      </c>
      <c r="I204" s="2" t="n">
        <v>2.47</v>
      </c>
      <c r="J204" s="1" t="s">
        <v>18</v>
      </c>
      <c r="K204" s="1" t="s">
        <v>18</v>
      </c>
      <c r="L204" s="1" t="s">
        <v>18</v>
      </c>
      <c r="M204" s="2" t="s">
        <v>18</v>
      </c>
      <c r="N204" s="1" t="s">
        <v>18</v>
      </c>
      <c r="O204" s="2" t="s">
        <v>18</v>
      </c>
    </row>
    <row r="205" customFormat="false" ht="15" hidden="false" customHeight="false" outlineLevel="0" collapsed="false">
      <c r="D205" s="0" t="n">
        <v>1</v>
      </c>
      <c r="E205" s="0" t="n">
        <v>1.63</v>
      </c>
      <c r="F205" s="0" t="n">
        <v>-11.58</v>
      </c>
      <c r="G205" s="2" t="n">
        <v>2.22</v>
      </c>
      <c r="H205" s="0" t="n">
        <v>-5.25</v>
      </c>
      <c r="I205" s="2" t="n">
        <v>2.22</v>
      </c>
      <c r="J205" s="1" t="s">
        <v>18</v>
      </c>
      <c r="K205" s="1" t="s">
        <v>18</v>
      </c>
      <c r="L205" s="1" t="s">
        <v>18</v>
      </c>
      <c r="M205" s="2" t="s">
        <v>18</v>
      </c>
      <c r="N205" s="1" t="s">
        <v>18</v>
      </c>
      <c r="O205" s="2" t="s">
        <v>18</v>
      </c>
    </row>
    <row r="206" customFormat="false" ht="15" hidden="false" customHeight="false" outlineLevel="0" collapsed="false">
      <c r="A206" s="1" t="n">
        <v>26</v>
      </c>
      <c r="B206" s="2" t="s">
        <v>42</v>
      </c>
      <c r="C206" s="0" t="n">
        <v>575.16</v>
      </c>
      <c r="D206" s="0" t="n">
        <v>4</v>
      </c>
      <c r="E206" s="0" t="n">
        <v>1.56</v>
      </c>
      <c r="F206" s="1" t="s">
        <v>18</v>
      </c>
      <c r="G206" s="2" t="s">
        <v>18</v>
      </c>
      <c r="H206" s="1" t="s">
        <v>18</v>
      </c>
      <c r="I206" s="2" t="s">
        <v>18</v>
      </c>
      <c r="J206" s="1" t="s">
        <v>18</v>
      </c>
      <c r="K206" s="1" t="s">
        <v>18</v>
      </c>
      <c r="L206" s="0" t="n">
        <v>5.51</v>
      </c>
      <c r="M206" s="2" t="n">
        <v>2.76</v>
      </c>
      <c r="N206" s="0" t="n">
        <v>10.12</v>
      </c>
      <c r="O206" s="2" t="n">
        <v>2.76</v>
      </c>
      <c r="P206" s="0" t="n">
        <v>5.77</v>
      </c>
      <c r="Q206" s="0" t="n">
        <v>0</v>
      </c>
    </row>
    <row r="207" customFormat="false" ht="15" hidden="false" customHeight="false" outlineLevel="0" collapsed="false">
      <c r="D207" s="0" t="n">
        <v>3</v>
      </c>
      <c r="E207" s="0" t="n">
        <v>1.05</v>
      </c>
      <c r="F207" s="1" t="s">
        <v>18</v>
      </c>
      <c r="G207" s="2" t="s">
        <v>18</v>
      </c>
      <c r="H207" s="1" t="s">
        <v>18</v>
      </c>
      <c r="I207" s="2" t="s">
        <v>18</v>
      </c>
      <c r="J207" s="1" t="s">
        <v>18</v>
      </c>
      <c r="K207" s="1" t="s">
        <v>18</v>
      </c>
      <c r="L207" s="0" t="n">
        <v>5.25</v>
      </c>
      <c r="M207" s="2" t="n">
        <v>2.52</v>
      </c>
      <c r="N207" s="0" t="n">
        <v>10.93</v>
      </c>
      <c r="O207" s="2" t="n">
        <v>2.52</v>
      </c>
    </row>
    <row r="208" customFormat="false" ht="15" hidden="false" customHeight="false" outlineLevel="0" collapsed="false">
      <c r="D208" s="0" t="n">
        <v>2</v>
      </c>
      <c r="E208" s="0" t="n">
        <v>1.53</v>
      </c>
      <c r="F208" s="1" t="s">
        <v>18</v>
      </c>
      <c r="G208" s="2" t="s">
        <v>18</v>
      </c>
      <c r="H208" s="1" t="s">
        <v>18</v>
      </c>
      <c r="I208" s="2" t="s">
        <v>18</v>
      </c>
      <c r="J208" s="1" t="s">
        <v>18</v>
      </c>
      <c r="K208" s="1" t="s">
        <v>18</v>
      </c>
      <c r="L208" s="0" t="n">
        <v>5.25</v>
      </c>
      <c r="M208" s="2" t="n">
        <v>2.34</v>
      </c>
      <c r="N208" s="0" t="n">
        <v>11.2</v>
      </c>
      <c r="O208" s="2" t="n">
        <v>2.34</v>
      </c>
    </row>
    <row r="209" customFormat="false" ht="15" hidden="false" customHeight="false" outlineLevel="0" collapsed="false">
      <c r="D209" s="0" t="n">
        <v>1</v>
      </c>
      <c r="E209" s="0" t="n">
        <v>1.63</v>
      </c>
      <c r="F209" s="1" t="s">
        <v>18</v>
      </c>
      <c r="G209" s="2" t="s">
        <v>18</v>
      </c>
      <c r="H209" s="1" t="s">
        <v>18</v>
      </c>
      <c r="I209" s="2" t="s">
        <v>18</v>
      </c>
      <c r="J209" s="1" t="s">
        <v>18</v>
      </c>
      <c r="K209" s="1" t="s">
        <v>18</v>
      </c>
      <c r="L209" s="0" t="n">
        <v>5.25</v>
      </c>
      <c r="M209" s="2" t="n">
        <v>2.09</v>
      </c>
      <c r="N209" s="0" t="n">
        <v>11.58</v>
      </c>
      <c r="O209" s="2" t="n">
        <v>2.09</v>
      </c>
    </row>
    <row r="210" customFormat="false" ht="15" hidden="false" customHeight="false" outlineLevel="0" collapsed="false">
      <c r="A210" s="1" t="n">
        <v>27</v>
      </c>
      <c r="B210" s="2" t="s">
        <v>43</v>
      </c>
      <c r="C210" s="0" t="n">
        <v>592.11</v>
      </c>
      <c r="D210" s="0" t="n">
        <v>4</v>
      </c>
      <c r="E210" s="0" t="n">
        <v>1.56</v>
      </c>
      <c r="F210" s="0" t="n">
        <v>-10.12</v>
      </c>
      <c r="G210" s="2" t="n">
        <v>2.86</v>
      </c>
      <c r="H210" s="0" t="n">
        <v>-5.51</v>
      </c>
      <c r="I210" s="2" t="n">
        <v>2.58</v>
      </c>
      <c r="J210" s="1" t="s">
        <v>18</v>
      </c>
      <c r="K210" s="1" t="s">
        <v>18</v>
      </c>
      <c r="L210" s="1" t="s">
        <v>18</v>
      </c>
      <c r="M210" s="2" t="s">
        <v>18</v>
      </c>
      <c r="N210" s="1" t="s">
        <v>18</v>
      </c>
      <c r="O210" s="2" t="s">
        <v>18</v>
      </c>
      <c r="P210" s="0" t="n">
        <v>5.77</v>
      </c>
      <c r="Q210" s="0" t="n">
        <v>0</v>
      </c>
    </row>
    <row r="211" customFormat="false" ht="15" hidden="false" customHeight="false" outlineLevel="0" collapsed="false">
      <c r="D211" s="0" t="n">
        <v>3</v>
      </c>
      <c r="E211" s="0" t="n">
        <v>1.05</v>
      </c>
      <c r="F211" s="0" t="n">
        <v>-10.93</v>
      </c>
      <c r="G211" s="2" t="n">
        <v>2.52</v>
      </c>
      <c r="H211" s="0" t="n">
        <v>-5.25</v>
      </c>
      <c r="I211" s="2" t="n">
        <v>2.52</v>
      </c>
      <c r="J211" s="1" t="s">
        <v>18</v>
      </c>
      <c r="K211" s="1" t="s">
        <v>18</v>
      </c>
      <c r="L211" s="1" t="s">
        <v>18</v>
      </c>
      <c r="M211" s="2" t="s">
        <v>18</v>
      </c>
      <c r="N211" s="1" t="s">
        <v>18</v>
      </c>
      <c r="O211" s="2" t="s">
        <v>18</v>
      </c>
    </row>
    <row r="212" customFormat="false" ht="15" hidden="false" customHeight="false" outlineLevel="0" collapsed="false">
      <c r="D212" s="0" t="n">
        <v>2</v>
      </c>
      <c r="E212" s="0" t="n">
        <v>1.53</v>
      </c>
      <c r="F212" s="0" t="n">
        <v>-11.2</v>
      </c>
      <c r="G212" s="2" t="n">
        <v>2.34</v>
      </c>
      <c r="H212" s="0" t="n">
        <v>-5.25</v>
      </c>
      <c r="I212" s="2" t="n">
        <v>2.34</v>
      </c>
      <c r="J212" s="1" t="s">
        <v>18</v>
      </c>
      <c r="K212" s="1" t="s">
        <v>18</v>
      </c>
      <c r="L212" s="1" t="s">
        <v>18</v>
      </c>
      <c r="M212" s="2" t="s">
        <v>18</v>
      </c>
      <c r="N212" s="1" t="s">
        <v>18</v>
      </c>
      <c r="O212" s="2" t="s">
        <v>18</v>
      </c>
    </row>
    <row r="213" customFormat="false" ht="15" hidden="false" customHeight="false" outlineLevel="0" collapsed="false">
      <c r="D213" s="0" t="n">
        <v>1</v>
      </c>
      <c r="E213" s="0" t="n">
        <v>1.63</v>
      </c>
      <c r="F213" s="0" t="n">
        <v>-11.58</v>
      </c>
      <c r="G213" s="2" t="n">
        <v>2.09</v>
      </c>
      <c r="H213" s="0" t="n">
        <v>-5.25</v>
      </c>
      <c r="I213" s="2" t="n">
        <v>2.09</v>
      </c>
      <c r="J213" s="1" t="s">
        <v>18</v>
      </c>
      <c r="K213" s="1" t="s">
        <v>18</v>
      </c>
      <c r="L213" s="1" t="s">
        <v>18</v>
      </c>
      <c r="M213" s="2" t="s">
        <v>18</v>
      </c>
      <c r="N213" s="1" t="s">
        <v>18</v>
      </c>
      <c r="O213" s="2" t="s">
        <v>18</v>
      </c>
    </row>
    <row r="214" customFormat="false" ht="15" hidden="false" customHeight="false" outlineLevel="0" collapsed="false">
      <c r="A214" s="1" t="n">
        <v>27</v>
      </c>
      <c r="B214" s="2" t="s">
        <v>43</v>
      </c>
      <c r="C214" s="0" t="n">
        <v>592.11</v>
      </c>
      <c r="D214" s="0" t="n">
        <v>4</v>
      </c>
      <c r="E214" s="0" t="n">
        <v>1.56</v>
      </c>
      <c r="F214" s="1" t="s">
        <v>18</v>
      </c>
      <c r="G214" s="2" t="s">
        <v>18</v>
      </c>
      <c r="H214" s="1" t="s">
        <v>18</v>
      </c>
      <c r="I214" s="2" t="s">
        <v>18</v>
      </c>
      <c r="J214" s="1" t="s">
        <v>18</v>
      </c>
      <c r="K214" s="1" t="s">
        <v>18</v>
      </c>
      <c r="L214" s="0" t="n">
        <v>5.51</v>
      </c>
      <c r="M214" s="2" t="n">
        <v>2.77</v>
      </c>
      <c r="N214" s="0" t="n">
        <v>10.12</v>
      </c>
      <c r="O214" s="2" t="n">
        <v>2.76</v>
      </c>
      <c r="P214" s="0" t="n">
        <v>5.77</v>
      </c>
      <c r="Q214" s="0" t="n">
        <v>0</v>
      </c>
    </row>
    <row r="215" customFormat="false" ht="15" hidden="false" customHeight="false" outlineLevel="0" collapsed="false">
      <c r="D215" s="0" t="n">
        <v>3</v>
      </c>
      <c r="E215" s="0" t="n">
        <v>1.05</v>
      </c>
      <c r="F215" s="1" t="s">
        <v>18</v>
      </c>
      <c r="G215" s="2" t="s">
        <v>18</v>
      </c>
      <c r="H215" s="1" t="s">
        <v>18</v>
      </c>
      <c r="I215" s="2" t="s">
        <v>18</v>
      </c>
      <c r="J215" s="1" t="s">
        <v>18</v>
      </c>
      <c r="K215" s="1" t="s">
        <v>18</v>
      </c>
      <c r="L215" s="0" t="n">
        <v>5.25</v>
      </c>
      <c r="M215" s="2" t="n">
        <v>2.52</v>
      </c>
      <c r="N215" s="0" t="n">
        <v>10.93</v>
      </c>
      <c r="O215" s="2" t="n">
        <v>2.52</v>
      </c>
    </row>
    <row r="216" customFormat="false" ht="15" hidden="false" customHeight="false" outlineLevel="0" collapsed="false">
      <c r="D216" s="0" t="n">
        <v>2</v>
      </c>
      <c r="E216" s="0" t="n">
        <v>1.53</v>
      </c>
      <c r="F216" s="1" t="s">
        <v>18</v>
      </c>
      <c r="G216" s="2" t="s">
        <v>18</v>
      </c>
      <c r="H216" s="1" t="s">
        <v>18</v>
      </c>
      <c r="I216" s="2" t="s">
        <v>18</v>
      </c>
      <c r="J216" s="1" t="s">
        <v>18</v>
      </c>
      <c r="K216" s="1" t="s">
        <v>18</v>
      </c>
      <c r="L216" s="0" t="n">
        <v>5.25</v>
      </c>
      <c r="M216" s="2" t="n">
        <v>2.34</v>
      </c>
      <c r="N216" s="0" t="n">
        <v>11.2</v>
      </c>
      <c r="O216" s="2" t="n">
        <v>2.34</v>
      </c>
    </row>
    <row r="217" customFormat="false" ht="15" hidden="false" customHeight="false" outlineLevel="0" collapsed="false">
      <c r="D217" s="0" t="n">
        <v>1</v>
      </c>
      <c r="E217" s="0" t="n">
        <v>1.63</v>
      </c>
      <c r="F217" s="1" t="s">
        <v>18</v>
      </c>
      <c r="G217" s="2" t="s">
        <v>18</v>
      </c>
      <c r="H217" s="1" t="s">
        <v>18</v>
      </c>
      <c r="I217" s="2" t="s">
        <v>18</v>
      </c>
      <c r="J217" s="1" t="s">
        <v>18</v>
      </c>
      <c r="K217" s="1" t="s">
        <v>18</v>
      </c>
      <c r="L217" s="0" t="n">
        <v>5.25</v>
      </c>
      <c r="M217" s="2" t="n">
        <v>2.09</v>
      </c>
      <c r="N217" s="0" t="n">
        <v>11.58</v>
      </c>
      <c r="O217" s="2" t="n">
        <v>2.09</v>
      </c>
    </row>
    <row r="218" customFormat="false" ht="15" hidden="false" customHeight="false" outlineLevel="0" collapsed="false">
      <c r="A218" s="1" t="n">
        <v>28</v>
      </c>
      <c r="B218" s="2" t="s">
        <v>44</v>
      </c>
      <c r="C218" s="0" t="n">
        <v>609.11</v>
      </c>
      <c r="D218" s="0" t="n">
        <v>4</v>
      </c>
      <c r="E218" s="0" t="n">
        <v>1.56</v>
      </c>
      <c r="F218" s="0" t="n">
        <v>-10.12</v>
      </c>
      <c r="G218" s="2" t="n">
        <v>2.86</v>
      </c>
      <c r="H218" s="0" t="n">
        <v>-5.51</v>
      </c>
      <c r="I218" s="2" t="n">
        <v>2.58</v>
      </c>
      <c r="J218" s="1" t="s">
        <v>18</v>
      </c>
      <c r="K218" s="1" t="s">
        <v>18</v>
      </c>
      <c r="L218" s="1" t="s">
        <v>18</v>
      </c>
      <c r="M218" s="2" t="s">
        <v>18</v>
      </c>
      <c r="N218" s="1" t="s">
        <v>18</v>
      </c>
      <c r="O218" s="2" t="s">
        <v>18</v>
      </c>
      <c r="P218" s="0" t="n">
        <v>5.77</v>
      </c>
      <c r="Q218" s="0" t="n">
        <v>0</v>
      </c>
    </row>
    <row r="219" customFormat="false" ht="15" hidden="false" customHeight="false" outlineLevel="0" collapsed="false">
      <c r="D219" s="0" t="n">
        <v>3</v>
      </c>
      <c r="E219" s="0" t="n">
        <v>1.05</v>
      </c>
      <c r="F219" s="0" t="n">
        <v>-10.93</v>
      </c>
      <c r="G219" s="2" t="n">
        <v>2.52</v>
      </c>
      <c r="H219" s="0" t="n">
        <v>-5.25</v>
      </c>
      <c r="I219" s="2" t="n">
        <v>2.52</v>
      </c>
      <c r="J219" s="1" t="s">
        <v>18</v>
      </c>
      <c r="K219" s="1" t="s">
        <v>18</v>
      </c>
      <c r="L219" s="1" t="s">
        <v>18</v>
      </c>
      <c r="M219" s="2" t="s">
        <v>18</v>
      </c>
      <c r="N219" s="1" t="s">
        <v>18</v>
      </c>
      <c r="O219" s="2" t="s">
        <v>18</v>
      </c>
    </row>
    <row r="220" customFormat="false" ht="15" hidden="false" customHeight="false" outlineLevel="0" collapsed="false">
      <c r="D220" s="0" t="n">
        <v>2</v>
      </c>
      <c r="E220" s="0" t="n">
        <v>1.53</v>
      </c>
      <c r="F220" s="0" t="n">
        <v>-11.2</v>
      </c>
      <c r="G220" s="2" t="n">
        <v>2.34</v>
      </c>
      <c r="H220" s="0" t="n">
        <v>-5.25</v>
      </c>
      <c r="I220" s="2" t="n">
        <v>2.34</v>
      </c>
      <c r="J220" s="1" t="s">
        <v>18</v>
      </c>
      <c r="K220" s="1" t="s">
        <v>18</v>
      </c>
      <c r="L220" s="1" t="s">
        <v>18</v>
      </c>
      <c r="M220" s="2" t="s">
        <v>18</v>
      </c>
      <c r="N220" s="1" t="s">
        <v>18</v>
      </c>
      <c r="O220" s="2" t="s">
        <v>18</v>
      </c>
    </row>
    <row r="221" customFormat="false" ht="15" hidden="false" customHeight="false" outlineLevel="0" collapsed="false">
      <c r="D221" s="0" t="n">
        <v>1</v>
      </c>
      <c r="E221" s="0" t="n">
        <v>1.63</v>
      </c>
      <c r="F221" s="0" t="n">
        <v>-11.58</v>
      </c>
      <c r="G221" s="2" t="n">
        <v>2.09</v>
      </c>
      <c r="H221" s="0" t="n">
        <v>-5.25</v>
      </c>
      <c r="I221" s="2" t="n">
        <v>2.09</v>
      </c>
      <c r="J221" s="1" t="s">
        <v>18</v>
      </c>
      <c r="K221" s="1" t="s">
        <v>18</v>
      </c>
      <c r="L221" s="1" t="s">
        <v>18</v>
      </c>
      <c r="M221" s="2" t="s">
        <v>18</v>
      </c>
      <c r="N221" s="1" t="s">
        <v>18</v>
      </c>
      <c r="O221" s="2" t="s">
        <v>18</v>
      </c>
    </row>
    <row r="222" customFormat="false" ht="15" hidden="false" customHeight="false" outlineLevel="0" collapsed="false">
      <c r="A222" s="1" t="n">
        <v>28</v>
      </c>
      <c r="B222" s="2" t="s">
        <v>44</v>
      </c>
      <c r="C222" s="0" t="n">
        <v>609.11</v>
      </c>
      <c r="D222" s="0" t="n">
        <v>4</v>
      </c>
      <c r="E222" s="0" t="n">
        <v>1.56</v>
      </c>
      <c r="F222" s="1" t="s">
        <v>18</v>
      </c>
      <c r="G222" s="2" t="s">
        <v>18</v>
      </c>
      <c r="H222" s="1" t="s">
        <v>18</v>
      </c>
      <c r="I222" s="2" t="s">
        <v>18</v>
      </c>
      <c r="J222" s="1" t="s">
        <v>18</v>
      </c>
      <c r="K222" s="1" t="s">
        <v>18</v>
      </c>
      <c r="L222" s="0" t="n">
        <v>5.51</v>
      </c>
      <c r="M222" s="2" t="n">
        <v>2.77</v>
      </c>
      <c r="N222" s="0" t="n">
        <v>10.12</v>
      </c>
      <c r="O222" s="2" t="n">
        <v>2.77</v>
      </c>
      <c r="P222" s="0" t="n">
        <v>5.77</v>
      </c>
      <c r="Q222" s="0" t="n">
        <v>0</v>
      </c>
    </row>
    <row r="223" customFormat="false" ht="15" hidden="false" customHeight="false" outlineLevel="0" collapsed="false">
      <c r="D223" s="0" t="n">
        <v>3</v>
      </c>
      <c r="E223" s="0" t="n">
        <v>1.05</v>
      </c>
      <c r="F223" s="1" t="s">
        <v>18</v>
      </c>
      <c r="G223" s="2" t="s">
        <v>18</v>
      </c>
      <c r="H223" s="1" t="s">
        <v>18</v>
      </c>
      <c r="I223" s="2" t="s">
        <v>18</v>
      </c>
      <c r="J223" s="1" t="s">
        <v>18</v>
      </c>
      <c r="K223" s="1" t="s">
        <v>18</v>
      </c>
      <c r="L223" s="0" t="n">
        <v>5.25</v>
      </c>
      <c r="M223" s="2" t="n">
        <v>2.52</v>
      </c>
      <c r="N223" s="0" t="n">
        <v>10.93</v>
      </c>
      <c r="O223" s="2" t="n">
        <v>2.52</v>
      </c>
    </row>
    <row r="224" customFormat="false" ht="15" hidden="false" customHeight="false" outlineLevel="0" collapsed="false">
      <c r="D224" s="0" t="n">
        <v>2</v>
      </c>
      <c r="E224" s="0" t="n">
        <v>1.53</v>
      </c>
      <c r="F224" s="1" t="s">
        <v>18</v>
      </c>
      <c r="G224" s="2" t="s">
        <v>18</v>
      </c>
      <c r="H224" s="1" t="s">
        <v>18</v>
      </c>
      <c r="I224" s="2" t="s">
        <v>18</v>
      </c>
      <c r="J224" s="1" t="s">
        <v>18</v>
      </c>
      <c r="K224" s="1" t="s">
        <v>18</v>
      </c>
      <c r="L224" s="0" t="n">
        <v>5.25</v>
      </c>
      <c r="M224" s="2" t="n">
        <v>2.34</v>
      </c>
      <c r="N224" s="0" t="n">
        <v>11.2</v>
      </c>
      <c r="O224" s="2" t="n">
        <v>2.34</v>
      </c>
    </row>
    <row r="225" customFormat="false" ht="15" hidden="false" customHeight="false" outlineLevel="0" collapsed="false">
      <c r="D225" s="0" t="n">
        <v>1</v>
      </c>
      <c r="E225" s="0" t="n">
        <v>1.63</v>
      </c>
      <c r="F225" s="1" t="s">
        <v>18</v>
      </c>
      <c r="G225" s="2" t="s">
        <v>18</v>
      </c>
      <c r="H225" s="1" t="s">
        <v>18</v>
      </c>
      <c r="I225" s="2" t="s">
        <v>18</v>
      </c>
      <c r="J225" s="1" t="s">
        <v>18</v>
      </c>
      <c r="K225" s="1" t="s">
        <v>18</v>
      </c>
      <c r="L225" s="0" t="n">
        <v>5.25</v>
      </c>
      <c r="M225" s="2" t="n">
        <v>2.09</v>
      </c>
      <c r="N225" s="0" t="n">
        <v>11.58</v>
      </c>
      <c r="O225" s="2" t="n">
        <v>2.09</v>
      </c>
    </row>
    <row r="226" customFormat="false" ht="15" hidden="false" customHeight="false" outlineLevel="0" collapsed="false">
      <c r="A226" s="1" t="n">
        <v>29</v>
      </c>
      <c r="B226" s="2" t="s">
        <v>45</v>
      </c>
      <c r="C226" s="0" t="n">
        <v>620.86</v>
      </c>
      <c r="D226" s="0" t="n">
        <v>4</v>
      </c>
      <c r="E226" s="0" t="n">
        <v>1.56</v>
      </c>
      <c r="F226" s="0" t="n">
        <v>-10.12</v>
      </c>
      <c r="G226" s="2" t="n">
        <v>2.86</v>
      </c>
      <c r="H226" s="0" t="n">
        <v>-5.51</v>
      </c>
      <c r="I226" s="2" t="n">
        <v>2.58</v>
      </c>
      <c r="J226" s="1" t="s">
        <v>18</v>
      </c>
      <c r="K226" s="1" t="s">
        <v>18</v>
      </c>
      <c r="L226" s="1" t="s">
        <v>18</v>
      </c>
      <c r="M226" s="2" t="s">
        <v>18</v>
      </c>
      <c r="N226" s="1" t="s">
        <v>18</v>
      </c>
      <c r="O226" s="2" t="s">
        <v>18</v>
      </c>
      <c r="P226" s="0" t="n">
        <v>5.77</v>
      </c>
      <c r="Q226" s="0" t="n">
        <v>0</v>
      </c>
    </row>
    <row r="227" customFormat="false" ht="15" hidden="false" customHeight="false" outlineLevel="0" collapsed="false">
      <c r="D227" s="0" t="n">
        <v>3</v>
      </c>
      <c r="E227" s="0" t="n">
        <v>1.05</v>
      </c>
      <c r="F227" s="0" t="n">
        <v>-10.93</v>
      </c>
      <c r="G227" s="2" t="n">
        <v>2.52</v>
      </c>
      <c r="H227" s="0" t="n">
        <v>-5.25</v>
      </c>
      <c r="I227" s="2" t="n">
        <v>2.52</v>
      </c>
      <c r="J227" s="1" t="s">
        <v>18</v>
      </c>
      <c r="K227" s="1" t="s">
        <v>18</v>
      </c>
      <c r="L227" s="1" t="s">
        <v>18</v>
      </c>
      <c r="M227" s="2" t="s">
        <v>18</v>
      </c>
      <c r="N227" s="1" t="s">
        <v>18</v>
      </c>
      <c r="O227" s="2" t="s">
        <v>18</v>
      </c>
    </row>
    <row r="228" customFormat="false" ht="15" hidden="false" customHeight="false" outlineLevel="0" collapsed="false">
      <c r="D228" s="0" t="n">
        <v>2</v>
      </c>
      <c r="E228" s="0" t="n">
        <v>1.53</v>
      </c>
      <c r="F228" s="0" t="n">
        <v>-11.2</v>
      </c>
      <c r="G228" s="2" t="n">
        <v>2.34</v>
      </c>
      <c r="H228" s="0" t="n">
        <v>-5.25</v>
      </c>
      <c r="I228" s="2" t="n">
        <v>2.34</v>
      </c>
      <c r="J228" s="1" t="s">
        <v>18</v>
      </c>
      <c r="K228" s="1" t="s">
        <v>18</v>
      </c>
      <c r="L228" s="1" t="s">
        <v>18</v>
      </c>
      <c r="M228" s="2" t="s">
        <v>18</v>
      </c>
      <c r="N228" s="1" t="s">
        <v>18</v>
      </c>
      <c r="O228" s="2" t="s">
        <v>18</v>
      </c>
    </row>
    <row r="229" customFormat="false" ht="15" hidden="false" customHeight="false" outlineLevel="0" collapsed="false">
      <c r="D229" s="0" t="n">
        <v>1</v>
      </c>
      <c r="E229" s="0" t="n">
        <v>1.63</v>
      </c>
      <c r="F229" s="0" t="n">
        <v>-11.58</v>
      </c>
      <c r="G229" s="2" t="n">
        <v>2.09</v>
      </c>
      <c r="H229" s="0" t="n">
        <v>-5.25</v>
      </c>
      <c r="I229" s="2" t="n">
        <v>2.09</v>
      </c>
      <c r="J229" s="1" t="s">
        <v>18</v>
      </c>
      <c r="K229" s="1" t="s">
        <v>18</v>
      </c>
      <c r="L229" s="1" t="s">
        <v>18</v>
      </c>
      <c r="M229" s="2" t="s">
        <v>18</v>
      </c>
      <c r="N229" s="1" t="s">
        <v>18</v>
      </c>
      <c r="O229" s="2" t="s">
        <v>18</v>
      </c>
    </row>
    <row r="230" customFormat="false" ht="15" hidden="false" customHeight="false" outlineLevel="0" collapsed="false">
      <c r="A230" s="1" t="n">
        <v>29</v>
      </c>
      <c r="B230" s="2" t="s">
        <v>45</v>
      </c>
      <c r="C230" s="0" t="n">
        <v>620.86</v>
      </c>
      <c r="D230" s="0" t="n">
        <v>4</v>
      </c>
      <c r="E230" s="0" t="n">
        <v>1.56</v>
      </c>
      <c r="F230" s="1" t="s">
        <v>18</v>
      </c>
      <c r="G230" s="2" t="s">
        <v>18</v>
      </c>
      <c r="H230" s="1" t="s">
        <v>18</v>
      </c>
      <c r="I230" s="2" t="s">
        <v>18</v>
      </c>
      <c r="J230" s="1" t="s">
        <v>18</v>
      </c>
      <c r="K230" s="1" t="s">
        <v>18</v>
      </c>
      <c r="L230" s="0" t="n">
        <v>5.51</v>
      </c>
      <c r="M230" s="2" t="n">
        <v>2.77</v>
      </c>
      <c r="N230" s="0" t="n">
        <v>10.12</v>
      </c>
      <c r="O230" s="2" t="n">
        <v>2.77</v>
      </c>
      <c r="P230" s="0" t="n">
        <v>5.77</v>
      </c>
      <c r="Q230" s="0" t="n">
        <v>0</v>
      </c>
    </row>
    <row r="231" customFormat="false" ht="15" hidden="false" customHeight="false" outlineLevel="0" collapsed="false">
      <c r="D231" s="0" t="n">
        <v>3</v>
      </c>
      <c r="E231" s="0" t="n">
        <v>1.05</v>
      </c>
      <c r="F231" s="1" t="s">
        <v>18</v>
      </c>
      <c r="G231" s="2" t="s">
        <v>18</v>
      </c>
      <c r="H231" s="1" t="s">
        <v>18</v>
      </c>
      <c r="I231" s="2" t="s">
        <v>18</v>
      </c>
      <c r="J231" s="1" t="s">
        <v>18</v>
      </c>
      <c r="K231" s="1" t="s">
        <v>18</v>
      </c>
      <c r="L231" s="0" t="n">
        <v>5.25</v>
      </c>
      <c r="M231" s="2" t="n">
        <v>2.52</v>
      </c>
      <c r="N231" s="0" t="n">
        <v>10.93</v>
      </c>
      <c r="O231" s="2" t="n">
        <v>2.52</v>
      </c>
    </row>
    <row r="232" customFormat="false" ht="15" hidden="false" customHeight="false" outlineLevel="0" collapsed="false">
      <c r="D232" s="0" t="n">
        <v>2</v>
      </c>
      <c r="E232" s="0" t="n">
        <v>1.53</v>
      </c>
      <c r="F232" s="1" t="s">
        <v>18</v>
      </c>
      <c r="G232" s="2" t="s">
        <v>18</v>
      </c>
      <c r="H232" s="1" t="s">
        <v>18</v>
      </c>
      <c r="I232" s="2" t="s">
        <v>18</v>
      </c>
      <c r="J232" s="1" t="s">
        <v>18</v>
      </c>
      <c r="K232" s="1" t="s">
        <v>18</v>
      </c>
      <c r="L232" s="0" t="n">
        <v>5.25</v>
      </c>
      <c r="M232" s="2" t="n">
        <v>2.34</v>
      </c>
      <c r="N232" s="0" t="n">
        <v>11.2</v>
      </c>
      <c r="O232" s="2" t="n">
        <v>2.34</v>
      </c>
    </row>
    <row r="233" customFormat="false" ht="15" hidden="false" customHeight="false" outlineLevel="0" collapsed="false">
      <c r="D233" s="0" t="n">
        <v>1</v>
      </c>
      <c r="E233" s="0" t="n">
        <v>1.63</v>
      </c>
      <c r="F233" s="1" t="s">
        <v>18</v>
      </c>
      <c r="G233" s="2" t="s">
        <v>18</v>
      </c>
      <c r="H233" s="1" t="s">
        <v>18</v>
      </c>
      <c r="I233" s="2" t="s">
        <v>18</v>
      </c>
      <c r="J233" s="1" t="s">
        <v>18</v>
      </c>
      <c r="K233" s="1" t="s">
        <v>18</v>
      </c>
      <c r="L233" s="0" t="n">
        <v>5.25</v>
      </c>
      <c r="M233" s="2" t="n">
        <v>2.09</v>
      </c>
      <c r="N233" s="0" t="n">
        <v>11.58</v>
      </c>
      <c r="O233" s="2" t="n">
        <v>2.09</v>
      </c>
    </row>
    <row r="234" customFormat="false" ht="15" hidden="false" customHeight="false" outlineLevel="0" collapsed="false">
      <c r="A234" s="1" t="n">
        <v>30</v>
      </c>
      <c r="B234" s="2" t="s">
        <v>46</v>
      </c>
      <c r="C234" s="0" t="n">
        <v>632.61</v>
      </c>
      <c r="D234" s="0" t="n">
        <v>4</v>
      </c>
      <c r="E234" s="0" t="n">
        <v>1.56</v>
      </c>
      <c r="F234" s="0" t="n">
        <v>-10.12</v>
      </c>
      <c r="G234" s="2" t="n">
        <v>2.87</v>
      </c>
      <c r="H234" s="0" t="n">
        <v>-5.51</v>
      </c>
      <c r="I234" s="2" t="n">
        <v>2.58</v>
      </c>
      <c r="J234" s="1" t="s">
        <v>18</v>
      </c>
      <c r="K234" s="1" t="s">
        <v>18</v>
      </c>
      <c r="L234" s="1" t="s">
        <v>18</v>
      </c>
      <c r="M234" s="2" t="s">
        <v>18</v>
      </c>
      <c r="N234" s="1" t="s">
        <v>18</v>
      </c>
      <c r="O234" s="2" t="s">
        <v>18</v>
      </c>
      <c r="P234" s="0" t="n">
        <v>5.77</v>
      </c>
      <c r="Q234" s="0" t="n">
        <v>0</v>
      </c>
    </row>
    <row r="235" customFormat="false" ht="15" hidden="false" customHeight="false" outlineLevel="0" collapsed="false">
      <c r="D235" s="0" t="n">
        <v>3</v>
      </c>
      <c r="E235" s="0" t="n">
        <v>1.05</v>
      </c>
      <c r="F235" s="0" t="n">
        <v>-10.93</v>
      </c>
      <c r="G235" s="2" t="n">
        <v>2.52</v>
      </c>
      <c r="H235" s="0" t="n">
        <v>-5.25</v>
      </c>
      <c r="I235" s="2" t="n">
        <v>2.52</v>
      </c>
      <c r="J235" s="1" t="s">
        <v>18</v>
      </c>
      <c r="K235" s="1" t="s">
        <v>18</v>
      </c>
      <c r="L235" s="1" t="s">
        <v>18</v>
      </c>
      <c r="M235" s="2" t="s">
        <v>18</v>
      </c>
      <c r="N235" s="1" t="s">
        <v>18</v>
      </c>
      <c r="O235" s="2" t="s">
        <v>18</v>
      </c>
    </row>
    <row r="236" customFormat="false" ht="15" hidden="false" customHeight="false" outlineLevel="0" collapsed="false">
      <c r="D236" s="0" t="n">
        <v>2</v>
      </c>
      <c r="E236" s="0" t="n">
        <v>1.53</v>
      </c>
      <c r="F236" s="0" t="n">
        <v>-11.2</v>
      </c>
      <c r="G236" s="2" t="n">
        <v>2.34</v>
      </c>
      <c r="H236" s="0" t="n">
        <v>-5.25</v>
      </c>
      <c r="I236" s="2" t="n">
        <v>2.34</v>
      </c>
      <c r="J236" s="1" t="s">
        <v>18</v>
      </c>
      <c r="K236" s="1" t="s">
        <v>18</v>
      </c>
      <c r="L236" s="1" t="s">
        <v>18</v>
      </c>
      <c r="M236" s="2" t="s">
        <v>18</v>
      </c>
      <c r="N236" s="1" t="s">
        <v>18</v>
      </c>
      <c r="O236" s="2" t="s">
        <v>18</v>
      </c>
    </row>
    <row r="237" customFormat="false" ht="15" hidden="false" customHeight="false" outlineLevel="0" collapsed="false">
      <c r="D237" s="0" t="n">
        <v>1</v>
      </c>
      <c r="E237" s="0" t="n">
        <v>1.63</v>
      </c>
      <c r="F237" s="0" t="n">
        <v>-11.58</v>
      </c>
      <c r="G237" s="2" t="n">
        <v>2.09</v>
      </c>
      <c r="H237" s="0" t="n">
        <v>-5.25</v>
      </c>
      <c r="I237" s="2" t="n">
        <v>2.09</v>
      </c>
      <c r="J237" s="1" t="s">
        <v>18</v>
      </c>
      <c r="K237" s="1" t="s">
        <v>18</v>
      </c>
      <c r="L237" s="1" t="s">
        <v>18</v>
      </c>
      <c r="M237" s="2" t="s">
        <v>18</v>
      </c>
      <c r="N237" s="1" t="s">
        <v>18</v>
      </c>
      <c r="O237" s="2" t="s">
        <v>18</v>
      </c>
    </row>
    <row r="238" customFormat="false" ht="15" hidden="false" customHeight="false" outlineLevel="0" collapsed="false">
      <c r="A238" s="1" t="n">
        <v>30</v>
      </c>
      <c r="B238" s="2" t="s">
        <v>46</v>
      </c>
      <c r="C238" s="0" t="n">
        <v>632.61</v>
      </c>
      <c r="D238" s="0" t="n">
        <v>4</v>
      </c>
      <c r="E238" s="0" t="n">
        <v>1.56</v>
      </c>
      <c r="F238" s="1" t="s">
        <v>18</v>
      </c>
      <c r="G238" s="2" t="s">
        <v>18</v>
      </c>
      <c r="H238" s="1" t="s">
        <v>18</v>
      </c>
      <c r="I238" s="2" t="s">
        <v>18</v>
      </c>
      <c r="J238" s="1" t="s">
        <v>18</v>
      </c>
      <c r="K238" s="1" t="s">
        <v>18</v>
      </c>
      <c r="L238" s="0" t="n">
        <v>5.51</v>
      </c>
      <c r="M238" s="2" t="n">
        <v>2.77</v>
      </c>
      <c r="N238" s="0" t="n">
        <v>10.12</v>
      </c>
      <c r="O238" s="2" t="n">
        <v>2.77</v>
      </c>
      <c r="P238" s="0" t="n">
        <v>5.77</v>
      </c>
      <c r="Q238" s="0" t="n">
        <v>0</v>
      </c>
    </row>
    <row r="239" customFormat="false" ht="15" hidden="false" customHeight="false" outlineLevel="0" collapsed="false">
      <c r="D239" s="0" t="n">
        <v>3</v>
      </c>
      <c r="E239" s="0" t="n">
        <v>1.05</v>
      </c>
      <c r="F239" s="1" t="s">
        <v>18</v>
      </c>
      <c r="G239" s="2" t="s">
        <v>18</v>
      </c>
      <c r="H239" s="1" t="s">
        <v>18</v>
      </c>
      <c r="I239" s="2" t="s">
        <v>18</v>
      </c>
      <c r="J239" s="1" t="s">
        <v>18</v>
      </c>
      <c r="K239" s="1" t="s">
        <v>18</v>
      </c>
      <c r="L239" s="0" t="n">
        <v>5.25</v>
      </c>
      <c r="M239" s="2" t="n">
        <v>2.52</v>
      </c>
      <c r="N239" s="0" t="n">
        <v>10.93</v>
      </c>
      <c r="O239" s="2" t="n">
        <v>2.52</v>
      </c>
    </row>
    <row r="240" customFormat="false" ht="15" hidden="false" customHeight="false" outlineLevel="0" collapsed="false">
      <c r="D240" s="0" t="n">
        <v>2</v>
      </c>
      <c r="E240" s="0" t="n">
        <v>1.53</v>
      </c>
      <c r="F240" s="1" t="s">
        <v>18</v>
      </c>
      <c r="G240" s="2" t="s">
        <v>18</v>
      </c>
      <c r="H240" s="1" t="s">
        <v>18</v>
      </c>
      <c r="I240" s="2" t="s">
        <v>18</v>
      </c>
      <c r="J240" s="1" t="s">
        <v>18</v>
      </c>
      <c r="K240" s="1" t="s">
        <v>18</v>
      </c>
      <c r="L240" s="0" t="n">
        <v>5.25</v>
      </c>
      <c r="M240" s="2" t="n">
        <v>2.34</v>
      </c>
      <c r="N240" s="0" t="n">
        <v>11.2</v>
      </c>
      <c r="O240" s="2" t="n">
        <v>2.34</v>
      </c>
    </row>
    <row r="241" customFormat="false" ht="15" hidden="false" customHeight="false" outlineLevel="0" collapsed="false">
      <c r="D241" s="0" t="n">
        <v>1</v>
      </c>
      <c r="E241" s="0" t="n">
        <v>1.63</v>
      </c>
      <c r="F241" s="1" t="s">
        <v>18</v>
      </c>
      <c r="G241" s="2" t="s">
        <v>18</v>
      </c>
      <c r="H241" s="1" t="s">
        <v>18</v>
      </c>
      <c r="I241" s="2" t="s">
        <v>18</v>
      </c>
      <c r="J241" s="1" t="s">
        <v>18</v>
      </c>
      <c r="K241" s="1" t="s">
        <v>18</v>
      </c>
      <c r="L241" s="0" t="n">
        <v>5.25</v>
      </c>
      <c r="M241" s="2" t="n">
        <v>2.09</v>
      </c>
      <c r="N241" s="0" t="n">
        <v>11.58</v>
      </c>
      <c r="O241" s="2" t="n">
        <v>2.09</v>
      </c>
    </row>
    <row r="242" customFormat="false" ht="15" hidden="false" customHeight="false" outlineLevel="0" collapsed="false">
      <c r="A242" s="1" t="n">
        <v>31</v>
      </c>
      <c r="B242" s="2" t="s">
        <v>47</v>
      </c>
      <c r="C242" s="0" t="n">
        <v>652.61</v>
      </c>
      <c r="D242" s="0" t="n">
        <v>4</v>
      </c>
      <c r="E242" s="0" t="n">
        <v>1.56</v>
      </c>
      <c r="F242" s="0" t="n">
        <v>-10.12</v>
      </c>
      <c r="G242" s="2" t="n">
        <v>2.87</v>
      </c>
      <c r="H242" s="0" t="n">
        <v>-5.51</v>
      </c>
      <c r="I242" s="2" t="n">
        <v>2.58</v>
      </c>
      <c r="J242" s="1" t="s">
        <v>18</v>
      </c>
      <c r="K242" s="1" t="s">
        <v>18</v>
      </c>
      <c r="L242" s="1" t="s">
        <v>18</v>
      </c>
      <c r="M242" s="2" t="s">
        <v>18</v>
      </c>
      <c r="N242" s="1" t="s">
        <v>18</v>
      </c>
      <c r="O242" s="2" t="s">
        <v>18</v>
      </c>
      <c r="P242" s="0" t="n">
        <v>5.77</v>
      </c>
      <c r="Q242" s="0" t="n">
        <v>0</v>
      </c>
    </row>
    <row r="243" customFormat="false" ht="15" hidden="false" customHeight="false" outlineLevel="0" collapsed="false">
      <c r="D243" s="0" t="n">
        <v>3</v>
      </c>
      <c r="E243" s="0" t="n">
        <v>1.05</v>
      </c>
      <c r="F243" s="0" t="n">
        <v>-10.93</v>
      </c>
      <c r="G243" s="2" t="n">
        <v>2.53</v>
      </c>
      <c r="H243" s="0" t="n">
        <v>-5.25</v>
      </c>
      <c r="I243" s="2" t="n">
        <v>2.53</v>
      </c>
      <c r="J243" s="1" t="s">
        <v>18</v>
      </c>
      <c r="K243" s="1" t="s">
        <v>18</v>
      </c>
      <c r="L243" s="1" t="s">
        <v>18</v>
      </c>
      <c r="M243" s="2" t="s">
        <v>18</v>
      </c>
      <c r="N243" s="1" t="s">
        <v>18</v>
      </c>
      <c r="O243" s="2" t="s">
        <v>18</v>
      </c>
    </row>
    <row r="244" customFormat="false" ht="15" hidden="false" customHeight="false" outlineLevel="0" collapsed="false">
      <c r="D244" s="0" t="n">
        <v>2</v>
      </c>
      <c r="E244" s="0" t="n">
        <v>1.53</v>
      </c>
      <c r="F244" s="0" t="n">
        <v>-11.2</v>
      </c>
      <c r="G244" s="2" t="n">
        <v>2.35</v>
      </c>
      <c r="H244" s="0" t="n">
        <v>-5.25</v>
      </c>
      <c r="I244" s="2" t="n">
        <v>2.35</v>
      </c>
      <c r="J244" s="1" t="s">
        <v>18</v>
      </c>
      <c r="K244" s="1" t="s">
        <v>18</v>
      </c>
      <c r="L244" s="1" t="s">
        <v>18</v>
      </c>
      <c r="M244" s="2" t="s">
        <v>18</v>
      </c>
      <c r="N244" s="1" t="s">
        <v>18</v>
      </c>
      <c r="O244" s="2" t="s">
        <v>18</v>
      </c>
    </row>
    <row r="245" customFormat="false" ht="15" hidden="false" customHeight="false" outlineLevel="0" collapsed="false">
      <c r="D245" s="0" t="n">
        <v>1</v>
      </c>
      <c r="E245" s="0" t="n">
        <v>1.63</v>
      </c>
      <c r="F245" s="0" t="n">
        <v>-11.58</v>
      </c>
      <c r="G245" s="2" t="n">
        <v>2.1</v>
      </c>
      <c r="H245" s="0" t="n">
        <v>-5.25</v>
      </c>
      <c r="I245" s="2" t="n">
        <v>2.1</v>
      </c>
      <c r="J245" s="1" t="s">
        <v>18</v>
      </c>
      <c r="K245" s="1" t="s">
        <v>18</v>
      </c>
      <c r="L245" s="1" t="s">
        <v>18</v>
      </c>
      <c r="M245" s="2" t="s">
        <v>18</v>
      </c>
      <c r="N245" s="1" t="s">
        <v>18</v>
      </c>
      <c r="O245" s="2" t="s">
        <v>18</v>
      </c>
    </row>
    <row r="246" customFormat="false" ht="15" hidden="false" customHeight="false" outlineLevel="0" collapsed="false">
      <c r="A246" s="1" t="n">
        <v>31</v>
      </c>
      <c r="B246" s="2" t="s">
        <v>47</v>
      </c>
      <c r="C246" s="0" t="n">
        <v>652.61</v>
      </c>
      <c r="D246" s="0" t="n">
        <v>4</v>
      </c>
      <c r="E246" s="0" t="n">
        <v>1.56</v>
      </c>
      <c r="F246" s="1" t="s">
        <v>18</v>
      </c>
      <c r="G246" s="2" t="s">
        <v>18</v>
      </c>
      <c r="H246" s="1" t="s">
        <v>18</v>
      </c>
      <c r="I246" s="2" t="s">
        <v>18</v>
      </c>
      <c r="J246" s="1" t="s">
        <v>18</v>
      </c>
      <c r="K246" s="1" t="s">
        <v>18</v>
      </c>
      <c r="L246" s="0" t="n">
        <v>5.51</v>
      </c>
      <c r="M246" s="2" t="n">
        <v>2.77</v>
      </c>
      <c r="N246" s="0" t="n">
        <v>10.12</v>
      </c>
      <c r="O246" s="2" t="n">
        <v>2.77</v>
      </c>
      <c r="P246" s="0" t="n">
        <v>5.77</v>
      </c>
      <c r="Q246" s="0" t="n">
        <v>0</v>
      </c>
    </row>
    <row r="247" customFormat="false" ht="15" hidden="false" customHeight="false" outlineLevel="0" collapsed="false">
      <c r="D247" s="0" t="n">
        <v>3</v>
      </c>
      <c r="E247" s="0" t="n">
        <v>1.05</v>
      </c>
      <c r="F247" s="1" t="s">
        <v>18</v>
      </c>
      <c r="G247" s="2" t="s">
        <v>18</v>
      </c>
      <c r="H247" s="1" t="s">
        <v>18</v>
      </c>
      <c r="I247" s="2" t="s">
        <v>18</v>
      </c>
      <c r="J247" s="1" t="s">
        <v>18</v>
      </c>
      <c r="K247" s="1" t="s">
        <v>18</v>
      </c>
      <c r="L247" s="0" t="n">
        <v>5.25</v>
      </c>
      <c r="M247" s="2" t="n">
        <v>2.53</v>
      </c>
      <c r="N247" s="0" t="n">
        <v>10.93</v>
      </c>
      <c r="O247" s="2" t="n">
        <v>2.53</v>
      </c>
    </row>
    <row r="248" customFormat="false" ht="15" hidden="false" customHeight="false" outlineLevel="0" collapsed="false">
      <c r="D248" s="0" t="n">
        <v>2</v>
      </c>
      <c r="E248" s="0" t="n">
        <v>1.53</v>
      </c>
      <c r="F248" s="1" t="s">
        <v>18</v>
      </c>
      <c r="G248" s="2" t="s">
        <v>18</v>
      </c>
      <c r="H248" s="1" t="s">
        <v>18</v>
      </c>
      <c r="I248" s="2" t="s">
        <v>18</v>
      </c>
      <c r="J248" s="1" t="s">
        <v>18</v>
      </c>
      <c r="K248" s="1" t="s">
        <v>18</v>
      </c>
      <c r="L248" s="0" t="n">
        <v>5.25</v>
      </c>
      <c r="M248" s="2" t="n">
        <v>2.35</v>
      </c>
      <c r="N248" s="0" t="n">
        <v>11.2</v>
      </c>
      <c r="O248" s="2" t="n">
        <v>2.35</v>
      </c>
    </row>
    <row r="249" customFormat="false" ht="15" hidden="false" customHeight="false" outlineLevel="0" collapsed="false">
      <c r="D249" s="0" t="n">
        <v>1</v>
      </c>
      <c r="E249" s="0" t="n">
        <v>1.63</v>
      </c>
      <c r="F249" s="1" t="s">
        <v>18</v>
      </c>
      <c r="G249" s="2" t="s">
        <v>18</v>
      </c>
      <c r="H249" s="1" t="s">
        <v>18</v>
      </c>
      <c r="I249" s="2" t="s">
        <v>18</v>
      </c>
      <c r="J249" s="1" t="s">
        <v>18</v>
      </c>
      <c r="K249" s="1" t="s">
        <v>18</v>
      </c>
      <c r="L249" s="0" t="n">
        <v>5.25</v>
      </c>
      <c r="M249" s="2" t="n">
        <v>2.1</v>
      </c>
      <c r="N249" s="0" t="n">
        <v>11.58</v>
      </c>
      <c r="O249" s="2" t="n">
        <v>2.1</v>
      </c>
    </row>
    <row r="250" customFormat="false" ht="15" hidden="false" customHeight="false" outlineLevel="0" collapsed="false">
      <c r="A250" s="1" t="n">
        <v>32</v>
      </c>
      <c r="B250" s="2" t="s">
        <v>48</v>
      </c>
      <c r="C250" s="0" t="n">
        <v>672.61</v>
      </c>
      <c r="D250" s="0" t="n">
        <v>4</v>
      </c>
      <c r="E250" s="0" t="n">
        <v>1.56</v>
      </c>
      <c r="F250" s="0" t="n">
        <v>-10.12</v>
      </c>
      <c r="G250" s="2" t="n">
        <v>2.87</v>
      </c>
      <c r="H250" s="0" t="n">
        <v>-5.51</v>
      </c>
      <c r="I250" s="2" t="n">
        <v>2.59</v>
      </c>
      <c r="J250" s="1" t="s">
        <v>18</v>
      </c>
      <c r="K250" s="1" t="s">
        <v>18</v>
      </c>
      <c r="L250" s="1" t="s">
        <v>18</v>
      </c>
      <c r="M250" s="2" t="s">
        <v>18</v>
      </c>
      <c r="N250" s="1" t="s">
        <v>18</v>
      </c>
      <c r="O250" s="2" t="s">
        <v>18</v>
      </c>
      <c r="P250" s="0" t="n">
        <v>5.77</v>
      </c>
      <c r="Q250" s="0" t="n">
        <v>0</v>
      </c>
    </row>
    <row r="251" customFormat="false" ht="15" hidden="false" customHeight="false" outlineLevel="0" collapsed="false">
      <c r="D251" s="0" t="n">
        <v>3</v>
      </c>
      <c r="E251" s="0" t="n">
        <v>1.05</v>
      </c>
      <c r="F251" s="0" t="n">
        <v>-10.93</v>
      </c>
      <c r="G251" s="2" t="n">
        <v>2.53</v>
      </c>
      <c r="H251" s="0" t="n">
        <v>-5.25</v>
      </c>
      <c r="I251" s="2" t="n">
        <v>2.53</v>
      </c>
      <c r="J251" s="1" t="s">
        <v>18</v>
      </c>
      <c r="K251" s="1" t="s">
        <v>18</v>
      </c>
      <c r="L251" s="1" t="s">
        <v>18</v>
      </c>
      <c r="M251" s="2" t="s">
        <v>18</v>
      </c>
      <c r="N251" s="1" t="s">
        <v>18</v>
      </c>
      <c r="O251" s="2" t="s">
        <v>18</v>
      </c>
    </row>
    <row r="252" customFormat="false" ht="15" hidden="false" customHeight="false" outlineLevel="0" collapsed="false">
      <c r="D252" s="0" t="n">
        <v>2</v>
      </c>
      <c r="E252" s="0" t="n">
        <v>1.53</v>
      </c>
      <c r="F252" s="0" t="n">
        <v>-11.2</v>
      </c>
      <c r="G252" s="2" t="n">
        <v>2.35</v>
      </c>
      <c r="H252" s="0" t="n">
        <v>-5.25</v>
      </c>
      <c r="I252" s="2" t="n">
        <v>2.35</v>
      </c>
      <c r="J252" s="1" t="s">
        <v>18</v>
      </c>
      <c r="K252" s="1" t="s">
        <v>18</v>
      </c>
      <c r="L252" s="1" t="s">
        <v>18</v>
      </c>
      <c r="M252" s="2" t="s">
        <v>18</v>
      </c>
      <c r="N252" s="1" t="s">
        <v>18</v>
      </c>
      <c r="O252" s="2" t="s">
        <v>18</v>
      </c>
    </row>
    <row r="253" customFormat="false" ht="15" hidden="false" customHeight="false" outlineLevel="0" collapsed="false">
      <c r="D253" s="0" t="n">
        <v>1</v>
      </c>
      <c r="E253" s="0" t="n">
        <v>1.63</v>
      </c>
      <c r="F253" s="0" t="n">
        <v>-11.58</v>
      </c>
      <c r="G253" s="2" t="n">
        <v>2.1</v>
      </c>
      <c r="H253" s="0" t="n">
        <v>-5.25</v>
      </c>
      <c r="I253" s="2" t="n">
        <v>2.1</v>
      </c>
      <c r="J253" s="1" t="s">
        <v>18</v>
      </c>
      <c r="K253" s="1" t="s">
        <v>18</v>
      </c>
      <c r="L253" s="1" t="s">
        <v>18</v>
      </c>
      <c r="M253" s="2" t="s">
        <v>18</v>
      </c>
      <c r="N253" s="1" t="s">
        <v>18</v>
      </c>
      <c r="O253" s="2" t="s">
        <v>18</v>
      </c>
    </row>
    <row r="254" customFormat="false" ht="15" hidden="false" customHeight="false" outlineLevel="0" collapsed="false">
      <c r="A254" s="1" t="n">
        <v>32</v>
      </c>
      <c r="B254" s="2" t="s">
        <v>48</v>
      </c>
      <c r="C254" s="0" t="n">
        <v>672.61</v>
      </c>
      <c r="D254" s="0" t="n">
        <v>4</v>
      </c>
      <c r="E254" s="0" t="n">
        <v>1.56</v>
      </c>
      <c r="F254" s="1" t="s">
        <v>18</v>
      </c>
      <c r="G254" s="2" t="s">
        <v>18</v>
      </c>
      <c r="H254" s="1" t="s">
        <v>18</v>
      </c>
      <c r="I254" s="2" t="s">
        <v>18</v>
      </c>
      <c r="J254" s="1" t="s">
        <v>18</v>
      </c>
      <c r="K254" s="1" t="s">
        <v>18</v>
      </c>
      <c r="L254" s="0" t="n">
        <v>5.51</v>
      </c>
      <c r="M254" s="2" t="n">
        <v>2.78</v>
      </c>
      <c r="N254" s="0" t="n">
        <v>10.12</v>
      </c>
      <c r="O254" s="2" t="n">
        <v>2.77</v>
      </c>
      <c r="P254" s="0" t="n">
        <v>5.77</v>
      </c>
      <c r="Q254" s="0" t="n">
        <v>0</v>
      </c>
    </row>
    <row r="255" customFormat="false" ht="15" hidden="false" customHeight="false" outlineLevel="0" collapsed="false">
      <c r="D255" s="0" t="n">
        <v>3</v>
      </c>
      <c r="E255" s="0" t="n">
        <v>1.05</v>
      </c>
      <c r="F255" s="1" t="s">
        <v>18</v>
      </c>
      <c r="G255" s="2" t="s">
        <v>18</v>
      </c>
      <c r="H255" s="1" t="s">
        <v>18</v>
      </c>
      <c r="I255" s="2" t="s">
        <v>18</v>
      </c>
      <c r="J255" s="1" t="s">
        <v>18</v>
      </c>
      <c r="K255" s="1" t="s">
        <v>18</v>
      </c>
      <c r="L255" s="0" t="n">
        <v>5.25</v>
      </c>
      <c r="M255" s="2" t="n">
        <v>2.53</v>
      </c>
      <c r="N255" s="0" t="n">
        <v>10.93</v>
      </c>
      <c r="O255" s="2" t="n">
        <v>2.53</v>
      </c>
    </row>
    <row r="256" customFormat="false" ht="15" hidden="false" customHeight="false" outlineLevel="0" collapsed="false">
      <c r="D256" s="0" t="n">
        <v>2</v>
      </c>
      <c r="E256" s="0" t="n">
        <v>1.53</v>
      </c>
      <c r="F256" s="1" t="s">
        <v>18</v>
      </c>
      <c r="G256" s="2" t="s">
        <v>18</v>
      </c>
      <c r="H256" s="1" t="s">
        <v>18</v>
      </c>
      <c r="I256" s="2" t="s">
        <v>18</v>
      </c>
      <c r="J256" s="1" t="s">
        <v>18</v>
      </c>
      <c r="K256" s="1" t="s">
        <v>18</v>
      </c>
      <c r="L256" s="0" t="n">
        <v>5.25</v>
      </c>
      <c r="M256" s="2" t="n">
        <v>2.35</v>
      </c>
      <c r="N256" s="0" t="n">
        <v>11.2</v>
      </c>
      <c r="O256" s="2" t="n">
        <v>2.35</v>
      </c>
    </row>
    <row r="257" customFormat="false" ht="15" hidden="false" customHeight="false" outlineLevel="0" collapsed="false">
      <c r="D257" s="0" t="n">
        <v>1</v>
      </c>
      <c r="E257" s="0" t="n">
        <v>1.63</v>
      </c>
      <c r="F257" s="1" t="s">
        <v>18</v>
      </c>
      <c r="G257" s="2" t="s">
        <v>18</v>
      </c>
      <c r="H257" s="1" t="s">
        <v>18</v>
      </c>
      <c r="I257" s="2" t="s">
        <v>18</v>
      </c>
      <c r="J257" s="1" t="s">
        <v>18</v>
      </c>
      <c r="K257" s="1" t="s">
        <v>18</v>
      </c>
      <c r="L257" s="0" t="n">
        <v>5.25</v>
      </c>
      <c r="M257" s="2" t="n">
        <v>2.1</v>
      </c>
      <c r="N257" s="0" t="n">
        <v>11.58</v>
      </c>
      <c r="O257" s="2" t="n">
        <v>2.1</v>
      </c>
    </row>
    <row r="258" customFormat="false" ht="15" hidden="false" customHeight="false" outlineLevel="0" collapsed="false">
      <c r="A258" s="1" t="n">
        <v>33</v>
      </c>
      <c r="B258" s="2" t="s">
        <v>49</v>
      </c>
      <c r="C258" s="0" t="n">
        <v>692.61</v>
      </c>
      <c r="D258" s="0" t="n">
        <v>4</v>
      </c>
      <c r="E258" s="0" t="n">
        <v>1.56</v>
      </c>
      <c r="F258" s="0" t="n">
        <v>-10.12</v>
      </c>
      <c r="G258" s="2" t="n">
        <v>2.87</v>
      </c>
      <c r="H258" s="0" t="n">
        <v>-5.51</v>
      </c>
      <c r="I258" s="2" t="n">
        <v>2.59</v>
      </c>
      <c r="J258" s="1" t="s">
        <v>18</v>
      </c>
      <c r="K258" s="1" t="s">
        <v>18</v>
      </c>
      <c r="L258" s="1" t="s">
        <v>18</v>
      </c>
      <c r="M258" s="2" t="s">
        <v>18</v>
      </c>
      <c r="N258" s="1" t="s">
        <v>18</v>
      </c>
      <c r="O258" s="2" t="s">
        <v>18</v>
      </c>
      <c r="P258" s="0" t="n">
        <v>5.77</v>
      </c>
      <c r="Q258" s="0" t="n">
        <v>0</v>
      </c>
    </row>
    <row r="259" customFormat="false" ht="15" hidden="false" customHeight="false" outlineLevel="0" collapsed="false">
      <c r="D259" s="0" t="n">
        <v>3</v>
      </c>
      <c r="E259" s="0" t="n">
        <v>1.05</v>
      </c>
      <c r="F259" s="0" t="n">
        <v>-10.93</v>
      </c>
      <c r="G259" s="2" t="n">
        <v>2.53</v>
      </c>
      <c r="H259" s="0" t="n">
        <v>-5.25</v>
      </c>
      <c r="I259" s="2" t="n">
        <v>2.53</v>
      </c>
      <c r="J259" s="1" t="s">
        <v>18</v>
      </c>
      <c r="K259" s="1" t="s">
        <v>18</v>
      </c>
      <c r="L259" s="1" t="s">
        <v>18</v>
      </c>
      <c r="M259" s="2" t="s">
        <v>18</v>
      </c>
      <c r="N259" s="1" t="s">
        <v>18</v>
      </c>
      <c r="O259" s="2" t="s">
        <v>18</v>
      </c>
    </row>
    <row r="260" customFormat="false" ht="15" hidden="false" customHeight="false" outlineLevel="0" collapsed="false">
      <c r="D260" s="0" t="n">
        <v>2</v>
      </c>
      <c r="E260" s="0" t="n">
        <v>1.53</v>
      </c>
      <c r="F260" s="0" t="n">
        <v>-11.2</v>
      </c>
      <c r="G260" s="2" t="n">
        <v>2.35</v>
      </c>
      <c r="H260" s="0" t="n">
        <v>-5.25</v>
      </c>
      <c r="I260" s="2" t="n">
        <v>2.35</v>
      </c>
      <c r="J260" s="1" t="s">
        <v>18</v>
      </c>
      <c r="K260" s="1" t="s">
        <v>18</v>
      </c>
      <c r="L260" s="1" t="s">
        <v>18</v>
      </c>
      <c r="M260" s="2" t="s">
        <v>18</v>
      </c>
      <c r="N260" s="1" t="s">
        <v>18</v>
      </c>
      <c r="O260" s="2" t="s">
        <v>18</v>
      </c>
    </row>
    <row r="261" customFormat="false" ht="15" hidden="false" customHeight="false" outlineLevel="0" collapsed="false">
      <c r="D261" s="0" t="n">
        <v>1</v>
      </c>
      <c r="E261" s="0" t="n">
        <v>1.63</v>
      </c>
      <c r="F261" s="0" t="n">
        <v>-11.58</v>
      </c>
      <c r="G261" s="2" t="n">
        <v>2.1</v>
      </c>
      <c r="H261" s="0" t="n">
        <v>-5.25</v>
      </c>
      <c r="I261" s="2" t="n">
        <v>2.1</v>
      </c>
      <c r="J261" s="1" t="s">
        <v>18</v>
      </c>
      <c r="K261" s="1" t="s">
        <v>18</v>
      </c>
      <c r="L261" s="1" t="s">
        <v>18</v>
      </c>
      <c r="M261" s="2" t="s">
        <v>18</v>
      </c>
      <c r="N261" s="1" t="s">
        <v>18</v>
      </c>
      <c r="O261" s="2" t="s">
        <v>18</v>
      </c>
    </row>
    <row r="262" customFormat="false" ht="15" hidden="false" customHeight="false" outlineLevel="0" collapsed="false">
      <c r="A262" s="1" t="n">
        <v>33</v>
      </c>
      <c r="B262" s="2" t="s">
        <v>49</v>
      </c>
      <c r="C262" s="0" t="n">
        <v>692.61</v>
      </c>
      <c r="D262" s="0" t="n">
        <v>4</v>
      </c>
      <c r="E262" s="0" t="n">
        <v>1.56</v>
      </c>
      <c r="F262" s="1" t="s">
        <v>18</v>
      </c>
      <c r="G262" s="2" t="s">
        <v>18</v>
      </c>
      <c r="H262" s="1" t="s">
        <v>18</v>
      </c>
      <c r="I262" s="2" t="s">
        <v>18</v>
      </c>
      <c r="J262" s="1" t="s">
        <v>18</v>
      </c>
      <c r="K262" s="1" t="s">
        <v>18</v>
      </c>
      <c r="L262" s="0" t="n">
        <v>5.51</v>
      </c>
      <c r="M262" s="2" t="n">
        <v>2.78</v>
      </c>
      <c r="N262" s="0" t="n">
        <v>10.12</v>
      </c>
      <c r="O262" s="2" t="n">
        <v>2.77</v>
      </c>
      <c r="P262" s="0" t="n">
        <v>5.77</v>
      </c>
      <c r="Q262" s="0" t="n">
        <v>0</v>
      </c>
    </row>
    <row r="263" customFormat="false" ht="15" hidden="false" customHeight="false" outlineLevel="0" collapsed="false">
      <c r="D263" s="0" t="n">
        <v>3</v>
      </c>
      <c r="E263" s="0" t="n">
        <v>1.05</v>
      </c>
      <c r="F263" s="1" t="s">
        <v>18</v>
      </c>
      <c r="G263" s="2" t="s">
        <v>18</v>
      </c>
      <c r="H263" s="1" t="s">
        <v>18</v>
      </c>
      <c r="I263" s="2" t="s">
        <v>18</v>
      </c>
      <c r="J263" s="1" t="s">
        <v>18</v>
      </c>
      <c r="K263" s="1" t="s">
        <v>18</v>
      </c>
      <c r="L263" s="0" t="n">
        <v>5.25</v>
      </c>
      <c r="M263" s="2" t="n">
        <v>2.53</v>
      </c>
      <c r="N263" s="0" t="n">
        <v>10.93</v>
      </c>
      <c r="O263" s="2" t="n">
        <v>2.53</v>
      </c>
    </row>
    <row r="264" customFormat="false" ht="15" hidden="false" customHeight="false" outlineLevel="0" collapsed="false">
      <c r="D264" s="0" t="n">
        <v>2</v>
      </c>
      <c r="E264" s="0" t="n">
        <v>1.53</v>
      </c>
      <c r="F264" s="1" t="s">
        <v>18</v>
      </c>
      <c r="G264" s="2" t="s">
        <v>18</v>
      </c>
      <c r="H264" s="1" t="s">
        <v>18</v>
      </c>
      <c r="I264" s="2" t="s">
        <v>18</v>
      </c>
      <c r="J264" s="1" t="s">
        <v>18</v>
      </c>
      <c r="K264" s="1" t="s">
        <v>18</v>
      </c>
      <c r="L264" s="0" t="n">
        <v>5.25</v>
      </c>
      <c r="M264" s="2" t="n">
        <v>2.35</v>
      </c>
      <c r="N264" s="0" t="n">
        <v>11.2</v>
      </c>
      <c r="O264" s="2" t="n">
        <v>2.35</v>
      </c>
    </row>
    <row r="265" customFormat="false" ht="15" hidden="false" customHeight="false" outlineLevel="0" collapsed="false">
      <c r="D265" s="0" t="n">
        <v>1</v>
      </c>
      <c r="E265" s="0" t="n">
        <v>1.63</v>
      </c>
      <c r="F265" s="1" t="s">
        <v>18</v>
      </c>
      <c r="G265" s="2" t="s">
        <v>18</v>
      </c>
      <c r="H265" s="1" t="s">
        <v>18</v>
      </c>
      <c r="I265" s="2" t="s">
        <v>18</v>
      </c>
      <c r="J265" s="1" t="s">
        <v>18</v>
      </c>
      <c r="K265" s="1" t="s">
        <v>18</v>
      </c>
      <c r="L265" s="0" t="n">
        <v>5.25</v>
      </c>
      <c r="M265" s="2" t="n">
        <v>2.1</v>
      </c>
      <c r="N265" s="0" t="n">
        <v>11.58</v>
      </c>
      <c r="O265" s="2" t="n">
        <v>2.1</v>
      </c>
    </row>
    <row r="266" customFormat="false" ht="15" hidden="false" customHeight="false" outlineLevel="0" collapsed="false">
      <c r="A266" s="1" t="n">
        <v>34</v>
      </c>
      <c r="B266" s="2" t="s">
        <v>50</v>
      </c>
      <c r="C266" s="0" t="n">
        <v>712.61</v>
      </c>
      <c r="D266" s="0" t="n">
        <v>4</v>
      </c>
      <c r="E266" s="0" t="n">
        <v>1.56</v>
      </c>
      <c r="F266" s="0" t="n">
        <v>-10.12</v>
      </c>
      <c r="G266" s="2" t="n">
        <v>2.87</v>
      </c>
      <c r="H266" s="0" t="n">
        <v>-5.51</v>
      </c>
      <c r="I266" s="2" t="n">
        <v>2.59</v>
      </c>
      <c r="J266" s="1" t="s">
        <v>18</v>
      </c>
      <c r="K266" s="1" t="s">
        <v>18</v>
      </c>
      <c r="L266" s="1" t="s">
        <v>18</v>
      </c>
      <c r="M266" s="2" t="s">
        <v>18</v>
      </c>
      <c r="N266" s="1" t="s">
        <v>18</v>
      </c>
      <c r="O266" s="2" t="s">
        <v>18</v>
      </c>
      <c r="P266" s="0" t="n">
        <v>5.77</v>
      </c>
      <c r="Q266" s="0" t="n">
        <v>0</v>
      </c>
    </row>
    <row r="267" customFormat="false" ht="15" hidden="false" customHeight="false" outlineLevel="0" collapsed="false">
      <c r="D267" s="0" t="n">
        <v>3</v>
      </c>
      <c r="E267" s="0" t="n">
        <v>1.05</v>
      </c>
      <c r="F267" s="0" t="n">
        <v>-10.93</v>
      </c>
      <c r="G267" s="2" t="n">
        <v>2.53</v>
      </c>
      <c r="H267" s="0" t="n">
        <v>-5.25</v>
      </c>
      <c r="I267" s="2" t="n">
        <v>2.53</v>
      </c>
      <c r="J267" s="1" t="s">
        <v>18</v>
      </c>
      <c r="K267" s="1" t="s">
        <v>18</v>
      </c>
      <c r="L267" s="1" t="s">
        <v>18</v>
      </c>
      <c r="M267" s="2" t="s">
        <v>18</v>
      </c>
      <c r="N267" s="1" t="s">
        <v>18</v>
      </c>
      <c r="O267" s="2" t="s">
        <v>18</v>
      </c>
    </row>
    <row r="268" customFormat="false" ht="15" hidden="false" customHeight="false" outlineLevel="0" collapsed="false">
      <c r="D268" s="0" t="n">
        <v>2</v>
      </c>
      <c r="E268" s="0" t="n">
        <v>1.53</v>
      </c>
      <c r="F268" s="0" t="n">
        <v>-11.2</v>
      </c>
      <c r="G268" s="2" t="n">
        <v>2.35</v>
      </c>
      <c r="H268" s="0" t="n">
        <v>-5.25</v>
      </c>
      <c r="I268" s="2" t="n">
        <v>2.35</v>
      </c>
      <c r="J268" s="1" t="s">
        <v>18</v>
      </c>
      <c r="K268" s="1" t="s">
        <v>18</v>
      </c>
      <c r="L268" s="1" t="s">
        <v>18</v>
      </c>
      <c r="M268" s="2" t="s">
        <v>18</v>
      </c>
      <c r="N268" s="1" t="s">
        <v>18</v>
      </c>
      <c r="O268" s="2" t="s">
        <v>18</v>
      </c>
    </row>
    <row r="269" customFormat="false" ht="15" hidden="false" customHeight="false" outlineLevel="0" collapsed="false">
      <c r="D269" s="0" t="n">
        <v>1</v>
      </c>
      <c r="E269" s="0" t="n">
        <v>1.63</v>
      </c>
      <c r="F269" s="0" t="n">
        <v>-11.58</v>
      </c>
      <c r="G269" s="2" t="n">
        <v>2.1</v>
      </c>
      <c r="H269" s="0" t="n">
        <v>-5.25</v>
      </c>
      <c r="I269" s="2" t="n">
        <v>2.1</v>
      </c>
      <c r="J269" s="1" t="s">
        <v>18</v>
      </c>
      <c r="K269" s="1" t="s">
        <v>18</v>
      </c>
      <c r="L269" s="1" t="s">
        <v>18</v>
      </c>
      <c r="M269" s="2" t="s">
        <v>18</v>
      </c>
      <c r="N269" s="1" t="s">
        <v>18</v>
      </c>
      <c r="O269" s="2" t="s">
        <v>18</v>
      </c>
    </row>
    <row r="270" customFormat="false" ht="15" hidden="false" customHeight="false" outlineLevel="0" collapsed="false">
      <c r="A270" s="1" t="n">
        <v>34</v>
      </c>
      <c r="B270" s="2" t="s">
        <v>50</v>
      </c>
      <c r="C270" s="0" t="n">
        <v>712.61</v>
      </c>
      <c r="D270" s="0" t="n">
        <v>4</v>
      </c>
      <c r="E270" s="0" t="n">
        <v>1.56</v>
      </c>
      <c r="F270" s="1" t="s">
        <v>18</v>
      </c>
      <c r="G270" s="2" t="s">
        <v>18</v>
      </c>
      <c r="H270" s="1" t="s">
        <v>18</v>
      </c>
      <c r="I270" s="2" t="s">
        <v>18</v>
      </c>
      <c r="J270" s="1" t="s">
        <v>18</v>
      </c>
      <c r="K270" s="1" t="s">
        <v>18</v>
      </c>
      <c r="L270" s="0" t="n">
        <v>5.51</v>
      </c>
      <c r="M270" s="2" t="n">
        <v>2.78</v>
      </c>
      <c r="N270" s="0" t="n">
        <v>10.12</v>
      </c>
      <c r="O270" s="2" t="n">
        <v>2.77</v>
      </c>
      <c r="P270" s="0" t="n">
        <v>5.77</v>
      </c>
      <c r="Q270" s="0" t="n">
        <v>0</v>
      </c>
    </row>
    <row r="271" customFormat="false" ht="15" hidden="false" customHeight="false" outlineLevel="0" collapsed="false">
      <c r="D271" s="0" t="n">
        <v>3</v>
      </c>
      <c r="E271" s="0" t="n">
        <v>1.05</v>
      </c>
      <c r="F271" s="1" t="s">
        <v>18</v>
      </c>
      <c r="G271" s="2" t="s">
        <v>18</v>
      </c>
      <c r="H271" s="1" t="s">
        <v>18</v>
      </c>
      <c r="I271" s="2" t="s">
        <v>18</v>
      </c>
      <c r="J271" s="1" t="s">
        <v>18</v>
      </c>
      <c r="K271" s="1" t="s">
        <v>18</v>
      </c>
      <c r="L271" s="0" t="n">
        <v>5.25</v>
      </c>
      <c r="M271" s="2" t="n">
        <v>2.53</v>
      </c>
      <c r="N271" s="0" t="n">
        <v>10.93</v>
      </c>
      <c r="O271" s="2" t="n">
        <v>2.53</v>
      </c>
    </row>
    <row r="272" customFormat="false" ht="15" hidden="false" customHeight="false" outlineLevel="0" collapsed="false">
      <c r="D272" s="0" t="n">
        <v>2</v>
      </c>
      <c r="E272" s="0" t="n">
        <v>1.53</v>
      </c>
      <c r="F272" s="1" t="s">
        <v>18</v>
      </c>
      <c r="G272" s="2" t="s">
        <v>18</v>
      </c>
      <c r="H272" s="1" t="s">
        <v>18</v>
      </c>
      <c r="I272" s="2" t="s">
        <v>18</v>
      </c>
      <c r="J272" s="1" t="s">
        <v>18</v>
      </c>
      <c r="K272" s="1" t="s">
        <v>18</v>
      </c>
      <c r="L272" s="0" t="n">
        <v>5.25</v>
      </c>
      <c r="M272" s="2" t="n">
        <v>2.35</v>
      </c>
      <c r="N272" s="0" t="n">
        <v>11.2</v>
      </c>
      <c r="O272" s="2" t="n">
        <v>2.35</v>
      </c>
    </row>
    <row r="273" customFormat="false" ht="15" hidden="false" customHeight="false" outlineLevel="0" collapsed="false">
      <c r="D273" s="0" t="n">
        <v>1</v>
      </c>
      <c r="E273" s="0" t="n">
        <v>1.63</v>
      </c>
      <c r="F273" s="1" t="s">
        <v>18</v>
      </c>
      <c r="G273" s="2" t="s">
        <v>18</v>
      </c>
      <c r="H273" s="1" t="s">
        <v>18</v>
      </c>
      <c r="I273" s="2" t="s">
        <v>18</v>
      </c>
      <c r="J273" s="1" t="s">
        <v>18</v>
      </c>
      <c r="K273" s="1" t="s">
        <v>18</v>
      </c>
      <c r="L273" s="0" t="n">
        <v>5.25</v>
      </c>
      <c r="M273" s="2" t="n">
        <v>2.1</v>
      </c>
      <c r="N273" s="0" t="n">
        <v>11.58</v>
      </c>
      <c r="O273" s="2" t="n">
        <v>2.1</v>
      </c>
    </row>
    <row r="274" customFormat="false" ht="15" hidden="false" customHeight="false" outlineLevel="0" collapsed="false">
      <c r="A274" s="1" t="n">
        <v>35</v>
      </c>
      <c r="B274" s="2" t="s">
        <v>51</v>
      </c>
      <c r="C274" s="0" t="n">
        <v>724.11</v>
      </c>
      <c r="D274" s="0" t="n">
        <v>4</v>
      </c>
      <c r="E274" s="0" t="n">
        <v>1.56</v>
      </c>
      <c r="F274" s="0" t="n">
        <v>-10.12</v>
      </c>
      <c r="G274" s="2" t="n">
        <v>2.87</v>
      </c>
      <c r="H274" s="0" t="n">
        <v>-5.51</v>
      </c>
      <c r="I274" s="2" t="n">
        <v>2.59</v>
      </c>
      <c r="J274" s="1" t="s">
        <v>18</v>
      </c>
      <c r="K274" s="1" t="s">
        <v>18</v>
      </c>
      <c r="L274" s="1" t="s">
        <v>18</v>
      </c>
      <c r="M274" s="2" t="s">
        <v>18</v>
      </c>
      <c r="N274" s="1" t="s">
        <v>18</v>
      </c>
      <c r="O274" s="2" t="s">
        <v>18</v>
      </c>
      <c r="P274" s="0" t="n">
        <v>5.77</v>
      </c>
      <c r="Q274" s="0" t="n">
        <v>0</v>
      </c>
    </row>
    <row r="275" customFormat="false" ht="15" hidden="false" customHeight="false" outlineLevel="0" collapsed="false">
      <c r="D275" s="0" t="n">
        <v>3</v>
      </c>
      <c r="E275" s="0" t="n">
        <v>1.05</v>
      </c>
      <c r="F275" s="0" t="n">
        <v>-10.93</v>
      </c>
      <c r="G275" s="2" t="n">
        <v>2.53</v>
      </c>
      <c r="H275" s="0" t="n">
        <v>-5.25</v>
      </c>
      <c r="I275" s="2" t="n">
        <v>2.53</v>
      </c>
      <c r="J275" s="1" t="s">
        <v>18</v>
      </c>
      <c r="K275" s="1" t="s">
        <v>18</v>
      </c>
      <c r="L275" s="1" t="s">
        <v>18</v>
      </c>
      <c r="M275" s="2" t="s">
        <v>18</v>
      </c>
      <c r="N275" s="1" t="s">
        <v>18</v>
      </c>
      <c r="O275" s="2" t="s">
        <v>18</v>
      </c>
    </row>
    <row r="276" customFormat="false" ht="15" hidden="false" customHeight="false" outlineLevel="0" collapsed="false">
      <c r="D276" s="0" t="n">
        <v>2</v>
      </c>
      <c r="E276" s="0" t="n">
        <v>1.53</v>
      </c>
      <c r="F276" s="0" t="n">
        <v>-11.2</v>
      </c>
      <c r="G276" s="2" t="n">
        <v>2.35</v>
      </c>
      <c r="H276" s="0" t="n">
        <v>-5.25</v>
      </c>
      <c r="I276" s="2" t="n">
        <v>2.35</v>
      </c>
      <c r="J276" s="1" t="s">
        <v>18</v>
      </c>
      <c r="K276" s="1" t="s">
        <v>18</v>
      </c>
      <c r="L276" s="1" t="s">
        <v>18</v>
      </c>
      <c r="M276" s="2" t="s">
        <v>18</v>
      </c>
      <c r="N276" s="1" t="s">
        <v>18</v>
      </c>
      <c r="O276" s="2" t="s">
        <v>18</v>
      </c>
    </row>
    <row r="277" customFormat="false" ht="15" hidden="false" customHeight="false" outlineLevel="0" collapsed="false">
      <c r="D277" s="0" t="n">
        <v>1</v>
      </c>
      <c r="E277" s="0" t="n">
        <v>1.63</v>
      </c>
      <c r="F277" s="0" t="n">
        <v>-11.58</v>
      </c>
      <c r="G277" s="2" t="n">
        <v>2.1</v>
      </c>
      <c r="H277" s="0" t="n">
        <v>-5.25</v>
      </c>
      <c r="I277" s="2" t="n">
        <v>2.1</v>
      </c>
      <c r="J277" s="1" t="s">
        <v>18</v>
      </c>
      <c r="K277" s="1" t="s">
        <v>18</v>
      </c>
      <c r="L277" s="1" t="s">
        <v>18</v>
      </c>
      <c r="M277" s="2" t="s">
        <v>18</v>
      </c>
      <c r="N277" s="1" t="s">
        <v>18</v>
      </c>
      <c r="O277" s="2" t="s">
        <v>18</v>
      </c>
    </row>
    <row r="278" customFormat="false" ht="15" hidden="false" customHeight="false" outlineLevel="0" collapsed="false">
      <c r="A278" s="1" t="n">
        <v>35</v>
      </c>
      <c r="B278" s="2" t="s">
        <v>51</v>
      </c>
      <c r="C278" s="0" t="n">
        <v>724.11</v>
      </c>
      <c r="D278" s="0" t="n">
        <v>4</v>
      </c>
      <c r="E278" s="0" t="n">
        <v>1.56</v>
      </c>
      <c r="F278" s="1" t="s">
        <v>18</v>
      </c>
      <c r="G278" s="2" t="s">
        <v>18</v>
      </c>
      <c r="H278" s="1" t="s">
        <v>18</v>
      </c>
      <c r="I278" s="2" t="s">
        <v>18</v>
      </c>
      <c r="J278" s="1" t="s">
        <v>18</v>
      </c>
      <c r="K278" s="1" t="s">
        <v>18</v>
      </c>
      <c r="L278" s="0" t="n">
        <v>5.51</v>
      </c>
      <c r="M278" s="2" t="n">
        <v>2.78</v>
      </c>
      <c r="N278" s="0" t="n">
        <v>10.12</v>
      </c>
      <c r="O278" s="2" t="n">
        <v>2.78</v>
      </c>
      <c r="P278" s="0" t="n">
        <v>5.77</v>
      </c>
      <c r="Q278" s="0" t="n">
        <v>0</v>
      </c>
    </row>
    <row r="279" customFormat="false" ht="15" hidden="false" customHeight="false" outlineLevel="0" collapsed="false">
      <c r="D279" s="0" t="n">
        <v>3</v>
      </c>
      <c r="E279" s="0" t="n">
        <v>1.05</v>
      </c>
      <c r="F279" s="1" t="s">
        <v>18</v>
      </c>
      <c r="G279" s="2" t="s">
        <v>18</v>
      </c>
      <c r="H279" s="1" t="s">
        <v>18</v>
      </c>
      <c r="I279" s="2" t="s">
        <v>18</v>
      </c>
      <c r="J279" s="1" t="s">
        <v>18</v>
      </c>
      <c r="K279" s="1" t="s">
        <v>18</v>
      </c>
      <c r="L279" s="0" t="n">
        <v>5.25</v>
      </c>
      <c r="M279" s="2" t="n">
        <v>2.53</v>
      </c>
      <c r="N279" s="0" t="n">
        <v>10.93</v>
      </c>
      <c r="O279" s="2" t="n">
        <v>2.53</v>
      </c>
    </row>
    <row r="280" customFormat="false" ht="15" hidden="false" customHeight="false" outlineLevel="0" collapsed="false">
      <c r="D280" s="0" t="n">
        <v>2</v>
      </c>
      <c r="E280" s="0" t="n">
        <v>1.53</v>
      </c>
      <c r="F280" s="1" t="s">
        <v>18</v>
      </c>
      <c r="G280" s="2" t="s">
        <v>18</v>
      </c>
      <c r="H280" s="1" t="s">
        <v>18</v>
      </c>
      <c r="I280" s="2" t="s">
        <v>18</v>
      </c>
      <c r="J280" s="1" t="s">
        <v>18</v>
      </c>
      <c r="K280" s="1" t="s">
        <v>18</v>
      </c>
      <c r="L280" s="0" t="n">
        <v>5.25</v>
      </c>
      <c r="M280" s="2" t="n">
        <v>2.35</v>
      </c>
      <c r="N280" s="0" t="n">
        <v>11.2</v>
      </c>
      <c r="O280" s="2" t="n">
        <v>2.35</v>
      </c>
    </row>
    <row r="281" customFormat="false" ht="15" hidden="false" customHeight="false" outlineLevel="0" collapsed="false">
      <c r="D281" s="0" t="n">
        <v>1</v>
      </c>
      <c r="E281" s="0" t="n">
        <v>1.63</v>
      </c>
      <c r="F281" s="1" t="s">
        <v>18</v>
      </c>
      <c r="G281" s="2" t="s">
        <v>18</v>
      </c>
      <c r="H281" s="1" t="s">
        <v>18</v>
      </c>
      <c r="I281" s="2" t="s">
        <v>18</v>
      </c>
      <c r="J281" s="1" t="s">
        <v>18</v>
      </c>
      <c r="K281" s="1" t="s">
        <v>18</v>
      </c>
      <c r="L281" s="0" t="n">
        <v>5.25</v>
      </c>
      <c r="M281" s="2" t="n">
        <v>2.1</v>
      </c>
      <c r="N281" s="0" t="n">
        <v>11.58</v>
      </c>
      <c r="O281" s="2" t="n">
        <v>2.1</v>
      </c>
    </row>
    <row r="282" customFormat="false" ht="15" hidden="false" customHeight="false" outlineLevel="0" collapsed="false">
      <c r="A282" s="1" t="n">
        <v>36</v>
      </c>
      <c r="B282" s="2" t="s">
        <v>52</v>
      </c>
      <c r="C282" s="0" t="n">
        <v>737.36</v>
      </c>
      <c r="D282" s="0" t="n">
        <v>4</v>
      </c>
      <c r="E282" s="0" t="n">
        <v>1.56</v>
      </c>
      <c r="F282" s="0" t="n">
        <v>-10.12</v>
      </c>
      <c r="G282" s="2" t="n">
        <v>2.88</v>
      </c>
      <c r="H282" s="0" t="n">
        <v>-5.51</v>
      </c>
      <c r="I282" s="2" t="n">
        <v>2.6</v>
      </c>
      <c r="J282" s="1" t="s">
        <v>18</v>
      </c>
      <c r="K282" s="1" t="s">
        <v>18</v>
      </c>
      <c r="L282" s="1" t="s">
        <v>18</v>
      </c>
      <c r="M282" s="2" t="s">
        <v>18</v>
      </c>
      <c r="N282" s="1" t="s">
        <v>18</v>
      </c>
      <c r="O282" s="2" t="s">
        <v>18</v>
      </c>
      <c r="P282" s="0" t="n">
        <v>5.77</v>
      </c>
      <c r="Q282" s="0" t="n">
        <v>0</v>
      </c>
    </row>
    <row r="283" customFormat="false" ht="15" hidden="false" customHeight="false" outlineLevel="0" collapsed="false">
      <c r="D283" s="0" t="n">
        <v>3</v>
      </c>
      <c r="E283" s="0" t="n">
        <v>1.05</v>
      </c>
      <c r="F283" s="0" t="n">
        <v>-10.93</v>
      </c>
      <c r="G283" s="2" t="n">
        <v>2.54</v>
      </c>
      <c r="H283" s="0" t="n">
        <v>-5.25</v>
      </c>
      <c r="I283" s="2" t="n">
        <v>2.54</v>
      </c>
      <c r="J283" s="1" t="s">
        <v>18</v>
      </c>
      <c r="K283" s="1" t="s">
        <v>18</v>
      </c>
      <c r="L283" s="1" t="s">
        <v>18</v>
      </c>
      <c r="M283" s="2" t="s">
        <v>18</v>
      </c>
      <c r="N283" s="1" t="s">
        <v>18</v>
      </c>
      <c r="O283" s="2" t="s">
        <v>18</v>
      </c>
    </row>
    <row r="284" customFormat="false" ht="15" hidden="false" customHeight="false" outlineLevel="0" collapsed="false">
      <c r="D284" s="0" t="n">
        <v>2</v>
      </c>
      <c r="E284" s="0" t="n">
        <v>1.53</v>
      </c>
      <c r="F284" s="0" t="n">
        <v>-11.2</v>
      </c>
      <c r="G284" s="2" t="n">
        <v>2.36</v>
      </c>
      <c r="H284" s="0" t="n">
        <v>-5.25</v>
      </c>
      <c r="I284" s="2" t="n">
        <v>2.36</v>
      </c>
      <c r="J284" s="1" t="s">
        <v>18</v>
      </c>
      <c r="K284" s="1" t="s">
        <v>18</v>
      </c>
      <c r="L284" s="1" t="s">
        <v>18</v>
      </c>
      <c r="M284" s="2" t="s">
        <v>18</v>
      </c>
      <c r="N284" s="1" t="s">
        <v>18</v>
      </c>
      <c r="O284" s="2" t="s">
        <v>18</v>
      </c>
    </row>
    <row r="285" customFormat="false" ht="15" hidden="false" customHeight="false" outlineLevel="0" collapsed="false">
      <c r="D285" s="0" t="n">
        <v>1</v>
      </c>
      <c r="E285" s="0" t="n">
        <v>1.63</v>
      </c>
      <c r="F285" s="0" t="n">
        <v>-11.58</v>
      </c>
      <c r="G285" s="2" t="n">
        <v>2.11</v>
      </c>
      <c r="H285" s="0" t="n">
        <v>-5.25</v>
      </c>
      <c r="I285" s="2" t="n">
        <v>2.11</v>
      </c>
      <c r="J285" s="1" t="s">
        <v>18</v>
      </c>
      <c r="K285" s="1" t="s">
        <v>18</v>
      </c>
      <c r="L285" s="1" t="s">
        <v>18</v>
      </c>
      <c r="M285" s="2" t="s">
        <v>18</v>
      </c>
      <c r="N285" s="1" t="s">
        <v>18</v>
      </c>
      <c r="O285" s="2" t="s">
        <v>18</v>
      </c>
    </row>
    <row r="286" customFormat="false" ht="15" hidden="false" customHeight="false" outlineLevel="0" collapsed="false">
      <c r="A286" s="1" t="n">
        <v>36</v>
      </c>
      <c r="B286" s="2" t="s">
        <v>52</v>
      </c>
      <c r="C286" s="0" t="n">
        <v>737.36</v>
      </c>
      <c r="D286" s="0" t="n">
        <v>4</v>
      </c>
      <c r="E286" s="0" t="n">
        <v>1.56</v>
      </c>
      <c r="F286" s="1" t="s">
        <v>18</v>
      </c>
      <c r="G286" s="2" t="s">
        <v>18</v>
      </c>
      <c r="H286" s="1" t="s">
        <v>18</v>
      </c>
      <c r="I286" s="2" t="s">
        <v>18</v>
      </c>
      <c r="J286" s="1" t="s">
        <v>18</v>
      </c>
      <c r="K286" s="1" t="s">
        <v>18</v>
      </c>
      <c r="L286" s="0" t="n">
        <v>5.51</v>
      </c>
      <c r="M286" s="2" t="n">
        <v>2.78</v>
      </c>
      <c r="N286" s="0" t="n">
        <v>10.12</v>
      </c>
      <c r="O286" s="2" t="n">
        <v>2.78</v>
      </c>
      <c r="P286" s="0" t="n">
        <v>5.77</v>
      </c>
      <c r="Q286" s="0" t="n">
        <v>0</v>
      </c>
    </row>
    <row r="287" customFormat="false" ht="15" hidden="false" customHeight="false" outlineLevel="0" collapsed="false">
      <c r="D287" s="0" t="n">
        <v>3</v>
      </c>
      <c r="E287" s="0" t="n">
        <v>1.05</v>
      </c>
      <c r="F287" s="1" t="s">
        <v>18</v>
      </c>
      <c r="G287" s="2" t="s">
        <v>18</v>
      </c>
      <c r="H287" s="1" t="s">
        <v>18</v>
      </c>
      <c r="I287" s="2" t="s">
        <v>18</v>
      </c>
      <c r="J287" s="1" t="s">
        <v>18</v>
      </c>
      <c r="K287" s="1" t="s">
        <v>18</v>
      </c>
      <c r="L287" s="0" t="n">
        <v>5.25</v>
      </c>
      <c r="M287" s="2" t="n">
        <v>2.54</v>
      </c>
      <c r="N287" s="0" t="n">
        <v>10.93</v>
      </c>
      <c r="O287" s="2" t="n">
        <v>2.54</v>
      </c>
    </row>
    <row r="288" customFormat="false" ht="15" hidden="false" customHeight="false" outlineLevel="0" collapsed="false">
      <c r="D288" s="0" t="n">
        <v>2</v>
      </c>
      <c r="E288" s="0" t="n">
        <v>1.53</v>
      </c>
      <c r="F288" s="1" t="s">
        <v>18</v>
      </c>
      <c r="G288" s="2" t="s">
        <v>18</v>
      </c>
      <c r="H288" s="1" t="s">
        <v>18</v>
      </c>
      <c r="I288" s="2" t="s">
        <v>18</v>
      </c>
      <c r="J288" s="1" t="s">
        <v>18</v>
      </c>
      <c r="K288" s="1" t="s">
        <v>18</v>
      </c>
      <c r="L288" s="0" t="n">
        <v>5.25</v>
      </c>
      <c r="M288" s="2" t="n">
        <v>2.36</v>
      </c>
      <c r="N288" s="0" t="n">
        <v>11.2</v>
      </c>
      <c r="O288" s="2" t="n">
        <v>2.36</v>
      </c>
    </row>
    <row r="289" customFormat="false" ht="15" hidden="false" customHeight="false" outlineLevel="0" collapsed="false">
      <c r="D289" s="0" t="n">
        <v>1</v>
      </c>
      <c r="E289" s="0" t="n">
        <v>1.63</v>
      </c>
      <c r="F289" s="1" t="s">
        <v>18</v>
      </c>
      <c r="G289" s="2" t="s">
        <v>18</v>
      </c>
      <c r="H289" s="1" t="s">
        <v>18</v>
      </c>
      <c r="I289" s="2" t="s">
        <v>18</v>
      </c>
      <c r="J289" s="1" t="s">
        <v>18</v>
      </c>
      <c r="K289" s="1" t="s">
        <v>18</v>
      </c>
      <c r="L289" s="0" t="n">
        <v>5.25</v>
      </c>
      <c r="M289" s="2" t="n">
        <v>2.11</v>
      </c>
      <c r="N289" s="0" t="n">
        <v>11.58</v>
      </c>
      <c r="O289" s="2" t="n">
        <v>2.11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">
        <v>54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8.75" hidden="false" customHeight="true" outlineLevel="0" collapsed="false">
      <c r="A3" s="6" t="s">
        <v>55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56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57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58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59</v>
      </c>
      <c r="B7" s="7"/>
      <c r="C7" s="6"/>
      <c r="D7" s="6" t="s">
        <v>60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61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62</v>
      </c>
      <c r="B19" s="10" t="s">
        <v>63</v>
      </c>
      <c r="C19" s="10" t="s">
        <v>64</v>
      </c>
      <c r="D19" s="11" t="s">
        <v>65</v>
      </c>
      <c r="E19" s="11"/>
      <c r="F19" s="11"/>
      <c r="G19" s="11" t="s">
        <v>66</v>
      </c>
      <c r="H19" s="11"/>
      <c r="I19" s="11"/>
      <c r="J19" s="11" t="s">
        <v>67</v>
      </c>
      <c r="K19" s="11"/>
      <c r="L19" s="11"/>
      <c r="M19" s="11" t="s">
        <v>68</v>
      </c>
      <c r="N19" s="11"/>
      <c r="O19" s="11"/>
      <c r="P19" s="10" t="s">
        <v>69</v>
      </c>
    </row>
    <row r="20" customFormat="false" ht="30" hidden="false" customHeight="true" outlineLevel="0" collapsed="false">
      <c r="A20" s="10"/>
      <c r="B20" s="10"/>
      <c r="C20" s="10"/>
      <c r="D20" s="11" t="s">
        <v>70</v>
      </c>
      <c r="E20" s="11" t="s">
        <v>71</v>
      </c>
      <c r="F20" s="11" t="s">
        <v>72</v>
      </c>
      <c r="G20" s="11" t="s">
        <v>70</v>
      </c>
      <c r="H20" s="11" t="s">
        <v>71</v>
      </c>
      <c r="I20" s="11" t="s">
        <v>72</v>
      </c>
      <c r="J20" s="11" t="s">
        <v>70</v>
      </c>
      <c r="K20" s="11" t="s">
        <v>71</v>
      </c>
      <c r="L20" s="11" t="s">
        <v>72</v>
      </c>
      <c r="M20" s="11" t="s">
        <v>70</v>
      </c>
      <c r="N20" s="11" t="s">
        <v>71</v>
      </c>
      <c r="O20" s="11" t="s">
        <v>72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211</v>
      </c>
      <c r="D21" s="16" t="n">
        <f aca="false">Chạy!G5</f>
        <v>2.3</v>
      </c>
      <c r="E21" s="16" t="n">
        <f aca="false">D21+F21</f>
        <v>2.381</v>
      </c>
      <c r="F21" s="16" t="n">
        <f aca="false">RANDBETWEEN(-30,100)/1000</f>
        <v>0.081</v>
      </c>
      <c r="G21" s="16" t="n">
        <f aca="false">Chạy!I5</f>
        <v>2.3</v>
      </c>
      <c r="H21" s="16" t="n">
        <f aca="false">G21+I21</f>
        <v>2.361</v>
      </c>
      <c r="I21" s="16" t="n">
        <f aca="false">RANDBETWEEN(-30,100)/1000</f>
        <v>0.061</v>
      </c>
      <c r="J21" s="16" t="n">
        <f aca="false">Chạy!M9</f>
        <v>2.3</v>
      </c>
      <c r="K21" s="16" t="n">
        <f aca="false">J21+L21</f>
        <v>2.368</v>
      </c>
      <c r="L21" s="16" t="n">
        <f aca="false">RANDBETWEEN(-30,100)/1000</f>
        <v>0.068</v>
      </c>
      <c r="M21" s="16" t="n">
        <f aca="false">Chạy!O9</f>
        <v>2.3</v>
      </c>
      <c r="N21" s="16" t="n">
        <f aca="false">M21+O21</f>
        <v>2.33</v>
      </c>
      <c r="O21" s="16" t="n">
        <f aca="false">RANDBETWEEN(-30,100)/1000</f>
        <v>0.03</v>
      </c>
      <c r="P21" s="17"/>
      <c r="Q21" s="18" t="n">
        <v>13.25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224.25</v>
      </c>
      <c r="D22" s="16" t="n">
        <f aca="false">Chạy!G13</f>
        <v>2.29</v>
      </c>
      <c r="E22" s="16" t="n">
        <f aca="false">D22+F22</f>
        <v>2.357</v>
      </c>
      <c r="F22" s="16" t="n">
        <f aca="false">RANDBETWEEN(-30,100)/1000</f>
        <v>0.067</v>
      </c>
      <c r="G22" s="16" t="n">
        <f aca="false">Chạy!I13</f>
        <v>2.29</v>
      </c>
      <c r="H22" s="16" t="n">
        <f aca="false">G22+I22</f>
        <v>2.328</v>
      </c>
      <c r="I22" s="16" t="n">
        <f aca="false">RANDBETWEEN(-30,100)/1000</f>
        <v>0.038</v>
      </c>
      <c r="J22" s="16" t="n">
        <f aca="false">Chạy!M17</f>
        <v>2.29</v>
      </c>
      <c r="K22" s="16" t="n">
        <f aca="false">J22+L22</f>
        <v>2.321</v>
      </c>
      <c r="L22" s="16" t="n">
        <f aca="false">RANDBETWEEN(-30,100)/1000</f>
        <v>0.031</v>
      </c>
      <c r="M22" s="16" t="n">
        <f aca="false">Chạy!O17</f>
        <v>2.29</v>
      </c>
      <c r="N22" s="16" t="n">
        <f aca="false">M22+O22</f>
        <v>2.275</v>
      </c>
      <c r="O22" s="16" t="n">
        <f aca="false">RANDBETWEEN(-30,100)/1000</f>
        <v>-0.015</v>
      </c>
      <c r="P22" s="17"/>
      <c r="Q22" s="18" t="n">
        <v>21.5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245.75</v>
      </c>
      <c r="D23" s="16" t="n">
        <f aca="false">Chạy!G21</f>
        <v>2.27</v>
      </c>
      <c r="E23" s="16" t="n">
        <f aca="false">D23+F23</f>
        <v>2.293</v>
      </c>
      <c r="F23" s="16" t="n">
        <f aca="false">RANDBETWEEN(-30,100)/1000</f>
        <v>0.023</v>
      </c>
      <c r="G23" s="16" t="n">
        <f aca="false">Chạy!I21</f>
        <v>2.27</v>
      </c>
      <c r="H23" s="16" t="n">
        <f aca="false">G23+I23</f>
        <v>2.269</v>
      </c>
      <c r="I23" s="16" t="n">
        <f aca="false">RANDBETWEEN(-30,100)/1000</f>
        <v>-0.001</v>
      </c>
      <c r="J23" s="16" t="n">
        <f aca="false">Chạy!M25</f>
        <v>2.27</v>
      </c>
      <c r="K23" s="16" t="n">
        <f aca="false">J23+L23</f>
        <v>2.347</v>
      </c>
      <c r="L23" s="16" t="n">
        <f aca="false">RANDBETWEEN(-30,100)/1000</f>
        <v>0.077</v>
      </c>
      <c r="M23" s="16" t="n">
        <f aca="false">Chạy!O25</f>
        <v>2.27</v>
      </c>
      <c r="N23" s="16" t="n">
        <f aca="false">M23+O23</f>
        <v>2.344</v>
      </c>
      <c r="O23" s="16" t="n">
        <f aca="false">RANDBETWEEN(-30,100)/1000</f>
        <v>0.074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257.5</v>
      </c>
      <c r="D24" s="16" t="n">
        <f aca="false">Chạy!G29</f>
        <v>2.26</v>
      </c>
      <c r="E24" s="16" t="n">
        <f aca="false">D24+F24</f>
        <v>2.273</v>
      </c>
      <c r="F24" s="16" t="n">
        <f aca="false">RANDBETWEEN(-30,100)/1000</f>
        <v>0.013</v>
      </c>
      <c r="G24" s="16" t="n">
        <f aca="false">Chạy!I29</f>
        <v>2.26</v>
      </c>
      <c r="H24" s="16" t="n">
        <f aca="false">G24+I24</f>
        <v>2.333</v>
      </c>
      <c r="I24" s="16" t="n">
        <f aca="false">RANDBETWEEN(-30,100)/1000</f>
        <v>0.073</v>
      </c>
      <c r="J24" s="16" t="n">
        <f aca="false">Chạy!M33</f>
        <v>2.26</v>
      </c>
      <c r="K24" s="16" t="n">
        <f aca="false">J24+L24</f>
        <v>2.268</v>
      </c>
      <c r="L24" s="16" t="n">
        <f aca="false">RANDBETWEEN(-30,100)/1000</f>
        <v>0.008</v>
      </c>
      <c r="M24" s="16" t="n">
        <f aca="false">Chạy!O33</f>
        <v>2.26</v>
      </c>
      <c r="N24" s="16" t="n">
        <f aca="false">M24+O24</f>
        <v>2.333</v>
      </c>
      <c r="O24" s="16" t="n">
        <f aca="false">RANDBETWEEN(-30,100)/1000</f>
        <v>0.073</v>
      </c>
      <c r="P24" s="17"/>
      <c r="Q24" s="18" t="n">
        <v>11.75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269.25</v>
      </c>
      <c r="D25" s="16" t="n">
        <f aca="false">Chạy!G37</f>
        <v>2.26</v>
      </c>
      <c r="E25" s="16" t="n">
        <f aca="false">D25+F25</f>
        <v>2.262</v>
      </c>
      <c r="F25" s="16" t="n">
        <f aca="false">RANDBETWEEN(-30,100)/1000</f>
        <v>0.002</v>
      </c>
      <c r="G25" s="16" t="n">
        <f aca="false">Chạy!I37</f>
        <v>2.26</v>
      </c>
      <c r="H25" s="16" t="n">
        <f aca="false">G25+I25</f>
        <v>2.275</v>
      </c>
      <c r="I25" s="16" t="n">
        <f aca="false">RANDBETWEEN(-30,100)/1000</f>
        <v>0.015</v>
      </c>
      <c r="J25" s="16" t="n">
        <f aca="false">Chạy!M41</f>
        <v>2.26</v>
      </c>
      <c r="K25" s="16" t="n">
        <f aca="false">J25+L25</f>
        <v>2.294</v>
      </c>
      <c r="L25" s="16" t="n">
        <f aca="false">RANDBETWEEN(-30,100)/1000</f>
        <v>0.034</v>
      </c>
      <c r="M25" s="16" t="n">
        <f aca="false">Chạy!O41</f>
        <v>2.26</v>
      </c>
      <c r="N25" s="16" t="n">
        <f aca="false">M25+O25</f>
        <v>2.285</v>
      </c>
      <c r="O25" s="16" t="n">
        <f aca="false">RANDBETWEEN(-30,100)/1000</f>
        <v>0.025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289.25</v>
      </c>
      <c r="D26" s="16" t="n">
        <f aca="false">Chạy!G45</f>
        <v>2.25</v>
      </c>
      <c r="E26" s="16" t="n">
        <f aca="false">D26+F26</f>
        <v>2.297</v>
      </c>
      <c r="F26" s="16" t="n">
        <f aca="false">RANDBETWEEN(-30,100)/1000</f>
        <v>0.047</v>
      </c>
      <c r="G26" s="16" t="n">
        <f aca="false">Chạy!I45</f>
        <v>2.25</v>
      </c>
      <c r="H26" s="16" t="n">
        <f aca="false">G26+I26</f>
        <v>2.339</v>
      </c>
      <c r="I26" s="16" t="n">
        <f aca="false">RANDBETWEEN(-30,100)/1000</f>
        <v>0.089</v>
      </c>
      <c r="J26" s="16" t="n">
        <f aca="false">Chạy!M49</f>
        <v>2.25</v>
      </c>
      <c r="K26" s="16" t="n">
        <f aca="false">J26+L26</f>
        <v>2.247</v>
      </c>
      <c r="L26" s="16" t="n">
        <f aca="false">RANDBETWEEN(-30,100)/1000</f>
        <v>-0.003</v>
      </c>
      <c r="M26" s="16" t="n">
        <f aca="false">Chạy!O49</f>
        <v>2.25</v>
      </c>
      <c r="N26" s="16" t="n">
        <f aca="false">M26+O26</f>
        <v>2.226</v>
      </c>
      <c r="O26" s="16" t="n">
        <f aca="false">RANDBETWEEN(-30,100)/1000</f>
        <v>-0.024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309.25</v>
      </c>
      <c r="D27" s="16" t="n">
        <f aca="false">Chạy!G53</f>
        <v>2.23</v>
      </c>
      <c r="E27" s="16" t="n">
        <f aca="false">D27+F27</f>
        <v>2.273</v>
      </c>
      <c r="F27" s="16" t="n">
        <f aca="false">RANDBETWEEN(-30,100)/1000</f>
        <v>0.043</v>
      </c>
      <c r="G27" s="16" t="n">
        <f aca="false">Chạy!I53</f>
        <v>2.23</v>
      </c>
      <c r="H27" s="16" t="n">
        <f aca="false">G27+I27</f>
        <v>2.293</v>
      </c>
      <c r="I27" s="16" t="n">
        <f aca="false">RANDBETWEEN(-30,100)/1000</f>
        <v>0.063</v>
      </c>
      <c r="J27" s="16" t="n">
        <f aca="false">Chạy!M57</f>
        <v>2.23</v>
      </c>
      <c r="K27" s="16" t="n">
        <f aca="false">J27+L27</f>
        <v>2.289</v>
      </c>
      <c r="L27" s="16" t="n">
        <f aca="false">RANDBETWEEN(-30,100)/1000</f>
        <v>0.059</v>
      </c>
      <c r="M27" s="16" t="n">
        <f aca="false">Chạy!O57</f>
        <v>2.23</v>
      </c>
      <c r="N27" s="16" t="n">
        <f aca="false">M27+O27</f>
        <v>2.22</v>
      </c>
      <c r="O27" s="16" t="n">
        <f aca="false">RANDBETWEEN(-30,100)/1000</f>
        <v>-0.01</v>
      </c>
      <c r="P27" s="17"/>
      <c r="Q27" s="18" t="n">
        <v>20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329.25</v>
      </c>
      <c r="D28" s="16" t="n">
        <f aca="false">Chạy!G61</f>
        <v>2.22</v>
      </c>
      <c r="E28" s="16" t="n">
        <f aca="false">D28+F28</f>
        <v>2.242</v>
      </c>
      <c r="F28" s="16" t="n">
        <f aca="false">RANDBETWEEN(-30,100)/1000</f>
        <v>0.022</v>
      </c>
      <c r="G28" s="16" t="n">
        <f aca="false">Chạy!I61</f>
        <v>2.22</v>
      </c>
      <c r="H28" s="16" t="n">
        <f aca="false">G28+I28</f>
        <v>2.213</v>
      </c>
      <c r="I28" s="16" t="n">
        <f aca="false">RANDBETWEEN(-30,100)/1000</f>
        <v>-0.007</v>
      </c>
      <c r="J28" s="16" t="n">
        <f aca="false">Chạy!M65</f>
        <v>2.22</v>
      </c>
      <c r="K28" s="16" t="n">
        <f aca="false">J28+L28</f>
        <v>2.23</v>
      </c>
      <c r="L28" s="16" t="n">
        <f aca="false">RANDBETWEEN(-30,100)/1000</f>
        <v>0.01</v>
      </c>
      <c r="M28" s="16" t="n">
        <f aca="false">Chạy!O65</f>
        <v>2.22</v>
      </c>
      <c r="N28" s="16" t="n">
        <f aca="false">M28+O28</f>
        <v>2.306</v>
      </c>
      <c r="O28" s="16" t="n">
        <f aca="false">RANDBETWEEN(-30,100)/1000</f>
        <v>0.086</v>
      </c>
      <c r="P28" s="17"/>
      <c r="Q28" s="18" t="n">
        <v>20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349.25</v>
      </c>
      <c r="D29" s="16" t="n">
        <f aca="false">Chạy!G69</f>
        <v>2.21</v>
      </c>
      <c r="E29" s="16" t="n">
        <f aca="false">D29+F29</f>
        <v>2.277</v>
      </c>
      <c r="F29" s="16" t="n">
        <f aca="false">RANDBETWEEN(-30,100)/1000</f>
        <v>0.067</v>
      </c>
      <c r="G29" s="16" t="n">
        <f aca="false">Chạy!I69</f>
        <v>2.21</v>
      </c>
      <c r="H29" s="16" t="n">
        <f aca="false">G29+I29</f>
        <v>2.258</v>
      </c>
      <c r="I29" s="16" t="n">
        <f aca="false">RANDBETWEEN(-30,100)/1000</f>
        <v>0.048</v>
      </c>
      <c r="J29" s="16" t="n">
        <f aca="false">Chạy!M73</f>
        <v>2.21</v>
      </c>
      <c r="K29" s="16" t="n">
        <f aca="false">J29+L29</f>
        <v>2.299</v>
      </c>
      <c r="L29" s="16" t="n">
        <f aca="false">RANDBETWEEN(-30,100)/1000</f>
        <v>0.089</v>
      </c>
      <c r="M29" s="16" t="n">
        <f aca="false">Chạy!O73</f>
        <v>2.21</v>
      </c>
      <c r="N29" s="16" t="n">
        <f aca="false">M29+O29</f>
        <v>2.183</v>
      </c>
      <c r="O29" s="16" t="n">
        <f aca="false">RANDBETWEEN(-30,100)/1000</f>
        <v>-0.027</v>
      </c>
      <c r="P29" s="17"/>
      <c r="Q29" s="18" t="n">
        <v>19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368.25</v>
      </c>
      <c r="D30" s="16" t="n">
        <f aca="false">Chạy!G77</f>
        <v>2.2</v>
      </c>
      <c r="E30" s="16" t="n">
        <f aca="false">D30+F30</f>
        <v>2.245</v>
      </c>
      <c r="F30" s="16" t="n">
        <f aca="false">RANDBETWEEN(-30,100)/1000</f>
        <v>0.045</v>
      </c>
      <c r="G30" s="16" t="n">
        <f aca="false">Chạy!I77</f>
        <v>2.2</v>
      </c>
      <c r="H30" s="16" t="n">
        <f aca="false">G30+I30</f>
        <v>2.172</v>
      </c>
      <c r="I30" s="16" t="n">
        <f aca="false">RANDBETWEEN(-30,100)/1000</f>
        <v>-0.028</v>
      </c>
      <c r="J30" s="16" t="n">
        <f aca="false">Chạy!M81</f>
        <v>2.2</v>
      </c>
      <c r="K30" s="16" t="n">
        <f aca="false">J30+L30</f>
        <v>2.203</v>
      </c>
      <c r="L30" s="16" t="n">
        <f aca="false">RANDBETWEEN(-30,100)/1000</f>
        <v>0.003</v>
      </c>
      <c r="M30" s="16" t="n">
        <f aca="false">Chạy!O81</f>
        <v>2.2</v>
      </c>
      <c r="N30" s="16" t="n">
        <f aca="false">M30+O30</f>
        <v>2.3</v>
      </c>
      <c r="O30" s="16" t="n">
        <f aca="false">RANDBETWEEN(-30,100)/1000</f>
        <v>0.1</v>
      </c>
      <c r="P30" s="17"/>
      <c r="Q30" s="18" t="n">
        <v>13.25</v>
      </c>
    </row>
    <row r="31" customFormat="false" ht="15" hidden="false" customHeight="false" outlineLevel="0" collapsed="false">
      <c r="A31" s="13" t="n">
        <v>11</v>
      </c>
      <c r="B31" s="14" t="s">
        <v>28</v>
      </c>
      <c r="C31" s="15" t="n">
        <f aca="false">C30+Q30</f>
        <v>381.5</v>
      </c>
      <c r="D31" s="16" t="n">
        <f aca="false">Chạy!G85</f>
        <v>2.19</v>
      </c>
      <c r="E31" s="16" t="n">
        <f aca="false">D31+F31</f>
        <v>2.179</v>
      </c>
      <c r="F31" s="16" t="n">
        <f aca="false">RANDBETWEEN(-30,100)/1000</f>
        <v>-0.011</v>
      </c>
      <c r="G31" s="16" t="n">
        <f aca="false">Chạy!I85</f>
        <v>2.19</v>
      </c>
      <c r="H31" s="16" t="n">
        <f aca="false">G31+I31</f>
        <v>2.249</v>
      </c>
      <c r="I31" s="16" t="n">
        <f aca="false">RANDBETWEEN(-30,100)/1000</f>
        <v>0.059</v>
      </c>
      <c r="J31" s="16" t="n">
        <f aca="false">Chạy!M89</f>
        <v>2.19</v>
      </c>
      <c r="K31" s="16" t="n">
        <f aca="false">J31+L31</f>
        <v>2.221</v>
      </c>
      <c r="L31" s="16" t="n">
        <f aca="false">RANDBETWEEN(-30,100)/1000</f>
        <v>0.031</v>
      </c>
      <c r="M31" s="16" t="n">
        <f aca="false">Chạy!O89</f>
        <v>2.19</v>
      </c>
      <c r="N31" s="16" t="n">
        <f aca="false">M31+O31</f>
        <v>2.287</v>
      </c>
      <c r="O31" s="16" t="n">
        <f aca="false">RANDBETWEEN(-30,100)/1000</f>
        <v>0.097</v>
      </c>
      <c r="P31" s="17"/>
      <c r="Q31" s="18" t="n">
        <v>13.25</v>
      </c>
    </row>
    <row r="32" customFormat="false" ht="15" hidden="false" customHeight="false" outlineLevel="0" collapsed="false">
      <c r="A32" s="13" t="n">
        <v>12</v>
      </c>
      <c r="B32" s="14" t="s">
        <v>29</v>
      </c>
      <c r="C32" s="15" t="n">
        <f aca="false">C31+Q31</f>
        <v>394.75</v>
      </c>
      <c r="D32" s="16" t="n">
        <f aca="false">Chạy!G93</f>
        <v>2.18</v>
      </c>
      <c r="E32" s="16" t="n">
        <f aca="false">D32+F32</f>
        <v>2.218</v>
      </c>
      <c r="F32" s="16" t="n">
        <f aca="false">RANDBETWEEN(-30,100)/1000</f>
        <v>0.038</v>
      </c>
      <c r="G32" s="16" t="n">
        <f aca="false">Chạy!I93</f>
        <v>2.18</v>
      </c>
      <c r="H32" s="16" t="n">
        <f aca="false">G32+I32</f>
        <v>2.199</v>
      </c>
      <c r="I32" s="16" t="n">
        <f aca="false">RANDBETWEEN(-30,100)/1000</f>
        <v>0.019</v>
      </c>
      <c r="J32" s="16" t="n">
        <f aca="false">Chạy!M97</f>
        <v>2.18</v>
      </c>
      <c r="K32" s="16" t="n">
        <f aca="false">J32+L32</f>
        <v>2.267</v>
      </c>
      <c r="L32" s="16" t="n">
        <f aca="false">RANDBETWEEN(-30,100)/1000</f>
        <v>0.087</v>
      </c>
      <c r="M32" s="16" t="n">
        <f aca="false">Chạy!O97</f>
        <v>2.18</v>
      </c>
      <c r="N32" s="16" t="n">
        <f aca="false">M32+O32</f>
        <v>2.257</v>
      </c>
      <c r="O32" s="16" t="n">
        <f aca="false">RANDBETWEEN(-30,100)/1000</f>
        <v>0.077</v>
      </c>
      <c r="P32" s="17"/>
      <c r="Q32" s="18" t="n">
        <v>20</v>
      </c>
    </row>
    <row r="33" customFormat="false" ht="15" hidden="false" customHeight="false" outlineLevel="0" collapsed="false">
      <c r="A33" s="13" t="n">
        <v>13</v>
      </c>
      <c r="B33" s="14" t="s">
        <v>30</v>
      </c>
      <c r="C33" s="15" t="n">
        <f aca="false">C32+Q32</f>
        <v>414.75</v>
      </c>
      <c r="D33" s="16" t="n">
        <f aca="false">Chạy!G101</f>
        <v>2.17</v>
      </c>
      <c r="E33" s="16" t="n">
        <f aca="false">D33+F33</f>
        <v>2.21</v>
      </c>
      <c r="F33" s="16" t="n">
        <f aca="false">RANDBETWEEN(-30,100)/1000</f>
        <v>0.04</v>
      </c>
      <c r="G33" s="16" t="n">
        <f aca="false">Chạy!I101</f>
        <v>2.17</v>
      </c>
      <c r="H33" s="16" t="n">
        <f aca="false">G33+I33</f>
        <v>2.184</v>
      </c>
      <c r="I33" s="16" t="n">
        <f aca="false">RANDBETWEEN(-30,100)/1000</f>
        <v>0.014</v>
      </c>
      <c r="J33" s="16" t="n">
        <f aca="false">Chạy!M105</f>
        <v>2.17</v>
      </c>
      <c r="K33" s="16" t="n">
        <f aca="false">J33+L33</f>
        <v>2.267</v>
      </c>
      <c r="L33" s="16" t="n">
        <f aca="false">RANDBETWEEN(-30,100)/1000</f>
        <v>0.097</v>
      </c>
      <c r="M33" s="16" t="n">
        <f aca="false">Chạy!O105</f>
        <v>2.17</v>
      </c>
      <c r="N33" s="16" t="n">
        <f aca="false">M33+O33</f>
        <v>2.262</v>
      </c>
      <c r="O33" s="16" t="n">
        <f aca="false">RANDBETWEEN(-30,100)/1000</f>
        <v>0.092</v>
      </c>
      <c r="P33" s="17"/>
      <c r="Q33" s="18" t="n">
        <v>20</v>
      </c>
    </row>
    <row r="34" customFormat="false" ht="15" hidden="false" customHeight="false" outlineLevel="0" collapsed="false">
      <c r="A34" s="13" t="n">
        <v>14</v>
      </c>
      <c r="B34" s="14" t="s">
        <v>31</v>
      </c>
      <c r="C34" s="15" t="n">
        <f aca="false">C33+Q33</f>
        <v>434.75</v>
      </c>
      <c r="D34" s="16" t="n">
        <f aca="false">Chạy!G109</f>
        <v>2.16</v>
      </c>
      <c r="E34" s="16" t="n">
        <f aca="false">D34+F34</f>
        <v>2.14</v>
      </c>
      <c r="F34" s="16" t="n">
        <f aca="false">RANDBETWEEN(-30,100)/1000</f>
        <v>-0.02</v>
      </c>
      <c r="G34" s="16" t="n">
        <f aca="false">Chạy!I109</f>
        <v>2.16</v>
      </c>
      <c r="H34" s="16" t="n">
        <f aca="false">G34+I34</f>
        <v>2.14</v>
      </c>
      <c r="I34" s="16" t="n">
        <f aca="false">RANDBETWEEN(-30,100)/1000</f>
        <v>-0.02</v>
      </c>
      <c r="J34" s="16" t="n">
        <f aca="false">Chạy!M113</f>
        <v>2.16</v>
      </c>
      <c r="K34" s="16" t="n">
        <f aca="false">J34+L34</f>
        <v>2.237</v>
      </c>
      <c r="L34" s="16" t="n">
        <f aca="false">RANDBETWEEN(-30,100)/1000</f>
        <v>0.077</v>
      </c>
      <c r="M34" s="16" t="n">
        <f aca="false">Chạy!O113</f>
        <v>2.16</v>
      </c>
      <c r="N34" s="16" t="n">
        <f aca="false">M34+O34</f>
        <v>2.134</v>
      </c>
      <c r="O34" s="16" t="n">
        <f aca="false">RANDBETWEEN(-30,100)/1000</f>
        <v>-0.026</v>
      </c>
      <c r="P34" s="17"/>
      <c r="Q34" s="18" t="n">
        <v>20</v>
      </c>
    </row>
    <row r="35" customFormat="false" ht="15" hidden="false" customHeight="false" outlineLevel="0" collapsed="false">
      <c r="A35" s="13" t="n">
        <v>15</v>
      </c>
      <c r="B35" s="14" t="s">
        <v>32</v>
      </c>
      <c r="C35" s="15" t="n">
        <f aca="false">C34+Q34</f>
        <v>454.75</v>
      </c>
      <c r="D35" s="16" t="n">
        <f aca="false">Chạy!G117</f>
        <v>2.14</v>
      </c>
      <c r="E35" s="16" t="n">
        <f aca="false">D35+F35</f>
        <v>2.167</v>
      </c>
      <c r="F35" s="16" t="n">
        <f aca="false">RANDBETWEEN(-30,100)/1000</f>
        <v>0.027</v>
      </c>
      <c r="G35" s="16" t="n">
        <f aca="false">Chạy!I117</f>
        <v>2.14</v>
      </c>
      <c r="H35" s="16" t="n">
        <f aca="false">G35+I35</f>
        <v>2.116</v>
      </c>
      <c r="I35" s="16" t="n">
        <f aca="false">RANDBETWEEN(-30,100)/1000</f>
        <v>-0.024</v>
      </c>
      <c r="J35" s="16" t="n">
        <f aca="false">Chạy!M121</f>
        <v>2.14</v>
      </c>
      <c r="K35" s="16" t="n">
        <f aca="false">J35+L35</f>
        <v>2.136</v>
      </c>
      <c r="L35" s="16" t="n">
        <f aca="false">RANDBETWEEN(-30,100)/1000</f>
        <v>-0.004</v>
      </c>
      <c r="M35" s="16" t="n">
        <f aca="false">Chạy!O121</f>
        <v>2.14</v>
      </c>
      <c r="N35" s="16" t="n">
        <f aca="false">M35+O35</f>
        <v>2.169</v>
      </c>
      <c r="O35" s="16" t="n">
        <f aca="false">RANDBETWEEN(-30,100)/1000</f>
        <v>0.029</v>
      </c>
      <c r="P35" s="17"/>
      <c r="Q35" s="18" t="n">
        <v>20</v>
      </c>
    </row>
    <row r="36" customFormat="false" ht="15" hidden="false" customHeight="false" outlineLevel="0" collapsed="false">
      <c r="A36" s="13" t="n">
        <v>16</v>
      </c>
      <c r="B36" s="14" t="s">
        <v>33</v>
      </c>
      <c r="C36" s="15" t="n">
        <f aca="false">C35+Q35</f>
        <v>474.75</v>
      </c>
      <c r="D36" s="16" t="n">
        <f aca="false">Chạy!G125</f>
        <v>2.13</v>
      </c>
      <c r="E36" s="16" t="n">
        <f aca="false">D36+F36</f>
        <v>2.23</v>
      </c>
      <c r="F36" s="16" t="n">
        <f aca="false">RANDBETWEEN(-30,100)/1000</f>
        <v>0.1</v>
      </c>
      <c r="G36" s="16" t="n">
        <f aca="false">Chạy!I125</f>
        <v>2.13</v>
      </c>
      <c r="H36" s="16" t="n">
        <f aca="false">G36+I36</f>
        <v>2.188</v>
      </c>
      <c r="I36" s="16" t="n">
        <f aca="false">RANDBETWEEN(-30,100)/1000</f>
        <v>0.058</v>
      </c>
      <c r="J36" s="16" t="n">
        <f aca="false">Chạy!M129</f>
        <v>2.13</v>
      </c>
      <c r="K36" s="16" t="n">
        <f aca="false">J36+L36</f>
        <v>2.2</v>
      </c>
      <c r="L36" s="16" t="n">
        <f aca="false">RANDBETWEEN(-30,100)/1000</f>
        <v>0.07</v>
      </c>
      <c r="M36" s="16" t="n">
        <f aca="false">Chạy!O129</f>
        <v>2.13</v>
      </c>
      <c r="N36" s="16" t="n">
        <f aca="false">M36+O36</f>
        <v>2.129</v>
      </c>
      <c r="O36" s="16" t="n">
        <f aca="false">RANDBETWEEN(-30,100)/1000</f>
        <v>-0.001</v>
      </c>
      <c r="P36" s="17"/>
      <c r="Q36" s="18" t="n">
        <v>14.44</v>
      </c>
    </row>
    <row r="37" customFormat="false" ht="15" hidden="false" customHeight="false" outlineLevel="0" collapsed="false">
      <c r="A37" s="13" t="n">
        <v>17</v>
      </c>
      <c r="B37" s="14" t="s">
        <v>34</v>
      </c>
      <c r="C37" s="15" t="n">
        <f aca="false">C36+Q36</f>
        <v>489.19</v>
      </c>
      <c r="D37" s="16" t="n">
        <f aca="false">Chạy!G133</f>
        <v>2.12</v>
      </c>
      <c r="E37" s="16" t="n">
        <f aca="false">D37+F37</f>
        <v>2.178</v>
      </c>
      <c r="F37" s="16" t="n">
        <f aca="false">RANDBETWEEN(-30,100)/1000</f>
        <v>0.058</v>
      </c>
      <c r="G37" s="16" t="n">
        <f aca="false">Chạy!I133</f>
        <v>2.12</v>
      </c>
      <c r="H37" s="16" t="n">
        <f aca="false">G37+I37</f>
        <v>2.168</v>
      </c>
      <c r="I37" s="16" t="n">
        <f aca="false">RANDBETWEEN(-30,100)/1000</f>
        <v>0.048</v>
      </c>
      <c r="J37" s="16" t="n">
        <f aca="false">Chạy!M137</f>
        <v>2.12</v>
      </c>
      <c r="K37" s="16" t="n">
        <f aca="false">J37+L37</f>
        <v>2.212</v>
      </c>
      <c r="L37" s="16" t="n">
        <f aca="false">RANDBETWEEN(-30,100)/1000</f>
        <v>0.092</v>
      </c>
      <c r="M37" s="16" t="n">
        <f aca="false">Chạy!O137</f>
        <v>2.12</v>
      </c>
      <c r="N37" s="16" t="n">
        <f aca="false">M37+O37</f>
        <v>2.105</v>
      </c>
      <c r="O37" s="16" t="n">
        <f aca="false">RANDBETWEEN(-30,100)/1000</f>
        <v>-0.015</v>
      </c>
      <c r="P37" s="17"/>
      <c r="Q37" s="18" t="n">
        <v>13.17</v>
      </c>
    </row>
    <row r="38" customFormat="false" ht="15" hidden="false" customHeight="false" outlineLevel="0" collapsed="false">
      <c r="A38" s="13" t="n">
        <v>18</v>
      </c>
      <c r="B38" s="14" t="s">
        <v>35</v>
      </c>
      <c r="C38" s="15" t="n">
        <f aca="false">C37+Q37</f>
        <v>502.36</v>
      </c>
      <c r="D38" s="16" t="n">
        <f aca="false">Chạy!G141</f>
        <v>2.11</v>
      </c>
      <c r="E38" s="16" t="n">
        <f aca="false">D38+F38</f>
        <v>2.172</v>
      </c>
      <c r="F38" s="16" t="n">
        <f aca="false">RANDBETWEEN(-30,100)/1000</f>
        <v>0.062</v>
      </c>
      <c r="G38" s="16" t="n">
        <f aca="false">Chạy!I141</f>
        <v>2.11</v>
      </c>
      <c r="H38" s="16" t="n">
        <f aca="false">G38+I38</f>
        <v>2.108</v>
      </c>
      <c r="I38" s="16" t="n">
        <f aca="false">RANDBETWEEN(-30,100)/1000</f>
        <v>-0.002</v>
      </c>
      <c r="J38" s="16" t="n">
        <f aca="false">Chạy!M145</f>
        <v>2.11</v>
      </c>
      <c r="K38" s="16" t="n">
        <f aca="false">J38+L38</f>
        <v>2.206</v>
      </c>
      <c r="L38" s="16" t="n">
        <f aca="false">RANDBETWEEN(-30,100)/1000</f>
        <v>0.096</v>
      </c>
      <c r="M38" s="16" t="n">
        <f aca="false">Chạy!O145</f>
        <v>2.11</v>
      </c>
      <c r="N38" s="16" t="n">
        <f aca="false">M38+O38</f>
        <v>2.186</v>
      </c>
      <c r="O38" s="16" t="n">
        <f aca="false">RANDBETWEEN(-30,100)/1000</f>
        <v>0.076</v>
      </c>
      <c r="P38" s="17"/>
      <c r="Q38" s="18" t="n">
        <v>10.48</v>
      </c>
    </row>
    <row r="39" customFormat="false" ht="15" hidden="false" customHeight="false" outlineLevel="0" collapsed="false">
      <c r="A39" s="13" t="n">
        <v>19</v>
      </c>
      <c r="B39" s="14" t="s">
        <v>36</v>
      </c>
      <c r="C39" s="15" t="n">
        <f aca="false">C38+Q38</f>
        <v>512.84</v>
      </c>
      <c r="D39" s="16" t="n">
        <f aca="false">Chạy!G149</f>
        <v>2.11</v>
      </c>
      <c r="E39" s="16" t="n">
        <f aca="false">D39+F39</f>
        <v>2.185</v>
      </c>
      <c r="F39" s="16" t="n">
        <f aca="false">RANDBETWEEN(-30,100)/1000</f>
        <v>0.075</v>
      </c>
      <c r="G39" s="16" t="n">
        <f aca="false">Chạy!I149</f>
        <v>2.11</v>
      </c>
      <c r="H39" s="16" t="n">
        <f aca="false">G39+I39</f>
        <v>2.085</v>
      </c>
      <c r="I39" s="16" t="n">
        <f aca="false">RANDBETWEEN(-30,100)/1000</f>
        <v>-0.025</v>
      </c>
      <c r="J39" s="16" t="n">
        <f aca="false">Chạy!M153</f>
        <v>2.11</v>
      </c>
      <c r="K39" s="16" t="n">
        <f aca="false">J39+L39</f>
        <v>2.09</v>
      </c>
      <c r="L39" s="16" t="n">
        <f aca="false">RANDBETWEEN(-30,100)/1000</f>
        <v>-0.02</v>
      </c>
      <c r="M39" s="16" t="n">
        <f aca="false">Chạy!O153</f>
        <v>2.11</v>
      </c>
      <c r="N39" s="16" t="n">
        <f aca="false">M39+O39</f>
        <v>2.195</v>
      </c>
      <c r="O39" s="16" t="n">
        <f aca="false">RANDBETWEEN(-30,100)/1000</f>
        <v>0.085</v>
      </c>
      <c r="P39" s="17"/>
      <c r="Q39" s="18" t="n">
        <v>16.78</v>
      </c>
    </row>
    <row r="40" customFormat="false" ht="15" hidden="false" customHeight="false" outlineLevel="0" collapsed="false">
      <c r="A40" s="13" t="n">
        <v>20</v>
      </c>
      <c r="B40" s="14" t="s">
        <v>37</v>
      </c>
      <c r="C40" s="15" t="n">
        <f aca="false">C39+Q39</f>
        <v>529.62</v>
      </c>
      <c r="D40" s="16" t="n">
        <f aca="false">Chạy!G157</f>
        <v>2.1</v>
      </c>
      <c r="E40" s="16" t="n">
        <f aca="false">D40+F40</f>
        <v>2.084</v>
      </c>
      <c r="F40" s="16" t="n">
        <f aca="false">RANDBETWEEN(-30,100)/1000</f>
        <v>-0.016</v>
      </c>
      <c r="G40" s="16" t="n">
        <f aca="false">Chạy!I157</f>
        <v>2.1</v>
      </c>
      <c r="H40" s="16" t="n">
        <f aca="false">G40+I40</f>
        <v>2.147</v>
      </c>
      <c r="I40" s="16" t="n">
        <f aca="false">RANDBETWEEN(-30,100)/1000</f>
        <v>0.047</v>
      </c>
      <c r="J40" s="16" t="n">
        <f aca="false">Chạy!M161</f>
        <v>2.1</v>
      </c>
      <c r="K40" s="16" t="n">
        <f aca="false">J40+L40</f>
        <v>2.168</v>
      </c>
      <c r="L40" s="16" t="n">
        <f aca="false">RANDBETWEEN(-30,100)/1000</f>
        <v>0.068</v>
      </c>
      <c r="M40" s="16" t="n">
        <f aca="false">Chạy!O161</f>
        <v>2.1</v>
      </c>
      <c r="N40" s="16" t="n">
        <f aca="false">M40+O40</f>
        <v>2.11</v>
      </c>
      <c r="O40" s="16" t="n">
        <f aca="false">RANDBETWEEN(-30,100)/1000</f>
        <v>0.01</v>
      </c>
      <c r="P40" s="17"/>
      <c r="Q40" s="18" t="n">
        <v>17.1</v>
      </c>
    </row>
    <row r="41" customFormat="false" ht="15" hidden="false" customHeight="false" outlineLevel="0" collapsed="false">
      <c r="A41" s="13" t="n">
        <v>21</v>
      </c>
      <c r="B41" s="14" t="s">
        <v>38</v>
      </c>
      <c r="C41" s="15" t="n">
        <f aca="false">C40+Q40</f>
        <v>546.72</v>
      </c>
      <c r="D41" s="16" t="n">
        <f aca="false">Chạy!G165</f>
        <v>2.09</v>
      </c>
      <c r="E41" s="16" t="n">
        <f aca="false">D41+F41</f>
        <v>2.096</v>
      </c>
      <c r="F41" s="16" t="n">
        <f aca="false">RANDBETWEEN(-30,100)/1000</f>
        <v>0.006</v>
      </c>
      <c r="G41" s="16" t="n">
        <f aca="false">Chạy!I165</f>
        <v>2.09</v>
      </c>
      <c r="H41" s="16" t="n">
        <f aca="false">G41+I41</f>
        <v>2.173</v>
      </c>
      <c r="I41" s="16" t="n">
        <f aca="false">RANDBETWEEN(-30,100)/1000</f>
        <v>0.083</v>
      </c>
      <c r="J41" s="16" t="n">
        <f aca="false">Chạy!M169</f>
        <v>2.09</v>
      </c>
      <c r="K41" s="16" t="n">
        <f aca="false">J41+L41</f>
        <v>2.13</v>
      </c>
      <c r="L41" s="16" t="n">
        <f aca="false">RANDBETWEEN(-30,100)/1000</f>
        <v>0.04</v>
      </c>
      <c r="M41" s="16" t="n">
        <f aca="false">Chạy!O169</f>
        <v>2.09</v>
      </c>
      <c r="N41" s="16" t="n">
        <f aca="false">M41+O41</f>
        <v>2.15</v>
      </c>
      <c r="O41" s="16" t="n">
        <f aca="false">RANDBETWEEN(-30,100)/1000</f>
        <v>0.06</v>
      </c>
      <c r="P41" s="17"/>
      <c r="Q41" s="18" t="n">
        <v>15.15</v>
      </c>
    </row>
    <row r="42" customFormat="false" ht="15" hidden="false" customHeight="false" outlineLevel="0" collapsed="false">
      <c r="A42" s="13" t="n">
        <v>22</v>
      </c>
      <c r="B42" s="14" t="s">
        <v>39</v>
      </c>
      <c r="C42" s="15" t="n">
        <f aca="false">C41+Q41</f>
        <v>561.87</v>
      </c>
      <c r="D42" s="16" t="n">
        <f aca="false">Chạy!G173</f>
        <v>2.09</v>
      </c>
      <c r="E42" s="16" t="n">
        <f aca="false">D42+F42</f>
        <v>2.139</v>
      </c>
      <c r="F42" s="16" t="n">
        <f aca="false">RANDBETWEEN(-30,100)/1000</f>
        <v>0.049</v>
      </c>
      <c r="G42" s="16" t="n">
        <f aca="false">Chạy!I173</f>
        <v>2.09</v>
      </c>
      <c r="H42" s="16" t="n">
        <f aca="false">G42+I42</f>
        <v>2.069</v>
      </c>
      <c r="I42" s="16" t="n">
        <f aca="false">RANDBETWEEN(-30,100)/1000</f>
        <v>-0.021</v>
      </c>
      <c r="J42" s="16" t="n">
        <f aca="false">Chạy!M177</f>
        <v>2.09</v>
      </c>
      <c r="K42" s="16" t="n">
        <f aca="false">J42+L42</f>
        <v>2.115</v>
      </c>
      <c r="L42" s="16" t="n">
        <f aca="false">RANDBETWEEN(-30,100)/1000</f>
        <v>0.025</v>
      </c>
      <c r="M42" s="16" t="n">
        <f aca="false">Chạy!O177</f>
        <v>2.09</v>
      </c>
      <c r="N42" s="16" t="n">
        <f aca="false">M42+O42</f>
        <v>2.075</v>
      </c>
      <c r="O42" s="16" t="n">
        <f aca="false">RANDBETWEEN(-30,100)/1000</f>
        <v>-0.015</v>
      </c>
      <c r="P42" s="17"/>
      <c r="Q42" s="18" t="n">
        <v>0.15</v>
      </c>
    </row>
    <row r="43" customFormat="false" ht="15" hidden="false" customHeight="false" outlineLevel="0" collapsed="false">
      <c r="A43" s="13" t="n">
        <v>23</v>
      </c>
      <c r="B43" s="14" t="s">
        <v>40</v>
      </c>
      <c r="C43" s="15" t="n">
        <f aca="false">C42+Q42</f>
        <v>562.02</v>
      </c>
      <c r="D43" s="16" t="n">
        <f aca="false">Chạy!G181</f>
        <v>2.09</v>
      </c>
      <c r="E43" s="16" t="n">
        <f aca="false">D43+F43</f>
        <v>2.176</v>
      </c>
      <c r="F43" s="16" t="n">
        <f aca="false">RANDBETWEEN(-30,100)/1000</f>
        <v>0.086</v>
      </c>
      <c r="G43" s="16" t="n">
        <f aca="false">Chạy!I181</f>
        <v>2.09</v>
      </c>
      <c r="H43" s="16" t="n">
        <f aca="false">G43+I43</f>
        <v>2.152</v>
      </c>
      <c r="I43" s="16" t="n">
        <f aca="false">RANDBETWEEN(-30,100)/1000</f>
        <v>0.062</v>
      </c>
      <c r="J43" s="16" t="n">
        <f aca="false">Chạy!M185</f>
        <v>2.09</v>
      </c>
      <c r="K43" s="16" t="n">
        <f aca="false">J43+L43</f>
        <v>2.104</v>
      </c>
      <c r="L43" s="16" t="n">
        <f aca="false">RANDBETWEEN(-30,100)/1000</f>
        <v>0.014</v>
      </c>
      <c r="M43" s="16" t="n">
        <f aca="false">Chạy!O185</f>
        <v>2.09</v>
      </c>
      <c r="N43" s="16" t="n">
        <f aca="false">M43+O43</f>
        <v>2.154</v>
      </c>
      <c r="O43" s="16" t="n">
        <f aca="false">RANDBETWEEN(-30,100)/1000</f>
        <v>0.064</v>
      </c>
      <c r="P43" s="17"/>
      <c r="Q43" s="18" t="n">
        <v>6.55</v>
      </c>
    </row>
    <row r="44" customFormat="false" ht="15" hidden="false" customHeight="false" outlineLevel="0" collapsed="false">
      <c r="A44" s="13" t="n">
        <v>24</v>
      </c>
      <c r="B44" s="14" t="s">
        <v>41</v>
      </c>
      <c r="C44" s="15" t="n">
        <f aca="false">C43+Q43</f>
        <v>568.57</v>
      </c>
      <c r="D44" s="16" t="n">
        <f aca="false">Chạy!G189</f>
        <v>2.09</v>
      </c>
      <c r="E44" s="16" t="n">
        <f aca="false">D44+F44</f>
        <v>2.136</v>
      </c>
      <c r="F44" s="16" t="n">
        <f aca="false">RANDBETWEEN(-30,100)/1000</f>
        <v>0.046</v>
      </c>
      <c r="G44" s="16" t="n">
        <f aca="false">Chạy!I189</f>
        <v>2.09</v>
      </c>
      <c r="H44" s="16" t="n">
        <f aca="false">G44+I44</f>
        <v>2.067</v>
      </c>
      <c r="I44" s="16" t="n">
        <f aca="false">RANDBETWEEN(-30,100)/1000</f>
        <v>-0.023</v>
      </c>
      <c r="J44" s="16" t="n">
        <f aca="false">Chạy!M193</f>
        <v>2.09</v>
      </c>
      <c r="K44" s="16" t="n">
        <f aca="false">J44+L44</f>
        <v>2.07</v>
      </c>
      <c r="L44" s="16" t="n">
        <f aca="false">RANDBETWEEN(-30,100)/1000</f>
        <v>-0.02</v>
      </c>
      <c r="M44" s="16" t="n">
        <f aca="false">Chạy!O193</f>
        <v>2.09</v>
      </c>
      <c r="N44" s="16" t="n">
        <f aca="false">M44+O44</f>
        <v>2.063</v>
      </c>
      <c r="O44" s="16" t="n">
        <f aca="false">RANDBETWEEN(-30,100)/1000</f>
        <v>-0.027</v>
      </c>
      <c r="P44" s="17"/>
      <c r="Q44" s="18" t="n">
        <v>6.55</v>
      </c>
    </row>
    <row r="45" customFormat="false" ht="15" hidden="false" customHeight="false" outlineLevel="0" collapsed="false">
      <c r="A45" s="13" t="n">
        <v>25</v>
      </c>
      <c r="B45" s="14" t="s">
        <v>1</v>
      </c>
      <c r="C45" s="15" t="n">
        <f aca="false">C44+Q44</f>
        <v>575.12</v>
      </c>
      <c r="D45" s="16" t="n">
        <f aca="false">Chạy!G197</f>
        <v>2.09</v>
      </c>
      <c r="E45" s="16" t="n">
        <f aca="false">D45+F45</f>
        <v>2.065</v>
      </c>
      <c r="F45" s="16" t="n">
        <f aca="false">RANDBETWEEN(-30,100)/1000</f>
        <v>-0.025</v>
      </c>
      <c r="G45" s="16" t="n">
        <f aca="false">Chạy!I197</f>
        <v>2.09</v>
      </c>
      <c r="H45" s="16" t="n">
        <f aca="false">G45+I45</f>
        <v>2.067</v>
      </c>
      <c r="I45" s="16" t="n">
        <f aca="false">RANDBETWEEN(-30,100)/1000</f>
        <v>-0.023</v>
      </c>
      <c r="J45" s="16" t="n">
        <f aca="false">Chạy!M201</f>
        <v>2.09</v>
      </c>
      <c r="K45" s="16" t="n">
        <f aca="false">J45+L45</f>
        <v>2.176</v>
      </c>
      <c r="L45" s="16" t="n">
        <f aca="false">RANDBETWEEN(-30,100)/1000</f>
        <v>0.086</v>
      </c>
      <c r="M45" s="16" t="n">
        <f aca="false">Chạy!O201</f>
        <v>2.09</v>
      </c>
      <c r="N45" s="16" t="n">
        <f aca="false">M45+O45</f>
        <v>2.135</v>
      </c>
      <c r="O45" s="16" t="n">
        <f aca="false">RANDBETWEEN(-30,100)/1000</f>
        <v>0.045</v>
      </c>
      <c r="P45" s="17"/>
      <c r="Q45" s="18" t="n">
        <v>0.04</v>
      </c>
    </row>
    <row r="46" customFormat="false" ht="15" hidden="false" customHeight="false" outlineLevel="0" collapsed="false">
      <c r="A46" s="13" t="n">
        <v>26</v>
      </c>
      <c r="B46" s="14" t="s">
        <v>42</v>
      </c>
      <c r="C46" s="15" t="n">
        <f aca="false">C45+Q45</f>
        <v>575.16</v>
      </c>
      <c r="D46" s="16" t="n">
        <f aca="false">Chạy!G205</f>
        <v>2.22</v>
      </c>
      <c r="E46" s="16" t="n">
        <f aca="false">D46+F46</f>
        <v>2.239</v>
      </c>
      <c r="F46" s="16" t="n">
        <f aca="false">RANDBETWEEN(-30,100)/1000</f>
        <v>0.019</v>
      </c>
      <c r="G46" s="16" t="n">
        <f aca="false">Chạy!I205</f>
        <v>2.22</v>
      </c>
      <c r="H46" s="16" t="n">
        <f aca="false">G46+I46</f>
        <v>2.22</v>
      </c>
      <c r="I46" s="16" t="n">
        <f aca="false">RANDBETWEEN(-30,100)/1000</f>
        <v>0</v>
      </c>
      <c r="J46" s="16" t="n">
        <f aca="false">Chạy!M209</f>
        <v>2.09</v>
      </c>
      <c r="K46" s="16" t="n">
        <f aca="false">J46+L46</f>
        <v>2.135</v>
      </c>
      <c r="L46" s="16" t="n">
        <f aca="false">RANDBETWEEN(-30,100)/1000</f>
        <v>0.045</v>
      </c>
      <c r="M46" s="16" t="n">
        <f aca="false">Chạy!O209</f>
        <v>2.09</v>
      </c>
      <c r="N46" s="16" t="n">
        <f aca="false">M46+O46</f>
        <v>2.07</v>
      </c>
      <c r="O46" s="16" t="n">
        <f aca="false">RANDBETWEEN(-30,100)/1000</f>
        <v>-0.02</v>
      </c>
      <c r="P46" s="17"/>
      <c r="Q46" s="18" t="n">
        <v>16.95</v>
      </c>
    </row>
    <row r="47" customFormat="false" ht="15" hidden="false" customHeight="false" outlineLevel="0" collapsed="false">
      <c r="A47" s="13" t="n">
        <v>27</v>
      </c>
      <c r="B47" s="14" t="s">
        <v>43</v>
      </c>
      <c r="C47" s="15" t="n">
        <f aca="false">C46+Q46</f>
        <v>592.11</v>
      </c>
      <c r="D47" s="16" t="n">
        <f aca="false">Chạy!G213</f>
        <v>2.09</v>
      </c>
      <c r="E47" s="16" t="n">
        <f aca="false">D47+F47</f>
        <v>2.157</v>
      </c>
      <c r="F47" s="16" t="n">
        <f aca="false">RANDBETWEEN(-30,100)/1000</f>
        <v>0.067</v>
      </c>
      <c r="G47" s="16" t="n">
        <f aca="false">Chạy!I213</f>
        <v>2.09</v>
      </c>
      <c r="H47" s="16" t="n">
        <f aca="false">G47+I47</f>
        <v>2.165</v>
      </c>
      <c r="I47" s="16" t="n">
        <f aca="false">RANDBETWEEN(-30,100)/1000</f>
        <v>0.075</v>
      </c>
      <c r="J47" s="16" t="n">
        <f aca="false">Chạy!M217</f>
        <v>2.09</v>
      </c>
      <c r="K47" s="16" t="n">
        <f aca="false">J47+L47</f>
        <v>2.171</v>
      </c>
      <c r="L47" s="16" t="n">
        <f aca="false">RANDBETWEEN(-30,100)/1000</f>
        <v>0.081</v>
      </c>
      <c r="M47" s="16" t="n">
        <f aca="false">Chạy!O217</f>
        <v>2.09</v>
      </c>
      <c r="N47" s="16" t="n">
        <f aca="false">M47+O47</f>
        <v>2.157</v>
      </c>
      <c r="O47" s="16" t="n">
        <f aca="false">RANDBETWEEN(-30,100)/1000</f>
        <v>0.067</v>
      </c>
      <c r="P47" s="17"/>
      <c r="Q47" s="18" t="n">
        <v>17</v>
      </c>
    </row>
    <row r="48" customFormat="false" ht="15" hidden="false" customHeight="false" outlineLevel="0" collapsed="false">
      <c r="A48" s="13" t="n">
        <v>28</v>
      </c>
      <c r="B48" s="14" t="s">
        <v>44</v>
      </c>
      <c r="C48" s="15" t="n">
        <f aca="false">C47+Q47</f>
        <v>609.11</v>
      </c>
      <c r="D48" s="16" t="n">
        <f aca="false">Chạy!G221</f>
        <v>2.09</v>
      </c>
      <c r="E48" s="16" t="n">
        <f aca="false">D48+F48</f>
        <v>2.062</v>
      </c>
      <c r="F48" s="16" t="n">
        <f aca="false">RANDBETWEEN(-30,100)/1000</f>
        <v>-0.028</v>
      </c>
      <c r="G48" s="16" t="n">
        <f aca="false">Chạy!I221</f>
        <v>2.09</v>
      </c>
      <c r="H48" s="16" t="n">
        <f aca="false">G48+I48</f>
        <v>2.101</v>
      </c>
      <c r="I48" s="16" t="n">
        <f aca="false">RANDBETWEEN(-30,100)/1000</f>
        <v>0.011</v>
      </c>
      <c r="J48" s="16" t="n">
        <f aca="false">Chạy!M225</f>
        <v>2.09</v>
      </c>
      <c r="K48" s="16" t="n">
        <f aca="false">J48+L48</f>
        <v>2.095</v>
      </c>
      <c r="L48" s="16" t="n">
        <f aca="false">RANDBETWEEN(-30,100)/1000</f>
        <v>0.005</v>
      </c>
      <c r="M48" s="16" t="n">
        <f aca="false">Chạy!O225</f>
        <v>2.09</v>
      </c>
      <c r="N48" s="16" t="n">
        <f aca="false">M48+O48</f>
        <v>2.096</v>
      </c>
      <c r="O48" s="16" t="n">
        <f aca="false">RANDBETWEEN(-30,100)/1000</f>
        <v>0.006</v>
      </c>
      <c r="P48" s="17"/>
      <c r="Q48" s="18" t="n">
        <v>11.75</v>
      </c>
    </row>
    <row r="49" customFormat="false" ht="15" hidden="false" customHeight="false" outlineLevel="0" collapsed="false">
      <c r="A49" s="13" t="n">
        <v>29</v>
      </c>
      <c r="B49" s="14" t="s">
        <v>45</v>
      </c>
      <c r="C49" s="15" t="n">
        <f aca="false">C48+Q48</f>
        <v>620.86</v>
      </c>
      <c r="D49" s="16" t="n">
        <f aca="false">Chạy!G229</f>
        <v>2.09</v>
      </c>
      <c r="E49" s="16" t="n">
        <f aca="false">D49+F49</f>
        <v>2.061</v>
      </c>
      <c r="F49" s="16" t="n">
        <f aca="false">RANDBETWEEN(-30,100)/1000</f>
        <v>-0.029</v>
      </c>
      <c r="G49" s="16" t="n">
        <f aca="false">Chạy!I229</f>
        <v>2.09</v>
      </c>
      <c r="H49" s="16" t="n">
        <f aca="false">G49+I49</f>
        <v>2.142</v>
      </c>
      <c r="I49" s="16" t="n">
        <f aca="false">RANDBETWEEN(-30,100)/1000</f>
        <v>0.052</v>
      </c>
      <c r="J49" s="16" t="n">
        <f aca="false">Chạy!M233</f>
        <v>2.09</v>
      </c>
      <c r="K49" s="16" t="n">
        <f aca="false">J49+L49</f>
        <v>2.114</v>
      </c>
      <c r="L49" s="16" t="n">
        <f aca="false">RANDBETWEEN(-30,100)/1000</f>
        <v>0.024</v>
      </c>
      <c r="M49" s="16" t="n">
        <f aca="false">Chạy!O233</f>
        <v>2.09</v>
      </c>
      <c r="N49" s="16" t="n">
        <f aca="false">M49+O49</f>
        <v>2.156</v>
      </c>
      <c r="O49" s="16" t="n">
        <f aca="false">RANDBETWEEN(-30,100)/1000</f>
        <v>0.066</v>
      </c>
      <c r="P49" s="17"/>
      <c r="Q49" s="18" t="n">
        <v>11.75</v>
      </c>
    </row>
    <row r="50" customFormat="false" ht="15" hidden="false" customHeight="false" outlineLevel="0" collapsed="false">
      <c r="A50" s="13" t="n">
        <v>30</v>
      </c>
      <c r="B50" s="14" t="s">
        <v>46</v>
      </c>
      <c r="C50" s="15" t="n">
        <f aca="false">C49+Q49</f>
        <v>632.61</v>
      </c>
      <c r="D50" s="16" t="n">
        <f aca="false">Chạy!G237</f>
        <v>2.09</v>
      </c>
      <c r="E50" s="16" t="n">
        <f aca="false">D50+F50</f>
        <v>2.079</v>
      </c>
      <c r="F50" s="16" t="n">
        <f aca="false">RANDBETWEEN(-30,100)/1000</f>
        <v>-0.011</v>
      </c>
      <c r="G50" s="16" t="n">
        <f aca="false">Chạy!I237</f>
        <v>2.09</v>
      </c>
      <c r="H50" s="16" t="n">
        <f aca="false">G50+I50</f>
        <v>2.134</v>
      </c>
      <c r="I50" s="16" t="n">
        <f aca="false">RANDBETWEEN(-30,100)/1000</f>
        <v>0.044</v>
      </c>
      <c r="J50" s="16" t="n">
        <f aca="false">Chạy!M241</f>
        <v>2.09</v>
      </c>
      <c r="K50" s="16" t="n">
        <f aca="false">J50+L50</f>
        <v>2.117</v>
      </c>
      <c r="L50" s="16" t="n">
        <f aca="false">RANDBETWEEN(-30,100)/1000</f>
        <v>0.027</v>
      </c>
      <c r="M50" s="16" t="n">
        <f aca="false">Chạy!O241</f>
        <v>2.09</v>
      </c>
      <c r="N50" s="16" t="n">
        <f aca="false">M50+O50</f>
        <v>2.117</v>
      </c>
      <c r="O50" s="16" t="n">
        <f aca="false">RANDBETWEEN(-30,100)/1000</f>
        <v>0.027</v>
      </c>
      <c r="P50" s="17"/>
      <c r="Q50" s="18" t="n">
        <v>20</v>
      </c>
    </row>
    <row r="51" customFormat="false" ht="15" hidden="false" customHeight="false" outlineLevel="0" collapsed="false">
      <c r="A51" s="13" t="n">
        <v>31</v>
      </c>
      <c r="B51" s="14" t="s">
        <v>47</v>
      </c>
      <c r="C51" s="15" t="n">
        <f aca="false">C50+Q50</f>
        <v>652.61</v>
      </c>
      <c r="D51" s="16" t="n">
        <f aca="false">Chạy!G245</f>
        <v>2.1</v>
      </c>
      <c r="E51" s="16" t="n">
        <f aca="false">D51+F51</f>
        <v>2.154</v>
      </c>
      <c r="F51" s="16" t="n">
        <f aca="false">RANDBETWEEN(-30,100)/1000</f>
        <v>0.054</v>
      </c>
      <c r="G51" s="16" t="n">
        <f aca="false">Chạy!I245</f>
        <v>2.1</v>
      </c>
      <c r="H51" s="16" t="n">
        <f aca="false">G51+I51</f>
        <v>2.11</v>
      </c>
      <c r="I51" s="16" t="n">
        <f aca="false">RANDBETWEEN(-30,100)/1000</f>
        <v>0.01</v>
      </c>
      <c r="J51" s="16" t="n">
        <f aca="false">Chạy!M249</f>
        <v>2.1</v>
      </c>
      <c r="K51" s="16" t="n">
        <f aca="false">J51+L51</f>
        <v>2.12</v>
      </c>
      <c r="L51" s="16" t="n">
        <f aca="false">RANDBETWEEN(-30,100)/1000</f>
        <v>0.02</v>
      </c>
      <c r="M51" s="16" t="n">
        <f aca="false">Chạy!O249</f>
        <v>2.1</v>
      </c>
      <c r="N51" s="16" t="n">
        <f aca="false">M51+O51</f>
        <v>2.168</v>
      </c>
      <c r="O51" s="16" t="n">
        <f aca="false">RANDBETWEEN(-30,100)/1000</f>
        <v>0.068</v>
      </c>
      <c r="P51" s="17"/>
      <c r="Q51" s="18" t="n">
        <v>20</v>
      </c>
    </row>
    <row r="52" customFormat="false" ht="15" hidden="false" customHeight="false" outlineLevel="0" collapsed="false">
      <c r="A52" s="13" t="n">
        <v>32</v>
      </c>
      <c r="B52" s="14" t="s">
        <v>48</v>
      </c>
      <c r="C52" s="15" t="n">
        <f aca="false">C51+Q51</f>
        <v>672.61</v>
      </c>
      <c r="D52" s="16" t="n">
        <f aca="false">Chạy!G253</f>
        <v>2.1</v>
      </c>
      <c r="E52" s="16" t="n">
        <f aca="false">D52+F52</f>
        <v>2.086</v>
      </c>
      <c r="F52" s="16" t="n">
        <f aca="false">RANDBETWEEN(-30,100)/1000</f>
        <v>-0.014</v>
      </c>
      <c r="G52" s="16" t="n">
        <f aca="false">Chạy!I253</f>
        <v>2.1</v>
      </c>
      <c r="H52" s="16" t="n">
        <f aca="false">G52+I52</f>
        <v>2.081</v>
      </c>
      <c r="I52" s="16" t="n">
        <f aca="false">RANDBETWEEN(-30,100)/1000</f>
        <v>-0.019</v>
      </c>
      <c r="J52" s="16" t="n">
        <f aca="false">Chạy!M257</f>
        <v>2.1</v>
      </c>
      <c r="K52" s="16" t="n">
        <f aca="false">J52+L52</f>
        <v>2.098</v>
      </c>
      <c r="L52" s="16" t="n">
        <f aca="false">RANDBETWEEN(-30,100)/1000</f>
        <v>-0.002</v>
      </c>
      <c r="M52" s="16" t="n">
        <f aca="false">Chạy!O257</f>
        <v>2.1</v>
      </c>
      <c r="N52" s="16" t="n">
        <f aca="false">M52+O52</f>
        <v>2.192</v>
      </c>
      <c r="O52" s="16" t="n">
        <f aca="false">RANDBETWEEN(-30,100)/1000</f>
        <v>0.092</v>
      </c>
      <c r="P52" s="17"/>
      <c r="Q52" s="18" t="n">
        <v>20</v>
      </c>
    </row>
    <row r="53" customFormat="false" ht="15" hidden="false" customHeight="false" outlineLevel="0" collapsed="false">
      <c r="A53" s="13" t="n">
        <v>33</v>
      </c>
      <c r="B53" s="14" t="s">
        <v>49</v>
      </c>
      <c r="C53" s="15" t="n">
        <f aca="false">C52+Q52</f>
        <v>692.61</v>
      </c>
      <c r="D53" s="16" t="n">
        <f aca="false">Chạy!G261</f>
        <v>2.1</v>
      </c>
      <c r="E53" s="16" t="n">
        <f aca="false">D53+F53</f>
        <v>2.107</v>
      </c>
      <c r="F53" s="16" t="n">
        <f aca="false">RANDBETWEEN(-30,100)/1000</f>
        <v>0.007</v>
      </c>
      <c r="G53" s="16" t="n">
        <f aca="false">Chạy!I261</f>
        <v>2.1</v>
      </c>
      <c r="H53" s="16" t="n">
        <f aca="false">G53+I53</f>
        <v>2.117</v>
      </c>
      <c r="I53" s="16" t="n">
        <f aca="false">RANDBETWEEN(-30,100)/1000</f>
        <v>0.017</v>
      </c>
      <c r="J53" s="16" t="n">
        <f aca="false">Chạy!M265</f>
        <v>2.1</v>
      </c>
      <c r="K53" s="16" t="n">
        <f aca="false">J53+L53</f>
        <v>2.16</v>
      </c>
      <c r="L53" s="16" t="n">
        <f aca="false">RANDBETWEEN(-30,100)/1000</f>
        <v>0.06</v>
      </c>
      <c r="M53" s="16" t="n">
        <f aca="false">Chạy!O265</f>
        <v>2.1</v>
      </c>
      <c r="N53" s="16" t="n">
        <f aca="false">M53+O53</f>
        <v>2.092</v>
      </c>
      <c r="O53" s="16" t="n">
        <f aca="false">RANDBETWEEN(-30,100)/1000</f>
        <v>-0.008</v>
      </c>
      <c r="P53" s="17"/>
      <c r="Q53" s="18" t="n">
        <v>20</v>
      </c>
    </row>
    <row r="54" customFormat="false" ht="15" hidden="false" customHeight="false" outlineLevel="0" collapsed="false">
      <c r="A54" s="13" t="n">
        <v>34</v>
      </c>
      <c r="B54" s="14" t="s">
        <v>50</v>
      </c>
      <c r="C54" s="15" t="n">
        <f aca="false">C53+Q53</f>
        <v>712.61</v>
      </c>
      <c r="D54" s="16" t="n">
        <f aca="false">Chạy!G269</f>
        <v>2.1</v>
      </c>
      <c r="E54" s="16" t="n">
        <f aca="false">D54+F54</f>
        <v>2.119</v>
      </c>
      <c r="F54" s="16" t="n">
        <f aca="false">RANDBETWEEN(-30,100)/1000</f>
        <v>0.019</v>
      </c>
      <c r="G54" s="16" t="n">
        <f aca="false">Chạy!I269</f>
        <v>2.1</v>
      </c>
      <c r="H54" s="16" t="n">
        <f aca="false">G54+I54</f>
        <v>2.081</v>
      </c>
      <c r="I54" s="16" t="n">
        <f aca="false">RANDBETWEEN(-30,100)/1000</f>
        <v>-0.019</v>
      </c>
      <c r="J54" s="16" t="n">
        <f aca="false">Chạy!M273</f>
        <v>2.1</v>
      </c>
      <c r="K54" s="16" t="n">
        <f aca="false">J54+L54</f>
        <v>2.126</v>
      </c>
      <c r="L54" s="16" t="n">
        <f aca="false">RANDBETWEEN(-30,100)/1000</f>
        <v>0.026</v>
      </c>
      <c r="M54" s="16" t="n">
        <f aca="false">Chạy!O273</f>
        <v>2.1</v>
      </c>
      <c r="N54" s="16" t="n">
        <f aca="false">M54+O54</f>
        <v>2.131</v>
      </c>
      <c r="O54" s="16" t="n">
        <f aca="false">RANDBETWEEN(-30,100)/1000</f>
        <v>0.031</v>
      </c>
      <c r="P54" s="17"/>
      <c r="Q54" s="18" t="n">
        <v>11.5</v>
      </c>
    </row>
    <row r="55" customFormat="false" ht="15" hidden="false" customHeight="false" outlineLevel="0" collapsed="false">
      <c r="A55" s="13" t="n">
        <v>35</v>
      </c>
      <c r="B55" s="14" t="s">
        <v>51</v>
      </c>
      <c r="C55" s="15" t="n">
        <f aca="false">C54+Q54</f>
        <v>724.11</v>
      </c>
      <c r="D55" s="16" t="n">
        <f aca="false">Chạy!G277</f>
        <v>2.1</v>
      </c>
      <c r="E55" s="16" t="n">
        <f aca="false">D55+F55</f>
        <v>2.129</v>
      </c>
      <c r="F55" s="16" t="n">
        <f aca="false">RANDBETWEEN(-30,100)/1000</f>
        <v>0.029</v>
      </c>
      <c r="G55" s="16" t="n">
        <f aca="false">Chạy!I277</f>
        <v>2.1</v>
      </c>
      <c r="H55" s="16" t="n">
        <f aca="false">G55+I55</f>
        <v>2.17</v>
      </c>
      <c r="I55" s="16" t="n">
        <f aca="false">RANDBETWEEN(-30,100)/1000</f>
        <v>0.07</v>
      </c>
      <c r="J55" s="16" t="n">
        <f aca="false">Chạy!M281</f>
        <v>2.1</v>
      </c>
      <c r="K55" s="16" t="n">
        <f aca="false">J55+L55</f>
        <v>2.095</v>
      </c>
      <c r="L55" s="16" t="n">
        <f aca="false">RANDBETWEEN(-30,100)/1000</f>
        <v>-0.005</v>
      </c>
      <c r="M55" s="16" t="n">
        <f aca="false">Chạy!O281</f>
        <v>2.1</v>
      </c>
      <c r="N55" s="16" t="n">
        <f aca="false">M55+O55</f>
        <v>2.107</v>
      </c>
      <c r="O55" s="16" t="n">
        <f aca="false">RANDBETWEEN(-30,100)/1000</f>
        <v>0.007</v>
      </c>
      <c r="P55" s="17"/>
      <c r="Q55" s="18" t="n">
        <v>13.25</v>
      </c>
    </row>
    <row r="56" customFormat="false" ht="15" hidden="false" customHeight="false" outlineLevel="0" collapsed="false">
      <c r="A56" s="13" t="n">
        <v>36</v>
      </c>
      <c r="B56" s="14" t="s">
        <v>52</v>
      </c>
      <c r="C56" s="15" t="n">
        <f aca="false">C55+Q55</f>
        <v>737.36</v>
      </c>
      <c r="D56" s="16" t="n">
        <f aca="false">Chạy!G285</f>
        <v>2.11</v>
      </c>
      <c r="E56" s="16" t="n">
        <f aca="false">D56+F56</f>
        <v>2.167</v>
      </c>
      <c r="F56" s="16" t="n">
        <f aca="false">RANDBETWEEN(-30,100)/1000</f>
        <v>0.057</v>
      </c>
      <c r="G56" s="16" t="n">
        <f aca="false">Chạy!I285</f>
        <v>2.11</v>
      </c>
      <c r="H56" s="16" t="n">
        <f aca="false">G56+I56</f>
        <v>2.163</v>
      </c>
      <c r="I56" s="16" t="n">
        <f aca="false">RANDBETWEEN(-30,100)/1000</f>
        <v>0.053</v>
      </c>
      <c r="J56" s="16" t="n">
        <f aca="false">Chạy!M289</f>
        <v>2.11</v>
      </c>
      <c r="K56" s="16" t="n">
        <f aca="false">J56+L56</f>
        <v>2.115</v>
      </c>
      <c r="L56" s="16" t="n">
        <f aca="false">RANDBETWEEN(-30,100)/1000</f>
        <v>0.005</v>
      </c>
      <c r="M56" s="16" t="n">
        <f aca="false">Chạy!O289</f>
        <v>2.11</v>
      </c>
      <c r="N56" s="16" t="n">
        <f aca="false">M56+O56</f>
        <v>2.154</v>
      </c>
      <c r="O56" s="16" t="n">
        <f aca="false">RANDBETWEEN(-30,100)/1000</f>
        <v>0.044</v>
      </c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73</v>
      </c>
      <c r="D60" s="19"/>
      <c r="E60" s="19"/>
      <c r="F60" s="19"/>
      <c r="G60" s="20"/>
      <c r="H60" s="20"/>
      <c r="I60" s="20"/>
      <c r="K60" s="19" t="s">
        <v>74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75</v>
      </c>
      <c r="D65" s="19"/>
      <c r="E65" s="19"/>
      <c r="F65" s="19"/>
      <c r="G65" s="20"/>
      <c r="H65" s="20"/>
      <c r="I65" s="20"/>
      <c r="J65" s="21"/>
      <c r="K65" s="19" t="s">
        <v>76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77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">
        <v>54</v>
      </c>
      <c r="B2" s="27"/>
      <c r="C2" s="27"/>
      <c r="D2" s="27"/>
      <c r="E2" s="27"/>
      <c r="F2" s="27"/>
      <c r="G2" s="27"/>
    </row>
    <row r="3" s="30" customFormat="true" ht="37.5" hidden="false" customHeight="true" outlineLevel="0" collapsed="false">
      <c r="A3" s="28" t="s">
        <v>55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56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57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58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59</v>
      </c>
      <c r="B7" s="32"/>
      <c r="C7" s="33"/>
      <c r="D7" s="34" t="s">
        <v>60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63</v>
      </c>
      <c r="C9" s="36" t="s">
        <v>64</v>
      </c>
      <c r="D9" s="37" t="s">
        <v>78</v>
      </c>
      <c r="E9" s="38"/>
      <c r="F9" s="38"/>
      <c r="G9" s="37" t="s">
        <v>69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79</v>
      </c>
      <c r="F10" s="38" t="s">
        <v>80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B4</v>
      </c>
      <c r="C11" s="15" t="n">
        <f aca="false">'1. KTHH L1'!C21</f>
        <v>211</v>
      </c>
      <c r="D11" s="13" t="n">
        <f aca="false">'1. KTHH L1'!Q21</f>
        <v>13.25</v>
      </c>
      <c r="E11" s="42" t="n">
        <f aca="false">Chạy!E5+Chạy!E9</f>
        <v>3.26</v>
      </c>
      <c r="F11" s="43" t="n">
        <f aca="false">(E11+E12)*D11/2</f>
        <v>43.195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12</v>
      </c>
      <c r="C12" s="15" t="n">
        <f aca="false">'1. KTHH L1'!C22</f>
        <v>224.25</v>
      </c>
      <c r="D12" s="13" t="n">
        <f aca="false">'1. KTHH L1'!Q22</f>
        <v>21.5</v>
      </c>
      <c r="E12" s="42" t="n">
        <f aca="false">Chạy!E13+Chạy!E17</f>
        <v>3.26</v>
      </c>
      <c r="F12" s="43" t="n">
        <f aca="false">(E12+E13)*D12/2</f>
        <v>70.09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13</v>
      </c>
      <c r="C13" s="15" t="n">
        <f aca="false">'1. KTHH L1'!C23</f>
        <v>245.75</v>
      </c>
      <c r="D13" s="13" t="n">
        <f aca="false">'1. KTHH L1'!Q23</f>
        <v>11.75</v>
      </c>
      <c r="E13" s="42" t="n">
        <f aca="false">Chạy!E21+Chạy!E25</f>
        <v>3.26</v>
      </c>
      <c r="F13" s="43" t="n">
        <f aca="false">(E13+E14)*D13/2</f>
        <v>38.305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B5</v>
      </c>
      <c r="C14" s="15" t="n">
        <f aca="false">'1. KTHH L1'!C24</f>
        <v>257.5</v>
      </c>
      <c r="D14" s="13" t="n">
        <f aca="false">'1. KTHH L1'!Q24</f>
        <v>11.75</v>
      </c>
      <c r="E14" s="42" t="n">
        <f aca="false">Chạy!E29+Chạy!E33</f>
        <v>3.26</v>
      </c>
      <c r="F14" s="43" t="n">
        <f aca="false">(E14+E15)*D14/2</f>
        <v>38.305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14</v>
      </c>
      <c r="C15" s="15" t="n">
        <f aca="false">'1. KTHH L1'!C25</f>
        <v>269.25</v>
      </c>
      <c r="D15" s="13" t="n">
        <f aca="false">'1. KTHH L1'!Q25</f>
        <v>20</v>
      </c>
      <c r="E15" s="42" t="n">
        <f aca="false">Chạy!E37+Chạy!E41</f>
        <v>3.26</v>
      </c>
      <c r="F15" s="43" t="n">
        <f aca="false">(E15+E16)*D15/2</f>
        <v>62.2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15</v>
      </c>
      <c r="C16" s="15" t="n">
        <f aca="false">'1. KTHH L1'!C26</f>
        <v>289.25</v>
      </c>
      <c r="D16" s="13" t="n">
        <f aca="false">'1. KTHH L1'!Q26</f>
        <v>20</v>
      </c>
      <c r="E16" s="42" t="n">
        <f aca="false">Chạy!E45+Chạy!E49</f>
        <v>2.96</v>
      </c>
      <c r="F16" s="43" t="n">
        <f aca="false">(E16+E17)*D16/2</f>
        <v>53.8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16</v>
      </c>
      <c r="C17" s="15" t="n">
        <f aca="false">'1. KTHH L1'!C27</f>
        <v>309.25</v>
      </c>
      <c r="D17" s="13" t="n">
        <f aca="false">'1. KTHH L1'!Q27</f>
        <v>20</v>
      </c>
      <c r="E17" s="42" t="n">
        <f aca="false">Chạy!E53+Chạy!E57</f>
        <v>2.42</v>
      </c>
      <c r="F17" s="43" t="n">
        <f aca="false">(E17+E18)*D17/2</f>
        <v>49.3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17</v>
      </c>
      <c r="C18" s="15" t="n">
        <f aca="false">'1. KTHH L1'!C28</f>
        <v>329.25</v>
      </c>
      <c r="D18" s="13" t="n">
        <f aca="false">'1. KTHH L1'!Q28</f>
        <v>20</v>
      </c>
      <c r="E18" s="42" t="n">
        <f aca="false">Chạy!E61+Chạy!E65</f>
        <v>2.51</v>
      </c>
      <c r="F18" s="43" t="n">
        <f aca="false">(E18+E19)*D18/2</f>
        <v>54.7</v>
      </c>
      <c r="G18" s="44"/>
      <c r="I18" s="45"/>
      <c r="J18" s="45"/>
    </row>
    <row r="19" s="41" customFormat="true" ht="15" hidden="false" customHeight="true" outlineLevel="0" collapsed="false">
      <c r="A19" s="13" t="n">
        <v>9</v>
      </c>
      <c r="B19" s="14" t="str">
        <f aca="false">'1. KTHH L1'!B29</f>
        <v>18</v>
      </c>
      <c r="C19" s="15" t="n">
        <f aca="false">'1. KTHH L1'!C29</f>
        <v>349.25</v>
      </c>
      <c r="D19" s="13" t="n">
        <f aca="false">'1. KTHH L1'!Q29</f>
        <v>19</v>
      </c>
      <c r="E19" s="42" t="n">
        <f aca="false">Chạy!E69+Chạy!E73</f>
        <v>2.96</v>
      </c>
      <c r="F19" s="43" t="n">
        <f aca="false">(E19+E20)*D19/2</f>
        <v>59.09</v>
      </c>
      <c r="G19" s="44"/>
      <c r="I19" s="45"/>
      <c r="J19" s="45"/>
    </row>
    <row r="20" s="41" customFormat="true" ht="15" hidden="false" customHeight="true" outlineLevel="0" collapsed="false">
      <c r="A20" s="13" t="n">
        <v>10</v>
      </c>
      <c r="B20" s="14" t="str">
        <f aca="false">'1. KTHH L1'!B30</f>
        <v>19</v>
      </c>
      <c r="C20" s="15" t="n">
        <f aca="false">'1. KTHH L1'!C30</f>
        <v>368.25</v>
      </c>
      <c r="D20" s="13" t="n">
        <f aca="false">'1. KTHH L1'!Q30</f>
        <v>13.25</v>
      </c>
      <c r="E20" s="42" t="n">
        <f aca="false">Chạy!E77+Chạy!E81</f>
        <v>3.26</v>
      </c>
      <c r="F20" s="43" t="n">
        <f aca="false">(E20+E21)*D20/2</f>
        <v>43.195</v>
      </c>
      <c r="G20" s="44"/>
      <c r="I20" s="45"/>
      <c r="J20" s="45"/>
    </row>
    <row r="21" s="41" customFormat="true" ht="15" hidden="false" customHeight="true" outlineLevel="0" collapsed="false">
      <c r="A21" s="13" t="n">
        <v>11</v>
      </c>
      <c r="B21" s="14" t="str">
        <f aca="false">'1. KTHH L1'!B31</f>
        <v>C2</v>
      </c>
      <c r="C21" s="15" t="n">
        <f aca="false">'1. KTHH L1'!C31</f>
        <v>381.5</v>
      </c>
      <c r="D21" s="13" t="n">
        <f aca="false">'1. KTHH L1'!Q31</f>
        <v>13.25</v>
      </c>
      <c r="E21" s="42" t="n">
        <f aca="false">Chạy!E85+Chạy!E89</f>
        <v>3.26</v>
      </c>
      <c r="F21" s="43" t="n">
        <f aca="false">(E21+E22)*D21/2</f>
        <v>43.195</v>
      </c>
      <c r="G21" s="44"/>
      <c r="I21" s="45"/>
      <c r="J21" s="45"/>
    </row>
    <row r="22" s="41" customFormat="true" ht="15" hidden="false" customHeight="true" outlineLevel="0" collapsed="false">
      <c r="A22" s="13" t="n">
        <v>12</v>
      </c>
      <c r="B22" s="14" t="str">
        <f aca="false">'1. KTHH L1'!B32</f>
        <v>20</v>
      </c>
      <c r="C22" s="15" t="n">
        <f aca="false">'1. KTHH L1'!C32</f>
        <v>394.75</v>
      </c>
      <c r="D22" s="13" t="n">
        <f aca="false">'1. KTHH L1'!Q32</f>
        <v>20</v>
      </c>
      <c r="E22" s="42" t="n">
        <f aca="false">Chạy!E93+Chạy!E97</f>
        <v>3.26</v>
      </c>
      <c r="F22" s="43" t="n">
        <f aca="false">(E22+E23)*D22/2</f>
        <v>65.2</v>
      </c>
      <c r="G22" s="44"/>
      <c r="I22" s="45"/>
      <c r="J22" s="45"/>
    </row>
    <row r="23" s="41" customFormat="true" ht="15" hidden="false" customHeight="true" outlineLevel="0" collapsed="false">
      <c r="A23" s="13" t="n">
        <v>13</v>
      </c>
      <c r="B23" s="14" t="str">
        <f aca="false">'1. KTHH L1'!B33</f>
        <v>21</v>
      </c>
      <c r="C23" s="15" t="n">
        <f aca="false">'1. KTHH L1'!C33</f>
        <v>414.75</v>
      </c>
      <c r="D23" s="13" t="n">
        <f aca="false">'1. KTHH L1'!Q33</f>
        <v>20</v>
      </c>
      <c r="E23" s="42" t="n">
        <f aca="false">Chạy!E101+Chạy!E105</f>
        <v>3.26</v>
      </c>
      <c r="F23" s="43" t="n">
        <f aca="false">(E23+E24)*D23/2</f>
        <v>65.2</v>
      </c>
      <c r="G23" s="44"/>
      <c r="I23" s="45"/>
      <c r="J23" s="45"/>
    </row>
    <row r="24" s="41" customFormat="true" ht="15" hidden="false" customHeight="true" outlineLevel="0" collapsed="false">
      <c r="A24" s="13" t="n">
        <v>14</v>
      </c>
      <c r="B24" s="14" t="str">
        <f aca="false">'1. KTHH L1'!B34</f>
        <v>22</v>
      </c>
      <c r="C24" s="15" t="n">
        <f aca="false">'1. KTHH L1'!C34</f>
        <v>434.75</v>
      </c>
      <c r="D24" s="13" t="n">
        <f aca="false">'1. KTHH L1'!Q34</f>
        <v>20</v>
      </c>
      <c r="E24" s="42" t="n">
        <f aca="false">Chạy!E109+Chạy!E113</f>
        <v>3.26</v>
      </c>
      <c r="F24" s="43" t="n">
        <f aca="false">(E24+E25)*D24/2</f>
        <v>65.2</v>
      </c>
      <c r="G24" s="44"/>
      <c r="I24" s="45"/>
      <c r="J24" s="45"/>
    </row>
    <row r="25" s="41" customFormat="true" ht="15" hidden="false" customHeight="true" outlineLevel="0" collapsed="false">
      <c r="A25" s="13" t="n">
        <v>15</v>
      </c>
      <c r="B25" s="14" t="str">
        <f aca="false">'1. KTHH L1'!B35</f>
        <v>23</v>
      </c>
      <c r="C25" s="15" t="n">
        <f aca="false">'1. KTHH L1'!C35</f>
        <v>454.75</v>
      </c>
      <c r="D25" s="13" t="n">
        <f aca="false">'1. KTHH L1'!Q35</f>
        <v>20</v>
      </c>
      <c r="E25" s="42" t="n">
        <f aca="false">Chạy!E117+Chạy!E121</f>
        <v>3.26</v>
      </c>
      <c r="F25" s="43" t="n">
        <f aca="false">(E25+E26)*D25/2</f>
        <v>65.2</v>
      </c>
      <c r="G25" s="44"/>
      <c r="I25" s="45"/>
      <c r="J25" s="45"/>
    </row>
    <row r="26" s="41" customFormat="true" ht="15" hidden="false" customHeight="true" outlineLevel="0" collapsed="false">
      <c r="A26" s="13" t="n">
        <v>16</v>
      </c>
      <c r="B26" s="14" t="str">
        <f aca="false">'1. KTHH L1'!B36</f>
        <v>24</v>
      </c>
      <c r="C26" s="15" t="n">
        <f aca="false">'1. KTHH L1'!C36</f>
        <v>474.75</v>
      </c>
      <c r="D26" s="13" t="n">
        <f aca="false">'1. KTHH L1'!Q36</f>
        <v>14.44</v>
      </c>
      <c r="E26" s="42" t="n">
        <f aca="false">Chạy!E125+Chạy!E129</f>
        <v>3.26</v>
      </c>
      <c r="F26" s="43" t="n">
        <f aca="false">(E26+E27)*D26/2</f>
        <v>47.0744</v>
      </c>
      <c r="G26" s="44"/>
      <c r="I26" s="45"/>
      <c r="J26" s="45"/>
    </row>
    <row r="27" s="41" customFormat="true" ht="15" hidden="false" customHeight="true" outlineLevel="0" collapsed="false">
      <c r="A27" s="13" t="n">
        <v>17</v>
      </c>
      <c r="B27" s="14" t="str">
        <f aca="false">'1. KTHH L1'!B37</f>
        <v>25</v>
      </c>
      <c r="C27" s="15" t="n">
        <f aca="false">'1. KTHH L1'!C37</f>
        <v>489.19</v>
      </c>
      <c r="D27" s="13" t="n">
        <f aca="false">'1. KTHH L1'!Q37</f>
        <v>13.17</v>
      </c>
      <c r="E27" s="42" t="n">
        <f aca="false">Chạy!E133+Chạy!E137</f>
        <v>3.26</v>
      </c>
      <c r="F27" s="43" t="n">
        <f aca="false">(E27+E28)*D27/2</f>
        <v>42.9342</v>
      </c>
      <c r="G27" s="44"/>
      <c r="I27" s="45"/>
      <c r="J27" s="45"/>
    </row>
    <row r="28" s="41" customFormat="true" ht="15" hidden="false" customHeight="true" outlineLevel="0" collapsed="false">
      <c r="A28" s="13" t="n">
        <v>18</v>
      </c>
      <c r="B28" s="14" t="str">
        <f aca="false">'1. KTHH L1'!B38</f>
        <v>D1</v>
      </c>
      <c r="C28" s="15" t="n">
        <f aca="false">'1. KTHH L1'!C38</f>
        <v>502.36</v>
      </c>
      <c r="D28" s="13" t="n">
        <f aca="false">'1. KTHH L1'!Q38</f>
        <v>10.48</v>
      </c>
      <c r="E28" s="42" t="n">
        <f aca="false">Chạy!E141+Chạy!E145</f>
        <v>3.26</v>
      </c>
      <c r="F28" s="43" t="n">
        <f aca="false">(E28+E29)*D28/2</f>
        <v>34.1648</v>
      </c>
      <c r="G28" s="44"/>
      <c r="I28" s="45"/>
      <c r="J28" s="45"/>
    </row>
    <row r="29" s="41" customFormat="true" ht="15" hidden="false" customHeight="true" outlineLevel="0" collapsed="false">
      <c r="A29" s="13" t="n">
        <v>19</v>
      </c>
      <c r="B29" s="14" t="str">
        <f aca="false">'1. KTHH L1'!B39</f>
        <v>26</v>
      </c>
      <c r="C29" s="15" t="n">
        <f aca="false">'1. KTHH L1'!C39</f>
        <v>512.84</v>
      </c>
      <c r="D29" s="13" t="n">
        <f aca="false">'1. KTHH L1'!Q39</f>
        <v>16.78</v>
      </c>
      <c r="E29" s="42" t="n">
        <f aca="false">Chạy!E149+Chạy!E153</f>
        <v>3.26</v>
      </c>
      <c r="F29" s="43" t="n">
        <f aca="false">(E29+E30)*D29/2</f>
        <v>54.7028</v>
      </c>
      <c r="G29" s="44"/>
      <c r="I29" s="45"/>
      <c r="J29" s="45"/>
    </row>
    <row r="30" s="41" customFormat="true" ht="15" hidden="false" customHeight="true" outlineLevel="0" collapsed="false">
      <c r="A30" s="13" t="n">
        <v>20</v>
      </c>
      <c r="B30" s="14" t="str">
        <f aca="false">'1. KTHH L1'!B40</f>
        <v>27</v>
      </c>
      <c r="C30" s="15" t="n">
        <f aca="false">'1. KTHH L1'!C40</f>
        <v>529.62</v>
      </c>
      <c r="D30" s="13" t="n">
        <f aca="false">'1. KTHH L1'!Q40</f>
        <v>17.1</v>
      </c>
      <c r="E30" s="42" t="n">
        <f aca="false">Chạy!E157+Chạy!E161</f>
        <v>3.26</v>
      </c>
      <c r="F30" s="43" t="n">
        <f aca="false">(E30+E31)*D30/2</f>
        <v>55.746</v>
      </c>
      <c r="G30" s="44"/>
      <c r="I30" s="45"/>
      <c r="J30" s="45"/>
    </row>
    <row r="31" s="41" customFormat="true" ht="15" hidden="false" customHeight="true" outlineLevel="0" collapsed="false">
      <c r="A31" s="13" t="n">
        <v>21</v>
      </c>
      <c r="B31" s="14" t="str">
        <f aca="false">'1. KTHH L1'!B41</f>
        <v>28</v>
      </c>
      <c r="C31" s="15" t="n">
        <f aca="false">'1. KTHH L1'!C41</f>
        <v>546.72</v>
      </c>
      <c r="D31" s="13" t="n">
        <f aca="false">'1. KTHH L1'!Q41</f>
        <v>15.15</v>
      </c>
      <c r="E31" s="42" t="n">
        <f aca="false">Chạy!E165+Chạy!E169</f>
        <v>3.26</v>
      </c>
      <c r="F31" s="43" t="n">
        <f aca="false">(E31+E32)*D31/2</f>
        <v>49.389</v>
      </c>
      <c r="G31" s="44"/>
      <c r="I31" s="45"/>
      <c r="J31" s="45"/>
    </row>
    <row r="32" s="41" customFormat="true" ht="15" hidden="false" customHeight="true" outlineLevel="0" collapsed="false">
      <c r="A32" s="13" t="n">
        <v>22</v>
      </c>
      <c r="B32" s="14" t="str">
        <f aca="false">'1. KTHH L1'!B42</f>
        <v>E5</v>
      </c>
      <c r="C32" s="15" t="n">
        <f aca="false">'1. KTHH L1'!C42</f>
        <v>561.87</v>
      </c>
      <c r="D32" s="13" t="n">
        <f aca="false">'1. KTHH L1'!Q42</f>
        <v>0.15</v>
      </c>
      <c r="E32" s="42" t="n">
        <f aca="false">Chạy!E173+Chạy!E177</f>
        <v>3.26</v>
      </c>
      <c r="F32" s="43" t="n">
        <f aca="false">(E32+E33)*D32/2</f>
        <v>0.489</v>
      </c>
      <c r="G32" s="44"/>
      <c r="I32" s="45"/>
      <c r="J32" s="45"/>
    </row>
    <row r="33" s="41" customFormat="true" ht="15" hidden="false" customHeight="true" outlineLevel="0" collapsed="false">
      <c r="A33" s="13" t="n">
        <v>23</v>
      </c>
      <c r="B33" s="14" t="str">
        <f aca="false">'1. KTHH L1'!B43</f>
        <v>TD</v>
      </c>
      <c r="C33" s="15" t="n">
        <f aca="false">'1. KTHH L1'!C43</f>
        <v>562.02</v>
      </c>
      <c r="D33" s="13" t="n">
        <f aca="false">'1. KTHH L1'!Q43</f>
        <v>6.55</v>
      </c>
      <c r="E33" s="42" t="n">
        <f aca="false">Chạy!E181+Chạy!E185</f>
        <v>3.26</v>
      </c>
      <c r="F33" s="43" t="n">
        <f aca="false">(E33+E34)*D33/2</f>
        <v>21.353</v>
      </c>
      <c r="G33" s="44"/>
      <c r="I33" s="45"/>
      <c r="J33" s="45"/>
    </row>
    <row r="34" s="41" customFormat="true" ht="15" hidden="false" customHeight="true" outlineLevel="0" collapsed="false">
      <c r="A34" s="13" t="n">
        <v>24</v>
      </c>
      <c r="B34" s="14" t="str">
        <f aca="false">'1. KTHH L1'!B44</f>
        <v>P</v>
      </c>
      <c r="C34" s="15" t="n">
        <f aca="false">'1. KTHH L1'!C44</f>
        <v>568.57</v>
      </c>
      <c r="D34" s="13" t="n">
        <f aca="false">'1. KTHH L1'!Q44</f>
        <v>6.55</v>
      </c>
      <c r="E34" s="42" t="n">
        <f aca="false">Chạy!E189+Chạy!E193</f>
        <v>3.26</v>
      </c>
      <c r="F34" s="43" t="n">
        <f aca="false">(E34+E35)*D34/2</f>
        <v>21.353</v>
      </c>
      <c r="G34" s="44"/>
      <c r="I34" s="45"/>
      <c r="J34" s="45"/>
    </row>
    <row r="35" s="41" customFormat="true" ht="15" hidden="false" customHeight="true" outlineLevel="0" collapsed="false">
      <c r="A35" s="13" t="n">
        <v>25</v>
      </c>
      <c r="B35" s="14" t="str">
        <f aca="false">'1. KTHH L1'!B45</f>
        <v>TC</v>
      </c>
      <c r="C35" s="15" t="n">
        <f aca="false">'1. KTHH L1'!C45</f>
        <v>575.12</v>
      </c>
      <c r="D35" s="13" t="n">
        <f aca="false">'1. KTHH L1'!Q45</f>
        <v>0.04</v>
      </c>
      <c r="E35" s="42" t="n">
        <f aca="false">Chạy!E197+Chạy!E201</f>
        <v>3.26</v>
      </c>
      <c r="F35" s="43" t="n">
        <f aca="false">(E35+E36)*D35/2</f>
        <v>0.1304</v>
      </c>
      <c r="G35" s="44"/>
      <c r="I35" s="45"/>
      <c r="J35" s="45"/>
    </row>
    <row r="36" s="41" customFormat="true" ht="15" hidden="false" customHeight="true" outlineLevel="0" collapsed="false">
      <c r="A36" s="13" t="n">
        <v>26</v>
      </c>
      <c r="B36" s="14" t="str">
        <f aca="false">'1. KTHH L1'!B46</f>
        <v>29</v>
      </c>
      <c r="C36" s="15" t="n">
        <f aca="false">'1. KTHH L1'!C46</f>
        <v>575.16</v>
      </c>
      <c r="D36" s="13" t="n">
        <f aca="false">'1. KTHH L1'!Q46</f>
        <v>16.95</v>
      </c>
      <c r="E36" s="42" t="n">
        <f aca="false">Chạy!E205+Chạy!E209</f>
        <v>3.26</v>
      </c>
      <c r="F36" s="43" t="n">
        <f aca="false">(E36+E37)*D36/2</f>
        <v>55.257</v>
      </c>
      <c r="G36" s="44"/>
      <c r="I36" s="45"/>
      <c r="J36" s="45"/>
    </row>
    <row r="37" s="41" customFormat="true" ht="15" hidden="false" customHeight="true" outlineLevel="0" collapsed="false">
      <c r="A37" s="13" t="n">
        <v>27</v>
      </c>
      <c r="B37" s="14" t="str">
        <f aca="false">'1. KTHH L1'!B47</f>
        <v>30</v>
      </c>
      <c r="C37" s="15" t="n">
        <f aca="false">'1. KTHH L1'!C47</f>
        <v>592.11</v>
      </c>
      <c r="D37" s="13" t="n">
        <f aca="false">'1. KTHH L1'!Q47</f>
        <v>17</v>
      </c>
      <c r="E37" s="42" t="n">
        <f aca="false">Chạy!E213+Chạy!E217</f>
        <v>3.26</v>
      </c>
      <c r="F37" s="43" t="n">
        <f aca="false">(E37+E38)*D37/2</f>
        <v>55.42</v>
      </c>
      <c r="G37" s="44"/>
      <c r="I37" s="45"/>
      <c r="J37" s="45"/>
    </row>
    <row r="38" s="41" customFormat="true" ht="15" hidden="false" customHeight="true" outlineLevel="0" collapsed="false">
      <c r="A38" s="13" t="n">
        <v>28</v>
      </c>
      <c r="B38" s="14" t="str">
        <f aca="false">'1. KTHH L1'!B48</f>
        <v>31</v>
      </c>
      <c r="C38" s="15" t="n">
        <f aca="false">'1. KTHH L1'!C48</f>
        <v>609.11</v>
      </c>
      <c r="D38" s="13" t="n">
        <f aca="false">'1. KTHH L1'!Q48</f>
        <v>11.75</v>
      </c>
      <c r="E38" s="42" t="n">
        <f aca="false">Chạy!E221+Chạy!E225</f>
        <v>3.26</v>
      </c>
      <c r="F38" s="43" t="n">
        <f aca="false">(E38+E39)*D38/2</f>
        <v>38.305</v>
      </c>
      <c r="G38" s="44"/>
      <c r="I38" s="45"/>
      <c r="J38" s="45"/>
    </row>
    <row r="39" s="41" customFormat="true" ht="15" hidden="false" customHeight="true" outlineLevel="0" collapsed="false">
      <c r="A39" s="13" t="n">
        <v>29</v>
      </c>
      <c r="B39" s="14" t="str">
        <f aca="false">'1. KTHH L1'!B49</f>
        <v>E10</v>
      </c>
      <c r="C39" s="15" t="n">
        <f aca="false">'1. KTHH L1'!C49</f>
        <v>620.86</v>
      </c>
      <c r="D39" s="13" t="n">
        <f aca="false">'1. KTHH L1'!Q49</f>
        <v>11.75</v>
      </c>
      <c r="E39" s="42" t="n">
        <f aca="false">Chạy!E229+Chạy!E233</f>
        <v>3.26</v>
      </c>
      <c r="F39" s="43" t="n">
        <f aca="false">(E39+E40)*D39/2</f>
        <v>38.305</v>
      </c>
      <c r="G39" s="44"/>
      <c r="I39" s="45"/>
      <c r="J39" s="45"/>
    </row>
    <row r="40" s="41" customFormat="true" ht="15" hidden="false" customHeight="true" outlineLevel="0" collapsed="false">
      <c r="A40" s="13" t="n">
        <v>30</v>
      </c>
      <c r="B40" s="14" t="str">
        <f aca="false">'1. KTHH L1'!B50</f>
        <v>32</v>
      </c>
      <c r="C40" s="15" t="n">
        <f aca="false">'1. KTHH L1'!C50</f>
        <v>632.61</v>
      </c>
      <c r="D40" s="13" t="n">
        <f aca="false">'1. KTHH L1'!Q50</f>
        <v>20</v>
      </c>
      <c r="E40" s="42" t="n">
        <f aca="false">Chạy!E237+Chạy!E241</f>
        <v>3.26</v>
      </c>
      <c r="F40" s="43" t="n">
        <f aca="false">(E40+E41)*D40/2</f>
        <v>65.2</v>
      </c>
      <c r="G40" s="44"/>
      <c r="I40" s="45"/>
      <c r="J40" s="45"/>
    </row>
    <row r="41" s="41" customFormat="true" ht="15" hidden="false" customHeight="true" outlineLevel="0" collapsed="false">
      <c r="A41" s="13" t="n">
        <v>31</v>
      </c>
      <c r="B41" s="14" t="str">
        <f aca="false">'1. KTHH L1'!B51</f>
        <v>33</v>
      </c>
      <c r="C41" s="15" t="n">
        <f aca="false">'1. KTHH L1'!C51</f>
        <v>652.61</v>
      </c>
      <c r="D41" s="13" t="n">
        <f aca="false">'1. KTHH L1'!Q51</f>
        <v>20</v>
      </c>
      <c r="E41" s="42" t="n">
        <f aca="false">Chạy!E245+Chạy!E249</f>
        <v>3.26</v>
      </c>
      <c r="F41" s="43" t="n">
        <f aca="false">(E41+E42)*D41/2</f>
        <v>65.2</v>
      </c>
      <c r="G41" s="44"/>
      <c r="I41" s="45"/>
      <c r="J41" s="45"/>
    </row>
    <row r="42" s="41" customFormat="true" ht="15" hidden="false" customHeight="true" outlineLevel="0" collapsed="false">
      <c r="A42" s="13" t="n">
        <v>32</v>
      </c>
      <c r="B42" s="14" t="str">
        <f aca="false">'1. KTHH L1'!B52</f>
        <v>34</v>
      </c>
      <c r="C42" s="15" t="n">
        <f aca="false">'1. KTHH L1'!C52</f>
        <v>672.61</v>
      </c>
      <c r="D42" s="13" t="n">
        <f aca="false">'1. KTHH L1'!Q52</f>
        <v>20</v>
      </c>
      <c r="E42" s="42" t="n">
        <f aca="false">Chạy!E253+Chạy!E257</f>
        <v>3.26</v>
      </c>
      <c r="F42" s="43" t="n">
        <f aca="false">(E42+E43)*D42/2</f>
        <v>65.2</v>
      </c>
      <c r="G42" s="44"/>
      <c r="I42" s="45"/>
      <c r="J42" s="45"/>
    </row>
    <row r="43" s="41" customFormat="true" ht="15" hidden="false" customHeight="true" outlineLevel="0" collapsed="false">
      <c r="A43" s="13" t="n">
        <v>33</v>
      </c>
      <c r="B43" s="14" t="str">
        <f aca="false">'1. KTHH L1'!B53</f>
        <v>35</v>
      </c>
      <c r="C43" s="15" t="n">
        <f aca="false">'1. KTHH L1'!C53</f>
        <v>692.61</v>
      </c>
      <c r="D43" s="13" t="n">
        <f aca="false">'1. KTHH L1'!Q53</f>
        <v>20</v>
      </c>
      <c r="E43" s="42" t="n">
        <f aca="false">Chạy!E261+Chạy!E265</f>
        <v>3.26</v>
      </c>
      <c r="F43" s="43" t="n">
        <f aca="false">(E43+E44)*D43/2</f>
        <v>65.2</v>
      </c>
      <c r="G43" s="44"/>
      <c r="I43" s="45"/>
      <c r="J43" s="45"/>
    </row>
    <row r="44" s="41" customFormat="true" ht="15" hidden="false" customHeight="true" outlineLevel="0" collapsed="false">
      <c r="A44" s="13" t="n">
        <v>34</v>
      </c>
      <c r="B44" s="14" t="str">
        <f aca="false">'1. KTHH L1'!B54</f>
        <v>36</v>
      </c>
      <c r="C44" s="15" t="n">
        <f aca="false">'1. KTHH L1'!C54</f>
        <v>712.61</v>
      </c>
      <c r="D44" s="13" t="n">
        <f aca="false">'1. KTHH L1'!Q54</f>
        <v>11.5</v>
      </c>
      <c r="E44" s="42" t="n">
        <f aca="false">Chạy!E269+Chạy!E273</f>
        <v>3.26</v>
      </c>
      <c r="F44" s="43" t="n">
        <f aca="false">(E44+E45)*D44/2</f>
        <v>37.49</v>
      </c>
      <c r="G44" s="44"/>
      <c r="I44" s="45"/>
      <c r="J44" s="45"/>
    </row>
    <row r="45" s="41" customFormat="true" ht="15" hidden="false" customHeight="true" outlineLevel="0" collapsed="false">
      <c r="A45" s="13" t="n">
        <v>35</v>
      </c>
      <c r="B45" s="14" t="str">
        <f aca="false">'1. KTHH L1'!B55</f>
        <v>37</v>
      </c>
      <c r="C45" s="15" t="n">
        <f aca="false">'1. KTHH L1'!C55</f>
        <v>724.11</v>
      </c>
      <c r="D45" s="13" t="n">
        <f aca="false">'1. KTHH L1'!Q55</f>
        <v>13.25</v>
      </c>
      <c r="E45" s="42" t="n">
        <f aca="false">Chạy!E277+Chạy!E281</f>
        <v>3.26</v>
      </c>
      <c r="F45" s="43" t="n">
        <f aca="false">(E45+E46)*D45/2</f>
        <v>43.195</v>
      </c>
      <c r="G45" s="44"/>
      <c r="I45" s="45"/>
      <c r="J45" s="45"/>
    </row>
    <row r="46" s="41" customFormat="true" ht="15" hidden="false" customHeight="true" outlineLevel="0" collapsed="false">
      <c r="A46" s="13" t="n">
        <v>36</v>
      </c>
      <c r="B46" s="14" t="str">
        <f aca="false">'1. KTHH L1'!B56</f>
        <v>G6</v>
      </c>
      <c r="C46" s="15" t="n">
        <f aca="false">'1. KTHH L1'!C56</f>
        <v>737.36</v>
      </c>
      <c r="D46" s="13"/>
      <c r="E46" s="42" t="n">
        <f aca="false">Chạy!E285+Chạy!E289</f>
        <v>3.26</v>
      </c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81</v>
      </c>
      <c r="B49" s="46"/>
      <c r="C49" s="46"/>
      <c r="D49" s="46"/>
      <c r="E49" s="47"/>
      <c r="F49" s="48" t="n">
        <f aca="false">SUM(F11:F46)</f>
        <v>1672.2836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73</v>
      </c>
      <c r="B51" s="19"/>
      <c r="C51" s="19"/>
      <c r="D51" s="57" t="s">
        <v>82</v>
      </c>
      <c r="E51" s="19" t="s">
        <v>74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75</v>
      </c>
      <c r="B57" s="19"/>
      <c r="C57" s="19"/>
      <c r="D57" s="21"/>
      <c r="E57" s="19" t="s">
        <v>76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">
        <v>83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8.75" hidden="false" customHeight="true" outlineLevel="0" collapsed="false">
      <c r="A3" s="6" t="s">
        <v>55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56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57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58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59</v>
      </c>
      <c r="B7" s="7"/>
      <c r="C7" s="6"/>
      <c r="D7" s="6" t="s">
        <v>84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61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62</v>
      </c>
      <c r="B19" s="10" t="s">
        <v>63</v>
      </c>
      <c r="C19" s="10" t="s">
        <v>64</v>
      </c>
      <c r="D19" s="11" t="s">
        <v>65</v>
      </c>
      <c r="E19" s="11"/>
      <c r="F19" s="11"/>
      <c r="G19" s="11" t="s">
        <v>66</v>
      </c>
      <c r="H19" s="11"/>
      <c r="I19" s="11"/>
      <c r="J19" s="11" t="s">
        <v>67</v>
      </c>
      <c r="K19" s="11"/>
      <c r="L19" s="11"/>
      <c r="M19" s="11" t="s">
        <v>68</v>
      </c>
      <c r="N19" s="11"/>
      <c r="O19" s="11"/>
      <c r="P19" s="10" t="s">
        <v>69</v>
      </c>
    </row>
    <row r="20" customFormat="false" ht="33" hidden="false" customHeight="true" outlineLevel="0" collapsed="false">
      <c r="A20" s="10"/>
      <c r="B20" s="10"/>
      <c r="C20" s="10"/>
      <c r="D20" s="11" t="s">
        <v>70</v>
      </c>
      <c r="E20" s="11" t="s">
        <v>71</v>
      </c>
      <c r="F20" s="11" t="s">
        <v>72</v>
      </c>
      <c r="G20" s="11" t="s">
        <v>70</v>
      </c>
      <c r="H20" s="11" t="s">
        <v>71</v>
      </c>
      <c r="I20" s="11" t="s">
        <v>72</v>
      </c>
      <c r="J20" s="11" t="s">
        <v>70</v>
      </c>
      <c r="K20" s="11" t="s">
        <v>71</v>
      </c>
      <c r="L20" s="11" t="s">
        <v>72</v>
      </c>
      <c r="M20" s="11" t="s">
        <v>70</v>
      </c>
      <c r="N20" s="11" t="s">
        <v>71</v>
      </c>
      <c r="O20" s="11" t="s">
        <v>72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211</v>
      </c>
      <c r="D21" s="16" t="n">
        <f aca="false">Chạy!G4</f>
        <v>2.55</v>
      </c>
      <c r="E21" s="16" t="n">
        <f aca="false">D21+F21</f>
        <v>2.574</v>
      </c>
      <c r="F21" s="16" t="n">
        <f aca="false">RANDBETWEEN(-30,100)/1000</f>
        <v>0.024</v>
      </c>
      <c r="G21" s="16" t="n">
        <f aca="false">Chạy!I4</f>
        <v>2.55</v>
      </c>
      <c r="H21" s="16" t="n">
        <f aca="false">G21+I21</f>
        <v>2.577</v>
      </c>
      <c r="I21" s="16" t="n">
        <f aca="false">RANDBETWEEN(-30,100)/1000</f>
        <v>0.027</v>
      </c>
      <c r="J21" s="16" t="n">
        <f aca="false">Chạy!M8</f>
        <v>2.55</v>
      </c>
      <c r="K21" s="16" t="n">
        <f aca="false">J21+L21</f>
        <v>2.617</v>
      </c>
      <c r="L21" s="16" t="n">
        <f aca="false">RANDBETWEEN(-30,100)/1000</f>
        <v>0.067</v>
      </c>
      <c r="M21" s="16" t="n">
        <f aca="false">Chạy!O8</f>
        <v>2.55</v>
      </c>
      <c r="N21" s="16" t="n">
        <f aca="false">M21+O21</f>
        <v>2.566</v>
      </c>
      <c r="O21" s="16" t="n">
        <f aca="false">RANDBETWEEN(-30,100)/1000</f>
        <v>0.016</v>
      </c>
      <c r="P21" s="17"/>
      <c r="Q21" s="18" t="n">
        <v>13.25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224.25</v>
      </c>
      <c r="D22" s="16" t="n">
        <f aca="false">Chạy!G12</f>
        <v>2.54</v>
      </c>
      <c r="E22" s="16" t="n">
        <f aca="false">D22+F22</f>
        <v>2.628</v>
      </c>
      <c r="F22" s="16" t="n">
        <f aca="false">RANDBETWEEN(-30,100)/1000</f>
        <v>0.088</v>
      </c>
      <c r="G22" s="16" t="n">
        <f aca="false">Chạy!I12</f>
        <v>2.54</v>
      </c>
      <c r="H22" s="16" t="n">
        <f aca="false">G22+I22</f>
        <v>2.541</v>
      </c>
      <c r="I22" s="16" t="n">
        <f aca="false">RANDBETWEEN(-30,100)/1000</f>
        <v>0.001</v>
      </c>
      <c r="J22" s="16" t="n">
        <f aca="false">Chạy!M16</f>
        <v>2.54</v>
      </c>
      <c r="K22" s="16" t="n">
        <f aca="false">J22+L22</f>
        <v>2.538</v>
      </c>
      <c r="L22" s="16" t="n">
        <f aca="false">RANDBETWEEN(-30,100)/1000</f>
        <v>-0.002</v>
      </c>
      <c r="M22" s="16" t="n">
        <f aca="false">Chạy!O16</f>
        <v>2.54</v>
      </c>
      <c r="N22" s="16" t="n">
        <f aca="false">M22+O22</f>
        <v>2.609</v>
      </c>
      <c r="O22" s="16" t="n">
        <f aca="false">RANDBETWEEN(-30,100)/1000</f>
        <v>0.069</v>
      </c>
      <c r="P22" s="17"/>
      <c r="Q22" s="18" t="n">
        <v>21.5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245.75</v>
      </c>
      <c r="D23" s="16" t="n">
        <f aca="false">Chạy!G20</f>
        <v>2.52</v>
      </c>
      <c r="E23" s="16" t="n">
        <f aca="false">D23+F23</f>
        <v>2.522</v>
      </c>
      <c r="F23" s="16" t="n">
        <f aca="false">RANDBETWEEN(-30,100)/1000</f>
        <v>0.002</v>
      </c>
      <c r="G23" s="16" t="n">
        <f aca="false">Chạy!I20</f>
        <v>2.52</v>
      </c>
      <c r="H23" s="16" t="n">
        <f aca="false">G23+I23</f>
        <v>2.614</v>
      </c>
      <c r="I23" s="16" t="n">
        <f aca="false">RANDBETWEEN(-30,100)/1000</f>
        <v>0.094</v>
      </c>
      <c r="J23" s="16" t="n">
        <f aca="false">Chạy!M24</f>
        <v>2.52</v>
      </c>
      <c r="K23" s="16" t="n">
        <f aca="false">J23+L23</f>
        <v>2.6</v>
      </c>
      <c r="L23" s="16" t="n">
        <f aca="false">RANDBETWEEN(-30,100)/1000</f>
        <v>0.08</v>
      </c>
      <c r="M23" s="16" t="n">
        <f aca="false">Chạy!O24</f>
        <v>2.52</v>
      </c>
      <c r="N23" s="16" t="n">
        <f aca="false">M23+O23</f>
        <v>2.591</v>
      </c>
      <c r="O23" s="16" t="n">
        <f aca="false">RANDBETWEEN(-30,100)/1000</f>
        <v>0.071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257.5</v>
      </c>
      <c r="D24" s="16" t="n">
        <f aca="false">Chạy!G28</f>
        <v>2.51</v>
      </c>
      <c r="E24" s="16" t="n">
        <f aca="false">D24+F24</f>
        <v>2.563</v>
      </c>
      <c r="F24" s="16" t="n">
        <f aca="false">RANDBETWEEN(-30,100)/1000</f>
        <v>0.053</v>
      </c>
      <c r="G24" s="16" t="n">
        <f aca="false">Chạy!I28</f>
        <v>2.51</v>
      </c>
      <c r="H24" s="16" t="n">
        <f aca="false">G24+I24</f>
        <v>2.561</v>
      </c>
      <c r="I24" s="16" t="n">
        <f aca="false">RANDBETWEEN(-30,100)/1000</f>
        <v>0.051</v>
      </c>
      <c r="J24" s="16" t="n">
        <f aca="false">Chạy!M32</f>
        <v>2.51</v>
      </c>
      <c r="K24" s="16" t="n">
        <f aca="false">J24+L24</f>
        <v>2.495</v>
      </c>
      <c r="L24" s="16" t="n">
        <f aca="false">RANDBETWEEN(-30,100)/1000</f>
        <v>-0.015</v>
      </c>
      <c r="M24" s="16" t="n">
        <f aca="false">Chạy!O32</f>
        <v>2.51</v>
      </c>
      <c r="N24" s="16" t="n">
        <f aca="false">M24+O24</f>
        <v>2.534</v>
      </c>
      <c r="O24" s="16" t="n">
        <f aca="false">RANDBETWEEN(-30,100)/1000</f>
        <v>0.024</v>
      </c>
      <c r="P24" s="17"/>
      <c r="Q24" s="18" t="n">
        <v>11.75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269.25</v>
      </c>
      <c r="D25" s="16" t="n">
        <f aca="false">Chạy!G36</f>
        <v>2.51</v>
      </c>
      <c r="E25" s="16" t="n">
        <f aca="false">D25+F25</f>
        <v>2.483</v>
      </c>
      <c r="F25" s="16" t="n">
        <f aca="false">RANDBETWEEN(-30,100)/1000</f>
        <v>-0.027</v>
      </c>
      <c r="G25" s="16" t="n">
        <f aca="false">Chạy!I36</f>
        <v>2.51</v>
      </c>
      <c r="H25" s="16" t="n">
        <f aca="false">G25+I25</f>
        <v>2.493</v>
      </c>
      <c r="I25" s="16" t="n">
        <f aca="false">RANDBETWEEN(-30,100)/1000</f>
        <v>-0.017</v>
      </c>
      <c r="J25" s="16" t="n">
        <f aca="false">Chạy!M40</f>
        <v>2.51</v>
      </c>
      <c r="K25" s="16" t="n">
        <f aca="false">J25+L25</f>
        <v>2.592</v>
      </c>
      <c r="L25" s="16" t="n">
        <f aca="false">RANDBETWEEN(-30,100)/1000</f>
        <v>0.082</v>
      </c>
      <c r="M25" s="16" t="n">
        <f aca="false">Chạy!O40</f>
        <v>2.51</v>
      </c>
      <c r="N25" s="16" t="n">
        <f aca="false">M25+O25</f>
        <v>2.57</v>
      </c>
      <c r="O25" s="16" t="n">
        <f aca="false">RANDBETWEEN(-30,100)/1000</f>
        <v>0.06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289.25</v>
      </c>
      <c r="D26" s="16" t="n">
        <f aca="false">Chạy!G44</f>
        <v>2.5</v>
      </c>
      <c r="E26" s="16" t="n">
        <f aca="false">D26+F26</f>
        <v>2.554</v>
      </c>
      <c r="F26" s="16" t="n">
        <f aca="false">RANDBETWEEN(-30,100)/1000</f>
        <v>0.054</v>
      </c>
      <c r="G26" s="16" t="n">
        <f aca="false">Chạy!I44</f>
        <v>2.5</v>
      </c>
      <c r="H26" s="16" t="n">
        <f aca="false">G26+I26</f>
        <v>2.484</v>
      </c>
      <c r="I26" s="16" t="n">
        <f aca="false">RANDBETWEEN(-30,100)/1000</f>
        <v>-0.016</v>
      </c>
      <c r="J26" s="16" t="n">
        <f aca="false">Chạy!M48</f>
        <v>2.5</v>
      </c>
      <c r="K26" s="16" t="n">
        <f aca="false">J26+L26</f>
        <v>2.59</v>
      </c>
      <c r="L26" s="16" t="n">
        <f aca="false">RANDBETWEEN(-30,100)/1000</f>
        <v>0.09</v>
      </c>
      <c r="M26" s="16" t="n">
        <f aca="false">Chạy!O48</f>
        <v>2.5</v>
      </c>
      <c r="N26" s="16" t="n">
        <f aca="false">M26+O26</f>
        <v>2.545</v>
      </c>
      <c r="O26" s="16" t="n">
        <f aca="false">RANDBETWEEN(-30,100)/1000</f>
        <v>0.045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309.25</v>
      </c>
      <c r="D27" s="16" t="n">
        <f aca="false">Chạy!G52</f>
        <v>2.48</v>
      </c>
      <c r="E27" s="16" t="n">
        <f aca="false">D27+F27</f>
        <v>2.561</v>
      </c>
      <c r="F27" s="16" t="n">
        <f aca="false">RANDBETWEEN(-30,100)/1000</f>
        <v>0.081</v>
      </c>
      <c r="G27" s="16" t="n">
        <f aca="false">Chạy!I52</f>
        <v>2.48</v>
      </c>
      <c r="H27" s="16" t="n">
        <f aca="false">G27+I27</f>
        <v>2.486</v>
      </c>
      <c r="I27" s="16" t="n">
        <f aca="false">RANDBETWEEN(-30,100)/1000</f>
        <v>0.006</v>
      </c>
      <c r="J27" s="16" t="n">
        <f aca="false">Chạy!M56</f>
        <v>2.48</v>
      </c>
      <c r="K27" s="16" t="n">
        <f aca="false">J27+L27</f>
        <v>2.561</v>
      </c>
      <c r="L27" s="16" t="n">
        <f aca="false">RANDBETWEEN(-30,100)/1000</f>
        <v>0.081</v>
      </c>
      <c r="M27" s="16" t="n">
        <f aca="false">Chạy!O56</f>
        <v>2.48</v>
      </c>
      <c r="N27" s="16" t="n">
        <f aca="false">M27+O27</f>
        <v>2.451</v>
      </c>
      <c r="O27" s="16" t="n">
        <f aca="false">RANDBETWEEN(-30,100)/1000</f>
        <v>-0.029</v>
      </c>
      <c r="P27" s="17"/>
      <c r="Q27" s="18" t="n">
        <v>20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329.25</v>
      </c>
      <c r="D28" s="16" t="n">
        <f aca="false">Chạy!G60</f>
        <v>2.47</v>
      </c>
      <c r="E28" s="16" t="n">
        <f aca="false">D28+F28</f>
        <v>2.443</v>
      </c>
      <c r="F28" s="16" t="n">
        <f aca="false">RANDBETWEEN(-30,100)/1000</f>
        <v>-0.027</v>
      </c>
      <c r="G28" s="16" t="n">
        <f aca="false">Chạy!I60</f>
        <v>2.47</v>
      </c>
      <c r="H28" s="16" t="n">
        <f aca="false">G28+I28</f>
        <v>2.567</v>
      </c>
      <c r="I28" s="16" t="n">
        <f aca="false">RANDBETWEEN(-30,100)/1000</f>
        <v>0.097</v>
      </c>
      <c r="J28" s="16" t="n">
        <f aca="false">Chạy!M64</f>
        <v>2.47</v>
      </c>
      <c r="K28" s="16" t="n">
        <f aca="false">J28+L28</f>
        <v>2.57</v>
      </c>
      <c r="L28" s="16" t="n">
        <f aca="false">RANDBETWEEN(-30,100)/1000</f>
        <v>0.1</v>
      </c>
      <c r="M28" s="16" t="n">
        <f aca="false">Chạy!O64</f>
        <v>2.47</v>
      </c>
      <c r="N28" s="16" t="n">
        <f aca="false">M28+O28</f>
        <v>2.49</v>
      </c>
      <c r="O28" s="16" t="n">
        <f aca="false">RANDBETWEEN(-30,100)/1000</f>
        <v>0.02</v>
      </c>
      <c r="P28" s="17"/>
      <c r="Q28" s="18" t="n">
        <v>20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349.25</v>
      </c>
      <c r="D29" s="16" t="n">
        <f aca="false">Chạy!G68</f>
        <v>2.46</v>
      </c>
      <c r="E29" s="16" t="n">
        <f aca="false">D29+F29</f>
        <v>2.548</v>
      </c>
      <c r="F29" s="16" t="n">
        <f aca="false">RANDBETWEEN(-30,100)/1000</f>
        <v>0.088</v>
      </c>
      <c r="G29" s="16" t="n">
        <f aca="false">Chạy!I68</f>
        <v>2.46</v>
      </c>
      <c r="H29" s="16" t="n">
        <f aca="false">G29+I29</f>
        <v>2.533</v>
      </c>
      <c r="I29" s="16" t="n">
        <f aca="false">RANDBETWEEN(-30,100)/1000</f>
        <v>0.073</v>
      </c>
      <c r="J29" s="16" t="n">
        <f aca="false">Chạy!M72</f>
        <v>2.46</v>
      </c>
      <c r="K29" s="16" t="n">
        <f aca="false">J29+L29</f>
        <v>2.505</v>
      </c>
      <c r="L29" s="16" t="n">
        <f aca="false">RANDBETWEEN(-30,100)/1000</f>
        <v>0.045</v>
      </c>
      <c r="M29" s="16" t="n">
        <f aca="false">Chạy!O72</f>
        <v>2.46</v>
      </c>
      <c r="N29" s="16" t="n">
        <f aca="false">M29+O29</f>
        <v>2.441</v>
      </c>
      <c r="O29" s="16" t="n">
        <f aca="false">RANDBETWEEN(-30,100)/1000</f>
        <v>-0.019</v>
      </c>
      <c r="P29" s="17"/>
      <c r="Q29" s="18" t="n">
        <v>19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368.25</v>
      </c>
      <c r="D30" s="16" t="n">
        <f aca="false">Chạy!G76</f>
        <v>2.45</v>
      </c>
      <c r="E30" s="16" t="n">
        <f aca="false">D30+F30</f>
        <v>2.55</v>
      </c>
      <c r="F30" s="16" t="n">
        <f aca="false">RANDBETWEEN(-30,100)/1000</f>
        <v>0.1</v>
      </c>
      <c r="G30" s="16" t="n">
        <f aca="false">Chạy!I76</f>
        <v>2.45</v>
      </c>
      <c r="H30" s="16" t="n">
        <f aca="false">G30+I30</f>
        <v>2.528</v>
      </c>
      <c r="I30" s="16" t="n">
        <f aca="false">RANDBETWEEN(-30,100)/1000</f>
        <v>0.078</v>
      </c>
      <c r="J30" s="16" t="n">
        <f aca="false">Chạy!M80</f>
        <v>2.45</v>
      </c>
      <c r="K30" s="16" t="n">
        <f aca="false">J30+L30</f>
        <v>2.534</v>
      </c>
      <c r="L30" s="16" t="n">
        <f aca="false">RANDBETWEEN(-30,100)/1000</f>
        <v>0.084</v>
      </c>
      <c r="M30" s="16" t="n">
        <f aca="false">Chạy!O80</f>
        <v>2.45</v>
      </c>
      <c r="N30" s="16" t="n">
        <f aca="false">M30+O30</f>
        <v>2.426</v>
      </c>
      <c r="O30" s="16" t="n">
        <f aca="false">RANDBETWEEN(-30,100)/1000</f>
        <v>-0.024</v>
      </c>
      <c r="P30" s="17"/>
      <c r="Q30" s="18" t="n">
        <v>13.25</v>
      </c>
    </row>
    <row r="31" customFormat="false" ht="15" hidden="false" customHeight="false" outlineLevel="0" collapsed="false">
      <c r="A31" s="13" t="n">
        <v>11</v>
      </c>
      <c r="B31" s="14" t="s">
        <v>28</v>
      </c>
      <c r="C31" s="15" t="n">
        <f aca="false">C30+Q30</f>
        <v>381.5</v>
      </c>
      <c r="D31" s="16" t="n">
        <f aca="false">Chạy!G84</f>
        <v>2.44</v>
      </c>
      <c r="E31" s="16" t="n">
        <f aca="false">D31+F31</f>
        <v>2.535</v>
      </c>
      <c r="F31" s="16" t="n">
        <f aca="false">RANDBETWEEN(-30,100)/1000</f>
        <v>0.095</v>
      </c>
      <c r="G31" s="16" t="n">
        <f aca="false">Chạy!I84</f>
        <v>2.44</v>
      </c>
      <c r="H31" s="16" t="n">
        <f aca="false">G31+I31</f>
        <v>2.474</v>
      </c>
      <c r="I31" s="16" t="n">
        <f aca="false">RANDBETWEEN(-30,100)/1000</f>
        <v>0.034</v>
      </c>
      <c r="J31" s="16" t="n">
        <f aca="false">Chạy!M88</f>
        <v>2.44</v>
      </c>
      <c r="K31" s="16" t="n">
        <f aca="false">J31+L31</f>
        <v>2.463</v>
      </c>
      <c r="L31" s="16" t="n">
        <f aca="false">RANDBETWEEN(-30,100)/1000</f>
        <v>0.023</v>
      </c>
      <c r="M31" s="16" t="n">
        <f aca="false">Chạy!O88</f>
        <v>2.44</v>
      </c>
      <c r="N31" s="16" t="n">
        <f aca="false">M31+O31</f>
        <v>2.471</v>
      </c>
      <c r="O31" s="16" t="n">
        <f aca="false">RANDBETWEEN(-30,100)/1000</f>
        <v>0.031</v>
      </c>
      <c r="P31" s="17"/>
      <c r="Q31" s="18" t="n">
        <v>13.25</v>
      </c>
    </row>
    <row r="32" customFormat="false" ht="15" hidden="false" customHeight="false" outlineLevel="0" collapsed="false">
      <c r="A32" s="13" t="n">
        <v>12</v>
      </c>
      <c r="B32" s="14" t="s">
        <v>29</v>
      </c>
      <c r="C32" s="15" t="n">
        <f aca="false">C31+Q31</f>
        <v>394.75</v>
      </c>
      <c r="D32" s="16" t="n">
        <f aca="false">Chạy!G92</f>
        <v>2.43</v>
      </c>
      <c r="E32" s="16" t="n">
        <f aca="false">D32+F32</f>
        <v>2.517</v>
      </c>
      <c r="F32" s="16" t="n">
        <f aca="false">RANDBETWEEN(-30,100)/1000</f>
        <v>0.087</v>
      </c>
      <c r="G32" s="16" t="n">
        <f aca="false">Chạy!I92</f>
        <v>2.43</v>
      </c>
      <c r="H32" s="16" t="n">
        <f aca="false">G32+I32</f>
        <v>2.404</v>
      </c>
      <c r="I32" s="16" t="n">
        <f aca="false">RANDBETWEEN(-30,100)/1000</f>
        <v>-0.026</v>
      </c>
      <c r="J32" s="16" t="n">
        <f aca="false">Chạy!M96</f>
        <v>2.43</v>
      </c>
      <c r="K32" s="16" t="n">
        <f aca="false">J32+L32</f>
        <v>2.403</v>
      </c>
      <c r="L32" s="16" t="n">
        <f aca="false">RANDBETWEEN(-30,100)/1000</f>
        <v>-0.027</v>
      </c>
      <c r="M32" s="16" t="n">
        <f aca="false">Chạy!O96</f>
        <v>2.43</v>
      </c>
      <c r="N32" s="16" t="n">
        <f aca="false">M32+O32</f>
        <v>2.423</v>
      </c>
      <c r="O32" s="16" t="n">
        <f aca="false">RANDBETWEEN(-30,100)/1000</f>
        <v>-0.007</v>
      </c>
      <c r="P32" s="17"/>
      <c r="Q32" s="18" t="n">
        <v>20</v>
      </c>
    </row>
    <row r="33" customFormat="false" ht="15" hidden="false" customHeight="false" outlineLevel="0" collapsed="false">
      <c r="A33" s="13" t="n">
        <v>13</v>
      </c>
      <c r="B33" s="14" t="s">
        <v>30</v>
      </c>
      <c r="C33" s="15" t="n">
        <f aca="false">C32+Q32</f>
        <v>414.75</v>
      </c>
      <c r="D33" s="16" t="n">
        <f aca="false">Chạy!G100</f>
        <v>2.42</v>
      </c>
      <c r="E33" s="16" t="n">
        <f aca="false">D33+F33</f>
        <v>2.407</v>
      </c>
      <c r="F33" s="16" t="n">
        <f aca="false">RANDBETWEEN(-30,100)/1000</f>
        <v>-0.013</v>
      </c>
      <c r="G33" s="16" t="n">
        <f aca="false">Chạy!I100</f>
        <v>2.42</v>
      </c>
      <c r="H33" s="16" t="n">
        <f aca="false">G33+I33</f>
        <v>2.471</v>
      </c>
      <c r="I33" s="16" t="n">
        <f aca="false">RANDBETWEEN(-30,100)/1000</f>
        <v>0.051</v>
      </c>
      <c r="J33" s="16" t="n">
        <f aca="false">Chạy!M104</f>
        <v>2.42</v>
      </c>
      <c r="K33" s="16" t="n">
        <f aca="false">J33+L33</f>
        <v>2.429</v>
      </c>
      <c r="L33" s="16" t="n">
        <f aca="false">RANDBETWEEN(-30,100)/1000</f>
        <v>0.009</v>
      </c>
      <c r="M33" s="16" t="n">
        <f aca="false">Chạy!O104</f>
        <v>2.42</v>
      </c>
      <c r="N33" s="16" t="n">
        <f aca="false">M33+O33</f>
        <v>2.497</v>
      </c>
      <c r="O33" s="16" t="n">
        <f aca="false">RANDBETWEEN(-30,100)/1000</f>
        <v>0.077</v>
      </c>
      <c r="P33" s="17"/>
      <c r="Q33" s="18" t="n">
        <v>20</v>
      </c>
    </row>
    <row r="34" customFormat="false" ht="15" hidden="false" customHeight="false" outlineLevel="0" collapsed="false">
      <c r="A34" s="13" t="n">
        <v>14</v>
      </c>
      <c r="B34" s="14" t="s">
        <v>31</v>
      </c>
      <c r="C34" s="15" t="n">
        <f aca="false">C33+Q33</f>
        <v>434.75</v>
      </c>
      <c r="D34" s="16" t="n">
        <f aca="false">Chạy!G108</f>
        <v>2.41</v>
      </c>
      <c r="E34" s="16" t="n">
        <f aca="false">D34+F34</f>
        <v>2.386</v>
      </c>
      <c r="F34" s="16" t="n">
        <f aca="false">RANDBETWEEN(-30,100)/1000</f>
        <v>-0.024</v>
      </c>
      <c r="G34" s="16" t="n">
        <f aca="false">Chạy!I108</f>
        <v>2.41</v>
      </c>
      <c r="H34" s="16" t="n">
        <f aca="false">G34+I34</f>
        <v>2.45</v>
      </c>
      <c r="I34" s="16" t="n">
        <f aca="false">RANDBETWEEN(-30,100)/1000</f>
        <v>0.04</v>
      </c>
      <c r="J34" s="16" t="n">
        <f aca="false">Chạy!M112</f>
        <v>2.41</v>
      </c>
      <c r="K34" s="16" t="n">
        <f aca="false">J34+L34</f>
        <v>2.46</v>
      </c>
      <c r="L34" s="16" t="n">
        <f aca="false">RANDBETWEEN(-30,100)/1000</f>
        <v>0.05</v>
      </c>
      <c r="M34" s="16" t="n">
        <f aca="false">Chạy!O112</f>
        <v>2.41</v>
      </c>
      <c r="N34" s="16" t="n">
        <f aca="false">M34+O34</f>
        <v>2.398</v>
      </c>
      <c r="O34" s="16" t="n">
        <f aca="false">RANDBETWEEN(-30,100)/1000</f>
        <v>-0.012</v>
      </c>
      <c r="P34" s="17"/>
      <c r="Q34" s="18" t="n">
        <v>20</v>
      </c>
    </row>
    <row r="35" customFormat="false" ht="15" hidden="false" customHeight="false" outlineLevel="0" collapsed="false">
      <c r="A35" s="13" t="n">
        <v>15</v>
      </c>
      <c r="B35" s="14" t="s">
        <v>32</v>
      </c>
      <c r="C35" s="15" t="n">
        <f aca="false">C34+Q34</f>
        <v>454.75</v>
      </c>
      <c r="D35" s="16" t="n">
        <f aca="false">Chạy!G116</f>
        <v>2.39</v>
      </c>
      <c r="E35" s="16" t="n">
        <f aca="false">D35+F35</f>
        <v>2.373</v>
      </c>
      <c r="F35" s="16" t="n">
        <f aca="false">RANDBETWEEN(-30,100)/1000</f>
        <v>-0.017</v>
      </c>
      <c r="G35" s="16" t="n">
        <f aca="false">Chạy!I116</f>
        <v>2.39</v>
      </c>
      <c r="H35" s="16" t="n">
        <f aca="false">G35+I35</f>
        <v>2.461</v>
      </c>
      <c r="I35" s="16" t="n">
        <f aca="false">RANDBETWEEN(-30,100)/1000</f>
        <v>0.071</v>
      </c>
      <c r="J35" s="16" t="n">
        <f aca="false">Chạy!M120</f>
        <v>2.39</v>
      </c>
      <c r="K35" s="16" t="n">
        <f aca="false">J35+L35</f>
        <v>2.474</v>
      </c>
      <c r="L35" s="16" t="n">
        <f aca="false">RANDBETWEEN(-30,100)/1000</f>
        <v>0.084</v>
      </c>
      <c r="M35" s="16" t="n">
        <f aca="false">Chạy!O120</f>
        <v>2.39</v>
      </c>
      <c r="N35" s="16" t="n">
        <f aca="false">M35+O35</f>
        <v>2.412</v>
      </c>
      <c r="O35" s="16" t="n">
        <f aca="false">RANDBETWEEN(-30,100)/1000</f>
        <v>0.022</v>
      </c>
      <c r="P35" s="17"/>
      <c r="Q35" s="18" t="n">
        <v>20</v>
      </c>
    </row>
    <row r="36" customFormat="false" ht="15" hidden="false" customHeight="false" outlineLevel="0" collapsed="false">
      <c r="A36" s="13" t="n">
        <v>16</v>
      </c>
      <c r="B36" s="14" t="s">
        <v>33</v>
      </c>
      <c r="C36" s="15" t="n">
        <f aca="false">C35+Q35</f>
        <v>474.75</v>
      </c>
      <c r="D36" s="16" t="n">
        <f aca="false">Chạy!G124</f>
        <v>2.38</v>
      </c>
      <c r="E36" s="16" t="n">
        <f aca="false">D36+F36</f>
        <v>2.373</v>
      </c>
      <c r="F36" s="16" t="n">
        <f aca="false">RANDBETWEEN(-30,100)/1000</f>
        <v>-0.007</v>
      </c>
      <c r="G36" s="16" t="n">
        <f aca="false">Chạy!I124</f>
        <v>2.38</v>
      </c>
      <c r="H36" s="16" t="n">
        <f aca="false">G36+I36</f>
        <v>2.454</v>
      </c>
      <c r="I36" s="16" t="n">
        <f aca="false">RANDBETWEEN(-30,100)/1000</f>
        <v>0.074</v>
      </c>
      <c r="J36" s="16" t="n">
        <f aca="false">Chạy!M128</f>
        <v>2.38</v>
      </c>
      <c r="K36" s="16" t="n">
        <f aca="false">J36+L36</f>
        <v>2.418</v>
      </c>
      <c r="L36" s="16" t="n">
        <f aca="false">RANDBETWEEN(-30,100)/1000</f>
        <v>0.038</v>
      </c>
      <c r="M36" s="16" t="n">
        <f aca="false">Chạy!O128</f>
        <v>2.38</v>
      </c>
      <c r="N36" s="16" t="n">
        <f aca="false">M36+O36</f>
        <v>2.447</v>
      </c>
      <c r="O36" s="16" t="n">
        <f aca="false">RANDBETWEEN(-30,100)/1000</f>
        <v>0.067</v>
      </c>
      <c r="P36" s="17"/>
      <c r="Q36" s="18" t="n">
        <v>14.44</v>
      </c>
    </row>
    <row r="37" customFormat="false" ht="15" hidden="false" customHeight="false" outlineLevel="0" collapsed="false">
      <c r="A37" s="13" t="n">
        <v>17</v>
      </c>
      <c r="B37" s="14" t="s">
        <v>34</v>
      </c>
      <c r="C37" s="15" t="n">
        <f aca="false">C36+Q36</f>
        <v>489.19</v>
      </c>
      <c r="D37" s="16" t="n">
        <f aca="false">Chạy!G132</f>
        <v>2.37</v>
      </c>
      <c r="E37" s="16" t="n">
        <f aca="false">D37+F37</f>
        <v>2.421</v>
      </c>
      <c r="F37" s="16" t="n">
        <f aca="false">RANDBETWEEN(-30,100)/1000</f>
        <v>0.051</v>
      </c>
      <c r="G37" s="16" t="n">
        <f aca="false">Chạy!I132</f>
        <v>2.37</v>
      </c>
      <c r="H37" s="16" t="n">
        <f aca="false">G37+I37</f>
        <v>2.358</v>
      </c>
      <c r="I37" s="16" t="n">
        <f aca="false">RANDBETWEEN(-30,100)/1000</f>
        <v>-0.012</v>
      </c>
      <c r="J37" s="16" t="n">
        <f aca="false">Chạy!M136</f>
        <v>2.37</v>
      </c>
      <c r="K37" s="16" t="n">
        <f aca="false">J37+L37</f>
        <v>2.448</v>
      </c>
      <c r="L37" s="16" t="n">
        <f aca="false">RANDBETWEEN(-30,100)/1000</f>
        <v>0.078</v>
      </c>
      <c r="M37" s="16" t="n">
        <f aca="false">Chạy!O136</f>
        <v>2.37</v>
      </c>
      <c r="N37" s="16" t="n">
        <f aca="false">M37+O37</f>
        <v>2.416</v>
      </c>
      <c r="O37" s="16" t="n">
        <f aca="false">RANDBETWEEN(-30,100)/1000</f>
        <v>0.046</v>
      </c>
      <c r="P37" s="17"/>
      <c r="Q37" s="18" t="n">
        <v>13.17</v>
      </c>
    </row>
    <row r="38" customFormat="false" ht="15" hidden="false" customHeight="false" outlineLevel="0" collapsed="false">
      <c r="A38" s="13" t="n">
        <v>18</v>
      </c>
      <c r="B38" s="14" t="s">
        <v>35</v>
      </c>
      <c r="C38" s="15" t="n">
        <f aca="false">C37+Q37</f>
        <v>502.36</v>
      </c>
      <c r="D38" s="16" t="n">
        <f aca="false">Chạy!G140</f>
        <v>2.36</v>
      </c>
      <c r="E38" s="16" t="n">
        <f aca="false">D38+F38</f>
        <v>2.359</v>
      </c>
      <c r="F38" s="16" t="n">
        <f aca="false">RANDBETWEEN(-30,100)/1000</f>
        <v>-0.001</v>
      </c>
      <c r="G38" s="16" t="n">
        <f aca="false">Chạy!I140</f>
        <v>2.36</v>
      </c>
      <c r="H38" s="16" t="n">
        <f aca="false">G38+I38</f>
        <v>2.388</v>
      </c>
      <c r="I38" s="16" t="n">
        <f aca="false">RANDBETWEEN(-30,100)/1000</f>
        <v>0.028</v>
      </c>
      <c r="J38" s="16" t="n">
        <f aca="false">Chạy!M144</f>
        <v>2.36</v>
      </c>
      <c r="K38" s="16" t="n">
        <f aca="false">J38+L38</f>
        <v>2.34</v>
      </c>
      <c r="L38" s="16" t="n">
        <f aca="false">RANDBETWEEN(-30,100)/1000</f>
        <v>-0.02</v>
      </c>
      <c r="M38" s="16" t="n">
        <f aca="false">Chạy!O144</f>
        <v>2.36</v>
      </c>
      <c r="N38" s="16" t="n">
        <f aca="false">M38+O38</f>
        <v>2.428</v>
      </c>
      <c r="O38" s="16" t="n">
        <f aca="false">RANDBETWEEN(-30,100)/1000</f>
        <v>0.068</v>
      </c>
      <c r="P38" s="17"/>
      <c r="Q38" s="18" t="n">
        <v>10.48</v>
      </c>
    </row>
    <row r="39" customFormat="false" ht="15" hidden="false" customHeight="false" outlineLevel="0" collapsed="false">
      <c r="A39" s="13" t="n">
        <v>19</v>
      </c>
      <c r="B39" s="14" t="s">
        <v>36</v>
      </c>
      <c r="C39" s="15" t="n">
        <f aca="false">C38+Q38</f>
        <v>512.84</v>
      </c>
      <c r="D39" s="16" t="n">
        <f aca="false">Chạy!G148</f>
        <v>2.36</v>
      </c>
      <c r="E39" s="16" t="n">
        <f aca="false">D39+F39</f>
        <v>2.346</v>
      </c>
      <c r="F39" s="16" t="n">
        <f aca="false">RANDBETWEEN(-30,100)/1000</f>
        <v>-0.014</v>
      </c>
      <c r="G39" s="16" t="n">
        <f aca="false">Chạy!I148</f>
        <v>2.36</v>
      </c>
      <c r="H39" s="16" t="n">
        <f aca="false">G39+I39</f>
        <v>2.424</v>
      </c>
      <c r="I39" s="16" t="n">
        <f aca="false">RANDBETWEEN(-30,100)/1000</f>
        <v>0.064</v>
      </c>
      <c r="J39" s="16" t="n">
        <f aca="false">Chạy!M152</f>
        <v>2.36</v>
      </c>
      <c r="K39" s="16" t="n">
        <f aca="false">J39+L39</f>
        <v>2.408</v>
      </c>
      <c r="L39" s="16" t="n">
        <f aca="false">RANDBETWEEN(-30,100)/1000</f>
        <v>0.048</v>
      </c>
      <c r="M39" s="16" t="n">
        <f aca="false">Chạy!O152</f>
        <v>2.36</v>
      </c>
      <c r="N39" s="16" t="n">
        <f aca="false">M39+O39</f>
        <v>2.409</v>
      </c>
      <c r="O39" s="16" t="n">
        <f aca="false">RANDBETWEEN(-30,100)/1000</f>
        <v>0.049</v>
      </c>
      <c r="P39" s="17"/>
      <c r="Q39" s="18" t="n">
        <v>16.78</v>
      </c>
    </row>
    <row r="40" customFormat="false" ht="15" hidden="false" customHeight="false" outlineLevel="0" collapsed="false">
      <c r="A40" s="13" t="n">
        <v>20</v>
      </c>
      <c r="B40" s="14" t="s">
        <v>37</v>
      </c>
      <c r="C40" s="15" t="n">
        <f aca="false">C39+Q39</f>
        <v>529.62</v>
      </c>
      <c r="D40" s="16" t="n">
        <f aca="false">Chạy!G156</f>
        <v>2.35</v>
      </c>
      <c r="E40" s="16" t="n">
        <f aca="false">D40+F40</f>
        <v>2.379</v>
      </c>
      <c r="F40" s="16" t="n">
        <f aca="false">RANDBETWEEN(-30,100)/1000</f>
        <v>0.029</v>
      </c>
      <c r="G40" s="16" t="n">
        <f aca="false">Chạy!I156</f>
        <v>2.35</v>
      </c>
      <c r="H40" s="16" t="n">
        <f aca="false">G40+I40</f>
        <v>2.428</v>
      </c>
      <c r="I40" s="16" t="n">
        <f aca="false">RANDBETWEEN(-30,100)/1000</f>
        <v>0.078</v>
      </c>
      <c r="J40" s="16" t="n">
        <f aca="false">Chạy!M160</f>
        <v>2.35</v>
      </c>
      <c r="K40" s="16" t="n">
        <f aca="false">J40+L40</f>
        <v>2.404</v>
      </c>
      <c r="L40" s="16" t="n">
        <f aca="false">RANDBETWEEN(-30,100)/1000</f>
        <v>0.054</v>
      </c>
      <c r="M40" s="16" t="n">
        <f aca="false">Chạy!O160</f>
        <v>2.35</v>
      </c>
      <c r="N40" s="16" t="n">
        <f aca="false">M40+O40</f>
        <v>2.34</v>
      </c>
      <c r="O40" s="16" t="n">
        <f aca="false">RANDBETWEEN(-30,100)/1000</f>
        <v>-0.01</v>
      </c>
      <c r="P40" s="17"/>
      <c r="Q40" s="18" t="n">
        <v>17.1</v>
      </c>
    </row>
    <row r="41" customFormat="false" ht="15" hidden="false" customHeight="false" outlineLevel="0" collapsed="false">
      <c r="A41" s="13" t="n">
        <v>21</v>
      </c>
      <c r="B41" s="14" t="s">
        <v>38</v>
      </c>
      <c r="C41" s="15" t="n">
        <f aca="false">C40+Q40</f>
        <v>546.72</v>
      </c>
      <c r="D41" s="16" t="n">
        <f aca="false">Chạy!G164</f>
        <v>2.34</v>
      </c>
      <c r="E41" s="16" t="n">
        <f aca="false">D41+F41</f>
        <v>2.316</v>
      </c>
      <c r="F41" s="16" t="n">
        <f aca="false">RANDBETWEEN(-30,100)/1000</f>
        <v>-0.024</v>
      </c>
      <c r="G41" s="16" t="n">
        <f aca="false">Chạy!I164</f>
        <v>2.34</v>
      </c>
      <c r="H41" s="16" t="n">
        <f aca="false">G41+I41</f>
        <v>2.4</v>
      </c>
      <c r="I41" s="16" t="n">
        <f aca="false">RANDBETWEEN(-30,100)/1000</f>
        <v>0.06</v>
      </c>
      <c r="J41" s="16" t="n">
        <f aca="false">Chạy!M168</f>
        <v>2.34</v>
      </c>
      <c r="K41" s="16" t="n">
        <f aca="false">J41+L41</f>
        <v>2.324</v>
      </c>
      <c r="L41" s="16" t="n">
        <f aca="false">RANDBETWEEN(-30,100)/1000</f>
        <v>-0.016</v>
      </c>
      <c r="M41" s="16" t="n">
        <f aca="false">Chạy!O168</f>
        <v>2.34</v>
      </c>
      <c r="N41" s="16" t="n">
        <f aca="false">M41+O41</f>
        <v>2.411</v>
      </c>
      <c r="O41" s="16" t="n">
        <f aca="false">RANDBETWEEN(-30,100)/1000</f>
        <v>0.071</v>
      </c>
      <c r="P41" s="17"/>
      <c r="Q41" s="18" t="n">
        <v>15.15</v>
      </c>
    </row>
    <row r="42" customFormat="false" ht="15" hidden="false" customHeight="false" outlineLevel="0" collapsed="false">
      <c r="A42" s="13" t="n">
        <v>22</v>
      </c>
      <c r="B42" s="14" t="s">
        <v>39</v>
      </c>
      <c r="C42" s="15" t="n">
        <f aca="false">C41+Q41</f>
        <v>561.87</v>
      </c>
      <c r="D42" s="16" t="n">
        <f aca="false">Chạy!G172</f>
        <v>2.34</v>
      </c>
      <c r="E42" s="16" t="n">
        <f aca="false">D42+F42</f>
        <v>2.413</v>
      </c>
      <c r="F42" s="16" t="n">
        <f aca="false">RANDBETWEEN(-30,100)/1000</f>
        <v>0.073</v>
      </c>
      <c r="G42" s="16" t="n">
        <f aca="false">Chạy!I172</f>
        <v>2.34</v>
      </c>
      <c r="H42" s="16" t="n">
        <f aca="false">G42+I42</f>
        <v>2.335</v>
      </c>
      <c r="I42" s="16" t="n">
        <f aca="false">RANDBETWEEN(-30,100)/1000</f>
        <v>-0.005</v>
      </c>
      <c r="J42" s="16" t="n">
        <f aca="false">Chạy!M176</f>
        <v>2.34</v>
      </c>
      <c r="K42" s="16" t="n">
        <f aca="false">J42+L42</f>
        <v>2.423</v>
      </c>
      <c r="L42" s="16" t="n">
        <f aca="false">RANDBETWEEN(-30,100)/1000</f>
        <v>0.083</v>
      </c>
      <c r="M42" s="16" t="n">
        <f aca="false">Chạy!O176</f>
        <v>2.34</v>
      </c>
      <c r="N42" s="16" t="n">
        <f aca="false">M42+O42</f>
        <v>2.349</v>
      </c>
      <c r="O42" s="16" t="n">
        <f aca="false">RANDBETWEEN(-30,100)/1000</f>
        <v>0.009</v>
      </c>
      <c r="P42" s="17"/>
      <c r="Q42" s="18" t="n">
        <v>0.15</v>
      </c>
    </row>
    <row r="43" customFormat="false" ht="15" hidden="false" customHeight="false" outlineLevel="0" collapsed="false">
      <c r="A43" s="13" t="n">
        <v>23</v>
      </c>
      <c r="B43" s="14" t="s">
        <v>40</v>
      </c>
      <c r="C43" s="15" t="n">
        <f aca="false">C42+Q42</f>
        <v>562.02</v>
      </c>
      <c r="D43" s="16" t="n">
        <f aca="false">Chạy!G180</f>
        <v>2.34</v>
      </c>
      <c r="E43" s="16" t="n">
        <f aca="false">D43+F43</f>
        <v>2.416</v>
      </c>
      <c r="F43" s="16" t="n">
        <f aca="false">RANDBETWEEN(-30,100)/1000</f>
        <v>0.076</v>
      </c>
      <c r="G43" s="16" t="n">
        <f aca="false">Chạy!I180</f>
        <v>2.34</v>
      </c>
      <c r="H43" s="16" t="n">
        <f aca="false">G43+I43</f>
        <v>2.415</v>
      </c>
      <c r="I43" s="16" t="n">
        <f aca="false">RANDBETWEEN(-30,100)/1000</f>
        <v>0.075</v>
      </c>
      <c r="J43" s="16" t="n">
        <f aca="false">Chạy!M184</f>
        <v>2.34</v>
      </c>
      <c r="K43" s="16" t="n">
        <f aca="false">J43+L43</f>
        <v>2.373</v>
      </c>
      <c r="L43" s="16" t="n">
        <f aca="false">RANDBETWEEN(-30,100)/1000</f>
        <v>0.033</v>
      </c>
      <c r="M43" s="16" t="n">
        <f aca="false">Chạy!O184</f>
        <v>2.34</v>
      </c>
      <c r="N43" s="16" t="n">
        <f aca="false">M43+O43</f>
        <v>2.341</v>
      </c>
      <c r="O43" s="16" t="n">
        <f aca="false">RANDBETWEEN(-30,100)/1000</f>
        <v>0.001</v>
      </c>
      <c r="P43" s="17"/>
      <c r="Q43" s="18" t="n">
        <v>6.55</v>
      </c>
    </row>
    <row r="44" customFormat="false" ht="15" hidden="false" customHeight="false" outlineLevel="0" collapsed="false">
      <c r="A44" s="13" t="n">
        <v>24</v>
      </c>
      <c r="B44" s="14" t="s">
        <v>41</v>
      </c>
      <c r="C44" s="15" t="n">
        <f aca="false">C43+Q43</f>
        <v>568.57</v>
      </c>
      <c r="D44" s="16" t="n">
        <f aca="false">Chạy!G188</f>
        <v>2.34</v>
      </c>
      <c r="E44" s="16" t="n">
        <f aca="false">D44+F44</f>
        <v>2.399</v>
      </c>
      <c r="F44" s="16" t="n">
        <f aca="false">RANDBETWEEN(-30,100)/1000</f>
        <v>0.059</v>
      </c>
      <c r="G44" s="16" t="n">
        <f aca="false">Chạy!I188</f>
        <v>2.34</v>
      </c>
      <c r="H44" s="16" t="n">
        <f aca="false">G44+I44</f>
        <v>2.314</v>
      </c>
      <c r="I44" s="16" t="n">
        <f aca="false">RANDBETWEEN(-30,100)/1000</f>
        <v>-0.026</v>
      </c>
      <c r="J44" s="16" t="n">
        <f aca="false">Chạy!M192</f>
        <v>2.34</v>
      </c>
      <c r="K44" s="16" t="n">
        <f aca="false">J44+L44</f>
        <v>2.329</v>
      </c>
      <c r="L44" s="16" t="n">
        <f aca="false">RANDBETWEEN(-30,100)/1000</f>
        <v>-0.011</v>
      </c>
      <c r="M44" s="16" t="n">
        <f aca="false">Chạy!O192</f>
        <v>2.34</v>
      </c>
      <c r="N44" s="16" t="n">
        <f aca="false">M44+O44</f>
        <v>2.393</v>
      </c>
      <c r="O44" s="16" t="n">
        <f aca="false">RANDBETWEEN(-30,100)/1000</f>
        <v>0.053</v>
      </c>
      <c r="P44" s="17"/>
      <c r="Q44" s="18" t="n">
        <v>6.55</v>
      </c>
    </row>
    <row r="45" customFormat="false" ht="15" hidden="false" customHeight="false" outlineLevel="0" collapsed="false">
      <c r="A45" s="13" t="n">
        <v>25</v>
      </c>
      <c r="B45" s="14" t="s">
        <v>1</v>
      </c>
      <c r="C45" s="15" t="n">
        <f aca="false">C44+Q44</f>
        <v>575.12</v>
      </c>
      <c r="D45" s="16" t="n">
        <f aca="false">Chạy!G196</f>
        <v>2.34</v>
      </c>
      <c r="E45" s="16" t="n">
        <f aca="false">D45+F45</f>
        <v>2.361</v>
      </c>
      <c r="F45" s="16" t="n">
        <f aca="false">RANDBETWEEN(-30,100)/1000</f>
        <v>0.021</v>
      </c>
      <c r="G45" s="16" t="n">
        <f aca="false">Chạy!I196</f>
        <v>2.34</v>
      </c>
      <c r="H45" s="16" t="n">
        <f aca="false">G45+I45</f>
        <v>2.364</v>
      </c>
      <c r="I45" s="16" t="n">
        <f aca="false">RANDBETWEEN(-30,100)/1000</f>
        <v>0.024</v>
      </c>
      <c r="J45" s="16" t="n">
        <f aca="false">Chạy!M200</f>
        <v>2.34</v>
      </c>
      <c r="K45" s="16" t="n">
        <f aca="false">J45+L45</f>
        <v>2.336</v>
      </c>
      <c r="L45" s="16" t="n">
        <f aca="false">RANDBETWEEN(-30,100)/1000</f>
        <v>-0.004</v>
      </c>
      <c r="M45" s="16" t="n">
        <f aca="false">Chạy!O200</f>
        <v>2.34</v>
      </c>
      <c r="N45" s="16" t="n">
        <f aca="false">M45+O45</f>
        <v>2.325</v>
      </c>
      <c r="O45" s="16" t="n">
        <f aca="false">RANDBETWEEN(-30,100)/1000</f>
        <v>-0.015</v>
      </c>
      <c r="P45" s="17"/>
      <c r="Q45" s="18" t="n">
        <v>0.04</v>
      </c>
    </row>
    <row r="46" customFormat="false" ht="15" hidden="false" customHeight="false" outlineLevel="0" collapsed="false">
      <c r="A46" s="13" t="n">
        <v>26</v>
      </c>
      <c r="B46" s="14" t="s">
        <v>42</v>
      </c>
      <c r="C46" s="15" t="n">
        <f aca="false">C45+Q45</f>
        <v>575.16</v>
      </c>
      <c r="D46" s="16" t="n">
        <f aca="false">Chạy!G204</f>
        <v>2.47</v>
      </c>
      <c r="E46" s="16" t="n">
        <f aca="false">D46+F46</f>
        <v>2.553</v>
      </c>
      <c r="F46" s="16" t="n">
        <f aca="false">RANDBETWEEN(-30,100)/1000</f>
        <v>0.083</v>
      </c>
      <c r="G46" s="16" t="n">
        <f aca="false">Chạy!I204</f>
        <v>2.47</v>
      </c>
      <c r="H46" s="16" t="n">
        <f aca="false">G46+I46</f>
        <v>2.547</v>
      </c>
      <c r="I46" s="16" t="n">
        <f aca="false">RANDBETWEEN(-30,100)/1000</f>
        <v>0.077</v>
      </c>
      <c r="J46" s="16" t="n">
        <f aca="false">Chạy!M208</f>
        <v>2.34</v>
      </c>
      <c r="K46" s="16" t="n">
        <f aca="false">J46+L46</f>
        <v>2.37</v>
      </c>
      <c r="L46" s="16" t="n">
        <f aca="false">RANDBETWEEN(-30,100)/1000</f>
        <v>0.03</v>
      </c>
      <c r="M46" s="16" t="n">
        <f aca="false">Chạy!O208</f>
        <v>2.34</v>
      </c>
      <c r="N46" s="16" t="n">
        <f aca="false">M46+O46</f>
        <v>2.433</v>
      </c>
      <c r="O46" s="16" t="n">
        <f aca="false">RANDBETWEEN(-30,100)/1000</f>
        <v>0.093</v>
      </c>
      <c r="P46" s="17"/>
      <c r="Q46" s="18" t="n">
        <v>16.95</v>
      </c>
    </row>
    <row r="47" customFormat="false" ht="15" hidden="false" customHeight="false" outlineLevel="0" collapsed="false">
      <c r="A47" s="13" t="n">
        <v>27</v>
      </c>
      <c r="B47" s="14" t="s">
        <v>43</v>
      </c>
      <c r="C47" s="15" t="n">
        <f aca="false">C46+Q46</f>
        <v>592.11</v>
      </c>
      <c r="D47" s="16" t="n">
        <f aca="false">Chạy!G212</f>
        <v>2.34</v>
      </c>
      <c r="E47" s="16" t="n">
        <f aca="false">D47+F47</f>
        <v>2.315</v>
      </c>
      <c r="F47" s="16" t="n">
        <f aca="false">RANDBETWEEN(-30,100)/1000</f>
        <v>-0.025</v>
      </c>
      <c r="G47" s="16" t="n">
        <f aca="false">Chạy!I212</f>
        <v>2.34</v>
      </c>
      <c r="H47" s="16" t="n">
        <f aca="false">G47+I47</f>
        <v>2.42</v>
      </c>
      <c r="I47" s="16" t="n">
        <f aca="false">RANDBETWEEN(-30,100)/1000</f>
        <v>0.08</v>
      </c>
      <c r="J47" s="16" t="n">
        <f aca="false">Chạy!M216</f>
        <v>2.34</v>
      </c>
      <c r="K47" s="16" t="n">
        <f aca="false">J47+L47</f>
        <v>2.353</v>
      </c>
      <c r="L47" s="16" t="n">
        <f aca="false">RANDBETWEEN(-30,100)/1000</f>
        <v>0.013</v>
      </c>
      <c r="M47" s="16" t="n">
        <f aca="false">Chạy!O216</f>
        <v>2.34</v>
      </c>
      <c r="N47" s="16" t="n">
        <f aca="false">M47+O47</f>
        <v>2.342</v>
      </c>
      <c r="O47" s="16" t="n">
        <f aca="false">RANDBETWEEN(-30,100)/1000</f>
        <v>0.002</v>
      </c>
      <c r="P47" s="17"/>
      <c r="Q47" s="18" t="n">
        <v>17</v>
      </c>
    </row>
    <row r="48" customFormat="false" ht="15" hidden="false" customHeight="false" outlineLevel="0" collapsed="false">
      <c r="A48" s="13" t="n">
        <v>28</v>
      </c>
      <c r="B48" s="14" t="s">
        <v>44</v>
      </c>
      <c r="C48" s="15" t="n">
        <f aca="false">C47+Q47</f>
        <v>609.11</v>
      </c>
      <c r="D48" s="16" t="n">
        <f aca="false">Chạy!G220</f>
        <v>2.34</v>
      </c>
      <c r="E48" s="16" t="n">
        <f aca="false">D48+F48</f>
        <v>2.367</v>
      </c>
      <c r="F48" s="16" t="n">
        <f aca="false">RANDBETWEEN(-30,100)/1000</f>
        <v>0.027</v>
      </c>
      <c r="G48" s="16" t="n">
        <f aca="false">Chạy!I220</f>
        <v>2.34</v>
      </c>
      <c r="H48" s="16" t="n">
        <f aca="false">G48+I48</f>
        <v>2.431</v>
      </c>
      <c r="I48" s="16" t="n">
        <f aca="false">RANDBETWEEN(-30,100)/1000</f>
        <v>0.091</v>
      </c>
      <c r="J48" s="16" t="n">
        <f aca="false">Chạy!M224</f>
        <v>2.34</v>
      </c>
      <c r="K48" s="16" t="n">
        <f aca="false">J48+L48</f>
        <v>2.378</v>
      </c>
      <c r="L48" s="16" t="n">
        <f aca="false">RANDBETWEEN(-30,100)/1000</f>
        <v>0.038</v>
      </c>
      <c r="M48" s="16" t="n">
        <f aca="false">Chạy!O224</f>
        <v>2.34</v>
      </c>
      <c r="N48" s="16" t="n">
        <f aca="false">M48+O48</f>
        <v>2.431</v>
      </c>
      <c r="O48" s="16" t="n">
        <f aca="false">RANDBETWEEN(-30,100)/1000</f>
        <v>0.091</v>
      </c>
      <c r="P48" s="17"/>
      <c r="Q48" s="18" t="n">
        <v>11.75</v>
      </c>
    </row>
    <row r="49" customFormat="false" ht="15" hidden="false" customHeight="false" outlineLevel="0" collapsed="false">
      <c r="A49" s="13" t="n">
        <v>29</v>
      </c>
      <c r="B49" s="14" t="s">
        <v>45</v>
      </c>
      <c r="C49" s="15" t="n">
        <f aca="false">C48+Q48</f>
        <v>620.86</v>
      </c>
      <c r="D49" s="16" t="n">
        <f aca="false">Chạy!G228</f>
        <v>2.34</v>
      </c>
      <c r="E49" s="16" t="n">
        <f aca="false">D49+F49</f>
        <v>2.355</v>
      </c>
      <c r="F49" s="16" t="n">
        <f aca="false">RANDBETWEEN(-30,100)/1000</f>
        <v>0.015</v>
      </c>
      <c r="G49" s="16" t="n">
        <f aca="false">Chạy!I228</f>
        <v>2.34</v>
      </c>
      <c r="H49" s="16" t="n">
        <f aca="false">G49+I49</f>
        <v>2.428</v>
      </c>
      <c r="I49" s="16" t="n">
        <f aca="false">RANDBETWEEN(-30,100)/1000</f>
        <v>0.088</v>
      </c>
      <c r="J49" s="16" t="n">
        <f aca="false">Chạy!M232</f>
        <v>2.34</v>
      </c>
      <c r="K49" s="16" t="n">
        <f aca="false">J49+L49</f>
        <v>2.379</v>
      </c>
      <c r="L49" s="16" t="n">
        <f aca="false">RANDBETWEEN(-30,100)/1000</f>
        <v>0.039</v>
      </c>
      <c r="M49" s="16" t="n">
        <f aca="false">Chạy!O232</f>
        <v>2.34</v>
      </c>
      <c r="N49" s="16" t="n">
        <f aca="false">M49+O49</f>
        <v>2.368</v>
      </c>
      <c r="O49" s="16" t="n">
        <f aca="false">RANDBETWEEN(-30,100)/1000</f>
        <v>0.028</v>
      </c>
      <c r="P49" s="17"/>
      <c r="Q49" s="18" t="n">
        <v>11.75</v>
      </c>
    </row>
    <row r="50" customFormat="false" ht="15" hidden="false" customHeight="false" outlineLevel="0" collapsed="false">
      <c r="A50" s="13" t="n">
        <v>30</v>
      </c>
      <c r="B50" s="14" t="s">
        <v>46</v>
      </c>
      <c r="C50" s="15" t="n">
        <f aca="false">C49+Q49</f>
        <v>632.61</v>
      </c>
      <c r="D50" s="16" t="n">
        <f aca="false">Chạy!G236</f>
        <v>2.34</v>
      </c>
      <c r="E50" s="16" t="n">
        <f aca="false">D50+F50</f>
        <v>2.397</v>
      </c>
      <c r="F50" s="16" t="n">
        <f aca="false">RANDBETWEEN(-30,100)/1000</f>
        <v>0.057</v>
      </c>
      <c r="G50" s="16" t="n">
        <f aca="false">Chạy!I236</f>
        <v>2.34</v>
      </c>
      <c r="H50" s="16" t="n">
        <f aca="false">G50+I50</f>
        <v>2.415</v>
      </c>
      <c r="I50" s="16" t="n">
        <f aca="false">RANDBETWEEN(-30,100)/1000</f>
        <v>0.075</v>
      </c>
      <c r="J50" s="16" t="n">
        <f aca="false">Chạy!M240</f>
        <v>2.34</v>
      </c>
      <c r="K50" s="16" t="n">
        <f aca="false">J50+L50</f>
        <v>2.314</v>
      </c>
      <c r="L50" s="16" t="n">
        <f aca="false">RANDBETWEEN(-30,100)/1000</f>
        <v>-0.026</v>
      </c>
      <c r="M50" s="16" t="n">
        <f aca="false">Chạy!O240</f>
        <v>2.34</v>
      </c>
      <c r="N50" s="16" t="n">
        <f aca="false">M50+O50</f>
        <v>2.389</v>
      </c>
      <c r="O50" s="16" t="n">
        <f aca="false">RANDBETWEEN(-30,100)/1000</f>
        <v>0.049</v>
      </c>
      <c r="P50" s="17"/>
      <c r="Q50" s="18" t="n">
        <v>20</v>
      </c>
    </row>
    <row r="51" customFormat="false" ht="15" hidden="false" customHeight="false" outlineLevel="0" collapsed="false">
      <c r="A51" s="13" t="n">
        <v>31</v>
      </c>
      <c r="B51" s="14" t="s">
        <v>47</v>
      </c>
      <c r="C51" s="15" t="n">
        <f aca="false">C50+Q50</f>
        <v>652.61</v>
      </c>
      <c r="D51" s="16" t="n">
        <f aca="false">Chạy!G244</f>
        <v>2.35</v>
      </c>
      <c r="E51" s="16" t="n">
        <f aca="false">D51+F51</f>
        <v>2.333</v>
      </c>
      <c r="F51" s="16" t="n">
        <f aca="false">RANDBETWEEN(-30,100)/1000</f>
        <v>-0.017</v>
      </c>
      <c r="G51" s="16" t="n">
        <f aca="false">Chạy!I244</f>
        <v>2.35</v>
      </c>
      <c r="H51" s="16" t="n">
        <f aca="false">G51+I51</f>
        <v>2.375</v>
      </c>
      <c r="I51" s="16" t="n">
        <f aca="false">RANDBETWEEN(-30,100)/1000</f>
        <v>0.025</v>
      </c>
      <c r="J51" s="16" t="n">
        <f aca="false">Chạy!M248</f>
        <v>2.35</v>
      </c>
      <c r="K51" s="16" t="n">
        <f aca="false">J51+L51</f>
        <v>2.359</v>
      </c>
      <c r="L51" s="16" t="n">
        <f aca="false">RANDBETWEEN(-30,100)/1000</f>
        <v>0.009</v>
      </c>
      <c r="M51" s="16" t="n">
        <f aca="false">Chạy!O248</f>
        <v>2.35</v>
      </c>
      <c r="N51" s="16" t="n">
        <f aca="false">M51+O51</f>
        <v>2.419</v>
      </c>
      <c r="O51" s="16" t="n">
        <f aca="false">RANDBETWEEN(-30,100)/1000</f>
        <v>0.069</v>
      </c>
      <c r="P51" s="17"/>
      <c r="Q51" s="18" t="n">
        <v>20</v>
      </c>
    </row>
    <row r="52" customFormat="false" ht="15" hidden="false" customHeight="false" outlineLevel="0" collapsed="false">
      <c r="A52" s="13" t="n">
        <v>32</v>
      </c>
      <c r="B52" s="14" t="s">
        <v>48</v>
      </c>
      <c r="C52" s="15" t="n">
        <f aca="false">C51+Q51</f>
        <v>672.61</v>
      </c>
      <c r="D52" s="16" t="n">
        <f aca="false">Chạy!G252</f>
        <v>2.35</v>
      </c>
      <c r="E52" s="16" t="n">
        <f aca="false">D52+F52</f>
        <v>2.328</v>
      </c>
      <c r="F52" s="16" t="n">
        <f aca="false">RANDBETWEEN(-30,100)/1000</f>
        <v>-0.022</v>
      </c>
      <c r="G52" s="16" t="n">
        <f aca="false">Chạy!I252</f>
        <v>2.35</v>
      </c>
      <c r="H52" s="16" t="n">
        <f aca="false">G52+I52</f>
        <v>2.411</v>
      </c>
      <c r="I52" s="16" t="n">
        <f aca="false">RANDBETWEEN(-30,100)/1000</f>
        <v>0.061</v>
      </c>
      <c r="J52" s="16" t="n">
        <f aca="false">Chạy!M256</f>
        <v>2.35</v>
      </c>
      <c r="K52" s="16" t="n">
        <f aca="false">J52+L52</f>
        <v>2.428</v>
      </c>
      <c r="L52" s="16" t="n">
        <f aca="false">RANDBETWEEN(-30,100)/1000</f>
        <v>0.078</v>
      </c>
      <c r="M52" s="16" t="n">
        <f aca="false">Chạy!O256</f>
        <v>2.35</v>
      </c>
      <c r="N52" s="16" t="n">
        <f aca="false">M52+O52</f>
        <v>2.388</v>
      </c>
      <c r="O52" s="16" t="n">
        <f aca="false">RANDBETWEEN(-30,100)/1000</f>
        <v>0.038</v>
      </c>
      <c r="P52" s="17"/>
      <c r="Q52" s="18" t="n">
        <v>20</v>
      </c>
    </row>
    <row r="53" customFormat="false" ht="15" hidden="false" customHeight="false" outlineLevel="0" collapsed="false">
      <c r="A53" s="13" t="n">
        <v>33</v>
      </c>
      <c r="B53" s="14" t="s">
        <v>49</v>
      </c>
      <c r="C53" s="15" t="n">
        <f aca="false">C52+Q52</f>
        <v>692.61</v>
      </c>
      <c r="D53" s="16" t="n">
        <f aca="false">Chạy!G260</f>
        <v>2.35</v>
      </c>
      <c r="E53" s="16" t="n">
        <f aca="false">D53+F53</f>
        <v>2.442</v>
      </c>
      <c r="F53" s="16" t="n">
        <f aca="false">RANDBETWEEN(-30,100)/1000</f>
        <v>0.092</v>
      </c>
      <c r="G53" s="16" t="n">
        <f aca="false">Chạy!I260</f>
        <v>2.35</v>
      </c>
      <c r="H53" s="16" t="n">
        <f aca="false">G53+I53</f>
        <v>2.393</v>
      </c>
      <c r="I53" s="16" t="n">
        <f aca="false">RANDBETWEEN(-30,100)/1000</f>
        <v>0.043</v>
      </c>
      <c r="J53" s="16" t="n">
        <f aca="false">Chạy!M264</f>
        <v>2.35</v>
      </c>
      <c r="K53" s="16" t="n">
        <f aca="false">J53+L53</f>
        <v>2.428</v>
      </c>
      <c r="L53" s="16" t="n">
        <f aca="false">RANDBETWEEN(-30,100)/1000</f>
        <v>0.078</v>
      </c>
      <c r="M53" s="16" t="n">
        <f aca="false">Chạy!O264</f>
        <v>2.35</v>
      </c>
      <c r="N53" s="16" t="n">
        <f aca="false">M53+O53</f>
        <v>2.335</v>
      </c>
      <c r="O53" s="16" t="n">
        <f aca="false">RANDBETWEEN(-30,100)/1000</f>
        <v>-0.015</v>
      </c>
      <c r="P53" s="17"/>
      <c r="Q53" s="18" t="n">
        <v>20</v>
      </c>
    </row>
    <row r="54" customFormat="false" ht="15" hidden="false" customHeight="false" outlineLevel="0" collapsed="false">
      <c r="A54" s="13" t="n">
        <v>34</v>
      </c>
      <c r="B54" s="14" t="s">
        <v>50</v>
      </c>
      <c r="C54" s="15" t="n">
        <f aca="false">C53+Q53</f>
        <v>712.61</v>
      </c>
      <c r="D54" s="16" t="n">
        <f aca="false">Chạy!G268</f>
        <v>2.35</v>
      </c>
      <c r="E54" s="16" t="n">
        <f aca="false">D54+F54</f>
        <v>2.373</v>
      </c>
      <c r="F54" s="16" t="n">
        <f aca="false">RANDBETWEEN(-30,100)/1000</f>
        <v>0.023</v>
      </c>
      <c r="G54" s="16" t="n">
        <f aca="false">Chạy!I268</f>
        <v>2.35</v>
      </c>
      <c r="H54" s="16" t="n">
        <f aca="false">G54+I54</f>
        <v>2.322</v>
      </c>
      <c r="I54" s="16" t="n">
        <f aca="false">RANDBETWEEN(-30,100)/1000</f>
        <v>-0.028</v>
      </c>
      <c r="J54" s="16" t="n">
        <f aca="false">Chạy!M272</f>
        <v>2.35</v>
      </c>
      <c r="K54" s="16" t="n">
        <f aca="false">J54+L54</f>
        <v>2.443</v>
      </c>
      <c r="L54" s="16" t="n">
        <f aca="false">RANDBETWEEN(-30,100)/1000</f>
        <v>0.093</v>
      </c>
      <c r="M54" s="16" t="n">
        <f aca="false">Chạy!O272</f>
        <v>2.35</v>
      </c>
      <c r="N54" s="16" t="n">
        <f aca="false">M54+O54</f>
        <v>2.426</v>
      </c>
      <c r="O54" s="16" t="n">
        <f aca="false">RANDBETWEEN(-30,100)/1000</f>
        <v>0.076</v>
      </c>
      <c r="P54" s="17"/>
      <c r="Q54" s="18" t="n">
        <v>11.5</v>
      </c>
    </row>
    <row r="55" customFormat="false" ht="15" hidden="false" customHeight="false" outlineLevel="0" collapsed="false">
      <c r="A55" s="13" t="n">
        <v>35</v>
      </c>
      <c r="B55" s="14" t="s">
        <v>51</v>
      </c>
      <c r="C55" s="15" t="n">
        <f aca="false">C54+Q54</f>
        <v>724.11</v>
      </c>
      <c r="D55" s="16" t="n">
        <f aca="false">Chạy!G276</f>
        <v>2.35</v>
      </c>
      <c r="E55" s="16" t="n">
        <f aca="false">D55+F55</f>
        <v>2.382</v>
      </c>
      <c r="F55" s="16" t="n">
        <f aca="false">RANDBETWEEN(-30,100)/1000</f>
        <v>0.032</v>
      </c>
      <c r="G55" s="16" t="n">
        <f aca="false">Chạy!I276</f>
        <v>2.35</v>
      </c>
      <c r="H55" s="16" t="n">
        <f aca="false">G55+I55</f>
        <v>2.405</v>
      </c>
      <c r="I55" s="16" t="n">
        <f aca="false">RANDBETWEEN(-30,100)/1000</f>
        <v>0.055</v>
      </c>
      <c r="J55" s="16" t="n">
        <f aca="false">Chạy!M280</f>
        <v>2.35</v>
      </c>
      <c r="K55" s="16" t="n">
        <f aca="false">J55+L55</f>
        <v>2.385</v>
      </c>
      <c r="L55" s="16" t="n">
        <f aca="false">RANDBETWEEN(-30,100)/1000</f>
        <v>0.035</v>
      </c>
      <c r="M55" s="16" t="n">
        <f aca="false">Chạy!O280</f>
        <v>2.35</v>
      </c>
      <c r="N55" s="16" t="n">
        <f aca="false">M55+O55</f>
        <v>2.423</v>
      </c>
      <c r="O55" s="16" t="n">
        <f aca="false">RANDBETWEEN(-30,100)/1000</f>
        <v>0.073</v>
      </c>
      <c r="P55" s="17"/>
      <c r="Q55" s="18" t="n">
        <v>13.25</v>
      </c>
    </row>
    <row r="56" customFormat="false" ht="15" hidden="false" customHeight="false" outlineLevel="0" collapsed="false">
      <c r="A56" s="13" t="n">
        <v>36</v>
      </c>
      <c r="B56" s="14" t="s">
        <v>52</v>
      </c>
      <c r="C56" s="15" t="n">
        <f aca="false">C55+Q55</f>
        <v>737.36</v>
      </c>
      <c r="D56" s="16" t="n">
        <f aca="false">Chạy!G284</f>
        <v>2.36</v>
      </c>
      <c r="E56" s="16" t="n">
        <f aca="false">D56+F56</f>
        <v>2.407</v>
      </c>
      <c r="F56" s="16" t="n">
        <f aca="false">RANDBETWEEN(-30,100)/1000</f>
        <v>0.047</v>
      </c>
      <c r="G56" s="16" t="n">
        <f aca="false">Chạy!I284</f>
        <v>2.36</v>
      </c>
      <c r="H56" s="16" t="n">
        <f aca="false">G56+I56</f>
        <v>2.34</v>
      </c>
      <c r="I56" s="16" t="n">
        <f aca="false">RANDBETWEEN(-30,100)/1000</f>
        <v>-0.02</v>
      </c>
      <c r="J56" s="16" t="n">
        <f aca="false">Chạy!M288</f>
        <v>2.36</v>
      </c>
      <c r="K56" s="16" t="n">
        <f aca="false">J56+L56</f>
        <v>2.353</v>
      </c>
      <c r="L56" s="16" t="n">
        <f aca="false">RANDBETWEEN(-30,100)/1000</f>
        <v>-0.007</v>
      </c>
      <c r="M56" s="16" t="n">
        <f aca="false">Chạy!O288</f>
        <v>2.36</v>
      </c>
      <c r="N56" s="16" t="n">
        <f aca="false">M56+O56</f>
        <v>2.359</v>
      </c>
      <c r="O56" s="16" t="n">
        <f aca="false">RANDBETWEEN(-30,100)/1000</f>
        <v>-0.001</v>
      </c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73</v>
      </c>
      <c r="D60" s="19"/>
      <c r="E60" s="19"/>
      <c r="F60" s="19"/>
      <c r="G60" s="20"/>
      <c r="H60" s="20"/>
      <c r="I60" s="20"/>
      <c r="K60" s="19" t="s">
        <v>74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75</v>
      </c>
      <c r="D65" s="19"/>
      <c r="E65" s="19"/>
      <c r="F65" s="19"/>
      <c r="G65" s="20"/>
      <c r="H65" s="20"/>
      <c r="I65" s="20"/>
      <c r="J65" s="21"/>
      <c r="K65" s="19" t="s">
        <v>76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77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">
        <v>83</v>
      </c>
      <c r="B2" s="27"/>
      <c r="C2" s="27"/>
      <c r="D2" s="27"/>
      <c r="E2" s="27"/>
      <c r="F2" s="27"/>
      <c r="G2" s="27"/>
    </row>
    <row r="3" s="30" customFormat="true" ht="37.5" hidden="false" customHeight="true" outlineLevel="0" collapsed="false">
      <c r="A3" s="28" t="s">
        <v>55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56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57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58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59</v>
      </c>
      <c r="B7" s="32"/>
      <c r="C7" s="33"/>
      <c r="D7" s="34" t="s">
        <v>84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63</v>
      </c>
      <c r="C9" s="36" t="s">
        <v>64</v>
      </c>
      <c r="D9" s="37" t="s">
        <v>78</v>
      </c>
      <c r="E9" s="38"/>
      <c r="F9" s="38"/>
      <c r="G9" s="37" t="s">
        <v>69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79</v>
      </c>
      <c r="F10" s="38" t="s">
        <v>80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B4</v>
      </c>
      <c r="C11" s="15" t="n">
        <f aca="false">'1. KTHH L2'!C21</f>
        <v>211</v>
      </c>
      <c r="D11" s="13" t="n">
        <f aca="false">'1. KTHH L2'!Q21</f>
        <v>13.25</v>
      </c>
      <c r="E11" s="42" t="n">
        <f aca="false">Chạy!E4+Chạy!E8</f>
        <v>3.06</v>
      </c>
      <c r="F11" s="43" t="n">
        <f aca="false">(E11+E12)*D11/2</f>
        <v>40.545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12</v>
      </c>
      <c r="C12" s="15" t="n">
        <f aca="false">'1. KTHH L2'!C22</f>
        <v>224.25</v>
      </c>
      <c r="D12" s="13" t="n">
        <f aca="false">'1. KTHH L2'!Q22</f>
        <v>21.5</v>
      </c>
      <c r="E12" s="42" t="n">
        <f aca="false">Chạy!E12+Chạy!E16</f>
        <v>3.06</v>
      </c>
      <c r="F12" s="43" t="n">
        <f aca="false">(E12+E13)*D12/2</f>
        <v>65.79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13</v>
      </c>
      <c r="C13" s="15" t="n">
        <f aca="false">'1. KTHH L2'!C23</f>
        <v>245.75</v>
      </c>
      <c r="D13" s="13" t="n">
        <f aca="false">'1. KTHH L2'!Q23</f>
        <v>11.75</v>
      </c>
      <c r="E13" s="42" t="n">
        <f aca="false">Chạy!E20+Chạy!E24</f>
        <v>3.06</v>
      </c>
      <c r="F13" s="43" t="n">
        <f aca="false">(E13+E14)*D13/2</f>
        <v>35.955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B5</v>
      </c>
      <c r="C14" s="15" t="n">
        <f aca="false">'1. KTHH L2'!C24</f>
        <v>257.5</v>
      </c>
      <c r="D14" s="13" t="n">
        <f aca="false">'1. KTHH L2'!Q24</f>
        <v>11.75</v>
      </c>
      <c r="E14" s="42" t="n">
        <f aca="false">Chạy!E28+Chạy!E32</f>
        <v>3.06</v>
      </c>
      <c r="F14" s="43" t="n">
        <f aca="false">(E14+E15)*D14/2</f>
        <v>35.955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14</v>
      </c>
      <c r="C15" s="15" t="n">
        <f aca="false">'1. KTHH L2'!C25</f>
        <v>269.25</v>
      </c>
      <c r="D15" s="13" t="n">
        <f aca="false">'1. KTHH L2'!Q25</f>
        <v>20</v>
      </c>
      <c r="E15" s="42" t="n">
        <f aca="false">Chạy!E36+Chạy!E40</f>
        <v>3.06</v>
      </c>
      <c r="F15" s="43" t="n">
        <f aca="false">(E15+E16)*D15/2</f>
        <v>61.2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15</v>
      </c>
      <c r="C16" s="15" t="n">
        <f aca="false">'1. KTHH L2'!C26</f>
        <v>289.25</v>
      </c>
      <c r="D16" s="13" t="n">
        <f aca="false">'1. KTHH L2'!Q26</f>
        <v>20</v>
      </c>
      <c r="E16" s="42" t="n">
        <f aca="false">Chạy!E44+Chạy!E48</f>
        <v>3.06</v>
      </c>
      <c r="F16" s="43" t="n">
        <f aca="false">(E16+E17)*D16/2</f>
        <v>55.4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16</v>
      </c>
      <c r="C17" s="15" t="n">
        <f aca="false">'1. KTHH L2'!C27</f>
        <v>309.25</v>
      </c>
      <c r="D17" s="13" t="n">
        <f aca="false">'1. KTHH L2'!Q27</f>
        <v>20</v>
      </c>
      <c r="E17" s="42" t="n">
        <f aca="false">Chạy!E52+Chạy!E56</f>
        <v>2.48</v>
      </c>
      <c r="F17" s="43" t="n">
        <f aca="false">(E17+E18)*D17/2</f>
        <v>51.5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17</v>
      </c>
      <c r="C18" s="15" t="n">
        <f aca="false">'1. KTHH L2'!C28</f>
        <v>329.25</v>
      </c>
      <c r="D18" s="13" t="n">
        <f aca="false">'1. KTHH L2'!Q28</f>
        <v>20</v>
      </c>
      <c r="E18" s="42" t="n">
        <f aca="false">Chạy!E60+Chạy!E64</f>
        <v>2.67</v>
      </c>
      <c r="F18" s="43" t="n">
        <f aca="false">(E18+E19)*D18/2</f>
        <v>57.3</v>
      </c>
      <c r="G18" s="44"/>
      <c r="H18" s="40"/>
      <c r="I18" s="40"/>
    </row>
    <row r="19" s="41" customFormat="true" ht="15" hidden="false" customHeight="true" outlineLevel="0" collapsed="false">
      <c r="A19" s="13" t="n">
        <v>9</v>
      </c>
      <c r="B19" s="14" t="str">
        <f aca="false">'1. KTHH L2'!B29</f>
        <v>18</v>
      </c>
      <c r="C19" s="15" t="n">
        <f aca="false">'1. KTHH L2'!C29</f>
        <v>349.25</v>
      </c>
      <c r="D19" s="13" t="n">
        <f aca="false">'1. KTHH L2'!Q29</f>
        <v>19</v>
      </c>
      <c r="E19" s="42" t="n">
        <f aca="false">Chạy!E68+Chạy!E72</f>
        <v>3.06</v>
      </c>
      <c r="F19" s="43" t="n">
        <f aca="false">(E19+E20)*D19/2</f>
        <v>58.14</v>
      </c>
      <c r="G19" s="44"/>
      <c r="H19" s="40"/>
      <c r="I19" s="40"/>
    </row>
    <row r="20" s="41" customFormat="true" ht="15" hidden="false" customHeight="true" outlineLevel="0" collapsed="false">
      <c r="A20" s="13" t="n">
        <v>10</v>
      </c>
      <c r="B20" s="14" t="str">
        <f aca="false">'1. KTHH L2'!B30</f>
        <v>19</v>
      </c>
      <c r="C20" s="15" t="n">
        <f aca="false">'1. KTHH L2'!C30</f>
        <v>368.25</v>
      </c>
      <c r="D20" s="13" t="n">
        <f aca="false">'1. KTHH L2'!Q30</f>
        <v>13.25</v>
      </c>
      <c r="E20" s="42" t="n">
        <f aca="false">Chạy!E76+Chạy!E80</f>
        <v>3.06</v>
      </c>
      <c r="F20" s="43" t="n">
        <f aca="false">(E20+E21)*D20/2</f>
        <v>40.545</v>
      </c>
      <c r="G20" s="44"/>
      <c r="H20" s="40"/>
      <c r="I20" s="40"/>
    </row>
    <row r="21" s="41" customFormat="true" ht="15" hidden="false" customHeight="true" outlineLevel="0" collapsed="false">
      <c r="A21" s="13" t="n">
        <v>11</v>
      </c>
      <c r="B21" s="14" t="str">
        <f aca="false">'1. KTHH L2'!B31</f>
        <v>C2</v>
      </c>
      <c r="C21" s="15" t="n">
        <f aca="false">'1. KTHH L2'!C31</f>
        <v>381.5</v>
      </c>
      <c r="D21" s="13" t="n">
        <f aca="false">'1. KTHH L2'!Q31</f>
        <v>13.25</v>
      </c>
      <c r="E21" s="42" t="n">
        <f aca="false">Chạy!E84+Chạy!E88</f>
        <v>3.06</v>
      </c>
      <c r="F21" s="43" t="n">
        <f aca="false">(E21+E22)*D21/2</f>
        <v>40.545</v>
      </c>
      <c r="G21" s="44"/>
      <c r="H21" s="40"/>
      <c r="I21" s="40"/>
    </row>
    <row r="22" s="41" customFormat="true" ht="15" hidden="false" customHeight="true" outlineLevel="0" collapsed="false">
      <c r="A22" s="13" t="n">
        <v>12</v>
      </c>
      <c r="B22" s="14" t="str">
        <f aca="false">'1. KTHH L2'!B32</f>
        <v>20</v>
      </c>
      <c r="C22" s="15" t="n">
        <f aca="false">'1. KTHH L2'!C32</f>
        <v>394.75</v>
      </c>
      <c r="D22" s="13" t="n">
        <f aca="false">'1. KTHH L2'!Q32</f>
        <v>20</v>
      </c>
      <c r="E22" s="42" t="n">
        <f aca="false">Chạy!E92+Chạy!E96</f>
        <v>3.06</v>
      </c>
      <c r="F22" s="43" t="n">
        <f aca="false">(E22+E23)*D22/2</f>
        <v>61.2</v>
      </c>
      <c r="G22" s="44"/>
      <c r="H22" s="40"/>
      <c r="I22" s="40"/>
    </row>
    <row r="23" s="41" customFormat="true" ht="15" hidden="false" customHeight="true" outlineLevel="0" collapsed="false">
      <c r="A23" s="13" t="n">
        <v>13</v>
      </c>
      <c r="B23" s="14" t="str">
        <f aca="false">'1. KTHH L2'!B33</f>
        <v>21</v>
      </c>
      <c r="C23" s="15" t="n">
        <f aca="false">'1. KTHH L2'!C33</f>
        <v>414.75</v>
      </c>
      <c r="D23" s="13" t="n">
        <f aca="false">'1. KTHH L2'!Q33</f>
        <v>20</v>
      </c>
      <c r="E23" s="42" t="n">
        <f aca="false">Chạy!E100+Chạy!E104</f>
        <v>3.06</v>
      </c>
      <c r="F23" s="43" t="n">
        <f aca="false">(E23+E24)*D23/2</f>
        <v>61.2</v>
      </c>
      <c r="G23" s="44"/>
      <c r="H23" s="40"/>
      <c r="I23" s="40"/>
    </row>
    <row r="24" s="41" customFormat="true" ht="15" hidden="false" customHeight="true" outlineLevel="0" collapsed="false">
      <c r="A24" s="13" t="n">
        <v>14</v>
      </c>
      <c r="B24" s="14" t="str">
        <f aca="false">'1. KTHH L2'!B34</f>
        <v>22</v>
      </c>
      <c r="C24" s="15" t="n">
        <f aca="false">'1. KTHH L2'!C34</f>
        <v>434.75</v>
      </c>
      <c r="D24" s="13" t="n">
        <f aca="false">'1. KTHH L2'!Q34</f>
        <v>20</v>
      </c>
      <c r="E24" s="42" t="n">
        <f aca="false">Chạy!E108+Chạy!E112</f>
        <v>3.06</v>
      </c>
      <c r="F24" s="43" t="n">
        <f aca="false">(E24+E25)*D24/2</f>
        <v>61.2</v>
      </c>
      <c r="G24" s="44"/>
      <c r="H24" s="40"/>
      <c r="I24" s="40"/>
    </row>
    <row r="25" s="41" customFormat="true" ht="15" hidden="false" customHeight="true" outlineLevel="0" collapsed="false">
      <c r="A25" s="13" t="n">
        <v>15</v>
      </c>
      <c r="B25" s="14" t="str">
        <f aca="false">'1. KTHH L2'!B35</f>
        <v>23</v>
      </c>
      <c r="C25" s="15" t="n">
        <f aca="false">'1. KTHH L2'!C35</f>
        <v>454.75</v>
      </c>
      <c r="D25" s="13" t="n">
        <f aca="false">'1. KTHH L2'!Q35</f>
        <v>20</v>
      </c>
      <c r="E25" s="42" t="n">
        <f aca="false">Chạy!E116+Chạy!E120</f>
        <v>3.06</v>
      </c>
      <c r="F25" s="43" t="n">
        <f aca="false">(E25+E26)*D25/2</f>
        <v>61.2</v>
      </c>
      <c r="G25" s="44"/>
      <c r="H25" s="40"/>
      <c r="I25" s="40"/>
    </row>
    <row r="26" s="41" customFormat="true" ht="15" hidden="false" customHeight="true" outlineLevel="0" collapsed="false">
      <c r="A26" s="13" t="n">
        <v>16</v>
      </c>
      <c r="B26" s="14" t="str">
        <f aca="false">'1. KTHH L2'!B36</f>
        <v>24</v>
      </c>
      <c r="C26" s="15" t="n">
        <f aca="false">'1. KTHH L2'!C36</f>
        <v>474.75</v>
      </c>
      <c r="D26" s="13" t="n">
        <f aca="false">'1. KTHH L2'!Q36</f>
        <v>14.44</v>
      </c>
      <c r="E26" s="42" t="n">
        <f aca="false">Chạy!E124+Chạy!E128</f>
        <v>3.06</v>
      </c>
      <c r="F26" s="43" t="n">
        <f aca="false">(E26+E27)*D26/2</f>
        <v>44.1864</v>
      </c>
      <c r="G26" s="44"/>
      <c r="H26" s="40"/>
      <c r="I26" s="40"/>
    </row>
    <row r="27" s="41" customFormat="true" ht="15" hidden="false" customHeight="true" outlineLevel="0" collapsed="false">
      <c r="A27" s="13" t="n">
        <v>17</v>
      </c>
      <c r="B27" s="14" t="str">
        <f aca="false">'1. KTHH L2'!B37</f>
        <v>25</v>
      </c>
      <c r="C27" s="15" t="n">
        <f aca="false">'1. KTHH L2'!C37</f>
        <v>489.19</v>
      </c>
      <c r="D27" s="13" t="n">
        <f aca="false">'1. KTHH L2'!Q37</f>
        <v>13.17</v>
      </c>
      <c r="E27" s="42" t="n">
        <f aca="false">Chạy!E132+Chạy!E136</f>
        <v>3.06</v>
      </c>
      <c r="F27" s="43" t="n">
        <f aca="false">(E27+E28)*D27/2</f>
        <v>40.3002</v>
      </c>
      <c r="G27" s="44"/>
      <c r="H27" s="40"/>
      <c r="I27" s="40"/>
    </row>
    <row r="28" s="41" customFormat="true" ht="15" hidden="false" customHeight="true" outlineLevel="0" collapsed="false">
      <c r="A28" s="13" t="n">
        <v>18</v>
      </c>
      <c r="B28" s="14" t="str">
        <f aca="false">'1. KTHH L2'!B38</f>
        <v>D1</v>
      </c>
      <c r="C28" s="15" t="n">
        <f aca="false">'1. KTHH L2'!C38</f>
        <v>502.36</v>
      </c>
      <c r="D28" s="13" t="n">
        <f aca="false">'1. KTHH L2'!Q38</f>
        <v>10.48</v>
      </c>
      <c r="E28" s="42" t="n">
        <f aca="false">Chạy!E140+Chạy!E144</f>
        <v>3.06</v>
      </c>
      <c r="F28" s="43" t="n">
        <f aca="false">(E28+E29)*D28/2</f>
        <v>32.0688</v>
      </c>
      <c r="G28" s="44"/>
      <c r="H28" s="40"/>
      <c r="I28" s="40"/>
    </row>
    <row r="29" s="41" customFormat="true" ht="15" hidden="false" customHeight="true" outlineLevel="0" collapsed="false">
      <c r="A29" s="13" t="n">
        <v>19</v>
      </c>
      <c r="B29" s="14" t="str">
        <f aca="false">'1. KTHH L2'!B39</f>
        <v>26</v>
      </c>
      <c r="C29" s="15" t="n">
        <f aca="false">'1. KTHH L2'!C39</f>
        <v>512.84</v>
      </c>
      <c r="D29" s="13" t="n">
        <f aca="false">'1. KTHH L2'!Q39</f>
        <v>16.78</v>
      </c>
      <c r="E29" s="42" t="n">
        <f aca="false">Chạy!E148+Chạy!E152</f>
        <v>3.06</v>
      </c>
      <c r="F29" s="43" t="n">
        <f aca="false">(E29+E30)*D29/2</f>
        <v>51.3468</v>
      </c>
      <c r="G29" s="44"/>
      <c r="H29" s="40"/>
      <c r="I29" s="40"/>
    </row>
    <row r="30" s="41" customFormat="true" ht="15" hidden="false" customHeight="true" outlineLevel="0" collapsed="false">
      <c r="A30" s="13" t="n">
        <v>20</v>
      </c>
      <c r="B30" s="14" t="str">
        <f aca="false">'1. KTHH L2'!B40</f>
        <v>27</v>
      </c>
      <c r="C30" s="15" t="n">
        <f aca="false">'1. KTHH L2'!C40</f>
        <v>529.62</v>
      </c>
      <c r="D30" s="13" t="n">
        <f aca="false">'1. KTHH L2'!Q40</f>
        <v>17.1</v>
      </c>
      <c r="E30" s="42" t="n">
        <f aca="false">Chạy!E156+Chạy!E160</f>
        <v>3.06</v>
      </c>
      <c r="F30" s="43" t="n">
        <f aca="false">(E30+E31)*D30/2</f>
        <v>52.326</v>
      </c>
      <c r="G30" s="44"/>
      <c r="H30" s="40"/>
      <c r="I30" s="40"/>
    </row>
    <row r="31" s="41" customFormat="true" ht="15" hidden="false" customHeight="true" outlineLevel="0" collapsed="false">
      <c r="A31" s="13" t="n">
        <v>21</v>
      </c>
      <c r="B31" s="14" t="str">
        <f aca="false">'1. KTHH L2'!B41</f>
        <v>28</v>
      </c>
      <c r="C31" s="15" t="n">
        <f aca="false">'1. KTHH L2'!C41</f>
        <v>546.72</v>
      </c>
      <c r="D31" s="13" t="n">
        <f aca="false">'1. KTHH L2'!Q41</f>
        <v>15.15</v>
      </c>
      <c r="E31" s="42" t="n">
        <f aca="false">Chạy!E164+Chạy!E168</f>
        <v>3.06</v>
      </c>
      <c r="F31" s="43" t="n">
        <f aca="false">(E31+E32)*D31/2</f>
        <v>46.359</v>
      </c>
      <c r="G31" s="44"/>
      <c r="H31" s="40"/>
      <c r="I31" s="40"/>
    </row>
    <row r="32" s="41" customFormat="true" ht="15" hidden="false" customHeight="true" outlineLevel="0" collapsed="false">
      <c r="A32" s="13" t="n">
        <v>22</v>
      </c>
      <c r="B32" s="14" t="str">
        <f aca="false">'1. KTHH L2'!B42</f>
        <v>E5</v>
      </c>
      <c r="C32" s="15" t="n">
        <f aca="false">'1. KTHH L2'!C42</f>
        <v>561.87</v>
      </c>
      <c r="D32" s="13" t="n">
        <f aca="false">'1. KTHH L2'!Q42</f>
        <v>0.15</v>
      </c>
      <c r="E32" s="42" t="n">
        <f aca="false">Chạy!E172+Chạy!E176</f>
        <v>3.06</v>
      </c>
      <c r="F32" s="43" t="n">
        <f aca="false">(E32+E33)*D32/2</f>
        <v>0.459</v>
      </c>
      <c r="G32" s="44"/>
      <c r="H32" s="40"/>
      <c r="I32" s="40"/>
    </row>
    <row r="33" s="41" customFormat="true" ht="15" hidden="false" customHeight="true" outlineLevel="0" collapsed="false">
      <c r="A33" s="13" t="n">
        <v>23</v>
      </c>
      <c r="B33" s="14" t="str">
        <f aca="false">'1. KTHH L2'!B43</f>
        <v>TD</v>
      </c>
      <c r="C33" s="15" t="n">
        <f aca="false">'1. KTHH L2'!C43</f>
        <v>562.02</v>
      </c>
      <c r="D33" s="13" t="n">
        <f aca="false">'1. KTHH L2'!Q43</f>
        <v>6.55</v>
      </c>
      <c r="E33" s="42" t="n">
        <f aca="false">Chạy!E180+Chạy!E184</f>
        <v>3.06</v>
      </c>
      <c r="F33" s="43" t="n">
        <f aca="false">(E33+E34)*D33/2</f>
        <v>20.043</v>
      </c>
      <c r="G33" s="44"/>
      <c r="H33" s="40"/>
      <c r="I33" s="40"/>
    </row>
    <row r="34" s="41" customFormat="true" ht="15" hidden="false" customHeight="true" outlineLevel="0" collapsed="false">
      <c r="A34" s="13" t="n">
        <v>24</v>
      </c>
      <c r="B34" s="14" t="str">
        <f aca="false">'1. KTHH L2'!B44</f>
        <v>P</v>
      </c>
      <c r="C34" s="15" t="n">
        <f aca="false">'1. KTHH L2'!C44</f>
        <v>568.57</v>
      </c>
      <c r="D34" s="13" t="n">
        <f aca="false">'1. KTHH L2'!Q44</f>
        <v>6.55</v>
      </c>
      <c r="E34" s="42" t="n">
        <f aca="false">Chạy!E188+Chạy!E192</f>
        <v>3.06</v>
      </c>
      <c r="F34" s="43" t="n">
        <f aca="false">(E34+E35)*D34/2</f>
        <v>20.043</v>
      </c>
      <c r="G34" s="44"/>
      <c r="H34" s="40"/>
      <c r="I34" s="40"/>
    </row>
    <row r="35" s="41" customFormat="true" ht="15" hidden="false" customHeight="true" outlineLevel="0" collapsed="false">
      <c r="A35" s="13" t="n">
        <v>25</v>
      </c>
      <c r="B35" s="14" t="str">
        <f aca="false">'1. KTHH L2'!B45</f>
        <v>TC</v>
      </c>
      <c r="C35" s="15" t="n">
        <f aca="false">'1. KTHH L2'!C45</f>
        <v>575.12</v>
      </c>
      <c r="D35" s="13" t="n">
        <f aca="false">'1. KTHH L2'!Q45</f>
        <v>0.04</v>
      </c>
      <c r="E35" s="42" t="n">
        <f aca="false">Chạy!E196+Chạy!E200</f>
        <v>3.06</v>
      </c>
      <c r="F35" s="43" t="n">
        <f aca="false">(E35+E36)*D35/2</f>
        <v>0.1224</v>
      </c>
      <c r="G35" s="44"/>
      <c r="H35" s="40"/>
      <c r="I35" s="40"/>
    </row>
    <row r="36" s="41" customFormat="true" ht="15" hidden="false" customHeight="true" outlineLevel="0" collapsed="false">
      <c r="A36" s="13" t="n">
        <v>26</v>
      </c>
      <c r="B36" s="14" t="str">
        <f aca="false">'1. KTHH L2'!B46</f>
        <v>29</v>
      </c>
      <c r="C36" s="15" t="n">
        <f aca="false">'1. KTHH L2'!C46</f>
        <v>575.16</v>
      </c>
      <c r="D36" s="13" t="n">
        <f aca="false">'1. KTHH L2'!Q46</f>
        <v>16.95</v>
      </c>
      <c r="E36" s="42" t="n">
        <f aca="false">Chạy!E204+Chạy!E208</f>
        <v>3.06</v>
      </c>
      <c r="F36" s="43" t="n">
        <f aca="false">(E36+E37)*D36/2</f>
        <v>51.867</v>
      </c>
      <c r="G36" s="44"/>
      <c r="H36" s="40"/>
      <c r="I36" s="40"/>
    </row>
    <row r="37" s="41" customFormat="true" ht="15" hidden="false" customHeight="true" outlineLevel="0" collapsed="false">
      <c r="A37" s="13" t="n">
        <v>27</v>
      </c>
      <c r="B37" s="14" t="str">
        <f aca="false">'1. KTHH L2'!B47</f>
        <v>30</v>
      </c>
      <c r="C37" s="15" t="n">
        <f aca="false">'1. KTHH L2'!C47</f>
        <v>592.11</v>
      </c>
      <c r="D37" s="13" t="n">
        <f aca="false">'1. KTHH L2'!Q47</f>
        <v>17</v>
      </c>
      <c r="E37" s="42" t="n">
        <f aca="false">Chạy!E212+Chạy!E216</f>
        <v>3.06</v>
      </c>
      <c r="F37" s="43" t="n">
        <f aca="false">(E37+E38)*D37/2</f>
        <v>52.02</v>
      </c>
      <c r="G37" s="44"/>
      <c r="H37" s="40"/>
      <c r="I37" s="40"/>
    </row>
    <row r="38" s="41" customFormat="true" ht="15" hidden="false" customHeight="true" outlineLevel="0" collapsed="false">
      <c r="A38" s="13" t="n">
        <v>28</v>
      </c>
      <c r="B38" s="14" t="str">
        <f aca="false">'1. KTHH L2'!B48</f>
        <v>31</v>
      </c>
      <c r="C38" s="15" t="n">
        <f aca="false">'1. KTHH L2'!C48</f>
        <v>609.11</v>
      </c>
      <c r="D38" s="13" t="n">
        <f aca="false">'1. KTHH L2'!Q48</f>
        <v>11.75</v>
      </c>
      <c r="E38" s="42" t="n">
        <f aca="false">Chạy!E220+Chạy!E224</f>
        <v>3.06</v>
      </c>
      <c r="F38" s="43" t="n">
        <f aca="false">(E38+E39)*D38/2</f>
        <v>35.955</v>
      </c>
      <c r="G38" s="44"/>
      <c r="H38" s="40"/>
      <c r="I38" s="40"/>
    </row>
    <row r="39" s="41" customFormat="true" ht="15" hidden="false" customHeight="true" outlineLevel="0" collapsed="false">
      <c r="A39" s="13" t="n">
        <v>29</v>
      </c>
      <c r="B39" s="14" t="str">
        <f aca="false">'1. KTHH L2'!B49</f>
        <v>E10</v>
      </c>
      <c r="C39" s="15" t="n">
        <f aca="false">'1. KTHH L2'!C49</f>
        <v>620.86</v>
      </c>
      <c r="D39" s="13" t="n">
        <f aca="false">'1. KTHH L2'!Q49</f>
        <v>11.75</v>
      </c>
      <c r="E39" s="42" t="n">
        <f aca="false">Chạy!E228+Chạy!E232</f>
        <v>3.06</v>
      </c>
      <c r="F39" s="43" t="n">
        <f aca="false">(E39+E40)*D39/2</f>
        <v>35.955</v>
      </c>
      <c r="G39" s="44"/>
      <c r="H39" s="40"/>
      <c r="I39" s="40"/>
    </row>
    <row r="40" s="41" customFormat="true" ht="15" hidden="false" customHeight="true" outlineLevel="0" collapsed="false">
      <c r="A40" s="13" t="n">
        <v>30</v>
      </c>
      <c r="B40" s="14" t="str">
        <f aca="false">'1. KTHH L2'!B50</f>
        <v>32</v>
      </c>
      <c r="C40" s="15" t="n">
        <f aca="false">'1. KTHH L2'!C50</f>
        <v>632.61</v>
      </c>
      <c r="D40" s="13" t="n">
        <f aca="false">'1. KTHH L2'!Q50</f>
        <v>20</v>
      </c>
      <c r="E40" s="42" t="n">
        <f aca="false">Chạy!E236+Chạy!E240</f>
        <v>3.06</v>
      </c>
      <c r="F40" s="43" t="n">
        <f aca="false">(E40+E41)*D40/2</f>
        <v>61.2</v>
      </c>
      <c r="G40" s="44"/>
      <c r="H40" s="40"/>
      <c r="I40" s="40"/>
    </row>
    <row r="41" s="41" customFormat="true" ht="15" hidden="false" customHeight="true" outlineLevel="0" collapsed="false">
      <c r="A41" s="13" t="n">
        <v>31</v>
      </c>
      <c r="B41" s="14" t="str">
        <f aca="false">'1. KTHH L2'!B51</f>
        <v>33</v>
      </c>
      <c r="C41" s="15" t="n">
        <f aca="false">'1. KTHH L2'!C51</f>
        <v>652.61</v>
      </c>
      <c r="D41" s="13" t="n">
        <f aca="false">'1. KTHH L2'!Q51</f>
        <v>20</v>
      </c>
      <c r="E41" s="42" t="n">
        <f aca="false">Chạy!E244+Chạy!E248</f>
        <v>3.06</v>
      </c>
      <c r="F41" s="43" t="n">
        <f aca="false">(E41+E42)*D41/2</f>
        <v>61.2</v>
      </c>
      <c r="G41" s="44"/>
      <c r="H41" s="40"/>
      <c r="I41" s="40"/>
    </row>
    <row r="42" s="41" customFormat="true" ht="15" hidden="false" customHeight="true" outlineLevel="0" collapsed="false">
      <c r="A42" s="13" t="n">
        <v>32</v>
      </c>
      <c r="B42" s="14" t="str">
        <f aca="false">'1. KTHH L2'!B52</f>
        <v>34</v>
      </c>
      <c r="C42" s="15" t="n">
        <f aca="false">'1. KTHH L2'!C52</f>
        <v>672.61</v>
      </c>
      <c r="D42" s="13" t="n">
        <f aca="false">'1. KTHH L2'!Q52</f>
        <v>20</v>
      </c>
      <c r="E42" s="42" t="n">
        <f aca="false">Chạy!E252+Chạy!E256</f>
        <v>3.06</v>
      </c>
      <c r="F42" s="43" t="n">
        <f aca="false">(E42+E43)*D42/2</f>
        <v>61.2</v>
      </c>
      <c r="G42" s="44"/>
      <c r="H42" s="40"/>
      <c r="I42" s="40"/>
    </row>
    <row r="43" s="41" customFormat="true" ht="15" hidden="false" customHeight="true" outlineLevel="0" collapsed="false">
      <c r="A43" s="13" t="n">
        <v>33</v>
      </c>
      <c r="B43" s="14" t="str">
        <f aca="false">'1. KTHH L2'!B53</f>
        <v>35</v>
      </c>
      <c r="C43" s="15" t="n">
        <f aca="false">'1. KTHH L2'!C53</f>
        <v>692.61</v>
      </c>
      <c r="D43" s="13" t="n">
        <f aca="false">'1. KTHH L2'!Q53</f>
        <v>20</v>
      </c>
      <c r="E43" s="42" t="n">
        <f aca="false">Chạy!E260+Chạy!E264</f>
        <v>3.06</v>
      </c>
      <c r="F43" s="43" t="n">
        <f aca="false">(E43+E44)*D43/2</f>
        <v>61.2</v>
      </c>
      <c r="G43" s="44"/>
      <c r="H43" s="40"/>
      <c r="I43" s="40"/>
    </row>
    <row r="44" s="41" customFormat="true" ht="15" hidden="false" customHeight="true" outlineLevel="0" collapsed="false">
      <c r="A44" s="13" t="n">
        <v>34</v>
      </c>
      <c r="B44" s="14" t="str">
        <f aca="false">'1. KTHH L2'!B54</f>
        <v>36</v>
      </c>
      <c r="C44" s="15" t="n">
        <f aca="false">'1. KTHH L2'!C54</f>
        <v>712.61</v>
      </c>
      <c r="D44" s="13" t="n">
        <f aca="false">'1. KTHH L2'!Q54</f>
        <v>11.5</v>
      </c>
      <c r="E44" s="42" t="n">
        <f aca="false">Chạy!E268+Chạy!E272</f>
        <v>3.06</v>
      </c>
      <c r="F44" s="43" t="n">
        <f aca="false">(E44+E45)*D44/2</f>
        <v>35.19</v>
      </c>
      <c r="G44" s="44"/>
      <c r="H44" s="40"/>
      <c r="I44" s="40"/>
    </row>
    <row r="45" s="41" customFormat="true" ht="15" hidden="false" customHeight="true" outlineLevel="0" collapsed="false">
      <c r="A45" s="13" t="n">
        <v>35</v>
      </c>
      <c r="B45" s="14" t="str">
        <f aca="false">'1. KTHH L2'!B55</f>
        <v>37</v>
      </c>
      <c r="C45" s="15" t="n">
        <f aca="false">'1. KTHH L2'!C55</f>
        <v>724.11</v>
      </c>
      <c r="D45" s="13" t="n">
        <f aca="false">'1. KTHH L2'!Q55</f>
        <v>13.25</v>
      </c>
      <c r="E45" s="42" t="n">
        <f aca="false">Chạy!E276+Chạy!E280</f>
        <v>3.06</v>
      </c>
      <c r="F45" s="43" t="n">
        <f aca="false">(E45+E46)*D45/2</f>
        <v>40.545</v>
      </c>
      <c r="G45" s="44"/>
      <c r="H45" s="40"/>
      <c r="I45" s="40"/>
    </row>
    <row r="46" s="41" customFormat="true" ht="15" hidden="false" customHeight="true" outlineLevel="0" collapsed="false">
      <c r="A46" s="13" t="n">
        <v>36</v>
      </c>
      <c r="B46" s="14" t="str">
        <f aca="false">'1. KTHH L2'!B56</f>
        <v>G6</v>
      </c>
      <c r="C46" s="15" t="n">
        <f aca="false">'1. KTHH L2'!C56</f>
        <v>737.36</v>
      </c>
      <c r="D46" s="13"/>
      <c r="E46" s="42" t="n">
        <f aca="false">Chạy!E284+Chạy!E288</f>
        <v>3.06</v>
      </c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81</v>
      </c>
      <c r="B49" s="46"/>
      <c r="C49" s="46"/>
      <c r="D49" s="46"/>
      <c r="E49" s="66"/>
      <c r="F49" s="67" t="n">
        <f aca="false">SUM(F11:F46)</f>
        <v>1591.2616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73</v>
      </c>
      <c r="B51" s="19"/>
      <c r="C51" s="19"/>
      <c r="D51" s="57" t="s">
        <v>82</v>
      </c>
      <c r="E51" s="19" t="s">
        <v>74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75</v>
      </c>
      <c r="B57" s="19"/>
      <c r="C57" s="19"/>
      <c r="D57" s="21"/>
      <c r="E57" s="19" t="s">
        <v>76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">
        <v>85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5" hidden="false" customHeight="false" outlineLevel="0" collapsed="false">
      <c r="A3" s="22" t="s">
        <v>55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56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57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58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59</v>
      </c>
      <c r="C7" s="22"/>
      <c r="D7" s="22" t="s">
        <v>86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61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62</v>
      </c>
      <c r="B19" s="10" t="s">
        <v>63</v>
      </c>
      <c r="C19" s="10" t="s">
        <v>64</v>
      </c>
      <c r="D19" s="11" t="s">
        <v>65</v>
      </c>
      <c r="E19" s="11"/>
      <c r="F19" s="11"/>
      <c r="G19" s="11" t="s">
        <v>66</v>
      </c>
      <c r="H19" s="11"/>
      <c r="I19" s="11"/>
      <c r="J19" s="11" t="s">
        <v>67</v>
      </c>
      <c r="K19" s="11"/>
      <c r="L19" s="11"/>
      <c r="M19" s="11" t="s">
        <v>68</v>
      </c>
      <c r="N19" s="11"/>
      <c r="O19" s="11"/>
      <c r="P19" s="10" t="s">
        <v>69</v>
      </c>
    </row>
    <row r="20" customFormat="false" ht="30" hidden="false" customHeight="true" outlineLevel="0" collapsed="false">
      <c r="A20" s="10"/>
      <c r="B20" s="10"/>
      <c r="C20" s="10"/>
      <c r="D20" s="11" t="s">
        <v>70</v>
      </c>
      <c r="E20" s="11" t="s">
        <v>71</v>
      </c>
      <c r="F20" s="11" t="s">
        <v>72</v>
      </c>
      <c r="G20" s="11" t="s">
        <v>70</v>
      </c>
      <c r="H20" s="11" t="s">
        <v>71</v>
      </c>
      <c r="I20" s="11" t="s">
        <v>72</v>
      </c>
      <c r="J20" s="11" t="s">
        <v>70</v>
      </c>
      <c r="K20" s="11" t="s">
        <v>71</v>
      </c>
      <c r="L20" s="11" t="s">
        <v>72</v>
      </c>
      <c r="M20" s="11" t="s">
        <v>70</v>
      </c>
      <c r="N20" s="11" t="s">
        <v>71</v>
      </c>
      <c r="O20" s="11" t="s">
        <v>72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211</v>
      </c>
      <c r="D21" s="16" t="n">
        <f aca="false">Chạy!G3</f>
        <v>2.73</v>
      </c>
      <c r="E21" s="16" t="n">
        <f aca="false">D21+F21</f>
        <v>2.773</v>
      </c>
      <c r="F21" s="16" t="n">
        <f aca="false">RANDBETWEEN(-30,100)/1000</f>
        <v>0.043</v>
      </c>
      <c r="G21" s="16" t="n">
        <f aca="false">Chạy!I3</f>
        <v>2.73</v>
      </c>
      <c r="H21" s="16" t="n">
        <f aca="false">G21+I21</f>
        <v>2.704</v>
      </c>
      <c r="I21" s="16" t="n">
        <f aca="false">RANDBETWEEN(-30,100)/1000</f>
        <v>-0.026</v>
      </c>
      <c r="J21" s="16" t="n">
        <f aca="false">Chạy!M7</f>
        <v>2.73</v>
      </c>
      <c r="K21" s="16" t="n">
        <f aca="false">J21+L21</f>
        <v>2.747</v>
      </c>
      <c r="L21" s="16" t="n">
        <f aca="false">RANDBETWEEN(-30,100)/1000</f>
        <v>0.017</v>
      </c>
      <c r="M21" s="16" t="n">
        <f aca="false">Chạy!O7</f>
        <v>2.73</v>
      </c>
      <c r="N21" s="16" t="n">
        <f aca="false">M21+O21</f>
        <v>2.779</v>
      </c>
      <c r="O21" s="16" t="n">
        <f aca="false">RANDBETWEEN(-30,100)/1000</f>
        <v>0.049</v>
      </c>
      <c r="P21" s="17"/>
      <c r="Q21" s="18" t="n">
        <v>13.25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224.25</v>
      </c>
      <c r="D22" s="16" t="n">
        <f aca="false">Chạy!G11</f>
        <v>2.72</v>
      </c>
      <c r="E22" s="16" t="n">
        <f aca="false">D22+F22</f>
        <v>2.79</v>
      </c>
      <c r="F22" s="16" t="n">
        <f aca="false">RANDBETWEEN(-30,100)/1000</f>
        <v>0.07</v>
      </c>
      <c r="G22" s="16" t="n">
        <f aca="false">Chạy!I11</f>
        <v>2.72</v>
      </c>
      <c r="H22" s="16" t="n">
        <f aca="false">G22+I22</f>
        <v>2.809</v>
      </c>
      <c r="I22" s="16" t="n">
        <f aca="false">RANDBETWEEN(-30,100)/1000</f>
        <v>0.089</v>
      </c>
      <c r="J22" s="16" t="n">
        <f aca="false">Chạy!M15</f>
        <v>2.72</v>
      </c>
      <c r="K22" s="16" t="n">
        <f aca="false">J22+L22</f>
        <v>2.748</v>
      </c>
      <c r="L22" s="16" t="n">
        <f aca="false">RANDBETWEEN(-30,100)/1000</f>
        <v>0.028</v>
      </c>
      <c r="M22" s="16" t="n">
        <f aca="false">Chạy!O15</f>
        <v>2.72</v>
      </c>
      <c r="N22" s="16" t="n">
        <f aca="false">M22+O22</f>
        <v>2.704</v>
      </c>
      <c r="O22" s="16" t="n">
        <f aca="false">RANDBETWEEN(-30,100)/1000</f>
        <v>-0.016</v>
      </c>
      <c r="P22" s="17"/>
      <c r="Q22" s="18" t="n">
        <v>21.5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245.75</v>
      </c>
      <c r="D23" s="16" t="n">
        <f aca="false">Chạy!G19</f>
        <v>2.7</v>
      </c>
      <c r="E23" s="16" t="n">
        <f aca="false">D23+F23</f>
        <v>2.702</v>
      </c>
      <c r="F23" s="16" t="n">
        <f aca="false">RANDBETWEEN(-30,100)/1000</f>
        <v>0.002</v>
      </c>
      <c r="G23" s="16" t="n">
        <f aca="false">Chạy!I19</f>
        <v>2.7</v>
      </c>
      <c r="H23" s="16" t="n">
        <f aca="false">G23+I23</f>
        <v>2.761</v>
      </c>
      <c r="I23" s="16" t="n">
        <f aca="false">RANDBETWEEN(-30,100)/1000</f>
        <v>0.061</v>
      </c>
      <c r="J23" s="16" t="n">
        <f aca="false">Chạy!M23</f>
        <v>2.7</v>
      </c>
      <c r="K23" s="16" t="n">
        <f aca="false">J23+L23</f>
        <v>2.678</v>
      </c>
      <c r="L23" s="16" t="n">
        <f aca="false">RANDBETWEEN(-30,100)/1000</f>
        <v>-0.022</v>
      </c>
      <c r="M23" s="16" t="n">
        <f aca="false">Chạy!O23</f>
        <v>2.7</v>
      </c>
      <c r="N23" s="16" t="n">
        <f aca="false">M23+O23</f>
        <v>2.686</v>
      </c>
      <c r="O23" s="16" t="n">
        <f aca="false">RANDBETWEEN(-30,100)/1000</f>
        <v>-0.014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257.5</v>
      </c>
      <c r="D24" s="16" t="n">
        <f aca="false">Chạy!G27</f>
        <v>2.69</v>
      </c>
      <c r="E24" s="16" t="n">
        <f aca="false">D24+F24</f>
        <v>2.689</v>
      </c>
      <c r="F24" s="16" t="n">
        <f aca="false">RANDBETWEEN(-30,100)/1000</f>
        <v>-0.001</v>
      </c>
      <c r="G24" s="16" t="n">
        <f aca="false">Chạy!I27</f>
        <v>2.69</v>
      </c>
      <c r="H24" s="16" t="n">
        <f aca="false">G24+I24</f>
        <v>2.669</v>
      </c>
      <c r="I24" s="16" t="n">
        <f aca="false">RANDBETWEEN(-30,100)/1000</f>
        <v>-0.021</v>
      </c>
      <c r="J24" s="16" t="n">
        <f aca="false">Chạy!M31</f>
        <v>2.69</v>
      </c>
      <c r="K24" s="16" t="n">
        <f aca="false">J24+L24</f>
        <v>2.702</v>
      </c>
      <c r="L24" s="16" t="n">
        <f aca="false">RANDBETWEEN(-30,100)/1000</f>
        <v>0.012</v>
      </c>
      <c r="M24" s="16" t="n">
        <f aca="false">Chạy!O31</f>
        <v>2.69</v>
      </c>
      <c r="N24" s="16" t="n">
        <f aca="false">M24+O24</f>
        <v>2.717</v>
      </c>
      <c r="O24" s="16" t="n">
        <f aca="false">RANDBETWEEN(-30,100)/1000</f>
        <v>0.027</v>
      </c>
      <c r="P24" s="17"/>
      <c r="Q24" s="18" t="n">
        <v>11.75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269.25</v>
      </c>
      <c r="D25" s="16" t="n">
        <f aca="false">Chạy!G35</f>
        <v>2.69</v>
      </c>
      <c r="E25" s="16" t="n">
        <f aca="false">D25+F25</f>
        <v>2.712</v>
      </c>
      <c r="F25" s="16" t="n">
        <f aca="false">RANDBETWEEN(-30,100)/1000</f>
        <v>0.022</v>
      </c>
      <c r="G25" s="16" t="n">
        <f aca="false">Chạy!I35</f>
        <v>2.69</v>
      </c>
      <c r="H25" s="16" t="n">
        <f aca="false">G25+I25</f>
        <v>2.669</v>
      </c>
      <c r="I25" s="16" t="n">
        <f aca="false">RANDBETWEEN(-30,100)/1000</f>
        <v>-0.021</v>
      </c>
      <c r="J25" s="16" t="n">
        <f aca="false">Chạy!M39</f>
        <v>2.69</v>
      </c>
      <c r="K25" s="16" t="n">
        <f aca="false">J25+L25</f>
        <v>2.774</v>
      </c>
      <c r="L25" s="16" t="n">
        <f aca="false">RANDBETWEEN(-30,100)/1000</f>
        <v>0.084</v>
      </c>
      <c r="M25" s="16" t="n">
        <f aca="false">Chạy!O39</f>
        <v>2.69</v>
      </c>
      <c r="N25" s="16" t="n">
        <f aca="false">M25+O25</f>
        <v>2.753</v>
      </c>
      <c r="O25" s="16" t="n">
        <f aca="false">RANDBETWEEN(-30,100)/1000</f>
        <v>0.063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289.25</v>
      </c>
      <c r="D26" s="16" t="n">
        <f aca="false">Chạy!G43</f>
        <v>2.68</v>
      </c>
      <c r="E26" s="16" t="n">
        <f aca="false">D26+F26</f>
        <v>2.756</v>
      </c>
      <c r="F26" s="16" t="n">
        <f aca="false">RANDBETWEEN(-30,100)/1000</f>
        <v>0.076</v>
      </c>
      <c r="G26" s="16" t="n">
        <f aca="false">Chạy!I43</f>
        <v>2.68</v>
      </c>
      <c r="H26" s="16" t="n">
        <f aca="false">G26+I26</f>
        <v>2.73</v>
      </c>
      <c r="I26" s="16" t="n">
        <f aca="false">RANDBETWEEN(-30,100)/1000</f>
        <v>0.05</v>
      </c>
      <c r="J26" s="16" t="n">
        <f aca="false">Chạy!M47</f>
        <v>2.68</v>
      </c>
      <c r="K26" s="16" t="n">
        <f aca="false">J26+L26</f>
        <v>2.686</v>
      </c>
      <c r="L26" s="16" t="n">
        <f aca="false">RANDBETWEEN(-30,100)/1000</f>
        <v>0.006</v>
      </c>
      <c r="M26" s="16" t="n">
        <f aca="false">Chạy!O47</f>
        <v>2.68</v>
      </c>
      <c r="N26" s="16" t="n">
        <f aca="false">M26+O26</f>
        <v>2.673</v>
      </c>
      <c r="O26" s="16" t="n">
        <f aca="false">RANDBETWEEN(-30,100)/1000</f>
        <v>-0.007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309.25</v>
      </c>
      <c r="D27" s="16" t="n">
        <f aca="false">Chạy!G51</f>
        <v>2.66</v>
      </c>
      <c r="E27" s="16" t="n">
        <f aca="false">D27+F27</f>
        <v>2.758</v>
      </c>
      <c r="F27" s="16" t="n">
        <f aca="false">RANDBETWEEN(-30,100)/1000</f>
        <v>0.098</v>
      </c>
      <c r="G27" s="16" t="n">
        <f aca="false">Chạy!I51</f>
        <v>2.66</v>
      </c>
      <c r="H27" s="16" t="n">
        <f aca="false">G27+I27</f>
        <v>2.715</v>
      </c>
      <c r="I27" s="16" t="n">
        <f aca="false">RANDBETWEEN(-30,100)/1000</f>
        <v>0.055</v>
      </c>
      <c r="J27" s="16" t="n">
        <f aca="false">Chạy!M55</f>
        <v>2.66</v>
      </c>
      <c r="K27" s="16" t="n">
        <f aca="false">J27+L27</f>
        <v>2.749</v>
      </c>
      <c r="L27" s="16" t="n">
        <f aca="false">RANDBETWEEN(-30,100)/1000</f>
        <v>0.089</v>
      </c>
      <c r="M27" s="16" t="n">
        <f aca="false">Chạy!O55</f>
        <v>2.66</v>
      </c>
      <c r="N27" s="16" t="n">
        <f aca="false">M27+O27</f>
        <v>2.717</v>
      </c>
      <c r="O27" s="16" t="n">
        <f aca="false">RANDBETWEEN(-30,100)/1000</f>
        <v>0.057</v>
      </c>
      <c r="P27" s="17"/>
      <c r="Q27" s="18" t="n">
        <v>20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329.25</v>
      </c>
      <c r="D28" s="16" t="n">
        <f aca="false">Chạy!G59</f>
        <v>2.65</v>
      </c>
      <c r="E28" s="16" t="n">
        <f aca="false">D28+F28</f>
        <v>2.72</v>
      </c>
      <c r="F28" s="16" t="n">
        <f aca="false">RANDBETWEEN(-30,100)/1000</f>
        <v>0.07</v>
      </c>
      <c r="G28" s="16" t="n">
        <f aca="false">Chạy!I59</f>
        <v>2.65</v>
      </c>
      <c r="H28" s="16" t="n">
        <f aca="false">G28+I28</f>
        <v>2.674</v>
      </c>
      <c r="I28" s="16" t="n">
        <f aca="false">RANDBETWEEN(-30,100)/1000</f>
        <v>0.024</v>
      </c>
      <c r="J28" s="16" t="n">
        <f aca="false">Chạy!M63</f>
        <v>2.65</v>
      </c>
      <c r="K28" s="16" t="n">
        <f aca="false">J28+L28</f>
        <v>2.664</v>
      </c>
      <c r="L28" s="16" t="n">
        <f aca="false">RANDBETWEEN(-30,100)/1000</f>
        <v>0.014</v>
      </c>
      <c r="M28" s="16" t="n">
        <f aca="false">Chạy!O63</f>
        <v>2.65</v>
      </c>
      <c r="N28" s="16" t="n">
        <f aca="false">M28+O28</f>
        <v>2.691</v>
      </c>
      <c r="O28" s="16" t="n">
        <f aca="false">RANDBETWEEN(-30,100)/1000</f>
        <v>0.041</v>
      </c>
      <c r="P28" s="17"/>
      <c r="Q28" s="18" t="n">
        <v>20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349.25</v>
      </c>
      <c r="D29" s="16" t="n">
        <f aca="false">Chạy!G67</f>
        <v>2.64</v>
      </c>
      <c r="E29" s="16" t="n">
        <f aca="false">D29+F29</f>
        <v>2.666</v>
      </c>
      <c r="F29" s="16" t="n">
        <f aca="false">RANDBETWEEN(-30,100)/1000</f>
        <v>0.026</v>
      </c>
      <c r="G29" s="16" t="n">
        <f aca="false">Chạy!I67</f>
        <v>2.64</v>
      </c>
      <c r="H29" s="16" t="n">
        <f aca="false">G29+I29</f>
        <v>2.615</v>
      </c>
      <c r="I29" s="16" t="n">
        <f aca="false">RANDBETWEEN(-30,100)/1000</f>
        <v>-0.025</v>
      </c>
      <c r="J29" s="16" t="n">
        <f aca="false">Chạy!M71</f>
        <v>2.64</v>
      </c>
      <c r="K29" s="16" t="n">
        <f aca="false">J29+L29</f>
        <v>2.693</v>
      </c>
      <c r="L29" s="16" t="n">
        <f aca="false">RANDBETWEEN(-30,100)/1000</f>
        <v>0.053</v>
      </c>
      <c r="M29" s="16" t="n">
        <f aca="false">Chạy!O71</f>
        <v>2.64</v>
      </c>
      <c r="N29" s="16" t="n">
        <f aca="false">M29+O29</f>
        <v>2.709</v>
      </c>
      <c r="O29" s="16" t="n">
        <f aca="false">RANDBETWEEN(-30,100)/1000</f>
        <v>0.069</v>
      </c>
      <c r="P29" s="17"/>
      <c r="Q29" s="18" t="n">
        <v>19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368.25</v>
      </c>
      <c r="D30" s="16" t="n">
        <f aca="false">Chạy!G75</f>
        <v>2.63</v>
      </c>
      <c r="E30" s="16" t="n">
        <f aca="false">D30+F30</f>
        <v>2.604</v>
      </c>
      <c r="F30" s="16" t="n">
        <f aca="false">RANDBETWEEN(-30,100)/1000</f>
        <v>-0.026</v>
      </c>
      <c r="G30" s="16" t="n">
        <f aca="false">Chạy!I75</f>
        <v>2.63</v>
      </c>
      <c r="H30" s="16" t="n">
        <f aca="false">G30+I30</f>
        <v>2.727</v>
      </c>
      <c r="I30" s="16" t="n">
        <f aca="false">RANDBETWEEN(-30,100)/1000</f>
        <v>0.097</v>
      </c>
      <c r="J30" s="16" t="n">
        <f aca="false">Chạy!M79</f>
        <v>2.63</v>
      </c>
      <c r="K30" s="16" t="n">
        <f aca="false">J30+L30</f>
        <v>2.637</v>
      </c>
      <c r="L30" s="16" t="n">
        <f aca="false">RANDBETWEEN(-30,100)/1000</f>
        <v>0.007</v>
      </c>
      <c r="M30" s="16" t="n">
        <f aca="false">Chạy!O79</f>
        <v>2.63</v>
      </c>
      <c r="N30" s="16" t="n">
        <f aca="false">M30+O30</f>
        <v>2.608</v>
      </c>
      <c r="O30" s="16" t="n">
        <f aca="false">RANDBETWEEN(-30,100)/1000</f>
        <v>-0.022</v>
      </c>
      <c r="P30" s="17"/>
      <c r="Q30" s="18" t="n">
        <v>13.25</v>
      </c>
    </row>
    <row r="31" customFormat="false" ht="15" hidden="false" customHeight="false" outlineLevel="0" collapsed="false">
      <c r="A31" s="13" t="n">
        <v>11</v>
      </c>
      <c r="B31" s="14" t="s">
        <v>28</v>
      </c>
      <c r="C31" s="15" t="n">
        <f aca="false">C30+Q30</f>
        <v>381.5</v>
      </c>
      <c r="D31" s="16" t="n">
        <f aca="false">Chạy!G83</f>
        <v>2.62</v>
      </c>
      <c r="E31" s="16" t="n">
        <f aca="false">D31+F31</f>
        <v>2.599</v>
      </c>
      <c r="F31" s="16" t="n">
        <f aca="false">RANDBETWEEN(-30,100)/1000</f>
        <v>-0.021</v>
      </c>
      <c r="G31" s="16" t="n">
        <f aca="false">Chạy!I83</f>
        <v>2.62</v>
      </c>
      <c r="H31" s="16" t="n">
        <f aca="false">G31+I31</f>
        <v>2.636</v>
      </c>
      <c r="I31" s="16" t="n">
        <f aca="false">RANDBETWEEN(-30,100)/1000</f>
        <v>0.016</v>
      </c>
      <c r="J31" s="16" t="n">
        <f aca="false">Chạy!M87</f>
        <v>2.62</v>
      </c>
      <c r="K31" s="16" t="n">
        <f aca="false">J31+L31</f>
        <v>2.697</v>
      </c>
      <c r="L31" s="16" t="n">
        <f aca="false">RANDBETWEEN(-30,100)/1000</f>
        <v>0.077</v>
      </c>
      <c r="M31" s="16" t="n">
        <f aca="false">Chạy!O87</f>
        <v>2.62</v>
      </c>
      <c r="N31" s="16" t="n">
        <f aca="false">M31+O31</f>
        <v>2.634</v>
      </c>
      <c r="O31" s="16" t="n">
        <f aca="false">RANDBETWEEN(-30,100)/1000</f>
        <v>0.014</v>
      </c>
      <c r="P31" s="17"/>
      <c r="Q31" s="18" t="n">
        <v>13.25</v>
      </c>
    </row>
    <row r="32" customFormat="false" ht="15" hidden="false" customHeight="false" outlineLevel="0" collapsed="false">
      <c r="A32" s="13" t="n">
        <v>12</v>
      </c>
      <c r="B32" s="14" t="s">
        <v>29</v>
      </c>
      <c r="C32" s="15" t="n">
        <f aca="false">C31+Q31</f>
        <v>394.75</v>
      </c>
      <c r="D32" s="16" t="n">
        <f aca="false">Chạy!G91</f>
        <v>2.61</v>
      </c>
      <c r="E32" s="16" t="n">
        <f aca="false">D32+F32</f>
        <v>2.65</v>
      </c>
      <c r="F32" s="16" t="n">
        <f aca="false">RANDBETWEEN(-30,100)/1000</f>
        <v>0.04</v>
      </c>
      <c r="G32" s="16" t="n">
        <f aca="false">Chạy!I91</f>
        <v>2.61</v>
      </c>
      <c r="H32" s="16" t="n">
        <f aca="false">G32+I32</f>
        <v>2.676</v>
      </c>
      <c r="I32" s="16" t="n">
        <f aca="false">RANDBETWEEN(-30,100)/1000</f>
        <v>0.066</v>
      </c>
      <c r="J32" s="16" t="n">
        <f aca="false">Chạy!M95</f>
        <v>2.61</v>
      </c>
      <c r="K32" s="16" t="n">
        <f aca="false">J32+L32</f>
        <v>2.59</v>
      </c>
      <c r="L32" s="16" t="n">
        <f aca="false">RANDBETWEEN(-30,100)/1000</f>
        <v>-0.02</v>
      </c>
      <c r="M32" s="16" t="n">
        <f aca="false">Chạy!O95</f>
        <v>2.61</v>
      </c>
      <c r="N32" s="16" t="n">
        <f aca="false">M32+O32</f>
        <v>2.639</v>
      </c>
      <c r="O32" s="16" t="n">
        <f aca="false">RANDBETWEEN(-30,100)/1000</f>
        <v>0.029</v>
      </c>
      <c r="P32" s="17"/>
      <c r="Q32" s="18" t="n">
        <v>20</v>
      </c>
    </row>
    <row r="33" customFormat="false" ht="15" hidden="false" customHeight="false" outlineLevel="0" collapsed="false">
      <c r="A33" s="13" t="n">
        <v>13</v>
      </c>
      <c r="B33" s="14" t="s">
        <v>30</v>
      </c>
      <c r="C33" s="15" t="n">
        <f aca="false">C32+Q32</f>
        <v>414.75</v>
      </c>
      <c r="D33" s="16" t="n">
        <f aca="false">Chạy!G99</f>
        <v>2.6</v>
      </c>
      <c r="E33" s="16" t="n">
        <f aca="false">D33+F33</f>
        <v>2.677</v>
      </c>
      <c r="F33" s="16" t="n">
        <f aca="false">RANDBETWEEN(-30,100)/1000</f>
        <v>0.077</v>
      </c>
      <c r="G33" s="16" t="n">
        <f aca="false">Chạy!I99</f>
        <v>2.6</v>
      </c>
      <c r="H33" s="16" t="n">
        <f aca="false">G33+I33</f>
        <v>2.671</v>
      </c>
      <c r="I33" s="16" t="n">
        <f aca="false">RANDBETWEEN(-30,100)/1000</f>
        <v>0.071</v>
      </c>
      <c r="J33" s="16" t="n">
        <f aca="false">Chạy!M103</f>
        <v>2.6</v>
      </c>
      <c r="K33" s="16" t="n">
        <f aca="false">J33+L33</f>
        <v>2.684</v>
      </c>
      <c r="L33" s="16" t="n">
        <f aca="false">RANDBETWEEN(-30,100)/1000</f>
        <v>0.084</v>
      </c>
      <c r="M33" s="16" t="n">
        <f aca="false">Chạy!O103</f>
        <v>2.6</v>
      </c>
      <c r="N33" s="16" t="n">
        <f aca="false">M33+O33</f>
        <v>2.663</v>
      </c>
      <c r="O33" s="16" t="n">
        <f aca="false">RANDBETWEEN(-30,100)/1000</f>
        <v>0.063</v>
      </c>
      <c r="P33" s="17"/>
      <c r="Q33" s="18" t="n">
        <v>20</v>
      </c>
    </row>
    <row r="34" customFormat="false" ht="15" hidden="false" customHeight="false" outlineLevel="0" collapsed="false">
      <c r="A34" s="13" t="n">
        <v>14</v>
      </c>
      <c r="B34" s="14" t="s">
        <v>31</v>
      </c>
      <c r="C34" s="15" t="n">
        <f aca="false">C33+Q33</f>
        <v>434.75</v>
      </c>
      <c r="D34" s="16" t="n">
        <f aca="false">Chạy!G107</f>
        <v>2.59</v>
      </c>
      <c r="E34" s="16" t="n">
        <f aca="false">D34+F34</f>
        <v>2.562</v>
      </c>
      <c r="F34" s="16" t="n">
        <f aca="false">RANDBETWEEN(-30,100)/1000</f>
        <v>-0.028</v>
      </c>
      <c r="G34" s="16" t="n">
        <f aca="false">Chạy!I107</f>
        <v>2.59</v>
      </c>
      <c r="H34" s="16" t="n">
        <f aca="false">G34+I34</f>
        <v>2.615</v>
      </c>
      <c r="I34" s="16" t="n">
        <f aca="false">RANDBETWEEN(-30,100)/1000</f>
        <v>0.025</v>
      </c>
      <c r="J34" s="16" t="n">
        <f aca="false">Chạy!M111</f>
        <v>2.59</v>
      </c>
      <c r="K34" s="16" t="n">
        <f aca="false">J34+L34</f>
        <v>2.623</v>
      </c>
      <c r="L34" s="16" t="n">
        <f aca="false">RANDBETWEEN(-30,100)/1000</f>
        <v>0.033</v>
      </c>
      <c r="M34" s="16" t="n">
        <f aca="false">Chạy!O111</f>
        <v>2.59</v>
      </c>
      <c r="N34" s="16" t="n">
        <f aca="false">M34+O34</f>
        <v>2.602</v>
      </c>
      <c r="O34" s="16" t="n">
        <f aca="false">RANDBETWEEN(-30,100)/1000</f>
        <v>0.012</v>
      </c>
      <c r="P34" s="17"/>
      <c r="Q34" s="18" t="n">
        <v>20</v>
      </c>
    </row>
    <row r="35" customFormat="false" ht="15" hidden="false" customHeight="false" outlineLevel="0" collapsed="false">
      <c r="A35" s="13" t="n">
        <v>15</v>
      </c>
      <c r="B35" s="14" t="s">
        <v>32</v>
      </c>
      <c r="C35" s="15" t="n">
        <f aca="false">C34+Q34</f>
        <v>454.75</v>
      </c>
      <c r="D35" s="16" t="n">
        <f aca="false">Chạy!G115</f>
        <v>2.57</v>
      </c>
      <c r="E35" s="16" t="n">
        <f aca="false">D35+F35</f>
        <v>2.641</v>
      </c>
      <c r="F35" s="16" t="n">
        <f aca="false">RANDBETWEEN(-30,100)/1000</f>
        <v>0.071</v>
      </c>
      <c r="G35" s="16" t="n">
        <f aca="false">Chạy!I115</f>
        <v>2.57</v>
      </c>
      <c r="H35" s="16" t="n">
        <f aca="false">G35+I35</f>
        <v>2.57</v>
      </c>
      <c r="I35" s="16" t="n">
        <f aca="false">RANDBETWEEN(-30,100)/1000</f>
        <v>0</v>
      </c>
      <c r="J35" s="16" t="n">
        <f aca="false">Chạy!M119</f>
        <v>2.57</v>
      </c>
      <c r="K35" s="16" t="n">
        <f aca="false">J35+L35</f>
        <v>2.58</v>
      </c>
      <c r="L35" s="16" t="n">
        <f aca="false">RANDBETWEEN(-30,100)/1000</f>
        <v>0.01</v>
      </c>
      <c r="M35" s="16" t="n">
        <f aca="false">Chạy!O119</f>
        <v>2.57</v>
      </c>
      <c r="N35" s="16" t="n">
        <f aca="false">M35+O35</f>
        <v>2.611</v>
      </c>
      <c r="O35" s="16" t="n">
        <f aca="false">RANDBETWEEN(-30,100)/1000</f>
        <v>0.041</v>
      </c>
      <c r="P35" s="17"/>
      <c r="Q35" s="18" t="n">
        <v>20</v>
      </c>
    </row>
    <row r="36" customFormat="false" ht="15" hidden="false" customHeight="false" outlineLevel="0" collapsed="false">
      <c r="A36" s="13" t="n">
        <v>16</v>
      </c>
      <c r="B36" s="14" t="s">
        <v>33</v>
      </c>
      <c r="C36" s="15" t="n">
        <f aca="false">C35+Q35</f>
        <v>474.75</v>
      </c>
      <c r="D36" s="16" t="n">
        <f aca="false">Chạy!G123</f>
        <v>2.56</v>
      </c>
      <c r="E36" s="16" t="n">
        <f aca="false">D36+F36</f>
        <v>2.612</v>
      </c>
      <c r="F36" s="16" t="n">
        <f aca="false">RANDBETWEEN(-30,100)/1000</f>
        <v>0.052</v>
      </c>
      <c r="G36" s="16" t="n">
        <f aca="false">Chạy!I123</f>
        <v>2.56</v>
      </c>
      <c r="H36" s="16" t="n">
        <f aca="false">G36+I36</f>
        <v>2.652</v>
      </c>
      <c r="I36" s="16" t="n">
        <f aca="false">RANDBETWEEN(-30,100)/1000</f>
        <v>0.092</v>
      </c>
      <c r="J36" s="16" t="n">
        <f aca="false">Chạy!M127</f>
        <v>2.56</v>
      </c>
      <c r="K36" s="16" t="n">
        <f aca="false">J36+L36</f>
        <v>2.6</v>
      </c>
      <c r="L36" s="16" t="n">
        <f aca="false">RANDBETWEEN(-30,100)/1000</f>
        <v>0.04</v>
      </c>
      <c r="M36" s="16" t="n">
        <f aca="false">Chạy!O127</f>
        <v>2.56</v>
      </c>
      <c r="N36" s="16" t="n">
        <f aca="false">M36+O36</f>
        <v>2.625</v>
      </c>
      <c r="O36" s="16" t="n">
        <f aca="false">RANDBETWEEN(-30,100)/1000</f>
        <v>0.065</v>
      </c>
      <c r="P36" s="17"/>
      <c r="Q36" s="18" t="n">
        <v>14.44</v>
      </c>
    </row>
    <row r="37" customFormat="false" ht="15" hidden="false" customHeight="false" outlineLevel="0" collapsed="false">
      <c r="A37" s="13" t="n">
        <v>17</v>
      </c>
      <c r="B37" s="14" t="s">
        <v>34</v>
      </c>
      <c r="C37" s="15" t="n">
        <f aca="false">C36+Q36</f>
        <v>489.19</v>
      </c>
      <c r="D37" s="16" t="n">
        <f aca="false">Chạy!G131</f>
        <v>2.55</v>
      </c>
      <c r="E37" s="16" t="n">
        <f aca="false">D37+F37</f>
        <v>2.543</v>
      </c>
      <c r="F37" s="16" t="n">
        <f aca="false">RANDBETWEEN(-30,100)/1000</f>
        <v>-0.007</v>
      </c>
      <c r="G37" s="16" t="n">
        <f aca="false">Chạy!I131</f>
        <v>2.55</v>
      </c>
      <c r="H37" s="16" t="n">
        <f aca="false">G37+I37</f>
        <v>2.588</v>
      </c>
      <c r="I37" s="16" t="n">
        <f aca="false">RANDBETWEEN(-30,100)/1000</f>
        <v>0.038</v>
      </c>
      <c r="J37" s="16" t="n">
        <f aca="false">Chạy!M135</f>
        <v>2.55</v>
      </c>
      <c r="K37" s="16" t="n">
        <f aca="false">J37+L37</f>
        <v>2.547</v>
      </c>
      <c r="L37" s="16" t="n">
        <f aca="false">RANDBETWEEN(-30,100)/1000</f>
        <v>-0.003</v>
      </c>
      <c r="M37" s="16" t="n">
        <f aca="false">Chạy!O135</f>
        <v>2.55</v>
      </c>
      <c r="N37" s="16" t="n">
        <f aca="false">M37+O37</f>
        <v>2.558</v>
      </c>
      <c r="O37" s="16" t="n">
        <f aca="false">RANDBETWEEN(-30,100)/1000</f>
        <v>0.008</v>
      </c>
      <c r="P37" s="17"/>
      <c r="Q37" s="18" t="n">
        <v>13.17</v>
      </c>
    </row>
    <row r="38" customFormat="false" ht="15" hidden="false" customHeight="false" outlineLevel="0" collapsed="false">
      <c r="A38" s="13" t="n">
        <v>18</v>
      </c>
      <c r="B38" s="14" t="s">
        <v>35</v>
      </c>
      <c r="C38" s="15" t="n">
        <f aca="false">C37+Q37</f>
        <v>502.36</v>
      </c>
      <c r="D38" s="16" t="n">
        <f aca="false">Chạy!G139</f>
        <v>2.54</v>
      </c>
      <c r="E38" s="16" t="n">
        <f aca="false">D38+F38</f>
        <v>2.517</v>
      </c>
      <c r="F38" s="16" t="n">
        <f aca="false">RANDBETWEEN(-30,100)/1000</f>
        <v>-0.023</v>
      </c>
      <c r="G38" s="16" t="n">
        <f aca="false">Chạy!I139</f>
        <v>2.54</v>
      </c>
      <c r="H38" s="16" t="n">
        <f aca="false">G38+I38</f>
        <v>2.578</v>
      </c>
      <c r="I38" s="16" t="n">
        <f aca="false">RANDBETWEEN(-30,100)/1000</f>
        <v>0.038</v>
      </c>
      <c r="J38" s="16" t="n">
        <f aca="false">Chạy!M143</f>
        <v>2.54</v>
      </c>
      <c r="K38" s="16" t="n">
        <f aca="false">J38+L38</f>
        <v>2.591</v>
      </c>
      <c r="L38" s="16" t="n">
        <f aca="false">RANDBETWEEN(-30,100)/1000</f>
        <v>0.051</v>
      </c>
      <c r="M38" s="16" t="n">
        <f aca="false">Chạy!O143</f>
        <v>2.54</v>
      </c>
      <c r="N38" s="16" t="n">
        <f aca="false">M38+O38</f>
        <v>2.517</v>
      </c>
      <c r="O38" s="16" t="n">
        <f aca="false">RANDBETWEEN(-30,100)/1000</f>
        <v>-0.023</v>
      </c>
      <c r="P38" s="17"/>
      <c r="Q38" s="18" t="n">
        <v>10.48</v>
      </c>
    </row>
    <row r="39" customFormat="false" ht="15" hidden="false" customHeight="false" outlineLevel="0" collapsed="false">
      <c r="A39" s="13" t="n">
        <v>19</v>
      </c>
      <c r="B39" s="14" t="s">
        <v>36</v>
      </c>
      <c r="C39" s="15" t="n">
        <f aca="false">C38+Q38</f>
        <v>512.84</v>
      </c>
      <c r="D39" s="16" t="n">
        <f aca="false">Chạy!G147</f>
        <v>2.54</v>
      </c>
      <c r="E39" s="16" t="n">
        <f aca="false">D39+F39</f>
        <v>2.536</v>
      </c>
      <c r="F39" s="16" t="n">
        <f aca="false">RANDBETWEEN(-30,100)/1000</f>
        <v>-0.004</v>
      </c>
      <c r="G39" s="16" t="n">
        <f aca="false">Chạy!I147</f>
        <v>2.54</v>
      </c>
      <c r="H39" s="16" t="n">
        <f aca="false">G39+I39</f>
        <v>2.628</v>
      </c>
      <c r="I39" s="16" t="n">
        <f aca="false">RANDBETWEEN(-30,100)/1000</f>
        <v>0.088</v>
      </c>
      <c r="J39" s="16" t="n">
        <f aca="false">Chạy!M151</f>
        <v>2.54</v>
      </c>
      <c r="K39" s="16" t="n">
        <f aca="false">J39+L39</f>
        <v>2.62</v>
      </c>
      <c r="L39" s="16" t="n">
        <f aca="false">RANDBETWEEN(-30,100)/1000</f>
        <v>0.08</v>
      </c>
      <c r="M39" s="16" t="n">
        <f aca="false">Chạy!O151</f>
        <v>2.54</v>
      </c>
      <c r="N39" s="16" t="n">
        <f aca="false">M39+O39</f>
        <v>2.634</v>
      </c>
      <c r="O39" s="16" t="n">
        <f aca="false">RANDBETWEEN(-30,100)/1000</f>
        <v>0.094</v>
      </c>
      <c r="P39" s="17"/>
      <c r="Q39" s="18" t="n">
        <v>16.78</v>
      </c>
    </row>
    <row r="40" customFormat="false" ht="15" hidden="false" customHeight="false" outlineLevel="0" collapsed="false">
      <c r="A40" s="13" t="n">
        <v>20</v>
      </c>
      <c r="B40" s="14" t="s">
        <v>37</v>
      </c>
      <c r="C40" s="15" t="n">
        <f aca="false">C39+Q39</f>
        <v>529.62</v>
      </c>
      <c r="D40" s="16" t="n">
        <f aca="false">Chạy!G155</f>
        <v>2.53</v>
      </c>
      <c r="E40" s="16" t="n">
        <f aca="false">D40+F40</f>
        <v>2.533</v>
      </c>
      <c r="F40" s="16" t="n">
        <f aca="false">RANDBETWEEN(-30,100)/1000</f>
        <v>0.003</v>
      </c>
      <c r="G40" s="16" t="n">
        <f aca="false">Chạy!I155</f>
        <v>2.53</v>
      </c>
      <c r="H40" s="16" t="n">
        <f aca="false">G40+I40</f>
        <v>2.601</v>
      </c>
      <c r="I40" s="16" t="n">
        <f aca="false">RANDBETWEEN(-30,100)/1000</f>
        <v>0.071</v>
      </c>
      <c r="J40" s="16" t="n">
        <f aca="false">Chạy!M159</f>
        <v>2.53</v>
      </c>
      <c r="K40" s="16" t="n">
        <f aca="false">J40+L40</f>
        <v>2.529</v>
      </c>
      <c r="L40" s="16" t="n">
        <f aca="false">RANDBETWEEN(-30,100)/1000</f>
        <v>-0.001</v>
      </c>
      <c r="M40" s="16" t="n">
        <f aca="false">Chạy!O159</f>
        <v>2.53</v>
      </c>
      <c r="N40" s="16" t="n">
        <f aca="false">M40+O40</f>
        <v>2.503</v>
      </c>
      <c r="O40" s="16" t="n">
        <f aca="false">RANDBETWEEN(-30,100)/1000</f>
        <v>-0.027</v>
      </c>
      <c r="P40" s="17"/>
      <c r="Q40" s="18" t="n">
        <v>17.1</v>
      </c>
    </row>
    <row r="41" customFormat="false" ht="15" hidden="false" customHeight="false" outlineLevel="0" collapsed="false">
      <c r="A41" s="13" t="n">
        <v>21</v>
      </c>
      <c r="B41" s="14" t="s">
        <v>38</v>
      </c>
      <c r="C41" s="15" t="n">
        <f aca="false">C40+Q40</f>
        <v>546.72</v>
      </c>
      <c r="D41" s="16" t="n">
        <f aca="false">Chạy!G163</f>
        <v>2.52</v>
      </c>
      <c r="E41" s="16" t="n">
        <f aca="false">D41+F41</f>
        <v>2.535</v>
      </c>
      <c r="F41" s="16" t="n">
        <f aca="false">RANDBETWEEN(-30,100)/1000</f>
        <v>0.015</v>
      </c>
      <c r="G41" s="16" t="n">
        <f aca="false">Chạy!I163</f>
        <v>2.52</v>
      </c>
      <c r="H41" s="16" t="n">
        <f aca="false">G41+I41</f>
        <v>2.527</v>
      </c>
      <c r="I41" s="16" t="n">
        <f aca="false">RANDBETWEEN(-30,100)/1000</f>
        <v>0.007</v>
      </c>
      <c r="J41" s="16" t="n">
        <f aca="false">Chạy!M167</f>
        <v>2.52</v>
      </c>
      <c r="K41" s="16" t="n">
        <f aca="false">J41+L41</f>
        <v>2.599</v>
      </c>
      <c r="L41" s="16" t="n">
        <f aca="false">RANDBETWEEN(-30,100)/1000</f>
        <v>0.079</v>
      </c>
      <c r="M41" s="16" t="n">
        <f aca="false">Chạy!O167</f>
        <v>2.52</v>
      </c>
      <c r="N41" s="16" t="n">
        <f aca="false">M41+O41</f>
        <v>2.539</v>
      </c>
      <c r="O41" s="16" t="n">
        <f aca="false">RANDBETWEEN(-30,100)/1000</f>
        <v>0.019</v>
      </c>
      <c r="P41" s="17"/>
      <c r="Q41" s="18" t="n">
        <v>15.15</v>
      </c>
    </row>
    <row r="42" customFormat="false" ht="15" hidden="false" customHeight="false" outlineLevel="0" collapsed="false">
      <c r="A42" s="13" t="n">
        <v>22</v>
      </c>
      <c r="B42" s="14" t="s">
        <v>39</v>
      </c>
      <c r="C42" s="15" t="n">
        <f aca="false">C41+Q41</f>
        <v>561.87</v>
      </c>
      <c r="D42" s="16" t="n">
        <f aca="false">Chạy!G171</f>
        <v>2.52</v>
      </c>
      <c r="E42" s="16" t="n">
        <f aca="false">D42+F42</f>
        <v>2.584</v>
      </c>
      <c r="F42" s="16" t="n">
        <f aca="false">RANDBETWEEN(-30,100)/1000</f>
        <v>0.064</v>
      </c>
      <c r="G42" s="16" t="n">
        <f aca="false">Chạy!I171</f>
        <v>2.52</v>
      </c>
      <c r="H42" s="16" t="n">
        <f aca="false">G42+I42</f>
        <v>2.539</v>
      </c>
      <c r="I42" s="16" t="n">
        <f aca="false">RANDBETWEEN(-30,100)/1000</f>
        <v>0.019</v>
      </c>
      <c r="J42" s="16" t="n">
        <f aca="false">Chạy!M175</f>
        <v>2.52</v>
      </c>
      <c r="K42" s="16" t="n">
        <f aca="false">J42+L42</f>
        <v>2.615</v>
      </c>
      <c r="L42" s="16" t="n">
        <f aca="false">RANDBETWEEN(-30,100)/1000</f>
        <v>0.095</v>
      </c>
      <c r="M42" s="16" t="n">
        <f aca="false">Chạy!O175</f>
        <v>2.52</v>
      </c>
      <c r="N42" s="16" t="n">
        <f aca="false">M42+O42</f>
        <v>2.535</v>
      </c>
      <c r="O42" s="16" t="n">
        <f aca="false">RANDBETWEEN(-30,100)/1000</f>
        <v>0.015</v>
      </c>
      <c r="P42" s="17"/>
      <c r="Q42" s="18" t="n">
        <v>0.15</v>
      </c>
    </row>
    <row r="43" customFormat="false" ht="15" hidden="false" customHeight="false" outlineLevel="0" collapsed="false">
      <c r="A43" s="13" t="n">
        <v>23</v>
      </c>
      <c r="B43" s="14" t="s">
        <v>40</v>
      </c>
      <c r="C43" s="15" t="n">
        <f aca="false">C42+Q42</f>
        <v>562.02</v>
      </c>
      <c r="D43" s="16" t="n">
        <f aca="false">Chạy!G179</f>
        <v>2.52</v>
      </c>
      <c r="E43" s="16" t="n">
        <f aca="false">D43+F43</f>
        <v>2.555</v>
      </c>
      <c r="F43" s="16" t="n">
        <f aca="false">RANDBETWEEN(-30,100)/1000</f>
        <v>0.035</v>
      </c>
      <c r="G43" s="16" t="n">
        <f aca="false">Chạy!I179</f>
        <v>2.52</v>
      </c>
      <c r="H43" s="16" t="n">
        <f aca="false">G43+I43</f>
        <v>2.585</v>
      </c>
      <c r="I43" s="16" t="n">
        <f aca="false">RANDBETWEEN(-30,100)/1000</f>
        <v>0.065</v>
      </c>
      <c r="J43" s="16" t="n">
        <f aca="false">Chạy!M183</f>
        <v>2.52</v>
      </c>
      <c r="K43" s="16" t="n">
        <f aca="false">J43+L43</f>
        <v>2.496</v>
      </c>
      <c r="L43" s="16" t="n">
        <f aca="false">RANDBETWEEN(-30,100)/1000</f>
        <v>-0.024</v>
      </c>
      <c r="M43" s="16" t="n">
        <f aca="false">Chạy!O183</f>
        <v>2.52</v>
      </c>
      <c r="N43" s="16" t="n">
        <f aca="false">M43+O43</f>
        <v>2.563</v>
      </c>
      <c r="O43" s="16" t="n">
        <f aca="false">RANDBETWEEN(-30,100)/1000</f>
        <v>0.043</v>
      </c>
      <c r="P43" s="17"/>
      <c r="Q43" s="18" t="n">
        <v>6.55</v>
      </c>
    </row>
    <row r="44" customFormat="false" ht="15" hidden="false" customHeight="false" outlineLevel="0" collapsed="false">
      <c r="A44" s="13" t="n">
        <v>24</v>
      </c>
      <c r="B44" s="14" t="s">
        <v>41</v>
      </c>
      <c r="C44" s="15" t="n">
        <f aca="false">C43+Q43</f>
        <v>568.57</v>
      </c>
      <c r="D44" s="16" t="n">
        <f aca="false">Chạy!G187</f>
        <v>2.52</v>
      </c>
      <c r="E44" s="16" t="n">
        <f aca="false">D44+F44</f>
        <v>2.59</v>
      </c>
      <c r="F44" s="16" t="n">
        <f aca="false">RANDBETWEEN(-30,100)/1000</f>
        <v>0.07</v>
      </c>
      <c r="G44" s="16" t="n">
        <f aca="false">Chạy!I187</f>
        <v>2.52</v>
      </c>
      <c r="H44" s="16" t="n">
        <f aca="false">G44+I44</f>
        <v>2.51</v>
      </c>
      <c r="I44" s="16" t="n">
        <f aca="false">RANDBETWEEN(-30,100)/1000</f>
        <v>-0.01</v>
      </c>
      <c r="J44" s="16" t="n">
        <f aca="false">Chạy!M191</f>
        <v>2.52</v>
      </c>
      <c r="K44" s="16" t="n">
        <f aca="false">J44+L44</f>
        <v>2.498</v>
      </c>
      <c r="L44" s="16" t="n">
        <f aca="false">RANDBETWEEN(-30,100)/1000</f>
        <v>-0.022</v>
      </c>
      <c r="M44" s="16" t="n">
        <f aca="false">Chạy!O191</f>
        <v>2.52</v>
      </c>
      <c r="N44" s="16" t="n">
        <f aca="false">M44+O44</f>
        <v>2.612</v>
      </c>
      <c r="O44" s="16" t="n">
        <f aca="false">RANDBETWEEN(-30,100)/1000</f>
        <v>0.092</v>
      </c>
      <c r="P44" s="17"/>
      <c r="Q44" s="18" t="n">
        <v>6.55</v>
      </c>
    </row>
    <row r="45" customFormat="false" ht="15" hidden="false" customHeight="false" outlineLevel="0" collapsed="false">
      <c r="A45" s="13" t="n">
        <v>25</v>
      </c>
      <c r="B45" s="14" t="s">
        <v>1</v>
      </c>
      <c r="C45" s="15" t="n">
        <f aca="false">C44+Q44</f>
        <v>575.12</v>
      </c>
      <c r="D45" s="16" t="n">
        <f aca="false">Chạy!G195</f>
        <v>2.52</v>
      </c>
      <c r="E45" s="16" t="n">
        <f aca="false">D45+F45</f>
        <v>2.581</v>
      </c>
      <c r="F45" s="16" t="n">
        <f aca="false">RANDBETWEEN(-30,100)/1000</f>
        <v>0.061</v>
      </c>
      <c r="G45" s="16" t="n">
        <f aca="false">Chạy!I195</f>
        <v>2.52</v>
      </c>
      <c r="H45" s="16" t="n">
        <f aca="false">G45+I45</f>
        <v>2.506</v>
      </c>
      <c r="I45" s="16" t="n">
        <f aca="false">RANDBETWEEN(-30,100)/1000</f>
        <v>-0.014</v>
      </c>
      <c r="J45" s="16" t="n">
        <f aca="false">Chạy!M199</f>
        <v>2.52</v>
      </c>
      <c r="K45" s="16" t="n">
        <f aca="false">J45+L45</f>
        <v>2.595</v>
      </c>
      <c r="L45" s="16" t="n">
        <f aca="false">RANDBETWEEN(-30,100)/1000</f>
        <v>0.075</v>
      </c>
      <c r="M45" s="16" t="n">
        <f aca="false">Chạy!O199</f>
        <v>2.52</v>
      </c>
      <c r="N45" s="16" t="n">
        <f aca="false">M45+O45</f>
        <v>2.543</v>
      </c>
      <c r="O45" s="16" t="n">
        <f aca="false">RANDBETWEEN(-30,100)/1000</f>
        <v>0.023</v>
      </c>
      <c r="P45" s="17"/>
      <c r="Q45" s="18" t="n">
        <v>0.04</v>
      </c>
    </row>
    <row r="46" customFormat="false" ht="15" hidden="false" customHeight="false" outlineLevel="0" collapsed="false">
      <c r="A46" s="13" t="n">
        <v>26</v>
      </c>
      <c r="B46" s="14" t="s">
        <v>42</v>
      </c>
      <c r="C46" s="15" t="n">
        <f aca="false">C45+Q45</f>
        <v>575.16</v>
      </c>
      <c r="D46" s="16" t="n">
        <f aca="false">Chạy!G203</f>
        <v>2.65</v>
      </c>
      <c r="E46" s="16" t="n">
        <f aca="false">D46+F46</f>
        <v>2.739</v>
      </c>
      <c r="F46" s="16" t="n">
        <f aca="false">RANDBETWEEN(-30,100)/1000</f>
        <v>0.089</v>
      </c>
      <c r="G46" s="16" t="n">
        <f aca="false">Chạy!I203</f>
        <v>2.65</v>
      </c>
      <c r="H46" s="16" t="n">
        <f aca="false">G46+I46</f>
        <v>2.665</v>
      </c>
      <c r="I46" s="16" t="n">
        <f aca="false">RANDBETWEEN(-30,100)/1000</f>
        <v>0.015</v>
      </c>
      <c r="J46" s="16" t="n">
        <f aca="false">Chạy!M207</f>
        <v>2.52</v>
      </c>
      <c r="K46" s="16" t="n">
        <f aca="false">J46+L46</f>
        <v>2.564</v>
      </c>
      <c r="L46" s="16" t="n">
        <f aca="false">RANDBETWEEN(-30,100)/1000</f>
        <v>0.044</v>
      </c>
      <c r="M46" s="16" t="n">
        <f aca="false">Chạy!O207</f>
        <v>2.52</v>
      </c>
      <c r="N46" s="16" t="n">
        <f aca="false">M46+O46</f>
        <v>2.515</v>
      </c>
      <c r="O46" s="16" t="n">
        <f aca="false">RANDBETWEEN(-30,100)/1000</f>
        <v>-0.005</v>
      </c>
      <c r="P46" s="17"/>
      <c r="Q46" s="18" t="n">
        <v>16.95</v>
      </c>
    </row>
    <row r="47" customFormat="false" ht="15" hidden="false" customHeight="false" outlineLevel="0" collapsed="false">
      <c r="A47" s="13" t="n">
        <v>27</v>
      </c>
      <c r="B47" s="14" t="s">
        <v>43</v>
      </c>
      <c r="C47" s="15" t="n">
        <f aca="false">C46+Q46</f>
        <v>592.11</v>
      </c>
      <c r="D47" s="16" t="n">
        <f aca="false">Chạy!G211</f>
        <v>2.52</v>
      </c>
      <c r="E47" s="16" t="n">
        <f aca="false">D47+F47</f>
        <v>2.603</v>
      </c>
      <c r="F47" s="16" t="n">
        <f aca="false">RANDBETWEEN(-30,100)/1000</f>
        <v>0.083</v>
      </c>
      <c r="G47" s="16" t="n">
        <f aca="false">Chạy!I211</f>
        <v>2.52</v>
      </c>
      <c r="H47" s="16" t="n">
        <f aca="false">G47+I47</f>
        <v>2.557</v>
      </c>
      <c r="I47" s="16" t="n">
        <f aca="false">RANDBETWEEN(-30,100)/1000</f>
        <v>0.037</v>
      </c>
      <c r="J47" s="16" t="n">
        <f aca="false">Chạy!M215</f>
        <v>2.52</v>
      </c>
      <c r="K47" s="16" t="n">
        <f aca="false">J47+L47</f>
        <v>2.531</v>
      </c>
      <c r="L47" s="16" t="n">
        <f aca="false">RANDBETWEEN(-30,100)/1000</f>
        <v>0.011</v>
      </c>
      <c r="M47" s="16" t="n">
        <f aca="false">Chạy!O215</f>
        <v>2.52</v>
      </c>
      <c r="N47" s="16" t="n">
        <f aca="false">M47+O47</f>
        <v>2.604</v>
      </c>
      <c r="O47" s="16" t="n">
        <f aca="false">RANDBETWEEN(-30,100)/1000</f>
        <v>0.084</v>
      </c>
      <c r="P47" s="17"/>
      <c r="Q47" s="18" t="n">
        <v>17</v>
      </c>
    </row>
    <row r="48" customFormat="false" ht="15" hidden="false" customHeight="false" outlineLevel="0" collapsed="false">
      <c r="A48" s="13" t="n">
        <v>28</v>
      </c>
      <c r="B48" s="14" t="s">
        <v>44</v>
      </c>
      <c r="C48" s="15" t="n">
        <f aca="false">C47+Q47</f>
        <v>609.11</v>
      </c>
      <c r="D48" s="16" t="n">
        <f aca="false">Chạy!G219</f>
        <v>2.52</v>
      </c>
      <c r="E48" s="16" t="n">
        <f aca="false">D48+F48</f>
        <v>2.588</v>
      </c>
      <c r="F48" s="16" t="n">
        <f aca="false">RANDBETWEEN(-30,100)/1000</f>
        <v>0.068</v>
      </c>
      <c r="G48" s="16" t="n">
        <f aca="false">Chạy!I219</f>
        <v>2.52</v>
      </c>
      <c r="H48" s="16" t="n">
        <f aca="false">G48+I48</f>
        <v>2.57</v>
      </c>
      <c r="I48" s="16" t="n">
        <f aca="false">RANDBETWEEN(-30,100)/1000</f>
        <v>0.05</v>
      </c>
      <c r="J48" s="16" t="n">
        <f aca="false">Chạy!M223</f>
        <v>2.52</v>
      </c>
      <c r="K48" s="16" t="n">
        <f aca="false">J48+L48</f>
        <v>2.599</v>
      </c>
      <c r="L48" s="16" t="n">
        <f aca="false">RANDBETWEEN(-30,100)/1000</f>
        <v>0.079</v>
      </c>
      <c r="M48" s="16" t="n">
        <f aca="false">Chạy!O223</f>
        <v>2.52</v>
      </c>
      <c r="N48" s="16" t="n">
        <f aca="false">M48+O48</f>
        <v>2.491</v>
      </c>
      <c r="O48" s="16" t="n">
        <f aca="false">RANDBETWEEN(-30,100)/1000</f>
        <v>-0.029</v>
      </c>
      <c r="P48" s="17"/>
      <c r="Q48" s="18" t="n">
        <v>11.75</v>
      </c>
    </row>
    <row r="49" customFormat="false" ht="15" hidden="false" customHeight="false" outlineLevel="0" collapsed="false">
      <c r="A49" s="13" t="n">
        <v>29</v>
      </c>
      <c r="B49" s="14" t="s">
        <v>45</v>
      </c>
      <c r="C49" s="15" t="n">
        <f aca="false">C48+Q48</f>
        <v>620.86</v>
      </c>
      <c r="D49" s="16" t="n">
        <f aca="false">Chạy!G227</f>
        <v>2.52</v>
      </c>
      <c r="E49" s="16" t="n">
        <f aca="false">D49+F49</f>
        <v>2.618</v>
      </c>
      <c r="F49" s="16" t="n">
        <f aca="false">RANDBETWEEN(-30,100)/1000</f>
        <v>0.098</v>
      </c>
      <c r="G49" s="16" t="n">
        <f aca="false">Chạy!I227</f>
        <v>2.52</v>
      </c>
      <c r="H49" s="16" t="n">
        <f aca="false">G49+I49</f>
        <v>2.534</v>
      </c>
      <c r="I49" s="16" t="n">
        <f aca="false">RANDBETWEEN(-30,100)/1000</f>
        <v>0.014</v>
      </c>
      <c r="J49" s="16" t="n">
        <f aca="false">Chạy!M231</f>
        <v>2.52</v>
      </c>
      <c r="K49" s="16" t="n">
        <f aca="false">J49+L49</f>
        <v>2.605</v>
      </c>
      <c r="L49" s="16" t="n">
        <f aca="false">RANDBETWEEN(-30,100)/1000</f>
        <v>0.085</v>
      </c>
      <c r="M49" s="16" t="n">
        <f aca="false">Chạy!O231</f>
        <v>2.52</v>
      </c>
      <c r="N49" s="16" t="n">
        <f aca="false">M49+O49</f>
        <v>2.565</v>
      </c>
      <c r="O49" s="16" t="n">
        <f aca="false">RANDBETWEEN(-30,100)/1000</f>
        <v>0.045</v>
      </c>
      <c r="P49" s="17"/>
      <c r="Q49" s="18" t="n">
        <v>11.75</v>
      </c>
    </row>
    <row r="50" customFormat="false" ht="15" hidden="false" customHeight="false" outlineLevel="0" collapsed="false">
      <c r="A50" s="13" t="n">
        <v>30</v>
      </c>
      <c r="B50" s="14" t="s">
        <v>46</v>
      </c>
      <c r="C50" s="15" t="n">
        <f aca="false">C49+Q49</f>
        <v>632.61</v>
      </c>
      <c r="D50" s="16" t="n">
        <f aca="false">Chạy!G235</f>
        <v>2.52</v>
      </c>
      <c r="E50" s="16" t="n">
        <f aca="false">D50+F50</f>
        <v>2.55</v>
      </c>
      <c r="F50" s="16" t="n">
        <f aca="false">RANDBETWEEN(-30,100)/1000</f>
        <v>0.03</v>
      </c>
      <c r="G50" s="16" t="n">
        <f aca="false">Chạy!I235</f>
        <v>2.52</v>
      </c>
      <c r="H50" s="16" t="n">
        <f aca="false">G50+I50</f>
        <v>2.502</v>
      </c>
      <c r="I50" s="16" t="n">
        <f aca="false">RANDBETWEEN(-30,100)/1000</f>
        <v>-0.018</v>
      </c>
      <c r="J50" s="16" t="n">
        <f aca="false">Chạy!M239</f>
        <v>2.52</v>
      </c>
      <c r="K50" s="16" t="n">
        <f aca="false">J50+L50</f>
        <v>2.567</v>
      </c>
      <c r="L50" s="16" t="n">
        <f aca="false">RANDBETWEEN(-30,100)/1000</f>
        <v>0.047</v>
      </c>
      <c r="M50" s="16" t="n">
        <f aca="false">Chạy!O239</f>
        <v>2.52</v>
      </c>
      <c r="N50" s="16" t="n">
        <f aca="false">M50+O50</f>
        <v>2.513</v>
      </c>
      <c r="O50" s="16" t="n">
        <f aca="false">RANDBETWEEN(-30,100)/1000</f>
        <v>-0.007</v>
      </c>
      <c r="P50" s="17"/>
      <c r="Q50" s="18" t="n">
        <v>20</v>
      </c>
    </row>
    <row r="51" customFormat="false" ht="15" hidden="false" customHeight="false" outlineLevel="0" collapsed="false">
      <c r="A51" s="13" t="n">
        <v>31</v>
      </c>
      <c r="B51" s="14" t="s">
        <v>47</v>
      </c>
      <c r="C51" s="15" t="n">
        <f aca="false">C50+Q50</f>
        <v>652.61</v>
      </c>
      <c r="D51" s="16" t="n">
        <f aca="false">Chạy!G243</f>
        <v>2.53</v>
      </c>
      <c r="E51" s="16" t="n">
        <f aca="false">D51+F51</f>
        <v>2.581</v>
      </c>
      <c r="F51" s="16" t="n">
        <f aca="false">RANDBETWEEN(-30,100)/1000</f>
        <v>0.051</v>
      </c>
      <c r="G51" s="16" t="n">
        <f aca="false">Chạy!I243</f>
        <v>2.53</v>
      </c>
      <c r="H51" s="16" t="n">
        <f aca="false">G51+I51</f>
        <v>2.528</v>
      </c>
      <c r="I51" s="16" t="n">
        <f aca="false">RANDBETWEEN(-30,100)/1000</f>
        <v>-0.002</v>
      </c>
      <c r="J51" s="16" t="n">
        <f aca="false">Chạy!M247</f>
        <v>2.53</v>
      </c>
      <c r="K51" s="16" t="n">
        <f aca="false">J51+L51</f>
        <v>2.623</v>
      </c>
      <c r="L51" s="16" t="n">
        <f aca="false">RANDBETWEEN(-30,100)/1000</f>
        <v>0.093</v>
      </c>
      <c r="M51" s="16" t="n">
        <f aca="false">Chạy!O247</f>
        <v>2.53</v>
      </c>
      <c r="N51" s="16" t="n">
        <f aca="false">M51+O51</f>
        <v>2.607</v>
      </c>
      <c r="O51" s="16" t="n">
        <f aca="false">RANDBETWEEN(-30,100)/1000</f>
        <v>0.077</v>
      </c>
      <c r="P51" s="17"/>
      <c r="Q51" s="18" t="n">
        <v>20</v>
      </c>
    </row>
    <row r="52" customFormat="false" ht="15" hidden="false" customHeight="false" outlineLevel="0" collapsed="false">
      <c r="A52" s="13" t="n">
        <v>32</v>
      </c>
      <c r="B52" s="14" t="s">
        <v>48</v>
      </c>
      <c r="C52" s="15" t="n">
        <f aca="false">C51+Q51</f>
        <v>672.61</v>
      </c>
      <c r="D52" s="16" t="n">
        <f aca="false">Chạy!G251</f>
        <v>2.53</v>
      </c>
      <c r="E52" s="16" t="n">
        <f aca="false">D52+F52</f>
        <v>2.522</v>
      </c>
      <c r="F52" s="16" t="n">
        <f aca="false">RANDBETWEEN(-30,100)/1000</f>
        <v>-0.008</v>
      </c>
      <c r="G52" s="16" t="n">
        <f aca="false">Chạy!I251</f>
        <v>2.53</v>
      </c>
      <c r="H52" s="16" t="n">
        <f aca="false">G52+I52</f>
        <v>2.522</v>
      </c>
      <c r="I52" s="16" t="n">
        <f aca="false">RANDBETWEEN(-30,100)/1000</f>
        <v>-0.008</v>
      </c>
      <c r="J52" s="16" t="n">
        <f aca="false">Chạy!M255</f>
        <v>2.53</v>
      </c>
      <c r="K52" s="16" t="n">
        <f aca="false">J52+L52</f>
        <v>2.624</v>
      </c>
      <c r="L52" s="16" t="n">
        <f aca="false">RANDBETWEEN(-30,100)/1000</f>
        <v>0.094</v>
      </c>
      <c r="M52" s="16" t="n">
        <f aca="false">Chạy!O255</f>
        <v>2.53</v>
      </c>
      <c r="N52" s="16" t="n">
        <f aca="false">M52+O52</f>
        <v>2.538</v>
      </c>
      <c r="O52" s="16" t="n">
        <f aca="false">RANDBETWEEN(-30,100)/1000</f>
        <v>0.008</v>
      </c>
      <c r="P52" s="17"/>
      <c r="Q52" s="18" t="n">
        <v>20</v>
      </c>
    </row>
    <row r="53" customFormat="false" ht="15" hidden="false" customHeight="false" outlineLevel="0" collapsed="false">
      <c r="A53" s="13" t="n">
        <v>33</v>
      </c>
      <c r="B53" s="14" t="s">
        <v>49</v>
      </c>
      <c r="C53" s="15" t="n">
        <f aca="false">C52+Q52</f>
        <v>692.61</v>
      </c>
      <c r="D53" s="16" t="n">
        <f aca="false">Chạy!G259</f>
        <v>2.53</v>
      </c>
      <c r="E53" s="16" t="n">
        <f aca="false">D53+F53</f>
        <v>2.624</v>
      </c>
      <c r="F53" s="16" t="n">
        <f aca="false">RANDBETWEEN(-30,100)/1000</f>
        <v>0.094</v>
      </c>
      <c r="G53" s="16" t="n">
        <f aca="false">Chạy!I259</f>
        <v>2.53</v>
      </c>
      <c r="H53" s="16" t="n">
        <f aca="false">G53+I53</f>
        <v>2.614</v>
      </c>
      <c r="I53" s="16" t="n">
        <f aca="false">RANDBETWEEN(-30,100)/1000</f>
        <v>0.084</v>
      </c>
      <c r="J53" s="16" t="n">
        <f aca="false">Chạy!M263</f>
        <v>2.53</v>
      </c>
      <c r="K53" s="16" t="n">
        <f aca="false">J53+L53</f>
        <v>2.514</v>
      </c>
      <c r="L53" s="16" t="n">
        <f aca="false">RANDBETWEEN(-30,100)/1000</f>
        <v>-0.016</v>
      </c>
      <c r="M53" s="16" t="n">
        <f aca="false">Chạy!O263</f>
        <v>2.53</v>
      </c>
      <c r="N53" s="16" t="n">
        <f aca="false">M53+O53</f>
        <v>2.55</v>
      </c>
      <c r="O53" s="16" t="n">
        <f aca="false">RANDBETWEEN(-30,100)/1000</f>
        <v>0.02</v>
      </c>
      <c r="P53" s="17"/>
      <c r="Q53" s="18" t="n">
        <v>20</v>
      </c>
    </row>
    <row r="54" customFormat="false" ht="15" hidden="false" customHeight="false" outlineLevel="0" collapsed="false">
      <c r="A54" s="13" t="n">
        <v>34</v>
      </c>
      <c r="B54" s="14" t="s">
        <v>50</v>
      </c>
      <c r="C54" s="15" t="n">
        <f aca="false">C53+Q53</f>
        <v>712.61</v>
      </c>
      <c r="D54" s="16" t="n">
        <f aca="false">Chạy!G267</f>
        <v>2.53</v>
      </c>
      <c r="E54" s="16" t="n">
        <f aca="false">D54+F54</f>
        <v>2.562</v>
      </c>
      <c r="F54" s="16" t="n">
        <f aca="false">RANDBETWEEN(-30,100)/1000</f>
        <v>0.032</v>
      </c>
      <c r="G54" s="16" t="n">
        <f aca="false">Chạy!I267</f>
        <v>2.53</v>
      </c>
      <c r="H54" s="16" t="n">
        <f aca="false">G54+I54</f>
        <v>2.505</v>
      </c>
      <c r="I54" s="16" t="n">
        <f aca="false">RANDBETWEEN(-30,100)/1000</f>
        <v>-0.025</v>
      </c>
      <c r="J54" s="16" t="n">
        <f aca="false">Chạy!M271</f>
        <v>2.53</v>
      </c>
      <c r="K54" s="16" t="n">
        <f aca="false">J54+L54</f>
        <v>2.535</v>
      </c>
      <c r="L54" s="16" t="n">
        <f aca="false">RANDBETWEEN(-30,100)/1000</f>
        <v>0.005</v>
      </c>
      <c r="M54" s="16" t="n">
        <f aca="false">Chạy!O271</f>
        <v>2.53</v>
      </c>
      <c r="N54" s="16" t="n">
        <f aca="false">M54+O54</f>
        <v>2.504</v>
      </c>
      <c r="O54" s="16" t="n">
        <f aca="false">RANDBETWEEN(-30,100)/1000</f>
        <v>-0.026</v>
      </c>
      <c r="P54" s="17"/>
      <c r="Q54" s="18" t="n">
        <v>11.5</v>
      </c>
    </row>
    <row r="55" customFormat="false" ht="15" hidden="false" customHeight="false" outlineLevel="0" collapsed="false">
      <c r="A55" s="13" t="n">
        <v>35</v>
      </c>
      <c r="B55" s="14" t="s">
        <v>51</v>
      </c>
      <c r="C55" s="15" t="n">
        <f aca="false">C54+Q54</f>
        <v>724.11</v>
      </c>
      <c r="D55" s="16" t="n">
        <f aca="false">Chạy!G275</f>
        <v>2.53</v>
      </c>
      <c r="E55" s="16" t="n">
        <f aca="false">D55+F55</f>
        <v>2.589</v>
      </c>
      <c r="F55" s="16" t="n">
        <f aca="false">RANDBETWEEN(-30,100)/1000</f>
        <v>0.059</v>
      </c>
      <c r="G55" s="16" t="n">
        <f aca="false">Chạy!I275</f>
        <v>2.53</v>
      </c>
      <c r="H55" s="16" t="n">
        <f aca="false">G55+I55</f>
        <v>2.618</v>
      </c>
      <c r="I55" s="16" t="n">
        <f aca="false">RANDBETWEEN(-30,100)/1000</f>
        <v>0.088</v>
      </c>
      <c r="J55" s="16" t="n">
        <f aca="false">Chạy!M279</f>
        <v>2.53</v>
      </c>
      <c r="K55" s="16" t="n">
        <f aca="false">J55+L55</f>
        <v>2.534</v>
      </c>
      <c r="L55" s="16" t="n">
        <f aca="false">RANDBETWEEN(-30,100)/1000</f>
        <v>0.004</v>
      </c>
      <c r="M55" s="16" t="n">
        <f aca="false">Chạy!O279</f>
        <v>2.53</v>
      </c>
      <c r="N55" s="16" t="n">
        <f aca="false">M55+O55</f>
        <v>2.524</v>
      </c>
      <c r="O55" s="16" t="n">
        <f aca="false">RANDBETWEEN(-30,100)/1000</f>
        <v>-0.006</v>
      </c>
      <c r="P55" s="17"/>
      <c r="Q55" s="18" t="n">
        <v>13.25</v>
      </c>
    </row>
    <row r="56" customFormat="false" ht="15" hidden="false" customHeight="false" outlineLevel="0" collapsed="false">
      <c r="A56" s="13" t="n">
        <v>36</v>
      </c>
      <c r="B56" s="14" t="s">
        <v>52</v>
      </c>
      <c r="C56" s="15" t="n">
        <f aca="false">C55+Q55</f>
        <v>737.36</v>
      </c>
      <c r="D56" s="16" t="n">
        <f aca="false">Chạy!G283</f>
        <v>2.54</v>
      </c>
      <c r="E56" s="16" t="n">
        <f aca="false">D56+F56</f>
        <v>2.603</v>
      </c>
      <c r="F56" s="16" t="n">
        <f aca="false">RANDBETWEEN(-30,100)/1000</f>
        <v>0.063</v>
      </c>
      <c r="G56" s="16" t="n">
        <f aca="false">Chạy!I283</f>
        <v>2.54</v>
      </c>
      <c r="H56" s="16" t="n">
        <f aca="false">G56+I56</f>
        <v>2.532</v>
      </c>
      <c r="I56" s="16" t="n">
        <f aca="false">RANDBETWEEN(-30,100)/1000</f>
        <v>-0.008</v>
      </c>
      <c r="J56" s="16" t="n">
        <f aca="false">Chạy!M287</f>
        <v>2.54</v>
      </c>
      <c r="K56" s="16" t="n">
        <f aca="false">J56+L56</f>
        <v>2.605</v>
      </c>
      <c r="L56" s="16" t="n">
        <f aca="false">RANDBETWEEN(-30,100)/1000</f>
        <v>0.065</v>
      </c>
      <c r="M56" s="16" t="n">
        <f aca="false">Chạy!O287</f>
        <v>2.54</v>
      </c>
      <c r="N56" s="16" t="n">
        <f aca="false">M56+O56</f>
        <v>2.567</v>
      </c>
      <c r="O56" s="16" t="n">
        <f aca="false">RANDBETWEEN(-30,100)/1000</f>
        <v>0.027</v>
      </c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73</v>
      </c>
      <c r="D60" s="19"/>
      <c r="E60" s="19"/>
      <c r="F60" s="19"/>
      <c r="G60" s="20"/>
      <c r="H60" s="20"/>
      <c r="I60" s="20"/>
      <c r="K60" s="19" t="s">
        <v>74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75</v>
      </c>
      <c r="D65" s="19"/>
      <c r="E65" s="19"/>
      <c r="F65" s="19"/>
      <c r="G65" s="20"/>
      <c r="H65" s="20"/>
      <c r="I65" s="20"/>
      <c r="J65" s="21"/>
      <c r="K65" s="19" t="s">
        <v>76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77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">
        <v>85</v>
      </c>
      <c r="B2" s="27"/>
      <c r="C2" s="27"/>
      <c r="D2" s="27"/>
      <c r="E2" s="27"/>
      <c r="F2" s="27"/>
      <c r="G2" s="27"/>
    </row>
    <row r="3" s="50" customFormat="true" ht="37.5" hidden="false" customHeight="true" outlineLevel="0" collapsed="false">
      <c r="A3" s="28" t="s">
        <v>55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56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57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58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59</v>
      </c>
      <c r="B7" s="32"/>
      <c r="C7" s="33"/>
      <c r="D7" s="34" t="s">
        <v>86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63</v>
      </c>
      <c r="C9" s="36" t="s">
        <v>64</v>
      </c>
      <c r="D9" s="37" t="s">
        <v>78</v>
      </c>
      <c r="E9" s="38"/>
      <c r="F9" s="38"/>
      <c r="G9" s="37" t="s">
        <v>69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79</v>
      </c>
      <c r="F10" s="38" t="s">
        <v>80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B4</v>
      </c>
      <c r="C11" s="15" t="n">
        <f aca="false">'1. KTHH L3'!C21</f>
        <v>211</v>
      </c>
      <c r="D11" s="13" t="n">
        <f aca="false">'1. KTHH L3'!Q21</f>
        <v>13.25</v>
      </c>
      <c r="E11" s="42" t="n">
        <f aca="false">Chạy!E3+Chạy!E7</f>
        <v>2.1</v>
      </c>
      <c r="F11" s="43" t="n">
        <f aca="false">(E11+E12)*D11/2</f>
        <v>27.825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12</v>
      </c>
      <c r="C12" s="15" t="n">
        <f aca="false">'1. KTHH L3'!C22</f>
        <v>224.25</v>
      </c>
      <c r="D12" s="13" t="n">
        <f aca="false">'1. KTHH L3'!Q22</f>
        <v>21.5</v>
      </c>
      <c r="E12" s="42" t="n">
        <f aca="false">Chạy!E11+Chạy!E15</f>
        <v>2.1</v>
      </c>
      <c r="F12" s="43" t="n">
        <f aca="false">(E12+E13)*D12/2</f>
        <v>45.15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13</v>
      </c>
      <c r="C13" s="15" t="n">
        <f aca="false">'1. KTHH L3'!C23</f>
        <v>245.75</v>
      </c>
      <c r="D13" s="13" t="n">
        <f aca="false">'1. KTHH L3'!Q23</f>
        <v>11.75</v>
      </c>
      <c r="E13" s="42" t="n">
        <f aca="false">Chạy!E19+Chạy!E23</f>
        <v>2.1</v>
      </c>
      <c r="F13" s="43" t="n">
        <f aca="false">(E13+E14)*D13/2</f>
        <v>24.675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B5</v>
      </c>
      <c r="C14" s="15" t="n">
        <f aca="false">'1. KTHH L3'!C24</f>
        <v>257.5</v>
      </c>
      <c r="D14" s="13" t="n">
        <f aca="false">'1. KTHH L3'!Q24</f>
        <v>11.75</v>
      </c>
      <c r="E14" s="42" t="n">
        <f aca="false">Chạy!E27+Chạy!E31</f>
        <v>2.1</v>
      </c>
      <c r="F14" s="43" t="n">
        <f aca="false">(E14+E15)*D14/2</f>
        <v>24.675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14</v>
      </c>
      <c r="C15" s="15" t="n">
        <f aca="false">'1. KTHH L3'!C25</f>
        <v>269.25</v>
      </c>
      <c r="D15" s="13" t="n">
        <f aca="false">'1. KTHH L3'!Q25</f>
        <v>20</v>
      </c>
      <c r="E15" s="42" t="n">
        <f aca="false">Chạy!E35+Chạy!E39</f>
        <v>2.1</v>
      </c>
      <c r="F15" s="43" t="n">
        <f aca="false">(E15+E16)*D15/2</f>
        <v>42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15</v>
      </c>
      <c r="C16" s="15" t="n">
        <f aca="false">'1. KTHH L3'!C26</f>
        <v>289.25</v>
      </c>
      <c r="D16" s="13" t="n">
        <f aca="false">'1. KTHH L3'!Q26</f>
        <v>20</v>
      </c>
      <c r="E16" s="42" t="n">
        <f aca="false">Chạy!E43+Chạy!E47</f>
        <v>2.1</v>
      </c>
      <c r="F16" s="43" t="n">
        <f aca="false">(E16+E17)*D16/2</f>
        <v>40.8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16</v>
      </c>
      <c r="C17" s="15" t="n">
        <f aca="false">'1. KTHH L3'!C27</f>
        <v>309.25</v>
      </c>
      <c r="D17" s="13" t="n">
        <f aca="false">'1. KTHH L3'!Q27</f>
        <v>20</v>
      </c>
      <c r="E17" s="42" t="n">
        <f aca="false">Chạy!E51+Chạy!E55</f>
        <v>1.98</v>
      </c>
      <c r="F17" s="43" t="n">
        <f aca="false">(E17+E18)*D17/2</f>
        <v>40.8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17</v>
      </c>
      <c r="C18" s="15" t="n">
        <f aca="false">'1. KTHH L3'!C28</f>
        <v>329.25</v>
      </c>
      <c r="D18" s="13" t="n">
        <f aca="false">'1. KTHH L3'!Q28</f>
        <v>20</v>
      </c>
      <c r="E18" s="42" t="n">
        <f aca="false">Chạy!E59+Chạy!E63</f>
        <v>2.1</v>
      </c>
      <c r="F18" s="43" t="n">
        <f aca="false">(E18+E19)*D18/2</f>
        <v>42</v>
      </c>
      <c r="G18" s="44"/>
      <c r="H18" s="39"/>
      <c r="I18" s="39"/>
      <c r="K18" s="39"/>
      <c r="L18" s="65"/>
    </row>
    <row r="19" s="41" customFormat="true" ht="22.5" hidden="false" customHeight="true" outlineLevel="0" collapsed="false">
      <c r="A19" s="13" t="n">
        <v>9</v>
      </c>
      <c r="B19" s="14" t="str">
        <f aca="false">'1. KTHH L3'!B29</f>
        <v>18</v>
      </c>
      <c r="C19" s="15" t="n">
        <f aca="false">'1. KTHH L3'!C29</f>
        <v>349.25</v>
      </c>
      <c r="D19" s="13" t="n">
        <f aca="false">'1. KTHH L3'!Q29</f>
        <v>19</v>
      </c>
      <c r="E19" s="42" t="n">
        <f aca="false">Chạy!E67+Chạy!E71</f>
        <v>2.1</v>
      </c>
      <c r="F19" s="43" t="n">
        <f aca="false">(E19+E20)*D19/2</f>
        <v>39.9</v>
      </c>
      <c r="G19" s="44"/>
      <c r="H19" s="39"/>
      <c r="I19" s="39"/>
      <c r="K19" s="39"/>
      <c r="L19" s="65"/>
    </row>
    <row r="20" s="41" customFormat="true" ht="22.5" hidden="false" customHeight="true" outlineLevel="0" collapsed="false">
      <c r="A20" s="13" t="n">
        <v>10</v>
      </c>
      <c r="B20" s="14" t="str">
        <f aca="false">'1. KTHH L3'!B30</f>
        <v>19</v>
      </c>
      <c r="C20" s="15" t="n">
        <f aca="false">'1. KTHH L3'!C30</f>
        <v>368.25</v>
      </c>
      <c r="D20" s="13" t="n">
        <f aca="false">'1. KTHH L3'!Q30</f>
        <v>13.25</v>
      </c>
      <c r="E20" s="42" t="n">
        <f aca="false">Chạy!E75+Chạy!E79</f>
        <v>2.1</v>
      </c>
      <c r="F20" s="43" t="n">
        <f aca="false">(E20+E21)*D20/2</f>
        <v>27.825</v>
      </c>
      <c r="G20" s="44"/>
      <c r="H20" s="39"/>
      <c r="I20" s="39"/>
      <c r="K20" s="39"/>
      <c r="L20" s="65"/>
    </row>
    <row r="21" s="41" customFormat="true" ht="22.5" hidden="false" customHeight="true" outlineLevel="0" collapsed="false">
      <c r="A21" s="13" t="n">
        <v>11</v>
      </c>
      <c r="B21" s="14" t="str">
        <f aca="false">'1. KTHH L3'!B31</f>
        <v>C2</v>
      </c>
      <c r="C21" s="15" t="n">
        <f aca="false">'1. KTHH L3'!C31</f>
        <v>381.5</v>
      </c>
      <c r="D21" s="13" t="n">
        <f aca="false">'1. KTHH L3'!Q31</f>
        <v>13.25</v>
      </c>
      <c r="E21" s="42" t="n">
        <f aca="false">Chạy!E83+Chạy!E87</f>
        <v>2.1</v>
      </c>
      <c r="F21" s="43" t="n">
        <f aca="false">(E21+E22)*D21/2</f>
        <v>27.825</v>
      </c>
      <c r="G21" s="44"/>
      <c r="H21" s="39"/>
      <c r="I21" s="39"/>
      <c r="K21" s="39"/>
      <c r="L21" s="65"/>
    </row>
    <row r="22" s="41" customFormat="true" ht="22.5" hidden="false" customHeight="true" outlineLevel="0" collapsed="false">
      <c r="A22" s="13" t="n">
        <v>12</v>
      </c>
      <c r="B22" s="14" t="str">
        <f aca="false">'1. KTHH L3'!B32</f>
        <v>20</v>
      </c>
      <c r="C22" s="15" t="n">
        <f aca="false">'1. KTHH L3'!C32</f>
        <v>394.75</v>
      </c>
      <c r="D22" s="13" t="n">
        <f aca="false">'1. KTHH L3'!Q32</f>
        <v>20</v>
      </c>
      <c r="E22" s="42" t="n">
        <f aca="false">Chạy!E91+Chạy!E95</f>
        <v>2.1</v>
      </c>
      <c r="F22" s="43" t="n">
        <f aca="false">(E22+E23)*D22/2</f>
        <v>42</v>
      </c>
      <c r="G22" s="44"/>
      <c r="H22" s="39"/>
      <c r="I22" s="39"/>
      <c r="K22" s="39"/>
      <c r="L22" s="65"/>
    </row>
    <row r="23" s="41" customFormat="true" ht="22.5" hidden="false" customHeight="true" outlineLevel="0" collapsed="false">
      <c r="A23" s="13" t="n">
        <v>13</v>
      </c>
      <c r="B23" s="14" t="str">
        <f aca="false">'1. KTHH L3'!B33</f>
        <v>21</v>
      </c>
      <c r="C23" s="15" t="n">
        <f aca="false">'1. KTHH L3'!C33</f>
        <v>414.75</v>
      </c>
      <c r="D23" s="13" t="n">
        <f aca="false">'1. KTHH L3'!Q33</f>
        <v>20</v>
      </c>
      <c r="E23" s="42" t="n">
        <f aca="false">Chạy!E99+Chạy!E103</f>
        <v>2.1</v>
      </c>
      <c r="F23" s="43" t="n">
        <f aca="false">(E23+E24)*D23/2</f>
        <v>42</v>
      </c>
      <c r="G23" s="44"/>
      <c r="H23" s="39"/>
      <c r="I23" s="39"/>
      <c r="K23" s="39"/>
      <c r="L23" s="65"/>
    </row>
    <row r="24" s="41" customFormat="true" ht="22.5" hidden="false" customHeight="true" outlineLevel="0" collapsed="false">
      <c r="A24" s="13" t="n">
        <v>14</v>
      </c>
      <c r="B24" s="14" t="str">
        <f aca="false">'1. KTHH L3'!B34</f>
        <v>22</v>
      </c>
      <c r="C24" s="15" t="n">
        <f aca="false">'1. KTHH L3'!C34</f>
        <v>434.75</v>
      </c>
      <c r="D24" s="13" t="n">
        <f aca="false">'1. KTHH L3'!Q34</f>
        <v>20</v>
      </c>
      <c r="E24" s="42" t="n">
        <f aca="false">Chạy!E107+Chạy!E111</f>
        <v>2.1</v>
      </c>
      <c r="F24" s="43" t="n">
        <f aca="false">(E24+E25)*D24/2</f>
        <v>42</v>
      </c>
      <c r="G24" s="44"/>
      <c r="H24" s="39"/>
      <c r="I24" s="39"/>
      <c r="K24" s="39"/>
      <c r="L24" s="65"/>
    </row>
    <row r="25" s="41" customFormat="true" ht="22.5" hidden="false" customHeight="true" outlineLevel="0" collapsed="false">
      <c r="A25" s="13" t="n">
        <v>15</v>
      </c>
      <c r="B25" s="14" t="str">
        <f aca="false">'1. KTHH L3'!B35</f>
        <v>23</v>
      </c>
      <c r="C25" s="15" t="n">
        <f aca="false">'1. KTHH L3'!C35</f>
        <v>454.75</v>
      </c>
      <c r="D25" s="13" t="n">
        <f aca="false">'1. KTHH L3'!Q35</f>
        <v>20</v>
      </c>
      <c r="E25" s="42" t="n">
        <f aca="false">Chạy!E115+Chạy!E119</f>
        <v>2.1</v>
      </c>
      <c r="F25" s="43" t="n">
        <f aca="false">(E25+E26)*D25/2</f>
        <v>42</v>
      </c>
      <c r="G25" s="44"/>
      <c r="H25" s="39"/>
      <c r="I25" s="39"/>
      <c r="K25" s="39"/>
      <c r="L25" s="65"/>
    </row>
    <row r="26" s="41" customFormat="true" ht="22.5" hidden="false" customHeight="true" outlineLevel="0" collapsed="false">
      <c r="A26" s="13" t="n">
        <v>16</v>
      </c>
      <c r="B26" s="14" t="str">
        <f aca="false">'1. KTHH L3'!B36</f>
        <v>24</v>
      </c>
      <c r="C26" s="15" t="n">
        <f aca="false">'1. KTHH L3'!C36</f>
        <v>474.75</v>
      </c>
      <c r="D26" s="13" t="n">
        <f aca="false">'1. KTHH L3'!Q36</f>
        <v>14.44</v>
      </c>
      <c r="E26" s="42" t="n">
        <f aca="false">Chạy!E123+Chạy!E127</f>
        <v>2.1</v>
      </c>
      <c r="F26" s="43" t="n">
        <f aca="false">(E26+E27)*D26/2</f>
        <v>30.324</v>
      </c>
      <c r="G26" s="44"/>
      <c r="H26" s="39"/>
      <c r="I26" s="39"/>
      <c r="K26" s="39"/>
      <c r="L26" s="65"/>
    </row>
    <row r="27" s="41" customFormat="true" ht="22.5" hidden="false" customHeight="true" outlineLevel="0" collapsed="false">
      <c r="A27" s="13" t="n">
        <v>17</v>
      </c>
      <c r="B27" s="14" t="str">
        <f aca="false">'1. KTHH L3'!B37</f>
        <v>25</v>
      </c>
      <c r="C27" s="15" t="n">
        <f aca="false">'1. KTHH L3'!C37</f>
        <v>489.19</v>
      </c>
      <c r="D27" s="13" t="n">
        <f aca="false">'1. KTHH L3'!Q37</f>
        <v>13.17</v>
      </c>
      <c r="E27" s="42" t="n">
        <f aca="false">Chạy!E131+Chạy!E135</f>
        <v>2.1</v>
      </c>
      <c r="F27" s="43" t="n">
        <f aca="false">(E27+E28)*D27/2</f>
        <v>27.657</v>
      </c>
      <c r="G27" s="44"/>
      <c r="H27" s="39"/>
      <c r="I27" s="39"/>
      <c r="K27" s="39"/>
      <c r="L27" s="65"/>
    </row>
    <row r="28" s="41" customFormat="true" ht="22.5" hidden="false" customHeight="true" outlineLevel="0" collapsed="false">
      <c r="A28" s="13" t="n">
        <v>18</v>
      </c>
      <c r="B28" s="14" t="str">
        <f aca="false">'1. KTHH L3'!B38</f>
        <v>D1</v>
      </c>
      <c r="C28" s="15" t="n">
        <f aca="false">'1. KTHH L3'!C38</f>
        <v>502.36</v>
      </c>
      <c r="D28" s="13" t="n">
        <f aca="false">'1. KTHH L3'!Q38</f>
        <v>10.48</v>
      </c>
      <c r="E28" s="42" t="n">
        <f aca="false">Chạy!E139+Chạy!E143</f>
        <v>2.1</v>
      </c>
      <c r="F28" s="43" t="n">
        <f aca="false">(E28+E29)*D28/2</f>
        <v>22.008</v>
      </c>
      <c r="G28" s="44"/>
      <c r="H28" s="39"/>
      <c r="I28" s="39"/>
      <c r="K28" s="39"/>
      <c r="L28" s="65"/>
    </row>
    <row r="29" s="41" customFormat="true" ht="22.5" hidden="false" customHeight="true" outlineLevel="0" collapsed="false">
      <c r="A29" s="13" t="n">
        <v>19</v>
      </c>
      <c r="B29" s="14" t="str">
        <f aca="false">'1. KTHH L3'!B39</f>
        <v>26</v>
      </c>
      <c r="C29" s="15" t="n">
        <f aca="false">'1. KTHH L3'!C39</f>
        <v>512.84</v>
      </c>
      <c r="D29" s="13" t="n">
        <f aca="false">'1. KTHH L3'!Q39</f>
        <v>16.78</v>
      </c>
      <c r="E29" s="42" t="n">
        <f aca="false">Chạy!E147+Chạy!E151</f>
        <v>2.1</v>
      </c>
      <c r="F29" s="43" t="n">
        <f aca="false">(E29+E30)*D29/2</f>
        <v>35.238</v>
      </c>
      <c r="G29" s="44"/>
      <c r="H29" s="39"/>
      <c r="I29" s="39"/>
      <c r="K29" s="39"/>
      <c r="L29" s="65"/>
    </row>
    <row r="30" s="41" customFormat="true" ht="22.5" hidden="false" customHeight="true" outlineLevel="0" collapsed="false">
      <c r="A30" s="13" t="n">
        <v>20</v>
      </c>
      <c r="B30" s="14" t="str">
        <f aca="false">'1. KTHH L3'!B40</f>
        <v>27</v>
      </c>
      <c r="C30" s="15" t="n">
        <f aca="false">'1. KTHH L3'!C40</f>
        <v>529.62</v>
      </c>
      <c r="D30" s="13" t="n">
        <f aca="false">'1. KTHH L3'!Q40</f>
        <v>17.1</v>
      </c>
      <c r="E30" s="42" t="n">
        <f aca="false">Chạy!E155+Chạy!E159</f>
        <v>2.1</v>
      </c>
      <c r="F30" s="43" t="n">
        <f aca="false">(E30+E31)*D30/2</f>
        <v>35.91</v>
      </c>
      <c r="G30" s="44"/>
      <c r="H30" s="39"/>
      <c r="I30" s="39"/>
      <c r="K30" s="39"/>
      <c r="L30" s="65"/>
    </row>
    <row r="31" s="41" customFormat="true" ht="22.5" hidden="false" customHeight="true" outlineLevel="0" collapsed="false">
      <c r="A31" s="13" t="n">
        <v>21</v>
      </c>
      <c r="B31" s="14" t="str">
        <f aca="false">'1. KTHH L3'!B41</f>
        <v>28</v>
      </c>
      <c r="C31" s="15" t="n">
        <f aca="false">'1. KTHH L3'!C41</f>
        <v>546.72</v>
      </c>
      <c r="D31" s="13" t="n">
        <f aca="false">'1. KTHH L3'!Q41</f>
        <v>15.15</v>
      </c>
      <c r="E31" s="42" t="n">
        <f aca="false">Chạy!E163+Chạy!E167</f>
        <v>2.1</v>
      </c>
      <c r="F31" s="43" t="n">
        <f aca="false">(E31+E32)*D31/2</f>
        <v>31.815</v>
      </c>
      <c r="G31" s="44"/>
      <c r="H31" s="39"/>
      <c r="I31" s="39"/>
      <c r="K31" s="39"/>
      <c r="L31" s="65"/>
    </row>
    <row r="32" s="41" customFormat="true" ht="22.5" hidden="false" customHeight="true" outlineLevel="0" collapsed="false">
      <c r="A32" s="13" t="n">
        <v>22</v>
      </c>
      <c r="B32" s="14" t="str">
        <f aca="false">'1. KTHH L3'!B42</f>
        <v>E5</v>
      </c>
      <c r="C32" s="15" t="n">
        <f aca="false">'1. KTHH L3'!C42</f>
        <v>561.87</v>
      </c>
      <c r="D32" s="13" t="n">
        <f aca="false">'1. KTHH L3'!Q42</f>
        <v>0.15</v>
      </c>
      <c r="E32" s="42" t="n">
        <f aca="false">Chạy!E171+Chạy!E175</f>
        <v>2.1</v>
      </c>
      <c r="F32" s="43" t="n">
        <f aca="false">(E32+E33)*D32/2</f>
        <v>0.315</v>
      </c>
      <c r="G32" s="44"/>
      <c r="H32" s="39"/>
      <c r="I32" s="39"/>
      <c r="K32" s="39"/>
      <c r="L32" s="65"/>
    </row>
    <row r="33" s="41" customFormat="true" ht="22.5" hidden="false" customHeight="true" outlineLevel="0" collapsed="false">
      <c r="A33" s="13" t="n">
        <v>23</v>
      </c>
      <c r="B33" s="14" t="str">
        <f aca="false">'1. KTHH L3'!B43</f>
        <v>TD</v>
      </c>
      <c r="C33" s="15" t="n">
        <f aca="false">'1. KTHH L3'!C43</f>
        <v>562.02</v>
      </c>
      <c r="D33" s="13" t="n">
        <f aca="false">'1. KTHH L3'!Q43</f>
        <v>6.55</v>
      </c>
      <c r="E33" s="42" t="n">
        <f aca="false">Chạy!E179+Chạy!E183</f>
        <v>2.1</v>
      </c>
      <c r="F33" s="43" t="n">
        <f aca="false">(E33+E34)*D33/2</f>
        <v>13.755</v>
      </c>
      <c r="G33" s="44"/>
      <c r="H33" s="39"/>
      <c r="I33" s="39"/>
      <c r="K33" s="39"/>
      <c r="L33" s="65"/>
    </row>
    <row r="34" s="41" customFormat="true" ht="22.5" hidden="false" customHeight="true" outlineLevel="0" collapsed="false">
      <c r="A34" s="13" t="n">
        <v>24</v>
      </c>
      <c r="B34" s="14" t="str">
        <f aca="false">'1. KTHH L3'!B44</f>
        <v>P</v>
      </c>
      <c r="C34" s="15" t="n">
        <f aca="false">'1. KTHH L3'!C44</f>
        <v>568.57</v>
      </c>
      <c r="D34" s="13" t="n">
        <f aca="false">'1. KTHH L3'!Q44</f>
        <v>6.55</v>
      </c>
      <c r="E34" s="42" t="n">
        <f aca="false">Chạy!E187+Chạy!E191</f>
        <v>2.1</v>
      </c>
      <c r="F34" s="43" t="n">
        <f aca="false">(E34+E35)*D34/2</f>
        <v>13.755</v>
      </c>
      <c r="G34" s="44"/>
      <c r="H34" s="39"/>
      <c r="I34" s="39"/>
      <c r="K34" s="39"/>
      <c r="L34" s="65"/>
    </row>
    <row r="35" s="41" customFormat="true" ht="22.5" hidden="false" customHeight="true" outlineLevel="0" collapsed="false">
      <c r="A35" s="13" t="n">
        <v>25</v>
      </c>
      <c r="B35" s="14" t="str">
        <f aca="false">'1. KTHH L3'!B45</f>
        <v>TC</v>
      </c>
      <c r="C35" s="15" t="n">
        <f aca="false">'1. KTHH L3'!C45</f>
        <v>575.12</v>
      </c>
      <c r="D35" s="13" t="n">
        <f aca="false">'1. KTHH L3'!Q45</f>
        <v>0.04</v>
      </c>
      <c r="E35" s="42" t="n">
        <f aca="false">Chạy!E195+Chạy!E199</f>
        <v>2.1</v>
      </c>
      <c r="F35" s="43" t="n">
        <f aca="false">(E35+E36)*D35/2</f>
        <v>0.084</v>
      </c>
      <c r="G35" s="44"/>
      <c r="H35" s="39"/>
      <c r="I35" s="39"/>
      <c r="K35" s="39"/>
      <c r="L35" s="65"/>
    </row>
    <row r="36" s="41" customFormat="true" ht="22.5" hidden="false" customHeight="true" outlineLevel="0" collapsed="false">
      <c r="A36" s="13" t="n">
        <v>26</v>
      </c>
      <c r="B36" s="14" t="str">
        <f aca="false">'1. KTHH L3'!B46</f>
        <v>29</v>
      </c>
      <c r="C36" s="15" t="n">
        <f aca="false">'1. KTHH L3'!C46</f>
        <v>575.16</v>
      </c>
      <c r="D36" s="13" t="n">
        <f aca="false">'1. KTHH L3'!Q46</f>
        <v>16.95</v>
      </c>
      <c r="E36" s="42" t="n">
        <f aca="false">Chạy!E203+Chạy!E207</f>
        <v>2.1</v>
      </c>
      <c r="F36" s="43" t="n">
        <f aca="false">(E36+E37)*D36/2</f>
        <v>35.595</v>
      </c>
      <c r="G36" s="44"/>
      <c r="H36" s="39"/>
      <c r="I36" s="39"/>
      <c r="K36" s="39"/>
      <c r="L36" s="65"/>
    </row>
    <row r="37" s="41" customFormat="true" ht="22.5" hidden="false" customHeight="true" outlineLevel="0" collapsed="false">
      <c r="A37" s="13" t="n">
        <v>27</v>
      </c>
      <c r="B37" s="14" t="str">
        <f aca="false">'1. KTHH L3'!B47</f>
        <v>30</v>
      </c>
      <c r="C37" s="15" t="n">
        <f aca="false">'1. KTHH L3'!C47</f>
        <v>592.11</v>
      </c>
      <c r="D37" s="13" t="n">
        <f aca="false">'1. KTHH L3'!Q47</f>
        <v>17</v>
      </c>
      <c r="E37" s="42" t="n">
        <f aca="false">Chạy!E211+Chạy!E215</f>
        <v>2.1</v>
      </c>
      <c r="F37" s="43" t="n">
        <f aca="false">(E37+E38)*D37/2</f>
        <v>35.7</v>
      </c>
      <c r="G37" s="44"/>
      <c r="H37" s="39"/>
      <c r="I37" s="39"/>
      <c r="K37" s="39"/>
      <c r="L37" s="65"/>
    </row>
    <row r="38" s="41" customFormat="true" ht="22.5" hidden="false" customHeight="true" outlineLevel="0" collapsed="false">
      <c r="A38" s="13" t="n">
        <v>28</v>
      </c>
      <c r="B38" s="14" t="str">
        <f aca="false">'1. KTHH L3'!B48</f>
        <v>31</v>
      </c>
      <c r="C38" s="15" t="n">
        <f aca="false">'1. KTHH L3'!C48</f>
        <v>609.11</v>
      </c>
      <c r="D38" s="13" t="n">
        <f aca="false">'1. KTHH L3'!Q48</f>
        <v>11.75</v>
      </c>
      <c r="E38" s="42" t="n">
        <f aca="false">Chạy!E219+Chạy!E223</f>
        <v>2.1</v>
      </c>
      <c r="F38" s="43" t="n">
        <f aca="false">(E38+E39)*D38/2</f>
        <v>24.675</v>
      </c>
      <c r="G38" s="44"/>
      <c r="H38" s="39"/>
      <c r="I38" s="39"/>
      <c r="K38" s="39"/>
      <c r="L38" s="65"/>
    </row>
    <row r="39" s="41" customFormat="true" ht="22.5" hidden="false" customHeight="true" outlineLevel="0" collapsed="false">
      <c r="A39" s="13" t="n">
        <v>29</v>
      </c>
      <c r="B39" s="14" t="str">
        <f aca="false">'1. KTHH L3'!B49</f>
        <v>E10</v>
      </c>
      <c r="C39" s="15" t="n">
        <f aca="false">'1. KTHH L3'!C49</f>
        <v>620.86</v>
      </c>
      <c r="D39" s="13" t="n">
        <f aca="false">'1. KTHH L3'!Q49</f>
        <v>11.75</v>
      </c>
      <c r="E39" s="42" t="n">
        <f aca="false">Chạy!E227+Chạy!E231</f>
        <v>2.1</v>
      </c>
      <c r="F39" s="43" t="n">
        <f aca="false">(E39+E40)*D39/2</f>
        <v>24.675</v>
      </c>
      <c r="G39" s="44"/>
      <c r="H39" s="39"/>
      <c r="I39" s="39"/>
      <c r="K39" s="39"/>
      <c r="L39" s="65"/>
    </row>
    <row r="40" s="41" customFormat="true" ht="22.5" hidden="false" customHeight="true" outlineLevel="0" collapsed="false">
      <c r="A40" s="13" t="n">
        <v>30</v>
      </c>
      <c r="B40" s="14" t="str">
        <f aca="false">'1. KTHH L3'!B50</f>
        <v>32</v>
      </c>
      <c r="C40" s="15" t="n">
        <f aca="false">'1. KTHH L3'!C50</f>
        <v>632.61</v>
      </c>
      <c r="D40" s="13" t="n">
        <f aca="false">'1. KTHH L3'!Q50</f>
        <v>20</v>
      </c>
      <c r="E40" s="42" t="n">
        <f aca="false">Chạy!E235+Chạy!E239</f>
        <v>2.1</v>
      </c>
      <c r="F40" s="43" t="n">
        <f aca="false">(E40+E41)*D40/2</f>
        <v>42</v>
      </c>
      <c r="G40" s="44"/>
      <c r="H40" s="39"/>
      <c r="I40" s="39"/>
      <c r="K40" s="39"/>
      <c r="L40" s="65"/>
    </row>
    <row r="41" s="41" customFormat="true" ht="22.5" hidden="false" customHeight="true" outlineLevel="0" collapsed="false">
      <c r="A41" s="13" t="n">
        <v>31</v>
      </c>
      <c r="B41" s="14" t="str">
        <f aca="false">'1. KTHH L3'!B51</f>
        <v>33</v>
      </c>
      <c r="C41" s="15" t="n">
        <f aca="false">'1. KTHH L3'!C51</f>
        <v>652.61</v>
      </c>
      <c r="D41" s="13" t="n">
        <f aca="false">'1. KTHH L3'!Q51</f>
        <v>20</v>
      </c>
      <c r="E41" s="42" t="n">
        <f aca="false">Chạy!E243+Chạy!E247</f>
        <v>2.1</v>
      </c>
      <c r="F41" s="43" t="n">
        <f aca="false">(E41+E42)*D41/2</f>
        <v>42</v>
      </c>
      <c r="G41" s="44"/>
      <c r="H41" s="39"/>
      <c r="I41" s="39"/>
      <c r="K41" s="39"/>
      <c r="L41" s="65"/>
    </row>
    <row r="42" s="41" customFormat="true" ht="22.5" hidden="false" customHeight="true" outlineLevel="0" collapsed="false">
      <c r="A42" s="13" t="n">
        <v>32</v>
      </c>
      <c r="B42" s="14" t="str">
        <f aca="false">'1. KTHH L3'!B52</f>
        <v>34</v>
      </c>
      <c r="C42" s="15" t="n">
        <f aca="false">'1. KTHH L3'!C52</f>
        <v>672.61</v>
      </c>
      <c r="D42" s="13" t="n">
        <f aca="false">'1. KTHH L3'!Q52</f>
        <v>20</v>
      </c>
      <c r="E42" s="42" t="n">
        <f aca="false">Chạy!E251+Chạy!E255</f>
        <v>2.1</v>
      </c>
      <c r="F42" s="43" t="n">
        <f aca="false">(E42+E43)*D42/2</f>
        <v>42</v>
      </c>
      <c r="G42" s="44"/>
      <c r="H42" s="39"/>
      <c r="I42" s="39"/>
      <c r="K42" s="39"/>
      <c r="L42" s="65"/>
    </row>
    <row r="43" s="41" customFormat="true" ht="22.5" hidden="false" customHeight="true" outlineLevel="0" collapsed="false">
      <c r="A43" s="13" t="n">
        <v>33</v>
      </c>
      <c r="B43" s="14" t="str">
        <f aca="false">'1. KTHH L3'!B53</f>
        <v>35</v>
      </c>
      <c r="C43" s="15" t="n">
        <f aca="false">'1. KTHH L3'!C53</f>
        <v>692.61</v>
      </c>
      <c r="D43" s="13" t="n">
        <f aca="false">'1. KTHH L3'!Q53</f>
        <v>20</v>
      </c>
      <c r="E43" s="42" t="n">
        <f aca="false">Chạy!E259+Chạy!E263</f>
        <v>2.1</v>
      </c>
      <c r="F43" s="43" t="n">
        <f aca="false">(E43+E44)*D43/2</f>
        <v>42</v>
      </c>
      <c r="G43" s="44"/>
      <c r="H43" s="39"/>
      <c r="I43" s="39"/>
      <c r="K43" s="39"/>
      <c r="L43" s="65"/>
    </row>
    <row r="44" s="41" customFormat="true" ht="22.5" hidden="false" customHeight="true" outlineLevel="0" collapsed="false">
      <c r="A44" s="13" t="n">
        <v>34</v>
      </c>
      <c r="B44" s="14" t="str">
        <f aca="false">'1. KTHH L3'!B54</f>
        <v>36</v>
      </c>
      <c r="C44" s="15" t="n">
        <f aca="false">'1. KTHH L3'!C54</f>
        <v>712.61</v>
      </c>
      <c r="D44" s="13" t="n">
        <f aca="false">'1. KTHH L3'!Q54</f>
        <v>11.5</v>
      </c>
      <c r="E44" s="42" t="n">
        <f aca="false">Chạy!E267+Chạy!E271</f>
        <v>2.1</v>
      </c>
      <c r="F44" s="43" t="n">
        <f aca="false">(E44+E45)*D44/2</f>
        <v>24.15</v>
      </c>
      <c r="G44" s="44"/>
      <c r="H44" s="39"/>
      <c r="I44" s="39"/>
      <c r="K44" s="39"/>
      <c r="L44" s="65"/>
    </row>
    <row r="45" s="41" customFormat="true" ht="22.5" hidden="false" customHeight="true" outlineLevel="0" collapsed="false">
      <c r="A45" s="13" t="n">
        <v>35</v>
      </c>
      <c r="B45" s="14" t="str">
        <f aca="false">'1. KTHH L3'!B55</f>
        <v>37</v>
      </c>
      <c r="C45" s="15" t="n">
        <f aca="false">'1. KTHH L3'!C55</f>
        <v>724.11</v>
      </c>
      <c r="D45" s="13" t="n">
        <f aca="false">'1. KTHH L3'!Q55</f>
        <v>13.25</v>
      </c>
      <c r="E45" s="42" t="n">
        <f aca="false">Chạy!E275+Chạy!E279</f>
        <v>2.1</v>
      </c>
      <c r="F45" s="43" t="n">
        <f aca="false">(E45+E46)*D45/2</f>
        <v>27.825</v>
      </c>
      <c r="G45" s="44"/>
      <c r="H45" s="39"/>
      <c r="I45" s="39"/>
      <c r="K45" s="39"/>
      <c r="L45" s="65"/>
    </row>
    <row r="46" s="41" customFormat="true" ht="22.5" hidden="false" customHeight="true" outlineLevel="0" collapsed="false">
      <c r="A46" s="13" t="n">
        <v>36</v>
      </c>
      <c r="B46" s="14" t="str">
        <f aca="false">'1. KTHH L3'!B56</f>
        <v>G6</v>
      </c>
      <c r="C46" s="15" t="n">
        <f aca="false">'1. KTHH L3'!C56</f>
        <v>737.36</v>
      </c>
      <c r="D46" s="13"/>
      <c r="E46" s="42" t="n">
        <f aca="false">Chạy!E283+Chạy!E287</f>
        <v>2.1</v>
      </c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81</v>
      </c>
      <c r="B49" s="36"/>
      <c r="C49" s="36"/>
      <c r="D49" s="36"/>
      <c r="E49" s="47"/>
      <c r="F49" s="48" t="n">
        <f aca="false">SUM(F11:F46)</f>
        <v>1102.956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73</v>
      </c>
      <c r="B51" s="19"/>
      <c r="C51" s="19"/>
      <c r="D51" s="57" t="s">
        <v>82</v>
      </c>
      <c r="E51" s="19" t="s">
        <v>74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75</v>
      </c>
      <c r="B57" s="19"/>
      <c r="C57" s="19"/>
      <c r="D57" s="21"/>
      <c r="E57" s="19" t="s">
        <v>76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">
        <v>87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customFormat="false" ht="15" hidden="false" customHeight="false" outlineLevel="0" collapsed="false">
      <c r="A3" s="22" t="s">
        <v>55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56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57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58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59</v>
      </c>
      <c r="C7" s="22"/>
      <c r="D7" s="22" t="s">
        <v>88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61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62</v>
      </c>
      <c r="B18" s="10" t="s">
        <v>63</v>
      </c>
      <c r="C18" s="10" t="s">
        <v>64</v>
      </c>
      <c r="D18" s="11" t="s">
        <v>65</v>
      </c>
      <c r="E18" s="11"/>
      <c r="F18" s="11"/>
      <c r="G18" s="11" t="s">
        <v>66</v>
      </c>
      <c r="H18" s="11"/>
      <c r="I18" s="11"/>
      <c r="J18" s="11" t="s">
        <v>67</v>
      </c>
      <c r="K18" s="11"/>
      <c r="L18" s="11"/>
      <c r="M18" s="11" t="s">
        <v>68</v>
      </c>
      <c r="N18" s="11"/>
      <c r="O18" s="11"/>
      <c r="P18" s="10" t="s">
        <v>69</v>
      </c>
    </row>
    <row r="19" customFormat="false" ht="30" hidden="false" customHeight="true" outlineLevel="0" collapsed="false">
      <c r="A19" s="10"/>
      <c r="B19" s="10"/>
      <c r="C19" s="10"/>
      <c r="D19" s="11" t="s">
        <v>70</v>
      </c>
      <c r="E19" s="11" t="s">
        <v>71</v>
      </c>
      <c r="F19" s="11" t="s">
        <v>72</v>
      </c>
      <c r="G19" s="11" t="s">
        <v>70</v>
      </c>
      <c r="H19" s="11" t="s">
        <v>71</v>
      </c>
      <c r="I19" s="11" t="s">
        <v>72</v>
      </c>
      <c r="J19" s="11" t="s">
        <v>70</v>
      </c>
      <c r="K19" s="11" t="s">
        <v>71</v>
      </c>
      <c r="L19" s="11" t="s">
        <v>72</v>
      </c>
      <c r="M19" s="11" t="s">
        <v>70</v>
      </c>
      <c r="N19" s="11" t="s">
        <v>71</v>
      </c>
      <c r="O19" s="11" t="s">
        <v>72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211</v>
      </c>
      <c r="D20" s="16" t="n">
        <f aca="false">Chạy!G2</f>
        <v>3.07</v>
      </c>
      <c r="E20" s="16" t="n">
        <f aca="false">D20+F20</f>
        <v>3.095</v>
      </c>
      <c r="F20" s="16" t="n">
        <f aca="false">RANDBETWEEN(-30,100)/1000</f>
        <v>0.025</v>
      </c>
      <c r="G20" s="16" t="n">
        <f aca="false">Chạy!I2</f>
        <v>2.79</v>
      </c>
      <c r="H20" s="16" t="n">
        <f aca="false">G20+I20</f>
        <v>2.887</v>
      </c>
      <c r="I20" s="16" t="n">
        <f aca="false">RANDBETWEEN(-30,100)/1000</f>
        <v>0.097</v>
      </c>
      <c r="J20" s="16" t="n">
        <f aca="false">Chạy!M6</f>
        <v>2.98</v>
      </c>
      <c r="K20" s="16" t="n">
        <f aca="false">J20+L20</f>
        <v>3.011</v>
      </c>
      <c r="L20" s="16" t="n">
        <f aca="false">RANDBETWEEN(-30,100)/1000</f>
        <v>0.031</v>
      </c>
      <c r="M20" s="16" t="n">
        <f aca="false">Chạy!O6</f>
        <v>2.97</v>
      </c>
      <c r="N20" s="16" t="n">
        <f aca="false">M20+O20</f>
        <v>2.981</v>
      </c>
      <c r="O20" s="16" t="n">
        <f aca="false">RANDBETWEEN(-30,100)/1000</f>
        <v>0.011</v>
      </c>
      <c r="P20" s="17"/>
      <c r="Q20" s="18" t="n">
        <v>13.25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224.25</v>
      </c>
      <c r="D21" s="16" t="n">
        <f aca="false">Chạy!G10</f>
        <v>3.06</v>
      </c>
      <c r="E21" s="16" t="n">
        <f aca="false">D21+F21</f>
        <v>3.11</v>
      </c>
      <c r="F21" s="16" t="n">
        <f aca="false">RANDBETWEEN(-30,100)/1000</f>
        <v>0.05</v>
      </c>
      <c r="G21" s="16" t="n">
        <f aca="false">Chạy!I10</f>
        <v>2.78</v>
      </c>
      <c r="H21" s="16" t="n">
        <f aca="false">G21+I21</f>
        <v>2.768</v>
      </c>
      <c r="I21" s="16" t="n">
        <f aca="false">RANDBETWEEN(-30,100)/1000</f>
        <v>-0.012</v>
      </c>
      <c r="J21" s="16" t="n">
        <f aca="false">Chạy!M14</f>
        <v>2.97</v>
      </c>
      <c r="K21" s="16" t="n">
        <f aca="false">J21+L21</f>
        <v>2.957</v>
      </c>
      <c r="L21" s="16" t="n">
        <f aca="false">RANDBETWEEN(-30,100)/1000</f>
        <v>-0.013</v>
      </c>
      <c r="M21" s="16" t="n">
        <f aca="false">Chạy!O14</f>
        <v>2.97</v>
      </c>
      <c r="N21" s="16" t="n">
        <f aca="false">M21+O21</f>
        <v>2.963</v>
      </c>
      <c r="O21" s="16" t="n">
        <f aca="false">RANDBETWEEN(-30,100)/1000</f>
        <v>-0.007</v>
      </c>
      <c r="P21" s="17"/>
      <c r="Q21" s="18" t="n">
        <v>21.5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245.75</v>
      </c>
      <c r="D22" s="16" t="n">
        <f aca="false">Chạy!G18</f>
        <v>3.04</v>
      </c>
      <c r="E22" s="16" t="n">
        <f aca="false">D22+F22</f>
        <v>3.119</v>
      </c>
      <c r="F22" s="16" t="n">
        <f aca="false">RANDBETWEEN(-30,100)/1000</f>
        <v>0.079</v>
      </c>
      <c r="G22" s="16" t="n">
        <f aca="false">Chạy!I18</f>
        <v>2.76</v>
      </c>
      <c r="H22" s="16" t="n">
        <f aca="false">G22+I22</f>
        <v>2.839</v>
      </c>
      <c r="I22" s="16" t="n">
        <f aca="false">RANDBETWEEN(-30,100)/1000</f>
        <v>0.079</v>
      </c>
      <c r="J22" s="16" t="n">
        <f aca="false">Chạy!M22</f>
        <v>2.95</v>
      </c>
      <c r="K22" s="16" t="n">
        <f aca="false">J22+L22</f>
        <v>2.947</v>
      </c>
      <c r="L22" s="16" t="n">
        <f aca="false">RANDBETWEEN(-30,100)/1000</f>
        <v>-0.003</v>
      </c>
      <c r="M22" s="16" t="n">
        <f aca="false">Chạy!O22</f>
        <v>2.95</v>
      </c>
      <c r="N22" s="16" t="n">
        <f aca="false">M22+O22</f>
        <v>3.007</v>
      </c>
      <c r="O22" s="16" t="n">
        <f aca="false">RANDBETWEEN(-30,100)/1000</f>
        <v>0.057</v>
      </c>
      <c r="P22" s="17"/>
      <c r="Q22" s="18" t="n">
        <v>11.75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257.5</v>
      </c>
      <c r="D23" s="16" t="n">
        <f aca="false">Chạy!G26</f>
        <v>3.04</v>
      </c>
      <c r="E23" s="16" t="n">
        <f aca="false">D23+F23</f>
        <v>3.027</v>
      </c>
      <c r="F23" s="16" t="n">
        <f aca="false">RANDBETWEEN(-30,100)/1000</f>
        <v>-0.013</v>
      </c>
      <c r="G23" s="16" t="n">
        <f aca="false">Chạy!I26</f>
        <v>2.75</v>
      </c>
      <c r="H23" s="16" t="n">
        <f aca="false">G23+I23</f>
        <v>2.813</v>
      </c>
      <c r="I23" s="16" t="n">
        <f aca="false">RANDBETWEEN(-30,100)/1000</f>
        <v>0.063</v>
      </c>
      <c r="J23" s="16" t="n">
        <f aca="false">Chạy!M30</f>
        <v>2.94</v>
      </c>
      <c r="K23" s="16" t="n">
        <f aca="false">J23+L23</f>
        <v>3.033</v>
      </c>
      <c r="L23" s="16" t="n">
        <f aca="false">RANDBETWEEN(-30,100)/1000</f>
        <v>0.093</v>
      </c>
      <c r="M23" s="16" t="n">
        <f aca="false">Chạy!O30</f>
        <v>2.94</v>
      </c>
      <c r="N23" s="16" t="n">
        <f aca="false">M23+O23</f>
        <v>2.925</v>
      </c>
      <c r="O23" s="16" t="n">
        <f aca="false">RANDBETWEEN(-30,100)/1000</f>
        <v>-0.015</v>
      </c>
      <c r="P23" s="17"/>
      <c r="Q23" s="18" t="n">
        <v>11.75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269.25</v>
      </c>
      <c r="D24" s="16" t="n">
        <f aca="false">Chạy!G34</f>
        <v>3.03</v>
      </c>
      <c r="E24" s="16" t="n">
        <f aca="false">D24+F24</f>
        <v>3.067</v>
      </c>
      <c r="F24" s="16" t="n">
        <f aca="false">RANDBETWEEN(-30,100)/1000</f>
        <v>0.037</v>
      </c>
      <c r="G24" s="16" t="n">
        <f aca="false">Chạy!I34</f>
        <v>2.75</v>
      </c>
      <c r="H24" s="16" t="n">
        <f aca="false">G24+I24</f>
        <v>2.727</v>
      </c>
      <c r="I24" s="16" t="n">
        <f aca="false">RANDBETWEEN(-30,100)/1000</f>
        <v>-0.023</v>
      </c>
      <c r="J24" s="16" t="n">
        <f aca="false">Chạy!M38</f>
        <v>2.94</v>
      </c>
      <c r="K24" s="16" t="n">
        <f aca="false">J24+L24</f>
        <v>2.997</v>
      </c>
      <c r="L24" s="16" t="n">
        <f aca="false">RANDBETWEEN(-30,100)/1000</f>
        <v>0.057</v>
      </c>
      <c r="M24" s="16" t="n">
        <f aca="false">Chạy!O38</f>
        <v>2.93</v>
      </c>
      <c r="N24" s="16" t="n">
        <f aca="false">M24+O24</f>
        <v>2.917</v>
      </c>
      <c r="O24" s="16" t="n">
        <f aca="false">RANDBETWEEN(-30,100)/1000</f>
        <v>-0.013</v>
      </c>
      <c r="P24" s="17"/>
      <c r="Q24" s="18" t="n">
        <v>20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289.25</v>
      </c>
      <c r="D25" s="16" t="n">
        <f aca="false">Chạy!G42</f>
        <v>3.02</v>
      </c>
      <c r="E25" s="16" t="n">
        <f aca="false">D25+F25</f>
        <v>2.993</v>
      </c>
      <c r="F25" s="16" t="n">
        <f aca="false">RANDBETWEEN(-30,100)/1000</f>
        <v>-0.027</v>
      </c>
      <c r="G25" s="16" t="n">
        <f aca="false">Chạy!I42</f>
        <v>2.73</v>
      </c>
      <c r="H25" s="16" t="n">
        <f aca="false">G25+I25</f>
        <v>2.77</v>
      </c>
      <c r="I25" s="16" t="n">
        <f aca="false">RANDBETWEEN(-30,100)/1000</f>
        <v>0.04</v>
      </c>
      <c r="J25" s="16" t="n">
        <f aca="false">Chạy!M46</f>
        <v>2.92</v>
      </c>
      <c r="K25" s="16" t="n">
        <f aca="false">J25+L25</f>
        <v>2.939</v>
      </c>
      <c r="L25" s="16" t="n">
        <f aca="false">RANDBETWEEN(-30,100)/1000</f>
        <v>0.019</v>
      </c>
      <c r="M25" s="16" t="n">
        <f aca="false">Chạy!O46</f>
        <v>2.92</v>
      </c>
      <c r="N25" s="16" t="n">
        <f aca="false">M25+O25</f>
        <v>2.985</v>
      </c>
      <c r="O25" s="16" t="n">
        <f aca="false">RANDBETWEEN(-30,100)/1000</f>
        <v>0.065</v>
      </c>
      <c r="P25" s="17"/>
      <c r="Q25" s="18" t="n">
        <v>20</v>
      </c>
    </row>
    <row r="26" customFormat="false" ht="15" hidden="false" customHeight="false" outlineLevel="0" collapsed="false">
      <c r="A26" s="13" t="n">
        <v>7</v>
      </c>
      <c r="B26" s="14" t="s">
        <v>24</v>
      </c>
      <c r="C26" s="15" t="n">
        <f aca="false">C25+Q25</f>
        <v>309.25</v>
      </c>
      <c r="D26" s="16" t="n">
        <f aca="false">Chạy!G50</f>
        <v>3.01</v>
      </c>
      <c r="E26" s="16" t="n">
        <f aca="false">D26+F26</f>
        <v>3.021</v>
      </c>
      <c r="F26" s="16" t="n">
        <f aca="false">RANDBETWEEN(-30,100)/1000</f>
        <v>0.011</v>
      </c>
      <c r="G26" s="16" t="n">
        <f aca="false">Chạy!I50</f>
        <v>2.72</v>
      </c>
      <c r="H26" s="16" t="n">
        <f aca="false">G26+I26</f>
        <v>2.772</v>
      </c>
      <c r="I26" s="16" t="n">
        <f aca="false">RANDBETWEEN(-30,100)/1000</f>
        <v>0.052</v>
      </c>
      <c r="J26" s="16" t="n">
        <f aca="false">Chạy!M54</f>
        <v>2.91</v>
      </c>
      <c r="K26" s="16" t="n">
        <f aca="false">J26+L26</f>
        <v>2.905</v>
      </c>
      <c r="L26" s="16" t="n">
        <f aca="false">RANDBETWEEN(-30,100)/1000</f>
        <v>-0.005</v>
      </c>
      <c r="M26" s="16" t="n">
        <f aca="false">Chạy!O54</f>
        <v>2.91</v>
      </c>
      <c r="N26" s="16" t="n">
        <f aca="false">M26+O26</f>
        <v>3.004</v>
      </c>
      <c r="O26" s="16" t="n">
        <f aca="false">RANDBETWEEN(-30,100)/1000</f>
        <v>0.094</v>
      </c>
      <c r="P26" s="17"/>
      <c r="Q26" s="18" t="n">
        <v>20</v>
      </c>
    </row>
    <row r="27" customFormat="false" ht="15" hidden="false" customHeight="false" outlineLevel="0" collapsed="false">
      <c r="A27" s="13" t="n">
        <v>8</v>
      </c>
      <c r="B27" s="14" t="s">
        <v>25</v>
      </c>
      <c r="C27" s="15" t="n">
        <f aca="false">C26+Q26</f>
        <v>329.25</v>
      </c>
      <c r="D27" s="16" t="n">
        <f aca="false">Chạy!G58</f>
        <v>2.99</v>
      </c>
      <c r="E27" s="16" t="n">
        <f aca="false">D27+F27</f>
        <v>2.98</v>
      </c>
      <c r="F27" s="16" t="n">
        <f aca="false">RANDBETWEEN(-30,100)/1000</f>
        <v>-0.01</v>
      </c>
      <c r="G27" s="16" t="n">
        <f aca="false">Chạy!I58</f>
        <v>2.71</v>
      </c>
      <c r="H27" s="16" t="n">
        <f aca="false">G27+I27</f>
        <v>2.778</v>
      </c>
      <c r="I27" s="16" t="n">
        <f aca="false">RANDBETWEEN(-30,100)/1000</f>
        <v>0.068</v>
      </c>
      <c r="J27" s="16" t="n">
        <f aca="false">Chạy!M62</f>
        <v>2.9</v>
      </c>
      <c r="K27" s="16" t="n">
        <f aca="false">J27+L27</f>
        <v>2.909</v>
      </c>
      <c r="L27" s="16" t="n">
        <f aca="false">RANDBETWEEN(-30,100)/1000</f>
        <v>0.009</v>
      </c>
      <c r="M27" s="16" t="n">
        <f aca="false">Chạy!O62</f>
        <v>2.9</v>
      </c>
      <c r="N27" s="16" t="n">
        <f aca="false">M27+O27</f>
        <v>2.971</v>
      </c>
      <c r="O27" s="16" t="n">
        <f aca="false">RANDBETWEEN(-30,100)/1000</f>
        <v>0.071</v>
      </c>
      <c r="P27" s="17"/>
      <c r="Q27" s="18" t="n">
        <v>20</v>
      </c>
    </row>
    <row r="28" customFormat="false" ht="15" hidden="false" customHeight="false" outlineLevel="0" collapsed="false">
      <c r="A28" s="13" t="n">
        <v>9</v>
      </c>
      <c r="B28" s="14" t="s">
        <v>26</v>
      </c>
      <c r="C28" s="15" t="n">
        <f aca="false">C27+Q27</f>
        <v>349.25</v>
      </c>
      <c r="D28" s="16" t="n">
        <f aca="false">Chạy!G66</f>
        <v>2.98</v>
      </c>
      <c r="E28" s="16" t="n">
        <f aca="false">D28+F28</f>
        <v>3.024</v>
      </c>
      <c r="F28" s="16" t="n">
        <f aca="false">RANDBETWEEN(-30,100)/1000</f>
        <v>0.044</v>
      </c>
      <c r="G28" s="16" t="n">
        <f aca="false">Chạy!I66</f>
        <v>2.7</v>
      </c>
      <c r="H28" s="16" t="n">
        <f aca="false">G28+I28</f>
        <v>2.783</v>
      </c>
      <c r="I28" s="16" t="n">
        <f aca="false">RANDBETWEEN(-30,100)/1000</f>
        <v>0.083</v>
      </c>
      <c r="J28" s="16" t="n">
        <f aca="false">Chạy!M70</f>
        <v>2.89</v>
      </c>
      <c r="K28" s="16" t="n">
        <f aca="false">J28+L28</f>
        <v>2.915</v>
      </c>
      <c r="L28" s="16" t="n">
        <f aca="false">RANDBETWEEN(-30,100)/1000</f>
        <v>0.025</v>
      </c>
      <c r="M28" s="16" t="n">
        <f aca="false">Chạy!O70</f>
        <v>2.89</v>
      </c>
      <c r="N28" s="16" t="n">
        <f aca="false">M28+O28</f>
        <v>2.981</v>
      </c>
      <c r="O28" s="16" t="n">
        <f aca="false">RANDBETWEEN(-30,100)/1000</f>
        <v>0.091</v>
      </c>
      <c r="P28" s="17"/>
      <c r="Q28" s="18" t="n">
        <v>19</v>
      </c>
    </row>
    <row r="29" customFormat="false" ht="15" hidden="false" customHeight="false" outlineLevel="0" collapsed="false">
      <c r="A29" s="13" t="n">
        <v>10</v>
      </c>
      <c r="B29" s="14" t="s">
        <v>27</v>
      </c>
      <c r="C29" s="15" t="n">
        <f aca="false">C28+Q28</f>
        <v>368.25</v>
      </c>
      <c r="D29" s="16" t="n">
        <f aca="false">Chạy!G74</f>
        <v>2.97</v>
      </c>
      <c r="E29" s="16" t="n">
        <f aca="false">D29+F29</f>
        <v>2.995</v>
      </c>
      <c r="F29" s="16" t="n">
        <f aca="false">RANDBETWEEN(-30,100)/1000</f>
        <v>0.025</v>
      </c>
      <c r="G29" s="16" t="n">
        <f aca="false">Chạy!I74</f>
        <v>2.69</v>
      </c>
      <c r="H29" s="16" t="n">
        <f aca="false">G29+I29</f>
        <v>2.662</v>
      </c>
      <c r="I29" s="16" t="n">
        <f aca="false">RANDBETWEEN(-30,100)/1000</f>
        <v>-0.028</v>
      </c>
      <c r="J29" s="16" t="n">
        <f aca="false">Chạy!M78</f>
        <v>2.88</v>
      </c>
      <c r="K29" s="16" t="n">
        <f aca="false">J29+L29</f>
        <v>2.874</v>
      </c>
      <c r="L29" s="16" t="n">
        <f aca="false">RANDBETWEEN(-30,100)/1000</f>
        <v>-0.006</v>
      </c>
      <c r="M29" s="16" t="n">
        <f aca="false">Chạy!O78</f>
        <v>2.87</v>
      </c>
      <c r="N29" s="16" t="n">
        <f aca="false">M29+O29</f>
        <v>2.883</v>
      </c>
      <c r="O29" s="16" t="n">
        <f aca="false">RANDBETWEEN(-30,100)/1000</f>
        <v>0.013</v>
      </c>
      <c r="P29" s="17"/>
      <c r="Q29" s="18" t="n">
        <v>13.25</v>
      </c>
    </row>
    <row r="30" customFormat="false" ht="15" hidden="false" customHeight="false" outlineLevel="0" collapsed="false">
      <c r="A30" s="13" t="n">
        <v>11</v>
      </c>
      <c r="B30" s="14" t="s">
        <v>28</v>
      </c>
      <c r="C30" s="15" t="n">
        <f aca="false">C29+Q29</f>
        <v>381.5</v>
      </c>
      <c r="D30" s="16" t="n">
        <f aca="false">Chạy!G82</f>
        <v>2.96</v>
      </c>
      <c r="E30" s="16" t="n">
        <f aca="false">D30+F30</f>
        <v>2.997</v>
      </c>
      <c r="F30" s="16" t="n">
        <f aca="false">RANDBETWEEN(-30,100)/1000</f>
        <v>0.037</v>
      </c>
      <c r="G30" s="16" t="n">
        <f aca="false">Chạy!I82</f>
        <v>2.68</v>
      </c>
      <c r="H30" s="16" t="n">
        <f aca="false">G30+I30</f>
        <v>2.745</v>
      </c>
      <c r="I30" s="16" t="n">
        <f aca="false">RANDBETWEEN(-30,100)/1000</f>
        <v>0.065</v>
      </c>
      <c r="J30" s="16" t="n">
        <f aca="false">Chạy!M86</f>
        <v>2.87</v>
      </c>
      <c r="K30" s="16" t="n">
        <f aca="false">J30+L30</f>
        <v>2.957</v>
      </c>
      <c r="L30" s="16" t="n">
        <f aca="false">RANDBETWEEN(-30,100)/1000</f>
        <v>0.087</v>
      </c>
      <c r="M30" s="16" t="n">
        <f aca="false">Chạy!O86</f>
        <v>2.87</v>
      </c>
      <c r="N30" s="16" t="n">
        <f aca="false">M30+O30</f>
        <v>2.941</v>
      </c>
      <c r="O30" s="16" t="n">
        <f aca="false">RANDBETWEEN(-30,100)/1000</f>
        <v>0.071</v>
      </c>
      <c r="P30" s="17"/>
      <c r="Q30" s="18" t="n">
        <v>13.25</v>
      </c>
    </row>
    <row r="31" customFormat="false" ht="15" hidden="false" customHeight="false" outlineLevel="0" collapsed="false">
      <c r="A31" s="13" t="n">
        <v>12</v>
      </c>
      <c r="B31" s="14" t="s">
        <v>29</v>
      </c>
      <c r="C31" s="15" t="n">
        <f aca="false">C30+Q30</f>
        <v>394.75</v>
      </c>
      <c r="D31" s="16" t="n">
        <f aca="false">Chạy!G90</f>
        <v>2.96</v>
      </c>
      <c r="E31" s="16" t="n">
        <f aca="false">D31+F31</f>
        <v>2.945</v>
      </c>
      <c r="F31" s="16" t="n">
        <f aca="false">RANDBETWEEN(-30,100)/1000</f>
        <v>-0.015</v>
      </c>
      <c r="G31" s="16" t="n">
        <f aca="false">Chạy!I90</f>
        <v>2.67</v>
      </c>
      <c r="H31" s="16" t="n">
        <f aca="false">G31+I31</f>
        <v>2.74</v>
      </c>
      <c r="I31" s="16" t="n">
        <f aca="false">RANDBETWEEN(-30,100)/1000</f>
        <v>0.07</v>
      </c>
      <c r="J31" s="16" t="n">
        <f aca="false">Chạy!M94</f>
        <v>2.86</v>
      </c>
      <c r="K31" s="16" t="n">
        <f aca="false">J31+L31</f>
        <v>2.874</v>
      </c>
      <c r="L31" s="16" t="n">
        <f aca="false">RANDBETWEEN(-30,100)/1000</f>
        <v>0.014</v>
      </c>
      <c r="M31" s="16" t="n">
        <f aca="false">Chạy!O94</f>
        <v>2.86</v>
      </c>
      <c r="N31" s="16" t="n">
        <f aca="false">M31+O31</f>
        <v>2.953</v>
      </c>
      <c r="O31" s="16" t="n">
        <f aca="false">RANDBETWEEN(-30,100)/1000</f>
        <v>0.093</v>
      </c>
      <c r="P31" s="17"/>
      <c r="Q31" s="18" t="n">
        <v>20</v>
      </c>
    </row>
    <row r="32" customFormat="false" ht="15" hidden="false" customHeight="false" outlineLevel="0" collapsed="false">
      <c r="A32" s="13" t="n">
        <v>13</v>
      </c>
      <c r="B32" s="14" t="s">
        <v>30</v>
      </c>
      <c r="C32" s="15" t="n">
        <f aca="false">C31+Q31</f>
        <v>414.75</v>
      </c>
      <c r="D32" s="16" t="n">
        <f aca="false">Chạy!G98</f>
        <v>2.94</v>
      </c>
      <c r="E32" s="16" t="n">
        <f aca="false">D32+F32</f>
        <v>2.914</v>
      </c>
      <c r="F32" s="16" t="n">
        <f aca="false">RANDBETWEEN(-30,100)/1000</f>
        <v>-0.026</v>
      </c>
      <c r="G32" s="16" t="n">
        <f aca="false">Chạy!I98</f>
        <v>2.66</v>
      </c>
      <c r="H32" s="16" t="n">
        <f aca="false">G32+I32</f>
        <v>2.752</v>
      </c>
      <c r="I32" s="16" t="n">
        <f aca="false">RANDBETWEEN(-30,100)/1000</f>
        <v>0.092</v>
      </c>
      <c r="J32" s="16" t="n">
        <f aca="false">Chạy!M102</f>
        <v>2.85</v>
      </c>
      <c r="K32" s="16" t="n">
        <f aca="false">J32+L32</f>
        <v>2.874</v>
      </c>
      <c r="L32" s="16" t="n">
        <f aca="false">RANDBETWEEN(-30,100)/1000</f>
        <v>0.024</v>
      </c>
      <c r="M32" s="16" t="n">
        <f aca="false">Chạy!O102</f>
        <v>2.85</v>
      </c>
      <c r="N32" s="16" t="n">
        <f aca="false">M32+O32</f>
        <v>2.946</v>
      </c>
      <c r="O32" s="16" t="n">
        <f aca="false">RANDBETWEEN(-30,100)/1000</f>
        <v>0.096</v>
      </c>
      <c r="P32" s="17"/>
      <c r="Q32" s="18" t="n">
        <v>20</v>
      </c>
    </row>
    <row r="33" customFormat="false" ht="15" hidden="false" customHeight="false" outlineLevel="0" collapsed="false">
      <c r="A33" s="13" t="n">
        <v>14</v>
      </c>
      <c r="B33" s="14" t="s">
        <v>31</v>
      </c>
      <c r="C33" s="15" t="n">
        <f aca="false">C32+Q32</f>
        <v>434.75</v>
      </c>
      <c r="D33" s="16" t="n">
        <f aca="false">Chạy!G106</f>
        <v>2.93</v>
      </c>
      <c r="E33" s="16" t="n">
        <f aca="false">D33+F33</f>
        <v>2.944</v>
      </c>
      <c r="F33" s="16" t="n">
        <f aca="false">RANDBETWEEN(-30,100)/1000</f>
        <v>0.014</v>
      </c>
      <c r="G33" s="16" t="n">
        <f aca="false">Chạy!I106</f>
        <v>2.65</v>
      </c>
      <c r="H33" s="16" t="n">
        <f aca="false">G33+I33</f>
        <v>2.642</v>
      </c>
      <c r="I33" s="16" t="n">
        <f aca="false">RANDBETWEEN(-30,100)/1000</f>
        <v>-0.008</v>
      </c>
      <c r="J33" s="16" t="n">
        <f aca="false">Chạy!M110</f>
        <v>2.84</v>
      </c>
      <c r="K33" s="16" t="n">
        <f aca="false">J33+L33</f>
        <v>2.931</v>
      </c>
      <c r="L33" s="16" t="n">
        <f aca="false">RANDBETWEEN(-30,100)/1000</f>
        <v>0.091</v>
      </c>
      <c r="M33" s="16" t="n">
        <f aca="false">Chạy!O110</f>
        <v>2.83</v>
      </c>
      <c r="N33" s="16" t="n">
        <f aca="false">M33+O33</f>
        <v>2.824</v>
      </c>
      <c r="O33" s="16" t="n">
        <f aca="false">RANDBETWEEN(-30,100)/1000</f>
        <v>-0.006</v>
      </c>
      <c r="P33" s="17"/>
      <c r="Q33" s="18" t="n">
        <v>20</v>
      </c>
    </row>
    <row r="34" customFormat="false" ht="15" hidden="false" customHeight="false" outlineLevel="0" collapsed="false">
      <c r="A34" s="13" t="n">
        <v>15</v>
      </c>
      <c r="B34" s="14" t="s">
        <v>32</v>
      </c>
      <c r="C34" s="15" t="n">
        <f aca="false">C33+Q33</f>
        <v>454.75</v>
      </c>
      <c r="D34" s="16" t="n">
        <f aca="false">Chạy!G114</f>
        <v>2.92</v>
      </c>
      <c r="E34" s="16" t="n">
        <f aca="false">D34+F34</f>
        <v>2.973</v>
      </c>
      <c r="F34" s="16" t="n">
        <f aca="false">RANDBETWEEN(-30,100)/1000</f>
        <v>0.053</v>
      </c>
      <c r="G34" s="16" t="n">
        <f aca="false">Chạy!I114</f>
        <v>2.63</v>
      </c>
      <c r="H34" s="16" t="n">
        <f aca="false">G34+I34</f>
        <v>2.635</v>
      </c>
      <c r="I34" s="16" t="n">
        <f aca="false">RANDBETWEEN(-30,100)/1000</f>
        <v>0.005</v>
      </c>
      <c r="J34" s="16" t="n">
        <f aca="false">Chạy!M118</f>
        <v>2.82</v>
      </c>
      <c r="K34" s="16" t="n">
        <f aca="false">J34+L34</f>
        <v>2.803</v>
      </c>
      <c r="L34" s="16" t="n">
        <f aca="false">RANDBETWEEN(-30,100)/1000</f>
        <v>-0.017</v>
      </c>
      <c r="M34" s="16" t="n">
        <f aca="false">Chạy!O118</f>
        <v>2.82</v>
      </c>
      <c r="N34" s="16" t="n">
        <f aca="false">M34+O34</f>
        <v>2.852</v>
      </c>
      <c r="O34" s="16" t="n">
        <f aca="false">RANDBETWEEN(-30,100)/1000</f>
        <v>0.032</v>
      </c>
      <c r="P34" s="17"/>
      <c r="Q34" s="18" t="n">
        <v>20</v>
      </c>
    </row>
    <row r="35" customFormat="false" ht="15" hidden="false" customHeight="false" outlineLevel="0" collapsed="false">
      <c r="A35" s="13" t="n">
        <v>16</v>
      </c>
      <c r="B35" s="14" t="s">
        <v>33</v>
      </c>
      <c r="C35" s="15" t="n">
        <f aca="false">C34+Q34</f>
        <v>474.75</v>
      </c>
      <c r="D35" s="16" t="n">
        <f aca="false">Chạy!G122</f>
        <v>2.9</v>
      </c>
      <c r="E35" s="16" t="n">
        <f aca="false">D35+F35</f>
        <v>2.96</v>
      </c>
      <c r="F35" s="16" t="n">
        <f aca="false">RANDBETWEEN(-30,100)/1000</f>
        <v>0.06</v>
      </c>
      <c r="G35" s="16" t="n">
        <f aca="false">Chạy!I122</f>
        <v>2.62</v>
      </c>
      <c r="H35" s="16" t="n">
        <f aca="false">G35+I35</f>
        <v>2.59</v>
      </c>
      <c r="I35" s="16" t="n">
        <f aca="false">RANDBETWEEN(-30,100)/1000</f>
        <v>-0.03</v>
      </c>
      <c r="J35" s="16" t="n">
        <f aca="false">Chạy!M126</f>
        <v>2.81</v>
      </c>
      <c r="K35" s="16" t="n">
        <f aca="false">J35+L35</f>
        <v>2.795</v>
      </c>
      <c r="L35" s="16" t="n">
        <f aca="false">RANDBETWEEN(-30,100)/1000</f>
        <v>-0.015</v>
      </c>
      <c r="M35" s="16" t="n">
        <f aca="false">Chạy!O126</f>
        <v>2.81</v>
      </c>
      <c r="N35" s="16" t="n">
        <f aca="false">M35+O35</f>
        <v>2.874</v>
      </c>
      <c r="O35" s="16" t="n">
        <f aca="false">RANDBETWEEN(-30,100)/1000</f>
        <v>0.064</v>
      </c>
      <c r="P35" s="17"/>
      <c r="Q35" s="18" t="n">
        <v>14.44</v>
      </c>
    </row>
    <row r="36" customFormat="false" ht="15" hidden="false" customHeight="false" outlineLevel="0" collapsed="false">
      <c r="A36" s="13" t="n">
        <v>17</v>
      </c>
      <c r="B36" s="14" t="s">
        <v>34</v>
      </c>
      <c r="C36" s="15" t="n">
        <f aca="false">C35+Q35</f>
        <v>489.19</v>
      </c>
      <c r="D36" s="16" t="n">
        <f aca="false">Chạy!G130</f>
        <v>2.89</v>
      </c>
      <c r="E36" s="16" t="n">
        <f aca="false">D36+F36</f>
        <v>2.948</v>
      </c>
      <c r="F36" s="16" t="n">
        <f aca="false">RANDBETWEEN(-30,100)/1000</f>
        <v>0.058</v>
      </c>
      <c r="G36" s="16" t="n">
        <f aca="false">Chạy!I130</f>
        <v>2.61</v>
      </c>
      <c r="H36" s="16" t="n">
        <f aca="false">G36+I36</f>
        <v>2.677</v>
      </c>
      <c r="I36" s="16" t="n">
        <f aca="false">RANDBETWEEN(-30,100)/1000</f>
        <v>0.067</v>
      </c>
      <c r="J36" s="16" t="n">
        <f aca="false">Chạy!M134</f>
        <v>2.8</v>
      </c>
      <c r="K36" s="16" t="n">
        <f aca="false">J36+L36</f>
        <v>2.771</v>
      </c>
      <c r="L36" s="16" t="n">
        <f aca="false">RANDBETWEEN(-30,100)/1000</f>
        <v>-0.029</v>
      </c>
      <c r="M36" s="16" t="n">
        <f aca="false">Chạy!O134</f>
        <v>2.8</v>
      </c>
      <c r="N36" s="16" t="n">
        <f aca="false">M36+O36</f>
        <v>2.873</v>
      </c>
      <c r="O36" s="16" t="n">
        <f aca="false">RANDBETWEEN(-30,100)/1000</f>
        <v>0.073</v>
      </c>
      <c r="P36" s="17"/>
      <c r="Q36" s="18" t="n">
        <v>13.17</v>
      </c>
    </row>
    <row r="37" customFormat="false" ht="15" hidden="false" customHeight="false" outlineLevel="0" collapsed="false">
      <c r="A37" s="13" t="n">
        <v>18</v>
      </c>
      <c r="B37" s="14" t="s">
        <v>35</v>
      </c>
      <c r="C37" s="15" t="n">
        <f aca="false">C36+Q36</f>
        <v>502.36</v>
      </c>
      <c r="D37" s="16" t="n">
        <f aca="false">Chạy!G138</f>
        <v>2.89</v>
      </c>
      <c r="E37" s="16" t="n">
        <f aca="false">D37+F37</f>
        <v>2.961</v>
      </c>
      <c r="F37" s="16" t="n">
        <f aca="false">RANDBETWEEN(-30,100)/1000</f>
        <v>0.071</v>
      </c>
      <c r="G37" s="16" t="n">
        <f aca="false">Chạy!I138</f>
        <v>2.6</v>
      </c>
      <c r="H37" s="16" t="n">
        <f aca="false">G37+I37</f>
        <v>2.579</v>
      </c>
      <c r="I37" s="16" t="n">
        <f aca="false">RANDBETWEEN(-30,100)/1000</f>
        <v>-0.021</v>
      </c>
      <c r="J37" s="16" t="n">
        <f aca="false">Chạy!M142</f>
        <v>2.79</v>
      </c>
      <c r="K37" s="16" t="n">
        <f aca="false">J37+L37</f>
        <v>2.76</v>
      </c>
      <c r="L37" s="16" t="n">
        <f aca="false">RANDBETWEEN(-30,100)/1000</f>
        <v>-0.03</v>
      </c>
      <c r="M37" s="16" t="n">
        <f aca="false">Chạy!O142</f>
        <v>2.79</v>
      </c>
      <c r="N37" s="16" t="n">
        <f aca="false">M37+O37</f>
        <v>2.865</v>
      </c>
      <c r="O37" s="16" t="n">
        <f aca="false">RANDBETWEEN(-30,100)/1000</f>
        <v>0.075</v>
      </c>
      <c r="P37" s="17"/>
      <c r="Q37" s="18" t="n">
        <v>10.48</v>
      </c>
    </row>
    <row r="38" customFormat="false" ht="15" hidden="false" customHeight="false" outlineLevel="0" collapsed="false">
      <c r="A38" s="13" t="n">
        <v>19</v>
      </c>
      <c r="B38" s="14" t="s">
        <v>36</v>
      </c>
      <c r="C38" s="15" t="n">
        <f aca="false">C37+Q37</f>
        <v>512.84</v>
      </c>
      <c r="D38" s="16" t="n">
        <f aca="false">Chạy!G146</f>
        <v>2.88</v>
      </c>
      <c r="E38" s="16" t="n">
        <f aca="false">D38+F38</f>
        <v>2.91</v>
      </c>
      <c r="F38" s="16" t="n">
        <f aca="false">RANDBETWEEN(-30,100)/1000</f>
        <v>0.03</v>
      </c>
      <c r="G38" s="16" t="n">
        <f aca="false">Chạy!I146</f>
        <v>2.6</v>
      </c>
      <c r="H38" s="16" t="n">
        <f aca="false">G38+I38</f>
        <v>2.665</v>
      </c>
      <c r="I38" s="16" t="n">
        <f aca="false">RANDBETWEEN(-30,100)/1000</f>
        <v>0.065</v>
      </c>
      <c r="J38" s="16" t="n">
        <f aca="false">Chạy!M150</f>
        <v>2.79</v>
      </c>
      <c r="K38" s="16" t="n">
        <f aca="false">J38+L38</f>
        <v>2.809</v>
      </c>
      <c r="L38" s="16" t="n">
        <f aca="false">RANDBETWEEN(-30,100)/1000</f>
        <v>0.019</v>
      </c>
      <c r="M38" s="16" t="n">
        <f aca="false">Chạy!O150</f>
        <v>2.78</v>
      </c>
      <c r="N38" s="16" t="n">
        <f aca="false">M38+O38</f>
        <v>2.837</v>
      </c>
      <c r="O38" s="16" t="n">
        <f aca="false">RANDBETWEEN(-30,100)/1000</f>
        <v>0.057</v>
      </c>
      <c r="P38" s="17"/>
      <c r="Q38" s="18" t="n">
        <v>16.78</v>
      </c>
    </row>
    <row r="39" customFormat="false" ht="15" hidden="false" customHeight="false" outlineLevel="0" collapsed="false">
      <c r="A39" s="13" t="n">
        <v>20</v>
      </c>
      <c r="B39" s="14" t="s">
        <v>37</v>
      </c>
      <c r="C39" s="15" t="n">
        <f aca="false">C38+Q38</f>
        <v>529.62</v>
      </c>
      <c r="D39" s="16" t="n">
        <f aca="false">Chạy!G154</f>
        <v>2.87</v>
      </c>
      <c r="E39" s="16" t="n">
        <f aca="false">D39+F39</f>
        <v>2.927</v>
      </c>
      <c r="F39" s="16" t="n">
        <f aca="false">RANDBETWEEN(-30,100)/1000</f>
        <v>0.057</v>
      </c>
      <c r="G39" s="16" t="n">
        <f aca="false">Chạy!I154</f>
        <v>2.59</v>
      </c>
      <c r="H39" s="16" t="n">
        <f aca="false">G39+I39</f>
        <v>2.581</v>
      </c>
      <c r="I39" s="16" t="n">
        <f aca="false">RANDBETWEEN(-30,100)/1000</f>
        <v>-0.009</v>
      </c>
      <c r="J39" s="16" t="n">
        <f aca="false">Chạy!M158</f>
        <v>2.78</v>
      </c>
      <c r="K39" s="16" t="n">
        <f aca="false">J39+L39</f>
        <v>2.807</v>
      </c>
      <c r="L39" s="16" t="n">
        <f aca="false">RANDBETWEEN(-30,100)/1000</f>
        <v>0.027</v>
      </c>
      <c r="M39" s="16" t="n">
        <f aca="false">Chạy!O158</f>
        <v>2.77</v>
      </c>
      <c r="N39" s="16" t="n">
        <f aca="false">M39+O39</f>
        <v>2.772</v>
      </c>
      <c r="O39" s="16" t="n">
        <f aca="false">RANDBETWEEN(-30,100)/1000</f>
        <v>0.002</v>
      </c>
      <c r="P39" s="17"/>
      <c r="Q39" s="18" t="n">
        <v>17.1</v>
      </c>
    </row>
    <row r="40" customFormat="false" ht="15" hidden="false" customHeight="false" outlineLevel="0" collapsed="false">
      <c r="A40" s="13" t="n">
        <v>21</v>
      </c>
      <c r="B40" s="14" t="s">
        <v>38</v>
      </c>
      <c r="C40" s="15" t="n">
        <f aca="false">C39+Q39</f>
        <v>546.72</v>
      </c>
      <c r="D40" s="16" t="n">
        <f aca="false">Chạy!G162</f>
        <v>2.86</v>
      </c>
      <c r="E40" s="16" t="n">
        <f aca="false">D40+F40</f>
        <v>2.846</v>
      </c>
      <c r="F40" s="16" t="n">
        <f aca="false">RANDBETWEEN(-30,100)/1000</f>
        <v>-0.014</v>
      </c>
      <c r="G40" s="16" t="n">
        <f aca="false">Chạy!I162</f>
        <v>2.58</v>
      </c>
      <c r="H40" s="16" t="n">
        <f aca="false">G40+I40</f>
        <v>2.671</v>
      </c>
      <c r="I40" s="16" t="n">
        <f aca="false">RANDBETWEEN(-30,100)/1000</f>
        <v>0.091</v>
      </c>
      <c r="J40" s="16" t="n">
        <f aca="false">Chạy!M166</f>
        <v>2.77</v>
      </c>
      <c r="K40" s="16" t="n">
        <f aca="false">J40+L40</f>
        <v>2.835</v>
      </c>
      <c r="L40" s="16" t="n">
        <f aca="false">RANDBETWEEN(-30,100)/1000</f>
        <v>0.065</v>
      </c>
      <c r="M40" s="16" t="n">
        <f aca="false">Chạy!O166</f>
        <v>2.76</v>
      </c>
      <c r="N40" s="16" t="n">
        <f aca="false">M40+O40</f>
        <v>2.823</v>
      </c>
      <c r="O40" s="16" t="n">
        <f aca="false">RANDBETWEEN(-30,100)/1000</f>
        <v>0.063</v>
      </c>
      <c r="P40" s="17"/>
      <c r="Q40" s="18" t="n">
        <v>15.15</v>
      </c>
    </row>
    <row r="41" customFormat="false" ht="15" hidden="false" customHeight="false" outlineLevel="0" collapsed="false">
      <c r="A41" s="13" t="n">
        <v>22</v>
      </c>
      <c r="B41" s="14" t="s">
        <v>39</v>
      </c>
      <c r="C41" s="15" t="n">
        <f aca="false">C40+Q40</f>
        <v>561.87</v>
      </c>
      <c r="D41" s="16" t="n">
        <f aca="false">Chạy!G170</f>
        <v>2.86</v>
      </c>
      <c r="E41" s="16" t="n">
        <f aca="false">D41+F41</f>
        <v>2.851</v>
      </c>
      <c r="F41" s="16" t="n">
        <f aca="false">RANDBETWEEN(-30,100)/1000</f>
        <v>-0.009</v>
      </c>
      <c r="G41" s="16" t="n">
        <f aca="false">Chạy!I170</f>
        <v>2.58</v>
      </c>
      <c r="H41" s="16" t="n">
        <f aca="false">G41+I41</f>
        <v>2.645</v>
      </c>
      <c r="I41" s="16" t="n">
        <f aca="false">RANDBETWEEN(-30,100)/1000</f>
        <v>0.065</v>
      </c>
      <c r="J41" s="16" t="n">
        <f aca="false">Chạy!M174</f>
        <v>2.77</v>
      </c>
      <c r="K41" s="16" t="n">
        <f aca="false">J41+L41</f>
        <v>2.851</v>
      </c>
      <c r="L41" s="16" t="n">
        <f aca="false">RANDBETWEEN(-30,100)/1000</f>
        <v>0.081</v>
      </c>
      <c r="M41" s="16" t="n">
        <f aca="false">Chạy!O174</f>
        <v>2.76</v>
      </c>
      <c r="N41" s="16" t="n">
        <f aca="false">M41+O41</f>
        <v>2.767</v>
      </c>
      <c r="O41" s="16" t="n">
        <f aca="false">RANDBETWEEN(-30,100)/1000</f>
        <v>0.007</v>
      </c>
      <c r="P41" s="17"/>
      <c r="Q41" s="18" t="n">
        <v>0.15</v>
      </c>
    </row>
    <row r="42" customFormat="false" ht="15" hidden="false" customHeight="false" outlineLevel="0" collapsed="false">
      <c r="A42" s="13" t="n">
        <v>23</v>
      </c>
      <c r="B42" s="14" t="s">
        <v>40</v>
      </c>
      <c r="C42" s="15" t="n">
        <f aca="false">C41+Q41</f>
        <v>562.02</v>
      </c>
      <c r="D42" s="16" t="n">
        <f aca="false">Chạy!G178</f>
        <v>2.86</v>
      </c>
      <c r="E42" s="16" t="n">
        <f aca="false">D42+F42</f>
        <v>2.951</v>
      </c>
      <c r="F42" s="16" t="n">
        <f aca="false">RANDBETWEEN(-30,100)/1000</f>
        <v>0.091</v>
      </c>
      <c r="G42" s="16" t="n">
        <f aca="false">Chạy!I178</f>
        <v>2.58</v>
      </c>
      <c r="H42" s="16" t="n">
        <f aca="false">G42+I42</f>
        <v>2.623</v>
      </c>
      <c r="I42" s="16" t="n">
        <f aca="false">RANDBETWEEN(-30,100)/1000</f>
        <v>0.043</v>
      </c>
      <c r="J42" s="16" t="n">
        <f aca="false">Chạy!M182</f>
        <v>2.77</v>
      </c>
      <c r="K42" s="16" t="n">
        <f aca="false">J42+L42</f>
        <v>2.764</v>
      </c>
      <c r="L42" s="16" t="n">
        <f aca="false">RANDBETWEEN(-30,100)/1000</f>
        <v>-0.006</v>
      </c>
      <c r="M42" s="16" t="n">
        <f aca="false">Chạy!O182</f>
        <v>2.76</v>
      </c>
      <c r="N42" s="16" t="n">
        <f aca="false">M42+O42</f>
        <v>2.814</v>
      </c>
      <c r="O42" s="16" t="n">
        <f aca="false">RANDBETWEEN(-30,100)/1000</f>
        <v>0.054</v>
      </c>
      <c r="P42" s="17"/>
      <c r="Q42" s="18" t="n">
        <v>6.55</v>
      </c>
    </row>
    <row r="43" customFormat="false" ht="15" hidden="false" customHeight="false" outlineLevel="0" collapsed="false">
      <c r="A43" s="13" t="n">
        <v>24</v>
      </c>
      <c r="B43" s="14" t="s">
        <v>41</v>
      </c>
      <c r="C43" s="15" t="n">
        <f aca="false">C42+Q42</f>
        <v>568.57</v>
      </c>
      <c r="D43" s="16" t="n">
        <f aca="false">Chạy!G186</f>
        <v>2.86</v>
      </c>
      <c r="E43" s="16" t="n">
        <f aca="false">D43+F43</f>
        <v>2.905</v>
      </c>
      <c r="F43" s="16" t="n">
        <f aca="false">RANDBETWEEN(-30,100)/1000</f>
        <v>0.045</v>
      </c>
      <c r="G43" s="16" t="n">
        <f aca="false">Chạy!I186</f>
        <v>2.58</v>
      </c>
      <c r="H43" s="16" t="n">
        <f aca="false">G43+I43</f>
        <v>2.68</v>
      </c>
      <c r="I43" s="16" t="n">
        <f aca="false">RANDBETWEEN(-30,100)/1000</f>
        <v>0.1</v>
      </c>
      <c r="J43" s="16" t="n">
        <f aca="false">Chạy!M190</f>
        <v>2.77</v>
      </c>
      <c r="K43" s="16" t="n">
        <f aca="false">J43+L43</f>
        <v>2.773</v>
      </c>
      <c r="L43" s="16" t="n">
        <f aca="false">RANDBETWEEN(-30,100)/1000</f>
        <v>0.003</v>
      </c>
      <c r="M43" s="16" t="n">
        <f aca="false">Chạy!O190</f>
        <v>2.76</v>
      </c>
      <c r="N43" s="16" t="n">
        <f aca="false">M43+O43</f>
        <v>2.744</v>
      </c>
      <c r="O43" s="16" t="n">
        <f aca="false">RANDBETWEEN(-30,100)/1000</f>
        <v>-0.016</v>
      </c>
      <c r="P43" s="17"/>
      <c r="Q43" s="18" t="n">
        <v>6.55</v>
      </c>
    </row>
    <row r="44" customFormat="false" ht="15" hidden="false" customHeight="false" outlineLevel="0" collapsed="false">
      <c r="A44" s="13" t="n">
        <v>25</v>
      </c>
      <c r="B44" s="14" t="s">
        <v>1</v>
      </c>
      <c r="C44" s="15" t="n">
        <f aca="false">C43+Q43</f>
        <v>575.12</v>
      </c>
      <c r="D44" s="16" t="n">
        <f aca="false">Chạy!G194</f>
        <v>2.86</v>
      </c>
      <c r="E44" s="16" t="n">
        <f aca="false">D44+F44</f>
        <v>2.947</v>
      </c>
      <c r="F44" s="16" t="n">
        <f aca="false">RANDBETWEEN(-30,100)/1000</f>
        <v>0.087</v>
      </c>
      <c r="G44" s="16" t="n">
        <f aca="false">Chạy!I194</f>
        <v>2.57</v>
      </c>
      <c r="H44" s="16" t="n">
        <f aca="false">G44+I44</f>
        <v>2.563</v>
      </c>
      <c r="I44" s="16" t="n">
        <f aca="false">RANDBETWEEN(-30,100)/1000</f>
        <v>-0.007</v>
      </c>
      <c r="J44" s="16" t="n">
        <f aca="false">Chạy!M198</f>
        <v>2.76</v>
      </c>
      <c r="K44" s="16" t="n">
        <f aca="false">J44+L44</f>
        <v>2.75</v>
      </c>
      <c r="L44" s="16" t="n">
        <f aca="false">RANDBETWEEN(-30,100)/1000</f>
        <v>-0.01</v>
      </c>
      <c r="M44" s="16" t="n">
        <f aca="false">Chạy!O198</f>
        <v>2.76</v>
      </c>
      <c r="N44" s="16" t="n">
        <f aca="false">M44+O44</f>
        <v>2.8</v>
      </c>
      <c r="O44" s="16" t="n">
        <f aca="false">RANDBETWEEN(-30,100)/1000</f>
        <v>0.04</v>
      </c>
      <c r="P44" s="17"/>
      <c r="Q44" s="18" t="n">
        <v>0.04</v>
      </c>
    </row>
    <row r="45" customFormat="false" ht="15" hidden="false" customHeight="false" outlineLevel="0" collapsed="false">
      <c r="A45" s="13" t="n">
        <v>26</v>
      </c>
      <c r="B45" s="14" t="s">
        <v>42</v>
      </c>
      <c r="C45" s="15" t="n">
        <f aca="false">C44+Q44</f>
        <v>575.16</v>
      </c>
      <c r="D45" s="16" t="n">
        <f aca="false">Chạy!G202</f>
        <v>2.99</v>
      </c>
      <c r="E45" s="16" t="n">
        <f aca="false">D45+F45</f>
        <v>2.991</v>
      </c>
      <c r="F45" s="16" t="n">
        <f aca="false">RANDBETWEEN(-30,100)/1000</f>
        <v>0.001</v>
      </c>
      <c r="G45" s="16" t="n">
        <f aca="false">Chạy!I202</f>
        <v>2.7</v>
      </c>
      <c r="H45" s="16" t="n">
        <f aca="false">G45+I45</f>
        <v>2.757</v>
      </c>
      <c r="I45" s="16" t="n">
        <f aca="false">RANDBETWEEN(-30,100)/1000</f>
        <v>0.057</v>
      </c>
      <c r="J45" s="16" t="n">
        <f aca="false">Chạy!M206</f>
        <v>2.76</v>
      </c>
      <c r="K45" s="16" t="n">
        <f aca="false">J45+L45</f>
        <v>2.778</v>
      </c>
      <c r="L45" s="16" t="n">
        <f aca="false">RANDBETWEEN(-30,100)/1000</f>
        <v>0.018</v>
      </c>
      <c r="M45" s="16" t="n">
        <f aca="false">Chạy!O206</f>
        <v>2.76</v>
      </c>
      <c r="N45" s="16" t="n">
        <f aca="false">M45+O45</f>
        <v>2.829</v>
      </c>
      <c r="O45" s="16" t="n">
        <f aca="false">RANDBETWEEN(-30,100)/1000</f>
        <v>0.069</v>
      </c>
      <c r="P45" s="17"/>
      <c r="Q45" s="18" t="n">
        <v>16.95</v>
      </c>
    </row>
    <row r="46" customFormat="false" ht="15" hidden="false" customHeight="false" outlineLevel="0" collapsed="false">
      <c r="A46" s="13" t="n">
        <v>27</v>
      </c>
      <c r="B46" s="14" t="s">
        <v>43</v>
      </c>
      <c r="C46" s="15" t="n">
        <f aca="false">C45+Q45</f>
        <v>592.11</v>
      </c>
      <c r="D46" s="16" t="n">
        <f aca="false">Chạy!G210</f>
        <v>2.86</v>
      </c>
      <c r="E46" s="16" t="n">
        <f aca="false">D46+F46</f>
        <v>2.904</v>
      </c>
      <c r="F46" s="16" t="n">
        <f aca="false">RANDBETWEEN(-30,100)/1000</f>
        <v>0.044</v>
      </c>
      <c r="G46" s="16" t="n">
        <f aca="false">Chạy!I210</f>
        <v>2.58</v>
      </c>
      <c r="H46" s="16" t="n">
        <f aca="false">G46+I46</f>
        <v>2.642</v>
      </c>
      <c r="I46" s="16" t="n">
        <f aca="false">RANDBETWEEN(-30,100)/1000</f>
        <v>0.062</v>
      </c>
      <c r="J46" s="16" t="n">
        <f aca="false">Chạy!M214</f>
        <v>2.77</v>
      </c>
      <c r="K46" s="16" t="n">
        <f aca="false">J46+L46</f>
        <v>2.829</v>
      </c>
      <c r="L46" s="16" t="n">
        <f aca="false">RANDBETWEEN(-30,100)/1000</f>
        <v>0.059</v>
      </c>
      <c r="M46" s="16" t="n">
        <f aca="false">Chạy!O214</f>
        <v>2.76</v>
      </c>
      <c r="N46" s="16" t="n">
        <f aca="false">M46+O46</f>
        <v>2.741</v>
      </c>
      <c r="O46" s="16" t="n">
        <f aca="false">RANDBETWEEN(-30,100)/1000</f>
        <v>-0.019</v>
      </c>
      <c r="P46" s="17"/>
      <c r="Q46" s="18" t="n">
        <v>17</v>
      </c>
    </row>
    <row r="47" customFormat="false" ht="15" hidden="false" customHeight="false" outlineLevel="0" collapsed="false">
      <c r="A47" s="13" t="n">
        <v>28</v>
      </c>
      <c r="B47" s="14" t="s">
        <v>44</v>
      </c>
      <c r="C47" s="15" t="n">
        <f aca="false">C46+Q46</f>
        <v>609.11</v>
      </c>
      <c r="D47" s="16" t="n">
        <f aca="false">Chạy!G218</f>
        <v>2.86</v>
      </c>
      <c r="E47" s="16" t="n">
        <f aca="false">D47+F47</f>
        <v>2.865</v>
      </c>
      <c r="F47" s="16" t="n">
        <f aca="false">RANDBETWEEN(-30,100)/1000</f>
        <v>0.005</v>
      </c>
      <c r="G47" s="16" t="n">
        <f aca="false">Chạy!I218</f>
        <v>2.58</v>
      </c>
      <c r="H47" s="16" t="n">
        <f aca="false">G47+I47</f>
        <v>2.563</v>
      </c>
      <c r="I47" s="16" t="n">
        <f aca="false">RANDBETWEEN(-30,100)/1000</f>
        <v>-0.017</v>
      </c>
      <c r="J47" s="16" t="n">
        <f aca="false">Chạy!M222</f>
        <v>2.77</v>
      </c>
      <c r="K47" s="16" t="n">
        <f aca="false">J47+L47</f>
        <v>2.766</v>
      </c>
      <c r="L47" s="16" t="n">
        <f aca="false">RANDBETWEEN(-30,100)/1000</f>
        <v>-0.004</v>
      </c>
      <c r="M47" s="16" t="n">
        <f aca="false">Chạy!O222</f>
        <v>2.77</v>
      </c>
      <c r="N47" s="16" t="n">
        <f aca="false">M47+O47</f>
        <v>2.816</v>
      </c>
      <c r="O47" s="16" t="n">
        <f aca="false">RANDBETWEEN(-30,100)/1000</f>
        <v>0.046</v>
      </c>
      <c r="P47" s="17"/>
      <c r="Q47" s="18" t="n">
        <v>11.75</v>
      </c>
    </row>
    <row r="48" customFormat="false" ht="15" hidden="false" customHeight="false" outlineLevel="0" collapsed="false">
      <c r="A48" s="13" t="n">
        <v>29</v>
      </c>
      <c r="B48" s="14" t="s">
        <v>45</v>
      </c>
      <c r="C48" s="15" t="n">
        <f aca="false">C47+Q47</f>
        <v>620.86</v>
      </c>
      <c r="D48" s="16" t="n">
        <f aca="false">Chạy!G226</f>
        <v>2.86</v>
      </c>
      <c r="E48" s="16" t="n">
        <f aca="false">D48+F48</f>
        <v>2.904</v>
      </c>
      <c r="F48" s="16" t="n">
        <f aca="false">RANDBETWEEN(-30,100)/1000</f>
        <v>0.044</v>
      </c>
      <c r="G48" s="16" t="n">
        <f aca="false">Chạy!I226</f>
        <v>2.58</v>
      </c>
      <c r="H48" s="16" t="n">
        <f aca="false">G48+I48</f>
        <v>2.6</v>
      </c>
      <c r="I48" s="16" t="n">
        <f aca="false">RANDBETWEEN(-30,100)/1000</f>
        <v>0.02</v>
      </c>
      <c r="J48" s="16" t="n">
        <f aca="false">Chạy!M230</f>
        <v>2.77</v>
      </c>
      <c r="K48" s="16" t="n">
        <f aca="false">J48+L48</f>
        <v>2.845</v>
      </c>
      <c r="L48" s="16" t="n">
        <f aca="false">RANDBETWEEN(-30,100)/1000</f>
        <v>0.075</v>
      </c>
      <c r="M48" s="16" t="n">
        <f aca="false">Chạy!O230</f>
        <v>2.77</v>
      </c>
      <c r="N48" s="16" t="n">
        <f aca="false">M48+O48</f>
        <v>2.827</v>
      </c>
      <c r="O48" s="16" t="n">
        <f aca="false">RANDBETWEEN(-30,100)/1000</f>
        <v>0.057</v>
      </c>
      <c r="P48" s="17"/>
      <c r="Q48" s="18" t="n">
        <v>11.75</v>
      </c>
    </row>
    <row r="49" customFormat="false" ht="15" hidden="false" customHeight="false" outlineLevel="0" collapsed="false">
      <c r="A49" s="13" t="n">
        <v>30</v>
      </c>
      <c r="B49" s="14" t="s">
        <v>46</v>
      </c>
      <c r="C49" s="15" t="n">
        <f aca="false">C48+Q48</f>
        <v>632.61</v>
      </c>
      <c r="D49" s="16" t="n">
        <f aca="false">Chạy!G234</f>
        <v>2.87</v>
      </c>
      <c r="E49" s="16" t="n">
        <f aca="false">D49+F49</f>
        <v>2.906</v>
      </c>
      <c r="F49" s="16" t="n">
        <f aca="false">RANDBETWEEN(-30,100)/1000</f>
        <v>0.036</v>
      </c>
      <c r="G49" s="16" t="n">
        <f aca="false">Chạy!I234</f>
        <v>2.58</v>
      </c>
      <c r="H49" s="16" t="n">
        <f aca="false">G49+I49</f>
        <v>2.605</v>
      </c>
      <c r="I49" s="16" t="n">
        <f aca="false">RANDBETWEEN(-30,100)/1000</f>
        <v>0.025</v>
      </c>
      <c r="J49" s="16" t="n">
        <f aca="false">Chạy!M238</f>
        <v>2.77</v>
      </c>
      <c r="K49" s="16" t="n">
        <f aca="false">J49+L49</f>
        <v>2.813</v>
      </c>
      <c r="L49" s="16" t="n">
        <f aca="false">RANDBETWEEN(-30,100)/1000</f>
        <v>0.043</v>
      </c>
      <c r="M49" s="16" t="n">
        <f aca="false">Chạy!O238</f>
        <v>2.77</v>
      </c>
      <c r="N49" s="16" t="n">
        <f aca="false">M49+O49</f>
        <v>2.86</v>
      </c>
      <c r="O49" s="16" t="n">
        <f aca="false">RANDBETWEEN(-30,100)/1000</f>
        <v>0.09</v>
      </c>
      <c r="P49" s="17"/>
      <c r="Q49" s="18" t="n">
        <v>20</v>
      </c>
    </row>
    <row r="50" customFormat="false" ht="15" hidden="false" customHeight="false" outlineLevel="0" collapsed="false">
      <c r="A50" s="13" t="n">
        <v>31</v>
      </c>
      <c r="B50" s="14" t="s">
        <v>47</v>
      </c>
      <c r="C50" s="15" t="n">
        <f aca="false">C49+Q49</f>
        <v>652.61</v>
      </c>
      <c r="D50" s="16" t="n">
        <f aca="false">Chạy!G242</f>
        <v>2.87</v>
      </c>
      <c r="E50" s="16" t="n">
        <f aca="false">D50+F50</f>
        <v>2.895</v>
      </c>
      <c r="F50" s="16" t="n">
        <f aca="false">RANDBETWEEN(-30,100)/1000</f>
        <v>0.025</v>
      </c>
      <c r="G50" s="16" t="n">
        <f aca="false">Chạy!I242</f>
        <v>2.58</v>
      </c>
      <c r="H50" s="16" t="n">
        <f aca="false">G50+I50</f>
        <v>2.582</v>
      </c>
      <c r="I50" s="16" t="n">
        <f aca="false">RANDBETWEEN(-30,100)/1000</f>
        <v>0.002</v>
      </c>
      <c r="J50" s="16" t="n">
        <f aca="false">Chạy!M246</f>
        <v>2.77</v>
      </c>
      <c r="K50" s="16" t="n">
        <f aca="false">J50+L50</f>
        <v>2.829</v>
      </c>
      <c r="L50" s="16" t="n">
        <f aca="false">RANDBETWEEN(-30,100)/1000</f>
        <v>0.059</v>
      </c>
      <c r="M50" s="16" t="n">
        <f aca="false">Chạy!O246</f>
        <v>2.77</v>
      </c>
      <c r="N50" s="16" t="n">
        <f aca="false">M50+O50</f>
        <v>2.824</v>
      </c>
      <c r="O50" s="16" t="n">
        <f aca="false">RANDBETWEEN(-30,100)/1000</f>
        <v>0.054</v>
      </c>
      <c r="P50" s="17"/>
      <c r="Q50" s="18" t="n">
        <v>20</v>
      </c>
    </row>
    <row r="51" customFormat="false" ht="15" hidden="false" customHeight="false" outlineLevel="0" collapsed="false">
      <c r="A51" s="13" t="n">
        <v>32</v>
      </c>
      <c r="B51" s="14" t="s">
        <v>48</v>
      </c>
      <c r="C51" s="15" t="n">
        <f aca="false">C50+Q50</f>
        <v>672.61</v>
      </c>
      <c r="D51" s="16" t="n">
        <f aca="false">Chạy!G250</f>
        <v>2.87</v>
      </c>
      <c r="E51" s="16" t="n">
        <f aca="false">D51+F51</f>
        <v>2.958</v>
      </c>
      <c r="F51" s="16" t="n">
        <f aca="false">RANDBETWEEN(-30,100)/1000</f>
        <v>0.088</v>
      </c>
      <c r="G51" s="16" t="n">
        <f aca="false">Chạy!I250</f>
        <v>2.59</v>
      </c>
      <c r="H51" s="16" t="n">
        <f aca="false">G51+I51</f>
        <v>2.595</v>
      </c>
      <c r="I51" s="16" t="n">
        <f aca="false">RANDBETWEEN(-30,100)/1000</f>
        <v>0.005</v>
      </c>
      <c r="J51" s="16" t="n">
        <f aca="false">Chạy!M254</f>
        <v>2.78</v>
      </c>
      <c r="K51" s="16" t="n">
        <f aca="false">J51+L51</f>
        <v>2.777</v>
      </c>
      <c r="L51" s="16" t="n">
        <f aca="false">RANDBETWEEN(-30,100)/1000</f>
        <v>-0.003</v>
      </c>
      <c r="M51" s="16" t="n">
        <f aca="false">Chạy!O254</f>
        <v>2.77</v>
      </c>
      <c r="N51" s="16" t="n">
        <f aca="false">M51+O51</f>
        <v>2.798</v>
      </c>
      <c r="O51" s="16" t="n">
        <f aca="false">RANDBETWEEN(-30,100)/1000</f>
        <v>0.028</v>
      </c>
      <c r="P51" s="17"/>
      <c r="Q51" s="18" t="n">
        <v>20</v>
      </c>
    </row>
    <row r="52" customFormat="false" ht="15" hidden="false" customHeight="false" outlineLevel="0" collapsed="false">
      <c r="A52" s="13" t="n">
        <v>33</v>
      </c>
      <c r="B52" s="14" t="s">
        <v>49</v>
      </c>
      <c r="C52" s="15" t="n">
        <f aca="false">C51+Q51</f>
        <v>692.61</v>
      </c>
      <c r="D52" s="16" t="n">
        <f aca="false">Chạy!G258</f>
        <v>2.87</v>
      </c>
      <c r="E52" s="16" t="n">
        <f aca="false">D52+F52</f>
        <v>2.891</v>
      </c>
      <c r="F52" s="16" t="n">
        <f aca="false">RANDBETWEEN(-30,100)/1000</f>
        <v>0.021</v>
      </c>
      <c r="G52" s="16" t="n">
        <f aca="false">Chạy!I258</f>
        <v>2.59</v>
      </c>
      <c r="H52" s="16" t="n">
        <f aca="false">G52+I52</f>
        <v>2.575</v>
      </c>
      <c r="I52" s="16" t="n">
        <f aca="false">RANDBETWEEN(-30,100)/1000</f>
        <v>-0.015</v>
      </c>
      <c r="J52" s="16" t="n">
        <f aca="false">Chạy!M262</f>
        <v>2.78</v>
      </c>
      <c r="K52" s="16" t="n">
        <f aca="false">J52+L52</f>
        <v>2.802</v>
      </c>
      <c r="L52" s="16" t="n">
        <f aca="false">RANDBETWEEN(-30,100)/1000</f>
        <v>0.022</v>
      </c>
      <c r="M52" s="16" t="n">
        <f aca="false">Chạy!O262</f>
        <v>2.77</v>
      </c>
      <c r="N52" s="16" t="n">
        <f aca="false">M52+O52</f>
        <v>2.837</v>
      </c>
      <c r="O52" s="16" t="n">
        <f aca="false">RANDBETWEEN(-30,100)/1000</f>
        <v>0.067</v>
      </c>
      <c r="P52" s="17"/>
      <c r="Q52" s="18" t="n">
        <v>20</v>
      </c>
    </row>
    <row r="53" customFormat="false" ht="15" hidden="false" customHeight="false" outlineLevel="0" collapsed="false">
      <c r="A53" s="13" t="n">
        <v>34</v>
      </c>
      <c r="B53" s="14" t="s">
        <v>50</v>
      </c>
      <c r="C53" s="15" t="n">
        <f aca="false">C52+Q52</f>
        <v>712.61</v>
      </c>
      <c r="D53" s="16" t="n">
        <f aca="false">Chạy!G266</f>
        <v>2.87</v>
      </c>
      <c r="E53" s="16" t="n">
        <f aca="false">D53+F53</f>
        <v>2.968</v>
      </c>
      <c r="F53" s="16" t="n">
        <f aca="false">RANDBETWEEN(-30,100)/1000</f>
        <v>0.098</v>
      </c>
      <c r="G53" s="16" t="n">
        <f aca="false">Chạy!I266</f>
        <v>2.59</v>
      </c>
      <c r="H53" s="16" t="n">
        <f aca="false">G53+I53</f>
        <v>2.638</v>
      </c>
      <c r="I53" s="16" t="n">
        <f aca="false">RANDBETWEEN(-30,100)/1000</f>
        <v>0.048</v>
      </c>
      <c r="J53" s="16" t="n">
        <f aca="false">Chạy!M270</f>
        <v>2.78</v>
      </c>
      <c r="K53" s="16" t="n">
        <f aca="false">J53+L53</f>
        <v>2.776</v>
      </c>
      <c r="L53" s="16" t="n">
        <f aca="false">RANDBETWEEN(-30,100)/1000</f>
        <v>-0.004</v>
      </c>
      <c r="M53" s="16" t="n">
        <f aca="false">Chạy!O270</f>
        <v>2.77</v>
      </c>
      <c r="N53" s="16" t="n">
        <f aca="false">M53+O53</f>
        <v>2.781</v>
      </c>
      <c r="O53" s="16" t="n">
        <f aca="false">RANDBETWEEN(-30,100)/1000</f>
        <v>0.011</v>
      </c>
      <c r="P53" s="17"/>
      <c r="Q53" s="18" t="n">
        <v>11.5</v>
      </c>
    </row>
    <row r="54" customFormat="false" ht="15" hidden="false" customHeight="false" outlineLevel="0" collapsed="false">
      <c r="A54" s="13" t="n">
        <v>35</v>
      </c>
      <c r="B54" s="14" t="s">
        <v>51</v>
      </c>
      <c r="C54" s="15" t="n">
        <f aca="false">C53+Q53</f>
        <v>724.11</v>
      </c>
      <c r="D54" s="16" t="n">
        <f aca="false">Chạy!G274</f>
        <v>2.87</v>
      </c>
      <c r="E54" s="16" t="n">
        <f aca="false">D54+F54</f>
        <v>2.954</v>
      </c>
      <c r="F54" s="16" t="n">
        <f aca="false">RANDBETWEEN(-30,100)/1000</f>
        <v>0.084</v>
      </c>
      <c r="G54" s="16" t="n">
        <f aca="false">Chạy!I274</f>
        <v>2.59</v>
      </c>
      <c r="H54" s="16" t="n">
        <f aca="false">G54+I54</f>
        <v>2.679</v>
      </c>
      <c r="I54" s="16" t="n">
        <f aca="false">RANDBETWEEN(-30,100)/1000</f>
        <v>0.089</v>
      </c>
      <c r="J54" s="16" t="n">
        <f aca="false">Chạy!M278</f>
        <v>2.78</v>
      </c>
      <c r="K54" s="16" t="n">
        <f aca="false">J54+L54</f>
        <v>2.872</v>
      </c>
      <c r="L54" s="16" t="n">
        <f aca="false">RANDBETWEEN(-30,100)/1000</f>
        <v>0.092</v>
      </c>
      <c r="M54" s="16" t="n">
        <f aca="false">Chạy!O278</f>
        <v>2.78</v>
      </c>
      <c r="N54" s="16" t="n">
        <f aca="false">M54+O54</f>
        <v>2.878</v>
      </c>
      <c r="O54" s="16" t="n">
        <f aca="false">RANDBETWEEN(-30,100)/1000</f>
        <v>0.098</v>
      </c>
      <c r="P54" s="17"/>
      <c r="Q54" s="18" t="n">
        <v>13.25</v>
      </c>
    </row>
    <row r="55" customFormat="false" ht="15" hidden="false" customHeight="false" outlineLevel="0" collapsed="false">
      <c r="A55" s="13" t="n">
        <v>36</v>
      </c>
      <c r="B55" s="14" t="s">
        <v>52</v>
      </c>
      <c r="C55" s="15" t="n">
        <f aca="false">C54+Q54</f>
        <v>737.36</v>
      </c>
      <c r="D55" s="16" t="n">
        <f aca="false">Chạy!G282</f>
        <v>2.88</v>
      </c>
      <c r="E55" s="16" t="n">
        <f aca="false">D55+F55</f>
        <v>2.881</v>
      </c>
      <c r="F55" s="16" t="n">
        <f aca="false">RANDBETWEEN(-30,100)/1000</f>
        <v>0.001</v>
      </c>
      <c r="G55" s="16" t="n">
        <f aca="false">Chạy!I282</f>
        <v>2.6</v>
      </c>
      <c r="H55" s="16" t="n">
        <f aca="false">G55+I55</f>
        <v>2.643</v>
      </c>
      <c r="I55" s="16" t="n">
        <f aca="false">RANDBETWEEN(-30,100)/1000</f>
        <v>0.043</v>
      </c>
      <c r="J55" s="16" t="n">
        <f aca="false">Chạy!M286</f>
        <v>2.78</v>
      </c>
      <c r="K55" s="16" t="n">
        <f aca="false">J55+L55</f>
        <v>2.868</v>
      </c>
      <c r="L55" s="16" t="n">
        <f aca="false">RANDBETWEEN(-30,100)/1000</f>
        <v>0.088</v>
      </c>
      <c r="M55" s="16" t="n">
        <f aca="false">Chạy!O286</f>
        <v>2.78</v>
      </c>
      <c r="N55" s="16" t="n">
        <f aca="false">M55+O55</f>
        <v>2.861</v>
      </c>
      <c r="O55" s="16" t="n">
        <f aca="false">RANDBETWEEN(-30,100)/1000</f>
        <v>0.081</v>
      </c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73</v>
      </c>
      <c r="D59" s="19"/>
      <c r="E59" s="19"/>
      <c r="F59" s="19"/>
      <c r="G59" s="20"/>
      <c r="H59" s="20"/>
      <c r="I59" s="20"/>
      <c r="K59" s="19" t="s">
        <v>74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75</v>
      </c>
      <c r="D64" s="19"/>
      <c r="E64" s="19"/>
      <c r="F64" s="19"/>
      <c r="G64" s="20"/>
      <c r="H64" s="20"/>
      <c r="I64" s="20"/>
      <c r="J64" s="21"/>
      <c r="K64" s="19" t="s">
        <v>89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77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">
        <v>87</v>
      </c>
      <c r="B2" s="27"/>
      <c r="C2" s="27"/>
      <c r="D2" s="27"/>
      <c r="E2" s="27"/>
      <c r="F2" s="27"/>
      <c r="G2" s="27"/>
    </row>
    <row r="3" s="33" customFormat="true" ht="37.5" hidden="false" customHeight="true" outlineLevel="0" collapsed="false">
      <c r="A3" s="28" t="s">
        <v>55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56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57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58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59</v>
      </c>
      <c r="B7" s="32"/>
      <c r="D7" s="34" t="s">
        <v>88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63</v>
      </c>
      <c r="C9" s="36" t="s">
        <v>64</v>
      </c>
      <c r="D9" s="37" t="s">
        <v>78</v>
      </c>
      <c r="E9" s="38"/>
      <c r="F9" s="38"/>
      <c r="G9" s="37" t="s">
        <v>69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79</v>
      </c>
      <c r="F10" s="38" t="s">
        <v>80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B4</v>
      </c>
      <c r="C11" s="15" t="n">
        <f aca="false">'1. KTHH L4'!C20</f>
        <v>211</v>
      </c>
      <c r="D11" s="13" t="n">
        <f aca="false">'1. KTHH L4'!Q20</f>
        <v>13.25</v>
      </c>
      <c r="E11" s="42" t="n">
        <f aca="false">Chạy!E2+Chạy!E6</f>
        <v>3.12</v>
      </c>
      <c r="F11" s="43" t="n">
        <f aca="false">(E11+E12)*D11/2</f>
        <v>41.34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12</v>
      </c>
      <c r="C12" s="15" t="n">
        <f aca="false">'1. KTHH L4'!C21</f>
        <v>224.25</v>
      </c>
      <c r="D12" s="13" t="n">
        <f aca="false">'1. KTHH L4'!Q21</f>
        <v>21.5</v>
      </c>
      <c r="E12" s="42" t="n">
        <f aca="false">Chạy!E10+Chạy!E14</f>
        <v>3.12</v>
      </c>
      <c r="F12" s="43" t="n">
        <f aca="false">(E12+E13)*D12/2</f>
        <v>67.08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13</v>
      </c>
      <c r="C13" s="15" t="n">
        <f aca="false">'1. KTHH L4'!C22</f>
        <v>245.75</v>
      </c>
      <c r="D13" s="13" t="n">
        <f aca="false">'1. KTHH L4'!Q22</f>
        <v>11.75</v>
      </c>
      <c r="E13" s="42" t="n">
        <f aca="false">Chạy!E18+Chạy!E22</f>
        <v>3.12</v>
      </c>
      <c r="F13" s="43" t="n">
        <f aca="false">(E13+E14)*D13/2</f>
        <v>36.66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B5</v>
      </c>
      <c r="C14" s="15" t="n">
        <f aca="false">'1. KTHH L4'!C23</f>
        <v>257.5</v>
      </c>
      <c r="D14" s="13" t="n">
        <f aca="false">'1. KTHH L4'!Q23</f>
        <v>11.75</v>
      </c>
      <c r="E14" s="42" t="n">
        <f aca="false">Chạy!E26+Chạy!E30</f>
        <v>3.12</v>
      </c>
      <c r="F14" s="43" t="n">
        <f aca="false">(E14+E15)*D14/2</f>
        <v>36.66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14</v>
      </c>
      <c r="C15" s="15" t="n">
        <f aca="false">'1. KTHH L4'!C24</f>
        <v>269.25</v>
      </c>
      <c r="D15" s="13" t="n">
        <f aca="false">'1. KTHH L4'!Q24</f>
        <v>20</v>
      </c>
      <c r="E15" s="42" t="n">
        <f aca="false">Chạy!E34+Chạy!E38</f>
        <v>3.12</v>
      </c>
      <c r="F15" s="43" t="n">
        <f aca="false">(E15+E16)*D15/2</f>
        <v>62.4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15</v>
      </c>
      <c r="C16" s="15" t="n">
        <f aca="false">'1. KTHH L4'!C25</f>
        <v>289.25</v>
      </c>
      <c r="D16" s="13" t="n">
        <f aca="false">'1. KTHH L4'!Q25</f>
        <v>20</v>
      </c>
      <c r="E16" s="42" t="n">
        <f aca="false">Chạy!E42+Chạy!E46</f>
        <v>3.12</v>
      </c>
      <c r="F16" s="43" t="n">
        <f aca="false">(E16+E17)*D16/2</f>
        <v>62.4</v>
      </c>
      <c r="G16" s="44"/>
      <c r="H16" s="54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16</v>
      </c>
      <c r="C17" s="15" t="n">
        <f aca="false">'1. KTHH L4'!C26</f>
        <v>309.25</v>
      </c>
      <c r="D17" s="13" t="n">
        <f aca="false">'1. KTHH L4'!Q26</f>
        <v>20</v>
      </c>
      <c r="E17" s="42" t="n">
        <f aca="false">Chạy!E50+Chạy!E54</f>
        <v>3.12</v>
      </c>
      <c r="F17" s="43" t="n">
        <f aca="false">(E17+E18)*D17/2</f>
        <v>62.4</v>
      </c>
      <c r="G17" s="44"/>
      <c r="H17" s="54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17</v>
      </c>
      <c r="C18" s="15" t="n">
        <f aca="false">'1. KTHH L4'!C27</f>
        <v>329.25</v>
      </c>
      <c r="D18" s="13" t="n">
        <f aca="false">'1. KTHH L4'!Q27</f>
        <v>20</v>
      </c>
      <c r="E18" s="42" t="n">
        <f aca="false">Chạy!E58+Chạy!E62</f>
        <v>3.12</v>
      </c>
      <c r="F18" s="43" t="n">
        <f aca="false">(E18+E19)*D18/2</f>
        <v>62.4</v>
      </c>
      <c r="G18" s="44"/>
      <c r="H18" s="54"/>
      <c r="I18" s="69"/>
    </row>
    <row r="19" s="41" customFormat="true" ht="15" hidden="false" customHeight="true" outlineLevel="0" collapsed="false">
      <c r="A19" s="13" t="n">
        <v>9</v>
      </c>
      <c r="B19" s="14" t="str">
        <f aca="false">'1. KTHH L4'!B28</f>
        <v>18</v>
      </c>
      <c r="C19" s="15" t="n">
        <f aca="false">'1. KTHH L4'!C28</f>
        <v>349.25</v>
      </c>
      <c r="D19" s="13" t="n">
        <f aca="false">'1. KTHH L4'!Q28</f>
        <v>19</v>
      </c>
      <c r="E19" s="42" t="n">
        <f aca="false">Chạy!E66+Chạy!E70</f>
        <v>3.12</v>
      </c>
      <c r="F19" s="43" t="n">
        <f aca="false">(E19+E20)*D19/2</f>
        <v>59.28</v>
      </c>
      <c r="G19" s="44"/>
      <c r="H19" s="54"/>
      <c r="I19" s="69"/>
    </row>
    <row r="20" s="41" customFormat="true" ht="15" hidden="false" customHeight="true" outlineLevel="0" collapsed="false">
      <c r="A20" s="13" t="n">
        <v>10</v>
      </c>
      <c r="B20" s="14" t="str">
        <f aca="false">'1. KTHH L4'!B29</f>
        <v>19</v>
      </c>
      <c r="C20" s="15" t="n">
        <f aca="false">'1. KTHH L4'!C29</f>
        <v>368.25</v>
      </c>
      <c r="D20" s="13" t="n">
        <f aca="false">'1. KTHH L4'!Q29</f>
        <v>13.25</v>
      </c>
      <c r="E20" s="42" t="n">
        <f aca="false">Chạy!E74+Chạy!E78</f>
        <v>3.12</v>
      </c>
      <c r="F20" s="43" t="n">
        <f aca="false">(E20+E21)*D20/2</f>
        <v>41.34</v>
      </c>
      <c r="G20" s="44"/>
      <c r="H20" s="54"/>
      <c r="I20" s="69"/>
    </row>
    <row r="21" s="41" customFormat="true" ht="15" hidden="false" customHeight="true" outlineLevel="0" collapsed="false">
      <c r="A21" s="13" t="n">
        <v>11</v>
      </c>
      <c r="B21" s="14" t="str">
        <f aca="false">'1. KTHH L4'!B30</f>
        <v>C2</v>
      </c>
      <c r="C21" s="15" t="n">
        <f aca="false">'1. KTHH L4'!C30</f>
        <v>381.5</v>
      </c>
      <c r="D21" s="13" t="n">
        <f aca="false">'1. KTHH L4'!Q30</f>
        <v>13.25</v>
      </c>
      <c r="E21" s="42" t="n">
        <f aca="false">Chạy!E82+Chạy!E86</f>
        <v>3.12</v>
      </c>
      <c r="F21" s="43" t="n">
        <f aca="false">(E21+E22)*D21/2</f>
        <v>41.34</v>
      </c>
      <c r="G21" s="44"/>
      <c r="H21" s="54"/>
      <c r="I21" s="69"/>
    </row>
    <row r="22" s="41" customFormat="true" ht="15" hidden="false" customHeight="true" outlineLevel="0" collapsed="false">
      <c r="A22" s="13" t="n">
        <v>12</v>
      </c>
      <c r="B22" s="14" t="str">
        <f aca="false">'1. KTHH L4'!B31</f>
        <v>20</v>
      </c>
      <c r="C22" s="15" t="n">
        <f aca="false">'1. KTHH L4'!C31</f>
        <v>394.75</v>
      </c>
      <c r="D22" s="13" t="n">
        <f aca="false">'1. KTHH L4'!Q31</f>
        <v>20</v>
      </c>
      <c r="E22" s="42" t="n">
        <f aca="false">Chạy!E90+Chạy!E94</f>
        <v>3.12</v>
      </c>
      <c r="F22" s="43" t="n">
        <f aca="false">(E22+E23)*D22/2</f>
        <v>62.4</v>
      </c>
      <c r="G22" s="44"/>
      <c r="H22" s="54"/>
      <c r="I22" s="69"/>
    </row>
    <row r="23" s="41" customFormat="true" ht="15" hidden="false" customHeight="true" outlineLevel="0" collapsed="false">
      <c r="A23" s="13" t="n">
        <v>13</v>
      </c>
      <c r="B23" s="14" t="str">
        <f aca="false">'1. KTHH L4'!B32</f>
        <v>21</v>
      </c>
      <c r="C23" s="15" t="n">
        <f aca="false">'1. KTHH L4'!C32</f>
        <v>414.75</v>
      </c>
      <c r="D23" s="13" t="n">
        <f aca="false">'1. KTHH L4'!Q32</f>
        <v>20</v>
      </c>
      <c r="E23" s="42" t="n">
        <f aca="false">Chạy!E98+Chạy!E102</f>
        <v>3.12</v>
      </c>
      <c r="F23" s="43" t="n">
        <f aca="false">(E23+E24)*D23/2</f>
        <v>62.4</v>
      </c>
      <c r="G23" s="44"/>
      <c r="H23" s="54"/>
      <c r="I23" s="69"/>
    </row>
    <row r="24" s="41" customFormat="true" ht="15" hidden="false" customHeight="true" outlineLevel="0" collapsed="false">
      <c r="A24" s="13" t="n">
        <v>14</v>
      </c>
      <c r="B24" s="14" t="str">
        <f aca="false">'1. KTHH L4'!B33</f>
        <v>22</v>
      </c>
      <c r="C24" s="15" t="n">
        <f aca="false">'1. KTHH L4'!C33</f>
        <v>434.75</v>
      </c>
      <c r="D24" s="13" t="n">
        <f aca="false">'1. KTHH L4'!Q33</f>
        <v>20</v>
      </c>
      <c r="E24" s="42" t="n">
        <f aca="false">Chạy!E106+Chạy!E110</f>
        <v>3.12</v>
      </c>
      <c r="F24" s="43" t="n">
        <f aca="false">(E24+E25)*D24/2</f>
        <v>62.4</v>
      </c>
      <c r="G24" s="44"/>
      <c r="H24" s="54"/>
      <c r="I24" s="69"/>
    </row>
    <row r="25" s="41" customFormat="true" ht="15" hidden="false" customHeight="true" outlineLevel="0" collapsed="false">
      <c r="A25" s="13" t="n">
        <v>15</v>
      </c>
      <c r="B25" s="14" t="str">
        <f aca="false">'1. KTHH L4'!B34</f>
        <v>23</v>
      </c>
      <c r="C25" s="15" t="n">
        <f aca="false">'1. KTHH L4'!C34</f>
        <v>454.75</v>
      </c>
      <c r="D25" s="13" t="n">
        <f aca="false">'1. KTHH L4'!Q34</f>
        <v>20</v>
      </c>
      <c r="E25" s="42" t="n">
        <f aca="false">Chạy!E114+Chạy!E118</f>
        <v>3.12</v>
      </c>
      <c r="F25" s="43" t="n">
        <f aca="false">(E25+E26)*D25/2</f>
        <v>62.4</v>
      </c>
      <c r="G25" s="44"/>
      <c r="H25" s="54"/>
      <c r="I25" s="69"/>
    </row>
    <row r="26" s="41" customFormat="true" ht="15" hidden="false" customHeight="true" outlineLevel="0" collapsed="false">
      <c r="A26" s="13" t="n">
        <v>16</v>
      </c>
      <c r="B26" s="14" t="str">
        <f aca="false">'1. KTHH L4'!B35</f>
        <v>24</v>
      </c>
      <c r="C26" s="15" t="n">
        <f aca="false">'1. KTHH L4'!C35</f>
        <v>474.75</v>
      </c>
      <c r="D26" s="13" t="n">
        <f aca="false">'1. KTHH L4'!Q35</f>
        <v>14.44</v>
      </c>
      <c r="E26" s="42" t="n">
        <f aca="false">Chạy!E122+Chạy!E126</f>
        <v>3.12</v>
      </c>
      <c r="F26" s="43" t="n">
        <f aca="false">(E26+E27)*D26/2</f>
        <v>45.0528</v>
      </c>
      <c r="G26" s="44"/>
      <c r="H26" s="54"/>
      <c r="I26" s="69"/>
    </row>
    <row r="27" s="41" customFormat="true" ht="15" hidden="false" customHeight="true" outlineLevel="0" collapsed="false">
      <c r="A27" s="13" t="n">
        <v>17</v>
      </c>
      <c r="B27" s="14" t="str">
        <f aca="false">'1. KTHH L4'!B36</f>
        <v>25</v>
      </c>
      <c r="C27" s="15" t="n">
        <f aca="false">'1. KTHH L4'!C36</f>
        <v>489.19</v>
      </c>
      <c r="D27" s="13" t="n">
        <f aca="false">'1. KTHH L4'!Q36</f>
        <v>13.17</v>
      </c>
      <c r="E27" s="42" t="n">
        <f aca="false">Chạy!E130+Chạy!E134</f>
        <v>3.12</v>
      </c>
      <c r="F27" s="43" t="n">
        <f aca="false">(E27+E28)*D27/2</f>
        <v>41.0904</v>
      </c>
      <c r="G27" s="44"/>
      <c r="H27" s="54"/>
      <c r="I27" s="69"/>
    </row>
    <row r="28" s="41" customFormat="true" ht="15" hidden="false" customHeight="true" outlineLevel="0" collapsed="false">
      <c r="A28" s="13" t="n">
        <v>18</v>
      </c>
      <c r="B28" s="14" t="str">
        <f aca="false">'1. KTHH L4'!B37</f>
        <v>D1</v>
      </c>
      <c r="C28" s="15" t="n">
        <f aca="false">'1. KTHH L4'!C37</f>
        <v>502.36</v>
      </c>
      <c r="D28" s="13" t="n">
        <f aca="false">'1. KTHH L4'!Q37</f>
        <v>10.48</v>
      </c>
      <c r="E28" s="42" t="n">
        <f aca="false">Chạy!E138+Chạy!E142</f>
        <v>3.12</v>
      </c>
      <c r="F28" s="43" t="n">
        <f aca="false">(E28+E29)*D28/2</f>
        <v>32.6976</v>
      </c>
      <c r="G28" s="44"/>
      <c r="H28" s="54"/>
      <c r="I28" s="69"/>
    </row>
    <row r="29" s="41" customFormat="true" ht="15" hidden="false" customHeight="true" outlineLevel="0" collapsed="false">
      <c r="A29" s="13" t="n">
        <v>19</v>
      </c>
      <c r="B29" s="14" t="str">
        <f aca="false">'1. KTHH L4'!B38</f>
        <v>26</v>
      </c>
      <c r="C29" s="15" t="n">
        <f aca="false">'1. KTHH L4'!C38</f>
        <v>512.84</v>
      </c>
      <c r="D29" s="13" t="n">
        <f aca="false">'1. KTHH L4'!Q38</f>
        <v>16.78</v>
      </c>
      <c r="E29" s="42" t="n">
        <f aca="false">Chạy!E146+Chạy!E150</f>
        <v>3.12</v>
      </c>
      <c r="F29" s="43" t="n">
        <f aca="false">(E29+E30)*D29/2</f>
        <v>52.3536</v>
      </c>
      <c r="G29" s="44"/>
      <c r="H29" s="54"/>
      <c r="I29" s="69"/>
    </row>
    <row r="30" s="41" customFormat="true" ht="15" hidden="false" customHeight="true" outlineLevel="0" collapsed="false">
      <c r="A30" s="13" t="n">
        <v>20</v>
      </c>
      <c r="B30" s="14" t="str">
        <f aca="false">'1. KTHH L4'!B39</f>
        <v>27</v>
      </c>
      <c r="C30" s="15" t="n">
        <f aca="false">'1. KTHH L4'!C39</f>
        <v>529.62</v>
      </c>
      <c r="D30" s="13" t="n">
        <f aca="false">'1. KTHH L4'!Q39</f>
        <v>17.1</v>
      </c>
      <c r="E30" s="42" t="n">
        <f aca="false">Chạy!E154+Chạy!E158</f>
        <v>3.12</v>
      </c>
      <c r="F30" s="43" t="n">
        <f aca="false">(E30+E31)*D30/2</f>
        <v>53.352</v>
      </c>
      <c r="G30" s="44"/>
      <c r="H30" s="54"/>
      <c r="I30" s="69"/>
    </row>
    <row r="31" s="41" customFormat="true" ht="15" hidden="false" customHeight="true" outlineLevel="0" collapsed="false">
      <c r="A31" s="13" t="n">
        <v>21</v>
      </c>
      <c r="B31" s="14" t="str">
        <f aca="false">'1. KTHH L4'!B40</f>
        <v>28</v>
      </c>
      <c r="C31" s="15" t="n">
        <f aca="false">'1. KTHH L4'!C40</f>
        <v>546.72</v>
      </c>
      <c r="D31" s="13" t="n">
        <f aca="false">'1. KTHH L4'!Q40</f>
        <v>15.15</v>
      </c>
      <c r="E31" s="42" t="n">
        <f aca="false">Chạy!E162+Chạy!E166</f>
        <v>3.12</v>
      </c>
      <c r="F31" s="43" t="n">
        <f aca="false">(E31+E32)*D31/2</f>
        <v>47.268</v>
      </c>
      <c r="G31" s="44"/>
      <c r="H31" s="54"/>
      <c r="I31" s="69"/>
    </row>
    <row r="32" s="41" customFormat="true" ht="15" hidden="false" customHeight="true" outlineLevel="0" collapsed="false">
      <c r="A32" s="13" t="n">
        <v>22</v>
      </c>
      <c r="B32" s="14" t="str">
        <f aca="false">'1. KTHH L4'!B41</f>
        <v>E5</v>
      </c>
      <c r="C32" s="15" t="n">
        <f aca="false">'1. KTHH L4'!C41</f>
        <v>561.87</v>
      </c>
      <c r="D32" s="13" t="n">
        <f aca="false">'1. KTHH L4'!Q41</f>
        <v>0.15</v>
      </c>
      <c r="E32" s="42" t="n">
        <f aca="false">Chạy!E170+Chạy!E174</f>
        <v>3.12</v>
      </c>
      <c r="F32" s="43" t="n">
        <f aca="false">(E32+E33)*D32/2</f>
        <v>0.468</v>
      </c>
      <c r="G32" s="44"/>
      <c r="H32" s="54"/>
      <c r="I32" s="69"/>
    </row>
    <row r="33" s="41" customFormat="true" ht="15" hidden="false" customHeight="true" outlineLevel="0" collapsed="false">
      <c r="A33" s="13" t="n">
        <v>23</v>
      </c>
      <c r="B33" s="14" t="str">
        <f aca="false">'1. KTHH L4'!B42</f>
        <v>TD</v>
      </c>
      <c r="C33" s="15" t="n">
        <f aca="false">'1. KTHH L4'!C42</f>
        <v>562.02</v>
      </c>
      <c r="D33" s="13" t="n">
        <f aca="false">'1. KTHH L4'!Q42</f>
        <v>6.55</v>
      </c>
      <c r="E33" s="42" t="n">
        <f aca="false">Chạy!E178+Chạy!E182</f>
        <v>3.12</v>
      </c>
      <c r="F33" s="43" t="n">
        <f aca="false">(E33+E34)*D33/2</f>
        <v>20.436</v>
      </c>
      <c r="G33" s="44"/>
      <c r="H33" s="54"/>
      <c r="I33" s="69"/>
    </row>
    <row r="34" s="41" customFormat="true" ht="15" hidden="false" customHeight="true" outlineLevel="0" collapsed="false">
      <c r="A34" s="13" t="n">
        <v>24</v>
      </c>
      <c r="B34" s="14" t="str">
        <f aca="false">'1. KTHH L4'!B43</f>
        <v>P</v>
      </c>
      <c r="C34" s="15" t="n">
        <f aca="false">'1. KTHH L4'!C43</f>
        <v>568.57</v>
      </c>
      <c r="D34" s="13" t="n">
        <f aca="false">'1. KTHH L4'!Q43</f>
        <v>6.55</v>
      </c>
      <c r="E34" s="42" t="n">
        <f aca="false">Chạy!E186+Chạy!E190</f>
        <v>3.12</v>
      </c>
      <c r="F34" s="43" t="n">
        <f aca="false">(E34+E35)*D34/2</f>
        <v>20.436</v>
      </c>
      <c r="G34" s="44"/>
      <c r="H34" s="54"/>
      <c r="I34" s="69"/>
    </row>
    <row r="35" s="41" customFormat="true" ht="15" hidden="false" customHeight="true" outlineLevel="0" collapsed="false">
      <c r="A35" s="13" t="n">
        <v>25</v>
      </c>
      <c r="B35" s="14" t="str">
        <f aca="false">'1. KTHH L4'!B44</f>
        <v>TC</v>
      </c>
      <c r="C35" s="15" t="n">
        <f aca="false">'1. KTHH L4'!C44</f>
        <v>575.12</v>
      </c>
      <c r="D35" s="13" t="n">
        <f aca="false">'1. KTHH L4'!Q44</f>
        <v>0.04</v>
      </c>
      <c r="E35" s="42" t="n">
        <f aca="false">Chạy!E194+Chạy!E198</f>
        <v>3.12</v>
      </c>
      <c r="F35" s="43" t="n">
        <f aca="false">(E35+E36)*D35/2</f>
        <v>0.1248</v>
      </c>
      <c r="G35" s="44"/>
      <c r="H35" s="54"/>
      <c r="I35" s="69"/>
    </row>
    <row r="36" s="41" customFormat="true" ht="15" hidden="false" customHeight="true" outlineLevel="0" collapsed="false">
      <c r="A36" s="13" t="n">
        <v>26</v>
      </c>
      <c r="B36" s="14" t="str">
        <f aca="false">'1. KTHH L4'!B45</f>
        <v>29</v>
      </c>
      <c r="C36" s="15" t="n">
        <f aca="false">'1. KTHH L4'!C45</f>
        <v>575.16</v>
      </c>
      <c r="D36" s="13" t="n">
        <f aca="false">'1. KTHH L4'!Q45</f>
        <v>16.95</v>
      </c>
      <c r="E36" s="42" t="n">
        <f aca="false">Chạy!E202+Chạy!E206</f>
        <v>3.12</v>
      </c>
      <c r="F36" s="43" t="n">
        <f aca="false">(E36+E37)*D36/2</f>
        <v>52.884</v>
      </c>
      <c r="G36" s="44"/>
      <c r="H36" s="54"/>
      <c r="I36" s="69"/>
    </row>
    <row r="37" s="41" customFormat="true" ht="15" hidden="false" customHeight="true" outlineLevel="0" collapsed="false">
      <c r="A37" s="13" t="n">
        <v>27</v>
      </c>
      <c r="B37" s="14" t="str">
        <f aca="false">'1. KTHH L4'!B46</f>
        <v>30</v>
      </c>
      <c r="C37" s="15" t="n">
        <f aca="false">'1. KTHH L4'!C46</f>
        <v>592.11</v>
      </c>
      <c r="D37" s="13" t="n">
        <f aca="false">'1. KTHH L4'!Q46</f>
        <v>17</v>
      </c>
      <c r="E37" s="42" t="n">
        <f aca="false">Chạy!E210+Chạy!E214</f>
        <v>3.12</v>
      </c>
      <c r="F37" s="43" t="n">
        <f aca="false">(E37+E38)*D37/2</f>
        <v>53.04</v>
      </c>
      <c r="G37" s="44"/>
      <c r="H37" s="54"/>
      <c r="I37" s="69"/>
    </row>
    <row r="38" s="41" customFormat="true" ht="15" hidden="false" customHeight="true" outlineLevel="0" collapsed="false">
      <c r="A38" s="13" t="n">
        <v>28</v>
      </c>
      <c r="B38" s="14" t="str">
        <f aca="false">'1. KTHH L4'!B47</f>
        <v>31</v>
      </c>
      <c r="C38" s="15" t="n">
        <f aca="false">'1. KTHH L4'!C47</f>
        <v>609.11</v>
      </c>
      <c r="D38" s="13" t="n">
        <f aca="false">'1. KTHH L4'!Q47</f>
        <v>11.75</v>
      </c>
      <c r="E38" s="42" t="n">
        <f aca="false">Chạy!E218+Chạy!E222</f>
        <v>3.12</v>
      </c>
      <c r="F38" s="43" t="n">
        <f aca="false">(E38+E39)*D38/2</f>
        <v>36.66</v>
      </c>
      <c r="G38" s="44"/>
      <c r="H38" s="54"/>
      <c r="I38" s="69"/>
    </row>
    <row r="39" s="41" customFormat="true" ht="15" hidden="false" customHeight="true" outlineLevel="0" collapsed="false">
      <c r="A39" s="13" t="n">
        <v>29</v>
      </c>
      <c r="B39" s="14" t="str">
        <f aca="false">'1. KTHH L4'!B48</f>
        <v>E10</v>
      </c>
      <c r="C39" s="15" t="n">
        <f aca="false">'1. KTHH L4'!C48</f>
        <v>620.86</v>
      </c>
      <c r="D39" s="13" t="n">
        <f aca="false">'1. KTHH L4'!Q48</f>
        <v>11.75</v>
      </c>
      <c r="E39" s="42" t="n">
        <f aca="false">Chạy!E226+Chạy!E230</f>
        <v>3.12</v>
      </c>
      <c r="F39" s="43" t="n">
        <f aca="false">(E39+E40)*D39/2</f>
        <v>36.66</v>
      </c>
      <c r="G39" s="44"/>
      <c r="H39" s="54"/>
      <c r="I39" s="69"/>
    </row>
    <row r="40" s="41" customFormat="true" ht="15" hidden="false" customHeight="true" outlineLevel="0" collapsed="false">
      <c r="A40" s="13" t="n">
        <v>30</v>
      </c>
      <c r="B40" s="14" t="str">
        <f aca="false">'1. KTHH L4'!B49</f>
        <v>32</v>
      </c>
      <c r="C40" s="15" t="n">
        <f aca="false">'1. KTHH L4'!C49</f>
        <v>632.61</v>
      </c>
      <c r="D40" s="13" t="n">
        <f aca="false">'1. KTHH L4'!Q49</f>
        <v>20</v>
      </c>
      <c r="E40" s="42" t="n">
        <f aca="false">Chạy!E234+Chạy!E238</f>
        <v>3.12</v>
      </c>
      <c r="F40" s="43" t="n">
        <f aca="false">(E40+E41)*D40/2</f>
        <v>62.4</v>
      </c>
      <c r="G40" s="44"/>
      <c r="H40" s="54"/>
      <c r="I40" s="69"/>
    </row>
    <row r="41" s="41" customFormat="true" ht="15" hidden="false" customHeight="true" outlineLevel="0" collapsed="false">
      <c r="A41" s="13" t="n">
        <v>31</v>
      </c>
      <c r="B41" s="14" t="str">
        <f aca="false">'1. KTHH L4'!B50</f>
        <v>33</v>
      </c>
      <c r="C41" s="15" t="n">
        <f aca="false">'1. KTHH L4'!C50</f>
        <v>652.61</v>
      </c>
      <c r="D41" s="13" t="n">
        <f aca="false">'1. KTHH L4'!Q50</f>
        <v>20</v>
      </c>
      <c r="E41" s="42" t="n">
        <f aca="false">Chạy!E242+Chạy!E246</f>
        <v>3.12</v>
      </c>
      <c r="F41" s="43" t="n">
        <f aca="false">(E41+E42)*D41/2</f>
        <v>62.4</v>
      </c>
      <c r="G41" s="44"/>
      <c r="H41" s="54"/>
      <c r="I41" s="69"/>
    </row>
    <row r="42" s="41" customFormat="true" ht="15" hidden="false" customHeight="true" outlineLevel="0" collapsed="false">
      <c r="A42" s="13" t="n">
        <v>32</v>
      </c>
      <c r="B42" s="14" t="str">
        <f aca="false">'1. KTHH L4'!B51</f>
        <v>34</v>
      </c>
      <c r="C42" s="15" t="n">
        <f aca="false">'1. KTHH L4'!C51</f>
        <v>672.61</v>
      </c>
      <c r="D42" s="13" t="n">
        <f aca="false">'1. KTHH L4'!Q51</f>
        <v>20</v>
      </c>
      <c r="E42" s="42" t="n">
        <f aca="false">Chạy!E250+Chạy!E254</f>
        <v>3.12</v>
      </c>
      <c r="F42" s="43" t="n">
        <f aca="false">(E42+E43)*D42/2</f>
        <v>62.4</v>
      </c>
      <c r="G42" s="44"/>
      <c r="H42" s="54"/>
      <c r="I42" s="69"/>
    </row>
    <row r="43" s="41" customFormat="true" ht="15" hidden="false" customHeight="true" outlineLevel="0" collapsed="false">
      <c r="A43" s="13" t="n">
        <v>33</v>
      </c>
      <c r="B43" s="14" t="str">
        <f aca="false">'1. KTHH L4'!B52</f>
        <v>35</v>
      </c>
      <c r="C43" s="15" t="n">
        <f aca="false">'1. KTHH L4'!C52</f>
        <v>692.61</v>
      </c>
      <c r="D43" s="13" t="n">
        <f aca="false">'1. KTHH L4'!Q52</f>
        <v>20</v>
      </c>
      <c r="E43" s="42" t="n">
        <f aca="false">Chạy!E258+Chạy!E262</f>
        <v>3.12</v>
      </c>
      <c r="F43" s="43" t="n">
        <f aca="false">(E43+E44)*D43/2</f>
        <v>62.4</v>
      </c>
      <c r="G43" s="44"/>
      <c r="H43" s="54"/>
      <c r="I43" s="69"/>
    </row>
    <row r="44" s="41" customFormat="true" ht="15" hidden="false" customHeight="true" outlineLevel="0" collapsed="false">
      <c r="A44" s="13" t="n">
        <v>34</v>
      </c>
      <c r="B44" s="14" t="str">
        <f aca="false">'1. KTHH L4'!B53</f>
        <v>36</v>
      </c>
      <c r="C44" s="15" t="n">
        <f aca="false">'1. KTHH L4'!C53</f>
        <v>712.61</v>
      </c>
      <c r="D44" s="13" t="n">
        <f aca="false">'1. KTHH L4'!Q53</f>
        <v>11.5</v>
      </c>
      <c r="E44" s="42" t="n">
        <f aca="false">Chạy!E266+Chạy!E270</f>
        <v>3.12</v>
      </c>
      <c r="F44" s="43" t="n">
        <f aca="false">(E44+E45)*D44/2</f>
        <v>35.88</v>
      </c>
      <c r="G44" s="44"/>
      <c r="H44" s="54"/>
      <c r="I44" s="69"/>
    </row>
    <row r="45" s="41" customFormat="true" ht="15" hidden="false" customHeight="true" outlineLevel="0" collapsed="false">
      <c r="A45" s="13" t="n">
        <v>35</v>
      </c>
      <c r="B45" s="14" t="str">
        <f aca="false">'1. KTHH L4'!B54</f>
        <v>37</v>
      </c>
      <c r="C45" s="15" t="n">
        <f aca="false">'1. KTHH L4'!C54</f>
        <v>724.11</v>
      </c>
      <c r="D45" s="13" t="n">
        <f aca="false">'1. KTHH L4'!Q54</f>
        <v>13.25</v>
      </c>
      <c r="E45" s="42" t="n">
        <f aca="false">Chạy!E274+Chạy!E278</f>
        <v>3.12</v>
      </c>
      <c r="F45" s="43" t="n">
        <f aca="false">(E45+E46)*D45/2</f>
        <v>41.34</v>
      </c>
      <c r="G45" s="44"/>
      <c r="H45" s="54"/>
      <c r="I45" s="69"/>
    </row>
    <row r="46" s="41" customFormat="true" ht="15" hidden="false" customHeight="true" outlineLevel="0" collapsed="false">
      <c r="A46" s="13" t="n">
        <v>36</v>
      </c>
      <c r="B46" s="14" t="str">
        <f aca="false">'1. KTHH L4'!B55</f>
        <v>G6</v>
      </c>
      <c r="C46" s="15" t="n">
        <f aca="false">'1. KTHH L4'!C55</f>
        <v>737.36</v>
      </c>
      <c r="D46" s="13"/>
      <c r="E46" s="42" t="n">
        <f aca="false">Chạy!E282+Chạy!E286</f>
        <v>3.12</v>
      </c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81</v>
      </c>
      <c r="B49" s="36"/>
      <c r="C49" s="36"/>
      <c r="D49" s="36"/>
      <c r="E49" s="47"/>
      <c r="F49" s="48" t="n">
        <f aca="false">SUM(F11:F46)</f>
        <v>1642.2432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73</v>
      </c>
      <c r="B51" s="19"/>
      <c r="C51" s="19"/>
      <c r="D51" s="57" t="s">
        <v>82</v>
      </c>
      <c r="E51" s="19" t="s">
        <v>74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75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2026-10-13T06:36:36Z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