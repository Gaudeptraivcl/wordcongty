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definedNames>
    <definedName function="false" hidden="false" localSheetId="2" name="_xlnm.Print_Area" vbProcedure="false">'1.KL lớp 1'!$A$1:$AB$60</definedName>
    <definedName function="false" hidden="false" localSheetId="1" name="_xlnm.Print_Area" vbProcedure="false">'1.KTHH L1'!$A$1:$S$71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2'!$A$1:$AB$60</definedName>
    <definedName function="false" hidden="false" localSheetId="3" name="_xlnm.Print_Area" vbProcedure="false">'2.KTHH L2'!$A$1:$S$71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3'!$A$1:$AB$45</definedName>
    <definedName function="false" hidden="false" localSheetId="5" name="_xlnm.Print_Area" vbProcedure="false">'3.KTHH L3'!$A$1:$S$55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4'!$A$1:$AB$45</definedName>
    <definedName function="false" hidden="false" localSheetId="7" name="_xlnm.Print_Area" vbProcedure="false">'4.KTHH L4'!$A$1:$S$56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<sst xmlns="http://schemas.openxmlformats.org/spreadsheetml/2006/main" count="333" uniqueCount="69">
  <si>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</si>
  <si>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</si>
  <si>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</si>
  <si>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</si>
  <si>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</si>
  <si>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</si>
  <si>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</si>
  <si>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</si>
  <si>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</si>
  <si>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</si>
  <si>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</si>
  <si>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</si>
  <si>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</si>
  <si>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</si>
  <si>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</si>
  <si>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</si>
  <si>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</si>
  <si>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25</t>
  </si>
  <si>
    <t xml:space="preserve">D1</t>
  </si>
  <si>
    <t xml:space="preserve">26</t>
  </si>
  <si>
    <t xml:space="preserve">27</t>
  </si>
  <si>
    <t xml:space="preserve">28</t>
  </si>
  <si>
    <t xml:space="preserve">E5</t>
  </si>
  <si>
    <t xml:space="preserve">TD</t>
  </si>
  <si>
    <t xml:space="preserve">P</t>
  </si>
  <si>
    <t xml:space="preserve">29</t>
  </si>
  <si>
    <t xml:space="preserve">30</t>
  </si>
  <si>
    <t xml:space="preserve">31</t>
  </si>
  <si>
    <t xml:space="preserve">PHỤ LỤC KIỂM TRA CAO ĐỘ, KÍCH THƯỚC HÌNH HỌC ĐẮP CÁT</t>
  </si>
  <si>
    <t xml:space="preserve">Kèm theo BBNT số: 60.NĐXD8/CVXD ngày 14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</si>
  <si>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</si>
  <si>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</si>
  <si>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</si>
  <si>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</si>
  <si>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</si>
  <si>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cát nền đường lớp 1 đoạn từ Km0+489,19 - Km0+609,11,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</si>
  <si>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</si>
  <si>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</si>
  <si>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</si>
  <si>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</si>
  <si>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</si>
  <si>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</si>
  <si>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</si>
  <si>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</si>
  <si>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</si>
  <si>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</si>
  <si>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</si>
  <si>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</si>
  <si>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</si>
  <si>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</si>
  <si>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</si>
  <si>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</si>
  <si>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</si>
  <si>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</si>
  <si>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</si>
  <si>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</si>
  <si>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</si>
  <si>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</si>
  <si>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</si>
  <si>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</si>
  <si>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</si>
  <si>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</si>
  <si>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</si>
  <si>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61.NĐXD8/CVXD ngày 15 tháng 09 năm 2026</t>
  </si>
  <si>
    <t xml:space="preserve">Đắp cát nền đường lớp 2 đoạn từ Km0+489,19 - Km0+609,11, độ chặt K&gt;=0,95</t>
  </si>
  <si>
    <t xml:space="preserve">Kèm theo BBNT số: 62.NĐXD8/CVXD ngày 15 tháng 09 năm 2026</t>
  </si>
  <si>
    <t xml:space="preserve">Đắp cát nền đường lớp 3 đoạn từ Km0+489,19 - Km0+609,11, độ chặt K&gt;=0,95</t>
  </si>
  <si>
    <t xml:space="preserve">Kèm theo BBNT số: 63.NĐXD8/CVXD ngày 16 tháng 09 năm 2026</t>
  </si>
  <si>
    <t xml:space="preserve">Đắp cát nền đường lớp 4 đoạn từ Km0+489,19 - Km0+609,11,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</si>
</sst>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1.53"/>
    <col collapsed="false" customWidth="true" hidden="true" outlineLevel="0" max="13" min="12" style="1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489.19</v>
      </c>
      <c r="D2" s="0" t="n">
        <v>4</v>
      </c>
      <c r="E2" s="0" t="n">
        <v>4.62</v>
      </c>
      <c r="F2" s="0" t="n">
        <v>-9.45</v>
      </c>
      <c r="G2" s="0" t="n">
        <v>-0.45</v>
      </c>
      <c r="H2" s="1" t="n">
        <v>0</v>
      </c>
      <c r="I2" s="1" t="n">
        <v>-0.45</v>
      </c>
      <c r="J2" s="0" t="n">
        <v>0</v>
      </c>
      <c r="K2" s="0" t="n">
        <v>-0.45</v>
      </c>
      <c r="L2" s="1" t="n">
        <v>0</v>
      </c>
      <c r="M2" s="1" t="n">
        <v>-0.45</v>
      </c>
      <c r="N2" s="0" t="n">
        <v>6.25</v>
      </c>
      <c r="O2" s="0" t="n">
        <v>-0.45</v>
      </c>
      <c r="P2" s="0" t="n">
        <v>14.7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4.44</v>
      </c>
      <c r="F3" s="0" t="n">
        <v>-9.15</v>
      </c>
      <c r="G3" s="0" t="n">
        <v>-0.75</v>
      </c>
      <c r="H3" s="1" t="n">
        <v>0</v>
      </c>
      <c r="I3" s="1" t="n">
        <v>-0.75</v>
      </c>
      <c r="J3" s="0" t="n">
        <v>0</v>
      </c>
      <c r="K3" s="0" t="n">
        <v>-0.75</v>
      </c>
      <c r="L3" s="1" t="n">
        <v>0</v>
      </c>
      <c r="M3" s="1" t="n">
        <v>-0.75</v>
      </c>
      <c r="N3" s="0" t="n">
        <v>5.95</v>
      </c>
      <c r="O3" s="0" t="n">
        <v>-0.75</v>
      </c>
    </row>
    <row r="4" customFormat="false" ht="15" hidden="false" customHeight="false" outlineLevel="0" collapsed="false">
      <c r="D4" s="0" t="n">
        <v>2</v>
      </c>
      <c r="E4" s="0" t="n">
        <v>4.26</v>
      </c>
      <c r="F4" s="0" t="n">
        <v>-8.85</v>
      </c>
      <c r="G4" s="0" t="n">
        <v>-1.05</v>
      </c>
      <c r="H4" s="1" t="n">
        <v>0</v>
      </c>
      <c r="I4" s="1" t="n">
        <v>-1.05</v>
      </c>
      <c r="J4" s="0" t="n">
        <v>0</v>
      </c>
      <c r="K4" s="0" t="n">
        <v>-1.05</v>
      </c>
      <c r="L4" s="1" t="n">
        <v>0</v>
      </c>
      <c r="M4" s="1" t="n">
        <v>-1.05</v>
      </c>
      <c r="N4" s="0" t="n">
        <v>5.65</v>
      </c>
      <c r="O4" s="0" t="n">
        <v>-1.05</v>
      </c>
    </row>
    <row r="5" customFormat="false" ht="15" hidden="false" customHeight="false" outlineLevel="0" collapsed="false">
      <c r="D5" s="0" t="n">
        <v>1</v>
      </c>
      <c r="E5" s="0" t="n">
        <v>1.38</v>
      </c>
      <c r="F5" s="0" t="n">
        <v>-8.55</v>
      </c>
      <c r="G5" s="0" t="n">
        <v>-1.35</v>
      </c>
      <c r="H5" s="1" t="n">
        <v>0</v>
      </c>
      <c r="I5" s="1" t="n">
        <v>-1.35</v>
      </c>
      <c r="J5" s="0" t="n">
        <v>0</v>
      </c>
      <c r="K5" s="0" t="n">
        <v>-1.35</v>
      </c>
      <c r="L5" s="1" t="n">
        <v>0</v>
      </c>
      <c r="M5" s="1" t="n">
        <v>-1.35</v>
      </c>
      <c r="N5" s="0" t="n">
        <v>5.35</v>
      </c>
      <c r="O5" s="0" t="n">
        <v>-1.35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502.36</v>
      </c>
      <c r="D6" s="0" t="n">
        <v>4</v>
      </c>
      <c r="E6" s="0" t="n">
        <v>6.16</v>
      </c>
      <c r="F6" s="0" t="n">
        <v>-10.47</v>
      </c>
      <c r="G6" s="0" t="n">
        <v>-0.45</v>
      </c>
      <c r="H6" s="1" t="n">
        <v>0</v>
      </c>
      <c r="I6" s="1" t="n">
        <v>-0.45</v>
      </c>
      <c r="J6" s="0" t="n">
        <v>0</v>
      </c>
      <c r="K6" s="0" t="n">
        <v>-0.45</v>
      </c>
      <c r="L6" s="1" t="n">
        <v>0</v>
      </c>
      <c r="M6" s="1" t="n">
        <v>-0.45</v>
      </c>
      <c r="N6" s="0" t="n">
        <v>10.37</v>
      </c>
      <c r="O6" s="0" t="n">
        <v>-0.45</v>
      </c>
      <c r="P6" s="0" t="n">
        <v>19.84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5.98</v>
      </c>
      <c r="F7" s="0" t="n">
        <v>-10.17</v>
      </c>
      <c r="G7" s="0" t="n">
        <v>-0.75</v>
      </c>
      <c r="H7" s="1" t="n">
        <v>0</v>
      </c>
      <c r="I7" s="1" t="n">
        <v>-0.75</v>
      </c>
      <c r="J7" s="0" t="n">
        <v>0</v>
      </c>
      <c r="K7" s="0" t="n">
        <v>-0.75</v>
      </c>
      <c r="L7" s="1" t="n">
        <v>0</v>
      </c>
      <c r="M7" s="1" t="n">
        <v>-0.75</v>
      </c>
      <c r="N7" s="0" t="n">
        <v>10.07</v>
      </c>
      <c r="O7" s="0" t="n">
        <v>-0.75</v>
      </c>
    </row>
    <row r="8" customFormat="false" ht="15" hidden="false" customHeight="false" outlineLevel="0" collapsed="false">
      <c r="D8" s="0" t="n">
        <v>2</v>
      </c>
      <c r="E8" s="0" t="n">
        <v>5.8</v>
      </c>
      <c r="F8" s="0" t="n">
        <v>-9.87</v>
      </c>
      <c r="G8" s="0" t="n">
        <v>-1.05</v>
      </c>
      <c r="H8" s="1" t="n">
        <v>0</v>
      </c>
      <c r="I8" s="1" t="n">
        <v>-1.05</v>
      </c>
      <c r="J8" s="0" t="n">
        <v>0</v>
      </c>
      <c r="K8" s="0" t="n">
        <v>-1.05</v>
      </c>
      <c r="L8" s="1" t="n">
        <v>0</v>
      </c>
      <c r="M8" s="1" t="n">
        <v>-1.05</v>
      </c>
      <c r="N8" s="0" t="n">
        <v>9.77</v>
      </c>
      <c r="O8" s="0" t="n">
        <v>-1.05</v>
      </c>
    </row>
    <row r="9" customFormat="false" ht="15" hidden="false" customHeight="false" outlineLevel="0" collapsed="false">
      <c r="D9" s="0" t="n">
        <v>1</v>
      </c>
      <c r="E9" s="0" t="n">
        <v>1.89</v>
      </c>
      <c r="F9" s="0" t="n">
        <v>-9.57</v>
      </c>
      <c r="G9" s="0" t="n">
        <v>-1.35</v>
      </c>
      <c r="H9" s="1" t="n">
        <v>0</v>
      </c>
      <c r="I9" s="1" t="n">
        <v>-1.35</v>
      </c>
      <c r="J9" s="0" t="n">
        <v>0</v>
      </c>
      <c r="K9" s="0" t="n">
        <v>-1.35</v>
      </c>
      <c r="L9" s="1" t="n">
        <v>0</v>
      </c>
      <c r="M9" s="1" t="n">
        <v>-1.35</v>
      </c>
      <c r="N9" s="0" t="n">
        <v>9.47</v>
      </c>
      <c r="O9" s="0" t="n">
        <v>-1.35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512.84</v>
      </c>
      <c r="D10" s="0" t="n">
        <v>4</v>
      </c>
      <c r="E10" s="0" t="n">
        <v>5.97</v>
      </c>
      <c r="F10" s="0" t="n">
        <v>-9.91</v>
      </c>
      <c r="G10" s="0" t="n">
        <v>-0.45</v>
      </c>
      <c r="H10" s="1" t="n">
        <v>0</v>
      </c>
      <c r="I10" s="1" t="n">
        <v>-0.45</v>
      </c>
      <c r="J10" s="0" t="n">
        <v>0</v>
      </c>
      <c r="K10" s="0" t="n">
        <v>-0.45</v>
      </c>
      <c r="L10" s="1" t="n">
        <v>0</v>
      </c>
      <c r="M10" s="1" t="n">
        <v>-0.45</v>
      </c>
      <c r="N10" s="0" t="n">
        <v>10.28</v>
      </c>
      <c r="O10" s="0" t="n">
        <v>-0.45</v>
      </c>
      <c r="P10" s="0" t="n">
        <v>19.19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5.79</v>
      </c>
      <c r="F11" s="0" t="n">
        <v>-9.61</v>
      </c>
      <c r="G11" s="0" t="n">
        <v>-0.75</v>
      </c>
      <c r="H11" s="1" t="n">
        <v>0</v>
      </c>
      <c r="I11" s="1" t="n">
        <v>-0.75</v>
      </c>
      <c r="J11" s="0" t="n">
        <v>0</v>
      </c>
      <c r="K11" s="0" t="n">
        <v>-0.75</v>
      </c>
      <c r="L11" s="1" t="n">
        <v>0</v>
      </c>
      <c r="M11" s="1" t="n">
        <v>-0.75</v>
      </c>
      <c r="N11" s="0" t="n">
        <v>9.98</v>
      </c>
      <c r="O11" s="0" t="n">
        <v>-0.75</v>
      </c>
    </row>
    <row r="12" customFormat="false" ht="15" hidden="false" customHeight="false" outlineLevel="0" collapsed="false">
      <c r="D12" s="0" t="n">
        <v>2</v>
      </c>
      <c r="E12" s="0" t="n">
        <v>5.61</v>
      </c>
      <c r="F12" s="0" t="n">
        <v>-9.31</v>
      </c>
      <c r="G12" s="0" t="n">
        <v>-1.05</v>
      </c>
      <c r="H12" s="1" t="n">
        <v>0</v>
      </c>
      <c r="I12" s="1" t="n">
        <v>-1.05</v>
      </c>
      <c r="J12" s="0" t="n">
        <v>0</v>
      </c>
      <c r="K12" s="0" t="n">
        <v>-1.05</v>
      </c>
      <c r="L12" s="1" t="n">
        <v>0</v>
      </c>
      <c r="M12" s="1" t="n">
        <v>-1.05</v>
      </c>
      <c r="N12" s="0" t="n">
        <v>9.68</v>
      </c>
      <c r="O12" s="0" t="n">
        <v>-1.05</v>
      </c>
    </row>
    <row r="13" customFormat="false" ht="15" hidden="false" customHeight="false" outlineLevel="0" collapsed="false">
      <c r="D13" s="0" t="n">
        <v>1</v>
      </c>
      <c r="E13" s="0" t="n">
        <v>1.83</v>
      </c>
      <c r="F13" s="0" t="n">
        <v>-9.01</v>
      </c>
      <c r="G13" s="0" t="n">
        <v>-1.35</v>
      </c>
      <c r="H13" s="1" t="n">
        <v>0</v>
      </c>
      <c r="I13" s="1" t="n">
        <v>-1.35</v>
      </c>
      <c r="J13" s="0" t="n">
        <v>0</v>
      </c>
      <c r="K13" s="0" t="n">
        <v>-1.35</v>
      </c>
      <c r="L13" s="1" t="n">
        <v>0</v>
      </c>
      <c r="M13" s="1" t="n">
        <v>-1.35</v>
      </c>
      <c r="N13" s="0" t="n">
        <v>9.38</v>
      </c>
      <c r="O13" s="0" t="n">
        <v>-1.35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529.62</v>
      </c>
      <c r="D14" s="0" t="n">
        <v>4</v>
      </c>
      <c r="E14" s="0" t="n">
        <v>6.14</v>
      </c>
      <c r="F14" s="0" t="n">
        <v>-10.34</v>
      </c>
      <c r="G14" s="0" t="n">
        <v>-0.45</v>
      </c>
      <c r="H14" s="1" t="n">
        <v>0</v>
      </c>
      <c r="I14" s="1" t="n">
        <v>-0.45</v>
      </c>
      <c r="J14" s="0" t="n">
        <v>0</v>
      </c>
      <c r="K14" s="0" t="n">
        <v>-0.45</v>
      </c>
      <c r="L14" s="1" t="n">
        <v>0</v>
      </c>
      <c r="M14" s="1" t="n">
        <v>-0.45</v>
      </c>
      <c r="N14" s="0" t="n">
        <v>10.42</v>
      </c>
      <c r="O14" s="0" t="n">
        <v>-0.45</v>
      </c>
      <c r="P14" s="0" t="n">
        <v>19.77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5.96</v>
      </c>
      <c r="F15" s="0" t="n">
        <v>-10.04</v>
      </c>
      <c r="G15" s="0" t="n">
        <v>-0.75</v>
      </c>
      <c r="H15" s="1" t="n">
        <v>0</v>
      </c>
      <c r="I15" s="1" t="n">
        <v>-0.75</v>
      </c>
      <c r="J15" s="0" t="n">
        <v>0</v>
      </c>
      <c r="K15" s="0" t="n">
        <v>-0.75</v>
      </c>
      <c r="L15" s="1" t="n">
        <v>0</v>
      </c>
      <c r="M15" s="1" t="n">
        <v>-0.75</v>
      </c>
      <c r="N15" s="0" t="n">
        <v>10.12</v>
      </c>
      <c r="O15" s="0" t="n">
        <v>-0.75</v>
      </c>
    </row>
    <row r="16" customFormat="false" ht="15" hidden="false" customHeight="false" outlineLevel="0" collapsed="false">
      <c r="D16" s="0" t="n">
        <v>2</v>
      </c>
      <c r="E16" s="0" t="n">
        <v>5.78</v>
      </c>
      <c r="F16" s="0" t="n">
        <v>-9.74</v>
      </c>
      <c r="G16" s="0" t="n">
        <v>-1.05</v>
      </c>
      <c r="H16" s="1" t="n">
        <v>0</v>
      </c>
      <c r="I16" s="1" t="n">
        <v>-1.05</v>
      </c>
      <c r="J16" s="0" t="n">
        <v>0</v>
      </c>
      <c r="K16" s="0" t="n">
        <v>-1.05</v>
      </c>
      <c r="L16" s="1" t="n">
        <v>0</v>
      </c>
      <c r="M16" s="1" t="n">
        <v>-1.05</v>
      </c>
      <c r="N16" s="0" t="n">
        <v>9.82</v>
      </c>
      <c r="O16" s="0" t="n">
        <v>-1.05</v>
      </c>
    </row>
    <row r="17" customFormat="false" ht="15" hidden="false" customHeight="false" outlineLevel="0" collapsed="false">
      <c r="D17" s="0" t="n">
        <v>1</v>
      </c>
      <c r="E17" s="0" t="n">
        <v>1.89</v>
      </c>
      <c r="F17" s="0" t="n">
        <v>-9.44</v>
      </c>
      <c r="G17" s="0" t="n">
        <v>-1.35</v>
      </c>
      <c r="H17" s="1" t="n">
        <v>0</v>
      </c>
      <c r="I17" s="1" t="n">
        <v>-1.35</v>
      </c>
      <c r="J17" s="0" t="n">
        <v>0</v>
      </c>
      <c r="K17" s="0" t="n">
        <v>-1.35</v>
      </c>
      <c r="L17" s="1" t="n">
        <v>0</v>
      </c>
      <c r="M17" s="1" t="n">
        <v>-1.35</v>
      </c>
      <c r="N17" s="0" t="n">
        <v>9.52</v>
      </c>
      <c r="O17" s="0" t="n">
        <v>-1.35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546.72</v>
      </c>
      <c r="D18" s="0" t="n">
        <v>4</v>
      </c>
      <c r="E18" s="0" t="n">
        <v>4.63</v>
      </c>
      <c r="F18" s="0" t="n">
        <v>-6.25</v>
      </c>
      <c r="G18" s="0" t="n">
        <v>-0.45</v>
      </c>
      <c r="H18" s="1" t="n">
        <v>0</v>
      </c>
      <c r="I18" s="1" t="n">
        <v>-0.45</v>
      </c>
      <c r="J18" s="0" t="n">
        <v>0</v>
      </c>
      <c r="K18" s="0" t="n">
        <v>-0.45</v>
      </c>
      <c r="L18" s="1" t="n">
        <v>0</v>
      </c>
      <c r="M18" s="1" t="n">
        <v>-0.45</v>
      </c>
      <c r="N18" s="0" t="n">
        <v>9.49</v>
      </c>
      <c r="O18" s="0" t="n">
        <v>-0.45</v>
      </c>
      <c r="P18" s="0" t="n">
        <v>14.74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4.45</v>
      </c>
      <c r="F19" s="0" t="n">
        <v>-5.95</v>
      </c>
      <c r="G19" s="0" t="n">
        <v>-0.75</v>
      </c>
      <c r="H19" s="1" t="n">
        <v>0</v>
      </c>
      <c r="I19" s="1" t="n">
        <v>-0.75</v>
      </c>
      <c r="J19" s="0" t="n">
        <v>0</v>
      </c>
      <c r="K19" s="0" t="n">
        <v>-0.75</v>
      </c>
      <c r="L19" s="1" t="n">
        <v>0</v>
      </c>
      <c r="M19" s="1" t="n">
        <v>-0.75</v>
      </c>
      <c r="N19" s="0" t="n">
        <v>9.19</v>
      </c>
      <c r="O19" s="0" t="n">
        <v>-0.75</v>
      </c>
    </row>
    <row r="20" customFormat="false" ht="15" hidden="false" customHeight="false" outlineLevel="0" collapsed="false">
      <c r="D20" s="0" t="n">
        <v>2</v>
      </c>
      <c r="E20" s="0" t="n">
        <v>4.27</v>
      </c>
      <c r="F20" s="0" t="n">
        <v>-5.65</v>
      </c>
      <c r="G20" s="0" t="n">
        <v>-1.05</v>
      </c>
      <c r="H20" s="1" t="n">
        <v>0</v>
      </c>
      <c r="I20" s="1" t="n">
        <v>-1.05</v>
      </c>
      <c r="J20" s="0" t="n">
        <v>0</v>
      </c>
      <c r="K20" s="0" t="n">
        <v>-1.05</v>
      </c>
      <c r="L20" s="1" t="n">
        <v>0</v>
      </c>
      <c r="M20" s="1" t="n">
        <v>-1.05</v>
      </c>
      <c r="N20" s="0" t="n">
        <v>8.89</v>
      </c>
      <c r="O20" s="0" t="n">
        <v>-1.05</v>
      </c>
    </row>
    <row r="21" customFormat="false" ht="15" hidden="false" customHeight="false" outlineLevel="0" collapsed="false">
      <c r="D21" s="0" t="n">
        <v>1</v>
      </c>
      <c r="E21" s="0" t="n">
        <v>1.38</v>
      </c>
      <c r="F21" s="0" t="n">
        <v>-5.35</v>
      </c>
      <c r="G21" s="0" t="n">
        <v>-1.35</v>
      </c>
      <c r="H21" s="1" t="n">
        <v>0</v>
      </c>
      <c r="I21" s="1" t="n">
        <v>-1.35</v>
      </c>
      <c r="J21" s="0" t="n">
        <v>0</v>
      </c>
      <c r="K21" s="0" t="n">
        <v>-1.35</v>
      </c>
      <c r="L21" s="1" t="n">
        <v>0</v>
      </c>
      <c r="M21" s="1" t="n">
        <v>-1.35</v>
      </c>
      <c r="N21" s="0" t="n">
        <v>8.59</v>
      </c>
      <c r="O21" s="0" t="n">
        <v>-1.35</v>
      </c>
    </row>
    <row r="22" customFormat="false" ht="15" hidden="false" customHeight="false" outlineLevel="0" collapsed="false">
      <c r="A22" s="1" t="n">
        <v>6</v>
      </c>
      <c r="B22" s="1" t="s">
        <v>22</v>
      </c>
      <c r="C22" s="0" t="n">
        <v>561.87</v>
      </c>
      <c r="D22" s="0" t="n">
        <v>4</v>
      </c>
      <c r="E22" s="0" t="n">
        <v>5.94</v>
      </c>
      <c r="F22" s="0" t="n">
        <v>-9.99</v>
      </c>
      <c r="G22" s="0" t="n">
        <v>-0.45</v>
      </c>
      <c r="H22" s="1" t="n">
        <v>0</v>
      </c>
      <c r="I22" s="1" t="n">
        <v>-0.45</v>
      </c>
      <c r="J22" s="0" t="n">
        <v>0</v>
      </c>
      <c r="K22" s="0" t="n">
        <v>-0.45</v>
      </c>
      <c r="L22" s="1" t="n">
        <v>0</v>
      </c>
      <c r="M22" s="1" t="n">
        <v>-0.45</v>
      </c>
      <c r="N22" s="0" t="n">
        <v>10.12</v>
      </c>
      <c r="O22" s="0" t="n">
        <v>-0.45</v>
      </c>
      <c r="P22" s="0" t="n">
        <v>19.11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5.76</v>
      </c>
      <c r="F23" s="0" t="n">
        <v>-9.69</v>
      </c>
      <c r="G23" s="0" t="n">
        <v>-0.75</v>
      </c>
      <c r="H23" s="1" t="n">
        <v>0</v>
      </c>
      <c r="I23" s="1" t="n">
        <v>-0.75</v>
      </c>
      <c r="J23" s="0" t="n">
        <v>0</v>
      </c>
      <c r="K23" s="0" t="n">
        <v>-0.75</v>
      </c>
      <c r="L23" s="1" t="n">
        <v>0</v>
      </c>
      <c r="M23" s="1" t="n">
        <v>-0.75</v>
      </c>
      <c r="N23" s="0" t="n">
        <v>9.82</v>
      </c>
      <c r="O23" s="0" t="n">
        <v>-0.75</v>
      </c>
    </row>
    <row r="24" customFormat="false" ht="15" hidden="false" customHeight="false" outlineLevel="0" collapsed="false">
      <c r="D24" s="0" t="n">
        <v>2</v>
      </c>
      <c r="E24" s="0" t="n">
        <v>5.58</v>
      </c>
      <c r="F24" s="0" t="n">
        <v>-9.39</v>
      </c>
      <c r="G24" s="0" t="n">
        <v>-1.05</v>
      </c>
      <c r="H24" s="1" t="n">
        <v>0</v>
      </c>
      <c r="I24" s="1" t="n">
        <v>-1.05</v>
      </c>
      <c r="J24" s="0" t="n">
        <v>0</v>
      </c>
      <c r="K24" s="0" t="n">
        <v>-1.05</v>
      </c>
      <c r="L24" s="1" t="n">
        <v>0</v>
      </c>
      <c r="M24" s="1" t="n">
        <v>-1.05</v>
      </c>
      <c r="N24" s="0" t="n">
        <v>9.52</v>
      </c>
      <c r="O24" s="0" t="n">
        <v>-1.05</v>
      </c>
    </row>
    <row r="25" customFormat="false" ht="15" hidden="false" customHeight="false" outlineLevel="0" collapsed="false">
      <c r="D25" s="0" t="n">
        <v>1</v>
      </c>
      <c r="E25" s="0" t="n">
        <v>1.82</v>
      </c>
      <c r="F25" s="0" t="n">
        <v>-9.09</v>
      </c>
      <c r="G25" s="0" t="n">
        <v>-1.35</v>
      </c>
      <c r="H25" s="1" t="n">
        <v>0</v>
      </c>
      <c r="I25" s="1" t="n">
        <v>-1.35</v>
      </c>
      <c r="J25" s="0" t="n">
        <v>0</v>
      </c>
      <c r="K25" s="0" t="n">
        <v>-1.35</v>
      </c>
      <c r="L25" s="1" t="n">
        <v>0</v>
      </c>
      <c r="M25" s="1" t="n">
        <v>-1.35</v>
      </c>
      <c r="N25" s="0" t="n">
        <v>9.22</v>
      </c>
      <c r="O25" s="0" t="n">
        <v>-1.35</v>
      </c>
    </row>
    <row r="26" customFormat="false" ht="15" hidden="false" customHeight="false" outlineLevel="0" collapsed="false">
      <c r="A26" s="1" t="n">
        <v>7</v>
      </c>
      <c r="B26" s="1" t="s">
        <v>23</v>
      </c>
      <c r="C26" s="0" t="n">
        <v>562.02</v>
      </c>
      <c r="D26" s="0" t="n">
        <v>4</v>
      </c>
      <c r="E26" s="0" t="n">
        <v>5.95</v>
      </c>
      <c r="F26" s="0" t="n">
        <v>-9.99</v>
      </c>
      <c r="G26" s="0" t="n">
        <v>-0.45</v>
      </c>
      <c r="H26" s="1" t="n">
        <v>0</v>
      </c>
      <c r="I26" s="1" t="n">
        <v>-0.45</v>
      </c>
      <c r="J26" s="0" t="n">
        <v>0</v>
      </c>
      <c r="K26" s="0" t="n">
        <v>-0.45</v>
      </c>
      <c r="L26" s="1" t="n">
        <v>0</v>
      </c>
      <c r="M26" s="1" t="n">
        <v>-0.45</v>
      </c>
      <c r="N26" s="0" t="n">
        <v>10.13</v>
      </c>
      <c r="O26" s="0" t="n">
        <v>-0.45</v>
      </c>
      <c r="P26" s="0" t="n">
        <v>19.12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5.77</v>
      </c>
      <c r="F27" s="0" t="n">
        <v>-9.69</v>
      </c>
      <c r="G27" s="0" t="n">
        <v>-0.75</v>
      </c>
      <c r="H27" s="1" t="n">
        <v>0</v>
      </c>
      <c r="I27" s="1" t="n">
        <v>-0.75</v>
      </c>
      <c r="J27" s="0" t="n">
        <v>0</v>
      </c>
      <c r="K27" s="0" t="n">
        <v>-0.75</v>
      </c>
      <c r="L27" s="1" t="n">
        <v>0</v>
      </c>
      <c r="M27" s="1" t="n">
        <v>-0.75</v>
      </c>
      <c r="N27" s="0" t="n">
        <v>9.83</v>
      </c>
      <c r="O27" s="0" t="n">
        <v>-0.75</v>
      </c>
    </row>
    <row r="28" customFormat="false" ht="15" hidden="false" customHeight="false" outlineLevel="0" collapsed="false">
      <c r="D28" s="0" t="n">
        <v>2</v>
      </c>
      <c r="E28" s="0" t="n">
        <v>5.59</v>
      </c>
      <c r="F28" s="0" t="n">
        <v>-9.39</v>
      </c>
      <c r="G28" s="0" t="n">
        <v>-1.05</v>
      </c>
      <c r="H28" s="1" t="n">
        <v>0</v>
      </c>
      <c r="I28" s="1" t="n">
        <v>-1.05</v>
      </c>
      <c r="J28" s="0" t="n">
        <v>0</v>
      </c>
      <c r="K28" s="0" t="n">
        <v>-1.05</v>
      </c>
      <c r="L28" s="1" t="n">
        <v>0</v>
      </c>
      <c r="M28" s="1" t="n">
        <v>-1.05</v>
      </c>
      <c r="N28" s="0" t="n">
        <v>9.53</v>
      </c>
      <c r="O28" s="0" t="n">
        <v>-1.05</v>
      </c>
    </row>
    <row r="29" customFormat="false" ht="15" hidden="false" customHeight="false" outlineLevel="0" collapsed="false">
      <c r="D29" s="0" t="n">
        <v>1</v>
      </c>
      <c r="E29" s="0" t="n">
        <v>1.82</v>
      </c>
      <c r="F29" s="0" t="n">
        <v>-9.09</v>
      </c>
      <c r="G29" s="0" t="n">
        <v>-1.35</v>
      </c>
      <c r="H29" s="1" t="n">
        <v>0</v>
      </c>
      <c r="I29" s="1" t="n">
        <v>-1.35</v>
      </c>
      <c r="J29" s="0" t="n">
        <v>0</v>
      </c>
      <c r="K29" s="0" t="n">
        <v>-1.35</v>
      </c>
      <c r="L29" s="1" t="n">
        <v>0</v>
      </c>
      <c r="M29" s="1" t="n">
        <v>-1.35</v>
      </c>
      <c r="N29" s="0" t="n">
        <v>9.23</v>
      </c>
      <c r="O29" s="0" t="n">
        <v>-1.35</v>
      </c>
    </row>
    <row r="30" customFormat="false" ht="15" hidden="false" customHeight="false" outlineLevel="0" collapsed="false">
      <c r="A30" s="1" t="n">
        <v>8</v>
      </c>
      <c r="B30" s="1" t="s">
        <v>24</v>
      </c>
      <c r="C30" s="0" t="n">
        <v>568.57</v>
      </c>
      <c r="D30" s="0" t="n">
        <v>4</v>
      </c>
      <c r="E30" s="0" t="n">
        <v>6.1</v>
      </c>
      <c r="F30" s="0" t="n">
        <v>-10.16</v>
      </c>
      <c r="G30" s="0" t="n">
        <v>-0.45</v>
      </c>
      <c r="H30" s="1" t="n">
        <v>0</v>
      </c>
      <c r="I30" s="1" t="n">
        <v>-0.45</v>
      </c>
      <c r="J30" s="0" t="n">
        <v>0</v>
      </c>
      <c r="K30" s="0" t="n">
        <v>-0.45</v>
      </c>
      <c r="L30" s="1" t="n">
        <v>0</v>
      </c>
      <c r="M30" s="1" t="n">
        <v>-0.45</v>
      </c>
      <c r="N30" s="0" t="n">
        <v>10.48</v>
      </c>
      <c r="O30" s="0" t="n">
        <v>-0.45</v>
      </c>
      <c r="P30" s="0" t="n">
        <v>19.64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5.92</v>
      </c>
      <c r="F31" s="0" t="n">
        <v>-9.86</v>
      </c>
      <c r="G31" s="0" t="n">
        <v>-0.75</v>
      </c>
      <c r="H31" s="1" t="n">
        <v>0</v>
      </c>
      <c r="I31" s="1" t="n">
        <v>-0.75</v>
      </c>
      <c r="J31" s="0" t="n">
        <v>0</v>
      </c>
      <c r="K31" s="0" t="n">
        <v>-0.75</v>
      </c>
      <c r="L31" s="1" t="n">
        <v>0</v>
      </c>
      <c r="M31" s="1" t="n">
        <v>-0.75</v>
      </c>
      <c r="N31" s="0" t="n">
        <v>10.18</v>
      </c>
      <c r="O31" s="0" t="n">
        <v>-0.75</v>
      </c>
    </row>
    <row r="32" customFormat="false" ht="15" hidden="false" customHeight="false" outlineLevel="0" collapsed="false">
      <c r="D32" s="0" t="n">
        <v>2</v>
      </c>
      <c r="E32" s="0" t="n">
        <v>5.74</v>
      </c>
      <c r="F32" s="0" t="n">
        <v>-9.56</v>
      </c>
      <c r="G32" s="0" t="n">
        <v>-1.05</v>
      </c>
      <c r="H32" s="1" t="n">
        <v>0</v>
      </c>
      <c r="I32" s="1" t="n">
        <v>-1.05</v>
      </c>
      <c r="J32" s="0" t="n">
        <v>0</v>
      </c>
      <c r="K32" s="0" t="n">
        <v>-1.05</v>
      </c>
      <c r="L32" s="1" t="n">
        <v>0</v>
      </c>
      <c r="M32" s="1" t="n">
        <v>-1.05</v>
      </c>
      <c r="N32" s="0" t="n">
        <v>9.88</v>
      </c>
      <c r="O32" s="0" t="n">
        <v>-1.05</v>
      </c>
    </row>
    <row r="33" customFormat="false" ht="15" hidden="false" customHeight="false" outlineLevel="0" collapsed="false">
      <c r="D33" s="0" t="n">
        <v>1</v>
      </c>
      <c r="E33" s="0" t="n">
        <v>1.87</v>
      </c>
      <c r="F33" s="0" t="n">
        <v>-9.26</v>
      </c>
      <c r="G33" s="0" t="n">
        <v>-1.35</v>
      </c>
      <c r="H33" s="1" t="n">
        <v>0</v>
      </c>
      <c r="I33" s="1" t="n">
        <v>-1.35</v>
      </c>
      <c r="J33" s="0" t="n">
        <v>0</v>
      </c>
      <c r="K33" s="0" t="n">
        <v>-1.35</v>
      </c>
      <c r="L33" s="1" t="n">
        <v>0</v>
      </c>
      <c r="M33" s="1" t="n">
        <v>-1.35</v>
      </c>
      <c r="N33" s="0" t="n">
        <v>9.58</v>
      </c>
      <c r="O33" s="0" t="n">
        <v>-1.35</v>
      </c>
    </row>
    <row r="34" customFormat="false" ht="15" hidden="false" customHeight="false" outlineLevel="0" collapsed="false">
      <c r="A34" s="1" t="n">
        <v>9</v>
      </c>
      <c r="B34" s="1" t="s">
        <v>1</v>
      </c>
      <c r="C34" s="0" t="n">
        <v>575.12</v>
      </c>
      <c r="D34" s="0" t="n">
        <v>4</v>
      </c>
      <c r="E34" s="0" t="n">
        <v>5.74</v>
      </c>
      <c r="F34" s="0" t="n">
        <v>-9.88</v>
      </c>
      <c r="G34" s="0" t="n">
        <v>-0.45</v>
      </c>
      <c r="H34" s="1" t="n">
        <v>0</v>
      </c>
      <c r="I34" s="1" t="n">
        <v>-0.45</v>
      </c>
      <c r="J34" s="0" t="n">
        <v>0</v>
      </c>
      <c r="K34" s="0" t="n">
        <v>-0.45</v>
      </c>
      <c r="L34" s="1" t="n">
        <v>0</v>
      </c>
      <c r="M34" s="1" t="n">
        <v>-0.45</v>
      </c>
      <c r="N34" s="0" t="n">
        <v>9.56</v>
      </c>
      <c r="O34" s="0" t="n">
        <v>-0.45</v>
      </c>
      <c r="P34" s="0" t="n">
        <v>18.44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5.56</v>
      </c>
      <c r="F35" s="0" t="n">
        <v>-9.58</v>
      </c>
      <c r="G35" s="0" t="n">
        <v>-0.75</v>
      </c>
      <c r="H35" s="1" t="n">
        <v>0</v>
      </c>
      <c r="I35" s="1" t="n">
        <v>-0.75</v>
      </c>
      <c r="J35" s="0" t="n">
        <v>0</v>
      </c>
      <c r="K35" s="0" t="n">
        <v>-0.75</v>
      </c>
      <c r="L35" s="1" t="n">
        <v>0</v>
      </c>
      <c r="M35" s="1" t="n">
        <v>-0.75</v>
      </c>
      <c r="N35" s="0" t="n">
        <v>9.26</v>
      </c>
      <c r="O35" s="0" t="n">
        <v>-0.75</v>
      </c>
    </row>
    <row r="36" customFormat="false" ht="15" hidden="false" customHeight="false" outlineLevel="0" collapsed="false">
      <c r="D36" s="0" t="n">
        <v>2</v>
      </c>
      <c r="E36" s="0" t="n">
        <v>5.38</v>
      </c>
      <c r="F36" s="0" t="n">
        <v>-9.28</v>
      </c>
      <c r="G36" s="0" t="n">
        <v>-1.05</v>
      </c>
      <c r="H36" s="1" t="n">
        <v>0</v>
      </c>
      <c r="I36" s="1" t="n">
        <v>-1.05</v>
      </c>
      <c r="J36" s="0" t="n">
        <v>0</v>
      </c>
      <c r="K36" s="0" t="n">
        <v>-1.05</v>
      </c>
      <c r="L36" s="1" t="n">
        <v>0</v>
      </c>
      <c r="M36" s="1" t="n">
        <v>-1.05</v>
      </c>
      <c r="N36" s="0" t="n">
        <v>8.96</v>
      </c>
      <c r="O36" s="0" t="n">
        <v>-1.05</v>
      </c>
    </row>
    <row r="37" customFormat="false" ht="15" hidden="false" customHeight="false" outlineLevel="0" collapsed="false">
      <c r="D37" s="0" t="n">
        <v>1</v>
      </c>
      <c r="E37" s="0" t="n">
        <v>1.75</v>
      </c>
      <c r="F37" s="0" t="n">
        <v>-8.98</v>
      </c>
      <c r="G37" s="0" t="n">
        <v>-1.35</v>
      </c>
      <c r="H37" s="1" t="n">
        <v>0</v>
      </c>
      <c r="I37" s="1" t="n">
        <v>-1.35</v>
      </c>
      <c r="J37" s="0" t="n">
        <v>0</v>
      </c>
      <c r="K37" s="0" t="n">
        <v>-1.35</v>
      </c>
      <c r="L37" s="1" t="n">
        <v>0</v>
      </c>
      <c r="M37" s="1" t="n">
        <v>-1.35</v>
      </c>
      <c r="N37" s="0" t="n">
        <v>8.66</v>
      </c>
      <c r="O37" s="0" t="n">
        <v>-1.35</v>
      </c>
    </row>
    <row r="38" customFormat="false" ht="15" hidden="false" customHeight="false" outlineLevel="0" collapsed="false">
      <c r="A38" s="1" t="n">
        <v>10</v>
      </c>
      <c r="B38" s="1" t="s">
        <v>25</v>
      </c>
      <c r="C38" s="0" t="n">
        <v>575.16</v>
      </c>
      <c r="D38" s="0" t="n">
        <v>4</v>
      </c>
      <c r="E38" s="0" t="n">
        <v>5.67</v>
      </c>
      <c r="F38" s="0" t="n">
        <v>-9.88</v>
      </c>
      <c r="G38" s="0" t="n">
        <v>-0.45</v>
      </c>
      <c r="H38" s="1" t="n">
        <v>0</v>
      </c>
      <c r="I38" s="1" t="n">
        <v>-0.45</v>
      </c>
      <c r="J38" s="0" t="n">
        <v>0</v>
      </c>
      <c r="K38" s="0" t="n">
        <v>-0.45</v>
      </c>
      <c r="L38" s="1" t="n">
        <v>0</v>
      </c>
      <c r="M38" s="1" t="n">
        <v>-0.45</v>
      </c>
      <c r="N38" s="0" t="n">
        <v>9.33</v>
      </c>
      <c r="O38" s="0" t="n">
        <v>-0.45</v>
      </c>
      <c r="P38" s="0" t="n">
        <v>18.21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5.49</v>
      </c>
      <c r="F39" s="0" t="n">
        <v>-9.58</v>
      </c>
      <c r="G39" s="0" t="n">
        <v>-0.75</v>
      </c>
      <c r="H39" s="1" t="n">
        <v>0</v>
      </c>
      <c r="I39" s="1" t="n">
        <v>-0.75</v>
      </c>
      <c r="J39" s="0" t="n">
        <v>0</v>
      </c>
      <c r="K39" s="0" t="n">
        <v>-0.75</v>
      </c>
      <c r="L39" s="1" t="n">
        <v>0</v>
      </c>
      <c r="M39" s="1" t="n">
        <v>-0.75</v>
      </c>
      <c r="N39" s="0" t="n">
        <v>9.03</v>
      </c>
      <c r="O39" s="0" t="n">
        <v>-0.75</v>
      </c>
    </row>
    <row r="40" customFormat="false" ht="15" hidden="false" customHeight="false" outlineLevel="0" collapsed="false">
      <c r="D40" s="0" t="n">
        <v>2</v>
      </c>
      <c r="E40" s="0" t="n">
        <v>5.31</v>
      </c>
      <c r="F40" s="0" t="n">
        <v>-9.28</v>
      </c>
      <c r="G40" s="0" t="n">
        <v>-1.05</v>
      </c>
      <c r="H40" s="1" t="n">
        <v>0</v>
      </c>
      <c r="I40" s="1" t="n">
        <v>-1.05</v>
      </c>
      <c r="J40" s="0" t="n">
        <v>0</v>
      </c>
      <c r="K40" s="0" t="n">
        <v>-1.05</v>
      </c>
      <c r="L40" s="1" t="n">
        <v>0</v>
      </c>
      <c r="M40" s="1" t="n">
        <v>-1.05</v>
      </c>
      <c r="N40" s="0" t="n">
        <v>8.73</v>
      </c>
      <c r="O40" s="0" t="n">
        <v>-1.05</v>
      </c>
    </row>
    <row r="41" customFormat="false" ht="15" hidden="false" customHeight="false" outlineLevel="0" collapsed="false">
      <c r="D41" s="0" t="n">
        <v>1</v>
      </c>
      <c r="E41" s="0" t="n">
        <v>1.73</v>
      </c>
      <c r="F41" s="0" t="n">
        <v>-8.98</v>
      </c>
      <c r="G41" s="0" t="n">
        <v>-1.35</v>
      </c>
      <c r="H41" s="1" t="n">
        <v>0</v>
      </c>
      <c r="I41" s="1" t="n">
        <v>-1.35</v>
      </c>
      <c r="J41" s="0" t="n">
        <v>0</v>
      </c>
      <c r="K41" s="0" t="n">
        <v>-1.35</v>
      </c>
      <c r="L41" s="1" t="n">
        <v>0</v>
      </c>
      <c r="M41" s="1" t="n">
        <v>-1.35</v>
      </c>
      <c r="N41" s="0" t="n">
        <v>8.43</v>
      </c>
      <c r="O41" s="0" t="n">
        <v>-1.35</v>
      </c>
    </row>
    <row r="42" customFormat="false" ht="15" hidden="false" customHeight="false" outlineLevel="0" collapsed="false">
      <c r="A42" s="1" t="n">
        <v>11</v>
      </c>
      <c r="B42" s="1" t="s">
        <v>26</v>
      </c>
      <c r="C42" s="0" t="n">
        <v>592.11</v>
      </c>
      <c r="D42" s="0" t="n">
        <v>4</v>
      </c>
      <c r="E42" s="0" t="n">
        <v>5.96</v>
      </c>
      <c r="F42" s="0" t="n">
        <v>-10.06</v>
      </c>
      <c r="G42" s="0" t="n">
        <v>-0.45</v>
      </c>
      <c r="H42" s="1" t="n">
        <v>0</v>
      </c>
      <c r="I42" s="1" t="n">
        <v>-0.45</v>
      </c>
      <c r="J42" s="0" t="n">
        <v>0</v>
      </c>
      <c r="K42" s="0" t="n">
        <v>-0.45</v>
      </c>
      <c r="L42" s="1" t="n">
        <v>0</v>
      </c>
      <c r="M42" s="1" t="n">
        <v>-0.45</v>
      </c>
      <c r="N42" s="0" t="n">
        <v>10.11</v>
      </c>
      <c r="O42" s="0" t="n">
        <v>-0.45</v>
      </c>
      <c r="P42" s="0" t="n">
        <v>19.17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5.78</v>
      </c>
      <c r="F43" s="0" t="n">
        <v>-9.76</v>
      </c>
      <c r="G43" s="0" t="n">
        <v>-0.75</v>
      </c>
      <c r="H43" s="1" t="n">
        <v>0</v>
      </c>
      <c r="I43" s="1" t="n">
        <v>-0.75</v>
      </c>
      <c r="J43" s="0" t="n">
        <v>0</v>
      </c>
      <c r="K43" s="0" t="n">
        <v>-0.75</v>
      </c>
      <c r="L43" s="1" t="n">
        <v>0</v>
      </c>
      <c r="M43" s="1" t="n">
        <v>-0.75</v>
      </c>
      <c r="N43" s="0" t="n">
        <v>9.81</v>
      </c>
      <c r="O43" s="0" t="n">
        <v>-0.75</v>
      </c>
    </row>
    <row r="44" customFormat="false" ht="15" hidden="false" customHeight="false" outlineLevel="0" collapsed="false">
      <c r="D44" s="0" t="n">
        <v>2</v>
      </c>
      <c r="E44" s="0" t="n">
        <v>5.6</v>
      </c>
      <c r="F44" s="0" t="n">
        <v>-9.46</v>
      </c>
      <c r="G44" s="0" t="n">
        <v>-1.05</v>
      </c>
      <c r="H44" s="1" t="n">
        <v>0</v>
      </c>
      <c r="I44" s="1" t="n">
        <v>-1.05</v>
      </c>
      <c r="J44" s="0" t="n">
        <v>0</v>
      </c>
      <c r="K44" s="0" t="n">
        <v>-1.05</v>
      </c>
      <c r="L44" s="1" t="n">
        <v>0</v>
      </c>
      <c r="M44" s="1" t="n">
        <v>-1.05</v>
      </c>
      <c r="N44" s="0" t="n">
        <v>9.51</v>
      </c>
      <c r="O44" s="0" t="n">
        <v>-1.05</v>
      </c>
    </row>
    <row r="45" customFormat="false" ht="15" hidden="false" customHeight="false" outlineLevel="0" collapsed="false">
      <c r="D45" s="0" t="n">
        <v>1</v>
      </c>
      <c r="E45" s="0" t="n">
        <v>1.83</v>
      </c>
      <c r="F45" s="0" t="n">
        <v>-9.16</v>
      </c>
      <c r="G45" s="0" t="n">
        <v>-1.35</v>
      </c>
      <c r="H45" s="1" t="n">
        <v>0</v>
      </c>
      <c r="I45" s="1" t="n">
        <v>-1.35</v>
      </c>
      <c r="J45" s="0" t="n">
        <v>0</v>
      </c>
      <c r="K45" s="0" t="n">
        <v>-1.35</v>
      </c>
      <c r="L45" s="1" t="n">
        <v>0</v>
      </c>
      <c r="M45" s="1" t="n">
        <v>-1.35</v>
      </c>
      <c r="N45" s="0" t="n">
        <v>9.21</v>
      </c>
      <c r="O45" s="0" t="n">
        <v>-1.35</v>
      </c>
    </row>
    <row r="46" customFormat="false" ht="15" hidden="false" customHeight="false" outlineLevel="0" collapsed="false">
      <c r="A46" s="1" t="n">
        <v>12</v>
      </c>
      <c r="B46" s="1" t="s">
        <v>27</v>
      </c>
      <c r="C46" s="0" t="n">
        <v>609.11</v>
      </c>
      <c r="D46" s="0" t="n">
        <v>4</v>
      </c>
      <c r="E46" s="0" t="n">
        <v>5.43</v>
      </c>
      <c r="F46" s="0" t="n">
        <v>-9.27</v>
      </c>
      <c r="G46" s="0" t="n">
        <v>-0.45</v>
      </c>
      <c r="H46" s="1" t="n">
        <v>0</v>
      </c>
      <c r="I46" s="1" t="n">
        <v>-0.45</v>
      </c>
      <c r="J46" s="0" t="n">
        <v>0</v>
      </c>
      <c r="K46" s="0" t="n">
        <v>-0.45</v>
      </c>
      <c r="L46" s="1" t="n">
        <v>0</v>
      </c>
      <c r="M46" s="1" t="n">
        <v>-0.45</v>
      </c>
      <c r="N46" s="0" t="n">
        <v>9.13</v>
      </c>
      <c r="O46" s="0" t="n">
        <v>-0.45</v>
      </c>
      <c r="P46" s="0" t="n">
        <v>17.4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5.25</v>
      </c>
      <c r="F47" s="0" t="n">
        <v>-8.97</v>
      </c>
      <c r="G47" s="0" t="n">
        <v>-0.75</v>
      </c>
      <c r="H47" s="1" t="n">
        <v>0</v>
      </c>
      <c r="I47" s="1" t="n">
        <v>-0.75</v>
      </c>
      <c r="J47" s="0" t="n">
        <v>0</v>
      </c>
      <c r="K47" s="0" t="n">
        <v>-0.75</v>
      </c>
      <c r="L47" s="1" t="n">
        <v>0</v>
      </c>
      <c r="M47" s="1" t="n">
        <v>-0.75</v>
      </c>
      <c r="N47" s="0" t="n">
        <v>8.83</v>
      </c>
      <c r="O47" s="0" t="n">
        <v>-0.75</v>
      </c>
    </row>
    <row r="48" customFormat="false" ht="15" hidden="false" customHeight="false" outlineLevel="0" collapsed="false">
      <c r="D48" s="0" t="n">
        <v>2</v>
      </c>
      <c r="E48" s="0" t="n">
        <v>5.07</v>
      </c>
      <c r="F48" s="0" t="n">
        <v>-8.67</v>
      </c>
      <c r="G48" s="0" t="n">
        <v>-1.05</v>
      </c>
      <c r="H48" s="1" t="n">
        <v>0</v>
      </c>
      <c r="I48" s="1" t="n">
        <v>-1.05</v>
      </c>
      <c r="J48" s="0" t="n">
        <v>0</v>
      </c>
      <c r="K48" s="0" t="n">
        <v>-1.05</v>
      </c>
      <c r="L48" s="1" t="n">
        <v>0</v>
      </c>
      <c r="M48" s="1" t="n">
        <v>-1.05</v>
      </c>
      <c r="N48" s="0" t="n">
        <v>8.53</v>
      </c>
      <c r="O48" s="0" t="n">
        <v>-1.05</v>
      </c>
    </row>
    <row r="49" customFormat="false" ht="15" hidden="false" customHeight="false" outlineLevel="0" collapsed="false">
      <c r="D49" s="0" t="n">
        <v>1</v>
      </c>
      <c r="E49" s="0" t="n">
        <v>1.65</v>
      </c>
      <c r="F49" s="0" t="n">
        <v>-8.37</v>
      </c>
      <c r="G49" s="0" t="n">
        <v>-1.35</v>
      </c>
      <c r="H49" s="1" t="n">
        <v>0</v>
      </c>
      <c r="I49" s="1" t="n">
        <v>-1.35</v>
      </c>
      <c r="J49" s="0" t="n">
        <v>0</v>
      </c>
      <c r="K49" s="0" t="n">
        <v>-1.35</v>
      </c>
      <c r="L49" s="1" t="n">
        <v>0</v>
      </c>
      <c r="M49" s="1" t="n">
        <v>-1.35</v>
      </c>
      <c r="N49" s="0" t="n">
        <v>8.23</v>
      </c>
      <c r="O49" s="0" t="n">
        <v>-1.35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">
        <v>29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">
        <v>35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489.19</v>
      </c>
      <c r="D23" s="17" t="n">
        <f aca="false">+Chạy!F5</f>
        <v>-8.55</v>
      </c>
      <c r="E23" s="17" t="n">
        <f aca="false">+D23+F23</f>
        <v>-8.5488</v>
      </c>
      <c r="F23" s="17" t="n">
        <f aca="false">RANDBETWEEN(-105,115)/10000</f>
        <v>0.0012</v>
      </c>
      <c r="G23" s="17" t="n">
        <f aca="false">+Chạy!G5</f>
        <v>-1.35</v>
      </c>
      <c r="H23" s="17" t="n">
        <f aca="false">G23+I23</f>
        <v>-1.322</v>
      </c>
      <c r="I23" s="17" t="n">
        <f aca="false">RANDBETWEEN(-30,90)/1000</f>
        <v>0.028</v>
      </c>
      <c r="J23" s="17" t="n">
        <f aca="false">+Chạy!K5</f>
        <v>-1.35</v>
      </c>
      <c r="K23" s="17" t="n">
        <f aca="false">J23+L23</f>
        <v>-1.353</v>
      </c>
      <c r="L23" s="17" t="n">
        <f aca="false">RANDBETWEEN(-30,90)/1000</f>
        <v>-0.003</v>
      </c>
      <c r="M23" s="17" t="n">
        <f aca="false">+Chạy!N5</f>
        <v>5.35</v>
      </c>
      <c r="N23" s="17" t="n">
        <f aca="false">+M23+O23</f>
        <v>5.3427</v>
      </c>
      <c r="O23" s="17" t="n">
        <f aca="false">RANDBETWEEN(-105,115)/10000</f>
        <v>-0.0073</v>
      </c>
      <c r="P23" s="17" t="n">
        <f aca="false">+Chạy!O5</f>
        <v>-1.35</v>
      </c>
      <c r="Q23" s="17" t="n">
        <f aca="false">P23+R23</f>
        <v>-1.341</v>
      </c>
      <c r="R23" s="17" t="n">
        <f aca="false">RANDBETWEEN(-30,90)/1000</f>
        <v>0.009</v>
      </c>
      <c r="S23" s="18"/>
      <c r="T23" s="19" t="n">
        <v>13.17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502.36</v>
      </c>
      <c r="D24" s="17" t="n">
        <f aca="false">+Chạy!F9</f>
        <v>-9.57</v>
      </c>
      <c r="E24" s="17" t="n">
        <f aca="false">+D24+F24</f>
        <v>-9.579</v>
      </c>
      <c r="F24" s="17" t="n">
        <f aca="false">RANDBETWEEN(-105,115)/10000</f>
        <v>-0.009</v>
      </c>
      <c r="G24" s="17" t="n">
        <f aca="false">+Chạy!G9</f>
        <v>-1.35</v>
      </c>
      <c r="H24" s="17" t="n">
        <f aca="false">G24+I24</f>
        <v>-1.295</v>
      </c>
      <c r="I24" s="17" t="n">
        <f aca="false">RANDBETWEEN(-30,90)/1000</f>
        <v>0.055</v>
      </c>
      <c r="J24" s="17" t="n">
        <f aca="false">+Chạy!K9</f>
        <v>-1.35</v>
      </c>
      <c r="K24" s="17" t="n">
        <f aca="false">J24+L24</f>
        <v>-1.265</v>
      </c>
      <c r="L24" s="17" t="n">
        <f aca="false">RANDBETWEEN(-30,90)/1000</f>
        <v>0.085</v>
      </c>
      <c r="M24" s="17" t="n">
        <f aca="false">+Chạy!N9</f>
        <v>9.47</v>
      </c>
      <c r="N24" s="17" t="n">
        <f aca="false">+M24+O24</f>
        <v>9.4722</v>
      </c>
      <c r="O24" s="17" t="n">
        <f aca="false">RANDBETWEEN(-105,115)/10000</f>
        <v>0.0022</v>
      </c>
      <c r="P24" s="17" t="n">
        <f aca="false">+Chạy!O9</f>
        <v>-1.35</v>
      </c>
      <c r="Q24" s="17" t="n">
        <f aca="false">P24+R24</f>
        <v>-1.331</v>
      </c>
      <c r="R24" s="17" t="n">
        <f aca="false">RANDBETWEEN(-30,90)/1000</f>
        <v>0.019</v>
      </c>
      <c r="S24" s="18"/>
      <c r="T24" s="19" t="n">
        <v>10.48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512.84</v>
      </c>
      <c r="D25" s="17" t="n">
        <f aca="false">+Chạy!F13</f>
        <v>-9.01</v>
      </c>
      <c r="E25" s="17" t="n">
        <f aca="false">+D25+F25</f>
        <v>-8.999</v>
      </c>
      <c r="F25" s="17" t="n">
        <f aca="false">RANDBETWEEN(-105,115)/10000</f>
        <v>0.011</v>
      </c>
      <c r="G25" s="17" t="n">
        <f aca="false">+Chạy!G13</f>
        <v>-1.35</v>
      </c>
      <c r="H25" s="17" t="n">
        <f aca="false">G25+I25</f>
        <v>-1.285</v>
      </c>
      <c r="I25" s="17" t="n">
        <f aca="false">RANDBETWEEN(-30,90)/1000</f>
        <v>0.065</v>
      </c>
      <c r="J25" s="17" t="n">
        <f aca="false">+Chạy!K13</f>
        <v>-1.35</v>
      </c>
      <c r="K25" s="17" t="n">
        <f aca="false">J25+L25</f>
        <v>-1.288</v>
      </c>
      <c r="L25" s="17" t="n">
        <f aca="false">RANDBETWEEN(-30,90)/1000</f>
        <v>0.062</v>
      </c>
      <c r="M25" s="17" t="n">
        <f aca="false">+Chạy!N13</f>
        <v>9.38</v>
      </c>
      <c r="N25" s="17" t="n">
        <f aca="false">+M25+O25</f>
        <v>9.3895</v>
      </c>
      <c r="O25" s="17" t="n">
        <f aca="false">RANDBETWEEN(-105,115)/10000</f>
        <v>0.0095</v>
      </c>
      <c r="P25" s="17" t="n">
        <f aca="false">+Chạy!O13</f>
        <v>-1.35</v>
      </c>
      <c r="Q25" s="17" t="n">
        <f aca="false">P25+R25</f>
        <v>-1.263</v>
      </c>
      <c r="R25" s="17" t="n">
        <f aca="false">RANDBETWEEN(-30,90)/1000</f>
        <v>0.087</v>
      </c>
      <c r="S25" s="18"/>
      <c r="T25" s="19" t="n">
        <v>16.78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529.62</v>
      </c>
      <c r="D26" s="17" t="n">
        <f aca="false">+Chạy!F17</f>
        <v>-9.44</v>
      </c>
      <c r="E26" s="17" t="n">
        <f aca="false">+D26+F26</f>
        <v>-9.4328</v>
      </c>
      <c r="F26" s="17" t="n">
        <f aca="false">RANDBETWEEN(-105,115)/10000</f>
        <v>0.0072</v>
      </c>
      <c r="G26" s="17" t="n">
        <f aca="false">+Chạy!G17</f>
        <v>-1.35</v>
      </c>
      <c r="H26" s="17" t="n">
        <f aca="false">G26+I26</f>
        <v>-1.32</v>
      </c>
      <c r="I26" s="17" t="n">
        <f aca="false">RANDBETWEEN(-30,90)/1000</f>
        <v>0.03</v>
      </c>
      <c r="J26" s="17" t="n">
        <f aca="false">+Chạy!K17</f>
        <v>-1.35</v>
      </c>
      <c r="K26" s="17" t="n">
        <f aca="false">J26+L26</f>
        <v>-1.282</v>
      </c>
      <c r="L26" s="17" t="n">
        <f aca="false">RANDBETWEEN(-30,90)/1000</f>
        <v>0.068</v>
      </c>
      <c r="M26" s="17" t="n">
        <f aca="false">+Chạy!N17</f>
        <v>9.52</v>
      </c>
      <c r="N26" s="17" t="n">
        <f aca="false">+M26+O26</f>
        <v>9.5301</v>
      </c>
      <c r="O26" s="17" t="n">
        <f aca="false">RANDBETWEEN(-105,115)/10000</f>
        <v>0.0101</v>
      </c>
      <c r="P26" s="17" t="n">
        <f aca="false">+Chạy!O17</f>
        <v>-1.35</v>
      </c>
      <c r="Q26" s="17" t="n">
        <f aca="false">P26+R26</f>
        <v>-1.321</v>
      </c>
      <c r="R26" s="17" t="n">
        <f aca="false">RANDBETWEEN(-30,90)/1000</f>
        <v>0.029</v>
      </c>
      <c r="S26" s="18"/>
      <c r="T26" s="19" t="n">
        <v>17.1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546.72</v>
      </c>
      <c r="D27" s="17" t="n">
        <f aca="false">+Chạy!F21</f>
        <v>-5.35</v>
      </c>
      <c r="E27" s="17" t="n">
        <f aca="false">+D27+F27</f>
        <v>-5.3546</v>
      </c>
      <c r="F27" s="17" t="n">
        <f aca="false">RANDBETWEEN(-105,115)/10000</f>
        <v>-0.0046</v>
      </c>
      <c r="G27" s="17" t="n">
        <f aca="false">+Chạy!G21</f>
        <v>-1.35</v>
      </c>
      <c r="H27" s="17" t="n">
        <f aca="false">G27+I27</f>
        <v>-1.325</v>
      </c>
      <c r="I27" s="17" t="n">
        <f aca="false">RANDBETWEEN(-30,90)/1000</f>
        <v>0.025</v>
      </c>
      <c r="J27" s="17" t="n">
        <f aca="false">+Chạy!K21</f>
        <v>-1.35</v>
      </c>
      <c r="K27" s="17" t="n">
        <f aca="false">J27+L27</f>
        <v>-1.33</v>
      </c>
      <c r="L27" s="17" t="n">
        <f aca="false">RANDBETWEEN(-30,90)/1000</f>
        <v>0.02</v>
      </c>
      <c r="M27" s="17" t="n">
        <f aca="false">+Chạy!N21</f>
        <v>8.59</v>
      </c>
      <c r="N27" s="17" t="n">
        <f aca="false">+M27+O27</f>
        <v>8.5983</v>
      </c>
      <c r="O27" s="17" t="n">
        <f aca="false">RANDBETWEEN(-105,115)/10000</f>
        <v>0.0083</v>
      </c>
      <c r="P27" s="17" t="n">
        <f aca="false">+Chạy!O21</f>
        <v>-1.35</v>
      </c>
      <c r="Q27" s="17" t="n">
        <f aca="false">P27+R27</f>
        <v>-1.26</v>
      </c>
      <c r="R27" s="17" t="n">
        <f aca="false">RANDBETWEEN(-30,90)/1000</f>
        <v>0.09</v>
      </c>
      <c r="S27" s="18"/>
      <c r="T27" s="19" t="n">
        <v>15.15</v>
      </c>
    </row>
    <row r="28" customFormat="false" ht="15" hidden="false" customHeight="false" outlineLevel="0" collapsed="false">
      <c r="A28" s="14" t="n">
        <v>6</v>
      </c>
      <c r="B28" s="15" t="s">
        <v>22</v>
      </c>
      <c r="C28" s="16" t="n">
        <f aca="false">+C27+T27</f>
        <v>561.87</v>
      </c>
      <c r="D28" s="17" t="n">
        <f aca="false">+Chạy!F25</f>
        <v>-9.09</v>
      </c>
      <c r="E28" s="17" t="n">
        <f aca="false">+D28+F28</f>
        <v>-9.0842</v>
      </c>
      <c r="F28" s="17" t="n">
        <f aca="false">RANDBETWEEN(-105,115)/10000</f>
        <v>0.0058</v>
      </c>
      <c r="G28" s="17" t="n">
        <f aca="false">+Chạy!G25</f>
        <v>-1.35</v>
      </c>
      <c r="H28" s="17" t="n">
        <f aca="false">G28+I28</f>
        <v>-1.367</v>
      </c>
      <c r="I28" s="17" t="n">
        <f aca="false">RANDBETWEEN(-30,90)/1000</f>
        <v>-0.017</v>
      </c>
      <c r="J28" s="17" t="n">
        <f aca="false">+Chạy!K25</f>
        <v>-1.35</v>
      </c>
      <c r="K28" s="17" t="n">
        <f aca="false">J28+L28</f>
        <v>-1.332</v>
      </c>
      <c r="L28" s="17" t="n">
        <f aca="false">RANDBETWEEN(-30,90)/1000</f>
        <v>0.018</v>
      </c>
      <c r="M28" s="17" t="n">
        <f aca="false">+Chạy!N25</f>
        <v>9.22</v>
      </c>
      <c r="N28" s="17" t="n">
        <f aca="false">+M28+O28</f>
        <v>9.223</v>
      </c>
      <c r="O28" s="17" t="n">
        <f aca="false">RANDBETWEEN(-105,115)/10000</f>
        <v>0.003</v>
      </c>
      <c r="P28" s="17" t="n">
        <f aca="false">+Chạy!O25</f>
        <v>-1.35</v>
      </c>
      <c r="Q28" s="17" t="n">
        <f aca="false">P28+R28</f>
        <v>-1.293</v>
      </c>
      <c r="R28" s="17" t="n">
        <f aca="false">RANDBETWEEN(-30,90)/1000</f>
        <v>0.057</v>
      </c>
      <c r="S28" s="18"/>
      <c r="T28" s="19" t="n">
        <v>0.15</v>
      </c>
    </row>
    <row r="29" customFormat="false" ht="15" hidden="false" customHeight="false" outlineLevel="0" collapsed="false">
      <c r="A29" s="14" t="n">
        <v>7</v>
      </c>
      <c r="B29" s="15" t="s">
        <v>23</v>
      </c>
      <c r="C29" s="16" t="n">
        <f aca="false">+C28+T28</f>
        <v>562.02</v>
      </c>
      <c r="D29" s="17" t="n">
        <f aca="false">+Chạy!F29</f>
        <v>-9.09</v>
      </c>
      <c r="E29" s="17" t="n">
        <f aca="false">+D29+F29</f>
        <v>-9.0995</v>
      </c>
      <c r="F29" s="17" t="n">
        <f aca="false">RANDBETWEEN(-105,115)/10000</f>
        <v>-0.0095</v>
      </c>
      <c r="G29" s="17" t="n">
        <f aca="false">+Chạy!G29</f>
        <v>-1.35</v>
      </c>
      <c r="H29" s="17" t="n">
        <f aca="false">G29+I29</f>
        <v>-1.364</v>
      </c>
      <c r="I29" s="17" t="n">
        <f aca="false">RANDBETWEEN(-30,90)/1000</f>
        <v>-0.014</v>
      </c>
      <c r="J29" s="17" t="n">
        <f aca="false">+Chạy!K29</f>
        <v>-1.35</v>
      </c>
      <c r="K29" s="17" t="n">
        <f aca="false">J29+L29</f>
        <v>-1.299</v>
      </c>
      <c r="L29" s="17" t="n">
        <f aca="false">RANDBETWEEN(-30,90)/1000</f>
        <v>0.051</v>
      </c>
      <c r="M29" s="17" t="n">
        <f aca="false">+Chạy!N29</f>
        <v>9.23</v>
      </c>
      <c r="N29" s="17" t="n">
        <f aca="false">+M29+O29</f>
        <v>9.2276</v>
      </c>
      <c r="O29" s="17" t="n">
        <f aca="false">RANDBETWEEN(-105,115)/10000</f>
        <v>-0.0024</v>
      </c>
      <c r="P29" s="17" t="n">
        <f aca="false">+Chạy!O29</f>
        <v>-1.35</v>
      </c>
      <c r="Q29" s="17" t="n">
        <f aca="false">P29+R29</f>
        <v>-1.272</v>
      </c>
      <c r="R29" s="17" t="n">
        <f aca="false">RANDBETWEEN(-30,90)/1000</f>
        <v>0.078</v>
      </c>
      <c r="S29" s="18"/>
      <c r="T29" s="19" t="n">
        <v>6.55</v>
      </c>
    </row>
    <row r="30" customFormat="false" ht="15" hidden="false" customHeight="false" outlineLevel="0" collapsed="false">
      <c r="A30" s="14" t="n">
        <v>8</v>
      </c>
      <c r="B30" s="15" t="s">
        <v>24</v>
      </c>
      <c r="C30" s="16" t="n">
        <f aca="false">+C29+T29</f>
        <v>568.57</v>
      </c>
      <c r="D30" s="17" t="n">
        <f aca="false">+Chạy!F33</f>
        <v>-9.26</v>
      </c>
      <c r="E30" s="17" t="n">
        <f aca="false">+D30+F30</f>
        <v>-9.2661</v>
      </c>
      <c r="F30" s="17" t="n">
        <f aca="false">RANDBETWEEN(-105,115)/10000</f>
        <v>-0.0061</v>
      </c>
      <c r="G30" s="17" t="n">
        <f aca="false">+Chạy!G33</f>
        <v>-1.35</v>
      </c>
      <c r="H30" s="17" t="n">
        <f aca="false">G30+I30</f>
        <v>-1.303</v>
      </c>
      <c r="I30" s="17" t="n">
        <f aca="false">RANDBETWEEN(-30,90)/1000</f>
        <v>0.047</v>
      </c>
      <c r="J30" s="17" t="n">
        <f aca="false">+Chạy!K33</f>
        <v>-1.35</v>
      </c>
      <c r="K30" s="17" t="n">
        <f aca="false">J30+L30</f>
        <v>-1.366</v>
      </c>
      <c r="L30" s="17" t="n">
        <f aca="false">RANDBETWEEN(-30,90)/1000</f>
        <v>-0.016</v>
      </c>
      <c r="M30" s="17" t="n">
        <f aca="false">+Chạy!N33</f>
        <v>9.58</v>
      </c>
      <c r="N30" s="17" t="n">
        <f aca="false">+M30+O30</f>
        <v>9.5766</v>
      </c>
      <c r="O30" s="17" t="n">
        <f aca="false">RANDBETWEEN(-105,115)/10000</f>
        <v>-0.0034</v>
      </c>
      <c r="P30" s="17" t="n">
        <f aca="false">+Chạy!O33</f>
        <v>-1.35</v>
      </c>
      <c r="Q30" s="17" t="n">
        <f aca="false">P30+R30</f>
        <v>-1.269</v>
      </c>
      <c r="R30" s="17" t="n">
        <f aca="false">RANDBETWEEN(-30,90)/1000</f>
        <v>0.081</v>
      </c>
      <c r="S30" s="18"/>
      <c r="T30" s="19" t="n">
        <v>6.55</v>
      </c>
    </row>
    <row r="31" customFormat="false" ht="15" hidden="false" customHeight="false" outlineLevel="0" collapsed="false">
      <c r="A31" s="14" t="n">
        <v>9</v>
      </c>
      <c r="B31" s="15" t="s">
        <v>1</v>
      </c>
      <c r="C31" s="16" t="n">
        <f aca="false">+C30+T30</f>
        <v>575.12</v>
      </c>
      <c r="D31" s="17" t="n">
        <f aca="false">+Chạy!F37</f>
        <v>-8.98</v>
      </c>
      <c r="E31" s="17" t="n">
        <f aca="false">+D31+F31</f>
        <v>-8.9825</v>
      </c>
      <c r="F31" s="17" t="n">
        <f aca="false">RANDBETWEEN(-105,115)/10000</f>
        <v>-0.0025</v>
      </c>
      <c r="G31" s="17" t="n">
        <f aca="false">+Chạy!G37</f>
        <v>-1.35</v>
      </c>
      <c r="H31" s="17" t="n">
        <f aca="false">G31+I31</f>
        <v>-1.3</v>
      </c>
      <c r="I31" s="17" t="n">
        <f aca="false">RANDBETWEEN(-30,90)/1000</f>
        <v>0.05</v>
      </c>
      <c r="J31" s="17" t="n">
        <f aca="false">+Chạy!K37</f>
        <v>-1.35</v>
      </c>
      <c r="K31" s="17" t="n">
        <f aca="false">J31+L31</f>
        <v>-1.373</v>
      </c>
      <c r="L31" s="17" t="n">
        <f aca="false">RANDBETWEEN(-30,90)/1000</f>
        <v>-0.023</v>
      </c>
      <c r="M31" s="17" t="n">
        <f aca="false">+Chạy!N37</f>
        <v>8.66</v>
      </c>
      <c r="N31" s="17" t="n">
        <f aca="false">+M31+O31</f>
        <v>8.656</v>
      </c>
      <c r="O31" s="17" t="n">
        <f aca="false">RANDBETWEEN(-105,115)/10000</f>
        <v>-0.004</v>
      </c>
      <c r="P31" s="17" t="n">
        <f aca="false">+Chạy!O37</f>
        <v>-1.35</v>
      </c>
      <c r="Q31" s="17" t="n">
        <f aca="false">P31+R31</f>
        <v>-1.265</v>
      </c>
      <c r="R31" s="17" t="n">
        <f aca="false">RANDBETWEEN(-30,90)/1000</f>
        <v>0.085</v>
      </c>
      <c r="S31" s="18"/>
      <c r="T31" s="19" t="n">
        <v>0.04</v>
      </c>
    </row>
    <row r="32" customFormat="false" ht="15" hidden="false" customHeight="false" outlineLevel="0" collapsed="false">
      <c r="A32" s="14" t="n">
        <v>10</v>
      </c>
      <c r="B32" s="15" t="s">
        <v>25</v>
      </c>
      <c r="C32" s="16" t="n">
        <f aca="false">+C31+T31</f>
        <v>575.16</v>
      </c>
      <c r="D32" s="17" t="n">
        <f aca="false">+Chạy!F41</f>
        <v>-8.98</v>
      </c>
      <c r="E32" s="17" t="n">
        <f aca="false">+D32+F32</f>
        <v>-8.977</v>
      </c>
      <c r="F32" s="17" t="n">
        <f aca="false">RANDBETWEEN(-105,115)/10000</f>
        <v>0.003</v>
      </c>
      <c r="G32" s="17" t="n">
        <f aca="false">+Chạy!G41</f>
        <v>-1.35</v>
      </c>
      <c r="H32" s="17" t="n">
        <f aca="false">G32+I32</f>
        <v>-1.347</v>
      </c>
      <c r="I32" s="17" t="n">
        <f aca="false">RANDBETWEEN(-30,90)/1000</f>
        <v>0.003</v>
      </c>
      <c r="J32" s="17" t="n">
        <f aca="false">+Chạy!K41</f>
        <v>-1.35</v>
      </c>
      <c r="K32" s="17" t="n">
        <f aca="false">J32+L32</f>
        <v>-1.267</v>
      </c>
      <c r="L32" s="17" t="n">
        <f aca="false">RANDBETWEEN(-30,90)/1000</f>
        <v>0.083</v>
      </c>
      <c r="M32" s="17" t="n">
        <f aca="false">+Chạy!N41</f>
        <v>8.43</v>
      </c>
      <c r="N32" s="17" t="n">
        <f aca="false">+M32+O32</f>
        <v>8.4212</v>
      </c>
      <c r="O32" s="17" t="n">
        <f aca="false">RANDBETWEEN(-105,115)/10000</f>
        <v>-0.0088</v>
      </c>
      <c r="P32" s="17" t="n">
        <f aca="false">+Chạy!O41</f>
        <v>-1.35</v>
      </c>
      <c r="Q32" s="17" t="n">
        <f aca="false">P32+R32</f>
        <v>-1.284</v>
      </c>
      <c r="R32" s="17" t="n">
        <f aca="false">RANDBETWEEN(-30,90)/1000</f>
        <v>0.066</v>
      </c>
      <c r="S32" s="18"/>
      <c r="T32" s="19" t="n">
        <v>16.95</v>
      </c>
    </row>
    <row r="33" customFormat="false" ht="15" hidden="false" customHeight="false" outlineLevel="0" collapsed="false">
      <c r="A33" s="14" t="n">
        <v>11</v>
      </c>
      <c r="B33" s="15" t="s">
        <v>26</v>
      </c>
      <c r="C33" s="16" t="n">
        <f aca="false">+C32+T32</f>
        <v>592.11</v>
      </c>
      <c r="D33" s="17" t="n">
        <f aca="false">+Chạy!F45</f>
        <v>-9.16</v>
      </c>
      <c r="E33" s="17" t="n">
        <f aca="false">+D33+F33</f>
        <v>-9.1696</v>
      </c>
      <c r="F33" s="17" t="n">
        <f aca="false">RANDBETWEEN(-105,115)/10000</f>
        <v>-0.0096</v>
      </c>
      <c r="G33" s="17" t="n">
        <f aca="false">+Chạy!G45</f>
        <v>-1.35</v>
      </c>
      <c r="H33" s="17" t="n">
        <f aca="false">G33+I33</f>
        <v>-1.333</v>
      </c>
      <c r="I33" s="17" t="n">
        <f aca="false">RANDBETWEEN(-30,90)/1000</f>
        <v>0.017</v>
      </c>
      <c r="J33" s="17" t="n">
        <f aca="false">+Chạy!K45</f>
        <v>-1.35</v>
      </c>
      <c r="K33" s="17" t="n">
        <f aca="false">J33+L33</f>
        <v>-1.334</v>
      </c>
      <c r="L33" s="17" t="n">
        <f aca="false">RANDBETWEEN(-30,90)/1000</f>
        <v>0.016</v>
      </c>
      <c r="M33" s="17" t="n">
        <f aca="false">+Chạy!N45</f>
        <v>9.21</v>
      </c>
      <c r="N33" s="17" t="n">
        <f aca="false">+M33+O33</f>
        <v>9.2165</v>
      </c>
      <c r="O33" s="17" t="n">
        <f aca="false">RANDBETWEEN(-105,115)/10000</f>
        <v>0.0065</v>
      </c>
      <c r="P33" s="17" t="n">
        <f aca="false">+Chạy!O45</f>
        <v>-1.35</v>
      </c>
      <c r="Q33" s="17" t="n">
        <f aca="false">P33+R33</f>
        <v>-1.327</v>
      </c>
      <c r="R33" s="17" t="n">
        <f aca="false">RANDBETWEEN(-30,90)/1000</f>
        <v>0.023</v>
      </c>
      <c r="S33" s="18"/>
      <c r="T33" s="19" t="n">
        <v>17</v>
      </c>
    </row>
    <row r="34" customFormat="false" ht="15" hidden="false" customHeight="false" outlineLevel="0" collapsed="false">
      <c r="A34" s="14" t="n">
        <v>12</v>
      </c>
      <c r="B34" s="15" t="s">
        <v>27</v>
      </c>
      <c r="C34" s="16" t="n">
        <f aca="false">+C33+T33</f>
        <v>609.11</v>
      </c>
      <c r="D34" s="17" t="n">
        <f aca="false">+Chạy!F49</f>
        <v>-8.37</v>
      </c>
      <c r="E34" s="17" t="n">
        <f aca="false">+D34+F34</f>
        <v>-8.3787</v>
      </c>
      <c r="F34" s="17" t="n">
        <f aca="false">RANDBETWEEN(-105,115)/10000</f>
        <v>-0.0087</v>
      </c>
      <c r="G34" s="17" t="n">
        <f aca="false">+Chạy!G49</f>
        <v>-1.35</v>
      </c>
      <c r="H34" s="17" t="n">
        <f aca="false">G34+I34</f>
        <v>-1.292</v>
      </c>
      <c r="I34" s="17" t="n">
        <f aca="false">RANDBETWEEN(-30,90)/1000</f>
        <v>0.058</v>
      </c>
      <c r="J34" s="17" t="n">
        <f aca="false">+Chạy!K49</f>
        <v>-1.35</v>
      </c>
      <c r="K34" s="17" t="n">
        <f aca="false">J34+L34</f>
        <v>-1.324</v>
      </c>
      <c r="L34" s="17" t="n">
        <f aca="false">RANDBETWEEN(-30,90)/1000</f>
        <v>0.026</v>
      </c>
      <c r="M34" s="17" t="n">
        <f aca="false">+Chạy!N49</f>
        <v>8.23</v>
      </c>
      <c r="N34" s="17" t="n">
        <f aca="false">+M34+O34</f>
        <v>8.234</v>
      </c>
      <c r="O34" s="17" t="n">
        <f aca="false">RANDBETWEEN(-105,115)/10000</f>
        <v>0.004</v>
      </c>
      <c r="P34" s="17" t="n">
        <f aca="false">+Chạy!O49</f>
        <v>-1.35</v>
      </c>
      <c r="Q34" s="17" t="n">
        <f aca="false">P34+R34</f>
        <v>-1.324</v>
      </c>
      <c r="R34" s="17" t="n">
        <f aca="false">RANDBETWEEN(-30,90)/1000</f>
        <v>0.026</v>
      </c>
      <c r="S34" s="18"/>
      <c r="T34" s="19"/>
    </row>
    <row r="35" customFormat="false" ht="15" hidden="true" customHeight="false" outlineLevel="0" collapsed="false">
      <c r="A35" s="14"/>
      <c r="B35" s="15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  <c r="T35" s="19"/>
    </row>
    <row r="36" customFormat="false" ht="15" hidden="true" customHeight="false" outlineLevel="0" collapsed="false">
      <c r="A36" s="14"/>
      <c r="B36" s="15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  <c r="T36" s="19"/>
    </row>
    <row r="37" customFormat="false" ht="15" hidden="true" customHeight="false" outlineLevel="0" collapsed="false">
      <c r="A37" s="14"/>
      <c r="B37" s="15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  <c r="T37" s="19"/>
    </row>
    <row r="38" customFormat="false" ht="15" hidden="true" customHeight="false" outlineLevel="0" collapsed="false">
      <c r="A38" s="14"/>
      <c r="B38" s="15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  <c r="T38" s="19"/>
    </row>
    <row r="39" customFormat="false" ht="15" hidden="true" customHeight="false" outlineLevel="0" collapsed="false">
      <c r="A39" s="14"/>
      <c r="B39" s="15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  <c r="T39" s="19"/>
    </row>
    <row r="40" customFormat="false" ht="15" hidden="true" customHeight="false" outlineLevel="0" collapsed="false">
      <c r="A40" s="14"/>
      <c r="B40" s="15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  <c r="T40" s="19"/>
    </row>
    <row r="41" customFormat="false" ht="15" hidden="true" customHeight="false" outlineLevel="0" collapsed="false">
      <c r="A41" s="14"/>
      <c r="B41" s="15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  <c r="T41" s="19"/>
    </row>
    <row r="42" customFormat="false" ht="15" hidden="true" customHeight="false" outlineLevel="0" collapsed="false">
      <c r="A42" s="14"/>
      <c r="B42" s="15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  <c r="T42" s="19"/>
    </row>
    <row r="43" customFormat="false" ht="15" hidden="true" customHeight="false" outlineLevel="0" collapsed="false">
      <c r="A43" s="14"/>
      <c r="B43" s="15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  <c r="T43" s="19"/>
    </row>
    <row r="44" customFormat="false" ht="15" hidden="true" customHeight="false" outlineLevel="0" collapsed="false">
      <c r="A44" s="14"/>
      <c r="B44" s="15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  <c r="T44" s="19"/>
    </row>
    <row r="45" customFormat="false" ht="15" hidden="true" customHeight="false" outlineLevel="0" collapsed="false">
      <c r="A45" s="14"/>
      <c r="B45" s="15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  <c r="T45" s="19"/>
    </row>
    <row r="46" customFormat="false" ht="15" hidden="true" customHeight="false" outlineLevel="0" collapsed="false">
      <c r="A46" s="14"/>
      <c r="B46" s="15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  <c r="T46" s="19"/>
    </row>
    <row r="47" customFormat="false" ht="15" hidden="true" customHeight="false" outlineLevel="0" collapsed="false">
      <c r="A47" s="14"/>
      <c r="B47" s="15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  <c r="T47" s="19"/>
    </row>
    <row r="48" customFormat="false" ht="15" hidden="true" customHeight="false" outlineLevel="0" collapsed="false">
      <c r="A48" s="14"/>
      <c r="B48" s="15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  <c r="T48" s="19"/>
    </row>
    <row r="49" customFormat="false" ht="15" hidden="true" customHeight="false" outlineLevel="0" collapsed="false">
      <c r="A49" s="14"/>
      <c r="B49" s="15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  <c r="T49" s="19"/>
    </row>
    <row r="50" customFormat="false" ht="15" hidden="true" customHeight="false" outlineLevel="0" collapsed="false">
      <c r="A50" s="14"/>
      <c r="B50" s="15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  <c r="T50" s="19"/>
    </row>
    <row r="51" customFormat="false" ht="15" hidden="true" customHeight="false" outlineLevel="0" collapsed="false">
      <c r="A51" s="14"/>
      <c r="B51" s="15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  <c r="T51" s="19"/>
    </row>
    <row r="52" customFormat="false" ht="15" hidden="true" customHeight="false" outlineLevel="0" collapsed="false">
      <c r="A52" s="14"/>
      <c r="B52" s="15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T52" s="19"/>
    </row>
    <row r="53" customFormat="false" ht="15" hidden="true" customHeight="false" outlineLevel="0" collapsed="false">
      <c r="A53" s="14"/>
      <c r="B53" s="15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  <c r="T53" s="19"/>
    </row>
    <row r="54" customFormat="false" ht="15" hidden="true" customHeight="false" outlineLevel="0" collapsed="false">
      <c r="A54" s="14"/>
      <c r="B54" s="15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  <c r="T54" s="19"/>
    </row>
    <row r="55" customFormat="false" ht="15" hidden="true" customHeight="false" outlineLevel="0" collapsed="false">
      <c r="A55" s="14"/>
      <c r="B55" s="15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  <c r="T55" s="19"/>
    </row>
    <row r="56" customFormat="false" ht="15" hidden="true" customHeight="false" outlineLevel="0" collapsed="false">
      <c r="A56" s="14"/>
      <c r="B56" s="15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T56" s="19"/>
    </row>
    <row r="57" customFormat="false" ht="15" hidden="true" customHeight="false" outlineLevel="0" collapsed="false">
      <c r="A57" s="14"/>
      <c r="B57" s="15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  <c r="T57" s="19"/>
    </row>
    <row r="58" customFormat="false" ht="15" hidden="true" customHeight="false" outlineLevel="0" collapsed="false">
      <c r="A58" s="14"/>
      <c r="B58" s="15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  <c r="T58" s="19"/>
    </row>
    <row r="59" customFormat="false" ht="15" hidden="true" customHeight="false" outlineLevel="0" collapsed="false">
      <c r="A59" s="14"/>
      <c r="B59" s="15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  <c r="T59" s="19"/>
    </row>
    <row r="60" customFormat="false" ht="15" hidden="true" customHeight="false" outlineLevel="0" collapsed="false">
      <c r="A60" s="14"/>
      <c r="B60" s="15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T60" s="19"/>
    </row>
    <row r="61" customFormat="false" ht="15" hidden="true" customHeight="false" outlineLevel="0" collapsed="false">
      <c r="A61" s="14"/>
      <c r="B61" s="15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  <c r="T61" s="19"/>
    </row>
    <row r="62" customFormat="false" ht="15" hidden="true" customHeight="false" outlineLevel="0" collapsed="false">
      <c r="A62" s="14"/>
      <c r="B62" s="15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  <c r="T62" s="19"/>
    </row>
    <row r="64" customFormat="false" ht="15" hidden="false" customHeight="false" outlineLevel="0" collapsed="false">
      <c r="C64" s="20" t="s">
        <v>50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51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52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53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">
        <v>29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">
        <v>35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25</v>
      </c>
      <c r="C11" s="16" t="n">
        <f aca="false">'1.KTHH L1'!C23</f>
        <v>489.19</v>
      </c>
      <c r="D11" s="14" t="n">
        <f aca="false">'1.KTHH L1'!T23</f>
        <v>13.17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Chạy!E5</f>
        <v>1.38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21.53295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D1</v>
      </c>
      <c r="C12" s="16" t="n">
        <f aca="false">'1.KTHH L1'!C24</f>
        <v>502.36</v>
      </c>
      <c r="D12" s="14" t="n">
        <f aca="false">'1.KTHH L1'!T24</f>
        <v>10.48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1.89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19.4928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26</v>
      </c>
      <c r="C13" s="16" t="n">
        <f aca="false">'1.KTHH L1'!C25</f>
        <v>512.84</v>
      </c>
      <c r="D13" s="14" t="n">
        <f aca="false">'1.KTHH L1'!T25</f>
        <v>16.78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Chạy!E13</f>
        <v>1.83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31.2108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27</v>
      </c>
      <c r="C14" s="16" t="n">
        <f aca="false">'1.KTHH L1'!C26</f>
        <v>529.62</v>
      </c>
      <c r="D14" s="14" t="n">
        <f aca="false">'1.KTHH L1'!T26</f>
        <v>17.1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1.89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27.9585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28</v>
      </c>
      <c r="C15" s="16" t="n">
        <f aca="false">'1.KTHH L1'!C27</f>
        <v>546.72</v>
      </c>
      <c r="D15" s="14" t="n">
        <f aca="false">'1.KTHH L1'!T27</f>
        <v>15.15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Chạy!E21</f>
        <v>1.38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24.24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E5</v>
      </c>
      <c r="C16" s="16" t="n">
        <f aca="false">'1.KTHH L1'!C28</f>
        <v>561.87</v>
      </c>
      <c r="D16" s="14" t="n">
        <f aca="false">'1.KTHH L1'!T28</f>
        <v>0.15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1.82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0.273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'1.KTHH L1'!B29</f>
        <v>TD</v>
      </c>
      <c r="C17" s="16" t="n">
        <f aca="false">'1.KTHH L1'!C29</f>
        <v>562.02</v>
      </c>
      <c r="D17" s="14" t="n">
        <f aca="false">'1.KTHH L1'!T29</f>
        <v>6.55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Chạy!E29</f>
        <v>1.82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12.08475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'1.KTHH L1'!B30</f>
        <v>P</v>
      </c>
      <c r="C18" s="16" t="n">
        <f aca="false">'1.KTHH L1'!C30</f>
        <v>568.57</v>
      </c>
      <c r="D18" s="14" t="n">
        <f aca="false">'1.KTHH L1'!T30</f>
        <v>6.55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Chạy!E33</f>
        <v>1.87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11.8555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'1.KTHH L1'!B31</f>
        <v>TC</v>
      </c>
      <c r="C19" s="16" t="n">
        <f aca="false">'1.KTHH L1'!C31</f>
        <v>575.12</v>
      </c>
      <c r="D19" s="14" t="n">
        <f aca="false">'1.KTHH L1'!T31</f>
        <v>0.04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Chạy!E37</f>
        <v>1.75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0.0696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'1.KTHH L1'!B32</f>
        <v>29</v>
      </c>
      <c r="C20" s="16" t="n">
        <f aca="false">'1.KTHH L1'!C32</f>
        <v>575.16</v>
      </c>
      <c r="D20" s="14" t="n">
        <f aca="false">'1.KTHH L1'!T32</f>
        <v>16.95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Chạy!E41</f>
        <v>1.73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30.171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'1.KTHH L1'!B33</f>
        <v>30</v>
      </c>
      <c r="C21" s="16" t="n">
        <f aca="false">'1.KTHH L1'!C33</f>
        <v>592.11</v>
      </c>
      <c r="D21" s="14" t="n">
        <f aca="false">'1.KTHH L1'!T33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 t="n">
        <f aca="false">Chạy!E45</f>
        <v>1.83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29.58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'1.KTHH L1'!B34</f>
        <v>31</v>
      </c>
      <c r="C22" s="16" t="n">
        <f aca="false">'1.KTHH L1'!C34</f>
        <v>609.11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 t="n">
        <f aca="false">Chạy!E49</f>
        <v>1.65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9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9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9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9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9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9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9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9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9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9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9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9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9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9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9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5" hidden="false" customHeight="true" outlineLevel="0" collapsed="false">
      <c r="A51" s="53" t="s">
        <v>61</v>
      </c>
      <c r="B51" s="53"/>
      <c r="C51" s="53"/>
      <c r="D51" s="53"/>
      <c r="E51" s="54"/>
      <c r="F51" s="54"/>
      <c r="G51" s="54"/>
      <c r="H51" s="54"/>
      <c r="I51" s="54"/>
      <c r="J51" s="54"/>
      <c r="K51" s="54"/>
      <c r="L51" s="54"/>
      <c r="M51" s="55"/>
      <c r="N51" s="55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SUM(W11:W22)</f>
        <v>208.4689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  <c r="AH51" s="62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50</v>
      </c>
      <c r="B53" s="20"/>
      <c r="C53" s="20"/>
      <c r="D53" s="65" t="s">
        <v>62</v>
      </c>
      <c r="E53" s="20" t="s">
        <v>51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H53" s="61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52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53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  <row r="106" customFormat="fals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</row>
    <row r="107" customFormat="fals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</row>
    <row r="108" customFormat="fals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">
        <v>63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">
        <v>64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489.19</v>
      </c>
      <c r="D23" s="17" t="n">
        <f aca="false">+Chạy!F4</f>
        <v>-8.85</v>
      </c>
      <c r="E23" s="17" t="n">
        <f aca="false">+D23+F23</f>
        <v>-8.8426</v>
      </c>
      <c r="F23" s="17" t="n">
        <f aca="false">RANDBETWEEN(-105,115)/10000</f>
        <v>0.0074</v>
      </c>
      <c r="G23" s="17" t="n">
        <f aca="false">+Chạy!G4</f>
        <v>-1.05</v>
      </c>
      <c r="H23" s="17" t="n">
        <f aca="false">G23+I23</f>
        <v>-1.059</v>
      </c>
      <c r="I23" s="17" t="n">
        <f aca="false">RANDBETWEEN(-30,90)/1000</f>
        <v>-0.009</v>
      </c>
      <c r="J23" s="17" t="n">
        <f aca="false">+Chạy!K4</f>
        <v>-1.05</v>
      </c>
      <c r="K23" s="17" t="n">
        <f aca="false">J23+L23</f>
        <v>-1.035</v>
      </c>
      <c r="L23" s="17" t="n">
        <f aca="false">RANDBETWEEN(-30,90)/1000</f>
        <v>0.015</v>
      </c>
      <c r="M23" s="17" t="n">
        <f aca="false">+Chạy!N4</f>
        <v>5.65</v>
      </c>
      <c r="N23" s="17" t="n">
        <f aca="false">+M23+O23</f>
        <v>5.6516</v>
      </c>
      <c r="O23" s="17" t="n">
        <f aca="false">RANDBETWEEN(-105,115)/10000</f>
        <v>0.0016</v>
      </c>
      <c r="P23" s="17" t="n">
        <f aca="false">+Chạy!O4</f>
        <v>-1.05</v>
      </c>
      <c r="Q23" s="17" t="n">
        <f aca="false">P23+R23</f>
        <v>-0.976</v>
      </c>
      <c r="R23" s="17" t="n">
        <f aca="false">RANDBETWEEN(-30,90)/1000</f>
        <v>0.074</v>
      </c>
      <c r="S23" s="18"/>
      <c r="T23" s="0" t="n">
        <v>13.17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502.36</v>
      </c>
      <c r="D24" s="17" t="n">
        <f aca="false">+Chạy!F8</f>
        <v>-9.87</v>
      </c>
      <c r="E24" s="17" t="n">
        <f aca="false">+D24+F24</f>
        <v>-9.8678</v>
      </c>
      <c r="F24" s="17" t="n">
        <f aca="false">RANDBETWEEN(-105,115)/10000</f>
        <v>0.0022</v>
      </c>
      <c r="G24" s="17" t="n">
        <f aca="false">+Chạy!G8</f>
        <v>-1.05</v>
      </c>
      <c r="H24" s="17" t="n">
        <f aca="false">G24+I24</f>
        <v>-1.054</v>
      </c>
      <c r="I24" s="17" t="n">
        <f aca="false">RANDBETWEEN(-30,90)/1000</f>
        <v>-0.004</v>
      </c>
      <c r="J24" s="17" t="n">
        <f aca="false">+Chạy!K8</f>
        <v>-1.05</v>
      </c>
      <c r="K24" s="17" t="n">
        <f aca="false">J24+L24</f>
        <v>-0.995</v>
      </c>
      <c r="L24" s="17" t="n">
        <f aca="false">RANDBETWEEN(-30,90)/1000</f>
        <v>0.055</v>
      </c>
      <c r="M24" s="17" t="n">
        <f aca="false">+Chạy!N8</f>
        <v>9.77</v>
      </c>
      <c r="N24" s="17" t="n">
        <f aca="false">+M24+O24</f>
        <v>9.7739</v>
      </c>
      <c r="O24" s="17" t="n">
        <f aca="false">RANDBETWEEN(-105,115)/10000</f>
        <v>0.0039</v>
      </c>
      <c r="P24" s="17" t="n">
        <f aca="false">+Chạy!O8</f>
        <v>-1.05</v>
      </c>
      <c r="Q24" s="17" t="n">
        <f aca="false">P24+R24</f>
        <v>-0.978</v>
      </c>
      <c r="R24" s="17" t="n">
        <f aca="false">RANDBETWEEN(-30,90)/1000</f>
        <v>0.072</v>
      </c>
      <c r="S24" s="18"/>
      <c r="T24" s="0" t="n">
        <v>10.48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512.84</v>
      </c>
      <c r="D25" s="17" t="n">
        <f aca="false">+Chạy!F12</f>
        <v>-9.31</v>
      </c>
      <c r="E25" s="17" t="n">
        <f aca="false">+D25+F25</f>
        <v>-9.3068</v>
      </c>
      <c r="F25" s="17" t="n">
        <f aca="false">RANDBETWEEN(-105,115)/10000</f>
        <v>0.0032</v>
      </c>
      <c r="G25" s="17" t="n">
        <f aca="false">+Chạy!G12</f>
        <v>-1.05</v>
      </c>
      <c r="H25" s="17" t="n">
        <f aca="false">G25+I25</f>
        <v>-1.021</v>
      </c>
      <c r="I25" s="17" t="n">
        <f aca="false">RANDBETWEEN(-30,90)/1000</f>
        <v>0.029</v>
      </c>
      <c r="J25" s="17" t="n">
        <f aca="false">+Chạy!K12</f>
        <v>-1.05</v>
      </c>
      <c r="K25" s="17" t="n">
        <f aca="false">J25+L25</f>
        <v>-1.056</v>
      </c>
      <c r="L25" s="17" t="n">
        <f aca="false">RANDBETWEEN(-30,90)/1000</f>
        <v>-0.006</v>
      </c>
      <c r="M25" s="17" t="n">
        <f aca="false">+Chạy!N12</f>
        <v>9.68</v>
      </c>
      <c r="N25" s="17" t="n">
        <f aca="false">+M25+O25</f>
        <v>9.6842</v>
      </c>
      <c r="O25" s="17" t="n">
        <f aca="false">RANDBETWEEN(-105,115)/10000</f>
        <v>0.0042</v>
      </c>
      <c r="P25" s="17" t="n">
        <f aca="false">+Chạy!O12</f>
        <v>-1.05</v>
      </c>
      <c r="Q25" s="17" t="n">
        <f aca="false">P25+R25</f>
        <v>-1.049</v>
      </c>
      <c r="R25" s="17" t="n">
        <f aca="false">RANDBETWEEN(-30,90)/1000</f>
        <v>0.001</v>
      </c>
      <c r="S25" s="18"/>
      <c r="T25" s="0" t="n">
        <v>16.78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529.62</v>
      </c>
      <c r="D26" s="17" t="n">
        <f aca="false">+Chạy!F16</f>
        <v>-9.74</v>
      </c>
      <c r="E26" s="17" t="n">
        <f aca="false">+D26+F26</f>
        <v>-9.7446</v>
      </c>
      <c r="F26" s="17" t="n">
        <f aca="false">RANDBETWEEN(-105,115)/10000</f>
        <v>-0.0046</v>
      </c>
      <c r="G26" s="17" t="n">
        <f aca="false">+Chạy!G16</f>
        <v>-1.05</v>
      </c>
      <c r="H26" s="17" t="n">
        <f aca="false">G26+I26</f>
        <v>-1.077</v>
      </c>
      <c r="I26" s="17" t="n">
        <f aca="false">RANDBETWEEN(-30,90)/1000</f>
        <v>-0.027</v>
      </c>
      <c r="J26" s="17" t="n">
        <f aca="false">+Chạy!K16</f>
        <v>-1.05</v>
      </c>
      <c r="K26" s="17" t="n">
        <f aca="false">J26+L26</f>
        <v>-1.031</v>
      </c>
      <c r="L26" s="17" t="n">
        <f aca="false">RANDBETWEEN(-30,90)/1000</f>
        <v>0.019</v>
      </c>
      <c r="M26" s="17" t="n">
        <f aca="false">+Chạy!N16</f>
        <v>9.82</v>
      </c>
      <c r="N26" s="17" t="n">
        <f aca="false">+M26+O26</f>
        <v>9.8171</v>
      </c>
      <c r="O26" s="17" t="n">
        <f aca="false">RANDBETWEEN(-105,115)/10000</f>
        <v>-0.0029</v>
      </c>
      <c r="P26" s="17" t="n">
        <f aca="false">+Chạy!O16</f>
        <v>-1.05</v>
      </c>
      <c r="Q26" s="17" t="n">
        <f aca="false">P26+R26</f>
        <v>-1.031</v>
      </c>
      <c r="R26" s="17" t="n">
        <f aca="false">RANDBETWEEN(-30,90)/1000</f>
        <v>0.019</v>
      </c>
      <c r="S26" s="18"/>
      <c r="T26" s="0" t="n">
        <v>17.1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546.72</v>
      </c>
      <c r="D27" s="17" t="n">
        <f aca="false">+Chạy!F20</f>
        <v>-5.65</v>
      </c>
      <c r="E27" s="17" t="n">
        <f aca="false">+D27+F27</f>
        <v>-5.6408</v>
      </c>
      <c r="F27" s="17" t="n">
        <f aca="false">RANDBETWEEN(-105,115)/10000</f>
        <v>0.0092</v>
      </c>
      <c r="G27" s="17" t="n">
        <f aca="false">+Chạy!G20</f>
        <v>-1.05</v>
      </c>
      <c r="H27" s="17" t="n">
        <f aca="false">G27+I27</f>
        <v>-1.039</v>
      </c>
      <c r="I27" s="17" t="n">
        <f aca="false">RANDBETWEEN(-30,90)/1000</f>
        <v>0.011</v>
      </c>
      <c r="J27" s="17" t="n">
        <f aca="false">+Chạy!K20</f>
        <v>-1.05</v>
      </c>
      <c r="K27" s="17" t="n">
        <f aca="false">J27+L27</f>
        <v>-1.043</v>
      </c>
      <c r="L27" s="17" t="n">
        <f aca="false">RANDBETWEEN(-30,90)/1000</f>
        <v>0.007</v>
      </c>
      <c r="M27" s="17" t="n">
        <f aca="false">+Chạy!N20</f>
        <v>8.89</v>
      </c>
      <c r="N27" s="17" t="n">
        <f aca="false">+M27+O27</f>
        <v>8.8918</v>
      </c>
      <c r="O27" s="17" t="n">
        <f aca="false">RANDBETWEEN(-105,115)/10000</f>
        <v>0.0018</v>
      </c>
      <c r="P27" s="17" t="n">
        <f aca="false">+Chạy!O20</f>
        <v>-1.05</v>
      </c>
      <c r="Q27" s="17" t="n">
        <f aca="false">P27+R27</f>
        <v>-1.061</v>
      </c>
      <c r="R27" s="17" t="n">
        <f aca="false">RANDBETWEEN(-30,90)/1000</f>
        <v>-0.011</v>
      </c>
      <c r="S27" s="18"/>
      <c r="T27" s="0" t="n">
        <v>15.15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561.87</v>
      </c>
      <c r="D28" s="17" t="n">
        <f aca="false">+Chạy!F24</f>
        <v>-9.39</v>
      </c>
      <c r="E28" s="17" t="n">
        <f aca="false">+D28+F28</f>
        <v>-9.3875</v>
      </c>
      <c r="F28" s="17" t="n">
        <f aca="false">RANDBETWEEN(-105,115)/10000</f>
        <v>0.0025</v>
      </c>
      <c r="G28" s="17" t="n">
        <f aca="false">+Chạy!G24</f>
        <v>-1.05</v>
      </c>
      <c r="H28" s="17" t="n">
        <f aca="false">G28+I28</f>
        <v>-1.065</v>
      </c>
      <c r="I28" s="17" t="n">
        <f aca="false">RANDBETWEEN(-30,90)/1000</f>
        <v>-0.015</v>
      </c>
      <c r="J28" s="17" t="n">
        <f aca="false">+Chạy!K24</f>
        <v>-1.05</v>
      </c>
      <c r="K28" s="17" t="n">
        <f aca="false">J28+L28</f>
        <v>-0.994</v>
      </c>
      <c r="L28" s="17" t="n">
        <f aca="false">RANDBETWEEN(-30,90)/1000</f>
        <v>0.056</v>
      </c>
      <c r="M28" s="17" t="n">
        <f aca="false">+Chạy!N24</f>
        <v>9.52</v>
      </c>
      <c r="N28" s="17" t="n">
        <f aca="false">+M28+O28</f>
        <v>9.5275</v>
      </c>
      <c r="O28" s="17" t="n">
        <f aca="false">RANDBETWEEN(-105,115)/10000</f>
        <v>0.0075</v>
      </c>
      <c r="P28" s="17" t="n">
        <f aca="false">+Chạy!O24</f>
        <v>-1.05</v>
      </c>
      <c r="Q28" s="17" t="n">
        <f aca="false">P28+R28</f>
        <v>-0.995</v>
      </c>
      <c r="R28" s="17" t="n">
        <f aca="false">RANDBETWEEN(-30,90)/1000</f>
        <v>0.055</v>
      </c>
      <c r="S28" s="18"/>
      <c r="T28" s="0" t="n">
        <v>0.15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562.02</v>
      </c>
      <c r="D29" s="17" t="n">
        <f aca="false">+Chạy!F28</f>
        <v>-9.39</v>
      </c>
      <c r="E29" s="17" t="n">
        <f aca="false">+D29+F29</f>
        <v>-9.3829</v>
      </c>
      <c r="F29" s="17" t="n">
        <f aca="false">RANDBETWEEN(-105,115)/10000</f>
        <v>0.0071</v>
      </c>
      <c r="G29" s="17" t="n">
        <f aca="false">+Chạy!G28</f>
        <v>-1.05</v>
      </c>
      <c r="H29" s="17" t="n">
        <f aca="false">G29+I29</f>
        <v>-0.976</v>
      </c>
      <c r="I29" s="17" t="n">
        <f aca="false">RANDBETWEEN(-30,90)/1000</f>
        <v>0.074</v>
      </c>
      <c r="J29" s="17" t="n">
        <f aca="false">+Chạy!K28</f>
        <v>-1.05</v>
      </c>
      <c r="K29" s="17" t="n">
        <f aca="false">J29+L29</f>
        <v>-1.035</v>
      </c>
      <c r="L29" s="17" t="n">
        <f aca="false">RANDBETWEEN(-30,90)/1000</f>
        <v>0.015</v>
      </c>
      <c r="M29" s="17" t="n">
        <f aca="false">+Chạy!N28</f>
        <v>9.53</v>
      </c>
      <c r="N29" s="17" t="n">
        <f aca="false">+M29+O29</f>
        <v>9.5375</v>
      </c>
      <c r="O29" s="17" t="n">
        <f aca="false">RANDBETWEEN(-105,115)/10000</f>
        <v>0.0075</v>
      </c>
      <c r="P29" s="17" t="n">
        <f aca="false">+Chạy!O28</f>
        <v>-1.05</v>
      </c>
      <c r="Q29" s="17" t="n">
        <f aca="false">P29+R29</f>
        <v>-1.045</v>
      </c>
      <c r="R29" s="17" t="n">
        <f aca="false">RANDBETWEEN(-30,90)/1000</f>
        <v>0.005</v>
      </c>
      <c r="S29" s="18"/>
      <c r="T29" s="0" t="n">
        <v>6.55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568.57</v>
      </c>
      <c r="D30" s="17" t="n">
        <f aca="false">+Chạy!F32</f>
        <v>-9.56</v>
      </c>
      <c r="E30" s="17" t="n">
        <f aca="false">+D30+F30</f>
        <v>-9.5532</v>
      </c>
      <c r="F30" s="17" t="n">
        <f aca="false">RANDBETWEEN(-105,115)/10000</f>
        <v>0.0068</v>
      </c>
      <c r="G30" s="17" t="n">
        <f aca="false">+Chạy!G32</f>
        <v>-1.05</v>
      </c>
      <c r="H30" s="17" t="n">
        <f aca="false">G30+I30</f>
        <v>-1.033</v>
      </c>
      <c r="I30" s="17" t="n">
        <f aca="false">RANDBETWEEN(-30,90)/1000</f>
        <v>0.017</v>
      </c>
      <c r="J30" s="17" t="n">
        <f aca="false">+Chạy!K32</f>
        <v>-1.05</v>
      </c>
      <c r="K30" s="17" t="n">
        <f aca="false">J30+L30</f>
        <v>-0.985</v>
      </c>
      <c r="L30" s="17" t="n">
        <f aca="false">RANDBETWEEN(-30,90)/1000</f>
        <v>0.065</v>
      </c>
      <c r="M30" s="17" t="n">
        <f aca="false">+Chạy!N32</f>
        <v>9.88</v>
      </c>
      <c r="N30" s="17" t="n">
        <f aca="false">+M30+O30</f>
        <v>9.8841</v>
      </c>
      <c r="O30" s="17" t="n">
        <f aca="false">RANDBETWEEN(-105,115)/10000</f>
        <v>0.0041</v>
      </c>
      <c r="P30" s="17" t="n">
        <f aca="false">+Chạy!O32</f>
        <v>-1.05</v>
      </c>
      <c r="Q30" s="17" t="n">
        <f aca="false">P30+R30</f>
        <v>-1.034</v>
      </c>
      <c r="R30" s="17" t="n">
        <f aca="false">RANDBETWEEN(-30,90)/1000</f>
        <v>0.016</v>
      </c>
      <c r="S30" s="18"/>
      <c r="T30" s="0" t="n">
        <v>6.55</v>
      </c>
    </row>
    <row r="31" customFormat="false" ht="15" hidden="false" customHeight="false" outlineLevel="0" collapsed="false">
      <c r="A31" s="14" t="n">
        <v>9</v>
      </c>
      <c r="B31" s="14" t="s">
        <v>1</v>
      </c>
      <c r="C31" s="71" t="n">
        <f aca="false">+C30+T30</f>
        <v>575.12</v>
      </c>
      <c r="D31" s="17" t="n">
        <f aca="false">+Chạy!F36</f>
        <v>-9.28</v>
      </c>
      <c r="E31" s="17" t="n">
        <f aca="false">+D31+F31</f>
        <v>-9.2828</v>
      </c>
      <c r="F31" s="17" t="n">
        <f aca="false">RANDBETWEEN(-105,115)/10000</f>
        <v>-0.0028</v>
      </c>
      <c r="G31" s="17" t="n">
        <f aca="false">+Chạy!G36</f>
        <v>-1.05</v>
      </c>
      <c r="H31" s="17" t="n">
        <f aca="false">G31+I31</f>
        <v>-1.041</v>
      </c>
      <c r="I31" s="17" t="n">
        <f aca="false">RANDBETWEEN(-30,90)/1000</f>
        <v>0.009</v>
      </c>
      <c r="J31" s="17" t="n">
        <f aca="false">+Chạy!K36</f>
        <v>-1.05</v>
      </c>
      <c r="K31" s="17" t="n">
        <f aca="false">J31+L31</f>
        <v>-0.981</v>
      </c>
      <c r="L31" s="17" t="n">
        <f aca="false">RANDBETWEEN(-30,90)/1000</f>
        <v>0.069</v>
      </c>
      <c r="M31" s="17" t="n">
        <f aca="false">+Chạy!N36</f>
        <v>8.96</v>
      </c>
      <c r="N31" s="17" t="n">
        <f aca="false">+M31+O31</f>
        <v>8.9542</v>
      </c>
      <c r="O31" s="17" t="n">
        <f aca="false">RANDBETWEEN(-105,115)/10000</f>
        <v>-0.0058</v>
      </c>
      <c r="P31" s="17" t="n">
        <f aca="false">+Chạy!O36</f>
        <v>-1.05</v>
      </c>
      <c r="Q31" s="17" t="n">
        <f aca="false">P31+R31</f>
        <v>-0.966</v>
      </c>
      <c r="R31" s="17" t="n">
        <f aca="false">RANDBETWEEN(-30,90)/1000</f>
        <v>0.084</v>
      </c>
      <c r="S31" s="18"/>
      <c r="T31" s="0" t="n">
        <v>0.04</v>
      </c>
    </row>
    <row r="32" customFormat="false" ht="15" hidden="false" customHeight="false" outlineLevel="0" collapsed="false">
      <c r="A32" s="14" t="n">
        <v>10</v>
      </c>
      <c r="B32" s="14" t="s">
        <v>25</v>
      </c>
      <c r="C32" s="71" t="n">
        <f aca="false">+C31+T31</f>
        <v>575.16</v>
      </c>
      <c r="D32" s="17" t="n">
        <f aca="false">+Chạy!F40</f>
        <v>-9.28</v>
      </c>
      <c r="E32" s="17" t="n">
        <f aca="false">+D32+F32</f>
        <v>-9.2749</v>
      </c>
      <c r="F32" s="17" t="n">
        <f aca="false">RANDBETWEEN(-105,115)/10000</f>
        <v>0.0051</v>
      </c>
      <c r="G32" s="17" t="n">
        <f aca="false">+Chạy!G40</f>
        <v>-1.05</v>
      </c>
      <c r="H32" s="17" t="n">
        <f aca="false">G32+I32</f>
        <v>-1.047</v>
      </c>
      <c r="I32" s="17" t="n">
        <f aca="false">RANDBETWEEN(-30,90)/1000</f>
        <v>0.003</v>
      </c>
      <c r="J32" s="17" t="n">
        <f aca="false">+Chạy!K40</f>
        <v>-1.05</v>
      </c>
      <c r="K32" s="17" t="n">
        <f aca="false">J32+L32</f>
        <v>-1.027</v>
      </c>
      <c r="L32" s="17" t="n">
        <f aca="false">RANDBETWEEN(-30,90)/1000</f>
        <v>0.023</v>
      </c>
      <c r="M32" s="17" t="n">
        <f aca="false">+Chạy!N40</f>
        <v>8.73</v>
      </c>
      <c r="N32" s="17" t="n">
        <f aca="false">+M32+O32</f>
        <v>8.7333</v>
      </c>
      <c r="O32" s="17" t="n">
        <f aca="false">RANDBETWEEN(-105,115)/10000</f>
        <v>0.0033</v>
      </c>
      <c r="P32" s="17" t="n">
        <f aca="false">+Chạy!O40</f>
        <v>-1.05</v>
      </c>
      <c r="Q32" s="17" t="n">
        <f aca="false">P32+R32</f>
        <v>-1.038</v>
      </c>
      <c r="R32" s="17" t="n">
        <f aca="false">RANDBETWEEN(-30,90)/1000</f>
        <v>0.012</v>
      </c>
      <c r="S32" s="18"/>
      <c r="T32" s="0" t="n">
        <v>16.95</v>
      </c>
    </row>
    <row r="33" customFormat="false" ht="15" hidden="false" customHeight="false" outlineLevel="0" collapsed="false">
      <c r="A33" s="14" t="n">
        <v>11</v>
      </c>
      <c r="B33" s="14" t="s">
        <v>26</v>
      </c>
      <c r="C33" s="71" t="n">
        <f aca="false">+C32+T32</f>
        <v>592.11</v>
      </c>
      <c r="D33" s="17" t="n">
        <f aca="false">+Chạy!F44</f>
        <v>-9.46</v>
      </c>
      <c r="E33" s="17" t="n">
        <f aca="false">+D33+F33</f>
        <v>-9.4535</v>
      </c>
      <c r="F33" s="17" t="n">
        <f aca="false">RANDBETWEEN(-105,115)/10000</f>
        <v>0.0065</v>
      </c>
      <c r="G33" s="17" t="n">
        <f aca="false">+Chạy!G44</f>
        <v>-1.05</v>
      </c>
      <c r="H33" s="17" t="n">
        <f aca="false">G33+I33</f>
        <v>-0.992</v>
      </c>
      <c r="I33" s="17" t="n">
        <f aca="false">RANDBETWEEN(-30,90)/1000</f>
        <v>0.058</v>
      </c>
      <c r="J33" s="17" t="n">
        <f aca="false">+Chạy!K44</f>
        <v>-1.05</v>
      </c>
      <c r="K33" s="17" t="n">
        <f aca="false">J33+L33</f>
        <v>-0.967</v>
      </c>
      <c r="L33" s="17" t="n">
        <f aca="false">RANDBETWEEN(-30,90)/1000</f>
        <v>0.083</v>
      </c>
      <c r="M33" s="17" t="n">
        <f aca="false">+Chạy!N44</f>
        <v>9.51</v>
      </c>
      <c r="N33" s="17" t="n">
        <f aca="false">+M33+O33</f>
        <v>9.5079</v>
      </c>
      <c r="O33" s="17" t="n">
        <f aca="false">RANDBETWEEN(-105,115)/10000</f>
        <v>-0.0021</v>
      </c>
      <c r="P33" s="17" t="n">
        <f aca="false">+Chạy!O44</f>
        <v>-1.05</v>
      </c>
      <c r="Q33" s="17" t="n">
        <f aca="false">P33+R33</f>
        <v>-0.981</v>
      </c>
      <c r="R33" s="17" t="n">
        <f aca="false">RANDBETWEEN(-30,90)/1000</f>
        <v>0.069</v>
      </c>
      <c r="S33" s="18"/>
      <c r="T33" s="0" t="n">
        <v>17</v>
      </c>
    </row>
    <row r="34" customFormat="false" ht="15" hidden="false" customHeight="false" outlineLevel="0" collapsed="false">
      <c r="A34" s="14" t="n">
        <v>12</v>
      </c>
      <c r="B34" s="14" t="s">
        <v>27</v>
      </c>
      <c r="C34" s="71" t="n">
        <f aca="false">+C33+T33</f>
        <v>609.11</v>
      </c>
      <c r="D34" s="17" t="n">
        <f aca="false">+Chạy!F48</f>
        <v>-8.67</v>
      </c>
      <c r="E34" s="17" t="n">
        <f aca="false">+D34+F34</f>
        <v>-8.6595</v>
      </c>
      <c r="F34" s="17" t="n">
        <f aca="false">RANDBETWEEN(-105,115)/10000</f>
        <v>0.0105</v>
      </c>
      <c r="G34" s="17" t="n">
        <f aca="false">+Chạy!G48</f>
        <v>-1.05</v>
      </c>
      <c r="H34" s="17" t="n">
        <f aca="false">G34+I34</f>
        <v>-1.08</v>
      </c>
      <c r="I34" s="17" t="n">
        <f aca="false">RANDBETWEEN(-30,90)/1000</f>
        <v>-0.03</v>
      </c>
      <c r="J34" s="17" t="n">
        <f aca="false">+Chạy!K48</f>
        <v>-1.05</v>
      </c>
      <c r="K34" s="17" t="n">
        <f aca="false">J34+L34</f>
        <v>-1.041</v>
      </c>
      <c r="L34" s="17" t="n">
        <f aca="false">RANDBETWEEN(-30,90)/1000</f>
        <v>0.009</v>
      </c>
      <c r="M34" s="17" t="n">
        <f aca="false">+Chạy!N48</f>
        <v>8.53</v>
      </c>
      <c r="N34" s="17" t="n">
        <f aca="false">+M34+O34</f>
        <v>8.5334</v>
      </c>
      <c r="O34" s="17" t="n">
        <f aca="false">RANDBETWEEN(-105,115)/10000</f>
        <v>0.0034</v>
      </c>
      <c r="P34" s="17" t="n">
        <f aca="false">+Chạy!O48</f>
        <v>-1.05</v>
      </c>
      <c r="Q34" s="17" t="n">
        <f aca="false">P34+R34</f>
        <v>-1.078</v>
      </c>
      <c r="R34" s="17" t="n">
        <f aca="false">RANDBETWEEN(-30,90)/1000</f>
        <v>-0.028</v>
      </c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8" customFormat="false" ht="15" hidden="true" customHeight="false" outlineLevel="0" collapsed="false">
      <c r="A48" s="14"/>
      <c r="B48" s="14"/>
      <c r="C48" s="71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</row>
    <row r="49" customFormat="false" ht="15" hidden="true" customHeight="false" outlineLevel="0" collapsed="false">
      <c r="A49" s="14"/>
      <c r="B49" s="14"/>
      <c r="C49" s="71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</row>
    <row r="50" customFormat="false" ht="15" hidden="true" customHeight="false" outlineLevel="0" collapsed="false">
      <c r="A50" s="14"/>
      <c r="B50" s="14"/>
      <c r="C50" s="71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</row>
    <row r="51" customFormat="false" ht="15" hidden="true" customHeight="false" outlineLevel="0" collapsed="false">
      <c r="A51" s="14"/>
      <c r="B51" s="14"/>
      <c r="C51" s="71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</row>
    <row r="52" customFormat="false" ht="15" hidden="true" customHeight="false" outlineLevel="0" collapsed="false">
      <c r="A52" s="14"/>
      <c r="B52" s="14"/>
      <c r="C52" s="71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</row>
    <row r="53" customFormat="false" ht="15" hidden="true" customHeight="false" outlineLevel="0" collapsed="false">
      <c r="A53" s="14"/>
      <c r="B53" s="14"/>
      <c r="C53" s="71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</row>
    <row r="54" customFormat="false" ht="15" hidden="true" customHeight="false" outlineLevel="0" collapsed="false">
      <c r="A54" s="14"/>
      <c r="B54" s="14"/>
      <c r="C54" s="71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</row>
    <row r="55" customFormat="false" ht="15" hidden="true" customHeight="false" outlineLevel="0" collapsed="false">
      <c r="A55" s="14"/>
      <c r="B55" s="14"/>
      <c r="C55" s="7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</row>
    <row r="56" customFormat="false" ht="15" hidden="true" customHeight="false" outlineLevel="0" collapsed="false">
      <c r="A56" s="14"/>
      <c r="B56" s="14"/>
      <c r="C56" s="71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</row>
    <row r="57" customFormat="false" ht="15" hidden="true" customHeight="false" outlineLevel="0" collapsed="false">
      <c r="A57" s="14"/>
      <c r="B57" s="14"/>
      <c r="C57" s="71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</row>
    <row r="58" customFormat="false" ht="15" hidden="true" customHeight="false" outlineLevel="0" collapsed="false">
      <c r="A58" s="14"/>
      <c r="B58" s="14"/>
      <c r="C58" s="71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</row>
    <row r="59" customFormat="false" ht="15" hidden="true" customHeight="false" outlineLevel="0" collapsed="false">
      <c r="A59" s="14"/>
      <c r="B59" s="14"/>
      <c r="C59" s="71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</row>
    <row r="60" customFormat="false" ht="15" hidden="true" customHeight="false" outlineLevel="0" collapsed="false">
      <c r="A60" s="14"/>
      <c r="B60" s="14"/>
      <c r="C60" s="71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</row>
    <row r="61" customFormat="false" ht="15" hidden="true" customHeight="false" outlineLevel="0" collapsed="false">
      <c r="A61" s="14"/>
      <c r="B61" s="14"/>
      <c r="C61" s="71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</row>
    <row r="62" customFormat="false" ht="15" hidden="true" customHeight="false" outlineLevel="0" collapsed="false">
      <c r="A62" s="14"/>
      <c r="B62" s="14"/>
      <c r="C62" s="71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</row>
    <row r="64" customFormat="false" ht="15" hidden="false" customHeight="false" outlineLevel="0" collapsed="false">
      <c r="C64" s="20" t="s">
        <v>50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51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52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53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">
        <v>63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">
        <v>64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25</v>
      </c>
      <c r="C11" s="16" t="n">
        <f aca="false">'2.KTHH L2'!C23</f>
        <v>489.19</v>
      </c>
      <c r="D11" s="14" t="n">
        <f aca="false">'2.KTHH L2'!T23</f>
        <v>13.17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Chạy!E4</f>
        <v>4.26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66.2451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D1</v>
      </c>
      <c r="C12" s="16" t="n">
        <f aca="false">'2.KTHH L2'!C24</f>
        <v>502.36</v>
      </c>
      <c r="D12" s="14" t="n">
        <f aca="false">'2.KTHH L2'!T24</f>
        <v>10.48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5.8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59.7884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26</v>
      </c>
      <c r="C13" s="16" t="n">
        <f aca="false">'2.KTHH L2'!C25</f>
        <v>512.84</v>
      </c>
      <c r="D13" s="14" t="n">
        <f aca="false">'2.KTHH L2'!T25</f>
        <v>16.78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Chạy!E12</f>
        <v>5.61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95.5621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27</v>
      </c>
      <c r="C14" s="16" t="n">
        <f aca="false">'2.KTHH L2'!C26</f>
        <v>529.62</v>
      </c>
      <c r="D14" s="14" t="n">
        <f aca="false">'2.KTHH L2'!T26</f>
        <v>17.1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5.78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85.9275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28</v>
      </c>
      <c r="C15" s="16" t="n">
        <f aca="false">'2.KTHH L2'!C27</f>
        <v>546.72</v>
      </c>
      <c r="D15" s="14" t="n">
        <f aca="false">'2.KTHH L2'!T27</f>
        <v>15.15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Chạy!E20</f>
        <v>4.27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74.61375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E5</v>
      </c>
      <c r="C16" s="16" t="n">
        <f aca="false">'2.KTHH L2'!C28</f>
        <v>561.87</v>
      </c>
      <c r="D16" s="14" t="n">
        <f aca="false">'2.KTHH L2'!T28</f>
        <v>0.15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5.58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0.83775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'2.KTHH L2'!B29</f>
        <v>TD</v>
      </c>
      <c r="C17" s="16" t="n">
        <f aca="false">'2.KTHH L2'!C29</f>
        <v>562.02</v>
      </c>
      <c r="D17" s="14" t="n">
        <f aca="false">'2.KTHH L2'!T29</f>
        <v>6.55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Chạy!E28</f>
        <v>5.59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37.10575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'2.KTHH L2'!B30</f>
        <v>P</v>
      </c>
      <c r="C18" s="16" t="n">
        <f aca="false">'2.KTHH L2'!C30</f>
        <v>568.57</v>
      </c>
      <c r="D18" s="14" t="n">
        <f aca="false">'2.KTHH L2'!T30</f>
        <v>6.55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Chạy!E32</f>
        <v>5.74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36.418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'2.KTHH L2'!B31</f>
        <v>TC</v>
      </c>
      <c r="C19" s="16" t="n">
        <f aca="false">'2.KTHH L2'!C31</f>
        <v>575.12</v>
      </c>
      <c r="D19" s="14" t="n">
        <f aca="false">'2.KTHH L2'!T31</f>
        <v>0.04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Chạy!E36</f>
        <v>5.38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0.2138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'2.KTHH L2'!B32</f>
        <v>29</v>
      </c>
      <c r="C20" s="16" t="n">
        <f aca="false">'2.KTHH L2'!C32</f>
        <v>575.16</v>
      </c>
      <c r="D20" s="14" t="n">
        <f aca="false">'2.KTHH L2'!T32</f>
        <v>16.95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Chạy!E40</f>
        <v>5.31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92.46225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'2.KTHH L2'!B33</f>
        <v>30</v>
      </c>
      <c r="C21" s="16" t="n">
        <f aca="false">'2.KTHH L2'!C33</f>
        <v>592.11</v>
      </c>
      <c r="D21" s="14" t="n">
        <f aca="false">'2.KTHH L2'!T33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 t="n">
        <f aca="false">Chạy!E44</f>
        <v>5.6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90.695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'2.KTHH L2'!B34</f>
        <v>31</v>
      </c>
      <c r="C22" s="16" t="n">
        <f aca="false">'2.KTHH L2'!C34</f>
        <v>609.11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 t="n">
        <f aca="false">Chạy!E48</f>
        <v>5.07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7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7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7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7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7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7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7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7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7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7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7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7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7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7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7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4.25" hidden="false" customHeight="true" outlineLevel="0" collapsed="false">
      <c r="A51" s="35" t="s">
        <v>61</v>
      </c>
      <c r="B51" s="35"/>
      <c r="C51" s="35"/>
      <c r="D51" s="35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SUM(W11:W22)</f>
        <v>639.8694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50</v>
      </c>
      <c r="B53" s="20"/>
      <c r="C53" s="20"/>
      <c r="D53" s="65" t="s">
        <v>62</v>
      </c>
      <c r="E53" s="20" t="s">
        <v>51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52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53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6.5" hidden="false" customHeight="true" outlineLevel="0" collapsed="false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0"/>
    </row>
    <row r="83" customFormat="false" ht="16.5" hidden="false" customHeight="true" outlineLevel="0" collapsed="false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0"/>
    </row>
    <row r="84" customFormat="false" ht="16.5" hidden="false" customHeight="true" outlineLevel="0" collapsed="false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0"/>
    </row>
    <row r="85" customFormat="false" ht="16.5" hidden="false" customHeight="true" outlineLevel="0" collapsed="false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0"/>
    </row>
    <row r="86" customFormat="false" ht="16.5" hidden="false" customHeight="true" outlineLevel="0" collapsed="false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0"/>
    </row>
    <row r="87" customFormat="false" ht="16.5" hidden="false" customHeight="true" outlineLevel="0" collapsed="false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0"/>
    </row>
    <row r="88" customFormat="false" ht="16.5" hidden="false" customHeight="true" outlineLevel="0" collapsed="false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0"/>
    </row>
    <row r="89" customFormat="false" ht="16.5" hidden="false" customHeight="true" outlineLevel="0" collapsed="false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0"/>
    </row>
    <row r="90" customFormat="false" ht="16.5" hidden="false" customHeight="true" outlineLevel="0" collapsed="false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0"/>
    </row>
    <row r="91" customFormat="false" ht="16.5" hidden="false" customHeight="true" outlineLevel="0" collapsed="false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0"/>
    </row>
    <row r="92" customFormat="false" ht="16.5" hidden="false" customHeight="true" outlineLevel="0" collapsed="false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0"/>
    </row>
    <row r="93" customFormat="false" ht="16.5" hidden="false" customHeight="true" outlineLevel="0" collapsed="false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0"/>
    </row>
    <row r="94" customFormat="false" ht="16.5" hidden="false" customHeight="true" outlineLevel="0" collapsed="false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0"/>
    </row>
    <row r="95" customFormat="false" ht="16.5" hidden="false" customHeight="true" outlineLevel="0" collapsed="false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0"/>
    </row>
    <row r="96" customFormat="false" ht="16.5" hidden="false" customHeight="true" outlineLevel="0" collapsed="false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0"/>
    </row>
    <row r="97" customFormat="false" ht="16.5" hidden="false" customHeight="true" outlineLevel="0" collapsed="false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0"/>
    </row>
    <row r="98" customFormat="false" ht="16.5" hidden="false" customHeight="true" outlineLevel="0" collapsed="false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0"/>
    </row>
    <row r="99" customFormat="false" ht="16.5" hidden="false" customHeight="true" outlineLevel="0" collapsed="false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0"/>
    </row>
    <row r="100" customFormat="false" ht="16.5" hidden="false" customHeight="true" outlineLevel="0" collapsed="false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0"/>
    </row>
    <row r="101" customFormat="false" ht="16.5" hidden="false" customHeight="true" outlineLevel="0" collapsed="false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0"/>
    </row>
    <row r="102" customFormat="false" ht="16.5" hidden="false" customHeight="true" outlineLevel="0" collapsed="false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0"/>
    </row>
    <row r="103" customFormat="false" ht="16.5" hidden="false" customHeight="true" outlineLevel="0" collapsed="false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0"/>
    </row>
    <row r="104" customFormat="false" ht="16.5" hidden="false" customHeight="true" outlineLevel="0" collapsed="false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0"/>
    </row>
    <row r="105" customFormat="false" ht="16.5" hidden="false" customHeight="true" outlineLevel="0" collapsed="false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0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0"/>
    </row>
    <row r="107" customFormat="false" ht="16.5" hidden="false" customHeight="true" outlineLevel="0" collapsed="false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0"/>
    </row>
    <row r="108" customFormat="false" ht="16.5" hidden="false" customHeight="true" outlineLevel="0" collapsed="false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0"/>
    </row>
    <row r="109" s="24" customFormat="true" ht="16.5" hidden="false" customHeight="true" outlineLevel="0" collapsed="false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0"/>
      <c r="AD109" s="23"/>
      <c r="AE109" s="23"/>
      <c r="AF109" s="23"/>
      <c r="AG109" s="23"/>
    </row>
    <row r="110" s="24" customFormat="true" ht="16.5" hidden="false" customHeight="true" outlineLevel="0" collapsed="false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0"/>
      <c r="AD110" s="23"/>
      <c r="AE110" s="23"/>
      <c r="AF110" s="23"/>
      <c r="AG110" s="23"/>
    </row>
    <row r="111" s="24" customFormat="true" ht="16.5" hidden="false" customHeight="true" outlineLevel="0" collapsed="false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0"/>
      <c r="AD111" s="23"/>
      <c r="AE111" s="23"/>
      <c r="AF111" s="23"/>
      <c r="AG111" s="23"/>
    </row>
    <row r="112" s="24" customFormat="true" ht="16.5" hidden="false" customHeight="true" outlineLevel="0" collapsed="false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">
        <v>65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">
        <v>66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37</v>
      </c>
      <c r="B20" s="10" t="s">
        <v>38</v>
      </c>
      <c r="C20" s="10" t="s">
        <v>39</v>
      </c>
      <c r="D20" s="11" t="s">
        <v>40</v>
      </c>
      <c r="E20" s="11"/>
      <c r="F20" s="11"/>
      <c r="G20" s="11"/>
      <c r="H20" s="11"/>
      <c r="I20" s="11"/>
      <c r="J20" s="11" t="s">
        <v>41</v>
      </c>
      <c r="K20" s="11"/>
      <c r="L20" s="11"/>
      <c r="M20" s="11" t="s">
        <v>42</v>
      </c>
      <c r="N20" s="11"/>
      <c r="O20" s="11"/>
      <c r="P20" s="11"/>
      <c r="Q20" s="11"/>
      <c r="R20" s="11"/>
      <c r="S20" s="10" t="s">
        <v>43</v>
      </c>
    </row>
    <row r="21" customFormat="false" ht="30" hidden="false" customHeight="true" outlineLevel="0" collapsed="false">
      <c r="A21" s="10"/>
      <c r="B21" s="10"/>
      <c r="C21" s="10"/>
      <c r="D21" s="12" t="s">
        <v>44</v>
      </c>
      <c r="E21" s="12" t="s">
        <v>45</v>
      </c>
      <c r="F21" s="12" t="s">
        <v>46</v>
      </c>
      <c r="G21" s="12" t="s">
        <v>47</v>
      </c>
      <c r="H21" s="12" t="s">
        <v>48</v>
      </c>
      <c r="I21" s="12" t="s">
        <v>49</v>
      </c>
      <c r="J21" s="12" t="s">
        <v>47</v>
      </c>
      <c r="K21" s="12" t="s">
        <v>48</v>
      </c>
      <c r="L21" s="12" t="s">
        <v>49</v>
      </c>
      <c r="M21" s="12" t="s">
        <v>44</v>
      </c>
      <c r="N21" s="12" t="s">
        <v>45</v>
      </c>
      <c r="O21" s="12" t="s">
        <v>46</v>
      </c>
      <c r="P21" s="12" t="s">
        <v>47</v>
      </c>
      <c r="Q21" s="12" t="s">
        <v>48</v>
      </c>
      <c r="R21" s="12" t="s">
        <v>49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489.19</v>
      </c>
      <c r="D22" s="17" t="n">
        <f aca="false">+Chạy!F3</f>
        <v>-9.15</v>
      </c>
      <c r="E22" s="17" t="n">
        <f aca="false">+D22+F22</f>
        <v>-9.144</v>
      </c>
      <c r="F22" s="17" t="n">
        <f aca="false">RANDBETWEEN(-105,115)/10000</f>
        <v>0.006</v>
      </c>
      <c r="G22" s="17" t="n">
        <f aca="false">+Chạy!G3</f>
        <v>-0.75</v>
      </c>
      <c r="H22" s="17" t="n">
        <f aca="false">G22+I22</f>
        <v>-0.696</v>
      </c>
      <c r="I22" s="17" t="n">
        <f aca="false">RANDBETWEEN(-30,90)/1000</f>
        <v>0.054</v>
      </c>
      <c r="J22" s="17" t="n">
        <f aca="false">+Chạy!K3</f>
        <v>-0.75</v>
      </c>
      <c r="K22" s="17" t="n">
        <f aca="false">J22+L22</f>
        <v>-0.704</v>
      </c>
      <c r="L22" s="17" t="n">
        <f aca="false">RANDBETWEEN(-30,90)/1000</f>
        <v>0.046</v>
      </c>
      <c r="M22" s="17" t="n">
        <f aca="false">+Chạy!N3</f>
        <v>5.95</v>
      </c>
      <c r="N22" s="17" t="n">
        <f aca="false">+M22+O22</f>
        <v>5.9527</v>
      </c>
      <c r="O22" s="17" t="n">
        <f aca="false">RANDBETWEEN(-105,115)/10000</f>
        <v>0.0027</v>
      </c>
      <c r="P22" s="17" t="n">
        <f aca="false">+Chạy!O3</f>
        <v>-0.75</v>
      </c>
      <c r="Q22" s="17" t="n">
        <f aca="false">P22+R22</f>
        <v>-0.758</v>
      </c>
      <c r="R22" s="17" t="n">
        <f aca="false">RANDBETWEEN(-30,90)/1000</f>
        <v>-0.008</v>
      </c>
      <c r="S22" s="18"/>
      <c r="T22" s="0" t="n">
        <v>13.17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502.36</v>
      </c>
      <c r="D23" s="17" t="n">
        <f aca="false">+Chạy!F7</f>
        <v>-10.17</v>
      </c>
      <c r="E23" s="17" t="n">
        <f aca="false">+D23+F23</f>
        <v>-10.1744</v>
      </c>
      <c r="F23" s="17" t="n">
        <f aca="false">RANDBETWEEN(-105,115)/10000</f>
        <v>-0.0044</v>
      </c>
      <c r="G23" s="17" t="n">
        <f aca="false">+Chạy!G7</f>
        <v>-0.75</v>
      </c>
      <c r="H23" s="17" t="n">
        <f aca="false">G23+I23</f>
        <v>-0.767</v>
      </c>
      <c r="I23" s="17" t="n">
        <f aca="false">RANDBETWEEN(-30,90)/1000</f>
        <v>-0.017</v>
      </c>
      <c r="J23" s="17" t="n">
        <f aca="false">+Chạy!K7</f>
        <v>-0.75</v>
      </c>
      <c r="K23" s="17" t="n">
        <f aca="false">J23+L23</f>
        <v>-0.701</v>
      </c>
      <c r="L23" s="17" t="n">
        <f aca="false">RANDBETWEEN(-30,90)/1000</f>
        <v>0.049</v>
      </c>
      <c r="M23" s="17" t="n">
        <f aca="false">+Chạy!N7</f>
        <v>10.07</v>
      </c>
      <c r="N23" s="17" t="n">
        <f aca="false">+M23+O23</f>
        <v>10.0761</v>
      </c>
      <c r="O23" s="17" t="n">
        <f aca="false">RANDBETWEEN(-105,115)/10000</f>
        <v>0.0061</v>
      </c>
      <c r="P23" s="17" t="n">
        <f aca="false">+Chạy!O7</f>
        <v>-0.75</v>
      </c>
      <c r="Q23" s="17" t="n">
        <f aca="false">P23+R23</f>
        <v>-0.677</v>
      </c>
      <c r="R23" s="17" t="n">
        <f aca="false">RANDBETWEEN(-30,90)/1000</f>
        <v>0.073</v>
      </c>
      <c r="S23" s="18"/>
      <c r="T23" s="0" t="n">
        <v>10.48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512.84</v>
      </c>
      <c r="D24" s="17" t="n">
        <f aca="false">+Chạy!F11</f>
        <v>-9.61</v>
      </c>
      <c r="E24" s="17" t="n">
        <f aca="false">+D24+F24</f>
        <v>-9.6004</v>
      </c>
      <c r="F24" s="17" t="n">
        <f aca="false">RANDBETWEEN(-105,115)/10000</f>
        <v>0.0096</v>
      </c>
      <c r="G24" s="17" t="n">
        <f aca="false">+Chạy!G11</f>
        <v>-0.75</v>
      </c>
      <c r="H24" s="17" t="n">
        <f aca="false">G24+I24</f>
        <v>-0.737</v>
      </c>
      <c r="I24" s="17" t="n">
        <f aca="false">RANDBETWEEN(-30,90)/1000</f>
        <v>0.013</v>
      </c>
      <c r="J24" s="17" t="n">
        <f aca="false">+Chạy!K11</f>
        <v>-0.75</v>
      </c>
      <c r="K24" s="17" t="n">
        <f aca="false">J24+L24</f>
        <v>-0.762</v>
      </c>
      <c r="L24" s="17" t="n">
        <f aca="false">RANDBETWEEN(-30,90)/1000</f>
        <v>-0.012</v>
      </c>
      <c r="M24" s="17" t="n">
        <f aca="false">+Chạy!N11</f>
        <v>9.98</v>
      </c>
      <c r="N24" s="17" t="n">
        <f aca="false">+M24+O24</f>
        <v>9.9765</v>
      </c>
      <c r="O24" s="17" t="n">
        <f aca="false">RANDBETWEEN(-105,115)/10000</f>
        <v>-0.0035</v>
      </c>
      <c r="P24" s="17" t="n">
        <f aca="false">+Chạy!O11</f>
        <v>-0.75</v>
      </c>
      <c r="Q24" s="17" t="n">
        <f aca="false">P24+R24</f>
        <v>-0.743</v>
      </c>
      <c r="R24" s="17" t="n">
        <f aca="false">RANDBETWEEN(-30,90)/1000</f>
        <v>0.007</v>
      </c>
      <c r="S24" s="18"/>
      <c r="T24" s="0" t="n">
        <v>16.78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529.62</v>
      </c>
      <c r="D25" s="17" t="n">
        <f aca="false">+Chạy!F15</f>
        <v>-10.04</v>
      </c>
      <c r="E25" s="17" t="n">
        <f aca="false">+D25+F25</f>
        <v>-10.0442</v>
      </c>
      <c r="F25" s="17" t="n">
        <f aca="false">RANDBETWEEN(-105,115)/10000</f>
        <v>-0.0042</v>
      </c>
      <c r="G25" s="17" t="n">
        <f aca="false">+Chạy!G15</f>
        <v>-0.75</v>
      </c>
      <c r="H25" s="17" t="n">
        <f aca="false">G25+I25</f>
        <v>-0.775</v>
      </c>
      <c r="I25" s="17" t="n">
        <f aca="false">RANDBETWEEN(-30,90)/1000</f>
        <v>-0.025</v>
      </c>
      <c r="J25" s="17" t="n">
        <f aca="false">+Chạy!K15</f>
        <v>-0.75</v>
      </c>
      <c r="K25" s="17" t="n">
        <f aca="false">J25+L25</f>
        <v>-0.671</v>
      </c>
      <c r="L25" s="17" t="n">
        <f aca="false">RANDBETWEEN(-30,90)/1000</f>
        <v>0.079</v>
      </c>
      <c r="M25" s="17" t="n">
        <f aca="false">+Chạy!N15</f>
        <v>10.12</v>
      </c>
      <c r="N25" s="17" t="n">
        <f aca="false">+M25+O25</f>
        <v>10.1174</v>
      </c>
      <c r="O25" s="17" t="n">
        <f aca="false">RANDBETWEEN(-105,115)/10000</f>
        <v>-0.0026</v>
      </c>
      <c r="P25" s="17" t="n">
        <f aca="false">+Chạy!O15</f>
        <v>-0.75</v>
      </c>
      <c r="Q25" s="17" t="n">
        <f aca="false">P25+R25</f>
        <v>-0.722</v>
      </c>
      <c r="R25" s="17" t="n">
        <f aca="false">RANDBETWEEN(-30,90)/1000</f>
        <v>0.028</v>
      </c>
      <c r="S25" s="18"/>
      <c r="T25" s="0" t="n">
        <v>17.1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546.72</v>
      </c>
      <c r="D26" s="17" t="n">
        <f aca="false">+Chạy!F19</f>
        <v>-5.95</v>
      </c>
      <c r="E26" s="17" t="n">
        <f aca="false">+D26+F26</f>
        <v>-5.9496</v>
      </c>
      <c r="F26" s="17" t="n">
        <f aca="false">RANDBETWEEN(-105,115)/10000</f>
        <v>0.0004</v>
      </c>
      <c r="G26" s="17" t="n">
        <f aca="false">+Chạy!G19</f>
        <v>-0.75</v>
      </c>
      <c r="H26" s="17" t="n">
        <f aca="false">G26+I26</f>
        <v>-0.679</v>
      </c>
      <c r="I26" s="17" t="n">
        <f aca="false">RANDBETWEEN(-30,90)/1000</f>
        <v>0.071</v>
      </c>
      <c r="J26" s="17" t="n">
        <f aca="false">+Chạy!K19</f>
        <v>-0.75</v>
      </c>
      <c r="K26" s="17" t="n">
        <f aca="false">J26+L26</f>
        <v>-0.727</v>
      </c>
      <c r="L26" s="17" t="n">
        <f aca="false">RANDBETWEEN(-30,90)/1000</f>
        <v>0.023</v>
      </c>
      <c r="M26" s="17" t="n">
        <f aca="false">+Chạy!N19</f>
        <v>9.19</v>
      </c>
      <c r="N26" s="17" t="n">
        <f aca="false">+M26+O26</f>
        <v>9.1837</v>
      </c>
      <c r="O26" s="17" t="n">
        <f aca="false">RANDBETWEEN(-105,115)/10000</f>
        <v>-0.0063</v>
      </c>
      <c r="P26" s="17" t="n">
        <f aca="false">+Chạy!O19</f>
        <v>-0.75</v>
      </c>
      <c r="Q26" s="17" t="n">
        <f aca="false">P26+R26</f>
        <v>-0.663</v>
      </c>
      <c r="R26" s="17" t="n">
        <f aca="false">RANDBETWEEN(-30,90)/1000</f>
        <v>0.087</v>
      </c>
      <c r="S26" s="18"/>
      <c r="T26" s="0" t="n">
        <v>15.15</v>
      </c>
    </row>
    <row r="27" customFormat="false" ht="15" hidden="false" customHeight="false" outlineLevel="0" collapsed="false">
      <c r="A27" s="14" t="n">
        <v>6</v>
      </c>
      <c r="B27" s="14" t="s">
        <v>22</v>
      </c>
      <c r="C27" s="71" t="n">
        <f aca="false">+C26+T26</f>
        <v>561.87</v>
      </c>
      <c r="D27" s="17" t="n">
        <f aca="false">+Chạy!F23</f>
        <v>-9.69</v>
      </c>
      <c r="E27" s="17" t="n">
        <f aca="false">+D27+F27</f>
        <v>-9.6809</v>
      </c>
      <c r="F27" s="17" t="n">
        <f aca="false">RANDBETWEEN(-105,115)/10000</f>
        <v>0.0091</v>
      </c>
      <c r="G27" s="17" t="n">
        <f aca="false">+Chạy!G23</f>
        <v>-0.75</v>
      </c>
      <c r="H27" s="17" t="n">
        <f aca="false">G27+I27</f>
        <v>-0.695</v>
      </c>
      <c r="I27" s="17" t="n">
        <f aca="false">RANDBETWEEN(-30,90)/1000</f>
        <v>0.055</v>
      </c>
      <c r="J27" s="17" t="n">
        <f aca="false">+Chạy!K23</f>
        <v>-0.75</v>
      </c>
      <c r="K27" s="17" t="n">
        <f aca="false">J27+L27</f>
        <v>-0.693</v>
      </c>
      <c r="L27" s="17" t="n">
        <f aca="false">RANDBETWEEN(-30,90)/1000</f>
        <v>0.057</v>
      </c>
      <c r="M27" s="17" t="n">
        <f aca="false">+Chạy!N23</f>
        <v>9.82</v>
      </c>
      <c r="N27" s="17" t="n">
        <f aca="false">+M27+O27</f>
        <v>9.8283</v>
      </c>
      <c r="O27" s="17" t="n">
        <f aca="false">RANDBETWEEN(-105,115)/10000</f>
        <v>0.0083</v>
      </c>
      <c r="P27" s="17" t="n">
        <f aca="false">+Chạy!O23</f>
        <v>-0.75</v>
      </c>
      <c r="Q27" s="17" t="n">
        <f aca="false">P27+R27</f>
        <v>-0.704</v>
      </c>
      <c r="R27" s="17" t="n">
        <f aca="false">RANDBETWEEN(-30,90)/1000</f>
        <v>0.046</v>
      </c>
      <c r="S27" s="18"/>
      <c r="T27" s="0" t="n">
        <v>0.15</v>
      </c>
    </row>
    <row r="28" customFormat="false" ht="15" hidden="false" customHeight="false" outlineLevel="0" collapsed="false">
      <c r="A28" s="14" t="n">
        <v>7</v>
      </c>
      <c r="B28" s="14" t="s">
        <v>23</v>
      </c>
      <c r="C28" s="71" t="n">
        <f aca="false">+C27+T27</f>
        <v>562.02</v>
      </c>
      <c r="D28" s="17" t="n">
        <f aca="false">+Chạy!F27</f>
        <v>-9.69</v>
      </c>
      <c r="E28" s="17" t="n">
        <f aca="false">+D28+F28</f>
        <v>-9.6956</v>
      </c>
      <c r="F28" s="17" t="n">
        <f aca="false">RANDBETWEEN(-105,115)/10000</f>
        <v>-0.0056</v>
      </c>
      <c r="G28" s="17" t="n">
        <f aca="false">+Chạy!G27</f>
        <v>-0.75</v>
      </c>
      <c r="H28" s="17" t="n">
        <f aca="false">G28+I28</f>
        <v>-0.669</v>
      </c>
      <c r="I28" s="17" t="n">
        <f aca="false">RANDBETWEEN(-30,90)/1000</f>
        <v>0.081</v>
      </c>
      <c r="J28" s="17" t="n">
        <f aca="false">+Chạy!K27</f>
        <v>-0.75</v>
      </c>
      <c r="K28" s="17" t="n">
        <f aca="false">J28+L28</f>
        <v>-0.702</v>
      </c>
      <c r="L28" s="17" t="n">
        <f aca="false">RANDBETWEEN(-30,90)/1000</f>
        <v>0.048</v>
      </c>
      <c r="M28" s="17" t="n">
        <f aca="false">+Chạy!N27</f>
        <v>9.83</v>
      </c>
      <c r="N28" s="17" t="n">
        <f aca="false">+M28+O28</f>
        <v>9.8329</v>
      </c>
      <c r="O28" s="17" t="n">
        <f aca="false">RANDBETWEEN(-105,115)/10000</f>
        <v>0.0029</v>
      </c>
      <c r="P28" s="17" t="n">
        <f aca="false">+Chạy!O27</f>
        <v>-0.75</v>
      </c>
      <c r="Q28" s="17" t="n">
        <f aca="false">P28+R28</f>
        <v>-0.69</v>
      </c>
      <c r="R28" s="17" t="n">
        <f aca="false">RANDBETWEEN(-30,90)/1000</f>
        <v>0.06</v>
      </c>
      <c r="S28" s="18"/>
      <c r="T28" s="0" t="n">
        <v>6.55</v>
      </c>
    </row>
    <row r="29" customFormat="false" ht="15" hidden="false" customHeight="false" outlineLevel="0" collapsed="false">
      <c r="A29" s="14" t="n">
        <v>8</v>
      </c>
      <c r="B29" s="14" t="s">
        <v>24</v>
      </c>
      <c r="C29" s="71" t="n">
        <f aca="false">+C28+T28</f>
        <v>568.57</v>
      </c>
      <c r="D29" s="17" t="n">
        <f aca="false">+Chạy!F31</f>
        <v>-9.86</v>
      </c>
      <c r="E29" s="17" t="n">
        <f aca="false">+D29+F29</f>
        <v>-9.8636</v>
      </c>
      <c r="F29" s="17" t="n">
        <f aca="false">RANDBETWEEN(-105,115)/10000</f>
        <v>-0.0036</v>
      </c>
      <c r="G29" s="17" t="n">
        <f aca="false">+Chạy!G31</f>
        <v>-0.75</v>
      </c>
      <c r="H29" s="17" t="n">
        <f aca="false">G29+I29</f>
        <v>-0.667</v>
      </c>
      <c r="I29" s="17" t="n">
        <f aca="false">RANDBETWEEN(-30,90)/1000</f>
        <v>0.083</v>
      </c>
      <c r="J29" s="17" t="n">
        <f aca="false">+Chạy!K31</f>
        <v>-0.75</v>
      </c>
      <c r="K29" s="17" t="n">
        <f aca="false">J29+L29</f>
        <v>-0.719</v>
      </c>
      <c r="L29" s="17" t="n">
        <f aca="false">RANDBETWEEN(-30,90)/1000</f>
        <v>0.031</v>
      </c>
      <c r="M29" s="17" t="n">
        <f aca="false">+Chạy!N31</f>
        <v>10.18</v>
      </c>
      <c r="N29" s="17" t="n">
        <f aca="false">+M29+O29</f>
        <v>10.18</v>
      </c>
      <c r="O29" s="17" t="n">
        <f aca="false">RANDBETWEEN(-105,115)/10000</f>
        <v>0</v>
      </c>
      <c r="P29" s="17" t="n">
        <f aca="false">+Chạy!O31</f>
        <v>-0.75</v>
      </c>
      <c r="Q29" s="17" t="n">
        <f aca="false">P29+R29</f>
        <v>-0.696</v>
      </c>
      <c r="R29" s="17" t="n">
        <f aca="false">RANDBETWEEN(-30,90)/1000</f>
        <v>0.054</v>
      </c>
      <c r="S29" s="18"/>
      <c r="T29" s="0" t="n">
        <v>6.55</v>
      </c>
    </row>
    <row r="30" customFormat="false" ht="15" hidden="false" customHeight="false" outlineLevel="0" collapsed="false">
      <c r="A30" s="14" t="n">
        <v>9</v>
      </c>
      <c r="B30" s="14" t="s">
        <v>1</v>
      </c>
      <c r="C30" s="71" t="n">
        <f aca="false">+C29+T29</f>
        <v>575.12</v>
      </c>
      <c r="D30" s="17" t="n">
        <f aca="false">+Chạy!F35</f>
        <v>-9.58</v>
      </c>
      <c r="E30" s="17" t="n">
        <f aca="false">+D30+F30</f>
        <v>-9.5888</v>
      </c>
      <c r="F30" s="17" t="n">
        <f aca="false">RANDBETWEEN(-105,115)/10000</f>
        <v>-0.0088</v>
      </c>
      <c r="G30" s="17" t="n">
        <f aca="false">+Chạy!G35</f>
        <v>-0.75</v>
      </c>
      <c r="H30" s="17" t="n">
        <f aca="false">G30+I30</f>
        <v>-0.731</v>
      </c>
      <c r="I30" s="17" t="n">
        <f aca="false">RANDBETWEEN(-30,90)/1000</f>
        <v>0.019</v>
      </c>
      <c r="J30" s="17" t="n">
        <f aca="false">+Chạy!K35</f>
        <v>-0.75</v>
      </c>
      <c r="K30" s="17" t="n">
        <f aca="false">J30+L30</f>
        <v>-0.724</v>
      </c>
      <c r="L30" s="17" t="n">
        <f aca="false">RANDBETWEEN(-30,90)/1000</f>
        <v>0.026</v>
      </c>
      <c r="M30" s="17" t="n">
        <f aca="false">+Chạy!N35</f>
        <v>9.26</v>
      </c>
      <c r="N30" s="17" t="n">
        <f aca="false">+M30+O30</f>
        <v>9.2651</v>
      </c>
      <c r="O30" s="17" t="n">
        <f aca="false">RANDBETWEEN(-105,115)/10000</f>
        <v>0.0051</v>
      </c>
      <c r="P30" s="17" t="n">
        <f aca="false">+Chạy!O35</f>
        <v>-0.75</v>
      </c>
      <c r="Q30" s="17" t="n">
        <f aca="false">P30+R30</f>
        <v>-0.75</v>
      </c>
      <c r="R30" s="17" t="n">
        <f aca="false">RANDBETWEEN(-30,90)/1000</f>
        <v>0</v>
      </c>
      <c r="S30" s="18"/>
      <c r="T30" s="0" t="n">
        <v>0.04</v>
      </c>
    </row>
    <row r="31" customFormat="false" ht="15" hidden="false" customHeight="false" outlineLevel="0" collapsed="false">
      <c r="A31" s="14" t="n">
        <v>10</v>
      </c>
      <c r="B31" s="14" t="s">
        <v>25</v>
      </c>
      <c r="C31" s="71" t="n">
        <f aca="false">+C30+T30</f>
        <v>575.16</v>
      </c>
      <c r="D31" s="17" t="n">
        <f aca="false">+Chạy!F39</f>
        <v>-9.58</v>
      </c>
      <c r="E31" s="17" t="n">
        <f aca="false">+D31+F31</f>
        <v>-9.5824</v>
      </c>
      <c r="F31" s="17" t="n">
        <f aca="false">RANDBETWEEN(-105,115)/10000</f>
        <v>-0.0024</v>
      </c>
      <c r="G31" s="17" t="n">
        <f aca="false">+Chạy!G39</f>
        <v>-0.75</v>
      </c>
      <c r="H31" s="17" t="n">
        <f aca="false">G31+I31</f>
        <v>-0.746</v>
      </c>
      <c r="I31" s="17" t="n">
        <f aca="false">RANDBETWEEN(-30,90)/1000</f>
        <v>0.004</v>
      </c>
      <c r="J31" s="17" t="n">
        <f aca="false">+Chạy!K39</f>
        <v>-0.75</v>
      </c>
      <c r="K31" s="17" t="n">
        <f aca="false">J31+L31</f>
        <v>-0.668</v>
      </c>
      <c r="L31" s="17" t="n">
        <f aca="false">RANDBETWEEN(-30,90)/1000</f>
        <v>0.082</v>
      </c>
      <c r="M31" s="17" t="n">
        <f aca="false">+Chạy!N39</f>
        <v>9.03</v>
      </c>
      <c r="N31" s="17" t="n">
        <f aca="false">+M31+O31</f>
        <v>9.026</v>
      </c>
      <c r="O31" s="17" t="n">
        <f aca="false">RANDBETWEEN(-105,115)/10000</f>
        <v>-0.004</v>
      </c>
      <c r="P31" s="17" t="n">
        <f aca="false">+Chạy!O39</f>
        <v>-0.75</v>
      </c>
      <c r="Q31" s="17" t="n">
        <f aca="false">P31+R31</f>
        <v>-0.732</v>
      </c>
      <c r="R31" s="17" t="n">
        <f aca="false">RANDBETWEEN(-30,90)/1000</f>
        <v>0.018</v>
      </c>
      <c r="S31" s="18"/>
      <c r="T31" s="0" t="n">
        <v>16.95</v>
      </c>
    </row>
    <row r="32" customFormat="false" ht="15" hidden="false" customHeight="false" outlineLevel="0" collapsed="false">
      <c r="A32" s="14" t="n">
        <v>11</v>
      </c>
      <c r="B32" s="14" t="s">
        <v>26</v>
      </c>
      <c r="C32" s="71" t="n">
        <f aca="false">+C31+T31</f>
        <v>592.11</v>
      </c>
      <c r="D32" s="17" t="n">
        <f aca="false">+Chạy!F43</f>
        <v>-9.76</v>
      </c>
      <c r="E32" s="17" t="n">
        <f aca="false">+D32+F32</f>
        <v>-9.7572</v>
      </c>
      <c r="F32" s="17" t="n">
        <f aca="false">RANDBETWEEN(-105,115)/10000</f>
        <v>0.0028</v>
      </c>
      <c r="G32" s="17" t="n">
        <f aca="false">+Chạy!G43</f>
        <v>-0.75</v>
      </c>
      <c r="H32" s="17" t="n">
        <f aca="false">G32+I32</f>
        <v>-0.745</v>
      </c>
      <c r="I32" s="17" t="n">
        <f aca="false">RANDBETWEEN(-30,90)/1000</f>
        <v>0.005</v>
      </c>
      <c r="J32" s="17" t="n">
        <f aca="false">+Chạy!K43</f>
        <v>-0.75</v>
      </c>
      <c r="K32" s="17" t="n">
        <f aca="false">J32+L32</f>
        <v>-0.713</v>
      </c>
      <c r="L32" s="17" t="n">
        <f aca="false">RANDBETWEEN(-30,90)/1000</f>
        <v>0.037</v>
      </c>
      <c r="M32" s="17" t="n">
        <f aca="false">+Chạy!N43</f>
        <v>9.81</v>
      </c>
      <c r="N32" s="17" t="n">
        <f aca="false">+M32+O32</f>
        <v>9.8011</v>
      </c>
      <c r="O32" s="17" t="n">
        <f aca="false">RANDBETWEEN(-105,115)/10000</f>
        <v>-0.0089</v>
      </c>
      <c r="P32" s="17" t="n">
        <f aca="false">+Chạy!O43</f>
        <v>-0.75</v>
      </c>
      <c r="Q32" s="17" t="n">
        <f aca="false">P32+R32</f>
        <v>-0.678</v>
      </c>
      <c r="R32" s="17" t="n">
        <f aca="false">RANDBETWEEN(-30,90)/1000</f>
        <v>0.072</v>
      </c>
      <c r="S32" s="18"/>
      <c r="T32" s="0" t="n">
        <v>17</v>
      </c>
    </row>
    <row r="33" customFormat="false" ht="15" hidden="false" customHeight="false" outlineLevel="0" collapsed="false">
      <c r="A33" s="14" t="n">
        <v>12</v>
      </c>
      <c r="B33" s="14" t="s">
        <v>27</v>
      </c>
      <c r="C33" s="71" t="n">
        <f aca="false">+C32+T32</f>
        <v>609.11</v>
      </c>
      <c r="D33" s="17" t="n">
        <f aca="false">+Chạy!F47</f>
        <v>-8.97</v>
      </c>
      <c r="E33" s="17" t="n">
        <f aca="false">+D33+F33</f>
        <v>-8.968</v>
      </c>
      <c r="F33" s="17" t="n">
        <f aca="false">RANDBETWEEN(-105,115)/10000</f>
        <v>0.002</v>
      </c>
      <c r="G33" s="17" t="n">
        <f aca="false">+Chạy!G47</f>
        <v>-0.75</v>
      </c>
      <c r="H33" s="17" t="n">
        <f aca="false">G33+I33</f>
        <v>-0.661</v>
      </c>
      <c r="I33" s="17" t="n">
        <f aca="false">RANDBETWEEN(-30,90)/1000</f>
        <v>0.089</v>
      </c>
      <c r="J33" s="17" t="n">
        <f aca="false">+Chạy!K47</f>
        <v>-0.75</v>
      </c>
      <c r="K33" s="17" t="n">
        <f aca="false">J33+L33</f>
        <v>-0.722</v>
      </c>
      <c r="L33" s="17" t="n">
        <f aca="false">RANDBETWEEN(-30,90)/1000</f>
        <v>0.028</v>
      </c>
      <c r="M33" s="17" t="n">
        <f aca="false">+Chạy!N47</f>
        <v>8.83</v>
      </c>
      <c r="N33" s="17" t="n">
        <f aca="false">+M33+O33</f>
        <v>8.8339</v>
      </c>
      <c r="O33" s="17" t="n">
        <f aca="false">RANDBETWEEN(-105,115)/10000</f>
        <v>0.0039</v>
      </c>
      <c r="P33" s="17" t="n">
        <f aca="false">+Chạy!O47</f>
        <v>-0.75</v>
      </c>
      <c r="Q33" s="17" t="n">
        <f aca="false">P33+R33</f>
        <v>-0.686</v>
      </c>
      <c r="R33" s="17" t="n">
        <f aca="false">RANDBETWEEN(-30,90)/1000</f>
        <v>0.064</v>
      </c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8" customFormat="false" ht="15" hidden="false" customHeight="false" outlineLevel="0" collapsed="false">
      <c r="C48" s="20" t="s">
        <v>50</v>
      </c>
      <c r="D48" s="20"/>
      <c r="E48" s="20"/>
      <c r="F48" s="20"/>
      <c r="G48" s="20"/>
      <c r="H48" s="20"/>
      <c r="I48" s="20"/>
      <c r="K48" s="21"/>
      <c r="L48" s="21"/>
      <c r="M48" s="21"/>
      <c r="N48" s="21"/>
      <c r="O48" s="20" t="s">
        <v>51</v>
      </c>
      <c r="P48" s="20"/>
      <c r="Q48" s="20"/>
      <c r="R48" s="20"/>
    </row>
    <row r="49" customFormat="false" ht="15" hidden="false" customHeight="false" outlineLevel="0" collapsed="false">
      <c r="E49" s="22"/>
      <c r="F49" s="22"/>
      <c r="G49" s="22"/>
      <c r="H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C53" s="20" t="s">
        <v>52</v>
      </c>
      <c r="D53" s="20"/>
      <c r="E53" s="20"/>
      <c r="F53" s="20"/>
      <c r="G53" s="20"/>
      <c r="H53" s="20"/>
      <c r="I53" s="20"/>
      <c r="K53" s="21"/>
      <c r="L53" s="21"/>
      <c r="M53" s="21"/>
      <c r="N53" s="21"/>
      <c r="O53" s="20" t="s">
        <v>53</v>
      </c>
      <c r="P53" s="20"/>
      <c r="Q53" s="20"/>
      <c r="R53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48:I48"/>
    <mergeCell ref="O48:R48"/>
    <mergeCell ref="C53:I53"/>
    <mergeCell ref="O53:R53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">
        <v>65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">
        <v>66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25</v>
      </c>
      <c r="C11" s="16" t="n">
        <f aca="false">'3.KTHH L3'!C22</f>
        <v>489.19</v>
      </c>
      <c r="D11" s="14" t="n">
        <f aca="false">'3.KTHH L3'!T22</f>
        <v>13.17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Chạy!E3</f>
        <v>4.44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68.6157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D1</v>
      </c>
      <c r="C12" s="16" t="n">
        <f aca="false">'3.KTHH L3'!C23</f>
        <v>502.36</v>
      </c>
      <c r="D12" s="14" t="n">
        <f aca="false">'3.KTHH L3'!T23</f>
        <v>10.48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5.98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61.6748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26</v>
      </c>
      <c r="C13" s="16" t="n">
        <f aca="false">'3.KTHH L3'!C24</f>
        <v>512.84</v>
      </c>
      <c r="D13" s="14" t="n">
        <f aca="false">'3.KTHH L3'!T24</f>
        <v>16.78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Chạy!E11</f>
        <v>5.79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98.5825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27</v>
      </c>
      <c r="C14" s="16" t="n">
        <f aca="false">'3.KTHH L3'!C25</f>
        <v>529.62</v>
      </c>
      <c r="D14" s="14" t="n">
        <f aca="false">'3.KTHH L3'!T25</f>
        <v>17.1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5.96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89.0055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28</v>
      </c>
      <c r="C15" s="16" t="n">
        <f aca="false">'3.KTHH L3'!C26</f>
        <v>546.72</v>
      </c>
      <c r="D15" s="14" t="n">
        <f aca="false">'3.KTHH L3'!T26</f>
        <v>15.15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Chạy!E19</f>
        <v>4.45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77.34075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E5</v>
      </c>
      <c r="C16" s="16" t="n">
        <f aca="false">'3.KTHH L3'!C27</f>
        <v>561.87</v>
      </c>
      <c r="D16" s="14" t="n">
        <f aca="false">'3.KTHH L3'!T27</f>
        <v>0.15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5.76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0.86475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'3.KTHH L3'!B28</f>
        <v>TD</v>
      </c>
      <c r="C17" s="16" t="n">
        <f aca="false">'3.KTHH L3'!C28</f>
        <v>562.02</v>
      </c>
      <c r="D17" s="14" t="n">
        <f aca="false">'3.KTHH L3'!T28</f>
        <v>6.55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Chạy!E27</f>
        <v>5.77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38.28475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'3.KTHH L3'!B29</f>
        <v>P</v>
      </c>
      <c r="C18" s="16" t="n">
        <f aca="false">'3.KTHH L3'!C29</f>
        <v>568.57</v>
      </c>
      <c r="D18" s="14" t="n">
        <f aca="false">'3.KTHH L3'!T29</f>
        <v>6.55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Chạy!E31</f>
        <v>5.92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37.597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'3.KTHH L3'!B30</f>
        <v>TC</v>
      </c>
      <c r="C19" s="16" t="n">
        <f aca="false">'3.KTHH L3'!C30</f>
        <v>575.12</v>
      </c>
      <c r="D19" s="14" t="n">
        <f aca="false">'3.KTHH L3'!T30</f>
        <v>0.04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Chạy!E35</f>
        <v>5.56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0.221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'3.KTHH L3'!B31</f>
        <v>29</v>
      </c>
      <c r="C20" s="16" t="n">
        <f aca="false">'3.KTHH L3'!C31</f>
        <v>575.16</v>
      </c>
      <c r="D20" s="14" t="n">
        <f aca="false">'3.KTHH L3'!T31</f>
        <v>16.95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Chạy!E39</f>
        <v>5.49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95.51325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'3.KTHH L3'!B32</f>
        <v>30</v>
      </c>
      <c r="C21" s="16" t="n">
        <f aca="false">'3.KTHH L3'!C32</f>
        <v>592.11</v>
      </c>
      <c r="D21" s="14" t="n">
        <f aca="false">'3.KTHH L3'!T32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 t="n">
        <f aca="false">Chạy!E43</f>
        <v>5.78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93.755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'3.KTHH L3'!B33</f>
        <v>31</v>
      </c>
      <c r="C22" s="16" t="n">
        <f aca="false">'3.KTHH L3'!C33</f>
        <v>609.11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 t="n">
        <f aca="false">Chạy!E47</f>
        <v>5.25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61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SUM(W11:W22)</f>
        <v>661.455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0.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50</v>
      </c>
      <c r="B38" s="20"/>
      <c r="C38" s="20"/>
      <c r="D38" s="65" t="s">
        <v>62</v>
      </c>
      <c r="E38" s="20" t="s">
        <v>51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52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53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="41" customFormat="tru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s="41" customFormat="true" ht="15" hidden="false" customHeight="true" outlineLevel="0" collapsed="false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</row>
    <row r="47" s="41" customFormat="true" ht="15" hidden="false" customHeight="true" outlineLevel="0" collapsed="false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</row>
    <row r="48" s="41" customFormat="true" ht="15" hidden="false" customHeight="true" outlineLevel="0" collapsed="false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</row>
    <row r="49" s="41" customFormat="true" ht="15" hidden="false" customHeight="true" outlineLevel="0" collapsed="false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</row>
    <row r="50" s="41" customFormat="true" ht="15" hidden="false" customHeight="true" outlineLevel="0" collapsed="false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</row>
    <row r="51" s="41" customFormat="true" ht="15" hidden="false" customHeight="true" outlineLevel="0" collapsed="false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</row>
    <row r="52" s="41" customFormat="true" ht="15" hidden="false" customHeight="true" outlineLevel="0" collapsed="false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</row>
    <row r="53" s="41" customFormat="true" ht="15" hidden="false" customHeight="true" outlineLevel="0" collapsed="false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</row>
    <row r="54" s="41" customFormat="true" ht="15" hidden="false" customHeight="true" outlineLevel="0" collapsed="false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</row>
    <row r="55" s="41" customFormat="true" ht="15" hidden="false" customHeight="true" outlineLevel="0" collapsed="false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</row>
    <row r="56" s="41" customFormat="true" ht="15" hidden="false" customHeight="true" outlineLevel="0" collapsed="false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</row>
    <row r="57" s="41" customFormat="true" ht="15" hidden="false" customHeight="true" outlineLevel="0" collapsed="false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="41" customFormat="true" ht="15" hidden="false" customHeight="true" outlineLevel="0" collapsed="false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</row>
    <row r="59" s="41" customFormat="true" ht="15" hidden="false" customHeight="true" outlineLevel="0" collapsed="false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</row>
    <row r="60" s="41" customFormat="true" ht="15" hidden="false" customHeight="true" outlineLevel="0" collapsed="false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="41" customFormat="true" ht="15" hidden="false" customHeight="true" outlineLevel="0" collapsed="false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5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">
        <v>67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">
        <v>68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489.19</v>
      </c>
      <c r="D23" s="17" t="n">
        <f aca="false">+Chạy!F2</f>
        <v>-9.45</v>
      </c>
      <c r="E23" s="17" t="n">
        <f aca="false">+D23+F23</f>
        <v>-9.4575</v>
      </c>
      <c r="F23" s="17" t="n">
        <f aca="false">RANDBETWEEN(-105,115)/10000</f>
        <v>-0.0075</v>
      </c>
      <c r="G23" s="17" t="n">
        <f aca="false">+Chạy!G2</f>
        <v>-0.45</v>
      </c>
      <c r="H23" s="17" t="n">
        <f aca="false">G23+I23</f>
        <v>-0.388</v>
      </c>
      <c r="I23" s="17" t="n">
        <f aca="false">RANDBETWEEN(-30,90)/1000</f>
        <v>0.062</v>
      </c>
      <c r="J23" s="17" t="n">
        <f aca="false">+Chạy!K2</f>
        <v>-0.45</v>
      </c>
      <c r="K23" s="17" t="n">
        <f aca="false">J23+L23</f>
        <v>-0.455</v>
      </c>
      <c r="L23" s="17" t="n">
        <f aca="false">RANDBETWEEN(-30,90)/1000</f>
        <v>-0.005</v>
      </c>
      <c r="M23" s="17" t="n">
        <f aca="false">+Chạy!N2</f>
        <v>6.25</v>
      </c>
      <c r="N23" s="17" t="n">
        <f aca="false">+M23+O23</f>
        <v>6.2539</v>
      </c>
      <c r="O23" s="17" t="n">
        <f aca="false">RANDBETWEEN(-105,115)/10000</f>
        <v>0.0039</v>
      </c>
      <c r="P23" s="17" t="n">
        <f aca="false">+Chạy!O2</f>
        <v>-0.45</v>
      </c>
      <c r="Q23" s="17" t="n">
        <f aca="false">P23+R23</f>
        <v>-0.459</v>
      </c>
      <c r="R23" s="17" t="n">
        <f aca="false">RANDBETWEEN(-30,90)/1000</f>
        <v>-0.009</v>
      </c>
      <c r="S23" s="18"/>
      <c r="T23" s="0" t="n">
        <v>13.17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502.36</v>
      </c>
      <c r="D24" s="17" t="n">
        <f aca="false">+Chạy!F6</f>
        <v>-10.47</v>
      </c>
      <c r="E24" s="17" t="n">
        <f aca="false">+D24+F24</f>
        <v>-10.4739</v>
      </c>
      <c r="F24" s="17" t="n">
        <f aca="false">RANDBETWEEN(-105,115)/10000</f>
        <v>-0.0039</v>
      </c>
      <c r="G24" s="17" t="n">
        <f aca="false">+Chạy!G6</f>
        <v>-0.45</v>
      </c>
      <c r="H24" s="17" t="n">
        <f aca="false">G24+I24</f>
        <v>-0.421</v>
      </c>
      <c r="I24" s="17" t="n">
        <f aca="false">RANDBETWEEN(-30,90)/1000</f>
        <v>0.029</v>
      </c>
      <c r="J24" s="17" t="n">
        <f aca="false">+Chạy!K6</f>
        <v>-0.45</v>
      </c>
      <c r="K24" s="17" t="n">
        <f aca="false">J24+L24</f>
        <v>-0.437</v>
      </c>
      <c r="L24" s="17" t="n">
        <f aca="false">RANDBETWEEN(-30,90)/1000</f>
        <v>0.013</v>
      </c>
      <c r="M24" s="17" t="n">
        <f aca="false">+Chạy!N6</f>
        <v>10.37</v>
      </c>
      <c r="N24" s="17" t="n">
        <f aca="false">+M24+O24</f>
        <v>10.3786</v>
      </c>
      <c r="O24" s="17" t="n">
        <f aca="false">RANDBETWEEN(-105,115)/10000</f>
        <v>0.0086</v>
      </c>
      <c r="P24" s="17" t="n">
        <f aca="false">+Chạy!O6</f>
        <v>-0.45</v>
      </c>
      <c r="Q24" s="17" t="n">
        <f aca="false">P24+R24</f>
        <v>-0.37</v>
      </c>
      <c r="R24" s="17" t="n">
        <f aca="false">RANDBETWEEN(-30,90)/1000</f>
        <v>0.08</v>
      </c>
      <c r="S24" s="18"/>
      <c r="T24" s="0" t="n">
        <v>10.48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512.84</v>
      </c>
      <c r="D25" s="17" t="n">
        <f aca="false">+Chạy!F10</f>
        <v>-9.91</v>
      </c>
      <c r="E25" s="17" t="n">
        <f aca="false">+D25+F25</f>
        <v>-9.9022</v>
      </c>
      <c r="F25" s="17" t="n">
        <f aca="false">RANDBETWEEN(-105,115)/10000</f>
        <v>0.0078</v>
      </c>
      <c r="G25" s="17" t="n">
        <f aca="false">+Chạy!G10</f>
        <v>-0.45</v>
      </c>
      <c r="H25" s="17" t="n">
        <f aca="false">G25+I25</f>
        <v>-0.455</v>
      </c>
      <c r="I25" s="17" t="n">
        <f aca="false">RANDBETWEEN(-30,90)/1000</f>
        <v>-0.005</v>
      </c>
      <c r="J25" s="17" t="n">
        <f aca="false">+Chạy!K10</f>
        <v>-0.45</v>
      </c>
      <c r="K25" s="17" t="n">
        <f aca="false">J25+L25</f>
        <v>-0.457</v>
      </c>
      <c r="L25" s="17" t="n">
        <f aca="false">RANDBETWEEN(-30,90)/1000</f>
        <v>-0.007</v>
      </c>
      <c r="M25" s="17" t="n">
        <f aca="false">+Chạy!N10</f>
        <v>10.28</v>
      </c>
      <c r="N25" s="17" t="n">
        <f aca="false">+M25+O25</f>
        <v>10.2912</v>
      </c>
      <c r="O25" s="17" t="n">
        <f aca="false">RANDBETWEEN(-105,115)/10000</f>
        <v>0.0112</v>
      </c>
      <c r="P25" s="17" t="n">
        <f aca="false">+Chạy!O10</f>
        <v>-0.45</v>
      </c>
      <c r="Q25" s="17" t="n">
        <f aca="false">P25+R25</f>
        <v>-0.425</v>
      </c>
      <c r="R25" s="17" t="n">
        <f aca="false">RANDBETWEEN(-30,90)/1000</f>
        <v>0.025</v>
      </c>
      <c r="S25" s="18"/>
      <c r="T25" s="0" t="n">
        <v>16.78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529.62</v>
      </c>
      <c r="D26" s="17" t="n">
        <f aca="false">+Chạy!F14</f>
        <v>-10.34</v>
      </c>
      <c r="E26" s="17" t="n">
        <f aca="false">+D26+F26</f>
        <v>-10.34</v>
      </c>
      <c r="F26" s="17" t="n">
        <f aca="false">RANDBETWEEN(-105,115)/10000</f>
        <v>0</v>
      </c>
      <c r="G26" s="17" t="n">
        <f aca="false">+Chạy!G14</f>
        <v>-0.45</v>
      </c>
      <c r="H26" s="17" t="n">
        <f aca="false">G26+I26</f>
        <v>-0.45</v>
      </c>
      <c r="I26" s="17" t="n">
        <f aca="false">RANDBETWEEN(-30,90)/1000</f>
        <v>0</v>
      </c>
      <c r="J26" s="17" t="n">
        <f aca="false">+Chạy!K14</f>
        <v>-0.45</v>
      </c>
      <c r="K26" s="17" t="n">
        <f aca="false">J26+L26</f>
        <v>-0.394</v>
      </c>
      <c r="L26" s="17" t="n">
        <f aca="false">RANDBETWEEN(-30,90)/1000</f>
        <v>0.056</v>
      </c>
      <c r="M26" s="17" t="n">
        <f aca="false">+Chạy!N14</f>
        <v>10.42</v>
      </c>
      <c r="N26" s="17" t="n">
        <f aca="false">+M26+O26</f>
        <v>10.4297</v>
      </c>
      <c r="O26" s="17" t="n">
        <f aca="false">RANDBETWEEN(-105,115)/10000</f>
        <v>0.0097</v>
      </c>
      <c r="P26" s="17" t="n">
        <f aca="false">+Chạy!O14</f>
        <v>-0.45</v>
      </c>
      <c r="Q26" s="17" t="n">
        <f aca="false">P26+R26</f>
        <v>-0.467</v>
      </c>
      <c r="R26" s="17" t="n">
        <f aca="false">RANDBETWEEN(-30,90)/1000</f>
        <v>-0.017</v>
      </c>
      <c r="S26" s="18"/>
      <c r="T26" s="0" t="n">
        <v>17.1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546.72</v>
      </c>
      <c r="D27" s="17" t="n">
        <f aca="false">+Chạy!F18</f>
        <v>-6.25</v>
      </c>
      <c r="E27" s="17" t="n">
        <f aca="false">+D27+F27</f>
        <v>-6.2604</v>
      </c>
      <c r="F27" s="17" t="n">
        <f aca="false">RANDBETWEEN(-105,115)/10000</f>
        <v>-0.0104</v>
      </c>
      <c r="G27" s="17" t="n">
        <f aca="false">+Chạy!G18</f>
        <v>-0.45</v>
      </c>
      <c r="H27" s="17" t="n">
        <f aca="false">G27+I27</f>
        <v>-0.387</v>
      </c>
      <c r="I27" s="17" t="n">
        <f aca="false">RANDBETWEEN(-30,90)/1000</f>
        <v>0.063</v>
      </c>
      <c r="J27" s="17" t="n">
        <f aca="false">+Chạy!K18</f>
        <v>-0.45</v>
      </c>
      <c r="K27" s="17" t="n">
        <f aca="false">J27+L27</f>
        <v>-0.42</v>
      </c>
      <c r="L27" s="17" t="n">
        <f aca="false">RANDBETWEEN(-30,90)/1000</f>
        <v>0.03</v>
      </c>
      <c r="M27" s="17" t="n">
        <f aca="false">+Chạy!N18</f>
        <v>9.49</v>
      </c>
      <c r="N27" s="17" t="n">
        <f aca="false">+M27+O27</f>
        <v>9.4895</v>
      </c>
      <c r="O27" s="17" t="n">
        <f aca="false">RANDBETWEEN(-105,115)/10000</f>
        <v>-0.0005</v>
      </c>
      <c r="P27" s="17" t="n">
        <f aca="false">+Chạy!O18</f>
        <v>-0.45</v>
      </c>
      <c r="Q27" s="17" t="n">
        <f aca="false">P27+R27</f>
        <v>-0.398</v>
      </c>
      <c r="R27" s="17" t="n">
        <f aca="false">RANDBETWEEN(-30,90)/1000</f>
        <v>0.052</v>
      </c>
      <c r="S27" s="18"/>
      <c r="T27" s="0" t="n">
        <v>15.15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561.87</v>
      </c>
      <c r="D28" s="17" t="n">
        <f aca="false">+Chạy!F22</f>
        <v>-9.99</v>
      </c>
      <c r="E28" s="17" t="n">
        <f aca="false">+D28+F28</f>
        <v>-9.9796</v>
      </c>
      <c r="F28" s="17" t="n">
        <f aca="false">RANDBETWEEN(-105,115)/10000</f>
        <v>0.0104</v>
      </c>
      <c r="G28" s="17" t="n">
        <f aca="false">+Chạy!G22</f>
        <v>-0.45</v>
      </c>
      <c r="H28" s="17" t="n">
        <f aca="false">G28+I28</f>
        <v>-0.473</v>
      </c>
      <c r="I28" s="17" t="n">
        <f aca="false">RANDBETWEEN(-30,90)/1000</f>
        <v>-0.023</v>
      </c>
      <c r="J28" s="17" t="n">
        <f aca="false">+Chạy!K22</f>
        <v>-0.45</v>
      </c>
      <c r="K28" s="17" t="n">
        <f aca="false">J28+L28</f>
        <v>-0.411</v>
      </c>
      <c r="L28" s="17" t="n">
        <f aca="false">RANDBETWEEN(-30,90)/1000</f>
        <v>0.039</v>
      </c>
      <c r="M28" s="17" t="n">
        <f aca="false">+Chạy!N22</f>
        <v>10.12</v>
      </c>
      <c r="N28" s="17" t="n">
        <f aca="false">+M28+O28</f>
        <v>10.1233</v>
      </c>
      <c r="O28" s="17" t="n">
        <f aca="false">RANDBETWEEN(-105,115)/10000</f>
        <v>0.0033</v>
      </c>
      <c r="P28" s="17" t="n">
        <f aca="false">+Chạy!O22</f>
        <v>-0.45</v>
      </c>
      <c r="Q28" s="17" t="n">
        <f aca="false">P28+R28</f>
        <v>-0.432</v>
      </c>
      <c r="R28" s="17" t="n">
        <f aca="false">RANDBETWEEN(-30,90)/1000</f>
        <v>0.018</v>
      </c>
      <c r="S28" s="18"/>
      <c r="T28" s="0" t="n">
        <v>0.15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562.02</v>
      </c>
      <c r="D29" s="17" t="n">
        <f aca="false">+Chạy!F26</f>
        <v>-9.99</v>
      </c>
      <c r="E29" s="17" t="n">
        <f aca="false">+D29+F29</f>
        <v>-9.9921</v>
      </c>
      <c r="F29" s="17" t="n">
        <f aca="false">RANDBETWEEN(-105,115)/10000</f>
        <v>-0.0021</v>
      </c>
      <c r="G29" s="17" t="n">
        <f aca="false">+Chạy!G26</f>
        <v>-0.45</v>
      </c>
      <c r="H29" s="17" t="n">
        <f aca="false">G29+I29</f>
        <v>-0.477</v>
      </c>
      <c r="I29" s="17" t="n">
        <f aca="false">RANDBETWEEN(-30,90)/1000</f>
        <v>-0.027</v>
      </c>
      <c r="J29" s="17" t="n">
        <f aca="false">+Chạy!K26</f>
        <v>-0.45</v>
      </c>
      <c r="K29" s="17" t="n">
        <f aca="false">J29+L29</f>
        <v>-0.443</v>
      </c>
      <c r="L29" s="17" t="n">
        <f aca="false">RANDBETWEEN(-30,90)/1000</f>
        <v>0.007</v>
      </c>
      <c r="M29" s="17" t="n">
        <f aca="false">+Chạy!N26</f>
        <v>10.13</v>
      </c>
      <c r="N29" s="17" t="n">
        <f aca="false">+M29+O29</f>
        <v>10.1235</v>
      </c>
      <c r="O29" s="17" t="n">
        <f aca="false">RANDBETWEEN(-105,115)/10000</f>
        <v>-0.0065</v>
      </c>
      <c r="P29" s="17" t="n">
        <f aca="false">+Chạy!O26</f>
        <v>-0.45</v>
      </c>
      <c r="Q29" s="17" t="n">
        <f aca="false">P29+R29</f>
        <v>-0.423</v>
      </c>
      <c r="R29" s="17" t="n">
        <f aca="false">RANDBETWEEN(-30,90)/1000</f>
        <v>0.027</v>
      </c>
      <c r="S29" s="18"/>
      <c r="T29" s="0" t="n">
        <v>6.55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568.57</v>
      </c>
      <c r="D30" s="17" t="n">
        <f aca="false">+Chạy!F30</f>
        <v>-10.16</v>
      </c>
      <c r="E30" s="17" t="n">
        <f aca="false">+D30+F30</f>
        <v>-10.1671</v>
      </c>
      <c r="F30" s="17" t="n">
        <f aca="false">RANDBETWEEN(-105,115)/10000</f>
        <v>-0.0071</v>
      </c>
      <c r="G30" s="17" t="n">
        <f aca="false">+Chạy!G30</f>
        <v>-0.45</v>
      </c>
      <c r="H30" s="17" t="n">
        <f aca="false">G30+I30</f>
        <v>-0.426</v>
      </c>
      <c r="I30" s="17" t="n">
        <f aca="false">RANDBETWEEN(-30,90)/1000</f>
        <v>0.024</v>
      </c>
      <c r="J30" s="17" t="n">
        <f aca="false">+Chạy!K30</f>
        <v>-0.45</v>
      </c>
      <c r="K30" s="17" t="n">
        <f aca="false">J30+L30</f>
        <v>-0.399</v>
      </c>
      <c r="L30" s="17" t="n">
        <f aca="false">RANDBETWEEN(-30,90)/1000</f>
        <v>0.051</v>
      </c>
      <c r="M30" s="17" t="n">
        <f aca="false">+Chạy!N30</f>
        <v>10.48</v>
      </c>
      <c r="N30" s="17" t="n">
        <f aca="false">+M30+O30</f>
        <v>10.486</v>
      </c>
      <c r="O30" s="17" t="n">
        <f aca="false">RANDBETWEEN(-105,115)/10000</f>
        <v>0.006</v>
      </c>
      <c r="P30" s="17" t="n">
        <f aca="false">+Chạy!O30</f>
        <v>-0.45</v>
      </c>
      <c r="Q30" s="17" t="n">
        <f aca="false">P30+R30</f>
        <v>-0.425</v>
      </c>
      <c r="R30" s="17" t="n">
        <f aca="false">RANDBETWEEN(-30,90)/1000</f>
        <v>0.025</v>
      </c>
      <c r="S30" s="18"/>
      <c r="T30" s="0" t="n">
        <v>6.55</v>
      </c>
    </row>
    <row r="31" customFormat="false" ht="15" hidden="false" customHeight="false" outlineLevel="0" collapsed="false">
      <c r="A31" s="14" t="n">
        <v>9</v>
      </c>
      <c r="B31" s="14" t="s">
        <v>1</v>
      </c>
      <c r="C31" s="71" t="n">
        <f aca="false">+C30+T30</f>
        <v>575.12</v>
      </c>
      <c r="D31" s="17" t="n">
        <f aca="false">+Chạy!F34</f>
        <v>-9.88</v>
      </c>
      <c r="E31" s="17" t="n">
        <f aca="false">+D31+F31</f>
        <v>-9.8793</v>
      </c>
      <c r="F31" s="17" t="n">
        <f aca="false">RANDBETWEEN(-105,115)/10000</f>
        <v>0.0007</v>
      </c>
      <c r="G31" s="17" t="n">
        <f aca="false">+Chạy!G34</f>
        <v>-0.45</v>
      </c>
      <c r="H31" s="17" t="n">
        <f aca="false">G31+I31</f>
        <v>-0.48</v>
      </c>
      <c r="I31" s="17" t="n">
        <f aca="false">RANDBETWEEN(-30,90)/1000</f>
        <v>-0.03</v>
      </c>
      <c r="J31" s="17" t="n">
        <f aca="false">+Chạy!K34</f>
        <v>-0.45</v>
      </c>
      <c r="K31" s="17" t="n">
        <f aca="false">J31+L31</f>
        <v>-0.41</v>
      </c>
      <c r="L31" s="17" t="n">
        <f aca="false">RANDBETWEEN(-30,90)/1000</f>
        <v>0.04</v>
      </c>
      <c r="M31" s="17" t="n">
        <f aca="false">+Chạy!N34</f>
        <v>9.56</v>
      </c>
      <c r="N31" s="17" t="n">
        <f aca="false">+M31+O31</f>
        <v>9.554</v>
      </c>
      <c r="O31" s="17" t="n">
        <f aca="false">RANDBETWEEN(-105,115)/10000</f>
        <v>-0.006</v>
      </c>
      <c r="P31" s="17" t="n">
        <f aca="false">+Chạy!O34</f>
        <v>-0.45</v>
      </c>
      <c r="Q31" s="17" t="n">
        <f aca="false">P31+R31</f>
        <v>-0.367</v>
      </c>
      <c r="R31" s="17" t="n">
        <f aca="false">RANDBETWEEN(-30,90)/1000</f>
        <v>0.083</v>
      </c>
      <c r="S31" s="18"/>
      <c r="T31" s="0" t="n">
        <v>0.04</v>
      </c>
    </row>
    <row r="32" customFormat="false" ht="15" hidden="false" customHeight="false" outlineLevel="0" collapsed="false">
      <c r="A32" s="14" t="n">
        <v>10</v>
      </c>
      <c r="B32" s="14" t="s">
        <v>25</v>
      </c>
      <c r="C32" s="71" t="n">
        <f aca="false">+C31+T31</f>
        <v>575.16</v>
      </c>
      <c r="D32" s="17" t="n">
        <f aca="false">+Chạy!F38</f>
        <v>-9.88</v>
      </c>
      <c r="E32" s="17" t="n">
        <f aca="false">+D32+F32</f>
        <v>-9.876</v>
      </c>
      <c r="F32" s="17" t="n">
        <f aca="false">RANDBETWEEN(-105,115)/10000</f>
        <v>0.004</v>
      </c>
      <c r="G32" s="17" t="n">
        <f aca="false">+Chạy!G38</f>
        <v>-0.45</v>
      </c>
      <c r="H32" s="17" t="n">
        <f aca="false">G32+I32</f>
        <v>-0.431</v>
      </c>
      <c r="I32" s="17" t="n">
        <f aca="false">RANDBETWEEN(-30,90)/1000</f>
        <v>0.019</v>
      </c>
      <c r="J32" s="17" t="n">
        <f aca="false">+Chạy!K38</f>
        <v>-0.45</v>
      </c>
      <c r="K32" s="17" t="n">
        <f aca="false">J32+L32</f>
        <v>-0.415</v>
      </c>
      <c r="L32" s="17" t="n">
        <f aca="false">RANDBETWEEN(-30,90)/1000</f>
        <v>0.035</v>
      </c>
      <c r="M32" s="17" t="n">
        <f aca="false">+Chạy!N38</f>
        <v>9.33</v>
      </c>
      <c r="N32" s="17" t="n">
        <f aca="false">+M32+O32</f>
        <v>9.3375</v>
      </c>
      <c r="O32" s="17" t="n">
        <f aca="false">RANDBETWEEN(-105,115)/10000</f>
        <v>0.0075</v>
      </c>
      <c r="P32" s="17" t="n">
        <f aca="false">+Chạy!O38</f>
        <v>-0.45</v>
      </c>
      <c r="Q32" s="17" t="n">
        <f aca="false">P32+R32</f>
        <v>-0.381</v>
      </c>
      <c r="R32" s="17" t="n">
        <f aca="false">RANDBETWEEN(-30,90)/1000</f>
        <v>0.069</v>
      </c>
      <c r="S32" s="18"/>
      <c r="T32" s="0" t="n">
        <v>16.95</v>
      </c>
    </row>
    <row r="33" customFormat="false" ht="15" hidden="false" customHeight="false" outlineLevel="0" collapsed="false">
      <c r="A33" s="14" t="n">
        <v>11</v>
      </c>
      <c r="B33" s="14" t="s">
        <v>26</v>
      </c>
      <c r="C33" s="71" t="n">
        <f aca="false">+C32+T32</f>
        <v>592.11</v>
      </c>
      <c r="D33" s="17" t="n">
        <f aca="false">+Chạy!F42</f>
        <v>-10.06</v>
      </c>
      <c r="E33" s="17" t="n">
        <f aca="false">+D33+F33</f>
        <v>-10.0705</v>
      </c>
      <c r="F33" s="17" t="n">
        <f aca="false">RANDBETWEEN(-105,115)/10000</f>
        <v>-0.0105</v>
      </c>
      <c r="G33" s="17" t="n">
        <f aca="false">+Chạy!G42</f>
        <v>-0.45</v>
      </c>
      <c r="H33" s="17" t="n">
        <f aca="false">G33+I33</f>
        <v>-0.384</v>
      </c>
      <c r="I33" s="17" t="n">
        <f aca="false">RANDBETWEEN(-30,90)/1000</f>
        <v>0.066</v>
      </c>
      <c r="J33" s="17" t="n">
        <f aca="false">+Chạy!K42</f>
        <v>-0.45</v>
      </c>
      <c r="K33" s="17" t="n">
        <f aca="false">J33+L33</f>
        <v>-0.452</v>
      </c>
      <c r="L33" s="17" t="n">
        <f aca="false">RANDBETWEEN(-30,90)/1000</f>
        <v>-0.002</v>
      </c>
      <c r="M33" s="17" t="n">
        <f aca="false">+Chạy!N42</f>
        <v>10.11</v>
      </c>
      <c r="N33" s="17" t="n">
        <f aca="false">+M33+O33</f>
        <v>10.1035</v>
      </c>
      <c r="O33" s="17" t="n">
        <f aca="false">RANDBETWEEN(-105,115)/10000</f>
        <v>-0.0065</v>
      </c>
      <c r="P33" s="17" t="n">
        <f aca="false">+Chạy!O42</f>
        <v>-0.45</v>
      </c>
      <c r="Q33" s="17" t="n">
        <f aca="false">P33+R33</f>
        <v>-0.48</v>
      </c>
      <c r="R33" s="17" t="n">
        <f aca="false">RANDBETWEEN(-30,90)/1000</f>
        <v>-0.03</v>
      </c>
      <c r="S33" s="18"/>
      <c r="T33" s="0" t="n">
        <v>17</v>
      </c>
    </row>
    <row r="34" customFormat="false" ht="15" hidden="false" customHeight="false" outlineLevel="0" collapsed="false">
      <c r="A34" s="14" t="n">
        <v>12</v>
      </c>
      <c r="B34" s="14" t="s">
        <v>27</v>
      </c>
      <c r="C34" s="71" t="n">
        <f aca="false">+C33+T33</f>
        <v>609.11</v>
      </c>
      <c r="D34" s="17" t="n">
        <f aca="false">+Chạy!F46</f>
        <v>-9.27</v>
      </c>
      <c r="E34" s="17" t="n">
        <f aca="false">+D34+F34</f>
        <v>-9.2673</v>
      </c>
      <c r="F34" s="17" t="n">
        <f aca="false">RANDBETWEEN(-105,115)/10000</f>
        <v>0.0027</v>
      </c>
      <c r="G34" s="17" t="n">
        <f aca="false">+Chạy!G46</f>
        <v>-0.45</v>
      </c>
      <c r="H34" s="17" t="n">
        <f aca="false">G34+I34</f>
        <v>-0.466</v>
      </c>
      <c r="I34" s="17" t="n">
        <f aca="false">RANDBETWEEN(-30,90)/1000</f>
        <v>-0.016</v>
      </c>
      <c r="J34" s="17" t="n">
        <f aca="false">+Chạy!K46</f>
        <v>-0.45</v>
      </c>
      <c r="K34" s="17" t="n">
        <f aca="false">J34+L34</f>
        <v>-0.426</v>
      </c>
      <c r="L34" s="17" t="n">
        <f aca="false">RANDBETWEEN(-30,90)/1000</f>
        <v>0.024</v>
      </c>
      <c r="M34" s="17" t="n">
        <f aca="false">+Chạy!N46</f>
        <v>9.13</v>
      </c>
      <c r="N34" s="17" t="n">
        <f aca="false">+M34+O34</f>
        <v>9.1223</v>
      </c>
      <c r="O34" s="17" t="n">
        <f aca="false">RANDBETWEEN(-105,115)/10000</f>
        <v>-0.0077</v>
      </c>
      <c r="P34" s="17" t="n">
        <f aca="false">+Chạy!O46</f>
        <v>-0.45</v>
      </c>
      <c r="Q34" s="17" t="n">
        <f aca="false">P34+R34</f>
        <v>-0.456</v>
      </c>
      <c r="R34" s="17" t="n">
        <f aca="false">RANDBETWEEN(-30,90)/1000</f>
        <v>-0.006</v>
      </c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9" customFormat="false" ht="15" hidden="false" customHeight="false" outlineLevel="0" collapsed="false">
      <c r="C49" s="20" t="s">
        <v>50</v>
      </c>
      <c r="D49" s="20"/>
      <c r="E49" s="20"/>
      <c r="F49" s="20"/>
      <c r="G49" s="20"/>
      <c r="H49" s="20"/>
      <c r="I49" s="20"/>
      <c r="K49" s="21"/>
      <c r="L49" s="21"/>
      <c r="M49" s="21"/>
      <c r="N49" s="21"/>
      <c r="O49" s="20" t="s">
        <v>51</v>
      </c>
      <c r="P49" s="20"/>
      <c r="Q49" s="20"/>
      <c r="R49" s="20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E53" s="22"/>
      <c r="F53" s="22"/>
      <c r="G53" s="22"/>
      <c r="H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C54" s="20" t="s">
        <v>52</v>
      </c>
      <c r="D54" s="20"/>
      <c r="E54" s="20"/>
      <c r="F54" s="20"/>
      <c r="G54" s="20"/>
      <c r="H54" s="20"/>
      <c r="I54" s="20"/>
      <c r="K54" s="21"/>
      <c r="L54" s="21"/>
      <c r="M54" s="21"/>
      <c r="N54" s="21"/>
      <c r="O54" s="20" t="s">
        <v>53</v>
      </c>
      <c r="P54" s="20"/>
      <c r="Q54" s="20"/>
      <c r="R54" s="20"/>
    </row>
    <row r="55" customFormat="false" ht="15.75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49:I49"/>
    <mergeCell ref="O49:R49"/>
    <mergeCell ref="C54:I54"/>
    <mergeCell ref="O54:R54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">
        <v>67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">
        <v>68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25</v>
      </c>
      <c r="C11" s="16" t="n">
        <f aca="false">'4.KTHH L4'!C23</f>
        <v>489.19</v>
      </c>
      <c r="D11" s="14" t="n">
        <f aca="false">'4.KTHH L4'!T23</f>
        <v>13.17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Chạy!E2</f>
        <v>4.62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70.9863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D1</v>
      </c>
      <c r="C12" s="16" t="n">
        <f aca="false">'4.KTHH L4'!C24</f>
        <v>502.36</v>
      </c>
      <c r="D12" s="14" t="n">
        <f aca="false">'4.KTHH L4'!T24</f>
        <v>10.48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6.16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63.5612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26</v>
      </c>
      <c r="C13" s="16" t="n">
        <f aca="false">'4.KTHH L4'!C25</f>
        <v>512.84</v>
      </c>
      <c r="D13" s="14" t="n">
        <f aca="false">'4.KTHH L4'!T25</f>
        <v>16.78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Chạy!E10</f>
        <v>5.97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101.6029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27</v>
      </c>
      <c r="C14" s="16" t="n">
        <f aca="false">'4.KTHH L4'!C26</f>
        <v>529.62</v>
      </c>
      <c r="D14" s="14" t="n">
        <f aca="false">'4.KTHH L4'!T26</f>
        <v>17.1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6.14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92.0835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28</v>
      </c>
      <c r="C15" s="16" t="n">
        <f aca="false">'4.KTHH L4'!C27</f>
        <v>546.72</v>
      </c>
      <c r="D15" s="14" t="n">
        <f aca="false">'4.KTHH L4'!T27</f>
        <v>15.15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Chạy!E18</f>
        <v>4.63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80.06775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E5</v>
      </c>
      <c r="C16" s="16" t="n">
        <f aca="false">'4.KTHH L4'!C28</f>
        <v>561.87</v>
      </c>
      <c r="D16" s="14" t="n">
        <f aca="false">'4.KTHH L4'!T28</f>
        <v>0.15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5.94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0.89175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'4.KTHH L4'!B29</f>
        <v>TD</v>
      </c>
      <c r="C17" s="16" t="n">
        <f aca="false">'4.KTHH L4'!C29</f>
        <v>562.02</v>
      </c>
      <c r="D17" s="14" t="n">
        <f aca="false">'4.KTHH L4'!T29</f>
        <v>6.55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Chạy!E26</f>
        <v>5.95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39.46375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'4.KTHH L4'!B30</f>
        <v>P</v>
      </c>
      <c r="C18" s="16" t="n">
        <f aca="false">'4.KTHH L4'!C30</f>
        <v>568.57</v>
      </c>
      <c r="D18" s="14" t="n">
        <f aca="false">'4.KTHH L4'!T30</f>
        <v>6.55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Chạy!E30</f>
        <v>6.1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38.776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'4.KTHH L4'!B31</f>
        <v>TC</v>
      </c>
      <c r="C19" s="16" t="n">
        <f aca="false">'4.KTHH L4'!C31</f>
        <v>575.12</v>
      </c>
      <c r="D19" s="14" t="n">
        <f aca="false">'4.KTHH L4'!T31</f>
        <v>0.04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Chạy!E34</f>
        <v>5.74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0.2282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'4.KTHH L4'!B32</f>
        <v>29</v>
      </c>
      <c r="C20" s="16" t="n">
        <f aca="false">'4.KTHH L4'!C32</f>
        <v>575.16</v>
      </c>
      <c r="D20" s="14" t="n">
        <f aca="false">'4.KTHH L4'!T32</f>
        <v>16.95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Chạy!E38</f>
        <v>5.67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98.56425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'4.KTHH L4'!B33</f>
        <v>30</v>
      </c>
      <c r="C21" s="16" t="n">
        <f aca="false">'4.KTHH L4'!C33</f>
        <v>592.11</v>
      </c>
      <c r="D21" s="14" t="n">
        <f aca="false">'4.KTHH L4'!T33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 t="n">
        <f aca="false">Chạy!E42</f>
        <v>5.96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96.815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'4.KTHH L4'!B34</f>
        <v>31</v>
      </c>
      <c r="C22" s="16" t="n">
        <f aca="false">'4.KTHH L4'!C34</f>
        <v>609.11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 t="n">
        <f aca="false">Chạy!E46</f>
        <v>5.43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61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SUM(W11:W22)</f>
        <v>683.0406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4.2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50</v>
      </c>
      <c r="B38" s="20"/>
      <c r="C38" s="20"/>
      <c r="D38" s="65" t="s">
        <v>62</v>
      </c>
      <c r="E38" s="20" t="s">
        <v>51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4.2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52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53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2026-10-13T07:38:10Z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