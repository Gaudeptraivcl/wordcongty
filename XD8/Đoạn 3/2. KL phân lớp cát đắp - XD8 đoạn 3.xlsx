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8"/>
  </bookViews>
  <sheets>
    <sheet name="Chạy" sheetId="1" state="visible" r:id="rId3"/>
    <sheet name="1.KTHH L1" sheetId="2" state="visible" r:id="rId4"/>
    <sheet name="1.KL lớp 1" sheetId="3" state="visible" r:id="rId5"/>
    <sheet name="2.KTHH L2" sheetId="4" state="visible" r:id="rId6"/>
    <sheet name="2.KL lớp 2" sheetId="5" state="visible" r:id="rId7"/>
    <sheet name="3.KTHH L3" sheetId="6" state="visible" r:id="rId8"/>
    <sheet name="3.KL lớp 3" sheetId="7" state="visible" r:id="rId9"/>
    <sheet name="4.KTHH L4" sheetId="8" state="visible" r:id="rId10"/>
    <sheet name="4.KL lớp 4" sheetId="9" state="visible" r:id="rId11"/>
  </sheets>
  <externalReferences>
    <externalReference r:id="rIdExt1"/>
  </externalReferences>
  <definedNames>
    <definedName function="false" hidden="false" localSheetId="2" name="_xlnm.Print_Area" vbProcedure="false">'1.KL lớp 1'!$A$1:$AB$60</definedName>
    <definedName function="false" hidden="false" localSheetId="1" name="_xlnm.Print_Area" vbProcedure="false">'1.KTHH L1'!$A$1:$S$71</definedName>
    <definedName function="false" hidden="false" localSheetId="1" name="_xlnm.Print_Titles" vbProcedure="false">'1.KTHH L1'!$21:$22</definedName>
    <definedName function="false" hidden="false" localSheetId="4" name="_xlnm.Print_Area" vbProcedure="false">'2.KL lớp 2'!$A$1:$AB$60</definedName>
    <definedName function="false" hidden="false" localSheetId="3" name="_xlnm.Print_Area" vbProcedure="false">'2.KTHH L2'!$A$1:$S$71</definedName>
    <definedName function="false" hidden="false" localSheetId="3" name="_xlnm.Print_Titles" vbProcedure="false">'2.KTHH L2'!$21:$22</definedName>
    <definedName function="false" hidden="false" localSheetId="6" name="_xlnm.Print_Area" vbProcedure="false">'3.KL lớp 3'!$A$1:$AB$45</definedName>
    <definedName function="false" hidden="false" localSheetId="5" name="_xlnm.Print_Area" vbProcedure="false">'3.KTHH L3'!$A$1:$S$55</definedName>
    <definedName function="false" hidden="false" localSheetId="5" name="_xlnm.Print_Titles" vbProcedure="false">'3.KTHH L3'!$20:$21</definedName>
    <definedName function="false" hidden="false" localSheetId="8" name="_xlnm.Print_Area" vbProcedure="false">'4.KL lớp 4'!$A$1:$AB$45</definedName>
    <definedName function="false" hidden="false" localSheetId="7" name="_xlnm.Print_Area" vbProcedure="false">'4.KTHH L4'!$A$1:$S$56</definedName>
    <definedName function="false" hidden="false" localSheetId="7" name="_xlnm.Print_Titles" vbProcedure="false">'4.KTHH L4'!$21:$22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<sst xmlns="http://schemas.openxmlformats.org/spreadsheetml/2006/main" count="333" uniqueCount="69">
  <si>
    <t xml:space="preserve">STT</t>
  </si>
  <si>
    <t xml:space="preserve">TC</t>
  </si>
  <si>
    <t xml:space="preserve">LT</t>
  </si>
  <si>
    <t xml:space="preserve">TL</t>
  </si>
  <si>
    <t xml:space="preserve">DT</t>
  </si>
  <si>
    <t xml:space="preserve">KCt 1</t>
  </si>
  <si>
    <t xml:space="preserve">CDt 1</t>
  </si>
  <si>
    <t xml:space="preserve">KCt 2</t>
  </si>
  <si>
    <t xml:space="preserve">CDt 2</t>
  </si>
  <si>
    <t xml:space="preserve">KC tim</t>
  </si>
  <si>
    <t xml:space="preserve">CD tim</t>
  </si>
  <si>
    <t xml:space="preserve">KCp 1</t>
  </si>
  <si>
    <t xml:space="preserve">CDp 1</t>
  </si>
  <si>
    <t xml:space="preserve">KCp 2</t>
  </si>
  <si>
    <t xml:space="preserve">CDp 2</t>
  </si>
  <si>
    <t xml:space="preserve">S bao</t>
  </si>
  <si>
    <t xml:space="preserve">S le</t>
  </si>
  <si>
    <t xml:space="preserve">25</t>
  </si>
  <si>
    <t xml:space="preserve">D1</t>
  </si>
  <si>
    <t xml:space="preserve">26</t>
  </si>
  <si>
    <t xml:space="preserve">27</t>
  </si>
  <si>
    <t xml:space="preserve">28</t>
  </si>
  <si>
    <t xml:space="preserve">E5</t>
  </si>
  <si>
    <t xml:space="preserve">TD</t>
  </si>
  <si>
    <t xml:space="preserve">P</t>
  </si>
  <si>
    <t xml:space="preserve">29</t>
  </si>
  <si>
    <t xml:space="preserve">30</t>
  </si>
  <si>
    <t xml:space="preserve">31</t>
  </si>
  <si>
    <t xml:space="preserve">PHỤ LỤC KIỂM TRA CAO ĐỘ, KÍCH THƯỚC HÌNH HỌC ĐẮP CÁT</t>
  </si>
  <si>
    <t xml:space="preserve">Kèm theo BBNT số: 60.NĐXD8/CVXD ngày 14 tháng 09 năm 2026</t>
  </si>
  <si>
    <t xml:space="preserve">Dự án: Xây dựng HTKT Khu tái định cư phục vụ di dân xã Hải Hà, thị xã Nghi Sơn, tỉnh Thanh Hóa.</t>
  </si>
  <si>
    <t xml:space="preserve">Gói thầu số 12: Xây dựng HTKT khu vực Hải Bình và Xuân Lâm (bao gồm cả bảo hiểm xây dựng công trình)</t>
  </si>
  <si>
    <t xml:space="preserve">Nhà thầu thi công: Công ty TNHH Hoàng Tuấn</t>
  </si>
  <si>
    <t xml:space="preserve">Hạng mục:  Nền đường tuyến XD8</t>
  </si>
  <si>
    <t xml:space="preserve">- Đối tượng nghiệm thu:</t>
  </si>
  <si>
    <t xml:space="preserve">Đắp cát nền đường lớp 1 đoạn từ Km0+489,19 - Km0+609,11, độ chặt K&gt;=0,95</t>
  </si>
  <si>
    <t xml:space="preserve">Sơ họa:</t>
  </si>
  <si>
    <t xml:space="preserve">TT</t>
  </si>
  <si>
    <t xml:space="preserve">Tên cọc</t>
  </si>
  <si>
    <t xml:space="preserve">Lý trình</t>
  </si>
  <si>
    <t xml:space="preserve">Bên trái (H1)</t>
  </si>
  <si>
    <t xml:space="preserve">Tim (H2)</t>
  </si>
  <si>
    <t xml:space="preserve">Bên phải (H3)</t>
  </si>
  <si>
    <t xml:space="preserve">Ghi chú</t>
  </si>
  <si>
    <t xml:space="preserve">KCTK</t>
  </si>
  <si>
    <t xml:space="preserve">KCTC</t>
  </si>
  <si>
    <t xml:space="preserve">Chênh KC (m)</t>
  </si>
  <si>
    <t xml:space="preserve">CDTK (m)</t>
  </si>
  <si>
    <t xml:space="preserve">CDTC (m)</t>
  </si>
  <si>
    <t xml:space="preserve">Chênh CD (m)</t>
  </si>
  <si>
    <t xml:space="preserve">NHÀ THẦU THI CÔNG</t>
  </si>
  <si>
    <t xml:space="preserve">TƯ VẤN GIÁM SÁT</t>
  </si>
  <si>
    <t xml:space="preserve">Nguyễn Xuân Hưng</t>
  </si>
  <si>
    <t xml:space="preserve">Trần Mạnh Tùng</t>
  </si>
  <si>
    <t xml:space="preserve">PHỤ LỤC KHỐI LƯỢNG </t>
  </si>
  <si>
    <t xml:space="preserve">K/c lẻ</t>
  </si>
  <si>
    <t xml:space="preserve">Khối lượng đắp cát</t>
  </si>
  <si>
    <t xml:space="preserve">Diện tích</t>
  </si>
  <si>
    <t xml:space="preserve">Diện tích
 (m2)</t>
  </si>
  <si>
    <t xml:space="preserve">Khối lượng</t>
  </si>
  <si>
    <t xml:space="preserve">Khối lượng (m3)</t>
  </si>
  <si>
    <t xml:space="preserve">Tổng cộng (m3)</t>
  </si>
  <si>
    <t xml:space="preserve">                 </t>
  </si>
  <si>
    <t xml:space="preserve">Kèm theo BBNT số: 61.NĐXD8/CVXD ngày 15 tháng 09 năm 2026</t>
  </si>
  <si>
    <t xml:space="preserve">Đắp cát nền đường lớp 2 đoạn từ Km0+489,19 - Km0+609,11, độ chặt K&gt;=0,95</t>
  </si>
  <si>
    <t xml:space="preserve">Kèm theo BBNT số: 62.NĐXD8/CVXD ngày 15 tháng 09 năm 2026</t>
  </si>
  <si>
    <t xml:space="preserve">Đắp cát nền đường lớp 3 đoạn từ Km0+489,19 - Km0+609,11, độ chặt K&gt;=0,95</t>
  </si>
  <si>
    <t xml:space="preserve">Kèm theo BBNT số: 63.NĐXD8/CVXD ngày 16 tháng 09 năm 2026</t>
  </si>
  <si>
    <t xml:space="preserve">Đắp cát nền đường lớp 4 đoạn từ Km0+489,19 - Km0+609,11, độ chặt K&gt;=0,95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</si>
</sst>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_(* #,##0.00_);_(* \(#,##0.00\);_(* \-??_);_(@_)"/>
    <numFmt numFmtId="166" formatCode="#,##0.00;\-#,##0.00;;@"/>
    <numFmt numFmtId="167" formatCode="&quot;Km&quot;0\+000.00"/>
    <numFmt numFmtId="168" formatCode="#,##0.000"/>
    <numFmt numFmtId="169" formatCode="0.00"/>
    <numFmt numFmtId="170" formatCode="0.00_);\(0.00\)"/>
    <numFmt numFmtId="171" formatCode="_-* #,##0.00\ _₫_-;\-* #,##0.00\ _₫_-;_-* \-??\ _₫_-;_-@_-"/>
    <numFmt numFmtId="172" formatCode="_(* #,##0.000_);_(* \(#,##0.000\);_(* \-??_);_(@_)"/>
    <numFmt numFmtId="173" formatCode="_-* #,##0\ _₫_-;\-* #,##0\ _₫_-;_-* \-??\ _₫_-;_-@_-"/>
  </numFmts>
  <fonts count="32">
    <font>
      <sz val="11"/>
      <color theme="1"/>
      <name val="Calibri"/>
      <family val="2"/>
      <charset val="163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Times New Roman"/>
      <family val="2"/>
      <charset val="1"/>
    </font>
    <font>
      <sz val="14"/>
      <color theme="1"/>
      <name val="Times New Roman"/>
      <family val="2"/>
      <charset val="163"/>
    </font>
    <font>
      <sz val="10"/>
      <name val="Arial"/>
      <family val="2"/>
      <charset val="1"/>
    </font>
    <font>
      <b val="true"/>
      <sz val="12"/>
      <name val="Times New Roman"/>
      <family val="1"/>
      <charset val="1"/>
    </font>
    <font>
      <sz val="11"/>
      <name val="Times New Roman"/>
      <family val="1"/>
      <charset val="1"/>
    </font>
    <font>
      <sz val="16"/>
      <name val="Times New Roman"/>
      <family val="1"/>
      <charset val="1"/>
    </font>
    <font>
      <i val="true"/>
      <sz val="14"/>
      <name val="Times New Roman"/>
      <family val="1"/>
      <charset val="1"/>
    </font>
    <font>
      <sz val="13"/>
      <color theme="1"/>
      <name val="Calibri"/>
      <family val="2"/>
      <charset val="163"/>
    </font>
    <font>
      <sz val="14"/>
      <name val="Times New Roman"/>
      <family val="1"/>
      <charset val="1"/>
    </font>
    <font>
      <b val="true"/>
      <sz val="14"/>
      <name val="Times New Roman"/>
      <family val="1"/>
      <charset val="1"/>
    </font>
    <font>
      <b val="true"/>
      <sz val="11"/>
      <name val="Times New Roman"/>
      <family val="1"/>
      <charset val="1"/>
    </font>
    <font>
      <sz val="10"/>
      <name val="Times New Roman"/>
      <family val="1"/>
      <charset val="1"/>
    </font>
    <font>
      <b val="true"/>
      <sz val="13"/>
      <name val="Times New Roman"/>
      <family val="1"/>
      <charset val="1"/>
    </font>
    <font>
      <sz val="13"/>
      <name val="Times New Roman"/>
      <family val="2"/>
      <charset val="1"/>
    </font>
    <font>
      <i val="true"/>
      <sz val="13"/>
      <name val="Times New Roman"/>
      <family val="1"/>
      <charset val="1"/>
    </font>
    <font>
      <sz val="13"/>
      <name val="Times New Roman"/>
      <family val="1"/>
      <charset val="1"/>
    </font>
    <font>
      <sz val="13"/>
      <name val=".VnTime"/>
      <family val="2"/>
      <charset val="1"/>
    </font>
    <font>
      <b val="true"/>
      <sz val="12"/>
      <color theme="1"/>
      <name val="Times New Roman"/>
      <family val="1"/>
      <charset val="1"/>
    </font>
    <font>
      <sz val="12"/>
      <color theme="1"/>
      <name val="Times New Roman"/>
      <family val="2"/>
      <charset val="163"/>
    </font>
    <font>
      <sz val="13"/>
      <name val=".VnTimeH"/>
      <family val="2"/>
      <charset val="1"/>
    </font>
    <font>
      <sz val="11"/>
      <name val="Arial"/>
      <family val="2"/>
      <charset val="1"/>
    </font>
    <font>
      <sz val="11"/>
      <color theme="1"/>
      <name val="Times New Roman"/>
      <family val="1"/>
      <charset val="1"/>
    </font>
    <font>
      <sz val="11"/>
      <name val=".VnTime"/>
      <family val="2"/>
      <charset val="1"/>
    </font>
    <font>
      <b val="true"/>
      <sz val="11"/>
      <name val=".vntime"/>
      <family val="2"/>
      <charset val="1"/>
    </font>
    <font>
      <sz val="12.5"/>
      <name val="Times New Roman"/>
      <family val="1"/>
      <charset val="1"/>
    </font>
    <font>
      <sz val="14"/>
      <color theme="1"/>
      <name val="Calibri"/>
      <family val="2"/>
      <charset val="163"/>
    </font>
    <font>
      <sz val="12"/>
      <color theme="1"/>
      <name val="Calibri"/>
      <family val="2"/>
      <charset val="163"/>
    </font>
    <font>
      <sz val="12"/>
      <name val="Times New Roman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 style="hair"/>
      <bottom style="hair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hair"/>
      <diagonal/>
    </border>
    <border diagonalUp="false" diagonalDown="false">
      <left/>
      <right/>
      <top style="thin"/>
      <bottom style="thin"/>
      <diagonal/>
    </border>
  </borders>
  <cellStyleXfs count="25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0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0" borderId="0" xfId="22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2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2" fillId="0" borderId="0" xfId="2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2" fillId="0" borderId="0" xfId="23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0" borderId="4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4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4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3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8" fillId="0" borderId="3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4" fillId="2" borderId="3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5" fillId="0" borderId="3" xfId="21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0" borderId="3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8" fillId="0" borderId="3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8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Comma 2 2" xfId="21"/>
    <cellStyle name="Normal 2" xfId="22"/>
    <cellStyle name="Normal 2 2" xfId="23"/>
    <cellStyle name="Normal 24 2" xfId="24"/>
  </cellStyles>
</styleSheet>
</file>

<file path=xl/_rels/workbook.xml.rels><?xml version='1.0' encoding='UTF-8' standalone='yes'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Relationship Id="rIdExt1" Type="http://schemas.openxmlformats.org/officeDocument/2006/relationships/externalLink" Target="externalLinks/externalLink1.xml"/>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3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4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851760</xdr:colOff>
      <xdr:row>7</xdr:row>
      <xdr:rowOff>190440</xdr:rowOff>
    </xdr:from>
    <xdr:to>
      <xdr:col>15</xdr:col>
      <xdr:colOff>380880</xdr:colOff>
      <xdr:row>18</xdr:row>
      <xdr:rowOff>73080</xdr:rowOff>
    </xdr:to>
    <xdr:pic>
      <xdr:nvPicPr>
        <xdr:cNvPr id="0" name="Picture 3" descr=""/>
        <xdr:cNvPicPr/>
      </xdr:nvPicPr>
      <xdr:blipFill>
        <a:blip r:embed="rId1"/>
        <a:stretch/>
      </xdr:blipFill>
      <xdr:spPr>
        <a:xfrm>
          <a:off x="1767600" y="1876320"/>
          <a:ext cx="5680080" cy="20257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705960</xdr:colOff>
      <xdr:row>7</xdr:row>
      <xdr:rowOff>224280</xdr:rowOff>
    </xdr:from>
    <xdr:to>
      <xdr:col>15</xdr:col>
      <xdr:colOff>358200</xdr:colOff>
      <xdr:row>18</xdr:row>
      <xdr:rowOff>107280</xdr:rowOff>
    </xdr:to>
    <xdr:pic>
      <xdr:nvPicPr>
        <xdr:cNvPr id="1" name="Picture 2" descr=""/>
        <xdr:cNvPicPr/>
      </xdr:nvPicPr>
      <xdr:blipFill>
        <a:blip r:embed="rId1"/>
        <a:stretch/>
      </xdr:blipFill>
      <xdr:spPr>
        <a:xfrm>
          <a:off x="1682640" y="1910160"/>
          <a:ext cx="5793120" cy="2026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481680</xdr:colOff>
      <xdr:row>7</xdr:row>
      <xdr:rowOff>201600</xdr:rowOff>
    </xdr:from>
    <xdr:to>
      <xdr:col>15</xdr:col>
      <xdr:colOff>402840</xdr:colOff>
      <xdr:row>18</xdr:row>
      <xdr:rowOff>42120</xdr:rowOff>
    </xdr:to>
    <xdr:pic>
      <xdr:nvPicPr>
        <xdr:cNvPr id="2" name="Picture 4" descr=""/>
        <xdr:cNvPicPr/>
      </xdr:nvPicPr>
      <xdr:blipFill>
        <a:blip r:embed="rId1"/>
        <a:stretch/>
      </xdr:blipFill>
      <xdr:spPr>
        <a:xfrm>
          <a:off x="1467720" y="1887480"/>
          <a:ext cx="5731560" cy="19836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705960</xdr:colOff>
      <xdr:row>7</xdr:row>
      <xdr:rowOff>134640</xdr:rowOff>
    </xdr:from>
    <xdr:to>
      <xdr:col>15</xdr:col>
      <xdr:colOff>639360</xdr:colOff>
      <xdr:row>18</xdr:row>
      <xdr:rowOff>33480</xdr:rowOff>
    </xdr:to>
    <xdr:pic>
      <xdr:nvPicPr>
        <xdr:cNvPr id="3" name="Picture 2" descr=""/>
        <xdr:cNvPicPr/>
      </xdr:nvPicPr>
      <xdr:blipFill>
        <a:blip r:embed="rId1"/>
        <a:stretch/>
      </xdr:blipFill>
      <xdr:spPr>
        <a:xfrm>
          <a:off x="1602000" y="1820520"/>
          <a:ext cx="6174000" cy="2041920"/>
        </a:xfrm>
        <a:prstGeom prst="rect">
          <a:avLst/>
        </a:prstGeom>
        <a:ln w="0">
          <a:noFill/>
        </a:ln>
      </xdr:spPr>
    </xdr:pic>
    <xdr:clientData/>
  </xdr:twoCellAnchor>
</xdr:wsDr>
</file>

<file path=xl/externalLinks/_rels/externalLink1.xml.rels><?xml version="1.0" encoding="UTF-8" standalone="yes"?>
<Relationships xmlns="http://schemas.openxmlformats.org/package/2006/relationships"><Relationship Id="rId1" Type="http://schemas.openxmlformats.org/officeDocument/2006/relationships/externalLinkPath" Target="1.%20Danh%20m%E1%BB%A5c%20nghi%E1%BB%87m%20thu%20-%20XD8%20%C4%91o%E1%BA%A1n%203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"/>
      <sheetName val="Tuyến XD8"/>
      <sheetName val="1. PL đường đen"/>
      <sheetName val="2. Cao độ đào nền"/>
      <sheetName val="2. KL đào nền"/>
      <sheetName val="3. KTHH vải lọc"/>
      <sheetName val="3. KL vải lọc"/>
      <sheetName val="chạy VL"/>
      <sheetName val="KL tưới nhựa"/>
      <sheetName val="CĐ mặt đường"/>
      <sheetName val="KL BTN"/>
    </sheetNames>
    <sheetDataSet>
      <sheetData sheetId="0"/>
      <sheetData sheetId="1">
        <row r="3">
          <cell r="A3">
            <v>57</v>
          </cell>
          <cell r="B3" t="str">
            <v xml:space="preserve">Kiểm tra cao độ đường đen đoạn từ Km0+489,19 -:- Km0+609,11</v>
          </cell>
          <cell r="D3" t="str">
            <v xml:space="preserve">ngày 12 tháng 09 năm 2026</v>
          </cell>
          <cell r="G3" t="str">
            <v xml:space="preserve">57.NĐXD8/CVXD </v>
          </cell>
        </row>
        <row r="4">
          <cell r="A4">
            <v>58</v>
          </cell>
          <cell r="B4" t="str">
            <v xml:space="preserve">Đào đất xử lý nền đường đoạn từ Km0+489,19 - Km0+609,11</v>
          </cell>
          <cell r="D4" t="str">
            <v xml:space="preserve">ngày 13 tháng 09 năm 2026</v>
          </cell>
          <cell r="G4" t="str">
            <v xml:space="preserve">58.NĐXD8/CVXD </v>
          </cell>
        </row>
        <row r="5">
          <cell r="A5">
            <v>59</v>
          </cell>
          <cell r="B5" t="str">
            <v xml:space="preserve">Rải vải địa kỹ thuật đoạn từ Km0+489,19 - Km0+609,11</v>
          </cell>
          <cell r="D5" t="str">
            <v xml:space="preserve">ngày 14 tháng 09 năm 2026</v>
          </cell>
          <cell r="G5" t="str">
            <v xml:space="preserve">59.NĐXD8/CVXD </v>
          </cell>
        </row>
        <row r="6">
          <cell r="A6">
            <v>60</v>
          </cell>
          <cell r="B6" t="str">
            <v xml:space="preserve">Đắp cát nền đường lớp 1 đoạn từ Km0+489,19 - Km0+609,11, độ chặt K&gt;=0,95</v>
          </cell>
          <cell r="D6" t="str">
            <v xml:space="preserve">ngày 14 tháng 09 năm 2026</v>
          </cell>
          <cell r="G6" t="str">
            <v xml:space="preserve">60.NĐXD8/CVXD </v>
          </cell>
        </row>
        <row r="7">
          <cell r="A7">
            <v>61</v>
          </cell>
          <cell r="B7" t="str">
            <v xml:space="preserve">Đắp cát nền đường lớp 2 đoạn từ Km0+489,19 - Km0+609,11, độ chặt K&gt;=0,95</v>
          </cell>
          <cell r="D7" t="str">
            <v xml:space="preserve">ngày 15 tháng 09 năm 2026</v>
          </cell>
          <cell r="G7" t="str">
            <v xml:space="preserve">61.NĐXD8/CVXD </v>
          </cell>
        </row>
        <row r="8">
          <cell r="A8">
            <v>62</v>
          </cell>
          <cell r="B8" t="str">
            <v xml:space="preserve">Đắp cát nền đường lớp 3 đoạn từ Km0+489,19 - Km0+609,11, độ chặt K&gt;=0,95</v>
          </cell>
          <cell r="D8" t="str">
            <v xml:space="preserve">ngày 15 tháng 09 năm 2026</v>
          </cell>
          <cell r="G8" t="str">
            <v xml:space="preserve">62.NĐXD8/CVXD </v>
          </cell>
        </row>
        <row r="9">
          <cell r="A9">
            <v>63</v>
          </cell>
          <cell r="B9" t="str">
            <v xml:space="preserve">Đắp cát nền đường lớp 4 đoạn từ Km0+489,19 - Km0+609,11, độ chặt K&gt;=0,95</v>
          </cell>
          <cell r="D9" t="str">
            <v xml:space="preserve">ngày 16 tháng 09 năm 2026</v>
          </cell>
          <cell r="G9" t="str">
            <v xml:space="preserve">63.NĐXD8/CVXD </v>
          </cell>
        </row>
        <row r="10">
          <cell r="A10">
            <v>64</v>
          </cell>
          <cell r="B10" t="str">
            <v xml:space="preserve">Đắp đất nền đường lớp 1 đoạn từ Km0+489,19 - Km0+609,11, độ chặt K&gt;=0,95</v>
          </cell>
          <cell r="D10" t="str">
            <v xml:space="preserve">ngày 16 tháng 09 năm 2026</v>
          </cell>
          <cell r="G10" t="str">
            <v xml:space="preserve">64.NĐXD8/CVXD </v>
          </cell>
        </row>
        <row r="11">
          <cell r="A11">
            <v>65</v>
          </cell>
          <cell r="B11" t="str">
            <v xml:space="preserve">Đắp đất nền đường lớp 2 đoạn từ Km0+489,19 - Km0+609,11, độ chặt K&gt;=0,95</v>
          </cell>
          <cell r="D11" t="str">
            <v xml:space="preserve">ngày 17 tháng 09 năm 2026</v>
          </cell>
          <cell r="G11" t="str">
            <v xml:space="preserve">65.NĐXD8/CVXD </v>
          </cell>
        </row>
        <row r="12">
          <cell r="A12">
            <v>66</v>
          </cell>
          <cell r="B12" t="str">
            <v xml:space="preserve">Đắp đất nền đường lớp 3 đoạn từ Km0+489,19 - Km0+609,11, độ chặt K&gt;=0,95</v>
          </cell>
          <cell r="D12" t="str">
            <v xml:space="preserve">ngày 17 tháng 09 năm 2026</v>
          </cell>
          <cell r="G12" t="str">
            <v xml:space="preserve">66.NĐXD8/CVXD </v>
          </cell>
        </row>
        <row r="13">
          <cell r="A13">
            <v>67</v>
          </cell>
          <cell r="B13" t="str">
            <v xml:space="preserve">Đắp đất nền đường lớp 4 đoạn từ Km0+489,19 - Km0+609,11, độ chặt K&gt;=0,95</v>
          </cell>
          <cell r="D13" t="str">
            <v xml:space="preserve">ngày 18 tháng 09 năm 2026</v>
          </cell>
          <cell r="G13" t="str">
            <v xml:space="preserve">67.NĐXD8/CVXD </v>
          </cell>
        </row>
        <row r="14">
          <cell r="A14">
            <v>68</v>
          </cell>
          <cell r="B14" t="str">
            <v xml:space="preserve">Đắp đất nền đường lớp 5 đoạn từ Km0+489,19 - Km0+609,11, độ chặt K&gt;=0,95</v>
          </cell>
          <cell r="D14" t="str">
            <v xml:space="preserve">ngày 18 tháng 09 năm 2026</v>
          </cell>
          <cell r="G14" t="str">
            <v xml:space="preserve">68.NĐXD8/CVXD </v>
          </cell>
        </row>
        <row r="15">
          <cell r="A15">
            <v>69</v>
          </cell>
          <cell r="B15" t="str">
            <v xml:space="preserve">Đắp đất nền đường lớp 6 đoạn từ Km0+489,19 - Km0+609,11, độ chặt K&gt;=0,95</v>
          </cell>
          <cell r="D15" t="str">
            <v xml:space="preserve">ngày 19 tháng 09 năm 2026</v>
          </cell>
          <cell r="G15" t="str">
            <v xml:space="preserve">69.NĐXD8/CVXD </v>
          </cell>
        </row>
        <row r="16">
          <cell r="A16">
            <v>70</v>
          </cell>
          <cell r="B16" t="str">
            <v xml:space="preserve">Đắp đất nền đường lớp 7 đoạn từ Km0+489,19 - Km0+609,11, độ chặt K&gt;=0,95</v>
          </cell>
          <cell r="D16" t="str">
            <v xml:space="preserve">ngày 19 tháng 09 năm 2026</v>
          </cell>
          <cell r="G16" t="str">
            <v xml:space="preserve">70.NĐXD8/CVXD </v>
          </cell>
        </row>
        <row r="17">
          <cell r="A17">
            <v>71</v>
          </cell>
          <cell r="B17" t="str">
            <v xml:space="preserve">Đắp đất nền đường lớp 8 đoạn từ Km0+489,19 - Km0+609,11, độ chặt K&gt;=0,95</v>
          </cell>
          <cell r="D17" t="str">
            <v xml:space="preserve">ngày 20 tháng 09 năm 2026</v>
          </cell>
          <cell r="G17" t="str">
            <v xml:space="preserve">71.NĐXD8/CVXD </v>
          </cell>
        </row>
        <row r="18">
          <cell r="A18">
            <v>72</v>
          </cell>
          <cell r="B18" t="str">
            <v xml:space="preserve">Đắp đất nền đường lớp 1, độ chặt K&gt;=0,98 đoạn từ Km0+489,19 - Km0+609,11</v>
          </cell>
          <cell r="D18" t="str">
            <v xml:space="preserve">ngày 21 tháng 09 năm 2026</v>
          </cell>
          <cell r="G18" t="str">
            <v xml:space="preserve">72.NĐXD8/CVXD </v>
          </cell>
        </row>
        <row r="19">
          <cell r="A19">
            <v>73</v>
          </cell>
          <cell r="B19" t="str">
            <v xml:space="preserve">Đắp đất lề đường lớp 1, độ chặt K&gt;=0,95 đoạn từ Km0+489,19 - Km0+609,11</v>
          </cell>
          <cell r="D19" t="str">
            <v xml:space="preserve">ngày 21 tháng 09 năm 2026</v>
          </cell>
          <cell r="G19" t="str">
            <v xml:space="preserve">73.NĐXD8/CVXD </v>
          </cell>
        </row>
        <row r="20">
          <cell r="A20">
            <v>74</v>
          </cell>
          <cell r="B20" t="str">
            <v xml:space="preserve">Đắp đất nền đường lớp 2, độ chặt K&gt;=0,98 đoạn từ Km0+489,19 - Km0+609,11</v>
          </cell>
          <cell r="D20" t="str">
            <v xml:space="preserve">ngày 22 tháng 09 năm 2026</v>
          </cell>
          <cell r="G20" t="str">
            <v xml:space="preserve">74.NĐXD8/CVXD </v>
          </cell>
        </row>
        <row r="21">
          <cell r="A21">
            <v>75</v>
          </cell>
          <cell r="B21" t="str">
            <v xml:space="preserve">Đắp đất lề đường lớp 2, độ chặt K&gt;=0,95 đoạn từ Km0+489,19 - Km0+609,11</v>
          </cell>
          <cell r="D21" t="str">
            <v xml:space="preserve">ngày 22 tháng 09 năm 2026</v>
          </cell>
          <cell r="G21" t="str">
            <v xml:space="preserve">75.NĐXD8/CVXD </v>
          </cell>
        </row>
        <row r="22">
          <cell r="A22">
            <v>76</v>
          </cell>
          <cell r="B22" t="str">
            <v xml:space="preserve">Đắp cấp phối đá dăm loại 2 đoạn từ Km0+489,19 - Km0+609,11</v>
          </cell>
          <cell r="D22" t="str">
            <v xml:space="preserve">ngày 23 tháng 09 năm 2026</v>
          </cell>
          <cell r="G22" t="str">
            <v xml:space="preserve">76.NĐXD8/CVXD </v>
          </cell>
        </row>
        <row r="23">
          <cell r="A23">
            <v>77</v>
          </cell>
          <cell r="B23" t="str">
            <v xml:space="preserve">Đắp đất lề đường lớp 3, độ chặt K&gt;=0,95 đoạn từ Km0+489,19 - Km0+609,11</v>
          </cell>
          <cell r="D23" t="str">
            <v xml:space="preserve">ngày 23 tháng 09 năm 2026</v>
          </cell>
          <cell r="G23" t="str">
            <v xml:space="preserve">77.NĐXD8/CVXD </v>
          </cell>
        </row>
        <row r="24">
          <cell r="A24">
            <v>78</v>
          </cell>
          <cell r="B24" t="str">
            <v xml:space="preserve">Đắp đất lề đường lớp 4, độ chặt K&gt;=0,95 đoạn từ Km0+489,19 - Km0+609,11</v>
          </cell>
          <cell r="D24" t="str">
            <v xml:space="preserve">ngày 24 tháng 09 năm 2026</v>
          </cell>
          <cell r="G24" t="str">
            <v xml:space="preserve">78.NĐXD8/CVXD </v>
          </cell>
        </row>
        <row r="25">
          <cell r="A25">
            <v>79</v>
          </cell>
          <cell r="B25" t="str">
            <v xml:space="preserve">Đắp cấp phối đá dăm loại 1 đoạn từ Km0+489,19 - Km0+609,11</v>
          </cell>
          <cell r="D25" t="str">
            <v xml:space="preserve">ngày 24 tháng 09 năm 2026</v>
          </cell>
          <cell r="G25" t="str">
            <v xml:space="preserve">79.NĐXD8/CVXD </v>
          </cell>
        </row>
        <row r="26">
          <cell r="A26">
            <v>80</v>
          </cell>
          <cell r="B26" t="str">
            <v xml:space="preserve">Vệ sinh, thổi bụi mặt đường </v>
          </cell>
          <cell r="D26" t="str">
            <v xml:space="preserve">ngày 26 tháng 09 năm 2026</v>
          </cell>
          <cell r="G26" t="str">
            <v xml:space="preserve">80.NĐXD8/CVXD </v>
          </cell>
        </row>
        <row r="27">
          <cell r="A27">
            <v>81</v>
          </cell>
          <cell r="B27" t="str">
            <v xml:space="preserve">Tưới lớp thấm bám mặt đường, nhựa MC70, lượng nhựa 1kg/m2</v>
          </cell>
          <cell r="D27" t="str">
            <v xml:space="preserve">ngày 28 tháng 09 năm 2026</v>
          </cell>
          <cell r="G27" t="str">
            <v xml:space="preserve">81.NĐXD8/CVXD </v>
          </cell>
        </row>
        <row r="28">
          <cell r="A28">
            <v>82</v>
          </cell>
          <cell r="B28" t="str">
            <v xml:space="preserve">Rải thảm mặt đường bê tông nhựa C16 - Chiều dày mặt đường đã lèn ép 6cm</v>
          </cell>
          <cell r="D28" t="str">
            <v xml:space="preserve">ngày 01 tháng 10 năm 2026</v>
          </cell>
          <cell r="G28" t="str">
            <v xml:space="preserve">82.NĐXD8/CVXD </v>
          </cell>
        </row>
        <row r="29">
          <cell r="A29">
            <v>83</v>
          </cell>
          <cell r="B29" t="str">
            <v xml:space="preserve">Bê tông nhựa C16 - Chiều dày mặt đường đã lèn ép 6cm</v>
          </cell>
          <cell r="D29" t="str">
            <v xml:space="preserve">ngày 03 tháng 10 năm 2026</v>
          </cell>
          <cell r="G29" t="str">
            <v xml:space="preserve">83.NĐXD8/CVXD 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9"/>
  <sheetViews>
    <sheetView showFormulas="false" showGridLines="true" showRowColHeaders="true" showZeros="true" rightToLeft="false" tabSelected="false" showOutlineSymbols="true" defaultGridColor="true" view="normal" topLeftCell="A73" colorId="64" zoomScale="100" zoomScaleNormal="100" zoomScalePageLayoutView="100" workbookViewId="0">
      <selection pane="topLeft" activeCell="S92" activeCellId="0" sqref="S92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3.57"/>
    <col collapsed="false" customWidth="true" hidden="true" outlineLevel="0" max="9" min="8" style="1" width="11.53"/>
    <col collapsed="false" customWidth="true" hidden="true" outlineLevel="0" max="13" min="12" style="1" width="11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customFormat="false" ht="15" hidden="false" customHeight="false" outlineLevel="0" collapsed="false">
      <c r="A2" s="1" t="n">
        <v>1</v>
      </c>
      <c r="B2" s="1" t="s">
        <v>17</v>
      </c>
      <c r="C2" s="0" t="n">
        <v>489.19</v>
      </c>
      <c r="D2" s="0" t="n">
        <v>4</v>
      </c>
      <c r="E2" s="0" t="n">
        <v>4.62</v>
      </c>
      <c r="F2" s="0" t="n">
        <v>-9.45</v>
      </c>
      <c r="G2" s="0" t="n">
        <v>-0.45</v>
      </c>
      <c r="H2" s="1" t="n">
        <v>0</v>
      </c>
      <c r="I2" s="1" t="n">
        <v>-0.45</v>
      </c>
      <c r="J2" s="0" t="n">
        <v>0</v>
      </c>
      <c r="K2" s="0" t="n">
        <v>-0.45</v>
      </c>
      <c r="L2" s="1" t="n">
        <v>0</v>
      </c>
      <c r="M2" s="1" t="n">
        <v>-0.45</v>
      </c>
      <c r="N2" s="0" t="n">
        <v>6.25</v>
      </c>
      <c r="O2" s="0" t="n">
        <v>-0.45</v>
      </c>
      <c r="P2" s="0" t="n">
        <v>14.7</v>
      </c>
      <c r="Q2" s="0" t="n">
        <v>0</v>
      </c>
    </row>
    <row r="3" customFormat="false" ht="15" hidden="false" customHeight="false" outlineLevel="0" collapsed="false">
      <c r="D3" s="0" t="n">
        <v>3</v>
      </c>
      <c r="E3" s="0" t="n">
        <v>4.44</v>
      </c>
      <c r="F3" s="0" t="n">
        <v>-9.15</v>
      </c>
      <c r="G3" s="0" t="n">
        <v>-0.75</v>
      </c>
      <c r="H3" s="1" t="n">
        <v>0</v>
      </c>
      <c r="I3" s="1" t="n">
        <v>-0.75</v>
      </c>
      <c r="J3" s="0" t="n">
        <v>0</v>
      </c>
      <c r="K3" s="0" t="n">
        <v>-0.75</v>
      </c>
      <c r="L3" s="1" t="n">
        <v>0</v>
      </c>
      <c r="M3" s="1" t="n">
        <v>-0.75</v>
      </c>
      <c r="N3" s="0" t="n">
        <v>5.95</v>
      </c>
      <c r="O3" s="0" t="n">
        <v>-0.75</v>
      </c>
    </row>
    <row r="4" customFormat="false" ht="15" hidden="false" customHeight="false" outlineLevel="0" collapsed="false">
      <c r="D4" s="0" t="n">
        <v>2</v>
      </c>
      <c r="E4" s="0" t="n">
        <v>4.26</v>
      </c>
      <c r="F4" s="0" t="n">
        <v>-8.85</v>
      </c>
      <c r="G4" s="0" t="n">
        <v>-1.05</v>
      </c>
      <c r="H4" s="1" t="n">
        <v>0</v>
      </c>
      <c r="I4" s="1" t="n">
        <v>-1.05</v>
      </c>
      <c r="J4" s="0" t="n">
        <v>0</v>
      </c>
      <c r="K4" s="0" t="n">
        <v>-1.05</v>
      </c>
      <c r="L4" s="1" t="n">
        <v>0</v>
      </c>
      <c r="M4" s="1" t="n">
        <v>-1.05</v>
      </c>
      <c r="N4" s="0" t="n">
        <v>5.65</v>
      </c>
      <c r="O4" s="0" t="n">
        <v>-1.05</v>
      </c>
    </row>
    <row r="5" customFormat="false" ht="15" hidden="false" customHeight="false" outlineLevel="0" collapsed="false">
      <c r="D5" s="0" t="n">
        <v>1</v>
      </c>
      <c r="E5" s="0" t="n">
        <v>1.38</v>
      </c>
      <c r="F5" s="0" t="n">
        <v>-8.55</v>
      </c>
      <c r="G5" s="0" t="n">
        <v>-1.35</v>
      </c>
      <c r="H5" s="1" t="n">
        <v>0</v>
      </c>
      <c r="I5" s="1" t="n">
        <v>-1.35</v>
      </c>
      <c r="J5" s="0" t="n">
        <v>0</v>
      </c>
      <c r="K5" s="0" t="n">
        <v>-1.35</v>
      </c>
      <c r="L5" s="1" t="n">
        <v>0</v>
      </c>
      <c r="M5" s="1" t="n">
        <v>-1.35</v>
      </c>
      <c r="N5" s="0" t="n">
        <v>5.35</v>
      </c>
      <c r="O5" s="0" t="n">
        <v>-1.35</v>
      </c>
    </row>
    <row r="6" customFormat="false" ht="15" hidden="false" customHeight="false" outlineLevel="0" collapsed="false">
      <c r="A6" s="1" t="n">
        <v>2</v>
      </c>
      <c r="B6" s="1" t="s">
        <v>18</v>
      </c>
      <c r="C6" s="0" t="n">
        <v>502.36</v>
      </c>
      <c r="D6" s="0" t="n">
        <v>4</v>
      </c>
      <c r="E6" s="0" t="n">
        <v>6.16</v>
      </c>
      <c r="F6" s="0" t="n">
        <v>-10.47</v>
      </c>
      <c r="G6" s="0" t="n">
        <v>-0.45</v>
      </c>
      <c r="H6" s="1" t="n">
        <v>0</v>
      </c>
      <c r="I6" s="1" t="n">
        <v>-0.45</v>
      </c>
      <c r="J6" s="0" t="n">
        <v>0</v>
      </c>
      <c r="K6" s="0" t="n">
        <v>-0.45</v>
      </c>
      <c r="L6" s="1" t="n">
        <v>0</v>
      </c>
      <c r="M6" s="1" t="n">
        <v>-0.45</v>
      </c>
      <c r="N6" s="0" t="n">
        <v>10.37</v>
      </c>
      <c r="O6" s="0" t="n">
        <v>-0.45</v>
      </c>
      <c r="P6" s="0" t="n">
        <v>19.84</v>
      </c>
      <c r="Q6" s="0" t="n">
        <v>0</v>
      </c>
    </row>
    <row r="7" customFormat="false" ht="15" hidden="false" customHeight="false" outlineLevel="0" collapsed="false">
      <c r="D7" s="0" t="n">
        <v>3</v>
      </c>
      <c r="E7" s="0" t="n">
        <v>5.98</v>
      </c>
      <c r="F7" s="0" t="n">
        <v>-10.17</v>
      </c>
      <c r="G7" s="0" t="n">
        <v>-0.75</v>
      </c>
      <c r="H7" s="1" t="n">
        <v>0</v>
      </c>
      <c r="I7" s="1" t="n">
        <v>-0.75</v>
      </c>
      <c r="J7" s="0" t="n">
        <v>0</v>
      </c>
      <c r="K7" s="0" t="n">
        <v>-0.75</v>
      </c>
      <c r="L7" s="1" t="n">
        <v>0</v>
      </c>
      <c r="M7" s="1" t="n">
        <v>-0.75</v>
      </c>
      <c r="N7" s="0" t="n">
        <v>10.07</v>
      </c>
      <c r="O7" s="0" t="n">
        <v>-0.75</v>
      </c>
    </row>
    <row r="8" customFormat="false" ht="15" hidden="false" customHeight="false" outlineLevel="0" collapsed="false">
      <c r="D8" s="0" t="n">
        <v>2</v>
      </c>
      <c r="E8" s="0" t="n">
        <v>5.8</v>
      </c>
      <c r="F8" s="0" t="n">
        <v>-9.87</v>
      </c>
      <c r="G8" s="0" t="n">
        <v>-1.05</v>
      </c>
      <c r="H8" s="1" t="n">
        <v>0</v>
      </c>
      <c r="I8" s="1" t="n">
        <v>-1.05</v>
      </c>
      <c r="J8" s="0" t="n">
        <v>0</v>
      </c>
      <c r="K8" s="0" t="n">
        <v>-1.05</v>
      </c>
      <c r="L8" s="1" t="n">
        <v>0</v>
      </c>
      <c r="M8" s="1" t="n">
        <v>-1.05</v>
      </c>
      <c r="N8" s="0" t="n">
        <v>9.77</v>
      </c>
      <c r="O8" s="0" t="n">
        <v>-1.05</v>
      </c>
    </row>
    <row r="9" customFormat="false" ht="15" hidden="false" customHeight="false" outlineLevel="0" collapsed="false">
      <c r="D9" s="0" t="n">
        <v>1</v>
      </c>
      <c r="E9" s="0" t="n">
        <v>1.89</v>
      </c>
      <c r="F9" s="0" t="n">
        <v>-9.57</v>
      </c>
      <c r="G9" s="0" t="n">
        <v>-1.35</v>
      </c>
      <c r="H9" s="1" t="n">
        <v>0</v>
      </c>
      <c r="I9" s="1" t="n">
        <v>-1.35</v>
      </c>
      <c r="J9" s="0" t="n">
        <v>0</v>
      </c>
      <c r="K9" s="0" t="n">
        <v>-1.35</v>
      </c>
      <c r="L9" s="1" t="n">
        <v>0</v>
      </c>
      <c r="M9" s="1" t="n">
        <v>-1.35</v>
      </c>
      <c r="N9" s="0" t="n">
        <v>9.47</v>
      </c>
      <c r="O9" s="0" t="n">
        <v>-1.35</v>
      </c>
    </row>
    <row r="10" customFormat="false" ht="15" hidden="false" customHeight="false" outlineLevel="0" collapsed="false">
      <c r="A10" s="1" t="n">
        <v>3</v>
      </c>
      <c r="B10" s="1" t="s">
        <v>19</v>
      </c>
      <c r="C10" s="0" t="n">
        <v>512.84</v>
      </c>
      <c r="D10" s="0" t="n">
        <v>4</v>
      </c>
      <c r="E10" s="0" t="n">
        <v>5.97</v>
      </c>
      <c r="F10" s="0" t="n">
        <v>-9.91</v>
      </c>
      <c r="G10" s="0" t="n">
        <v>-0.45</v>
      </c>
      <c r="H10" s="1" t="n">
        <v>0</v>
      </c>
      <c r="I10" s="1" t="n">
        <v>-0.45</v>
      </c>
      <c r="J10" s="0" t="n">
        <v>0</v>
      </c>
      <c r="K10" s="0" t="n">
        <v>-0.45</v>
      </c>
      <c r="L10" s="1" t="n">
        <v>0</v>
      </c>
      <c r="M10" s="1" t="n">
        <v>-0.45</v>
      </c>
      <c r="N10" s="0" t="n">
        <v>10.28</v>
      </c>
      <c r="O10" s="0" t="n">
        <v>-0.45</v>
      </c>
      <c r="P10" s="0" t="n">
        <v>19.19</v>
      </c>
      <c r="Q10" s="0" t="n">
        <v>0</v>
      </c>
    </row>
    <row r="11" customFormat="false" ht="15" hidden="false" customHeight="false" outlineLevel="0" collapsed="false">
      <c r="D11" s="0" t="n">
        <v>3</v>
      </c>
      <c r="E11" s="0" t="n">
        <v>5.79</v>
      </c>
      <c r="F11" s="0" t="n">
        <v>-9.61</v>
      </c>
      <c r="G11" s="0" t="n">
        <v>-0.75</v>
      </c>
      <c r="H11" s="1" t="n">
        <v>0</v>
      </c>
      <c r="I11" s="1" t="n">
        <v>-0.75</v>
      </c>
      <c r="J11" s="0" t="n">
        <v>0</v>
      </c>
      <c r="K11" s="0" t="n">
        <v>-0.75</v>
      </c>
      <c r="L11" s="1" t="n">
        <v>0</v>
      </c>
      <c r="M11" s="1" t="n">
        <v>-0.75</v>
      </c>
      <c r="N11" s="0" t="n">
        <v>9.98</v>
      </c>
      <c r="O11" s="0" t="n">
        <v>-0.75</v>
      </c>
    </row>
    <row r="12" customFormat="false" ht="15" hidden="false" customHeight="false" outlineLevel="0" collapsed="false">
      <c r="D12" s="0" t="n">
        <v>2</v>
      </c>
      <c r="E12" s="0" t="n">
        <v>5.61</v>
      </c>
      <c r="F12" s="0" t="n">
        <v>-9.31</v>
      </c>
      <c r="G12" s="0" t="n">
        <v>-1.05</v>
      </c>
      <c r="H12" s="1" t="n">
        <v>0</v>
      </c>
      <c r="I12" s="1" t="n">
        <v>-1.05</v>
      </c>
      <c r="J12" s="0" t="n">
        <v>0</v>
      </c>
      <c r="K12" s="0" t="n">
        <v>-1.05</v>
      </c>
      <c r="L12" s="1" t="n">
        <v>0</v>
      </c>
      <c r="M12" s="1" t="n">
        <v>-1.05</v>
      </c>
      <c r="N12" s="0" t="n">
        <v>9.68</v>
      </c>
      <c r="O12" s="0" t="n">
        <v>-1.05</v>
      </c>
    </row>
    <row r="13" customFormat="false" ht="15" hidden="false" customHeight="false" outlineLevel="0" collapsed="false">
      <c r="D13" s="0" t="n">
        <v>1</v>
      </c>
      <c r="E13" s="0" t="n">
        <v>1.83</v>
      </c>
      <c r="F13" s="0" t="n">
        <v>-9.01</v>
      </c>
      <c r="G13" s="0" t="n">
        <v>-1.35</v>
      </c>
      <c r="H13" s="1" t="n">
        <v>0</v>
      </c>
      <c r="I13" s="1" t="n">
        <v>-1.35</v>
      </c>
      <c r="J13" s="0" t="n">
        <v>0</v>
      </c>
      <c r="K13" s="0" t="n">
        <v>-1.35</v>
      </c>
      <c r="L13" s="1" t="n">
        <v>0</v>
      </c>
      <c r="M13" s="1" t="n">
        <v>-1.35</v>
      </c>
      <c r="N13" s="0" t="n">
        <v>9.38</v>
      </c>
      <c r="O13" s="0" t="n">
        <v>-1.35</v>
      </c>
    </row>
    <row r="14" customFormat="false" ht="15" hidden="false" customHeight="false" outlineLevel="0" collapsed="false">
      <c r="A14" s="1" t="n">
        <v>4</v>
      </c>
      <c r="B14" s="1" t="s">
        <v>20</v>
      </c>
      <c r="C14" s="0" t="n">
        <v>529.62</v>
      </c>
      <c r="D14" s="0" t="n">
        <v>4</v>
      </c>
      <c r="E14" s="0" t="n">
        <v>6.14</v>
      </c>
      <c r="F14" s="0" t="n">
        <v>-10.34</v>
      </c>
      <c r="G14" s="0" t="n">
        <v>-0.45</v>
      </c>
      <c r="H14" s="1" t="n">
        <v>0</v>
      </c>
      <c r="I14" s="1" t="n">
        <v>-0.45</v>
      </c>
      <c r="J14" s="0" t="n">
        <v>0</v>
      </c>
      <c r="K14" s="0" t="n">
        <v>-0.45</v>
      </c>
      <c r="L14" s="1" t="n">
        <v>0</v>
      </c>
      <c r="M14" s="1" t="n">
        <v>-0.45</v>
      </c>
      <c r="N14" s="0" t="n">
        <v>10.42</v>
      </c>
      <c r="O14" s="0" t="n">
        <v>-0.45</v>
      </c>
      <c r="P14" s="0" t="n">
        <v>19.77</v>
      </c>
      <c r="Q14" s="0" t="n">
        <v>0</v>
      </c>
    </row>
    <row r="15" customFormat="false" ht="15" hidden="false" customHeight="false" outlineLevel="0" collapsed="false">
      <c r="D15" s="0" t="n">
        <v>3</v>
      </c>
      <c r="E15" s="0" t="n">
        <v>5.96</v>
      </c>
      <c r="F15" s="0" t="n">
        <v>-10.04</v>
      </c>
      <c r="G15" s="0" t="n">
        <v>-0.75</v>
      </c>
      <c r="H15" s="1" t="n">
        <v>0</v>
      </c>
      <c r="I15" s="1" t="n">
        <v>-0.75</v>
      </c>
      <c r="J15" s="0" t="n">
        <v>0</v>
      </c>
      <c r="K15" s="0" t="n">
        <v>-0.75</v>
      </c>
      <c r="L15" s="1" t="n">
        <v>0</v>
      </c>
      <c r="M15" s="1" t="n">
        <v>-0.75</v>
      </c>
      <c r="N15" s="0" t="n">
        <v>10.12</v>
      </c>
      <c r="O15" s="0" t="n">
        <v>-0.75</v>
      </c>
    </row>
    <row r="16" customFormat="false" ht="15" hidden="false" customHeight="false" outlineLevel="0" collapsed="false">
      <c r="D16" s="0" t="n">
        <v>2</v>
      </c>
      <c r="E16" s="0" t="n">
        <v>5.78</v>
      </c>
      <c r="F16" s="0" t="n">
        <v>-9.74</v>
      </c>
      <c r="G16" s="0" t="n">
        <v>-1.05</v>
      </c>
      <c r="H16" s="1" t="n">
        <v>0</v>
      </c>
      <c r="I16" s="1" t="n">
        <v>-1.05</v>
      </c>
      <c r="J16" s="0" t="n">
        <v>0</v>
      </c>
      <c r="K16" s="0" t="n">
        <v>-1.05</v>
      </c>
      <c r="L16" s="1" t="n">
        <v>0</v>
      </c>
      <c r="M16" s="1" t="n">
        <v>-1.05</v>
      </c>
      <c r="N16" s="0" t="n">
        <v>9.82</v>
      </c>
      <c r="O16" s="0" t="n">
        <v>-1.05</v>
      </c>
    </row>
    <row r="17" customFormat="false" ht="15" hidden="false" customHeight="false" outlineLevel="0" collapsed="false">
      <c r="D17" s="0" t="n">
        <v>1</v>
      </c>
      <c r="E17" s="0" t="n">
        <v>1.89</v>
      </c>
      <c r="F17" s="0" t="n">
        <v>-9.44</v>
      </c>
      <c r="G17" s="0" t="n">
        <v>-1.35</v>
      </c>
      <c r="H17" s="1" t="n">
        <v>0</v>
      </c>
      <c r="I17" s="1" t="n">
        <v>-1.35</v>
      </c>
      <c r="J17" s="0" t="n">
        <v>0</v>
      </c>
      <c r="K17" s="0" t="n">
        <v>-1.35</v>
      </c>
      <c r="L17" s="1" t="n">
        <v>0</v>
      </c>
      <c r="M17" s="1" t="n">
        <v>-1.35</v>
      </c>
      <c r="N17" s="0" t="n">
        <v>9.52</v>
      </c>
      <c r="O17" s="0" t="n">
        <v>-1.35</v>
      </c>
    </row>
    <row r="18" customFormat="false" ht="15" hidden="false" customHeight="false" outlineLevel="0" collapsed="false">
      <c r="A18" s="1" t="n">
        <v>5</v>
      </c>
      <c r="B18" s="1" t="s">
        <v>21</v>
      </c>
      <c r="C18" s="0" t="n">
        <v>546.72</v>
      </c>
      <c r="D18" s="0" t="n">
        <v>4</v>
      </c>
      <c r="E18" s="0" t="n">
        <v>4.63</v>
      </c>
      <c r="F18" s="0" t="n">
        <v>-6.25</v>
      </c>
      <c r="G18" s="0" t="n">
        <v>-0.45</v>
      </c>
      <c r="H18" s="1" t="n">
        <v>0</v>
      </c>
      <c r="I18" s="1" t="n">
        <v>-0.45</v>
      </c>
      <c r="J18" s="0" t="n">
        <v>0</v>
      </c>
      <c r="K18" s="0" t="n">
        <v>-0.45</v>
      </c>
      <c r="L18" s="1" t="n">
        <v>0</v>
      </c>
      <c r="M18" s="1" t="n">
        <v>-0.45</v>
      </c>
      <c r="N18" s="0" t="n">
        <v>9.49</v>
      </c>
      <c r="O18" s="0" t="n">
        <v>-0.45</v>
      </c>
      <c r="P18" s="0" t="n">
        <v>14.74</v>
      </c>
      <c r="Q18" s="0" t="n">
        <v>0</v>
      </c>
    </row>
    <row r="19" customFormat="false" ht="15" hidden="false" customHeight="false" outlineLevel="0" collapsed="false">
      <c r="D19" s="0" t="n">
        <v>3</v>
      </c>
      <c r="E19" s="0" t="n">
        <v>4.45</v>
      </c>
      <c r="F19" s="0" t="n">
        <v>-5.95</v>
      </c>
      <c r="G19" s="0" t="n">
        <v>-0.75</v>
      </c>
      <c r="H19" s="1" t="n">
        <v>0</v>
      </c>
      <c r="I19" s="1" t="n">
        <v>-0.75</v>
      </c>
      <c r="J19" s="0" t="n">
        <v>0</v>
      </c>
      <c r="K19" s="0" t="n">
        <v>-0.75</v>
      </c>
      <c r="L19" s="1" t="n">
        <v>0</v>
      </c>
      <c r="M19" s="1" t="n">
        <v>-0.75</v>
      </c>
      <c r="N19" s="0" t="n">
        <v>9.19</v>
      </c>
      <c r="O19" s="0" t="n">
        <v>-0.75</v>
      </c>
    </row>
    <row r="20" customFormat="false" ht="15" hidden="false" customHeight="false" outlineLevel="0" collapsed="false">
      <c r="D20" s="0" t="n">
        <v>2</v>
      </c>
      <c r="E20" s="0" t="n">
        <v>4.27</v>
      </c>
      <c r="F20" s="0" t="n">
        <v>-5.65</v>
      </c>
      <c r="G20" s="0" t="n">
        <v>-1.05</v>
      </c>
      <c r="H20" s="1" t="n">
        <v>0</v>
      </c>
      <c r="I20" s="1" t="n">
        <v>-1.05</v>
      </c>
      <c r="J20" s="0" t="n">
        <v>0</v>
      </c>
      <c r="K20" s="0" t="n">
        <v>-1.05</v>
      </c>
      <c r="L20" s="1" t="n">
        <v>0</v>
      </c>
      <c r="M20" s="1" t="n">
        <v>-1.05</v>
      </c>
      <c r="N20" s="0" t="n">
        <v>8.89</v>
      </c>
      <c r="O20" s="0" t="n">
        <v>-1.05</v>
      </c>
    </row>
    <row r="21" customFormat="false" ht="15" hidden="false" customHeight="false" outlineLevel="0" collapsed="false">
      <c r="D21" s="0" t="n">
        <v>1</v>
      </c>
      <c r="E21" s="0" t="n">
        <v>1.38</v>
      </c>
      <c r="F21" s="0" t="n">
        <v>-5.35</v>
      </c>
      <c r="G21" s="0" t="n">
        <v>-1.35</v>
      </c>
      <c r="H21" s="1" t="n">
        <v>0</v>
      </c>
      <c r="I21" s="1" t="n">
        <v>-1.35</v>
      </c>
      <c r="J21" s="0" t="n">
        <v>0</v>
      </c>
      <c r="K21" s="0" t="n">
        <v>-1.35</v>
      </c>
      <c r="L21" s="1" t="n">
        <v>0</v>
      </c>
      <c r="M21" s="1" t="n">
        <v>-1.35</v>
      </c>
      <c r="N21" s="0" t="n">
        <v>8.59</v>
      </c>
      <c r="O21" s="0" t="n">
        <v>-1.35</v>
      </c>
    </row>
    <row r="22" customFormat="false" ht="15" hidden="false" customHeight="false" outlineLevel="0" collapsed="false">
      <c r="A22" s="1" t="n">
        <v>6</v>
      </c>
      <c r="B22" s="1" t="s">
        <v>22</v>
      </c>
      <c r="C22" s="0" t="n">
        <v>561.87</v>
      </c>
      <c r="D22" s="0" t="n">
        <v>4</v>
      </c>
      <c r="E22" s="0" t="n">
        <v>5.94</v>
      </c>
      <c r="F22" s="0" t="n">
        <v>-9.99</v>
      </c>
      <c r="G22" s="0" t="n">
        <v>-0.45</v>
      </c>
      <c r="H22" s="1" t="n">
        <v>0</v>
      </c>
      <c r="I22" s="1" t="n">
        <v>-0.45</v>
      </c>
      <c r="J22" s="0" t="n">
        <v>0</v>
      </c>
      <c r="K22" s="0" t="n">
        <v>-0.45</v>
      </c>
      <c r="L22" s="1" t="n">
        <v>0</v>
      </c>
      <c r="M22" s="1" t="n">
        <v>-0.45</v>
      </c>
      <c r="N22" s="0" t="n">
        <v>10.12</v>
      </c>
      <c r="O22" s="0" t="n">
        <v>-0.45</v>
      </c>
      <c r="P22" s="0" t="n">
        <v>19.11</v>
      </c>
      <c r="Q22" s="0" t="n">
        <v>0</v>
      </c>
    </row>
    <row r="23" customFormat="false" ht="15" hidden="false" customHeight="false" outlineLevel="0" collapsed="false">
      <c r="D23" s="0" t="n">
        <v>3</v>
      </c>
      <c r="E23" s="0" t="n">
        <v>5.76</v>
      </c>
      <c r="F23" s="0" t="n">
        <v>-9.69</v>
      </c>
      <c r="G23" s="0" t="n">
        <v>-0.75</v>
      </c>
      <c r="H23" s="1" t="n">
        <v>0</v>
      </c>
      <c r="I23" s="1" t="n">
        <v>-0.75</v>
      </c>
      <c r="J23" s="0" t="n">
        <v>0</v>
      </c>
      <c r="K23" s="0" t="n">
        <v>-0.75</v>
      </c>
      <c r="L23" s="1" t="n">
        <v>0</v>
      </c>
      <c r="M23" s="1" t="n">
        <v>-0.75</v>
      </c>
      <c r="N23" s="0" t="n">
        <v>9.82</v>
      </c>
      <c r="O23" s="0" t="n">
        <v>-0.75</v>
      </c>
    </row>
    <row r="24" customFormat="false" ht="15" hidden="false" customHeight="false" outlineLevel="0" collapsed="false">
      <c r="D24" s="0" t="n">
        <v>2</v>
      </c>
      <c r="E24" s="0" t="n">
        <v>5.58</v>
      </c>
      <c r="F24" s="0" t="n">
        <v>-9.39</v>
      </c>
      <c r="G24" s="0" t="n">
        <v>-1.05</v>
      </c>
      <c r="H24" s="1" t="n">
        <v>0</v>
      </c>
      <c r="I24" s="1" t="n">
        <v>-1.05</v>
      </c>
      <c r="J24" s="0" t="n">
        <v>0</v>
      </c>
      <c r="K24" s="0" t="n">
        <v>-1.05</v>
      </c>
      <c r="L24" s="1" t="n">
        <v>0</v>
      </c>
      <c r="M24" s="1" t="n">
        <v>-1.05</v>
      </c>
      <c r="N24" s="0" t="n">
        <v>9.52</v>
      </c>
      <c r="O24" s="0" t="n">
        <v>-1.05</v>
      </c>
    </row>
    <row r="25" customFormat="false" ht="15" hidden="false" customHeight="false" outlineLevel="0" collapsed="false">
      <c r="D25" s="0" t="n">
        <v>1</v>
      </c>
      <c r="E25" s="0" t="n">
        <v>1.82</v>
      </c>
      <c r="F25" s="0" t="n">
        <v>-9.09</v>
      </c>
      <c r="G25" s="0" t="n">
        <v>-1.35</v>
      </c>
      <c r="H25" s="1" t="n">
        <v>0</v>
      </c>
      <c r="I25" s="1" t="n">
        <v>-1.35</v>
      </c>
      <c r="J25" s="0" t="n">
        <v>0</v>
      </c>
      <c r="K25" s="0" t="n">
        <v>-1.35</v>
      </c>
      <c r="L25" s="1" t="n">
        <v>0</v>
      </c>
      <c r="M25" s="1" t="n">
        <v>-1.35</v>
      </c>
      <c r="N25" s="0" t="n">
        <v>9.22</v>
      </c>
      <c r="O25" s="0" t="n">
        <v>-1.35</v>
      </c>
    </row>
    <row r="26" customFormat="false" ht="15" hidden="false" customHeight="false" outlineLevel="0" collapsed="false">
      <c r="A26" s="1" t="n">
        <v>7</v>
      </c>
      <c r="B26" s="1" t="s">
        <v>23</v>
      </c>
      <c r="C26" s="0" t="n">
        <v>562.02</v>
      </c>
      <c r="D26" s="0" t="n">
        <v>4</v>
      </c>
      <c r="E26" s="0" t="n">
        <v>5.95</v>
      </c>
      <c r="F26" s="0" t="n">
        <v>-9.99</v>
      </c>
      <c r="G26" s="0" t="n">
        <v>-0.45</v>
      </c>
      <c r="H26" s="1" t="n">
        <v>0</v>
      </c>
      <c r="I26" s="1" t="n">
        <v>-0.45</v>
      </c>
      <c r="J26" s="0" t="n">
        <v>0</v>
      </c>
      <c r="K26" s="0" t="n">
        <v>-0.45</v>
      </c>
      <c r="L26" s="1" t="n">
        <v>0</v>
      </c>
      <c r="M26" s="1" t="n">
        <v>-0.45</v>
      </c>
      <c r="N26" s="0" t="n">
        <v>10.13</v>
      </c>
      <c r="O26" s="0" t="n">
        <v>-0.45</v>
      </c>
      <c r="P26" s="0" t="n">
        <v>19.12</v>
      </c>
      <c r="Q26" s="0" t="n">
        <v>0</v>
      </c>
    </row>
    <row r="27" customFormat="false" ht="15" hidden="false" customHeight="false" outlineLevel="0" collapsed="false">
      <c r="D27" s="0" t="n">
        <v>3</v>
      </c>
      <c r="E27" s="0" t="n">
        <v>5.77</v>
      </c>
      <c r="F27" s="0" t="n">
        <v>-9.69</v>
      </c>
      <c r="G27" s="0" t="n">
        <v>-0.75</v>
      </c>
      <c r="H27" s="1" t="n">
        <v>0</v>
      </c>
      <c r="I27" s="1" t="n">
        <v>-0.75</v>
      </c>
      <c r="J27" s="0" t="n">
        <v>0</v>
      </c>
      <c r="K27" s="0" t="n">
        <v>-0.75</v>
      </c>
      <c r="L27" s="1" t="n">
        <v>0</v>
      </c>
      <c r="M27" s="1" t="n">
        <v>-0.75</v>
      </c>
      <c r="N27" s="0" t="n">
        <v>9.83</v>
      </c>
      <c r="O27" s="0" t="n">
        <v>-0.75</v>
      </c>
    </row>
    <row r="28" customFormat="false" ht="15" hidden="false" customHeight="false" outlineLevel="0" collapsed="false">
      <c r="D28" s="0" t="n">
        <v>2</v>
      </c>
      <c r="E28" s="0" t="n">
        <v>5.59</v>
      </c>
      <c r="F28" s="0" t="n">
        <v>-9.39</v>
      </c>
      <c r="G28" s="0" t="n">
        <v>-1.05</v>
      </c>
      <c r="H28" s="1" t="n">
        <v>0</v>
      </c>
      <c r="I28" s="1" t="n">
        <v>-1.05</v>
      </c>
      <c r="J28" s="0" t="n">
        <v>0</v>
      </c>
      <c r="K28" s="0" t="n">
        <v>-1.05</v>
      </c>
      <c r="L28" s="1" t="n">
        <v>0</v>
      </c>
      <c r="M28" s="1" t="n">
        <v>-1.05</v>
      </c>
      <c r="N28" s="0" t="n">
        <v>9.53</v>
      </c>
      <c r="O28" s="0" t="n">
        <v>-1.05</v>
      </c>
    </row>
    <row r="29" customFormat="false" ht="15" hidden="false" customHeight="false" outlineLevel="0" collapsed="false">
      <c r="D29" s="0" t="n">
        <v>1</v>
      </c>
      <c r="E29" s="0" t="n">
        <v>1.82</v>
      </c>
      <c r="F29" s="0" t="n">
        <v>-9.09</v>
      </c>
      <c r="G29" s="0" t="n">
        <v>-1.35</v>
      </c>
      <c r="H29" s="1" t="n">
        <v>0</v>
      </c>
      <c r="I29" s="1" t="n">
        <v>-1.35</v>
      </c>
      <c r="J29" s="0" t="n">
        <v>0</v>
      </c>
      <c r="K29" s="0" t="n">
        <v>-1.35</v>
      </c>
      <c r="L29" s="1" t="n">
        <v>0</v>
      </c>
      <c r="M29" s="1" t="n">
        <v>-1.35</v>
      </c>
      <c r="N29" s="0" t="n">
        <v>9.23</v>
      </c>
      <c r="O29" s="0" t="n">
        <v>-1.35</v>
      </c>
    </row>
    <row r="30" customFormat="false" ht="15" hidden="false" customHeight="false" outlineLevel="0" collapsed="false">
      <c r="A30" s="1" t="n">
        <v>8</v>
      </c>
      <c r="B30" s="1" t="s">
        <v>24</v>
      </c>
      <c r="C30" s="0" t="n">
        <v>568.57</v>
      </c>
      <c r="D30" s="0" t="n">
        <v>4</v>
      </c>
      <c r="E30" s="0" t="n">
        <v>6.1</v>
      </c>
      <c r="F30" s="0" t="n">
        <v>-10.16</v>
      </c>
      <c r="G30" s="0" t="n">
        <v>-0.45</v>
      </c>
      <c r="H30" s="1" t="n">
        <v>0</v>
      </c>
      <c r="I30" s="1" t="n">
        <v>-0.45</v>
      </c>
      <c r="J30" s="0" t="n">
        <v>0</v>
      </c>
      <c r="K30" s="0" t="n">
        <v>-0.45</v>
      </c>
      <c r="L30" s="1" t="n">
        <v>0</v>
      </c>
      <c r="M30" s="1" t="n">
        <v>-0.45</v>
      </c>
      <c r="N30" s="0" t="n">
        <v>10.48</v>
      </c>
      <c r="O30" s="0" t="n">
        <v>-0.45</v>
      </c>
      <c r="P30" s="0" t="n">
        <v>19.64</v>
      </c>
      <c r="Q30" s="0" t="n">
        <v>0</v>
      </c>
    </row>
    <row r="31" customFormat="false" ht="15" hidden="false" customHeight="false" outlineLevel="0" collapsed="false">
      <c r="D31" s="0" t="n">
        <v>3</v>
      </c>
      <c r="E31" s="0" t="n">
        <v>5.92</v>
      </c>
      <c r="F31" s="0" t="n">
        <v>-9.86</v>
      </c>
      <c r="G31" s="0" t="n">
        <v>-0.75</v>
      </c>
      <c r="H31" s="1" t="n">
        <v>0</v>
      </c>
      <c r="I31" s="1" t="n">
        <v>-0.75</v>
      </c>
      <c r="J31" s="0" t="n">
        <v>0</v>
      </c>
      <c r="K31" s="0" t="n">
        <v>-0.75</v>
      </c>
      <c r="L31" s="1" t="n">
        <v>0</v>
      </c>
      <c r="M31" s="1" t="n">
        <v>-0.75</v>
      </c>
      <c r="N31" s="0" t="n">
        <v>10.18</v>
      </c>
      <c r="O31" s="0" t="n">
        <v>-0.75</v>
      </c>
    </row>
    <row r="32" customFormat="false" ht="15" hidden="false" customHeight="false" outlineLevel="0" collapsed="false">
      <c r="D32" s="0" t="n">
        <v>2</v>
      </c>
      <c r="E32" s="0" t="n">
        <v>5.74</v>
      </c>
      <c r="F32" s="0" t="n">
        <v>-9.56</v>
      </c>
      <c r="G32" s="0" t="n">
        <v>-1.05</v>
      </c>
      <c r="H32" s="1" t="n">
        <v>0</v>
      </c>
      <c r="I32" s="1" t="n">
        <v>-1.05</v>
      </c>
      <c r="J32" s="0" t="n">
        <v>0</v>
      </c>
      <c r="K32" s="0" t="n">
        <v>-1.05</v>
      </c>
      <c r="L32" s="1" t="n">
        <v>0</v>
      </c>
      <c r="M32" s="1" t="n">
        <v>-1.05</v>
      </c>
      <c r="N32" s="0" t="n">
        <v>9.88</v>
      </c>
      <c r="O32" s="0" t="n">
        <v>-1.05</v>
      </c>
    </row>
    <row r="33" customFormat="false" ht="15" hidden="false" customHeight="false" outlineLevel="0" collapsed="false">
      <c r="D33" s="0" t="n">
        <v>1</v>
      </c>
      <c r="E33" s="0" t="n">
        <v>1.87</v>
      </c>
      <c r="F33" s="0" t="n">
        <v>-9.26</v>
      </c>
      <c r="G33" s="0" t="n">
        <v>-1.35</v>
      </c>
      <c r="H33" s="1" t="n">
        <v>0</v>
      </c>
      <c r="I33" s="1" t="n">
        <v>-1.35</v>
      </c>
      <c r="J33" s="0" t="n">
        <v>0</v>
      </c>
      <c r="K33" s="0" t="n">
        <v>-1.35</v>
      </c>
      <c r="L33" s="1" t="n">
        <v>0</v>
      </c>
      <c r="M33" s="1" t="n">
        <v>-1.35</v>
      </c>
      <c r="N33" s="0" t="n">
        <v>9.58</v>
      </c>
      <c r="O33" s="0" t="n">
        <v>-1.35</v>
      </c>
    </row>
    <row r="34" customFormat="false" ht="15" hidden="false" customHeight="false" outlineLevel="0" collapsed="false">
      <c r="A34" s="1" t="n">
        <v>9</v>
      </c>
      <c r="B34" s="1" t="s">
        <v>1</v>
      </c>
      <c r="C34" s="0" t="n">
        <v>575.12</v>
      </c>
      <c r="D34" s="0" t="n">
        <v>4</v>
      </c>
      <c r="E34" s="0" t="n">
        <v>5.74</v>
      </c>
      <c r="F34" s="0" t="n">
        <v>-9.88</v>
      </c>
      <c r="G34" s="0" t="n">
        <v>-0.45</v>
      </c>
      <c r="H34" s="1" t="n">
        <v>0</v>
      </c>
      <c r="I34" s="1" t="n">
        <v>-0.45</v>
      </c>
      <c r="J34" s="0" t="n">
        <v>0</v>
      </c>
      <c r="K34" s="0" t="n">
        <v>-0.45</v>
      </c>
      <c r="L34" s="1" t="n">
        <v>0</v>
      </c>
      <c r="M34" s="1" t="n">
        <v>-0.45</v>
      </c>
      <c r="N34" s="0" t="n">
        <v>9.56</v>
      </c>
      <c r="O34" s="0" t="n">
        <v>-0.45</v>
      </c>
      <c r="P34" s="0" t="n">
        <v>18.44</v>
      </c>
      <c r="Q34" s="0" t="n">
        <v>0</v>
      </c>
    </row>
    <row r="35" customFormat="false" ht="15" hidden="false" customHeight="false" outlineLevel="0" collapsed="false">
      <c r="D35" s="0" t="n">
        <v>3</v>
      </c>
      <c r="E35" s="0" t="n">
        <v>5.56</v>
      </c>
      <c r="F35" s="0" t="n">
        <v>-9.58</v>
      </c>
      <c r="G35" s="0" t="n">
        <v>-0.75</v>
      </c>
      <c r="H35" s="1" t="n">
        <v>0</v>
      </c>
      <c r="I35" s="1" t="n">
        <v>-0.75</v>
      </c>
      <c r="J35" s="0" t="n">
        <v>0</v>
      </c>
      <c r="K35" s="0" t="n">
        <v>-0.75</v>
      </c>
      <c r="L35" s="1" t="n">
        <v>0</v>
      </c>
      <c r="M35" s="1" t="n">
        <v>-0.75</v>
      </c>
      <c r="N35" s="0" t="n">
        <v>9.26</v>
      </c>
      <c r="O35" s="0" t="n">
        <v>-0.75</v>
      </c>
    </row>
    <row r="36" customFormat="false" ht="15" hidden="false" customHeight="false" outlineLevel="0" collapsed="false">
      <c r="D36" s="0" t="n">
        <v>2</v>
      </c>
      <c r="E36" s="0" t="n">
        <v>5.38</v>
      </c>
      <c r="F36" s="0" t="n">
        <v>-9.28</v>
      </c>
      <c r="G36" s="0" t="n">
        <v>-1.05</v>
      </c>
      <c r="H36" s="1" t="n">
        <v>0</v>
      </c>
      <c r="I36" s="1" t="n">
        <v>-1.05</v>
      </c>
      <c r="J36" s="0" t="n">
        <v>0</v>
      </c>
      <c r="K36" s="0" t="n">
        <v>-1.05</v>
      </c>
      <c r="L36" s="1" t="n">
        <v>0</v>
      </c>
      <c r="M36" s="1" t="n">
        <v>-1.05</v>
      </c>
      <c r="N36" s="0" t="n">
        <v>8.96</v>
      </c>
      <c r="O36" s="0" t="n">
        <v>-1.05</v>
      </c>
    </row>
    <row r="37" customFormat="false" ht="15" hidden="false" customHeight="false" outlineLevel="0" collapsed="false">
      <c r="D37" s="0" t="n">
        <v>1</v>
      </c>
      <c r="E37" s="0" t="n">
        <v>1.75</v>
      </c>
      <c r="F37" s="0" t="n">
        <v>-8.98</v>
      </c>
      <c r="G37" s="0" t="n">
        <v>-1.35</v>
      </c>
      <c r="H37" s="1" t="n">
        <v>0</v>
      </c>
      <c r="I37" s="1" t="n">
        <v>-1.35</v>
      </c>
      <c r="J37" s="0" t="n">
        <v>0</v>
      </c>
      <c r="K37" s="0" t="n">
        <v>-1.35</v>
      </c>
      <c r="L37" s="1" t="n">
        <v>0</v>
      </c>
      <c r="M37" s="1" t="n">
        <v>-1.35</v>
      </c>
      <c r="N37" s="0" t="n">
        <v>8.66</v>
      </c>
      <c r="O37" s="0" t="n">
        <v>-1.35</v>
      </c>
    </row>
    <row r="38" customFormat="false" ht="15" hidden="false" customHeight="false" outlineLevel="0" collapsed="false">
      <c r="A38" s="1" t="n">
        <v>10</v>
      </c>
      <c r="B38" s="1" t="s">
        <v>25</v>
      </c>
      <c r="C38" s="0" t="n">
        <v>575.16</v>
      </c>
      <c r="D38" s="0" t="n">
        <v>4</v>
      </c>
      <c r="E38" s="0" t="n">
        <v>5.67</v>
      </c>
      <c r="F38" s="0" t="n">
        <v>-9.88</v>
      </c>
      <c r="G38" s="0" t="n">
        <v>-0.45</v>
      </c>
      <c r="H38" s="1" t="n">
        <v>0</v>
      </c>
      <c r="I38" s="1" t="n">
        <v>-0.45</v>
      </c>
      <c r="J38" s="0" t="n">
        <v>0</v>
      </c>
      <c r="K38" s="0" t="n">
        <v>-0.45</v>
      </c>
      <c r="L38" s="1" t="n">
        <v>0</v>
      </c>
      <c r="M38" s="1" t="n">
        <v>-0.45</v>
      </c>
      <c r="N38" s="0" t="n">
        <v>9.33</v>
      </c>
      <c r="O38" s="0" t="n">
        <v>-0.45</v>
      </c>
      <c r="P38" s="0" t="n">
        <v>18.21</v>
      </c>
      <c r="Q38" s="0" t="n">
        <v>0</v>
      </c>
    </row>
    <row r="39" customFormat="false" ht="15" hidden="false" customHeight="false" outlineLevel="0" collapsed="false">
      <c r="D39" s="0" t="n">
        <v>3</v>
      </c>
      <c r="E39" s="0" t="n">
        <v>5.49</v>
      </c>
      <c r="F39" s="0" t="n">
        <v>-9.58</v>
      </c>
      <c r="G39" s="0" t="n">
        <v>-0.75</v>
      </c>
      <c r="H39" s="1" t="n">
        <v>0</v>
      </c>
      <c r="I39" s="1" t="n">
        <v>-0.75</v>
      </c>
      <c r="J39" s="0" t="n">
        <v>0</v>
      </c>
      <c r="K39" s="0" t="n">
        <v>-0.75</v>
      </c>
      <c r="L39" s="1" t="n">
        <v>0</v>
      </c>
      <c r="M39" s="1" t="n">
        <v>-0.75</v>
      </c>
      <c r="N39" s="0" t="n">
        <v>9.03</v>
      </c>
      <c r="O39" s="0" t="n">
        <v>-0.75</v>
      </c>
    </row>
    <row r="40" customFormat="false" ht="15" hidden="false" customHeight="false" outlineLevel="0" collapsed="false">
      <c r="D40" s="0" t="n">
        <v>2</v>
      </c>
      <c r="E40" s="0" t="n">
        <v>5.31</v>
      </c>
      <c r="F40" s="0" t="n">
        <v>-9.28</v>
      </c>
      <c r="G40" s="0" t="n">
        <v>-1.05</v>
      </c>
      <c r="H40" s="1" t="n">
        <v>0</v>
      </c>
      <c r="I40" s="1" t="n">
        <v>-1.05</v>
      </c>
      <c r="J40" s="0" t="n">
        <v>0</v>
      </c>
      <c r="K40" s="0" t="n">
        <v>-1.05</v>
      </c>
      <c r="L40" s="1" t="n">
        <v>0</v>
      </c>
      <c r="M40" s="1" t="n">
        <v>-1.05</v>
      </c>
      <c r="N40" s="0" t="n">
        <v>8.73</v>
      </c>
      <c r="O40" s="0" t="n">
        <v>-1.05</v>
      </c>
    </row>
    <row r="41" customFormat="false" ht="15" hidden="false" customHeight="false" outlineLevel="0" collapsed="false">
      <c r="D41" s="0" t="n">
        <v>1</v>
      </c>
      <c r="E41" s="0" t="n">
        <v>1.73</v>
      </c>
      <c r="F41" s="0" t="n">
        <v>-8.98</v>
      </c>
      <c r="G41" s="0" t="n">
        <v>-1.35</v>
      </c>
      <c r="H41" s="1" t="n">
        <v>0</v>
      </c>
      <c r="I41" s="1" t="n">
        <v>-1.35</v>
      </c>
      <c r="J41" s="0" t="n">
        <v>0</v>
      </c>
      <c r="K41" s="0" t="n">
        <v>-1.35</v>
      </c>
      <c r="L41" s="1" t="n">
        <v>0</v>
      </c>
      <c r="M41" s="1" t="n">
        <v>-1.35</v>
      </c>
      <c r="N41" s="0" t="n">
        <v>8.43</v>
      </c>
      <c r="O41" s="0" t="n">
        <v>-1.35</v>
      </c>
    </row>
    <row r="42" customFormat="false" ht="15" hidden="false" customHeight="false" outlineLevel="0" collapsed="false">
      <c r="A42" s="1" t="n">
        <v>11</v>
      </c>
      <c r="B42" s="1" t="s">
        <v>26</v>
      </c>
      <c r="C42" s="0" t="n">
        <v>592.11</v>
      </c>
      <c r="D42" s="0" t="n">
        <v>4</v>
      </c>
      <c r="E42" s="0" t="n">
        <v>5.96</v>
      </c>
      <c r="F42" s="0" t="n">
        <v>-10.06</v>
      </c>
      <c r="G42" s="0" t="n">
        <v>-0.45</v>
      </c>
      <c r="H42" s="1" t="n">
        <v>0</v>
      </c>
      <c r="I42" s="1" t="n">
        <v>-0.45</v>
      </c>
      <c r="J42" s="0" t="n">
        <v>0</v>
      </c>
      <c r="K42" s="0" t="n">
        <v>-0.45</v>
      </c>
      <c r="L42" s="1" t="n">
        <v>0</v>
      </c>
      <c r="M42" s="1" t="n">
        <v>-0.45</v>
      </c>
      <c r="N42" s="0" t="n">
        <v>10.11</v>
      </c>
      <c r="O42" s="0" t="n">
        <v>-0.45</v>
      </c>
      <c r="P42" s="0" t="n">
        <v>19.17</v>
      </c>
      <c r="Q42" s="0" t="n">
        <v>0</v>
      </c>
    </row>
    <row r="43" customFormat="false" ht="15" hidden="false" customHeight="false" outlineLevel="0" collapsed="false">
      <c r="D43" s="0" t="n">
        <v>3</v>
      </c>
      <c r="E43" s="0" t="n">
        <v>5.78</v>
      </c>
      <c r="F43" s="0" t="n">
        <v>-9.76</v>
      </c>
      <c r="G43" s="0" t="n">
        <v>-0.75</v>
      </c>
      <c r="H43" s="1" t="n">
        <v>0</v>
      </c>
      <c r="I43" s="1" t="n">
        <v>-0.75</v>
      </c>
      <c r="J43" s="0" t="n">
        <v>0</v>
      </c>
      <c r="K43" s="0" t="n">
        <v>-0.75</v>
      </c>
      <c r="L43" s="1" t="n">
        <v>0</v>
      </c>
      <c r="M43" s="1" t="n">
        <v>-0.75</v>
      </c>
      <c r="N43" s="0" t="n">
        <v>9.81</v>
      </c>
      <c r="O43" s="0" t="n">
        <v>-0.75</v>
      </c>
    </row>
    <row r="44" customFormat="false" ht="15" hidden="false" customHeight="false" outlineLevel="0" collapsed="false">
      <c r="D44" s="0" t="n">
        <v>2</v>
      </c>
      <c r="E44" s="0" t="n">
        <v>5.6</v>
      </c>
      <c r="F44" s="0" t="n">
        <v>-9.46</v>
      </c>
      <c r="G44" s="0" t="n">
        <v>-1.05</v>
      </c>
      <c r="H44" s="1" t="n">
        <v>0</v>
      </c>
      <c r="I44" s="1" t="n">
        <v>-1.05</v>
      </c>
      <c r="J44" s="0" t="n">
        <v>0</v>
      </c>
      <c r="K44" s="0" t="n">
        <v>-1.05</v>
      </c>
      <c r="L44" s="1" t="n">
        <v>0</v>
      </c>
      <c r="M44" s="1" t="n">
        <v>-1.05</v>
      </c>
      <c r="N44" s="0" t="n">
        <v>9.51</v>
      </c>
      <c r="O44" s="0" t="n">
        <v>-1.05</v>
      </c>
    </row>
    <row r="45" customFormat="false" ht="15" hidden="false" customHeight="false" outlineLevel="0" collapsed="false">
      <c r="D45" s="0" t="n">
        <v>1</v>
      </c>
      <c r="E45" s="0" t="n">
        <v>1.83</v>
      </c>
      <c r="F45" s="0" t="n">
        <v>-9.16</v>
      </c>
      <c r="G45" s="0" t="n">
        <v>-1.35</v>
      </c>
      <c r="H45" s="1" t="n">
        <v>0</v>
      </c>
      <c r="I45" s="1" t="n">
        <v>-1.35</v>
      </c>
      <c r="J45" s="0" t="n">
        <v>0</v>
      </c>
      <c r="K45" s="0" t="n">
        <v>-1.35</v>
      </c>
      <c r="L45" s="1" t="n">
        <v>0</v>
      </c>
      <c r="M45" s="1" t="n">
        <v>-1.35</v>
      </c>
      <c r="N45" s="0" t="n">
        <v>9.21</v>
      </c>
      <c r="O45" s="0" t="n">
        <v>-1.35</v>
      </c>
    </row>
    <row r="46" customFormat="false" ht="15" hidden="false" customHeight="false" outlineLevel="0" collapsed="false">
      <c r="A46" s="1" t="n">
        <v>12</v>
      </c>
      <c r="B46" s="1" t="s">
        <v>27</v>
      </c>
      <c r="C46" s="0" t="n">
        <v>609.11</v>
      </c>
      <c r="D46" s="0" t="n">
        <v>4</v>
      </c>
      <c r="E46" s="0" t="n">
        <v>5.43</v>
      </c>
      <c r="F46" s="0" t="n">
        <v>-9.27</v>
      </c>
      <c r="G46" s="0" t="n">
        <v>-0.45</v>
      </c>
      <c r="H46" s="1" t="n">
        <v>0</v>
      </c>
      <c r="I46" s="1" t="n">
        <v>-0.45</v>
      </c>
      <c r="J46" s="0" t="n">
        <v>0</v>
      </c>
      <c r="K46" s="0" t="n">
        <v>-0.45</v>
      </c>
      <c r="L46" s="1" t="n">
        <v>0</v>
      </c>
      <c r="M46" s="1" t="n">
        <v>-0.45</v>
      </c>
      <c r="N46" s="0" t="n">
        <v>9.13</v>
      </c>
      <c r="O46" s="0" t="n">
        <v>-0.45</v>
      </c>
      <c r="P46" s="0" t="n">
        <v>17.4</v>
      </c>
      <c r="Q46" s="0" t="n">
        <v>0</v>
      </c>
    </row>
    <row r="47" customFormat="false" ht="15" hidden="false" customHeight="false" outlineLevel="0" collapsed="false">
      <c r="D47" s="0" t="n">
        <v>3</v>
      </c>
      <c r="E47" s="0" t="n">
        <v>5.25</v>
      </c>
      <c r="F47" s="0" t="n">
        <v>-8.97</v>
      </c>
      <c r="G47" s="0" t="n">
        <v>-0.75</v>
      </c>
      <c r="H47" s="1" t="n">
        <v>0</v>
      </c>
      <c r="I47" s="1" t="n">
        <v>-0.75</v>
      </c>
      <c r="J47" s="0" t="n">
        <v>0</v>
      </c>
      <c r="K47" s="0" t="n">
        <v>-0.75</v>
      </c>
      <c r="L47" s="1" t="n">
        <v>0</v>
      </c>
      <c r="M47" s="1" t="n">
        <v>-0.75</v>
      </c>
      <c r="N47" s="0" t="n">
        <v>8.83</v>
      </c>
      <c r="O47" s="0" t="n">
        <v>-0.75</v>
      </c>
    </row>
    <row r="48" customFormat="false" ht="15" hidden="false" customHeight="false" outlineLevel="0" collapsed="false">
      <c r="D48" s="0" t="n">
        <v>2</v>
      </c>
      <c r="E48" s="0" t="n">
        <v>5.07</v>
      </c>
      <c r="F48" s="0" t="n">
        <v>-8.67</v>
      </c>
      <c r="G48" s="0" t="n">
        <v>-1.05</v>
      </c>
      <c r="H48" s="1" t="n">
        <v>0</v>
      </c>
      <c r="I48" s="1" t="n">
        <v>-1.05</v>
      </c>
      <c r="J48" s="0" t="n">
        <v>0</v>
      </c>
      <c r="K48" s="0" t="n">
        <v>-1.05</v>
      </c>
      <c r="L48" s="1" t="n">
        <v>0</v>
      </c>
      <c r="M48" s="1" t="n">
        <v>-1.05</v>
      </c>
      <c r="N48" s="0" t="n">
        <v>8.53</v>
      </c>
      <c r="O48" s="0" t="n">
        <v>-1.05</v>
      </c>
    </row>
    <row r="49" customFormat="false" ht="15" hidden="false" customHeight="false" outlineLevel="0" collapsed="false">
      <c r="D49" s="0" t="n">
        <v>1</v>
      </c>
      <c r="E49" s="0" t="n">
        <v>1.65</v>
      </c>
      <c r="F49" s="0" t="n">
        <v>-8.37</v>
      </c>
      <c r="G49" s="0" t="n">
        <v>-1.35</v>
      </c>
      <c r="H49" s="1" t="n">
        <v>0</v>
      </c>
      <c r="I49" s="1" t="n">
        <v>-1.35</v>
      </c>
      <c r="J49" s="0" t="n">
        <v>0</v>
      </c>
      <c r="K49" s="0" t="n">
        <v>-1.35</v>
      </c>
      <c r="L49" s="1" t="n">
        <v>0</v>
      </c>
      <c r="M49" s="1" t="n">
        <v>-1.35</v>
      </c>
      <c r="N49" s="0" t="n">
        <v>8.23</v>
      </c>
      <c r="O49" s="0" t="n">
        <v>-1.35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W69"/>
  <sheetViews>
    <sheetView showFormulas="false" showGridLines="true" showRowColHeaders="true" showZeros="true" rightToLeft="false" tabSelected="false" showOutlineSymbols="true" defaultGridColor="true" view="normal" topLeftCell="A3" colorId="64" zoomScale="55" zoomScaleNormal="55" zoomScalePageLayoutView="100" workbookViewId="0">
      <selection pane="topLeft" activeCell="K46" activeCellId="0" sqref="K46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.57"/>
    <col collapsed="false" customWidth="true" hidden="false" outlineLevel="0" max="2" min="2" style="1" width="7.42"/>
    <col collapsed="false" customWidth="true" hidden="false" outlineLevel="0" max="3" min="3" style="1" width="17"/>
    <col collapsed="false" customWidth="true" hidden="true" outlineLevel="0" max="4" min="4" style="1" width="9.42"/>
    <col collapsed="false" customWidth="true" hidden="true" outlineLevel="0" max="5" min="5" style="1" width="9.57"/>
    <col collapsed="false" customWidth="true" hidden="true" outlineLevel="0" max="6" min="6" style="1" width="9.14"/>
    <col collapsed="false" customWidth="true" hidden="false" outlineLevel="0" max="12" min="7" style="1" width="11.71"/>
    <col collapsed="false" customWidth="true" hidden="true" outlineLevel="0" max="15" min="13" style="1" width="8.57"/>
    <col collapsed="false" customWidth="true" hidden="false" outlineLevel="0" max="18" min="16" style="1" width="11.71"/>
    <col collapsed="false" customWidth="true" hidden="false" outlineLevel="0" max="19" min="19" style="1" width="7.86"/>
  </cols>
  <sheetData>
    <row r="1" customFormat="false" ht="20.25" hidden="false" customHeight="true" outlineLevel="0" collapsed="false">
      <c r="A1" s="2" t="s">
        <v>28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3"/>
      <c r="V1" s="4"/>
      <c r="W1" s="4"/>
    </row>
    <row r="2" customFormat="false" ht="18.75" hidden="false" customHeight="true" outlineLevel="0" collapsed="false">
      <c r="A2" s="5" t="str">
        <f>"Kèm theo BBNT số: "&amp;VLOOKUP(AZ2,'[1]Tuyến XD8'!$A$2:$G$60,7,0)&amp;VLOOKUP(AZ2,'[1]Tuyến XD8'!$A$2:$G$60,4,0)</f>
        <v xml:space="preserve">Kèm theo BBNT số: 60.NĐXD8/CVXD ngày 14 tháng 09 năm 2026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6"/>
      <c r="U2" s="7"/>
      <c r="V2" s="7"/>
      <c r="W2" s="7"/>
      <c r="AZ2">
        <v>60</v>
      </c>
    </row>
    <row r="3" customFormat="false" ht="18.75" hidden="false" customHeight="true" outlineLevel="0" collapsed="false">
      <c r="A3" s="8" t="s">
        <v>30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</row>
    <row r="4" customFormat="false" ht="18.75" hidden="false" customHeight="true" outlineLevel="0" collapsed="false">
      <c r="A4" s="8" t="s">
        <v>31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</row>
    <row r="5" customFormat="false" ht="18.75" hidden="false" customHeight="true" outlineLevel="0" collapsed="false">
      <c r="A5" s="8" t="s">
        <v>32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</row>
    <row r="6" customFormat="false" ht="18.75" hidden="false" customHeight="true" outlineLevel="0" collapsed="false">
      <c r="A6" s="8" t="s">
        <v>33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</row>
    <row r="7" customFormat="false" ht="18.75" hidden="false" customHeight="true" outlineLevel="0" collapsed="false">
      <c r="A7" s="9" t="s">
        <v>34</v>
      </c>
      <c r="C7" s="8"/>
      <c r="D7" s="8"/>
      <c r="E7" s="8"/>
      <c r="F7" s="8"/>
      <c r="G7" s="8" t="str">
        <f>VLOOKUP(AZ2,'[1]Tuyến XD8'!$A$2:$B$60,2,0)</f>
        <v xml:space="preserve">Đắp cát nền đường lớp 1 đoạn từ Km0+489,19 - Km0+609,11, độ chặt K&gt;=0,95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</row>
    <row r="8" customFormat="false" ht="18.75" hidden="false" customHeight="true" outlineLevel="0" collapsed="false">
      <c r="A8" s="9" t="s">
        <v>36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</row>
    <row r="19" customFormat="false" ht="8.25" hidden="false" customHeight="true" outlineLevel="0" collapsed="false"/>
    <row r="21" customFormat="false" ht="15" hidden="false" customHeight="true" outlineLevel="0" collapsed="false">
      <c r="A21" s="10" t="s">
        <v>37</v>
      </c>
      <c r="B21" s="10" t="s">
        <v>38</v>
      </c>
      <c r="C21" s="10" t="s">
        <v>39</v>
      </c>
      <c r="D21" s="11" t="s">
        <v>40</v>
      </c>
      <c r="E21" s="11"/>
      <c r="F21" s="11"/>
      <c r="G21" s="11"/>
      <c r="H21" s="11"/>
      <c r="I21" s="11"/>
      <c r="J21" s="11" t="s">
        <v>41</v>
      </c>
      <c r="K21" s="11"/>
      <c r="L21" s="11"/>
      <c r="M21" s="11" t="s">
        <v>42</v>
      </c>
      <c r="N21" s="11"/>
      <c r="O21" s="11"/>
      <c r="P21" s="11"/>
      <c r="Q21" s="11"/>
      <c r="R21" s="11"/>
      <c r="S21" s="10" t="s">
        <v>43</v>
      </c>
    </row>
    <row r="22" customFormat="false" ht="30" hidden="false" customHeight="true" outlineLevel="0" collapsed="false">
      <c r="A22" s="10"/>
      <c r="B22" s="10"/>
      <c r="C22" s="10"/>
      <c r="D22" s="12" t="s">
        <v>44</v>
      </c>
      <c r="E22" s="12" t="s">
        <v>45</v>
      </c>
      <c r="F22" s="12" t="s">
        <v>46</v>
      </c>
      <c r="G22" s="12" t="s">
        <v>47</v>
      </c>
      <c r="H22" s="12" t="s">
        <v>48</v>
      </c>
      <c r="I22" s="12" t="s">
        <v>49</v>
      </c>
      <c r="J22" s="12" t="s">
        <v>47</v>
      </c>
      <c r="K22" s="12" t="s">
        <v>48</v>
      </c>
      <c r="L22" s="12" t="s">
        <v>49</v>
      </c>
      <c r="M22" s="12" t="s">
        <v>44</v>
      </c>
      <c r="N22" s="12" t="s">
        <v>45</v>
      </c>
      <c r="O22" s="12" t="s">
        <v>46</v>
      </c>
      <c r="P22" s="12" t="s">
        <v>47</v>
      </c>
      <c r="Q22" s="12" t="s">
        <v>48</v>
      </c>
      <c r="R22" s="12" t="s">
        <v>49</v>
      </c>
      <c r="S22" s="10"/>
      <c r="T22" s="13"/>
    </row>
    <row r="23" customFormat="false" ht="15" hidden="false" customHeight="false" outlineLevel="0" collapsed="false">
      <c r="A23" s="14" t="n">
        <v>1</v>
      </c>
      <c r="B23" s="15" t="s">
        <v>17</v>
      </c>
      <c r="C23" s="16" t="n">
        <v>489.19</v>
      </c>
      <c r="D23" s="17" t="n">
        <f aca="false">+Chạy!F5</f>
        <v>-8.55</v>
      </c>
      <c r="E23" s="17" t="n">
        <f aca="false">+D23+F23</f>
        <v>-8.5488</v>
      </c>
      <c r="F23" s="17" t="n">
        <f aca="false">RANDBETWEEN(-105,115)/10000</f>
        <v>0.0012</v>
      </c>
      <c r="G23" s="17" t="n">
        <f aca="false">+Chạy!G5</f>
        <v>-1.35</v>
      </c>
      <c r="H23" s="17" t="n">
        <f aca="false">G23+I23</f>
        <v>-1.322</v>
      </c>
      <c r="I23" s="17" t="n">
        <f aca="false">RANDBETWEEN(-30,90)/1000</f>
        <v>0.028</v>
      </c>
      <c r="J23" s="17" t="n">
        <f aca="false">+Chạy!K5</f>
        <v>-1.35</v>
      </c>
      <c r="K23" s="17" t="n">
        <f aca="false">J23+L23</f>
        <v>-1.353</v>
      </c>
      <c r="L23" s="17" t="n">
        <f aca="false">RANDBETWEEN(-30,90)/1000</f>
        <v>-0.003</v>
      </c>
      <c r="M23" s="17" t="n">
        <f aca="false">+Chạy!N5</f>
        <v>5.35</v>
      </c>
      <c r="N23" s="17" t="n">
        <f aca="false">+M23+O23</f>
        <v>5.3427</v>
      </c>
      <c r="O23" s="17" t="n">
        <f aca="false">RANDBETWEEN(-105,115)/10000</f>
        <v>-0.0073</v>
      </c>
      <c r="P23" s="17" t="n">
        <f aca="false">+Chạy!O5</f>
        <v>-1.35</v>
      </c>
      <c r="Q23" s="17" t="n">
        <f aca="false">P23+R23</f>
        <v>-1.341</v>
      </c>
      <c r="R23" s="17" t="n">
        <f aca="false">RANDBETWEEN(-30,90)/1000</f>
        <v>0.009</v>
      </c>
      <c r="S23" s="18"/>
      <c r="T23" s="19" t="n">
        <v>13.17</v>
      </c>
    </row>
    <row r="24" customFormat="false" ht="15" hidden="false" customHeight="false" outlineLevel="0" collapsed="false">
      <c r="A24" s="14" t="n">
        <v>2</v>
      </c>
      <c r="B24" s="15" t="s">
        <v>18</v>
      </c>
      <c r="C24" s="16" t="n">
        <f aca="false">+C23+T23</f>
        <v>502.36</v>
      </c>
      <c r="D24" s="17" t="n">
        <f aca="false">+Chạy!F9</f>
        <v>-9.57</v>
      </c>
      <c r="E24" s="17" t="n">
        <f aca="false">+D24+F24</f>
        <v>-9.579</v>
      </c>
      <c r="F24" s="17" t="n">
        <f aca="false">RANDBETWEEN(-105,115)/10000</f>
        <v>-0.009</v>
      </c>
      <c r="G24" s="17" t="n">
        <f aca="false">+Chạy!G9</f>
        <v>-1.35</v>
      </c>
      <c r="H24" s="17" t="n">
        <f aca="false">G24+I24</f>
        <v>-1.295</v>
      </c>
      <c r="I24" s="17" t="n">
        <f aca="false">RANDBETWEEN(-30,90)/1000</f>
        <v>0.055</v>
      </c>
      <c r="J24" s="17" t="n">
        <f aca="false">+Chạy!K9</f>
        <v>-1.35</v>
      </c>
      <c r="K24" s="17" t="n">
        <f aca="false">J24+L24</f>
        <v>-1.265</v>
      </c>
      <c r="L24" s="17" t="n">
        <f aca="false">RANDBETWEEN(-30,90)/1000</f>
        <v>0.085</v>
      </c>
      <c r="M24" s="17" t="n">
        <f aca="false">+Chạy!N9</f>
        <v>9.47</v>
      </c>
      <c r="N24" s="17" t="n">
        <f aca="false">+M24+O24</f>
        <v>9.4722</v>
      </c>
      <c r="O24" s="17" t="n">
        <f aca="false">RANDBETWEEN(-105,115)/10000</f>
        <v>0.0022</v>
      </c>
      <c r="P24" s="17" t="n">
        <f aca="false">+Chạy!O9</f>
        <v>-1.35</v>
      </c>
      <c r="Q24" s="17" t="n">
        <f aca="false">P24+R24</f>
        <v>-1.331</v>
      </c>
      <c r="R24" s="17" t="n">
        <f aca="false">RANDBETWEEN(-30,90)/1000</f>
        <v>0.019</v>
      </c>
      <c r="S24" s="18"/>
      <c r="T24" s="19" t="n">
        <v>10.48</v>
      </c>
    </row>
    <row r="25" customFormat="false" ht="15" hidden="false" customHeight="false" outlineLevel="0" collapsed="false">
      <c r="A25" s="14" t="n">
        <v>3</v>
      </c>
      <c r="B25" s="15" t="s">
        <v>19</v>
      </c>
      <c r="C25" s="16" t="n">
        <f aca="false">+C24+T24</f>
        <v>512.84</v>
      </c>
      <c r="D25" s="17" t="n">
        <f aca="false">+Chạy!F13</f>
        <v>-9.01</v>
      </c>
      <c r="E25" s="17" t="n">
        <f aca="false">+D25+F25</f>
        <v>-8.999</v>
      </c>
      <c r="F25" s="17" t="n">
        <f aca="false">RANDBETWEEN(-105,115)/10000</f>
        <v>0.011</v>
      </c>
      <c r="G25" s="17" t="n">
        <f aca="false">+Chạy!G13</f>
        <v>-1.35</v>
      </c>
      <c r="H25" s="17" t="n">
        <f aca="false">G25+I25</f>
        <v>-1.285</v>
      </c>
      <c r="I25" s="17" t="n">
        <f aca="false">RANDBETWEEN(-30,90)/1000</f>
        <v>0.065</v>
      </c>
      <c r="J25" s="17" t="n">
        <f aca="false">+Chạy!K13</f>
        <v>-1.35</v>
      </c>
      <c r="K25" s="17" t="n">
        <f aca="false">J25+L25</f>
        <v>-1.288</v>
      </c>
      <c r="L25" s="17" t="n">
        <f aca="false">RANDBETWEEN(-30,90)/1000</f>
        <v>0.062</v>
      </c>
      <c r="M25" s="17" t="n">
        <f aca="false">+Chạy!N13</f>
        <v>9.38</v>
      </c>
      <c r="N25" s="17" t="n">
        <f aca="false">+M25+O25</f>
        <v>9.3895</v>
      </c>
      <c r="O25" s="17" t="n">
        <f aca="false">RANDBETWEEN(-105,115)/10000</f>
        <v>0.0095</v>
      </c>
      <c r="P25" s="17" t="n">
        <f aca="false">+Chạy!O13</f>
        <v>-1.35</v>
      </c>
      <c r="Q25" s="17" t="n">
        <f aca="false">P25+R25</f>
        <v>-1.263</v>
      </c>
      <c r="R25" s="17" t="n">
        <f aca="false">RANDBETWEEN(-30,90)/1000</f>
        <v>0.087</v>
      </c>
      <c r="S25" s="18"/>
      <c r="T25" s="19" t="n">
        <v>16.78</v>
      </c>
    </row>
    <row r="26" customFormat="false" ht="15" hidden="false" customHeight="false" outlineLevel="0" collapsed="false">
      <c r="A26" s="14" t="n">
        <v>4</v>
      </c>
      <c r="B26" s="15" t="s">
        <v>20</v>
      </c>
      <c r="C26" s="16" t="n">
        <f aca="false">+C25+T25</f>
        <v>529.62</v>
      </c>
      <c r="D26" s="17" t="n">
        <f aca="false">+Chạy!F17</f>
        <v>-9.44</v>
      </c>
      <c r="E26" s="17" t="n">
        <f aca="false">+D26+F26</f>
        <v>-9.4328</v>
      </c>
      <c r="F26" s="17" t="n">
        <f aca="false">RANDBETWEEN(-105,115)/10000</f>
        <v>0.0072</v>
      </c>
      <c r="G26" s="17" t="n">
        <f aca="false">+Chạy!G17</f>
        <v>-1.35</v>
      </c>
      <c r="H26" s="17" t="n">
        <f aca="false">G26+I26</f>
        <v>-1.32</v>
      </c>
      <c r="I26" s="17" t="n">
        <f aca="false">RANDBETWEEN(-30,90)/1000</f>
        <v>0.03</v>
      </c>
      <c r="J26" s="17" t="n">
        <f aca="false">+Chạy!K17</f>
        <v>-1.35</v>
      </c>
      <c r="K26" s="17" t="n">
        <f aca="false">J26+L26</f>
        <v>-1.282</v>
      </c>
      <c r="L26" s="17" t="n">
        <f aca="false">RANDBETWEEN(-30,90)/1000</f>
        <v>0.068</v>
      </c>
      <c r="M26" s="17" t="n">
        <f aca="false">+Chạy!N17</f>
        <v>9.52</v>
      </c>
      <c r="N26" s="17" t="n">
        <f aca="false">+M26+O26</f>
        <v>9.5301</v>
      </c>
      <c r="O26" s="17" t="n">
        <f aca="false">RANDBETWEEN(-105,115)/10000</f>
        <v>0.0101</v>
      </c>
      <c r="P26" s="17" t="n">
        <f aca="false">+Chạy!O17</f>
        <v>-1.35</v>
      </c>
      <c r="Q26" s="17" t="n">
        <f aca="false">P26+R26</f>
        <v>-1.321</v>
      </c>
      <c r="R26" s="17" t="n">
        <f aca="false">RANDBETWEEN(-30,90)/1000</f>
        <v>0.029</v>
      </c>
      <c r="S26" s="18"/>
      <c r="T26" s="19" t="n">
        <v>17.1</v>
      </c>
    </row>
    <row r="27" customFormat="false" ht="15" hidden="false" customHeight="false" outlineLevel="0" collapsed="false">
      <c r="A27" s="14" t="n">
        <v>5</v>
      </c>
      <c r="B27" s="15" t="s">
        <v>21</v>
      </c>
      <c r="C27" s="16" t="n">
        <f aca="false">+C26+T26</f>
        <v>546.72</v>
      </c>
      <c r="D27" s="17" t="n">
        <f aca="false">+Chạy!F21</f>
        <v>-5.35</v>
      </c>
      <c r="E27" s="17" t="n">
        <f aca="false">+D27+F27</f>
        <v>-5.3546</v>
      </c>
      <c r="F27" s="17" t="n">
        <f aca="false">RANDBETWEEN(-105,115)/10000</f>
        <v>-0.0046</v>
      </c>
      <c r="G27" s="17" t="n">
        <f aca="false">+Chạy!G21</f>
        <v>-1.35</v>
      </c>
      <c r="H27" s="17" t="n">
        <f aca="false">G27+I27</f>
        <v>-1.325</v>
      </c>
      <c r="I27" s="17" t="n">
        <f aca="false">RANDBETWEEN(-30,90)/1000</f>
        <v>0.025</v>
      </c>
      <c r="J27" s="17" t="n">
        <f aca="false">+Chạy!K21</f>
        <v>-1.35</v>
      </c>
      <c r="K27" s="17" t="n">
        <f aca="false">J27+L27</f>
        <v>-1.33</v>
      </c>
      <c r="L27" s="17" t="n">
        <f aca="false">RANDBETWEEN(-30,90)/1000</f>
        <v>0.02</v>
      </c>
      <c r="M27" s="17" t="n">
        <f aca="false">+Chạy!N21</f>
        <v>8.59</v>
      </c>
      <c r="N27" s="17" t="n">
        <f aca="false">+M27+O27</f>
        <v>8.5983</v>
      </c>
      <c r="O27" s="17" t="n">
        <f aca="false">RANDBETWEEN(-105,115)/10000</f>
        <v>0.0083</v>
      </c>
      <c r="P27" s="17" t="n">
        <f aca="false">+Chạy!O21</f>
        <v>-1.35</v>
      </c>
      <c r="Q27" s="17" t="n">
        <f aca="false">P27+R27</f>
        <v>-1.26</v>
      </c>
      <c r="R27" s="17" t="n">
        <f aca="false">RANDBETWEEN(-30,90)/1000</f>
        <v>0.09</v>
      </c>
      <c r="S27" s="18"/>
      <c r="T27" s="19" t="n">
        <v>15.15</v>
      </c>
    </row>
    <row r="28" customFormat="false" ht="15" hidden="false" customHeight="false" outlineLevel="0" collapsed="false">
      <c r="A28" s="14" t="n">
        <v>6</v>
      </c>
      <c r="B28" s="15" t="s">
        <v>22</v>
      </c>
      <c r="C28" s="16" t="n">
        <f aca="false">+C27+T27</f>
        <v>561.87</v>
      </c>
      <c r="D28" s="17" t="n">
        <f aca="false">+Chạy!F25</f>
        <v>-9.09</v>
      </c>
      <c r="E28" s="17" t="n">
        <f aca="false">+D28+F28</f>
        <v>-9.0842</v>
      </c>
      <c r="F28" s="17" t="n">
        <f aca="false">RANDBETWEEN(-105,115)/10000</f>
        <v>0.0058</v>
      </c>
      <c r="G28" s="17" t="n">
        <f aca="false">+Chạy!G25</f>
        <v>-1.35</v>
      </c>
      <c r="H28" s="17" t="n">
        <f aca="false">G28+I28</f>
        <v>-1.367</v>
      </c>
      <c r="I28" s="17" t="n">
        <f aca="false">RANDBETWEEN(-30,90)/1000</f>
        <v>-0.017</v>
      </c>
      <c r="J28" s="17" t="n">
        <f aca="false">+Chạy!K25</f>
        <v>-1.35</v>
      </c>
      <c r="K28" s="17" t="n">
        <f aca="false">J28+L28</f>
        <v>-1.332</v>
      </c>
      <c r="L28" s="17" t="n">
        <f aca="false">RANDBETWEEN(-30,90)/1000</f>
        <v>0.018</v>
      </c>
      <c r="M28" s="17" t="n">
        <f aca="false">+Chạy!N25</f>
        <v>9.22</v>
      </c>
      <c r="N28" s="17" t="n">
        <f aca="false">+M28+O28</f>
        <v>9.223</v>
      </c>
      <c r="O28" s="17" t="n">
        <f aca="false">RANDBETWEEN(-105,115)/10000</f>
        <v>0.003</v>
      </c>
      <c r="P28" s="17" t="n">
        <f aca="false">+Chạy!O25</f>
        <v>-1.35</v>
      </c>
      <c r="Q28" s="17" t="n">
        <f aca="false">P28+R28</f>
        <v>-1.293</v>
      </c>
      <c r="R28" s="17" t="n">
        <f aca="false">RANDBETWEEN(-30,90)/1000</f>
        <v>0.057</v>
      </c>
      <c r="S28" s="18"/>
      <c r="T28" s="19" t="n">
        <v>0.15</v>
      </c>
    </row>
    <row r="29" customFormat="false" ht="15" hidden="false" customHeight="false" outlineLevel="0" collapsed="false">
      <c r="A29" s="14" t="n">
        <v>7</v>
      </c>
      <c r="B29" s="15" t="s">
        <v>23</v>
      </c>
      <c r="C29" s="16" t="n">
        <f aca="false">+C28+T28</f>
        <v>562.02</v>
      </c>
      <c r="D29" s="17" t="n">
        <f aca="false">+Chạy!F29</f>
        <v>-9.09</v>
      </c>
      <c r="E29" s="17" t="n">
        <f aca="false">+D29+F29</f>
        <v>-9.0995</v>
      </c>
      <c r="F29" s="17" t="n">
        <f aca="false">RANDBETWEEN(-105,115)/10000</f>
        <v>-0.0095</v>
      </c>
      <c r="G29" s="17" t="n">
        <f aca="false">+Chạy!G29</f>
        <v>-1.35</v>
      </c>
      <c r="H29" s="17" t="n">
        <f aca="false">G29+I29</f>
        <v>-1.364</v>
      </c>
      <c r="I29" s="17" t="n">
        <f aca="false">RANDBETWEEN(-30,90)/1000</f>
        <v>-0.014</v>
      </c>
      <c r="J29" s="17" t="n">
        <f aca="false">+Chạy!K29</f>
        <v>-1.35</v>
      </c>
      <c r="K29" s="17" t="n">
        <f aca="false">J29+L29</f>
        <v>-1.299</v>
      </c>
      <c r="L29" s="17" t="n">
        <f aca="false">RANDBETWEEN(-30,90)/1000</f>
        <v>0.051</v>
      </c>
      <c r="M29" s="17" t="n">
        <f aca="false">+Chạy!N29</f>
        <v>9.23</v>
      </c>
      <c r="N29" s="17" t="n">
        <f aca="false">+M29+O29</f>
        <v>9.2276</v>
      </c>
      <c r="O29" s="17" t="n">
        <f aca="false">RANDBETWEEN(-105,115)/10000</f>
        <v>-0.0024</v>
      </c>
      <c r="P29" s="17" t="n">
        <f aca="false">+Chạy!O29</f>
        <v>-1.35</v>
      </c>
      <c r="Q29" s="17" t="n">
        <f aca="false">P29+R29</f>
        <v>-1.272</v>
      </c>
      <c r="R29" s="17" t="n">
        <f aca="false">RANDBETWEEN(-30,90)/1000</f>
        <v>0.078</v>
      </c>
      <c r="S29" s="18"/>
      <c r="T29" s="19" t="n">
        <v>6.55</v>
      </c>
    </row>
    <row r="30" customFormat="false" ht="15" hidden="false" customHeight="false" outlineLevel="0" collapsed="false">
      <c r="A30" s="14" t="n">
        <v>8</v>
      </c>
      <c r="B30" s="15" t="s">
        <v>24</v>
      </c>
      <c r="C30" s="16" t="n">
        <f aca="false">+C29+T29</f>
        <v>568.57</v>
      </c>
      <c r="D30" s="17" t="n">
        <f aca="false">+Chạy!F33</f>
        <v>-9.26</v>
      </c>
      <c r="E30" s="17" t="n">
        <f aca="false">+D30+F30</f>
        <v>-9.2661</v>
      </c>
      <c r="F30" s="17" t="n">
        <f aca="false">RANDBETWEEN(-105,115)/10000</f>
        <v>-0.0061</v>
      </c>
      <c r="G30" s="17" t="n">
        <f aca="false">+Chạy!G33</f>
        <v>-1.35</v>
      </c>
      <c r="H30" s="17" t="n">
        <f aca="false">G30+I30</f>
        <v>-1.303</v>
      </c>
      <c r="I30" s="17" t="n">
        <f aca="false">RANDBETWEEN(-30,90)/1000</f>
        <v>0.047</v>
      </c>
      <c r="J30" s="17" t="n">
        <f aca="false">+Chạy!K33</f>
        <v>-1.35</v>
      </c>
      <c r="K30" s="17" t="n">
        <f aca="false">J30+L30</f>
        <v>-1.366</v>
      </c>
      <c r="L30" s="17" t="n">
        <f aca="false">RANDBETWEEN(-30,90)/1000</f>
        <v>-0.016</v>
      </c>
      <c r="M30" s="17" t="n">
        <f aca="false">+Chạy!N33</f>
        <v>9.58</v>
      </c>
      <c r="N30" s="17" t="n">
        <f aca="false">+M30+O30</f>
        <v>9.5766</v>
      </c>
      <c r="O30" s="17" t="n">
        <f aca="false">RANDBETWEEN(-105,115)/10000</f>
        <v>-0.0034</v>
      </c>
      <c r="P30" s="17" t="n">
        <f aca="false">+Chạy!O33</f>
        <v>-1.35</v>
      </c>
      <c r="Q30" s="17" t="n">
        <f aca="false">P30+R30</f>
        <v>-1.269</v>
      </c>
      <c r="R30" s="17" t="n">
        <f aca="false">RANDBETWEEN(-30,90)/1000</f>
        <v>0.081</v>
      </c>
      <c r="S30" s="18"/>
      <c r="T30" s="19" t="n">
        <v>6.55</v>
      </c>
    </row>
    <row r="31" customFormat="false" ht="15" hidden="false" customHeight="false" outlineLevel="0" collapsed="false">
      <c r="A31" s="14" t="n">
        <v>9</v>
      </c>
      <c r="B31" s="15" t="s">
        <v>1</v>
      </c>
      <c r="C31" s="16" t="n">
        <f aca="false">+C30+T30</f>
        <v>575.12</v>
      </c>
      <c r="D31" s="17" t="n">
        <f aca="false">+Chạy!F37</f>
        <v>-8.98</v>
      </c>
      <c r="E31" s="17" t="n">
        <f aca="false">+D31+F31</f>
        <v>-8.9825</v>
      </c>
      <c r="F31" s="17" t="n">
        <f aca="false">RANDBETWEEN(-105,115)/10000</f>
        <v>-0.0025</v>
      </c>
      <c r="G31" s="17" t="n">
        <f aca="false">+Chạy!G37</f>
        <v>-1.35</v>
      </c>
      <c r="H31" s="17" t="n">
        <f aca="false">G31+I31</f>
        <v>-1.3</v>
      </c>
      <c r="I31" s="17" t="n">
        <f aca="false">RANDBETWEEN(-30,90)/1000</f>
        <v>0.05</v>
      </c>
      <c r="J31" s="17" t="n">
        <f aca="false">+Chạy!K37</f>
        <v>-1.35</v>
      </c>
      <c r="K31" s="17" t="n">
        <f aca="false">J31+L31</f>
        <v>-1.373</v>
      </c>
      <c r="L31" s="17" t="n">
        <f aca="false">RANDBETWEEN(-30,90)/1000</f>
        <v>-0.023</v>
      </c>
      <c r="M31" s="17" t="n">
        <f aca="false">+Chạy!N37</f>
        <v>8.66</v>
      </c>
      <c r="N31" s="17" t="n">
        <f aca="false">+M31+O31</f>
        <v>8.656</v>
      </c>
      <c r="O31" s="17" t="n">
        <f aca="false">RANDBETWEEN(-105,115)/10000</f>
        <v>-0.004</v>
      </c>
      <c r="P31" s="17" t="n">
        <f aca="false">+Chạy!O37</f>
        <v>-1.35</v>
      </c>
      <c r="Q31" s="17" t="n">
        <f aca="false">P31+R31</f>
        <v>-1.265</v>
      </c>
      <c r="R31" s="17" t="n">
        <f aca="false">RANDBETWEEN(-30,90)/1000</f>
        <v>0.085</v>
      </c>
      <c r="S31" s="18"/>
      <c r="T31" s="19" t="n">
        <v>0.04</v>
      </c>
    </row>
    <row r="32" customFormat="false" ht="15" hidden="false" customHeight="false" outlineLevel="0" collapsed="false">
      <c r="A32" s="14" t="n">
        <v>10</v>
      </c>
      <c r="B32" s="15" t="s">
        <v>25</v>
      </c>
      <c r="C32" s="16" t="n">
        <f aca="false">+C31+T31</f>
        <v>575.16</v>
      </c>
      <c r="D32" s="17" t="n">
        <f aca="false">+Chạy!F41</f>
        <v>-8.98</v>
      </c>
      <c r="E32" s="17" t="n">
        <f aca="false">+D32+F32</f>
        <v>-8.977</v>
      </c>
      <c r="F32" s="17" t="n">
        <f aca="false">RANDBETWEEN(-105,115)/10000</f>
        <v>0.003</v>
      </c>
      <c r="G32" s="17" t="n">
        <f aca="false">+Chạy!G41</f>
        <v>-1.35</v>
      </c>
      <c r="H32" s="17" t="n">
        <f aca="false">G32+I32</f>
        <v>-1.347</v>
      </c>
      <c r="I32" s="17" t="n">
        <f aca="false">RANDBETWEEN(-30,90)/1000</f>
        <v>0.003</v>
      </c>
      <c r="J32" s="17" t="n">
        <f aca="false">+Chạy!K41</f>
        <v>-1.35</v>
      </c>
      <c r="K32" s="17" t="n">
        <f aca="false">J32+L32</f>
        <v>-1.267</v>
      </c>
      <c r="L32" s="17" t="n">
        <f aca="false">RANDBETWEEN(-30,90)/1000</f>
        <v>0.083</v>
      </c>
      <c r="M32" s="17" t="n">
        <f aca="false">+Chạy!N41</f>
        <v>8.43</v>
      </c>
      <c r="N32" s="17" t="n">
        <f aca="false">+M32+O32</f>
        <v>8.4212</v>
      </c>
      <c r="O32" s="17" t="n">
        <f aca="false">RANDBETWEEN(-105,115)/10000</f>
        <v>-0.0088</v>
      </c>
      <c r="P32" s="17" t="n">
        <f aca="false">+Chạy!O41</f>
        <v>-1.35</v>
      </c>
      <c r="Q32" s="17" t="n">
        <f aca="false">P32+R32</f>
        <v>-1.284</v>
      </c>
      <c r="R32" s="17" t="n">
        <f aca="false">RANDBETWEEN(-30,90)/1000</f>
        <v>0.066</v>
      </c>
      <c r="S32" s="18"/>
      <c r="T32" s="19" t="n">
        <v>16.95</v>
      </c>
    </row>
    <row r="33" customFormat="false" ht="15" hidden="false" customHeight="false" outlineLevel="0" collapsed="false">
      <c r="A33" s="14" t="n">
        <v>11</v>
      </c>
      <c r="B33" s="15" t="s">
        <v>26</v>
      </c>
      <c r="C33" s="16" t="n">
        <f aca="false">+C32+T32</f>
        <v>592.11</v>
      </c>
      <c r="D33" s="17" t="n">
        <f aca="false">+Chạy!F45</f>
        <v>-9.16</v>
      </c>
      <c r="E33" s="17" t="n">
        <f aca="false">+D33+F33</f>
        <v>-9.1696</v>
      </c>
      <c r="F33" s="17" t="n">
        <f aca="false">RANDBETWEEN(-105,115)/10000</f>
        <v>-0.0096</v>
      </c>
      <c r="G33" s="17" t="n">
        <f aca="false">+Chạy!G45</f>
        <v>-1.35</v>
      </c>
      <c r="H33" s="17" t="n">
        <f aca="false">G33+I33</f>
        <v>-1.333</v>
      </c>
      <c r="I33" s="17" t="n">
        <f aca="false">RANDBETWEEN(-30,90)/1000</f>
        <v>0.017</v>
      </c>
      <c r="J33" s="17" t="n">
        <f aca="false">+Chạy!K45</f>
        <v>-1.35</v>
      </c>
      <c r="K33" s="17" t="n">
        <f aca="false">J33+L33</f>
        <v>-1.334</v>
      </c>
      <c r="L33" s="17" t="n">
        <f aca="false">RANDBETWEEN(-30,90)/1000</f>
        <v>0.016</v>
      </c>
      <c r="M33" s="17" t="n">
        <f aca="false">+Chạy!N45</f>
        <v>9.21</v>
      </c>
      <c r="N33" s="17" t="n">
        <f aca="false">+M33+O33</f>
        <v>9.2165</v>
      </c>
      <c r="O33" s="17" t="n">
        <f aca="false">RANDBETWEEN(-105,115)/10000</f>
        <v>0.0065</v>
      </c>
      <c r="P33" s="17" t="n">
        <f aca="false">+Chạy!O45</f>
        <v>-1.35</v>
      </c>
      <c r="Q33" s="17" t="n">
        <f aca="false">P33+R33</f>
        <v>-1.327</v>
      </c>
      <c r="R33" s="17" t="n">
        <f aca="false">RANDBETWEEN(-30,90)/1000</f>
        <v>0.023</v>
      </c>
      <c r="S33" s="18"/>
      <c r="T33" s="19" t="n">
        <v>17</v>
      </c>
    </row>
    <row r="34" customFormat="false" ht="15" hidden="false" customHeight="false" outlineLevel="0" collapsed="false">
      <c r="A34" s="14" t="n">
        <v>12</v>
      </c>
      <c r="B34" s="15" t="s">
        <v>27</v>
      </c>
      <c r="C34" s="16" t="n">
        <f aca="false">+C33+T33</f>
        <v>609.11</v>
      </c>
      <c r="D34" s="17" t="n">
        <f aca="false">+Chạy!F49</f>
        <v>-8.37</v>
      </c>
      <c r="E34" s="17" t="n">
        <f aca="false">+D34+F34</f>
        <v>-8.3787</v>
      </c>
      <c r="F34" s="17" t="n">
        <f aca="false">RANDBETWEEN(-105,115)/10000</f>
        <v>-0.0087</v>
      </c>
      <c r="G34" s="17" t="n">
        <f aca="false">+Chạy!G49</f>
        <v>-1.35</v>
      </c>
      <c r="H34" s="17" t="n">
        <f aca="false">G34+I34</f>
        <v>-1.292</v>
      </c>
      <c r="I34" s="17" t="n">
        <f aca="false">RANDBETWEEN(-30,90)/1000</f>
        <v>0.058</v>
      </c>
      <c r="J34" s="17" t="n">
        <f aca="false">+Chạy!K49</f>
        <v>-1.35</v>
      </c>
      <c r="K34" s="17" t="n">
        <f aca="false">J34+L34</f>
        <v>-1.324</v>
      </c>
      <c r="L34" s="17" t="n">
        <f aca="false">RANDBETWEEN(-30,90)/1000</f>
        <v>0.026</v>
      </c>
      <c r="M34" s="17" t="n">
        <f aca="false">+Chạy!N49</f>
        <v>8.23</v>
      </c>
      <c r="N34" s="17" t="n">
        <f aca="false">+M34+O34</f>
        <v>8.234</v>
      </c>
      <c r="O34" s="17" t="n">
        <f aca="false">RANDBETWEEN(-105,115)/10000</f>
        <v>0.004</v>
      </c>
      <c r="P34" s="17" t="n">
        <f aca="false">+Chạy!O49</f>
        <v>-1.35</v>
      </c>
      <c r="Q34" s="17" t="n">
        <f aca="false">P34+R34</f>
        <v>-1.324</v>
      </c>
      <c r="R34" s="17" t="n">
        <f aca="false">RANDBETWEEN(-30,90)/1000</f>
        <v>0.026</v>
      </c>
      <c r="S34" s="18"/>
      <c r="T34" s="19"/>
    </row>
    <row r="35" customFormat="false" ht="15" hidden="true" customHeight="false" outlineLevel="0" collapsed="false">
      <c r="A35" s="14"/>
      <c r="B35" s="15"/>
      <c r="C35" s="16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8"/>
      <c r="T35" s="19"/>
    </row>
    <row r="36" customFormat="false" ht="15" hidden="true" customHeight="false" outlineLevel="0" collapsed="false">
      <c r="A36" s="14"/>
      <c r="B36" s="15"/>
      <c r="C36" s="16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8"/>
      <c r="T36" s="19"/>
    </row>
    <row r="37" customFormat="false" ht="15" hidden="true" customHeight="false" outlineLevel="0" collapsed="false">
      <c r="A37" s="14"/>
      <c r="B37" s="15"/>
      <c r="C37" s="16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8"/>
      <c r="T37" s="19"/>
    </row>
    <row r="38" customFormat="false" ht="15" hidden="true" customHeight="false" outlineLevel="0" collapsed="false">
      <c r="A38" s="14"/>
      <c r="B38" s="15"/>
      <c r="C38" s="16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8"/>
      <c r="T38" s="19"/>
    </row>
    <row r="39" customFormat="false" ht="15" hidden="true" customHeight="false" outlineLevel="0" collapsed="false">
      <c r="A39" s="14"/>
      <c r="B39" s="15"/>
      <c r="C39" s="16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8"/>
      <c r="T39" s="19"/>
    </row>
    <row r="40" customFormat="false" ht="15" hidden="true" customHeight="false" outlineLevel="0" collapsed="false">
      <c r="A40" s="14"/>
      <c r="B40" s="15"/>
      <c r="C40" s="16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8"/>
      <c r="T40" s="19"/>
    </row>
    <row r="41" customFormat="false" ht="15" hidden="true" customHeight="false" outlineLevel="0" collapsed="false">
      <c r="A41" s="14"/>
      <c r="B41" s="15"/>
      <c r="C41" s="16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8"/>
      <c r="T41" s="19"/>
    </row>
    <row r="42" customFormat="false" ht="15" hidden="true" customHeight="false" outlineLevel="0" collapsed="false">
      <c r="A42" s="14"/>
      <c r="B42" s="15"/>
      <c r="C42" s="16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8"/>
      <c r="T42" s="19"/>
    </row>
    <row r="43" customFormat="false" ht="15" hidden="true" customHeight="false" outlineLevel="0" collapsed="false">
      <c r="A43" s="14"/>
      <c r="B43" s="15"/>
      <c r="C43" s="16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8"/>
      <c r="T43" s="19"/>
    </row>
    <row r="44" customFormat="false" ht="15" hidden="true" customHeight="false" outlineLevel="0" collapsed="false">
      <c r="A44" s="14"/>
      <c r="B44" s="15"/>
      <c r="C44" s="16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8"/>
      <c r="T44" s="19"/>
    </row>
    <row r="45" customFormat="false" ht="15" hidden="true" customHeight="false" outlineLevel="0" collapsed="false">
      <c r="A45" s="14"/>
      <c r="B45" s="15"/>
      <c r="C45" s="16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8"/>
      <c r="T45" s="19"/>
    </row>
    <row r="46" customFormat="false" ht="15" hidden="true" customHeight="false" outlineLevel="0" collapsed="false">
      <c r="A46" s="14"/>
      <c r="B46" s="15"/>
      <c r="C46" s="16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8"/>
      <c r="T46" s="19"/>
    </row>
    <row r="47" customFormat="false" ht="15" hidden="true" customHeight="false" outlineLevel="0" collapsed="false">
      <c r="A47" s="14"/>
      <c r="B47" s="15"/>
      <c r="C47" s="16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8"/>
      <c r="T47" s="19"/>
    </row>
    <row r="48" customFormat="false" ht="15" hidden="true" customHeight="false" outlineLevel="0" collapsed="false">
      <c r="A48" s="14"/>
      <c r="B48" s="15"/>
      <c r="C48" s="16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8"/>
      <c r="T48" s="19"/>
    </row>
    <row r="49" customFormat="false" ht="15" hidden="true" customHeight="false" outlineLevel="0" collapsed="false">
      <c r="A49" s="14"/>
      <c r="B49" s="15"/>
      <c r="C49" s="16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8"/>
      <c r="T49" s="19"/>
    </row>
    <row r="50" customFormat="false" ht="15" hidden="true" customHeight="false" outlineLevel="0" collapsed="false">
      <c r="A50" s="14"/>
      <c r="B50" s="15"/>
      <c r="C50" s="16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8"/>
      <c r="T50" s="19"/>
    </row>
    <row r="51" customFormat="false" ht="15" hidden="true" customHeight="false" outlineLevel="0" collapsed="false">
      <c r="A51" s="14"/>
      <c r="B51" s="15"/>
      <c r="C51" s="16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8"/>
      <c r="T51" s="19"/>
    </row>
    <row r="52" customFormat="false" ht="15" hidden="true" customHeight="false" outlineLevel="0" collapsed="false">
      <c r="A52" s="14"/>
      <c r="B52" s="15"/>
      <c r="C52" s="16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8"/>
      <c r="T52" s="19"/>
    </row>
    <row r="53" customFormat="false" ht="15" hidden="true" customHeight="false" outlineLevel="0" collapsed="false">
      <c r="A53" s="14"/>
      <c r="B53" s="15"/>
      <c r="C53" s="16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8"/>
      <c r="T53" s="19"/>
    </row>
    <row r="54" customFormat="false" ht="15" hidden="true" customHeight="false" outlineLevel="0" collapsed="false">
      <c r="A54" s="14"/>
      <c r="B54" s="15"/>
      <c r="C54" s="16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8"/>
      <c r="T54" s="19"/>
    </row>
    <row r="55" customFormat="false" ht="15" hidden="true" customHeight="false" outlineLevel="0" collapsed="false">
      <c r="A55" s="14"/>
      <c r="B55" s="15"/>
      <c r="C55" s="16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8"/>
      <c r="T55" s="19"/>
    </row>
    <row r="56" customFormat="false" ht="15" hidden="true" customHeight="false" outlineLevel="0" collapsed="false">
      <c r="A56" s="14"/>
      <c r="B56" s="15"/>
      <c r="C56" s="16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8"/>
      <c r="T56" s="19"/>
    </row>
    <row r="57" customFormat="false" ht="15" hidden="true" customHeight="false" outlineLevel="0" collapsed="false">
      <c r="A57" s="14"/>
      <c r="B57" s="15"/>
      <c r="C57" s="16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8"/>
      <c r="T57" s="19"/>
    </row>
    <row r="58" customFormat="false" ht="15" hidden="true" customHeight="false" outlineLevel="0" collapsed="false">
      <c r="A58" s="14"/>
      <c r="B58" s="15"/>
      <c r="C58" s="16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8"/>
      <c r="T58" s="19"/>
    </row>
    <row r="59" customFormat="false" ht="15" hidden="true" customHeight="false" outlineLevel="0" collapsed="false">
      <c r="A59" s="14"/>
      <c r="B59" s="15"/>
      <c r="C59" s="16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8"/>
      <c r="T59" s="19"/>
    </row>
    <row r="60" customFormat="false" ht="15" hidden="true" customHeight="false" outlineLevel="0" collapsed="false">
      <c r="A60" s="14"/>
      <c r="B60" s="15"/>
      <c r="C60" s="16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8"/>
      <c r="T60" s="19"/>
    </row>
    <row r="61" customFormat="false" ht="15" hidden="true" customHeight="false" outlineLevel="0" collapsed="false">
      <c r="A61" s="14"/>
      <c r="B61" s="15"/>
      <c r="C61" s="16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8"/>
      <c r="T61" s="19"/>
    </row>
    <row r="62" customFormat="false" ht="15" hidden="true" customHeight="false" outlineLevel="0" collapsed="false">
      <c r="A62" s="14"/>
      <c r="B62" s="15"/>
      <c r="C62" s="16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8"/>
      <c r="T62" s="19"/>
    </row>
    <row r="64" customFormat="false" ht="15" hidden="false" customHeight="false" outlineLevel="0" collapsed="false">
      <c r="C64" s="20" t="s">
        <v>50</v>
      </c>
      <c r="D64" s="20"/>
      <c r="E64" s="20"/>
      <c r="F64" s="20"/>
      <c r="G64" s="20"/>
      <c r="H64" s="20"/>
      <c r="I64" s="20"/>
      <c r="K64" s="21"/>
      <c r="L64" s="21"/>
      <c r="M64" s="21"/>
      <c r="N64" s="21"/>
      <c r="O64" s="20" t="s">
        <v>51</v>
      </c>
      <c r="P64" s="20"/>
      <c r="Q64" s="20"/>
      <c r="R64" s="20"/>
    </row>
    <row r="65" customFormat="false" ht="15" hidden="false" customHeight="false" outlineLevel="0" collapsed="false">
      <c r="E65" s="22"/>
      <c r="F65" s="22"/>
      <c r="G65" s="22"/>
      <c r="H65" s="22"/>
      <c r="K65" s="22"/>
      <c r="L65" s="22"/>
      <c r="M65" s="22"/>
      <c r="N65" s="22"/>
      <c r="O65" s="22"/>
      <c r="P65" s="22"/>
      <c r="Q65" s="22"/>
      <c r="R65" s="22"/>
    </row>
    <row r="66" customFormat="false" ht="15" hidden="false" customHeight="false" outlineLevel="0" collapsed="false">
      <c r="E66" s="22"/>
      <c r="F66" s="22"/>
      <c r="G66" s="22"/>
      <c r="H66" s="22"/>
      <c r="K66" s="22"/>
      <c r="L66" s="22"/>
      <c r="M66" s="22"/>
      <c r="N66" s="22"/>
      <c r="O66" s="22"/>
      <c r="P66" s="22"/>
      <c r="Q66" s="22"/>
      <c r="R66" s="22"/>
    </row>
    <row r="67" customFormat="false" ht="15" hidden="false" customHeight="false" outlineLevel="0" collapsed="false">
      <c r="E67" s="22"/>
      <c r="F67" s="22"/>
      <c r="G67" s="22"/>
      <c r="H67" s="22"/>
      <c r="K67" s="22"/>
      <c r="L67" s="22"/>
      <c r="M67" s="22"/>
      <c r="N67" s="22"/>
      <c r="O67" s="22"/>
      <c r="P67" s="22"/>
      <c r="Q67" s="22"/>
      <c r="R67" s="22"/>
    </row>
    <row r="68" customFormat="false" ht="15" hidden="false" customHeight="false" outlineLevel="0" collapsed="false">
      <c r="E68" s="22"/>
      <c r="F68" s="22"/>
      <c r="G68" s="22"/>
      <c r="H68" s="22"/>
      <c r="K68" s="22"/>
      <c r="L68" s="22"/>
      <c r="M68" s="22"/>
      <c r="N68" s="22"/>
      <c r="O68" s="22"/>
      <c r="P68" s="22"/>
      <c r="Q68" s="22"/>
      <c r="R68" s="22"/>
    </row>
    <row r="69" customFormat="false" ht="15" hidden="false" customHeight="false" outlineLevel="0" collapsed="false">
      <c r="C69" s="20" t="s">
        <v>52</v>
      </c>
      <c r="D69" s="20"/>
      <c r="E69" s="20"/>
      <c r="F69" s="20"/>
      <c r="G69" s="20"/>
      <c r="H69" s="20"/>
      <c r="I69" s="20"/>
      <c r="K69" s="21"/>
      <c r="L69" s="21"/>
      <c r="M69" s="21"/>
      <c r="N69" s="21"/>
      <c r="O69" s="20" t="s">
        <v>53</v>
      </c>
      <c r="P69" s="20"/>
      <c r="Q69" s="20"/>
      <c r="R69" s="20"/>
    </row>
  </sheetData>
  <mergeCells count="13">
    <mergeCell ref="A1:S1"/>
    <mergeCell ref="A2:S2"/>
    <mergeCell ref="A21:A22"/>
    <mergeCell ref="B21:B22"/>
    <mergeCell ref="C21:C22"/>
    <mergeCell ref="D21:I21"/>
    <mergeCell ref="J21:L21"/>
    <mergeCell ref="M21:R21"/>
    <mergeCell ref="S21:S22"/>
    <mergeCell ref="C64:I64"/>
    <mergeCell ref="O64:R64"/>
    <mergeCell ref="C69:I69"/>
    <mergeCell ref="O69:R69"/>
  </mergeCells>
  <printOptions headings="false" gridLines="false" gridLinesSet="true" horizontalCentered="true" verticalCentered="false"/>
  <pageMargins left="0.196527777777778" right="0.157638888888889" top="0.472222222222222" bottom="0.433333333333333" header="0.511811023622047" footer="0.157638888888889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W136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O20" activeCellId="0" sqref="O20"/>
    </sheetView>
  </sheetViews>
  <sheetFormatPr defaultColWidth="9.2890625" defaultRowHeight="12.75" zeroHeight="false" outlineLevelRow="0" outlineLevelCol="0"/>
  <cols>
    <col collapsed="false" customWidth="true" hidden="false" outlineLevel="0" max="1" min="1" style="23" width="6.71"/>
    <col collapsed="false" customWidth="true" hidden="false" outlineLevel="0" max="2" min="2" style="23" width="12.29"/>
    <col collapsed="false" customWidth="true" hidden="false" outlineLevel="0" max="3" min="3" style="23" width="19.57"/>
    <col collapsed="false" customWidth="true" hidden="false" outlineLevel="0" max="4" min="4" style="24" width="12.71"/>
    <col collapsed="false" customWidth="true" hidden="true" outlineLevel="0" max="6" min="5" style="24" width="8.42"/>
    <col collapsed="false" customWidth="true" hidden="true" outlineLevel="0" max="7" min="7" style="24" width="11"/>
    <col collapsed="false" customWidth="true" hidden="true" outlineLevel="0" max="12" min="8" style="24" width="8.42"/>
    <col collapsed="false" customWidth="true" hidden="true" outlineLevel="0" max="14" min="13" style="24" width="14.29"/>
    <col collapsed="false" customWidth="true" hidden="false" outlineLevel="0" max="15" min="15" style="24" width="15.42"/>
    <col collapsed="false" customWidth="true" hidden="true" outlineLevel="0" max="22" min="16" style="24" width="14.29"/>
    <col collapsed="false" customWidth="true" hidden="false" outlineLevel="0" max="23" min="23" style="24" width="15.29"/>
    <col collapsed="false" customWidth="true" hidden="true" outlineLevel="0" max="25" min="24" style="24" width="14.29"/>
    <col collapsed="false" customWidth="true" hidden="true" outlineLevel="0" max="27" min="26" style="24" width="12.86"/>
    <col collapsed="false" customWidth="true" hidden="false" outlineLevel="0" max="28" min="28" style="24" width="10.29"/>
    <col collapsed="false" customWidth="false" hidden="true" outlineLevel="0" max="29" min="29" style="24" width="9.29"/>
    <col collapsed="false" customWidth="false" hidden="false" outlineLevel="0" max="30" min="30" style="23" width="9.29"/>
    <col collapsed="false" customWidth="true" hidden="false" outlineLevel="0" max="31" min="31" style="23" width="11.85"/>
    <col collapsed="false" customWidth="true" hidden="false" outlineLevel="0" max="32" min="32" style="23" width="10.29"/>
    <col collapsed="false" customWidth="false" hidden="false" outlineLevel="0" max="33" min="33" style="23" width="9.29"/>
    <col collapsed="false" customWidth="true" hidden="false" outlineLevel="0" max="34" min="34" style="23" width="11.85"/>
    <col collapsed="false" customWidth="false" hidden="false" outlineLevel="0" max="16384" min="35" style="23" width="9.29"/>
  </cols>
  <sheetData>
    <row r="1" s="26" customFormat="true" ht="16.5" hidden="false" customHeight="true" outlineLevel="0" collapsed="false">
      <c r="A1" s="25" t="s">
        <v>54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D1" s="3"/>
      <c r="AE1" s="3"/>
    </row>
    <row r="2" s="26" customFormat="true" ht="18.75" hidden="false" customHeight="true" outlineLevel="0" collapsed="false">
      <c r="A2" s="27" t="str">
        <f>"Kèm theo BBNT số: "&amp;VLOOKUP(AZ2,'[1]Tuyến XD8'!$A$2:$G$60,7,0)&amp;VLOOKUP(AZ2,'[1]Tuyến XD8'!$A$2:$G$60,4,0)</f>
        <v xml:space="preserve">Kèm theo BBNT số: 60.NĐXD8/CVXD ngày 14 tháng 09 năm 2026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D2" s="6"/>
      <c r="AE2" s="7"/>
      <c r="AZ2">
        <v>60</v>
      </c>
    </row>
    <row r="3" s="30" customFormat="true" ht="37.5" hidden="false" customHeight="true" outlineLevel="0" collapsed="false">
      <c r="A3" s="28" t="s">
        <v>30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  <c r="BG3" s="29"/>
      <c r="BH3" s="29"/>
      <c r="BI3" s="29"/>
      <c r="BJ3" s="29"/>
      <c r="BK3" s="29"/>
      <c r="BL3" s="29"/>
      <c r="BM3" s="29"/>
      <c r="BN3" s="29"/>
      <c r="BO3" s="29"/>
      <c r="BP3" s="29"/>
      <c r="BQ3" s="29"/>
      <c r="BR3" s="29"/>
      <c r="BS3" s="29"/>
      <c r="BT3" s="29"/>
      <c r="BU3" s="29"/>
      <c r="BV3" s="29"/>
      <c r="BW3" s="29"/>
      <c r="BX3" s="29"/>
      <c r="BY3" s="29"/>
      <c r="BZ3" s="29"/>
      <c r="CA3" s="29"/>
      <c r="CB3" s="29"/>
      <c r="CC3" s="29"/>
      <c r="CD3" s="29"/>
      <c r="CE3" s="29"/>
      <c r="CF3" s="29"/>
      <c r="CG3" s="29"/>
      <c r="CH3" s="29"/>
      <c r="CI3" s="29"/>
      <c r="CJ3" s="29"/>
      <c r="CK3" s="29"/>
      <c r="CL3" s="29"/>
      <c r="CM3" s="29"/>
      <c r="CN3" s="29"/>
      <c r="CO3" s="29"/>
      <c r="CP3" s="29"/>
      <c r="CQ3" s="29"/>
      <c r="CR3" s="29"/>
      <c r="CS3" s="29"/>
      <c r="CT3" s="29"/>
      <c r="CU3" s="29"/>
      <c r="CV3" s="29"/>
      <c r="CW3" s="29"/>
      <c r="CX3" s="29"/>
      <c r="CY3" s="29"/>
      <c r="CZ3" s="29"/>
      <c r="DA3" s="29"/>
      <c r="DB3" s="29"/>
      <c r="DC3" s="29"/>
      <c r="DD3" s="29"/>
      <c r="DE3" s="29"/>
      <c r="DF3" s="29"/>
      <c r="DG3" s="29"/>
      <c r="DH3" s="29"/>
      <c r="DI3" s="29"/>
      <c r="DJ3" s="29"/>
      <c r="DK3" s="29"/>
      <c r="DL3" s="29"/>
      <c r="DM3" s="29"/>
      <c r="DN3" s="29"/>
      <c r="DO3" s="29"/>
      <c r="DP3" s="29"/>
      <c r="DQ3" s="29"/>
      <c r="DR3" s="29"/>
      <c r="DS3" s="29"/>
      <c r="DT3" s="29"/>
      <c r="DU3" s="29"/>
      <c r="DV3" s="29"/>
      <c r="DW3" s="29"/>
      <c r="DX3" s="29"/>
      <c r="DY3" s="29"/>
      <c r="DZ3" s="29"/>
      <c r="EA3" s="29"/>
      <c r="EB3" s="29"/>
      <c r="EC3" s="29"/>
      <c r="ED3" s="29"/>
      <c r="EE3" s="29"/>
      <c r="EF3" s="29"/>
      <c r="EG3" s="29"/>
      <c r="EH3" s="29"/>
      <c r="EI3" s="29"/>
      <c r="EJ3" s="29"/>
      <c r="EK3" s="29"/>
      <c r="EL3" s="29"/>
      <c r="EM3" s="29"/>
      <c r="EN3" s="29"/>
      <c r="EO3" s="29"/>
      <c r="EP3" s="29"/>
      <c r="EQ3" s="29"/>
      <c r="ER3" s="29"/>
      <c r="ES3" s="29"/>
      <c r="ET3" s="29"/>
      <c r="EU3" s="29"/>
      <c r="EV3" s="29"/>
      <c r="EW3" s="29"/>
      <c r="EX3" s="29"/>
      <c r="EY3" s="29"/>
      <c r="EZ3" s="29"/>
      <c r="FA3" s="29"/>
      <c r="FB3" s="29"/>
      <c r="FC3" s="29"/>
      <c r="FD3" s="29"/>
      <c r="FE3" s="29"/>
      <c r="FF3" s="29"/>
      <c r="FG3" s="29"/>
      <c r="FH3" s="29"/>
      <c r="FI3" s="29"/>
      <c r="FJ3" s="29"/>
      <c r="FK3" s="29"/>
      <c r="FL3" s="29"/>
      <c r="FM3" s="29"/>
      <c r="FN3" s="29"/>
      <c r="FO3" s="29"/>
      <c r="FP3" s="29"/>
      <c r="FQ3" s="29"/>
      <c r="FR3" s="29"/>
      <c r="FS3" s="29"/>
      <c r="FT3" s="29"/>
      <c r="FU3" s="29"/>
      <c r="FV3" s="29"/>
      <c r="FW3" s="29"/>
      <c r="FX3" s="29"/>
      <c r="FY3" s="29"/>
      <c r="FZ3" s="29"/>
      <c r="GA3" s="29"/>
      <c r="GB3" s="29"/>
      <c r="GC3" s="29"/>
      <c r="GD3" s="29"/>
      <c r="GE3" s="29"/>
      <c r="GF3" s="29"/>
      <c r="GG3" s="29"/>
      <c r="GH3" s="29"/>
      <c r="GI3" s="29"/>
      <c r="GJ3" s="29"/>
      <c r="GK3" s="29"/>
      <c r="GL3" s="29"/>
      <c r="GM3" s="29"/>
      <c r="GN3" s="29"/>
      <c r="GO3" s="29"/>
      <c r="GP3" s="29"/>
      <c r="GQ3" s="29"/>
      <c r="GR3" s="29"/>
      <c r="GS3" s="29"/>
      <c r="GT3" s="29"/>
      <c r="GU3" s="29"/>
      <c r="GV3" s="29"/>
      <c r="GW3" s="29"/>
      <c r="GX3" s="29"/>
      <c r="GY3" s="29"/>
      <c r="GZ3" s="29"/>
      <c r="HA3" s="29"/>
      <c r="HB3" s="29"/>
      <c r="HC3" s="29"/>
      <c r="HD3" s="29"/>
      <c r="HE3" s="29"/>
      <c r="HF3" s="29"/>
      <c r="HG3" s="29"/>
      <c r="HH3" s="29"/>
      <c r="HI3" s="29"/>
      <c r="HJ3" s="29"/>
      <c r="HK3" s="29"/>
      <c r="HL3" s="29"/>
      <c r="HM3" s="29"/>
      <c r="HN3" s="29"/>
      <c r="HO3" s="29"/>
      <c r="HP3" s="29"/>
      <c r="HQ3" s="29"/>
      <c r="HR3" s="29"/>
      <c r="HS3" s="29"/>
      <c r="HT3" s="29"/>
      <c r="HU3" s="29"/>
      <c r="HV3" s="29"/>
      <c r="HW3" s="29"/>
    </row>
    <row r="4" s="30" customFormat="true" ht="37.5" hidden="false" customHeight="true" outlineLevel="0" collapsed="false">
      <c r="A4" s="28" t="s">
        <v>31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29"/>
      <c r="EW4" s="29"/>
      <c r="EX4" s="29"/>
      <c r="EY4" s="29"/>
      <c r="EZ4" s="29"/>
      <c r="FA4" s="29"/>
      <c r="FB4" s="29"/>
      <c r="FC4" s="29"/>
      <c r="FD4" s="29"/>
      <c r="FE4" s="29"/>
      <c r="FF4" s="29"/>
      <c r="FG4" s="29"/>
      <c r="FH4" s="29"/>
      <c r="FI4" s="29"/>
      <c r="FJ4" s="29"/>
      <c r="FK4" s="29"/>
      <c r="FL4" s="29"/>
      <c r="FM4" s="29"/>
      <c r="FN4" s="29"/>
      <c r="FO4" s="29"/>
      <c r="FP4" s="29"/>
      <c r="FQ4" s="29"/>
      <c r="FR4" s="29"/>
      <c r="FS4" s="29"/>
      <c r="FT4" s="29"/>
      <c r="FU4" s="29"/>
      <c r="FV4" s="29"/>
      <c r="FW4" s="29"/>
      <c r="FX4" s="29"/>
      <c r="FY4" s="29"/>
      <c r="FZ4" s="29"/>
      <c r="GA4" s="29"/>
      <c r="GB4" s="29"/>
      <c r="GC4" s="29"/>
      <c r="GD4" s="29"/>
      <c r="GE4" s="29"/>
      <c r="GF4" s="29"/>
      <c r="GG4" s="29"/>
      <c r="GH4" s="29"/>
      <c r="GI4" s="29"/>
      <c r="GJ4" s="29"/>
      <c r="GK4" s="29"/>
      <c r="GL4" s="29"/>
      <c r="GM4" s="29"/>
      <c r="GN4" s="29"/>
      <c r="GO4" s="29"/>
      <c r="GP4" s="29"/>
      <c r="GQ4" s="29"/>
      <c r="GR4" s="29"/>
      <c r="GS4" s="29"/>
      <c r="GT4" s="29"/>
      <c r="GU4" s="29"/>
      <c r="GV4" s="29"/>
      <c r="GW4" s="29"/>
      <c r="GX4" s="29"/>
      <c r="GY4" s="29"/>
      <c r="GZ4" s="29"/>
      <c r="HA4" s="29"/>
      <c r="HB4" s="29"/>
      <c r="HC4" s="29"/>
      <c r="HD4" s="29"/>
      <c r="HE4" s="29"/>
      <c r="HF4" s="29"/>
      <c r="HG4" s="29"/>
      <c r="HH4" s="29"/>
      <c r="HI4" s="29"/>
      <c r="HJ4" s="29"/>
      <c r="HK4" s="29"/>
      <c r="HL4" s="29"/>
      <c r="HM4" s="29"/>
      <c r="HN4" s="29"/>
      <c r="HO4" s="29"/>
      <c r="HP4" s="29"/>
      <c r="HQ4" s="29"/>
      <c r="HR4" s="29"/>
      <c r="HS4" s="29"/>
      <c r="HT4" s="29"/>
      <c r="HU4" s="29"/>
      <c r="HV4" s="29"/>
      <c r="HW4" s="29"/>
    </row>
    <row r="5" s="30" customFormat="true" ht="16.5" hidden="false" customHeight="true" outlineLevel="0" collapsed="false">
      <c r="A5" s="28" t="s">
        <v>32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</row>
    <row r="6" s="30" customFormat="true" ht="16.5" hidden="false" customHeight="true" outlineLevel="0" collapsed="false">
      <c r="A6" s="28" t="s">
        <v>33</v>
      </c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  <c r="EY6" s="29"/>
      <c r="EZ6" s="29"/>
      <c r="FA6" s="29"/>
      <c r="FB6" s="29"/>
      <c r="FC6" s="29"/>
      <c r="FD6" s="29"/>
      <c r="FE6" s="29"/>
      <c r="FF6" s="29"/>
      <c r="FG6" s="29"/>
      <c r="FH6" s="29"/>
      <c r="FI6" s="29"/>
      <c r="FJ6" s="29"/>
      <c r="FK6" s="29"/>
      <c r="FL6" s="29"/>
      <c r="FM6" s="29"/>
      <c r="FN6" s="29"/>
      <c r="FO6" s="29"/>
      <c r="FP6" s="29"/>
      <c r="FQ6" s="29"/>
      <c r="FR6" s="29"/>
      <c r="FS6" s="29"/>
      <c r="FT6" s="29"/>
      <c r="FU6" s="29"/>
      <c r="FV6" s="29"/>
      <c r="FW6" s="29"/>
      <c r="FX6" s="29"/>
      <c r="FY6" s="29"/>
      <c r="FZ6" s="29"/>
      <c r="GA6" s="29"/>
      <c r="GB6" s="29"/>
      <c r="GC6" s="29"/>
      <c r="GD6" s="29"/>
      <c r="GE6" s="29"/>
      <c r="GF6" s="29"/>
      <c r="GG6" s="29"/>
      <c r="GH6" s="29"/>
      <c r="GI6" s="29"/>
      <c r="GJ6" s="29"/>
      <c r="GK6" s="29"/>
      <c r="GL6" s="29"/>
      <c r="GM6" s="29"/>
      <c r="GN6" s="29"/>
      <c r="GO6" s="29"/>
      <c r="GP6" s="29"/>
      <c r="GQ6" s="29"/>
      <c r="GR6" s="29"/>
      <c r="GS6" s="29"/>
      <c r="GT6" s="29"/>
      <c r="GU6" s="29"/>
      <c r="GV6" s="29"/>
      <c r="GW6" s="29"/>
      <c r="GX6" s="29"/>
      <c r="GY6" s="29"/>
      <c r="GZ6" s="29"/>
      <c r="HA6" s="29"/>
      <c r="HB6" s="29"/>
      <c r="HC6" s="29"/>
      <c r="HD6" s="29"/>
      <c r="HE6" s="29"/>
      <c r="HF6" s="29"/>
      <c r="HG6" s="29"/>
      <c r="HH6" s="29"/>
      <c r="HI6" s="29"/>
      <c r="HJ6" s="29"/>
      <c r="HK6" s="29"/>
      <c r="HL6" s="29"/>
      <c r="HM6" s="29"/>
      <c r="HN6" s="29"/>
      <c r="HO6" s="29"/>
      <c r="HP6" s="29"/>
      <c r="HQ6" s="29"/>
      <c r="HR6" s="29"/>
      <c r="HS6" s="29"/>
      <c r="HT6" s="29"/>
      <c r="HU6" s="29"/>
      <c r="HV6" s="29"/>
      <c r="HW6" s="29"/>
    </row>
    <row r="7" s="30" customFormat="true" ht="31.5" hidden="false" customHeight="true" outlineLevel="0" collapsed="false">
      <c r="A7" s="31" t="s">
        <v>34</v>
      </c>
      <c r="B7" s="32"/>
      <c r="D7" s="33" t="str">
        <f>VLOOKUP(AZ2,'[1]Tuyến XD8'!$A$2:$B$60,2,0)</f>
        <v xml:space="preserve">Đắp cát nền đường lớp 1 đoạn từ Km0+489,19 - Km0+609,11, độ chặt K&gt;=0,95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  <c r="EX7" s="29"/>
      <c r="EY7" s="29"/>
      <c r="EZ7" s="29"/>
      <c r="FA7" s="29"/>
      <c r="FB7" s="29"/>
      <c r="FC7" s="29"/>
      <c r="FD7" s="29"/>
      <c r="FE7" s="29"/>
      <c r="FF7" s="29"/>
      <c r="FG7" s="29"/>
      <c r="FH7" s="29"/>
      <c r="FI7" s="29"/>
      <c r="FJ7" s="29"/>
      <c r="FK7" s="29"/>
      <c r="FL7" s="29"/>
      <c r="FM7" s="29"/>
      <c r="FN7" s="29"/>
      <c r="FO7" s="29"/>
      <c r="FP7" s="29"/>
      <c r="FQ7" s="29"/>
      <c r="FR7" s="29"/>
      <c r="FS7" s="29"/>
      <c r="FT7" s="29"/>
      <c r="FU7" s="29"/>
      <c r="FV7" s="29"/>
      <c r="FW7" s="29"/>
      <c r="FX7" s="29"/>
      <c r="FY7" s="29"/>
      <c r="FZ7" s="29"/>
      <c r="GA7" s="29"/>
      <c r="GB7" s="29"/>
      <c r="GC7" s="29"/>
      <c r="GD7" s="29"/>
      <c r="GE7" s="29"/>
      <c r="GF7" s="29"/>
      <c r="GG7" s="29"/>
      <c r="GH7" s="29"/>
      <c r="GI7" s="29"/>
      <c r="GJ7" s="29"/>
      <c r="GK7" s="29"/>
      <c r="GL7" s="29"/>
      <c r="GM7" s="29"/>
      <c r="GN7" s="29"/>
      <c r="GO7" s="29"/>
      <c r="GP7" s="29"/>
      <c r="GQ7" s="29"/>
      <c r="GR7" s="29"/>
      <c r="GS7" s="29"/>
      <c r="GT7" s="29"/>
      <c r="GU7" s="29"/>
      <c r="GV7" s="29"/>
      <c r="GW7" s="29"/>
      <c r="GX7" s="29"/>
      <c r="GY7" s="29"/>
      <c r="GZ7" s="29"/>
      <c r="HA7" s="29"/>
      <c r="HB7" s="29"/>
      <c r="HC7" s="29"/>
      <c r="HD7" s="29"/>
      <c r="HE7" s="29"/>
      <c r="HF7" s="29"/>
      <c r="HG7" s="29"/>
      <c r="HH7" s="29"/>
      <c r="HI7" s="29"/>
      <c r="HJ7" s="29"/>
      <c r="HK7" s="29"/>
      <c r="HL7" s="29"/>
      <c r="HM7" s="29"/>
      <c r="HN7" s="29"/>
      <c r="HO7" s="29"/>
      <c r="HP7" s="29"/>
      <c r="HQ7" s="29"/>
      <c r="HR7" s="29"/>
      <c r="HS7" s="29"/>
      <c r="HT7" s="29"/>
      <c r="HU7" s="29"/>
      <c r="HV7" s="29"/>
      <c r="HW7" s="29"/>
    </row>
    <row r="8" s="29" customFormat="true" ht="6.75" hidden="false" customHeight="true" outlineLevel="0" collapsed="false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</row>
    <row r="9" s="41" customFormat="true" ht="22.5" hidden="false" customHeight="true" outlineLevel="0" collapsed="false">
      <c r="A9" s="35" t="s">
        <v>0</v>
      </c>
      <c r="B9" s="35" t="s">
        <v>38</v>
      </c>
      <c r="C9" s="35" t="s">
        <v>39</v>
      </c>
      <c r="D9" s="36" t="s">
        <v>55</v>
      </c>
      <c r="E9" s="37"/>
      <c r="F9" s="37"/>
      <c r="G9" s="36"/>
      <c r="H9" s="37"/>
      <c r="I9" s="37"/>
      <c r="J9" s="37"/>
      <c r="K9" s="37"/>
      <c r="L9" s="37"/>
      <c r="M9" s="38" t="s">
        <v>56</v>
      </c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9"/>
      <c r="AA9" s="39"/>
      <c r="AB9" s="36" t="s">
        <v>43</v>
      </c>
      <c r="AC9" s="40"/>
    </row>
    <row r="10" s="45" customFormat="true" ht="28.5" hidden="false" customHeight="true" outlineLevel="0" collapsed="false">
      <c r="A10" s="35"/>
      <c r="B10" s="35"/>
      <c r="C10" s="35"/>
      <c r="D10" s="35"/>
      <c r="E10" s="38"/>
      <c r="F10" s="38"/>
      <c r="G10" s="38"/>
      <c r="H10" s="38"/>
      <c r="I10" s="38"/>
      <c r="J10" s="38"/>
      <c r="K10" s="38"/>
      <c r="L10" s="38"/>
      <c r="M10" s="38"/>
      <c r="N10" s="38" t="s">
        <v>57</v>
      </c>
      <c r="O10" s="38" t="s">
        <v>58</v>
      </c>
      <c r="P10" s="38" t="s">
        <v>57</v>
      </c>
      <c r="Q10" s="38" t="s">
        <v>57</v>
      </c>
      <c r="R10" s="38"/>
      <c r="S10" s="38"/>
      <c r="T10" s="38"/>
      <c r="U10" s="38" t="s">
        <v>59</v>
      </c>
      <c r="V10" s="38" t="s">
        <v>59</v>
      </c>
      <c r="W10" s="38" t="s">
        <v>60</v>
      </c>
      <c r="X10" s="38" t="s">
        <v>59</v>
      </c>
      <c r="Y10" s="38" t="s">
        <v>59</v>
      </c>
      <c r="Z10" s="42"/>
      <c r="AA10" s="42"/>
      <c r="AB10" s="36"/>
      <c r="AC10" s="43"/>
      <c r="AD10" s="44"/>
      <c r="AE10" s="44"/>
    </row>
    <row r="11" s="45" customFormat="true" ht="15" hidden="false" customHeight="true" outlineLevel="0" collapsed="false">
      <c r="A11" s="14" t="n">
        <v>1</v>
      </c>
      <c r="B11" s="14" t="str">
        <f aca="false">'1.KTHH L1'!B23</f>
        <v>25</v>
      </c>
      <c r="C11" s="16" t="n">
        <f aca="false">'1.KTHH L1'!C23</f>
        <v>489.19</v>
      </c>
      <c r="D11" s="14" t="n">
        <f aca="false">'1.KTHH L1'!T23</f>
        <v>13.17</v>
      </c>
      <c r="E11" s="46"/>
      <c r="F11" s="46"/>
      <c r="G11" s="46"/>
      <c r="H11" s="46"/>
      <c r="I11" s="46"/>
      <c r="J11" s="46"/>
      <c r="K11" s="47"/>
      <c r="L11" s="17"/>
      <c r="M11" s="18"/>
      <c r="N11" s="48"/>
      <c r="O11" s="49" t="n">
        <f aca="false">Chạy!E5</f>
        <v>1.38</v>
      </c>
      <c r="P11" s="47"/>
      <c r="Q11" s="47"/>
      <c r="R11" s="50"/>
      <c r="S11" s="50"/>
      <c r="T11" s="50"/>
      <c r="U11" s="50"/>
      <c r="V11" s="50"/>
      <c r="W11" s="50" t="n">
        <f aca="false">(O11+O12)*D11/2</f>
        <v>21.53295</v>
      </c>
      <c r="X11" s="50"/>
      <c r="Y11" s="50"/>
      <c r="Z11" s="50"/>
      <c r="AA11" s="50"/>
      <c r="AB11" s="51"/>
      <c r="AC11" s="50"/>
      <c r="AE11" s="52"/>
    </row>
    <row r="12" s="45" customFormat="true" ht="15" hidden="false" customHeight="true" outlineLevel="0" collapsed="false">
      <c r="A12" s="14" t="n">
        <v>2</v>
      </c>
      <c r="B12" s="14" t="str">
        <f aca="false">'1.KTHH L1'!B24</f>
        <v>D1</v>
      </c>
      <c r="C12" s="16" t="n">
        <f aca="false">'1.KTHH L1'!C24</f>
        <v>502.36</v>
      </c>
      <c r="D12" s="14" t="n">
        <f aca="false">'1.KTHH L1'!T24</f>
        <v>10.48</v>
      </c>
      <c r="E12" s="46"/>
      <c r="F12" s="46"/>
      <c r="G12" s="46"/>
      <c r="H12" s="46"/>
      <c r="I12" s="46"/>
      <c r="J12" s="46"/>
      <c r="K12" s="47"/>
      <c r="L12" s="17"/>
      <c r="M12" s="18"/>
      <c r="N12" s="48"/>
      <c r="O12" s="49" t="n">
        <f aca="false">Chạy!E9</f>
        <v>1.89</v>
      </c>
      <c r="P12" s="47"/>
      <c r="Q12" s="47"/>
      <c r="R12" s="50"/>
      <c r="S12" s="50"/>
      <c r="T12" s="50"/>
      <c r="U12" s="50"/>
      <c r="V12" s="50"/>
      <c r="W12" s="50" t="n">
        <f aca="false">(O12+O13)*D12/2</f>
        <v>19.4928</v>
      </c>
      <c r="X12" s="50"/>
      <c r="Y12" s="50"/>
      <c r="Z12" s="50"/>
      <c r="AA12" s="50"/>
      <c r="AB12" s="51"/>
      <c r="AC12" s="50"/>
      <c r="AE12" s="52"/>
    </row>
    <row r="13" s="45" customFormat="true" ht="15" hidden="false" customHeight="true" outlineLevel="0" collapsed="false">
      <c r="A13" s="14" t="n">
        <v>3</v>
      </c>
      <c r="B13" s="14" t="str">
        <f aca="false">'1.KTHH L1'!B25</f>
        <v>26</v>
      </c>
      <c r="C13" s="16" t="n">
        <f aca="false">'1.KTHH L1'!C25</f>
        <v>512.84</v>
      </c>
      <c r="D13" s="14" t="n">
        <f aca="false">'1.KTHH L1'!T25</f>
        <v>16.78</v>
      </c>
      <c r="E13" s="46"/>
      <c r="F13" s="46"/>
      <c r="G13" s="46"/>
      <c r="H13" s="46"/>
      <c r="I13" s="46"/>
      <c r="J13" s="46"/>
      <c r="K13" s="47"/>
      <c r="L13" s="17"/>
      <c r="M13" s="18"/>
      <c r="N13" s="48"/>
      <c r="O13" s="49" t="n">
        <f aca="false">Chạy!E13</f>
        <v>1.83</v>
      </c>
      <c r="P13" s="47"/>
      <c r="Q13" s="47"/>
      <c r="R13" s="50"/>
      <c r="S13" s="50"/>
      <c r="T13" s="50"/>
      <c r="U13" s="50"/>
      <c r="V13" s="50"/>
      <c r="W13" s="50" t="n">
        <f aca="false">(O13+O14)*D13/2</f>
        <v>31.2108</v>
      </c>
      <c r="X13" s="50"/>
      <c r="Y13" s="50"/>
      <c r="Z13" s="50"/>
      <c r="AA13" s="50"/>
      <c r="AB13" s="51"/>
      <c r="AC13" s="50"/>
      <c r="AE13" s="52"/>
    </row>
    <row r="14" s="45" customFormat="true" ht="15" hidden="false" customHeight="true" outlineLevel="0" collapsed="false">
      <c r="A14" s="14" t="n">
        <v>4</v>
      </c>
      <c r="B14" s="14" t="str">
        <f aca="false">'1.KTHH L1'!B26</f>
        <v>27</v>
      </c>
      <c r="C14" s="16" t="n">
        <f aca="false">'1.KTHH L1'!C26</f>
        <v>529.62</v>
      </c>
      <c r="D14" s="14" t="n">
        <f aca="false">'1.KTHH L1'!T26</f>
        <v>17.1</v>
      </c>
      <c r="E14" s="46"/>
      <c r="F14" s="46"/>
      <c r="G14" s="46"/>
      <c r="H14" s="46"/>
      <c r="I14" s="46"/>
      <c r="J14" s="46"/>
      <c r="K14" s="47"/>
      <c r="L14" s="17"/>
      <c r="M14" s="18"/>
      <c r="N14" s="48"/>
      <c r="O14" s="49" t="n">
        <f aca="false">Chạy!E17</f>
        <v>1.89</v>
      </c>
      <c r="P14" s="47"/>
      <c r="Q14" s="47"/>
      <c r="R14" s="50"/>
      <c r="S14" s="50"/>
      <c r="T14" s="50"/>
      <c r="U14" s="50"/>
      <c r="V14" s="50"/>
      <c r="W14" s="50" t="n">
        <f aca="false">(O14+O15)*D14/2</f>
        <v>27.9585</v>
      </c>
      <c r="X14" s="50"/>
      <c r="Y14" s="50"/>
      <c r="Z14" s="50"/>
      <c r="AA14" s="50"/>
      <c r="AB14" s="51"/>
      <c r="AC14" s="50"/>
      <c r="AE14" s="52"/>
    </row>
    <row r="15" s="45" customFormat="true" ht="15" hidden="false" customHeight="true" outlineLevel="0" collapsed="false">
      <c r="A15" s="14" t="n">
        <v>5</v>
      </c>
      <c r="B15" s="14" t="str">
        <f aca="false">'1.KTHH L1'!B27</f>
        <v>28</v>
      </c>
      <c r="C15" s="16" t="n">
        <f aca="false">'1.KTHH L1'!C27</f>
        <v>546.72</v>
      </c>
      <c r="D15" s="14" t="n">
        <f aca="false">'1.KTHH L1'!T27</f>
        <v>15.15</v>
      </c>
      <c r="E15" s="46"/>
      <c r="F15" s="46"/>
      <c r="G15" s="46"/>
      <c r="H15" s="46"/>
      <c r="I15" s="46"/>
      <c r="J15" s="46"/>
      <c r="K15" s="47"/>
      <c r="L15" s="17"/>
      <c r="M15" s="18"/>
      <c r="N15" s="48"/>
      <c r="O15" s="49" t="n">
        <f aca="false">Chạy!E21</f>
        <v>1.38</v>
      </c>
      <c r="P15" s="47"/>
      <c r="Q15" s="47"/>
      <c r="R15" s="50"/>
      <c r="S15" s="50"/>
      <c r="T15" s="50"/>
      <c r="U15" s="50"/>
      <c r="V15" s="50"/>
      <c r="W15" s="50" t="n">
        <f aca="false">(O15+O16)*D15/2</f>
        <v>24.24</v>
      </c>
      <c r="X15" s="50"/>
      <c r="Y15" s="50"/>
      <c r="Z15" s="50"/>
      <c r="AA15" s="50"/>
      <c r="AB15" s="51"/>
      <c r="AC15" s="50"/>
      <c r="AE15" s="52"/>
    </row>
    <row r="16" s="45" customFormat="true" ht="15" hidden="false" customHeight="true" outlineLevel="0" collapsed="false">
      <c r="A16" s="14" t="n">
        <v>6</v>
      </c>
      <c r="B16" s="14" t="str">
        <f aca="false">'1.KTHH L1'!B28</f>
        <v>E5</v>
      </c>
      <c r="C16" s="16" t="n">
        <f aca="false">'1.KTHH L1'!C28</f>
        <v>561.87</v>
      </c>
      <c r="D16" s="14" t="n">
        <f aca="false">'1.KTHH L1'!T28</f>
        <v>0.15</v>
      </c>
      <c r="E16" s="46"/>
      <c r="F16" s="46"/>
      <c r="G16" s="46"/>
      <c r="H16" s="46"/>
      <c r="I16" s="46"/>
      <c r="J16" s="46"/>
      <c r="K16" s="47"/>
      <c r="L16" s="17"/>
      <c r="M16" s="18"/>
      <c r="N16" s="48"/>
      <c r="O16" s="49" t="n">
        <f aca="false">Chạy!E25</f>
        <v>1.82</v>
      </c>
      <c r="P16" s="47"/>
      <c r="Q16" s="47"/>
      <c r="R16" s="50"/>
      <c r="S16" s="50"/>
      <c r="T16" s="50"/>
      <c r="U16" s="50"/>
      <c r="V16" s="50"/>
      <c r="W16" s="50" t="n">
        <f aca="false">(O16+O17)*D16/2</f>
        <v>0.273</v>
      </c>
      <c r="X16" s="50"/>
      <c r="Y16" s="50"/>
      <c r="Z16" s="50"/>
      <c r="AA16" s="50"/>
      <c r="AB16" s="51"/>
      <c r="AC16" s="50"/>
      <c r="AE16" s="52"/>
    </row>
    <row r="17" s="45" customFormat="true" ht="15" hidden="false" customHeight="true" outlineLevel="0" collapsed="false">
      <c r="A17" s="14" t="n">
        <v>7</v>
      </c>
      <c r="B17" s="14" t="str">
        <f aca="false">'1.KTHH L1'!B29</f>
        <v>TD</v>
      </c>
      <c r="C17" s="16" t="n">
        <f aca="false">'1.KTHH L1'!C29</f>
        <v>562.02</v>
      </c>
      <c r="D17" s="14" t="n">
        <f aca="false">'1.KTHH L1'!T29</f>
        <v>6.55</v>
      </c>
      <c r="E17" s="46"/>
      <c r="F17" s="46"/>
      <c r="G17" s="46"/>
      <c r="H17" s="46"/>
      <c r="I17" s="46"/>
      <c r="J17" s="46"/>
      <c r="K17" s="47"/>
      <c r="L17" s="17"/>
      <c r="M17" s="18"/>
      <c r="N17" s="48"/>
      <c r="O17" s="49" t="n">
        <f aca="false">Chạy!E29</f>
        <v>1.82</v>
      </c>
      <c r="P17" s="47"/>
      <c r="Q17" s="47"/>
      <c r="R17" s="50"/>
      <c r="S17" s="50"/>
      <c r="T17" s="50"/>
      <c r="U17" s="50"/>
      <c r="V17" s="50"/>
      <c r="W17" s="50" t="n">
        <f aca="false">(O17+O18)*D17/2</f>
        <v>12.08475</v>
      </c>
      <c r="X17" s="50"/>
      <c r="Y17" s="50"/>
      <c r="Z17" s="50"/>
      <c r="AA17" s="50"/>
      <c r="AB17" s="51"/>
      <c r="AC17" s="50"/>
      <c r="AE17" s="52"/>
    </row>
    <row r="18" s="45" customFormat="true" ht="15" hidden="false" customHeight="true" outlineLevel="0" collapsed="false">
      <c r="A18" s="14" t="n">
        <v>8</v>
      </c>
      <c r="B18" s="14" t="str">
        <f aca="false">'1.KTHH L1'!B30</f>
        <v>P</v>
      </c>
      <c r="C18" s="16" t="n">
        <f aca="false">'1.KTHH L1'!C30</f>
        <v>568.57</v>
      </c>
      <c r="D18" s="14" t="n">
        <f aca="false">'1.KTHH L1'!T30</f>
        <v>6.55</v>
      </c>
      <c r="E18" s="46"/>
      <c r="F18" s="46"/>
      <c r="G18" s="46"/>
      <c r="H18" s="46"/>
      <c r="I18" s="46"/>
      <c r="J18" s="46"/>
      <c r="K18" s="47"/>
      <c r="L18" s="17"/>
      <c r="M18" s="18"/>
      <c r="N18" s="48"/>
      <c r="O18" s="49" t="n">
        <f aca="false">Chạy!E33</f>
        <v>1.87</v>
      </c>
      <c r="P18" s="47"/>
      <c r="Q18" s="47"/>
      <c r="R18" s="50"/>
      <c r="S18" s="50"/>
      <c r="T18" s="50"/>
      <c r="U18" s="50"/>
      <c r="V18" s="50"/>
      <c r="W18" s="50" t="n">
        <f aca="false">(O18+O19)*D18/2</f>
        <v>11.8555</v>
      </c>
      <c r="X18" s="50"/>
      <c r="Y18" s="50"/>
      <c r="Z18" s="50"/>
      <c r="AA18" s="50"/>
      <c r="AB18" s="51"/>
      <c r="AC18" s="50"/>
      <c r="AE18" s="52"/>
    </row>
    <row r="19" s="45" customFormat="true" ht="15" hidden="false" customHeight="true" outlineLevel="0" collapsed="false">
      <c r="A19" s="14" t="n">
        <v>9</v>
      </c>
      <c r="B19" s="14" t="str">
        <f aca="false">'1.KTHH L1'!B31</f>
        <v>TC</v>
      </c>
      <c r="C19" s="16" t="n">
        <f aca="false">'1.KTHH L1'!C31</f>
        <v>575.12</v>
      </c>
      <c r="D19" s="14" t="n">
        <f aca="false">'1.KTHH L1'!T31</f>
        <v>0.04</v>
      </c>
      <c r="E19" s="46"/>
      <c r="F19" s="46"/>
      <c r="G19" s="46"/>
      <c r="H19" s="46"/>
      <c r="I19" s="46"/>
      <c r="J19" s="46"/>
      <c r="K19" s="47"/>
      <c r="L19" s="17"/>
      <c r="M19" s="18"/>
      <c r="N19" s="48"/>
      <c r="O19" s="49" t="n">
        <f aca="false">Chạy!E37</f>
        <v>1.75</v>
      </c>
      <c r="P19" s="47"/>
      <c r="Q19" s="47"/>
      <c r="R19" s="50"/>
      <c r="S19" s="50"/>
      <c r="T19" s="50"/>
      <c r="U19" s="50"/>
      <c r="V19" s="50"/>
      <c r="W19" s="50" t="n">
        <f aca="false">(O19+O20)*D19/2</f>
        <v>0.0696</v>
      </c>
      <c r="X19" s="50"/>
      <c r="Y19" s="50"/>
      <c r="Z19" s="50"/>
      <c r="AA19" s="50"/>
      <c r="AB19" s="51"/>
      <c r="AC19" s="50"/>
      <c r="AE19" s="52"/>
    </row>
    <row r="20" s="45" customFormat="true" ht="15" hidden="false" customHeight="true" outlineLevel="0" collapsed="false">
      <c r="A20" s="14" t="n">
        <v>10</v>
      </c>
      <c r="B20" s="14" t="str">
        <f aca="false">'1.KTHH L1'!B32</f>
        <v>29</v>
      </c>
      <c r="C20" s="16" t="n">
        <f aca="false">'1.KTHH L1'!C32</f>
        <v>575.16</v>
      </c>
      <c r="D20" s="14" t="n">
        <f aca="false">'1.KTHH L1'!T32</f>
        <v>16.95</v>
      </c>
      <c r="E20" s="46"/>
      <c r="F20" s="46"/>
      <c r="G20" s="46"/>
      <c r="H20" s="46"/>
      <c r="I20" s="46"/>
      <c r="J20" s="46"/>
      <c r="K20" s="47"/>
      <c r="L20" s="17"/>
      <c r="M20" s="18"/>
      <c r="N20" s="48"/>
      <c r="O20" s="49" t="n">
        <f aca="false">Chạy!E41</f>
        <v>1.73</v>
      </c>
      <c r="P20" s="47"/>
      <c r="Q20" s="47"/>
      <c r="R20" s="50"/>
      <c r="S20" s="50"/>
      <c r="T20" s="50"/>
      <c r="U20" s="50"/>
      <c r="V20" s="50"/>
      <c r="W20" s="50" t="n">
        <f aca="false">(O20+O21)*D20/2</f>
        <v>30.171</v>
      </c>
      <c r="X20" s="50"/>
      <c r="Y20" s="50"/>
      <c r="Z20" s="50"/>
      <c r="AA20" s="50"/>
      <c r="AB20" s="51"/>
      <c r="AC20" s="50"/>
      <c r="AE20" s="52"/>
    </row>
    <row r="21" s="45" customFormat="true" ht="15" hidden="false" customHeight="true" outlineLevel="0" collapsed="false">
      <c r="A21" s="14" t="n">
        <v>11</v>
      </c>
      <c r="B21" s="14" t="str">
        <f aca="false">'1.KTHH L1'!B33</f>
        <v>30</v>
      </c>
      <c r="C21" s="16" t="n">
        <f aca="false">'1.KTHH L1'!C33</f>
        <v>592.11</v>
      </c>
      <c r="D21" s="14" t="n">
        <f aca="false">'1.KTHH L1'!T33</f>
        <v>17</v>
      </c>
      <c r="E21" s="46"/>
      <c r="F21" s="46"/>
      <c r="G21" s="46"/>
      <c r="H21" s="46"/>
      <c r="I21" s="46"/>
      <c r="J21" s="46"/>
      <c r="K21" s="47"/>
      <c r="L21" s="17"/>
      <c r="M21" s="18"/>
      <c r="N21" s="48"/>
      <c r="O21" s="49" t="n">
        <f aca="false">Chạy!E45</f>
        <v>1.83</v>
      </c>
      <c r="P21" s="47"/>
      <c r="Q21" s="47"/>
      <c r="R21" s="50"/>
      <c r="S21" s="50"/>
      <c r="T21" s="50"/>
      <c r="U21" s="50"/>
      <c r="V21" s="50"/>
      <c r="W21" s="50" t="n">
        <f aca="false">(O21+O22)*D21/2</f>
        <v>29.58</v>
      </c>
      <c r="X21" s="50"/>
      <c r="Y21" s="50"/>
      <c r="Z21" s="50"/>
      <c r="AA21" s="50"/>
      <c r="AB21" s="51"/>
      <c r="AC21" s="50"/>
      <c r="AE21" s="52"/>
    </row>
    <row r="22" s="45" customFormat="true" ht="15" hidden="false" customHeight="true" outlineLevel="0" collapsed="false">
      <c r="A22" s="14" t="n">
        <v>12</v>
      </c>
      <c r="B22" s="14" t="str">
        <f aca="false">'1.KTHH L1'!B34</f>
        <v>31</v>
      </c>
      <c r="C22" s="16" t="n">
        <f aca="false">'1.KTHH L1'!C34</f>
        <v>609.11</v>
      </c>
      <c r="D22" s="14"/>
      <c r="E22" s="46"/>
      <c r="F22" s="46"/>
      <c r="G22" s="46"/>
      <c r="H22" s="46"/>
      <c r="I22" s="46"/>
      <c r="J22" s="46"/>
      <c r="K22" s="47"/>
      <c r="L22" s="17"/>
      <c r="M22" s="18"/>
      <c r="N22" s="48"/>
      <c r="O22" s="49" t="n">
        <f aca="false">Chạy!E49</f>
        <v>1.65</v>
      </c>
      <c r="P22" s="47"/>
      <c r="Q22" s="47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1"/>
      <c r="AC22" s="50"/>
      <c r="AE22" s="52"/>
    </row>
    <row r="23" s="45" customFormat="true" ht="15" hidden="true" customHeight="true" outlineLevel="0" collapsed="false">
      <c r="A23" s="14"/>
      <c r="B23" s="14"/>
      <c r="C23" s="16"/>
      <c r="D23" s="14"/>
      <c r="E23" s="46"/>
      <c r="F23" s="46"/>
      <c r="G23" s="46"/>
      <c r="H23" s="46"/>
      <c r="I23" s="46"/>
      <c r="J23" s="46"/>
      <c r="K23" s="47"/>
      <c r="L23" s="17"/>
      <c r="M23" s="18"/>
      <c r="N23" s="48"/>
      <c r="O23" s="49"/>
      <c r="P23" s="47"/>
      <c r="Q23" s="47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1"/>
      <c r="AC23" s="50"/>
      <c r="AE23" s="52"/>
    </row>
    <row r="24" s="45" customFormat="true" ht="15" hidden="true" customHeight="true" outlineLevel="0" collapsed="false">
      <c r="A24" s="14"/>
      <c r="B24" s="14"/>
      <c r="C24" s="16"/>
      <c r="D24" s="14"/>
      <c r="E24" s="46"/>
      <c r="F24" s="46"/>
      <c r="G24" s="46"/>
      <c r="H24" s="46"/>
      <c r="I24" s="46"/>
      <c r="J24" s="46"/>
      <c r="K24" s="47"/>
      <c r="L24" s="17"/>
      <c r="M24" s="18"/>
      <c r="N24" s="48"/>
      <c r="O24" s="49"/>
      <c r="P24" s="47"/>
      <c r="Q24" s="47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1"/>
      <c r="AC24" s="50"/>
      <c r="AE24" s="52"/>
    </row>
    <row r="25" s="45" customFormat="true" ht="15" hidden="true" customHeight="true" outlineLevel="0" collapsed="false">
      <c r="A25" s="14"/>
      <c r="B25" s="14"/>
      <c r="C25" s="16"/>
      <c r="D25" s="14"/>
      <c r="E25" s="46"/>
      <c r="F25" s="46"/>
      <c r="G25" s="46"/>
      <c r="H25" s="46"/>
      <c r="I25" s="46"/>
      <c r="J25" s="46"/>
      <c r="K25" s="47"/>
      <c r="L25" s="17"/>
      <c r="M25" s="18"/>
      <c r="N25" s="48"/>
      <c r="O25" s="49"/>
      <c r="P25" s="47"/>
      <c r="Q25" s="47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1"/>
      <c r="AC25" s="50"/>
      <c r="AE25" s="52"/>
    </row>
    <row r="26" s="45" customFormat="true" ht="15" hidden="true" customHeight="true" outlineLevel="0" collapsed="false">
      <c r="A26" s="14"/>
      <c r="B26" s="14"/>
      <c r="C26" s="16"/>
      <c r="D26" s="14"/>
      <c r="E26" s="46"/>
      <c r="F26" s="46"/>
      <c r="G26" s="46"/>
      <c r="H26" s="46"/>
      <c r="I26" s="46"/>
      <c r="J26" s="46"/>
      <c r="K26" s="47"/>
      <c r="L26" s="17"/>
      <c r="M26" s="18"/>
      <c r="N26" s="48"/>
      <c r="O26" s="49"/>
      <c r="P26" s="47"/>
      <c r="Q26" s="47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1"/>
      <c r="AC26" s="50"/>
      <c r="AE26" s="52"/>
    </row>
    <row r="27" s="45" customFormat="true" ht="15" hidden="true" customHeight="true" outlineLevel="0" collapsed="false">
      <c r="A27" s="14"/>
      <c r="B27" s="14"/>
      <c r="C27" s="16"/>
      <c r="D27" s="14"/>
      <c r="E27" s="46"/>
      <c r="F27" s="46"/>
      <c r="G27" s="46"/>
      <c r="H27" s="46"/>
      <c r="I27" s="46"/>
      <c r="J27" s="46"/>
      <c r="K27" s="47"/>
      <c r="L27" s="17"/>
      <c r="M27" s="18"/>
      <c r="N27" s="48"/>
      <c r="O27" s="49"/>
      <c r="P27" s="47"/>
      <c r="Q27" s="47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1"/>
      <c r="AC27" s="50"/>
      <c r="AE27" s="52"/>
    </row>
    <row r="28" s="45" customFormat="true" ht="15" hidden="true" customHeight="true" outlineLevel="0" collapsed="false">
      <c r="A28" s="14"/>
      <c r="B28" s="14"/>
      <c r="C28" s="16"/>
      <c r="D28" s="14"/>
      <c r="E28" s="46"/>
      <c r="F28" s="46"/>
      <c r="G28" s="46"/>
      <c r="H28" s="46"/>
      <c r="I28" s="46"/>
      <c r="J28" s="46"/>
      <c r="K28" s="47"/>
      <c r="L28" s="17"/>
      <c r="M28" s="18"/>
      <c r="N28" s="48"/>
      <c r="O28" s="49"/>
      <c r="P28" s="47"/>
      <c r="Q28" s="47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1"/>
      <c r="AC28" s="50"/>
      <c r="AE28" s="52"/>
    </row>
    <row r="29" s="45" customFormat="true" ht="15" hidden="true" customHeight="true" outlineLevel="0" collapsed="false">
      <c r="A29" s="14"/>
      <c r="B29" s="14"/>
      <c r="C29" s="16"/>
      <c r="D29" s="14"/>
      <c r="E29" s="46"/>
      <c r="F29" s="46"/>
      <c r="G29" s="46"/>
      <c r="H29" s="46"/>
      <c r="I29" s="46"/>
      <c r="J29" s="46"/>
      <c r="K29" s="47"/>
      <c r="L29" s="17"/>
      <c r="M29" s="18"/>
      <c r="N29" s="48"/>
      <c r="O29" s="49"/>
      <c r="P29" s="47"/>
      <c r="Q29" s="47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1"/>
      <c r="AC29" s="50"/>
      <c r="AE29" s="52"/>
    </row>
    <row r="30" s="45" customFormat="true" ht="15" hidden="true" customHeight="true" outlineLevel="0" collapsed="false">
      <c r="A30" s="14"/>
      <c r="B30" s="14"/>
      <c r="C30" s="16"/>
      <c r="D30" s="14"/>
      <c r="E30" s="46"/>
      <c r="F30" s="46"/>
      <c r="G30" s="46"/>
      <c r="H30" s="46"/>
      <c r="I30" s="46"/>
      <c r="J30" s="46"/>
      <c r="K30" s="47"/>
      <c r="L30" s="17"/>
      <c r="M30" s="18"/>
      <c r="N30" s="48"/>
      <c r="O30" s="49"/>
      <c r="P30" s="47"/>
      <c r="Q30" s="47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1"/>
      <c r="AC30" s="50"/>
      <c r="AE30" s="52"/>
    </row>
    <row r="31" s="45" customFormat="true" ht="15" hidden="true" customHeight="true" outlineLevel="0" collapsed="false">
      <c r="A31" s="14"/>
      <c r="B31" s="14"/>
      <c r="C31" s="16"/>
      <c r="D31" s="14"/>
      <c r="E31" s="46"/>
      <c r="F31" s="46"/>
      <c r="G31" s="46"/>
      <c r="H31" s="46"/>
      <c r="I31" s="46"/>
      <c r="J31" s="46"/>
      <c r="K31" s="47"/>
      <c r="L31" s="17"/>
      <c r="M31" s="18"/>
      <c r="N31" s="48"/>
      <c r="O31" s="49"/>
      <c r="P31" s="47"/>
      <c r="Q31" s="47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1"/>
      <c r="AC31" s="50"/>
      <c r="AE31" s="52"/>
    </row>
    <row r="32" s="45" customFormat="true" ht="15" hidden="true" customHeight="true" outlineLevel="0" collapsed="false">
      <c r="A32" s="14"/>
      <c r="B32" s="14"/>
      <c r="C32" s="16"/>
      <c r="D32" s="14"/>
      <c r="E32" s="46"/>
      <c r="F32" s="46"/>
      <c r="G32" s="46"/>
      <c r="H32" s="46"/>
      <c r="I32" s="46"/>
      <c r="J32" s="46"/>
      <c r="K32" s="47"/>
      <c r="L32" s="17"/>
      <c r="M32" s="18"/>
      <c r="N32" s="48"/>
      <c r="O32" s="49"/>
      <c r="P32" s="47"/>
      <c r="Q32" s="47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1"/>
      <c r="AC32" s="50"/>
      <c r="AE32" s="52"/>
    </row>
    <row r="33" s="45" customFormat="true" ht="15" hidden="true" customHeight="true" outlineLevel="0" collapsed="false">
      <c r="A33" s="14"/>
      <c r="B33" s="14"/>
      <c r="C33" s="16"/>
      <c r="D33" s="14"/>
      <c r="E33" s="46"/>
      <c r="F33" s="46"/>
      <c r="G33" s="46"/>
      <c r="H33" s="46"/>
      <c r="I33" s="46"/>
      <c r="J33" s="46"/>
      <c r="K33" s="47"/>
      <c r="L33" s="17"/>
      <c r="M33" s="18"/>
      <c r="N33" s="48"/>
      <c r="O33" s="49"/>
      <c r="P33" s="47"/>
      <c r="Q33" s="47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1"/>
      <c r="AC33" s="50"/>
      <c r="AE33" s="52"/>
    </row>
    <row r="34" s="45" customFormat="true" ht="15" hidden="true" customHeight="true" outlineLevel="0" collapsed="false">
      <c r="A34" s="14"/>
      <c r="B34" s="14"/>
      <c r="C34" s="16"/>
      <c r="D34" s="14"/>
      <c r="E34" s="46"/>
      <c r="F34" s="46"/>
      <c r="G34" s="46"/>
      <c r="H34" s="46"/>
      <c r="I34" s="46"/>
      <c r="J34" s="46"/>
      <c r="K34" s="47"/>
      <c r="L34" s="17"/>
      <c r="M34" s="18"/>
      <c r="N34" s="48"/>
      <c r="O34" s="49"/>
      <c r="P34" s="47"/>
      <c r="Q34" s="47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1"/>
      <c r="AC34" s="50"/>
      <c r="AE34" s="52"/>
    </row>
    <row r="35" s="45" customFormat="true" ht="15" hidden="true" customHeight="true" outlineLevel="0" collapsed="false">
      <c r="A35" s="14"/>
      <c r="B35" s="14"/>
      <c r="C35" s="16"/>
      <c r="D35" s="14"/>
      <c r="E35" s="46"/>
      <c r="F35" s="46"/>
      <c r="G35" s="46"/>
      <c r="H35" s="46"/>
      <c r="I35" s="46"/>
      <c r="J35" s="46"/>
      <c r="K35" s="47"/>
      <c r="L35" s="17"/>
      <c r="M35" s="18"/>
      <c r="N35" s="48"/>
      <c r="O35" s="49"/>
      <c r="P35" s="47"/>
      <c r="Q35" s="47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1"/>
      <c r="AC35" s="50"/>
      <c r="AE35" s="52"/>
    </row>
    <row r="36" s="45" customFormat="true" ht="15" hidden="true" customHeight="true" outlineLevel="0" collapsed="false">
      <c r="A36" s="14"/>
      <c r="B36" s="14"/>
      <c r="C36" s="16"/>
      <c r="D36" s="14"/>
      <c r="E36" s="46"/>
      <c r="F36" s="46"/>
      <c r="G36" s="46"/>
      <c r="H36" s="46"/>
      <c r="I36" s="46"/>
      <c r="J36" s="46"/>
      <c r="K36" s="47"/>
      <c r="L36" s="17"/>
      <c r="M36" s="18"/>
      <c r="N36" s="48"/>
      <c r="O36" s="49"/>
      <c r="P36" s="47"/>
      <c r="Q36" s="47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1"/>
      <c r="AC36" s="50"/>
      <c r="AE36" s="52"/>
    </row>
    <row r="37" s="45" customFormat="true" ht="15" hidden="true" customHeight="true" outlineLevel="0" collapsed="false">
      <c r="A37" s="14"/>
      <c r="B37" s="14"/>
      <c r="C37" s="16"/>
      <c r="D37" s="14"/>
      <c r="E37" s="46"/>
      <c r="F37" s="46"/>
      <c r="G37" s="46"/>
      <c r="H37" s="46"/>
      <c r="I37" s="46"/>
      <c r="J37" s="46"/>
      <c r="K37" s="47"/>
      <c r="L37" s="17"/>
      <c r="M37" s="18"/>
      <c r="N37" s="48"/>
      <c r="O37" s="49"/>
      <c r="P37" s="47"/>
      <c r="Q37" s="47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1"/>
      <c r="AC37" s="50"/>
      <c r="AE37" s="52"/>
    </row>
    <row r="38" s="45" customFormat="true" ht="15" hidden="true" customHeight="true" outlineLevel="0" collapsed="false">
      <c r="A38" s="14"/>
      <c r="B38" s="14"/>
      <c r="C38" s="16"/>
      <c r="D38" s="14"/>
      <c r="E38" s="46"/>
      <c r="F38" s="46"/>
      <c r="G38" s="46"/>
      <c r="H38" s="46"/>
      <c r="I38" s="46"/>
      <c r="J38" s="46"/>
      <c r="K38" s="47"/>
      <c r="L38" s="17"/>
      <c r="M38" s="18"/>
      <c r="N38" s="48"/>
      <c r="O38" s="49"/>
      <c r="P38" s="47"/>
      <c r="Q38" s="47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1"/>
      <c r="AC38" s="50"/>
      <c r="AE38" s="52"/>
    </row>
    <row r="39" s="45" customFormat="true" ht="15" hidden="true" customHeight="true" outlineLevel="0" collapsed="false">
      <c r="A39" s="14"/>
      <c r="B39" s="14"/>
      <c r="C39" s="16"/>
      <c r="D39" s="14"/>
      <c r="E39" s="46"/>
      <c r="F39" s="46"/>
      <c r="G39" s="46"/>
      <c r="H39" s="46"/>
      <c r="I39" s="46"/>
      <c r="J39" s="46"/>
      <c r="K39" s="47"/>
      <c r="L39" s="17"/>
      <c r="M39" s="18"/>
      <c r="N39" s="48"/>
      <c r="O39" s="49"/>
      <c r="P39" s="47"/>
      <c r="Q39" s="47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51"/>
      <c r="AC39" s="50"/>
      <c r="AE39" s="52"/>
    </row>
    <row r="40" s="45" customFormat="true" ht="15" hidden="true" customHeight="true" outlineLevel="0" collapsed="false">
      <c r="A40" s="14"/>
      <c r="B40" s="14"/>
      <c r="C40" s="16"/>
      <c r="D40" s="14"/>
      <c r="E40" s="46"/>
      <c r="F40" s="46"/>
      <c r="G40" s="46"/>
      <c r="H40" s="46"/>
      <c r="I40" s="46"/>
      <c r="J40" s="46"/>
      <c r="K40" s="47"/>
      <c r="L40" s="17"/>
      <c r="M40" s="18"/>
      <c r="N40" s="48"/>
      <c r="O40" s="49"/>
      <c r="P40" s="47"/>
      <c r="Q40" s="47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1"/>
      <c r="AC40" s="50"/>
      <c r="AE40" s="52"/>
    </row>
    <row r="41" s="45" customFormat="true" ht="15" hidden="true" customHeight="true" outlineLevel="0" collapsed="false">
      <c r="A41" s="14"/>
      <c r="B41" s="14"/>
      <c r="C41" s="16"/>
      <c r="D41" s="14"/>
      <c r="E41" s="46"/>
      <c r="F41" s="46"/>
      <c r="G41" s="46"/>
      <c r="H41" s="46"/>
      <c r="I41" s="46"/>
      <c r="J41" s="46"/>
      <c r="K41" s="47"/>
      <c r="L41" s="17"/>
      <c r="M41" s="18"/>
      <c r="N41" s="48"/>
      <c r="O41" s="49"/>
      <c r="P41" s="47"/>
      <c r="Q41" s="47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1"/>
      <c r="AC41" s="50"/>
      <c r="AE41" s="52"/>
    </row>
    <row r="42" s="45" customFormat="true" ht="15" hidden="true" customHeight="true" outlineLevel="0" collapsed="false">
      <c r="A42" s="14"/>
      <c r="B42" s="14"/>
      <c r="C42" s="16"/>
      <c r="D42" s="14"/>
      <c r="E42" s="46"/>
      <c r="F42" s="46"/>
      <c r="G42" s="46"/>
      <c r="H42" s="46"/>
      <c r="I42" s="46"/>
      <c r="J42" s="46"/>
      <c r="K42" s="47"/>
      <c r="L42" s="17"/>
      <c r="M42" s="18"/>
      <c r="N42" s="48"/>
      <c r="O42" s="49"/>
      <c r="P42" s="47"/>
      <c r="Q42" s="47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1"/>
      <c r="AC42" s="50"/>
      <c r="AE42" s="52"/>
    </row>
    <row r="43" s="45" customFormat="true" ht="15" hidden="true" customHeight="true" outlineLevel="0" collapsed="false">
      <c r="A43" s="14"/>
      <c r="B43" s="14"/>
      <c r="C43" s="16"/>
      <c r="D43" s="14"/>
      <c r="E43" s="46"/>
      <c r="F43" s="46"/>
      <c r="G43" s="46"/>
      <c r="H43" s="46"/>
      <c r="I43" s="46"/>
      <c r="J43" s="46"/>
      <c r="K43" s="47"/>
      <c r="L43" s="17"/>
      <c r="M43" s="18"/>
      <c r="N43" s="48"/>
      <c r="O43" s="49"/>
      <c r="P43" s="47"/>
      <c r="Q43" s="47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1"/>
      <c r="AC43" s="50"/>
      <c r="AE43" s="52"/>
    </row>
    <row r="44" s="45" customFormat="true" ht="15" hidden="true" customHeight="true" outlineLevel="0" collapsed="false">
      <c r="A44" s="14"/>
      <c r="B44" s="14"/>
      <c r="C44" s="16"/>
      <c r="D44" s="14"/>
      <c r="E44" s="46"/>
      <c r="F44" s="46"/>
      <c r="G44" s="46"/>
      <c r="H44" s="46"/>
      <c r="I44" s="46"/>
      <c r="J44" s="46"/>
      <c r="K44" s="47"/>
      <c r="L44" s="17"/>
      <c r="M44" s="18"/>
      <c r="N44" s="48"/>
      <c r="O44" s="49"/>
      <c r="P44" s="47"/>
      <c r="Q44" s="47"/>
      <c r="R44" s="50"/>
      <c r="S44" s="50"/>
      <c r="T44" s="50"/>
      <c r="U44" s="50"/>
      <c r="V44" s="50"/>
      <c r="W44" s="50"/>
      <c r="X44" s="50"/>
      <c r="Y44" s="50"/>
      <c r="Z44" s="50"/>
      <c r="AA44" s="50"/>
      <c r="AB44" s="51"/>
      <c r="AC44" s="50"/>
      <c r="AE44" s="52"/>
    </row>
    <row r="45" s="45" customFormat="true" ht="15" hidden="true" customHeight="true" outlineLevel="0" collapsed="false">
      <c r="A45" s="14"/>
      <c r="B45" s="14"/>
      <c r="C45" s="16"/>
      <c r="D45" s="14"/>
      <c r="E45" s="46"/>
      <c r="F45" s="46"/>
      <c r="G45" s="46"/>
      <c r="H45" s="46"/>
      <c r="I45" s="46"/>
      <c r="J45" s="46"/>
      <c r="K45" s="47"/>
      <c r="L45" s="17"/>
      <c r="M45" s="18"/>
      <c r="N45" s="48"/>
      <c r="O45" s="49"/>
      <c r="P45" s="47"/>
      <c r="Q45" s="47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1"/>
      <c r="AC45" s="50"/>
      <c r="AE45" s="52"/>
    </row>
    <row r="46" s="45" customFormat="true" ht="15" hidden="true" customHeight="true" outlineLevel="0" collapsed="false">
      <c r="A46" s="14"/>
      <c r="B46" s="14"/>
      <c r="C46" s="16"/>
      <c r="D46" s="14"/>
      <c r="E46" s="46"/>
      <c r="F46" s="46"/>
      <c r="G46" s="46"/>
      <c r="H46" s="46"/>
      <c r="I46" s="46"/>
      <c r="J46" s="46"/>
      <c r="K46" s="47"/>
      <c r="L46" s="17"/>
      <c r="M46" s="18"/>
      <c r="N46" s="48"/>
      <c r="O46" s="49"/>
      <c r="P46" s="47"/>
      <c r="Q46" s="47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1"/>
      <c r="AC46" s="50"/>
      <c r="AE46" s="52"/>
    </row>
    <row r="47" s="45" customFormat="true" ht="15" hidden="true" customHeight="true" outlineLevel="0" collapsed="false">
      <c r="A47" s="14"/>
      <c r="B47" s="14"/>
      <c r="C47" s="16"/>
      <c r="D47" s="14"/>
      <c r="E47" s="46"/>
      <c r="F47" s="46"/>
      <c r="G47" s="46"/>
      <c r="H47" s="46"/>
      <c r="I47" s="46"/>
      <c r="J47" s="46"/>
      <c r="K47" s="47"/>
      <c r="L47" s="17"/>
      <c r="M47" s="18"/>
      <c r="N47" s="48"/>
      <c r="O47" s="49"/>
      <c r="P47" s="47"/>
      <c r="Q47" s="47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1"/>
      <c r="AC47" s="50"/>
      <c r="AE47" s="52"/>
    </row>
    <row r="48" s="45" customFormat="true" ht="15" hidden="true" customHeight="true" outlineLevel="0" collapsed="false">
      <c r="A48" s="14"/>
      <c r="B48" s="14"/>
      <c r="C48" s="16"/>
      <c r="D48" s="14"/>
      <c r="E48" s="46"/>
      <c r="F48" s="46"/>
      <c r="G48" s="46"/>
      <c r="H48" s="46"/>
      <c r="I48" s="46"/>
      <c r="J48" s="46"/>
      <c r="K48" s="47"/>
      <c r="L48" s="17"/>
      <c r="M48" s="18"/>
      <c r="N48" s="48"/>
      <c r="O48" s="49"/>
      <c r="P48" s="47"/>
      <c r="Q48" s="47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1"/>
      <c r="AC48" s="50"/>
      <c r="AE48" s="52"/>
    </row>
    <row r="49" s="45" customFormat="true" ht="15" hidden="true" customHeight="true" outlineLevel="0" collapsed="false">
      <c r="A49" s="14"/>
      <c r="B49" s="14"/>
      <c r="C49" s="16"/>
      <c r="D49" s="14"/>
      <c r="E49" s="46"/>
      <c r="F49" s="46"/>
      <c r="G49" s="46"/>
      <c r="H49" s="46"/>
      <c r="I49" s="46"/>
      <c r="J49" s="46"/>
      <c r="K49" s="47"/>
      <c r="L49" s="17"/>
      <c r="M49" s="18"/>
      <c r="N49" s="48"/>
      <c r="O49" s="49"/>
      <c r="P49" s="47"/>
      <c r="Q49" s="47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1"/>
      <c r="AC49" s="50"/>
      <c r="AE49" s="52"/>
    </row>
    <row r="50" s="45" customFormat="true" ht="15" hidden="true" customHeight="true" outlineLevel="0" collapsed="false">
      <c r="A50" s="14"/>
      <c r="B50" s="14"/>
      <c r="C50" s="16"/>
      <c r="D50" s="14"/>
      <c r="E50" s="46"/>
      <c r="F50" s="46"/>
      <c r="G50" s="46"/>
      <c r="H50" s="46"/>
      <c r="I50" s="46"/>
      <c r="J50" s="46"/>
      <c r="K50" s="47"/>
      <c r="L50" s="17"/>
      <c r="M50" s="18"/>
      <c r="N50" s="48"/>
      <c r="O50" s="49"/>
      <c r="P50" s="47"/>
      <c r="Q50" s="47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1"/>
      <c r="AC50" s="50"/>
      <c r="AE50" s="52"/>
    </row>
    <row r="51" s="60" customFormat="true" ht="15" hidden="false" customHeight="true" outlineLevel="0" collapsed="false">
      <c r="A51" s="53" t="s">
        <v>61</v>
      </c>
      <c r="B51" s="53"/>
      <c r="C51" s="53"/>
      <c r="D51" s="53"/>
      <c r="E51" s="54"/>
      <c r="F51" s="54"/>
      <c r="G51" s="54"/>
      <c r="H51" s="54"/>
      <c r="I51" s="54"/>
      <c r="J51" s="54"/>
      <c r="K51" s="54"/>
      <c r="L51" s="54"/>
      <c r="M51" s="55"/>
      <c r="N51" s="55"/>
      <c r="O51" s="56"/>
      <c r="P51" s="56"/>
      <c r="Q51" s="56"/>
      <c r="R51" s="57" t="n">
        <f aca="false">SUM(R11:R50)</f>
        <v>0</v>
      </c>
      <c r="S51" s="57" t="n">
        <f aca="false">SUM(S11:S50)</f>
        <v>0</v>
      </c>
      <c r="T51" s="57"/>
      <c r="U51" s="58" t="n">
        <f aca="false">SUM(U11:U50)</f>
        <v>0</v>
      </c>
      <c r="V51" s="58" t="n">
        <f aca="false">SUM(V11:V50)</f>
        <v>0</v>
      </c>
      <c r="W51" s="59" t="n">
        <f aca="false">SUM(W11:W22)</f>
        <v>208.4689</v>
      </c>
      <c r="X51" s="58" t="n">
        <f aca="false">SUM(X11:X50)</f>
        <v>0</v>
      </c>
      <c r="Y51" s="58" t="n">
        <f aca="false">SUM(Y11:Y50)</f>
        <v>0</v>
      </c>
      <c r="Z51" s="58" t="n">
        <f aca="false">SUM(Z11:Z50)</f>
        <v>0</v>
      </c>
      <c r="AA51" s="58" t="n">
        <f aca="false">SUM(AA11:AA50)</f>
        <v>0</v>
      </c>
      <c r="AB51" s="58"/>
      <c r="AE51" s="61"/>
      <c r="AH51" s="62"/>
    </row>
    <row r="52" s="60" customFormat="true" ht="14.25" hidden="false" customHeight="true" outlineLevel="0" collapsed="false">
      <c r="A52" s="63"/>
      <c r="B52" s="63"/>
      <c r="C52" s="63"/>
      <c r="D52" s="63"/>
      <c r="R52" s="64"/>
      <c r="S52" s="64"/>
      <c r="T52" s="64"/>
      <c r="U52" s="61"/>
      <c r="V52" s="61"/>
      <c r="W52" s="61"/>
      <c r="X52" s="61"/>
      <c r="Y52" s="61"/>
      <c r="Z52" s="61"/>
      <c r="AA52" s="61"/>
      <c r="AB52" s="61"/>
    </row>
    <row r="53" s="60" customFormat="true" ht="15" hidden="false" customHeight="true" outlineLevel="0" collapsed="false">
      <c r="A53" s="20" t="s">
        <v>50</v>
      </c>
      <c r="B53" s="20"/>
      <c r="C53" s="20"/>
      <c r="D53" s="65" t="s">
        <v>62</v>
      </c>
      <c r="E53" s="20" t="s">
        <v>51</v>
      </c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H53" s="61"/>
    </row>
    <row r="54" s="60" customFormat="true" ht="14.25" hidden="false" customHeight="true" outlineLevel="0" collapsed="false">
      <c r="A54" s="66"/>
      <c r="B54" s="66"/>
      <c r="C54" s="66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</row>
    <row r="55" s="60" customFormat="true" ht="15" hidden="false" customHeight="true" outlineLevel="0" collapsed="false">
      <c r="A55" s="66"/>
      <c r="B55" s="66"/>
      <c r="C55" s="68"/>
      <c r="D55" s="68"/>
      <c r="E55" s="67"/>
      <c r="F55" s="67"/>
      <c r="G55" s="67"/>
      <c r="H55" s="67"/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AF55" s="69"/>
    </row>
    <row r="56" s="60" customFormat="true" ht="14.25" hidden="false" customHeight="true" outlineLevel="0" collapsed="false">
      <c r="A56" s="66"/>
      <c r="B56" s="66"/>
      <c r="C56" s="66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</row>
    <row r="57" s="60" customFormat="true" ht="14.25" hidden="false" customHeight="true" outlineLevel="0" collapsed="false">
      <c r="A57" s="66"/>
      <c r="B57" s="66"/>
      <c r="C57" s="66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</row>
    <row r="58" s="60" customFormat="true" ht="14.25" hidden="false" customHeight="true" outlineLevel="0" collapsed="false">
      <c r="A58" s="66"/>
      <c r="B58" s="66"/>
      <c r="C58" s="66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</row>
    <row r="59" s="60" customFormat="true" ht="14.25" hidden="false" customHeight="true" outlineLevel="0" collapsed="false">
      <c r="A59" s="20" t="s">
        <v>52</v>
      </c>
      <c r="B59" s="20"/>
      <c r="C59" s="20"/>
      <c r="D59" s="21"/>
      <c r="E59" s="21"/>
      <c r="F59" s="21"/>
      <c r="G59" s="21"/>
      <c r="H59" s="21"/>
      <c r="I59" s="21"/>
      <c r="J59" s="21"/>
      <c r="K59" s="21"/>
      <c r="L59" s="21"/>
      <c r="M59" s="20" t="s">
        <v>53</v>
      </c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</row>
    <row r="60" customFormat="false" ht="12.75" hidden="false" customHeight="false" outlineLevel="0" collapsed="false">
      <c r="A60" s="70"/>
      <c r="B60" s="70"/>
      <c r="C60" s="70"/>
      <c r="D60" s="70"/>
      <c r="E60" s="70"/>
      <c r="F60" s="70"/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</row>
    <row r="61" customFormat="false" ht="12.75" hidden="false" customHeight="false" outlineLevel="0" collapsed="false">
      <c r="A61" s="70"/>
      <c r="B61" s="70"/>
      <c r="C61" s="70"/>
      <c r="D61" s="70"/>
      <c r="E61" s="70"/>
      <c r="F61" s="70"/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</row>
    <row r="62" customFormat="false" ht="12.75" hidden="false" customHeight="false" outlineLevel="0" collapsed="false">
      <c r="A62" s="70"/>
      <c r="B62" s="70"/>
      <c r="C62" s="70"/>
      <c r="D62" s="70"/>
      <c r="E62" s="70"/>
      <c r="F62" s="70"/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</row>
    <row r="63" customFormat="false" ht="12.75" hidden="false" customHeight="false" outlineLevel="0" collapsed="false">
      <c r="A63" s="70"/>
      <c r="B63" s="70"/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</row>
    <row r="64" customFormat="false" ht="12.75" hidden="false" customHeight="false" outlineLevel="0" collapsed="false">
      <c r="A64" s="70"/>
      <c r="B64" s="70"/>
      <c r="C64" s="70"/>
      <c r="D64" s="70"/>
      <c r="E64" s="70"/>
      <c r="F64" s="70"/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</row>
    <row r="65" customFormat="false" ht="12.75" hidden="false" customHeight="false" outlineLevel="0" collapsed="false">
      <c r="A65" s="70"/>
      <c r="B65" s="70"/>
      <c r="C65" s="70"/>
      <c r="D65" s="70"/>
      <c r="E65" s="70"/>
      <c r="F65" s="70"/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</row>
    <row r="66" customFormat="false" ht="12.75" hidden="false" customHeight="false" outlineLevel="0" collapsed="false">
      <c r="A66" s="70"/>
      <c r="B66" s="70"/>
      <c r="C66" s="70"/>
      <c r="D66" s="70"/>
      <c r="E66" s="70"/>
      <c r="F66" s="70"/>
      <c r="G66" s="70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</row>
    <row r="67" customFormat="false" ht="12.75" hidden="false" customHeight="false" outlineLevel="0" collapsed="false">
      <c r="A67" s="70"/>
      <c r="B67" s="70"/>
      <c r="C67" s="70"/>
      <c r="D67" s="70"/>
      <c r="E67" s="70"/>
      <c r="F67" s="70"/>
      <c r="G67" s="70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</row>
    <row r="68" customFormat="false" ht="12.75" hidden="false" customHeight="false" outlineLevel="0" collapsed="false">
      <c r="A68" s="70"/>
      <c r="B68" s="70"/>
      <c r="C68" s="70"/>
      <c r="D68" s="70"/>
      <c r="E68" s="70"/>
      <c r="F68" s="70"/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</row>
    <row r="69" customFormat="false" ht="12.75" hidden="false" customHeight="false" outlineLevel="0" collapsed="false">
      <c r="A69" s="70"/>
      <c r="B69" s="70"/>
      <c r="C69" s="70"/>
      <c r="D69" s="70"/>
      <c r="E69" s="70"/>
      <c r="F69" s="70"/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</row>
    <row r="70" customFormat="false" ht="12.75" hidden="false" customHeight="false" outlineLevel="0" collapsed="false">
      <c r="A70" s="70"/>
      <c r="B70" s="70"/>
      <c r="C70" s="70"/>
      <c r="D70" s="70"/>
      <c r="E70" s="70"/>
      <c r="F70" s="70"/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</row>
    <row r="71" customFormat="false" ht="12.75" hidden="false" customHeight="false" outlineLevel="0" collapsed="false">
      <c r="A71" s="70"/>
      <c r="B71" s="70"/>
      <c r="C71" s="70"/>
      <c r="D71" s="70"/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</row>
    <row r="72" customFormat="false" ht="12.75" hidden="false" customHeight="false" outlineLevel="0" collapsed="false">
      <c r="A72" s="70"/>
      <c r="B72" s="70"/>
      <c r="C72" s="70"/>
      <c r="D72" s="70"/>
      <c r="E72" s="70"/>
      <c r="F72" s="70"/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</row>
    <row r="73" customFormat="false" ht="12.75" hidden="false" customHeight="false" outlineLevel="0" collapsed="false">
      <c r="A73" s="70"/>
      <c r="B73" s="70"/>
      <c r="C73" s="70"/>
      <c r="D73" s="70"/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</row>
    <row r="74" customFormat="false" ht="12.75" hidden="false" customHeight="false" outlineLevel="0" collapsed="false">
      <c r="A74" s="70"/>
      <c r="B74" s="70"/>
      <c r="C74" s="70"/>
      <c r="D74" s="70"/>
      <c r="E74" s="70"/>
      <c r="F74" s="70"/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</row>
    <row r="75" customFormat="false" ht="12.75" hidden="false" customHeight="false" outlineLevel="0" collapsed="false">
      <c r="A75" s="70"/>
      <c r="B75" s="70"/>
      <c r="C75" s="70"/>
      <c r="D75" s="70"/>
      <c r="E75" s="70"/>
      <c r="F75" s="70"/>
      <c r="G75" s="70"/>
      <c r="H75" s="70"/>
      <c r="I75" s="70"/>
      <c r="J75" s="70"/>
      <c r="K75" s="70"/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</row>
    <row r="76" customFormat="false" ht="12.75" hidden="false" customHeight="false" outlineLevel="0" collapsed="false">
      <c r="A76" s="70"/>
      <c r="B76" s="70"/>
      <c r="C76" s="70"/>
      <c r="D76" s="70"/>
      <c r="E76" s="70"/>
      <c r="F76" s="70"/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</row>
    <row r="77" customFormat="false" ht="12.75" hidden="false" customHeight="false" outlineLevel="0" collapsed="false">
      <c r="A77" s="70"/>
      <c r="B77" s="70"/>
      <c r="C77" s="70"/>
      <c r="D77" s="70"/>
      <c r="E77" s="70"/>
      <c r="F77" s="70"/>
      <c r="G77" s="70"/>
      <c r="H77" s="70"/>
      <c r="I77" s="70"/>
      <c r="J77" s="70"/>
      <c r="K77" s="70"/>
      <c r="L77" s="70"/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</row>
    <row r="78" customFormat="false" ht="12.75" hidden="false" customHeight="false" outlineLevel="0" collapsed="false">
      <c r="A78" s="70"/>
      <c r="B78" s="70"/>
      <c r="C78" s="70"/>
      <c r="D78" s="70"/>
      <c r="E78" s="70"/>
      <c r="F78" s="70"/>
      <c r="G78" s="70"/>
      <c r="H78" s="70"/>
      <c r="I78" s="70"/>
      <c r="J78" s="70"/>
      <c r="K78" s="70"/>
      <c r="L78" s="70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</row>
    <row r="79" customFormat="false" ht="12.75" hidden="false" customHeight="false" outlineLevel="0" collapsed="false">
      <c r="A79" s="70"/>
      <c r="B79" s="70"/>
      <c r="C79" s="70"/>
      <c r="D79" s="70"/>
      <c r="E79" s="70"/>
      <c r="F79" s="70"/>
      <c r="G79" s="70"/>
      <c r="H79" s="70"/>
      <c r="I79" s="70"/>
      <c r="J79" s="70"/>
      <c r="K79" s="70"/>
      <c r="L79" s="70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</row>
    <row r="80" customFormat="false" ht="12.75" hidden="false" customHeight="false" outlineLevel="0" collapsed="false">
      <c r="A80" s="70"/>
      <c r="B80" s="70"/>
      <c r="C80" s="70"/>
      <c r="D80" s="70"/>
      <c r="E80" s="70"/>
      <c r="F80" s="70"/>
      <c r="G80" s="70"/>
      <c r="H80" s="70"/>
      <c r="I80" s="70"/>
      <c r="J80" s="70"/>
      <c r="K80" s="70"/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</row>
    <row r="81" customFormat="false" ht="12.75" hidden="false" customHeight="false" outlineLevel="0" collapsed="false">
      <c r="A81" s="70"/>
      <c r="B81" s="70"/>
      <c r="C81" s="70"/>
      <c r="D81" s="70"/>
      <c r="E81" s="70"/>
      <c r="F81" s="70"/>
      <c r="G81" s="70"/>
      <c r="H81" s="70"/>
      <c r="I81" s="70"/>
      <c r="J81" s="70"/>
      <c r="K81" s="70"/>
      <c r="L81" s="70"/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</row>
    <row r="82" customFormat="false" ht="12.75" hidden="false" customHeight="false" outlineLevel="0" collapsed="false">
      <c r="A82" s="70"/>
      <c r="B82" s="70"/>
      <c r="C82" s="70"/>
      <c r="D82" s="70"/>
      <c r="E82" s="70"/>
      <c r="F82" s="70"/>
      <c r="G82" s="70"/>
      <c r="H82" s="70"/>
      <c r="I82" s="70"/>
      <c r="J82" s="70"/>
      <c r="K82" s="70"/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</row>
    <row r="83" customFormat="false" ht="12.75" hidden="false" customHeight="false" outlineLevel="0" collapsed="false">
      <c r="A83" s="70"/>
      <c r="B83" s="70"/>
      <c r="C83" s="70"/>
      <c r="D83" s="70"/>
      <c r="E83" s="70"/>
      <c r="F83" s="70"/>
      <c r="G83" s="70"/>
      <c r="H83" s="70"/>
      <c r="I83" s="70"/>
      <c r="J83" s="70"/>
      <c r="K83" s="70"/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</row>
    <row r="84" customFormat="false" ht="12.75" hidden="false" customHeight="false" outlineLevel="0" collapsed="false">
      <c r="A84" s="70"/>
      <c r="B84" s="70"/>
      <c r="C84" s="70"/>
      <c r="D84" s="70"/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</row>
    <row r="85" customFormat="false" ht="12.75" hidden="false" customHeight="false" outlineLevel="0" collapsed="false">
      <c r="A85" s="70"/>
      <c r="B85" s="70"/>
      <c r="C85" s="70"/>
      <c r="D85" s="70"/>
      <c r="E85" s="70"/>
      <c r="F85" s="70"/>
      <c r="G85" s="70"/>
      <c r="H85" s="70"/>
      <c r="I85" s="70"/>
      <c r="J85" s="70"/>
      <c r="K85" s="70"/>
      <c r="L85" s="70"/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</row>
    <row r="86" customFormat="false" ht="12.75" hidden="false" customHeight="false" outlineLevel="0" collapsed="false">
      <c r="A86" s="70"/>
      <c r="B86" s="70"/>
      <c r="C86" s="70"/>
      <c r="D86" s="70"/>
      <c r="E86" s="70"/>
      <c r="F86" s="70"/>
      <c r="G86" s="70"/>
      <c r="H86" s="70"/>
      <c r="I86" s="70"/>
      <c r="J86" s="70"/>
      <c r="K86" s="70"/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</row>
    <row r="87" customFormat="false" ht="12.75" hidden="false" customHeight="false" outlineLevel="0" collapsed="false">
      <c r="A87" s="70"/>
      <c r="B87" s="70"/>
      <c r="C87" s="70"/>
      <c r="D87" s="70"/>
      <c r="E87" s="70"/>
      <c r="F87" s="70"/>
      <c r="G87" s="70"/>
      <c r="H87" s="70"/>
      <c r="I87" s="70"/>
      <c r="J87" s="70"/>
      <c r="K87" s="70"/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</row>
    <row r="88" customFormat="false" ht="12.75" hidden="false" customHeight="false" outlineLevel="0" collapsed="false">
      <c r="A88" s="70"/>
      <c r="B88" s="70"/>
      <c r="C88" s="70"/>
      <c r="D88" s="70"/>
      <c r="E88" s="70"/>
      <c r="F88" s="70"/>
      <c r="G88" s="70"/>
      <c r="H88" s="70"/>
      <c r="I88" s="70"/>
      <c r="J88" s="70"/>
      <c r="K88" s="70"/>
      <c r="L88" s="70"/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</row>
    <row r="89" customFormat="false" ht="12.75" hidden="false" customHeight="false" outlineLevel="0" collapsed="false">
      <c r="A89" s="70"/>
      <c r="B89" s="70"/>
      <c r="C89" s="70"/>
      <c r="D89" s="70"/>
      <c r="E89" s="70"/>
      <c r="F89" s="70"/>
      <c r="G89" s="70"/>
      <c r="H89" s="70"/>
      <c r="I89" s="70"/>
      <c r="J89" s="70"/>
      <c r="K89" s="70"/>
      <c r="L89" s="70"/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</row>
    <row r="90" customFormat="false" ht="12.75" hidden="false" customHeight="false" outlineLevel="0" collapsed="false">
      <c r="A90" s="70"/>
      <c r="B90" s="70"/>
      <c r="C90" s="70"/>
      <c r="D90" s="70"/>
      <c r="E90" s="70"/>
      <c r="F90" s="70"/>
      <c r="G90" s="70"/>
      <c r="H90" s="70"/>
      <c r="I90" s="70"/>
      <c r="J90" s="70"/>
      <c r="K90" s="70"/>
      <c r="L90" s="70"/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</row>
    <row r="91" customFormat="false" ht="12.75" hidden="false" customHeight="false" outlineLevel="0" collapsed="false">
      <c r="A91" s="70"/>
      <c r="B91" s="70"/>
      <c r="C91" s="70"/>
      <c r="D91" s="70"/>
      <c r="E91" s="70"/>
      <c r="F91" s="70"/>
      <c r="G91" s="70"/>
      <c r="H91" s="70"/>
      <c r="I91" s="70"/>
      <c r="J91" s="70"/>
      <c r="K91" s="70"/>
      <c r="L91" s="70"/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</row>
    <row r="92" customFormat="false" ht="12.75" hidden="false" customHeight="false" outlineLevel="0" collapsed="false">
      <c r="A92" s="70"/>
      <c r="B92" s="70"/>
      <c r="C92" s="70"/>
      <c r="D92" s="70"/>
      <c r="E92" s="70"/>
      <c r="F92" s="70"/>
      <c r="G92" s="70"/>
      <c r="H92" s="70"/>
      <c r="I92" s="70"/>
      <c r="J92" s="70"/>
      <c r="K92" s="70"/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</row>
    <row r="93" customFormat="false" ht="12.75" hidden="false" customHeight="false" outlineLevel="0" collapsed="false">
      <c r="A93" s="70"/>
      <c r="B93" s="70"/>
      <c r="C93" s="70"/>
      <c r="D93" s="70"/>
      <c r="E93" s="70"/>
      <c r="F93" s="70"/>
      <c r="G93" s="70"/>
      <c r="H93" s="70"/>
      <c r="I93" s="70"/>
      <c r="J93" s="70"/>
      <c r="K93" s="70"/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</row>
    <row r="94" customFormat="false" ht="12.75" hidden="false" customHeight="false" outlineLevel="0" collapsed="false">
      <c r="A94" s="70"/>
      <c r="B94" s="70"/>
      <c r="C94" s="70"/>
      <c r="D94" s="70"/>
      <c r="E94" s="70"/>
      <c r="F94" s="70"/>
      <c r="G94" s="70"/>
      <c r="H94" s="70"/>
      <c r="I94" s="70"/>
      <c r="J94" s="70"/>
      <c r="K94" s="70"/>
      <c r="L94" s="70"/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</row>
    <row r="95" customFormat="false" ht="12.75" hidden="false" customHeight="false" outlineLevel="0" collapsed="false">
      <c r="A95" s="70"/>
      <c r="B95" s="70"/>
      <c r="C95" s="70"/>
      <c r="D95" s="70"/>
      <c r="E95" s="70"/>
      <c r="F95" s="70"/>
      <c r="G95" s="70"/>
      <c r="H95" s="70"/>
      <c r="I95" s="70"/>
      <c r="J95" s="70"/>
      <c r="K95" s="70"/>
      <c r="L95" s="70"/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</row>
    <row r="96" customFormat="false" ht="12.75" hidden="false" customHeight="false" outlineLevel="0" collapsed="false">
      <c r="A96" s="70"/>
      <c r="B96" s="70"/>
      <c r="C96" s="70"/>
      <c r="D96" s="70"/>
      <c r="E96" s="70"/>
      <c r="F96" s="70"/>
      <c r="G96" s="70"/>
      <c r="H96" s="70"/>
      <c r="I96" s="70"/>
      <c r="J96" s="70"/>
      <c r="K96" s="70"/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</row>
    <row r="97" customFormat="false" ht="12.75" hidden="false" customHeight="false" outlineLevel="0" collapsed="false">
      <c r="A97" s="70"/>
      <c r="B97" s="70"/>
      <c r="C97" s="70"/>
      <c r="D97" s="70"/>
      <c r="E97" s="70"/>
      <c r="F97" s="70"/>
      <c r="G97" s="70"/>
      <c r="H97" s="70"/>
      <c r="I97" s="70"/>
      <c r="J97" s="70"/>
      <c r="K97" s="70"/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</row>
    <row r="98" customFormat="false" ht="12.75" hidden="false" customHeight="false" outlineLevel="0" collapsed="false">
      <c r="A98" s="70"/>
      <c r="B98" s="70"/>
      <c r="C98" s="70"/>
      <c r="D98" s="70"/>
      <c r="E98" s="70"/>
      <c r="F98" s="70"/>
      <c r="G98" s="70"/>
      <c r="H98" s="70"/>
      <c r="I98" s="70"/>
      <c r="J98" s="70"/>
      <c r="K98" s="70"/>
      <c r="L98" s="70"/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</row>
    <row r="99" customFormat="false" ht="12.75" hidden="false" customHeight="false" outlineLevel="0" collapsed="false">
      <c r="A99" s="70"/>
      <c r="B99" s="70"/>
      <c r="C99" s="70"/>
      <c r="D99" s="70"/>
      <c r="E99" s="70"/>
      <c r="F99" s="70"/>
      <c r="G99" s="70"/>
      <c r="H99" s="70"/>
      <c r="I99" s="70"/>
      <c r="J99" s="70"/>
      <c r="K99" s="70"/>
      <c r="L99" s="70"/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</row>
    <row r="100" customFormat="false" ht="12.75" hidden="false" customHeight="false" outlineLevel="0" collapsed="false">
      <c r="A100" s="70"/>
      <c r="B100" s="70"/>
      <c r="C100" s="70"/>
      <c r="D100" s="70"/>
      <c r="E100" s="70"/>
      <c r="F100" s="70"/>
      <c r="G100" s="70"/>
      <c r="H100" s="70"/>
      <c r="I100" s="70"/>
      <c r="J100" s="70"/>
      <c r="K100" s="70"/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</row>
    <row r="101" customFormat="false" ht="12.75" hidden="false" customHeight="false" outlineLevel="0" collapsed="false">
      <c r="A101" s="70"/>
      <c r="B101" s="70"/>
      <c r="C101" s="70"/>
      <c r="D101" s="70"/>
      <c r="E101" s="70"/>
      <c r="F101" s="70"/>
      <c r="G101" s="70"/>
      <c r="H101" s="70"/>
      <c r="I101" s="70"/>
      <c r="J101" s="70"/>
      <c r="K101" s="70"/>
      <c r="L101" s="70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</row>
    <row r="102" customFormat="false" ht="12.75" hidden="false" customHeight="false" outlineLevel="0" collapsed="false">
      <c r="A102" s="70"/>
      <c r="B102" s="70"/>
      <c r="C102" s="70"/>
      <c r="D102" s="70"/>
      <c r="E102" s="70"/>
      <c r="F102" s="70"/>
      <c r="G102" s="70"/>
      <c r="H102" s="70"/>
      <c r="I102" s="70"/>
      <c r="J102" s="70"/>
      <c r="K102" s="70"/>
      <c r="L102" s="70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</row>
    <row r="103" customFormat="false" ht="12.75" hidden="false" customHeight="false" outlineLevel="0" collapsed="false">
      <c r="A103" s="70"/>
      <c r="B103" s="70"/>
      <c r="C103" s="70"/>
      <c r="D103" s="70"/>
      <c r="E103" s="70"/>
      <c r="F103" s="70"/>
      <c r="G103" s="70"/>
      <c r="H103" s="70"/>
      <c r="I103" s="70"/>
      <c r="J103" s="70"/>
      <c r="K103" s="70"/>
      <c r="L103" s="70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</row>
    <row r="104" customFormat="false" ht="12.75" hidden="false" customHeight="false" outlineLevel="0" collapsed="false">
      <c r="A104" s="70"/>
      <c r="B104" s="70"/>
      <c r="C104" s="70"/>
      <c r="D104" s="70"/>
      <c r="E104" s="70"/>
      <c r="F104" s="70"/>
      <c r="G104" s="70"/>
      <c r="H104" s="70"/>
      <c r="I104" s="70"/>
      <c r="J104" s="70"/>
      <c r="K104" s="70"/>
      <c r="L104" s="70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</row>
    <row r="105" customFormat="false" ht="12.75" hidden="false" customHeight="false" outlineLevel="0" collapsed="false">
      <c r="A105" s="70"/>
      <c r="B105" s="70"/>
      <c r="C105" s="70"/>
      <c r="D105" s="70"/>
      <c r="E105" s="70"/>
      <c r="F105" s="70"/>
      <c r="G105" s="70"/>
      <c r="H105" s="70"/>
      <c r="I105" s="70"/>
      <c r="J105" s="70"/>
      <c r="K105" s="70"/>
      <c r="L105" s="70"/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</row>
    <row r="106" customFormat="false" ht="12.75" hidden="false" customHeight="false" outlineLevel="0" collapsed="false">
      <c r="A106" s="70"/>
      <c r="B106" s="70"/>
      <c r="C106" s="70"/>
      <c r="D106" s="70"/>
      <c r="E106" s="70"/>
      <c r="F106" s="70"/>
      <c r="G106" s="70"/>
      <c r="H106" s="70"/>
      <c r="I106" s="70"/>
      <c r="J106" s="70"/>
      <c r="K106" s="70"/>
      <c r="L106" s="70"/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</row>
    <row r="107" customFormat="false" ht="12.75" hidden="false" customHeight="false" outlineLevel="0" collapsed="false">
      <c r="A107" s="70"/>
      <c r="B107" s="70"/>
      <c r="C107" s="70"/>
      <c r="D107" s="70"/>
      <c r="E107" s="70"/>
      <c r="F107" s="70"/>
      <c r="G107" s="70"/>
      <c r="H107" s="70"/>
      <c r="I107" s="70"/>
      <c r="J107" s="70"/>
      <c r="K107" s="70"/>
      <c r="L107" s="70"/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</row>
    <row r="108" customFormat="false" ht="12.75" hidden="false" customHeight="false" outlineLevel="0" collapsed="false">
      <c r="A108" s="70"/>
      <c r="B108" s="70"/>
      <c r="C108" s="70"/>
      <c r="D108" s="70"/>
      <c r="E108" s="70"/>
      <c r="F108" s="70"/>
      <c r="G108" s="70"/>
      <c r="H108" s="70"/>
      <c r="I108" s="70"/>
      <c r="J108" s="70"/>
      <c r="K108" s="70"/>
      <c r="L108" s="70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</row>
    <row r="109" s="24" customFormat="true" ht="12.75" hidden="false" customHeight="false" outlineLevel="0" collapsed="false">
      <c r="A109" s="70"/>
      <c r="B109" s="70"/>
      <c r="C109" s="70"/>
      <c r="D109" s="70"/>
      <c r="E109" s="70"/>
      <c r="F109" s="70"/>
      <c r="G109" s="70"/>
      <c r="H109" s="70"/>
      <c r="I109" s="70"/>
      <c r="J109" s="70"/>
      <c r="K109" s="70"/>
      <c r="L109" s="70"/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23"/>
      <c r="AE109" s="23"/>
      <c r="AF109" s="23"/>
      <c r="AG109" s="23"/>
    </row>
    <row r="110" s="24" customFormat="true" ht="12.75" hidden="false" customHeight="false" outlineLevel="0" collapsed="false">
      <c r="A110" s="70"/>
      <c r="B110" s="70"/>
      <c r="C110" s="70"/>
      <c r="D110" s="70"/>
      <c r="E110" s="70"/>
      <c r="F110" s="70"/>
      <c r="G110" s="70"/>
      <c r="H110" s="70"/>
      <c r="I110" s="70"/>
      <c r="J110" s="70"/>
      <c r="K110" s="70"/>
      <c r="L110" s="70"/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23"/>
      <c r="AE110" s="23"/>
      <c r="AF110" s="23"/>
      <c r="AG110" s="23"/>
    </row>
    <row r="111" s="24" customFormat="true" ht="12.75" hidden="false" customHeight="false" outlineLevel="0" collapsed="false">
      <c r="A111" s="70"/>
      <c r="B111" s="70"/>
      <c r="C111" s="70"/>
      <c r="D111" s="70"/>
      <c r="E111" s="70"/>
      <c r="F111" s="70"/>
      <c r="G111" s="70"/>
      <c r="H111" s="70"/>
      <c r="I111" s="70"/>
      <c r="J111" s="70"/>
      <c r="K111" s="70"/>
      <c r="L111" s="70"/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23"/>
      <c r="AE111" s="23"/>
      <c r="AF111" s="23"/>
      <c r="AG111" s="23"/>
    </row>
    <row r="112" s="24" customFormat="true" ht="12.75" hidden="false" customHeight="false" outlineLevel="0" collapsed="false">
      <c r="A112" s="70"/>
      <c r="B112" s="70"/>
      <c r="C112" s="70"/>
      <c r="D112" s="70"/>
      <c r="E112" s="70"/>
      <c r="F112" s="70"/>
      <c r="G112" s="70"/>
      <c r="H112" s="70"/>
      <c r="I112" s="70"/>
      <c r="J112" s="70"/>
      <c r="K112" s="70"/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23"/>
      <c r="AE112" s="23"/>
      <c r="AF112" s="23"/>
      <c r="AG112" s="23"/>
    </row>
    <row r="113" s="24" customFormat="true" ht="12.75" hidden="false" customHeight="false" outlineLevel="0" collapsed="false">
      <c r="A113" s="70"/>
      <c r="B113" s="70"/>
      <c r="C113" s="70"/>
      <c r="D113" s="70"/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23"/>
      <c r="AE113" s="23"/>
      <c r="AF113" s="23"/>
      <c r="AG113" s="23"/>
    </row>
    <row r="114" s="24" customFormat="true" ht="12.75" hidden="false" customHeight="false" outlineLevel="0" collapsed="false">
      <c r="A114" s="70"/>
      <c r="B114" s="70"/>
      <c r="C114" s="70"/>
      <c r="D114" s="70"/>
      <c r="E114" s="70"/>
      <c r="F114" s="70"/>
      <c r="G114" s="70"/>
      <c r="H114" s="70"/>
      <c r="I114" s="70"/>
      <c r="J114" s="70"/>
      <c r="K114" s="70"/>
      <c r="L114" s="70"/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23"/>
      <c r="AE114" s="23"/>
      <c r="AF114" s="23"/>
      <c r="AG114" s="23"/>
    </row>
    <row r="115" s="24" customFormat="true" ht="12.75" hidden="false" customHeight="false" outlineLevel="0" collapsed="false">
      <c r="A115" s="70"/>
      <c r="B115" s="70"/>
      <c r="C115" s="70"/>
      <c r="D115" s="70"/>
      <c r="E115" s="70"/>
      <c r="F115" s="70"/>
      <c r="G115" s="70"/>
      <c r="H115" s="70"/>
      <c r="I115" s="70"/>
      <c r="J115" s="70"/>
      <c r="K115" s="70"/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23"/>
      <c r="AE115" s="23"/>
      <c r="AF115" s="23"/>
      <c r="AG115" s="23"/>
    </row>
    <row r="116" s="24" customFormat="true" ht="12.75" hidden="false" customHeight="false" outlineLevel="0" collapsed="false">
      <c r="A116" s="70"/>
      <c r="B116" s="70"/>
      <c r="C116" s="70"/>
      <c r="D116" s="70"/>
      <c r="E116" s="70"/>
      <c r="F116" s="70"/>
      <c r="G116" s="70"/>
      <c r="H116" s="70"/>
      <c r="I116" s="70"/>
      <c r="J116" s="70"/>
      <c r="K116" s="70"/>
      <c r="L116" s="70"/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23"/>
      <c r="AE116" s="23"/>
      <c r="AF116" s="23"/>
      <c r="AG116" s="23"/>
    </row>
    <row r="117" s="24" customFormat="true" ht="12.75" hidden="false" customHeight="false" outlineLevel="0" collapsed="false">
      <c r="A117" s="70"/>
      <c r="B117" s="70"/>
      <c r="C117" s="70"/>
      <c r="D117" s="70"/>
      <c r="E117" s="70"/>
      <c r="F117" s="70"/>
      <c r="G117" s="70"/>
      <c r="H117" s="70"/>
      <c r="I117" s="70"/>
      <c r="J117" s="70"/>
      <c r="K117" s="70"/>
      <c r="L117" s="70"/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23"/>
      <c r="AE117" s="23"/>
      <c r="AF117" s="23"/>
      <c r="AG117" s="23"/>
    </row>
    <row r="118" s="24" customFormat="true" ht="12.75" hidden="false" customHeight="false" outlineLevel="0" collapsed="false">
      <c r="A118" s="70"/>
      <c r="B118" s="70"/>
      <c r="C118" s="70"/>
      <c r="D118" s="70"/>
      <c r="E118" s="70"/>
      <c r="F118" s="70"/>
      <c r="G118" s="70"/>
      <c r="H118" s="70"/>
      <c r="I118" s="70"/>
      <c r="J118" s="70"/>
      <c r="K118" s="70"/>
      <c r="L118" s="70"/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23"/>
      <c r="AE118" s="23"/>
      <c r="AF118" s="23"/>
      <c r="AG118" s="23"/>
    </row>
    <row r="119" s="24" customFormat="true" ht="12.75" hidden="false" customHeight="false" outlineLevel="0" collapsed="false">
      <c r="A119" s="70"/>
      <c r="B119" s="70"/>
      <c r="C119" s="70"/>
      <c r="D119" s="70"/>
      <c r="E119" s="70"/>
      <c r="F119" s="70"/>
      <c r="G119" s="70"/>
      <c r="H119" s="70"/>
      <c r="I119" s="70"/>
      <c r="J119" s="70"/>
      <c r="K119" s="70"/>
      <c r="L119" s="70"/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23"/>
      <c r="AE119" s="23"/>
      <c r="AF119" s="23"/>
      <c r="AG119" s="23"/>
    </row>
    <row r="120" s="24" customFormat="true" ht="12.75" hidden="false" customHeight="false" outlineLevel="0" collapsed="false">
      <c r="A120" s="70"/>
      <c r="B120" s="70"/>
      <c r="C120" s="70"/>
      <c r="D120" s="70"/>
      <c r="E120" s="70"/>
      <c r="F120" s="70"/>
      <c r="G120" s="70"/>
      <c r="H120" s="70"/>
      <c r="I120" s="70"/>
      <c r="J120" s="70"/>
      <c r="K120" s="70"/>
      <c r="L120" s="70"/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23"/>
      <c r="AE120" s="23"/>
      <c r="AF120" s="23"/>
      <c r="AG120" s="23"/>
    </row>
    <row r="121" s="24" customFormat="true" ht="12.75" hidden="false" customHeight="false" outlineLevel="0" collapsed="false">
      <c r="A121" s="70"/>
      <c r="B121" s="70"/>
      <c r="C121" s="70"/>
      <c r="D121" s="70"/>
      <c r="E121" s="70"/>
      <c r="F121" s="70"/>
      <c r="G121" s="70"/>
      <c r="H121" s="70"/>
      <c r="I121" s="70"/>
      <c r="J121" s="70"/>
      <c r="K121" s="70"/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23"/>
      <c r="AE121" s="23"/>
      <c r="AF121" s="23"/>
      <c r="AG121" s="23"/>
    </row>
    <row r="122" s="24" customFormat="true" ht="12.75" hidden="false" customHeight="false" outlineLevel="0" collapsed="false">
      <c r="A122" s="70"/>
      <c r="B122" s="70"/>
      <c r="C122" s="70"/>
      <c r="D122" s="70"/>
      <c r="E122" s="70"/>
      <c r="F122" s="70"/>
      <c r="G122" s="70"/>
      <c r="H122" s="70"/>
      <c r="I122" s="70"/>
      <c r="J122" s="70"/>
      <c r="K122" s="70"/>
      <c r="L122" s="70"/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23"/>
      <c r="AE122" s="23"/>
      <c r="AF122" s="23"/>
      <c r="AG122" s="23"/>
    </row>
    <row r="123" s="24" customFormat="true" ht="12.75" hidden="false" customHeight="false" outlineLevel="0" collapsed="false">
      <c r="A123" s="70"/>
      <c r="B123" s="70"/>
      <c r="C123" s="70"/>
      <c r="D123" s="70"/>
      <c r="E123" s="70"/>
      <c r="F123" s="70"/>
      <c r="G123" s="70"/>
      <c r="H123" s="70"/>
      <c r="I123" s="70"/>
      <c r="J123" s="70"/>
      <c r="K123" s="70"/>
      <c r="L123" s="70"/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23"/>
      <c r="AE123" s="23"/>
      <c r="AF123" s="23"/>
      <c r="AG123" s="23"/>
    </row>
    <row r="124" s="24" customFormat="true" ht="12.75" hidden="false" customHeight="false" outlineLevel="0" collapsed="false">
      <c r="A124" s="70"/>
      <c r="B124" s="70"/>
      <c r="C124" s="70"/>
      <c r="D124" s="70"/>
      <c r="E124" s="70"/>
      <c r="F124" s="70"/>
      <c r="G124" s="70"/>
      <c r="H124" s="70"/>
      <c r="I124" s="70"/>
      <c r="J124" s="70"/>
      <c r="K124" s="70"/>
      <c r="L124" s="70"/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23"/>
      <c r="AE124" s="23"/>
      <c r="AF124" s="23"/>
      <c r="AG124" s="23"/>
    </row>
    <row r="125" s="24" customFormat="true" ht="12.75" hidden="false" customHeight="false" outlineLevel="0" collapsed="false">
      <c r="A125" s="70"/>
      <c r="B125" s="70"/>
      <c r="C125" s="70"/>
      <c r="D125" s="70"/>
      <c r="E125" s="70"/>
      <c r="F125" s="70"/>
      <c r="G125" s="70"/>
      <c r="H125" s="70"/>
      <c r="I125" s="70"/>
      <c r="J125" s="70"/>
      <c r="K125" s="70"/>
      <c r="L125" s="70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23"/>
      <c r="AE125" s="23"/>
      <c r="AF125" s="23"/>
      <c r="AG125" s="23"/>
    </row>
    <row r="126" s="24" customFormat="true" ht="12.75" hidden="false" customHeight="false" outlineLevel="0" collapsed="false">
      <c r="A126" s="70"/>
      <c r="B126" s="70"/>
      <c r="C126" s="70"/>
      <c r="D126" s="70"/>
      <c r="E126" s="70"/>
      <c r="F126" s="70"/>
      <c r="G126" s="70"/>
      <c r="H126" s="70"/>
      <c r="I126" s="70"/>
      <c r="J126" s="70"/>
      <c r="K126" s="70"/>
      <c r="L126" s="70"/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23"/>
      <c r="AE126" s="23"/>
      <c r="AF126" s="23"/>
      <c r="AG126" s="23"/>
    </row>
    <row r="127" s="24" customFormat="true" ht="12.75" hidden="false" customHeight="false" outlineLevel="0" collapsed="false">
      <c r="A127" s="70"/>
      <c r="B127" s="70"/>
      <c r="C127" s="70"/>
      <c r="D127" s="70"/>
      <c r="E127" s="70"/>
      <c r="F127" s="70"/>
      <c r="G127" s="70"/>
      <c r="H127" s="70"/>
      <c r="I127" s="70"/>
      <c r="J127" s="70"/>
      <c r="K127" s="70"/>
      <c r="L127" s="70"/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23"/>
      <c r="AE127" s="23"/>
      <c r="AF127" s="23"/>
      <c r="AG127" s="23"/>
    </row>
    <row r="128" s="24" customFormat="true" ht="12.75" hidden="false" customHeight="false" outlineLevel="0" collapsed="false">
      <c r="A128" s="70"/>
      <c r="B128" s="70"/>
      <c r="C128" s="70"/>
      <c r="D128" s="70"/>
      <c r="E128" s="70"/>
      <c r="F128" s="70"/>
      <c r="G128" s="70"/>
      <c r="H128" s="70"/>
      <c r="I128" s="70"/>
      <c r="J128" s="70"/>
      <c r="K128" s="70"/>
      <c r="L128" s="70"/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23"/>
      <c r="AE128" s="23"/>
      <c r="AF128" s="23"/>
      <c r="AG128" s="23"/>
    </row>
    <row r="129" s="24" customFormat="true" ht="12.75" hidden="false" customHeight="false" outlineLevel="0" collapsed="false">
      <c r="A129" s="70"/>
      <c r="B129" s="70"/>
      <c r="C129" s="70"/>
      <c r="D129" s="70"/>
      <c r="E129" s="70"/>
      <c r="F129" s="70"/>
      <c r="G129" s="70"/>
      <c r="H129" s="70"/>
      <c r="I129" s="70"/>
      <c r="J129" s="70"/>
      <c r="K129" s="70"/>
      <c r="L129" s="70"/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23"/>
      <c r="AE129" s="23"/>
      <c r="AF129" s="23"/>
      <c r="AG129" s="23"/>
    </row>
    <row r="130" s="24" customFormat="true" ht="12.75" hidden="false" customHeight="false" outlineLevel="0" collapsed="false">
      <c r="A130" s="70"/>
      <c r="B130" s="70"/>
      <c r="C130" s="70"/>
      <c r="D130" s="70"/>
      <c r="E130" s="70"/>
      <c r="F130" s="70"/>
      <c r="G130" s="70"/>
      <c r="H130" s="70"/>
      <c r="I130" s="70"/>
      <c r="J130" s="70"/>
      <c r="K130" s="70"/>
      <c r="L130" s="70"/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23"/>
      <c r="AE130" s="23"/>
      <c r="AF130" s="23"/>
      <c r="AG130" s="23"/>
    </row>
    <row r="131" s="24" customFormat="true" ht="12.75" hidden="false" customHeight="false" outlineLevel="0" collapsed="false">
      <c r="A131" s="70"/>
      <c r="B131" s="70"/>
      <c r="C131" s="70"/>
      <c r="D131" s="70"/>
      <c r="E131" s="70"/>
      <c r="F131" s="70"/>
      <c r="G131" s="70"/>
      <c r="H131" s="70"/>
      <c r="I131" s="70"/>
      <c r="J131" s="70"/>
      <c r="K131" s="70"/>
      <c r="L131" s="70"/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23"/>
      <c r="AE131" s="23"/>
      <c r="AF131" s="23"/>
      <c r="AG131" s="23"/>
    </row>
    <row r="132" s="24" customFormat="true" ht="12.75" hidden="false" customHeight="false" outlineLevel="0" collapsed="false">
      <c r="A132" s="70"/>
      <c r="B132" s="70"/>
      <c r="C132" s="70"/>
      <c r="D132" s="70"/>
      <c r="E132" s="70"/>
      <c r="F132" s="70"/>
      <c r="G132" s="70"/>
      <c r="H132" s="70"/>
      <c r="I132" s="70"/>
      <c r="J132" s="70"/>
      <c r="K132" s="70"/>
      <c r="L132" s="70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23"/>
      <c r="AE132" s="23"/>
      <c r="AF132" s="23"/>
      <c r="AG132" s="23"/>
    </row>
    <row r="133" s="24" customFormat="true" ht="12.75" hidden="false" customHeight="false" outlineLevel="0" collapsed="false">
      <c r="A133" s="70"/>
      <c r="B133" s="70"/>
      <c r="C133" s="70"/>
      <c r="D133" s="70"/>
      <c r="E133" s="70"/>
      <c r="F133" s="70"/>
      <c r="G133" s="70"/>
      <c r="H133" s="70"/>
      <c r="I133" s="70"/>
      <c r="J133" s="70"/>
      <c r="K133" s="70"/>
      <c r="L133" s="70"/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23"/>
      <c r="AE133" s="23"/>
      <c r="AF133" s="23"/>
      <c r="AG133" s="23"/>
    </row>
    <row r="134" s="24" customFormat="true" ht="12.75" hidden="false" customHeight="false" outlineLevel="0" collapsed="false">
      <c r="A134" s="70"/>
      <c r="B134" s="70"/>
      <c r="C134" s="70"/>
      <c r="D134" s="70"/>
      <c r="E134" s="70"/>
      <c r="F134" s="70"/>
      <c r="G134" s="70"/>
      <c r="H134" s="70"/>
      <c r="I134" s="70"/>
      <c r="J134" s="70"/>
      <c r="K134" s="70"/>
      <c r="L134" s="70"/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23"/>
      <c r="AE134" s="23"/>
      <c r="AF134" s="23"/>
      <c r="AG134" s="23"/>
    </row>
    <row r="135" s="24" customFormat="true" ht="12.75" hidden="false" customHeight="false" outlineLevel="0" collapsed="false">
      <c r="A135" s="70"/>
      <c r="B135" s="70"/>
      <c r="C135" s="70"/>
      <c r="D135" s="70"/>
      <c r="E135" s="70"/>
      <c r="F135" s="70"/>
      <c r="G135" s="70"/>
      <c r="H135" s="70"/>
      <c r="I135" s="70"/>
      <c r="J135" s="70"/>
      <c r="K135" s="70"/>
      <c r="L135" s="70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23"/>
      <c r="AE135" s="23"/>
      <c r="AF135" s="23"/>
      <c r="AG135" s="23"/>
    </row>
    <row r="136" s="24" customFormat="true" ht="12.75" hidden="false" customHeight="false" outlineLevel="0" collapsed="false">
      <c r="A136" s="70"/>
      <c r="B136" s="70"/>
      <c r="C136" s="70"/>
      <c r="D136" s="70"/>
      <c r="E136" s="70"/>
      <c r="F136" s="70"/>
      <c r="G136" s="70"/>
      <c r="H136" s="70"/>
      <c r="I136" s="70"/>
      <c r="J136" s="70"/>
      <c r="K136" s="70"/>
      <c r="L136" s="70"/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23"/>
      <c r="AE136" s="23"/>
      <c r="AF136" s="23"/>
      <c r="AG136" s="23"/>
    </row>
  </sheetData>
  <mergeCells count="19">
    <mergeCell ref="A1:AB1"/>
    <mergeCell ref="A2:AB2"/>
    <mergeCell ref="A3:AB3"/>
    <mergeCell ref="A4:AB4"/>
    <mergeCell ref="A5:AB5"/>
    <mergeCell ref="A6:AB6"/>
    <mergeCell ref="D7:AB7"/>
    <mergeCell ref="A8:AB8"/>
    <mergeCell ref="A9:A10"/>
    <mergeCell ref="B9:B10"/>
    <mergeCell ref="C9:C10"/>
    <mergeCell ref="D9:D10"/>
    <mergeCell ref="M9:Y9"/>
    <mergeCell ref="AB9:AB10"/>
    <mergeCell ref="A51:D51"/>
    <mergeCell ref="A53:C53"/>
    <mergeCell ref="E53:AB53"/>
    <mergeCell ref="A59:C59"/>
    <mergeCell ref="M59:AB59"/>
  </mergeCells>
  <printOptions headings="false" gridLines="false" gridLinesSet="true" horizontalCentered="false" verticalCentered="false"/>
  <pageMargins left="0.7" right="0.159722222222222" top="0.270138888888889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W69"/>
  <sheetViews>
    <sheetView showFormulas="false" showGridLines="true" showRowColHeaders="true" showZeros="true" rightToLeft="false" tabSelected="false" showOutlineSymbols="true" defaultGridColor="true" view="normal" topLeftCell="A8" colorId="64" zoomScale="85" zoomScaleNormal="85" zoomScalePageLayoutView="100" workbookViewId="0">
      <selection pane="topLeft" activeCell="J32" activeCellId="0" sqref="J32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7.86"/>
    <col collapsed="false" customWidth="true" hidden="false" outlineLevel="0" max="3" min="3" style="1" width="16.85"/>
    <col collapsed="false" customWidth="true" hidden="true" outlineLevel="0" max="4" min="4" style="1" width="9.42"/>
    <col collapsed="false" customWidth="true" hidden="true" outlineLevel="0" max="5" min="5" style="1" width="9.57"/>
    <col collapsed="false" customWidth="true" hidden="true" outlineLevel="0" max="6" min="6" style="1" width="9.14"/>
    <col collapsed="false" customWidth="true" hidden="false" outlineLevel="0" max="12" min="7" style="1" width="11.71"/>
    <col collapsed="false" customWidth="true" hidden="true" outlineLevel="0" max="15" min="13" style="1" width="8.57"/>
    <col collapsed="false" customWidth="true" hidden="false" outlineLevel="0" max="18" min="16" style="1" width="11.71"/>
    <col collapsed="false" customWidth="true" hidden="false" outlineLevel="0" max="19" min="19" style="1" width="7.86"/>
  </cols>
  <sheetData>
    <row r="1" customFormat="false" ht="20.25" hidden="false" customHeight="true" outlineLevel="0" collapsed="false">
      <c r="A1" s="2" t="s">
        <v>28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3"/>
      <c r="V1" s="4"/>
      <c r="W1" s="4"/>
    </row>
    <row r="2" customFormat="false" ht="18.75" hidden="false" customHeight="true" outlineLevel="0" collapsed="false">
      <c r="A2" s="5" t="str">
        <f>"Kèm theo BBNT số: "&amp;VLOOKUP(AZ2,'[1]Tuyến XD8'!$A$2:$G$60,7,0)&amp;VLOOKUP(AZ2,'[1]Tuyến XD8'!$A$2:$G$60,4,0)</f>
        <v xml:space="preserve">Kèm theo BBNT số: 61.NĐXD8/CVXD ngày 15 tháng 09 năm 2026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6"/>
      <c r="U2" s="7"/>
      <c r="V2" s="7"/>
      <c r="W2" s="7"/>
      <c r="AZ2">
        <v>61</v>
      </c>
    </row>
    <row r="3" customFormat="false" ht="18.75" hidden="false" customHeight="true" outlineLevel="0" collapsed="false">
      <c r="A3" s="8" t="s">
        <v>30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</row>
    <row r="4" customFormat="false" ht="18.75" hidden="false" customHeight="true" outlineLevel="0" collapsed="false">
      <c r="A4" s="8" t="s">
        <v>31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</row>
    <row r="5" customFormat="false" ht="18.75" hidden="false" customHeight="true" outlineLevel="0" collapsed="false">
      <c r="A5" s="8" t="s">
        <v>32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</row>
    <row r="6" customFormat="false" ht="18.75" hidden="false" customHeight="true" outlineLevel="0" collapsed="false">
      <c r="A6" s="8" t="s">
        <v>33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</row>
    <row r="7" customFormat="false" ht="18.75" hidden="false" customHeight="true" outlineLevel="0" collapsed="false">
      <c r="A7" s="9" t="s">
        <v>34</v>
      </c>
      <c r="C7" s="8"/>
      <c r="D7" s="8"/>
      <c r="E7" s="8"/>
      <c r="F7" s="8"/>
      <c r="G7" s="8" t="str">
        <f>VLOOKUP(AZ2,'[1]Tuyến XD8'!$A$2:$B$60,2,0)</f>
        <v xml:space="preserve">Đắp cát nền đường lớp 2 đoạn từ Km0+489,19 - Km0+609,11, độ chặt K&gt;=0,95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</row>
    <row r="8" customFormat="false" ht="18.75" hidden="false" customHeight="true" outlineLevel="0" collapsed="false">
      <c r="A8" s="9" t="s">
        <v>36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</row>
    <row r="21" customFormat="false" ht="15" hidden="false" customHeight="true" outlineLevel="0" collapsed="false">
      <c r="A21" s="10" t="s">
        <v>37</v>
      </c>
      <c r="B21" s="10" t="s">
        <v>38</v>
      </c>
      <c r="C21" s="10" t="s">
        <v>39</v>
      </c>
      <c r="D21" s="11" t="s">
        <v>40</v>
      </c>
      <c r="E21" s="11"/>
      <c r="F21" s="11"/>
      <c r="G21" s="11"/>
      <c r="H21" s="11"/>
      <c r="I21" s="11"/>
      <c r="J21" s="11" t="s">
        <v>41</v>
      </c>
      <c r="K21" s="11"/>
      <c r="L21" s="11"/>
      <c r="M21" s="11" t="s">
        <v>42</v>
      </c>
      <c r="N21" s="11"/>
      <c r="O21" s="11"/>
      <c r="P21" s="11"/>
      <c r="Q21" s="11"/>
      <c r="R21" s="11"/>
      <c r="S21" s="10" t="s">
        <v>43</v>
      </c>
    </row>
    <row r="22" customFormat="false" ht="30" hidden="false" customHeight="true" outlineLevel="0" collapsed="false">
      <c r="A22" s="10"/>
      <c r="B22" s="10"/>
      <c r="C22" s="10"/>
      <c r="D22" s="12" t="s">
        <v>44</v>
      </c>
      <c r="E22" s="12" t="s">
        <v>45</v>
      </c>
      <c r="F22" s="12" t="s">
        <v>46</v>
      </c>
      <c r="G22" s="12" t="s">
        <v>47</v>
      </c>
      <c r="H22" s="12" t="s">
        <v>48</v>
      </c>
      <c r="I22" s="12" t="s">
        <v>49</v>
      </c>
      <c r="J22" s="12" t="s">
        <v>47</v>
      </c>
      <c r="K22" s="12" t="s">
        <v>48</v>
      </c>
      <c r="L22" s="12" t="s">
        <v>49</v>
      </c>
      <c r="M22" s="12" t="s">
        <v>44</v>
      </c>
      <c r="N22" s="12" t="s">
        <v>45</v>
      </c>
      <c r="O22" s="12" t="s">
        <v>46</v>
      </c>
      <c r="P22" s="12" t="s">
        <v>47</v>
      </c>
      <c r="Q22" s="12" t="s">
        <v>48</v>
      </c>
      <c r="R22" s="12" t="s">
        <v>49</v>
      </c>
      <c r="S22" s="10"/>
      <c r="T22" s="13"/>
    </row>
    <row r="23" customFormat="false" ht="15" hidden="false" customHeight="false" outlineLevel="0" collapsed="false">
      <c r="A23" s="14" t="n">
        <v>1</v>
      </c>
      <c r="B23" s="14" t="s">
        <v>17</v>
      </c>
      <c r="C23" s="71" t="n">
        <v>489.19</v>
      </c>
      <c r="D23" s="17" t="n">
        <f aca="false">+Chạy!F4</f>
        <v>-8.85</v>
      </c>
      <c r="E23" s="17" t="n">
        <f aca="false">+D23+F23</f>
        <v>-8.8426</v>
      </c>
      <c r="F23" s="17" t="n">
        <f aca="false">RANDBETWEEN(-105,115)/10000</f>
        <v>0.0074</v>
      </c>
      <c r="G23" s="17" t="n">
        <f aca="false">+Chạy!G4</f>
        <v>-1.05</v>
      </c>
      <c r="H23" s="17" t="n">
        <f aca="false">G23+I23</f>
        <v>-1.059</v>
      </c>
      <c r="I23" s="17" t="n">
        <f aca="false">RANDBETWEEN(-30,90)/1000</f>
        <v>-0.009</v>
      </c>
      <c r="J23" s="17" t="n">
        <f aca="false">+Chạy!K4</f>
        <v>-1.05</v>
      </c>
      <c r="K23" s="17" t="n">
        <f aca="false">J23+L23</f>
        <v>-1.035</v>
      </c>
      <c r="L23" s="17" t="n">
        <f aca="false">RANDBETWEEN(-30,90)/1000</f>
        <v>0.015</v>
      </c>
      <c r="M23" s="17" t="n">
        <f aca="false">+Chạy!N4</f>
        <v>5.65</v>
      </c>
      <c r="N23" s="17" t="n">
        <f aca="false">+M23+O23</f>
        <v>5.6516</v>
      </c>
      <c r="O23" s="17" t="n">
        <f aca="false">RANDBETWEEN(-105,115)/10000</f>
        <v>0.0016</v>
      </c>
      <c r="P23" s="17" t="n">
        <f aca="false">+Chạy!O4</f>
        <v>-1.05</v>
      </c>
      <c r="Q23" s="17" t="n">
        <f aca="false">P23+R23</f>
        <v>-0.976</v>
      </c>
      <c r="R23" s="17" t="n">
        <f aca="false">RANDBETWEEN(-30,90)/1000</f>
        <v>0.074</v>
      </c>
      <c r="S23" s="18"/>
      <c r="T23" s="0" t="n">
        <v>13.17</v>
      </c>
    </row>
    <row r="24" customFormat="false" ht="15" hidden="false" customHeight="false" outlineLevel="0" collapsed="false">
      <c r="A24" s="14" t="n">
        <v>2</v>
      </c>
      <c r="B24" s="14" t="s">
        <v>18</v>
      </c>
      <c r="C24" s="71" t="n">
        <f aca="false">+C23+T23</f>
        <v>502.36</v>
      </c>
      <c r="D24" s="17" t="n">
        <f aca="false">+Chạy!F8</f>
        <v>-9.87</v>
      </c>
      <c r="E24" s="17" t="n">
        <f aca="false">+D24+F24</f>
        <v>-9.8678</v>
      </c>
      <c r="F24" s="17" t="n">
        <f aca="false">RANDBETWEEN(-105,115)/10000</f>
        <v>0.0022</v>
      </c>
      <c r="G24" s="17" t="n">
        <f aca="false">+Chạy!G8</f>
        <v>-1.05</v>
      </c>
      <c r="H24" s="17" t="n">
        <f aca="false">G24+I24</f>
        <v>-1.054</v>
      </c>
      <c r="I24" s="17" t="n">
        <f aca="false">RANDBETWEEN(-30,90)/1000</f>
        <v>-0.004</v>
      </c>
      <c r="J24" s="17" t="n">
        <f aca="false">+Chạy!K8</f>
        <v>-1.05</v>
      </c>
      <c r="K24" s="17" t="n">
        <f aca="false">J24+L24</f>
        <v>-0.995</v>
      </c>
      <c r="L24" s="17" t="n">
        <f aca="false">RANDBETWEEN(-30,90)/1000</f>
        <v>0.055</v>
      </c>
      <c r="M24" s="17" t="n">
        <f aca="false">+Chạy!N8</f>
        <v>9.77</v>
      </c>
      <c r="N24" s="17" t="n">
        <f aca="false">+M24+O24</f>
        <v>9.7739</v>
      </c>
      <c r="O24" s="17" t="n">
        <f aca="false">RANDBETWEEN(-105,115)/10000</f>
        <v>0.0039</v>
      </c>
      <c r="P24" s="17" t="n">
        <f aca="false">+Chạy!O8</f>
        <v>-1.05</v>
      </c>
      <c r="Q24" s="17" t="n">
        <f aca="false">P24+R24</f>
        <v>-0.978</v>
      </c>
      <c r="R24" s="17" t="n">
        <f aca="false">RANDBETWEEN(-30,90)/1000</f>
        <v>0.072</v>
      </c>
      <c r="S24" s="18"/>
      <c r="T24" s="0" t="n">
        <v>10.48</v>
      </c>
    </row>
    <row r="25" customFormat="false" ht="15" hidden="false" customHeight="false" outlineLevel="0" collapsed="false">
      <c r="A25" s="14" t="n">
        <v>3</v>
      </c>
      <c r="B25" s="14" t="s">
        <v>19</v>
      </c>
      <c r="C25" s="71" t="n">
        <f aca="false">+C24+T24</f>
        <v>512.84</v>
      </c>
      <c r="D25" s="17" t="n">
        <f aca="false">+Chạy!F12</f>
        <v>-9.31</v>
      </c>
      <c r="E25" s="17" t="n">
        <f aca="false">+D25+F25</f>
        <v>-9.3068</v>
      </c>
      <c r="F25" s="17" t="n">
        <f aca="false">RANDBETWEEN(-105,115)/10000</f>
        <v>0.0032</v>
      </c>
      <c r="G25" s="17" t="n">
        <f aca="false">+Chạy!G12</f>
        <v>-1.05</v>
      </c>
      <c r="H25" s="17" t="n">
        <f aca="false">G25+I25</f>
        <v>-1.021</v>
      </c>
      <c r="I25" s="17" t="n">
        <f aca="false">RANDBETWEEN(-30,90)/1000</f>
        <v>0.029</v>
      </c>
      <c r="J25" s="17" t="n">
        <f aca="false">+Chạy!K12</f>
        <v>-1.05</v>
      </c>
      <c r="K25" s="17" t="n">
        <f aca="false">J25+L25</f>
        <v>-1.056</v>
      </c>
      <c r="L25" s="17" t="n">
        <f aca="false">RANDBETWEEN(-30,90)/1000</f>
        <v>-0.006</v>
      </c>
      <c r="M25" s="17" t="n">
        <f aca="false">+Chạy!N12</f>
        <v>9.68</v>
      </c>
      <c r="N25" s="17" t="n">
        <f aca="false">+M25+O25</f>
        <v>9.6842</v>
      </c>
      <c r="O25" s="17" t="n">
        <f aca="false">RANDBETWEEN(-105,115)/10000</f>
        <v>0.0042</v>
      </c>
      <c r="P25" s="17" t="n">
        <f aca="false">+Chạy!O12</f>
        <v>-1.05</v>
      </c>
      <c r="Q25" s="17" t="n">
        <f aca="false">P25+R25</f>
        <v>-1.049</v>
      </c>
      <c r="R25" s="17" t="n">
        <f aca="false">RANDBETWEEN(-30,90)/1000</f>
        <v>0.001</v>
      </c>
      <c r="S25" s="18"/>
      <c r="T25" s="0" t="n">
        <v>16.78</v>
      </c>
    </row>
    <row r="26" customFormat="false" ht="15" hidden="false" customHeight="false" outlineLevel="0" collapsed="false">
      <c r="A26" s="14" t="n">
        <v>4</v>
      </c>
      <c r="B26" s="14" t="s">
        <v>20</v>
      </c>
      <c r="C26" s="71" t="n">
        <f aca="false">+C25+T25</f>
        <v>529.62</v>
      </c>
      <c r="D26" s="17" t="n">
        <f aca="false">+Chạy!F16</f>
        <v>-9.74</v>
      </c>
      <c r="E26" s="17" t="n">
        <f aca="false">+D26+F26</f>
        <v>-9.7446</v>
      </c>
      <c r="F26" s="17" t="n">
        <f aca="false">RANDBETWEEN(-105,115)/10000</f>
        <v>-0.0046</v>
      </c>
      <c r="G26" s="17" t="n">
        <f aca="false">+Chạy!G16</f>
        <v>-1.05</v>
      </c>
      <c r="H26" s="17" t="n">
        <f aca="false">G26+I26</f>
        <v>-1.077</v>
      </c>
      <c r="I26" s="17" t="n">
        <f aca="false">RANDBETWEEN(-30,90)/1000</f>
        <v>-0.027</v>
      </c>
      <c r="J26" s="17" t="n">
        <f aca="false">+Chạy!K16</f>
        <v>-1.05</v>
      </c>
      <c r="K26" s="17" t="n">
        <f aca="false">J26+L26</f>
        <v>-1.031</v>
      </c>
      <c r="L26" s="17" t="n">
        <f aca="false">RANDBETWEEN(-30,90)/1000</f>
        <v>0.019</v>
      </c>
      <c r="M26" s="17" t="n">
        <f aca="false">+Chạy!N16</f>
        <v>9.82</v>
      </c>
      <c r="N26" s="17" t="n">
        <f aca="false">+M26+O26</f>
        <v>9.8171</v>
      </c>
      <c r="O26" s="17" t="n">
        <f aca="false">RANDBETWEEN(-105,115)/10000</f>
        <v>-0.0029</v>
      </c>
      <c r="P26" s="17" t="n">
        <f aca="false">+Chạy!O16</f>
        <v>-1.05</v>
      </c>
      <c r="Q26" s="17" t="n">
        <f aca="false">P26+R26</f>
        <v>-1.031</v>
      </c>
      <c r="R26" s="17" t="n">
        <f aca="false">RANDBETWEEN(-30,90)/1000</f>
        <v>0.019</v>
      </c>
      <c r="S26" s="18"/>
      <c r="T26" s="0" t="n">
        <v>17.1</v>
      </c>
    </row>
    <row r="27" customFormat="false" ht="15" hidden="false" customHeight="false" outlineLevel="0" collapsed="false">
      <c r="A27" s="14" t="n">
        <v>5</v>
      </c>
      <c r="B27" s="14" t="s">
        <v>21</v>
      </c>
      <c r="C27" s="71" t="n">
        <f aca="false">+C26+T26</f>
        <v>546.72</v>
      </c>
      <c r="D27" s="17" t="n">
        <f aca="false">+Chạy!F20</f>
        <v>-5.65</v>
      </c>
      <c r="E27" s="17" t="n">
        <f aca="false">+D27+F27</f>
        <v>-5.6408</v>
      </c>
      <c r="F27" s="17" t="n">
        <f aca="false">RANDBETWEEN(-105,115)/10000</f>
        <v>0.0092</v>
      </c>
      <c r="G27" s="17" t="n">
        <f aca="false">+Chạy!G20</f>
        <v>-1.05</v>
      </c>
      <c r="H27" s="17" t="n">
        <f aca="false">G27+I27</f>
        <v>-1.039</v>
      </c>
      <c r="I27" s="17" t="n">
        <f aca="false">RANDBETWEEN(-30,90)/1000</f>
        <v>0.011</v>
      </c>
      <c r="J27" s="17" t="n">
        <f aca="false">+Chạy!K20</f>
        <v>-1.05</v>
      </c>
      <c r="K27" s="17" t="n">
        <f aca="false">J27+L27</f>
        <v>-1.043</v>
      </c>
      <c r="L27" s="17" t="n">
        <f aca="false">RANDBETWEEN(-30,90)/1000</f>
        <v>0.007</v>
      </c>
      <c r="M27" s="17" t="n">
        <f aca="false">+Chạy!N20</f>
        <v>8.89</v>
      </c>
      <c r="N27" s="17" t="n">
        <f aca="false">+M27+O27</f>
        <v>8.8918</v>
      </c>
      <c r="O27" s="17" t="n">
        <f aca="false">RANDBETWEEN(-105,115)/10000</f>
        <v>0.0018</v>
      </c>
      <c r="P27" s="17" t="n">
        <f aca="false">+Chạy!O20</f>
        <v>-1.05</v>
      </c>
      <c r="Q27" s="17" t="n">
        <f aca="false">P27+R27</f>
        <v>-1.061</v>
      </c>
      <c r="R27" s="17" t="n">
        <f aca="false">RANDBETWEEN(-30,90)/1000</f>
        <v>-0.011</v>
      </c>
      <c r="S27" s="18"/>
      <c r="T27" s="0" t="n">
        <v>15.15</v>
      </c>
    </row>
    <row r="28" customFormat="false" ht="15" hidden="false" customHeight="false" outlineLevel="0" collapsed="false">
      <c r="A28" s="14" t="n">
        <v>6</v>
      </c>
      <c r="B28" s="14" t="s">
        <v>22</v>
      </c>
      <c r="C28" s="71" t="n">
        <f aca="false">+C27+T27</f>
        <v>561.87</v>
      </c>
      <c r="D28" s="17" t="n">
        <f aca="false">+Chạy!F24</f>
        <v>-9.39</v>
      </c>
      <c r="E28" s="17" t="n">
        <f aca="false">+D28+F28</f>
        <v>-9.3875</v>
      </c>
      <c r="F28" s="17" t="n">
        <f aca="false">RANDBETWEEN(-105,115)/10000</f>
        <v>0.0025</v>
      </c>
      <c r="G28" s="17" t="n">
        <f aca="false">+Chạy!G24</f>
        <v>-1.05</v>
      </c>
      <c r="H28" s="17" t="n">
        <f aca="false">G28+I28</f>
        <v>-1.065</v>
      </c>
      <c r="I28" s="17" t="n">
        <f aca="false">RANDBETWEEN(-30,90)/1000</f>
        <v>-0.015</v>
      </c>
      <c r="J28" s="17" t="n">
        <f aca="false">+Chạy!K24</f>
        <v>-1.05</v>
      </c>
      <c r="K28" s="17" t="n">
        <f aca="false">J28+L28</f>
        <v>-0.994</v>
      </c>
      <c r="L28" s="17" t="n">
        <f aca="false">RANDBETWEEN(-30,90)/1000</f>
        <v>0.056</v>
      </c>
      <c r="M28" s="17" t="n">
        <f aca="false">+Chạy!N24</f>
        <v>9.52</v>
      </c>
      <c r="N28" s="17" t="n">
        <f aca="false">+M28+O28</f>
        <v>9.5275</v>
      </c>
      <c r="O28" s="17" t="n">
        <f aca="false">RANDBETWEEN(-105,115)/10000</f>
        <v>0.0075</v>
      </c>
      <c r="P28" s="17" t="n">
        <f aca="false">+Chạy!O24</f>
        <v>-1.05</v>
      </c>
      <c r="Q28" s="17" t="n">
        <f aca="false">P28+R28</f>
        <v>-0.995</v>
      </c>
      <c r="R28" s="17" t="n">
        <f aca="false">RANDBETWEEN(-30,90)/1000</f>
        <v>0.055</v>
      </c>
      <c r="S28" s="18"/>
      <c r="T28" s="0" t="n">
        <v>0.15</v>
      </c>
    </row>
    <row r="29" customFormat="false" ht="15" hidden="false" customHeight="false" outlineLevel="0" collapsed="false">
      <c r="A29" s="14" t="n">
        <v>7</v>
      </c>
      <c r="B29" s="14" t="s">
        <v>23</v>
      </c>
      <c r="C29" s="71" t="n">
        <f aca="false">+C28+T28</f>
        <v>562.02</v>
      </c>
      <c r="D29" s="17" t="n">
        <f aca="false">+Chạy!F28</f>
        <v>-9.39</v>
      </c>
      <c r="E29" s="17" t="n">
        <f aca="false">+D29+F29</f>
        <v>-9.3829</v>
      </c>
      <c r="F29" s="17" t="n">
        <f aca="false">RANDBETWEEN(-105,115)/10000</f>
        <v>0.0071</v>
      </c>
      <c r="G29" s="17" t="n">
        <f aca="false">+Chạy!G28</f>
        <v>-1.05</v>
      </c>
      <c r="H29" s="17" t="n">
        <f aca="false">G29+I29</f>
        <v>-0.976</v>
      </c>
      <c r="I29" s="17" t="n">
        <f aca="false">RANDBETWEEN(-30,90)/1000</f>
        <v>0.074</v>
      </c>
      <c r="J29" s="17" t="n">
        <f aca="false">+Chạy!K28</f>
        <v>-1.05</v>
      </c>
      <c r="K29" s="17" t="n">
        <f aca="false">J29+L29</f>
        <v>-1.035</v>
      </c>
      <c r="L29" s="17" t="n">
        <f aca="false">RANDBETWEEN(-30,90)/1000</f>
        <v>0.015</v>
      </c>
      <c r="M29" s="17" t="n">
        <f aca="false">+Chạy!N28</f>
        <v>9.53</v>
      </c>
      <c r="N29" s="17" t="n">
        <f aca="false">+M29+O29</f>
        <v>9.5375</v>
      </c>
      <c r="O29" s="17" t="n">
        <f aca="false">RANDBETWEEN(-105,115)/10000</f>
        <v>0.0075</v>
      </c>
      <c r="P29" s="17" t="n">
        <f aca="false">+Chạy!O28</f>
        <v>-1.05</v>
      </c>
      <c r="Q29" s="17" t="n">
        <f aca="false">P29+R29</f>
        <v>-1.045</v>
      </c>
      <c r="R29" s="17" t="n">
        <f aca="false">RANDBETWEEN(-30,90)/1000</f>
        <v>0.005</v>
      </c>
      <c r="S29" s="18"/>
      <c r="T29" s="0" t="n">
        <v>6.55</v>
      </c>
    </row>
    <row r="30" customFormat="false" ht="15" hidden="false" customHeight="false" outlineLevel="0" collapsed="false">
      <c r="A30" s="14" t="n">
        <v>8</v>
      </c>
      <c r="B30" s="14" t="s">
        <v>24</v>
      </c>
      <c r="C30" s="71" t="n">
        <f aca="false">+C29+T29</f>
        <v>568.57</v>
      </c>
      <c r="D30" s="17" t="n">
        <f aca="false">+Chạy!F32</f>
        <v>-9.56</v>
      </c>
      <c r="E30" s="17" t="n">
        <f aca="false">+D30+F30</f>
        <v>-9.5532</v>
      </c>
      <c r="F30" s="17" t="n">
        <f aca="false">RANDBETWEEN(-105,115)/10000</f>
        <v>0.0068</v>
      </c>
      <c r="G30" s="17" t="n">
        <f aca="false">+Chạy!G32</f>
        <v>-1.05</v>
      </c>
      <c r="H30" s="17" t="n">
        <f aca="false">G30+I30</f>
        <v>-1.033</v>
      </c>
      <c r="I30" s="17" t="n">
        <f aca="false">RANDBETWEEN(-30,90)/1000</f>
        <v>0.017</v>
      </c>
      <c r="J30" s="17" t="n">
        <f aca="false">+Chạy!K32</f>
        <v>-1.05</v>
      </c>
      <c r="K30" s="17" t="n">
        <f aca="false">J30+L30</f>
        <v>-0.985</v>
      </c>
      <c r="L30" s="17" t="n">
        <f aca="false">RANDBETWEEN(-30,90)/1000</f>
        <v>0.065</v>
      </c>
      <c r="M30" s="17" t="n">
        <f aca="false">+Chạy!N32</f>
        <v>9.88</v>
      </c>
      <c r="N30" s="17" t="n">
        <f aca="false">+M30+O30</f>
        <v>9.8841</v>
      </c>
      <c r="O30" s="17" t="n">
        <f aca="false">RANDBETWEEN(-105,115)/10000</f>
        <v>0.0041</v>
      </c>
      <c r="P30" s="17" t="n">
        <f aca="false">+Chạy!O32</f>
        <v>-1.05</v>
      </c>
      <c r="Q30" s="17" t="n">
        <f aca="false">P30+R30</f>
        <v>-1.034</v>
      </c>
      <c r="R30" s="17" t="n">
        <f aca="false">RANDBETWEEN(-30,90)/1000</f>
        <v>0.016</v>
      </c>
      <c r="S30" s="18"/>
      <c r="T30" s="0" t="n">
        <v>6.55</v>
      </c>
    </row>
    <row r="31" customFormat="false" ht="15" hidden="false" customHeight="false" outlineLevel="0" collapsed="false">
      <c r="A31" s="14" t="n">
        <v>9</v>
      </c>
      <c r="B31" s="14" t="s">
        <v>1</v>
      </c>
      <c r="C31" s="71" t="n">
        <f aca="false">+C30+T30</f>
        <v>575.12</v>
      </c>
      <c r="D31" s="17" t="n">
        <f aca="false">+Chạy!F36</f>
        <v>-9.28</v>
      </c>
      <c r="E31" s="17" t="n">
        <f aca="false">+D31+F31</f>
        <v>-9.2828</v>
      </c>
      <c r="F31" s="17" t="n">
        <f aca="false">RANDBETWEEN(-105,115)/10000</f>
        <v>-0.0028</v>
      </c>
      <c r="G31" s="17" t="n">
        <f aca="false">+Chạy!G36</f>
        <v>-1.05</v>
      </c>
      <c r="H31" s="17" t="n">
        <f aca="false">G31+I31</f>
        <v>-1.041</v>
      </c>
      <c r="I31" s="17" t="n">
        <f aca="false">RANDBETWEEN(-30,90)/1000</f>
        <v>0.009</v>
      </c>
      <c r="J31" s="17" t="n">
        <f aca="false">+Chạy!K36</f>
        <v>-1.05</v>
      </c>
      <c r="K31" s="17" t="n">
        <f aca="false">J31+L31</f>
        <v>-0.981</v>
      </c>
      <c r="L31" s="17" t="n">
        <f aca="false">RANDBETWEEN(-30,90)/1000</f>
        <v>0.069</v>
      </c>
      <c r="M31" s="17" t="n">
        <f aca="false">+Chạy!N36</f>
        <v>8.96</v>
      </c>
      <c r="N31" s="17" t="n">
        <f aca="false">+M31+O31</f>
        <v>8.9542</v>
      </c>
      <c r="O31" s="17" t="n">
        <f aca="false">RANDBETWEEN(-105,115)/10000</f>
        <v>-0.0058</v>
      </c>
      <c r="P31" s="17" t="n">
        <f aca="false">+Chạy!O36</f>
        <v>-1.05</v>
      </c>
      <c r="Q31" s="17" t="n">
        <f aca="false">P31+R31</f>
        <v>-0.966</v>
      </c>
      <c r="R31" s="17" t="n">
        <f aca="false">RANDBETWEEN(-30,90)/1000</f>
        <v>0.084</v>
      </c>
      <c r="S31" s="18"/>
      <c r="T31" s="0" t="n">
        <v>0.04</v>
      </c>
    </row>
    <row r="32" customFormat="false" ht="15" hidden="false" customHeight="false" outlineLevel="0" collapsed="false">
      <c r="A32" s="14" t="n">
        <v>10</v>
      </c>
      <c r="B32" s="14" t="s">
        <v>25</v>
      </c>
      <c r="C32" s="71" t="n">
        <f aca="false">+C31+T31</f>
        <v>575.16</v>
      </c>
      <c r="D32" s="17" t="n">
        <f aca="false">+Chạy!F40</f>
        <v>-9.28</v>
      </c>
      <c r="E32" s="17" t="n">
        <f aca="false">+D32+F32</f>
        <v>-9.2749</v>
      </c>
      <c r="F32" s="17" t="n">
        <f aca="false">RANDBETWEEN(-105,115)/10000</f>
        <v>0.0051</v>
      </c>
      <c r="G32" s="17" t="n">
        <f aca="false">+Chạy!G40</f>
        <v>-1.05</v>
      </c>
      <c r="H32" s="17" t="n">
        <f aca="false">G32+I32</f>
        <v>-1.047</v>
      </c>
      <c r="I32" s="17" t="n">
        <f aca="false">RANDBETWEEN(-30,90)/1000</f>
        <v>0.003</v>
      </c>
      <c r="J32" s="17" t="n">
        <f aca="false">+Chạy!K40</f>
        <v>-1.05</v>
      </c>
      <c r="K32" s="17" t="n">
        <f aca="false">J32+L32</f>
        <v>-1.027</v>
      </c>
      <c r="L32" s="17" t="n">
        <f aca="false">RANDBETWEEN(-30,90)/1000</f>
        <v>0.023</v>
      </c>
      <c r="M32" s="17" t="n">
        <f aca="false">+Chạy!N40</f>
        <v>8.73</v>
      </c>
      <c r="N32" s="17" t="n">
        <f aca="false">+M32+O32</f>
        <v>8.7333</v>
      </c>
      <c r="O32" s="17" t="n">
        <f aca="false">RANDBETWEEN(-105,115)/10000</f>
        <v>0.0033</v>
      </c>
      <c r="P32" s="17" t="n">
        <f aca="false">+Chạy!O40</f>
        <v>-1.05</v>
      </c>
      <c r="Q32" s="17" t="n">
        <f aca="false">P32+R32</f>
        <v>-1.038</v>
      </c>
      <c r="R32" s="17" t="n">
        <f aca="false">RANDBETWEEN(-30,90)/1000</f>
        <v>0.012</v>
      </c>
      <c r="S32" s="18"/>
      <c r="T32" s="0" t="n">
        <v>16.95</v>
      </c>
    </row>
    <row r="33" customFormat="false" ht="15" hidden="false" customHeight="false" outlineLevel="0" collapsed="false">
      <c r="A33" s="14" t="n">
        <v>11</v>
      </c>
      <c r="B33" s="14" t="s">
        <v>26</v>
      </c>
      <c r="C33" s="71" t="n">
        <f aca="false">+C32+T32</f>
        <v>592.11</v>
      </c>
      <c r="D33" s="17" t="n">
        <f aca="false">+Chạy!F44</f>
        <v>-9.46</v>
      </c>
      <c r="E33" s="17" t="n">
        <f aca="false">+D33+F33</f>
        <v>-9.4535</v>
      </c>
      <c r="F33" s="17" t="n">
        <f aca="false">RANDBETWEEN(-105,115)/10000</f>
        <v>0.0065</v>
      </c>
      <c r="G33" s="17" t="n">
        <f aca="false">+Chạy!G44</f>
        <v>-1.05</v>
      </c>
      <c r="H33" s="17" t="n">
        <f aca="false">G33+I33</f>
        <v>-0.992</v>
      </c>
      <c r="I33" s="17" t="n">
        <f aca="false">RANDBETWEEN(-30,90)/1000</f>
        <v>0.058</v>
      </c>
      <c r="J33" s="17" t="n">
        <f aca="false">+Chạy!K44</f>
        <v>-1.05</v>
      </c>
      <c r="K33" s="17" t="n">
        <f aca="false">J33+L33</f>
        <v>-0.967</v>
      </c>
      <c r="L33" s="17" t="n">
        <f aca="false">RANDBETWEEN(-30,90)/1000</f>
        <v>0.083</v>
      </c>
      <c r="M33" s="17" t="n">
        <f aca="false">+Chạy!N44</f>
        <v>9.51</v>
      </c>
      <c r="N33" s="17" t="n">
        <f aca="false">+M33+O33</f>
        <v>9.5079</v>
      </c>
      <c r="O33" s="17" t="n">
        <f aca="false">RANDBETWEEN(-105,115)/10000</f>
        <v>-0.0021</v>
      </c>
      <c r="P33" s="17" t="n">
        <f aca="false">+Chạy!O44</f>
        <v>-1.05</v>
      </c>
      <c r="Q33" s="17" t="n">
        <f aca="false">P33+R33</f>
        <v>-0.981</v>
      </c>
      <c r="R33" s="17" t="n">
        <f aca="false">RANDBETWEEN(-30,90)/1000</f>
        <v>0.069</v>
      </c>
      <c r="S33" s="18"/>
      <c r="T33" s="0" t="n">
        <v>17</v>
      </c>
    </row>
    <row r="34" customFormat="false" ht="15" hidden="false" customHeight="false" outlineLevel="0" collapsed="false">
      <c r="A34" s="14" t="n">
        <v>12</v>
      </c>
      <c r="B34" s="14" t="s">
        <v>27</v>
      </c>
      <c r="C34" s="71" t="n">
        <f aca="false">+C33+T33</f>
        <v>609.11</v>
      </c>
      <c r="D34" s="17" t="n">
        <f aca="false">+Chạy!F48</f>
        <v>-8.67</v>
      </c>
      <c r="E34" s="17" t="n">
        <f aca="false">+D34+F34</f>
        <v>-8.6595</v>
      </c>
      <c r="F34" s="17" t="n">
        <f aca="false">RANDBETWEEN(-105,115)/10000</f>
        <v>0.0105</v>
      </c>
      <c r="G34" s="17" t="n">
        <f aca="false">+Chạy!G48</f>
        <v>-1.05</v>
      </c>
      <c r="H34" s="17" t="n">
        <f aca="false">G34+I34</f>
        <v>-1.08</v>
      </c>
      <c r="I34" s="17" t="n">
        <f aca="false">RANDBETWEEN(-30,90)/1000</f>
        <v>-0.03</v>
      </c>
      <c r="J34" s="17" t="n">
        <f aca="false">+Chạy!K48</f>
        <v>-1.05</v>
      </c>
      <c r="K34" s="17" t="n">
        <f aca="false">J34+L34</f>
        <v>-1.041</v>
      </c>
      <c r="L34" s="17" t="n">
        <f aca="false">RANDBETWEEN(-30,90)/1000</f>
        <v>0.009</v>
      </c>
      <c r="M34" s="17" t="n">
        <f aca="false">+Chạy!N48</f>
        <v>8.53</v>
      </c>
      <c r="N34" s="17" t="n">
        <f aca="false">+M34+O34</f>
        <v>8.5334</v>
      </c>
      <c r="O34" s="17" t="n">
        <f aca="false">RANDBETWEEN(-105,115)/10000</f>
        <v>0.0034</v>
      </c>
      <c r="P34" s="17" t="n">
        <f aca="false">+Chạy!O48</f>
        <v>-1.05</v>
      </c>
      <c r="Q34" s="17" t="n">
        <f aca="false">P34+R34</f>
        <v>-1.078</v>
      </c>
      <c r="R34" s="17" t="n">
        <f aca="false">RANDBETWEEN(-30,90)/1000</f>
        <v>-0.028</v>
      </c>
      <c r="S34" s="18"/>
    </row>
    <row r="35" customFormat="false" ht="15" hidden="true" customHeight="false" outlineLevel="0" collapsed="false">
      <c r="A35" s="14"/>
      <c r="B35" s="14"/>
      <c r="C35" s="71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8"/>
    </row>
    <row r="36" customFormat="false" ht="15" hidden="true" customHeight="false" outlineLevel="0" collapsed="false">
      <c r="A36" s="14"/>
      <c r="B36" s="14"/>
      <c r="C36" s="71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8"/>
    </row>
    <row r="37" customFormat="false" ht="15" hidden="true" customHeight="false" outlineLevel="0" collapsed="false">
      <c r="A37" s="14"/>
      <c r="B37" s="14"/>
      <c r="C37" s="71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8"/>
    </row>
    <row r="38" customFormat="false" ht="15" hidden="true" customHeight="false" outlineLevel="0" collapsed="false">
      <c r="A38" s="14"/>
      <c r="B38" s="14"/>
      <c r="C38" s="71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8"/>
    </row>
    <row r="39" customFormat="false" ht="15" hidden="true" customHeight="false" outlineLevel="0" collapsed="false">
      <c r="A39" s="14"/>
      <c r="B39" s="14"/>
      <c r="C39" s="71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8"/>
    </row>
    <row r="40" customFormat="false" ht="15" hidden="true" customHeight="false" outlineLevel="0" collapsed="false">
      <c r="A40" s="14"/>
      <c r="B40" s="14"/>
      <c r="C40" s="71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8"/>
    </row>
    <row r="41" customFormat="false" ht="15" hidden="true" customHeight="false" outlineLevel="0" collapsed="false">
      <c r="A41" s="14"/>
      <c r="B41" s="14"/>
      <c r="C41" s="71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8"/>
    </row>
    <row r="42" customFormat="false" ht="15" hidden="true" customHeight="false" outlineLevel="0" collapsed="false">
      <c r="A42" s="14"/>
      <c r="B42" s="14"/>
      <c r="C42" s="71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8"/>
    </row>
    <row r="43" customFormat="false" ht="15" hidden="true" customHeight="false" outlineLevel="0" collapsed="false">
      <c r="A43" s="14"/>
      <c r="B43" s="14"/>
      <c r="C43" s="71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8"/>
    </row>
    <row r="44" customFormat="false" ht="15" hidden="true" customHeight="false" outlineLevel="0" collapsed="false">
      <c r="A44" s="14"/>
      <c r="B44" s="14"/>
      <c r="C44" s="71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8"/>
    </row>
    <row r="45" customFormat="false" ht="15" hidden="true" customHeight="false" outlineLevel="0" collapsed="false">
      <c r="A45" s="14"/>
      <c r="B45" s="14"/>
      <c r="C45" s="71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8"/>
    </row>
    <row r="46" customFormat="false" ht="15" hidden="true" customHeight="false" outlineLevel="0" collapsed="false">
      <c r="A46" s="14"/>
      <c r="B46" s="14"/>
      <c r="C46" s="71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8"/>
    </row>
    <row r="47" customFormat="false" ht="15" hidden="true" customHeight="false" outlineLevel="0" collapsed="false">
      <c r="A47" s="14"/>
      <c r="B47" s="14"/>
      <c r="C47" s="71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8"/>
    </row>
    <row r="48" customFormat="false" ht="15" hidden="true" customHeight="false" outlineLevel="0" collapsed="false">
      <c r="A48" s="14"/>
      <c r="B48" s="14"/>
      <c r="C48" s="71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8"/>
    </row>
    <row r="49" customFormat="false" ht="15" hidden="true" customHeight="false" outlineLevel="0" collapsed="false">
      <c r="A49" s="14"/>
      <c r="B49" s="14"/>
      <c r="C49" s="71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8"/>
    </row>
    <row r="50" customFormat="false" ht="15" hidden="true" customHeight="false" outlineLevel="0" collapsed="false">
      <c r="A50" s="14"/>
      <c r="B50" s="14"/>
      <c r="C50" s="71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8"/>
    </row>
    <row r="51" customFormat="false" ht="15" hidden="true" customHeight="false" outlineLevel="0" collapsed="false">
      <c r="A51" s="14"/>
      <c r="B51" s="14"/>
      <c r="C51" s="71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8"/>
    </row>
    <row r="52" customFormat="false" ht="15" hidden="true" customHeight="false" outlineLevel="0" collapsed="false">
      <c r="A52" s="14"/>
      <c r="B52" s="14"/>
      <c r="C52" s="71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8"/>
    </row>
    <row r="53" customFormat="false" ht="15" hidden="true" customHeight="false" outlineLevel="0" collapsed="false">
      <c r="A53" s="14"/>
      <c r="B53" s="14"/>
      <c r="C53" s="71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8"/>
    </row>
    <row r="54" customFormat="false" ht="15" hidden="true" customHeight="false" outlineLevel="0" collapsed="false">
      <c r="A54" s="14"/>
      <c r="B54" s="14"/>
      <c r="C54" s="71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8"/>
    </row>
    <row r="55" customFormat="false" ht="15" hidden="true" customHeight="false" outlineLevel="0" collapsed="false">
      <c r="A55" s="14"/>
      <c r="B55" s="14"/>
      <c r="C55" s="71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8"/>
    </row>
    <row r="56" customFormat="false" ht="15" hidden="true" customHeight="false" outlineLevel="0" collapsed="false">
      <c r="A56" s="14"/>
      <c r="B56" s="14"/>
      <c r="C56" s="71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8"/>
    </row>
    <row r="57" customFormat="false" ht="15" hidden="true" customHeight="false" outlineLevel="0" collapsed="false">
      <c r="A57" s="14"/>
      <c r="B57" s="14"/>
      <c r="C57" s="71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8"/>
    </row>
    <row r="58" customFormat="false" ht="15" hidden="true" customHeight="false" outlineLevel="0" collapsed="false">
      <c r="A58" s="14"/>
      <c r="B58" s="14"/>
      <c r="C58" s="71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8"/>
    </row>
    <row r="59" customFormat="false" ht="15" hidden="true" customHeight="false" outlineLevel="0" collapsed="false">
      <c r="A59" s="14"/>
      <c r="B59" s="14"/>
      <c r="C59" s="71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8"/>
    </row>
    <row r="60" customFormat="false" ht="15" hidden="true" customHeight="false" outlineLevel="0" collapsed="false">
      <c r="A60" s="14"/>
      <c r="B60" s="14"/>
      <c r="C60" s="71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8"/>
    </row>
    <row r="61" customFormat="false" ht="15" hidden="true" customHeight="false" outlineLevel="0" collapsed="false">
      <c r="A61" s="14"/>
      <c r="B61" s="14"/>
      <c r="C61" s="71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8"/>
    </row>
    <row r="62" customFormat="false" ht="15" hidden="true" customHeight="false" outlineLevel="0" collapsed="false">
      <c r="A62" s="14"/>
      <c r="B62" s="14"/>
      <c r="C62" s="71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8"/>
    </row>
    <row r="64" customFormat="false" ht="15" hidden="false" customHeight="false" outlineLevel="0" collapsed="false">
      <c r="C64" s="20" t="s">
        <v>50</v>
      </c>
      <c r="D64" s="20"/>
      <c r="E64" s="20"/>
      <c r="F64" s="20"/>
      <c r="G64" s="20"/>
      <c r="H64" s="20"/>
      <c r="I64" s="20"/>
      <c r="K64" s="21"/>
      <c r="L64" s="21"/>
      <c r="M64" s="21"/>
      <c r="N64" s="21"/>
      <c r="O64" s="20" t="s">
        <v>51</v>
      </c>
      <c r="P64" s="20"/>
      <c r="Q64" s="20"/>
      <c r="R64" s="20"/>
    </row>
    <row r="65" customFormat="false" ht="15" hidden="false" customHeight="false" outlineLevel="0" collapsed="false">
      <c r="E65" s="22"/>
      <c r="F65" s="22"/>
      <c r="G65" s="22"/>
      <c r="H65" s="22"/>
      <c r="K65" s="22"/>
      <c r="L65" s="22"/>
      <c r="M65" s="22"/>
      <c r="N65" s="22"/>
      <c r="O65" s="22"/>
      <c r="P65" s="22"/>
      <c r="Q65" s="22"/>
      <c r="R65" s="22"/>
    </row>
    <row r="66" customFormat="false" ht="15" hidden="false" customHeight="false" outlineLevel="0" collapsed="false">
      <c r="E66" s="22"/>
      <c r="F66" s="22"/>
      <c r="G66" s="22"/>
      <c r="H66" s="22"/>
      <c r="K66" s="22"/>
      <c r="L66" s="22"/>
      <c r="M66" s="22"/>
      <c r="N66" s="22"/>
      <c r="O66" s="22"/>
      <c r="P66" s="22"/>
      <c r="Q66" s="22"/>
      <c r="R66" s="22"/>
    </row>
    <row r="67" customFormat="false" ht="15" hidden="false" customHeight="false" outlineLevel="0" collapsed="false">
      <c r="E67" s="22"/>
      <c r="F67" s="22"/>
      <c r="G67" s="22"/>
      <c r="H67" s="22"/>
      <c r="K67" s="22"/>
      <c r="L67" s="22"/>
      <c r="M67" s="22"/>
      <c r="N67" s="22"/>
      <c r="O67" s="22"/>
      <c r="P67" s="22"/>
      <c r="Q67" s="22"/>
      <c r="R67" s="22"/>
    </row>
    <row r="68" customFormat="false" ht="15" hidden="false" customHeight="false" outlineLevel="0" collapsed="false">
      <c r="E68" s="22"/>
      <c r="F68" s="22"/>
      <c r="G68" s="22"/>
      <c r="H68" s="22"/>
      <c r="K68" s="22"/>
      <c r="L68" s="22"/>
      <c r="M68" s="22"/>
      <c r="N68" s="22"/>
      <c r="O68" s="22"/>
      <c r="P68" s="22"/>
      <c r="Q68" s="22"/>
      <c r="R68" s="22"/>
    </row>
    <row r="69" customFormat="false" ht="15" hidden="false" customHeight="false" outlineLevel="0" collapsed="false">
      <c r="C69" s="20" t="s">
        <v>52</v>
      </c>
      <c r="D69" s="20"/>
      <c r="E69" s="20"/>
      <c r="F69" s="20"/>
      <c r="G69" s="20"/>
      <c r="H69" s="20"/>
      <c r="I69" s="20"/>
      <c r="K69" s="21"/>
      <c r="L69" s="21"/>
      <c r="M69" s="21"/>
      <c r="N69" s="21"/>
      <c r="O69" s="20" t="s">
        <v>53</v>
      </c>
      <c r="P69" s="20"/>
      <c r="Q69" s="20"/>
      <c r="R69" s="20"/>
    </row>
  </sheetData>
  <mergeCells count="13">
    <mergeCell ref="A1:S1"/>
    <mergeCell ref="A2:S2"/>
    <mergeCell ref="A21:A22"/>
    <mergeCell ref="B21:B22"/>
    <mergeCell ref="C21:C22"/>
    <mergeCell ref="D21:I21"/>
    <mergeCell ref="J21:L21"/>
    <mergeCell ref="M21:R21"/>
    <mergeCell ref="S21:S22"/>
    <mergeCell ref="C64:I64"/>
    <mergeCell ref="O64:R64"/>
    <mergeCell ref="C69:I69"/>
    <mergeCell ref="O69:R69"/>
  </mergeCells>
  <printOptions headings="false" gridLines="false" gridLinesSet="true" horizontalCentered="true" verticalCentered="false"/>
  <pageMargins left="0.196527777777778" right="0.157638888888889" top="0.511805555555556" bottom="0.39375" header="0.511811023622047" footer="0.157638888888889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W136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O16" activeCellId="0" sqref="O16"/>
    </sheetView>
  </sheetViews>
  <sheetFormatPr defaultColWidth="9.2890625" defaultRowHeight="12.75" zeroHeight="false" outlineLevelRow="0" outlineLevelCol="0"/>
  <cols>
    <col collapsed="false" customWidth="true" hidden="false" outlineLevel="0" max="1" min="1" style="23" width="6.71"/>
    <col collapsed="false" customWidth="true" hidden="false" outlineLevel="0" max="2" min="2" style="23" width="12.29"/>
    <col collapsed="false" customWidth="true" hidden="false" outlineLevel="0" max="3" min="3" style="23" width="19.57"/>
    <col collapsed="false" customWidth="true" hidden="false" outlineLevel="0" max="4" min="4" style="24" width="12.71"/>
    <col collapsed="false" customWidth="true" hidden="true" outlineLevel="0" max="6" min="5" style="24" width="8.42"/>
    <col collapsed="false" customWidth="true" hidden="true" outlineLevel="0" max="7" min="7" style="24" width="11"/>
    <col collapsed="false" customWidth="true" hidden="true" outlineLevel="0" max="12" min="8" style="24" width="8.42"/>
    <col collapsed="false" customWidth="true" hidden="true" outlineLevel="0" max="14" min="13" style="24" width="14.29"/>
    <col collapsed="false" customWidth="true" hidden="false" outlineLevel="0" max="15" min="15" style="24" width="15.42"/>
    <col collapsed="false" customWidth="true" hidden="true" outlineLevel="0" max="22" min="16" style="24" width="14.29"/>
    <col collapsed="false" customWidth="true" hidden="false" outlineLevel="0" max="23" min="23" style="24" width="15.29"/>
    <col collapsed="false" customWidth="true" hidden="true" outlineLevel="0" max="25" min="24" style="24" width="14.29"/>
    <col collapsed="false" customWidth="true" hidden="true" outlineLevel="0" max="27" min="26" style="24" width="12.86"/>
    <col collapsed="false" customWidth="true" hidden="false" outlineLevel="0" max="28" min="28" style="24" width="10.29"/>
    <col collapsed="false" customWidth="false" hidden="true" outlineLevel="0" max="29" min="29" style="24" width="9.29"/>
    <col collapsed="false" customWidth="false" hidden="false" outlineLevel="0" max="30" min="30" style="23" width="9.29"/>
    <col collapsed="false" customWidth="true" hidden="false" outlineLevel="0" max="31" min="31" style="23" width="11.85"/>
    <col collapsed="false" customWidth="true" hidden="false" outlineLevel="0" max="32" min="32" style="23" width="24.57"/>
    <col collapsed="false" customWidth="false" hidden="false" outlineLevel="0" max="16384" min="33" style="23" width="9.29"/>
  </cols>
  <sheetData>
    <row r="1" s="26" customFormat="true" ht="16.5" hidden="false" customHeight="true" outlineLevel="0" collapsed="false">
      <c r="A1" s="25" t="s">
        <v>54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D1" s="3"/>
      <c r="AE1" s="3"/>
    </row>
    <row r="2" s="26" customFormat="true" ht="16.5" hidden="false" customHeight="true" outlineLevel="0" collapsed="false">
      <c r="A2" s="27" t="str">
        <f>"Kèm theo BBNT số: "&amp;VLOOKUP(AZ2,'[1]Tuyến XD8'!$A$2:$G$60,7,0)&amp;VLOOKUP(AZ2,'[1]Tuyến XD8'!$A$2:$G$60,4,0)</f>
        <v xml:space="preserve">Kèm theo BBNT số: 61.NĐXD8/CVXD ngày 15 tháng 09 năm 2026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Z2">
        <v>61</v>
      </c>
    </row>
    <row r="3" s="30" customFormat="true" ht="37.5" hidden="false" customHeight="true" outlineLevel="0" collapsed="false">
      <c r="A3" s="28" t="s">
        <v>30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  <c r="BG3" s="29"/>
      <c r="BH3" s="29"/>
      <c r="BI3" s="29"/>
      <c r="BJ3" s="29"/>
      <c r="BK3" s="29"/>
      <c r="BL3" s="29"/>
      <c r="BM3" s="29"/>
      <c r="BN3" s="29"/>
      <c r="BO3" s="29"/>
      <c r="BP3" s="29"/>
      <c r="BQ3" s="29"/>
      <c r="BR3" s="29"/>
      <c r="BS3" s="29"/>
      <c r="BT3" s="29"/>
      <c r="BU3" s="29"/>
      <c r="BV3" s="29"/>
      <c r="BW3" s="29"/>
      <c r="BX3" s="29"/>
      <c r="BY3" s="29"/>
      <c r="BZ3" s="29"/>
      <c r="CA3" s="29"/>
      <c r="CB3" s="29"/>
      <c r="CC3" s="29"/>
      <c r="CD3" s="29"/>
      <c r="CE3" s="29"/>
      <c r="CF3" s="29"/>
      <c r="CG3" s="29"/>
      <c r="CH3" s="29"/>
      <c r="CI3" s="29"/>
      <c r="CJ3" s="29"/>
      <c r="CK3" s="29"/>
      <c r="CL3" s="29"/>
      <c r="CM3" s="29"/>
      <c r="CN3" s="29"/>
      <c r="CO3" s="29"/>
      <c r="CP3" s="29"/>
      <c r="CQ3" s="29"/>
      <c r="CR3" s="29"/>
      <c r="CS3" s="29"/>
      <c r="CT3" s="29"/>
      <c r="CU3" s="29"/>
      <c r="CV3" s="29"/>
      <c r="CW3" s="29"/>
      <c r="CX3" s="29"/>
      <c r="CY3" s="29"/>
      <c r="CZ3" s="29"/>
      <c r="DA3" s="29"/>
      <c r="DB3" s="29"/>
      <c r="DC3" s="29"/>
      <c r="DD3" s="29"/>
      <c r="DE3" s="29"/>
      <c r="DF3" s="29"/>
      <c r="DG3" s="29"/>
      <c r="DH3" s="29"/>
      <c r="DI3" s="29"/>
      <c r="DJ3" s="29"/>
      <c r="DK3" s="29"/>
      <c r="DL3" s="29"/>
      <c r="DM3" s="29"/>
      <c r="DN3" s="29"/>
      <c r="DO3" s="29"/>
      <c r="DP3" s="29"/>
      <c r="DQ3" s="29"/>
      <c r="DR3" s="29"/>
      <c r="DS3" s="29"/>
      <c r="DT3" s="29"/>
      <c r="DU3" s="29"/>
      <c r="DV3" s="29"/>
      <c r="DW3" s="29"/>
      <c r="DX3" s="29"/>
      <c r="DY3" s="29"/>
      <c r="DZ3" s="29"/>
      <c r="EA3" s="29"/>
      <c r="EB3" s="29"/>
      <c r="EC3" s="29"/>
      <c r="ED3" s="29"/>
      <c r="EE3" s="29"/>
      <c r="EF3" s="29"/>
      <c r="EG3" s="29"/>
      <c r="EH3" s="29"/>
      <c r="EI3" s="29"/>
      <c r="EJ3" s="29"/>
      <c r="EK3" s="29"/>
      <c r="EL3" s="29"/>
      <c r="EM3" s="29"/>
      <c r="EN3" s="29"/>
      <c r="EO3" s="29"/>
      <c r="EP3" s="29"/>
      <c r="EQ3" s="29"/>
      <c r="ER3" s="29"/>
      <c r="ES3" s="29"/>
      <c r="ET3" s="29"/>
      <c r="EU3" s="29"/>
      <c r="EV3" s="29"/>
      <c r="EW3" s="29"/>
      <c r="EX3" s="29"/>
      <c r="EY3" s="29"/>
      <c r="EZ3" s="29"/>
      <c r="FA3" s="29"/>
      <c r="FB3" s="29"/>
      <c r="FC3" s="29"/>
      <c r="FD3" s="29"/>
      <c r="FE3" s="29"/>
      <c r="FF3" s="29"/>
      <c r="FG3" s="29"/>
      <c r="FH3" s="29"/>
      <c r="FI3" s="29"/>
      <c r="FJ3" s="29"/>
      <c r="FK3" s="29"/>
      <c r="FL3" s="29"/>
      <c r="FM3" s="29"/>
      <c r="FN3" s="29"/>
      <c r="FO3" s="29"/>
      <c r="FP3" s="29"/>
      <c r="FQ3" s="29"/>
      <c r="FR3" s="29"/>
      <c r="FS3" s="29"/>
      <c r="FT3" s="29"/>
      <c r="FU3" s="29"/>
      <c r="FV3" s="29"/>
      <c r="FW3" s="29"/>
      <c r="FX3" s="29"/>
      <c r="FY3" s="29"/>
      <c r="FZ3" s="29"/>
      <c r="GA3" s="29"/>
      <c r="GB3" s="29"/>
      <c r="GC3" s="29"/>
      <c r="GD3" s="29"/>
      <c r="GE3" s="29"/>
      <c r="GF3" s="29"/>
      <c r="GG3" s="29"/>
      <c r="GH3" s="29"/>
      <c r="GI3" s="29"/>
      <c r="GJ3" s="29"/>
      <c r="GK3" s="29"/>
      <c r="GL3" s="29"/>
      <c r="GM3" s="29"/>
      <c r="GN3" s="29"/>
      <c r="GO3" s="29"/>
      <c r="GP3" s="29"/>
      <c r="GQ3" s="29"/>
      <c r="GR3" s="29"/>
      <c r="GS3" s="29"/>
      <c r="GT3" s="29"/>
      <c r="GU3" s="29"/>
      <c r="GV3" s="29"/>
      <c r="GW3" s="29"/>
      <c r="GX3" s="29"/>
      <c r="GY3" s="29"/>
      <c r="GZ3" s="29"/>
      <c r="HA3" s="29"/>
      <c r="HB3" s="29"/>
      <c r="HC3" s="29"/>
      <c r="HD3" s="29"/>
      <c r="HE3" s="29"/>
      <c r="HF3" s="29"/>
      <c r="HG3" s="29"/>
      <c r="HH3" s="29"/>
      <c r="HI3" s="29"/>
      <c r="HJ3" s="29"/>
      <c r="HK3" s="29"/>
      <c r="HL3" s="29"/>
      <c r="HM3" s="29"/>
      <c r="HN3" s="29"/>
      <c r="HO3" s="29"/>
      <c r="HP3" s="29"/>
      <c r="HQ3" s="29"/>
      <c r="HR3" s="29"/>
      <c r="HS3" s="29"/>
      <c r="HT3" s="29"/>
      <c r="HU3" s="29"/>
      <c r="HV3" s="29"/>
      <c r="HW3" s="29"/>
    </row>
    <row r="4" s="30" customFormat="true" ht="37.5" hidden="false" customHeight="true" outlineLevel="0" collapsed="false">
      <c r="A4" s="28" t="s">
        <v>31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29"/>
      <c r="EW4" s="29"/>
      <c r="EX4" s="29"/>
      <c r="EY4" s="29"/>
      <c r="EZ4" s="29"/>
      <c r="FA4" s="29"/>
      <c r="FB4" s="29"/>
      <c r="FC4" s="29"/>
      <c r="FD4" s="29"/>
      <c r="FE4" s="29"/>
      <c r="FF4" s="29"/>
      <c r="FG4" s="29"/>
      <c r="FH4" s="29"/>
      <c r="FI4" s="29"/>
      <c r="FJ4" s="29"/>
      <c r="FK4" s="29"/>
      <c r="FL4" s="29"/>
      <c r="FM4" s="29"/>
      <c r="FN4" s="29"/>
      <c r="FO4" s="29"/>
      <c r="FP4" s="29"/>
      <c r="FQ4" s="29"/>
      <c r="FR4" s="29"/>
      <c r="FS4" s="29"/>
      <c r="FT4" s="29"/>
      <c r="FU4" s="29"/>
      <c r="FV4" s="29"/>
      <c r="FW4" s="29"/>
      <c r="FX4" s="29"/>
      <c r="FY4" s="29"/>
      <c r="FZ4" s="29"/>
      <c r="GA4" s="29"/>
      <c r="GB4" s="29"/>
      <c r="GC4" s="29"/>
      <c r="GD4" s="29"/>
      <c r="GE4" s="29"/>
      <c r="GF4" s="29"/>
      <c r="GG4" s="29"/>
      <c r="GH4" s="29"/>
      <c r="GI4" s="29"/>
      <c r="GJ4" s="29"/>
      <c r="GK4" s="29"/>
      <c r="GL4" s="29"/>
      <c r="GM4" s="29"/>
      <c r="GN4" s="29"/>
      <c r="GO4" s="29"/>
      <c r="GP4" s="29"/>
      <c r="GQ4" s="29"/>
      <c r="GR4" s="29"/>
      <c r="GS4" s="29"/>
      <c r="GT4" s="29"/>
      <c r="GU4" s="29"/>
      <c r="GV4" s="29"/>
      <c r="GW4" s="29"/>
      <c r="GX4" s="29"/>
      <c r="GY4" s="29"/>
      <c r="GZ4" s="29"/>
      <c r="HA4" s="29"/>
      <c r="HB4" s="29"/>
      <c r="HC4" s="29"/>
      <c r="HD4" s="29"/>
      <c r="HE4" s="29"/>
      <c r="HF4" s="29"/>
      <c r="HG4" s="29"/>
      <c r="HH4" s="29"/>
      <c r="HI4" s="29"/>
      <c r="HJ4" s="29"/>
      <c r="HK4" s="29"/>
      <c r="HL4" s="29"/>
      <c r="HM4" s="29"/>
      <c r="HN4" s="29"/>
      <c r="HO4" s="29"/>
      <c r="HP4" s="29"/>
      <c r="HQ4" s="29"/>
      <c r="HR4" s="29"/>
      <c r="HS4" s="29"/>
      <c r="HT4" s="29"/>
      <c r="HU4" s="29"/>
      <c r="HV4" s="29"/>
      <c r="HW4" s="29"/>
    </row>
    <row r="5" s="30" customFormat="true" ht="16.5" hidden="false" customHeight="true" outlineLevel="0" collapsed="false">
      <c r="A5" s="28" t="s">
        <v>32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</row>
    <row r="6" s="30" customFormat="true" ht="16.5" hidden="false" customHeight="true" outlineLevel="0" collapsed="false">
      <c r="A6" s="28" t="s">
        <v>33</v>
      </c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  <c r="EY6" s="29"/>
      <c r="EZ6" s="29"/>
      <c r="FA6" s="29"/>
      <c r="FB6" s="29"/>
      <c r="FC6" s="29"/>
      <c r="FD6" s="29"/>
      <c r="FE6" s="29"/>
      <c r="FF6" s="29"/>
      <c r="FG6" s="29"/>
      <c r="FH6" s="29"/>
      <c r="FI6" s="29"/>
      <c r="FJ6" s="29"/>
      <c r="FK6" s="29"/>
      <c r="FL6" s="29"/>
      <c r="FM6" s="29"/>
      <c r="FN6" s="29"/>
      <c r="FO6" s="29"/>
      <c r="FP6" s="29"/>
      <c r="FQ6" s="29"/>
      <c r="FR6" s="29"/>
      <c r="FS6" s="29"/>
      <c r="FT6" s="29"/>
      <c r="FU6" s="29"/>
      <c r="FV6" s="29"/>
      <c r="FW6" s="29"/>
      <c r="FX6" s="29"/>
      <c r="FY6" s="29"/>
      <c r="FZ6" s="29"/>
      <c r="GA6" s="29"/>
      <c r="GB6" s="29"/>
      <c r="GC6" s="29"/>
      <c r="GD6" s="29"/>
      <c r="GE6" s="29"/>
      <c r="GF6" s="29"/>
      <c r="GG6" s="29"/>
      <c r="GH6" s="29"/>
      <c r="GI6" s="29"/>
      <c r="GJ6" s="29"/>
      <c r="GK6" s="29"/>
      <c r="GL6" s="29"/>
      <c r="GM6" s="29"/>
      <c r="GN6" s="29"/>
      <c r="GO6" s="29"/>
      <c r="GP6" s="29"/>
      <c r="GQ6" s="29"/>
      <c r="GR6" s="29"/>
      <c r="GS6" s="29"/>
      <c r="GT6" s="29"/>
      <c r="GU6" s="29"/>
      <c r="GV6" s="29"/>
      <c r="GW6" s="29"/>
      <c r="GX6" s="29"/>
      <c r="GY6" s="29"/>
      <c r="GZ6" s="29"/>
      <c r="HA6" s="29"/>
      <c r="HB6" s="29"/>
      <c r="HC6" s="29"/>
      <c r="HD6" s="29"/>
      <c r="HE6" s="29"/>
      <c r="HF6" s="29"/>
      <c r="HG6" s="29"/>
      <c r="HH6" s="29"/>
      <c r="HI6" s="29"/>
      <c r="HJ6" s="29"/>
      <c r="HK6" s="29"/>
      <c r="HL6" s="29"/>
      <c r="HM6" s="29"/>
      <c r="HN6" s="29"/>
      <c r="HO6" s="29"/>
      <c r="HP6" s="29"/>
      <c r="HQ6" s="29"/>
      <c r="HR6" s="29"/>
      <c r="HS6" s="29"/>
      <c r="HT6" s="29"/>
      <c r="HU6" s="29"/>
      <c r="HV6" s="29"/>
      <c r="HW6" s="29"/>
    </row>
    <row r="7" s="30" customFormat="true" ht="31.5" hidden="false" customHeight="true" outlineLevel="0" collapsed="false">
      <c r="A7" s="31" t="s">
        <v>34</v>
      </c>
      <c r="B7" s="32"/>
      <c r="D7" s="33" t="str">
        <f>VLOOKUP(AZ2,'[1]Tuyến XD8'!$A$2:$B$60,2,0)</f>
        <v xml:space="preserve">Đắp cát nền đường lớp 2 đoạn từ Km0+489,19 - Km0+609,11, độ chặt K&gt;=0,95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  <c r="EX7" s="29"/>
      <c r="EY7" s="29"/>
      <c r="EZ7" s="29"/>
      <c r="FA7" s="29"/>
      <c r="FB7" s="29"/>
      <c r="FC7" s="29"/>
      <c r="FD7" s="29"/>
      <c r="FE7" s="29"/>
      <c r="FF7" s="29"/>
      <c r="FG7" s="29"/>
      <c r="FH7" s="29"/>
      <c r="FI7" s="29"/>
      <c r="FJ7" s="29"/>
      <c r="FK7" s="29"/>
      <c r="FL7" s="29"/>
      <c r="FM7" s="29"/>
      <c r="FN7" s="29"/>
      <c r="FO7" s="29"/>
      <c r="FP7" s="29"/>
      <c r="FQ7" s="29"/>
      <c r="FR7" s="29"/>
      <c r="FS7" s="29"/>
      <c r="FT7" s="29"/>
      <c r="FU7" s="29"/>
      <c r="FV7" s="29"/>
      <c r="FW7" s="29"/>
      <c r="FX7" s="29"/>
      <c r="FY7" s="29"/>
      <c r="FZ7" s="29"/>
      <c r="GA7" s="29"/>
      <c r="GB7" s="29"/>
      <c r="GC7" s="29"/>
      <c r="GD7" s="29"/>
      <c r="GE7" s="29"/>
      <c r="GF7" s="29"/>
      <c r="GG7" s="29"/>
      <c r="GH7" s="29"/>
      <c r="GI7" s="29"/>
      <c r="GJ7" s="29"/>
      <c r="GK7" s="29"/>
      <c r="GL7" s="29"/>
      <c r="GM7" s="29"/>
      <c r="GN7" s="29"/>
      <c r="GO7" s="29"/>
      <c r="GP7" s="29"/>
      <c r="GQ7" s="29"/>
      <c r="GR7" s="29"/>
      <c r="GS7" s="29"/>
      <c r="GT7" s="29"/>
      <c r="GU7" s="29"/>
      <c r="GV7" s="29"/>
      <c r="GW7" s="29"/>
      <c r="GX7" s="29"/>
      <c r="GY7" s="29"/>
      <c r="GZ7" s="29"/>
      <c r="HA7" s="29"/>
      <c r="HB7" s="29"/>
      <c r="HC7" s="29"/>
      <c r="HD7" s="29"/>
      <c r="HE7" s="29"/>
      <c r="HF7" s="29"/>
      <c r="HG7" s="29"/>
      <c r="HH7" s="29"/>
      <c r="HI7" s="29"/>
      <c r="HJ7" s="29"/>
      <c r="HK7" s="29"/>
      <c r="HL7" s="29"/>
      <c r="HM7" s="29"/>
      <c r="HN7" s="29"/>
      <c r="HO7" s="29"/>
      <c r="HP7" s="29"/>
      <c r="HQ7" s="29"/>
      <c r="HR7" s="29"/>
      <c r="HS7" s="29"/>
      <c r="HT7" s="29"/>
      <c r="HU7" s="29"/>
      <c r="HV7" s="29"/>
      <c r="HW7" s="29"/>
    </row>
    <row r="8" s="29" customFormat="true" ht="6.75" hidden="false" customHeight="true" outlineLevel="0" collapsed="false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</row>
    <row r="9" s="41" customFormat="true" ht="22.5" hidden="false" customHeight="true" outlineLevel="0" collapsed="false">
      <c r="A9" s="35" t="s">
        <v>0</v>
      </c>
      <c r="B9" s="35" t="s">
        <v>38</v>
      </c>
      <c r="C9" s="35" t="s">
        <v>39</v>
      </c>
      <c r="D9" s="36" t="s">
        <v>55</v>
      </c>
      <c r="E9" s="37"/>
      <c r="F9" s="37"/>
      <c r="G9" s="36"/>
      <c r="H9" s="37"/>
      <c r="I9" s="37"/>
      <c r="J9" s="37"/>
      <c r="K9" s="37"/>
      <c r="L9" s="37"/>
      <c r="M9" s="38" t="s">
        <v>56</v>
      </c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9"/>
      <c r="AA9" s="39"/>
      <c r="AB9" s="36" t="s">
        <v>43</v>
      </c>
      <c r="AC9" s="40"/>
    </row>
    <row r="10" s="45" customFormat="true" ht="28.5" hidden="false" customHeight="true" outlineLevel="0" collapsed="false">
      <c r="A10" s="35"/>
      <c r="B10" s="35"/>
      <c r="C10" s="35"/>
      <c r="D10" s="35"/>
      <c r="E10" s="38"/>
      <c r="F10" s="38"/>
      <c r="G10" s="38"/>
      <c r="H10" s="38"/>
      <c r="I10" s="38"/>
      <c r="J10" s="38"/>
      <c r="K10" s="38"/>
      <c r="L10" s="38"/>
      <c r="M10" s="38"/>
      <c r="N10" s="38" t="s">
        <v>57</v>
      </c>
      <c r="O10" s="38" t="s">
        <v>58</v>
      </c>
      <c r="P10" s="38" t="s">
        <v>57</v>
      </c>
      <c r="Q10" s="38" t="s">
        <v>57</v>
      </c>
      <c r="R10" s="38"/>
      <c r="S10" s="38"/>
      <c r="T10" s="38"/>
      <c r="U10" s="38" t="s">
        <v>59</v>
      </c>
      <c r="V10" s="38" t="s">
        <v>59</v>
      </c>
      <c r="W10" s="38" t="s">
        <v>60</v>
      </c>
      <c r="X10" s="38" t="s">
        <v>59</v>
      </c>
      <c r="Y10" s="38" t="s">
        <v>59</v>
      </c>
      <c r="Z10" s="42"/>
      <c r="AA10" s="42"/>
      <c r="AB10" s="36"/>
      <c r="AC10" s="43"/>
      <c r="AD10" s="44"/>
      <c r="AE10" s="44"/>
    </row>
    <row r="11" s="45" customFormat="true" ht="15" hidden="false" customHeight="true" outlineLevel="0" collapsed="false">
      <c r="A11" s="14" t="n">
        <v>1</v>
      </c>
      <c r="B11" s="14" t="str">
        <f aca="false">'2.KTHH L2'!B23</f>
        <v>25</v>
      </c>
      <c r="C11" s="16" t="n">
        <f aca="false">'2.KTHH L2'!C23</f>
        <v>489.19</v>
      </c>
      <c r="D11" s="14" t="n">
        <f aca="false">'2.KTHH L2'!T23</f>
        <v>13.17</v>
      </c>
      <c r="E11" s="46"/>
      <c r="F11" s="46"/>
      <c r="G11" s="46"/>
      <c r="H11" s="46"/>
      <c r="I11" s="46"/>
      <c r="J11" s="46"/>
      <c r="K11" s="47"/>
      <c r="L11" s="17"/>
      <c r="M11" s="18"/>
      <c r="N11" s="48"/>
      <c r="O11" s="47" t="n">
        <f aca="false">Chạy!E4</f>
        <v>4.26</v>
      </c>
      <c r="P11" s="47"/>
      <c r="Q11" s="47"/>
      <c r="R11" s="50"/>
      <c r="S11" s="50"/>
      <c r="T11" s="50"/>
      <c r="U11" s="50"/>
      <c r="V11" s="50"/>
      <c r="W11" s="50" t="n">
        <f aca="false">(O11+O12)*D11/2</f>
        <v>66.2451</v>
      </c>
      <c r="X11" s="50"/>
      <c r="Y11" s="50"/>
      <c r="Z11" s="50"/>
      <c r="AA11" s="50"/>
      <c r="AB11" s="51"/>
      <c r="AC11" s="50"/>
      <c r="AE11" s="52"/>
    </row>
    <row r="12" s="45" customFormat="true" ht="15" hidden="false" customHeight="true" outlineLevel="0" collapsed="false">
      <c r="A12" s="14" t="n">
        <v>2</v>
      </c>
      <c r="B12" s="14" t="str">
        <f aca="false">'2.KTHH L2'!B24</f>
        <v>D1</v>
      </c>
      <c r="C12" s="16" t="n">
        <f aca="false">'2.KTHH L2'!C24</f>
        <v>502.36</v>
      </c>
      <c r="D12" s="14" t="n">
        <f aca="false">'2.KTHH L2'!T24</f>
        <v>10.48</v>
      </c>
      <c r="E12" s="46"/>
      <c r="F12" s="46"/>
      <c r="G12" s="46"/>
      <c r="H12" s="46"/>
      <c r="I12" s="46"/>
      <c r="J12" s="46"/>
      <c r="K12" s="47"/>
      <c r="L12" s="17"/>
      <c r="M12" s="18"/>
      <c r="N12" s="48"/>
      <c r="O12" s="47" t="n">
        <f aca="false">Chạy!E8</f>
        <v>5.8</v>
      </c>
      <c r="P12" s="47"/>
      <c r="Q12" s="47"/>
      <c r="R12" s="50"/>
      <c r="S12" s="50"/>
      <c r="T12" s="50"/>
      <c r="U12" s="50"/>
      <c r="V12" s="50"/>
      <c r="W12" s="50" t="n">
        <f aca="false">(O12+O13)*D12/2</f>
        <v>59.7884</v>
      </c>
      <c r="X12" s="50"/>
      <c r="Y12" s="50"/>
      <c r="Z12" s="50"/>
      <c r="AA12" s="50"/>
      <c r="AB12" s="51"/>
      <c r="AC12" s="50"/>
      <c r="AE12" s="52"/>
    </row>
    <row r="13" s="45" customFormat="true" ht="15" hidden="false" customHeight="true" outlineLevel="0" collapsed="false">
      <c r="A13" s="14" t="n">
        <v>3</v>
      </c>
      <c r="B13" s="14" t="str">
        <f aca="false">'2.KTHH L2'!B25</f>
        <v>26</v>
      </c>
      <c r="C13" s="16" t="n">
        <f aca="false">'2.KTHH L2'!C25</f>
        <v>512.84</v>
      </c>
      <c r="D13" s="14" t="n">
        <f aca="false">'2.KTHH L2'!T25</f>
        <v>16.78</v>
      </c>
      <c r="E13" s="46"/>
      <c r="F13" s="46"/>
      <c r="G13" s="46"/>
      <c r="H13" s="46"/>
      <c r="I13" s="46"/>
      <c r="J13" s="46"/>
      <c r="K13" s="47"/>
      <c r="L13" s="17"/>
      <c r="M13" s="18"/>
      <c r="N13" s="48"/>
      <c r="O13" s="47" t="n">
        <f aca="false">Chạy!E12</f>
        <v>5.61</v>
      </c>
      <c r="P13" s="47"/>
      <c r="Q13" s="47"/>
      <c r="R13" s="50"/>
      <c r="S13" s="50"/>
      <c r="T13" s="50"/>
      <c r="U13" s="50"/>
      <c r="V13" s="50"/>
      <c r="W13" s="50" t="n">
        <f aca="false">(O13+O14)*D13/2</f>
        <v>95.5621</v>
      </c>
      <c r="X13" s="50"/>
      <c r="Y13" s="50"/>
      <c r="Z13" s="50"/>
      <c r="AA13" s="50"/>
      <c r="AB13" s="51"/>
      <c r="AC13" s="50"/>
      <c r="AE13" s="52"/>
    </row>
    <row r="14" s="45" customFormat="true" ht="15" hidden="false" customHeight="true" outlineLevel="0" collapsed="false">
      <c r="A14" s="14" t="n">
        <v>4</v>
      </c>
      <c r="B14" s="14" t="str">
        <f aca="false">'2.KTHH L2'!B26</f>
        <v>27</v>
      </c>
      <c r="C14" s="16" t="n">
        <f aca="false">'2.KTHH L2'!C26</f>
        <v>529.62</v>
      </c>
      <c r="D14" s="14" t="n">
        <f aca="false">'2.KTHH L2'!T26</f>
        <v>17.1</v>
      </c>
      <c r="E14" s="46"/>
      <c r="F14" s="46"/>
      <c r="G14" s="46"/>
      <c r="H14" s="46"/>
      <c r="I14" s="46"/>
      <c r="J14" s="46"/>
      <c r="K14" s="47"/>
      <c r="L14" s="17"/>
      <c r="M14" s="18"/>
      <c r="N14" s="48"/>
      <c r="O14" s="47" t="n">
        <f aca="false">Chạy!E16</f>
        <v>5.78</v>
      </c>
      <c r="P14" s="47"/>
      <c r="Q14" s="47"/>
      <c r="R14" s="50"/>
      <c r="S14" s="50"/>
      <c r="T14" s="50"/>
      <c r="U14" s="50"/>
      <c r="V14" s="50"/>
      <c r="W14" s="50" t="n">
        <f aca="false">(O14+O15)*D14/2</f>
        <v>85.9275</v>
      </c>
      <c r="X14" s="50"/>
      <c r="Y14" s="50"/>
      <c r="Z14" s="50"/>
      <c r="AA14" s="50"/>
      <c r="AB14" s="51"/>
      <c r="AC14" s="50"/>
      <c r="AE14" s="52"/>
    </row>
    <row r="15" s="45" customFormat="true" ht="15" hidden="false" customHeight="true" outlineLevel="0" collapsed="false">
      <c r="A15" s="14" t="n">
        <v>5</v>
      </c>
      <c r="B15" s="14" t="str">
        <f aca="false">'2.KTHH L2'!B27</f>
        <v>28</v>
      </c>
      <c r="C15" s="16" t="n">
        <f aca="false">'2.KTHH L2'!C27</f>
        <v>546.72</v>
      </c>
      <c r="D15" s="14" t="n">
        <f aca="false">'2.KTHH L2'!T27</f>
        <v>15.15</v>
      </c>
      <c r="E15" s="46"/>
      <c r="F15" s="46"/>
      <c r="G15" s="46"/>
      <c r="H15" s="46"/>
      <c r="I15" s="46"/>
      <c r="J15" s="46"/>
      <c r="K15" s="47"/>
      <c r="L15" s="17"/>
      <c r="M15" s="18"/>
      <c r="N15" s="48"/>
      <c r="O15" s="47" t="n">
        <f aca="false">Chạy!E20</f>
        <v>4.27</v>
      </c>
      <c r="P15" s="47"/>
      <c r="Q15" s="47"/>
      <c r="R15" s="50"/>
      <c r="S15" s="50"/>
      <c r="T15" s="50"/>
      <c r="U15" s="50"/>
      <c r="V15" s="50"/>
      <c r="W15" s="50" t="n">
        <f aca="false">(O15+O16)*D15/2</f>
        <v>74.61375</v>
      </c>
      <c r="X15" s="50"/>
      <c r="Y15" s="50"/>
      <c r="Z15" s="50"/>
      <c r="AA15" s="50"/>
      <c r="AB15" s="51"/>
      <c r="AC15" s="50"/>
      <c r="AE15" s="52"/>
    </row>
    <row r="16" s="45" customFormat="true" ht="15" hidden="false" customHeight="true" outlineLevel="0" collapsed="false">
      <c r="A16" s="14" t="n">
        <v>6</v>
      </c>
      <c r="B16" s="14" t="str">
        <f aca="false">'2.KTHH L2'!B28</f>
        <v>E5</v>
      </c>
      <c r="C16" s="16" t="n">
        <f aca="false">'2.KTHH L2'!C28</f>
        <v>561.87</v>
      </c>
      <c r="D16" s="14" t="n">
        <f aca="false">'2.KTHH L2'!T28</f>
        <v>0.15</v>
      </c>
      <c r="E16" s="46"/>
      <c r="F16" s="46"/>
      <c r="G16" s="46"/>
      <c r="H16" s="46"/>
      <c r="I16" s="46"/>
      <c r="J16" s="46"/>
      <c r="K16" s="47"/>
      <c r="L16" s="17"/>
      <c r="M16" s="18"/>
      <c r="N16" s="48"/>
      <c r="O16" s="47" t="n">
        <f aca="false">Chạy!E24</f>
        <v>5.58</v>
      </c>
      <c r="P16" s="47"/>
      <c r="Q16" s="47"/>
      <c r="R16" s="50"/>
      <c r="S16" s="50"/>
      <c r="T16" s="50"/>
      <c r="U16" s="50"/>
      <c r="V16" s="50"/>
      <c r="W16" s="50" t="n">
        <f aca="false">(O16+O17)*D16/2</f>
        <v>0.83775</v>
      </c>
      <c r="X16" s="50"/>
      <c r="Y16" s="50"/>
      <c r="Z16" s="50"/>
      <c r="AA16" s="50"/>
      <c r="AB16" s="51"/>
      <c r="AC16" s="50"/>
      <c r="AE16" s="52"/>
    </row>
    <row r="17" s="45" customFormat="true" ht="15" hidden="false" customHeight="true" outlineLevel="0" collapsed="false">
      <c r="A17" s="14" t="n">
        <v>7</v>
      </c>
      <c r="B17" s="14" t="str">
        <f aca="false">'2.KTHH L2'!B29</f>
        <v>TD</v>
      </c>
      <c r="C17" s="16" t="n">
        <f aca="false">'2.KTHH L2'!C29</f>
        <v>562.02</v>
      </c>
      <c r="D17" s="14" t="n">
        <f aca="false">'2.KTHH L2'!T29</f>
        <v>6.55</v>
      </c>
      <c r="E17" s="46"/>
      <c r="F17" s="46"/>
      <c r="G17" s="46"/>
      <c r="H17" s="46"/>
      <c r="I17" s="46"/>
      <c r="J17" s="46"/>
      <c r="K17" s="47"/>
      <c r="L17" s="17"/>
      <c r="M17" s="18"/>
      <c r="N17" s="48"/>
      <c r="O17" s="47" t="n">
        <f aca="false">Chạy!E28</f>
        <v>5.59</v>
      </c>
      <c r="P17" s="47"/>
      <c r="Q17" s="47"/>
      <c r="R17" s="50"/>
      <c r="S17" s="50"/>
      <c r="T17" s="50"/>
      <c r="U17" s="50"/>
      <c r="V17" s="50"/>
      <c r="W17" s="50" t="n">
        <f aca="false">(O17+O18)*D17/2</f>
        <v>37.10575</v>
      </c>
      <c r="X17" s="50"/>
      <c r="Y17" s="50"/>
      <c r="Z17" s="50"/>
      <c r="AA17" s="50"/>
      <c r="AB17" s="51"/>
      <c r="AC17" s="50"/>
      <c r="AE17" s="52"/>
    </row>
    <row r="18" s="45" customFormat="true" ht="15" hidden="false" customHeight="true" outlineLevel="0" collapsed="false">
      <c r="A18" s="14" t="n">
        <v>8</v>
      </c>
      <c r="B18" s="14" t="str">
        <f aca="false">'2.KTHH L2'!B30</f>
        <v>P</v>
      </c>
      <c r="C18" s="16" t="n">
        <f aca="false">'2.KTHH L2'!C30</f>
        <v>568.57</v>
      </c>
      <c r="D18" s="14" t="n">
        <f aca="false">'2.KTHH L2'!T30</f>
        <v>6.55</v>
      </c>
      <c r="E18" s="46"/>
      <c r="F18" s="46"/>
      <c r="G18" s="46"/>
      <c r="H18" s="46"/>
      <c r="I18" s="46"/>
      <c r="J18" s="46"/>
      <c r="K18" s="47"/>
      <c r="L18" s="17"/>
      <c r="M18" s="18"/>
      <c r="N18" s="48"/>
      <c r="O18" s="47" t="n">
        <f aca="false">Chạy!E32</f>
        <v>5.74</v>
      </c>
      <c r="P18" s="47"/>
      <c r="Q18" s="47"/>
      <c r="R18" s="50"/>
      <c r="S18" s="50"/>
      <c r="T18" s="50"/>
      <c r="U18" s="50"/>
      <c r="V18" s="50"/>
      <c r="W18" s="50" t="n">
        <f aca="false">(O18+O19)*D18/2</f>
        <v>36.418</v>
      </c>
      <c r="X18" s="50"/>
      <c r="Y18" s="50"/>
      <c r="Z18" s="50"/>
      <c r="AA18" s="50"/>
      <c r="AB18" s="51"/>
      <c r="AC18" s="50"/>
      <c r="AE18" s="52"/>
    </row>
    <row r="19" s="45" customFormat="true" ht="15" hidden="false" customHeight="true" outlineLevel="0" collapsed="false">
      <c r="A19" s="14" t="n">
        <v>9</v>
      </c>
      <c r="B19" s="14" t="str">
        <f aca="false">'2.KTHH L2'!B31</f>
        <v>TC</v>
      </c>
      <c r="C19" s="16" t="n">
        <f aca="false">'2.KTHH L2'!C31</f>
        <v>575.12</v>
      </c>
      <c r="D19" s="14" t="n">
        <f aca="false">'2.KTHH L2'!T31</f>
        <v>0.04</v>
      </c>
      <c r="E19" s="46"/>
      <c r="F19" s="46"/>
      <c r="G19" s="46"/>
      <c r="H19" s="46"/>
      <c r="I19" s="46"/>
      <c r="J19" s="46"/>
      <c r="K19" s="47"/>
      <c r="L19" s="17"/>
      <c r="M19" s="18"/>
      <c r="N19" s="48"/>
      <c r="O19" s="47" t="n">
        <f aca="false">Chạy!E36</f>
        <v>5.38</v>
      </c>
      <c r="P19" s="47"/>
      <c r="Q19" s="47"/>
      <c r="R19" s="50"/>
      <c r="S19" s="50"/>
      <c r="T19" s="50"/>
      <c r="U19" s="50"/>
      <c r="V19" s="50"/>
      <c r="W19" s="50" t="n">
        <f aca="false">(O19+O20)*D19/2</f>
        <v>0.2138</v>
      </c>
      <c r="X19" s="50"/>
      <c r="Y19" s="50"/>
      <c r="Z19" s="50"/>
      <c r="AA19" s="50"/>
      <c r="AB19" s="51"/>
      <c r="AC19" s="50"/>
      <c r="AE19" s="52"/>
    </row>
    <row r="20" s="45" customFormat="true" ht="15" hidden="false" customHeight="true" outlineLevel="0" collapsed="false">
      <c r="A20" s="14" t="n">
        <v>10</v>
      </c>
      <c r="B20" s="14" t="str">
        <f aca="false">'2.KTHH L2'!B32</f>
        <v>29</v>
      </c>
      <c r="C20" s="16" t="n">
        <f aca="false">'2.KTHH L2'!C32</f>
        <v>575.16</v>
      </c>
      <c r="D20" s="14" t="n">
        <f aca="false">'2.KTHH L2'!T32</f>
        <v>16.95</v>
      </c>
      <c r="E20" s="46"/>
      <c r="F20" s="46"/>
      <c r="G20" s="46"/>
      <c r="H20" s="46"/>
      <c r="I20" s="46"/>
      <c r="J20" s="46"/>
      <c r="K20" s="47"/>
      <c r="L20" s="17"/>
      <c r="M20" s="18"/>
      <c r="N20" s="48"/>
      <c r="O20" s="47" t="n">
        <f aca="false">Chạy!E40</f>
        <v>5.31</v>
      </c>
      <c r="P20" s="47"/>
      <c r="Q20" s="47"/>
      <c r="R20" s="50"/>
      <c r="S20" s="50"/>
      <c r="T20" s="50"/>
      <c r="U20" s="50"/>
      <c r="V20" s="50"/>
      <c r="W20" s="50" t="n">
        <f aca="false">(O20+O21)*D20/2</f>
        <v>92.46225</v>
      </c>
      <c r="X20" s="50"/>
      <c r="Y20" s="50"/>
      <c r="Z20" s="50"/>
      <c r="AA20" s="50"/>
      <c r="AB20" s="51"/>
      <c r="AC20" s="50"/>
      <c r="AE20" s="52"/>
    </row>
    <row r="21" s="45" customFormat="true" ht="15" hidden="false" customHeight="true" outlineLevel="0" collapsed="false">
      <c r="A21" s="14" t="n">
        <v>11</v>
      </c>
      <c r="B21" s="14" t="str">
        <f aca="false">'2.KTHH L2'!B33</f>
        <v>30</v>
      </c>
      <c r="C21" s="16" t="n">
        <f aca="false">'2.KTHH L2'!C33</f>
        <v>592.11</v>
      </c>
      <c r="D21" s="14" t="n">
        <f aca="false">'2.KTHH L2'!T33</f>
        <v>17</v>
      </c>
      <c r="E21" s="46"/>
      <c r="F21" s="46"/>
      <c r="G21" s="46"/>
      <c r="H21" s="46"/>
      <c r="I21" s="46"/>
      <c r="J21" s="46"/>
      <c r="K21" s="47"/>
      <c r="L21" s="17"/>
      <c r="M21" s="18"/>
      <c r="N21" s="48"/>
      <c r="O21" s="47" t="n">
        <f aca="false">Chạy!E44</f>
        <v>5.6</v>
      </c>
      <c r="P21" s="47"/>
      <c r="Q21" s="47"/>
      <c r="R21" s="50"/>
      <c r="S21" s="50"/>
      <c r="T21" s="50"/>
      <c r="U21" s="50"/>
      <c r="V21" s="50"/>
      <c r="W21" s="50" t="n">
        <f aca="false">(O21+O22)*D21/2</f>
        <v>90.695</v>
      </c>
      <c r="X21" s="50"/>
      <c r="Y21" s="50"/>
      <c r="Z21" s="50"/>
      <c r="AA21" s="50"/>
      <c r="AB21" s="51"/>
      <c r="AC21" s="50"/>
      <c r="AE21" s="52"/>
    </row>
    <row r="22" s="45" customFormat="true" ht="15" hidden="false" customHeight="true" outlineLevel="0" collapsed="false">
      <c r="A22" s="14" t="n">
        <v>12</v>
      </c>
      <c r="B22" s="14" t="str">
        <f aca="false">'2.KTHH L2'!B34</f>
        <v>31</v>
      </c>
      <c r="C22" s="16" t="n">
        <f aca="false">'2.KTHH L2'!C34</f>
        <v>609.11</v>
      </c>
      <c r="D22" s="14"/>
      <c r="E22" s="46"/>
      <c r="F22" s="46"/>
      <c r="G22" s="46"/>
      <c r="H22" s="46"/>
      <c r="I22" s="46"/>
      <c r="J22" s="46"/>
      <c r="K22" s="47"/>
      <c r="L22" s="17"/>
      <c r="M22" s="18"/>
      <c r="N22" s="48"/>
      <c r="O22" s="47" t="n">
        <f aca="false">Chạy!E48</f>
        <v>5.07</v>
      </c>
      <c r="P22" s="47"/>
      <c r="Q22" s="47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1"/>
      <c r="AC22" s="50"/>
      <c r="AE22" s="52"/>
    </row>
    <row r="23" s="45" customFormat="true" ht="15" hidden="true" customHeight="true" outlineLevel="0" collapsed="false">
      <c r="A23" s="14"/>
      <c r="B23" s="14"/>
      <c r="C23" s="16"/>
      <c r="D23" s="14"/>
      <c r="E23" s="46"/>
      <c r="F23" s="46"/>
      <c r="G23" s="46"/>
      <c r="H23" s="46"/>
      <c r="I23" s="46"/>
      <c r="J23" s="46"/>
      <c r="K23" s="47"/>
      <c r="L23" s="17"/>
      <c r="M23" s="18"/>
      <c r="N23" s="48"/>
      <c r="O23" s="47"/>
      <c r="P23" s="47"/>
      <c r="Q23" s="47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1"/>
      <c r="AC23" s="50"/>
      <c r="AE23" s="52"/>
    </row>
    <row r="24" s="45" customFormat="true" ht="15" hidden="true" customHeight="true" outlineLevel="0" collapsed="false">
      <c r="A24" s="14"/>
      <c r="B24" s="14"/>
      <c r="C24" s="16"/>
      <c r="D24" s="14"/>
      <c r="E24" s="46"/>
      <c r="F24" s="46"/>
      <c r="G24" s="46"/>
      <c r="H24" s="46"/>
      <c r="I24" s="46"/>
      <c r="J24" s="46"/>
      <c r="K24" s="47"/>
      <c r="L24" s="17"/>
      <c r="M24" s="18"/>
      <c r="N24" s="48"/>
      <c r="O24" s="47"/>
      <c r="P24" s="47"/>
      <c r="Q24" s="47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1"/>
      <c r="AC24" s="50"/>
      <c r="AE24" s="52"/>
    </row>
    <row r="25" s="45" customFormat="true" ht="15" hidden="true" customHeight="true" outlineLevel="0" collapsed="false">
      <c r="A25" s="14"/>
      <c r="B25" s="14"/>
      <c r="C25" s="16"/>
      <c r="D25" s="14"/>
      <c r="E25" s="46"/>
      <c r="F25" s="46"/>
      <c r="G25" s="46"/>
      <c r="H25" s="46"/>
      <c r="I25" s="46"/>
      <c r="J25" s="46"/>
      <c r="K25" s="47"/>
      <c r="L25" s="17"/>
      <c r="M25" s="18"/>
      <c r="N25" s="48"/>
      <c r="O25" s="47"/>
      <c r="P25" s="47"/>
      <c r="Q25" s="47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1"/>
      <c r="AC25" s="50"/>
      <c r="AE25" s="52"/>
    </row>
    <row r="26" s="45" customFormat="true" ht="15" hidden="true" customHeight="true" outlineLevel="0" collapsed="false">
      <c r="A26" s="14"/>
      <c r="B26" s="14"/>
      <c r="C26" s="16"/>
      <c r="D26" s="14"/>
      <c r="E26" s="46"/>
      <c r="F26" s="46"/>
      <c r="G26" s="46"/>
      <c r="H26" s="46"/>
      <c r="I26" s="46"/>
      <c r="J26" s="46"/>
      <c r="K26" s="47"/>
      <c r="L26" s="17"/>
      <c r="M26" s="18"/>
      <c r="N26" s="48"/>
      <c r="O26" s="47"/>
      <c r="P26" s="47"/>
      <c r="Q26" s="47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1"/>
      <c r="AC26" s="50"/>
      <c r="AE26" s="52"/>
    </row>
    <row r="27" s="45" customFormat="true" ht="15" hidden="true" customHeight="true" outlineLevel="0" collapsed="false">
      <c r="A27" s="14"/>
      <c r="B27" s="14"/>
      <c r="C27" s="16"/>
      <c r="D27" s="14"/>
      <c r="E27" s="46"/>
      <c r="F27" s="46"/>
      <c r="G27" s="46"/>
      <c r="H27" s="46"/>
      <c r="I27" s="46"/>
      <c r="J27" s="46"/>
      <c r="K27" s="47"/>
      <c r="L27" s="17"/>
      <c r="M27" s="18"/>
      <c r="N27" s="48"/>
      <c r="O27" s="47"/>
      <c r="P27" s="47"/>
      <c r="Q27" s="47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1"/>
      <c r="AC27" s="50"/>
      <c r="AE27" s="52"/>
    </row>
    <row r="28" s="45" customFormat="true" ht="15" hidden="true" customHeight="true" outlineLevel="0" collapsed="false">
      <c r="A28" s="14"/>
      <c r="B28" s="14"/>
      <c r="C28" s="16"/>
      <c r="D28" s="14"/>
      <c r="E28" s="46"/>
      <c r="F28" s="46"/>
      <c r="G28" s="46"/>
      <c r="H28" s="46"/>
      <c r="I28" s="46"/>
      <c r="J28" s="46"/>
      <c r="K28" s="47"/>
      <c r="L28" s="17"/>
      <c r="M28" s="18"/>
      <c r="N28" s="48"/>
      <c r="O28" s="47"/>
      <c r="P28" s="47"/>
      <c r="Q28" s="47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1"/>
      <c r="AC28" s="50"/>
      <c r="AE28" s="52"/>
    </row>
    <row r="29" s="45" customFormat="true" ht="15" hidden="true" customHeight="true" outlineLevel="0" collapsed="false">
      <c r="A29" s="14"/>
      <c r="B29" s="14"/>
      <c r="C29" s="16"/>
      <c r="D29" s="14"/>
      <c r="E29" s="46"/>
      <c r="F29" s="46"/>
      <c r="G29" s="46"/>
      <c r="H29" s="46"/>
      <c r="I29" s="46"/>
      <c r="J29" s="46"/>
      <c r="K29" s="47"/>
      <c r="L29" s="17"/>
      <c r="M29" s="18"/>
      <c r="N29" s="48"/>
      <c r="O29" s="47"/>
      <c r="P29" s="47"/>
      <c r="Q29" s="47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1"/>
      <c r="AC29" s="50"/>
      <c r="AE29" s="52"/>
    </row>
    <row r="30" s="45" customFormat="true" ht="15" hidden="true" customHeight="true" outlineLevel="0" collapsed="false">
      <c r="A30" s="14"/>
      <c r="B30" s="14"/>
      <c r="C30" s="16"/>
      <c r="D30" s="14"/>
      <c r="E30" s="46"/>
      <c r="F30" s="46"/>
      <c r="G30" s="46"/>
      <c r="H30" s="46"/>
      <c r="I30" s="46"/>
      <c r="J30" s="46"/>
      <c r="K30" s="47"/>
      <c r="L30" s="17"/>
      <c r="M30" s="18"/>
      <c r="N30" s="48"/>
      <c r="O30" s="47"/>
      <c r="P30" s="47"/>
      <c r="Q30" s="47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1"/>
      <c r="AC30" s="50"/>
      <c r="AE30" s="52"/>
    </row>
    <row r="31" s="45" customFormat="true" ht="15" hidden="true" customHeight="true" outlineLevel="0" collapsed="false">
      <c r="A31" s="14"/>
      <c r="B31" s="14"/>
      <c r="C31" s="16"/>
      <c r="D31" s="14"/>
      <c r="E31" s="46"/>
      <c r="F31" s="46"/>
      <c r="G31" s="46"/>
      <c r="H31" s="46"/>
      <c r="I31" s="46"/>
      <c r="J31" s="46"/>
      <c r="K31" s="47"/>
      <c r="L31" s="17"/>
      <c r="M31" s="18"/>
      <c r="N31" s="48"/>
      <c r="O31" s="47"/>
      <c r="P31" s="47"/>
      <c r="Q31" s="47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1"/>
      <c r="AC31" s="50"/>
      <c r="AE31" s="52"/>
    </row>
    <row r="32" s="45" customFormat="true" ht="15" hidden="true" customHeight="true" outlineLevel="0" collapsed="false">
      <c r="A32" s="14"/>
      <c r="B32" s="14"/>
      <c r="C32" s="16"/>
      <c r="D32" s="14"/>
      <c r="E32" s="46"/>
      <c r="F32" s="46"/>
      <c r="G32" s="46"/>
      <c r="H32" s="46"/>
      <c r="I32" s="46"/>
      <c r="J32" s="46"/>
      <c r="K32" s="47"/>
      <c r="L32" s="17"/>
      <c r="M32" s="18"/>
      <c r="N32" s="48"/>
      <c r="O32" s="47"/>
      <c r="P32" s="47"/>
      <c r="Q32" s="47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1"/>
      <c r="AC32" s="50"/>
      <c r="AE32" s="52"/>
    </row>
    <row r="33" s="45" customFormat="true" ht="15" hidden="true" customHeight="true" outlineLevel="0" collapsed="false">
      <c r="A33" s="14"/>
      <c r="B33" s="14"/>
      <c r="C33" s="16"/>
      <c r="D33" s="14"/>
      <c r="E33" s="46"/>
      <c r="F33" s="46"/>
      <c r="G33" s="46"/>
      <c r="H33" s="46"/>
      <c r="I33" s="46"/>
      <c r="J33" s="46"/>
      <c r="K33" s="47"/>
      <c r="L33" s="17"/>
      <c r="M33" s="18"/>
      <c r="N33" s="48"/>
      <c r="O33" s="47"/>
      <c r="P33" s="47"/>
      <c r="Q33" s="47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1"/>
      <c r="AC33" s="50"/>
      <c r="AE33" s="52"/>
    </row>
    <row r="34" s="45" customFormat="true" ht="15" hidden="true" customHeight="true" outlineLevel="0" collapsed="false">
      <c r="A34" s="14"/>
      <c r="B34" s="14"/>
      <c r="C34" s="16"/>
      <c r="D34" s="14"/>
      <c r="E34" s="46"/>
      <c r="F34" s="46"/>
      <c r="G34" s="46"/>
      <c r="H34" s="46"/>
      <c r="I34" s="46"/>
      <c r="J34" s="46"/>
      <c r="K34" s="47"/>
      <c r="L34" s="17"/>
      <c r="M34" s="18"/>
      <c r="N34" s="48"/>
      <c r="O34" s="47"/>
      <c r="P34" s="47"/>
      <c r="Q34" s="47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1"/>
      <c r="AC34" s="50"/>
      <c r="AE34" s="52"/>
    </row>
    <row r="35" s="45" customFormat="true" ht="15" hidden="true" customHeight="true" outlineLevel="0" collapsed="false">
      <c r="A35" s="14"/>
      <c r="B35" s="14"/>
      <c r="C35" s="16"/>
      <c r="D35" s="14"/>
      <c r="E35" s="46"/>
      <c r="F35" s="46"/>
      <c r="G35" s="46"/>
      <c r="H35" s="46"/>
      <c r="I35" s="46"/>
      <c r="J35" s="46"/>
      <c r="K35" s="47"/>
      <c r="L35" s="17"/>
      <c r="M35" s="18"/>
      <c r="N35" s="48"/>
      <c r="O35" s="47"/>
      <c r="P35" s="47"/>
      <c r="Q35" s="47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1"/>
      <c r="AC35" s="50"/>
      <c r="AE35" s="52"/>
    </row>
    <row r="36" s="45" customFormat="true" ht="15" hidden="true" customHeight="true" outlineLevel="0" collapsed="false">
      <c r="A36" s="14"/>
      <c r="B36" s="14"/>
      <c r="C36" s="16"/>
      <c r="D36" s="14"/>
      <c r="E36" s="46"/>
      <c r="F36" s="46"/>
      <c r="G36" s="46"/>
      <c r="H36" s="46"/>
      <c r="I36" s="46"/>
      <c r="J36" s="46"/>
      <c r="K36" s="47"/>
      <c r="L36" s="17"/>
      <c r="M36" s="18"/>
      <c r="N36" s="48"/>
      <c r="O36" s="47"/>
      <c r="P36" s="47"/>
      <c r="Q36" s="47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1"/>
      <c r="AC36" s="50"/>
      <c r="AE36" s="52"/>
    </row>
    <row r="37" s="45" customFormat="true" ht="15" hidden="true" customHeight="true" outlineLevel="0" collapsed="false">
      <c r="A37" s="14"/>
      <c r="B37" s="14"/>
      <c r="C37" s="16"/>
      <c r="D37" s="14"/>
      <c r="E37" s="46"/>
      <c r="F37" s="46"/>
      <c r="G37" s="46"/>
      <c r="H37" s="46"/>
      <c r="I37" s="46"/>
      <c r="J37" s="46"/>
      <c r="K37" s="47"/>
      <c r="L37" s="17"/>
      <c r="M37" s="18"/>
      <c r="N37" s="48"/>
      <c r="O37" s="47"/>
      <c r="P37" s="47"/>
      <c r="Q37" s="47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1"/>
      <c r="AC37" s="50"/>
      <c r="AE37" s="52"/>
    </row>
    <row r="38" s="45" customFormat="true" ht="15" hidden="true" customHeight="true" outlineLevel="0" collapsed="false">
      <c r="A38" s="14"/>
      <c r="B38" s="14"/>
      <c r="C38" s="16"/>
      <c r="D38" s="14"/>
      <c r="E38" s="46"/>
      <c r="F38" s="46"/>
      <c r="G38" s="46"/>
      <c r="H38" s="46"/>
      <c r="I38" s="46"/>
      <c r="J38" s="46"/>
      <c r="K38" s="47"/>
      <c r="L38" s="17"/>
      <c r="M38" s="18"/>
      <c r="N38" s="48"/>
      <c r="O38" s="47"/>
      <c r="P38" s="47"/>
      <c r="Q38" s="47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1"/>
      <c r="AC38" s="50"/>
      <c r="AE38" s="52"/>
    </row>
    <row r="39" s="45" customFormat="true" ht="15" hidden="true" customHeight="true" outlineLevel="0" collapsed="false">
      <c r="A39" s="14"/>
      <c r="B39" s="14"/>
      <c r="C39" s="16"/>
      <c r="D39" s="14"/>
      <c r="E39" s="46"/>
      <c r="F39" s="46"/>
      <c r="G39" s="46"/>
      <c r="H39" s="46"/>
      <c r="I39" s="46"/>
      <c r="J39" s="46"/>
      <c r="K39" s="47"/>
      <c r="L39" s="17"/>
      <c r="M39" s="18"/>
      <c r="N39" s="48"/>
      <c r="O39" s="47"/>
      <c r="P39" s="47"/>
      <c r="Q39" s="47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51"/>
      <c r="AC39" s="50"/>
      <c r="AE39" s="52"/>
    </row>
    <row r="40" s="45" customFormat="true" ht="15" hidden="true" customHeight="true" outlineLevel="0" collapsed="false">
      <c r="A40" s="14"/>
      <c r="B40" s="14"/>
      <c r="C40" s="16"/>
      <c r="D40" s="14"/>
      <c r="E40" s="46"/>
      <c r="F40" s="46"/>
      <c r="G40" s="46"/>
      <c r="H40" s="46"/>
      <c r="I40" s="46"/>
      <c r="J40" s="46"/>
      <c r="K40" s="47"/>
      <c r="L40" s="17"/>
      <c r="M40" s="18"/>
      <c r="N40" s="48"/>
      <c r="O40" s="47"/>
      <c r="P40" s="47"/>
      <c r="Q40" s="47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1"/>
      <c r="AC40" s="50"/>
      <c r="AE40" s="52"/>
    </row>
    <row r="41" s="45" customFormat="true" ht="15" hidden="true" customHeight="true" outlineLevel="0" collapsed="false">
      <c r="A41" s="14"/>
      <c r="B41" s="14"/>
      <c r="C41" s="16"/>
      <c r="D41" s="14"/>
      <c r="E41" s="46"/>
      <c r="F41" s="46"/>
      <c r="G41" s="46"/>
      <c r="H41" s="46"/>
      <c r="I41" s="46"/>
      <c r="J41" s="46"/>
      <c r="K41" s="47"/>
      <c r="L41" s="17"/>
      <c r="M41" s="18"/>
      <c r="N41" s="48"/>
      <c r="O41" s="47"/>
      <c r="P41" s="47"/>
      <c r="Q41" s="47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1"/>
      <c r="AC41" s="50"/>
      <c r="AE41" s="52"/>
    </row>
    <row r="42" s="45" customFormat="true" ht="15" hidden="true" customHeight="true" outlineLevel="0" collapsed="false">
      <c r="A42" s="14"/>
      <c r="B42" s="14"/>
      <c r="C42" s="16"/>
      <c r="D42" s="14"/>
      <c r="E42" s="46"/>
      <c r="F42" s="46"/>
      <c r="G42" s="46"/>
      <c r="H42" s="46"/>
      <c r="I42" s="46"/>
      <c r="J42" s="46"/>
      <c r="K42" s="47"/>
      <c r="L42" s="17"/>
      <c r="M42" s="18"/>
      <c r="N42" s="48"/>
      <c r="O42" s="47"/>
      <c r="P42" s="47"/>
      <c r="Q42" s="47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1"/>
      <c r="AC42" s="50"/>
      <c r="AE42" s="52"/>
    </row>
    <row r="43" s="45" customFormat="true" ht="15" hidden="true" customHeight="true" outlineLevel="0" collapsed="false">
      <c r="A43" s="14"/>
      <c r="B43" s="14"/>
      <c r="C43" s="16"/>
      <c r="D43" s="14"/>
      <c r="E43" s="46"/>
      <c r="F43" s="46"/>
      <c r="G43" s="46"/>
      <c r="H43" s="46"/>
      <c r="I43" s="46"/>
      <c r="J43" s="46"/>
      <c r="K43" s="47"/>
      <c r="L43" s="17"/>
      <c r="M43" s="18"/>
      <c r="N43" s="48"/>
      <c r="O43" s="47"/>
      <c r="P43" s="47"/>
      <c r="Q43" s="47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1"/>
      <c r="AC43" s="50"/>
      <c r="AE43" s="52"/>
    </row>
    <row r="44" s="45" customFormat="true" ht="15" hidden="true" customHeight="true" outlineLevel="0" collapsed="false">
      <c r="A44" s="14"/>
      <c r="B44" s="14"/>
      <c r="C44" s="16"/>
      <c r="D44" s="14"/>
      <c r="E44" s="46"/>
      <c r="F44" s="46"/>
      <c r="G44" s="46"/>
      <c r="H44" s="46"/>
      <c r="I44" s="46"/>
      <c r="J44" s="46"/>
      <c r="K44" s="47"/>
      <c r="L44" s="17"/>
      <c r="M44" s="18"/>
      <c r="N44" s="48"/>
      <c r="O44" s="47"/>
      <c r="P44" s="47"/>
      <c r="Q44" s="47"/>
      <c r="R44" s="50"/>
      <c r="S44" s="50"/>
      <c r="T44" s="50"/>
      <c r="U44" s="50"/>
      <c r="V44" s="50"/>
      <c r="W44" s="50"/>
      <c r="X44" s="50"/>
      <c r="Y44" s="50"/>
      <c r="Z44" s="50"/>
      <c r="AA44" s="50"/>
      <c r="AB44" s="51"/>
      <c r="AC44" s="50"/>
      <c r="AE44" s="52"/>
    </row>
    <row r="45" s="45" customFormat="true" ht="15" hidden="true" customHeight="true" outlineLevel="0" collapsed="false">
      <c r="A45" s="14"/>
      <c r="B45" s="14"/>
      <c r="C45" s="16"/>
      <c r="D45" s="14"/>
      <c r="E45" s="46"/>
      <c r="F45" s="46"/>
      <c r="G45" s="46"/>
      <c r="H45" s="46"/>
      <c r="I45" s="46"/>
      <c r="J45" s="46"/>
      <c r="K45" s="47"/>
      <c r="L45" s="17"/>
      <c r="M45" s="18"/>
      <c r="N45" s="48"/>
      <c r="O45" s="47"/>
      <c r="P45" s="47"/>
      <c r="Q45" s="47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1"/>
      <c r="AC45" s="50"/>
      <c r="AE45" s="52"/>
    </row>
    <row r="46" s="45" customFormat="true" ht="15" hidden="true" customHeight="true" outlineLevel="0" collapsed="false">
      <c r="A46" s="14"/>
      <c r="B46" s="14"/>
      <c r="C46" s="16"/>
      <c r="D46" s="14"/>
      <c r="E46" s="46"/>
      <c r="F46" s="46"/>
      <c r="G46" s="46"/>
      <c r="H46" s="46"/>
      <c r="I46" s="46"/>
      <c r="J46" s="46"/>
      <c r="K46" s="47"/>
      <c r="L46" s="17"/>
      <c r="M46" s="18"/>
      <c r="N46" s="48"/>
      <c r="O46" s="47"/>
      <c r="P46" s="47"/>
      <c r="Q46" s="47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1"/>
      <c r="AC46" s="50"/>
      <c r="AE46" s="52"/>
    </row>
    <row r="47" s="45" customFormat="true" ht="15" hidden="true" customHeight="true" outlineLevel="0" collapsed="false">
      <c r="A47" s="14"/>
      <c r="B47" s="14"/>
      <c r="C47" s="16"/>
      <c r="D47" s="14"/>
      <c r="E47" s="46"/>
      <c r="F47" s="46"/>
      <c r="G47" s="46"/>
      <c r="H47" s="46"/>
      <c r="I47" s="46"/>
      <c r="J47" s="46"/>
      <c r="K47" s="47"/>
      <c r="L47" s="17"/>
      <c r="M47" s="18"/>
      <c r="N47" s="48"/>
      <c r="O47" s="47"/>
      <c r="P47" s="47"/>
      <c r="Q47" s="47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1"/>
      <c r="AC47" s="50"/>
      <c r="AE47" s="52"/>
    </row>
    <row r="48" s="45" customFormat="true" ht="15" hidden="true" customHeight="true" outlineLevel="0" collapsed="false">
      <c r="A48" s="14"/>
      <c r="B48" s="14"/>
      <c r="C48" s="16"/>
      <c r="D48" s="14"/>
      <c r="E48" s="46"/>
      <c r="F48" s="46"/>
      <c r="G48" s="46"/>
      <c r="H48" s="46"/>
      <c r="I48" s="46"/>
      <c r="J48" s="46"/>
      <c r="K48" s="47"/>
      <c r="L48" s="17"/>
      <c r="M48" s="18"/>
      <c r="N48" s="48"/>
      <c r="O48" s="47"/>
      <c r="P48" s="47"/>
      <c r="Q48" s="47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1"/>
      <c r="AC48" s="50"/>
      <c r="AE48" s="52"/>
    </row>
    <row r="49" s="45" customFormat="true" ht="15" hidden="true" customHeight="true" outlineLevel="0" collapsed="false">
      <c r="A49" s="14"/>
      <c r="B49" s="14"/>
      <c r="C49" s="16"/>
      <c r="D49" s="14"/>
      <c r="E49" s="46"/>
      <c r="F49" s="46"/>
      <c r="G49" s="46"/>
      <c r="H49" s="46"/>
      <c r="I49" s="46"/>
      <c r="J49" s="46"/>
      <c r="K49" s="47"/>
      <c r="L49" s="17"/>
      <c r="M49" s="18"/>
      <c r="N49" s="48"/>
      <c r="O49" s="47"/>
      <c r="P49" s="47"/>
      <c r="Q49" s="47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1"/>
      <c r="AC49" s="50"/>
      <c r="AE49" s="52"/>
    </row>
    <row r="50" s="45" customFormat="true" ht="15" hidden="true" customHeight="true" outlineLevel="0" collapsed="false">
      <c r="A50" s="14"/>
      <c r="B50" s="14"/>
      <c r="C50" s="16"/>
      <c r="D50" s="14"/>
      <c r="E50" s="46"/>
      <c r="F50" s="46"/>
      <c r="G50" s="46"/>
      <c r="H50" s="46"/>
      <c r="I50" s="46"/>
      <c r="J50" s="46"/>
      <c r="K50" s="47"/>
      <c r="L50" s="17"/>
      <c r="M50" s="18"/>
      <c r="N50" s="48"/>
      <c r="O50" s="47"/>
      <c r="P50" s="47"/>
      <c r="Q50" s="47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1"/>
      <c r="AC50" s="50"/>
      <c r="AE50" s="52"/>
    </row>
    <row r="51" s="60" customFormat="true" ht="14.25" hidden="false" customHeight="true" outlineLevel="0" collapsed="false">
      <c r="A51" s="35" t="s">
        <v>61</v>
      </c>
      <c r="B51" s="35"/>
      <c r="C51" s="35"/>
      <c r="D51" s="35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7" t="n">
        <f aca="false">SUM(R11:R50)</f>
        <v>0</v>
      </c>
      <c r="S51" s="57" t="n">
        <f aca="false">SUM(S11:S50)</f>
        <v>0</v>
      </c>
      <c r="T51" s="57"/>
      <c r="U51" s="58" t="n">
        <f aca="false">SUM(U11:U50)</f>
        <v>0</v>
      </c>
      <c r="V51" s="58" t="n">
        <f aca="false">SUM(V11:V50)</f>
        <v>0</v>
      </c>
      <c r="W51" s="59" t="n">
        <f aca="false">SUM(W11:W22)</f>
        <v>639.8694</v>
      </c>
      <c r="X51" s="58" t="n">
        <f aca="false">SUM(X11:X50)</f>
        <v>0</v>
      </c>
      <c r="Y51" s="58" t="n">
        <f aca="false">SUM(Y11:Y50)</f>
        <v>0</v>
      </c>
      <c r="Z51" s="58" t="n">
        <f aca="false">SUM(Z11:Z50)</f>
        <v>0</v>
      </c>
      <c r="AA51" s="58" t="n">
        <f aca="false">SUM(AA11:AA50)</f>
        <v>0</v>
      </c>
      <c r="AB51" s="58"/>
      <c r="AE51" s="61"/>
    </row>
    <row r="52" s="60" customFormat="true" ht="14.25" hidden="false" customHeight="true" outlineLevel="0" collapsed="false">
      <c r="A52" s="63"/>
      <c r="B52" s="63"/>
      <c r="C52" s="63"/>
      <c r="D52" s="63"/>
      <c r="R52" s="64"/>
      <c r="S52" s="64"/>
      <c r="T52" s="64"/>
      <c r="U52" s="61"/>
      <c r="V52" s="61"/>
      <c r="W52" s="61"/>
      <c r="X52" s="61"/>
      <c r="Y52" s="61"/>
      <c r="Z52" s="61"/>
      <c r="AA52" s="61"/>
      <c r="AB52" s="61"/>
    </row>
    <row r="53" s="60" customFormat="true" ht="15" hidden="false" customHeight="true" outlineLevel="0" collapsed="false">
      <c r="A53" s="20" t="s">
        <v>50</v>
      </c>
      <c r="B53" s="20"/>
      <c r="C53" s="20"/>
      <c r="D53" s="65" t="s">
        <v>62</v>
      </c>
      <c r="E53" s="20" t="s">
        <v>51</v>
      </c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</row>
    <row r="54" s="60" customFormat="true" ht="14.25" hidden="false" customHeight="true" outlineLevel="0" collapsed="false">
      <c r="A54" s="66"/>
      <c r="B54" s="66"/>
      <c r="C54" s="66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</row>
    <row r="55" s="60" customFormat="true" ht="15" hidden="false" customHeight="true" outlineLevel="0" collapsed="false">
      <c r="A55" s="66"/>
      <c r="B55" s="66"/>
      <c r="C55" s="68"/>
      <c r="D55" s="68"/>
      <c r="E55" s="67"/>
      <c r="F55" s="67"/>
      <c r="G55" s="67"/>
      <c r="H55" s="67"/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AF55" s="69"/>
    </row>
    <row r="56" s="60" customFormat="true" ht="14.25" hidden="false" customHeight="true" outlineLevel="0" collapsed="false">
      <c r="A56" s="66"/>
      <c r="B56" s="66"/>
      <c r="C56" s="66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</row>
    <row r="57" s="60" customFormat="true" ht="14.25" hidden="false" customHeight="true" outlineLevel="0" collapsed="false">
      <c r="A57" s="66"/>
      <c r="B57" s="66"/>
      <c r="C57" s="66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</row>
    <row r="58" s="60" customFormat="true" ht="14.25" hidden="false" customHeight="true" outlineLevel="0" collapsed="false">
      <c r="A58" s="66"/>
      <c r="B58" s="66"/>
      <c r="C58" s="66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</row>
    <row r="59" s="60" customFormat="true" ht="14.25" hidden="false" customHeight="true" outlineLevel="0" collapsed="false">
      <c r="A59" s="20" t="s">
        <v>52</v>
      </c>
      <c r="B59" s="20"/>
      <c r="C59" s="20"/>
      <c r="D59" s="21"/>
      <c r="E59" s="21"/>
      <c r="F59" s="21"/>
      <c r="G59" s="21"/>
      <c r="H59" s="21"/>
      <c r="I59" s="21"/>
      <c r="J59" s="21"/>
      <c r="K59" s="21"/>
      <c r="L59" s="21"/>
      <c r="M59" s="20" t="s">
        <v>53</v>
      </c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</row>
    <row r="60" customFormat="false" ht="16.5" hidden="false" customHeight="true" outlineLevel="0" collapsed="false">
      <c r="A60" s="72"/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0"/>
    </row>
    <row r="61" customFormat="false" ht="16.5" hidden="false" customHeight="true" outlineLevel="0" collapsed="false">
      <c r="A61" s="72"/>
      <c r="B61" s="72"/>
      <c r="C61" s="72"/>
      <c r="D61" s="72"/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  <c r="AA61" s="72"/>
      <c r="AB61" s="72"/>
      <c r="AC61" s="70"/>
    </row>
    <row r="62" customFormat="false" ht="16.5" hidden="false" customHeight="true" outlineLevel="0" collapsed="false">
      <c r="A62" s="72"/>
      <c r="B62" s="72"/>
      <c r="C62" s="72"/>
      <c r="D62" s="72"/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  <c r="AA62" s="72"/>
      <c r="AB62" s="72"/>
      <c r="AC62" s="70"/>
    </row>
    <row r="63" customFormat="false" ht="16.5" hidden="false" customHeight="true" outlineLevel="0" collapsed="false">
      <c r="A63" s="72"/>
      <c r="B63" s="72"/>
      <c r="C63" s="72"/>
      <c r="D63" s="72"/>
      <c r="E63" s="72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0"/>
    </row>
    <row r="64" customFormat="false" ht="16.5" hidden="false" customHeight="true" outlineLevel="0" collapsed="false">
      <c r="A64" s="72"/>
      <c r="B64" s="72"/>
      <c r="C64" s="72"/>
      <c r="D64" s="72"/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0"/>
    </row>
    <row r="65" customFormat="false" ht="16.5" hidden="false" customHeight="true" outlineLevel="0" collapsed="false">
      <c r="A65" s="72"/>
      <c r="B65" s="72"/>
      <c r="C65" s="72"/>
      <c r="D65" s="72"/>
      <c r="E65" s="72"/>
      <c r="F65" s="72"/>
      <c r="G65" s="72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0"/>
    </row>
    <row r="66" customFormat="false" ht="16.5" hidden="false" customHeight="true" outlineLevel="0" collapsed="false">
      <c r="A66" s="72"/>
      <c r="B66" s="72"/>
      <c r="C66" s="72"/>
      <c r="D66" s="72"/>
      <c r="E66" s="72"/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0"/>
    </row>
    <row r="67" customFormat="false" ht="16.5" hidden="false" customHeight="true" outlineLevel="0" collapsed="false">
      <c r="A67" s="72"/>
      <c r="B67" s="72"/>
      <c r="C67" s="72"/>
      <c r="D67" s="72"/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0"/>
    </row>
    <row r="68" customFormat="false" ht="16.5" hidden="false" customHeight="true" outlineLevel="0" collapsed="false">
      <c r="A68" s="72"/>
      <c r="B68" s="72"/>
      <c r="C68" s="72"/>
      <c r="D68" s="72"/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  <c r="AA68" s="72"/>
      <c r="AB68" s="72"/>
      <c r="AC68" s="70"/>
    </row>
    <row r="69" customFormat="false" ht="16.5" hidden="false" customHeight="true" outlineLevel="0" collapsed="false">
      <c r="A69" s="72"/>
      <c r="B69" s="72"/>
      <c r="C69" s="72"/>
      <c r="D69" s="72"/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0"/>
    </row>
    <row r="70" customFormat="false" ht="16.5" hidden="false" customHeight="true" outlineLevel="0" collapsed="false">
      <c r="A70" s="72"/>
      <c r="B70" s="72"/>
      <c r="C70" s="72"/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0"/>
    </row>
    <row r="71" customFormat="false" ht="16.5" hidden="false" customHeight="true" outlineLevel="0" collapsed="false">
      <c r="A71" s="72"/>
      <c r="B71" s="72"/>
      <c r="C71" s="72"/>
      <c r="D71" s="72"/>
      <c r="E71" s="72"/>
      <c r="F71" s="72"/>
      <c r="G71" s="72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  <c r="AA71" s="72"/>
      <c r="AB71" s="72"/>
      <c r="AC71" s="70"/>
    </row>
    <row r="72" customFormat="false" ht="16.5" hidden="false" customHeight="true" outlineLevel="0" collapsed="false">
      <c r="A72" s="72"/>
      <c r="B72" s="72"/>
      <c r="C72" s="72"/>
      <c r="D72" s="72"/>
      <c r="E72" s="72"/>
      <c r="F72" s="72"/>
      <c r="G72" s="72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0"/>
    </row>
    <row r="73" customFormat="false" ht="16.5" hidden="false" customHeight="true" outlineLevel="0" collapsed="false">
      <c r="A73" s="72"/>
      <c r="B73" s="72"/>
      <c r="C73" s="72"/>
      <c r="D73" s="72"/>
      <c r="E73" s="72"/>
      <c r="F73" s="72"/>
      <c r="G73" s="72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0"/>
    </row>
    <row r="74" customFormat="false" ht="16.5" hidden="false" customHeight="true" outlineLevel="0" collapsed="false">
      <c r="A74" s="72"/>
      <c r="B74" s="72"/>
      <c r="C74" s="72"/>
      <c r="D74" s="72"/>
      <c r="E74" s="72"/>
      <c r="F74" s="72"/>
      <c r="G74" s="72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  <c r="AA74" s="72"/>
      <c r="AB74" s="72"/>
      <c r="AC74" s="70"/>
    </row>
    <row r="75" customFormat="false" ht="16.5" hidden="false" customHeight="true" outlineLevel="0" collapsed="false">
      <c r="A75" s="72"/>
      <c r="B75" s="72"/>
      <c r="C75" s="72"/>
      <c r="D75" s="72"/>
      <c r="E75" s="72"/>
      <c r="F75" s="72"/>
      <c r="G75" s="72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  <c r="AA75" s="72"/>
      <c r="AB75" s="72"/>
      <c r="AC75" s="70"/>
    </row>
    <row r="76" customFormat="false" ht="16.5" hidden="false" customHeight="true" outlineLevel="0" collapsed="false">
      <c r="A76" s="72"/>
      <c r="B76" s="72"/>
      <c r="C76" s="72"/>
      <c r="D76" s="72"/>
      <c r="E76" s="72"/>
      <c r="F76" s="72"/>
      <c r="G76" s="72"/>
      <c r="H76" s="72"/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  <c r="AA76" s="72"/>
      <c r="AB76" s="72"/>
      <c r="AC76" s="70"/>
    </row>
    <row r="77" customFormat="false" ht="16.5" hidden="false" customHeight="true" outlineLevel="0" collapsed="false">
      <c r="A77" s="72"/>
      <c r="B77" s="72"/>
      <c r="C77" s="72"/>
      <c r="D77" s="72"/>
      <c r="E77" s="72"/>
      <c r="F77" s="72"/>
      <c r="G77" s="72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  <c r="AA77" s="72"/>
      <c r="AB77" s="72"/>
      <c r="AC77" s="70"/>
    </row>
    <row r="78" customFormat="false" ht="16.5" hidden="false" customHeight="true" outlineLevel="0" collapsed="false">
      <c r="A78" s="72"/>
      <c r="B78" s="72"/>
      <c r="C78" s="72"/>
      <c r="D78" s="72"/>
      <c r="E78" s="72"/>
      <c r="F78" s="72"/>
      <c r="G78" s="72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0"/>
    </row>
    <row r="79" customFormat="false" ht="16.5" hidden="false" customHeight="true" outlineLevel="0" collapsed="false">
      <c r="A79" s="72"/>
      <c r="B79" s="72"/>
      <c r="C79" s="72"/>
      <c r="D79" s="72"/>
      <c r="E79" s="72"/>
      <c r="F79" s="72"/>
      <c r="G79" s="72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0"/>
    </row>
    <row r="80" customFormat="false" ht="16.5" hidden="false" customHeight="true" outlineLevel="0" collapsed="false">
      <c r="A80" s="72"/>
      <c r="B80" s="72"/>
      <c r="C80" s="72"/>
      <c r="D80" s="72"/>
      <c r="E80" s="72"/>
      <c r="F80" s="72"/>
      <c r="G80" s="72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  <c r="AA80" s="72"/>
      <c r="AB80" s="72"/>
      <c r="AC80" s="70"/>
    </row>
    <row r="81" customFormat="false" ht="16.5" hidden="false" customHeight="true" outlineLevel="0" collapsed="false">
      <c r="A81" s="72"/>
      <c r="B81" s="72"/>
      <c r="C81" s="72"/>
      <c r="D81" s="72"/>
      <c r="E81" s="72"/>
      <c r="F81" s="72"/>
      <c r="G81" s="72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72"/>
      <c r="AC81" s="70"/>
    </row>
    <row r="82" customFormat="false" ht="16.5" hidden="false" customHeight="true" outlineLevel="0" collapsed="false">
      <c r="A82" s="72"/>
      <c r="B82" s="72"/>
      <c r="C82" s="72"/>
      <c r="D82" s="72"/>
      <c r="E82" s="72"/>
      <c r="F82" s="72"/>
      <c r="G82" s="72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0"/>
    </row>
    <row r="83" customFormat="false" ht="16.5" hidden="false" customHeight="true" outlineLevel="0" collapsed="false">
      <c r="A83" s="72"/>
      <c r="B83" s="72"/>
      <c r="C83" s="72"/>
      <c r="D83" s="72"/>
      <c r="E83" s="72"/>
      <c r="F83" s="72"/>
      <c r="G83" s="72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0"/>
    </row>
    <row r="84" customFormat="false" ht="16.5" hidden="false" customHeight="true" outlineLevel="0" collapsed="false">
      <c r="A84" s="72"/>
      <c r="B84" s="72"/>
      <c r="C84" s="72"/>
      <c r="D84" s="72"/>
      <c r="E84" s="72"/>
      <c r="F84" s="72"/>
      <c r="G84" s="72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0"/>
    </row>
    <row r="85" customFormat="false" ht="16.5" hidden="false" customHeight="true" outlineLevel="0" collapsed="false">
      <c r="A85" s="72"/>
      <c r="B85" s="72"/>
      <c r="C85" s="72"/>
      <c r="D85" s="72"/>
      <c r="E85" s="72"/>
      <c r="F85" s="72"/>
      <c r="G85" s="72"/>
      <c r="H85" s="72"/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  <c r="AA85" s="72"/>
      <c r="AB85" s="72"/>
      <c r="AC85" s="70"/>
    </row>
    <row r="86" customFormat="false" ht="16.5" hidden="false" customHeight="true" outlineLevel="0" collapsed="false">
      <c r="A86" s="72"/>
      <c r="B86" s="72"/>
      <c r="C86" s="72"/>
      <c r="D86" s="72"/>
      <c r="E86" s="72"/>
      <c r="F86" s="72"/>
      <c r="G86" s="72"/>
      <c r="H86" s="72"/>
      <c r="I86" s="72"/>
      <c r="J86" s="72"/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  <c r="AA86" s="72"/>
      <c r="AB86" s="72"/>
      <c r="AC86" s="70"/>
    </row>
    <row r="87" customFormat="false" ht="16.5" hidden="false" customHeight="true" outlineLevel="0" collapsed="false">
      <c r="A87" s="72"/>
      <c r="B87" s="72"/>
      <c r="C87" s="72"/>
      <c r="D87" s="72"/>
      <c r="E87" s="72"/>
      <c r="F87" s="72"/>
      <c r="G87" s="72"/>
      <c r="H87" s="72"/>
      <c r="I87" s="72"/>
      <c r="J87" s="72"/>
      <c r="K87" s="72"/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  <c r="AA87" s="72"/>
      <c r="AB87" s="72"/>
      <c r="AC87" s="70"/>
    </row>
    <row r="88" customFormat="false" ht="16.5" hidden="false" customHeight="true" outlineLevel="0" collapsed="false">
      <c r="A88" s="72"/>
      <c r="B88" s="72"/>
      <c r="C88" s="72"/>
      <c r="D88" s="72"/>
      <c r="E88" s="72"/>
      <c r="F88" s="72"/>
      <c r="G88" s="72"/>
      <c r="H88" s="72"/>
      <c r="I88" s="72"/>
      <c r="J88" s="72"/>
      <c r="K88" s="72"/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  <c r="AA88" s="72"/>
      <c r="AB88" s="72"/>
      <c r="AC88" s="70"/>
    </row>
    <row r="89" customFormat="false" ht="16.5" hidden="false" customHeight="true" outlineLevel="0" collapsed="false">
      <c r="A89" s="72"/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  <c r="AA89" s="72"/>
      <c r="AB89" s="72"/>
      <c r="AC89" s="70"/>
    </row>
    <row r="90" customFormat="false" ht="16.5" hidden="false" customHeight="true" outlineLevel="0" collapsed="false">
      <c r="A90" s="72"/>
      <c r="B90" s="72"/>
      <c r="C90" s="72"/>
      <c r="D90" s="72"/>
      <c r="E90" s="72"/>
      <c r="F90" s="72"/>
      <c r="G90" s="72"/>
      <c r="H90" s="72"/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  <c r="AA90" s="72"/>
      <c r="AB90" s="72"/>
      <c r="AC90" s="70"/>
    </row>
    <row r="91" customFormat="false" ht="16.5" hidden="false" customHeight="true" outlineLevel="0" collapsed="false">
      <c r="A91" s="72"/>
      <c r="B91" s="72"/>
      <c r="C91" s="72"/>
      <c r="D91" s="72"/>
      <c r="E91" s="72"/>
      <c r="F91" s="72"/>
      <c r="G91" s="72"/>
      <c r="H91" s="72"/>
      <c r="I91" s="72"/>
      <c r="J91" s="72"/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0"/>
    </row>
    <row r="92" customFormat="false" ht="16.5" hidden="false" customHeight="true" outlineLevel="0" collapsed="false">
      <c r="A92" s="72"/>
      <c r="B92" s="72"/>
      <c r="C92" s="72"/>
      <c r="D92" s="72"/>
      <c r="E92" s="72"/>
      <c r="F92" s="72"/>
      <c r="G92" s="72"/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0"/>
    </row>
    <row r="93" customFormat="false" ht="16.5" hidden="false" customHeight="true" outlineLevel="0" collapsed="false">
      <c r="A93" s="72"/>
      <c r="B93" s="72"/>
      <c r="C93" s="72"/>
      <c r="D93" s="72"/>
      <c r="E93" s="72"/>
      <c r="F93" s="72"/>
      <c r="G93" s="72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0"/>
    </row>
    <row r="94" customFormat="false" ht="16.5" hidden="false" customHeight="true" outlineLevel="0" collapsed="false">
      <c r="A94" s="72"/>
      <c r="B94" s="72"/>
      <c r="C94" s="72"/>
      <c r="D94" s="72"/>
      <c r="E94" s="72"/>
      <c r="F94" s="72"/>
      <c r="G94" s="72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0"/>
    </row>
    <row r="95" customFormat="false" ht="16.5" hidden="false" customHeight="true" outlineLevel="0" collapsed="false">
      <c r="A95" s="72"/>
      <c r="B95" s="72"/>
      <c r="C95" s="72"/>
      <c r="D95" s="72"/>
      <c r="E95" s="72"/>
      <c r="F95" s="72"/>
      <c r="G95" s="72"/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0"/>
    </row>
    <row r="96" customFormat="false" ht="16.5" hidden="false" customHeight="true" outlineLevel="0" collapsed="false">
      <c r="A96" s="72"/>
      <c r="B96" s="72"/>
      <c r="C96" s="72"/>
      <c r="D96" s="72"/>
      <c r="E96" s="72"/>
      <c r="F96" s="72"/>
      <c r="G96" s="72"/>
      <c r="H96" s="72"/>
      <c r="I96" s="72"/>
      <c r="J96" s="72"/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0"/>
    </row>
    <row r="97" customFormat="false" ht="16.5" hidden="false" customHeight="true" outlineLevel="0" collapsed="false">
      <c r="A97" s="72"/>
      <c r="B97" s="72"/>
      <c r="C97" s="72"/>
      <c r="D97" s="72"/>
      <c r="E97" s="72"/>
      <c r="F97" s="72"/>
      <c r="G97" s="72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70"/>
    </row>
    <row r="98" customFormat="false" ht="16.5" hidden="false" customHeight="true" outlineLevel="0" collapsed="false">
      <c r="A98" s="72"/>
      <c r="B98" s="72"/>
      <c r="C98" s="72"/>
      <c r="D98" s="72"/>
      <c r="E98" s="72"/>
      <c r="F98" s="72"/>
      <c r="G98" s="72"/>
      <c r="H98" s="72"/>
      <c r="I98" s="72"/>
      <c r="J98" s="72"/>
      <c r="K98" s="72"/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  <c r="AA98" s="72"/>
      <c r="AB98" s="72"/>
      <c r="AC98" s="70"/>
    </row>
    <row r="99" customFormat="false" ht="16.5" hidden="false" customHeight="true" outlineLevel="0" collapsed="false">
      <c r="A99" s="72"/>
      <c r="B99" s="72"/>
      <c r="C99" s="72"/>
      <c r="D99" s="72"/>
      <c r="E99" s="72"/>
      <c r="F99" s="72"/>
      <c r="G99" s="72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  <c r="AA99" s="72"/>
      <c r="AB99" s="72"/>
      <c r="AC99" s="70"/>
    </row>
    <row r="100" customFormat="false" ht="16.5" hidden="false" customHeight="true" outlineLevel="0" collapsed="false">
      <c r="A100" s="72"/>
      <c r="B100" s="72"/>
      <c r="C100" s="72"/>
      <c r="D100" s="72"/>
      <c r="E100" s="72"/>
      <c r="F100" s="72"/>
      <c r="G100" s="72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0"/>
    </row>
    <row r="101" customFormat="false" ht="16.5" hidden="false" customHeight="true" outlineLevel="0" collapsed="false">
      <c r="A101" s="72"/>
      <c r="B101" s="72"/>
      <c r="C101" s="72"/>
      <c r="D101" s="72"/>
      <c r="E101" s="72"/>
      <c r="F101" s="72"/>
      <c r="G101" s="72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0"/>
    </row>
    <row r="102" customFormat="false" ht="16.5" hidden="false" customHeight="true" outlineLevel="0" collapsed="false">
      <c r="A102" s="72"/>
      <c r="B102" s="72"/>
      <c r="C102" s="72"/>
      <c r="D102" s="72"/>
      <c r="E102" s="72"/>
      <c r="F102" s="72"/>
      <c r="G102" s="72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  <c r="AA102" s="72"/>
      <c r="AB102" s="72"/>
      <c r="AC102" s="70"/>
    </row>
    <row r="103" customFormat="false" ht="16.5" hidden="false" customHeight="true" outlineLevel="0" collapsed="false">
      <c r="A103" s="72"/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0"/>
    </row>
    <row r="104" customFormat="false" ht="16.5" hidden="false" customHeight="true" outlineLevel="0" collapsed="false">
      <c r="A104" s="72"/>
      <c r="B104" s="72"/>
      <c r="C104" s="72"/>
      <c r="D104" s="72"/>
      <c r="E104" s="72"/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  <c r="AA104" s="72"/>
      <c r="AB104" s="72"/>
      <c r="AC104" s="70"/>
    </row>
    <row r="105" customFormat="false" ht="16.5" hidden="false" customHeight="true" outlineLevel="0" collapsed="false">
      <c r="A105" s="72"/>
      <c r="B105" s="72"/>
      <c r="C105" s="72"/>
      <c r="D105" s="72"/>
      <c r="E105" s="72"/>
      <c r="F105" s="72"/>
      <c r="G105" s="72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0"/>
    </row>
    <row r="106" customFormat="false" ht="16.5" hidden="false" customHeight="true" outlineLevel="0" collapsed="false">
      <c r="A106" s="72"/>
      <c r="B106" s="72"/>
      <c r="C106" s="72"/>
      <c r="D106" s="72"/>
      <c r="E106" s="72"/>
      <c r="F106" s="72"/>
      <c r="G106" s="72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0"/>
    </row>
    <row r="107" customFormat="false" ht="16.5" hidden="false" customHeight="true" outlineLevel="0" collapsed="false">
      <c r="A107" s="72"/>
      <c r="B107" s="72"/>
      <c r="C107" s="72"/>
      <c r="D107" s="72"/>
      <c r="E107" s="72"/>
      <c r="F107" s="72"/>
      <c r="G107" s="72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0"/>
    </row>
    <row r="108" customFormat="false" ht="16.5" hidden="false" customHeight="true" outlineLevel="0" collapsed="false">
      <c r="A108" s="72"/>
      <c r="B108" s="72"/>
      <c r="C108" s="72"/>
      <c r="D108" s="72"/>
      <c r="E108" s="72"/>
      <c r="F108" s="72"/>
      <c r="G108" s="72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  <c r="AA108" s="72"/>
      <c r="AB108" s="72"/>
      <c r="AC108" s="70"/>
    </row>
    <row r="109" s="24" customFormat="true" ht="16.5" hidden="false" customHeight="true" outlineLevel="0" collapsed="false">
      <c r="A109" s="72"/>
      <c r="B109" s="72"/>
      <c r="C109" s="72"/>
      <c r="D109" s="72"/>
      <c r="E109" s="72"/>
      <c r="F109" s="72"/>
      <c r="G109" s="72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  <c r="AA109" s="72"/>
      <c r="AB109" s="72"/>
      <c r="AC109" s="70"/>
      <c r="AD109" s="23"/>
      <c r="AE109" s="23"/>
      <c r="AF109" s="23"/>
      <c r="AG109" s="23"/>
    </row>
    <row r="110" s="24" customFormat="true" ht="16.5" hidden="false" customHeight="true" outlineLevel="0" collapsed="false">
      <c r="A110" s="72"/>
      <c r="B110" s="72"/>
      <c r="C110" s="72"/>
      <c r="D110" s="72"/>
      <c r="E110" s="72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0"/>
      <c r="AD110" s="23"/>
      <c r="AE110" s="23"/>
      <c r="AF110" s="23"/>
      <c r="AG110" s="23"/>
    </row>
    <row r="111" s="24" customFormat="true" ht="16.5" hidden="false" customHeight="true" outlineLevel="0" collapsed="false">
      <c r="A111" s="72"/>
      <c r="B111" s="72"/>
      <c r="C111" s="72"/>
      <c r="D111" s="72"/>
      <c r="E111" s="72"/>
      <c r="F111" s="72"/>
      <c r="G111" s="72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  <c r="AA111" s="72"/>
      <c r="AB111" s="72"/>
      <c r="AC111" s="70"/>
      <c r="AD111" s="23"/>
      <c r="AE111" s="23"/>
      <c r="AF111" s="23"/>
      <c r="AG111" s="23"/>
    </row>
    <row r="112" s="24" customFormat="true" ht="16.5" hidden="false" customHeight="true" outlineLevel="0" collapsed="false">
      <c r="A112" s="72"/>
      <c r="B112" s="72"/>
      <c r="C112" s="72"/>
      <c r="D112" s="72"/>
      <c r="E112" s="72"/>
      <c r="F112" s="72"/>
      <c r="G112" s="72"/>
      <c r="H112" s="72"/>
      <c r="I112" s="72"/>
      <c r="J112" s="72"/>
      <c r="K112" s="72"/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  <c r="AA112" s="72"/>
      <c r="AB112" s="72"/>
      <c r="AC112" s="70"/>
      <c r="AD112" s="23"/>
      <c r="AE112" s="23"/>
      <c r="AF112" s="23"/>
      <c r="AG112" s="23"/>
    </row>
    <row r="113" s="24" customFormat="true" ht="12.75" hidden="false" customHeight="false" outlineLevel="0" collapsed="false">
      <c r="A113" s="70"/>
      <c r="B113" s="70"/>
      <c r="C113" s="70"/>
      <c r="D113" s="70"/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23"/>
      <c r="AE113" s="23"/>
      <c r="AF113" s="23"/>
      <c r="AG113" s="23"/>
    </row>
    <row r="114" s="24" customFormat="true" ht="12.75" hidden="false" customHeight="false" outlineLevel="0" collapsed="false">
      <c r="A114" s="70"/>
      <c r="B114" s="70"/>
      <c r="C114" s="70"/>
      <c r="D114" s="70"/>
      <c r="E114" s="70"/>
      <c r="F114" s="70"/>
      <c r="G114" s="70"/>
      <c r="H114" s="70"/>
      <c r="I114" s="70"/>
      <c r="J114" s="70"/>
      <c r="K114" s="70"/>
      <c r="L114" s="70"/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23"/>
      <c r="AE114" s="23"/>
      <c r="AF114" s="23"/>
      <c r="AG114" s="23"/>
    </row>
    <row r="115" s="24" customFormat="true" ht="12.75" hidden="false" customHeight="false" outlineLevel="0" collapsed="false">
      <c r="A115" s="70"/>
      <c r="B115" s="70"/>
      <c r="C115" s="70"/>
      <c r="D115" s="70"/>
      <c r="E115" s="70"/>
      <c r="F115" s="70"/>
      <c r="G115" s="70"/>
      <c r="H115" s="70"/>
      <c r="I115" s="70"/>
      <c r="J115" s="70"/>
      <c r="K115" s="70"/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23"/>
      <c r="AE115" s="23"/>
      <c r="AF115" s="23"/>
      <c r="AG115" s="23"/>
    </row>
    <row r="116" s="24" customFormat="true" ht="12.75" hidden="false" customHeight="false" outlineLevel="0" collapsed="false">
      <c r="A116" s="70"/>
      <c r="B116" s="70"/>
      <c r="C116" s="70"/>
      <c r="D116" s="70"/>
      <c r="E116" s="70"/>
      <c r="F116" s="70"/>
      <c r="G116" s="70"/>
      <c r="H116" s="70"/>
      <c r="I116" s="70"/>
      <c r="J116" s="70"/>
      <c r="K116" s="70"/>
      <c r="L116" s="70"/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23"/>
      <c r="AE116" s="23"/>
      <c r="AF116" s="23"/>
      <c r="AG116" s="23"/>
    </row>
    <row r="117" s="24" customFormat="true" ht="12.75" hidden="false" customHeight="false" outlineLevel="0" collapsed="false">
      <c r="A117" s="70"/>
      <c r="B117" s="70"/>
      <c r="C117" s="70"/>
      <c r="D117" s="70"/>
      <c r="E117" s="70"/>
      <c r="F117" s="70"/>
      <c r="G117" s="70"/>
      <c r="H117" s="70"/>
      <c r="I117" s="70"/>
      <c r="J117" s="70"/>
      <c r="K117" s="70"/>
      <c r="L117" s="70"/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23"/>
      <c r="AE117" s="23"/>
      <c r="AF117" s="23"/>
      <c r="AG117" s="23"/>
    </row>
    <row r="118" s="24" customFormat="true" ht="12.75" hidden="false" customHeight="false" outlineLevel="0" collapsed="false">
      <c r="A118" s="70"/>
      <c r="B118" s="70"/>
      <c r="C118" s="70"/>
      <c r="D118" s="70"/>
      <c r="E118" s="70"/>
      <c r="F118" s="70"/>
      <c r="G118" s="70"/>
      <c r="H118" s="70"/>
      <c r="I118" s="70"/>
      <c r="J118" s="70"/>
      <c r="K118" s="70"/>
      <c r="L118" s="70"/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23"/>
      <c r="AE118" s="23"/>
      <c r="AF118" s="23"/>
      <c r="AG118" s="23"/>
    </row>
    <row r="119" s="24" customFormat="true" ht="12.75" hidden="false" customHeight="false" outlineLevel="0" collapsed="false">
      <c r="A119" s="70"/>
      <c r="B119" s="70"/>
      <c r="C119" s="70"/>
      <c r="D119" s="70"/>
      <c r="E119" s="70"/>
      <c r="F119" s="70"/>
      <c r="G119" s="70"/>
      <c r="H119" s="70"/>
      <c r="I119" s="70"/>
      <c r="J119" s="70"/>
      <c r="K119" s="70"/>
      <c r="L119" s="70"/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23"/>
      <c r="AE119" s="23"/>
      <c r="AF119" s="23"/>
      <c r="AG119" s="23"/>
    </row>
    <row r="120" s="24" customFormat="true" ht="12.75" hidden="false" customHeight="false" outlineLevel="0" collapsed="false">
      <c r="A120" s="70"/>
      <c r="B120" s="70"/>
      <c r="C120" s="70"/>
      <c r="D120" s="70"/>
      <c r="E120" s="70"/>
      <c r="F120" s="70"/>
      <c r="G120" s="70"/>
      <c r="H120" s="70"/>
      <c r="I120" s="70"/>
      <c r="J120" s="70"/>
      <c r="K120" s="70"/>
      <c r="L120" s="70"/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23"/>
      <c r="AE120" s="23"/>
      <c r="AF120" s="23"/>
      <c r="AG120" s="23"/>
    </row>
    <row r="121" s="24" customFormat="true" ht="12.75" hidden="false" customHeight="false" outlineLevel="0" collapsed="false">
      <c r="A121" s="70"/>
      <c r="B121" s="70"/>
      <c r="C121" s="70"/>
      <c r="D121" s="70"/>
      <c r="E121" s="70"/>
      <c r="F121" s="70"/>
      <c r="G121" s="70"/>
      <c r="H121" s="70"/>
      <c r="I121" s="70"/>
      <c r="J121" s="70"/>
      <c r="K121" s="70"/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23"/>
      <c r="AE121" s="23"/>
      <c r="AF121" s="23"/>
      <c r="AG121" s="23"/>
    </row>
    <row r="122" s="24" customFormat="true" ht="12.75" hidden="false" customHeight="false" outlineLevel="0" collapsed="false">
      <c r="A122" s="70"/>
      <c r="B122" s="70"/>
      <c r="C122" s="70"/>
      <c r="D122" s="70"/>
      <c r="E122" s="70"/>
      <c r="F122" s="70"/>
      <c r="G122" s="70"/>
      <c r="H122" s="70"/>
      <c r="I122" s="70"/>
      <c r="J122" s="70"/>
      <c r="K122" s="70"/>
      <c r="L122" s="70"/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23"/>
      <c r="AE122" s="23"/>
      <c r="AF122" s="23"/>
      <c r="AG122" s="23"/>
    </row>
    <row r="123" s="24" customFormat="true" ht="12.75" hidden="false" customHeight="false" outlineLevel="0" collapsed="false">
      <c r="A123" s="70"/>
      <c r="B123" s="70"/>
      <c r="C123" s="70"/>
      <c r="D123" s="70"/>
      <c r="E123" s="70"/>
      <c r="F123" s="70"/>
      <c r="G123" s="70"/>
      <c r="H123" s="70"/>
      <c r="I123" s="70"/>
      <c r="J123" s="70"/>
      <c r="K123" s="70"/>
      <c r="L123" s="70"/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23"/>
      <c r="AE123" s="23"/>
      <c r="AF123" s="23"/>
      <c r="AG123" s="23"/>
    </row>
    <row r="124" s="24" customFormat="true" ht="12.75" hidden="false" customHeight="false" outlineLevel="0" collapsed="false">
      <c r="A124" s="70"/>
      <c r="B124" s="70"/>
      <c r="C124" s="70"/>
      <c r="D124" s="70"/>
      <c r="E124" s="70"/>
      <c r="F124" s="70"/>
      <c r="G124" s="70"/>
      <c r="H124" s="70"/>
      <c r="I124" s="70"/>
      <c r="J124" s="70"/>
      <c r="K124" s="70"/>
      <c r="L124" s="70"/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23"/>
      <c r="AE124" s="23"/>
      <c r="AF124" s="23"/>
      <c r="AG124" s="23"/>
    </row>
    <row r="125" s="24" customFormat="true" ht="12.75" hidden="false" customHeight="false" outlineLevel="0" collapsed="false">
      <c r="A125" s="70"/>
      <c r="B125" s="70"/>
      <c r="C125" s="70"/>
      <c r="D125" s="70"/>
      <c r="E125" s="70"/>
      <c r="F125" s="70"/>
      <c r="G125" s="70"/>
      <c r="H125" s="70"/>
      <c r="I125" s="70"/>
      <c r="J125" s="70"/>
      <c r="K125" s="70"/>
      <c r="L125" s="70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23"/>
      <c r="AE125" s="23"/>
      <c r="AF125" s="23"/>
      <c r="AG125" s="23"/>
    </row>
    <row r="126" s="24" customFormat="true" ht="12.75" hidden="false" customHeight="false" outlineLevel="0" collapsed="false">
      <c r="A126" s="70"/>
      <c r="B126" s="70"/>
      <c r="C126" s="70"/>
      <c r="D126" s="70"/>
      <c r="E126" s="70"/>
      <c r="F126" s="70"/>
      <c r="G126" s="70"/>
      <c r="H126" s="70"/>
      <c r="I126" s="70"/>
      <c r="J126" s="70"/>
      <c r="K126" s="70"/>
      <c r="L126" s="70"/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23"/>
      <c r="AE126" s="23"/>
      <c r="AF126" s="23"/>
      <c r="AG126" s="23"/>
    </row>
    <row r="127" s="24" customFormat="true" ht="12.75" hidden="false" customHeight="false" outlineLevel="0" collapsed="false">
      <c r="A127" s="70"/>
      <c r="B127" s="70"/>
      <c r="C127" s="70"/>
      <c r="D127" s="70"/>
      <c r="E127" s="70"/>
      <c r="F127" s="70"/>
      <c r="G127" s="70"/>
      <c r="H127" s="70"/>
      <c r="I127" s="70"/>
      <c r="J127" s="70"/>
      <c r="K127" s="70"/>
      <c r="L127" s="70"/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23"/>
      <c r="AE127" s="23"/>
      <c r="AF127" s="23"/>
      <c r="AG127" s="23"/>
    </row>
    <row r="128" s="24" customFormat="true" ht="12.75" hidden="false" customHeight="false" outlineLevel="0" collapsed="false">
      <c r="A128" s="70"/>
      <c r="B128" s="70"/>
      <c r="C128" s="70"/>
      <c r="D128" s="70"/>
      <c r="E128" s="70"/>
      <c r="F128" s="70"/>
      <c r="G128" s="70"/>
      <c r="H128" s="70"/>
      <c r="I128" s="70"/>
      <c r="J128" s="70"/>
      <c r="K128" s="70"/>
      <c r="L128" s="70"/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23"/>
      <c r="AE128" s="23"/>
      <c r="AF128" s="23"/>
      <c r="AG128" s="23"/>
    </row>
    <row r="129" s="24" customFormat="true" ht="12.75" hidden="false" customHeight="false" outlineLevel="0" collapsed="false">
      <c r="A129" s="70"/>
      <c r="B129" s="70"/>
      <c r="C129" s="70"/>
      <c r="D129" s="70"/>
      <c r="E129" s="70"/>
      <c r="F129" s="70"/>
      <c r="G129" s="70"/>
      <c r="H129" s="70"/>
      <c r="I129" s="70"/>
      <c r="J129" s="70"/>
      <c r="K129" s="70"/>
      <c r="L129" s="70"/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23"/>
      <c r="AE129" s="23"/>
      <c r="AF129" s="23"/>
      <c r="AG129" s="23"/>
    </row>
    <row r="130" s="24" customFormat="true" ht="12.75" hidden="false" customHeight="false" outlineLevel="0" collapsed="false">
      <c r="A130" s="70"/>
      <c r="B130" s="70"/>
      <c r="C130" s="70"/>
      <c r="D130" s="70"/>
      <c r="E130" s="70"/>
      <c r="F130" s="70"/>
      <c r="G130" s="70"/>
      <c r="H130" s="70"/>
      <c r="I130" s="70"/>
      <c r="J130" s="70"/>
      <c r="K130" s="70"/>
      <c r="L130" s="70"/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23"/>
      <c r="AE130" s="23"/>
      <c r="AF130" s="23"/>
      <c r="AG130" s="23"/>
    </row>
    <row r="131" s="24" customFormat="true" ht="12.75" hidden="false" customHeight="false" outlineLevel="0" collapsed="false">
      <c r="A131" s="70"/>
      <c r="B131" s="70"/>
      <c r="C131" s="70"/>
      <c r="D131" s="70"/>
      <c r="E131" s="70"/>
      <c r="F131" s="70"/>
      <c r="G131" s="70"/>
      <c r="H131" s="70"/>
      <c r="I131" s="70"/>
      <c r="J131" s="70"/>
      <c r="K131" s="70"/>
      <c r="L131" s="70"/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23"/>
      <c r="AE131" s="23"/>
      <c r="AF131" s="23"/>
      <c r="AG131" s="23"/>
    </row>
    <row r="132" s="24" customFormat="true" ht="12.75" hidden="false" customHeight="false" outlineLevel="0" collapsed="false">
      <c r="A132" s="70"/>
      <c r="B132" s="70"/>
      <c r="C132" s="70"/>
      <c r="D132" s="70"/>
      <c r="E132" s="70"/>
      <c r="F132" s="70"/>
      <c r="G132" s="70"/>
      <c r="H132" s="70"/>
      <c r="I132" s="70"/>
      <c r="J132" s="70"/>
      <c r="K132" s="70"/>
      <c r="L132" s="70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23"/>
      <c r="AE132" s="23"/>
      <c r="AF132" s="23"/>
      <c r="AG132" s="23"/>
    </row>
    <row r="133" s="24" customFormat="true" ht="12.75" hidden="false" customHeight="false" outlineLevel="0" collapsed="false">
      <c r="A133" s="70"/>
      <c r="B133" s="70"/>
      <c r="C133" s="70"/>
      <c r="D133" s="70"/>
      <c r="E133" s="70"/>
      <c r="F133" s="70"/>
      <c r="G133" s="70"/>
      <c r="H133" s="70"/>
      <c r="I133" s="70"/>
      <c r="J133" s="70"/>
      <c r="K133" s="70"/>
      <c r="L133" s="70"/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23"/>
      <c r="AE133" s="23"/>
      <c r="AF133" s="23"/>
      <c r="AG133" s="23"/>
    </row>
    <row r="134" s="24" customFormat="true" ht="12.75" hidden="false" customHeight="false" outlineLevel="0" collapsed="false">
      <c r="A134" s="70"/>
      <c r="B134" s="70"/>
      <c r="C134" s="70"/>
      <c r="D134" s="70"/>
      <c r="E134" s="70"/>
      <c r="F134" s="70"/>
      <c r="G134" s="70"/>
      <c r="H134" s="70"/>
      <c r="I134" s="70"/>
      <c r="J134" s="70"/>
      <c r="K134" s="70"/>
      <c r="L134" s="70"/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23"/>
      <c r="AE134" s="23"/>
      <c r="AF134" s="23"/>
      <c r="AG134" s="23"/>
    </row>
    <row r="135" s="24" customFormat="true" ht="12.75" hidden="false" customHeight="false" outlineLevel="0" collapsed="false">
      <c r="A135" s="70"/>
      <c r="B135" s="70"/>
      <c r="C135" s="70"/>
      <c r="D135" s="70"/>
      <c r="E135" s="70"/>
      <c r="F135" s="70"/>
      <c r="G135" s="70"/>
      <c r="H135" s="70"/>
      <c r="I135" s="70"/>
      <c r="J135" s="70"/>
      <c r="K135" s="70"/>
      <c r="L135" s="70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23"/>
      <c r="AE135" s="23"/>
      <c r="AF135" s="23"/>
      <c r="AG135" s="23"/>
    </row>
    <row r="136" s="24" customFormat="true" ht="12.75" hidden="false" customHeight="false" outlineLevel="0" collapsed="false">
      <c r="A136" s="70"/>
      <c r="B136" s="70"/>
      <c r="C136" s="70"/>
      <c r="D136" s="70"/>
      <c r="E136" s="70"/>
      <c r="F136" s="70"/>
      <c r="G136" s="70"/>
      <c r="H136" s="70"/>
      <c r="I136" s="70"/>
      <c r="J136" s="70"/>
      <c r="K136" s="70"/>
      <c r="L136" s="70"/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23"/>
      <c r="AE136" s="23"/>
      <c r="AF136" s="23"/>
      <c r="AG136" s="23"/>
    </row>
  </sheetData>
  <mergeCells count="19">
    <mergeCell ref="A1:AB1"/>
    <mergeCell ref="A2:AB2"/>
    <mergeCell ref="A3:AB3"/>
    <mergeCell ref="A4:AB4"/>
    <mergeCell ref="A5:AB5"/>
    <mergeCell ref="A6:AB6"/>
    <mergeCell ref="D7:AB7"/>
    <mergeCell ref="A8:AB8"/>
    <mergeCell ref="A9:A10"/>
    <mergeCell ref="B9:B10"/>
    <mergeCell ref="C9:C10"/>
    <mergeCell ref="D9:D10"/>
    <mergeCell ref="M9:Y9"/>
    <mergeCell ref="AB9:AB10"/>
    <mergeCell ref="A51:D51"/>
    <mergeCell ref="A53:C53"/>
    <mergeCell ref="E53:AB53"/>
    <mergeCell ref="A59:C59"/>
    <mergeCell ref="M59:AB59"/>
  </mergeCells>
  <printOptions headings="false" gridLines="false" gridLinesSet="true" horizontalCentered="false" verticalCentered="false"/>
  <pageMargins left="0.7" right="0.159722222222222" top="0.459722222222222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W53"/>
  <sheetViews>
    <sheetView showFormulas="false" showGridLines="true" showRowColHeaders="true" showZeros="true" rightToLeft="false" tabSelected="false" showOutlineSymbols="true" defaultGridColor="true" view="normal" topLeftCell="A24" colorId="64" zoomScale="85" zoomScaleNormal="85" zoomScalePageLayoutView="100" workbookViewId="0">
      <selection pane="topLeft" activeCell="I32" activeCellId="0" sqref="I32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.43"/>
    <col collapsed="false" customWidth="true" hidden="false" outlineLevel="0" max="2" min="2" style="1" width="7.57"/>
    <col collapsed="false" customWidth="true" hidden="false" outlineLevel="0" max="3" min="3" style="1" width="15.57"/>
    <col collapsed="false" customWidth="true" hidden="true" outlineLevel="0" max="4" min="4" style="1" width="8.29"/>
    <col collapsed="false" customWidth="false" hidden="true" outlineLevel="0" max="5" min="5" style="1" width="8.71"/>
    <col collapsed="false" customWidth="true" hidden="true" outlineLevel="0" max="6" min="6" style="1" width="9.14"/>
    <col collapsed="false" customWidth="true" hidden="false" outlineLevel="0" max="12" min="7" style="1" width="11.14"/>
    <col collapsed="false" customWidth="true" hidden="true" outlineLevel="0" max="15" min="13" style="1" width="8.57"/>
    <col collapsed="false" customWidth="true" hidden="false" outlineLevel="0" max="18" min="16" style="1" width="11.14"/>
    <col collapsed="false" customWidth="true" hidden="false" outlineLevel="0" max="19" min="19" style="1" width="7.15"/>
  </cols>
  <sheetData>
    <row r="1" customFormat="false" ht="20.25" hidden="false" customHeight="true" outlineLevel="0" collapsed="false">
      <c r="A1" s="2" t="s">
        <v>28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3"/>
      <c r="V1" s="4"/>
      <c r="W1" s="4"/>
    </row>
    <row r="2" customFormat="false" ht="18.75" hidden="false" customHeight="true" outlineLevel="0" collapsed="false">
      <c r="A2" s="5" t="str">
        <f>"Kèm theo BBNT số: "&amp;VLOOKUP(AZ2,'[1]Tuyến XD8'!$A$2:$G$60,7,0)&amp;VLOOKUP(AZ2,'[1]Tuyến XD8'!$A$2:$G$60,4,0)</f>
        <v xml:space="preserve">Kèm theo BBNT số: 62.NĐXD8/CVXD ngày 15 tháng 09 năm 2026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U2" s="7"/>
      <c r="V2" s="7"/>
      <c r="W2" s="7"/>
      <c r="AZ2">
        <v>62</v>
      </c>
    </row>
    <row r="3" customFormat="false" ht="18.75" hidden="false" customHeight="true" outlineLevel="0" collapsed="false">
      <c r="A3" s="8" t="s">
        <v>30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</row>
    <row r="4" customFormat="false" ht="18.75" hidden="false" customHeight="true" outlineLevel="0" collapsed="false">
      <c r="A4" s="8" t="s">
        <v>31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</row>
    <row r="5" customFormat="false" ht="18.75" hidden="false" customHeight="true" outlineLevel="0" collapsed="false">
      <c r="A5" s="8" t="s">
        <v>32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</row>
    <row r="6" customFormat="false" ht="18.75" hidden="false" customHeight="true" outlineLevel="0" collapsed="false">
      <c r="A6" s="8" t="s">
        <v>33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</row>
    <row r="7" customFormat="false" ht="18.75" hidden="false" customHeight="true" outlineLevel="0" collapsed="false">
      <c r="A7" s="9" t="s">
        <v>34</v>
      </c>
      <c r="C7" s="8"/>
      <c r="D7" s="8"/>
      <c r="E7" s="8"/>
      <c r="F7" s="8"/>
      <c r="G7" s="8" t="str">
        <f>VLOOKUP(AZ2,'[1]Tuyến XD8'!$A$2:$B$60,2,0)</f>
        <v xml:space="preserve">Đắp cát nền đường lớp 3 đoạn từ Km0+489,19 - Km0+609,11, độ chặt K&gt;=0,95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</row>
    <row r="8" customFormat="false" ht="18.75" hidden="false" customHeight="true" outlineLevel="0" collapsed="false">
      <c r="A8" s="9" t="s">
        <v>36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</row>
    <row r="20" customFormat="false" ht="15" hidden="false" customHeight="true" outlineLevel="0" collapsed="false">
      <c r="A20" s="10" t="s">
        <v>37</v>
      </c>
      <c r="B20" s="10" t="s">
        <v>38</v>
      </c>
      <c r="C20" s="10" t="s">
        <v>39</v>
      </c>
      <c r="D20" s="11" t="s">
        <v>40</v>
      </c>
      <c r="E20" s="11"/>
      <c r="F20" s="11"/>
      <c r="G20" s="11"/>
      <c r="H20" s="11"/>
      <c r="I20" s="11"/>
      <c r="J20" s="11" t="s">
        <v>41</v>
      </c>
      <c r="K20" s="11"/>
      <c r="L20" s="11"/>
      <c r="M20" s="11" t="s">
        <v>42</v>
      </c>
      <c r="N20" s="11"/>
      <c r="O20" s="11"/>
      <c r="P20" s="11"/>
      <c r="Q20" s="11"/>
      <c r="R20" s="11"/>
      <c r="S20" s="10" t="s">
        <v>43</v>
      </c>
    </row>
    <row r="21" customFormat="false" ht="30" hidden="false" customHeight="true" outlineLevel="0" collapsed="false">
      <c r="A21" s="10"/>
      <c r="B21" s="10"/>
      <c r="C21" s="10"/>
      <c r="D21" s="12" t="s">
        <v>44</v>
      </c>
      <c r="E21" s="12" t="s">
        <v>45</v>
      </c>
      <c r="F21" s="12" t="s">
        <v>46</v>
      </c>
      <c r="G21" s="12" t="s">
        <v>47</v>
      </c>
      <c r="H21" s="12" t="s">
        <v>48</v>
      </c>
      <c r="I21" s="12" t="s">
        <v>49</v>
      </c>
      <c r="J21" s="12" t="s">
        <v>47</v>
      </c>
      <c r="K21" s="12" t="s">
        <v>48</v>
      </c>
      <c r="L21" s="12" t="s">
        <v>49</v>
      </c>
      <c r="M21" s="12" t="s">
        <v>44</v>
      </c>
      <c r="N21" s="12" t="s">
        <v>45</v>
      </c>
      <c r="O21" s="12" t="s">
        <v>46</v>
      </c>
      <c r="P21" s="12" t="s">
        <v>47</v>
      </c>
      <c r="Q21" s="12" t="s">
        <v>48</v>
      </c>
      <c r="R21" s="12" t="s">
        <v>49</v>
      </c>
      <c r="S21" s="10"/>
      <c r="T21" s="13"/>
    </row>
    <row r="22" customFormat="false" ht="15" hidden="false" customHeight="false" outlineLevel="0" collapsed="false">
      <c r="A22" s="14" t="n">
        <v>1</v>
      </c>
      <c r="B22" s="14" t="s">
        <v>17</v>
      </c>
      <c r="C22" s="71" t="n">
        <v>489.19</v>
      </c>
      <c r="D22" s="17" t="n">
        <f aca="false">+Chạy!F3</f>
        <v>-9.15</v>
      </c>
      <c r="E22" s="17" t="n">
        <f aca="false">+D22+F22</f>
        <v>-9.144</v>
      </c>
      <c r="F22" s="17" t="n">
        <f aca="false">RANDBETWEEN(-105,115)/10000</f>
        <v>0.006</v>
      </c>
      <c r="G22" s="17" t="n">
        <f aca="false">+Chạy!G3</f>
        <v>-0.75</v>
      </c>
      <c r="H22" s="17" t="n">
        <f aca="false">G22+I22</f>
        <v>-0.696</v>
      </c>
      <c r="I22" s="17" t="n">
        <f aca="false">RANDBETWEEN(-30,90)/1000</f>
        <v>0.054</v>
      </c>
      <c r="J22" s="17" t="n">
        <f aca="false">+Chạy!K3</f>
        <v>-0.75</v>
      </c>
      <c r="K22" s="17" t="n">
        <f aca="false">J22+L22</f>
        <v>-0.704</v>
      </c>
      <c r="L22" s="17" t="n">
        <f aca="false">RANDBETWEEN(-30,90)/1000</f>
        <v>0.046</v>
      </c>
      <c r="M22" s="17" t="n">
        <f aca="false">+Chạy!N3</f>
        <v>5.95</v>
      </c>
      <c r="N22" s="17" t="n">
        <f aca="false">+M22+O22</f>
        <v>5.9527</v>
      </c>
      <c r="O22" s="17" t="n">
        <f aca="false">RANDBETWEEN(-105,115)/10000</f>
        <v>0.0027</v>
      </c>
      <c r="P22" s="17" t="n">
        <f aca="false">+Chạy!O3</f>
        <v>-0.75</v>
      </c>
      <c r="Q22" s="17" t="n">
        <f aca="false">P22+R22</f>
        <v>-0.758</v>
      </c>
      <c r="R22" s="17" t="n">
        <f aca="false">RANDBETWEEN(-30,90)/1000</f>
        <v>-0.008</v>
      </c>
      <c r="S22" s="18"/>
      <c r="T22" s="0" t="n">
        <v>13.17</v>
      </c>
    </row>
    <row r="23" customFormat="false" ht="15" hidden="false" customHeight="false" outlineLevel="0" collapsed="false">
      <c r="A23" s="14" t="n">
        <v>2</v>
      </c>
      <c r="B23" s="14" t="s">
        <v>18</v>
      </c>
      <c r="C23" s="71" t="n">
        <f aca="false">+C22+T22</f>
        <v>502.36</v>
      </c>
      <c r="D23" s="17" t="n">
        <f aca="false">+Chạy!F7</f>
        <v>-10.17</v>
      </c>
      <c r="E23" s="17" t="n">
        <f aca="false">+D23+F23</f>
        <v>-10.1744</v>
      </c>
      <c r="F23" s="17" t="n">
        <f aca="false">RANDBETWEEN(-105,115)/10000</f>
        <v>-0.0044</v>
      </c>
      <c r="G23" s="17" t="n">
        <f aca="false">+Chạy!G7</f>
        <v>-0.75</v>
      </c>
      <c r="H23" s="17" t="n">
        <f aca="false">G23+I23</f>
        <v>-0.767</v>
      </c>
      <c r="I23" s="17" t="n">
        <f aca="false">RANDBETWEEN(-30,90)/1000</f>
        <v>-0.017</v>
      </c>
      <c r="J23" s="17" t="n">
        <f aca="false">+Chạy!K7</f>
        <v>-0.75</v>
      </c>
      <c r="K23" s="17" t="n">
        <f aca="false">J23+L23</f>
        <v>-0.701</v>
      </c>
      <c r="L23" s="17" t="n">
        <f aca="false">RANDBETWEEN(-30,90)/1000</f>
        <v>0.049</v>
      </c>
      <c r="M23" s="17" t="n">
        <f aca="false">+Chạy!N7</f>
        <v>10.07</v>
      </c>
      <c r="N23" s="17" t="n">
        <f aca="false">+M23+O23</f>
        <v>10.0761</v>
      </c>
      <c r="O23" s="17" t="n">
        <f aca="false">RANDBETWEEN(-105,115)/10000</f>
        <v>0.0061</v>
      </c>
      <c r="P23" s="17" t="n">
        <f aca="false">+Chạy!O7</f>
        <v>-0.75</v>
      </c>
      <c r="Q23" s="17" t="n">
        <f aca="false">P23+R23</f>
        <v>-0.677</v>
      </c>
      <c r="R23" s="17" t="n">
        <f aca="false">RANDBETWEEN(-30,90)/1000</f>
        <v>0.073</v>
      </c>
      <c r="S23" s="18"/>
      <c r="T23" s="0" t="n">
        <v>10.48</v>
      </c>
    </row>
    <row r="24" customFormat="false" ht="15" hidden="false" customHeight="false" outlineLevel="0" collapsed="false">
      <c r="A24" s="14" t="n">
        <v>3</v>
      </c>
      <c r="B24" s="14" t="s">
        <v>19</v>
      </c>
      <c r="C24" s="71" t="n">
        <f aca="false">+C23+T23</f>
        <v>512.84</v>
      </c>
      <c r="D24" s="17" t="n">
        <f aca="false">+Chạy!F11</f>
        <v>-9.61</v>
      </c>
      <c r="E24" s="17" t="n">
        <f aca="false">+D24+F24</f>
        <v>-9.6004</v>
      </c>
      <c r="F24" s="17" t="n">
        <f aca="false">RANDBETWEEN(-105,115)/10000</f>
        <v>0.0096</v>
      </c>
      <c r="G24" s="17" t="n">
        <f aca="false">+Chạy!G11</f>
        <v>-0.75</v>
      </c>
      <c r="H24" s="17" t="n">
        <f aca="false">G24+I24</f>
        <v>-0.737</v>
      </c>
      <c r="I24" s="17" t="n">
        <f aca="false">RANDBETWEEN(-30,90)/1000</f>
        <v>0.013</v>
      </c>
      <c r="J24" s="17" t="n">
        <f aca="false">+Chạy!K11</f>
        <v>-0.75</v>
      </c>
      <c r="K24" s="17" t="n">
        <f aca="false">J24+L24</f>
        <v>-0.762</v>
      </c>
      <c r="L24" s="17" t="n">
        <f aca="false">RANDBETWEEN(-30,90)/1000</f>
        <v>-0.012</v>
      </c>
      <c r="M24" s="17" t="n">
        <f aca="false">+Chạy!N11</f>
        <v>9.98</v>
      </c>
      <c r="N24" s="17" t="n">
        <f aca="false">+M24+O24</f>
        <v>9.9765</v>
      </c>
      <c r="O24" s="17" t="n">
        <f aca="false">RANDBETWEEN(-105,115)/10000</f>
        <v>-0.0035</v>
      </c>
      <c r="P24" s="17" t="n">
        <f aca="false">+Chạy!O11</f>
        <v>-0.75</v>
      </c>
      <c r="Q24" s="17" t="n">
        <f aca="false">P24+R24</f>
        <v>-0.743</v>
      </c>
      <c r="R24" s="17" t="n">
        <f aca="false">RANDBETWEEN(-30,90)/1000</f>
        <v>0.007</v>
      </c>
      <c r="S24" s="18"/>
      <c r="T24" s="0" t="n">
        <v>16.78</v>
      </c>
    </row>
    <row r="25" customFormat="false" ht="15" hidden="false" customHeight="false" outlineLevel="0" collapsed="false">
      <c r="A25" s="14" t="n">
        <v>4</v>
      </c>
      <c r="B25" s="14" t="s">
        <v>20</v>
      </c>
      <c r="C25" s="71" t="n">
        <f aca="false">+C24+T24</f>
        <v>529.62</v>
      </c>
      <c r="D25" s="17" t="n">
        <f aca="false">+Chạy!F15</f>
        <v>-10.04</v>
      </c>
      <c r="E25" s="17" t="n">
        <f aca="false">+D25+F25</f>
        <v>-10.0442</v>
      </c>
      <c r="F25" s="17" t="n">
        <f aca="false">RANDBETWEEN(-105,115)/10000</f>
        <v>-0.0042</v>
      </c>
      <c r="G25" s="17" t="n">
        <f aca="false">+Chạy!G15</f>
        <v>-0.75</v>
      </c>
      <c r="H25" s="17" t="n">
        <f aca="false">G25+I25</f>
        <v>-0.775</v>
      </c>
      <c r="I25" s="17" t="n">
        <f aca="false">RANDBETWEEN(-30,90)/1000</f>
        <v>-0.025</v>
      </c>
      <c r="J25" s="17" t="n">
        <f aca="false">+Chạy!K15</f>
        <v>-0.75</v>
      </c>
      <c r="K25" s="17" t="n">
        <f aca="false">J25+L25</f>
        <v>-0.671</v>
      </c>
      <c r="L25" s="17" t="n">
        <f aca="false">RANDBETWEEN(-30,90)/1000</f>
        <v>0.079</v>
      </c>
      <c r="M25" s="17" t="n">
        <f aca="false">+Chạy!N15</f>
        <v>10.12</v>
      </c>
      <c r="N25" s="17" t="n">
        <f aca="false">+M25+O25</f>
        <v>10.1174</v>
      </c>
      <c r="O25" s="17" t="n">
        <f aca="false">RANDBETWEEN(-105,115)/10000</f>
        <v>-0.0026</v>
      </c>
      <c r="P25" s="17" t="n">
        <f aca="false">+Chạy!O15</f>
        <v>-0.75</v>
      </c>
      <c r="Q25" s="17" t="n">
        <f aca="false">P25+R25</f>
        <v>-0.722</v>
      </c>
      <c r="R25" s="17" t="n">
        <f aca="false">RANDBETWEEN(-30,90)/1000</f>
        <v>0.028</v>
      </c>
      <c r="S25" s="18"/>
      <c r="T25" s="0" t="n">
        <v>17.1</v>
      </c>
    </row>
    <row r="26" customFormat="false" ht="15" hidden="false" customHeight="false" outlineLevel="0" collapsed="false">
      <c r="A26" s="14" t="n">
        <v>5</v>
      </c>
      <c r="B26" s="14" t="s">
        <v>21</v>
      </c>
      <c r="C26" s="71" t="n">
        <f aca="false">+C25+T25</f>
        <v>546.72</v>
      </c>
      <c r="D26" s="17" t="n">
        <f aca="false">+Chạy!F19</f>
        <v>-5.95</v>
      </c>
      <c r="E26" s="17" t="n">
        <f aca="false">+D26+F26</f>
        <v>-5.9496</v>
      </c>
      <c r="F26" s="17" t="n">
        <f aca="false">RANDBETWEEN(-105,115)/10000</f>
        <v>0.0004</v>
      </c>
      <c r="G26" s="17" t="n">
        <f aca="false">+Chạy!G19</f>
        <v>-0.75</v>
      </c>
      <c r="H26" s="17" t="n">
        <f aca="false">G26+I26</f>
        <v>-0.679</v>
      </c>
      <c r="I26" s="17" t="n">
        <f aca="false">RANDBETWEEN(-30,90)/1000</f>
        <v>0.071</v>
      </c>
      <c r="J26" s="17" t="n">
        <f aca="false">+Chạy!K19</f>
        <v>-0.75</v>
      </c>
      <c r="K26" s="17" t="n">
        <f aca="false">J26+L26</f>
        <v>-0.727</v>
      </c>
      <c r="L26" s="17" t="n">
        <f aca="false">RANDBETWEEN(-30,90)/1000</f>
        <v>0.023</v>
      </c>
      <c r="M26" s="17" t="n">
        <f aca="false">+Chạy!N19</f>
        <v>9.19</v>
      </c>
      <c r="N26" s="17" t="n">
        <f aca="false">+M26+O26</f>
        <v>9.1837</v>
      </c>
      <c r="O26" s="17" t="n">
        <f aca="false">RANDBETWEEN(-105,115)/10000</f>
        <v>-0.0063</v>
      </c>
      <c r="P26" s="17" t="n">
        <f aca="false">+Chạy!O19</f>
        <v>-0.75</v>
      </c>
      <c r="Q26" s="17" t="n">
        <f aca="false">P26+R26</f>
        <v>-0.663</v>
      </c>
      <c r="R26" s="17" t="n">
        <f aca="false">RANDBETWEEN(-30,90)/1000</f>
        <v>0.087</v>
      </c>
      <c r="S26" s="18"/>
      <c r="T26" s="0" t="n">
        <v>15.15</v>
      </c>
    </row>
    <row r="27" customFormat="false" ht="15" hidden="false" customHeight="false" outlineLevel="0" collapsed="false">
      <c r="A27" s="14" t="n">
        <v>6</v>
      </c>
      <c r="B27" s="14" t="s">
        <v>22</v>
      </c>
      <c r="C27" s="71" t="n">
        <f aca="false">+C26+T26</f>
        <v>561.87</v>
      </c>
      <c r="D27" s="17" t="n">
        <f aca="false">+Chạy!F23</f>
        <v>-9.69</v>
      </c>
      <c r="E27" s="17" t="n">
        <f aca="false">+D27+F27</f>
        <v>-9.6809</v>
      </c>
      <c r="F27" s="17" t="n">
        <f aca="false">RANDBETWEEN(-105,115)/10000</f>
        <v>0.0091</v>
      </c>
      <c r="G27" s="17" t="n">
        <f aca="false">+Chạy!G23</f>
        <v>-0.75</v>
      </c>
      <c r="H27" s="17" t="n">
        <f aca="false">G27+I27</f>
        <v>-0.695</v>
      </c>
      <c r="I27" s="17" t="n">
        <f aca="false">RANDBETWEEN(-30,90)/1000</f>
        <v>0.055</v>
      </c>
      <c r="J27" s="17" t="n">
        <f aca="false">+Chạy!K23</f>
        <v>-0.75</v>
      </c>
      <c r="K27" s="17" t="n">
        <f aca="false">J27+L27</f>
        <v>-0.693</v>
      </c>
      <c r="L27" s="17" t="n">
        <f aca="false">RANDBETWEEN(-30,90)/1000</f>
        <v>0.057</v>
      </c>
      <c r="M27" s="17" t="n">
        <f aca="false">+Chạy!N23</f>
        <v>9.82</v>
      </c>
      <c r="N27" s="17" t="n">
        <f aca="false">+M27+O27</f>
        <v>9.8283</v>
      </c>
      <c r="O27" s="17" t="n">
        <f aca="false">RANDBETWEEN(-105,115)/10000</f>
        <v>0.0083</v>
      </c>
      <c r="P27" s="17" t="n">
        <f aca="false">+Chạy!O23</f>
        <v>-0.75</v>
      </c>
      <c r="Q27" s="17" t="n">
        <f aca="false">P27+R27</f>
        <v>-0.704</v>
      </c>
      <c r="R27" s="17" t="n">
        <f aca="false">RANDBETWEEN(-30,90)/1000</f>
        <v>0.046</v>
      </c>
      <c r="S27" s="18"/>
      <c r="T27" s="0" t="n">
        <v>0.15</v>
      </c>
    </row>
    <row r="28" customFormat="false" ht="15" hidden="false" customHeight="false" outlineLevel="0" collapsed="false">
      <c r="A28" s="14" t="n">
        <v>7</v>
      </c>
      <c r="B28" s="14" t="s">
        <v>23</v>
      </c>
      <c r="C28" s="71" t="n">
        <f aca="false">+C27+T27</f>
        <v>562.02</v>
      </c>
      <c r="D28" s="17" t="n">
        <f aca="false">+Chạy!F27</f>
        <v>-9.69</v>
      </c>
      <c r="E28" s="17" t="n">
        <f aca="false">+D28+F28</f>
        <v>-9.6956</v>
      </c>
      <c r="F28" s="17" t="n">
        <f aca="false">RANDBETWEEN(-105,115)/10000</f>
        <v>-0.0056</v>
      </c>
      <c r="G28" s="17" t="n">
        <f aca="false">+Chạy!G27</f>
        <v>-0.75</v>
      </c>
      <c r="H28" s="17" t="n">
        <f aca="false">G28+I28</f>
        <v>-0.669</v>
      </c>
      <c r="I28" s="17" t="n">
        <f aca="false">RANDBETWEEN(-30,90)/1000</f>
        <v>0.081</v>
      </c>
      <c r="J28" s="17" t="n">
        <f aca="false">+Chạy!K27</f>
        <v>-0.75</v>
      </c>
      <c r="K28" s="17" t="n">
        <f aca="false">J28+L28</f>
        <v>-0.702</v>
      </c>
      <c r="L28" s="17" t="n">
        <f aca="false">RANDBETWEEN(-30,90)/1000</f>
        <v>0.048</v>
      </c>
      <c r="M28" s="17" t="n">
        <f aca="false">+Chạy!N27</f>
        <v>9.83</v>
      </c>
      <c r="N28" s="17" t="n">
        <f aca="false">+M28+O28</f>
        <v>9.8329</v>
      </c>
      <c r="O28" s="17" t="n">
        <f aca="false">RANDBETWEEN(-105,115)/10000</f>
        <v>0.0029</v>
      </c>
      <c r="P28" s="17" t="n">
        <f aca="false">+Chạy!O27</f>
        <v>-0.75</v>
      </c>
      <c r="Q28" s="17" t="n">
        <f aca="false">P28+R28</f>
        <v>-0.69</v>
      </c>
      <c r="R28" s="17" t="n">
        <f aca="false">RANDBETWEEN(-30,90)/1000</f>
        <v>0.06</v>
      </c>
      <c r="S28" s="18"/>
      <c r="T28" s="0" t="n">
        <v>6.55</v>
      </c>
    </row>
    <row r="29" customFormat="false" ht="15" hidden="false" customHeight="false" outlineLevel="0" collapsed="false">
      <c r="A29" s="14" t="n">
        <v>8</v>
      </c>
      <c r="B29" s="14" t="s">
        <v>24</v>
      </c>
      <c r="C29" s="71" t="n">
        <f aca="false">+C28+T28</f>
        <v>568.57</v>
      </c>
      <c r="D29" s="17" t="n">
        <f aca="false">+Chạy!F31</f>
        <v>-9.86</v>
      </c>
      <c r="E29" s="17" t="n">
        <f aca="false">+D29+F29</f>
        <v>-9.8636</v>
      </c>
      <c r="F29" s="17" t="n">
        <f aca="false">RANDBETWEEN(-105,115)/10000</f>
        <v>-0.0036</v>
      </c>
      <c r="G29" s="17" t="n">
        <f aca="false">+Chạy!G31</f>
        <v>-0.75</v>
      </c>
      <c r="H29" s="17" t="n">
        <f aca="false">G29+I29</f>
        <v>-0.667</v>
      </c>
      <c r="I29" s="17" t="n">
        <f aca="false">RANDBETWEEN(-30,90)/1000</f>
        <v>0.083</v>
      </c>
      <c r="J29" s="17" t="n">
        <f aca="false">+Chạy!K31</f>
        <v>-0.75</v>
      </c>
      <c r="K29" s="17" t="n">
        <f aca="false">J29+L29</f>
        <v>-0.719</v>
      </c>
      <c r="L29" s="17" t="n">
        <f aca="false">RANDBETWEEN(-30,90)/1000</f>
        <v>0.031</v>
      </c>
      <c r="M29" s="17" t="n">
        <f aca="false">+Chạy!N31</f>
        <v>10.18</v>
      </c>
      <c r="N29" s="17" t="n">
        <f aca="false">+M29+O29</f>
        <v>10.18</v>
      </c>
      <c r="O29" s="17" t="n">
        <f aca="false">RANDBETWEEN(-105,115)/10000</f>
        <v>0</v>
      </c>
      <c r="P29" s="17" t="n">
        <f aca="false">+Chạy!O31</f>
        <v>-0.75</v>
      </c>
      <c r="Q29" s="17" t="n">
        <f aca="false">P29+R29</f>
        <v>-0.696</v>
      </c>
      <c r="R29" s="17" t="n">
        <f aca="false">RANDBETWEEN(-30,90)/1000</f>
        <v>0.054</v>
      </c>
      <c r="S29" s="18"/>
      <c r="T29" s="0" t="n">
        <v>6.55</v>
      </c>
    </row>
    <row r="30" customFormat="false" ht="15" hidden="false" customHeight="false" outlineLevel="0" collapsed="false">
      <c r="A30" s="14" t="n">
        <v>9</v>
      </c>
      <c r="B30" s="14" t="s">
        <v>1</v>
      </c>
      <c r="C30" s="71" t="n">
        <f aca="false">+C29+T29</f>
        <v>575.12</v>
      </c>
      <c r="D30" s="17" t="n">
        <f aca="false">+Chạy!F35</f>
        <v>-9.58</v>
      </c>
      <c r="E30" s="17" t="n">
        <f aca="false">+D30+F30</f>
        <v>-9.5888</v>
      </c>
      <c r="F30" s="17" t="n">
        <f aca="false">RANDBETWEEN(-105,115)/10000</f>
        <v>-0.0088</v>
      </c>
      <c r="G30" s="17" t="n">
        <f aca="false">+Chạy!G35</f>
        <v>-0.75</v>
      </c>
      <c r="H30" s="17" t="n">
        <f aca="false">G30+I30</f>
        <v>-0.731</v>
      </c>
      <c r="I30" s="17" t="n">
        <f aca="false">RANDBETWEEN(-30,90)/1000</f>
        <v>0.019</v>
      </c>
      <c r="J30" s="17" t="n">
        <f aca="false">+Chạy!K35</f>
        <v>-0.75</v>
      </c>
      <c r="K30" s="17" t="n">
        <f aca="false">J30+L30</f>
        <v>-0.724</v>
      </c>
      <c r="L30" s="17" t="n">
        <f aca="false">RANDBETWEEN(-30,90)/1000</f>
        <v>0.026</v>
      </c>
      <c r="M30" s="17" t="n">
        <f aca="false">+Chạy!N35</f>
        <v>9.26</v>
      </c>
      <c r="N30" s="17" t="n">
        <f aca="false">+M30+O30</f>
        <v>9.2651</v>
      </c>
      <c r="O30" s="17" t="n">
        <f aca="false">RANDBETWEEN(-105,115)/10000</f>
        <v>0.0051</v>
      </c>
      <c r="P30" s="17" t="n">
        <f aca="false">+Chạy!O35</f>
        <v>-0.75</v>
      </c>
      <c r="Q30" s="17" t="n">
        <f aca="false">P30+R30</f>
        <v>-0.75</v>
      </c>
      <c r="R30" s="17" t="n">
        <f aca="false">RANDBETWEEN(-30,90)/1000</f>
        <v>0</v>
      </c>
      <c r="S30" s="18"/>
      <c r="T30" s="0" t="n">
        <v>0.04</v>
      </c>
    </row>
    <row r="31" customFormat="false" ht="15" hidden="false" customHeight="false" outlineLevel="0" collapsed="false">
      <c r="A31" s="14" t="n">
        <v>10</v>
      </c>
      <c r="B31" s="14" t="s">
        <v>25</v>
      </c>
      <c r="C31" s="71" t="n">
        <f aca="false">+C30+T30</f>
        <v>575.16</v>
      </c>
      <c r="D31" s="17" t="n">
        <f aca="false">+Chạy!F39</f>
        <v>-9.58</v>
      </c>
      <c r="E31" s="17" t="n">
        <f aca="false">+D31+F31</f>
        <v>-9.5824</v>
      </c>
      <c r="F31" s="17" t="n">
        <f aca="false">RANDBETWEEN(-105,115)/10000</f>
        <v>-0.0024</v>
      </c>
      <c r="G31" s="17" t="n">
        <f aca="false">+Chạy!G39</f>
        <v>-0.75</v>
      </c>
      <c r="H31" s="17" t="n">
        <f aca="false">G31+I31</f>
        <v>-0.746</v>
      </c>
      <c r="I31" s="17" t="n">
        <f aca="false">RANDBETWEEN(-30,90)/1000</f>
        <v>0.004</v>
      </c>
      <c r="J31" s="17" t="n">
        <f aca="false">+Chạy!K39</f>
        <v>-0.75</v>
      </c>
      <c r="K31" s="17" t="n">
        <f aca="false">J31+L31</f>
        <v>-0.668</v>
      </c>
      <c r="L31" s="17" t="n">
        <f aca="false">RANDBETWEEN(-30,90)/1000</f>
        <v>0.082</v>
      </c>
      <c r="M31" s="17" t="n">
        <f aca="false">+Chạy!N39</f>
        <v>9.03</v>
      </c>
      <c r="N31" s="17" t="n">
        <f aca="false">+M31+O31</f>
        <v>9.026</v>
      </c>
      <c r="O31" s="17" t="n">
        <f aca="false">RANDBETWEEN(-105,115)/10000</f>
        <v>-0.004</v>
      </c>
      <c r="P31" s="17" t="n">
        <f aca="false">+Chạy!O39</f>
        <v>-0.75</v>
      </c>
      <c r="Q31" s="17" t="n">
        <f aca="false">P31+R31</f>
        <v>-0.732</v>
      </c>
      <c r="R31" s="17" t="n">
        <f aca="false">RANDBETWEEN(-30,90)/1000</f>
        <v>0.018</v>
      </c>
      <c r="S31" s="18"/>
      <c r="T31" s="0" t="n">
        <v>16.95</v>
      </c>
    </row>
    <row r="32" customFormat="false" ht="15" hidden="false" customHeight="false" outlineLevel="0" collapsed="false">
      <c r="A32" s="14" t="n">
        <v>11</v>
      </c>
      <c r="B32" s="14" t="s">
        <v>26</v>
      </c>
      <c r="C32" s="71" t="n">
        <f aca="false">+C31+T31</f>
        <v>592.11</v>
      </c>
      <c r="D32" s="17" t="n">
        <f aca="false">+Chạy!F43</f>
        <v>-9.76</v>
      </c>
      <c r="E32" s="17" t="n">
        <f aca="false">+D32+F32</f>
        <v>-9.7572</v>
      </c>
      <c r="F32" s="17" t="n">
        <f aca="false">RANDBETWEEN(-105,115)/10000</f>
        <v>0.0028</v>
      </c>
      <c r="G32" s="17" t="n">
        <f aca="false">+Chạy!G43</f>
        <v>-0.75</v>
      </c>
      <c r="H32" s="17" t="n">
        <f aca="false">G32+I32</f>
        <v>-0.745</v>
      </c>
      <c r="I32" s="17" t="n">
        <f aca="false">RANDBETWEEN(-30,90)/1000</f>
        <v>0.005</v>
      </c>
      <c r="J32" s="17" t="n">
        <f aca="false">+Chạy!K43</f>
        <v>-0.75</v>
      </c>
      <c r="K32" s="17" t="n">
        <f aca="false">J32+L32</f>
        <v>-0.713</v>
      </c>
      <c r="L32" s="17" t="n">
        <f aca="false">RANDBETWEEN(-30,90)/1000</f>
        <v>0.037</v>
      </c>
      <c r="M32" s="17" t="n">
        <f aca="false">+Chạy!N43</f>
        <v>9.81</v>
      </c>
      <c r="N32" s="17" t="n">
        <f aca="false">+M32+O32</f>
        <v>9.8011</v>
      </c>
      <c r="O32" s="17" t="n">
        <f aca="false">RANDBETWEEN(-105,115)/10000</f>
        <v>-0.0089</v>
      </c>
      <c r="P32" s="17" t="n">
        <f aca="false">+Chạy!O43</f>
        <v>-0.75</v>
      </c>
      <c r="Q32" s="17" t="n">
        <f aca="false">P32+R32</f>
        <v>-0.678</v>
      </c>
      <c r="R32" s="17" t="n">
        <f aca="false">RANDBETWEEN(-30,90)/1000</f>
        <v>0.072</v>
      </c>
      <c r="S32" s="18"/>
      <c r="T32" s="0" t="n">
        <v>17</v>
      </c>
    </row>
    <row r="33" customFormat="false" ht="15" hidden="false" customHeight="false" outlineLevel="0" collapsed="false">
      <c r="A33" s="14" t="n">
        <v>12</v>
      </c>
      <c r="B33" s="14" t="s">
        <v>27</v>
      </c>
      <c r="C33" s="71" t="n">
        <f aca="false">+C32+T32</f>
        <v>609.11</v>
      </c>
      <c r="D33" s="17" t="n">
        <f aca="false">+Chạy!F47</f>
        <v>-8.97</v>
      </c>
      <c r="E33" s="17" t="n">
        <f aca="false">+D33+F33</f>
        <v>-8.968</v>
      </c>
      <c r="F33" s="17" t="n">
        <f aca="false">RANDBETWEEN(-105,115)/10000</f>
        <v>0.002</v>
      </c>
      <c r="G33" s="17" t="n">
        <f aca="false">+Chạy!G47</f>
        <v>-0.75</v>
      </c>
      <c r="H33" s="17" t="n">
        <f aca="false">G33+I33</f>
        <v>-0.661</v>
      </c>
      <c r="I33" s="17" t="n">
        <f aca="false">RANDBETWEEN(-30,90)/1000</f>
        <v>0.089</v>
      </c>
      <c r="J33" s="17" t="n">
        <f aca="false">+Chạy!K47</f>
        <v>-0.75</v>
      </c>
      <c r="K33" s="17" t="n">
        <f aca="false">J33+L33</f>
        <v>-0.722</v>
      </c>
      <c r="L33" s="17" t="n">
        <f aca="false">RANDBETWEEN(-30,90)/1000</f>
        <v>0.028</v>
      </c>
      <c r="M33" s="17" t="n">
        <f aca="false">+Chạy!N47</f>
        <v>8.83</v>
      </c>
      <c r="N33" s="17" t="n">
        <f aca="false">+M33+O33</f>
        <v>8.8339</v>
      </c>
      <c r="O33" s="17" t="n">
        <f aca="false">RANDBETWEEN(-105,115)/10000</f>
        <v>0.0039</v>
      </c>
      <c r="P33" s="17" t="n">
        <f aca="false">+Chạy!O47</f>
        <v>-0.75</v>
      </c>
      <c r="Q33" s="17" t="n">
        <f aca="false">P33+R33</f>
        <v>-0.686</v>
      </c>
      <c r="R33" s="17" t="n">
        <f aca="false">RANDBETWEEN(-30,90)/1000</f>
        <v>0.064</v>
      </c>
      <c r="S33" s="18"/>
    </row>
    <row r="34" customFormat="false" ht="15" hidden="true" customHeight="false" outlineLevel="0" collapsed="false">
      <c r="A34" s="14"/>
      <c r="B34" s="14"/>
      <c r="C34" s="71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8"/>
    </row>
    <row r="35" customFormat="false" ht="15" hidden="true" customHeight="false" outlineLevel="0" collapsed="false">
      <c r="A35" s="14"/>
      <c r="B35" s="14"/>
      <c r="C35" s="71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8"/>
    </row>
    <row r="36" customFormat="false" ht="15" hidden="true" customHeight="false" outlineLevel="0" collapsed="false">
      <c r="A36" s="14"/>
      <c r="B36" s="14"/>
      <c r="C36" s="71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8"/>
    </row>
    <row r="37" customFormat="false" ht="15" hidden="true" customHeight="false" outlineLevel="0" collapsed="false">
      <c r="A37" s="14"/>
      <c r="B37" s="14"/>
      <c r="C37" s="71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8"/>
    </row>
    <row r="38" customFormat="false" ht="15" hidden="true" customHeight="false" outlineLevel="0" collapsed="false">
      <c r="A38" s="14"/>
      <c r="B38" s="14"/>
      <c r="C38" s="71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8"/>
    </row>
    <row r="39" customFormat="false" ht="15" hidden="true" customHeight="false" outlineLevel="0" collapsed="false">
      <c r="A39" s="14"/>
      <c r="B39" s="14"/>
      <c r="C39" s="71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8"/>
    </row>
    <row r="40" customFormat="false" ht="15" hidden="true" customHeight="false" outlineLevel="0" collapsed="false">
      <c r="A40" s="14"/>
      <c r="B40" s="14"/>
      <c r="C40" s="71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8"/>
    </row>
    <row r="41" customFormat="false" ht="15" hidden="true" customHeight="false" outlineLevel="0" collapsed="false">
      <c r="A41" s="14"/>
      <c r="B41" s="14"/>
      <c r="C41" s="71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8"/>
    </row>
    <row r="42" customFormat="false" ht="15" hidden="true" customHeight="false" outlineLevel="0" collapsed="false">
      <c r="A42" s="14"/>
      <c r="B42" s="14"/>
      <c r="C42" s="71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8"/>
    </row>
    <row r="43" customFormat="false" ht="15" hidden="true" customHeight="false" outlineLevel="0" collapsed="false">
      <c r="A43" s="14"/>
      <c r="B43" s="14"/>
      <c r="C43" s="71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8"/>
    </row>
    <row r="44" customFormat="false" ht="15" hidden="true" customHeight="false" outlineLevel="0" collapsed="false">
      <c r="A44" s="14"/>
      <c r="B44" s="14"/>
      <c r="C44" s="71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8"/>
    </row>
    <row r="45" customFormat="false" ht="15" hidden="true" customHeight="false" outlineLevel="0" collapsed="false">
      <c r="A45" s="14"/>
      <c r="B45" s="14"/>
      <c r="C45" s="71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8"/>
    </row>
    <row r="46" customFormat="false" ht="15" hidden="true" customHeight="false" outlineLevel="0" collapsed="false">
      <c r="A46" s="14"/>
      <c r="B46" s="14"/>
      <c r="C46" s="71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8"/>
    </row>
    <row r="48" customFormat="false" ht="15" hidden="false" customHeight="false" outlineLevel="0" collapsed="false">
      <c r="C48" s="20" t="s">
        <v>50</v>
      </c>
      <c r="D48" s="20"/>
      <c r="E48" s="20"/>
      <c r="F48" s="20"/>
      <c r="G48" s="20"/>
      <c r="H48" s="20"/>
      <c r="I48" s="20"/>
      <c r="K48" s="21"/>
      <c r="L48" s="21"/>
      <c r="M48" s="21"/>
      <c r="N48" s="21"/>
      <c r="O48" s="20" t="s">
        <v>51</v>
      </c>
      <c r="P48" s="20"/>
      <c r="Q48" s="20"/>
      <c r="R48" s="20"/>
    </row>
    <row r="49" customFormat="false" ht="15" hidden="false" customHeight="false" outlineLevel="0" collapsed="false">
      <c r="E49" s="22"/>
      <c r="F49" s="22"/>
      <c r="G49" s="22"/>
      <c r="H49" s="22"/>
      <c r="K49" s="22"/>
      <c r="L49" s="22"/>
      <c r="M49" s="22"/>
      <c r="N49" s="22"/>
      <c r="O49" s="22"/>
      <c r="P49" s="22"/>
      <c r="Q49" s="22"/>
      <c r="R49" s="22"/>
    </row>
    <row r="50" customFormat="false" ht="15" hidden="false" customHeight="false" outlineLevel="0" collapsed="false">
      <c r="E50" s="22"/>
      <c r="F50" s="22"/>
      <c r="G50" s="22"/>
      <c r="H50" s="22"/>
      <c r="K50" s="22"/>
      <c r="L50" s="22"/>
      <c r="M50" s="22"/>
      <c r="N50" s="22"/>
      <c r="O50" s="22"/>
      <c r="P50" s="22"/>
      <c r="Q50" s="22"/>
      <c r="R50" s="22"/>
    </row>
    <row r="51" customFormat="false" ht="15" hidden="false" customHeight="false" outlineLevel="0" collapsed="false">
      <c r="E51" s="22"/>
      <c r="F51" s="22"/>
      <c r="G51" s="22"/>
      <c r="H51" s="22"/>
      <c r="K51" s="22"/>
      <c r="L51" s="22"/>
      <c r="M51" s="22"/>
      <c r="N51" s="22"/>
      <c r="O51" s="22"/>
      <c r="P51" s="22"/>
      <c r="Q51" s="22"/>
      <c r="R51" s="22"/>
    </row>
    <row r="52" customFormat="false" ht="15" hidden="false" customHeight="false" outlineLevel="0" collapsed="false">
      <c r="E52" s="22"/>
      <c r="F52" s="22"/>
      <c r="G52" s="22"/>
      <c r="H52" s="22"/>
      <c r="K52" s="22"/>
      <c r="L52" s="22"/>
      <c r="M52" s="22"/>
      <c r="N52" s="22"/>
      <c r="O52" s="22"/>
      <c r="P52" s="22"/>
      <c r="Q52" s="22"/>
      <c r="R52" s="22"/>
    </row>
    <row r="53" customFormat="false" ht="15" hidden="false" customHeight="false" outlineLevel="0" collapsed="false">
      <c r="C53" s="20" t="s">
        <v>52</v>
      </c>
      <c r="D53" s="20"/>
      <c r="E53" s="20"/>
      <c r="F53" s="20"/>
      <c r="G53" s="20"/>
      <c r="H53" s="20"/>
      <c r="I53" s="20"/>
      <c r="K53" s="21"/>
      <c r="L53" s="21"/>
      <c r="M53" s="21"/>
      <c r="N53" s="21"/>
      <c r="O53" s="20" t="s">
        <v>53</v>
      </c>
      <c r="P53" s="20"/>
      <c r="Q53" s="20"/>
      <c r="R53" s="20"/>
    </row>
  </sheetData>
  <mergeCells count="13">
    <mergeCell ref="A1:S1"/>
    <mergeCell ref="A2:S2"/>
    <mergeCell ref="A20:A21"/>
    <mergeCell ref="B20:B21"/>
    <mergeCell ref="C20:C21"/>
    <mergeCell ref="D20:I20"/>
    <mergeCell ref="J20:L20"/>
    <mergeCell ref="M20:R20"/>
    <mergeCell ref="S20:S21"/>
    <mergeCell ref="C48:I48"/>
    <mergeCell ref="O48:R48"/>
    <mergeCell ref="C53:I53"/>
    <mergeCell ref="O53:R53"/>
  </mergeCells>
  <printOptions headings="false" gridLines="false" gridLinesSet="true" horizontalCentered="true" verticalCentered="false"/>
  <pageMargins left="0.157638888888889" right="0.157638888888889" top="0.472222222222222" bottom="0.39375" header="0.511811023622047" footer="0.157638888888889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W121"/>
  <sheetViews>
    <sheetView showFormulas="false" showGridLines="true" showRowColHeaders="true" showZeros="true" rightToLeft="false" tabSelected="false" showOutlineSymbols="true" defaultGridColor="true" view="normal" topLeftCell="A10" colorId="64" zoomScale="85" zoomScaleNormal="85" zoomScalePageLayoutView="100" workbookViewId="0">
      <selection pane="topLeft" activeCell="AB20" activeCellId="0" sqref="AB20"/>
    </sheetView>
  </sheetViews>
  <sheetFormatPr defaultColWidth="9.2890625" defaultRowHeight="12.75" zeroHeight="false" outlineLevelRow="0" outlineLevelCol="0"/>
  <cols>
    <col collapsed="false" customWidth="true" hidden="false" outlineLevel="0" max="1" min="1" style="23" width="6.71"/>
    <col collapsed="false" customWidth="true" hidden="false" outlineLevel="0" max="2" min="2" style="23" width="12.29"/>
    <col collapsed="false" customWidth="true" hidden="false" outlineLevel="0" max="3" min="3" style="23" width="19.57"/>
    <col collapsed="false" customWidth="true" hidden="false" outlineLevel="0" max="4" min="4" style="24" width="12.71"/>
    <col collapsed="false" customWidth="true" hidden="true" outlineLevel="0" max="6" min="5" style="24" width="8.42"/>
    <col collapsed="false" customWidth="true" hidden="true" outlineLevel="0" max="7" min="7" style="24" width="11"/>
    <col collapsed="false" customWidth="true" hidden="true" outlineLevel="0" max="12" min="8" style="24" width="8.42"/>
    <col collapsed="false" customWidth="true" hidden="true" outlineLevel="0" max="14" min="13" style="24" width="14.29"/>
    <col collapsed="false" customWidth="true" hidden="false" outlineLevel="0" max="15" min="15" style="24" width="15.42"/>
    <col collapsed="false" customWidth="true" hidden="true" outlineLevel="0" max="22" min="16" style="24" width="14.29"/>
    <col collapsed="false" customWidth="true" hidden="false" outlineLevel="0" max="23" min="23" style="24" width="15.29"/>
    <col collapsed="false" customWidth="true" hidden="true" outlineLevel="0" max="25" min="24" style="24" width="14.29"/>
    <col collapsed="false" customWidth="true" hidden="true" outlineLevel="0" max="27" min="26" style="24" width="12.86"/>
    <col collapsed="false" customWidth="true" hidden="false" outlineLevel="0" max="28" min="28" style="24" width="10.29"/>
    <col collapsed="false" customWidth="false" hidden="true" outlineLevel="0" max="29" min="29" style="24" width="9.29"/>
    <col collapsed="false" customWidth="false" hidden="false" outlineLevel="0" max="30" min="30" style="23" width="9.29"/>
    <col collapsed="false" customWidth="true" hidden="false" outlineLevel="0" max="31" min="31" style="23" width="11.85"/>
    <col collapsed="false" customWidth="true" hidden="false" outlineLevel="0" max="32" min="32" style="23" width="24.57"/>
    <col collapsed="false" customWidth="false" hidden="false" outlineLevel="0" max="16384" min="33" style="23" width="9.29"/>
  </cols>
  <sheetData>
    <row r="1" s="26" customFormat="true" ht="16.5" hidden="false" customHeight="true" outlineLevel="0" collapsed="false">
      <c r="A1" s="25" t="s">
        <v>54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D1" s="3"/>
      <c r="AE1" s="3"/>
    </row>
    <row r="2" s="26" customFormat="true" ht="18.75" hidden="false" customHeight="true" outlineLevel="0" collapsed="false">
      <c r="A2" s="27" t="str">
        <f>"Kèm theo BBNT số: "&amp;VLOOKUP(AZ2,'[1]Tuyến XD8'!$A$2:$G$60,7,0)&amp;VLOOKUP(AZ2,'[1]Tuyến XD8'!$A$2:$G$60,4,0)</f>
        <v xml:space="preserve">Kèm theo BBNT số: 62.NĐXD8/CVXD ngày 15 tháng 09 năm 2026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E2" s="7"/>
      <c r="AZ2">
        <v>62</v>
      </c>
    </row>
    <row r="3" s="30" customFormat="true" ht="37.5" hidden="false" customHeight="true" outlineLevel="0" collapsed="false">
      <c r="A3" s="28" t="s">
        <v>30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  <c r="BG3" s="29"/>
      <c r="BH3" s="29"/>
      <c r="BI3" s="29"/>
      <c r="BJ3" s="29"/>
      <c r="BK3" s="29"/>
      <c r="BL3" s="29"/>
      <c r="BM3" s="29"/>
      <c r="BN3" s="29"/>
      <c r="BO3" s="29"/>
      <c r="BP3" s="29"/>
      <c r="BQ3" s="29"/>
      <c r="BR3" s="29"/>
      <c r="BS3" s="29"/>
      <c r="BT3" s="29"/>
      <c r="BU3" s="29"/>
      <c r="BV3" s="29"/>
      <c r="BW3" s="29"/>
      <c r="BX3" s="29"/>
      <c r="BY3" s="29"/>
      <c r="BZ3" s="29"/>
      <c r="CA3" s="29"/>
      <c r="CB3" s="29"/>
      <c r="CC3" s="29"/>
      <c r="CD3" s="29"/>
      <c r="CE3" s="29"/>
      <c r="CF3" s="29"/>
      <c r="CG3" s="29"/>
      <c r="CH3" s="29"/>
      <c r="CI3" s="29"/>
      <c r="CJ3" s="29"/>
      <c r="CK3" s="29"/>
      <c r="CL3" s="29"/>
      <c r="CM3" s="29"/>
      <c r="CN3" s="29"/>
      <c r="CO3" s="29"/>
      <c r="CP3" s="29"/>
      <c r="CQ3" s="29"/>
      <c r="CR3" s="29"/>
      <c r="CS3" s="29"/>
      <c r="CT3" s="29"/>
      <c r="CU3" s="29"/>
      <c r="CV3" s="29"/>
      <c r="CW3" s="29"/>
      <c r="CX3" s="29"/>
      <c r="CY3" s="29"/>
      <c r="CZ3" s="29"/>
      <c r="DA3" s="29"/>
      <c r="DB3" s="29"/>
      <c r="DC3" s="29"/>
      <c r="DD3" s="29"/>
      <c r="DE3" s="29"/>
      <c r="DF3" s="29"/>
      <c r="DG3" s="29"/>
      <c r="DH3" s="29"/>
      <c r="DI3" s="29"/>
      <c r="DJ3" s="29"/>
      <c r="DK3" s="29"/>
      <c r="DL3" s="29"/>
      <c r="DM3" s="29"/>
      <c r="DN3" s="29"/>
      <c r="DO3" s="29"/>
      <c r="DP3" s="29"/>
      <c r="DQ3" s="29"/>
      <c r="DR3" s="29"/>
      <c r="DS3" s="29"/>
      <c r="DT3" s="29"/>
      <c r="DU3" s="29"/>
      <c r="DV3" s="29"/>
      <c r="DW3" s="29"/>
      <c r="DX3" s="29"/>
      <c r="DY3" s="29"/>
      <c r="DZ3" s="29"/>
      <c r="EA3" s="29"/>
      <c r="EB3" s="29"/>
      <c r="EC3" s="29"/>
      <c r="ED3" s="29"/>
      <c r="EE3" s="29"/>
      <c r="EF3" s="29"/>
      <c r="EG3" s="29"/>
      <c r="EH3" s="29"/>
      <c r="EI3" s="29"/>
      <c r="EJ3" s="29"/>
      <c r="EK3" s="29"/>
      <c r="EL3" s="29"/>
      <c r="EM3" s="29"/>
      <c r="EN3" s="29"/>
      <c r="EO3" s="29"/>
      <c r="EP3" s="29"/>
      <c r="EQ3" s="29"/>
      <c r="ER3" s="29"/>
      <c r="ES3" s="29"/>
      <c r="ET3" s="29"/>
      <c r="EU3" s="29"/>
      <c r="EV3" s="29"/>
      <c r="EW3" s="29"/>
      <c r="EX3" s="29"/>
      <c r="EY3" s="29"/>
      <c r="EZ3" s="29"/>
      <c r="FA3" s="29"/>
      <c r="FB3" s="29"/>
      <c r="FC3" s="29"/>
      <c r="FD3" s="29"/>
      <c r="FE3" s="29"/>
      <c r="FF3" s="29"/>
      <c r="FG3" s="29"/>
      <c r="FH3" s="29"/>
      <c r="FI3" s="29"/>
      <c r="FJ3" s="29"/>
      <c r="FK3" s="29"/>
      <c r="FL3" s="29"/>
      <c r="FM3" s="29"/>
      <c r="FN3" s="29"/>
      <c r="FO3" s="29"/>
      <c r="FP3" s="29"/>
      <c r="FQ3" s="29"/>
      <c r="FR3" s="29"/>
      <c r="FS3" s="29"/>
      <c r="FT3" s="29"/>
      <c r="FU3" s="29"/>
      <c r="FV3" s="29"/>
      <c r="FW3" s="29"/>
      <c r="FX3" s="29"/>
      <c r="FY3" s="29"/>
      <c r="FZ3" s="29"/>
      <c r="GA3" s="29"/>
      <c r="GB3" s="29"/>
      <c r="GC3" s="29"/>
      <c r="GD3" s="29"/>
      <c r="GE3" s="29"/>
      <c r="GF3" s="29"/>
      <c r="GG3" s="29"/>
      <c r="GH3" s="29"/>
      <c r="GI3" s="29"/>
      <c r="GJ3" s="29"/>
      <c r="GK3" s="29"/>
      <c r="GL3" s="29"/>
      <c r="GM3" s="29"/>
      <c r="GN3" s="29"/>
      <c r="GO3" s="29"/>
      <c r="GP3" s="29"/>
      <c r="GQ3" s="29"/>
      <c r="GR3" s="29"/>
      <c r="GS3" s="29"/>
      <c r="GT3" s="29"/>
      <c r="GU3" s="29"/>
      <c r="GV3" s="29"/>
      <c r="GW3" s="29"/>
      <c r="GX3" s="29"/>
      <c r="GY3" s="29"/>
      <c r="GZ3" s="29"/>
      <c r="HA3" s="29"/>
      <c r="HB3" s="29"/>
      <c r="HC3" s="29"/>
      <c r="HD3" s="29"/>
      <c r="HE3" s="29"/>
      <c r="HF3" s="29"/>
      <c r="HG3" s="29"/>
      <c r="HH3" s="29"/>
      <c r="HI3" s="29"/>
      <c r="HJ3" s="29"/>
      <c r="HK3" s="29"/>
      <c r="HL3" s="29"/>
      <c r="HM3" s="29"/>
      <c r="HN3" s="29"/>
      <c r="HO3" s="29"/>
      <c r="HP3" s="29"/>
      <c r="HQ3" s="29"/>
      <c r="HR3" s="29"/>
      <c r="HS3" s="29"/>
      <c r="HT3" s="29"/>
      <c r="HU3" s="29"/>
      <c r="HV3" s="29"/>
      <c r="HW3" s="29"/>
    </row>
    <row r="4" s="30" customFormat="true" ht="37.5" hidden="false" customHeight="true" outlineLevel="0" collapsed="false">
      <c r="A4" s="28" t="s">
        <v>31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29"/>
      <c r="EW4" s="29"/>
      <c r="EX4" s="29"/>
      <c r="EY4" s="29"/>
      <c r="EZ4" s="29"/>
      <c r="FA4" s="29"/>
      <c r="FB4" s="29"/>
      <c r="FC4" s="29"/>
      <c r="FD4" s="29"/>
      <c r="FE4" s="29"/>
      <c r="FF4" s="29"/>
      <c r="FG4" s="29"/>
      <c r="FH4" s="29"/>
      <c r="FI4" s="29"/>
      <c r="FJ4" s="29"/>
      <c r="FK4" s="29"/>
      <c r="FL4" s="29"/>
      <c r="FM4" s="29"/>
      <c r="FN4" s="29"/>
      <c r="FO4" s="29"/>
      <c r="FP4" s="29"/>
      <c r="FQ4" s="29"/>
      <c r="FR4" s="29"/>
      <c r="FS4" s="29"/>
      <c r="FT4" s="29"/>
      <c r="FU4" s="29"/>
      <c r="FV4" s="29"/>
      <c r="FW4" s="29"/>
      <c r="FX4" s="29"/>
      <c r="FY4" s="29"/>
      <c r="FZ4" s="29"/>
      <c r="GA4" s="29"/>
      <c r="GB4" s="29"/>
      <c r="GC4" s="29"/>
      <c r="GD4" s="29"/>
      <c r="GE4" s="29"/>
      <c r="GF4" s="29"/>
      <c r="GG4" s="29"/>
      <c r="GH4" s="29"/>
      <c r="GI4" s="29"/>
      <c r="GJ4" s="29"/>
      <c r="GK4" s="29"/>
      <c r="GL4" s="29"/>
      <c r="GM4" s="29"/>
      <c r="GN4" s="29"/>
      <c r="GO4" s="29"/>
      <c r="GP4" s="29"/>
      <c r="GQ4" s="29"/>
      <c r="GR4" s="29"/>
      <c r="GS4" s="29"/>
      <c r="GT4" s="29"/>
      <c r="GU4" s="29"/>
      <c r="GV4" s="29"/>
      <c r="GW4" s="29"/>
      <c r="GX4" s="29"/>
      <c r="GY4" s="29"/>
      <c r="GZ4" s="29"/>
      <c r="HA4" s="29"/>
      <c r="HB4" s="29"/>
      <c r="HC4" s="29"/>
      <c r="HD4" s="29"/>
      <c r="HE4" s="29"/>
      <c r="HF4" s="29"/>
      <c r="HG4" s="29"/>
      <c r="HH4" s="29"/>
      <c r="HI4" s="29"/>
      <c r="HJ4" s="29"/>
      <c r="HK4" s="29"/>
      <c r="HL4" s="29"/>
      <c r="HM4" s="29"/>
      <c r="HN4" s="29"/>
      <c r="HO4" s="29"/>
      <c r="HP4" s="29"/>
      <c r="HQ4" s="29"/>
      <c r="HR4" s="29"/>
      <c r="HS4" s="29"/>
      <c r="HT4" s="29"/>
      <c r="HU4" s="29"/>
      <c r="HV4" s="29"/>
      <c r="HW4" s="29"/>
    </row>
    <row r="5" s="30" customFormat="true" ht="16.5" hidden="false" customHeight="true" outlineLevel="0" collapsed="false">
      <c r="A5" s="28" t="s">
        <v>32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</row>
    <row r="6" s="30" customFormat="true" ht="16.5" hidden="false" customHeight="true" outlineLevel="0" collapsed="false">
      <c r="A6" s="28" t="s">
        <v>33</v>
      </c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  <c r="EY6" s="29"/>
      <c r="EZ6" s="29"/>
      <c r="FA6" s="29"/>
      <c r="FB6" s="29"/>
      <c r="FC6" s="29"/>
      <c r="FD6" s="29"/>
      <c r="FE6" s="29"/>
      <c r="FF6" s="29"/>
      <c r="FG6" s="29"/>
      <c r="FH6" s="29"/>
      <c r="FI6" s="29"/>
      <c r="FJ6" s="29"/>
      <c r="FK6" s="29"/>
      <c r="FL6" s="29"/>
      <c r="FM6" s="29"/>
      <c r="FN6" s="29"/>
      <c r="FO6" s="29"/>
      <c r="FP6" s="29"/>
      <c r="FQ6" s="29"/>
      <c r="FR6" s="29"/>
      <c r="FS6" s="29"/>
      <c r="FT6" s="29"/>
      <c r="FU6" s="29"/>
      <c r="FV6" s="29"/>
      <c r="FW6" s="29"/>
      <c r="FX6" s="29"/>
      <c r="FY6" s="29"/>
      <c r="FZ6" s="29"/>
      <c r="GA6" s="29"/>
      <c r="GB6" s="29"/>
      <c r="GC6" s="29"/>
      <c r="GD6" s="29"/>
      <c r="GE6" s="29"/>
      <c r="GF6" s="29"/>
      <c r="GG6" s="29"/>
      <c r="GH6" s="29"/>
      <c r="GI6" s="29"/>
      <c r="GJ6" s="29"/>
      <c r="GK6" s="29"/>
      <c r="GL6" s="29"/>
      <c r="GM6" s="29"/>
      <c r="GN6" s="29"/>
      <c r="GO6" s="29"/>
      <c r="GP6" s="29"/>
      <c r="GQ6" s="29"/>
      <c r="GR6" s="29"/>
      <c r="GS6" s="29"/>
      <c r="GT6" s="29"/>
      <c r="GU6" s="29"/>
      <c r="GV6" s="29"/>
      <c r="GW6" s="29"/>
      <c r="GX6" s="29"/>
      <c r="GY6" s="29"/>
      <c r="GZ6" s="29"/>
      <c r="HA6" s="29"/>
      <c r="HB6" s="29"/>
      <c r="HC6" s="29"/>
      <c r="HD6" s="29"/>
      <c r="HE6" s="29"/>
      <c r="HF6" s="29"/>
      <c r="HG6" s="29"/>
      <c r="HH6" s="29"/>
      <c r="HI6" s="29"/>
      <c r="HJ6" s="29"/>
      <c r="HK6" s="29"/>
      <c r="HL6" s="29"/>
      <c r="HM6" s="29"/>
      <c r="HN6" s="29"/>
      <c r="HO6" s="29"/>
      <c r="HP6" s="29"/>
      <c r="HQ6" s="29"/>
      <c r="HR6" s="29"/>
      <c r="HS6" s="29"/>
      <c r="HT6" s="29"/>
      <c r="HU6" s="29"/>
      <c r="HV6" s="29"/>
      <c r="HW6" s="29"/>
    </row>
    <row r="7" s="30" customFormat="true" ht="31.5" hidden="false" customHeight="true" outlineLevel="0" collapsed="false">
      <c r="A7" s="31" t="s">
        <v>34</v>
      </c>
      <c r="B7" s="32"/>
      <c r="D7" s="33" t="str">
        <f>VLOOKUP(AZ2,'[1]Tuyến XD8'!$A$2:$B$60,2,0)</f>
        <v xml:space="preserve">Đắp cát nền đường lớp 3 đoạn từ Km0+489,19 - Km0+609,11, độ chặt K&gt;=0,95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  <c r="EX7" s="29"/>
      <c r="EY7" s="29"/>
      <c r="EZ7" s="29"/>
      <c r="FA7" s="29"/>
      <c r="FB7" s="29"/>
      <c r="FC7" s="29"/>
      <c r="FD7" s="29"/>
      <c r="FE7" s="29"/>
      <c r="FF7" s="29"/>
      <c r="FG7" s="29"/>
      <c r="FH7" s="29"/>
      <c r="FI7" s="29"/>
      <c r="FJ7" s="29"/>
      <c r="FK7" s="29"/>
      <c r="FL7" s="29"/>
      <c r="FM7" s="29"/>
      <c r="FN7" s="29"/>
      <c r="FO7" s="29"/>
      <c r="FP7" s="29"/>
      <c r="FQ7" s="29"/>
      <c r="FR7" s="29"/>
      <c r="FS7" s="29"/>
      <c r="FT7" s="29"/>
      <c r="FU7" s="29"/>
      <c r="FV7" s="29"/>
      <c r="FW7" s="29"/>
      <c r="FX7" s="29"/>
      <c r="FY7" s="29"/>
      <c r="FZ7" s="29"/>
      <c r="GA7" s="29"/>
      <c r="GB7" s="29"/>
      <c r="GC7" s="29"/>
      <c r="GD7" s="29"/>
      <c r="GE7" s="29"/>
      <c r="GF7" s="29"/>
      <c r="GG7" s="29"/>
      <c r="GH7" s="29"/>
      <c r="GI7" s="29"/>
      <c r="GJ7" s="29"/>
      <c r="GK7" s="29"/>
      <c r="GL7" s="29"/>
      <c r="GM7" s="29"/>
      <c r="GN7" s="29"/>
      <c r="GO7" s="29"/>
      <c r="GP7" s="29"/>
      <c r="GQ7" s="29"/>
      <c r="GR7" s="29"/>
      <c r="GS7" s="29"/>
      <c r="GT7" s="29"/>
      <c r="GU7" s="29"/>
      <c r="GV7" s="29"/>
      <c r="GW7" s="29"/>
      <c r="GX7" s="29"/>
      <c r="GY7" s="29"/>
      <c r="GZ7" s="29"/>
      <c r="HA7" s="29"/>
      <c r="HB7" s="29"/>
      <c r="HC7" s="29"/>
      <c r="HD7" s="29"/>
      <c r="HE7" s="29"/>
      <c r="HF7" s="29"/>
      <c r="HG7" s="29"/>
      <c r="HH7" s="29"/>
      <c r="HI7" s="29"/>
      <c r="HJ7" s="29"/>
      <c r="HK7" s="29"/>
      <c r="HL7" s="29"/>
      <c r="HM7" s="29"/>
      <c r="HN7" s="29"/>
      <c r="HO7" s="29"/>
      <c r="HP7" s="29"/>
      <c r="HQ7" s="29"/>
      <c r="HR7" s="29"/>
      <c r="HS7" s="29"/>
      <c r="HT7" s="29"/>
      <c r="HU7" s="29"/>
      <c r="HV7" s="29"/>
      <c r="HW7" s="29"/>
    </row>
    <row r="8" s="29" customFormat="true" ht="6.75" hidden="false" customHeight="true" outlineLevel="0" collapsed="false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</row>
    <row r="9" s="41" customFormat="true" ht="22.5" hidden="false" customHeight="true" outlineLevel="0" collapsed="false">
      <c r="A9" s="35" t="s">
        <v>0</v>
      </c>
      <c r="B9" s="35" t="s">
        <v>38</v>
      </c>
      <c r="C9" s="35" t="s">
        <v>39</v>
      </c>
      <c r="D9" s="36" t="s">
        <v>55</v>
      </c>
      <c r="E9" s="37"/>
      <c r="F9" s="37"/>
      <c r="G9" s="36"/>
      <c r="H9" s="37"/>
      <c r="I9" s="37"/>
      <c r="J9" s="37"/>
      <c r="K9" s="37"/>
      <c r="L9" s="37"/>
      <c r="M9" s="38" t="s">
        <v>56</v>
      </c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9"/>
      <c r="AA9" s="39"/>
      <c r="AB9" s="36" t="s">
        <v>43</v>
      </c>
      <c r="AC9" s="40"/>
    </row>
    <row r="10" s="45" customFormat="true" ht="28.5" hidden="false" customHeight="true" outlineLevel="0" collapsed="false">
      <c r="A10" s="35"/>
      <c r="B10" s="35"/>
      <c r="C10" s="35"/>
      <c r="D10" s="35"/>
      <c r="E10" s="38"/>
      <c r="F10" s="38"/>
      <c r="G10" s="38"/>
      <c r="H10" s="38"/>
      <c r="I10" s="38"/>
      <c r="J10" s="38"/>
      <c r="K10" s="38"/>
      <c r="L10" s="38"/>
      <c r="M10" s="38"/>
      <c r="N10" s="38" t="s">
        <v>57</v>
      </c>
      <c r="O10" s="38" t="s">
        <v>58</v>
      </c>
      <c r="P10" s="38" t="s">
        <v>57</v>
      </c>
      <c r="Q10" s="38" t="s">
        <v>57</v>
      </c>
      <c r="R10" s="38"/>
      <c r="S10" s="38"/>
      <c r="T10" s="38"/>
      <c r="U10" s="38" t="s">
        <v>59</v>
      </c>
      <c r="V10" s="38" t="s">
        <v>59</v>
      </c>
      <c r="W10" s="38" t="s">
        <v>60</v>
      </c>
      <c r="X10" s="38" t="s">
        <v>59</v>
      </c>
      <c r="Y10" s="38" t="s">
        <v>59</v>
      </c>
      <c r="Z10" s="42"/>
      <c r="AA10" s="42"/>
      <c r="AB10" s="36"/>
      <c r="AC10" s="43"/>
      <c r="AD10" s="44"/>
      <c r="AE10" s="44"/>
    </row>
    <row r="11" s="45" customFormat="true" ht="15" hidden="false" customHeight="true" outlineLevel="0" collapsed="false">
      <c r="A11" s="14" t="n">
        <v>1</v>
      </c>
      <c r="B11" s="14" t="str">
        <f aca="false">'3.KTHH L3'!B22</f>
        <v>25</v>
      </c>
      <c r="C11" s="16" t="n">
        <f aca="false">'3.KTHH L3'!C22</f>
        <v>489.19</v>
      </c>
      <c r="D11" s="14" t="n">
        <f aca="false">'3.KTHH L3'!T22</f>
        <v>13.17</v>
      </c>
      <c r="E11" s="46"/>
      <c r="F11" s="46"/>
      <c r="G11" s="46"/>
      <c r="H11" s="46"/>
      <c r="I11" s="46"/>
      <c r="J11" s="46"/>
      <c r="K11" s="47"/>
      <c r="L11" s="17"/>
      <c r="M11" s="18"/>
      <c r="N11" s="48"/>
      <c r="O11" s="47" t="n">
        <f aca="false">Chạy!E3</f>
        <v>4.44</v>
      </c>
      <c r="P11" s="47"/>
      <c r="Q11" s="47"/>
      <c r="R11" s="50"/>
      <c r="S11" s="50"/>
      <c r="T11" s="50"/>
      <c r="U11" s="50"/>
      <c r="V11" s="50"/>
      <c r="W11" s="50" t="n">
        <f aca="false">(O11+O12)*D11/2</f>
        <v>68.6157</v>
      </c>
      <c r="X11" s="50"/>
      <c r="Y11" s="50"/>
      <c r="Z11" s="50"/>
      <c r="AA11" s="50"/>
      <c r="AB11" s="51"/>
      <c r="AC11" s="50"/>
      <c r="AE11" s="52"/>
    </row>
    <row r="12" s="45" customFormat="true" ht="15" hidden="false" customHeight="true" outlineLevel="0" collapsed="false">
      <c r="A12" s="14" t="n">
        <v>2</v>
      </c>
      <c r="B12" s="14" t="str">
        <f aca="false">'3.KTHH L3'!B23</f>
        <v>D1</v>
      </c>
      <c r="C12" s="16" t="n">
        <f aca="false">'3.KTHH L3'!C23</f>
        <v>502.36</v>
      </c>
      <c r="D12" s="14" t="n">
        <f aca="false">'3.KTHH L3'!T23</f>
        <v>10.48</v>
      </c>
      <c r="E12" s="46"/>
      <c r="F12" s="46"/>
      <c r="G12" s="46"/>
      <c r="H12" s="46"/>
      <c r="I12" s="46"/>
      <c r="J12" s="46"/>
      <c r="K12" s="47"/>
      <c r="L12" s="17"/>
      <c r="M12" s="18"/>
      <c r="N12" s="48"/>
      <c r="O12" s="47" t="n">
        <f aca="false">Chạy!E7</f>
        <v>5.98</v>
      </c>
      <c r="P12" s="47"/>
      <c r="Q12" s="47"/>
      <c r="R12" s="50"/>
      <c r="S12" s="50"/>
      <c r="T12" s="50"/>
      <c r="U12" s="50"/>
      <c r="V12" s="50"/>
      <c r="W12" s="50" t="n">
        <f aca="false">(O12+O13)*D12/2</f>
        <v>61.6748</v>
      </c>
      <c r="X12" s="50"/>
      <c r="Y12" s="50"/>
      <c r="Z12" s="50"/>
      <c r="AA12" s="50"/>
      <c r="AB12" s="51"/>
      <c r="AC12" s="50"/>
      <c r="AE12" s="52"/>
    </row>
    <row r="13" s="45" customFormat="true" ht="15" hidden="false" customHeight="true" outlineLevel="0" collapsed="false">
      <c r="A13" s="14" t="n">
        <v>3</v>
      </c>
      <c r="B13" s="14" t="str">
        <f aca="false">'3.KTHH L3'!B24</f>
        <v>26</v>
      </c>
      <c r="C13" s="16" t="n">
        <f aca="false">'3.KTHH L3'!C24</f>
        <v>512.84</v>
      </c>
      <c r="D13" s="14" t="n">
        <f aca="false">'3.KTHH L3'!T24</f>
        <v>16.78</v>
      </c>
      <c r="E13" s="46"/>
      <c r="F13" s="46"/>
      <c r="G13" s="46"/>
      <c r="H13" s="46"/>
      <c r="I13" s="46"/>
      <c r="J13" s="46"/>
      <c r="K13" s="47"/>
      <c r="L13" s="17"/>
      <c r="M13" s="18"/>
      <c r="N13" s="48"/>
      <c r="O13" s="47" t="n">
        <f aca="false">Chạy!E11</f>
        <v>5.79</v>
      </c>
      <c r="P13" s="47"/>
      <c r="Q13" s="47"/>
      <c r="R13" s="50"/>
      <c r="S13" s="50"/>
      <c r="T13" s="50"/>
      <c r="U13" s="50"/>
      <c r="V13" s="50"/>
      <c r="W13" s="50" t="n">
        <f aca="false">(O13+O14)*D13/2</f>
        <v>98.5825</v>
      </c>
      <c r="X13" s="50"/>
      <c r="Y13" s="50"/>
      <c r="Z13" s="50"/>
      <c r="AA13" s="50"/>
      <c r="AB13" s="51"/>
      <c r="AC13" s="50"/>
      <c r="AE13" s="52"/>
    </row>
    <row r="14" s="45" customFormat="true" ht="15" hidden="false" customHeight="true" outlineLevel="0" collapsed="false">
      <c r="A14" s="14" t="n">
        <v>4</v>
      </c>
      <c r="B14" s="14" t="str">
        <f aca="false">'3.KTHH L3'!B25</f>
        <v>27</v>
      </c>
      <c r="C14" s="16" t="n">
        <f aca="false">'3.KTHH L3'!C25</f>
        <v>529.62</v>
      </c>
      <c r="D14" s="14" t="n">
        <f aca="false">'3.KTHH L3'!T25</f>
        <v>17.1</v>
      </c>
      <c r="E14" s="46"/>
      <c r="F14" s="46"/>
      <c r="G14" s="46"/>
      <c r="H14" s="46"/>
      <c r="I14" s="46"/>
      <c r="J14" s="46"/>
      <c r="K14" s="47"/>
      <c r="L14" s="17"/>
      <c r="M14" s="18"/>
      <c r="N14" s="48"/>
      <c r="O14" s="47" t="n">
        <f aca="false">Chạy!E15</f>
        <v>5.96</v>
      </c>
      <c r="P14" s="47"/>
      <c r="Q14" s="47"/>
      <c r="R14" s="50"/>
      <c r="S14" s="50"/>
      <c r="T14" s="50"/>
      <c r="U14" s="50"/>
      <c r="V14" s="50"/>
      <c r="W14" s="50" t="n">
        <f aca="false">(O14+O15)*D14/2</f>
        <v>89.0055</v>
      </c>
      <c r="X14" s="50"/>
      <c r="Y14" s="50"/>
      <c r="Z14" s="50"/>
      <c r="AA14" s="50"/>
      <c r="AB14" s="51"/>
      <c r="AC14" s="50"/>
      <c r="AE14" s="52"/>
    </row>
    <row r="15" s="45" customFormat="true" ht="15" hidden="false" customHeight="true" outlineLevel="0" collapsed="false">
      <c r="A15" s="14" t="n">
        <v>5</v>
      </c>
      <c r="B15" s="14" t="str">
        <f aca="false">'3.KTHH L3'!B26</f>
        <v>28</v>
      </c>
      <c r="C15" s="16" t="n">
        <f aca="false">'3.KTHH L3'!C26</f>
        <v>546.72</v>
      </c>
      <c r="D15" s="14" t="n">
        <f aca="false">'3.KTHH L3'!T26</f>
        <v>15.15</v>
      </c>
      <c r="E15" s="46"/>
      <c r="F15" s="46"/>
      <c r="G15" s="46"/>
      <c r="H15" s="46"/>
      <c r="I15" s="46"/>
      <c r="J15" s="46"/>
      <c r="K15" s="47"/>
      <c r="L15" s="17"/>
      <c r="M15" s="18"/>
      <c r="N15" s="48"/>
      <c r="O15" s="47" t="n">
        <f aca="false">Chạy!E19</f>
        <v>4.45</v>
      </c>
      <c r="P15" s="47"/>
      <c r="Q15" s="47"/>
      <c r="R15" s="50"/>
      <c r="S15" s="50"/>
      <c r="T15" s="50"/>
      <c r="U15" s="50"/>
      <c r="V15" s="50"/>
      <c r="W15" s="50" t="n">
        <f aca="false">(O15+O16)*D15/2</f>
        <v>77.34075</v>
      </c>
      <c r="X15" s="50"/>
      <c r="Y15" s="50"/>
      <c r="Z15" s="50"/>
      <c r="AA15" s="50"/>
      <c r="AB15" s="51"/>
      <c r="AC15" s="50"/>
      <c r="AE15" s="52"/>
    </row>
    <row r="16" s="45" customFormat="true" ht="15" hidden="false" customHeight="true" outlineLevel="0" collapsed="false">
      <c r="A16" s="14" t="n">
        <v>6</v>
      </c>
      <c r="B16" s="14" t="str">
        <f aca="false">'3.KTHH L3'!B27</f>
        <v>E5</v>
      </c>
      <c r="C16" s="16" t="n">
        <f aca="false">'3.KTHH L3'!C27</f>
        <v>561.87</v>
      </c>
      <c r="D16" s="14" t="n">
        <f aca="false">'3.KTHH L3'!T27</f>
        <v>0.15</v>
      </c>
      <c r="E16" s="46"/>
      <c r="F16" s="46"/>
      <c r="G16" s="46"/>
      <c r="H16" s="46"/>
      <c r="I16" s="46"/>
      <c r="J16" s="46"/>
      <c r="K16" s="47"/>
      <c r="L16" s="17"/>
      <c r="M16" s="18"/>
      <c r="N16" s="48"/>
      <c r="O16" s="47" t="n">
        <f aca="false">Chạy!E23</f>
        <v>5.76</v>
      </c>
      <c r="P16" s="47"/>
      <c r="Q16" s="47"/>
      <c r="R16" s="50"/>
      <c r="S16" s="50"/>
      <c r="T16" s="50"/>
      <c r="U16" s="50"/>
      <c r="V16" s="50"/>
      <c r="W16" s="50" t="n">
        <f aca="false">(O16+O17)*D16/2</f>
        <v>0.86475</v>
      </c>
      <c r="X16" s="50"/>
      <c r="Y16" s="50"/>
      <c r="Z16" s="50"/>
      <c r="AA16" s="50"/>
      <c r="AB16" s="51"/>
      <c r="AC16" s="50"/>
      <c r="AE16" s="52"/>
    </row>
    <row r="17" s="45" customFormat="true" ht="15" hidden="false" customHeight="true" outlineLevel="0" collapsed="false">
      <c r="A17" s="14" t="n">
        <v>7</v>
      </c>
      <c r="B17" s="14" t="str">
        <f aca="false">'3.KTHH L3'!B28</f>
        <v>TD</v>
      </c>
      <c r="C17" s="16" t="n">
        <f aca="false">'3.KTHH L3'!C28</f>
        <v>562.02</v>
      </c>
      <c r="D17" s="14" t="n">
        <f aca="false">'3.KTHH L3'!T28</f>
        <v>6.55</v>
      </c>
      <c r="E17" s="46"/>
      <c r="F17" s="46"/>
      <c r="G17" s="46"/>
      <c r="H17" s="46"/>
      <c r="I17" s="46"/>
      <c r="J17" s="46"/>
      <c r="K17" s="47"/>
      <c r="L17" s="17"/>
      <c r="M17" s="18"/>
      <c r="N17" s="48"/>
      <c r="O17" s="47" t="n">
        <f aca="false">Chạy!E27</f>
        <v>5.77</v>
      </c>
      <c r="P17" s="47"/>
      <c r="Q17" s="47"/>
      <c r="R17" s="50"/>
      <c r="S17" s="50"/>
      <c r="T17" s="50"/>
      <c r="U17" s="50"/>
      <c r="V17" s="50"/>
      <c r="W17" s="50" t="n">
        <f aca="false">(O17+O18)*D17/2</f>
        <v>38.28475</v>
      </c>
      <c r="X17" s="50"/>
      <c r="Y17" s="50"/>
      <c r="Z17" s="50"/>
      <c r="AA17" s="50"/>
      <c r="AB17" s="51"/>
      <c r="AC17" s="50"/>
      <c r="AE17" s="52"/>
    </row>
    <row r="18" s="45" customFormat="true" ht="15" hidden="false" customHeight="true" outlineLevel="0" collapsed="false">
      <c r="A18" s="14" t="n">
        <v>8</v>
      </c>
      <c r="B18" s="14" t="str">
        <f aca="false">'3.KTHH L3'!B29</f>
        <v>P</v>
      </c>
      <c r="C18" s="16" t="n">
        <f aca="false">'3.KTHH L3'!C29</f>
        <v>568.57</v>
      </c>
      <c r="D18" s="14" t="n">
        <f aca="false">'3.KTHH L3'!T29</f>
        <v>6.55</v>
      </c>
      <c r="E18" s="46"/>
      <c r="F18" s="46"/>
      <c r="G18" s="46"/>
      <c r="H18" s="46"/>
      <c r="I18" s="46"/>
      <c r="J18" s="46"/>
      <c r="K18" s="47"/>
      <c r="L18" s="17"/>
      <c r="M18" s="18"/>
      <c r="N18" s="48"/>
      <c r="O18" s="47" t="n">
        <f aca="false">Chạy!E31</f>
        <v>5.92</v>
      </c>
      <c r="P18" s="47"/>
      <c r="Q18" s="47"/>
      <c r="R18" s="50"/>
      <c r="S18" s="50"/>
      <c r="T18" s="50"/>
      <c r="U18" s="50"/>
      <c r="V18" s="50"/>
      <c r="W18" s="50" t="n">
        <f aca="false">(O18+O19)*D18/2</f>
        <v>37.597</v>
      </c>
      <c r="X18" s="50"/>
      <c r="Y18" s="50"/>
      <c r="Z18" s="50"/>
      <c r="AA18" s="50"/>
      <c r="AB18" s="51"/>
      <c r="AC18" s="50"/>
      <c r="AE18" s="52"/>
    </row>
    <row r="19" s="45" customFormat="true" ht="15" hidden="false" customHeight="true" outlineLevel="0" collapsed="false">
      <c r="A19" s="14" t="n">
        <v>9</v>
      </c>
      <c r="B19" s="14" t="str">
        <f aca="false">'3.KTHH L3'!B30</f>
        <v>TC</v>
      </c>
      <c r="C19" s="16" t="n">
        <f aca="false">'3.KTHH L3'!C30</f>
        <v>575.12</v>
      </c>
      <c r="D19" s="14" t="n">
        <f aca="false">'3.KTHH L3'!T30</f>
        <v>0.04</v>
      </c>
      <c r="E19" s="46"/>
      <c r="F19" s="46"/>
      <c r="G19" s="46"/>
      <c r="H19" s="46"/>
      <c r="I19" s="46"/>
      <c r="J19" s="46"/>
      <c r="K19" s="47"/>
      <c r="L19" s="17"/>
      <c r="M19" s="18"/>
      <c r="N19" s="48"/>
      <c r="O19" s="47" t="n">
        <f aca="false">Chạy!E35</f>
        <v>5.56</v>
      </c>
      <c r="P19" s="47"/>
      <c r="Q19" s="47"/>
      <c r="R19" s="50"/>
      <c r="S19" s="50"/>
      <c r="T19" s="50"/>
      <c r="U19" s="50"/>
      <c r="V19" s="50"/>
      <c r="W19" s="50" t="n">
        <f aca="false">(O19+O20)*D19/2</f>
        <v>0.221</v>
      </c>
      <c r="X19" s="50"/>
      <c r="Y19" s="50"/>
      <c r="Z19" s="50"/>
      <c r="AA19" s="50"/>
      <c r="AB19" s="51"/>
      <c r="AC19" s="50"/>
      <c r="AE19" s="52"/>
    </row>
    <row r="20" s="45" customFormat="true" ht="15" hidden="false" customHeight="true" outlineLevel="0" collapsed="false">
      <c r="A20" s="14" t="n">
        <v>10</v>
      </c>
      <c r="B20" s="14" t="str">
        <f aca="false">'3.KTHH L3'!B31</f>
        <v>29</v>
      </c>
      <c r="C20" s="16" t="n">
        <f aca="false">'3.KTHH L3'!C31</f>
        <v>575.16</v>
      </c>
      <c r="D20" s="14" t="n">
        <f aca="false">'3.KTHH L3'!T31</f>
        <v>16.95</v>
      </c>
      <c r="E20" s="46"/>
      <c r="F20" s="46"/>
      <c r="G20" s="46"/>
      <c r="H20" s="46"/>
      <c r="I20" s="46"/>
      <c r="J20" s="46"/>
      <c r="K20" s="47"/>
      <c r="L20" s="17"/>
      <c r="M20" s="18"/>
      <c r="N20" s="48"/>
      <c r="O20" s="47" t="n">
        <f aca="false">Chạy!E39</f>
        <v>5.49</v>
      </c>
      <c r="P20" s="47"/>
      <c r="Q20" s="47"/>
      <c r="R20" s="50"/>
      <c r="S20" s="50"/>
      <c r="T20" s="50"/>
      <c r="U20" s="50"/>
      <c r="V20" s="50"/>
      <c r="W20" s="50" t="n">
        <f aca="false">(O20+O21)*D20/2</f>
        <v>95.51325</v>
      </c>
      <c r="X20" s="50"/>
      <c r="Y20" s="50"/>
      <c r="Z20" s="50"/>
      <c r="AA20" s="50"/>
      <c r="AB20" s="51"/>
      <c r="AC20" s="50"/>
      <c r="AE20" s="52"/>
    </row>
    <row r="21" s="45" customFormat="true" ht="15" hidden="false" customHeight="true" outlineLevel="0" collapsed="false">
      <c r="A21" s="14" t="n">
        <v>11</v>
      </c>
      <c r="B21" s="14" t="str">
        <f aca="false">'3.KTHH L3'!B32</f>
        <v>30</v>
      </c>
      <c r="C21" s="16" t="n">
        <f aca="false">'3.KTHH L3'!C32</f>
        <v>592.11</v>
      </c>
      <c r="D21" s="14" t="n">
        <f aca="false">'3.KTHH L3'!T32</f>
        <v>17</v>
      </c>
      <c r="E21" s="46"/>
      <c r="F21" s="46"/>
      <c r="G21" s="46"/>
      <c r="H21" s="46"/>
      <c r="I21" s="46"/>
      <c r="J21" s="46"/>
      <c r="K21" s="47"/>
      <c r="L21" s="17"/>
      <c r="M21" s="18"/>
      <c r="N21" s="48"/>
      <c r="O21" s="47" t="n">
        <f aca="false">Chạy!E43</f>
        <v>5.78</v>
      </c>
      <c r="P21" s="47"/>
      <c r="Q21" s="47"/>
      <c r="R21" s="50"/>
      <c r="S21" s="50"/>
      <c r="T21" s="50"/>
      <c r="U21" s="50"/>
      <c r="V21" s="50"/>
      <c r="W21" s="50" t="n">
        <f aca="false">(O21+O22)*D21/2</f>
        <v>93.755</v>
      </c>
      <c r="X21" s="50"/>
      <c r="Y21" s="50"/>
      <c r="Z21" s="50"/>
      <c r="AA21" s="50"/>
      <c r="AB21" s="51"/>
      <c r="AC21" s="50"/>
      <c r="AE21" s="52"/>
    </row>
    <row r="22" s="45" customFormat="true" ht="15" hidden="false" customHeight="true" outlineLevel="0" collapsed="false">
      <c r="A22" s="14" t="n">
        <v>12</v>
      </c>
      <c r="B22" s="14" t="str">
        <f aca="false">'3.KTHH L3'!B33</f>
        <v>31</v>
      </c>
      <c r="C22" s="16" t="n">
        <f aca="false">'3.KTHH L3'!C33</f>
        <v>609.11</v>
      </c>
      <c r="D22" s="14"/>
      <c r="E22" s="46"/>
      <c r="F22" s="46"/>
      <c r="G22" s="46"/>
      <c r="H22" s="46"/>
      <c r="I22" s="46"/>
      <c r="J22" s="46"/>
      <c r="K22" s="47"/>
      <c r="L22" s="17"/>
      <c r="M22" s="18"/>
      <c r="N22" s="48"/>
      <c r="O22" s="47" t="n">
        <f aca="false">Chạy!E47</f>
        <v>5.25</v>
      </c>
      <c r="P22" s="47"/>
      <c r="Q22" s="47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1"/>
      <c r="AC22" s="50"/>
      <c r="AE22" s="52"/>
    </row>
    <row r="23" s="45" customFormat="true" ht="15" hidden="true" customHeight="true" outlineLevel="0" collapsed="false">
      <c r="A23" s="14"/>
      <c r="B23" s="14"/>
      <c r="C23" s="16"/>
      <c r="D23" s="14"/>
      <c r="E23" s="46"/>
      <c r="F23" s="46"/>
      <c r="G23" s="46"/>
      <c r="H23" s="46"/>
      <c r="I23" s="46"/>
      <c r="J23" s="46"/>
      <c r="K23" s="47"/>
      <c r="L23" s="17"/>
      <c r="M23" s="18"/>
      <c r="N23" s="48"/>
      <c r="O23" s="47"/>
      <c r="P23" s="47"/>
      <c r="Q23" s="47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1"/>
      <c r="AC23" s="50"/>
      <c r="AE23" s="52"/>
    </row>
    <row r="24" s="45" customFormat="true" ht="15" hidden="true" customHeight="true" outlineLevel="0" collapsed="false">
      <c r="A24" s="14"/>
      <c r="B24" s="14"/>
      <c r="C24" s="16"/>
      <c r="D24" s="14"/>
      <c r="E24" s="46"/>
      <c r="F24" s="46"/>
      <c r="G24" s="46"/>
      <c r="H24" s="46"/>
      <c r="I24" s="46"/>
      <c r="J24" s="46"/>
      <c r="K24" s="47"/>
      <c r="L24" s="17"/>
      <c r="M24" s="18"/>
      <c r="N24" s="48"/>
      <c r="O24" s="47"/>
      <c r="P24" s="47"/>
      <c r="Q24" s="47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1"/>
      <c r="AC24" s="50"/>
      <c r="AE24" s="52"/>
    </row>
    <row r="25" s="45" customFormat="true" ht="15" hidden="true" customHeight="true" outlineLevel="0" collapsed="false">
      <c r="A25" s="14"/>
      <c r="B25" s="14"/>
      <c r="C25" s="16"/>
      <c r="D25" s="14"/>
      <c r="E25" s="46"/>
      <c r="F25" s="46"/>
      <c r="G25" s="46"/>
      <c r="H25" s="46"/>
      <c r="I25" s="46"/>
      <c r="J25" s="46"/>
      <c r="K25" s="47"/>
      <c r="L25" s="17"/>
      <c r="M25" s="18"/>
      <c r="N25" s="48"/>
      <c r="O25" s="47"/>
      <c r="P25" s="47"/>
      <c r="Q25" s="47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1"/>
      <c r="AC25" s="50"/>
      <c r="AE25" s="52"/>
    </row>
    <row r="26" s="45" customFormat="true" ht="15" hidden="true" customHeight="true" outlineLevel="0" collapsed="false">
      <c r="A26" s="14"/>
      <c r="B26" s="14"/>
      <c r="C26" s="16"/>
      <c r="D26" s="14"/>
      <c r="E26" s="46"/>
      <c r="F26" s="46"/>
      <c r="G26" s="46"/>
      <c r="H26" s="46"/>
      <c r="I26" s="46"/>
      <c r="J26" s="46"/>
      <c r="K26" s="47"/>
      <c r="L26" s="17"/>
      <c r="M26" s="18"/>
      <c r="N26" s="48"/>
      <c r="O26" s="47"/>
      <c r="P26" s="47"/>
      <c r="Q26" s="47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1"/>
      <c r="AC26" s="50"/>
      <c r="AE26" s="52"/>
    </row>
    <row r="27" s="45" customFormat="true" ht="15" hidden="true" customHeight="true" outlineLevel="0" collapsed="false">
      <c r="A27" s="14"/>
      <c r="B27" s="14"/>
      <c r="C27" s="16"/>
      <c r="D27" s="14"/>
      <c r="E27" s="46"/>
      <c r="F27" s="46"/>
      <c r="G27" s="46"/>
      <c r="H27" s="46"/>
      <c r="I27" s="46"/>
      <c r="J27" s="46"/>
      <c r="K27" s="47"/>
      <c r="L27" s="17"/>
      <c r="M27" s="18"/>
      <c r="N27" s="48"/>
      <c r="O27" s="47"/>
      <c r="P27" s="47"/>
      <c r="Q27" s="47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1"/>
      <c r="AC27" s="50"/>
      <c r="AE27" s="52"/>
    </row>
    <row r="28" s="45" customFormat="true" ht="15" hidden="true" customHeight="true" outlineLevel="0" collapsed="false">
      <c r="A28" s="14"/>
      <c r="B28" s="14"/>
      <c r="C28" s="16"/>
      <c r="D28" s="14"/>
      <c r="E28" s="46"/>
      <c r="F28" s="46"/>
      <c r="G28" s="46"/>
      <c r="H28" s="46"/>
      <c r="I28" s="46"/>
      <c r="J28" s="46"/>
      <c r="K28" s="47"/>
      <c r="L28" s="17"/>
      <c r="M28" s="18"/>
      <c r="N28" s="48"/>
      <c r="O28" s="47"/>
      <c r="P28" s="47"/>
      <c r="Q28" s="47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1"/>
      <c r="AC28" s="50"/>
      <c r="AE28" s="52"/>
    </row>
    <row r="29" s="45" customFormat="true" ht="15" hidden="true" customHeight="true" outlineLevel="0" collapsed="false">
      <c r="A29" s="14"/>
      <c r="B29" s="14"/>
      <c r="C29" s="16"/>
      <c r="D29" s="14"/>
      <c r="E29" s="46"/>
      <c r="F29" s="46"/>
      <c r="G29" s="46"/>
      <c r="H29" s="46"/>
      <c r="I29" s="46"/>
      <c r="J29" s="46"/>
      <c r="K29" s="47"/>
      <c r="L29" s="17"/>
      <c r="M29" s="18"/>
      <c r="N29" s="48"/>
      <c r="O29" s="47"/>
      <c r="P29" s="47"/>
      <c r="Q29" s="47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1"/>
      <c r="AC29" s="50"/>
      <c r="AE29" s="52"/>
    </row>
    <row r="30" s="45" customFormat="true" ht="15" hidden="true" customHeight="true" outlineLevel="0" collapsed="false">
      <c r="A30" s="14"/>
      <c r="B30" s="14"/>
      <c r="C30" s="16"/>
      <c r="D30" s="14"/>
      <c r="E30" s="46"/>
      <c r="F30" s="46"/>
      <c r="G30" s="46"/>
      <c r="H30" s="46"/>
      <c r="I30" s="46"/>
      <c r="J30" s="46"/>
      <c r="K30" s="47"/>
      <c r="L30" s="17"/>
      <c r="M30" s="18"/>
      <c r="N30" s="48"/>
      <c r="O30" s="47"/>
      <c r="P30" s="47"/>
      <c r="Q30" s="47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1"/>
      <c r="AC30" s="50"/>
      <c r="AE30" s="52"/>
    </row>
    <row r="31" s="45" customFormat="true" ht="15" hidden="true" customHeight="true" outlineLevel="0" collapsed="false">
      <c r="A31" s="14"/>
      <c r="B31" s="14"/>
      <c r="C31" s="16"/>
      <c r="D31" s="14"/>
      <c r="E31" s="46"/>
      <c r="F31" s="46"/>
      <c r="G31" s="46"/>
      <c r="H31" s="46"/>
      <c r="I31" s="46"/>
      <c r="J31" s="46"/>
      <c r="K31" s="47"/>
      <c r="L31" s="17"/>
      <c r="M31" s="18"/>
      <c r="N31" s="48"/>
      <c r="O31" s="47"/>
      <c r="P31" s="47"/>
      <c r="Q31" s="47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1"/>
      <c r="AC31" s="50"/>
      <c r="AE31" s="52"/>
    </row>
    <row r="32" s="45" customFormat="true" ht="15" hidden="true" customHeight="true" outlineLevel="0" collapsed="false">
      <c r="A32" s="14"/>
      <c r="B32" s="14"/>
      <c r="C32" s="16"/>
      <c r="D32" s="14"/>
      <c r="E32" s="46"/>
      <c r="F32" s="46"/>
      <c r="G32" s="46"/>
      <c r="H32" s="46"/>
      <c r="I32" s="46"/>
      <c r="J32" s="46"/>
      <c r="K32" s="47"/>
      <c r="L32" s="17"/>
      <c r="M32" s="18"/>
      <c r="N32" s="48"/>
      <c r="O32" s="47"/>
      <c r="P32" s="47"/>
      <c r="Q32" s="47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1"/>
      <c r="AC32" s="50"/>
      <c r="AE32" s="52"/>
    </row>
    <row r="33" s="45" customFormat="true" ht="15" hidden="true" customHeight="true" outlineLevel="0" collapsed="false">
      <c r="A33" s="14"/>
      <c r="B33" s="14"/>
      <c r="C33" s="16"/>
      <c r="D33" s="14"/>
      <c r="E33" s="46"/>
      <c r="F33" s="46"/>
      <c r="G33" s="46"/>
      <c r="H33" s="46"/>
      <c r="I33" s="46"/>
      <c r="J33" s="46"/>
      <c r="K33" s="47"/>
      <c r="L33" s="17"/>
      <c r="M33" s="18"/>
      <c r="N33" s="48"/>
      <c r="O33" s="47"/>
      <c r="P33" s="47"/>
      <c r="Q33" s="47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1"/>
      <c r="AC33" s="50"/>
      <c r="AE33" s="52"/>
    </row>
    <row r="34" s="45" customFormat="true" ht="15" hidden="true" customHeight="true" outlineLevel="0" collapsed="false">
      <c r="A34" s="14"/>
      <c r="B34" s="14"/>
      <c r="C34" s="16"/>
      <c r="D34" s="14"/>
      <c r="E34" s="46"/>
      <c r="F34" s="46"/>
      <c r="G34" s="46"/>
      <c r="H34" s="46"/>
      <c r="I34" s="46"/>
      <c r="J34" s="46"/>
      <c r="K34" s="47"/>
      <c r="L34" s="17"/>
      <c r="M34" s="18"/>
      <c r="N34" s="48"/>
      <c r="O34" s="47"/>
      <c r="P34" s="47"/>
      <c r="Q34" s="47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1"/>
      <c r="AC34" s="50"/>
      <c r="AE34" s="52"/>
    </row>
    <row r="35" s="45" customFormat="true" ht="15" hidden="true" customHeight="true" outlineLevel="0" collapsed="false">
      <c r="A35" s="14"/>
      <c r="B35" s="14"/>
      <c r="C35" s="16"/>
      <c r="D35" s="14"/>
      <c r="E35" s="46"/>
      <c r="F35" s="46"/>
      <c r="G35" s="46"/>
      <c r="H35" s="46"/>
      <c r="I35" s="46"/>
      <c r="J35" s="46"/>
      <c r="K35" s="47"/>
      <c r="L35" s="17"/>
      <c r="M35" s="18"/>
      <c r="N35" s="48"/>
      <c r="O35" s="47"/>
      <c r="P35" s="47"/>
      <c r="Q35" s="47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1"/>
      <c r="AC35" s="50"/>
      <c r="AE35" s="52"/>
    </row>
    <row r="36" s="60" customFormat="true" ht="14.25" hidden="false" customHeight="true" outlineLevel="0" collapsed="false">
      <c r="A36" s="35" t="s">
        <v>61</v>
      </c>
      <c r="B36" s="35"/>
      <c r="C36" s="35"/>
      <c r="D36" s="35"/>
      <c r="E36" s="73"/>
      <c r="F36" s="73"/>
      <c r="G36" s="73"/>
      <c r="H36" s="73"/>
      <c r="I36" s="73"/>
      <c r="J36" s="73"/>
      <c r="K36" s="73"/>
      <c r="L36" s="73"/>
      <c r="M36" s="56"/>
      <c r="N36" s="56"/>
      <c r="O36" s="56"/>
      <c r="P36" s="56"/>
      <c r="Q36" s="56"/>
      <c r="R36" s="57" t="n">
        <f aca="false">SUM(R11:R30)</f>
        <v>0</v>
      </c>
      <c r="S36" s="57" t="n">
        <f aca="false">SUM(S11:S30)</f>
        <v>0</v>
      </c>
      <c r="T36" s="57"/>
      <c r="U36" s="58" t="n">
        <f aca="false">SUM(U11:U30)</f>
        <v>0</v>
      </c>
      <c r="V36" s="58" t="n">
        <f aca="false">SUM(V11:V30)</f>
        <v>0</v>
      </c>
      <c r="W36" s="59" t="n">
        <f aca="false">SUM(W11:W22)</f>
        <v>661.455</v>
      </c>
      <c r="X36" s="58" t="n">
        <f aca="false">SUM(X11:X30)</f>
        <v>0</v>
      </c>
      <c r="Y36" s="58" t="n">
        <f aca="false">SUM(Y11:Y30)</f>
        <v>0</v>
      </c>
      <c r="Z36" s="58" t="n">
        <f aca="false">SUM(Z11:Z30)</f>
        <v>0</v>
      </c>
      <c r="AA36" s="58" t="n">
        <f aca="false">SUM(AA11:AA30)</f>
        <v>0</v>
      </c>
      <c r="AB36" s="58"/>
      <c r="AE36" s="61"/>
    </row>
    <row r="37" s="60" customFormat="true" ht="10.5" hidden="false" customHeight="true" outlineLevel="0" collapsed="false">
      <c r="A37" s="63"/>
      <c r="B37" s="63"/>
      <c r="C37" s="63"/>
      <c r="D37" s="63"/>
      <c r="R37" s="64"/>
      <c r="S37" s="64"/>
      <c r="T37" s="64"/>
      <c r="U37" s="61"/>
      <c r="V37" s="61"/>
      <c r="W37" s="61"/>
      <c r="X37" s="61"/>
      <c r="Y37" s="61"/>
      <c r="Z37" s="61"/>
      <c r="AA37" s="61"/>
      <c r="AB37" s="61"/>
    </row>
    <row r="38" s="60" customFormat="true" ht="15" hidden="false" customHeight="true" outlineLevel="0" collapsed="false">
      <c r="A38" s="20" t="s">
        <v>50</v>
      </c>
      <c r="B38" s="20"/>
      <c r="C38" s="20"/>
      <c r="D38" s="65" t="s">
        <v>62</v>
      </c>
      <c r="E38" s="20" t="s">
        <v>51</v>
      </c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</row>
    <row r="39" s="60" customFormat="true" ht="14.25" hidden="false" customHeight="true" outlineLevel="0" collapsed="false">
      <c r="A39" s="66"/>
      <c r="B39" s="66"/>
      <c r="C39" s="66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</row>
    <row r="40" s="60" customFormat="true" ht="15" hidden="false" customHeight="true" outlineLevel="0" collapsed="false">
      <c r="A40" s="66"/>
      <c r="B40" s="66"/>
      <c r="C40" s="68"/>
      <c r="D40" s="68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AF40" s="69"/>
    </row>
    <row r="41" s="60" customFormat="true" ht="14.25" hidden="false" customHeight="true" outlineLevel="0" collapsed="false">
      <c r="A41" s="66"/>
      <c r="B41" s="66"/>
      <c r="C41" s="66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</row>
    <row r="42" s="60" customFormat="true" ht="14.25" hidden="false" customHeight="true" outlineLevel="0" collapsed="false">
      <c r="A42" s="66"/>
      <c r="B42" s="66"/>
      <c r="C42" s="66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</row>
    <row r="43" s="60" customFormat="true" ht="14.25" hidden="false" customHeight="true" outlineLevel="0" collapsed="false">
      <c r="A43" s="66"/>
      <c r="B43" s="66"/>
      <c r="C43" s="66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</row>
    <row r="44" s="60" customFormat="true" ht="14.25" hidden="false" customHeight="true" outlineLevel="0" collapsed="false">
      <c r="A44" s="20" t="s">
        <v>52</v>
      </c>
      <c r="B44" s="20"/>
      <c r="C44" s="20"/>
      <c r="D44" s="21"/>
      <c r="E44" s="21"/>
      <c r="F44" s="21"/>
      <c r="G44" s="21"/>
      <c r="H44" s="21"/>
      <c r="I44" s="21"/>
      <c r="J44" s="21"/>
      <c r="K44" s="21"/>
      <c r="L44" s="21"/>
      <c r="M44" s="20" t="s">
        <v>53</v>
      </c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</row>
    <row r="45" s="41" customFormat="true" ht="15" hidden="false" customHeight="true" outlineLevel="0" collapsed="false">
      <c r="A45" s="45"/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</row>
    <row r="46" s="41" customFormat="true" ht="15" hidden="false" customHeight="true" outlineLevel="0" collapsed="false">
      <c r="A46" s="45"/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</row>
    <row r="47" s="41" customFormat="true" ht="15" hidden="false" customHeight="true" outlineLevel="0" collapsed="false">
      <c r="A47" s="45"/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</row>
    <row r="48" s="41" customFormat="true" ht="15" hidden="false" customHeight="true" outlineLevel="0" collapsed="false">
      <c r="A48" s="45"/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</row>
    <row r="49" s="41" customFormat="true" ht="15" hidden="false" customHeight="true" outlineLevel="0" collapsed="false">
      <c r="A49" s="45"/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</row>
    <row r="50" s="41" customFormat="true" ht="15" hidden="false" customHeight="true" outlineLevel="0" collapsed="false">
      <c r="A50" s="45"/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</row>
    <row r="51" s="41" customFormat="true" ht="15" hidden="false" customHeight="true" outlineLevel="0" collapsed="false">
      <c r="A51" s="45"/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</row>
    <row r="52" s="41" customFormat="true" ht="15" hidden="false" customHeight="true" outlineLevel="0" collapsed="false">
      <c r="A52" s="45"/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</row>
    <row r="53" s="41" customFormat="true" ht="15" hidden="false" customHeight="true" outlineLevel="0" collapsed="false">
      <c r="A53" s="45"/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</row>
    <row r="54" s="41" customFormat="true" ht="15" hidden="false" customHeight="true" outlineLevel="0" collapsed="false">
      <c r="A54" s="45"/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  <c r="AC54" s="45"/>
    </row>
    <row r="55" s="41" customFormat="true" ht="15" hidden="false" customHeight="true" outlineLevel="0" collapsed="false">
      <c r="A55" s="45"/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  <c r="AC55" s="45"/>
    </row>
    <row r="56" s="41" customFormat="true" ht="15" hidden="false" customHeight="true" outlineLevel="0" collapsed="false">
      <c r="A56" s="45"/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  <c r="AB56" s="45"/>
      <c r="AC56" s="45"/>
    </row>
    <row r="57" s="41" customFormat="true" ht="15" hidden="false" customHeight="true" outlineLevel="0" collapsed="false">
      <c r="A57" s="45"/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  <c r="AB57" s="45"/>
      <c r="AC57" s="45"/>
    </row>
    <row r="58" s="41" customFormat="true" ht="15" hidden="false" customHeight="true" outlineLevel="0" collapsed="false">
      <c r="A58" s="45"/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  <c r="AB58" s="45"/>
      <c r="AC58" s="45"/>
    </row>
    <row r="59" s="41" customFormat="true" ht="15" hidden="false" customHeight="true" outlineLevel="0" collapsed="false">
      <c r="A59" s="45"/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  <c r="AB59" s="45"/>
      <c r="AC59" s="45"/>
    </row>
    <row r="60" s="41" customFormat="true" ht="15" hidden="false" customHeight="true" outlineLevel="0" collapsed="false">
      <c r="A60" s="45"/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  <c r="AB60" s="45"/>
      <c r="AC60" s="45"/>
    </row>
    <row r="61" s="41" customFormat="true" ht="15" hidden="false" customHeight="true" outlineLevel="0" collapsed="false">
      <c r="A61" s="45"/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  <c r="AC61" s="45"/>
    </row>
    <row r="62" customFormat="false" ht="12.75" hidden="false" customHeight="false" outlineLevel="0" collapsed="false">
      <c r="A62" s="70"/>
      <c r="B62" s="70"/>
      <c r="C62" s="70"/>
      <c r="D62" s="70"/>
      <c r="E62" s="70"/>
      <c r="F62" s="70"/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</row>
    <row r="63" customFormat="false" ht="12.75" hidden="false" customHeight="false" outlineLevel="0" collapsed="false">
      <c r="A63" s="70"/>
      <c r="B63" s="70"/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</row>
    <row r="64" customFormat="false" ht="12.75" hidden="false" customHeight="false" outlineLevel="0" collapsed="false">
      <c r="A64" s="70"/>
      <c r="B64" s="70"/>
      <c r="C64" s="70"/>
      <c r="D64" s="70"/>
      <c r="E64" s="70"/>
      <c r="F64" s="70"/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</row>
    <row r="65" customFormat="false" ht="12.75" hidden="false" customHeight="false" outlineLevel="0" collapsed="false">
      <c r="A65" s="70"/>
      <c r="B65" s="70"/>
      <c r="C65" s="70"/>
      <c r="D65" s="70"/>
      <c r="E65" s="70"/>
      <c r="F65" s="70"/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</row>
    <row r="66" customFormat="false" ht="12.75" hidden="false" customHeight="false" outlineLevel="0" collapsed="false">
      <c r="A66" s="70"/>
      <c r="B66" s="70"/>
      <c r="C66" s="70"/>
      <c r="D66" s="70"/>
      <c r="E66" s="70"/>
      <c r="F66" s="70"/>
      <c r="G66" s="70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</row>
    <row r="67" customFormat="false" ht="12.75" hidden="false" customHeight="false" outlineLevel="0" collapsed="false">
      <c r="A67" s="70"/>
      <c r="B67" s="70"/>
      <c r="C67" s="70"/>
      <c r="D67" s="70"/>
      <c r="E67" s="70"/>
      <c r="F67" s="70"/>
      <c r="G67" s="70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</row>
    <row r="68" customFormat="false" ht="12.75" hidden="false" customHeight="false" outlineLevel="0" collapsed="false">
      <c r="A68" s="70"/>
      <c r="B68" s="70"/>
      <c r="C68" s="70"/>
      <c r="D68" s="70"/>
      <c r="E68" s="70"/>
      <c r="F68" s="70"/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</row>
    <row r="69" customFormat="false" ht="12.75" hidden="false" customHeight="false" outlineLevel="0" collapsed="false">
      <c r="A69" s="70"/>
      <c r="B69" s="70"/>
      <c r="C69" s="70"/>
      <c r="D69" s="70"/>
      <c r="E69" s="70"/>
      <c r="F69" s="70"/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</row>
    <row r="70" customFormat="false" ht="12.75" hidden="false" customHeight="false" outlineLevel="0" collapsed="false">
      <c r="A70" s="70"/>
      <c r="B70" s="70"/>
      <c r="C70" s="70"/>
      <c r="D70" s="70"/>
      <c r="E70" s="70"/>
      <c r="F70" s="70"/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</row>
    <row r="71" customFormat="false" ht="12.75" hidden="false" customHeight="false" outlineLevel="0" collapsed="false">
      <c r="A71" s="70"/>
      <c r="B71" s="70"/>
      <c r="C71" s="70"/>
      <c r="D71" s="70"/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</row>
    <row r="72" customFormat="false" ht="12.75" hidden="false" customHeight="false" outlineLevel="0" collapsed="false">
      <c r="A72" s="70"/>
      <c r="B72" s="70"/>
      <c r="C72" s="70"/>
      <c r="D72" s="70"/>
      <c r="E72" s="70"/>
      <c r="F72" s="70"/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</row>
    <row r="73" customFormat="false" ht="12.75" hidden="false" customHeight="false" outlineLevel="0" collapsed="false">
      <c r="A73" s="70"/>
      <c r="B73" s="70"/>
      <c r="C73" s="70"/>
      <c r="D73" s="70"/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</row>
    <row r="74" customFormat="false" ht="12.75" hidden="false" customHeight="false" outlineLevel="0" collapsed="false">
      <c r="A74" s="70"/>
      <c r="B74" s="70"/>
      <c r="C74" s="70"/>
      <c r="D74" s="70"/>
      <c r="E74" s="70"/>
      <c r="F74" s="70"/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</row>
    <row r="75" customFormat="false" ht="12.75" hidden="false" customHeight="false" outlineLevel="0" collapsed="false">
      <c r="A75" s="70"/>
      <c r="B75" s="70"/>
      <c r="C75" s="70"/>
      <c r="D75" s="70"/>
      <c r="E75" s="70"/>
      <c r="F75" s="70"/>
      <c r="G75" s="70"/>
      <c r="H75" s="70"/>
      <c r="I75" s="70"/>
      <c r="J75" s="70"/>
      <c r="K75" s="70"/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</row>
    <row r="76" customFormat="false" ht="12.75" hidden="false" customHeight="false" outlineLevel="0" collapsed="false">
      <c r="A76" s="70"/>
      <c r="B76" s="70"/>
      <c r="C76" s="70"/>
      <c r="D76" s="70"/>
      <c r="E76" s="70"/>
      <c r="F76" s="70"/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</row>
    <row r="77" customFormat="false" ht="12.75" hidden="false" customHeight="false" outlineLevel="0" collapsed="false">
      <c r="A77" s="70"/>
      <c r="B77" s="70"/>
      <c r="C77" s="70"/>
      <c r="D77" s="70"/>
      <c r="E77" s="70"/>
      <c r="F77" s="70"/>
      <c r="G77" s="70"/>
      <c r="H77" s="70"/>
      <c r="I77" s="70"/>
      <c r="J77" s="70"/>
      <c r="K77" s="70"/>
      <c r="L77" s="70"/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</row>
    <row r="78" customFormat="false" ht="12.75" hidden="false" customHeight="false" outlineLevel="0" collapsed="false">
      <c r="A78" s="70"/>
      <c r="B78" s="70"/>
      <c r="C78" s="70"/>
      <c r="D78" s="70"/>
      <c r="E78" s="70"/>
      <c r="F78" s="70"/>
      <c r="G78" s="70"/>
      <c r="H78" s="70"/>
      <c r="I78" s="70"/>
      <c r="J78" s="70"/>
      <c r="K78" s="70"/>
      <c r="L78" s="70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</row>
    <row r="79" customFormat="false" ht="12.75" hidden="false" customHeight="false" outlineLevel="0" collapsed="false">
      <c r="A79" s="70"/>
      <c r="B79" s="70"/>
      <c r="C79" s="70"/>
      <c r="D79" s="70"/>
      <c r="E79" s="70"/>
      <c r="F79" s="70"/>
      <c r="G79" s="70"/>
      <c r="H79" s="70"/>
      <c r="I79" s="70"/>
      <c r="J79" s="70"/>
      <c r="K79" s="70"/>
      <c r="L79" s="70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</row>
    <row r="80" customFormat="false" ht="12.75" hidden="false" customHeight="false" outlineLevel="0" collapsed="false">
      <c r="A80" s="70"/>
      <c r="B80" s="70"/>
      <c r="C80" s="70"/>
      <c r="D80" s="70"/>
      <c r="E80" s="70"/>
      <c r="F80" s="70"/>
      <c r="G80" s="70"/>
      <c r="H80" s="70"/>
      <c r="I80" s="70"/>
      <c r="J80" s="70"/>
      <c r="K80" s="70"/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</row>
    <row r="81" customFormat="false" ht="12.75" hidden="false" customHeight="false" outlineLevel="0" collapsed="false">
      <c r="A81" s="70"/>
      <c r="B81" s="70"/>
      <c r="C81" s="70"/>
      <c r="D81" s="70"/>
      <c r="E81" s="70"/>
      <c r="F81" s="70"/>
      <c r="G81" s="70"/>
      <c r="H81" s="70"/>
      <c r="I81" s="70"/>
      <c r="J81" s="70"/>
      <c r="K81" s="70"/>
      <c r="L81" s="70"/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</row>
    <row r="82" customFormat="false" ht="12.75" hidden="false" customHeight="false" outlineLevel="0" collapsed="false">
      <c r="A82" s="70"/>
      <c r="B82" s="70"/>
      <c r="C82" s="70"/>
      <c r="D82" s="70"/>
      <c r="E82" s="70"/>
      <c r="F82" s="70"/>
      <c r="G82" s="70"/>
      <c r="H82" s="70"/>
      <c r="I82" s="70"/>
      <c r="J82" s="70"/>
      <c r="K82" s="70"/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</row>
    <row r="83" customFormat="false" ht="12.75" hidden="false" customHeight="false" outlineLevel="0" collapsed="false">
      <c r="A83" s="70"/>
      <c r="B83" s="70"/>
      <c r="C83" s="70"/>
      <c r="D83" s="70"/>
      <c r="E83" s="70"/>
      <c r="F83" s="70"/>
      <c r="G83" s="70"/>
      <c r="H83" s="70"/>
      <c r="I83" s="70"/>
      <c r="J83" s="70"/>
      <c r="K83" s="70"/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</row>
    <row r="84" customFormat="false" ht="12.75" hidden="false" customHeight="false" outlineLevel="0" collapsed="false">
      <c r="A84" s="70"/>
      <c r="B84" s="70"/>
      <c r="C84" s="70"/>
      <c r="D84" s="70"/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</row>
    <row r="85" customFormat="false" ht="12.75" hidden="false" customHeight="false" outlineLevel="0" collapsed="false">
      <c r="A85" s="70"/>
      <c r="B85" s="70"/>
      <c r="C85" s="70"/>
      <c r="D85" s="70"/>
      <c r="E85" s="70"/>
      <c r="F85" s="70"/>
      <c r="G85" s="70"/>
      <c r="H85" s="70"/>
      <c r="I85" s="70"/>
      <c r="J85" s="70"/>
      <c r="K85" s="70"/>
      <c r="L85" s="70"/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</row>
    <row r="86" customFormat="false" ht="12.75" hidden="false" customHeight="false" outlineLevel="0" collapsed="false">
      <c r="A86" s="70"/>
      <c r="B86" s="70"/>
      <c r="C86" s="70"/>
      <c r="D86" s="70"/>
      <c r="E86" s="70"/>
      <c r="F86" s="70"/>
      <c r="G86" s="70"/>
      <c r="H86" s="70"/>
      <c r="I86" s="70"/>
      <c r="J86" s="70"/>
      <c r="K86" s="70"/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</row>
    <row r="87" customFormat="false" ht="12.75" hidden="false" customHeight="false" outlineLevel="0" collapsed="false">
      <c r="A87" s="70"/>
      <c r="B87" s="70"/>
      <c r="C87" s="70"/>
      <c r="D87" s="70"/>
      <c r="E87" s="70"/>
      <c r="F87" s="70"/>
      <c r="G87" s="70"/>
      <c r="H87" s="70"/>
      <c r="I87" s="70"/>
      <c r="J87" s="70"/>
      <c r="K87" s="70"/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</row>
    <row r="88" customFormat="false" ht="12.75" hidden="false" customHeight="false" outlineLevel="0" collapsed="false">
      <c r="A88" s="70"/>
      <c r="B88" s="70"/>
      <c r="C88" s="70"/>
      <c r="D88" s="70"/>
      <c r="E88" s="70"/>
      <c r="F88" s="70"/>
      <c r="G88" s="70"/>
      <c r="H88" s="70"/>
      <c r="I88" s="70"/>
      <c r="J88" s="70"/>
      <c r="K88" s="70"/>
      <c r="L88" s="70"/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</row>
    <row r="89" customFormat="false" ht="12.75" hidden="false" customHeight="false" outlineLevel="0" collapsed="false">
      <c r="A89" s="70"/>
      <c r="B89" s="70"/>
      <c r="C89" s="70"/>
      <c r="D89" s="70"/>
      <c r="E89" s="70"/>
      <c r="F89" s="70"/>
      <c r="G89" s="70"/>
      <c r="H89" s="70"/>
      <c r="I89" s="70"/>
      <c r="J89" s="70"/>
      <c r="K89" s="70"/>
      <c r="L89" s="70"/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</row>
    <row r="90" customFormat="false" ht="12.75" hidden="false" customHeight="false" outlineLevel="0" collapsed="false">
      <c r="A90" s="70"/>
      <c r="B90" s="70"/>
      <c r="C90" s="70"/>
      <c r="D90" s="70"/>
      <c r="E90" s="70"/>
      <c r="F90" s="70"/>
      <c r="G90" s="70"/>
      <c r="H90" s="70"/>
      <c r="I90" s="70"/>
      <c r="J90" s="70"/>
      <c r="K90" s="70"/>
      <c r="L90" s="70"/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</row>
    <row r="91" customFormat="false" ht="12.75" hidden="false" customHeight="false" outlineLevel="0" collapsed="false">
      <c r="A91" s="70"/>
      <c r="B91" s="70"/>
      <c r="C91" s="70"/>
      <c r="D91" s="70"/>
      <c r="E91" s="70"/>
      <c r="F91" s="70"/>
      <c r="G91" s="70"/>
      <c r="H91" s="70"/>
      <c r="I91" s="70"/>
      <c r="J91" s="70"/>
      <c r="K91" s="70"/>
      <c r="L91" s="70"/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</row>
    <row r="92" customFormat="false" ht="12.75" hidden="false" customHeight="false" outlineLevel="0" collapsed="false">
      <c r="A92" s="70"/>
      <c r="B92" s="70"/>
      <c r="C92" s="70"/>
      <c r="D92" s="70"/>
      <c r="E92" s="70"/>
      <c r="F92" s="70"/>
      <c r="G92" s="70"/>
      <c r="H92" s="70"/>
      <c r="I92" s="70"/>
      <c r="J92" s="70"/>
      <c r="K92" s="70"/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</row>
    <row r="93" customFormat="false" ht="12.75" hidden="false" customHeight="false" outlineLevel="0" collapsed="false">
      <c r="A93" s="70"/>
      <c r="B93" s="70"/>
      <c r="C93" s="70"/>
      <c r="D93" s="70"/>
      <c r="E93" s="70"/>
      <c r="F93" s="70"/>
      <c r="G93" s="70"/>
      <c r="H93" s="70"/>
      <c r="I93" s="70"/>
      <c r="J93" s="70"/>
      <c r="K93" s="70"/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</row>
    <row r="94" s="24" customFormat="true" ht="12.75" hidden="false" customHeight="false" outlineLevel="0" collapsed="false">
      <c r="A94" s="70"/>
      <c r="B94" s="70"/>
      <c r="C94" s="70"/>
      <c r="D94" s="70"/>
      <c r="E94" s="70"/>
      <c r="F94" s="70"/>
      <c r="G94" s="70"/>
      <c r="H94" s="70"/>
      <c r="I94" s="70"/>
      <c r="J94" s="70"/>
      <c r="K94" s="70"/>
      <c r="L94" s="70"/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23"/>
      <c r="AE94" s="23"/>
      <c r="AF94" s="23"/>
      <c r="AG94" s="23"/>
    </row>
    <row r="95" s="24" customFormat="true" ht="12.75" hidden="false" customHeight="false" outlineLevel="0" collapsed="false">
      <c r="A95" s="70"/>
      <c r="B95" s="70"/>
      <c r="C95" s="70"/>
      <c r="D95" s="70"/>
      <c r="E95" s="70"/>
      <c r="F95" s="70"/>
      <c r="G95" s="70"/>
      <c r="H95" s="70"/>
      <c r="I95" s="70"/>
      <c r="J95" s="70"/>
      <c r="K95" s="70"/>
      <c r="L95" s="70"/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23"/>
      <c r="AE95" s="23"/>
      <c r="AF95" s="23"/>
      <c r="AG95" s="23"/>
    </row>
    <row r="96" s="24" customFormat="true" ht="12.75" hidden="false" customHeight="false" outlineLevel="0" collapsed="false">
      <c r="A96" s="70"/>
      <c r="B96" s="70"/>
      <c r="C96" s="70"/>
      <c r="D96" s="70"/>
      <c r="E96" s="70"/>
      <c r="F96" s="70"/>
      <c r="G96" s="70"/>
      <c r="H96" s="70"/>
      <c r="I96" s="70"/>
      <c r="J96" s="70"/>
      <c r="K96" s="70"/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23"/>
      <c r="AE96" s="23"/>
      <c r="AF96" s="23"/>
      <c r="AG96" s="23"/>
    </row>
    <row r="97" s="24" customFormat="true" ht="12.75" hidden="false" customHeight="false" outlineLevel="0" collapsed="false">
      <c r="A97" s="70"/>
      <c r="B97" s="70"/>
      <c r="C97" s="70"/>
      <c r="D97" s="70"/>
      <c r="E97" s="70"/>
      <c r="F97" s="70"/>
      <c r="G97" s="70"/>
      <c r="H97" s="70"/>
      <c r="I97" s="70"/>
      <c r="J97" s="70"/>
      <c r="K97" s="70"/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23"/>
      <c r="AE97" s="23"/>
      <c r="AF97" s="23"/>
      <c r="AG97" s="23"/>
    </row>
    <row r="98" s="24" customFormat="true" ht="12.75" hidden="false" customHeight="false" outlineLevel="0" collapsed="false">
      <c r="A98" s="70"/>
      <c r="B98" s="70"/>
      <c r="C98" s="70"/>
      <c r="D98" s="70"/>
      <c r="E98" s="70"/>
      <c r="F98" s="70"/>
      <c r="G98" s="70"/>
      <c r="H98" s="70"/>
      <c r="I98" s="70"/>
      <c r="J98" s="70"/>
      <c r="K98" s="70"/>
      <c r="L98" s="70"/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23"/>
      <c r="AE98" s="23"/>
      <c r="AF98" s="23"/>
      <c r="AG98" s="23"/>
    </row>
    <row r="99" s="24" customFormat="true" ht="12.75" hidden="false" customHeight="false" outlineLevel="0" collapsed="false">
      <c r="A99" s="70"/>
      <c r="B99" s="70"/>
      <c r="C99" s="70"/>
      <c r="D99" s="70"/>
      <c r="E99" s="70"/>
      <c r="F99" s="70"/>
      <c r="G99" s="70"/>
      <c r="H99" s="70"/>
      <c r="I99" s="70"/>
      <c r="J99" s="70"/>
      <c r="K99" s="70"/>
      <c r="L99" s="70"/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23"/>
      <c r="AE99" s="23"/>
      <c r="AF99" s="23"/>
      <c r="AG99" s="23"/>
    </row>
    <row r="100" s="24" customFormat="true" ht="12.75" hidden="false" customHeight="false" outlineLevel="0" collapsed="false">
      <c r="A100" s="70"/>
      <c r="B100" s="70"/>
      <c r="C100" s="70"/>
      <c r="D100" s="70"/>
      <c r="E100" s="70"/>
      <c r="F100" s="70"/>
      <c r="G100" s="70"/>
      <c r="H100" s="70"/>
      <c r="I100" s="70"/>
      <c r="J100" s="70"/>
      <c r="K100" s="70"/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23"/>
      <c r="AE100" s="23"/>
      <c r="AF100" s="23"/>
      <c r="AG100" s="23"/>
    </row>
    <row r="101" s="24" customFormat="true" ht="12.75" hidden="false" customHeight="false" outlineLevel="0" collapsed="false">
      <c r="A101" s="70"/>
      <c r="B101" s="70"/>
      <c r="C101" s="70"/>
      <c r="D101" s="70"/>
      <c r="E101" s="70"/>
      <c r="F101" s="70"/>
      <c r="G101" s="70"/>
      <c r="H101" s="70"/>
      <c r="I101" s="70"/>
      <c r="J101" s="70"/>
      <c r="K101" s="70"/>
      <c r="L101" s="70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23"/>
      <c r="AE101" s="23"/>
      <c r="AF101" s="23"/>
      <c r="AG101" s="23"/>
    </row>
    <row r="102" s="24" customFormat="true" ht="12.75" hidden="false" customHeight="false" outlineLevel="0" collapsed="false">
      <c r="A102" s="70"/>
      <c r="B102" s="70"/>
      <c r="C102" s="70"/>
      <c r="D102" s="70"/>
      <c r="E102" s="70"/>
      <c r="F102" s="70"/>
      <c r="G102" s="70"/>
      <c r="H102" s="70"/>
      <c r="I102" s="70"/>
      <c r="J102" s="70"/>
      <c r="K102" s="70"/>
      <c r="L102" s="70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23"/>
      <c r="AE102" s="23"/>
      <c r="AF102" s="23"/>
      <c r="AG102" s="23"/>
    </row>
    <row r="103" s="24" customFormat="true" ht="12.75" hidden="false" customHeight="false" outlineLevel="0" collapsed="false">
      <c r="A103" s="70"/>
      <c r="B103" s="70"/>
      <c r="C103" s="70"/>
      <c r="D103" s="70"/>
      <c r="E103" s="70"/>
      <c r="F103" s="70"/>
      <c r="G103" s="70"/>
      <c r="H103" s="70"/>
      <c r="I103" s="70"/>
      <c r="J103" s="70"/>
      <c r="K103" s="70"/>
      <c r="L103" s="70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23"/>
      <c r="AE103" s="23"/>
      <c r="AF103" s="23"/>
      <c r="AG103" s="23"/>
    </row>
    <row r="104" s="24" customFormat="true" ht="12.75" hidden="false" customHeight="false" outlineLevel="0" collapsed="false">
      <c r="A104" s="70"/>
      <c r="B104" s="70"/>
      <c r="C104" s="70"/>
      <c r="D104" s="70"/>
      <c r="E104" s="70"/>
      <c r="F104" s="70"/>
      <c r="G104" s="70"/>
      <c r="H104" s="70"/>
      <c r="I104" s="70"/>
      <c r="J104" s="70"/>
      <c r="K104" s="70"/>
      <c r="L104" s="70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23"/>
      <c r="AE104" s="23"/>
      <c r="AF104" s="23"/>
      <c r="AG104" s="23"/>
    </row>
    <row r="105" s="24" customFormat="true" ht="12.75" hidden="false" customHeight="false" outlineLevel="0" collapsed="false">
      <c r="A105" s="70"/>
      <c r="B105" s="70"/>
      <c r="C105" s="70"/>
      <c r="D105" s="70"/>
      <c r="E105" s="70"/>
      <c r="F105" s="70"/>
      <c r="G105" s="70"/>
      <c r="H105" s="70"/>
      <c r="I105" s="70"/>
      <c r="J105" s="70"/>
      <c r="K105" s="70"/>
      <c r="L105" s="70"/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23"/>
      <c r="AE105" s="23"/>
      <c r="AF105" s="23"/>
      <c r="AG105" s="23"/>
    </row>
    <row r="106" s="24" customFormat="true" ht="12.75" hidden="false" customHeight="false" outlineLevel="0" collapsed="false">
      <c r="A106" s="70"/>
      <c r="B106" s="70"/>
      <c r="C106" s="70"/>
      <c r="D106" s="70"/>
      <c r="E106" s="70"/>
      <c r="F106" s="70"/>
      <c r="G106" s="70"/>
      <c r="H106" s="70"/>
      <c r="I106" s="70"/>
      <c r="J106" s="70"/>
      <c r="K106" s="70"/>
      <c r="L106" s="70"/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23"/>
      <c r="AE106" s="23"/>
      <c r="AF106" s="23"/>
      <c r="AG106" s="23"/>
    </row>
    <row r="107" s="24" customFormat="true" ht="12.75" hidden="false" customHeight="false" outlineLevel="0" collapsed="false">
      <c r="A107" s="70"/>
      <c r="B107" s="70"/>
      <c r="C107" s="70"/>
      <c r="D107" s="70"/>
      <c r="E107" s="70"/>
      <c r="F107" s="70"/>
      <c r="G107" s="70"/>
      <c r="H107" s="70"/>
      <c r="I107" s="70"/>
      <c r="J107" s="70"/>
      <c r="K107" s="70"/>
      <c r="L107" s="70"/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23"/>
      <c r="AE107" s="23"/>
      <c r="AF107" s="23"/>
      <c r="AG107" s="23"/>
    </row>
    <row r="108" s="24" customFormat="true" ht="12.75" hidden="false" customHeight="false" outlineLevel="0" collapsed="false">
      <c r="A108" s="70"/>
      <c r="B108" s="70"/>
      <c r="C108" s="70"/>
      <c r="D108" s="70"/>
      <c r="E108" s="70"/>
      <c r="F108" s="70"/>
      <c r="G108" s="70"/>
      <c r="H108" s="70"/>
      <c r="I108" s="70"/>
      <c r="J108" s="70"/>
      <c r="K108" s="70"/>
      <c r="L108" s="70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23"/>
      <c r="AE108" s="23"/>
      <c r="AF108" s="23"/>
      <c r="AG108" s="23"/>
    </row>
    <row r="109" s="24" customFormat="true" ht="12.75" hidden="false" customHeight="false" outlineLevel="0" collapsed="false">
      <c r="A109" s="70"/>
      <c r="B109" s="70"/>
      <c r="C109" s="70"/>
      <c r="D109" s="70"/>
      <c r="E109" s="70"/>
      <c r="F109" s="70"/>
      <c r="G109" s="70"/>
      <c r="H109" s="70"/>
      <c r="I109" s="70"/>
      <c r="J109" s="70"/>
      <c r="K109" s="70"/>
      <c r="L109" s="70"/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23"/>
      <c r="AE109" s="23"/>
      <c r="AF109" s="23"/>
      <c r="AG109" s="23"/>
    </row>
    <row r="110" s="24" customFormat="true" ht="12.75" hidden="false" customHeight="false" outlineLevel="0" collapsed="false">
      <c r="A110" s="70"/>
      <c r="B110" s="70"/>
      <c r="C110" s="70"/>
      <c r="D110" s="70"/>
      <c r="E110" s="70"/>
      <c r="F110" s="70"/>
      <c r="G110" s="70"/>
      <c r="H110" s="70"/>
      <c r="I110" s="70"/>
      <c r="J110" s="70"/>
      <c r="K110" s="70"/>
      <c r="L110" s="70"/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23"/>
      <c r="AE110" s="23"/>
      <c r="AF110" s="23"/>
      <c r="AG110" s="23"/>
    </row>
    <row r="111" s="24" customFormat="true" ht="12.75" hidden="false" customHeight="false" outlineLevel="0" collapsed="false">
      <c r="A111" s="70"/>
      <c r="B111" s="70"/>
      <c r="C111" s="70"/>
      <c r="D111" s="70"/>
      <c r="E111" s="70"/>
      <c r="F111" s="70"/>
      <c r="G111" s="70"/>
      <c r="H111" s="70"/>
      <c r="I111" s="70"/>
      <c r="J111" s="70"/>
      <c r="K111" s="70"/>
      <c r="L111" s="70"/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23"/>
      <c r="AE111" s="23"/>
      <c r="AF111" s="23"/>
      <c r="AG111" s="23"/>
    </row>
    <row r="112" s="24" customFormat="true" ht="12.75" hidden="false" customHeight="false" outlineLevel="0" collapsed="false">
      <c r="A112" s="70"/>
      <c r="B112" s="70"/>
      <c r="C112" s="70"/>
      <c r="D112" s="70"/>
      <c r="E112" s="70"/>
      <c r="F112" s="70"/>
      <c r="G112" s="70"/>
      <c r="H112" s="70"/>
      <c r="I112" s="70"/>
      <c r="J112" s="70"/>
      <c r="K112" s="70"/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23"/>
      <c r="AE112" s="23"/>
      <c r="AF112" s="23"/>
      <c r="AG112" s="23"/>
    </row>
    <row r="113" s="24" customFormat="true" ht="12.75" hidden="false" customHeight="false" outlineLevel="0" collapsed="false">
      <c r="A113" s="70"/>
      <c r="B113" s="70"/>
      <c r="C113" s="70"/>
      <c r="D113" s="70"/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23"/>
      <c r="AE113" s="23"/>
      <c r="AF113" s="23"/>
      <c r="AG113" s="23"/>
    </row>
    <row r="114" s="24" customFormat="true" ht="12.75" hidden="false" customHeight="false" outlineLevel="0" collapsed="false">
      <c r="A114" s="70"/>
      <c r="B114" s="70"/>
      <c r="C114" s="70"/>
      <c r="D114" s="70"/>
      <c r="E114" s="70"/>
      <c r="F114" s="70"/>
      <c r="G114" s="70"/>
      <c r="H114" s="70"/>
      <c r="I114" s="70"/>
      <c r="J114" s="70"/>
      <c r="K114" s="70"/>
      <c r="L114" s="70"/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23"/>
      <c r="AE114" s="23"/>
      <c r="AF114" s="23"/>
      <c r="AG114" s="23"/>
    </row>
    <row r="115" s="24" customFormat="true" ht="12.75" hidden="false" customHeight="false" outlineLevel="0" collapsed="false">
      <c r="A115" s="70"/>
      <c r="B115" s="70"/>
      <c r="C115" s="70"/>
      <c r="D115" s="70"/>
      <c r="E115" s="70"/>
      <c r="F115" s="70"/>
      <c r="G115" s="70"/>
      <c r="H115" s="70"/>
      <c r="I115" s="70"/>
      <c r="J115" s="70"/>
      <c r="K115" s="70"/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23"/>
      <c r="AE115" s="23"/>
      <c r="AF115" s="23"/>
      <c r="AG115" s="23"/>
    </row>
    <row r="116" s="24" customFormat="true" ht="12.75" hidden="false" customHeight="false" outlineLevel="0" collapsed="false">
      <c r="A116" s="70"/>
      <c r="B116" s="70"/>
      <c r="C116" s="70"/>
      <c r="D116" s="70"/>
      <c r="E116" s="70"/>
      <c r="F116" s="70"/>
      <c r="G116" s="70"/>
      <c r="H116" s="70"/>
      <c r="I116" s="70"/>
      <c r="J116" s="70"/>
      <c r="K116" s="70"/>
      <c r="L116" s="70"/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23"/>
      <c r="AE116" s="23"/>
      <c r="AF116" s="23"/>
      <c r="AG116" s="23"/>
    </row>
    <row r="117" s="24" customFormat="true" ht="12.75" hidden="false" customHeight="false" outlineLevel="0" collapsed="false">
      <c r="A117" s="70"/>
      <c r="B117" s="70"/>
      <c r="C117" s="70"/>
      <c r="D117" s="70"/>
      <c r="E117" s="70"/>
      <c r="F117" s="70"/>
      <c r="G117" s="70"/>
      <c r="H117" s="70"/>
      <c r="I117" s="70"/>
      <c r="J117" s="70"/>
      <c r="K117" s="70"/>
      <c r="L117" s="70"/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23"/>
      <c r="AE117" s="23"/>
      <c r="AF117" s="23"/>
      <c r="AG117" s="23"/>
    </row>
    <row r="118" s="24" customFormat="true" ht="12.75" hidden="false" customHeight="false" outlineLevel="0" collapsed="false">
      <c r="A118" s="70"/>
      <c r="B118" s="70"/>
      <c r="C118" s="70"/>
      <c r="D118" s="70"/>
      <c r="E118" s="70"/>
      <c r="F118" s="70"/>
      <c r="G118" s="70"/>
      <c r="H118" s="70"/>
      <c r="I118" s="70"/>
      <c r="J118" s="70"/>
      <c r="K118" s="70"/>
      <c r="L118" s="70"/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23"/>
      <c r="AE118" s="23"/>
      <c r="AF118" s="23"/>
      <c r="AG118" s="23"/>
    </row>
    <row r="119" s="24" customFormat="true" ht="12.75" hidden="false" customHeight="false" outlineLevel="0" collapsed="false">
      <c r="A119" s="70"/>
      <c r="B119" s="70"/>
      <c r="C119" s="70"/>
      <c r="D119" s="70"/>
      <c r="E119" s="70"/>
      <c r="F119" s="70"/>
      <c r="G119" s="70"/>
      <c r="H119" s="70"/>
      <c r="I119" s="70"/>
      <c r="J119" s="70"/>
      <c r="K119" s="70"/>
      <c r="L119" s="70"/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23"/>
      <c r="AE119" s="23"/>
      <c r="AF119" s="23"/>
      <c r="AG119" s="23"/>
    </row>
    <row r="120" s="24" customFormat="true" ht="12.75" hidden="false" customHeight="false" outlineLevel="0" collapsed="false">
      <c r="A120" s="70"/>
      <c r="B120" s="70"/>
      <c r="C120" s="70"/>
      <c r="D120" s="70"/>
      <c r="E120" s="70"/>
      <c r="F120" s="70"/>
      <c r="G120" s="70"/>
      <c r="H120" s="70"/>
      <c r="I120" s="70"/>
      <c r="J120" s="70"/>
      <c r="K120" s="70"/>
      <c r="L120" s="70"/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23"/>
      <c r="AE120" s="23"/>
      <c r="AF120" s="23"/>
      <c r="AG120" s="23"/>
    </row>
    <row r="121" s="24" customFormat="true" ht="12.75" hidden="false" customHeight="false" outlineLevel="0" collapsed="false">
      <c r="A121" s="70"/>
      <c r="B121" s="70"/>
      <c r="C121" s="70"/>
      <c r="D121" s="70"/>
      <c r="E121" s="70"/>
      <c r="F121" s="70"/>
      <c r="G121" s="70"/>
      <c r="H121" s="70"/>
      <c r="I121" s="70"/>
      <c r="J121" s="70"/>
      <c r="K121" s="70"/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23"/>
      <c r="AE121" s="23"/>
      <c r="AF121" s="23"/>
      <c r="AG121" s="23"/>
    </row>
  </sheetData>
  <mergeCells count="19">
    <mergeCell ref="A1:AB1"/>
    <mergeCell ref="A2:AB2"/>
    <mergeCell ref="A3:AB3"/>
    <mergeCell ref="A4:AB4"/>
    <mergeCell ref="A5:AB5"/>
    <mergeCell ref="A6:AB6"/>
    <mergeCell ref="D7:AB7"/>
    <mergeCell ref="A8:AB8"/>
    <mergeCell ref="A9:A10"/>
    <mergeCell ref="B9:B10"/>
    <mergeCell ref="C9:C10"/>
    <mergeCell ref="D9:D10"/>
    <mergeCell ref="M9:Y9"/>
    <mergeCell ref="AB9:AB10"/>
    <mergeCell ref="A36:D36"/>
    <mergeCell ref="A38:C38"/>
    <mergeCell ref="E38:AB38"/>
    <mergeCell ref="A44:C44"/>
    <mergeCell ref="M44:AB44"/>
  </mergeCells>
  <printOptions headings="false" gridLines="false" gridLinesSet="true" horizontalCentered="false" verticalCentered="false"/>
  <pageMargins left="0.7" right="0.209722222222222" top="0.459722222222222" bottom="0.320138888888889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W55"/>
  <sheetViews>
    <sheetView showFormulas="false" showGridLines="true" showRowColHeaders="true" showZeros="true" rightToLeft="false" tabSelected="false" showOutlineSymbols="true" defaultGridColor="true" view="normal" topLeftCell="A15" colorId="64" zoomScale="55" zoomScaleNormal="55" zoomScalePageLayoutView="100" workbookViewId="0">
      <selection pane="topLeft" activeCell="P47" activeCellId="0" sqref="P47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.42"/>
    <col collapsed="false" customWidth="true" hidden="false" outlineLevel="0" max="2" min="2" style="1" width="7.29"/>
    <col collapsed="false" customWidth="true" hidden="false" outlineLevel="0" max="3" min="3" style="1" width="20"/>
    <col collapsed="false" customWidth="true" hidden="true" outlineLevel="0" max="4" min="4" style="1" width="8.29"/>
    <col collapsed="false" customWidth="false" hidden="true" outlineLevel="0" max="5" min="5" style="1" width="8.71"/>
    <col collapsed="false" customWidth="true" hidden="true" outlineLevel="0" max="6" min="6" style="1" width="9.14"/>
    <col collapsed="false" customWidth="true" hidden="false" outlineLevel="0" max="12" min="7" style="1" width="11.43"/>
    <col collapsed="false" customWidth="true" hidden="true" outlineLevel="0" max="15" min="13" style="1" width="8.57"/>
    <col collapsed="false" customWidth="true" hidden="false" outlineLevel="0" max="18" min="16" style="1" width="11.43"/>
    <col collapsed="false" customWidth="true" hidden="false" outlineLevel="0" max="19" min="19" style="1" width="6.85"/>
  </cols>
  <sheetData>
    <row r="1" customFormat="false" ht="20.25" hidden="false" customHeight="true" outlineLevel="0" collapsed="false">
      <c r="A1" s="2" t="s">
        <v>28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4"/>
      <c r="U1" s="4"/>
      <c r="V1" s="4"/>
      <c r="W1" s="4"/>
    </row>
    <row r="2" customFormat="false" ht="18.75" hidden="false" customHeight="true" outlineLevel="0" collapsed="false">
      <c r="A2" s="5" t="str">
        <f>"Kèm theo BBNT số: "&amp;VLOOKUP(AZ2,'[1]Tuyến XD8'!$A$2:$G$60,7,0)&amp;VLOOKUP(AZ2,'[1]Tuyến XD8'!$A$2:$G$60,4,0)</f>
        <v xml:space="preserve">Kèm theo BBNT số: 63.NĐXD8/CVXD ngày 16 tháng 09 năm 2026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74"/>
      <c r="U2" s="74"/>
      <c r="V2" s="7"/>
      <c r="W2" s="7"/>
      <c r="AZ2">
        <v>63</v>
      </c>
    </row>
    <row r="3" customFormat="false" ht="18.75" hidden="false" customHeight="true" outlineLevel="0" collapsed="false">
      <c r="A3" s="8" t="s">
        <v>30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</row>
    <row r="4" customFormat="false" ht="18.75" hidden="false" customHeight="true" outlineLevel="0" collapsed="false">
      <c r="A4" s="8" t="s">
        <v>31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</row>
    <row r="5" customFormat="false" ht="18.75" hidden="false" customHeight="true" outlineLevel="0" collapsed="false">
      <c r="A5" s="8" t="s">
        <v>32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</row>
    <row r="6" customFormat="false" ht="18.75" hidden="false" customHeight="true" outlineLevel="0" collapsed="false">
      <c r="A6" s="8" t="s">
        <v>33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</row>
    <row r="7" customFormat="false" ht="18.75" hidden="false" customHeight="true" outlineLevel="0" collapsed="false">
      <c r="A7" s="9" t="s">
        <v>34</v>
      </c>
      <c r="C7" s="8"/>
      <c r="D7" s="8"/>
      <c r="E7" s="8"/>
      <c r="F7" s="8"/>
      <c r="G7" s="8" t="str">
        <f>VLOOKUP(AZ2,'[1]Tuyến XD8'!$A$2:$B$60,2,0)</f>
        <v xml:space="preserve">Đắp cát nền đường lớp 4 đoạn từ Km0+489,19 - Km0+609,11, độ chặt K&gt;=0,95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</row>
    <row r="8" customFormat="false" ht="18.75" hidden="false" customHeight="true" outlineLevel="0" collapsed="false">
      <c r="A8" s="9" t="s">
        <v>36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</row>
    <row r="20" customFormat="false" ht="6.75" hidden="false" customHeight="true" outlineLevel="0" collapsed="false"/>
    <row r="21" customFormat="false" ht="17.25" hidden="false" customHeight="true" outlineLevel="0" collapsed="false">
      <c r="A21" s="10" t="s">
        <v>37</v>
      </c>
      <c r="B21" s="10" t="s">
        <v>38</v>
      </c>
      <c r="C21" s="10" t="s">
        <v>39</v>
      </c>
      <c r="D21" s="11" t="s">
        <v>40</v>
      </c>
      <c r="E21" s="11"/>
      <c r="F21" s="11"/>
      <c r="G21" s="11"/>
      <c r="H21" s="11"/>
      <c r="I21" s="11"/>
      <c r="J21" s="11" t="s">
        <v>41</v>
      </c>
      <c r="K21" s="11"/>
      <c r="L21" s="11"/>
      <c r="M21" s="11" t="s">
        <v>42</v>
      </c>
      <c r="N21" s="11"/>
      <c r="O21" s="11"/>
      <c r="P21" s="11"/>
      <c r="Q21" s="11"/>
      <c r="R21" s="11"/>
      <c r="S21" s="10" t="s">
        <v>43</v>
      </c>
    </row>
    <row r="22" customFormat="false" ht="30" hidden="false" customHeight="true" outlineLevel="0" collapsed="false">
      <c r="A22" s="10"/>
      <c r="B22" s="10"/>
      <c r="C22" s="10"/>
      <c r="D22" s="12" t="s">
        <v>44</v>
      </c>
      <c r="E22" s="12" t="s">
        <v>45</v>
      </c>
      <c r="F22" s="12" t="s">
        <v>46</v>
      </c>
      <c r="G22" s="12" t="s">
        <v>47</v>
      </c>
      <c r="H22" s="12" t="s">
        <v>48</v>
      </c>
      <c r="I22" s="12" t="s">
        <v>49</v>
      </c>
      <c r="J22" s="12" t="s">
        <v>47</v>
      </c>
      <c r="K22" s="12" t="s">
        <v>48</v>
      </c>
      <c r="L22" s="12" t="s">
        <v>49</v>
      </c>
      <c r="M22" s="12" t="s">
        <v>44</v>
      </c>
      <c r="N22" s="12" t="s">
        <v>45</v>
      </c>
      <c r="O22" s="12" t="s">
        <v>46</v>
      </c>
      <c r="P22" s="12" t="s">
        <v>47</v>
      </c>
      <c r="Q22" s="12" t="s">
        <v>48</v>
      </c>
      <c r="R22" s="12" t="s">
        <v>49</v>
      </c>
      <c r="S22" s="10"/>
      <c r="T22" s="13"/>
    </row>
    <row r="23" customFormat="false" ht="15" hidden="false" customHeight="false" outlineLevel="0" collapsed="false">
      <c r="A23" s="14" t="n">
        <v>1</v>
      </c>
      <c r="B23" s="14" t="s">
        <v>17</v>
      </c>
      <c r="C23" s="71" t="n">
        <v>489.19</v>
      </c>
      <c r="D23" s="17" t="n">
        <f aca="false">+Chạy!F2</f>
        <v>-9.45</v>
      </c>
      <c r="E23" s="17" t="n">
        <f aca="false">+D23+F23</f>
        <v>-9.4575</v>
      </c>
      <c r="F23" s="17" t="n">
        <f aca="false">RANDBETWEEN(-105,115)/10000</f>
        <v>-0.0075</v>
      </c>
      <c r="G23" s="17" t="n">
        <f aca="false">+Chạy!G2</f>
        <v>-0.45</v>
      </c>
      <c r="H23" s="17" t="n">
        <f aca="false">G23+I23</f>
        <v>-0.388</v>
      </c>
      <c r="I23" s="17" t="n">
        <f aca="false">RANDBETWEEN(-30,90)/1000</f>
        <v>0.062</v>
      </c>
      <c r="J23" s="17" t="n">
        <f aca="false">+Chạy!K2</f>
        <v>-0.45</v>
      </c>
      <c r="K23" s="17" t="n">
        <f aca="false">J23+L23</f>
        <v>-0.455</v>
      </c>
      <c r="L23" s="17" t="n">
        <f aca="false">RANDBETWEEN(-30,90)/1000</f>
        <v>-0.005</v>
      </c>
      <c r="M23" s="17" t="n">
        <f aca="false">+Chạy!N2</f>
        <v>6.25</v>
      </c>
      <c r="N23" s="17" t="n">
        <f aca="false">+M23+O23</f>
        <v>6.2539</v>
      </c>
      <c r="O23" s="17" t="n">
        <f aca="false">RANDBETWEEN(-105,115)/10000</f>
        <v>0.0039</v>
      </c>
      <c r="P23" s="17" t="n">
        <f aca="false">+Chạy!O2</f>
        <v>-0.45</v>
      </c>
      <c r="Q23" s="17" t="n">
        <f aca="false">P23+R23</f>
        <v>-0.459</v>
      </c>
      <c r="R23" s="17" t="n">
        <f aca="false">RANDBETWEEN(-30,90)/1000</f>
        <v>-0.009</v>
      </c>
      <c r="S23" s="18"/>
      <c r="T23" s="0" t="n">
        <v>13.17</v>
      </c>
    </row>
    <row r="24" customFormat="false" ht="15" hidden="false" customHeight="false" outlineLevel="0" collapsed="false">
      <c r="A24" s="14" t="n">
        <v>2</v>
      </c>
      <c r="B24" s="14" t="s">
        <v>18</v>
      </c>
      <c r="C24" s="71" t="n">
        <f aca="false">+C23+T23</f>
        <v>502.36</v>
      </c>
      <c r="D24" s="17" t="n">
        <f aca="false">+Chạy!F6</f>
        <v>-10.47</v>
      </c>
      <c r="E24" s="17" t="n">
        <f aca="false">+D24+F24</f>
        <v>-10.4739</v>
      </c>
      <c r="F24" s="17" t="n">
        <f aca="false">RANDBETWEEN(-105,115)/10000</f>
        <v>-0.0039</v>
      </c>
      <c r="G24" s="17" t="n">
        <f aca="false">+Chạy!G6</f>
        <v>-0.45</v>
      </c>
      <c r="H24" s="17" t="n">
        <f aca="false">G24+I24</f>
        <v>-0.421</v>
      </c>
      <c r="I24" s="17" t="n">
        <f aca="false">RANDBETWEEN(-30,90)/1000</f>
        <v>0.029</v>
      </c>
      <c r="J24" s="17" t="n">
        <f aca="false">+Chạy!K6</f>
        <v>-0.45</v>
      </c>
      <c r="K24" s="17" t="n">
        <f aca="false">J24+L24</f>
        <v>-0.437</v>
      </c>
      <c r="L24" s="17" t="n">
        <f aca="false">RANDBETWEEN(-30,90)/1000</f>
        <v>0.013</v>
      </c>
      <c r="M24" s="17" t="n">
        <f aca="false">+Chạy!N6</f>
        <v>10.37</v>
      </c>
      <c r="N24" s="17" t="n">
        <f aca="false">+M24+O24</f>
        <v>10.3786</v>
      </c>
      <c r="O24" s="17" t="n">
        <f aca="false">RANDBETWEEN(-105,115)/10000</f>
        <v>0.0086</v>
      </c>
      <c r="P24" s="17" t="n">
        <f aca="false">+Chạy!O6</f>
        <v>-0.45</v>
      </c>
      <c r="Q24" s="17" t="n">
        <f aca="false">P24+R24</f>
        <v>-0.37</v>
      </c>
      <c r="R24" s="17" t="n">
        <f aca="false">RANDBETWEEN(-30,90)/1000</f>
        <v>0.08</v>
      </c>
      <c r="S24" s="18"/>
      <c r="T24" s="0" t="n">
        <v>10.48</v>
      </c>
    </row>
    <row r="25" customFormat="false" ht="15" hidden="false" customHeight="false" outlineLevel="0" collapsed="false">
      <c r="A25" s="14" t="n">
        <v>3</v>
      </c>
      <c r="B25" s="14" t="s">
        <v>19</v>
      </c>
      <c r="C25" s="71" t="n">
        <f aca="false">+C24+T24</f>
        <v>512.84</v>
      </c>
      <c r="D25" s="17" t="n">
        <f aca="false">+Chạy!F10</f>
        <v>-9.91</v>
      </c>
      <c r="E25" s="17" t="n">
        <f aca="false">+D25+F25</f>
        <v>-9.9022</v>
      </c>
      <c r="F25" s="17" t="n">
        <f aca="false">RANDBETWEEN(-105,115)/10000</f>
        <v>0.0078</v>
      </c>
      <c r="G25" s="17" t="n">
        <f aca="false">+Chạy!G10</f>
        <v>-0.45</v>
      </c>
      <c r="H25" s="17" t="n">
        <f aca="false">G25+I25</f>
        <v>-0.455</v>
      </c>
      <c r="I25" s="17" t="n">
        <f aca="false">RANDBETWEEN(-30,90)/1000</f>
        <v>-0.005</v>
      </c>
      <c r="J25" s="17" t="n">
        <f aca="false">+Chạy!K10</f>
        <v>-0.45</v>
      </c>
      <c r="K25" s="17" t="n">
        <f aca="false">J25+L25</f>
        <v>-0.457</v>
      </c>
      <c r="L25" s="17" t="n">
        <f aca="false">RANDBETWEEN(-30,90)/1000</f>
        <v>-0.007</v>
      </c>
      <c r="M25" s="17" t="n">
        <f aca="false">+Chạy!N10</f>
        <v>10.28</v>
      </c>
      <c r="N25" s="17" t="n">
        <f aca="false">+M25+O25</f>
        <v>10.2912</v>
      </c>
      <c r="O25" s="17" t="n">
        <f aca="false">RANDBETWEEN(-105,115)/10000</f>
        <v>0.0112</v>
      </c>
      <c r="P25" s="17" t="n">
        <f aca="false">+Chạy!O10</f>
        <v>-0.45</v>
      </c>
      <c r="Q25" s="17" t="n">
        <f aca="false">P25+R25</f>
        <v>-0.425</v>
      </c>
      <c r="R25" s="17" t="n">
        <f aca="false">RANDBETWEEN(-30,90)/1000</f>
        <v>0.025</v>
      </c>
      <c r="S25" s="18"/>
      <c r="T25" s="0" t="n">
        <v>16.78</v>
      </c>
    </row>
    <row r="26" customFormat="false" ht="15" hidden="false" customHeight="false" outlineLevel="0" collapsed="false">
      <c r="A26" s="14" t="n">
        <v>4</v>
      </c>
      <c r="B26" s="14" t="s">
        <v>20</v>
      </c>
      <c r="C26" s="71" t="n">
        <f aca="false">+C25+T25</f>
        <v>529.62</v>
      </c>
      <c r="D26" s="17" t="n">
        <f aca="false">+Chạy!F14</f>
        <v>-10.34</v>
      </c>
      <c r="E26" s="17" t="n">
        <f aca="false">+D26+F26</f>
        <v>-10.34</v>
      </c>
      <c r="F26" s="17" t="n">
        <f aca="false">RANDBETWEEN(-105,115)/10000</f>
        <v>0</v>
      </c>
      <c r="G26" s="17" t="n">
        <f aca="false">+Chạy!G14</f>
        <v>-0.45</v>
      </c>
      <c r="H26" s="17" t="n">
        <f aca="false">G26+I26</f>
        <v>-0.45</v>
      </c>
      <c r="I26" s="17" t="n">
        <f aca="false">RANDBETWEEN(-30,90)/1000</f>
        <v>0</v>
      </c>
      <c r="J26" s="17" t="n">
        <f aca="false">+Chạy!K14</f>
        <v>-0.45</v>
      </c>
      <c r="K26" s="17" t="n">
        <f aca="false">J26+L26</f>
        <v>-0.394</v>
      </c>
      <c r="L26" s="17" t="n">
        <f aca="false">RANDBETWEEN(-30,90)/1000</f>
        <v>0.056</v>
      </c>
      <c r="M26" s="17" t="n">
        <f aca="false">+Chạy!N14</f>
        <v>10.42</v>
      </c>
      <c r="N26" s="17" t="n">
        <f aca="false">+M26+O26</f>
        <v>10.4297</v>
      </c>
      <c r="O26" s="17" t="n">
        <f aca="false">RANDBETWEEN(-105,115)/10000</f>
        <v>0.0097</v>
      </c>
      <c r="P26" s="17" t="n">
        <f aca="false">+Chạy!O14</f>
        <v>-0.45</v>
      </c>
      <c r="Q26" s="17" t="n">
        <f aca="false">P26+R26</f>
        <v>-0.467</v>
      </c>
      <c r="R26" s="17" t="n">
        <f aca="false">RANDBETWEEN(-30,90)/1000</f>
        <v>-0.017</v>
      </c>
      <c r="S26" s="18"/>
      <c r="T26" s="0" t="n">
        <v>17.1</v>
      </c>
    </row>
    <row r="27" customFormat="false" ht="15" hidden="false" customHeight="false" outlineLevel="0" collapsed="false">
      <c r="A27" s="14" t="n">
        <v>5</v>
      </c>
      <c r="B27" s="14" t="s">
        <v>21</v>
      </c>
      <c r="C27" s="71" t="n">
        <f aca="false">+C26+T26</f>
        <v>546.72</v>
      </c>
      <c r="D27" s="17" t="n">
        <f aca="false">+Chạy!F18</f>
        <v>-6.25</v>
      </c>
      <c r="E27" s="17" t="n">
        <f aca="false">+D27+F27</f>
        <v>-6.2604</v>
      </c>
      <c r="F27" s="17" t="n">
        <f aca="false">RANDBETWEEN(-105,115)/10000</f>
        <v>-0.0104</v>
      </c>
      <c r="G27" s="17" t="n">
        <f aca="false">+Chạy!G18</f>
        <v>-0.45</v>
      </c>
      <c r="H27" s="17" t="n">
        <f aca="false">G27+I27</f>
        <v>-0.387</v>
      </c>
      <c r="I27" s="17" t="n">
        <f aca="false">RANDBETWEEN(-30,90)/1000</f>
        <v>0.063</v>
      </c>
      <c r="J27" s="17" t="n">
        <f aca="false">+Chạy!K18</f>
        <v>-0.45</v>
      </c>
      <c r="K27" s="17" t="n">
        <f aca="false">J27+L27</f>
        <v>-0.42</v>
      </c>
      <c r="L27" s="17" t="n">
        <f aca="false">RANDBETWEEN(-30,90)/1000</f>
        <v>0.03</v>
      </c>
      <c r="M27" s="17" t="n">
        <f aca="false">+Chạy!N18</f>
        <v>9.49</v>
      </c>
      <c r="N27" s="17" t="n">
        <f aca="false">+M27+O27</f>
        <v>9.4895</v>
      </c>
      <c r="O27" s="17" t="n">
        <f aca="false">RANDBETWEEN(-105,115)/10000</f>
        <v>-0.0005</v>
      </c>
      <c r="P27" s="17" t="n">
        <f aca="false">+Chạy!O18</f>
        <v>-0.45</v>
      </c>
      <c r="Q27" s="17" t="n">
        <f aca="false">P27+R27</f>
        <v>-0.398</v>
      </c>
      <c r="R27" s="17" t="n">
        <f aca="false">RANDBETWEEN(-30,90)/1000</f>
        <v>0.052</v>
      </c>
      <c r="S27" s="18"/>
      <c r="T27" s="0" t="n">
        <v>15.15</v>
      </c>
    </row>
    <row r="28" customFormat="false" ht="15" hidden="false" customHeight="false" outlineLevel="0" collapsed="false">
      <c r="A28" s="14" t="n">
        <v>6</v>
      </c>
      <c r="B28" s="14" t="s">
        <v>22</v>
      </c>
      <c r="C28" s="71" t="n">
        <f aca="false">+C27+T27</f>
        <v>561.87</v>
      </c>
      <c r="D28" s="17" t="n">
        <f aca="false">+Chạy!F22</f>
        <v>-9.99</v>
      </c>
      <c r="E28" s="17" t="n">
        <f aca="false">+D28+F28</f>
        <v>-9.9796</v>
      </c>
      <c r="F28" s="17" t="n">
        <f aca="false">RANDBETWEEN(-105,115)/10000</f>
        <v>0.0104</v>
      </c>
      <c r="G28" s="17" t="n">
        <f aca="false">+Chạy!G22</f>
        <v>-0.45</v>
      </c>
      <c r="H28" s="17" t="n">
        <f aca="false">G28+I28</f>
        <v>-0.473</v>
      </c>
      <c r="I28" s="17" t="n">
        <f aca="false">RANDBETWEEN(-30,90)/1000</f>
        <v>-0.023</v>
      </c>
      <c r="J28" s="17" t="n">
        <f aca="false">+Chạy!K22</f>
        <v>-0.45</v>
      </c>
      <c r="K28" s="17" t="n">
        <f aca="false">J28+L28</f>
        <v>-0.411</v>
      </c>
      <c r="L28" s="17" t="n">
        <f aca="false">RANDBETWEEN(-30,90)/1000</f>
        <v>0.039</v>
      </c>
      <c r="M28" s="17" t="n">
        <f aca="false">+Chạy!N22</f>
        <v>10.12</v>
      </c>
      <c r="N28" s="17" t="n">
        <f aca="false">+M28+O28</f>
        <v>10.1233</v>
      </c>
      <c r="O28" s="17" t="n">
        <f aca="false">RANDBETWEEN(-105,115)/10000</f>
        <v>0.0033</v>
      </c>
      <c r="P28" s="17" t="n">
        <f aca="false">+Chạy!O22</f>
        <v>-0.45</v>
      </c>
      <c r="Q28" s="17" t="n">
        <f aca="false">P28+R28</f>
        <v>-0.432</v>
      </c>
      <c r="R28" s="17" t="n">
        <f aca="false">RANDBETWEEN(-30,90)/1000</f>
        <v>0.018</v>
      </c>
      <c r="S28" s="18"/>
      <c r="T28" s="0" t="n">
        <v>0.15</v>
      </c>
    </row>
    <row r="29" customFormat="false" ht="15" hidden="false" customHeight="false" outlineLevel="0" collapsed="false">
      <c r="A29" s="14" t="n">
        <v>7</v>
      </c>
      <c r="B29" s="14" t="s">
        <v>23</v>
      </c>
      <c r="C29" s="71" t="n">
        <f aca="false">+C28+T28</f>
        <v>562.02</v>
      </c>
      <c r="D29" s="17" t="n">
        <f aca="false">+Chạy!F26</f>
        <v>-9.99</v>
      </c>
      <c r="E29" s="17" t="n">
        <f aca="false">+D29+F29</f>
        <v>-9.9921</v>
      </c>
      <c r="F29" s="17" t="n">
        <f aca="false">RANDBETWEEN(-105,115)/10000</f>
        <v>-0.0021</v>
      </c>
      <c r="G29" s="17" t="n">
        <f aca="false">+Chạy!G26</f>
        <v>-0.45</v>
      </c>
      <c r="H29" s="17" t="n">
        <f aca="false">G29+I29</f>
        <v>-0.477</v>
      </c>
      <c r="I29" s="17" t="n">
        <f aca="false">RANDBETWEEN(-30,90)/1000</f>
        <v>-0.027</v>
      </c>
      <c r="J29" s="17" t="n">
        <f aca="false">+Chạy!K26</f>
        <v>-0.45</v>
      </c>
      <c r="K29" s="17" t="n">
        <f aca="false">J29+L29</f>
        <v>-0.443</v>
      </c>
      <c r="L29" s="17" t="n">
        <f aca="false">RANDBETWEEN(-30,90)/1000</f>
        <v>0.007</v>
      </c>
      <c r="M29" s="17" t="n">
        <f aca="false">+Chạy!N26</f>
        <v>10.13</v>
      </c>
      <c r="N29" s="17" t="n">
        <f aca="false">+M29+O29</f>
        <v>10.1235</v>
      </c>
      <c r="O29" s="17" t="n">
        <f aca="false">RANDBETWEEN(-105,115)/10000</f>
        <v>-0.0065</v>
      </c>
      <c r="P29" s="17" t="n">
        <f aca="false">+Chạy!O26</f>
        <v>-0.45</v>
      </c>
      <c r="Q29" s="17" t="n">
        <f aca="false">P29+R29</f>
        <v>-0.423</v>
      </c>
      <c r="R29" s="17" t="n">
        <f aca="false">RANDBETWEEN(-30,90)/1000</f>
        <v>0.027</v>
      </c>
      <c r="S29" s="18"/>
      <c r="T29" s="0" t="n">
        <v>6.55</v>
      </c>
    </row>
    <row r="30" customFormat="false" ht="15" hidden="false" customHeight="false" outlineLevel="0" collapsed="false">
      <c r="A30" s="14" t="n">
        <v>8</v>
      </c>
      <c r="B30" s="14" t="s">
        <v>24</v>
      </c>
      <c r="C30" s="71" t="n">
        <f aca="false">+C29+T29</f>
        <v>568.57</v>
      </c>
      <c r="D30" s="17" t="n">
        <f aca="false">+Chạy!F30</f>
        <v>-10.16</v>
      </c>
      <c r="E30" s="17" t="n">
        <f aca="false">+D30+F30</f>
        <v>-10.1671</v>
      </c>
      <c r="F30" s="17" t="n">
        <f aca="false">RANDBETWEEN(-105,115)/10000</f>
        <v>-0.0071</v>
      </c>
      <c r="G30" s="17" t="n">
        <f aca="false">+Chạy!G30</f>
        <v>-0.45</v>
      </c>
      <c r="H30" s="17" t="n">
        <f aca="false">G30+I30</f>
        <v>-0.426</v>
      </c>
      <c r="I30" s="17" t="n">
        <f aca="false">RANDBETWEEN(-30,90)/1000</f>
        <v>0.024</v>
      </c>
      <c r="J30" s="17" t="n">
        <f aca="false">+Chạy!K30</f>
        <v>-0.45</v>
      </c>
      <c r="K30" s="17" t="n">
        <f aca="false">J30+L30</f>
        <v>-0.399</v>
      </c>
      <c r="L30" s="17" t="n">
        <f aca="false">RANDBETWEEN(-30,90)/1000</f>
        <v>0.051</v>
      </c>
      <c r="M30" s="17" t="n">
        <f aca="false">+Chạy!N30</f>
        <v>10.48</v>
      </c>
      <c r="N30" s="17" t="n">
        <f aca="false">+M30+O30</f>
        <v>10.486</v>
      </c>
      <c r="O30" s="17" t="n">
        <f aca="false">RANDBETWEEN(-105,115)/10000</f>
        <v>0.006</v>
      </c>
      <c r="P30" s="17" t="n">
        <f aca="false">+Chạy!O30</f>
        <v>-0.45</v>
      </c>
      <c r="Q30" s="17" t="n">
        <f aca="false">P30+R30</f>
        <v>-0.425</v>
      </c>
      <c r="R30" s="17" t="n">
        <f aca="false">RANDBETWEEN(-30,90)/1000</f>
        <v>0.025</v>
      </c>
      <c r="S30" s="18"/>
      <c r="T30" s="0" t="n">
        <v>6.55</v>
      </c>
    </row>
    <row r="31" customFormat="false" ht="15" hidden="false" customHeight="false" outlineLevel="0" collapsed="false">
      <c r="A31" s="14" t="n">
        <v>9</v>
      </c>
      <c r="B31" s="14" t="s">
        <v>1</v>
      </c>
      <c r="C31" s="71" t="n">
        <f aca="false">+C30+T30</f>
        <v>575.12</v>
      </c>
      <c r="D31" s="17" t="n">
        <f aca="false">+Chạy!F34</f>
        <v>-9.88</v>
      </c>
      <c r="E31" s="17" t="n">
        <f aca="false">+D31+F31</f>
        <v>-9.8793</v>
      </c>
      <c r="F31" s="17" t="n">
        <f aca="false">RANDBETWEEN(-105,115)/10000</f>
        <v>0.0007</v>
      </c>
      <c r="G31" s="17" t="n">
        <f aca="false">+Chạy!G34</f>
        <v>-0.45</v>
      </c>
      <c r="H31" s="17" t="n">
        <f aca="false">G31+I31</f>
        <v>-0.48</v>
      </c>
      <c r="I31" s="17" t="n">
        <f aca="false">RANDBETWEEN(-30,90)/1000</f>
        <v>-0.03</v>
      </c>
      <c r="J31" s="17" t="n">
        <f aca="false">+Chạy!K34</f>
        <v>-0.45</v>
      </c>
      <c r="K31" s="17" t="n">
        <f aca="false">J31+L31</f>
        <v>-0.41</v>
      </c>
      <c r="L31" s="17" t="n">
        <f aca="false">RANDBETWEEN(-30,90)/1000</f>
        <v>0.04</v>
      </c>
      <c r="M31" s="17" t="n">
        <f aca="false">+Chạy!N34</f>
        <v>9.56</v>
      </c>
      <c r="N31" s="17" t="n">
        <f aca="false">+M31+O31</f>
        <v>9.554</v>
      </c>
      <c r="O31" s="17" t="n">
        <f aca="false">RANDBETWEEN(-105,115)/10000</f>
        <v>-0.006</v>
      </c>
      <c r="P31" s="17" t="n">
        <f aca="false">+Chạy!O34</f>
        <v>-0.45</v>
      </c>
      <c r="Q31" s="17" t="n">
        <f aca="false">P31+R31</f>
        <v>-0.367</v>
      </c>
      <c r="R31" s="17" t="n">
        <f aca="false">RANDBETWEEN(-30,90)/1000</f>
        <v>0.083</v>
      </c>
      <c r="S31" s="18"/>
      <c r="T31" s="0" t="n">
        <v>0.04</v>
      </c>
    </row>
    <row r="32" customFormat="false" ht="15" hidden="false" customHeight="false" outlineLevel="0" collapsed="false">
      <c r="A32" s="14" t="n">
        <v>10</v>
      </c>
      <c r="B32" s="14" t="s">
        <v>25</v>
      </c>
      <c r="C32" s="71" t="n">
        <f aca="false">+C31+T31</f>
        <v>575.16</v>
      </c>
      <c r="D32" s="17" t="n">
        <f aca="false">+Chạy!F38</f>
        <v>-9.88</v>
      </c>
      <c r="E32" s="17" t="n">
        <f aca="false">+D32+F32</f>
        <v>-9.876</v>
      </c>
      <c r="F32" s="17" t="n">
        <f aca="false">RANDBETWEEN(-105,115)/10000</f>
        <v>0.004</v>
      </c>
      <c r="G32" s="17" t="n">
        <f aca="false">+Chạy!G38</f>
        <v>-0.45</v>
      </c>
      <c r="H32" s="17" t="n">
        <f aca="false">G32+I32</f>
        <v>-0.431</v>
      </c>
      <c r="I32" s="17" t="n">
        <f aca="false">RANDBETWEEN(-30,90)/1000</f>
        <v>0.019</v>
      </c>
      <c r="J32" s="17" t="n">
        <f aca="false">+Chạy!K38</f>
        <v>-0.45</v>
      </c>
      <c r="K32" s="17" t="n">
        <f aca="false">J32+L32</f>
        <v>-0.415</v>
      </c>
      <c r="L32" s="17" t="n">
        <f aca="false">RANDBETWEEN(-30,90)/1000</f>
        <v>0.035</v>
      </c>
      <c r="M32" s="17" t="n">
        <f aca="false">+Chạy!N38</f>
        <v>9.33</v>
      </c>
      <c r="N32" s="17" t="n">
        <f aca="false">+M32+O32</f>
        <v>9.3375</v>
      </c>
      <c r="O32" s="17" t="n">
        <f aca="false">RANDBETWEEN(-105,115)/10000</f>
        <v>0.0075</v>
      </c>
      <c r="P32" s="17" t="n">
        <f aca="false">+Chạy!O38</f>
        <v>-0.45</v>
      </c>
      <c r="Q32" s="17" t="n">
        <f aca="false">P32+R32</f>
        <v>-0.381</v>
      </c>
      <c r="R32" s="17" t="n">
        <f aca="false">RANDBETWEEN(-30,90)/1000</f>
        <v>0.069</v>
      </c>
      <c r="S32" s="18"/>
      <c r="T32" s="0" t="n">
        <v>16.95</v>
      </c>
    </row>
    <row r="33" customFormat="false" ht="15" hidden="false" customHeight="false" outlineLevel="0" collapsed="false">
      <c r="A33" s="14" t="n">
        <v>11</v>
      </c>
      <c r="B33" s="14" t="s">
        <v>26</v>
      </c>
      <c r="C33" s="71" t="n">
        <f aca="false">+C32+T32</f>
        <v>592.11</v>
      </c>
      <c r="D33" s="17" t="n">
        <f aca="false">+Chạy!F42</f>
        <v>-10.06</v>
      </c>
      <c r="E33" s="17" t="n">
        <f aca="false">+D33+F33</f>
        <v>-10.0705</v>
      </c>
      <c r="F33" s="17" t="n">
        <f aca="false">RANDBETWEEN(-105,115)/10000</f>
        <v>-0.0105</v>
      </c>
      <c r="G33" s="17" t="n">
        <f aca="false">+Chạy!G42</f>
        <v>-0.45</v>
      </c>
      <c r="H33" s="17" t="n">
        <f aca="false">G33+I33</f>
        <v>-0.384</v>
      </c>
      <c r="I33" s="17" t="n">
        <f aca="false">RANDBETWEEN(-30,90)/1000</f>
        <v>0.066</v>
      </c>
      <c r="J33" s="17" t="n">
        <f aca="false">+Chạy!K42</f>
        <v>-0.45</v>
      </c>
      <c r="K33" s="17" t="n">
        <f aca="false">J33+L33</f>
        <v>-0.452</v>
      </c>
      <c r="L33" s="17" t="n">
        <f aca="false">RANDBETWEEN(-30,90)/1000</f>
        <v>-0.002</v>
      </c>
      <c r="M33" s="17" t="n">
        <f aca="false">+Chạy!N42</f>
        <v>10.11</v>
      </c>
      <c r="N33" s="17" t="n">
        <f aca="false">+M33+O33</f>
        <v>10.1035</v>
      </c>
      <c r="O33" s="17" t="n">
        <f aca="false">RANDBETWEEN(-105,115)/10000</f>
        <v>-0.0065</v>
      </c>
      <c r="P33" s="17" t="n">
        <f aca="false">+Chạy!O42</f>
        <v>-0.45</v>
      </c>
      <c r="Q33" s="17" t="n">
        <f aca="false">P33+R33</f>
        <v>-0.48</v>
      </c>
      <c r="R33" s="17" t="n">
        <f aca="false">RANDBETWEEN(-30,90)/1000</f>
        <v>-0.03</v>
      </c>
      <c r="S33" s="18"/>
      <c r="T33" s="0" t="n">
        <v>17</v>
      </c>
    </row>
    <row r="34" customFormat="false" ht="15" hidden="false" customHeight="false" outlineLevel="0" collapsed="false">
      <c r="A34" s="14" t="n">
        <v>12</v>
      </c>
      <c r="B34" s="14" t="s">
        <v>27</v>
      </c>
      <c r="C34" s="71" t="n">
        <f aca="false">+C33+T33</f>
        <v>609.11</v>
      </c>
      <c r="D34" s="17" t="n">
        <f aca="false">+Chạy!F46</f>
        <v>-9.27</v>
      </c>
      <c r="E34" s="17" t="n">
        <f aca="false">+D34+F34</f>
        <v>-9.2673</v>
      </c>
      <c r="F34" s="17" t="n">
        <f aca="false">RANDBETWEEN(-105,115)/10000</f>
        <v>0.0027</v>
      </c>
      <c r="G34" s="17" t="n">
        <f aca="false">+Chạy!G46</f>
        <v>-0.45</v>
      </c>
      <c r="H34" s="17" t="n">
        <f aca="false">G34+I34</f>
        <v>-0.466</v>
      </c>
      <c r="I34" s="17" t="n">
        <f aca="false">RANDBETWEEN(-30,90)/1000</f>
        <v>-0.016</v>
      </c>
      <c r="J34" s="17" t="n">
        <f aca="false">+Chạy!K46</f>
        <v>-0.45</v>
      </c>
      <c r="K34" s="17" t="n">
        <f aca="false">J34+L34</f>
        <v>-0.426</v>
      </c>
      <c r="L34" s="17" t="n">
        <f aca="false">RANDBETWEEN(-30,90)/1000</f>
        <v>0.024</v>
      </c>
      <c r="M34" s="17" t="n">
        <f aca="false">+Chạy!N46</f>
        <v>9.13</v>
      </c>
      <c r="N34" s="17" t="n">
        <f aca="false">+M34+O34</f>
        <v>9.1223</v>
      </c>
      <c r="O34" s="17" t="n">
        <f aca="false">RANDBETWEEN(-105,115)/10000</f>
        <v>-0.0077</v>
      </c>
      <c r="P34" s="17" t="n">
        <f aca="false">+Chạy!O46</f>
        <v>-0.45</v>
      </c>
      <c r="Q34" s="17" t="n">
        <f aca="false">P34+R34</f>
        <v>-0.456</v>
      </c>
      <c r="R34" s="17" t="n">
        <f aca="false">RANDBETWEEN(-30,90)/1000</f>
        <v>-0.006</v>
      </c>
      <c r="S34" s="18"/>
    </row>
    <row r="35" customFormat="false" ht="15" hidden="true" customHeight="false" outlineLevel="0" collapsed="false">
      <c r="A35" s="14"/>
      <c r="B35" s="14"/>
      <c r="C35" s="71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8"/>
    </row>
    <row r="36" customFormat="false" ht="15" hidden="true" customHeight="false" outlineLevel="0" collapsed="false">
      <c r="A36" s="14"/>
      <c r="B36" s="14"/>
      <c r="C36" s="71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8"/>
    </row>
    <row r="37" customFormat="false" ht="15" hidden="true" customHeight="false" outlineLevel="0" collapsed="false">
      <c r="A37" s="14"/>
      <c r="B37" s="14"/>
      <c r="C37" s="71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8"/>
    </row>
    <row r="38" customFormat="false" ht="15" hidden="true" customHeight="false" outlineLevel="0" collapsed="false">
      <c r="A38" s="14"/>
      <c r="B38" s="14"/>
      <c r="C38" s="71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8"/>
    </row>
    <row r="39" customFormat="false" ht="15" hidden="true" customHeight="false" outlineLevel="0" collapsed="false">
      <c r="A39" s="14"/>
      <c r="B39" s="14"/>
      <c r="C39" s="71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8"/>
    </row>
    <row r="40" customFormat="false" ht="15" hidden="true" customHeight="false" outlineLevel="0" collapsed="false">
      <c r="A40" s="14"/>
      <c r="B40" s="14"/>
      <c r="C40" s="71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8"/>
    </row>
    <row r="41" customFormat="false" ht="15" hidden="true" customHeight="false" outlineLevel="0" collapsed="false">
      <c r="A41" s="14"/>
      <c r="B41" s="14"/>
      <c r="C41" s="71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8"/>
    </row>
    <row r="42" customFormat="false" ht="15" hidden="true" customHeight="false" outlineLevel="0" collapsed="false">
      <c r="A42" s="14"/>
      <c r="B42" s="14"/>
      <c r="C42" s="71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8"/>
    </row>
    <row r="43" customFormat="false" ht="15" hidden="true" customHeight="false" outlineLevel="0" collapsed="false">
      <c r="A43" s="14"/>
      <c r="B43" s="14"/>
      <c r="C43" s="71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8"/>
    </row>
    <row r="44" customFormat="false" ht="15" hidden="true" customHeight="false" outlineLevel="0" collapsed="false">
      <c r="A44" s="14"/>
      <c r="B44" s="14"/>
      <c r="C44" s="71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8"/>
    </row>
    <row r="45" customFormat="false" ht="15" hidden="true" customHeight="false" outlineLevel="0" collapsed="false">
      <c r="A45" s="14"/>
      <c r="B45" s="14"/>
      <c r="C45" s="71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8"/>
    </row>
    <row r="46" customFormat="false" ht="15" hidden="true" customHeight="false" outlineLevel="0" collapsed="false">
      <c r="A46" s="14"/>
      <c r="B46" s="14"/>
      <c r="C46" s="71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8"/>
    </row>
    <row r="47" customFormat="false" ht="15" hidden="true" customHeight="false" outlineLevel="0" collapsed="false">
      <c r="A47" s="14"/>
      <c r="B47" s="14"/>
      <c r="C47" s="71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8"/>
    </row>
    <row r="49" customFormat="false" ht="15" hidden="false" customHeight="false" outlineLevel="0" collapsed="false">
      <c r="C49" s="20" t="s">
        <v>50</v>
      </c>
      <c r="D49" s="20"/>
      <c r="E49" s="20"/>
      <c r="F49" s="20"/>
      <c r="G49" s="20"/>
      <c r="H49" s="20"/>
      <c r="I49" s="20"/>
      <c r="K49" s="21"/>
      <c r="L49" s="21"/>
      <c r="M49" s="21"/>
      <c r="N49" s="21"/>
      <c r="O49" s="20" t="s">
        <v>51</v>
      </c>
      <c r="P49" s="20"/>
      <c r="Q49" s="20"/>
      <c r="R49" s="20"/>
    </row>
    <row r="50" customFormat="false" ht="15" hidden="false" customHeight="false" outlineLevel="0" collapsed="false">
      <c r="E50" s="22"/>
      <c r="F50" s="22"/>
      <c r="G50" s="22"/>
      <c r="H50" s="22"/>
      <c r="K50" s="22"/>
      <c r="L50" s="22"/>
      <c r="M50" s="22"/>
      <c r="N50" s="22"/>
      <c r="O50" s="22"/>
      <c r="P50" s="22"/>
      <c r="Q50" s="22"/>
      <c r="R50" s="22"/>
    </row>
    <row r="51" customFormat="false" ht="15" hidden="false" customHeight="false" outlineLevel="0" collapsed="false">
      <c r="E51" s="22"/>
      <c r="F51" s="22"/>
      <c r="G51" s="22"/>
      <c r="H51" s="22"/>
      <c r="K51" s="22"/>
      <c r="L51" s="22"/>
      <c r="M51" s="22"/>
      <c r="N51" s="22"/>
      <c r="O51" s="22"/>
      <c r="P51" s="22"/>
      <c r="Q51" s="22"/>
      <c r="R51" s="22"/>
    </row>
    <row r="52" customFormat="false" ht="15" hidden="false" customHeight="false" outlineLevel="0" collapsed="false">
      <c r="E52" s="22"/>
      <c r="F52" s="22"/>
      <c r="G52" s="22"/>
      <c r="H52" s="22"/>
      <c r="K52" s="22"/>
      <c r="L52" s="22"/>
      <c r="M52" s="22"/>
      <c r="N52" s="22"/>
      <c r="O52" s="22"/>
      <c r="P52" s="22"/>
      <c r="Q52" s="22"/>
      <c r="R52" s="22"/>
    </row>
    <row r="53" customFormat="false" ht="15" hidden="false" customHeight="false" outlineLevel="0" collapsed="false">
      <c r="E53" s="22"/>
      <c r="F53" s="22"/>
      <c r="G53" s="22"/>
      <c r="H53" s="22"/>
      <c r="K53" s="22"/>
      <c r="L53" s="22"/>
      <c r="M53" s="22"/>
      <c r="N53" s="22"/>
      <c r="O53" s="22"/>
      <c r="P53" s="22"/>
      <c r="Q53" s="22"/>
      <c r="R53" s="22"/>
    </row>
    <row r="54" customFormat="false" ht="15" hidden="false" customHeight="false" outlineLevel="0" collapsed="false">
      <c r="C54" s="20" t="s">
        <v>52</v>
      </c>
      <c r="D54" s="20"/>
      <c r="E54" s="20"/>
      <c r="F54" s="20"/>
      <c r="G54" s="20"/>
      <c r="H54" s="20"/>
      <c r="I54" s="20"/>
      <c r="K54" s="21"/>
      <c r="L54" s="21"/>
      <c r="M54" s="21"/>
      <c r="N54" s="21"/>
      <c r="O54" s="20" t="s">
        <v>53</v>
      </c>
      <c r="P54" s="20"/>
      <c r="Q54" s="20"/>
      <c r="R54" s="20"/>
    </row>
    <row r="55" customFormat="false" ht="15.75" hidden="false" customHeight="true" outlineLevel="0" collapsed="false">
      <c r="A55" s="75"/>
      <c r="B55" s="75"/>
      <c r="C55" s="75"/>
      <c r="D55" s="75"/>
      <c r="E55" s="75"/>
      <c r="F55" s="75"/>
      <c r="G55" s="75"/>
      <c r="H55" s="75"/>
      <c r="I55" s="75"/>
      <c r="J55" s="75"/>
      <c r="K55" s="75"/>
      <c r="L55" s="75"/>
      <c r="M55" s="75"/>
      <c r="N55" s="75"/>
      <c r="O55" s="75"/>
      <c r="P55" s="75"/>
      <c r="Q55" s="75"/>
      <c r="R55" s="75"/>
      <c r="S55" s="75"/>
    </row>
  </sheetData>
  <mergeCells count="13">
    <mergeCell ref="A1:S1"/>
    <mergeCell ref="A2:S2"/>
    <mergeCell ref="A21:A22"/>
    <mergeCell ref="B21:B22"/>
    <mergeCell ref="C21:C22"/>
    <mergeCell ref="D21:I21"/>
    <mergeCell ref="J21:L21"/>
    <mergeCell ref="M21:R21"/>
    <mergeCell ref="S21:S22"/>
    <mergeCell ref="C49:I49"/>
    <mergeCell ref="O49:R49"/>
    <mergeCell ref="C54:I54"/>
    <mergeCell ref="O54:R54"/>
  </mergeCells>
  <printOptions headings="false" gridLines="false" gridLinesSet="true" horizontalCentered="true" verticalCentered="false"/>
  <pageMargins left="0.157638888888889" right="0.196527777777778" top="0.511805555555556" bottom="0.433333333333333" header="0.511811023622047" footer="0.157638888888889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W121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AD17" activeCellId="0" sqref="AD17"/>
    </sheetView>
  </sheetViews>
  <sheetFormatPr defaultColWidth="9.2890625" defaultRowHeight="12.75" zeroHeight="false" outlineLevelRow="0" outlineLevelCol="0"/>
  <cols>
    <col collapsed="false" customWidth="true" hidden="false" outlineLevel="0" max="1" min="1" style="23" width="6.71"/>
    <col collapsed="false" customWidth="true" hidden="false" outlineLevel="0" max="2" min="2" style="23" width="12.29"/>
    <col collapsed="false" customWidth="true" hidden="false" outlineLevel="0" max="3" min="3" style="23" width="19.57"/>
    <col collapsed="false" customWidth="true" hidden="false" outlineLevel="0" max="4" min="4" style="24" width="12.71"/>
    <col collapsed="false" customWidth="true" hidden="true" outlineLevel="0" max="6" min="5" style="24" width="8.42"/>
    <col collapsed="false" customWidth="true" hidden="true" outlineLevel="0" max="7" min="7" style="24" width="11"/>
    <col collapsed="false" customWidth="true" hidden="true" outlineLevel="0" max="12" min="8" style="24" width="8.42"/>
    <col collapsed="false" customWidth="true" hidden="true" outlineLevel="0" max="14" min="13" style="24" width="14.29"/>
    <col collapsed="false" customWidth="true" hidden="false" outlineLevel="0" max="15" min="15" style="24" width="15.42"/>
    <col collapsed="false" customWidth="true" hidden="true" outlineLevel="0" max="22" min="16" style="24" width="14.29"/>
    <col collapsed="false" customWidth="true" hidden="false" outlineLevel="0" max="23" min="23" style="24" width="15.29"/>
    <col collapsed="false" customWidth="true" hidden="true" outlineLevel="0" max="25" min="24" style="24" width="14.29"/>
    <col collapsed="false" customWidth="true" hidden="true" outlineLevel="0" max="27" min="26" style="24" width="12.86"/>
    <col collapsed="false" customWidth="true" hidden="false" outlineLevel="0" max="28" min="28" style="24" width="10.29"/>
    <col collapsed="false" customWidth="false" hidden="true" outlineLevel="0" max="29" min="29" style="24" width="9.29"/>
    <col collapsed="false" customWidth="false" hidden="false" outlineLevel="0" max="30" min="30" style="23" width="9.29"/>
    <col collapsed="false" customWidth="true" hidden="false" outlineLevel="0" max="31" min="31" style="23" width="11.85"/>
    <col collapsed="false" customWidth="true" hidden="false" outlineLevel="0" max="32" min="32" style="23" width="24.57"/>
    <col collapsed="false" customWidth="false" hidden="false" outlineLevel="0" max="16384" min="33" style="23" width="9.29"/>
  </cols>
  <sheetData>
    <row r="1" s="26" customFormat="true" ht="16.5" hidden="false" customHeight="true" outlineLevel="0" collapsed="false">
      <c r="A1" s="25" t="s">
        <v>54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D1" s="3"/>
      <c r="AE1" s="3"/>
    </row>
    <row r="2" s="26" customFormat="true" ht="16.5" hidden="false" customHeight="true" outlineLevel="0" collapsed="false">
      <c r="A2" s="27" t="str">
        <f>"Kèm theo BBNT số: "&amp;VLOOKUP(AZ2,'[1]Tuyến XD8'!$A$2:$G$60,7,0)&amp;VLOOKUP(AZ2,'[1]Tuyến XD8'!$A$2:$G$60,4,0)</f>
        <v xml:space="preserve">Kèm theo BBNT số: 63.NĐXD8/CVXD ngày 16 tháng 09 năm 2026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Z2">
        <v>63</v>
      </c>
    </row>
    <row r="3" s="30" customFormat="true" ht="37.5" hidden="false" customHeight="true" outlineLevel="0" collapsed="false">
      <c r="A3" s="28" t="s">
        <v>30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  <c r="BG3" s="29"/>
      <c r="BH3" s="29"/>
      <c r="BI3" s="29"/>
      <c r="BJ3" s="29"/>
      <c r="BK3" s="29"/>
      <c r="BL3" s="29"/>
      <c r="BM3" s="29"/>
      <c r="BN3" s="29"/>
      <c r="BO3" s="29"/>
      <c r="BP3" s="29"/>
      <c r="BQ3" s="29"/>
      <c r="BR3" s="29"/>
      <c r="BS3" s="29"/>
      <c r="BT3" s="29"/>
      <c r="BU3" s="29"/>
      <c r="BV3" s="29"/>
      <c r="BW3" s="29"/>
      <c r="BX3" s="29"/>
      <c r="BY3" s="29"/>
      <c r="BZ3" s="29"/>
      <c r="CA3" s="29"/>
      <c r="CB3" s="29"/>
      <c r="CC3" s="29"/>
      <c r="CD3" s="29"/>
      <c r="CE3" s="29"/>
      <c r="CF3" s="29"/>
      <c r="CG3" s="29"/>
      <c r="CH3" s="29"/>
      <c r="CI3" s="29"/>
      <c r="CJ3" s="29"/>
      <c r="CK3" s="29"/>
      <c r="CL3" s="29"/>
      <c r="CM3" s="29"/>
      <c r="CN3" s="29"/>
      <c r="CO3" s="29"/>
      <c r="CP3" s="29"/>
      <c r="CQ3" s="29"/>
      <c r="CR3" s="29"/>
      <c r="CS3" s="29"/>
      <c r="CT3" s="29"/>
      <c r="CU3" s="29"/>
      <c r="CV3" s="29"/>
      <c r="CW3" s="29"/>
      <c r="CX3" s="29"/>
      <c r="CY3" s="29"/>
      <c r="CZ3" s="29"/>
      <c r="DA3" s="29"/>
      <c r="DB3" s="29"/>
      <c r="DC3" s="29"/>
      <c r="DD3" s="29"/>
      <c r="DE3" s="29"/>
      <c r="DF3" s="29"/>
      <c r="DG3" s="29"/>
      <c r="DH3" s="29"/>
      <c r="DI3" s="29"/>
      <c r="DJ3" s="29"/>
      <c r="DK3" s="29"/>
      <c r="DL3" s="29"/>
      <c r="DM3" s="29"/>
      <c r="DN3" s="29"/>
      <c r="DO3" s="29"/>
      <c r="DP3" s="29"/>
      <c r="DQ3" s="29"/>
      <c r="DR3" s="29"/>
      <c r="DS3" s="29"/>
      <c r="DT3" s="29"/>
      <c r="DU3" s="29"/>
      <c r="DV3" s="29"/>
      <c r="DW3" s="29"/>
      <c r="DX3" s="29"/>
      <c r="DY3" s="29"/>
      <c r="DZ3" s="29"/>
      <c r="EA3" s="29"/>
      <c r="EB3" s="29"/>
      <c r="EC3" s="29"/>
      <c r="ED3" s="29"/>
      <c r="EE3" s="29"/>
      <c r="EF3" s="29"/>
      <c r="EG3" s="29"/>
      <c r="EH3" s="29"/>
      <c r="EI3" s="29"/>
      <c r="EJ3" s="29"/>
      <c r="EK3" s="29"/>
      <c r="EL3" s="29"/>
      <c r="EM3" s="29"/>
      <c r="EN3" s="29"/>
      <c r="EO3" s="29"/>
      <c r="EP3" s="29"/>
      <c r="EQ3" s="29"/>
      <c r="ER3" s="29"/>
      <c r="ES3" s="29"/>
      <c r="ET3" s="29"/>
      <c r="EU3" s="29"/>
      <c r="EV3" s="29"/>
      <c r="EW3" s="29"/>
      <c r="EX3" s="29"/>
      <c r="EY3" s="29"/>
      <c r="EZ3" s="29"/>
      <c r="FA3" s="29"/>
      <c r="FB3" s="29"/>
      <c r="FC3" s="29"/>
      <c r="FD3" s="29"/>
      <c r="FE3" s="29"/>
      <c r="FF3" s="29"/>
      <c r="FG3" s="29"/>
      <c r="FH3" s="29"/>
      <c r="FI3" s="29"/>
      <c r="FJ3" s="29"/>
      <c r="FK3" s="29"/>
      <c r="FL3" s="29"/>
      <c r="FM3" s="29"/>
      <c r="FN3" s="29"/>
      <c r="FO3" s="29"/>
      <c r="FP3" s="29"/>
      <c r="FQ3" s="29"/>
      <c r="FR3" s="29"/>
      <c r="FS3" s="29"/>
      <c r="FT3" s="29"/>
      <c r="FU3" s="29"/>
      <c r="FV3" s="29"/>
      <c r="FW3" s="29"/>
      <c r="FX3" s="29"/>
      <c r="FY3" s="29"/>
      <c r="FZ3" s="29"/>
      <c r="GA3" s="29"/>
      <c r="GB3" s="29"/>
      <c r="GC3" s="29"/>
      <c r="GD3" s="29"/>
      <c r="GE3" s="29"/>
      <c r="GF3" s="29"/>
      <c r="GG3" s="29"/>
      <c r="GH3" s="29"/>
      <c r="GI3" s="29"/>
      <c r="GJ3" s="29"/>
      <c r="GK3" s="29"/>
      <c r="GL3" s="29"/>
      <c r="GM3" s="29"/>
      <c r="GN3" s="29"/>
      <c r="GO3" s="29"/>
      <c r="GP3" s="29"/>
      <c r="GQ3" s="29"/>
      <c r="GR3" s="29"/>
      <c r="GS3" s="29"/>
      <c r="GT3" s="29"/>
      <c r="GU3" s="29"/>
      <c r="GV3" s="29"/>
      <c r="GW3" s="29"/>
      <c r="GX3" s="29"/>
      <c r="GY3" s="29"/>
      <c r="GZ3" s="29"/>
      <c r="HA3" s="29"/>
      <c r="HB3" s="29"/>
      <c r="HC3" s="29"/>
      <c r="HD3" s="29"/>
      <c r="HE3" s="29"/>
      <c r="HF3" s="29"/>
      <c r="HG3" s="29"/>
      <c r="HH3" s="29"/>
      <c r="HI3" s="29"/>
      <c r="HJ3" s="29"/>
      <c r="HK3" s="29"/>
      <c r="HL3" s="29"/>
      <c r="HM3" s="29"/>
      <c r="HN3" s="29"/>
      <c r="HO3" s="29"/>
      <c r="HP3" s="29"/>
      <c r="HQ3" s="29"/>
      <c r="HR3" s="29"/>
      <c r="HS3" s="29"/>
      <c r="HT3" s="29"/>
      <c r="HU3" s="29"/>
      <c r="HV3" s="29"/>
      <c r="HW3" s="29"/>
    </row>
    <row r="4" s="30" customFormat="true" ht="37.5" hidden="false" customHeight="true" outlineLevel="0" collapsed="false">
      <c r="A4" s="28" t="s">
        <v>31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29"/>
      <c r="EW4" s="29"/>
      <c r="EX4" s="29"/>
      <c r="EY4" s="29"/>
      <c r="EZ4" s="29"/>
      <c r="FA4" s="29"/>
      <c r="FB4" s="29"/>
      <c r="FC4" s="29"/>
      <c r="FD4" s="29"/>
      <c r="FE4" s="29"/>
      <c r="FF4" s="29"/>
      <c r="FG4" s="29"/>
      <c r="FH4" s="29"/>
      <c r="FI4" s="29"/>
      <c r="FJ4" s="29"/>
      <c r="FK4" s="29"/>
      <c r="FL4" s="29"/>
      <c r="FM4" s="29"/>
      <c r="FN4" s="29"/>
      <c r="FO4" s="29"/>
      <c r="FP4" s="29"/>
      <c r="FQ4" s="29"/>
      <c r="FR4" s="29"/>
      <c r="FS4" s="29"/>
      <c r="FT4" s="29"/>
      <c r="FU4" s="29"/>
      <c r="FV4" s="29"/>
      <c r="FW4" s="29"/>
      <c r="FX4" s="29"/>
      <c r="FY4" s="29"/>
      <c r="FZ4" s="29"/>
      <c r="GA4" s="29"/>
      <c r="GB4" s="29"/>
      <c r="GC4" s="29"/>
      <c r="GD4" s="29"/>
      <c r="GE4" s="29"/>
      <c r="GF4" s="29"/>
      <c r="GG4" s="29"/>
      <c r="GH4" s="29"/>
      <c r="GI4" s="29"/>
      <c r="GJ4" s="29"/>
      <c r="GK4" s="29"/>
      <c r="GL4" s="29"/>
      <c r="GM4" s="29"/>
      <c r="GN4" s="29"/>
      <c r="GO4" s="29"/>
      <c r="GP4" s="29"/>
      <c r="GQ4" s="29"/>
      <c r="GR4" s="29"/>
      <c r="GS4" s="29"/>
      <c r="GT4" s="29"/>
      <c r="GU4" s="29"/>
      <c r="GV4" s="29"/>
      <c r="GW4" s="29"/>
      <c r="GX4" s="29"/>
      <c r="GY4" s="29"/>
      <c r="GZ4" s="29"/>
      <c r="HA4" s="29"/>
      <c r="HB4" s="29"/>
      <c r="HC4" s="29"/>
      <c r="HD4" s="29"/>
      <c r="HE4" s="29"/>
      <c r="HF4" s="29"/>
      <c r="HG4" s="29"/>
      <c r="HH4" s="29"/>
      <c r="HI4" s="29"/>
      <c r="HJ4" s="29"/>
      <c r="HK4" s="29"/>
      <c r="HL4" s="29"/>
      <c r="HM4" s="29"/>
      <c r="HN4" s="29"/>
      <c r="HO4" s="29"/>
      <c r="HP4" s="29"/>
      <c r="HQ4" s="29"/>
      <c r="HR4" s="29"/>
      <c r="HS4" s="29"/>
      <c r="HT4" s="29"/>
      <c r="HU4" s="29"/>
      <c r="HV4" s="29"/>
      <c r="HW4" s="29"/>
    </row>
    <row r="5" s="30" customFormat="true" ht="16.5" hidden="false" customHeight="true" outlineLevel="0" collapsed="false">
      <c r="A5" s="28" t="s">
        <v>32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</row>
    <row r="6" s="30" customFormat="true" ht="16.5" hidden="false" customHeight="true" outlineLevel="0" collapsed="false">
      <c r="A6" s="28" t="s">
        <v>33</v>
      </c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  <c r="EY6" s="29"/>
      <c r="EZ6" s="29"/>
      <c r="FA6" s="29"/>
      <c r="FB6" s="29"/>
      <c r="FC6" s="29"/>
      <c r="FD6" s="29"/>
      <c r="FE6" s="29"/>
      <c r="FF6" s="29"/>
      <c r="FG6" s="29"/>
      <c r="FH6" s="29"/>
      <c r="FI6" s="29"/>
      <c r="FJ6" s="29"/>
      <c r="FK6" s="29"/>
      <c r="FL6" s="29"/>
      <c r="FM6" s="29"/>
      <c r="FN6" s="29"/>
      <c r="FO6" s="29"/>
      <c r="FP6" s="29"/>
      <c r="FQ6" s="29"/>
      <c r="FR6" s="29"/>
      <c r="FS6" s="29"/>
      <c r="FT6" s="29"/>
      <c r="FU6" s="29"/>
      <c r="FV6" s="29"/>
      <c r="FW6" s="29"/>
      <c r="FX6" s="29"/>
      <c r="FY6" s="29"/>
      <c r="FZ6" s="29"/>
      <c r="GA6" s="29"/>
      <c r="GB6" s="29"/>
      <c r="GC6" s="29"/>
      <c r="GD6" s="29"/>
      <c r="GE6" s="29"/>
      <c r="GF6" s="29"/>
      <c r="GG6" s="29"/>
      <c r="GH6" s="29"/>
      <c r="GI6" s="29"/>
      <c r="GJ6" s="29"/>
      <c r="GK6" s="29"/>
      <c r="GL6" s="29"/>
      <c r="GM6" s="29"/>
      <c r="GN6" s="29"/>
      <c r="GO6" s="29"/>
      <c r="GP6" s="29"/>
      <c r="GQ6" s="29"/>
      <c r="GR6" s="29"/>
      <c r="GS6" s="29"/>
      <c r="GT6" s="29"/>
      <c r="GU6" s="29"/>
      <c r="GV6" s="29"/>
      <c r="GW6" s="29"/>
      <c r="GX6" s="29"/>
      <c r="GY6" s="29"/>
      <c r="GZ6" s="29"/>
      <c r="HA6" s="29"/>
      <c r="HB6" s="29"/>
      <c r="HC6" s="29"/>
      <c r="HD6" s="29"/>
      <c r="HE6" s="29"/>
      <c r="HF6" s="29"/>
      <c r="HG6" s="29"/>
      <c r="HH6" s="29"/>
      <c r="HI6" s="29"/>
      <c r="HJ6" s="29"/>
      <c r="HK6" s="29"/>
      <c r="HL6" s="29"/>
      <c r="HM6" s="29"/>
      <c r="HN6" s="29"/>
      <c r="HO6" s="29"/>
      <c r="HP6" s="29"/>
      <c r="HQ6" s="29"/>
      <c r="HR6" s="29"/>
      <c r="HS6" s="29"/>
      <c r="HT6" s="29"/>
      <c r="HU6" s="29"/>
      <c r="HV6" s="29"/>
      <c r="HW6" s="29"/>
    </row>
    <row r="7" s="30" customFormat="true" ht="31.5" hidden="false" customHeight="true" outlineLevel="0" collapsed="false">
      <c r="A7" s="31" t="s">
        <v>34</v>
      </c>
      <c r="B7" s="32"/>
      <c r="D7" s="33" t="str">
        <f>VLOOKUP(AZ2,'[1]Tuyến XD8'!$A$2:$B$60,2,0)</f>
        <v xml:space="preserve">Đắp cát nền đường lớp 4 đoạn từ Km0+489,19 - Km0+609,11, độ chặt K&gt;=0,95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  <c r="EX7" s="29"/>
      <c r="EY7" s="29"/>
      <c r="EZ7" s="29"/>
      <c r="FA7" s="29"/>
      <c r="FB7" s="29"/>
      <c r="FC7" s="29"/>
      <c r="FD7" s="29"/>
      <c r="FE7" s="29"/>
      <c r="FF7" s="29"/>
      <c r="FG7" s="29"/>
      <c r="FH7" s="29"/>
      <c r="FI7" s="29"/>
      <c r="FJ7" s="29"/>
      <c r="FK7" s="29"/>
      <c r="FL7" s="29"/>
      <c r="FM7" s="29"/>
      <c r="FN7" s="29"/>
      <c r="FO7" s="29"/>
      <c r="FP7" s="29"/>
      <c r="FQ7" s="29"/>
      <c r="FR7" s="29"/>
      <c r="FS7" s="29"/>
      <c r="FT7" s="29"/>
      <c r="FU7" s="29"/>
      <c r="FV7" s="29"/>
      <c r="FW7" s="29"/>
      <c r="FX7" s="29"/>
      <c r="FY7" s="29"/>
      <c r="FZ7" s="29"/>
      <c r="GA7" s="29"/>
      <c r="GB7" s="29"/>
      <c r="GC7" s="29"/>
      <c r="GD7" s="29"/>
      <c r="GE7" s="29"/>
      <c r="GF7" s="29"/>
      <c r="GG7" s="29"/>
      <c r="GH7" s="29"/>
      <c r="GI7" s="29"/>
      <c r="GJ7" s="29"/>
      <c r="GK7" s="29"/>
      <c r="GL7" s="29"/>
      <c r="GM7" s="29"/>
      <c r="GN7" s="29"/>
      <c r="GO7" s="29"/>
      <c r="GP7" s="29"/>
      <c r="GQ7" s="29"/>
      <c r="GR7" s="29"/>
      <c r="GS7" s="29"/>
      <c r="GT7" s="29"/>
      <c r="GU7" s="29"/>
      <c r="GV7" s="29"/>
      <c r="GW7" s="29"/>
      <c r="GX7" s="29"/>
      <c r="GY7" s="29"/>
      <c r="GZ7" s="29"/>
      <c r="HA7" s="29"/>
      <c r="HB7" s="29"/>
      <c r="HC7" s="29"/>
      <c r="HD7" s="29"/>
      <c r="HE7" s="29"/>
      <c r="HF7" s="29"/>
      <c r="HG7" s="29"/>
      <c r="HH7" s="29"/>
      <c r="HI7" s="29"/>
      <c r="HJ7" s="29"/>
      <c r="HK7" s="29"/>
      <c r="HL7" s="29"/>
      <c r="HM7" s="29"/>
      <c r="HN7" s="29"/>
      <c r="HO7" s="29"/>
      <c r="HP7" s="29"/>
      <c r="HQ7" s="29"/>
      <c r="HR7" s="29"/>
      <c r="HS7" s="29"/>
      <c r="HT7" s="29"/>
      <c r="HU7" s="29"/>
      <c r="HV7" s="29"/>
      <c r="HW7" s="29"/>
    </row>
    <row r="8" s="29" customFormat="true" ht="13.5" hidden="false" customHeight="true" outlineLevel="0" collapsed="false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</row>
    <row r="9" s="41" customFormat="true" ht="22.5" hidden="false" customHeight="true" outlineLevel="0" collapsed="false">
      <c r="A9" s="35" t="s">
        <v>0</v>
      </c>
      <c r="B9" s="35" t="s">
        <v>38</v>
      </c>
      <c r="C9" s="35" t="s">
        <v>39</v>
      </c>
      <c r="D9" s="36" t="s">
        <v>55</v>
      </c>
      <c r="E9" s="37"/>
      <c r="F9" s="37"/>
      <c r="G9" s="36"/>
      <c r="H9" s="37"/>
      <c r="I9" s="37"/>
      <c r="J9" s="37"/>
      <c r="K9" s="37"/>
      <c r="L9" s="37"/>
      <c r="M9" s="38" t="s">
        <v>56</v>
      </c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9"/>
      <c r="AA9" s="39"/>
      <c r="AB9" s="36" t="s">
        <v>43</v>
      </c>
      <c r="AC9" s="40"/>
    </row>
    <row r="10" s="45" customFormat="true" ht="28.5" hidden="false" customHeight="true" outlineLevel="0" collapsed="false">
      <c r="A10" s="35"/>
      <c r="B10" s="35"/>
      <c r="C10" s="35"/>
      <c r="D10" s="35"/>
      <c r="E10" s="38"/>
      <c r="F10" s="38"/>
      <c r="G10" s="38"/>
      <c r="H10" s="38"/>
      <c r="I10" s="38"/>
      <c r="J10" s="38"/>
      <c r="K10" s="38"/>
      <c r="L10" s="38"/>
      <c r="M10" s="38"/>
      <c r="N10" s="38" t="s">
        <v>57</v>
      </c>
      <c r="O10" s="38" t="s">
        <v>58</v>
      </c>
      <c r="P10" s="38" t="s">
        <v>57</v>
      </c>
      <c r="Q10" s="38" t="s">
        <v>57</v>
      </c>
      <c r="R10" s="38"/>
      <c r="S10" s="38"/>
      <c r="T10" s="38"/>
      <c r="U10" s="38" t="s">
        <v>59</v>
      </c>
      <c r="V10" s="38" t="s">
        <v>59</v>
      </c>
      <c r="W10" s="38" t="s">
        <v>60</v>
      </c>
      <c r="X10" s="38" t="s">
        <v>59</v>
      </c>
      <c r="Y10" s="38" t="s">
        <v>59</v>
      </c>
      <c r="Z10" s="42"/>
      <c r="AA10" s="42"/>
      <c r="AB10" s="36"/>
      <c r="AC10" s="43"/>
      <c r="AD10" s="44"/>
      <c r="AE10" s="44"/>
    </row>
    <row r="11" s="45" customFormat="true" ht="15" hidden="false" customHeight="true" outlineLevel="0" collapsed="false">
      <c r="A11" s="14" t="n">
        <v>1</v>
      </c>
      <c r="B11" s="14" t="str">
        <f aca="false">'4.KTHH L4'!B23</f>
        <v>25</v>
      </c>
      <c r="C11" s="16" t="n">
        <f aca="false">'4.KTHH L4'!C23</f>
        <v>489.19</v>
      </c>
      <c r="D11" s="14" t="n">
        <f aca="false">'4.KTHH L4'!T23</f>
        <v>13.17</v>
      </c>
      <c r="E11" s="46"/>
      <c r="F11" s="46"/>
      <c r="G11" s="46"/>
      <c r="H11" s="46"/>
      <c r="I11" s="46"/>
      <c r="J11" s="46"/>
      <c r="K11" s="47"/>
      <c r="L11" s="17"/>
      <c r="M11" s="18"/>
      <c r="N11" s="48"/>
      <c r="O11" s="49" t="n">
        <f aca="false">Chạy!E2</f>
        <v>4.62</v>
      </c>
      <c r="P11" s="47"/>
      <c r="Q11" s="47"/>
      <c r="R11" s="50"/>
      <c r="S11" s="50"/>
      <c r="T11" s="50"/>
      <c r="U11" s="50"/>
      <c r="V11" s="50"/>
      <c r="W11" s="50" t="n">
        <f aca="false">(O11+O12)*D11/2</f>
        <v>70.9863</v>
      </c>
      <c r="X11" s="50"/>
      <c r="Y11" s="50"/>
      <c r="Z11" s="50"/>
      <c r="AA11" s="50"/>
      <c r="AB11" s="51"/>
      <c r="AC11" s="50"/>
      <c r="AE11" s="52"/>
    </row>
    <row r="12" s="45" customFormat="true" ht="15" hidden="false" customHeight="true" outlineLevel="0" collapsed="false">
      <c r="A12" s="14" t="n">
        <v>2</v>
      </c>
      <c r="B12" s="14" t="str">
        <f aca="false">'4.KTHH L4'!B24</f>
        <v>D1</v>
      </c>
      <c r="C12" s="16" t="n">
        <f aca="false">'4.KTHH L4'!C24</f>
        <v>502.36</v>
      </c>
      <c r="D12" s="14" t="n">
        <f aca="false">'4.KTHH L4'!T24</f>
        <v>10.48</v>
      </c>
      <c r="E12" s="46"/>
      <c r="F12" s="46"/>
      <c r="G12" s="46"/>
      <c r="H12" s="46"/>
      <c r="I12" s="46"/>
      <c r="J12" s="46"/>
      <c r="K12" s="47"/>
      <c r="L12" s="17"/>
      <c r="M12" s="18"/>
      <c r="N12" s="48"/>
      <c r="O12" s="49" t="n">
        <f aca="false">Chạy!E6</f>
        <v>6.16</v>
      </c>
      <c r="P12" s="47"/>
      <c r="Q12" s="47"/>
      <c r="R12" s="50"/>
      <c r="S12" s="50"/>
      <c r="T12" s="50"/>
      <c r="U12" s="50"/>
      <c r="V12" s="50"/>
      <c r="W12" s="50" t="n">
        <f aca="false">(O12+O13)*D12/2</f>
        <v>63.5612</v>
      </c>
      <c r="X12" s="50"/>
      <c r="Y12" s="50"/>
      <c r="Z12" s="50"/>
      <c r="AA12" s="50"/>
      <c r="AB12" s="51"/>
      <c r="AC12" s="50"/>
      <c r="AE12" s="52"/>
    </row>
    <row r="13" s="45" customFormat="true" ht="15" hidden="false" customHeight="true" outlineLevel="0" collapsed="false">
      <c r="A13" s="14" t="n">
        <v>3</v>
      </c>
      <c r="B13" s="14" t="str">
        <f aca="false">'4.KTHH L4'!B25</f>
        <v>26</v>
      </c>
      <c r="C13" s="16" t="n">
        <f aca="false">'4.KTHH L4'!C25</f>
        <v>512.84</v>
      </c>
      <c r="D13" s="14" t="n">
        <f aca="false">'4.KTHH L4'!T25</f>
        <v>16.78</v>
      </c>
      <c r="E13" s="46"/>
      <c r="F13" s="46"/>
      <c r="G13" s="46"/>
      <c r="H13" s="46"/>
      <c r="I13" s="46"/>
      <c r="J13" s="46"/>
      <c r="K13" s="47"/>
      <c r="L13" s="17"/>
      <c r="M13" s="18"/>
      <c r="N13" s="48"/>
      <c r="O13" s="49" t="n">
        <f aca="false">Chạy!E10</f>
        <v>5.97</v>
      </c>
      <c r="P13" s="47"/>
      <c r="Q13" s="47"/>
      <c r="R13" s="50"/>
      <c r="S13" s="50"/>
      <c r="T13" s="50"/>
      <c r="U13" s="50"/>
      <c r="V13" s="50"/>
      <c r="W13" s="50" t="n">
        <f aca="false">(O13+O14)*D13/2</f>
        <v>101.6029</v>
      </c>
      <c r="X13" s="50"/>
      <c r="Y13" s="50"/>
      <c r="Z13" s="50"/>
      <c r="AA13" s="50"/>
      <c r="AB13" s="51"/>
      <c r="AC13" s="50"/>
      <c r="AE13" s="52"/>
    </row>
    <row r="14" s="45" customFormat="true" ht="15" hidden="false" customHeight="true" outlineLevel="0" collapsed="false">
      <c r="A14" s="14" t="n">
        <v>4</v>
      </c>
      <c r="B14" s="14" t="str">
        <f aca="false">'4.KTHH L4'!B26</f>
        <v>27</v>
      </c>
      <c r="C14" s="16" t="n">
        <f aca="false">'4.KTHH L4'!C26</f>
        <v>529.62</v>
      </c>
      <c r="D14" s="14" t="n">
        <f aca="false">'4.KTHH L4'!T26</f>
        <v>17.1</v>
      </c>
      <c r="E14" s="46"/>
      <c r="F14" s="46"/>
      <c r="G14" s="46"/>
      <c r="H14" s="46"/>
      <c r="I14" s="46"/>
      <c r="J14" s="46"/>
      <c r="K14" s="47"/>
      <c r="L14" s="17"/>
      <c r="M14" s="18"/>
      <c r="N14" s="48"/>
      <c r="O14" s="49" t="n">
        <f aca="false">Chạy!E14</f>
        <v>6.14</v>
      </c>
      <c r="P14" s="47"/>
      <c r="Q14" s="47"/>
      <c r="R14" s="50"/>
      <c r="S14" s="50"/>
      <c r="T14" s="50"/>
      <c r="U14" s="50"/>
      <c r="V14" s="50"/>
      <c r="W14" s="50" t="n">
        <f aca="false">(O14+O15)*D14/2</f>
        <v>92.0835</v>
      </c>
      <c r="X14" s="50"/>
      <c r="Y14" s="50"/>
      <c r="Z14" s="50"/>
      <c r="AA14" s="50"/>
      <c r="AB14" s="51"/>
      <c r="AC14" s="50"/>
      <c r="AE14" s="52"/>
    </row>
    <row r="15" s="45" customFormat="true" ht="15" hidden="false" customHeight="true" outlineLevel="0" collapsed="false">
      <c r="A15" s="14" t="n">
        <v>5</v>
      </c>
      <c r="B15" s="14" t="str">
        <f aca="false">'4.KTHH L4'!B27</f>
        <v>28</v>
      </c>
      <c r="C15" s="16" t="n">
        <f aca="false">'4.KTHH L4'!C27</f>
        <v>546.72</v>
      </c>
      <c r="D15" s="14" t="n">
        <f aca="false">'4.KTHH L4'!T27</f>
        <v>15.15</v>
      </c>
      <c r="E15" s="46"/>
      <c r="F15" s="46"/>
      <c r="G15" s="46"/>
      <c r="H15" s="46"/>
      <c r="I15" s="46"/>
      <c r="J15" s="46"/>
      <c r="K15" s="47"/>
      <c r="L15" s="17"/>
      <c r="M15" s="18"/>
      <c r="N15" s="48"/>
      <c r="O15" s="49" t="n">
        <f aca="false">Chạy!E18</f>
        <v>4.63</v>
      </c>
      <c r="P15" s="47"/>
      <c r="Q15" s="47"/>
      <c r="R15" s="50"/>
      <c r="S15" s="50"/>
      <c r="T15" s="50"/>
      <c r="U15" s="50"/>
      <c r="V15" s="50"/>
      <c r="W15" s="50" t="n">
        <f aca="false">(O15+O16)*D15/2</f>
        <v>80.06775</v>
      </c>
      <c r="X15" s="50"/>
      <c r="Y15" s="50"/>
      <c r="Z15" s="50"/>
      <c r="AA15" s="50"/>
      <c r="AB15" s="51"/>
      <c r="AC15" s="50"/>
      <c r="AE15" s="52"/>
    </row>
    <row r="16" s="45" customFormat="true" ht="15" hidden="false" customHeight="true" outlineLevel="0" collapsed="false">
      <c r="A16" s="14" t="n">
        <v>6</v>
      </c>
      <c r="B16" s="14" t="str">
        <f aca="false">'4.KTHH L4'!B28</f>
        <v>E5</v>
      </c>
      <c r="C16" s="16" t="n">
        <f aca="false">'4.KTHH L4'!C28</f>
        <v>561.87</v>
      </c>
      <c r="D16" s="14" t="n">
        <f aca="false">'4.KTHH L4'!T28</f>
        <v>0.15</v>
      </c>
      <c r="E16" s="46"/>
      <c r="F16" s="46"/>
      <c r="G16" s="46"/>
      <c r="H16" s="46"/>
      <c r="I16" s="46"/>
      <c r="J16" s="46"/>
      <c r="K16" s="47"/>
      <c r="L16" s="17"/>
      <c r="M16" s="18"/>
      <c r="N16" s="48"/>
      <c r="O16" s="49" t="n">
        <f aca="false">Chạy!E22</f>
        <v>5.94</v>
      </c>
      <c r="P16" s="47"/>
      <c r="Q16" s="47"/>
      <c r="R16" s="50"/>
      <c r="S16" s="50"/>
      <c r="T16" s="50"/>
      <c r="U16" s="50"/>
      <c r="V16" s="50"/>
      <c r="W16" s="50" t="n">
        <f aca="false">(O16+O17)*D16/2</f>
        <v>0.89175</v>
      </c>
      <c r="X16" s="50"/>
      <c r="Y16" s="50"/>
      <c r="Z16" s="50"/>
      <c r="AA16" s="50"/>
      <c r="AB16" s="51"/>
      <c r="AC16" s="50"/>
      <c r="AE16" s="52"/>
    </row>
    <row r="17" s="45" customFormat="true" ht="15" hidden="false" customHeight="true" outlineLevel="0" collapsed="false">
      <c r="A17" s="14" t="n">
        <v>7</v>
      </c>
      <c r="B17" s="14" t="str">
        <f aca="false">'4.KTHH L4'!B29</f>
        <v>TD</v>
      </c>
      <c r="C17" s="16" t="n">
        <f aca="false">'4.KTHH L4'!C29</f>
        <v>562.02</v>
      </c>
      <c r="D17" s="14" t="n">
        <f aca="false">'4.KTHH L4'!T29</f>
        <v>6.55</v>
      </c>
      <c r="E17" s="46"/>
      <c r="F17" s="46"/>
      <c r="G17" s="46"/>
      <c r="H17" s="46"/>
      <c r="I17" s="46"/>
      <c r="J17" s="46"/>
      <c r="K17" s="47"/>
      <c r="L17" s="17"/>
      <c r="M17" s="18"/>
      <c r="N17" s="48"/>
      <c r="O17" s="49" t="n">
        <f aca="false">Chạy!E26</f>
        <v>5.95</v>
      </c>
      <c r="P17" s="47"/>
      <c r="Q17" s="47"/>
      <c r="R17" s="50"/>
      <c r="S17" s="50"/>
      <c r="T17" s="50"/>
      <c r="U17" s="50"/>
      <c r="V17" s="50"/>
      <c r="W17" s="50" t="n">
        <f aca="false">(O17+O18)*D17/2</f>
        <v>39.46375</v>
      </c>
      <c r="X17" s="50"/>
      <c r="Y17" s="50"/>
      <c r="Z17" s="50"/>
      <c r="AA17" s="50"/>
      <c r="AB17" s="51"/>
      <c r="AC17" s="50"/>
      <c r="AE17" s="52"/>
    </row>
    <row r="18" s="45" customFormat="true" ht="15" hidden="false" customHeight="true" outlineLevel="0" collapsed="false">
      <c r="A18" s="14" t="n">
        <v>8</v>
      </c>
      <c r="B18" s="14" t="str">
        <f aca="false">'4.KTHH L4'!B30</f>
        <v>P</v>
      </c>
      <c r="C18" s="16" t="n">
        <f aca="false">'4.KTHH L4'!C30</f>
        <v>568.57</v>
      </c>
      <c r="D18" s="14" t="n">
        <f aca="false">'4.KTHH L4'!T30</f>
        <v>6.55</v>
      </c>
      <c r="E18" s="46"/>
      <c r="F18" s="46"/>
      <c r="G18" s="46"/>
      <c r="H18" s="46"/>
      <c r="I18" s="46"/>
      <c r="J18" s="46"/>
      <c r="K18" s="47"/>
      <c r="L18" s="17"/>
      <c r="M18" s="18"/>
      <c r="N18" s="48"/>
      <c r="O18" s="49" t="n">
        <f aca="false">Chạy!E30</f>
        <v>6.1</v>
      </c>
      <c r="P18" s="47"/>
      <c r="Q18" s="47"/>
      <c r="R18" s="50"/>
      <c r="S18" s="50"/>
      <c r="T18" s="50"/>
      <c r="U18" s="50"/>
      <c r="V18" s="50"/>
      <c r="W18" s="50" t="n">
        <f aca="false">(O18+O19)*D18/2</f>
        <v>38.776</v>
      </c>
      <c r="X18" s="50"/>
      <c r="Y18" s="50"/>
      <c r="Z18" s="50"/>
      <c r="AA18" s="50"/>
      <c r="AB18" s="51"/>
      <c r="AC18" s="50"/>
      <c r="AE18" s="52"/>
    </row>
    <row r="19" s="45" customFormat="true" ht="15" hidden="false" customHeight="true" outlineLevel="0" collapsed="false">
      <c r="A19" s="14" t="n">
        <v>9</v>
      </c>
      <c r="B19" s="14" t="str">
        <f aca="false">'4.KTHH L4'!B31</f>
        <v>TC</v>
      </c>
      <c r="C19" s="16" t="n">
        <f aca="false">'4.KTHH L4'!C31</f>
        <v>575.12</v>
      </c>
      <c r="D19" s="14" t="n">
        <f aca="false">'4.KTHH L4'!T31</f>
        <v>0.04</v>
      </c>
      <c r="E19" s="46"/>
      <c r="F19" s="46"/>
      <c r="G19" s="46"/>
      <c r="H19" s="46"/>
      <c r="I19" s="46"/>
      <c r="J19" s="46"/>
      <c r="K19" s="47"/>
      <c r="L19" s="17"/>
      <c r="M19" s="18"/>
      <c r="N19" s="48"/>
      <c r="O19" s="49" t="n">
        <f aca="false">Chạy!E34</f>
        <v>5.74</v>
      </c>
      <c r="P19" s="47"/>
      <c r="Q19" s="47"/>
      <c r="R19" s="50"/>
      <c r="S19" s="50"/>
      <c r="T19" s="50"/>
      <c r="U19" s="50"/>
      <c r="V19" s="50"/>
      <c r="W19" s="50" t="n">
        <f aca="false">(O19+O20)*D19/2</f>
        <v>0.2282</v>
      </c>
      <c r="X19" s="50"/>
      <c r="Y19" s="50"/>
      <c r="Z19" s="50"/>
      <c r="AA19" s="50"/>
      <c r="AB19" s="51"/>
      <c r="AC19" s="50"/>
      <c r="AE19" s="52"/>
    </row>
    <row r="20" s="45" customFormat="true" ht="15" hidden="false" customHeight="true" outlineLevel="0" collapsed="false">
      <c r="A20" s="14" t="n">
        <v>10</v>
      </c>
      <c r="B20" s="14" t="str">
        <f aca="false">'4.KTHH L4'!B32</f>
        <v>29</v>
      </c>
      <c r="C20" s="16" t="n">
        <f aca="false">'4.KTHH L4'!C32</f>
        <v>575.16</v>
      </c>
      <c r="D20" s="14" t="n">
        <f aca="false">'4.KTHH L4'!T32</f>
        <v>16.95</v>
      </c>
      <c r="E20" s="46"/>
      <c r="F20" s="46"/>
      <c r="G20" s="46"/>
      <c r="H20" s="46"/>
      <c r="I20" s="46"/>
      <c r="J20" s="46"/>
      <c r="K20" s="47"/>
      <c r="L20" s="17"/>
      <c r="M20" s="18"/>
      <c r="N20" s="48"/>
      <c r="O20" s="49" t="n">
        <f aca="false">Chạy!E38</f>
        <v>5.67</v>
      </c>
      <c r="P20" s="47"/>
      <c r="Q20" s="47"/>
      <c r="R20" s="50"/>
      <c r="S20" s="50"/>
      <c r="T20" s="50"/>
      <c r="U20" s="50"/>
      <c r="V20" s="50"/>
      <c r="W20" s="50" t="n">
        <f aca="false">(O20+O21)*D20/2</f>
        <v>98.56425</v>
      </c>
      <c r="X20" s="50"/>
      <c r="Y20" s="50"/>
      <c r="Z20" s="50"/>
      <c r="AA20" s="50"/>
      <c r="AB20" s="51"/>
      <c r="AC20" s="50"/>
      <c r="AE20" s="52"/>
    </row>
    <row r="21" s="45" customFormat="true" ht="15" hidden="false" customHeight="true" outlineLevel="0" collapsed="false">
      <c r="A21" s="14" t="n">
        <v>11</v>
      </c>
      <c r="B21" s="14" t="str">
        <f aca="false">'4.KTHH L4'!B33</f>
        <v>30</v>
      </c>
      <c r="C21" s="16" t="n">
        <f aca="false">'4.KTHH L4'!C33</f>
        <v>592.11</v>
      </c>
      <c r="D21" s="14" t="n">
        <f aca="false">'4.KTHH L4'!T33</f>
        <v>17</v>
      </c>
      <c r="E21" s="46"/>
      <c r="F21" s="46"/>
      <c r="G21" s="46"/>
      <c r="H21" s="46"/>
      <c r="I21" s="46"/>
      <c r="J21" s="46"/>
      <c r="K21" s="47"/>
      <c r="L21" s="17"/>
      <c r="M21" s="18"/>
      <c r="N21" s="48"/>
      <c r="O21" s="49" t="n">
        <f aca="false">Chạy!E42</f>
        <v>5.96</v>
      </c>
      <c r="P21" s="47"/>
      <c r="Q21" s="47"/>
      <c r="R21" s="50"/>
      <c r="S21" s="50"/>
      <c r="T21" s="50"/>
      <c r="U21" s="50"/>
      <c r="V21" s="50"/>
      <c r="W21" s="50" t="n">
        <f aca="false">(O21+O22)*D21/2</f>
        <v>96.815</v>
      </c>
      <c r="X21" s="50"/>
      <c r="Y21" s="50"/>
      <c r="Z21" s="50"/>
      <c r="AA21" s="50"/>
      <c r="AB21" s="51"/>
      <c r="AC21" s="50"/>
      <c r="AE21" s="52"/>
    </row>
    <row r="22" s="45" customFormat="true" ht="15" hidden="false" customHeight="true" outlineLevel="0" collapsed="false">
      <c r="A22" s="14" t="n">
        <v>12</v>
      </c>
      <c r="B22" s="14" t="str">
        <f aca="false">'4.KTHH L4'!B34</f>
        <v>31</v>
      </c>
      <c r="C22" s="16" t="n">
        <f aca="false">'4.KTHH L4'!C34</f>
        <v>609.11</v>
      </c>
      <c r="D22" s="14"/>
      <c r="E22" s="46"/>
      <c r="F22" s="46"/>
      <c r="G22" s="46"/>
      <c r="H22" s="46"/>
      <c r="I22" s="46"/>
      <c r="J22" s="46"/>
      <c r="K22" s="47"/>
      <c r="L22" s="17"/>
      <c r="M22" s="18"/>
      <c r="N22" s="48"/>
      <c r="O22" s="49" t="n">
        <f aca="false">Chạy!E46</f>
        <v>5.43</v>
      </c>
      <c r="P22" s="47"/>
      <c r="Q22" s="47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1"/>
      <c r="AC22" s="50"/>
      <c r="AE22" s="52"/>
    </row>
    <row r="23" s="45" customFormat="true" ht="15" hidden="true" customHeight="true" outlineLevel="0" collapsed="false">
      <c r="A23" s="14"/>
      <c r="B23" s="14"/>
      <c r="C23" s="16"/>
      <c r="D23" s="14"/>
      <c r="E23" s="46"/>
      <c r="F23" s="46"/>
      <c r="G23" s="46"/>
      <c r="H23" s="46"/>
      <c r="I23" s="46"/>
      <c r="J23" s="46"/>
      <c r="K23" s="47"/>
      <c r="L23" s="17"/>
      <c r="M23" s="18"/>
      <c r="N23" s="48"/>
      <c r="O23" s="49"/>
      <c r="P23" s="47"/>
      <c r="Q23" s="47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1"/>
      <c r="AC23" s="50"/>
      <c r="AE23" s="52"/>
    </row>
    <row r="24" s="45" customFormat="true" ht="15" hidden="true" customHeight="true" outlineLevel="0" collapsed="false">
      <c r="A24" s="14"/>
      <c r="B24" s="14"/>
      <c r="C24" s="16"/>
      <c r="D24" s="14"/>
      <c r="E24" s="46"/>
      <c r="F24" s="46"/>
      <c r="G24" s="46"/>
      <c r="H24" s="46"/>
      <c r="I24" s="46"/>
      <c r="J24" s="46"/>
      <c r="K24" s="47"/>
      <c r="L24" s="17"/>
      <c r="M24" s="18"/>
      <c r="N24" s="48"/>
      <c r="O24" s="49"/>
      <c r="P24" s="47"/>
      <c r="Q24" s="47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1"/>
      <c r="AC24" s="50"/>
      <c r="AE24" s="52"/>
    </row>
    <row r="25" s="45" customFormat="true" ht="15" hidden="true" customHeight="true" outlineLevel="0" collapsed="false">
      <c r="A25" s="14"/>
      <c r="B25" s="14"/>
      <c r="C25" s="16"/>
      <c r="D25" s="14"/>
      <c r="E25" s="46"/>
      <c r="F25" s="46"/>
      <c r="G25" s="46"/>
      <c r="H25" s="46"/>
      <c r="I25" s="46"/>
      <c r="J25" s="46"/>
      <c r="K25" s="47"/>
      <c r="L25" s="17"/>
      <c r="M25" s="18"/>
      <c r="N25" s="48"/>
      <c r="O25" s="49"/>
      <c r="P25" s="47"/>
      <c r="Q25" s="47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1"/>
      <c r="AC25" s="50"/>
      <c r="AE25" s="52"/>
    </row>
    <row r="26" s="45" customFormat="true" ht="15" hidden="true" customHeight="true" outlineLevel="0" collapsed="false">
      <c r="A26" s="14"/>
      <c r="B26" s="14"/>
      <c r="C26" s="16"/>
      <c r="D26" s="14"/>
      <c r="E26" s="46"/>
      <c r="F26" s="46"/>
      <c r="G26" s="46"/>
      <c r="H26" s="46"/>
      <c r="I26" s="46"/>
      <c r="J26" s="46"/>
      <c r="K26" s="47"/>
      <c r="L26" s="17"/>
      <c r="M26" s="18"/>
      <c r="N26" s="48"/>
      <c r="O26" s="49"/>
      <c r="P26" s="47"/>
      <c r="Q26" s="47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1"/>
      <c r="AC26" s="50"/>
      <c r="AE26" s="52"/>
    </row>
    <row r="27" s="45" customFormat="true" ht="15" hidden="true" customHeight="true" outlineLevel="0" collapsed="false">
      <c r="A27" s="14"/>
      <c r="B27" s="14"/>
      <c r="C27" s="16"/>
      <c r="D27" s="14"/>
      <c r="E27" s="46"/>
      <c r="F27" s="46"/>
      <c r="G27" s="46"/>
      <c r="H27" s="46"/>
      <c r="I27" s="46"/>
      <c r="J27" s="46"/>
      <c r="K27" s="47"/>
      <c r="L27" s="17"/>
      <c r="M27" s="18"/>
      <c r="N27" s="48"/>
      <c r="O27" s="49"/>
      <c r="P27" s="47"/>
      <c r="Q27" s="47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1"/>
      <c r="AC27" s="50"/>
      <c r="AE27" s="52"/>
    </row>
    <row r="28" s="45" customFormat="true" ht="15" hidden="true" customHeight="true" outlineLevel="0" collapsed="false">
      <c r="A28" s="14"/>
      <c r="B28" s="14"/>
      <c r="C28" s="16"/>
      <c r="D28" s="14"/>
      <c r="E28" s="46"/>
      <c r="F28" s="46"/>
      <c r="G28" s="46"/>
      <c r="H28" s="46"/>
      <c r="I28" s="46"/>
      <c r="J28" s="46"/>
      <c r="K28" s="47"/>
      <c r="L28" s="17"/>
      <c r="M28" s="18"/>
      <c r="N28" s="48"/>
      <c r="O28" s="49"/>
      <c r="P28" s="47"/>
      <c r="Q28" s="47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1"/>
      <c r="AC28" s="50"/>
      <c r="AE28" s="52"/>
    </row>
    <row r="29" s="45" customFormat="true" ht="15" hidden="true" customHeight="true" outlineLevel="0" collapsed="false">
      <c r="A29" s="14"/>
      <c r="B29" s="14"/>
      <c r="C29" s="16"/>
      <c r="D29" s="14"/>
      <c r="E29" s="46"/>
      <c r="F29" s="46"/>
      <c r="G29" s="46"/>
      <c r="H29" s="46"/>
      <c r="I29" s="46"/>
      <c r="J29" s="46"/>
      <c r="K29" s="47"/>
      <c r="L29" s="17"/>
      <c r="M29" s="18"/>
      <c r="N29" s="48"/>
      <c r="O29" s="49"/>
      <c r="P29" s="47"/>
      <c r="Q29" s="47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1"/>
      <c r="AC29" s="50"/>
      <c r="AE29" s="52"/>
    </row>
    <row r="30" s="45" customFormat="true" ht="15" hidden="true" customHeight="true" outlineLevel="0" collapsed="false">
      <c r="A30" s="14"/>
      <c r="B30" s="14"/>
      <c r="C30" s="16"/>
      <c r="D30" s="14"/>
      <c r="E30" s="46"/>
      <c r="F30" s="46"/>
      <c r="G30" s="46"/>
      <c r="H30" s="46"/>
      <c r="I30" s="46"/>
      <c r="J30" s="46"/>
      <c r="K30" s="47"/>
      <c r="L30" s="17"/>
      <c r="M30" s="18"/>
      <c r="N30" s="48"/>
      <c r="O30" s="49"/>
      <c r="P30" s="47"/>
      <c r="Q30" s="47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1"/>
      <c r="AC30" s="50"/>
      <c r="AE30" s="52"/>
    </row>
    <row r="31" s="45" customFormat="true" ht="15" hidden="true" customHeight="true" outlineLevel="0" collapsed="false">
      <c r="A31" s="14"/>
      <c r="B31" s="14"/>
      <c r="C31" s="16"/>
      <c r="D31" s="14"/>
      <c r="E31" s="46"/>
      <c r="F31" s="46"/>
      <c r="G31" s="46"/>
      <c r="H31" s="46"/>
      <c r="I31" s="46"/>
      <c r="J31" s="46"/>
      <c r="K31" s="47"/>
      <c r="L31" s="17"/>
      <c r="M31" s="18"/>
      <c r="N31" s="48"/>
      <c r="O31" s="49"/>
      <c r="P31" s="47"/>
      <c r="Q31" s="47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1"/>
      <c r="AC31" s="50"/>
      <c r="AE31" s="52"/>
    </row>
    <row r="32" s="45" customFormat="true" ht="15" hidden="true" customHeight="true" outlineLevel="0" collapsed="false">
      <c r="A32" s="14"/>
      <c r="B32" s="14"/>
      <c r="C32" s="16"/>
      <c r="D32" s="14"/>
      <c r="E32" s="46"/>
      <c r="F32" s="46"/>
      <c r="G32" s="46"/>
      <c r="H32" s="46"/>
      <c r="I32" s="46"/>
      <c r="J32" s="46"/>
      <c r="K32" s="47"/>
      <c r="L32" s="17"/>
      <c r="M32" s="18"/>
      <c r="N32" s="48"/>
      <c r="O32" s="49"/>
      <c r="P32" s="47"/>
      <c r="Q32" s="47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1"/>
      <c r="AC32" s="50"/>
      <c r="AE32" s="52"/>
    </row>
    <row r="33" s="45" customFormat="true" ht="15" hidden="true" customHeight="true" outlineLevel="0" collapsed="false">
      <c r="A33" s="14"/>
      <c r="B33" s="14"/>
      <c r="C33" s="16"/>
      <c r="D33" s="14"/>
      <c r="E33" s="46"/>
      <c r="F33" s="46"/>
      <c r="G33" s="46"/>
      <c r="H33" s="46"/>
      <c r="I33" s="46"/>
      <c r="J33" s="46"/>
      <c r="K33" s="47"/>
      <c r="L33" s="17"/>
      <c r="M33" s="18"/>
      <c r="N33" s="48"/>
      <c r="O33" s="49"/>
      <c r="P33" s="47"/>
      <c r="Q33" s="47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1"/>
      <c r="AC33" s="50"/>
      <c r="AE33" s="52"/>
    </row>
    <row r="34" s="45" customFormat="true" ht="15" hidden="true" customHeight="true" outlineLevel="0" collapsed="false">
      <c r="A34" s="14"/>
      <c r="B34" s="14"/>
      <c r="C34" s="16"/>
      <c r="D34" s="14"/>
      <c r="E34" s="46"/>
      <c r="F34" s="46"/>
      <c r="G34" s="46"/>
      <c r="H34" s="46"/>
      <c r="I34" s="46"/>
      <c r="J34" s="46"/>
      <c r="K34" s="47"/>
      <c r="L34" s="17"/>
      <c r="M34" s="18"/>
      <c r="N34" s="48"/>
      <c r="O34" s="49"/>
      <c r="P34" s="47"/>
      <c r="Q34" s="47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1"/>
      <c r="AC34" s="50"/>
      <c r="AE34" s="52"/>
    </row>
    <row r="35" s="45" customFormat="true" ht="15" hidden="true" customHeight="true" outlineLevel="0" collapsed="false">
      <c r="A35" s="14"/>
      <c r="B35" s="14"/>
      <c r="C35" s="16"/>
      <c r="D35" s="14"/>
      <c r="E35" s="46"/>
      <c r="F35" s="46"/>
      <c r="G35" s="46"/>
      <c r="H35" s="46"/>
      <c r="I35" s="46"/>
      <c r="J35" s="46"/>
      <c r="K35" s="47"/>
      <c r="L35" s="17"/>
      <c r="M35" s="18"/>
      <c r="N35" s="48"/>
      <c r="O35" s="49"/>
      <c r="P35" s="47"/>
      <c r="Q35" s="47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1"/>
      <c r="AC35" s="50"/>
      <c r="AE35" s="52"/>
    </row>
    <row r="36" s="60" customFormat="true" ht="14.25" hidden="false" customHeight="true" outlineLevel="0" collapsed="false">
      <c r="A36" s="35" t="s">
        <v>61</v>
      </c>
      <c r="B36" s="35"/>
      <c r="C36" s="35"/>
      <c r="D36" s="35"/>
      <c r="E36" s="73"/>
      <c r="F36" s="73"/>
      <c r="G36" s="73"/>
      <c r="H36" s="73"/>
      <c r="I36" s="73"/>
      <c r="J36" s="73"/>
      <c r="K36" s="73"/>
      <c r="L36" s="73"/>
      <c r="M36" s="56"/>
      <c r="N36" s="56"/>
      <c r="O36" s="56"/>
      <c r="P36" s="56"/>
      <c r="Q36" s="56"/>
      <c r="R36" s="57" t="n">
        <f aca="false">SUM(R11:R30)</f>
        <v>0</v>
      </c>
      <c r="S36" s="57" t="n">
        <f aca="false">SUM(S11:S30)</f>
        <v>0</v>
      </c>
      <c r="T36" s="57"/>
      <c r="U36" s="58" t="n">
        <f aca="false">SUM(U11:U30)</f>
        <v>0</v>
      </c>
      <c r="V36" s="58" t="n">
        <f aca="false">SUM(V11:V30)</f>
        <v>0</v>
      </c>
      <c r="W36" s="59" t="n">
        <f aca="false">SUM(W11:W22)</f>
        <v>683.0406</v>
      </c>
      <c r="X36" s="58" t="n">
        <f aca="false">SUM(X11:X30)</f>
        <v>0</v>
      </c>
      <c r="Y36" s="58" t="n">
        <f aca="false">SUM(Y11:Y30)</f>
        <v>0</v>
      </c>
      <c r="Z36" s="58" t="n">
        <f aca="false">SUM(Z11:Z30)</f>
        <v>0</v>
      </c>
      <c r="AA36" s="58" t="n">
        <f aca="false">SUM(AA11:AA30)</f>
        <v>0</v>
      </c>
      <c r="AB36" s="58"/>
      <c r="AE36" s="61"/>
    </row>
    <row r="37" s="60" customFormat="true" ht="14.25" hidden="false" customHeight="true" outlineLevel="0" collapsed="false">
      <c r="A37" s="63"/>
      <c r="B37" s="63"/>
      <c r="C37" s="63"/>
      <c r="D37" s="63"/>
      <c r="R37" s="64"/>
      <c r="S37" s="64"/>
      <c r="T37" s="64"/>
      <c r="U37" s="61"/>
      <c r="V37" s="61"/>
      <c r="W37" s="61"/>
      <c r="X37" s="61"/>
      <c r="Y37" s="61"/>
      <c r="Z37" s="61"/>
      <c r="AA37" s="61"/>
      <c r="AB37" s="61"/>
    </row>
    <row r="38" s="60" customFormat="true" ht="15" hidden="false" customHeight="true" outlineLevel="0" collapsed="false">
      <c r="A38" s="20" t="s">
        <v>50</v>
      </c>
      <c r="B38" s="20"/>
      <c r="C38" s="20"/>
      <c r="D38" s="65" t="s">
        <v>62</v>
      </c>
      <c r="E38" s="20" t="s">
        <v>51</v>
      </c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</row>
    <row r="39" s="60" customFormat="true" ht="14.25" hidden="false" customHeight="true" outlineLevel="0" collapsed="false">
      <c r="A39" s="66"/>
      <c r="B39" s="66"/>
      <c r="C39" s="66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</row>
    <row r="40" s="60" customFormat="true" ht="14.25" hidden="false" customHeight="true" outlineLevel="0" collapsed="false">
      <c r="A40" s="66"/>
      <c r="B40" s="66"/>
      <c r="C40" s="68"/>
      <c r="D40" s="68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AF40" s="69"/>
    </row>
    <row r="41" s="60" customFormat="true" ht="14.25" hidden="false" customHeight="true" outlineLevel="0" collapsed="false">
      <c r="A41" s="66"/>
      <c r="B41" s="66"/>
      <c r="C41" s="66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</row>
    <row r="42" s="60" customFormat="true" ht="14.25" hidden="false" customHeight="true" outlineLevel="0" collapsed="false">
      <c r="A42" s="66"/>
      <c r="B42" s="66"/>
      <c r="C42" s="66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</row>
    <row r="43" s="60" customFormat="true" ht="14.25" hidden="false" customHeight="true" outlineLevel="0" collapsed="false">
      <c r="A43" s="66"/>
      <c r="B43" s="66"/>
      <c r="C43" s="66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</row>
    <row r="44" s="60" customFormat="true" ht="14.25" hidden="false" customHeight="true" outlineLevel="0" collapsed="false">
      <c r="A44" s="20" t="s">
        <v>52</v>
      </c>
      <c r="B44" s="20"/>
      <c r="C44" s="20"/>
      <c r="D44" s="21"/>
      <c r="E44" s="21"/>
      <c r="F44" s="21"/>
      <c r="G44" s="21"/>
      <c r="H44" s="21"/>
      <c r="I44" s="21"/>
      <c r="J44" s="21"/>
      <c r="K44" s="21"/>
      <c r="L44" s="21"/>
      <c r="M44" s="20" t="s">
        <v>53</v>
      </c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</row>
    <row r="45" customFormat="false" ht="15.75" hidden="false" customHeight="true" outlineLevel="0" collapsed="false">
      <c r="A45" s="76"/>
      <c r="B45" s="76"/>
      <c r="C45" s="76"/>
      <c r="D45" s="76"/>
      <c r="E45" s="76"/>
      <c r="F45" s="76"/>
      <c r="G45" s="76"/>
      <c r="H45" s="76"/>
      <c r="I45" s="76"/>
      <c r="J45" s="76"/>
      <c r="K45" s="76"/>
      <c r="L45" s="76"/>
      <c r="M45" s="76"/>
      <c r="N45" s="76"/>
      <c r="O45" s="76"/>
      <c r="P45" s="76"/>
      <c r="Q45" s="76"/>
      <c r="R45" s="76"/>
      <c r="S45" s="76"/>
      <c r="T45" s="76"/>
      <c r="U45" s="76"/>
      <c r="V45" s="76"/>
      <c r="W45" s="76"/>
      <c r="X45" s="76"/>
      <c r="Y45" s="76"/>
      <c r="Z45" s="76"/>
      <c r="AA45" s="76"/>
      <c r="AB45" s="76"/>
      <c r="AC45" s="70"/>
    </row>
    <row r="46" customFormat="false" ht="12.75" hidden="false" customHeight="false" outlineLevel="0" collapsed="false">
      <c r="A46" s="70"/>
      <c r="B46" s="70"/>
      <c r="C46" s="70"/>
      <c r="D46" s="70"/>
      <c r="E46" s="70"/>
      <c r="F46" s="70"/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</row>
    <row r="47" customFormat="false" ht="12.75" hidden="false" customHeight="false" outlineLevel="0" collapsed="false">
      <c r="A47" s="70"/>
      <c r="B47" s="70"/>
      <c r="C47" s="70"/>
      <c r="D47" s="70"/>
      <c r="E47" s="70"/>
      <c r="F47" s="70"/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</row>
    <row r="48" customFormat="false" ht="12.75" hidden="false" customHeight="false" outlineLevel="0" collapsed="false">
      <c r="A48" s="70"/>
      <c r="B48" s="70"/>
      <c r="C48" s="70"/>
      <c r="D48" s="70"/>
      <c r="E48" s="70"/>
      <c r="F48" s="70"/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</row>
    <row r="49" customFormat="false" ht="12.75" hidden="false" customHeight="false" outlineLevel="0" collapsed="false">
      <c r="A49" s="70"/>
      <c r="B49" s="70"/>
      <c r="C49" s="70"/>
      <c r="D49" s="70"/>
      <c r="E49" s="70"/>
      <c r="F49" s="70"/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</row>
    <row r="50" customFormat="false" ht="12.75" hidden="false" customHeight="false" outlineLevel="0" collapsed="false">
      <c r="A50" s="70"/>
      <c r="B50" s="70"/>
      <c r="C50" s="70"/>
      <c r="D50" s="70"/>
      <c r="E50" s="70"/>
      <c r="F50" s="70"/>
      <c r="G50" s="70"/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</row>
    <row r="51" customFormat="false" ht="12.75" hidden="false" customHeight="false" outlineLevel="0" collapsed="false">
      <c r="A51" s="70"/>
      <c r="B51" s="70"/>
      <c r="C51" s="70"/>
      <c r="D51" s="70"/>
      <c r="E51" s="70"/>
      <c r="F51" s="70"/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</row>
    <row r="52" customFormat="false" ht="12.75" hidden="false" customHeight="false" outlineLevel="0" collapsed="false">
      <c r="A52" s="70"/>
      <c r="B52" s="70"/>
      <c r="C52" s="70"/>
      <c r="D52" s="70"/>
      <c r="E52" s="70"/>
      <c r="F52" s="70"/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</row>
    <row r="53" customFormat="false" ht="12.75" hidden="false" customHeight="false" outlineLevel="0" collapsed="false">
      <c r="A53" s="70"/>
      <c r="B53" s="70"/>
      <c r="C53" s="70"/>
      <c r="D53" s="70"/>
      <c r="E53" s="70"/>
      <c r="F53" s="70"/>
      <c r="G53" s="70"/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</row>
    <row r="54" customFormat="false" ht="12.75" hidden="false" customHeight="false" outlineLevel="0" collapsed="false">
      <c r="A54" s="70"/>
      <c r="B54" s="70"/>
      <c r="C54" s="70"/>
      <c r="D54" s="70"/>
      <c r="E54" s="70"/>
      <c r="F54" s="70"/>
      <c r="G54" s="70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</row>
    <row r="55" customFormat="false" ht="12.75" hidden="false" customHeight="false" outlineLevel="0" collapsed="false">
      <c r="A55" s="70"/>
      <c r="B55" s="70"/>
      <c r="C55" s="70"/>
      <c r="D55" s="70"/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</row>
    <row r="56" customFormat="false" ht="12.75" hidden="false" customHeight="false" outlineLevel="0" collapsed="false">
      <c r="A56" s="70"/>
      <c r="B56" s="70"/>
      <c r="C56" s="70"/>
      <c r="D56" s="70"/>
      <c r="E56" s="70"/>
      <c r="F56" s="70"/>
      <c r="G56" s="70"/>
      <c r="H56" s="70"/>
      <c r="I56" s="70"/>
      <c r="J56" s="70"/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</row>
    <row r="57" customFormat="false" ht="12.75" hidden="false" customHeight="false" outlineLevel="0" collapsed="false">
      <c r="A57" s="70"/>
      <c r="B57" s="70"/>
      <c r="C57" s="70"/>
      <c r="D57" s="70"/>
      <c r="E57" s="70"/>
      <c r="F57" s="70"/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</row>
    <row r="58" customFormat="false" ht="12.75" hidden="false" customHeight="false" outlineLevel="0" collapsed="false">
      <c r="A58" s="70"/>
      <c r="B58" s="70"/>
      <c r="C58" s="70"/>
      <c r="D58" s="70"/>
      <c r="E58" s="70"/>
      <c r="F58" s="70"/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</row>
    <row r="59" customFormat="false" ht="12.75" hidden="false" customHeight="false" outlineLevel="0" collapsed="false">
      <c r="A59" s="70"/>
      <c r="B59" s="70"/>
      <c r="C59" s="70"/>
      <c r="D59" s="70"/>
      <c r="E59" s="70"/>
      <c r="F59" s="70"/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</row>
    <row r="60" customFormat="false" ht="12.75" hidden="false" customHeight="false" outlineLevel="0" collapsed="false">
      <c r="A60" s="70"/>
      <c r="B60" s="70"/>
      <c r="C60" s="70"/>
      <c r="D60" s="70"/>
      <c r="E60" s="70"/>
      <c r="F60" s="70"/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</row>
    <row r="61" customFormat="false" ht="12.75" hidden="false" customHeight="false" outlineLevel="0" collapsed="false">
      <c r="A61" s="70"/>
      <c r="B61" s="70"/>
      <c r="C61" s="70"/>
      <c r="D61" s="70"/>
      <c r="E61" s="70"/>
      <c r="F61" s="70"/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</row>
    <row r="62" customFormat="false" ht="12.75" hidden="false" customHeight="false" outlineLevel="0" collapsed="false">
      <c r="A62" s="70"/>
      <c r="B62" s="70"/>
      <c r="C62" s="70"/>
      <c r="D62" s="70"/>
      <c r="E62" s="70"/>
      <c r="F62" s="70"/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</row>
    <row r="63" customFormat="false" ht="12.75" hidden="false" customHeight="false" outlineLevel="0" collapsed="false">
      <c r="A63" s="70"/>
      <c r="B63" s="70"/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</row>
    <row r="64" customFormat="false" ht="12.75" hidden="false" customHeight="false" outlineLevel="0" collapsed="false">
      <c r="A64" s="70"/>
      <c r="B64" s="70"/>
      <c r="C64" s="70"/>
      <c r="D64" s="70"/>
      <c r="E64" s="70"/>
      <c r="F64" s="70"/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</row>
    <row r="65" customFormat="false" ht="12.75" hidden="false" customHeight="false" outlineLevel="0" collapsed="false">
      <c r="A65" s="70"/>
      <c r="B65" s="70"/>
      <c r="C65" s="70"/>
      <c r="D65" s="70"/>
      <c r="E65" s="70"/>
      <c r="F65" s="70"/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</row>
    <row r="66" customFormat="false" ht="12.75" hidden="false" customHeight="false" outlineLevel="0" collapsed="false">
      <c r="A66" s="70"/>
      <c r="B66" s="70"/>
      <c r="C66" s="70"/>
      <c r="D66" s="70"/>
      <c r="E66" s="70"/>
      <c r="F66" s="70"/>
      <c r="G66" s="70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</row>
    <row r="67" customFormat="false" ht="12.75" hidden="false" customHeight="false" outlineLevel="0" collapsed="false">
      <c r="A67" s="70"/>
      <c r="B67" s="70"/>
      <c r="C67" s="70"/>
      <c r="D67" s="70"/>
      <c r="E67" s="70"/>
      <c r="F67" s="70"/>
      <c r="G67" s="70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</row>
    <row r="68" customFormat="false" ht="12.75" hidden="false" customHeight="false" outlineLevel="0" collapsed="false">
      <c r="A68" s="70"/>
      <c r="B68" s="70"/>
      <c r="C68" s="70"/>
      <c r="D68" s="70"/>
      <c r="E68" s="70"/>
      <c r="F68" s="70"/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</row>
    <row r="69" customFormat="false" ht="12.75" hidden="false" customHeight="false" outlineLevel="0" collapsed="false">
      <c r="A69" s="70"/>
      <c r="B69" s="70"/>
      <c r="C69" s="70"/>
      <c r="D69" s="70"/>
      <c r="E69" s="70"/>
      <c r="F69" s="70"/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</row>
    <row r="70" customFormat="false" ht="12.75" hidden="false" customHeight="false" outlineLevel="0" collapsed="false">
      <c r="A70" s="70"/>
      <c r="B70" s="70"/>
      <c r="C70" s="70"/>
      <c r="D70" s="70"/>
      <c r="E70" s="70"/>
      <c r="F70" s="70"/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</row>
    <row r="71" customFormat="false" ht="12.75" hidden="false" customHeight="false" outlineLevel="0" collapsed="false">
      <c r="A71" s="70"/>
      <c r="B71" s="70"/>
      <c r="C71" s="70"/>
      <c r="D71" s="70"/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</row>
    <row r="72" customFormat="false" ht="12.75" hidden="false" customHeight="false" outlineLevel="0" collapsed="false">
      <c r="A72" s="70"/>
      <c r="B72" s="70"/>
      <c r="C72" s="70"/>
      <c r="D72" s="70"/>
      <c r="E72" s="70"/>
      <c r="F72" s="70"/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</row>
    <row r="73" customFormat="false" ht="12.75" hidden="false" customHeight="false" outlineLevel="0" collapsed="false">
      <c r="A73" s="70"/>
      <c r="B73" s="70"/>
      <c r="C73" s="70"/>
      <c r="D73" s="70"/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</row>
    <row r="74" customFormat="false" ht="12.75" hidden="false" customHeight="false" outlineLevel="0" collapsed="false">
      <c r="A74" s="70"/>
      <c r="B74" s="70"/>
      <c r="C74" s="70"/>
      <c r="D74" s="70"/>
      <c r="E74" s="70"/>
      <c r="F74" s="70"/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</row>
    <row r="75" customFormat="false" ht="12.75" hidden="false" customHeight="false" outlineLevel="0" collapsed="false">
      <c r="A75" s="70"/>
      <c r="B75" s="70"/>
      <c r="C75" s="70"/>
      <c r="D75" s="70"/>
      <c r="E75" s="70"/>
      <c r="F75" s="70"/>
      <c r="G75" s="70"/>
      <c r="H75" s="70"/>
      <c r="I75" s="70"/>
      <c r="J75" s="70"/>
      <c r="K75" s="70"/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</row>
    <row r="76" customFormat="false" ht="12.75" hidden="false" customHeight="false" outlineLevel="0" collapsed="false">
      <c r="A76" s="70"/>
      <c r="B76" s="70"/>
      <c r="C76" s="70"/>
      <c r="D76" s="70"/>
      <c r="E76" s="70"/>
      <c r="F76" s="70"/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</row>
    <row r="77" customFormat="false" ht="12.75" hidden="false" customHeight="false" outlineLevel="0" collapsed="false">
      <c r="A77" s="70"/>
      <c r="B77" s="70"/>
      <c r="C77" s="70"/>
      <c r="D77" s="70"/>
      <c r="E77" s="70"/>
      <c r="F77" s="70"/>
      <c r="G77" s="70"/>
      <c r="H77" s="70"/>
      <c r="I77" s="70"/>
      <c r="J77" s="70"/>
      <c r="K77" s="70"/>
      <c r="L77" s="70"/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</row>
    <row r="78" customFormat="false" ht="12.75" hidden="false" customHeight="false" outlineLevel="0" collapsed="false">
      <c r="A78" s="70"/>
      <c r="B78" s="70"/>
      <c r="C78" s="70"/>
      <c r="D78" s="70"/>
      <c r="E78" s="70"/>
      <c r="F78" s="70"/>
      <c r="G78" s="70"/>
      <c r="H78" s="70"/>
      <c r="I78" s="70"/>
      <c r="J78" s="70"/>
      <c r="K78" s="70"/>
      <c r="L78" s="70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</row>
    <row r="79" customFormat="false" ht="12.75" hidden="false" customHeight="false" outlineLevel="0" collapsed="false">
      <c r="A79" s="70"/>
      <c r="B79" s="70"/>
      <c r="C79" s="70"/>
      <c r="D79" s="70"/>
      <c r="E79" s="70"/>
      <c r="F79" s="70"/>
      <c r="G79" s="70"/>
      <c r="H79" s="70"/>
      <c r="I79" s="70"/>
      <c r="J79" s="70"/>
      <c r="K79" s="70"/>
      <c r="L79" s="70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</row>
    <row r="80" customFormat="false" ht="12.75" hidden="false" customHeight="false" outlineLevel="0" collapsed="false">
      <c r="A80" s="70"/>
      <c r="B80" s="70"/>
      <c r="C80" s="70"/>
      <c r="D80" s="70"/>
      <c r="E80" s="70"/>
      <c r="F80" s="70"/>
      <c r="G80" s="70"/>
      <c r="H80" s="70"/>
      <c r="I80" s="70"/>
      <c r="J80" s="70"/>
      <c r="K80" s="70"/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</row>
    <row r="81" customFormat="false" ht="12.75" hidden="false" customHeight="false" outlineLevel="0" collapsed="false">
      <c r="A81" s="70"/>
      <c r="B81" s="70"/>
      <c r="C81" s="70"/>
      <c r="D81" s="70"/>
      <c r="E81" s="70"/>
      <c r="F81" s="70"/>
      <c r="G81" s="70"/>
      <c r="H81" s="70"/>
      <c r="I81" s="70"/>
      <c r="J81" s="70"/>
      <c r="K81" s="70"/>
      <c r="L81" s="70"/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</row>
    <row r="82" customFormat="false" ht="12.75" hidden="false" customHeight="false" outlineLevel="0" collapsed="false">
      <c r="A82" s="70"/>
      <c r="B82" s="70"/>
      <c r="C82" s="70"/>
      <c r="D82" s="70"/>
      <c r="E82" s="70"/>
      <c r="F82" s="70"/>
      <c r="G82" s="70"/>
      <c r="H82" s="70"/>
      <c r="I82" s="70"/>
      <c r="J82" s="70"/>
      <c r="K82" s="70"/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</row>
    <row r="83" customFormat="false" ht="12.75" hidden="false" customHeight="false" outlineLevel="0" collapsed="false">
      <c r="A83" s="70"/>
      <c r="B83" s="70"/>
      <c r="C83" s="70"/>
      <c r="D83" s="70"/>
      <c r="E83" s="70"/>
      <c r="F83" s="70"/>
      <c r="G83" s="70"/>
      <c r="H83" s="70"/>
      <c r="I83" s="70"/>
      <c r="J83" s="70"/>
      <c r="K83" s="70"/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</row>
    <row r="84" customFormat="false" ht="12.75" hidden="false" customHeight="false" outlineLevel="0" collapsed="false">
      <c r="A84" s="70"/>
      <c r="B84" s="70"/>
      <c r="C84" s="70"/>
      <c r="D84" s="70"/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</row>
    <row r="85" customFormat="false" ht="12.75" hidden="false" customHeight="false" outlineLevel="0" collapsed="false">
      <c r="A85" s="70"/>
      <c r="B85" s="70"/>
      <c r="C85" s="70"/>
      <c r="D85" s="70"/>
      <c r="E85" s="70"/>
      <c r="F85" s="70"/>
      <c r="G85" s="70"/>
      <c r="H85" s="70"/>
      <c r="I85" s="70"/>
      <c r="J85" s="70"/>
      <c r="K85" s="70"/>
      <c r="L85" s="70"/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</row>
    <row r="86" customFormat="false" ht="12.75" hidden="false" customHeight="false" outlineLevel="0" collapsed="false">
      <c r="A86" s="70"/>
      <c r="B86" s="70"/>
      <c r="C86" s="70"/>
      <c r="D86" s="70"/>
      <c r="E86" s="70"/>
      <c r="F86" s="70"/>
      <c r="G86" s="70"/>
      <c r="H86" s="70"/>
      <c r="I86" s="70"/>
      <c r="J86" s="70"/>
      <c r="K86" s="70"/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</row>
    <row r="87" customFormat="false" ht="12.75" hidden="false" customHeight="false" outlineLevel="0" collapsed="false">
      <c r="A87" s="70"/>
      <c r="B87" s="70"/>
      <c r="C87" s="70"/>
      <c r="D87" s="70"/>
      <c r="E87" s="70"/>
      <c r="F87" s="70"/>
      <c r="G87" s="70"/>
      <c r="H87" s="70"/>
      <c r="I87" s="70"/>
      <c r="J87" s="70"/>
      <c r="K87" s="70"/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</row>
    <row r="88" customFormat="false" ht="12.75" hidden="false" customHeight="false" outlineLevel="0" collapsed="false">
      <c r="A88" s="70"/>
      <c r="B88" s="70"/>
      <c r="C88" s="70"/>
      <c r="D88" s="70"/>
      <c r="E88" s="70"/>
      <c r="F88" s="70"/>
      <c r="G88" s="70"/>
      <c r="H88" s="70"/>
      <c r="I88" s="70"/>
      <c r="J88" s="70"/>
      <c r="K88" s="70"/>
      <c r="L88" s="70"/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</row>
    <row r="89" customFormat="false" ht="12.75" hidden="false" customHeight="false" outlineLevel="0" collapsed="false">
      <c r="A89" s="70"/>
      <c r="B89" s="70"/>
      <c r="C89" s="70"/>
      <c r="D89" s="70"/>
      <c r="E89" s="70"/>
      <c r="F89" s="70"/>
      <c r="G89" s="70"/>
      <c r="H89" s="70"/>
      <c r="I89" s="70"/>
      <c r="J89" s="70"/>
      <c r="K89" s="70"/>
      <c r="L89" s="70"/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</row>
    <row r="90" customFormat="false" ht="12.75" hidden="false" customHeight="false" outlineLevel="0" collapsed="false">
      <c r="A90" s="70"/>
      <c r="B90" s="70"/>
      <c r="C90" s="70"/>
      <c r="D90" s="70"/>
      <c r="E90" s="70"/>
      <c r="F90" s="70"/>
      <c r="G90" s="70"/>
      <c r="H90" s="70"/>
      <c r="I90" s="70"/>
      <c r="J90" s="70"/>
      <c r="K90" s="70"/>
      <c r="L90" s="70"/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</row>
    <row r="91" customFormat="false" ht="12.75" hidden="false" customHeight="false" outlineLevel="0" collapsed="false">
      <c r="A91" s="70"/>
      <c r="B91" s="70"/>
      <c r="C91" s="70"/>
      <c r="D91" s="70"/>
      <c r="E91" s="70"/>
      <c r="F91" s="70"/>
      <c r="G91" s="70"/>
      <c r="H91" s="70"/>
      <c r="I91" s="70"/>
      <c r="J91" s="70"/>
      <c r="K91" s="70"/>
      <c r="L91" s="70"/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</row>
    <row r="92" customFormat="false" ht="12.75" hidden="false" customHeight="false" outlineLevel="0" collapsed="false">
      <c r="A92" s="70"/>
      <c r="B92" s="70"/>
      <c r="C92" s="70"/>
      <c r="D92" s="70"/>
      <c r="E92" s="70"/>
      <c r="F92" s="70"/>
      <c r="G92" s="70"/>
      <c r="H92" s="70"/>
      <c r="I92" s="70"/>
      <c r="J92" s="70"/>
      <c r="K92" s="70"/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</row>
    <row r="93" customFormat="false" ht="12.75" hidden="false" customHeight="false" outlineLevel="0" collapsed="false">
      <c r="A93" s="70"/>
      <c r="B93" s="70"/>
      <c r="C93" s="70"/>
      <c r="D93" s="70"/>
      <c r="E93" s="70"/>
      <c r="F93" s="70"/>
      <c r="G93" s="70"/>
      <c r="H93" s="70"/>
      <c r="I93" s="70"/>
      <c r="J93" s="70"/>
      <c r="K93" s="70"/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</row>
    <row r="94" s="24" customFormat="true" ht="12.75" hidden="false" customHeight="false" outlineLevel="0" collapsed="false">
      <c r="A94" s="70"/>
      <c r="B94" s="70"/>
      <c r="C94" s="70"/>
      <c r="D94" s="70"/>
      <c r="E94" s="70"/>
      <c r="F94" s="70"/>
      <c r="G94" s="70"/>
      <c r="H94" s="70"/>
      <c r="I94" s="70"/>
      <c r="J94" s="70"/>
      <c r="K94" s="70"/>
      <c r="L94" s="70"/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23"/>
      <c r="AE94" s="23"/>
      <c r="AF94" s="23"/>
      <c r="AG94" s="23"/>
    </row>
    <row r="95" s="24" customFormat="true" ht="12.75" hidden="false" customHeight="false" outlineLevel="0" collapsed="false">
      <c r="A95" s="70"/>
      <c r="B95" s="70"/>
      <c r="C95" s="70"/>
      <c r="D95" s="70"/>
      <c r="E95" s="70"/>
      <c r="F95" s="70"/>
      <c r="G95" s="70"/>
      <c r="H95" s="70"/>
      <c r="I95" s="70"/>
      <c r="J95" s="70"/>
      <c r="K95" s="70"/>
      <c r="L95" s="70"/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23"/>
      <c r="AE95" s="23"/>
      <c r="AF95" s="23"/>
      <c r="AG95" s="23"/>
    </row>
    <row r="96" s="24" customFormat="true" ht="12.75" hidden="false" customHeight="false" outlineLevel="0" collapsed="false">
      <c r="A96" s="70"/>
      <c r="B96" s="70"/>
      <c r="C96" s="70"/>
      <c r="D96" s="70"/>
      <c r="E96" s="70"/>
      <c r="F96" s="70"/>
      <c r="G96" s="70"/>
      <c r="H96" s="70"/>
      <c r="I96" s="70"/>
      <c r="J96" s="70"/>
      <c r="K96" s="70"/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23"/>
      <c r="AE96" s="23"/>
      <c r="AF96" s="23"/>
      <c r="AG96" s="23"/>
    </row>
    <row r="97" s="24" customFormat="true" ht="12.75" hidden="false" customHeight="false" outlineLevel="0" collapsed="false">
      <c r="A97" s="70"/>
      <c r="B97" s="70"/>
      <c r="C97" s="70"/>
      <c r="D97" s="70"/>
      <c r="E97" s="70"/>
      <c r="F97" s="70"/>
      <c r="G97" s="70"/>
      <c r="H97" s="70"/>
      <c r="I97" s="70"/>
      <c r="J97" s="70"/>
      <c r="K97" s="70"/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23"/>
      <c r="AE97" s="23"/>
      <c r="AF97" s="23"/>
      <c r="AG97" s="23"/>
    </row>
    <row r="98" s="24" customFormat="true" ht="12.75" hidden="false" customHeight="false" outlineLevel="0" collapsed="false">
      <c r="A98" s="70"/>
      <c r="B98" s="70"/>
      <c r="C98" s="70"/>
      <c r="D98" s="70"/>
      <c r="E98" s="70"/>
      <c r="F98" s="70"/>
      <c r="G98" s="70"/>
      <c r="H98" s="70"/>
      <c r="I98" s="70"/>
      <c r="J98" s="70"/>
      <c r="K98" s="70"/>
      <c r="L98" s="70"/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23"/>
      <c r="AE98" s="23"/>
      <c r="AF98" s="23"/>
      <c r="AG98" s="23"/>
    </row>
    <row r="99" s="24" customFormat="true" ht="12.75" hidden="false" customHeight="false" outlineLevel="0" collapsed="false">
      <c r="A99" s="70"/>
      <c r="B99" s="70"/>
      <c r="C99" s="70"/>
      <c r="D99" s="70"/>
      <c r="E99" s="70"/>
      <c r="F99" s="70"/>
      <c r="G99" s="70"/>
      <c r="H99" s="70"/>
      <c r="I99" s="70"/>
      <c r="J99" s="70"/>
      <c r="K99" s="70"/>
      <c r="L99" s="70"/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23"/>
      <c r="AE99" s="23"/>
      <c r="AF99" s="23"/>
      <c r="AG99" s="23"/>
    </row>
    <row r="100" s="24" customFormat="true" ht="12.75" hidden="false" customHeight="false" outlineLevel="0" collapsed="false">
      <c r="A100" s="70"/>
      <c r="B100" s="70"/>
      <c r="C100" s="70"/>
      <c r="D100" s="70"/>
      <c r="E100" s="70"/>
      <c r="F100" s="70"/>
      <c r="G100" s="70"/>
      <c r="H100" s="70"/>
      <c r="I100" s="70"/>
      <c r="J100" s="70"/>
      <c r="K100" s="70"/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23"/>
      <c r="AE100" s="23"/>
      <c r="AF100" s="23"/>
      <c r="AG100" s="23"/>
    </row>
    <row r="101" s="24" customFormat="true" ht="12.75" hidden="false" customHeight="false" outlineLevel="0" collapsed="false">
      <c r="A101" s="70"/>
      <c r="B101" s="70"/>
      <c r="C101" s="70"/>
      <c r="D101" s="70"/>
      <c r="E101" s="70"/>
      <c r="F101" s="70"/>
      <c r="G101" s="70"/>
      <c r="H101" s="70"/>
      <c r="I101" s="70"/>
      <c r="J101" s="70"/>
      <c r="K101" s="70"/>
      <c r="L101" s="70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23"/>
      <c r="AE101" s="23"/>
      <c r="AF101" s="23"/>
      <c r="AG101" s="23"/>
    </row>
    <row r="102" s="24" customFormat="true" ht="12.75" hidden="false" customHeight="false" outlineLevel="0" collapsed="false">
      <c r="A102" s="70"/>
      <c r="B102" s="70"/>
      <c r="C102" s="70"/>
      <c r="D102" s="70"/>
      <c r="E102" s="70"/>
      <c r="F102" s="70"/>
      <c r="G102" s="70"/>
      <c r="H102" s="70"/>
      <c r="I102" s="70"/>
      <c r="J102" s="70"/>
      <c r="K102" s="70"/>
      <c r="L102" s="70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23"/>
      <c r="AE102" s="23"/>
      <c r="AF102" s="23"/>
      <c r="AG102" s="23"/>
    </row>
    <row r="103" s="24" customFormat="true" ht="12.75" hidden="false" customHeight="false" outlineLevel="0" collapsed="false">
      <c r="A103" s="70"/>
      <c r="B103" s="70"/>
      <c r="C103" s="70"/>
      <c r="D103" s="70"/>
      <c r="E103" s="70"/>
      <c r="F103" s="70"/>
      <c r="G103" s="70"/>
      <c r="H103" s="70"/>
      <c r="I103" s="70"/>
      <c r="J103" s="70"/>
      <c r="K103" s="70"/>
      <c r="L103" s="70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23"/>
      <c r="AE103" s="23"/>
      <c r="AF103" s="23"/>
      <c r="AG103" s="23"/>
    </row>
    <row r="104" s="24" customFormat="true" ht="12.75" hidden="false" customHeight="false" outlineLevel="0" collapsed="false">
      <c r="A104" s="70"/>
      <c r="B104" s="70"/>
      <c r="C104" s="70"/>
      <c r="D104" s="70"/>
      <c r="E104" s="70"/>
      <c r="F104" s="70"/>
      <c r="G104" s="70"/>
      <c r="H104" s="70"/>
      <c r="I104" s="70"/>
      <c r="J104" s="70"/>
      <c r="K104" s="70"/>
      <c r="L104" s="70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23"/>
      <c r="AE104" s="23"/>
      <c r="AF104" s="23"/>
      <c r="AG104" s="23"/>
    </row>
    <row r="105" s="24" customFormat="true" ht="12.75" hidden="false" customHeight="false" outlineLevel="0" collapsed="false">
      <c r="A105" s="70"/>
      <c r="B105" s="70"/>
      <c r="C105" s="70"/>
      <c r="D105" s="70"/>
      <c r="E105" s="70"/>
      <c r="F105" s="70"/>
      <c r="G105" s="70"/>
      <c r="H105" s="70"/>
      <c r="I105" s="70"/>
      <c r="J105" s="70"/>
      <c r="K105" s="70"/>
      <c r="L105" s="70"/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23"/>
      <c r="AE105" s="23"/>
      <c r="AF105" s="23"/>
      <c r="AG105" s="23"/>
    </row>
    <row r="106" s="24" customFormat="true" ht="12.75" hidden="false" customHeight="false" outlineLevel="0" collapsed="false">
      <c r="A106" s="70"/>
      <c r="B106" s="70"/>
      <c r="C106" s="70"/>
      <c r="D106" s="70"/>
      <c r="E106" s="70"/>
      <c r="F106" s="70"/>
      <c r="G106" s="70"/>
      <c r="H106" s="70"/>
      <c r="I106" s="70"/>
      <c r="J106" s="70"/>
      <c r="K106" s="70"/>
      <c r="L106" s="70"/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23"/>
      <c r="AE106" s="23"/>
      <c r="AF106" s="23"/>
      <c r="AG106" s="23"/>
    </row>
    <row r="107" s="24" customFormat="true" ht="12.75" hidden="false" customHeight="false" outlineLevel="0" collapsed="false">
      <c r="A107" s="70"/>
      <c r="B107" s="70"/>
      <c r="C107" s="70"/>
      <c r="D107" s="70"/>
      <c r="E107" s="70"/>
      <c r="F107" s="70"/>
      <c r="G107" s="70"/>
      <c r="H107" s="70"/>
      <c r="I107" s="70"/>
      <c r="J107" s="70"/>
      <c r="K107" s="70"/>
      <c r="L107" s="70"/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23"/>
      <c r="AE107" s="23"/>
      <c r="AF107" s="23"/>
      <c r="AG107" s="23"/>
    </row>
    <row r="108" s="24" customFormat="true" ht="12.75" hidden="false" customHeight="false" outlineLevel="0" collapsed="false">
      <c r="A108" s="70"/>
      <c r="B108" s="70"/>
      <c r="C108" s="70"/>
      <c r="D108" s="70"/>
      <c r="E108" s="70"/>
      <c r="F108" s="70"/>
      <c r="G108" s="70"/>
      <c r="H108" s="70"/>
      <c r="I108" s="70"/>
      <c r="J108" s="70"/>
      <c r="K108" s="70"/>
      <c r="L108" s="70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23"/>
      <c r="AE108" s="23"/>
      <c r="AF108" s="23"/>
      <c r="AG108" s="23"/>
    </row>
    <row r="109" s="24" customFormat="true" ht="12.75" hidden="false" customHeight="false" outlineLevel="0" collapsed="false">
      <c r="A109" s="70"/>
      <c r="B109" s="70"/>
      <c r="C109" s="70"/>
      <c r="D109" s="70"/>
      <c r="E109" s="70"/>
      <c r="F109" s="70"/>
      <c r="G109" s="70"/>
      <c r="H109" s="70"/>
      <c r="I109" s="70"/>
      <c r="J109" s="70"/>
      <c r="K109" s="70"/>
      <c r="L109" s="70"/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23"/>
      <c r="AE109" s="23"/>
      <c r="AF109" s="23"/>
      <c r="AG109" s="23"/>
    </row>
    <row r="110" s="24" customFormat="true" ht="12.75" hidden="false" customHeight="false" outlineLevel="0" collapsed="false">
      <c r="A110" s="70"/>
      <c r="B110" s="70"/>
      <c r="C110" s="70"/>
      <c r="D110" s="70"/>
      <c r="E110" s="70"/>
      <c r="F110" s="70"/>
      <c r="G110" s="70"/>
      <c r="H110" s="70"/>
      <c r="I110" s="70"/>
      <c r="J110" s="70"/>
      <c r="K110" s="70"/>
      <c r="L110" s="70"/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23"/>
      <c r="AE110" s="23"/>
      <c r="AF110" s="23"/>
      <c r="AG110" s="23"/>
    </row>
    <row r="111" s="24" customFormat="true" ht="12.75" hidden="false" customHeight="false" outlineLevel="0" collapsed="false">
      <c r="A111" s="70"/>
      <c r="B111" s="70"/>
      <c r="C111" s="70"/>
      <c r="D111" s="70"/>
      <c r="E111" s="70"/>
      <c r="F111" s="70"/>
      <c r="G111" s="70"/>
      <c r="H111" s="70"/>
      <c r="I111" s="70"/>
      <c r="J111" s="70"/>
      <c r="K111" s="70"/>
      <c r="L111" s="70"/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23"/>
      <c r="AE111" s="23"/>
      <c r="AF111" s="23"/>
      <c r="AG111" s="23"/>
    </row>
    <row r="112" s="24" customFormat="true" ht="12.75" hidden="false" customHeight="false" outlineLevel="0" collapsed="false">
      <c r="A112" s="70"/>
      <c r="B112" s="70"/>
      <c r="C112" s="70"/>
      <c r="D112" s="70"/>
      <c r="E112" s="70"/>
      <c r="F112" s="70"/>
      <c r="G112" s="70"/>
      <c r="H112" s="70"/>
      <c r="I112" s="70"/>
      <c r="J112" s="70"/>
      <c r="K112" s="70"/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23"/>
      <c r="AE112" s="23"/>
      <c r="AF112" s="23"/>
      <c r="AG112" s="23"/>
    </row>
    <row r="113" s="24" customFormat="true" ht="12.75" hidden="false" customHeight="false" outlineLevel="0" collapsed="false">
      <c r="A113" s="70"/>
      <c r="B113" s="70"/>
      <c r="C113" s="70"/>
      <c r="D113" s="70"/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23"/>
      <c r="AE113" s="23"/>
      <c r="AF113" s="23"/>
      <c r="AG113" s="23"/>
    </row>
    <row r="114" s="24" customFormat="true" ht="12.75" hidden="false" customHeight="false" outlineLevel="0" collapsed="false">
      <c r="A114" s="70"/>
      <c r="B114" s="70"/>
      <c r="C114" s="70"/>
      <c r="D114" s="70"/>
      <c r="E114" s="70"/>
      <c r="F114" s="70"/>
      <c r="G114" s="70"/>
      <c r="H114" s="70"/>
      <c r="I114" s="70"/>
      <c r="J114" s="70"/>
      <c r="K114" s="70"/>
      <c r="L114" s="70"/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23"/>
      <c r="AE114" s="23"/>
      <c r="AF114" s="23"/>
      <c r="AG114" s="23"/>
    </row>
    <row r="115" s="24" customFormat="true" ht="12.75" hidden="false" customHeight="false" outlineLevel="0" collapsed="false">
      <c r="A115" s="70"/>
      <c r="B115" s="70"/>
      <c r="C115" s="70"/>
      <c r="D115" s="70"/>
      <c r="E115" s="70"/>
      <c r="F115" s="70"/>
      <c r="G115" s="70"/>
      <c r="H115" s="70"/>
      <c r="I115" s="70"/>
      <c r="J115" s="70"/>
      <c r="K115" s="70"/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23"/>
      <c r="AE115" s="23"/>
      <c r="AF115" s="23"/>
      <c r="AG115" s="23"/>
    </row>
    <row r="116" s="24" customFormat="true" ht="12.75" hidden="false" customHeight="false" outlineLevel="0" collapsed="false">
      <c r="A116" s="70"/>
      <c r="B116" s="70"/>
      <c r="C116" s="70"/>
      <c r="D116" s="70"/>
      <c r="E116" s="70"/>
      <c r="F116" s="70"/>
      <c r="G116" s="70"/>
      <c r="H116" s="70"/>
      <c r="I116" s="70"/>
      <c r="J116" s="70"/>
      <c r="K116" s="70"/>
      <c r="L116" s="70"/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23"/>
      <c r="AE116" s="23"/>
      <c r="AF116" s="23"/>
      <c r="AG116" s="23"/>
    </row>
    <row r="117" s="24" customFormat="true" ht="12.75" hidden="false" customHeight="false" outlineLevel="0" collapsed="false">
      <c r="A117" s="70"/>
      <c r="B117" s="70"/>
      <c r="C117" s="70"/>
      <c r="D117" s="70"/>
      <c r="E117" s="70"/>
      <c r="F117" s="70"/>
      <c r="G117" s="70"/>
      <c r="H117" s="70"/>
      <c r="I117" s="70"/>
      <c r="J117" s="70"/>
      <c r="K117" s="70"/>
      <c r="L117" s="70"/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23"/>
      <c r="AE117" s="23"/>
      <c r="AF117" s="23"/>
      <c r="AG117" s="23"/>
    </row>
    <row r="118" s="24" customFormat="true" ht="12.75" hidden="false" customHeight="false" outlineLevel="0" collapsed="false">
      <c r="A118" s="70"/>
      <c r="B118" s="70"/>
      <c r="C118" s="70"/>
      <c r="D118" s="70"/>
      <c r="E118" s="70"/>
      <c r="F118" s="70"/>
      <c r="G118" s="70"/>
      <c r="H118" s="70"/>
      <c r="I118" s="70"/>
      <c r="J118" s="70"/>
      <c r="K118" s="70"/>
      <c r="L118" s="70"/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23"/>
      <c r="AE118" s="23"/>
      <c r="AF118" s="23"/>
      <c r="AG118" s="23"/>
    </row>
    <row r="119" s="24" customFormat="true" ht="12.75" hidden="false" customHeight="false" outlineLevel="0" collapsed="false">
      <c r="A119" s="70"/>
      <c r="B119" s="70"/>
      <c r="C119" s="70"/>
      <c r="D119" s="70"/>
      <c r="E119" s="70"/>
      <c r="F119" s="70"/>
      <c r="G119" s="70"/>
      <c r="H119" s="70"/>
      <c r="I119" s="70"/>
      <c r="J119" s="70"/>
      <c r="K119" s="70"/>
      <c r="L119" s="70"/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23"/>
      <c r="AE119" s="23"/>
      <c r="AF119" s="23"/>
      <c r="AG119" s="23"/>
    </row>
    <row r="120" s="24" customFormat="true" ht="12.75" hidden="false" customHeight="false" outlineLevel="0" collapsed="false">
      <c r="A120" s="70"/>
      <c r="B120" s="70"/>
      <c r="C120" s="70"/>
      <c r="D120" s="70"/>
      <c r="E120" s="70"/>
      <c r="F120" s="70"/>
      <c r="G120" s="70"/>
      <c r="H120" s="70"/>
      <c r="I120" s="70"/>
      <c r="J120" s="70"/>
      <c r="K120" s="70"/>
      <c r="L120" s="70"/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23"/>
      <c r="AE120" s="23"/>
      <c r="AF120" s="23"/>
      <c r="AG120" s="23"/>
    </row>
    <row r="121" s="24" customFormat="true" ht="12.75" hidden="false" customHeight="false" outlineLevel="0" collapsed="false">
      <c r="A121" s="70"/>
      <c r="B121" s="70"/>
      <c r="C121" s="70"/>
      <c r="D121" s="70"/>
      <c r="E121" s="70"/>
      <c r="F121" s="70"/>
      <c r="G121" s="70"/>
      <c r="H121" s="70"/>
      <c r="I121" s="70"/>
      <c r="J121" s="70"/>
      <c r="K121" s="70"/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23"/>
      <c r="AE121" s="23"/>
      <c r="AF121" s="23"/>
      <c r="AG121" s="23"/>
    </row>
  </sheetData>
  <mergeCells count="19">
    <mergeCell ref="A1:AB1"/>
    <mergeCell ref="A2:AB2"/>
    <mergeCell ref="A3:AB3"/>
    <mergeCell ref="A4:AB4"/>
    <mergeCell ref="A5:AB5"/>
    <mergeCell ref="A6:AB6"/>
    <mergeCell ref="D7:AB7"/>
    <mergeCell ref="A8:AB8"/>
    <mergeCell ref="A9:A10"/>
    <mergeCell ref="B9:B10"/>
    <mergeCell ref="C9:C10"/>
    <mergeCell ref="D9:D10"/>
    <mergeCell ref="M9:Y9"/>
    <mergeCell ref="AB9:AB10"/>
    <mergeCell ref="A36:D36"/>
    <mergeCell ref="A38:C38"/>
    <mergeCell ref="E38:AB38"/>
    <mergeCell ref="A44:C44"/>
    <mergeCell ref="M44:AB44"/>
  </mergeCells>
  <printOptions headings="false" gridLines="false" gridLinesSet="true" horizontalCentered="false" verticalCentered="false"/>
  <pageMargins left="0.7" right="0.159722222222222" top="0.340277777777778" bottom="0.3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2024-09-12T03:39:04Z</dcterms:created>
  <dc:creator>Microsoft Cop.</dc:creator>
  <dc:description/>
  <dc:language>en-US</dc:language>
  <cp:lastModifiedBy>Microsoft Cop.</cp:lastModifiedBy>
  <cp:lastPrinted>2025-01-03T10:09:51Z</cp:lastPrinted>
  <dcterms:modified xsi:type="dcterms:W3CDTF">2026-10-13T07:38:10Z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