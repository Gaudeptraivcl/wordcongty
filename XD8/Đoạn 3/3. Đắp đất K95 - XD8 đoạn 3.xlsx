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<sst xmlns="http://schemas.openxmlformats.org/spreadsheetml/2006/main" count="594" uniqueCount="77">
  <si>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</si>
  <si>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</si>
  <si>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</si>
  <si>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</si>
  <si>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</si>
  <si>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</si>
  <si>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</si>
  <si>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</si>
  <si>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</si>
  <si>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</si>
  <si>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</si>
  <si>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</si>
  <si>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</si>
  <si>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</si>
  <si>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</si>
  <si>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</si>
  <si>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</si>
  <si>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</si>
  <si>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</si>
  <si>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</si>
  <si>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</si>
  <si>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</si>
  <si>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</si>
  <si>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</si>
  <si>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</si>
  <si>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29</t>
  </si>
  <si>
    <t xml:space="preserve">30</t>
  </si>
  <si>
    <t xml:space="preserve">31</t>
  </si>
  <si>
    <t xml:space="preserve">PHỤ LỤC KIỂM TRA CAO ĐỘ, KÍCH THƯỚC HÌNH HỌC</t>
  </si>
  <si>
    <t xml:space="preserve">Kèm theo BBNT số: 64.NĐXD8/CVXD ngày 16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</si>
  <si>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</si>
  <si>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</si>
  <si>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</si>
  <si>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</si>
  <si>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</si>
  <si>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Km0+489,19 - Km0+609,11,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</si>
  <si>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</si>
  <si>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</si>
  <si>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</si>
  <si>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</si>
  <si>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</si>
  <si>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</si>
  <si>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</si>
  <si>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</si>
  <si>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</si>
  <si>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</si>
  <si>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</si>
  <si>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</si>
  <si>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</si>
  <si>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</si>
  <si>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</si>
  <si>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</si>
  <si>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</si>
  <si>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</si>
  <si>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</si>
  <si>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</si>
  <si>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</si>
  <si>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</si>
  <si>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</si>
  <si>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</si>
  <si>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</si>
  <si>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</si>
  <si>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</si>
  <si>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65.NĐXD8/CVXD ngày 17 tháng 09 năm 2026</t>
  </si>
  <si>
    <t xml:space="preserve">Đắp đất nền đường lớp 2 đoạn từ Km0+489,19 - Km0+609,11, độ chặt K&gt;=0,95</t>
  </si>
  <si>
    <t xml:space="preserve">Kèm theo BBNT số: 66.NĐXD8/CVXD ngày 17 tháng 09 năm 2026</t>
  </si>
  <si>
    <t xml:space="preserve">Đắp đất nền đường lớp 3 đoạn từ Km0+489,19 - Km0+609,11, độ chặt K&gt;=0,95</t>
  </si>
  <si>
    <t xml:space="preserve">Kèm theo BBNT số: 67.NĐXD8/CVXD ngày 18 tháng 09 năm 2026</t>
  </si>
  <si>
    <t xml:space="preserve">Đắp đất nền đường lớp 4 đoạn từ Km0+489,19 - Km0+609,11, độ chặt K&gt;=0,95</t>
  </si>
  <si>
    <t xml:space="preserve">Kèm theo BBNT số: 68.NĐXD8/CVXD ngày 18 tháng 09 năm 2026</t>
  </si>
  <si>
    <t xml:space="preserve">Đắp đất nền đường lớp 5 đoạn từ Km0+489,19 - Km0+609,11, độ chặt K&gt;=0,95</t>
  </si>
  <si>
    <t xml:space="preserve">Kèm theo BBNT số: 69.NĐXD8/CVXD ngày 19 tháng 09 năm 2026</t>
  </si>
  <si>
    <t xml:space="preserve">Đắp đất nền đường lớp 6 đoạn từ Km0+489,19 - Km0+609,11, độ chặt K&gt;=0,95</t>
  </si>
  <si>
    <t xml:space="preserve">Kèm theo BBNT số: 70.NĐXD8/CVXD ngày 19 tháng 09 năm 2026</t>
  </si>
  <si>
    <t xml:space="preserve">Đắp đất nền đường lớp 7 đoạn từ Km0+489,19 - Km0+609,11, độ chặt K&gt;=0,95</t>
  </si>
  <si>
    <t xml:space="preserve">Kèm theo BBNT số: 71.NĐXD8/CVXD ngày 20 tháng 09 năm 2026</t>
  </si>
  <si>
    <t xml:space="preserve">Đắp đất nền đường lớp 8 đoạn từ Km0+489,19 - Km0+609,11,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</si>
</sst>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Km0+489,19 -:- Km0+609,11</v>
          </cell>
          <cell r="D3" t="str">
            <v xml:space="preserve">ngày 12 tháng 09 năm 2026</v>
          </cell>
          <cell r="G3" t="str">
            <v xml:space="preserve">57.NĐXD8/CVXD </v>
          </cell>
        </row>
        <row r="4">
          <cell r="A4">
            <v>58</v>
          </cell>
          <cell r="B4" t="str">
            <v xml:space="preserve">Đào đất xử lý nền đường đoạn từ Km0+489,19 - Km0+609,11</v>
          </cell>
          <cell r="D4" t="str">
            <v xml:space="preserve">ngày 13 tháng 09 năm 2026</v>
          </cell>
          <cell r="G4" t="str">
            <v xml:space="preserve">58.NĐXD8/CVXD </v>
          </cell>
        </row>
        <row r="5">
          <cell r="A5">
            <v>59</v>
          </cell>
          <cell r="B5" t="str">
            <v xml:space="preserve">Rải vải địa kỹ thuật đoạn từ Km0+489,19 - Km0+609,11</v>
          </cell>
          <cell r="D5" t="str">
            <v xml:space="preserve">ngày 14 tháng 09 năm 2026</v>
          </cell>
          <cell r="G5" t="str">
            <v xml:space="preserve">59.NĐXD8/CVXD </v>
          </cell>
        </row>
        <row r="6">
          <cell r="A6">
            <v>60</v>
          </cell>
          <cell r="B6" t="str">
            <v xml:space="preserve">Đắp cát nền đường lớp 1 đoạn từ Km0+489,19 - Km0+609,11, độ chặt K&gt;=0,95</v>
          </cell>
          <cell r="D6" t="str">
            <v xml:space="preserve">ngày 14 tháng 09 năm 2026</v>
          </cell>
          <cell r="G6" t="str">
            <v xml:space="preserve">60.NĐXD8/CVXD </v>
          </cell>
        </row>
        <row r="7">
          <cell r="A7">
            <v>61</v>
          </cell>
          <cell r="B7" t="str">
            <v xml:space="preserve">Đắp cát nền đường lớp 2 đoạn từ Km0+489,19 - Km0+609,11, độ chặt K&gt;=0,95</v>
          </cell>
          <cell r="D7" t="str">
            <v xml:space="preserve">ngày 15 tháng 09 năm 2026</v>
          </cell>
          <cell r="G7" t="str">
            <v xml:space="preserve">61.NĐXD8/CVXD </v>
          </cell>
        </row>
        <row r="8">
          <cell r="A8">
            <v>62</v>
          </cell>
          <cell r="B8" t="str">
            <v xml:space="preserve">Đắp cát nền đường lớp 3 đoạn từ Km0+489,19 - Km0+609,11, độ chặt K&gt;=0,95</v>
          </cell>
          <cell r="D8" t="str">
            <v xml:space="preserve">ngày 15 tháng 09 năm 2026</v>
          </cell>
          <cell r="G8" t="str">
            <v xml:space="preserve">62.NĐXD8/CVXD </v>
          </cell>
        </row>
        <row r="9">
          <cell r="A9">
            <v>63</v>
          </cell>
          <cell r="B9" t="str">
            <v xml:space="preserve">Đắp cát nền đường lớp 4 đoạn từ Km0+489,19 - Km0+609,11, độ chặt K&gt;=0,95</v>
          </cell>
          <cell r="D9" t="str">
            <v xml:space="preserve">ngày 16 tháng 09 năm 2026</v>
          </cell>
          <cell r="G9" t="str">
            <v xml:space="preserve">63.NĐXD8/CVXD </v>
          </cell>
        </row>
        <row r="10">
          <cell r="A10">
            <v>64</v>
          </cell>
          <cell r="B10" t="str">
            <v xml:space="preserve">Đắp đất nền đường lớp 1 đoạn từ Km0+489,19 - Km0+609,11, độ chặt K&gt;=0,95</v>
          </cell>
          <cell r="D10" t="str">
            <v xml:space="preserve">ngày 16 tháng 09 năm 2026</v>
          </cell>
          <cell r="G10" t="str">
            <v xml:space="preserve">64.NĐXD8/CVXD </v>
          </cell>
        </row>
        <row r="11">
          <cell r="A11">
            <v>65</v>
          </cell>
          <cell r="B11" t="str">
            <v xml:space="preserve">Đắp đất nền đường lớp 2 đoạn từ Km0+489,19 - Km0+609,11, độ chặt K&gt;=0,95</v>
          </cell>
          <cell r="D11" t="str">
            <v xml:space="preserve">ngày 17 tháng 09 năm 2026</v>
          </cell>
          <cell r="G11" t="str">
            <v xml:space="preserve">65.NĐXD8/CVXD </v>
          </cell>
        </row>
        <row r="12">
          <cell r="A12">
            <v>66</v>
          </cell>
          <cell r="B12" t="str">
            <v xml:space="preserve">Đắp đất nền đường lớp 3 đoạn từ Km0+489,19 - Km0+609,11, độ chặt K&gt;=0,95</v>
          </cell>
          <cell r="D12" t="str">
            <v xml:space="preserve">ngày 17 tháng 09 năm 2026</v>
          </cell>
          <cell r="G12" t="str">
            <v xml:space="preserve">66.NĐXD8/CVXD </v>
          </cell>
        </row>
        <row r="13">
          <cell r="A13">
            <v>67</v>
          </cell>
          <cell r="B13" t="str">
            <v xml:space="preserve">Đắp đất nền đường lớp 4 đoạn từ Km0+489,19 - Km0+609,11, độ chặt K&gt;=0,95</v>
          </cell>
          <cell r="D13" t="str">
            <v xml:space="preserve">ngày 18 tháng 09 năm 2026</v>
          </cell>
          <cell r="G13" t="str">
            <v xml:space="preserve">67.NĐXD8/CVXD </v>
          </cell>
        </row>
        <row r="14">
          <cell r="A14">
            <v>68</v>
          </cell>
          <cell r="B14" t="str">
            <v xml:space="preserve">Đắp đất nền đường lớp 5 đoạn từ Km0+489,19 - Km0+609,11, độ chặt K&gt;=0,95</v>
          </cell>
          <cell r="D14" t="str">
            <v xml:space="preserve">ngày 18 tháng 09 năm 2026</v>
          </cell>
          <cell r="G14" t="str">
            <v xml:space="preserve">68.NĐXD8/CVXD </v>
          </cell>
        </row>
        <row r="15">
          <cell r="A15">
            <v>69</v>
          </cell>
          <cell r="B15" t="str">
            <v xml:space="preserve">Đắp đất nền đường lớp 6 đoạn từ Km0+489,19 - Km0+609,11, độ chặt K&gt;=0,95</v>
          </cell>
          <cell r="D15" t="str">
            <v xml:space="preserve">ngày 19 tháng 09 năm 2026</v>
          </cell>
          <cell r="G15" t="str">
            <v xml:space="preserve">69.NĐXD8/CVXD </v>
          </cell>
        </row>
        <row r="16">
          <cell r="A16">
            <v>70</v>
          </cell>
          <cell r="B16" t="str">
            <v xml:space="preserve">Đắp đất nền đường lớp 7 đoạn từ Km0+489,19 - Km0+609,11, độ chặt K&gt;=0,95</v>
          </cell>
          <cell r="D16" t="str">
            <v xml:space="preserve">ngày 19 tháng 09 năm 2026</v>
          </cell>
          <cell r="G16" t="str">
            <v xml:space="preserve">70.NĐXD8/CVXD </v>
          </cell>
        </row>
        <row r="17">
          <cell r="A17">
            <v>71</v>
          </cell>
          <cell r="B17" t="str">
            <v xml:space="preserve">Đắp đất nền đường lớp 8 đoạn từ Km0+489,19 - Km0+609,11, độ chặt K&gt;=0,95</v>
          </cell>
          <cell r="D17" t="str">
            <v xml:space="preserve">ngày 20 tháng 09 năm 2026</v>
          </cell>
          <cell r="G17" t="str">
            <v xml:space="preserve">71.NĐXD8/CVXD </v>
          </cell>
        </row>
        <row r="18">
          <cell r="A18">
            <v>72</v>
          </cell>
          <cell r="B18" t="str">
            <v xml:space="preserve">Đắp đất nền đường lớp 1, độ chặt K&gt;=0,98 đoạn từ Km0+489,19 - Km0+609,11</v>
          </cell>
          <cell r="D18" t="str">
            <v xml:space="preserve">ngày 21 tháng 09 năm 2026</v>
          </cell>
          <cell r="G18" t="str">
            <v xml:space="preserve">72.NĐXD8/CVXD </v>
          </cell>
        </row>
        <row r="19">
          <cell r="A19">
            <v>73</v>
          </cell>
          <cell r="B19" t="str">
            <v xml:space="preserve">Đắp đất lề đường lớp 1, độ chặt K&gt;=0,95 đoạn từ Km0+489,19 - Km0+609,11</v>
          </cell>
          <cell r="D19" t="str">
            <v xml:space="preserve">ngày 21 tháng 09 năm 2026</v>
          </cell>
          <cell r="G19" t="str">
            <v xml:space="preserve">73.NĐXD8/CVXD </v>
          </cell>
        </row>
        <row r="20">
          <cell r="A20">
            <v>74</v>
          </cell>
          <cell r="B20" t="str">
            <v xml:space="preserve">Đắp đất nền đường lớp 2, độ chặt K&gt;=0,98 đoạn từ Km0+489,19 - Km0+609,11</v>
          </cell>
          <cell r="D20" t="str">
            <v xml:space="preserve">ngày 22 tháng 09 năm 2026</v>
          </cell>
          <cell r="G20" t="str">
            <v xml:space="preserve">74.NĐXD8/CVXD </v>
          </cell>
        </row>
        <row r="21">
          <cell r="A21">
            <v>75</v>
          </cell>
          <cell r="B21" t="str">
            <v xml:space="preserve">Đắp đất lề đường lớp 2, độ chặt K&gt;=0,95 đoạn từ Km0+489,19 - Km0+609,11</v>
          </cell>
          <cell r="D21" t="str">
            <v xml:space="preserve">ngày 22 tháng 09 năm 2026</v>
          </cell>
          <cell r="G21" t="str">
            <v xml:space="preserve">75.NĐXD8/CVXD </v>
          </cell>
        </row>
        <row r="22">
          <cell r="A22">
            <v>76</v>
          </cell>
          <cell r="B22" t="str">
            <v xml:space="preserve">Đắp cấp phối đá dăm loại 2 đoạn từ Km0+489,19 - Km0+609,11</v>
          </cell>
          <cell r="D22" t="str">
            <v xml:space="preserve">ngày 23 tháng 09 năm 2026</v>
          </cell>
          <cell r="G22" t="str">
            <v xml:space="preserve">76.NĐXD8/CVXD </v>
          </cell>
        </row>
        <row r="23">
          <cell r="A23">
            <v>77</v>
          </cell>
          <cell r="B23" t="str">
            <v xml:space="preserve">Đắp đất lề đường lớp 3, độ chặt K&gt;=0,95 đoạn từ Km0+489,19 - Km0+609,11</v>
          </cell>
          <cell r="D23" t="str">
            <v xml:space="preserve">ngày 23 tháng 09 năm 2026</v>
          </cell>
          <cell r="G23" t="str">
            <v xml:space="preserve">77.NĐXD8/CVXD </v>
          </cell>
        </row>
        <row r="24">
          <cell r="A24">
            <v>78</v>
          </cell>
          <cell r="B24" t="str">
            <v xml:space="preserve">Đắp đất lề đường lớp 4, độ chặt K&gt;=0,95 đoạn từ Km0+489,19 - Km0+609,11</v>
          </cell>
          <cell r="D24" t="str">
            <v xml:space="preserve">ngày 24 tháng 09 năm 2026</v>
          </cell>
          <cell r="G24" t="str">
            <v xml:space="preserve">78.NĐXD8/CVXD </v>
          </cell>
        </row>
        <row r="25">
          <cell r="A25">
            <v>79</v>
          </cell>
          <cell r="B25" t="str">
            <v xml:space="preserve">Đắp cấp phối đá dăm loại 1 đoạn từ Km0+489,19 - Km0+609,11</v>
          </cell>
          <cell r="D25" t="str">
            <v xml:space="preserve">ngày 24 tháng 09 năm 2026</v>
          </cell>
          <cell r="G25" t="str">
            <v xml:space="preserve">79.NĐXD8/CVXD </v>
          </cell>
        </row>
        <row r="26">
          <cell r="A26">
            <v>80</v>
          </cell>
          <cell r="B26" t="str">
            <v xml:space="preserve">Vệ sinh, thổi bụi mặt đường </v>
          </cell>
          <cell r="D26" t="str">
            <v xml:space="preserve">ngày 26 tháng 09 năm 2026</v>
          </cell>
          <cell r="G26" t="str">
            <v xml:space="preserve">80.NĐXD8/CVXD </v>
          </cell>
        </row>
        <row r="27">
          <cell r="A27">
            <v>81</v>
          </cell>
          <cell r="B27" t="str">
            <v xml:space="preserve">Tưới lớp thấm bám mặt đường, nhựa MC70, lượng nhựa 1kg/m2</v>
          </cell>
          <cell r="D27" t="str">
            <v xml:space="preserve">ngày 28 tháng 09 năm 2026</v>
          </cell>
          <cell r="G27" t="str">
            <v xml:space="preserve">81.NĐXD8/CVXD </v>
          </cell>
        </row>
        <row r="28">
          <cell r="A28">
            <v>82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01 tháng 10 năm 2026</v>
          </cell>
          <cell r="G28" t="str">
            <v xml:space="preserve">82.NĐXD8/CVXD </v>
          </cell>
        </row>
        <row r="29">
          <cell r="A29">
            <v>83</v>
          </cell>
          <cell r="B29" t="str">
            <v xml:space="preserve">Bê tông nhựa C16 - Chiều dày mặt đường đã lèn ép 6cm</v>
          </cell>
          <cell r="D29" t="str">
            <v xml:space="preserve">ngày 03 tháng 10 năm 2026</v>
          </cell>
          <cell r="G29" t="str">
            <v xml:space="preserve">83.NĐXD8/CVXD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7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489.19</v>
      </c>
      <c r="D2" s="0" t="n">
        <v>8</v>
      </c>
      <c r="E2" s="0" t="n">
        <v>7.31</v>
      </c>
      <c r="F2" s="0" t="n">
        <v>-11.95</v>
      </c>
      <c r="G2" s="2" t="n">
        <v>1.87</v>
      </c>
      <c r="H2" s="1" t="n">
        <v>-5.25</v>
      </c>
      <c r="I2" s="1" t="n">
        <v>1.87</v>
      </c>
      <c r="J2" s="0" t="n">
        <v>0</v>
      </c>
      <c r="K2" s="2" t="n">
        <v>1.99</v>
      </c>
      <c r="L2" s="0" t="n">
        <v>5.25</v>
      </c>
      <c r="M2" s="2" t="n">
        <v>1.87</v>
      </c>
      <c r="N2" s="1" t="n">
        <v>11.95</v>
      </c>
      <c r="O2" s="1" t="n">
        <v>1.87</v>
      </c>
      <c r="P2" s="0" t="n">
        <v>63.94</v>
      </c>
      <c r="Q2" s="0" t="n">
        <v>11.55</v>
      </c>
    </row>
    <row r="3" customFormat="false" ht="15" hidden="false" customHeight="false" outlineLevel="0" collapsed="false">
      <c r="D3" s="0" t="n">
        <v>7</v>
      </c>
      <c r="E3" s="0" t="n">
        <v>7.01</v>
      </c>
      <c r="F3" s="0" t="n">
        <v>-12.4</v>
      </c>
      <c r="G3" s="2" t="n">
        <v>1.57</v>
      </c>
      <c r="H3" s="1" t="n">
        <v>-5.25</v>
      </c>
      <c r="I3" s="1" t="n">
        <v>1.57</v>
      </c>
      <c r="J3" s="0" t="n">
        <v>0</v>
      </c>
      <c r="K3" s="2" t="n">
        <v>1.69</v>
      </c>
      <c r="L3" s="0" t="n">
        <v>5.25</v>
      </c>
      <c r="M3" s="2" t="n">
        <v>1.57</v>
      </c>
      <c r="N3" s="1" t="n">
        <v>12.4</v>
      </c>
      <c r="O3" s="1" t="n">
        <v>1.57</v>
      </c>
    </row>
    <row r="4" customFormat="false" ht="15" hidden="false" customHeight="false" outlineLevel="0" collapsed="false">
      <c r="D4" s="0" t="n">
        <v>6</v>
      </c>
      <c r="E4" s="0" t="n">
        <v>7.02</v>
      </c>
      <c r="F4" s="0" t="n">
        <v>-12.85</v>
      </c>
      <c r="G4" s="2" t="n">
        <v>1.27</v>
      </c>
      <c r="H4" s="1" t="n">
        <v>-5.25</v>
      </c>
      <c r="I4" s="1" t="n">
        <v>1.27</v>
      </c>
      <c r="J4" s="0" t="n">
        <v>0</v>
      </c>
      <c r="K4" s="2" t="n">
        <v>1.39</v>
      </c>
      <c r="L4" s="0" t="n">
        <v>5.25</v>
      </c>
      <c r="M4" s="2" t="n">
        <v>1.27</v>
      </c>
      <c r="N4" s="1" t="n">
        <v>12.85</v>
      </c>
      <c r="O4" s="1" t="n">
        <v>1.27</v>
      </c>
    </row>
    <row r="5" customFormat="false" ht="15" hidden="false" customHeight="false" outlineLevel="0" collapsed="false">
      <c r="D5" s="0" t="n">
        <v>5</v>
      </c>
      <c r="E5" s="0" t="n">
        <v>7.12</v>
      </c>
      <c r="F5" s="0" t="n">
        <v>-13.3</v>
      </c>
      <c r="G5" s="2" t="n">
        <v>0.97</v>
      </c>
      <c r="H5" s="1" t="n">
        <v>-5.25</v>
      </c>
      <c r="I5" s="1" t="n">
        <v>0.97</v>
      </c>
      <c r="J5" s="0" t="n">
        <v>0</v>
      </c>
      <c r="K5" s="2" t="n">
        <v>1.09</v>
      </c>
      <c r="L5" s="0" t="n">
        <v>5.25</v>
      </c>
      <c r="M5" s="2" t="n">
        <v>0.97</v>
      </c>
      <c r="N5" s="1" t="n">
        <v>13.3</v>
      </c>
      <c r="O5" s="1" t="n">
        <v>0.97</v>
      </c>
    </row>
    <row r="6" customFormat="false" ht="15" hidden="false" customHeight="false" outlineLevel="0" collapsed="false">
      <c r="D6" s="0" t="n">
        <v>4</v>
      </c>
      <c r="E6" s="0" t="n">
        <v>7.22</v>
      </c>
      <c r="F6" s="0" t="n">
        <v>-13.75</v>
      </c>
      <c r="G6" s="2" t="n">
        <v>0.67</v>
      </c>
      <c r="H6" s="1" t="n">
        <v>-5.25</v>
      </c>
      <c r="I6" s="1" t="n">
        <v>0.67</v>
      </c>
      <c r="J6" s="0" t="n">
        <v>0</v>
      </c>
      <c r="K6" s="2" t="n">
        <v>0.79</v>
      </c>
      <c r="L6" s="0" t="n">
        <v>5.25</v>
      </c>
      <c r="M6" s="2" t="n">
        <v>0.67</v>
      </c>
      <c r="N6" s="1" t="n">
        <v>13.75</v>
      </c>
      <c r="O6" s="1" t="n">
        <v>0.67</v>
      </c>
    </row>
    <row r="7" customFormat="false" ht="15" hidden="false" customHeight="false" outlineLevel="0" collapsed="false">
      <c r="D7" s="0" t="n">
        <v>3</v>
      </c>
      <c r="E7" s="0" t="n">
        <v>7.12</v>
      </c>
      <c r="F7" s="0" t="n">
        <v>-14.2</v>
      </c>
      <c r="G7" s="2" t="n">
        <v>0.37</v>
      </c>
      <c r="H7" s="1" t="n">
        <v>-5.25</v>
      </c>
      <c r="I7" s="1" t="n">
        <v>0.37</v>
      </c>
      <c r="J7" s="0" t="n">
        <v>0</v>
      </c>
      <c r="K7" s="2" t="n">
        <v>0.49</v>
      </c>
      <c r="L7" s="0" t="n">
        <v>5.25</v>
      </c>
      <c r="M7" s="2" t="n">
        <v>0.37</v>
      </c>
      <c r="N7" s="1" t="n">
        <v>14.2</v>
      </c>
      <c r="O7" s="1" t="n">
        <v>0.37</v>
      </c>
    </row>
    <row r="8" customFormat="false" ht="15" hidden="false" customHeight="false" outlineLevel="0" collapsed="false">
      <c r="D8" s="0" t="n">
        <v>2</v>
      </c>
      <c r="E8" s="0" t="n">
        <v>5.39</v>
      </c>
      <c r="F8" s="0" t="n">
        <v>-14.65</v>
      </c>
      <c r="G8" s="2" t="n">
        <v>0.07</v>
      </c>
      <c r="H8" s="1" t="n">
        <v>-5.25</v>
      </c>
      <c r="I8" s="1" t="n">
        <v>0.07</v>
      </c>
      <c r="J8" s="0" t="n">
        <v>0</v>
      </c>
      <c r="K8" s="2" t="n">
        <v>0.19</v>
      </c>
      <c r="L8" s="0" t="n">
        <v>5.25</v>
      </c>
      <c r="M8" s="2" t="n">
        <v>0.07</v>
      </c>
      <c r="N8" s="1" t="n">
        <v>14.65</v>
      </c>
      <c r="O8" s="1" t="n">
        <v>0.07</v>
      </c>
    </row>
    <row r="9" customFormat="false" ht="15" hidden="false" customHeight="false" outlineLevel="0" collapsed="false">
      <c r="D9" s="0" t="n">
        <v>1</v>
      </c>
      <c r="E9" s="0" t="n">
        <v>4.13</v>
      </c>
      <c r="F9" s="0" t="n">
        <v>-9.67</v>
      </c>
      <c r="G9" s="2" t="n">
        <v>-0.23</v>
      </c>
      <c r="H9" s="1" t="n">
        <v>-5.25</v>
      </c>
      <c r="I9" s="1" t="n">
        <v>-0.23</v>
      </c>
      <c r="J9" s="0" t="n">
        <v>0</v>
      </c>
      <c r="K9" s="2" t="n">
        <v>-0.11</v>
      </c>
      <c r="L9" s="0" t="n">
        <v>5.25</v>
      </c>
      <c r="M9" s="2" t="n">
        <v>-0.23</v>
      </c>
      <c r="N9" s="1" t="n">
        <v>15.1</v>
      </c>
      <c r="O9" s="1" t="n">
        <v>-0.23</v>
      </c>
    </row>
    <row r="10" customFormat="false" ht="15" hidden="false" customHeight="false" outlineLevel="0" collapsed="false">
      <c r="A10" s="1" t="n">
        <v>2</v>
      </c>
      <c r="B10" s="2" t="s">
        <v>18</v>
      </c>
      <c r="C10" s="0" t="n">
        <v>502.36</v>
      </c>
      <c r="D10" s="0" t="n">
        <v>8</v>
      </c>
      <c r="E10" s="0" t="n">
        <v>7.31</v>
      </c>
      <c r="F10" s="0" t="n">
        <v>-11.95</v>
      </c>
      <c r="G10" s="2" t="n">
        <v>1.86</v>
      </c>
      <c r="H10" s="1" t="n">
        <v>-5.25</v>
      </c>
      <c r="I10" s="1" t="n">
        <v>1.86</v>
      </c>
      <c r="J10" s="0" t="n">
        <v>0</v>
      </c>
      <c r="K10" s="2" t="n">
        <v>1.98</v>
      </c>
      <c r="L10" s="0" t="n">
        <v>5.25</v>
      </c>
      <c r="M10" s="2" t="n">
        <v>1.86</v>
      </c>
      <c r="N10" s="1" t="n">
        <v>11.95</v>
      </c>
      <c r="O10" s="1" t="n">
        <v>1.86</v>
      </c>
      <c r="P10" s="0" t="n">
        <v>72.73</v>
      </c>
      <c r="Q10" s="0" t="n">
        <v>11.55</v>
      </c>
    </row>
    <row r="11" customFormat="false" ht="15" hidden="false" customHeight="false" outlineLevel="0" collapsed="false">
      <c r="D11" s="0" t="n">
        <v>7</v>
      </c>
      <c r="E11" s="0" t="n">
        <v>7.58</v>
      </c>
      <c r="F11" s="0" t="n">
        <v>-12.4</v>
      </c>
      <c r="G11" s="2" t="n">
        <v>1.56</v>
      </c>
      <c r="H11" s="1" t="n">
        <v>-5.25</v>
      </c>
      <c r="I11" s="1" t="n">
        <v>1.56</v>
      </c>
      <c r="J11" s="0" t="n">
        <v>0</v>
      </c>
      <c r="K11" s="2" t="n">
        <v>1.68</v>
      </c>
      <c r="L11" s="0" t="n">
        <v>5.25</v>
      </c>
      <c r="M11" s="2" t="n">
        <v>1.56</v>
      </c>
      <c r="N11" s="1" t="n">
        <v>12.4</v>
      </c>
      <c r="O11" s="1" t="n">
        <v>1.56</v>
      </c>
    </row>
    <row r="12" customFormat="false" ht="15" hidden="false" customHeight="false" outlineLevel="0" collapsed="false">
      <c r="D12" s="0" t="n">
        <v>6</v>
      </c>
      <c r="E12" s="0" t="n">
        <v>7.85</v>
      </c>
      <c r="F12" s="0" t="n">
        <v>-12.85</v>
      </c>
      <c r="G12" s="2" t="n">
        <v>1.26</v>
      </c>
      <c r="H12" s="1" t="n">
        <v>-5.25</v>
      </c>
      <c r="I12" s="1" t="n">
        <v>1.26</v>
      </c>
      <c r="J12" s="0" t="n">
        <v>0</v>
      </c>
      <c r="K12" s="2" t="n">
        <v>1.38</v>
      </c>
      <c r="L12" s="0" t="n">
        <v>5.25</v>
      </c>
      <c r="M12" s="2" t="n">
        <v>1.26</v>
      </c>
      <c r="N12" s="1" t="n">
        <v>12.85</v>
      </c>
      <c r="O12" s="1" t="n">
        <v>1.26</v>
      </c>
    </row>
    <row r="13" customFormat="false" ht="15" hidden="false" customHeight="false" outlineLevel="0" collapsed="false">
      <c r="D13" s="0" t="n">
        <v>5</v>
      </c>
      <c r="E13" s="0" t="n">
        <v>8.12</v>
      </c>
      <c r="F13" s="0" t="n">
        <v>-13.3</v>
      </c>
      <c r="G13" s="2" t="n">
        <v>0.96</v>
      </c>
      <c r="H13" s="1" t="n">
        <v>-5.25</v>
      </c>
      <c r="I13" s="1" t="n">
        <v>0.96</v>
      </c>
      <c r="J13" s="0" t="n">
        <v>0</v>
      </c>
      <c r="K13" s="2" t="n">
        <v>1.08</v>
      </c>
      <c r="L13" s="0" t="n">
        <v>5.25</v>
      </c>
      <c r="M13" s="2" t="n">
        <v>0.96</v>
      </c>
      <c r="N13" s="1" t="n">
        <v>13.3</v>
      </c>
      <c r="O13" s="1" t="n">
        <v>0.96</v>
      </c>
    </row>
    <row r="14" customFormat="false" ht="15" hidden="false" customHeight="false" outlineLevel="0" collapsed="false">
      <c r="D14" s="0" t="n">
        <v>4</v>
      </c>
      <c r="E14" s="0" t="n">
        <v>8.39</v>
      </c>
      <c r="F14" s="0" t="n">
        <v>-13.75</v>
      </c>
      <c r="G14" s="2" t="n">
        <v>0.66</v>
      </c>
      <c r="H14" s="1" t="n">
        <v>-5.25</v>
      </c>
      <c r="I14" s="1" t="n">
        <v>0.66</v>
      </c>
      <c r="J14" s="0" t="n">
        <v>0</v>
      </c>
      <c r="K14" s="2" t="n">
        <v>0.78</v>
      </c>
      <c r="L14" s="0" t="n">
        <v>5.25</v>
      </c>
      <c r="M14" s="2" t="n">
        <v>0.66</v>
      </c>
      <c r="N14" s="1" t="n">
        <v>13.75</v>
      </c>
      <c r="O14" s="1" t="n">
        <v>0.66</v>
      </c>
    </row>
    <row r="15" customFormat="false" ht="15" hidden="false" customHeight="false" outlineLevel="0" collapsed="false">
      <c r="D15" s="0" t="n">
        <v>3</v>
      </c>
      <c r="E15" s="0" t="n">
        <v>8.66</v>
      </c>
      <c r="F15" s="0" t="n">
        <v>-14.2</v>
      </c>
      <c r="G15" s="2" t="n">
        <v>0.36</v>
      </c>
      <c r="H15" s="1" t="n">
        <v>-5.25</v>
      </c>
      <c r="I15" s="1" t="n">
        <v>0.36</v>
      </c>
      <c r="J15" s="0" t="n">
        <v>0</v>
      </c>
      <c r="K15" s="2" t="n">
        <v>0.48</v>
      </c>
      <c r="L15" s="0" t="n">
        <v>5.25</v>
      </c>
      <c r="M15" s="2" t="n">
        <v>0.36</v>
      </c>
      <c r="N15" s="1" t="n">
        <v>14.2</v>
      </c>
      <c r="O15" s="1" t="n">
        <v>0.36</v>
      </c>
    </row>
    <row r="16" customFormat="false" ht="15" hidden="false" customHeight="false" outlineLevel="0" collapsed="false">
      <c r="D16" s="0" t="n">
        <v>2</v>
      </c>
      <c r="E16" s="0" t="n">
        <v>8.13</v>
      </c>
      <c r="F16" s="0" t="n">
        <v>-14.65</v>
      </c>
      <c r="G16" s="2" t="n">
        <v>0.06</v>
      </c>
      <c r="H16" s="1" t="n">
        <v>-5.25</v>
      </c>
      <c r="I16" s="1" t="n">
        <v>0.06</v>
      </c>
      <c r="J16" s="0" t="n">
        <v>0</v>
      </c>
      <c r="K16" s="2" t="n">
        <v>0.18</v>
      </c>
      <c r="L16" s="0" t="n">
        <v>5.25</v>
      </c>
      <c r="M16" s="2" t="n">
        <v>0.06</v>
      </c>
      <c r="N16" s="1" t="n">
        <v>14.65</v>
      </c>
      <c r="O16" s="1" t="n">
        <v>0.06</v>
      </c>
    </row>
    <row r="17" customFormat="false" ht="15" hidden="false" customHeight="false" outlineLevel="0" collapsed="false">
      <c r="D17" s="0" t="n">
        <v>1</v>
      </c>
      <c r="E17" s="0" t="n">
        <v>5.13</v>
      </c>
      <c r="F17" s="0" t="n">
        <v>-10.68</v>
      </c>
      <c r="G17" s="2" t="n">
        <v>-0.24</v>
      </c>
      <c r="H17" s="1" t="n">
        <v>-5.25</v>
      </c>
      <c r="I17" s="1" t="n">
        <v>-0.24</v>
      </c>
      <c r="J17" s="0" t="n">
        <v>0</v>
      </c>
      <c r="K17" s="2" t="n">
        <v>-0.12</v>
      </c>
      <c r="L17" s="0" t="n">
        <v>5.25</v>
      </c>
      <c r="M17" s="2" t="n">
        <v>-0.24</v>
      </c>
      <c r="N17" s="1" t="n">
        <v>10.58</v>
      </c>
      <c r="O17" s="1" t="n">
        <v>-0.24</v>
      </c>
    </row>
    <row r="18" customFormat="false" ht="15" hidden="false" customHeight="false" outlineLevel="0" collapsed="false">
      <c r="A18" s="1" t="n">
        <v>3</v>
      </c>
      <c r="B18" s="2" t="s">
        <v>19</v>
      </c>
      <c r="C18" s="0" t="n">
        <v>512.84</v>
      </c>
      <c r="D18" s="0" t="n">
        <v>8</v>
      </c>
      <c r="E18" s="0" t="n">
        <v>7.31</v>
      </c>
      <c r="F18" s="0" t="n">
        <v>-11.95</v>
      </c>
      <c r="G18" s="2" t="n">
        <v>1.86</v>
      </c>
      <c r="H18" s="1" t="n">
        <v>-5.25</v>
      </c>
      <c r="I18" s="1" t="n">
        <v>1.86</v>
      </c>
      <c r="J18" s="0" t="n">
        <v>0</v>
      </c>
      <c r="K18" s="2" t="n">
        <v>1.97</v>
      </c>
      <c r="L18" s="0" t="n">
        <v>5.25</v>
      </c>
      <c r="M18" s="2" t="n">
        <v>1.86</v>
      </c>
      <c r="N18" s="1" t="n">
        <v>11.95</v>
      </c>
      <c r="O18" s="1" t="n">
        <v>1.86</v>
      </c>
      <c r="P18" s="0" t="n">
        <v>72.39</v>
      </c>
      <c r="Q18" s="0" t="n">
        <v>11.55</v>
      </c>
    </row>
    <row r="19" customFormat="false" ht="15" hidden="false" customHeight="false" outlineLevel="0" collapsed="false">
      <c r="D19" s="0" t="n">
        <v>7</v>
      </c>
      <c r="E19" s="0" t="n">
        <v>7.58</v>
      </c>
      <c r="F19" s="0" t="n">
        <v>-12.4</v>
      </c>
      <c r="G19" s="2" t="n">
        <v>1.56</v>
      </c>
      <c r="H19" s="1" t="n">
        <v>-5.25</v>
      </c>
      <c r="I19" s="1" t="n">
        <v>1.56</v>
      </c>
      <c r="J19" s="0" t="n">
        <v>0</v>
      </c>
      <c r="K19" s="2" t="n">
        <v>1.67</v>
      </c>
      <c r="L19" s="0" t="n">
        <v>5.25</v>
      </c>
      <c r="M19" s="2" t="n">
        <v>1.56</v>
      </c>
      <c r="N19" s="1" t="n">
        <v>12.4</v>
      </c>
      <c r="O19" s="1" t="n">
        <v>1.56</v>
      </c>
    </row>
    <row r="20" customFormat="false" ht="15" hidden="false" customHeight="false" outlineLevel="0" collapsed="false">
      <c r="D20" s="0" t="n">
        <v>6</v>
      </c>
      <c r="E20" s="0" t="n">
        <v>7.85</v>
      </c>
      <c r="F20" s="0" t="n">
        <v>-12.85</v>
      </c>
      <c r="G20" s="2" t="n">
        <v>1.26</v>
      </c>
      <c r="H20" s="1" t="n">
        <v>-5.25</v>
      </c>
      <c r="I20" s="1" t="n">
        <v>1.26</v>
      </c>
      <c r="J20" s="0" t="n">
        <v>0</v>
      </c>
      <c r="K20" s="2" t="n">
        <v>1.37</v>
      </c>
      <c r="L20" s="0" t="n">
        <v>5.25</v>
      </c>
      <c r="M20" s="2" t="n">
        <v>1.26</v>
      </c>
      <c r="N20" s="1" t="n">
        <v>12.85</v>
      </c>
      <c r="O20" s="1" t="n">
        <v>1.26</v>
      </c>
    </row>
    <row r="21" customFormat="false" ht="15" hidden="false" customHeight="false" outlineLevel="0" collapsed="false">
      <c r="D21" s="0" t="n">
        <v>5</v>
      </c>
      <c r="E21" s="0" t="n">
        <v>8.12</v>
      </c>
      <c r="F21" s="0" t="n">
        <v>-13.3</v>
      </c>
      <c r="G21" s="2" t="n">
        <v>0.96</v>
      </c>
      <c r="H21" s="1" t="n">
        <v>-5.25</v>
      </c>
      <c r="I21" s="1" t="n">
        <v>0.96</v>
      </c>
      <c r="J21" s="0" t="n">
        <v>0</v>
      </c>
      <c r="K21" s="2" t="n">
        <v>1.07</v>
      </c>
      <c r="L21" s="0" t="n">
        <v>5.25</v>
      </c>
      <c r="M21" s="2" t="n">
        <v>0.96</v>
      </c>
      <c r="N21" s="1" t="n">
        <v>13.3</v>
      </c>
      <c r="O21" s="1" t="n">
        <v>0.96</v>
      </c>
    </row>
    <row r="22" customFormat="false" ht="15" hidden="false" customHeight="false" outlineLevel="0" collapsed="false">
      <c r="D22" s="0" t="n">
        <v>4</v>
      </c>
      <c r="E22" s="0" t="n">
        <v>8.39</v>
      </c>
      <c r="F22" s="0" t="n">
        <v>-13.75</v>
      </c>
      <c r="G22" s="2" t="n">
        <v>0.66</v>
      </c>
      <c r="H22" s="1" t="n">
        <v>-5.25</v>
      </c>
      <c r="I22" s="1" t="n">
        <v>0.66</v>
      </c>
      <c r="J22" s="0" t="n">
        <v>0</v>
      </c>
      <c r="K22" s="2" t="n">
        <v>0.77</v>
      </c>
      <c r="L22" s="0" t="n">
        <v>5.25</v>
      </c>
      <c r="M22" s="2" t="n">
        <v>0.66</v>
      </c>
      <c r="N22" s="1" t="n">
        <v>13.75</v>
      </c>
      <c r="O22" s="1" t="n">
        <v>0.66</v>
      </c>
    </row>
    <row r="23" customFormat="false" ht="15" hidden="false" customHeight="false" outlineLevel="0" collapsed="false">
      <c r="D23" s="0" t="n">
        <v>3</v>
      </c>
      <c r="E23" s="0" t="n">
        <v>8.66</v>
      </c>
      <c r="F23" s="0" t="n">
        <v>-14.2</v>
      </c>
      <c r="G23" s="2" t="n">
        <v>0.36</v>
      </c>
      <c r="H23" s="1" t="n">
        <v>-5.25</v>
      </c>
      <c r="I23" s="1" t="n">
        <v>0.36</v>
      </c>
      <c r="J23" s="0" t="n">
        <v>0</v>
      </c>
      <c r="K23" s="2" t="n">
        <v>0.47</v>
      </c>
      <c r="L23" s="0" t="n">
        <v>5.25</v>
      </c>
      <c r="M23" s="2" t="n">
        <v>0.36</v>
      </c>
      <c r="N23" s="1" t="n">
        <v>14.2</v>
      </c>
      <c r="O23" s="1" t="n">
        <v>0.36</v>
      </c>
    </row>
    <row r="24" customFormat="false" ht="15" hidden="false" customHeight="false" outlineLevel="0" collapsed="false">
      <c r="D24" s="0" t="n">
        <v>2</v>
      </c>
      <c r="E24" s="0" t="n">
        <v>8.05</v>
      </c>
      <c r="F24" s="0" t="n">
        <v>-14.65</v>
      </c>
      <c r="G24" s="2" t="n">
        <v>0.06</v>
      </c>
      <c r="H24" s="1" t="n">
        <v>-5.25</v>
      </c>
      <c r="I24" s="1" t="n">
        <v>0.06</v>
      </c>
      <c r="J24" s="0" t="n">
        <v>0</v>
      </c>
      <c r="K24" s="2" t="n">
        <v>0.17</v>
      </c>
      <c r="L24" s="0" t="n">
        <v>5.25</v>
      </c>
      <c r="M24" s="2" t="n">
        <v>0.06</v>
      </c>
      <c r="N24" s="1" t="n">
        <v>14.65</v>
      </c>
      <c r="O24" s="1" t="n">
        <v>0.06</v>
      </c>
    </row>
    <row r="25" customFormat="false" ht="15" hidden="false" customHeight="false" outlineLevel="0" collapsed="false">
      <c r="D25" s="0" t="n">
        <v>1</v>
      </c>
      <c r="E25" s="0" t="n">
        <v>4.88</v>
      </c>
      <c r="F25" s="0" t="n">
        <v>-10.11</v>
      </c>
      <c r="G25" s="2" t="n">
        <v>-0.24</v>
      </c>
      <c r="H25" s="1" t="n">
        <v>-5.25</v>
      </c>
      <c r="I25" s="1" t="n">
        <v>-0.24</v>
      </c>
      <c r="J25" s="0" t="n">
        <v>0</v>
      </c>
      <c r="K25" s="2" t="n">
        <v>-0.13</v>
      </c>
      <c r="L25" s="0" t="n">
        <v>5.25</v>
      </c>
      <c r="M25" s="2" t="n">
        <v>-0.24</v>
      </c>
      <c r="N25" s="1" t="n">
        <v>10.49</v>
      </c>
      <c r="O25" s="1" t="n">
        <v>-0.24</v>
      </c>
    </row>
    <row r="26" customFormat="false" ht="15" hidden="false" customHeight="false" outlineLevel="0" collapsed="false">
      <c r="A26" s="1" t="n">
        <v>4</v>
      </c>
      <c r="B26" s="2" t="s">
        <v>20</v>
      </c>
      <c r="C26" s="0" t="n">
        <v>529.62</v>
      </c>
      <c r="D26" s="0" t="n">
        <v>8</v>
      </c>
      <c r="E26" s="0" t="n">
        <v>7.31</v>
      </c>
      <c r="F26" s="0" t="n">
        <v>-11.95</v>
      </c>
      <c r="G26" s="2" t="n">
        <v>1.85</v>
      </c>
      <c r="H26" s="1" t="n">
        <v>-5.25</v>
      </c>
      <c r="I26" s="1" t="n">
        <v>1.85</v>
      </c>
      <c r="J26" s="0" t="n">
        <v>0</v>
      </c>
      <c r="K26" s="2" t="n">
        <v>1.97</v>
      </c>
      <c r="L26" s="0" t="n">
        <v>5.25</v>
      </c>
      <c r="M26" s="2" t="n">
        <v>1.85</v>
      </c>
      <c r="N26" s="1" t="n">
        <v>11.95</v>
      </c>
      <c r="O26" s="1" t="n">
        <v>1.85</v>
      </c>
      <c r="P26" s="0" t="n">
        <v>73.43</v>
      </c>
      <c r="Q26" s="0" t="n">
        <v>11.55</v>
      </c>
    </row>
    <row r="27" customFormat="false" ht="15" hidden="false" customHeight="false" outlineLevel="0" collapsed="false">
      <c r="D27" s="0" t="n">
        <v>7</v>
      </c>
      <c r="E27" s="0" t="n">
        <v>7.58</v>
      </c>
      <c r="F27" s="0" t="n">
        <v>-12.4</v>
      </c>
      <c r="G27" s="2" t="n">
        <v>1.55</v>
      </c>
      <c r="H27" s="1" t="n">
        <v>-5.25</v>
      </c>
      <c r="I27" s="1" t="n">
        <v>1.55</v>
      </c>
      <c r="J27" s="0" t="n">
        <v>0</v>
      </c>
      <c r="K27" s="2" t="n">
        <v>1.67</v>
      </c>
      <c r="L27" s="0" t="n">
        <v>5.25</v>
      </c>
      <c r="M27" s="2" t="n">
        <v>1.55</v>
      </c>
      <c r="N27" s="1" t="n">
        <v>12.4</v>
      </c>
      <c r="O27" s="1" t="n">
        <v>1.55</v>
      </c>
    </row>
    <row r="28" customFormat="false" ht="15" hidden="false" customHeight="false" outlineLevel="0" collapsed="false">
      <c r="D28" s="0" t="n">
        <v>6</v>
      </c>
      <c r="E28" s="0" t="n">
        <v>7.85</v>
      </c>
      <c r="F28" s="0" t="n">
        <v>-12.85</v>
      </c>
      <c r="G28" s="2" t="n">
        <v>1.25</v>
      </c>
      <c r="H28" s="1" t="n">
        <v>-5.25</v>
      </c>
      <c r="I28" s="1" t="n">
        <v>1.25</v>
      </c>
      <c r="J28" s="0" t="n">
        <v>0</v>
      </c>
      <c r="K28" s="2" t="n">
        <v>1.37</v>
      </c>
      <c r="L28" s="0" t="n">
        <v>5.25</v>
      </c>
      <c r="M28" s="2" t="n">
        <v>1.25</v>
      </c>
      <c r="N28" s="1" t="n">
        <v>12.85</v>
      </c>
      <c r="O28" s="1" t="n">
        <v>1.25</v>
      </c>
    </row>
    <row r="29" customFormat="false" ht="15" hidden="false" customHeight="false" outlineLevel="0" collapsed="false">
      <c r="D29" s="0" t="n">
        <v>5</v>
      </c>
      <c r="E29" s="0" t="n">
        <v>8.12</v>
      </c>
      <c r="F29" s="0" t="n">
        <v>-13.3</v>
      </c>
      <c r="G29" s="2" t="n">
        <v>0.95</v>
      </c>
      <c r="H29" s="1" t="n">
        <v>-5.25</v>
      </c>
      <c r="I29" s="1" t="n">
        <v>0.95</v>
      </c>
      <c r="J29" s="0" t="n">
        <v>0</v>
      </c>
      <c r="K29" s="2" t="n">
        <v>1.07</v>
      </c>
      <c r="L29" s="0" t="n">
        <v>5.25</v>
      </c>
      <c r="M29" s="2" t="n">
        <v>0.95</v>
      </c>
      <c r="N29" s="1" t="n">
        <v>13.3</v>
      </c>
      <c r="O29" s="1" t="n">
        <v>0.95</v>
      </c>
    </row>
    <row r="30" customFormat="false" ht="15" hidden="false" customHeight="false" outlineLevel="0" collapsed="false">
      <c r="D30" s="0" t="n">
        <v>4</v>
      </c>
      <c r="E30" s="0" t="n">
        <v>8.39</v>
      </c>
      <c r="F30" s="0" t="n">
        <v>-13.75</v>
      </c>
      <c r="G30" s="2" t="n">
        <v>0.65</v>
      </c>
      <c r="H30" s="1" t="n">
        <v>-5.25</v>
      </c>
      <c r="I30" s="1" t="n">
        <v>0.65</v>
      </c>
      <c r="J30" s="0" t="n">
        <v>0</v>
      </c>
      <c r="K30" s="2" t="n">
        <v>0.77</v>
      </c>
      <c r="L30" s="0" t="n">
        <v>5.25</v>
      </c>
      <c r="M30" s="2" t="n">
        <v>0.65</v>
      </c>
      <c r="N30" s="1" t="n">
        <v>13.75</v>
      </c>
      <c r="O30" s="1" t="n">
        <v>0.65</v>
      </c>
    </row>
    <row r="31" customFormat="false" ht="15" hidden="false" customHeight="false" outlineLevel="0" collapsed="false">
      <c r="D31" s="0" t="n">
        <v>3</v>
      </c>
      <c r="E31" s="0" t="n">
        <v>8.66</v>
      </c>
      <c r="F31" s="0" t="n">
        <v>-14.2</v>
      </c>
      <c r="G31" s="2" t="n">
        <v>0.35</v>
      </c>
      <c r="H31" s="1" t="n">
        <v>-5.25</v>
      </c>
      <c r="I31" s="1" t="n">
        <v>0.35</v>
      </c>
      <c r="J31" s="0" t="n">
        <v>0</v>
      </c>
      <c r="K31" s="2" t="n">
        <v>0.47</v>
      </c>
      <c r="L31" s="0" t="n">
        <v>5.25</v>
      </c>
      <c r="M31" s="2" t="n">
        <v>0.35</v>
      </c>
      <c r="N31" s="1" t="n">
        <v>14.2</v>
      </c>
      <c r="O31" s="1" t="n">
        <v>0.35</v>
      </c>
    </row>
    <row r="32" customFormat="false" ht="15" hidden="false" customHeight="false" outlineLevel="0" collapsed="false">
      <c r="D32" s="0" t="n">
        <v>2</v>
      </c>
      <c r="E32" s="0" t="n">
        <v>8.93</v>
      </c>
      <c r="F32" s="0" t="n">
        <v>-14.65</v>
      </c>
      <c r="G32" s="2" t="n">
        <v>0.05</v>
      </c>
      <c r="H32" s="1" t="n">
        <v>-5.25</v>
      </c>
      <c r="I32" s="1" t="n">
        <v>0.05</v>
      </c>
      <c r="J32" s="0" t="n">
        <v>0</v>
      </c>
      <c r="K32" s="2" t="n">
        <v>0.17</v>
      </c>
      <c r="L32" s="0" t="n">
        <v>5.25</v>
      </c>
      <c r="M32" s="2" t="n">
        <v>0.05</v>
      </c>
      <c r="N32" s="1" t="n">
        <v>14.65</v>
      </c>
      <c r="O32" s="1" t="n">
        <v>0.05</v>
      </c>
    </row>
    <row r="33" customFormat="false" ht="15" hidden="false" customHeight="false" outlineLevel="0" collapsed="false">
      <c r="D33" s="0" t="n">
        <v>1</v>
      </c>
      <c r="E33" s="0" t="n">
        <v>5.06</v>
      </c>
      <c r="F33" s="0" t="n">
        <v>-15.04</v>
      </c>
      <c r="G33" s="2" t="n">
        <v>-0.25</v>
      </c>
      <c r="H33" s="1" t="n">
        <v>-5.25</v>
      </c>
      <c r="I33" s="1" t="n">
        <v>-0.25</v>
      </c>
      <c r="J33" s="0" t="n">
        <v>0</v>
      </c>
      <c r="K33" s="2" t="n">
        <v>-0.13</v>
      </c>
      <c r="L33" s="0" t="n">
        <v>5.25</v>
      </c>
      <c r="M33" s="2" t="n">
        <v>-0.25</v>
      </c>
      <c r="N33" s="1" t="n">
        <v>15.1</v>
      </c>
      <c r="O33" s="1" t="n">
        <v>-0.25</v>
      </c>
    </row>
    <row r="34" customFormat="false" ht="15" hidden="false" customHeight="false" outlineLevel="0" collapsed="false">
      <c r="A34" s="1" t="n">
        <v>5</v>
      </c>
      <c r="B34" s="2" t="s">
        <v>21</v>
      </c>
      <c r="C34" s="0" t="n">
        <v>546.72</v>
      </c>
      <c r="D34" s="0" t="n">
        <v>8</v>
      </c>
      <c r="E34" s="0" t="n">
        <v>7.31</v>
      </c>
      <c r="F34" s="0" t="n">
        <v>-11.95</v>
      </c>
      <c r="G34" s="2" t="n">
        <v>1.84</v>
      </c>
      <c r="H34" s="1" t="n">
        <v>-5.25</v>
      </c>
      <c r="I34" s="1" t="n">
        <v>1.84</v>
      </c>
      <c r="J34" s="0" t="n">
        <v>0</v>
      </c>
      <c r="K34" s="2" t="n">
        <v>1.96</v>
      </c>
      <c r="L34" s="0" t="n">
        <v>5.25</v>
      </c>
      <c r="M34" s="2" t="n">
        <v>1.84</v>
      </c>
      <c r="N34" s="1" t="n">
        <v>11.95</v>
      </c>
      <c r="O34" s="1" t="n">
        <v>1.84</v>
      </c>
      <c r="P34" s="0" t="n">
        <v>62.93</v>
      </c>
      <c r="Q34" s="0" t="n">
        <v>11.55</v>
      </c>
    </row>
    <row r="35" customFormat="false" ht="15" hidden="false" customHeight="false" outlineLevel="0" collapsed="false">
      <c r="D35" s="0" t="n">
        <v>7</v>
      </c>
      <c r="E35" s="0" t="n">
        <v>7.01</v>
      </c>
      <c r="F35" s="0" t="n">
        <v>-12.4</v>
      </c>
      <c r="G35" s="2" t="n">
        <v>1.54</v>
      </c>
      <c r="H35" s="1" t="n">
        <v>-5.25</v>
      </c>
      <c r="I35" s="1" t="n">
        <v>1.54</v>
      </c>
      <c r="J35" s="0" t="n">
        <v>0</v>
      </c>
      <c r="K35" s="2" t="n">
        <v>1.66</v>
      </c>
      <c r="L35" s="0" t="n">
        <v>5.25</v>
      </c>
      <c r="M35" s="2" t="n">
        <v>1.54</v>
      </c>
      <c r="N35" s="1" t="n">
        <v>12.4</v>
      </c>
      <c r="O35" s="1" t="n">
        <v>1.54</v>
      </c>
    </row>
    <row r="36" customFormat="false" ht="15" hidden="false" customHeight="false" outlineLevel="0" collapsed="false">
      <c r="D36" s="0" t="n">
        <v>6</v>
      </c>
      <c r="E36" s="0" t="n">
        <v>6.93</v>
      </c>
      <c r="F36" s="0" t="n">
        <v>-12.85</v>
      </c>
      <c r="G36" s="2" t="n">
        <v>1.24</v>
      </c>
      <c r="H36" s="1" t="n">
        <v>-5.25</v>
      </c>
      <c r="I36" s="1" t="n">
        <v>1.24</v>
      </c>
      <c r="J36" s="0" t="n">
        <v>0</v>
      </c>
      <c r="K36" s="2" t="n">
        <v>1.36</v>
      </c>
      <c r="L36" s="0" t="n">
        <v>5.25</v>
      </c>
      <c r="M36" s="2" t="n">
        <v>1.24</v>
      </c>
      <c r="N36" s="1" t="n">
        <v>12.85</v>
      </c>
      <c r="O36" s="1" t="n">
        <v>1.24</v>
      </c>
    </row>
    <row r="37" customFormat="false" ht="15" hidden="false" customHeight="false" outlineLevel="0" collapsed="false">
      <c r="D37" s="0" t="n">
        <v>5</v>
      </c>
      <c r="E37" s="0" t="n">
        <v>6.98</v>
      </c>
      <c r="F37" s="0" t="n">
        <v>-13.3</v>
      </c>
      <c r="G37" s="2" t="n">
        <v>0.94</v>
      </c>
      <c r="H37" s="1" t="n">
        <v>-5.25</v>
      </c>
      <c r="I37" s="1" t="n">
        <v>0.94</v>
      </c>
      <c r="J37" s="0" t="n">
        <v>0</v>
      </c>
      <c r="K37" s="2" t="n">
        <v>1.06</v>
      </c>
      <c r="L37" s="0" t="n">
        <v>5.25</v>
      </c>
      <c r="M37" s="2" t="n">
        <v>0.94</v>
      </c>
      <c r="N37" s="1" t="n">
        <v>13.3</v>
      </c>
      <c r="O37" s="1" t="n">
        <v>0.94</v>
      </c>
    </row>
    <row r="38" customFormat="false" ht="15" hidden="false" customHeight="false" outlineLevel="0" collapsed="false">
      <c r="D38" s="0" t="n">
        <v>4</v>
      </c>
      <c r="E38" s="0" t="n">
        <v>7.03</v>
      </c>
      <c r="F38" s="0" t="n">
        <v>-13.75</v>
      </c>
      <c r="G38" s="2" t="n">
        <v>0.64</v>
      </c>
      <c r="H38" s="1" t="n">
        <v>-5.25</v>
      </c>
      <c r="I38" s="1" t="n">
        <v>0.64</v>
      </c>
      <c r="J38" s="0" t="n">
        <v>0</v>
      </c>
      <c r="K38" s="2" t="n">
        <v>0.76</v>
      </c>
      <c r="L38" s="0" t="n">
        <v>5.25</v>
      </c>
      <c r="M38" s="2" t="n">
        <v>0.64</v>
      </c>
      <c r="N38" s="1" t="n">
        <v>13.75</v>
      </c>
      <c r="O38" s="1" t="n">
        <v>0.64</v>
      </c>
    </row>
    <row r="39" customFormat="false" ht="15" hidden="false" customHeight="false" outlineLevel="0" collapsed="false">
      <c r="D39" s="0" t="n">
        <v>3</v>
      </c>
      <c r="E39" s="0" t="n">
        <v>7.05</v>
      </c>
      <c r="F39" s="0" t="n">
        <v>-14.2</v>
      </c>
      <c r="G39" s="2" t="n">
        <v>0.34</v>
      </c>
      <c r="H39" s="1" t="n">
        <v>-5.25</v>
      </c>
      <c r="I39" s="1" t="n">
        <v>0.34</v>
      </c>
      <c r="J39" s="0" t="n">
        <v>0</v>
      </c>
      <c r="K39" s="2" t="n">
        <v>0.46</v>
      </c>
      <c r="L39" s="0" t="n">
        <v>5.25</v>
      </c>
      <c r="M39" s="2" t="n">
        <v>0.34</v>
      </c>
      <c r="N39" s="1" t="n">
        <v>14.2</v>
      </c>
      <c r="O39" s="1" t="n">
        <v>0.34</v>
      </c>
    </row>
    <row r="40" customFormat="false" ht="15" hidden="false" customHeight="false" outlineLevel="0" collapsed="false">
      <c r="D40" s="0" t="n">
        <v>2</v>
      </c>
      <c r="E40" s="0" t="n">
        <v>5.37</v>
      </c>
      <c r="F40" s="0" t="n">
        <v>-14.65</v>
      </c>
      <c r="G40" s="2" t="n">
        <v>0.04</v>
      </c>
      <c r="H40" s="1" t="n">
        <v>-5.25</v>
      </c>
      <c r="I40" s="1" t="n">
        <v>0.04</v>
      </c>
      <c r="J40" s="0" t="n">
        <v>0</v>
      </c>
      <c r="K40" s="2" t="n">
        <v>0.16</v>
      </c>
      <c r="L40" s="0" t="n">
        <v>5.25</v>
      </c>
      <c r="M40" s="2" t="n">
        <v>0.04</v>
      </c>
      <c r="N40" s="1" t="n">
        <v>14.65</v>
      </c>
      <c r="O40" s="1" t="n">
        <v>0.04</v>
      </c>
    </row>
    <row r="41" customFormat="false" ht="15" hidden="false" customHeight="false" outlineLevel="0" collapsed="false">
      <c r="D41" s="0" t="n">
        <v>1</v>
      </c>
      <c r="E41" s="0" t="n">
        <v>3.71</v>
      </c>
      <c r="F41" s="0" t="n">
        <v>-6.44</v>
      </c>
      <c r="G41" s="2" t="n">
        <v>-0.26</v>
      </c>
      <c r="H41" s="1" t="n">
        <v>-5.25</v>
      </c>
      <c r="I41" s="1" t="n">
        <v>-0.26</v>
      </c>
      <c r="J41" s="0" t="n">
        <v>0</v>
      </c>
      <c r="K41" s="2" t="n">
        <v>-0.14</v>
      </c>
      <c r="L41" s="0" t="n">
        <v>5.25</v>
      </c>
      <c r="M41" s="2" t="n">
        <v>-0.26</v>
      </c>
      <c r="N41" s="1" t="n">
        <v>9.68</v>
      </c>
      <c r="O41" s="1" t="n">
        <v>-0.26</v>
      </c>
    </row>
    <row r="42" customFormat="false" ht="15" hidden="false" customHeight="false" outlineLevel="0" collapsed="false">
      <c r="A42" s="1" t="n">
        <v>6</v>
      </c>
      <c r="B42" s="2" t="s">
        <v>22</v>
      </c>
      <c r="C42" s="0" t="n">
        <v>561.87</v>
      </c>
      <c r="D42" s="0" t="n">
        <v>8</v>
      </c>
      <c r="E42" s="0" t="n">
        <v>7.31</v>
      </c>
      <c r="F42" s="0" t="n">
        <v>-11.95</v>
      </c>
      <c r="G42" s="2" t="n">
        <v>1.84</v>
      </c>
      <c r="H42" s="1" t="n">
        <v>-5.25</v>
      </c>
      <c r="I42" s="1" t="n">
        <v>1.84</v>
      </c>
      <c r="J42" s="0" t="n">
        <v>0</v>
      </c>
      <c r="K42" s="2" t="n">
        <v>1.95</v>
      </c>
      <c r="L42" s="0" t="n">
        <v>5.25</v>
      </c>
      <c r="M42" s="2" t="n">
        <v>1.84</v>
      </c>
      <c r="N42" s="1" t="n">
        <v>11.95</v>
      </c>
      <c r="O42" s="1" t="n">
        <v>1.84</v>
      </c>
      <c r="P42" s="0" t="n">
        <v>71.38</v>
      </c>
      <c r="Q42" s="0" t="n">
        <v>11.55</v>
      </c>
    </row>
    <row r="43" customFormat="false" ht="15" hidden="false" customHeight="false" outlineLevel="0" collapsed="false">
      <c r="D43" s="0" t="n">
        <v>7</v>
      </c>
      <c r="E43" s="0" t="n">
        <v>7.58</v>
      </c>
      <c r="F43" s="0" t="n">
        <v>-12.4</v>
      </c>
      <c r="G43" s="2" t="n">
        <v>1.54</v>
      </c>
      <c r="H43" s="1" t="n">
        <v>-5.25</v>
      </c>
      <c r="I43" s="1" t="n">
        <v>1.54</v>
      </c>
      <c r="J43" s="0" t="n">
        <v>0</v>
      </c>
      <c r="K43" s="2" t="n">
        <v>1.65</v>
      </c>
      <c r="L43" s="0" t="n">
        <v>5.25</v>
      </c>
      <c r="M43" s="2" t="n">
        <v>1.54</v>
      </c>
      <c r="N43" s="1" t="n">
        <v>12.4</v>
      </c>
      <c r="O43" s="1" t="n">
        <v>1.54</v>
      </c>
    </row>
    <row r="44" customFormat="false" ht="15" hidden="false" customHeight="false" outlineLevel="0" collapsed="false">
      <c r="D44" s="0" t="n">
        <v>6</v>
      </c>
      <c r="E44" s="0" t="n">
        <v>7.85</v>
      </c>
      <c r="F44" s="0" t="n">
        <v>-12.85</v>
      </c>
      <c r="G44" s="2" t="n">
        <v>1.24</v>
      </c>
      <c r="H44" s="1" t="n">
        <v>-5.25</v>
      </c>
      <c r="I44" s="1" t="n">
        <v>1.24</v>
      </c>
      <c r="J44" s="0" t="n">
        <v>0</v>
      </c>
      <c r="K44" s="2" t="n">
        <v>1.35</v>
      </c>
      <c r="L44" s="0" t="n">
        <v>5.25</v>
      </c>
      <c r="M44" s="2" t="n">
        <v>1.24</v>
      </c>
      <c r="N44" s="1" t="n">
        <v>12.85</v>
      </c>
      <c r="O44" s="1" t="n">
        <v>1.24</v>
      </c>
    </row>
    <row r="45" customFormat="false" ht="15" hidden="false" customHeight="false" outlineLevel="0" collapsed="false">
      <c r="D45" s="0" t="n">
        <v>5</v>
      </c>
      <c r="E45" s="0" t="n">
        <v>8.12</v>
      </c>
      <c r="F45" s="0" t="n">
        <v>-13.3</v>
      </c>
      <c r="G45" s="2" t="n">
        <v>0.94</v>
      </c>
      <c r="H45" s="1" t="n">
        <v>-5.25</v>
      </c>
      <c r="I45" s="1" t="n">
        <v>0.94</v>
      </c>
      <c r="J45" s="0" t="n">
        <v>0</v>
      </c>
      <c r="K45" s="2" t="n">
        <v>1.05</v>
      </c>
      <c r="L45" s="0" t="n">
        <v>5.25</v>
      </c>
      <c r="M45" s="2" t="n">
        <v>0.94</v>
      </c>
      <c r="N45" s="1" t="n">
        <v>13.3</v>
      </c>
      <c r="O45" s="1" t="n">
        <v>0.94</v>
      </c>
    </row>
    <row r="46" customFormat="false" ht="15" hidden="false" customHeight="false" outlineLevel="0" collapsed="false">
      <c r="D46" s="0" t="n">
        <v>4</v>
      </c>
      <c r="E46" s="0" t="n">
        <v>8.39</v>
      </c>
      <c r="F46" s="0" t="n">
        <v>-13.75</v>
      </c>
      <c r="G46" s="2" t="n">
        <v>0.64</v>
      </c>
      <c r="H46" s="1" t="n">
        <v>-5.25</v>
      </c>
      <c r="I46" s="1" t="n">
        <v>0.64</v>
      </c>
      <c r="J46" s="0" t="n">
        <v>0</v>
      </c>
      <c r="K46" s="2" t="n">
        <v>0.75</v>
      </c>
      <c r="L46" s="0" t="n">
        <v>5.25</v>
      </c>
      <c r="M46" s="2" t="n">
        <v>0.64</v>
      </c>
      <c r="N46" s="1" t="n">
        <v>13.75</v>
      </c>
      <c r="O46" s="1" t="n">
        <v>0.64</v>
      </c>
    </row>
    <row r="47" customFormat="false" ht="15" hidden="false" customHeight="false" outlineLevel="0" collapsed="false">
      <c r="D47" s="0" t="n">
        <v>3</v>
      </c>
      <c r="E47" s="0" t="n">
        <v>8.66</v>
      </c>
      <c r="F47" s="0" t="n">
        <v>-14.2</v>
      </c>
      <c r="G47" s="2" t="n">
        <v>0.34</v>
      </c>
      <c r="H47" s="1" t="n">
        <v>-5.25</v>
      </c>
      <c r="I47" s="1" t="n">
        <v>0.34</v>
      </c>
      <c r="J47" s="0" t="n">
        <v>0</v>
      </c>
      <c r="K47" s="2" t="n">
        <v>0.45</v>
      </c>
      <c r="L47" s="0" t="n">
        <v>5.25</v>
      </c>
      <c r="M47" s="2" t="n">
        <v>0.34</v>
      </c>
      <c r="N47" s="1" t="n">
        <v>14.2</v>
      </c>
      <c r="O47" s="1" t="n">
        <v>0.34</v>
      </c>
    </row>
    <row r="48" customFormat="false" ht="15" hidden="false" customHeight="false" outlineLevel="0" collapsed="false">
      <c r="D48" s="0" t="n">
        <v>2</v>
      </c>
      <c r="E48" s="0" t="n">
        <v>7.46</v>
      </c>
      <c r="F48" s="0" t="n">
        <v>-14.65</v>
      </c>
      <c r="G48" s="2" t="n">
        <v>0.04</v>
      </c>
      <c r="H48" s="1" t="n">
        <v>-5.25</v>
      </c>
      <c r="I48" s="1" t="n">
        <v>0.04</v>
      </c>
      <c r="J48" s="0" t="n">
        <v>0</v>
      </c>
      <c r="K48" s="2" t="n">
        <v>0.15</v>
      </c>
      <c r="L48" s="0" t="n">
        <v>5.25</v>
      </c>
      <c r="M48" s="2" t="n">
        <v>0.04</v>
      </c>
      <c r="N48" s="1" t="n">
        <v>14.65</v>
      </c>
      <c r="O48" s="1" t="n">
        <v>0.04</v>
      </c>
    </row>
    <row r="49" customFormat="false" ht="15" hidden="false" customHeight="false" outlineLevel="0" collapsed="false">
      <c r="D49" s="0" t="n">
        <v>1</v>
      </c>
      <c r="E49" s="0" t="n">
        <v>4.48</v>
      </c>
      <c r="F49" s="0" t="n">
        <v>-10.17</v>
      </c>
      <c r="G49" s="2" t="n">
        <v>-0.26</v>
      </c>
      <c r="H49" s="1" t="n">
        <v>-5.25</v>
      </c>
      <c r="I49" s="1" t="n">
        <v>-0.26</v>
      </c>
      <c r="J49" s="0" t="n">
        <v>0</v>
      </c>
      <c r="K49" s="2" t="n">
        <v>-0.15</v>
      </c>
      <c r="L49" s="0" t="n">
        <v>5.25</v>
      </c>
      <c r="M49" s="2" t="n">
        <v>-0.26</v>
      </c>
      <c r="N49" s="1" t="n">
        <v>10.31</v>
      </c>
      <c r="O49" s="1" t="n">
        <v>-0.26</v>
      </c>
    </row>
    <row r="50" customFormat="false" ht="15" hidden="false" customHeight="false" outlineLevel="0" collapsed="false">
      <c r="A50" s="1" t="n">
        <v>7</v>
      </c>
      <c r="B50" s="2" t="s">
        <v>23</v>
      </c>
      <c r="C50" s="0" t="n">
        <v>562.02</v>
      </c>
      <c r="D50" s="0" t="n">
        <v>8</v>
      </c>
      <c r="E50" s="0" t="n">
        <v>7.31</v>
      </c>
      <c r="F50" s="0" t="n">
        <v>-11.95</v>
      </c>
      <c r="G50" s="2" t="n">
        <v>1.84</v>
      </c>
      <c r="H50" s="1" t="n">
        <v>-5.25</v>
      </c>
      <c r="I50" s="1" t="n">
        <v>1.84</v>
      </c>
      <c r="J50" s="0" t="n">
        <v>0</v>
      </c>
      <c r="K50" s="2" t="n">
        <v>1.95</v>
      </c>
      <c r="L50" s="0" t="n">
        <v>5.25</v>
      </c>
      <c r="M50" s="2" t="n">
        <v>1.84</v>
      </c>
      <c r="N50" s="1" t="n">
        <v>11.95</v>
      </c>
      <c r="O50" s="1" t="n">
        <v>1.84</v>
      </c>
      <c r="P50" s="0" t="n">
        <v>70.43</v>
      </c>
      <c r="Q50" s="0" t="n">
        <v>11.55</v>
      </c>
    </row>
    <row r="51" customFormat="false" ht="15" hidden="false" customHeight="false" outlineLevel="0" collapsed="false">
      <c r="D51" s="0" t="n">
        <v>7</v>
      </c>
      <c r="E51" s="0" t="n">
        <v>7.58</v>
      </c>
      <c r="F51" s="0" t="n">
        <v>-12.4</v>
      </c>
      <c r="G51" s="2" t="n">
        <v>1.54</v>
      </c>
      <c r="H51" s="1" t="n">
        <v>-5.25</v>
      </c>
      <c r="I51" s="1" t="n">
        <v>1.54</v>
      </c>
      <c r="J51" s="0" t="n">
        <v>0</v>
      </c>
      <c r="K51" s="2" t="n">
        <v>1.65</v>
      </c>
      <c r="L51" s="0" t="n">
        <v>5.25</v>
      </c>
      <c r="M51" s="2" t="n">
        <v>1.54</v>
      </c>
      <c r="N51" s="1" t="n">
        <v>12.4</v>
      </c>
      <c r="O51" s="1" t="n">
        <v>1.54</v>
      </c>
    </row>
    <row r="52" customFormat="false" ht="15" hidden="false" customHeight="false" outlineLevel="0" collapsed="false">
      <c r="D52" s="0" t="n">
        <v>6</v>
      </c>
      <c r="E52" s="0" t="n">
        <v>7.85</v>
      </c>
      <c r="F52" s="0" t="n">
        <v>-12.85</v>
      </c>
      <c r="G52" s="2" t="n">
        <v>1.24</v>
      </c>
      <c r="H52" s="1" t="n">
        <v>-5.25</v>
      </c>
      <c r="I52" s="1" t="n">
        <v>1.24</v>
      </c>
      <c r="J52" s="0" t="n">
        <v>0</v>
      </c>
      <c r="K52" s="2" t="n">
        <v>1.35</v>
      </c>
      <c r="L52" s="0" t="n">
        <v>5.25</v>
      </c>
      <c r="M52" s="2" t="n">
        <v>1.24</v>
      </c>
      <c r="N52" s="1" t="n">
        <v>12.85</v>
      </c>
      <c r="O52" s="1" t="n">
        <v>1.24</v>
      </c>
    </row>
    <row r="53" customFormat="false" ht="15" hidden="false" customHeight="false" outlineLevel="0" collapsed="false">
      <c r="D53" s="0" t="n">
        <v>5</v>
      </c>
      <c r="E53" s="0" t="n">
        <v>8.12</v>
      </c>
      <c r="F53" s="0" t="n">
        <v>-13.3</v>
      </c>
      <c r="G53" s="2" t="n">
        <v>0.94</v>
      </c>
      <c r="H53" s="1" t="n">
        <v>-5.25</v>
      </c>
      <c r="I53" s="1" t="n">
        <v>0.94</v>
      </c>
      <c r="J53" s="0" t="n">
        <v>0</v>
      </c>
      <c r="K53" s="2" t="n">
        <v>1.05</v>
      </c>
      <c r="L53" s="0" t="n">
        <v>5.25</v>
      </c>
      <c r="M53" s="2" t="n">
        <v>0.94</v>
      </c>
      <c r="N53" s="1" t="n">
        <v>13.3</v>
      </c>
      <c r="O53" s="1" t="n">
        <v>0.94</v>
      </c>
    </row>
    <row r="54" customFormat="false" ht="15" hidden="false" customHeight="false" outlineLevel="0" collapsed="false">
      <c r="D54" s="0" t="n">
        <v>4</v>
      </c>
      <c r="E54" s="0" t="n">
        <v>8.39</v>
      </c>
      <c r="F54" s="0" t="n">
        <v>-13.75</v>
      </c>
      <c r="G54" s="2" t="n">
        <v>0.64</v>
      </c>
      <c r="H54" s="1" t="n">
        <v>-5.25</v>
      </c>
      <c r="I54" s="1" t="n">
        <v>0.64</v>
      </c>
      <c r="J54" s="0" t="n">
        <v>0</v>
      </c>
      <c r="K54" s="2" t="n">
        <v>0.75</v>
      </c>
      <c r="L54" s="0" t="n">
        <v>5.25</v>
      </c>
      <c r="M54" s="2" t="n">
        <v>0.64</v>
      </c>
      <c r="N54" s="1" t="n">
        <v>13.75</v>
      </c>
      <c r="O54" s="1" t="n">
        <v>0.64</v>
      </c>
    </row>
    <row r="55" customFormat="false" ht="15" hidden="false" customHeight="false" outlineLevel="0" collapsed="false">
      <c r="D55" s="0" t="n">
        <v>3</v>
      </c>
      <c r="E55" s="0" t="n">
        <v>8.65</v>
      </c>
      <c r="F55" s="0" t="n">
        <v>-14.2</v>
      </c>
      <c r="G55" s="2" t="n">
        <v>0.34</v>
      </c>
      <c r="H55" s="1" t="n">
        <v>-5.25</v>
      </c>
      <c r="I55" s="1" t="n">
        <v>0.34</v>
      </c>
      <c r="J55" s="0" t="n">
        <v>0</v>
      </c>
      <c r="K55" s="2" t="n">
        <v>0.45</v>
      </c>
      <c r="L55" s="0" t="n">
        <v>5.25</v>
      </c>
      <c r="M55" s="2" t="n">
        <v>0.34</v>
      </c>
      <c r="N55" s="1" t="n">
        <v>14.2</v>
      </c>
      <c r="O55" s="1" t="n">
        <v>0.34</v>
      </c>
    </row>
    <row r="56" customFormat="false" ht="15" hidden="false" customHeight="false" outlineLevel="0" collapsed="false">
      <c r="D56" s="0" t="n">
        <v>2</v>
      </c>
      <c r="E56" s="0" t="n">
        <v>6.51</v>
      </c>
      <c r="F56" s="0" t="n">
        <v>-14.65</v>
      </c>
      <c r="G56" s="2" t="n">
        <v>0.04</v>
      </c>
      <c r="H56" s="1" t="n">
        <v>-5.25</v>
      </c>
      <c r="I56" s="1" t="n">
        <v>0.04</v>
      </c>
      <c r="J56" s="0" t="n">
        <v>0</v>
      </c>
      <c r="K56" s="2" t="n">
        <v>0.15</v>
      </c>
      <c r="L56" s="0" t="n">
        <v>5.25</v>
      </c>
      <c r="M56" s="2" t="n">
        <v>0.04</v>
      </c>
      <c r="N56" s="1" t="n">
        <v>14.65</v>
      </c>
      <c r="O56" s="1" t="n">
        <v>0.04</v>
      </c>
    </row>
    <row r="57" customFormat="false" ht="15" hidden="false" customHeight="false" outlineLevel="0" collapsed="false">
      <c r="D57" s="0" t="n">
        <v>1</v>
      </c>
      <c r="E57" s="0" t="n">
        <v>4.48</v>
      </c>
      <c r="F57" s="0" t="n">
        <v>-10.18</v>
      </c>
      <c r="G57" s="2" t="n">
        <v>-0.26</v>
      </c>
      <c r="H57" s="1" t="n">
        <v>-5.25</v>
      </c>
      <c r="I57" s="1" t="n">
        <v>-0.26</v>
      </c>
      <c r="J57" s="0" t="n">
        <v>0</v>
      </c>
      <c r="K57" s="2" t="n">
        <v>-0.15</v>
      </c>
      <c r="L57" s="0" t="n">
        <v>5.25</v>
      </c>
      <c r="M57" s="2" t="n">
        <v>-0.26</v>
      </c>
      <c r="N57" s="1" t="n">
        <v>10.31</v>
      </c>
      <c r="O57" s="1" t="n">
        <v>-0.26</v>
      </c>
    </row>
    <row r="58" customFormat="false" ht="15" hidden="false" customHeight="false" outlineLevel="0" collapsed="false">
      <c r="A58" s="1" t="n">
        <v>8</v>
      </c>
      <c r="B58" s="2" t="s">
        <v>24</v>
      </c>
      <c r="C58" s="0" t="n">
        <v>568.57</v>
      </c>
      <c r="D58" s="0" t="n">
        <v>8</v>
      </c>
      <c r="E58" s="0" t="n">
        <v>7.31</v>
      </c>
      <c r="F58" s="0" t="n">
        <v>-11.95</v>
      </c>
      <c r="G58" s="2" t="n">
        <v>1.84</v>
      </c>
      <c r="H58" s="1" t="n">
        <v>-5.25</v>
      </c>
      <c r="I58" s="1" t="n">
        <v>1.84</v>
      </c>
      <c r="J58" s="0" t="n">
        <v>0</v>
      </c>
      <c r="K58" s="2" t="n">
        <v>1.95</v>
      </c>
      <c r="L58" s="0" t="n">
        <v>5.25</v>
      </c>
      <c r="M58" s="2" t="n">
        <v>1.84</v>
      </c>
      <c r="N58" s="1" t="n">
        <v>11.95</v>
      </c>
      <c r="O58" s="1" t="n">
        <v>1.84</v>
      </c>
      <c r="P58" s="0" t="n">
        <v>71.51</v>
      </c>
      <c r="Q58" s="0" t="n">
        <v>11.55</v>
      </c>
    </row>
    <row r="59" customFormat="false" ht="15" hidden="false" customHeight="false" outlineLevel="0" collapsed="false">
      <c r="D59" s="0" t="n">
        <v>7</v>
      </c>
      <c r="E59" s="0" t="n">
        <v>7.58</v>
      </c>
      <c r="F59" s="0" t="n">
        <v>-12.4</v>
      </c>
      <c r="G59" s="2" t="n">
        <v>1.54</v>
      </c>
      <c r="H59" s="1" t="n">
        <v>-5.25</v>
      </c>
      <c r="I59" s="1" t="n">
        <v>1.54</v>
      </c>
      <c r="J59" s="0" t="n">
        <v>0</v>
      </c>
      <c r="K59" s="2" t="n">
        <v>1.65</v>
      </c>
      <c r="L59" s="0" t="n">
        <v>5.25</v>
      </c>
      <c r="M59" s="2" t="n">
        <v>1.54</v>
      </c>
      <c r="N59" s="1" t="n">
        <v>12.4</v>
      </c>
      <c r="O59" s="1" t="n">
        <v>1.54</v>
      </c>
    </row>
    <row r="60" customFormat="false" ht="15" hidden="false" customHeight="false" outlineLevel="0" collapsed="false">
      <c r="D60" s="0" t="n">
        <v>6</v>
      </c>
      <c r="E60" s="0" t="n">
        <v>7.85</v>
      </c>
      <c r="F60" s="0" t="n">
        <v>-12.85</v>
      </c>
      <c r="G60" s="2" t="n">
        <v>1.24</v>
      </c>
      <c r="H60" s="1" t="n">
        <v>-5.25</v>
      </c>
      <c r="I60" s="1" t="n">
        <v>1.24</v>
      </c>
      <c r="J60" s="0" t="n">
        <v>0</v>
      </c>
      <c r="K60" s="2" t="n">
        <v>1.35</v>
      </c>
      <c r="L60" s="0" t="n">
        <v>5.25</v>
      </c>
      <c r="M60" s="2" t="n">
        <v>1.24</v>
      </c>
      <c r="N60" s="1" t="n">
        <v>12.85</v>
      </c>
      <c r="O60" s="1" t="n">
        <v>1.24</v>
      </c>
    </row>
    <row r="61" customFormat="false" ht="15" hidden="false" customHeight="false" outlineLevel="0" collapsed="false">
      <c r="D61" s="0" t="n">
        <v>5</v>
      </c>
      <c r="E61" s="0" t="n">
        <v>8.12</v>
      </c>
      <c r="F61" s="0" t="n">
        <v>-13.3</v>
      </c>
      <c r="G61" s="2" t="n">
        <v>0.94</v>
      </c>
      <c r="H61" s="1" t="n">
        <v>-5.25</v>
      </c>
      <c r="I61" s="1" t="n">
        <v>0.94</v>
      </c>
      <c r="J61" s="0" t="n">
        <v>0</v>
      </c>
      <c r="K61" s="2" t="n">
        <v>1.05</v>
      </c>
      <c r="L61" s="0" t="n">
        <v>5.25</v>
      </c>
      <c r="M61" s="2" t="n">
        <v>0.94</v>
      </c>
      <c r="N61" s="1" t="n">
        <v>13.3</v>
      </c>
      <c r="O61" s="1" t="n">
        <v>0.94</v>
      </c>
    </row>
    <row r="62" customFormat="false" ht="15" hidden="false" customHeight="false" outlineLevel="0" collapsed="false">
      <c r="D62" s="0" t="n">
        <v>4</v>
      </c>
      <c r="E62" s="0" t="n">
        <v>8.39</v>
      </c>
      <c r="F62" s="0" t="n">
        <v>-13.75</v>
      </c>
      <c r="G62" s="2" t="n">
        <v>0.64</v>
      </c>
      <c r="H62" s="1" t="n">
        <v>-5.25</v>
      </c>
      <c r="I62" s="1" t="n">
        <v>0.64</v>
      </c>
      <c r="J62" s="0" t="n">
        <v>0</v>
      </c>
      <c r="K62" s="2" t="n">
        <v>0.75</v>
      </c>
      <c r="L62" s="0" t="n">
        <v>5.25</v>
      </c>
      <c r="M62" s="2" t="n">
        <v>0.64</v>
      </c>
      <c r="N62" s="1" t="n">
        <v>13.75</v>
      </c>
      <c r="O62" s="1" t="n">
        <v>0.64</v>
      </c>
    </row>
    <row r="63" customFormat="false" ht="15" hidden="false" customHeight="false" outlineLevel="0" collapsed="false">
      <c r="D63" s="0" t="n">
        <v>3</v>
      </c>
      <c r="E63" s="0" t="n">
        <v>8.66</v>
      </c>
      <c r="F63" s="0" t="n">
        <v>-14.2</v>
      </c>
      <c r="G63" s="2" t="n">
        <v>0.34</v>
      </c>
      <c r="H63" s="1" t="n">
        <v>-5.25</v>
      </c>
      <c r="I63" s="1" t="n">
        <v>0.34</v>
      </c>
      <c r="J63" s="0" t="n">
        <v>0</v>
      </c>
      <c r="K63" s="2" t="n">
        <v>0.45</v>
      </c>
      <c r="L63" s="0" t="n">
        <v>5.25</v>
      </c>
      <c r="M63" s="2" t="n">
        <v>0.34</v>
      </c>
      <c r="N63" s="1" t="n">
        <v>14.2</v>
      </c>
      <c r="O63" s="1" t="n">
        <v>0.34</v>
      </c>
    </row>
    <row r="64" customFormat="false" ht="15" hidden="false" customHeight="false" outlineLevel="0" collapsed="false">
      <c r="D64" s="0" t="n">
        <v>2</v>
      </c>
      <c r="E64" s="0" t="n">
        <v>7.52</v>
      </c>
      <c r="F64" s="0" t="n">
        <v>-14.65</v>
      </c>
      <c r="G64" s="2" t="n">
        <v>0.04</v>
      </c>
      <c r="H64" s="1" t="n">
        <v>-5.25</v>
      </c>
      <c r="I64" s="1" t="n">
        <v>0.04</v>
      </c>
      <c r="J64" s="0" t="n">
        <v>0</v>
      </c>
      <c r="K64" s="2" t="n">
        <v>0.15</v>
      </c>
      <c r="L64" s="0" t="n">
        <v>5.25</v>
      </c>
      <c r="M64" s="2" t="n">
        <v>0.04</v>
      </c>
      <c r="N64" s="1" t="n">
        <v>14.65</v>
      </c>
      <c r="O64" s="1" t="n">
        <v>0.04</v>
      </c>
    </row>
    <row r="65" customFormat="false" ht="15" hidden="false" customHeight="false" outlineLevel="0" collapsed="false">
      <c r="D65" s="0" t="n">
        <v>1</v>
      </c>
      <c r="E65" s="0" t="n">
        <v>4.56</v>
      </c>
      <c r="F65" s="0" t="n">
        <v>-10.35</v>
      </c>
      <c r="G65" s="2" t="n">
        <v>-0.26</v>
      </c>
      <c r="H65" s="1" t="n">
        <v>-5.25</v>
      </c>
      <c r="I65" s="1" t="n">
        <v>-0.26</v>
      </c>
      <c r="J65" s="0" t="n">
        <v>0</v>
      </c>
      <c r="K65" s="2" t="n">
        <v>-0.15</v>
      </c>
      <c r="L65" s="0" t="n">
        <v>5.25</v>
      </c>
      <c r="M65" s="2" t="n">
        <v>-0.26</v>
      </c>
      <c r="N65" s="1" t="n">
        <v>10.66</v>
      </c>
      <c r="O65" s="1" t="n">
        <v>-0.26</v>
      </c>
    </row>
    <row r="66" customFormat="false" ht="15" hidden="false" customHeight="false" outlineLevel="0" collapsed="false">
      <c r="A66" s="1" t="n">
        <v>9</v>
      </c>
      <c r="B66" s="2" t="s">
        <v>1</v>
      </c>
      <c r="C66" s="0" t="n">
        <v>575.12</v>
      </c>
      <c r="D66" s="0" t="n">
        <v>8</v>
      </c>
      <c r="E66" s="0" t="n">
        <v>7.31</v>
      </c>
      <c r="F66" s="0" t="n">
        <v>-11.95</v>
      </c>
      <c r="G66" s="2" t="n">
        <v>1.84</v>
      </c>
      <c r="H66" s="1" t="n">
        <v>-5.25</v>
      </c>
      <c r="I66" s="1" t="n">
        <v>1.84</v>
      </c>
      <c r="J66" s="0" t="n">
        <v>0</v>
      </c>
      <c r="K66" s="2" t="n">
        <v>1.95</v>
      </c>
      <c r="L66" s="0" t="n">
        <v>5.25</v>
      </c>
      <c r="M66" s="2" t="n">
        <v>1.84</v>
      </c>
      <c r="N66" s="1" t="n">
        <v>11.95</v>
      </c>
      <c r="O66" s="1" t="n">
        <v>1.84</v>
      </c>
      <c r="P66" s="0" t="n">
        <v>69.66</v>
      </c>
      <c r="Q66" s="0" t="n">
        <v>11.55</v>
      </c>
    </row>
    <row r="67" customFormat="false" ht="15" hidden="false" customHeight="false" outlineLevel="0" collapsed="false">
      <c r="D67" s="0" t="n">
        <v>7</v>
      </c>
      <c r="E67" s="0" t="n">
        <v>7.58</v>
      </c>
      <c r="F67" s="0" t="n">
        <v>-12.4</v>
      </c>
      <c r="G67" s="2" t="n">
        <v>1.54</v>
      </c>
      <c r="H67" s="1" t="n">
        <v>-5.25</v>
      </c>
      <c r="I67" s="1" t="n">
        <v>1.54</v>
      </c>
      <c r="J67" s="0" t="n">
        <v>0</v>
      </c>
      <c r="K67" s="2" t="n">
        <v>1.65</v>
      </c>
      <c r="L67" s="0" t="n">
        <v>5.25</v>
      </c>
      <c r="M67" s="2" t="n">
        <v>1.54</v>
      </c>
      <c r="N67" s="1" t="n">
        <v>12.4</v>
      </c>
      <c r="O67" s="1" t="n">
        <v>1.54</v>
      </c>
    </row>
    <row r="68" customFormat="false" ht="15" hidden="false" customHeight="false" outlineLevel="0" collapsed="false">
      <c r="D68" s="0" t="n">
        <v>6</v>
      </c>
      <c r="E68" s="0" t="n">
        <v>7.85</v>
      </c>
      <c r="F68" s="0" t="n">
        <v>-12.85</v>
      </c>
      <c r="G68" s="2" t="n">
        <v>1.24</v>
      </c>
      <c r="H68" s="1" t="n">
        <v>-5.25</v>
      </c>
      <c r="I68" s="1" t="n">
        <v>1.24</v>
      </c>
      <c r="J68" s="0" t="n">
        <v>0</v>
      </c>
      <c r="K68" s="2" t="n">
        <v>1.35</v>
      </c>
      <c r="L68" s="0" t="n">
        <v>5.25</v>
      </c>
      <c r="M68" s="2" t="n">
        <v>1.24</v>
      </c>
      <c r="N68" s="1" t="n">
        <v>12.85</v>
      </c>
      <c r="O68" s="1" t="n">
        <v>1.24</v>
      </c>
    </row>
    <row r="69" customFormat="false" ht="15" hidden="false" customHeight="false" outlineLevel="0" collapsed="false">
      <c r="D69" s="0" t="n">
        <v>5</v>
      </c>
      <c r="E69" s="0" t="n">
        <v>8.12</v>
      </c>
      <c r="F69" s="0" t="n">
        <v>-13.3</v>
      </c>
      <c r="G69" s="2" t="n">
        <v>0.94</v>
      </c>
      <c r="H69" s="1" t="n">
        <v>-5.25</v>
      </c>
      <c r="I69" s="1" t="n">
        <v>0.94</v>
      </c>
      <c r="J69" s="0" t="n">
        <v>0</v>
      </c>
      <c r="K69" s="2" t="n">
        <v>1.05</v>
      </c>
      <c r="L69" s="0" t="n">
        <v>5.25</v>
      </c>
      <c r="M69" s="2" t="n">
        <v>0.94</v>
      </c>
      <c r="N69" s="1" t="n">
        <v>13.3</v>
      </c>
      <c r="O69" s="1" t="n">
        <v>0.94</v>
      </c>
    </row>
    <row r="70" customFormat="false" ht="15" hidden="false" customHeight="false" outlineLevel="0" collapsed="false">
      <c r="D70" s="0" t="n">
        <v>4</v>
      </c>
      <c r="E70" s="0" t="n">
        <v>8.39</v>
      </c>
      <c r="F70" s="0" t="n">
        <v>-13.75</v>
      </c>
      <c r="G70" s="2" t="n">
        <v>0.64</v>
      </c>
      <c r="H70" s="1" t="n">
        <v>-5.25</v>
      </c>
      <c r="I70" s="1" t="n">
        <v>0.64</v>
      </c>
      <c r="J70" s="0" t="n">
        <v>0</v>
      </c>
      <c r="K70" s="2" t="n">
        <v>0.75</v>
      </c>
      <c r="L70" s="0" t="n">
        <v>5.25</v>
      </c>
      <c r="M70" s="2" t="n">
        <v>0.64</v>
      </c>
      <c r="N70" s="1" t="n">
        <v>13.75</v>
      </c>
      <c r="O70" s="1" t="n">
        <v>0.64</v>
      </c>
    </row>
    <row r="71" customFormat="false" ht="15" hidden="false" customHeight="false" outlineLevel="0" collapsed="false">
      <c r="D71" s="0" t="n">
        <v>3</v>
      </c>
      <c r="E71" s="0" t="n">
        <v>8.28</v>
      </c>
      <c r="F71" s="0" t="n">
        <v>-14.2</v>
      </c>
      <c r="G71" s="2" t="n">
        <v>0.34</v>
      </c>
      <c r="H71" s="1" t="n">
        <v>-5.25</v>
      </c>
      <c r="I71" s="1" t="n">
        <v>0.34</v>
      </c>
      <c r="J71" s="0" t="n">
        <v>0</v>
      </c>
      <c r="K71" s="2" t="n">
        <v>0.45</v>
      </c>
      <c r="L71" s="0" t="n">
        <v>5.25</v>
      </c>
      <c r="M71" s="2" t="n">
        <v>0.34</v>
      </c>
      <c r="N71" s="1" t="n">
        <v>14.2</v>
      </c>
      <c r="O71" s="1" t="n">
        <v>0.34</v>
      </c>
    </row>
    <row r="72" customFormat="false" ht="15" hidden="false" customHeight="false" outlineLevel="0" collapsed="false">
      <c r="D72" s="0" t="n">
        <v>2</v>
      </c>
      <c r="E72" s="0" t="n">
        <v>6.3</v>
      </c>
      <c r="F72" s="0" t="n">
        <v>-14.65</v>
      </c>
      <c r="G72" s="2" t="n">
        <v>0.04</v>
      </c>
      <c r="H72" s="1" t="n">
        <v>-5.25</v>
      </c>
      <c r="I72" s="1" t="n">
        <v>0.04</v>
      </c>
      <c r="J72" s="0" t="n">
        <v>0</v>
      </c>
      <c r="K72" s="2" t="n">
        <v>0.15</v>
      </c>
      <c r="L72" s="0" t="n">
        <v>5.25</v>
      </c>
      <c r="M72" s="2" t="n">
        <v>0.04</v>
      </c>
      <c r="N72" s="1" t="n">
        <v>10.04</v>
      </c>
      <c r="O72" s="1" t="n">
        <v>0.04</v>
      </c>
    </row>
    <row r="73" customFormat="false" ht="15" hidden="false" customHeight="false" outlineLevel="0" collapsed="false">
      <c r="D73" s="0" t="n">
        <v>1</v>
      </c>
      <c r="E73" s="0" t="n">
        <v>4.31</v>
      </c>
      <c r="F73" s="0" t="n">
        <v>-10.07</v>
      </c>
      <c r="G73" s="2" t="n">
        <v>-0.26</v>
      </c>
      <c r="H73" s="1" t="n">
        <v>-5.25</v>
      </c>
      <c r="I73" s="1" t="n">
        <v>-0.26</v>
      </c>
      <c r="J73" s="0" t="n">
        <v>0</v>
      </c>
      <c r="K73" s="2" t="n">
        <v>-0.15</v>
      </c>
      <c r="L73" s="0" t="n">
        <v>5.25</v>
      </c>
      <c r="M73" s="2" t="n">
        <v>-0.26</v>
      </c>
      <c r="N73" s="1" t="n">
        <v>9.74</v>
      </c>
      <c r="O73" s="1" t="n">
        <v>-0.26</v>
      </c>
    </row>
    <row r="74" customFormat="false" ht="15" hidden="false" customHeight="false" outlineLevel="0" collapsed="false">
      <c r="A74" s="1" t="n">
        <v>10</v>
      </c>
      <c r="B74" s="2" t="s">
        <v>25</v>
      </c>
      <c r="C74" s="0" t="n">
        <v>575.16</v>
      </c>
      <c r="D74" s="0" t="n">
        <v>8</v>
      </c>
      <c r="E74" s="0" t="n">
        <v>7.31</v>
      </c>
      <c r="F74" s="0" t="n">
        <v>-11.95</v>
      </c>
      <c r="G74" s="2" t="n">
        <v>1.97</v>
      </c>
      <c r="H74" s="1" t="n">
        <v>-5.25</v>
      </c>
      <c r="I74" s="1" t="n">
        <v>1.97</v>
      </c>
      <c r="J74" s="0" t="n">
        <v>0</v>
      </c>
      <c r="K74" s="2" t="n">
        <v>1.95</v>
      </c>
      <c r="L74" s="0" t="n">
        <v>5.25</v>
      </c>
      <c r="M74" s="2" t="n">
        <v>1.84</v>
      </c>
      <c r="N74" s="1" t="n">
        <v>11.95</v>
      </c>
      <c r="O74" s="1" t="n">
        <v>1.84</v>
      </c>
      <c r="P74" s="0" t="n">
        <v>71.13</v>
      </c>
      <c r="Q74" s="0" t="n">
        <v>11.55</v>
      </c>
    </row>
    <row r="75" customFormat="false" ht="15" hidden="false" customHeight="false" outlineLevel="0" collapsed="false">
      <c r="D75" s="0" t="n">
        <v>7</v>
      </c>
      <c r="E75" s="0" t="n">
        <v>7.58</v>
      </c>
      <c r="F75" s="0" t="n">
        <v>-12.4</v>
      </c>
      <c r="G75" s="2" t="n">
        <v>1.67</v>
      </c>
      <c r="H75" s="1" t="n">
        <v>-5.25</v>
      </c>
      <c r="I75" s="1" t="n">
        <v>1.67</v>
      </c>
      <c r="J75" s="0" t="n">
        <v>0</v>
      </c>
      <c r="K75" s="2" t="n">
        <v>1.65</v>
      </c>
      <c r="L75" s="0" t="n">
        <v>5.25</v>
      </c>
      <c r="M75" s="2" t="n">
        <v>1.54</v>
      </c>
      <c r="N75" s="1" t="n">
        <v>12.4</v>
      </c>
      <c r="O75" s="1" t="n">
        <v>1.54</v>
      </c>
    </row>
    <row r="76" customFormat="false" ht="15" hidden="false" customHeight="false" outlineLevel="0" collapsed="false">
      <c r="D76" s="0" t="n">
        <v>6</v>
      </c>
      <c r="E76" s="0" t="n">
        <v>7.85</v>
      </c>
      <c r="F76" s="0" t="n">
        <v>-12.85</v>
      </c>
      <c r="G76" s="2" t="n">
        <v>1.37</v>
      </c>
      <c r="H76" s="1" t="n">
        <v>-5.25</v>
      </c>
      <c r="I76" s="1" t="n">
        <v>1.37</v>
      </c>
      <c r="J76" s="0" t="n">
        <v>0</v>
      </c>
      <c r="K76" s="2" t="n">
        <v>1.35</v>
      </c>
      <c r="L76" s="0" t="n">
        <v>5.25</v>
      </c>
      <c r="M76" s="2" t="n">
        <v>1.24</v>
      </c>
      <c r="N76" s="1" t="n">
        <v>12.85</v>
      </c>
      <c r="O76" s="1" t="n">
        <v>1.24</v>
      </c>
    </row>
    <row r="77" customFormat="false" ht="15" hidden="false" customHeight="false" outlineLevel="0" collapsed="false">
      <c r="D77" s="0" t="n">
        <v>5</v>
      </c>
      <c r="E77" s="0" t="n">
        <v>8.12</v>
      </c>
      <c r="F77" s="0" t="n">
        <v>-13.3</v>
      </c>
      <c r="G77" s="2" t="n">
        <v>1.07</v>
      </c>
      <c r="H77" s="1" t="n">
        <v>-5.25</v>
      </c>
      <c r="I77" s="1" t="n">
        <v>1.07</v>
      </c>
      <c r="J77" s="0" t="n">
        <v>0</v>
      </c>
      <c r="K77" s="2" t="n">
        <v>1.05</v>
      </c>
      <c r="L77" s="0" t="n">
        <v>5.25</v>
      </c>
      <c r="M77" s="2" t="n">
        <v>0.94</v>
      </c>
      <c r="N77" s="1" t="n">
        <v>13.3</v>
      </c>
      <c r="O77" s="1" t="n">
        <v>0.94</v>
      </c>
    </row>
    <row r="78" customFormat="false" ht="15" hidden="false" customHeight="false" outlineLevel="0" collapsed="false">
      <c r="D78" s="0" t="n">
        <v>4</v>
      </c>
      <c r="E78" s="0" t="n">
        <v>8.39</v>
      </c>
      <c r="F78" s="0" t="n">
        <v>-13.75</v>
      </c>
      <c r="G78" s="2" t="n">
        <v>0.77</v>
      </c>
      <c r="H78" s="1" t="n">
        <v>-5.25</v>
      </c>
      <c r="I78" s="1" t="n">
        <v>0.77</v>
      </c>
      <c r="J78" s="0" t="n">
        <v>0</v>
      </c>
      <c r="K78" s="2" t="n">
        <v>0.75</v>
      </c>
      <c r="L78" s="0" t="n">
        <v>5.25</v>
      </c>
      <c r="M78" s="2" t="n">
        <v>0.64</v>
      </c>
      <c r="N78" s="1" t="n">
        <v>13.75</v>
      </c>
      <c r="O78" s="1" t="n">
        <v>0.64</v>
      </c>
    </row>
    <row r="79" customFormat="false" ht="15" hidden="false" customHeight="false" outlineLevel="0" collapsed="false">
      <c r="D79" s="0" t="n">
        <v>3</v>
      </c>
      <c r="E79" s="0" t="n">
        <v>8.26</v>
      </c>
      <c r="F79" s="0" t="n">
        <v>-14.2</v>
      </c>
      <c r="G79" s="2" t="n">
        <v>0.47</v>
      </c>
      <c r="H79" s="1" t="n">
        <v>-5.25</v>
      </c>
      <c r="I79" s="1" t="n">
        <v>0.47</v>
      </c>
      <c r="J79" s="0" t="n">
        <v>0</v>
      </c>
      <c r="K79" s="2" t="n">
        <v>0.45</v>
      </c>
      <c r="L79" s="0" t="n">
        <v>5.25</v>
      </c>
      <c r="M79" s="2" t="n">
        <v>0.34</v>
      </c>
      <c r="N79" s="1" t="n">
        <v>14.2</v>
      </c>
      <c r="O79" s="1" t="n">
        <v>0.34</v>
      </c>
    </row>
    <row r="80" customFormat="false" ht="15" hidden="false" customHeight="false" outlineLevel="0" collapsed="false">
      <c r="D80" s="0" t="n">
        <v>2</v>
      </c>
      <c r="E80" s="0" t="n">
        <v>6.85</v>
      </c>
      <c r="F80" s="0" t="n">
        <v>-14.65</v>
      </c>
      <c r="G80" s="2" t="n">
        <v>0.17</v>
      </c>
      <c r="H80" s="1" t="n">
        <v>-5.25</v>
      </c>
      <c r="I80" s="1" t="n">
        <v>0.17</v>
      </c>
      <c r="J80" s="0" t="n">
        <v>0</v>
      </c>
      <c r="K80" s="2" t="n">
        <v>0.15</v>
      </c>
      <c r="L80" s="0" t="n">
        <v>5.25</v>
      </c>
      <c r="M80" s="2" t="n">
        <v>0.04</v>
      </c>
      <c r="N80" s="1" t="n">
        <v>9.82</v>
      </c>
      <c r="O80" s="1" t="n">
        <v>0.04</v>
      </c>
    </row>
    <row r="81" customFormat="false" ht="15" hidden="false" customHeight="false" outlineLevel="0" collapsed="false">
      <c r="D81" s="0" t="n">
        <v>1</v>
      </c>
      <c r="E81" s="0" t="n">
        <v>5.25</v>
      </c>
      <c r="F81" s="0" t="n">
        <v>-10.2</v>
      </c>
      <c r="G81" s="2" t="n">
        <v>-0.13</v>
      </c>
      <c r="H81" s="1" t="n">
        <v>-5.25</v>
      </c>
      <c r="I81" s="1" t="n">
        <v>-0.13</v>
      </c>
      <c r="J81" s="0" t="n">
        <v>0</v>
      </c>
      <c r="K81" s="2" t="n">
        <v>-0.15</v>
      </c>
      <c r="L81" s="0" t="n">
        <v>5.25</v>
      </c>
      <c r="M81" s="2" t="n">
        <v>-0.26</v>
      </c>
      <c r="N81" s="1" t="n">
        <v>9.52</v>
      </c>
      <c r="O81" s="1" t="n">
        <v>-0.26</v>
      </c>
    </row>
    <row r="82" customFormat="false" ht="15" hidden="false" customHeight="false" outlineLevel="0" collapsed="false">
      <c r="A82" s="1" t="n">
        <v>11</v>
      </c>
      <c r="B82" s="2" t="s">
        <v>26</v>
      </c>
      <c r="C82" s="0" t="n">
        <v>592.11</v>
      </c>
      <c r="D82" s="0" t="n">
        <v>8</v>
      </c>
      <c r="E82" s="0" t="n">
        <v>7.31</v>
      </c>
      <c r="F82" s="0" t="n">
        <v>-11.95</v>
      </c>
      <c r="G82" s="2" t="n">
        <v>1.84</v>
      </c>
      <c r="H82" s="1" t="n">
        <v>-5.25</v>
      </c>
      <c r="I82" s="1" t="n">
        <v>1.84</v>
      </c>
      <c r="J82" s="0" t="n">
        <v>0</v>
      </c>
      <c r="K82" s="2" t="n">
        <v>1.96</v>
      </c>
      <c r="L82" s="0" t="n">
        <v>5.25</v>
      </c>
      <c r="M82" s="2" t="n">
        <v>1.84</v>
      </c>
      <c r="N82" s="1" t="n">
        <v>11.95</v>
      </c>
      <c r="O82" s="1" t="n">
        <v>1.84</v>
      </c>
      <c r="P82" s="0" t="n">
        <v>72.18</v>
      </c>
      <c r="Q82" s="0" t="n">
        <v>11.55</v>
      </c>
    </row>
    <row r="83" customFormat="false" ht="15" hidden="false" customHeight="false" outlineLevel="0" collapsed="false">
      <c r="D83" s="0" t="n">
        <v>7</v>
      </c>
      <c r="E83" s="0" t="n">
        <v>7.58</v>
      </c>
      <c r="F83" s="0" t="n">
        <v>-12.4</v>
      </c>
      <c r="G83" s="2" t="n">
        <v>1.54</v>
      </c>
      <c r="H83" s="1" t="n">
        <v>-5.25</v>
      </c>
      <c r="I83" s="1" t="n">
        <v>1.54</v>
      </c>
      <c r="J83" s="0" t="n">
        <v>0</v>
      </c>
      <c r="K83" s="2" t="n">
        <v>1.66</v>
      </c>
      <c r="L83" s="0" t="n">
        <v>5.25</v>
      </c>
      <c r="M83" s="2" t="n">
        <v>1.54</v>
      </c>
      <c r="N83" s="1" t="n">
        <v>12.4</v>
      </c>
      <c r="O83" s="1" t="n">
        <v>1.54</v>
      </c>
    </row>
    <row r="84" customFormat="false" ht="15" hidden="false" customHeight="false" outlineLevel="0" collapsed="false">
      <c r="D84" s="0" t="n">
        <v>6</v>
      </c>
      <c r="E84" s="0" t="n">
        <v>7.85</v>
      </c>
      <c r="F84" s="0" t="n">
        <v>-12.85</v>
      </c>
      <c r="G84" s="2" t="n">
        <v>1.24</v>
      </c>
      <c r="H84" s="1" t="n">
        <v>-5.25</v>
      </c>
      <c r="I84" s="1" t="n">
        <v>1.24</v>
      </c>
      <c r="J84" s="0" t="n">
        <v>0</v>
      </c>
      <c r="K84" s="2" t="n">
        <v>1.36</v>
      </c>
      <c r="L84" s="0" t="n">
        <v>5.25</v>
      </c>
      <c r="M84" s="2" t="n">
        <v>1.24</v>
      </c>
      <c r="N84" s="1" t="n">
        <v>12.85</v>
      </c>
      <c r="O84" s="1" t="n">
        <v>1.24</v>
      </c>
    </row>
    <row r="85" customFormat="false" ht="15" hidden="false" customHeight="false" outlineLevel="0" collapsed="false">
      <c r="D85" s="0" t="n">
        <v>5</v>
      </c>
      <c r="E85" s="0" t="n">
        <v>8.12</v>
      </c>
      <c r="F85" s="0" t="n">
        <v>-13.3</v>
      </c>
      <c r="G85" s="2" t="n">
        <v>0.94</v>
      </c>
      <c r="H85" s="1" t="n">
        <v>-5.25</v>
      </c>
      <c r="I85" s="1" t="n">
        <v>0.94</v>
      </c>
      <c r="J85" s="0" t="n">
        <v>0</v>
      </c>
      <c r="K85" s="2" t="n">
        <v>1.06</v>
      </c>
      <c r="L85" s="0" t="n">
        <v>5.25</v>
      </c>
      <c r="M85" s="2" t="n">
        <v>0.94</v>
      </c>
      <c r="N85" s="1" t="n">
        <v>13.3</v>
      </c>
      <c r="O85" s="1" t="n">
        <v>0.94</v>
      </c>
    </row>
    <row r="86" customFormat="false" ht="15" hidden="false" customHeight="false" outlineLevel="0" collapsed="false">
      <c r="D86" s="0" t="n">
        <v>4</v>
      </c>
      <c r="E86" s="0" t="n">
        <v>8.39</v>
      </c>
      <c r="F86" s="0" t="n">
        <v>-13.75</v>
      </c>
      <c r="G86" s="2" t="n">
        <v>0.64</v>
      </c>
      <c r="H86" s="1" t="n">
        <v>-5.25</v>
      </c>
      <c r="I86" s="1" t="n">
        <v>0.64</v>
      </c>
      <c r="J86" s="0" t="n">
        <v>0</v>
      </c>
      <c r="K86" s="2" t="n">
        <v>0.76</v>
      </c>
      <c r="L86" s="0" t="n">
        <v>5.25</v>
      </c>
      <c r="M86" s="2" t="n">
        <v>0.64</v>
      </c>
      <c r="N86" s="1" t="n">
        <v>13.75</v>
      </c>
      <c r="O86" s="1" t="n">
        <v>0.64</v>
      </c>
    </row>
    <row r="87" customFormat="false" ht="15" hidden="false" customHeight="false" outlineLevel="0" collapsed="false">
      <c r="D87" s="0" t="n">
        <v>3</v>
      </c>
      <c r="E87" s="0" t="n">
        <v>8.66</v>
      </c>
      <c r="F87" s="0" t="n">
        <v>-14.2</v>
      </c>
      <c r="G87" s="2" t="n">
        <v>0.34</v>
      </c>
      <c r="H87" s="1" t="n">
        <v>-5.25</v>
      </c>
      <c r="I87" s="1" t="n">
        <v>0.34</v>
      </c>
      <c r="J87" s="0" t="n">
        <v>0</v>
      </c>
      <c r="K87" s="2" t="n">
        <v>0.46</v>
      </c>
      <c r="L87" s="0" t="n">
        <v>5.25</v>
      </c>
      <c r="M87" s="2" t="n">
        <v>0.34</v>
      </c>
      <c r="N87" s="1" t="n">
        <v>14.2</v>
      </c>
      <c r="O87" s="1" t="n">
        <v>0.34</v>
      </c>
    </row>
    <row r="88" customFormat="false" ht="15" hidden="false" customHeight="false" outlineLevel="0" collapsed="false">
      <c r="D88" s="0" t="n">
        <v>2</v>
      </c>
      <c r="E88" s="0" t="n">
        <v>8.25</v>
      </c>
      <c r="F88" s="0" t="n">
        <v>-14.65</v>
      </c>
      <c r="G88" s="2" t="n">
        <v>0.04</v>
      </c>
      <c r="H88" s="1" t="n">
        <v>-5.25</v>
      </c>
      <c r="I88" s="1" t="n">
        <v>0.04</v>
      </c>
      <c r="J88" s="0" t="n">
        <v>0</v>
      </c>
      <c r="K88" s="2" t="n">
        <v>0.16</v>
      </c>
      <c r="L88" s="0" t="n">
        <v>5.25</v>
      </c>
      <c r="M88" s="2" t="n">
        <v>0.04</v>
      </c>
      <c r="N88" s="1" t="n">
        <v>14.65</v>
      </c>
      <c r="O88" s="1" t="n">
        <v>0.04</v>
      </c>
    </row>
    <row r="89" customFormat="false" ht="15" hidden="false" customHeight="false" outlineLevel="0" collapsed="false">
      <c r="D89" s="0" t="n">
        <v>1</v>
      </c>
      <c r="E89" s="0" t="n">
        <v>4.5</v>
      </c>
      <c r="F89" s="0" t="n">
        <v>-10.24</v>
      </c>
      <c r="G89" s="2" t="n">
        <v>-0.26</v>
      </c>
      <c r="H89" s="1" t="n">
        <v>-5.25</v>
      </c>
      <c r="I89" s="1" t="n">
        <v>-0.26</v>
      </c>
      <c r="J89" s="0" t="n">
        <v>0</v>
      </c>
      <c r="K89" s="2" t="n">
        <v>-0.14</v>
      </c>
      <c r="L89" s="0" t="n">
        <v>5.25</v>
      </c>
      <c r="M89" s="2" t="n">
        <v>-0.26</v>
      </c>
      <c r="N89" s="1" t="n">
        <v>10.3</v>
      </c>
      <c r="O89" s="1" t="n">
        <v>-0.26</v>
      </c>
    </row>
    <row r="90" customFormat="false" ht="15" hidden="false" customHeight="false" outlineLevel="0" collapsed="false">
      <c r="A90" s="1" t="n">
        <v>12</v>
      </c>
      <c r="B90" s="2" t="s">
        <v>27</v>
      </c>
      <c r="C90" s="0" t="n">
        <v>609.11</v>
      </c>
      <c r="D90" s="0" t="n">
        <v>8</v>
      </c>
      <c r="E90" s="0" t="n">
        <v>7.31</v>
      </c>
      <c r="F90" s="0" t="n">
        <v>-11.95</v>
      </c>
      <c r="G90" s="2" t="n">
        <v>1.84</v>
      </c>
      <c r="H90" s="1" t="n">
        <v>-5.25</v>
      </c>
      <c r="I90" s="1" t="n">
        <v>1.84</v>
      </c>
      <c r="J90" s="0" t="n">
        <v>0</v>
      </c>
      <c r="K90" s="2" t="n">
        <v>1.96</v>
      </c>
      <c r="L90" s="0" t="n">
        <v>5.25</v>
      </c>
      <c r="M90" s="2" t="n">
        <v>1.84</v>
      </c>
      <c r="N90" s="1" t="n">
        <v>11.95</v>
      </c>
      <c r="O90" s="1" t="n">
        <v>1.84</v>
      </c>
      <c r="P90" s="0" t="n">
        <v>68.14</v>
      </c>
      <c r="Q90" s="0" t="n">
        <v>11.55</v>
      </c>
    </row>
    <row r="91" customFormat="false" ht="15" hidden="false" customHeight="false" outlineLevel="0" collapsed="false">
      <c r="D91" s="0" t="n">
        <v>7</v>
      </c>
      <c r="E91" s="0" t="n">
        <v>7.58</v>
      </c>
      <c r="F91" s="0" t="n">
        <v>-12.4</v>
      </c>
      <c r="G91" s="2" t="n">
        <v>1.54</v>
      </c>
      <c r="H91" s="1" t="n">
        <v>-5.25</v>
      </c>
      <c r="I91" s="1" t="n">
        <v>1.54</v>
      </c>
      <c r="J91" s="0" t="n">
        <v>0</v>
      </c>
      <c r="K91" s="2" t="n">
        <v>1.66</v>
      </c>
      <c r="L91" s="0" t="n">
        <v>5.25</v>
      </c>
      <c r="M91" s="2" t="n">
        <v>1.54</v>
      </c>
      <c r="N91" s="1" t="n">
        <v>12.4</v>
      </c>
      <c r="O91" s="1" t="n">
        <v>1.54</v>
      </c>
    </row>
    <row r="92" customFormat="false" ht="15" hidden="false" customHeight="false" outlineLevel="0" collapsed="false">
      <c r="D92" s="0" t="n">
        <v>6</v>
      </c>
      <c r="E92" s="0" t="n">
        <v>7.85</v>
      </c>
      <c r="F92" s="0" t="n">
        <v>-12.85</v>
      </c>
      <c r="G92" s="2" t="n">
        <v>1.24</v>
      </c>
      <c r="H92" s="1" t="n">
        <v>-5.25</v>
      </c>
      <c r="I92" s="1" t="n">
        <v>1.24</v>
      </c>
      <c r="J92" s="0" t="n">
        <v>0</v>
      </c>
      <c r="K92" s="2" t="n">
        <v>1.36</v>
      </c>
      <c r="L92" s="0" t="n">
        <v>5.25</v>
      </c>
      <c r="M92" s="2" t="n">
        <v>1.24</v>
      </c>
      <c r="N92" s="1" t="n">
        <v>12.85</v>
      </c>
      <c r="O92" s="1" t="n">
        <v>1.24</v>
      </c>
    </row>
    <row r="93" customFormat="false" ht="15" hidden="false" customHeight="false" outlineLevel="0" collapsed="false">
      <c r="D93" s="0" t="n">
        <v>5</v>
      </c>
      <c r="E93" s="0" t="n">
        <v>8.12</v>
      </c>
      <c r="F93" s="0" t="n">
        <v>-13.3</v>
      </c>
      <c r="G93" s="2" t="n">
        <v>0.94</v>
      </c>
      <c r="H93" s="1" t="n">
        <v>-5.25</v>
      </c>
      <c r="I93" s="1" t="n">
        <v>0.94</v>
      </c>
      <c r="J93" s="0" t="n">
        <v>0</v>
      </c>
      <c r="K93" s="2" t="n">
        <v>1.06</v>
      </c>
      <c r="L93" s="0" t="n">
        <v>5.25</v>
      </c>
      <c r="M93" s="2" t="n">
        <v>0.94</v>
      </c>
      <c r="N93" s="1" t="n">
        <v>13.3</v>
      </c>
      <c r="O93" s="1" t="n">
        <v>0.94</v>
      </c>
    </row>
    <row r="94" customFormat="false" ht="15" hidden="false" customHeight="false" outlineLevel="0" collapsed="false">
      <c r="D94" s="0" t="n">
        <v>4</v>
      </c>
      <c r="E94" s="0" t="n">
        <v>8.39</v>
      </c>
      <c r="F94" s="0" t="n">
        <v>-13.75</v>
      </c>
      <c r="G94" s="2" t="n">
        <v>0.64</v>
      </c>
      <c r="H94" s="1" t="n">
        <v>-5.25</v>
      </c>
      <c r="I94" s="1" t="n">
        <v>0.64</v>
      </c>
      <c r="J94" s="0" t="n">
        <v>0</v>
      </c>
      <c r="K94" s="2" t="n">
        <v>0.76</v>
      </c>
      <c r="L94" s="0" t="n">
        <v>5.25</v>
      </c>
      <c r="M94" s="2" t="n">
        <v>0.64</v>
      </c>
      <c r="N94" s="1" t="n">
        <v>13.75</v>
      </c>
      <c r="O94" s="1" t="n">
        <v>0.64</v>
      </c>
    </row>
    <row r="95" customFormat="false" ht="15" hidden="false" customHeight="false" outlineLevel="0" collapsed="false">
      <c r="D95" s="0" t="n">
        <v>3</v>
      </c>
      <c r="E95" s="0" t="n">
        <v>7.42</v>
      </c>
      <c r="F95" s="0" t="n">
        <v>-14.2</v>
      </c>
      <c r="G95" s="2" t="n">
        <v>0.34</v>
      </c>
      <c r="H95" s="1" t="n">
        <v>-5.25</v>
      </c>
      <c r="I95" s="1" t="n">
        <v>0.34</v>
      </c>
      <c r="J95" s="0" t="n">
        <v>0</v>
      </c>
      <c r="K95" s="2" t="n">
        <v>0.46</v>
      </c>
      <c r="L95" s="0" t="n">
        <v>5.25</v>
      </c>
      <c r="M95" s="2" t="n">
        <v>0.34</v>
      </c>
      <c r="N95" s="1" t="n">
        <v>14.2</v>
      </c>
      <c r="O95" s="1" t="n">
        <v>0.34</v>
      </c>
    </row>
    <row r="96" customFormat="false" ht="15" hidden="false" customHeight="false" outlineLevel="0" collapsed="false">
      <c r="D96" s="0" t="n">
        <v>2</v>
      </c>
      <c r="E96" s="0" t="n">
        <v>5.72</v>
      </c>
      <c r="F96" s="0" t="n">
        <v>-9.76</v>
      </c>
      <c r="G96" s="2" t="n">
        <v>0.04</v>
      </c>
      <c r="H96" s="1" t="n">
        <v>-5.25</v>
      </c>
      <c r="I96" s="1" t="n">
        <v>0.04</v>
      </c>
      <c r="J96" s="0" t="n">
        <v>0</v>
      </c>
      <c r="K96" s="2" t="n">
        <v>0.16</v>
      </c>
      <c r="L96" s="0" t="n">
        <v>5.25</v>
      </c>
      <c r="M96" s="2" t="n">
        <v>0.04</v>
      </c>
      <c r="N96" s="1" t="n">
        <v>9.62</v>
      </c>
      <c r="O96" s="1" t="n">
        <v>0.04</v>
      </c>
    </row>
    <row r="97" customFormat="false" ht="15" hidden="false" customHeight="false" outlineLevel="0" collapsed="false">
      <c r="D97" s="0" t="n">
        <v>1</v>
      </c>
      <c r="E97" s="0" t="n">
        <v>4.22</v>
      </c>
      <c r="F97" s="0" t="n">
        <v>-9.46</v>
      </c>
      <c r="G97" s="2" t="n">
        <v>-0.26</v>
      </c>
      <c r="H97" s="1" t="n">
        <v>-5.25</v>
      </c>
      <c r="I97" s="1" t="n">
        <v>-0.26</v>
      </c>
      <c r="J97" s="0" t="n">
        <v>0</v>
      </c>
      <c r="K97" s="2" t="n">
        <v>-0.14</v>
      </c>
      <c r="L97" s="0" t="n">
        <v>5.25</v>
      </c>
      <c r="M97" s="2" t="n">
        <v>-0.26</v>
      </c>
      <c r="N97" s="1" t="n">
        <v>9.32</v>
      </c>
      <c r="O97" s="1" t="n">
        <v>-0.26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64.NĐXD8/CVXD ngày 16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64</v>
      </c>
    </row>
    <row r="3" customFormat="false" ht="18.75" hidden="false" customHeight="true" outlineLevel="0" collapsed="false">
      <c r="A3" s="7" t="s">
        <v>30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32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1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489.19</v>
      </c>
      <c r="D21" s="16" t="n">
        <f aca="false">+Chạy!F9</f>
        <v>-9.67</v>
      </c>
      <c r="E21" s="16" t="n">
        <f aca="false">+D21+F21</f>
        <v>-9.6645</v>
      </c>
      <c r="F21" s="16" t="n">
        <f aca="false">RANDBETWEEN(-105,115)/10000</f>
        <v>0.0055</v>
      </c>
      <c r="G21" s="16" t="n">
        <f aca="false">+Chạy!G9</f>
        <v>-0.23</v>
      </c>
      <c r="H21" s="16" t="n">
        <f aca="false">G21+I21</f>
        <v>-0.245</v>
      </c>
      <c r="I21" s="16" t="n">
        <f aca="false">RANDBETWEEN(-30,90)/1000</f>
        <v>-0.015</v>
      </c>
      <c r="J21" s="16" t="n">
        <f aca="false">+Chạy!K9</f>
        <v>-0.11</v>
      </c>
      <c r="K21" s="16" t="n">
        <f aca="false">J21+L21</f>
        <v>-0.096</v>
      </c>
      <c r="L21" s="16" t="n">
        <f aca="false">RANDBETWEEN(-30,90)/1000</f>
        <v>0.014</v>
      </c>
      <c r="M21" s="16" t="n">
        <f aca="false">+Chạy!N9</f>
        <v>15.1</v>
      </c>
      <c r="N21" s="16" t="n">
        <f aca="false">+M21+O21</f>
        <v>15.109</v>
      </c>
      <c r="O21" s="16" t="n">
        <f aca="false">RANDBETWEEN(-105,115)/10000</f>
        <v>0.009</v>
      </c>
      <c r="P21" s="16" t="n">
        <f aca="false">+Chạy!O9</f>
        <v>-0.23</v>
      </c>
      <c r="Q21" s="16" t="n">
        <f aca="false">P21+R21</f>
        <v>-0.225</v>
      </c>
      <c r="R21" s="16" t="n">
        <f aca="false">RANDBETWEEN(-30,90)/1000</f>
        <v>0.005</v>
      </c>
      <c r="S21" s="17"/>
      <c r="T21" s="18" t="n">
        <v>13.17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502.36</v>
      </c>
      <c r="D22" s="16" t="n">
        <f aca="false">+Chạy!F17</f>
        <v>-10.68</v>
      </c>
      <c r="E22" s="16" t="n">
        <f aca="false">+D22+F22</f>
        <v>-10.6869</v>
      </c>
      <c r="F22" s="16" t="n">
        <f aca="false">RANDBETWEEN(-105,115)/10000</f>
        <v>-0.0069</v>
      </c>
      <c r="G22" s="16" t="n">
        <f aca="false">+Chạy!G17</f>
        <v>-0.24</v>
      </c>
      <c r="H22" s="16" t="n">
        <f aca="false">G22+I22</f>
        <v>-0.174</v>
      </c>
      <c r="I22" s="16" t="n">
        <f aca="false">RANDBETWEEN(-30,90)/1000</f>
        <v>0.066</v>
      </c>
      <c r="J22" s="16" t="n">
        <f aca="false">+Chạy!K17</f>
        <v>-0.12</v>
      </c>
      <c r="K22" s="16" t="n">
        <f aca="false">J22+L22</f>
        <v>-0.123</v>
      </c>
      <c r="L22" s="16" t="n">
        <f aca="false">RANDBETWEEN(-30,90)/1000</f>
        <v>-0.003</v>
      </c>
      <c r="M22" s="16" t="n">
        <f aca="false">+Chạy!N17</f>
        <v>10.58</v>
      </c>
      <c r="N22" s="16" t="n">
        <f aca="false">+M22+O22</f>
        <v>10.5905</v>
      </c>
      <c r="O22" s="16" t="n">
        <f aca="false">RANDBETWEEN(-105,115)/10000</f>
        <v>0.0105</v>
      </c>
      <c r="P22" s="16" t="n">
        <f aca="false">+Chạy!O17</f>
        <v>-0.24</v>
      </c>
      <c r="Q22" s="16" t="n">
        <f aca="false">P22+R22</f>
        <v>-0.155</v>
      </c>
      <c r="R22" s="16" t="n">
        <f aca="false">RANDBETWEEN(-30,90)/1000</f>
        <v>0.085</v>
      </c>
      <c r="S22" s="17"/>
      <c r="T22" s="18" t="n">
        <v>10.48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512.84</v>
      </c>
      <c r="D23" s="16" t="n">
        <f aca="false">+Chạy!F25</f>
        <v>-10.11</v>
      </c>
      <c r="E23" s="16" t="n">
        <f aca="false">+D23+F23</f>
        <v>-10.1148</v>
      </c>
      <c r="F23" s="16" t="n">
        <f aca="false">RANDBETWEEN(-105,115)/10000</f>
        <v>-0.0048</v>
      </c>
      <c r="G23" s="16" t="n">
        <f aca="false">+Chạy!G25</f>
        <v>-0.24</v>
      </c>
      <c r="H23" s="16" t="n">
        <f aca="false">G23+I23</f>
        <v>-0.188</v>
      </c>
      <c r="I23" s="16" t="n">
        <f aca="false">RANDBETWEEN(-30,90)/1000</f>
        <v>0.052</v>
      </c>
      <c r="J23" s="16" t="n">
        <f aca="false">+Chạy!K25</f>
        <v>-0.13</v>
      </c>
      <c r="K23" s="16" t="n">
        <f aca="false">J23+L23</f>
        <v>-0.11</v>
      </c>
      <c r="L23" s="16" t="n">
        <f aca="false">RANDBETWEEN(-30,90)/1000</f>
        <v>0.02</v>
      </c>
      <c r="M23" s="16" t="n">
        <f aca="false">+Chạy!N25</f>
        <v>10.49</v>
      </c>
      <c r="N23" s="16" t="n">
        <f aca="false">+M23+O23</f>
        <v>10.4815</v>
      </c>
      <c r="O23" s="16" t="n">
        <f aca="false">RANDBETWEEN(-105,115)/10000</f>
        <v>-0.0085</v>
      </c>
      <c r="P23" s="16" t="n">
        <f aca="false">+Chạy!O25</f>
        <v>-0.24</v>
      </c>
      <c r="Q23" s="16" t="n">
        <f aca="false">P23+R23</f>
        <v>-0.24</v>
      </c>
      <c r="R23" s="16" t="n">
        <f aca="false">RANDBETWEEN(-30,90)/1000</f>
        <v>0</v>
      </c>
      <c r="S23" s="17"/>
      <c r="T23" s="18" t="n">
        <v>16.78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529.62</v>
      </c>
      <c r="D24" s="16" t="n">
        <f aca="false">+Chạy!F33</f>
        <v>-15.04</v>
      </c>
      <c r="E24" s="16" t="n">
        <f aca="false">+D24+F24</f>
        <v>-15.034</v>
      </c>
      <c r="F24" s="16" t="n">
        <f aca="false">RANDBETWEEN(-105,115)/10000</f>
        <v>0.006</v>
      </c>
      <c r="G24" s="16" t="n">
        <f aca="false">+Chạy!G33</f>
        <v>-0.25</v>
      </c>
      <c r="H24" s="16" t="n">
        <f aca="false">G24+I24</f>
        <v>-0.176</v>
      </c>
      <c r="I24" s="16" t="n">
        <f aca="false">RANDBETWEEN(-30,90)/1000</f>
        <v>0.074</v>
      </c>
      <c r="J24" s="16" t="n">
        <f aca="false">+Chạy!K33</f>
        <v>-0.13</v>
      </c>
      <c r="K24" s="16" t="n">
        <f aca="false">J24+L24</f>
        <v>-0.146</v>
      </c>
      <c r="L24" s="16" t="n">
        <f aca="false">RANDBETWEEN(-30,90)/1000</f>
        <v>-0.016</v>
      </c>
      <c r="M24" s="16" t="n">
        <f aca="false">+Chạy!N33</f>
        <v>15.1</v>
      </c>
      <c r="N24" s="16" t="n">
        <f aca="false">+M24+O24</f>
        <v>15.1099</v>
      </c>
      <c r="O24" s="16" t="n">
        <f aca="false">RANDBETWEEN(-105,115)/10000</f>
        <v>0.0099</v>
      </c>
      <c r="P24" s="16" t="n">
        <f aca="false">+Chạy!O33</f>
        <v>-0.25</v>
      </c>
      <c r="Q24" s="16" t="n">
        <f aca="false">P24+R24</f>
        <v>-0.166</v>
      </c>
      <c r="R24" s="16" t="n">
        <f aca="false">RANDBETWEEN(-30,90)/1000</f>
        <v>0.084</v>
      </c>
      <c r="S24" s="17"/>
      <c r="T24" s="18" t="n">
        <v>17.1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546.72</v>
      </c>
      <c r="D25" s="16" t="n">
        <f aca="false">+Chạy!F41</f>
        <v>-6.44</v>
      </c>
      <c r="E25" s="16" t="n">
        <f aca="false">+D25+F25</f>
        <v>-6.4373</v>
      </c>
      <c r="F25" s="16" t="n">
        <f aca="false">RANDBETWEEN(-105,115)/10000</f>
        <v>0.0027</v>
      </c>
      <c r="G25" s="16" t="n">
        <f aca="false">+Chạy!G41</f>
        <v>-0.26</v>
      </c>
      <c r="H25" s="16" t="n">
        <f aca="false">G25+I25</f>
        <v>-0.216</v>
      </c>
      <c r="I25" s="16" t="n">
        <f aca="false">RANDBETWEEN(-30,90)/1000</f>
        <v>0.044</v>
      </c>
      <c r="J25" s="16" t="n">
        <f aca="false">+Chạy!K41</f>
        <v>-0.14</v>
      </c>
      <c r="K25" s="16" t="n">
        <f aca="false">J25+L25</f>
        <v>-0.104</v>
      </c>
      <c r="L25" s="16" t="n">
        <f aca="false">RANDBETWEEN(-30,90)/1000</f>
        <v>0.036</v>
      </c>
      <c r="M25" s="16" t="n">
        <f aca="false">+Chạy!N41</f>
        <v>9.68</v>
      </c>
      <c r="N25" s="16" t="n">
        <f aca="false">+M25+O25</f>
        <v>9.6826</v>
      </c>
      <c r="O25" s="16" t="n">
        <f aca="false">RANDBETWEEN(-105,115)/10000</f>
        <v>0.0026</v>
      </c>
      <c r="P25" s="16" t="n">
        <f aca="false">+Chạy!O41</f>
        <v>-0.26</v>
      </c>
      <c r="Q25" s="16" t="n">
        <f aca="false">P25+R25</f>
        <v>-0.199</v>
      </c>
      <c r="R25" s="16" t="n">
        <f aca="false">RANDBETWEEN(-30,90)/1000</f>
        <v>0.061</v>
      </c>
      <c r="S25" s="17"/>
      <c r="T25" s="18" t="n">
        <v>15.15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561.87</v>
      </c>
      <c r="D26" s="16" t="n">
        <f aca="false">+Chạy!F49</f>
        <v>-10.17</v>
      </c>
      <c r="E26" s="16" t="n">
        <f aca="false">+D26+F26</f>
        <v>-10.1658</v>
      </c>
      <c r="F26" s="16" t="n">
        <f aca="false">RANDBETWEEN(-105,115)/10000</f>
        <v>0.0042</v>
      </c>
      <c r="G26" s="16" t="n">
        <f aca="false">+Chạy!G49</f>
        <v>-0.26</v>
      </c>
      <c r="H26" s="16" t="n">
        <f aca="false">G26+I26</f>
        <v>-0.254</v>
      </c>
      <c r="I26" s="16" t="n">
        <f aca="false">RANDBETWEEN(-30,90)/1000</f>
        <v>0.006</v>
      </c>
      <c r="J26" s="16" t="n">
        <f aca="false">+Chạy!K49</f>
        <v>-0.15</v>
      </c>
      <c r="K26" s="16" t="n">
        <f aca="false">J26+L26</f>
        <v>-0.151</v>
      </c>
      <c r="L26" s="16" t="n">
        <f aca="false">RANDBETWEEN(-30,90)/1000</f>
        <v>-0.001</v>
      </c>
      <c r="M26" s="16" t="n">
        <f aca="false">+Chạy!N49</f>
        <v>10.31</v>
      </c>
      <c r="N26" s="16" t="n">
        <f aca="false">+M26+O26</f>
        <v>10.3069</v>
      </c>
      <c r="O26" s="16" t="n">
        <f aca="false">RANDBETWEEN(-105,115)/10000</f>
        <v>-0.0031</v>
      </c>
      <c r="P26" s="16" t="n">
        <f aca="false">+Chạy!O49</f>
        <v>-0.26</v>
      </c>
      <c r="Q26" s="16" t="n">
        <f aca="false">P26+R26</f>
        <v>-0.228</v>
      </c>
      <c r="R26" s="16" t="n">
        <f aca="false">RANDBETWEEN(-30,90)/1000</f>
        <v>0.032</v>
      </c>
      <c r="S26" s="17"/>
      <c r="T26" s="18" t="n">
        <v>0.15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562.02</v>
      </c>
      <c r="D27" s="16" t="n">
        <f aca="false">+Chạy!F57</f>
        <v>-10.18</v>
      </c>
      <c r="E27" s="16" t="n">
        <f aca="false">+D27+F27</f>
        <v>-10.1769</v>
      </c>
      <c r="F27" s="16" t="n">
        <f aca="false">RANDBETWEEN(-105,115)/10000</f>
        <v>0.0031</v>
      </c>
      <c r="G27" s="16" t="n">
        <f aca="false">+Chạy!G57</f>
        <v>-0.26</v>
      </c>
      <c r="H27" s="16" t="n">
        <f aca="false">G27+I27</f>
        <v>-0.222</v>
      </c>
      <c r="I27" s="16" t="n">
        <f aca="false">RANDBETWEEN(-30,90)/1000</f>
        <v>0.038</v>
      </c>
      <c r="J27" s="16" t="n">
        <f aca="false">+Chạy!K57</f>
        <v>-0.15</v>
      </c>
      <c r="K27" s="16" t="n">
        <f aca="false">J27+L27</f>
        <v>-0.135</v>
      </c>
      <c r="L27" s="16" t="n">
        <f aca="false">RANDBETWEEN(-30,90)/1000</f>
        <v>0.015</v>
      </c>
      <c r="M27" s="16" t="n">
        <f aca="false">+Chạy!N57</f>
        <v>10.31</v>
      </c>
      <c r="N27" s="16" t="n">
        <f aca="false">+M27+O27</f>
        <v>10.3077</v>
      </c>
      <c r="O27" s="16" t="n">
        <f aca="false">RANDBETWEEN(-105,115)/10000</f>
        <v>-0.0023</v>
      </c>
      <c r="P27" s="16" t="n">
        <f aca="false">+Chạy!O57</f>
        <v>-0.26</v>
      </c>
      <c r="Q27" s="16" t="n">
        <f aca="false">P27+R27</f>
        <v>-0.189</v>
      </c>
      <c r="R27" s="16" t="n">
        <f aca="false">RANDBETWEEN(-30,90)/1000</f>
        <v>0.071</v>
      </c>
      <c r="S27" s="17"/>
      <c r="T27" s="18" t="n">
        <v>6.55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568.57</v>
      </c>
      <c r="D28" s="16" t="n">
        <f aca="false">+Chạy!F65</f>
        <v>-10.35</v>
      </c>
      <c r="E28" s="16" t="n">
        <f aca="false">+D28+F28</f>
        <v>-10.3414</v>
      </c>
      <c r="F28" s="16" t="n">
        <f aca="false">RANDBETWEEN(-105,115)/10000</f>
        <v>0.0086</v>
      </c>
      <c r="G28" s="16" t="n">
        <f aca="false">+Chạy!G65</f>
        <v>-0.26</v>
      </c>
      <c r="H28" s="16" t="n">
        <f aca="false">G28+I28</f>
        <v>-0.287</v>
      </c>
      <c r="I28" s="16" t="n">
        <f aca="false">RANDBETWEEN(-30,90)/1000</f>
        <v>-0.027</v>
      </c>
      <c r="J28" s="16" t="n">
        <f aca="false">+Chạy!K65</f>
        <v>-0.15</v>
      </c>
      <c r="K28" s="16" t="n">
        <f aca="false">J28+L28</f>
        <v>-0.089</v>
      </c>
      <c r="L28" s="16" t="n">
        <f aca="false">RANDBETWEEN(-30,90)/1000</f>
        <v>0.061</v>
      </c>
      <c r="M28" s="16" t="n">
        <f aca="false">+Chạy!N65</f>
        <v>10.66</v>
      </c>
      <c r="N28" s="16" t="n">
        <f aca="false">+M28+O28</f>
        <v>10.6636</v>
      </c>
      <c r="O28" s="16" t="n">
        <f aca="false">RANDBETWEEN(-105,115)/10000</f>
        <v>0.0036</v>
      </c>
      <c r="P28" s="16" t="n">
        <f aca="false">+Chạy!O65</f>
        <v>-0.26</v>
      </c>
      <c r="Q28" s="16" t="n">
        <f aca="false">P28+R28</f>
        <v>-0.279</v>
      </c>
      <c r="R28" s="16" t="n">
        <f aca="false">RANDBETWEEN(-30,90)/1000</f>
        <v>-0.019</v>
      </c>
      <c r="S28" s="17"/>
      <c r="T28" s="18" t="n">
        <v>6.55</v>
      </c>
    </row>
    <row r="29" customFormat="false" ht="17.25" hidden="false" customHeight="true" outlineLevel="0" collapsed="false">
      <c r="A29" s="13" t="n">
        <v>9</v>
      </c>
      <c r="B29" s="14" t="s">
        <v>1</v>
      </c>
      <c r="C29" s="15" t="n">
        <f aca="false">+C28+T28</f>
        <v>575.12</v>
      </c>
      <c r="D29" s="16" t="n">
        <f aca="false">+Chạy!F73</f>
        <v>-10.07</v>
      </c>
      <c r="E29" s="16" t="n">
        <f aca="false">+D29+F29</f>
        <v>-10.0793</v>
      </c>
      <c r="F29" s="16" t="n">
        <f aca="false">RANDBETWEEN(-105,115)/10000</f>
        <v>-0.0093</v>
      </c>
      <c r="G29" s="16" t="n">
        <f aca="false">+Chạy!G73</f>
        <v>-0.26</v>
      </c>
      <c r="H29" s="16" t="n">
        <f aca="false">G29+I29</f>
        <v>-0.251</v>
      </c>
      <c r="I29" s="16" t="n">
        <f aca="false">RANDBETWEEN(-30,90)/1000</f>
        <v>0.009</v>
      </c>
      <c r="J29" s="16" t="n">
        <f aca="false">+Chạy!K73</f>
        <v>-0.15</v>
      </c>
      <c r="K29" s="16" t="n">
        <f aca="false">J29+L29</f>
        <v>-0.117</v>
      </c>
      <c r="L29" s="16" t="n">
        <f aca="false">RANDBETWEEN(-30,90)/1000</f>
        <v>0.033</v>
      </c>
      <c r="M29" s="16" t="n">
        <f aca="false">+Chạy!N73</f>
        <v>9.74</v>
      </c>
      <c r="N29" s="16" t="n">
        <f aca="false">+M29+O29</f>
        <v>9.7444</v>
      </c>
      <c r="O29" s="16" t="n">
        <f aca="false">RANDBETWEEN(-105,115)/10000</f>
        <v>0.0044</v>
      </c>
      <c r="P29" s="16" t="n">
        <f aca="false">+Chạy!O73</f>
        <v>-0.26</v>
      </c>
      <c r="Q29" s="16" t="n">
        <f aca="false">P29+R29</f>
        <v>-0.173</v>
      </c>
      <c r="R29" s="16" t="n">
        <f aca="false">RANDBETWEEN(-30,90)/1000</f>
        <v>0.087</v>
      </c>
      <c r="S29" s="17"/>
      <c r="T29" s="18" t="n">
        <v>0.04</v>
      </c>
    </row>
    <row r="30" customFormat="false" ht="17.25" hidden="false" customHeight="true" outlineLevel="0" collapsed="false">
      <c r="A30" s="13" t="n">
        <v>10</v>
      </c>
      <c r="B30" s="14" t="s">
        <v>25</v>
      </c>
      <c r="C30" s="15" t="n">
        <f aca="false">+C29+T29</f>
        <v>575.16</v>
      </c>
      <c r="D30" s="16" t="n">
        <f aca="false">+Chạy!F81</f>
        <v>-10.2</v>
      </c>
      <c r="E30" s="16" t="n">
        <f aca="false">+D30+F30</f>
        <v>-10.2095</v>
      </c>
      <c r="F30" s="16" t="n">
        <f aca="false">RANDBETWEEN(-105,115)/10000</f>
        <v>-0.0095</v>
      </c>
      <c r="G30" s="16" t="n">
        <f aca="false">+Chạy!G81</f>
        <v>-0.13</v>
      </c>
      <c r="H30" s="16" t="n">
        <f aca="false">G30+I30</f>
        <v>-0.086</v>
      </c>
      <c r="I30" s="16" t="n">
        <f aca="false">RANDBETWEEN(-30,90)/1000</f>
        <v>0.044</v>
      </c>
      <c r="J30" s="16" t="n">
        <f aca="false">+Chạy!K81</f>
        <v>-0.15</v>
      </c>
      <c r="K30" s="16" t="n">
        <f aca="false">J30+L30</f>
        <v>-0.165</v>
      </c>
      <c r="L30" s="16" t="n">
        <f aca="false">RANDBETWEEN(-30,90)/1000</f>
        <v>-0.015</v>
      </c>
      <c r="M30" s="16" t="n">
        <f aca="false">+Chạy!N81</f>
        <v>9.52</v>
      </c>
      <c r="N30" s="16" t="n">
        <f aca="false">+M30+O30</f>
        <v>9.5255</v>
      </c>
      <c r="O30" s="16" t="n">
        <f aca="false">RANDBETWEEN(-105,115)/10000</f>
        <v>0.0055</v>
      </c>
      <c r="P30" s="16" t="n">
        <f aca="false">+Chạy!O81</f>
        <v>-0.26</v>
      </c>
      <c r="Q30" s="16" t="n">
        <f aca="false">P30+R30</f>
        <v>-0.254</v>
      </c>
      <c r="R30" s="16" t="n">
        <f aca="false">RANDBETWEEN(-30,90)/1000</f>
        <v>0.006</v>
      </c>
      <c r="S30" s="17"/>
      <c r="T30" s="18" t="n">
        <v>16.95</v>
      </c>
    </row>
    <row r="31" customFormat="false" ht="17.25" hidden="false" customHeight="true" outlineLevel="0" collapsed="false">
      <c r="A31" s="13" t="n">
        <v>11</v>
      </c>
      <c r="B31" s="14" t="s">
        <v>26</v>
      </c>
      <c r="C31" s="15" t="n">
        <f aca="false">+C30+T30</f>
        <v>592.11</v>
      </c>
      <c r="D31" s="16" t="n">
        <f aca="false">+Chạy!F89</f>
        <v>-10.24</v>
      </c>
      <c r="E31" s="16" t="n">
        <f aca="false">+D31+F31</f>
        <v>-10.2303</v>
      </c>
      <c r="F31" s="16" t="n">
        <f aca="false">RANDBETWEEN(-105,115)/10000</f>
        <v>0.0097</v>
      </c>
      <c r="G31" s="16" t="n">
        <f aca="false">+Chạy!G89</f>
        <v>-0.26</v>
      </c>
      <c r="H31" s="16" t="n">
        <f aca="false">G31+I31</f>
        <v>-0.222</v>
      </c>
      <c r="I31" s="16" t="n">
        <f aca="false">RANDBETWEEN(-30,90)/1000</f>
        <v>0.038</v>
      </c>
      <c r="J31" s="16" t="n">
        <f aca="false">+Chạy!K89</f>
        <v>-0.14</v>
      </c>
      <c r="K31" s="16" t="n">
        <f aca="false">J31+L31</f>
        <v>-0.081</v>
      </c>
      <c r="L31" s="16" t="n">
        <f aca="false">RANDBETWEEN(-30,90)/1000</f>
        <v>0.059</v>
      </c>
      <c r="M31" s="16" t="n">
        <f aca="false">+Chạy!N89</f>
        <v>10.3</v>
      </c>
      <c r="N31" s="16" t="n">
        <f aca="false">+M31+O31</f>
        <v>10.2897</v>
      </c>
      <c r="O31" s="16" t="n">
        <f aca="false">RANDBETWEEN(-105,115)/10000</f>
        <v>-0.0103</v>
      </c>
      <c r="P31" s="16" t="n">
        <f aca="false">+Chạy!O89</f>
        <v>-0.26</v>
      </c>
      <c r="Q31" s="16" t="n">
        <f aca="false">P31+R31</f>
        <v>-0.191</v>
      </c>
      <c r="R31" s="16" t="n">
        <f aca="false">RANDBETWEEN(-30,90)/1000</f>
        <v>0.069</v>
      </c>
      <c r="S31" s="17"/>
      <c r="T31" s="18" t="n">
        <v>17</v>
      </c>
    </row>
    <row r="32" customFormat="false" ht="17.25" hidden="false" customHeight="true" outlineLevel="0" collapsed="false">
      <c r="A32" s="13" t="n">
        <v>12</v>
      </c>
      <c r="B32" s="14" t="s">
        <v>27</v>
      </c>
      <c r="C32" s="15" t="n">
        <f aca="false">+C31+T31</f>
        <v>609.11</v>
      </c>
      <c r="D32" s="16" t="n">
        <f aca="false">+Chạy!F97</f>
        <v>-9.46</v>
      </c>
      <c r="E32" s="16" t="n">
        <f aca="false">+D32+F32</f>
        <v>-9.4674</v>
      </c>
      <c r="F32" s="16" t="n">
        <f aca="false">RANDBETWEEN(-105,115)/10000</f>
        <v>-0.0074</v>
      </c>
      <c r="G32" s="16" t="n">
        <f aca="false">+Chạy!G97</f>
        <v>-0.26</v>
      </c>
      <c r="H32" s="16" t="n">
        <f aca="false">G32+I32</f>
        <v>-0.2</v>
      </c>
      <c r="I32" s="16" t="n">
        <f aca="false">RANDBETWEEN(-30,90)/1000</f>
        <v>0.06</v>
      </c>
      <c r="J32" s="16" t="n">
        <f aca="false">+Chạy!K97</f>
        <v>-0.14</v>
      </c>
      <c r="K32" s="16" t="n">
        <f aca="false">J32+L32</f>
        <v>-0.087</v>
      </c>
      <c r="L32" s="16" t="n">
        <f aca="false">RANDBETWEEN(-30,90)/1000</f>
        <v>0.053</v>
      </c>
      <c r="M32" s="16" t="n">
        <f aca="false">+Chạy!N97</f>
        <v>9.32</v>
      </c>
      <c r="N32" s="16" t="n">
        <f aca="false">+M32+O32</f>
        <v>9.321</v>
      </c>
      <c r="O32" s="16" t="n">
        <f aca="false">RANDBETWEEN(-105,115)/10000</f>
        <v>0.001</v>
      </c>
      <c r="P32" s="16" t="n">
        <f aca="false">+Chạy!O97</f>
        <v>-0.26</v>
      </c>
      <c r="Q32" s="16" t="n">
        <f aca="false">P32+R32</f>
        <v>-0.284</v>
      </c>
      <c r="R32" s="16" t="n">
        <f aca="false">RANDBETWEEN(-30,90)/1000</f>
        <v>-0.024</v>
      </c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52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53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64.NĐXD8/CVXD ngày 16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64</v>
      </c>
    </row>
    <row r="3" s="32" customFormat="true" ht="37.5" hidden="false" customHeight="true" outlineLevel="0" collapsed="false">
      <c r="A3" s="29" t="s">
        <v>30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31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32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1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25</v>
      </c>
      <c r="C11" s="51" t="n">
        <f aca="false">'1.KTHH L1'!C21</f>
        <v>489.19</v>
      </c>
      <c r="D11" s="13" t="n">
        <f aca="false">'1.KTHH L1'!T21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4.13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60.9771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D1</v>
      </c>
      <c r="C12" s="51" t="n">
        <f aca="false">'1.KTHH L1'!C22</f>
        <v>502.36</v>
      </c>
      <c r="D12" s="13" t="n">
        <f aca="false">'1.KTHH L1'!T22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5.13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52.4524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26</v>
      </c>
      <c r="C13" s="51" t="n">
        <f aca="false">'1.KTHH L1'!C23</f>
        <v>512.84</v>
      </c>
      <c r="D13" s="13" t="n">
        <f aca="false">'1.KTHH L1'!T23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4.88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83.3966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27</v>
      </c>
      <c r="C14" s="51" t="n">
        <f aca="false">'1.KTHH L1'!C24</f>
        <v>529.62</v>
      </c>
      <c r="D14" s="13" t="n">
        <f aca="false">'1.KTHH L1'!T24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5.06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74.9835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28</v>
      </c>
      <c r="C15" s="51" t="n">
        <f aca="false">'1.KTHH L1'!C25</f>
        <v>546.72</v>
      </c>
      <c r="D15" s="13" t="n">
        <f aca="false">'1.KTHH L1'!T25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3.71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62.03925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E5</v>
      </c>
      <c r="C16" s="51" t="n">
        <f aca="false">'1.KTHH L1'!C26</f>
        <v>561.87</v>
      </c>
      <c r="D16" s="13" t="n">
        <f aca="false">'1.KTHH L1'!T26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4.48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0.672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TD</v>
      </c>
      <c r="C17" s="51" t="n">
        <f aca="false">'1.KTHH L1'!C27</f>
        <v>562.02</v>
      </c>
      <c r="D17" s="13" t="n">
        <f aca="false">'1.KTHH L1'!T27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4.48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29.606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P</v>
      </c>
      <c r="C18" s="51" t="n">
        <f aca="false">'1.KTHH L1'!C28</f>
        <v>568.57</v>
      </c>
      <c r="D18" s="13" t="n">
        <f aca="false">'1.KTHH L1'!T28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4.56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29.04925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TC</v>
      </c>
      <c r="C19" s="51" t="n">
        <f aca="false">'1.KTHH L1'!C29</f>
        <v>575.12</v>
      </c>
      <c r="D19" s="13" t="n">
        <f aca="false">'1.KTHH L1'!T29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Chạy!E73</f>
        <v>4.31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0.1912</v>
      </c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false" customHeight="true" outlineLevel="0" collapsed="false">
      <c r="A20" s="13" t="n">
        <v>10</v>
      </c>
      <c r="B20" s="13" t="str">
        <f aca="false">'1.KTHH L1'!B30</f>
        <v>29</v>
      </c>
      <c r="C20" s="51" t="n">
        <f aca="false">'1.KTHH L1'!C30</f>
        <v>575.16</v>
      </c>
      <c r="D20" s="13" t="n">
        <f aca="false">'1.KTHH L1'!T30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Chạy!E81</f>
        <v>5.25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82.63125</v>
      </c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false" customHeight="true" outlineLevel="0" collapsed="false">
      <c r="A21" s="13" t="n">
        <v>11</v>
      </c>
      <c r="B21" s="13" t="str">
        <f aca="false">'1.KTHH L1'!B31</f>
        <v>30</v>
      </c>
      <c r="C21" s="51" t="n">
        <f aca="false">'1.KTHH L1'!C31</f>
        <v>592.11</v>
      </c>
      <c r="D21" s="13" t="n">
        <f aca="false">'1.KTHH L1'!T31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Chạy!E89</f>
        <v>4.5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74.12</v>
      </c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false" customHeight="true" outlineLevel="0" collapsed="false">
      <c r="A22" s="13" t="n">
        <v>12</v>
      </c>
      <c r="B22" s="13" t="str">
        <f aca="false">'1.KTHH L1'!B32</f>
        <v>31</v>
      </c>
      <c r="C22" s="51" t="n">
        <f aca="false">'1.KTHH L1'!C32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Chạy!E97</f>
        <v>4.22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550.11855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65.NĐXD8/CVXD ngày 17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65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2 đoạn từ Km0+489,19 - Km0+609,11,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489.19</v>
      </c>
      <c r="D21" s="16" t="n">
        <f aca="false">+Chạy!F8</f>
        <v>-14.65</v>
      </c>
      <c r="E21" s="16" t="n">
        <f aca="false">+D21+F21</f>
        <v>-14.6514</v>
      </c>
      <c r="F21" s="16" t="n">
        <f aca="false">RANDBETWEEN(-105,115)/10000</f>
        <v>-0.0014</v>
      </c>
      <c r="G21" s="16" t="n">
        <f aca="false">+Chạy!G8</f>
        <v>0.07</v>
      </c>
      <c r="H21" s="16" t="n">
        <f aca="false">G21+I21</f>
        <v>0.086</v>
      </c>
      <c r="I21" s="16" t="n">
        <f aca="false">RANDBETWEEN(-30,90)/1000</f>
        <v>0.016</v>
      </c>
      <c r="J21" s="16" t="n">
        <f aca="false">+Chạy!K8</f>
        <v>0.19</v>
      </c>
      <c r="K21" s="16" t="n">
        <f aca="false">J21+L21</f>
        <v>0.183</v>
      </c>
      <c r="L21" s="16" t="n">
        <f aca="false">RANDBETWEEN(-30,90)/1000</f>
        <v>-0.007</v>
      </c>
      <c r="M21" s="16" t="n">
        <f aca="false">+Chạy!N8</f>
        <v>14.65</v>
      </c>
      <c r="N21" s="16" t="n">
        <f aca="false">+M21+O21</f>
        <v>14.648</v>
      </c>
      <c r="O21" s="16" t="n">
        <f aca="false">RANDBETWEEN(-105,115)/10000</f>
        <v>-0.002</v>
      </c>
      <c r="P21" s="16" t="n">
        <f aca="false">+Chạy!O8</f>
        <v>0.07</v>
      </c>
      <c r="Q21" s="16" t="n">
        <f aca="false">P21+R21</f>
        <v>0.105</v>
      </c>
      <c r="R21" s="16" t="n">
        <f aca="false">RANDBETWEEN(-30,90)/1000</f>
        <v>0.035</v>
      </c>
      <c r="S21" s="17"/>
      <c r="T21" s="0" t="n">
        <v>13.17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502.36</v>
      </c>
      <c r="D22" s="16" t="n">
        <f aca="false">+Chạy!F16</f>
        <v>-14.65</v>
      </c>
      <c r="E22" s="16" t="n">
        <f aca="false">+D22+F22</f>
        <v>-14.6492</v>
      </c>
      <c r="F22" s="16" t="n">
        <f aca="false">RANDBETWEEN(-105,115)/10000</f>
        <v>0.0008</v>
      </c>
      <c r="G22" s="16" t="n">
        <f aca="false">+Chạy!G16</f>
        <v>0.06</v>
      </c>
      <c r="H22" s="16" t="n">
        <f aca="false">G22+I22</f>
        <v>0.053</v>
      </c>
      <c r="I22" s="16" t="n">
        <f aca="false">RANDBETWEEN(-30,90)/1000</f>
        <v>-0.007</v>
      </c>
      <c r="J22" s="16" t="n">
        <f aca="false">+Chạy!K16</f>
        <v>0.18</v>
      </c>
      <c r="K22" s="16" t="n">
        <f aca="false">J22+L22</f>
        <v>0.252</v>
      </c>
      <c r="L22" s="16" t="n">
        <f aca="false">RANDBETWEEN(-30,90)/1000</f>
        <v>0.072</v>
      </c>
      <c r="M22" s="16" t="n">
        <f aca="false">+Chạy!N16</f>
        <v>14.65</v>
      </c>
      <c r="N22" s="16" t="n">
        <f aca="false">+M22+O22</f>
        <v>14.648</v>
      </c>
      <c r="O22" s="16" t="n">
        <f aca="false">RANDBETWEEN(-105,115)/10000</f>
        <v>-0.002</v>
      </c>
      <c r="P22" s="16" t="n">
        <f aca="false">+Chạy!O16</f>
        <v>0.06</v>
      </c>
      <c r="Q22" s="16" t="n">
        <f aca="false">P22+R22</f>
        <v>0.121</v>
      </c>
      <c r="R22" s="16" t="n">
        <f aca="false">RANDBETWEEN(-30,90)/1000</f>
        <v>0.061</v>
      </c>
      <c r="S22" s="17"/>
      <c r="T22" s="0" t="n">
        <v>10.48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512.84</v>
      </c>
      <c r="D23" s="16" t="n">
        <f aca="false">+Chạy!F24</f>
        <v>-14.65</v>
      </c>
      <c r="E23" s="16" t="n">
        <f aca="false">+D23+F23</f>
        <v>-14.6529</v>
      </c>
      <c r="F23" s="16" t="n">
        <f aca="false">RANDBETWEEN(-105,115)/10000</f>
        <v>-0.0029</v>
      </c>
      <c r="G23" s="16" t="n">
        <f aca="false">+Chạy!G24</f>
        <v>0.06</v>
      </c>
      <c r="H23" s="16" t="n">
        <f aca="false">G23+I23</f>
        <v>0.092</v>
      </c>
      <c r="I23" s="16" t="n">
        <f aca="false">RANDBETWEEN(-30,90)/1000</f>
        <v>0.032</v>
      </c>
      <c r="J23" s="16" t="n">
        <f aca="false">+Chạy!K24</f>
        <v>0.17</v>
      </c>
      <c r="K23" s="16" t="n">
        <f aca="false">J23+L23</f>
        <v>0.215</v>
      </c>
      <c r="L23" s="16" t="n">
        <f aca="false">RANDBETWEEN(-30,90)/1000</f>
        <v>0.045</v>
      </c>
      <c r="M23" s="16" t="n">
        <f aca="false">+Chạy!N24</f>
        <v>14.65</v>
      </c>
      <c r="N23" s="16" t="n">
        <f aca="false">+M23+O23</f>
        <v>14.6516</v>
      </c>
      <c r="O23" s="16" t="n">
        <f aca="false">RANDBETWEEN(-105,115)/10000</f>
        <v>0.0016</v>
      </c>
      <c r="P23" s="16" t="n">
        <f aca="false">+Chạy!O24</f>
        <v>0.06</v>
      </c>
      <c r="Q23" s="16" t="n">
        <f aca="false">P23+R23</f>
        <v>0.101</v>
      </c>
      <c r="R23" s="16" t="n">
        <f aca="false">RANDBETWEEN(-30,90)/1000</f>
        <v>0.041</v>
      </c>
      <c r="S23" s="17"/>
      <c r="T23" s="0" t="n">
        <v>16.78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529.62</v>
      </c>
      <c r="D24" s="16" t="n">
        <f aca="false">+Chạy!F32</f>
        <v>-14.65</v>
      </c>
      <c r="E24" s="16" t="n">
        <f aca="false">+D24+F24</f>
        <v>-14.6444</v>
      </c>
      <c r="F24" s="16" t="n">
        <f aca="false">RANDBETWEEN(-105,115)/10000</f>
        <v>0.0056</v>
      </c>
      <c r="G24" s="16" t="n">
        <f aca="false">+Chạy!G32</f>
        <v>0.05</v>
      </c>
      <c r="H24" s="16" t="n">
        <f aca="false">G24+I24</f>
        <v>0.047</v>
      </c>
      <c r="I24" s="16" t="n">
        <f aca="false">RANDBETWEEN(-30,90)/1000</f>
        <v>-0.003</v>
      </c>
      <c r="J24" s="16" t="n">
        <f aca="false">+Chạy!K32</f>
        <v>0.17</v>
      </c>
      <c r="K24" s="16" t="n">
        <f aca="false">J24+L24</f>
        <v>0.251</v>
      </c>
      <c r="L24" s="16" t="n">
        <f aca="false">RANDBETWEEN(-30,90)/1000</f>
        <v>0.081</v>
      </c>
      <c r="M24" s="16" t="n">
        <f aca="false">+Chạy!N32</f>
        <v>14.65</v>
      </c>
      <c r="N24" s="16" t="n">
        <f aca="false">+M24+O24</f>
        <v>14.6478</v>
      </c>
      <c r="O24" s="16" t="n">
        <f aca="false">RANDBETWEEN(-105,115)/10000</f>
        <v>-0.0022</v>
      </c>
      <c r="P24" s="16" t="n">
        <f aca="false">+Chạy!O32</f>
        <v>0.05</v>
      </c>
      <c r="Q24" s="16" t="n">
        <f aca="false">P24+R24</f>
        <v>0.027</v>
      </c>
      <c r="R24" s="16" t="n">
        <f aca="false">RANDBETWEEN(-30,90)/1000</f>
        <v>-0.023</v>
      </c>
      <c r="S24" s="17"/>
      <c r="T24" s="0" t="n">
        <v>17.1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546.72</v>
      </c>
      <c r="D25" s="16" t="n">
        <f aca="false">+Chạy!F40</f>
        <v>-14.65</v>
      </c>
      <c r="E25" s="16" t="n">
        <f aca="false">+D25+F25</f>
        <v>-14.6466</v>
      </c>
      <c r="F25" s="16" t="n">
        <f aca="false">RANDBETWEEN(-105,115)/10000</f>
        <v>0.0034</v>
      </c>
      <c r="G25" s="16" t="n">
        <f aca="false">+Chạy!G40</f>
        <v>0.04</v>
      </c>
      <c r="H25" s="16" t="n">
        <f aca="false">G25+I25</f>
        <v>0.057</v>
      </c>
      <c r="I25" s="16" t="n">
        <f aca="false">RANDBETWEEN(-30,90)/1000</f>
        <v>0.017</v>
      </c>
      <c r="J25" s="16" t="n">
        <f aca="false">+Chạy!K40</f>
        <v>0.16</v>
      </c>
      <c r="K25" s="16" t="n">
        <f aca="false">J25+L25</f>
        <v>0.206</v>
      </c>
      <c r="L25" s="16" t="n">
        <f aca="false">RANDBETWEEN(-30,90)/1000</f>
        <v>0.046</v>
      </c>
      <c r="M25" s="16" t="n">
        <f aca="false">+Chạy!N40</f>
        <v>14.65</v>
      </c>
      <c r="N25" s="16" t="n">
        <f aca="false">+M25+O25</f>
        <v>14.6523</v>
      </c>
      <c r="O25" s="16" t="n">
        <f aca="false">RANDBETWEEN(-105,115)/10000</f>
        <v>0.0023</v>
      </c>
      <c r="P25" s="16" t="n">
        <f aca="false">+Chạy!O40</f>
        <v>0.04</v>
      </c>
      <c r="Q25" s="16" t="n">
        <f aca="false">P25+R25</f>
        <v>0.087</v>
      </c>
      <c r="R25" s="16" t="n">
        <f aca="false">RANDBETWEEN(-30,90)/1000</f>
        <v>0.047</v>
      </c>
      <c r="S25" s="17"/>
      <c r="T25" s="0" t="n">
        <v>15.15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561.87</v>
      </c>
      <c r="D26" s="16" t="n">
        <f aca="false">+Chạy!F48</f>
        <v>-14.65</v>
      </c>
      <c r="E26" s="16" t="n">
        <f aca="false">+D26+F26</f>
        <v>-14.6442</v>
      </c>
      <c r="F26" s="16" t="n">
        <f aca="false">RANDBETWEEN(-105,115)/10000</f>
        <v>0.0058</v>
      </c>
      <c r="G26" s="16" t="n">
        <f aca="false">+Chạy!G48</f>
        <v>0.04</v>
      </c>
      <c r="H26" s="16" t="n">
        <f aca="false">G26+I26</f>
        <v>0.084</v>
      </c>
      <c r="I26" s="16" t="n">
        <f aca="false">RANDBETWEEN(-30,90)/1000</f>
        <v>0.044</v>
      </c>
      <c r="J26" s="16" t="n">
        <f aca="false">+Chạy!K48</f>
        <v>0.15</v>
      </c>
      <c r="K26" s="16" t="n">
        <f aca="false">J26+L26</f>
        <v>0.157</v>
      </c>
      <c r="L26" s="16" t="n">
        <f aca="false">RANDBETWEEN(-30,90)/1000</f>
        <v>0.007</v>
      </c>
      <c r="M26" s="16" t="n">
        <f aca="false">+Chạy!N48</f>
        <v>14.65</v>
      </c>
      <c r="N26" s="16" t="n">
        <f aca="false">+M26+O26</f>
        <v>14.656</v>
      </c>
      <c r="O26" s="16" t="n">
        <f aca="false">RANDBETWEEN(-105,115)/10000</f>
        <v>0.006</v>
      </c>
      <c r="P26" s="16" t="n">
        <f aca="false">+Chạy!O48</f>
        <v>0.04</v>
      </c>
      <c r="Q26" s="16" t="n">
        <f aca="false">P26+R26</f>
        <v>0.068</v>
      </c>
      <c r="R26" s="16" t="n">
        <f aca="false">RANDBETWEEN(-30,90)/1000</f>
        <v>0.028</v>
      </c>
      <c r="S26" s="17"/>
      <c r="T26" s="0" t="n">
        <v>0.15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562.02</v>
      </c>
      <c r="D27" s="16" t="n">
        <f aca="false">+Chạy!F56</f>
        <v>-14.65</v>
      </c>
      <c r="E27" s="16" t="n">
        <f aca="false">+D27+F27</f>
        <v>-14.6461</v>
      </c>
      <c r="F27" s="16" t="n">
        <f aca="false">RANDBETWEEN(-105,115)/10000</f>
        <v>0.0039</v>
      </c>
      <c r="G27" s="16" t="n">
        <f aca="false">+Chạy!G56</f>
        <v>0.04</v>
      </c>
      <c r="H27" s="16" t="n">
        <f aca="false">G27+I27</f>
        <v>0.077</v>
      </c>
      <c r="I27" s="16" t="n">
        <f aca="false">RANDBETWEEN(-30,90)/1000</f>
        <v>0.037</v>
      </c>
      <c r="J27" s="16" t="n">
        <f aca="false">+Chạy!K56</f>
        <v>0.15</v>
      </c>
      <c r="K27" s="16" t="n">
        <f aca="false">J27+L27</f>
        <v>0.164</v>
      </c>
      <c r="L27" s="16" t="n">
        <f aca="false">RANDBETWEEN(-30,90)/1000</f>
        <v>0.014</v>
      </c>
      <c r="M27" s="16" t="n">
        <f aca="false">+Chạy!N56</f>
        <v>14.65</v>
      </c>
      <c r="N27" s="16" t="n">
        <f aca="false">+M27+O27</f>
        <v>14.6398</v>
      </c>
      <c r="O27" s="16" t="n">
        <f aca="false">RANDBETWEEN(-105,115)/10000</f>
        <v>-0.0102</v>
      </c>
      <c r="P27" s="16" t="n">
        <f aca="false">+Chạy!O56</f>
        <v>0.04</v>
      </c>
      <c r="Q27" s="16" t="n">
        <f aca="false">P27+R27</f>
        <v>0.042</v>
      </c>
      <c r="R27" s="16" t="n">
        <f aca="false">RANDBETWEEN(-30,90)/1000</f>
        <v>0.002</v>
      </c>
      <c r="S27" s="17"/>
      <c r="T27" s="0" t="n">
        <v>6.55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568.57</v>
      </c>
      <c r="D28" s="16" t="n">
        <f aca="false">+Chạy!F64</f>
        <v>-14.65</v>
      </c>
      <c r="E28" s="16" t="n">
        <f aca="false">+D28+F28</f>
        <v>-14.6552</v>
      </c>
      <c r="F28" s="16" t="n">
        <f aca="false">RANDBETWEEN(-105,115)/10000</f>
        <v>-0.0052</v>
      </c>
      <c r="G28" s="16" t="n">
        <f aca="false">+Chạy!G64</f>
        <v>0.04</v>
      </c>
      <c r="H28" s="16" t="n">
        <f aca="false">G28+I28</f>
        <v>0.077</v>
      </c>
      <c r="I28" s="16" t="n">
        <f aca="false">RANDBETWEEN(-30,90)/1000</f>
        <v>0.037</v>
      </c>
      <c r="J28" s="16" t="n">
        <f aca="false">+Chạy!K64</f>
        <v>0.15</v>
      </c>
      <c r="K28" s="16" t="n">
        <f aca="false">J28+L28</f>
        <v>0.171</v>
      </c>
      <c r="L28" s="16" t="n">
        <f aca="false">RANDBETWEEN(-30,90)/1000</f>
        <v>0.021</v>
      </c>
      <c r="M28" s="16" t="n">
        <f aca="false">+Chạy!N64</f>
        <v>14.65</v>
      </c>
      <c r="N28" s="16" t="n">
        <f aca="false">+M28+O28</f>
        <v>14.6543</v>
      </c>
      <c r="O28" s="16" t="n">
        <f aca="false">RANDBETWEEN(-105,115)/10000</f>
        <v>0.0043</v>
      </c>
      <c r="P28" s="16" t="n">
        <f aca="false">+Chạy!O64</f>
        <v>0.04</v>
      </c>
      <c r="Q28" s="16" t="n">
        <f aca="false">P28+R28</f>
        <v>0.031</v>
      </c>
      <c r="R28" s="16" t="n">
        <f aca="false">RANDBETWEEN(-30,90)/1000</f>
        <v>-0.009</v>
      </c>
      <c r="S28" s="17"/>
      <c r="T28" s="0" t="n">
        <v>6.55</v>
      </c>
    </row>
    <row r="29" customFormat="false" ht="15" hidden="false" customHeight="false" outlineLevel="0" collapsed="false">
      <c r="A29" s="13" t="n">
        <v>9</v>
      </c>
      <c r="B29" s="13" t="s">
        <v>1</v>
      </c>
      <c r="C29" s="15" t="n">
        <f aca="false">+C28+T28</f>
        <v>575.12</v>
      </c>
      <c r="D29" s="16" t="n">
        <f aca="false">+Chạy!F72</f>
        <v>-14.65</v>
      </c>
      <c r="E29" s="16" t="n">
        <f aca="false">+D29+F29</f>
        <v>-14.6474</v>
      </c>
      <c r="F29" s="16" t="n">
        <f aca="false">RANDBETWEEN(-105,115)/10000</f>
        <v>0.0026</v>
      </c>
      <c r="G29" s="16" t="n">
        <f aca="false">+Chạy!G72</f>
        <v>0.04</v>
      </c>
      <c r="H29" s="16" t="n">
        <f aca="false">G29+I29</f>
        <v>0.128</v>
      </c>
      <c r="I29" s="16" t="n">
        <f aca="false">RANDBETWEEN(-30,90)/1000</f>
        <v>0.088</v>
      </c>
      <c r="J29" s="16" t="n">
        <f aca="false">+Chạy!K72</f>
        <v>0.15</v>
      </c>
      <c r="K29" s="16" t="n">
        <f aca="false">J29+L29</f>
        <v>0.194</v>
      </c>
      <c r="L29" s="16" t="n">
        <f aca="false">RANDBETWEEN(-30,90)/1000</f>
        <v>0.044</v>
      </c>
      <c r="M29" s="16" t="n">
        <f aca="false">+Chạy!N72</f>
        <v>10.04</v>
      </c>
      <c r="N29" s="16" t="n">
        <f aca="false">+M29+O29</f>
        <v>10.0449</v>
      </c>
      <c r="O29" s="16" t="n">
        <f aca="false">RANDBETWEEN(-105,115)/10000</f>
        <v>0.0049</v>
      </c>
      <c r="P29" s="16" t="n">
        <f aca="false">+Chạy!O72</f>
        <v>0.04</v>
      </c>
      <c r="Q29" s="16" t="n">
        <f aca="false">P29+R29</f>
        <v>0.042</v>
      </c>
      <c r="R29" s="16" t="n">
        <f aca="false">RANDBETWEEN(-30,90)/1000</f>
        <v>0.002</v>
      </c>
      <c r="S29" s="17"/>
      <c r="T29" s="0" t="n">
        <v>0.04</v>
      </c>
    </row>
    <row r="30" customFormat="false" ht="15" hidden="false" customHeight="false" outlineLevel="0" collapsed="false">
      <c r="A30" s="13" t="n">
        <v>10</v>
      </c>
      <c r="B30" s="13" t="s">
        <v>25</v>
      </c>
      <c r="C30" s="15" t="n">
        <f aca="false">+C29+T29</f>
        <v>575.16</v>
      </c>
      <c r="D30" s="16" t="n">
        <f aca="false">+Chạy!F80</f>
        <v>-14.65</v>
      </c>
      <c r="E30" s="16" t="n">
        <f aca="false">+D30+F30</f>
        <v>-14.6471</v>
      </c>
      <c r="F30" s="16" t="n">
        <f aca="false">RANDBETWEEN(-105,115)/10000</f>
        <v>0.0029</v>
      </c>
      <c r="G30" s="16" t="n">
        <f aca="false">+Chạy!G80</f>
        <v>0.17</v>
      </c>
      <c r="H30" s="16" t="n">
        <f aca="false">G30+I30</f>
        <v>0.236</v>
      </c>
      <c r="I30" s="16" t="n">
        <f aca="false">RANDBETWEEN(-30,90)/1000</f>
        <v>0.066</v>
      </c>
      <c r="J30" s="16" t="n">
        <f aca="false">+Chạy!K80</f>
        <v>0.15</v>
      </c>
      <c r="K30" s="16" t="n">
        <f aca="false">J30+L30</f>
        <v>0.13</v>
      </c>
      <c r="L30" s="16" t="n">
        <f aca="false">RANDBETWEEN(-30,90)/1000</f>
        <v>-0.02</v>
      </c>
      <c r="M30" s="16" t="n">
        <f aca="false">+Chạy!N80</f>
        <v>9.82</v>
      </c>
      <c r="N30" s="16" t="n">
        <f aca="false">+M30+O30</f>
        <v>9.8105</v>
      </c>
      <c r="O30" s="16" t="n">
        <f aca="false">RANDBETWEEN(-105,115)/10000</f>
        <v>-0.0095</v>
      </c>
      <c r="P30" s="16" t="n">
        <f aca="false">+Chạy!O80</f>
        <v>0.04</v>
      </c>
      <c r="Q30" s="16" t="n">
        <f aca="false">P30+R30</f>
        <v>0.124</v>
      </c>
      <c r="R30" s="16" t="n">
        <f aca="false">RANDBETWEEN(-30,90)/1000</f>
        <v>0.084</v>
      </c>
      <c r="S30" s="17"/>
      <c r="T30" s="0" t="n">
        <v>16.95</v>
      </c>
    </row>
    <row r="31" customFormat="false" ht="15" hidden="false" customHeight="false" outlineLevel="0" collapsed="false">
      <c r="A31" s="13" t="n">
        <v>11</v>
      </c>
      <c r="B31" s="13" t="s">
        <v>26</v>
      </c>
      <c r="C31" s="15" t="n">
        <f aca="false">+C30+T30</f>
        <v>592.11</v>
      </c>
      <c r="D31" s="16" t="n">
        <f aca="false">+Chạy!F88</f>
        <v>-14.65</v>
      </c>
      <c r="E31" s="16" t="n">
        <f aca="false">+D31+F31</f>
        <v>-14.6604</v>
      </c>
      <c r="F31" s="16" t="n">
        <f aca="false">RANDBETWEEN(-105,115)/10000</f>
        <v>-0.0104</v>
      </c>
      <c r="G31" s="16" t="n">
        <f aca="false">+Chạy!G88</f>
        <v>0.04</v>
      </c>
      <c r="H31" s="16" t="n">
        <f aca="false">G31+I31</f>
        <v>0.09</v>
      </c>
      <c r="I31" s="16" t="n">
        <f aca="false">RANDBETWEEN(-30,90)/1000</f>
        <v>0.05</v>
      </c>
      <c r="J31" s="16" t="n">
        <f aca="false">+Chạy!K88</f>
        <v>0.16</v>
      </c>
      <c r="K31" s="16" t="n">
        <f aca="false">J31+L31</f>
        <v>0.165</v>
      </c>
      <c r="L31" s="16" t="n">
        <f aca="false">RANDBETWEEN(-30,90)/1000</f>
        <v>0.005</v>
      </c>
      <c r="M31" s="16" t="n">
        <f aca="false">+Chạy!N88</f>
        <v>14.65</v>
      </c>
      <c r="N31" s="16" t="n">
        <f aca="false">+M31+O31</f>
        <v>14.6583</v>
      </c>
      <c r="O31" s="16" t="n">
        <f aca="false">RANDBETWEEN(-105,115)/10000</f>
        <v>0.0083</v>
      </c>
      <c r="P31" s="16" t="n">
        <f aca="false">+Chạy!O88</f>
        <v>0.04</v>
      </c>
      <c r="Q31" s="16" t="n">
        <f aca="false">P31+R31</f>
        <v>0.076</v>
      </c>
      <c r="R31" s="16" t="n">
        <f aca="false">RANDBETWEEN(-30,90)/1000</f>
        <v>0.036</v>
      </c>
      <c r="S31" s="17"/>
      <c r="T31" s="0" t="n">
        <v>17</v>
      </c>
    </row>
    <row r="32" customFormat="false" ht="15" hidden="false" customHeight="false" outlineLevel="0" collapsed="false">
      <c r="A32" s="13" t="n">
        <v>12</v>
      </c>
      <c r="B32" s="13" t="s">
        <v>27</v>
      </c>
      <c r="C32" s="15" t="n">
        <f aca="false">+C31+T31</f>
        <v>609.11</v>
      </c>
      <c r="D32" s="16" t="n">
        <f aca="false">+Chạy!F96</f>
        <v>-9.76</v>
      </c>
      <c r="E32" s="16" t="n">
        <f aca="false">+D32+F32</f>
        <v>-9.7529</v>
      </c>
      <c r="F32" s="16" t="n">
        <f aca="false">RANDBETWEEN(-105,115)/10000</f>
        <v>0.0071</v>
      </c>
      <c r="G32" s="16" t="n">
        <f aca="false">+Chạy!G96</f>
        <v>0.04</v>
      </c>
      <c r="H32" s="16" t="n">
        <f aca="false">G32+I32</f>
        <v>0.027</v>
      </c>
      <c r="I32" s="16" t="n">
        <f aca="false">RANDBETWEEN(-30,90)/1000</f>
        <v>-0.013</v>
      </c>
      <c r="J32" s="16" t="n">
        <f aca="false">+Chạy!K96</f>
        <v>0.16</v>
      </c>
      <c r="K32" s="16" t="n">
        <f aca="false">J32+L32</f>
        <v>0.165</v>
      </c>
      <c r="L32" s="16" t="n">
        <f aca="false">RANDBETWEEN(-30,90)/1000</f>
        <v>0.005</v>
      </c>
      <c r="M32" s="16" t="n">
        <f aca="false">+Chạy!N96</f>
        <v>9.62</v>
      </c>
      <c r="N32" s="16" t="n">
        <f aca="false">+M32+O32</f>
        <v>9.628</v>
      </c>
      <c r="O32" s="16" t="n">
        <f aca="false">RANDBETWEEN(-105,115)/10000</f>
        <v>0.008</v>
      </c>
      <c r="P32" s="16" t="n">
        <f aca="false">+Chạy!O96</f>
        <v>0.04</v>
      </c>
      <c r="Q32" s="16" t="n">
        <f aca="false">P32+R32</f>
        <v>0.029</v>
      </c>
      <c r="R32" s="16" t="n">
        <f aca="false">RANDBETWEEN(-30,90)/1000</f>
        <v>-0.011</v>
      </c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52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53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65.NĐXD8/CVXD ngày 17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65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2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25</v>
      </c>
      <c r="C11" s="51" t="n">
        <f aca="false">'2.KTHH L2'!C21</f>
        <v>489.19</v>
      </c>
      <c r="D11" s="13" t="n">
        <f aca="false">'2.KTHH L2'!T21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5.39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89.0292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D1</v>
      </c>
      <c r="C12" s="51" t="n">
        <f aca="false">'2.KTHH L2'!C22</f>
        <v>502.36</v>
      </c>
      <c r="D12" s="13" t="n">
        <f aca="false">'2.KTHH L2'!T22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8.13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84.7832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26</v>
      </c>
      <c r="C13" s="51" t="n">
        <f aca="false">'2.KTHH L2'!C23</f>
        <v>512.84</v>
      </c>
      <c r="D13" s="13" t="n">
        <f aca="false">'2.KTHH L2'!T23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8.05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142.4622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27</v>
      </c>
      <c r="C14" s="51" t="n">
        <f aca="false">'2.KTHH L2'!C24</f>
        <v>529.62</v>
      </c>
      <c r="D14" s="13" t="n">
        <f aca="false">'2.KTHH L2'!T24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8.93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122.265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28</v>
      </c>
      <c r="C15" s="51" t="n">
        <f aca="false">'2.KTHH L2'!C25</f>
        <v>546.72</v>
      </c>
      <c r="D15" s="13" t="n">
        <f aca="false">'2.KTHH L2'!T25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5.37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97.18725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E5</v>
      </c>
      <c r="C16" s="51" t="n">
        <f aca="false">'2.KTHH L2'!C26</f>
        <v>561.87</v>
      </c>
      <c r="D16" s="13" t="n">
        <f aca="false">'2.KTHH L2'!T26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7.46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1.04775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TD</v>
      </c>
      <c r="C17" s="51" t="n">
        <f aca="false">'2.KTHH L2'!C27</f>
        <v>562.02</v>
      </c>
      <c r="D17" s="13" t="n">
        <f aca="false">'2.KTHH L2'!T27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6.51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45.94825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P</v>
      </c>
      <c r="C18" s="51" t="n">
        <f aca="false">'2.KTHH L2'!C28</f>
        <v>568.57</v>
      </c>
      <c r="D18" s="13" t="n">
        <f aca="false">'2.KTHH L2'!T28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Chạy!E64</f>
        <v>7.52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45.2605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TC</v>
      </c>
      <c r="C19" s="51" t="n">
        <f aca="false">'2.KTHH L2'!C29</f>
        <v>575.12</v>
      </c>
      <c r="D19" s="13" t="n">
        <f aca="false">'2.KTHH L2'!T29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Chạy!E72</f>
        <v>6.3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0.263</v>
      </c>
      <c r="X19" s="55"/>
      <c r="Y19" s="55"/>
      <c r="Z19" s="55"/>
      <c r="AA19" s="55"/>
      <c r="AB19" s="56"/>
      <c r="AC19" s="57"/>
      <c r="AE19" s="92"/>
    </row>
    <row r="20" s="49" customFormat="true" ht="15" hidden="false" customHeight="true" outlineLevel="0" collapsed="false">
      <c r="A20" s="13" t="n">
        <v>10</v>
      </c>
      <c r="B20" s="13" t="str">
        <f aca="false">'2.KTHH L2'!B30</f>
        <v>29</v>
      </c>
      <c r="C20" s="51" t="n">
        <f aca="false">'2.KTHH L2'!C30</f>
        <v>575.16</v>
      </c>
      <c r="D20" s="13" t="n">
        <f aca="false">'2.KTHH L2'!T30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Chạy!E80</f>
        <v>6.85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127.9725</v>
      </c>
      <c r="X20" s="55"/>
      <c r="Y20" s="55"/>
      <c r="Z20" s="55"/>
      <c r="AA20" s="55"/>
      <c r="AB20" s="56"/>
      <c r="AC20" s="57"/>
      <c r="AE20" s="92"/>
    </row>
    <row r="21" s="49" customFormat="true" ht="15" hidden="false" customHeight="true" outlineLevel="0" collapsed="false">
      <c r="A21" s="13" t="n">
        <v>11</v>
      </c>
      <c r="B21" s="13" t="str">
        <f aca="false">'2.KTHH L2'!B31</f>
        <v>30</v>
      </c>
      <c r="C21" s="51" t="n">
        <f aca="false">'2.KTHH L2'!C31</f>
        <v>592.11</v>
      </c>
      <c r="D21" s="13" t="n">
        <f aca="false">'2.KTHH L2'!T31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Chạy!E88</f>
        <v>8.25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118.745</v>
      </c>
      <c r="X21" s="55"/>
      <c r="Y21" s="55"/>
      <c r="Z21" s="55"/>
      <c r="AA21" s="55"/>
      <c r="AB21" s="56"/>
      <c r="AC21" s="57"/>
      <c r="AE21" s="92"/>
    </row>
    <row r="22" s="49" customFormat="true" ht="15" hidden="false" customHeight="true" outlineLevel="0" collapsed="false">
      <c r="A22" s="13" t="n">
        <v>12</v>
      </c>
      <c r="B22" s="13" t="str">
        <f aca="false">'2.KTHH L2'!B32</f>
        <v>31</v>
      </c>
      <c r="C22" s="51" t="n">
        <f aca="false">'2.KTHH L2'!C32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Chạy!E96</f>
        <v>5.72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874.96385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66.NĐXD8/CVXD ngày 17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66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3 đoạn từ Km0+489,19 - Km0+609,11,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+Chạy!F7</f>
        <v>-14.2</v>
      </c>
      <c r="E22" s="16" t="n">
        <f aca="false">+D22+F22</f>
        <v>-14.2086</v>
      </c>
      <c r="F22" s="16" t="n">
        <f aca="false">RANDBETWEEN(-105,115)/10000</f>
        <v>-0.0086</v>
      </c>
      <c r="G22" s="16" t="n">
        <f aca="false">+Chạy!G7</f>
        <v>0.37</v>
      </c>
      <c r="H22" s="16" t="n">
        <f aca="false">G22+I22</f>
        <v>0.357</v>
      </c>
      <c r="I22" s="16" t="n">
        <f aca="false">RANDBETWEEN(-30,90)/1000</f>
        <v>-0.013</v>
      </c>
      <c r="J22" s="16" t="n">
        <f aca="false">+Chạy!K7</f>
        <v>0.49</v>
      </c>
      <c r="K22" s="16" t="n">
        <f aca="false">J22+L22</f>
        <v>0.547</v>
      </c>
      <c r="L22" s="16" t="n">
        <f aca="false">RANDBETWEEN(-30,90)/1000</f>
        <v>0.057</v>
      </c>
      <c r="M22" s="16" t="n">
        <f aca="false">+Chạy!N7</f>
        <v>14.2</v>
      </c>
      <c r="N22" s="16" t="n">
        <f aca="false">+M22+O22</f>
        <v>14.1995</v>
      </c>
      <c r="O22" s="16" t="n">
        <f aca="false">RANDBETWEEN(-105,115)/10000</f>
        <v>-0.0005</v>
      </c>
      <c r="P22" s="16" t="n">
        <f aca="false">+Chạy!O7</f>
        <v>0.37</v>
      </c>
      <c r="Q22" s="16" t="n">
        <f aca="false">P22+R22</f>
        <v>0.385</v>
      </c>
      <c r="R22" s="16" t="n">
        <f aca="false">RANDBETWEEN(-30,90)/1000</f>
        <v>0.015</v>
      </c>
      <c r="S22" s="17"/>
      <c r="T22" s="0" t="n">
        <v>13.17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+Chạy!F15</f>
        <v>-14.2</v>
      </c>
      <c r="E23" s="16" t="n">
        <f aca="false">+D23+F23</f>
        <v>-14.1921</v>
      </c>
      <c r="F23" s="16" t="n">
        <f aca="false">RANDBETWEEN(-105,115)/10000</f>
        <v>0.0079</v>
      </c>
      <c r="G23" s="16" t="n">
        <f aca="false">+Chạy!G15</f>
        <v>0.36</v>
      </c>
      <c r="H23" s="16" t="n">
        <f aca="false">G23+I23</f>
        <v>0.414</v>
      </c>
      <c r="I23" s="16" t="n">
        <f aca="false">RANDBETWEEN(-30,90)/1000</f>
        <v>0.054</v>
      </c>
      <c r="J23" s="16" t="n">
        <f aca="false">+Chạy!K15</f>
        <v>0.48</v>
      </c>
      <c r="K23" s="16" t="n">
        <f aca="false">J23+L23</f>
        <v>0.461</v>
      </c>
      <c r="L23" s="16" t="n">
        <f aca="false">RANDBETWEEN(-30,90)/1000</f>
        <v>-0.019</v>
      </c>
      <c r="M23" s="16" t="n">
        <f aca="false">+Chạy!N15</f>
        <v>14.2</v>
      </c>
      <c r="N23" s="16" t="n">
        <f aca="false">+M23+O23</f>
        <v>14.1999</v>
      </c>
      <c r="O23" s="16" t="n">
        <f aca="false">RANDBETWEEN(-105,115)/10000</f>
        <v>-0.0001</v>
      </c>
      <c r="P23" s="16" t="n">
        <f aca="false">+Chạy!O15</f>
        <v>0.36</v>
      </c>
      <c r="Q23" s="16" t="n">
        <f aca="false">P23+R23</f>
        <v>0.334</v>
      </c>
      <c r="R23" s="16" t="n">
        <f aca="false">RANDBETWEEN(-30,90)/1000</f>
        <v>-0.026</v>
      </c>
      <c r="S23" s="17"/>
      <c r="T23" s="0" t="n">
        <v>10.48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+Chạy!F23</f>
        <v>-14.2</v>
      </c>
      <c r="E24" s="16" t="n">
        <f aca="false">+D24+F24</f>
        <v>-14.2018</v>
      </c>
      <c r="F24" s="16" t="n">
        <f aca="false">RANDBETWEEN(-105,115)/10000</f>
        <v>-0.0018</v>
      </c>
      <c r="G24" s="16" t="n">
        <f aca="false">+Chạy!G23</f>
        <v>0.36</v>
      </c>
      <c r="H24" s="16" t="n">
        <f aca="false">G24+I24</f>
        <v>0.43</v>
      </c>
      <c r="I24" s="16" t="n">
        <f aca="false">RANDBETWEEN(-30,90)/1000</f>
        <v>0.07</v>
      </c>
      <c r="J24" s="16" t="n">
        <f aca="false">+Chạy!K23</f>
        <v>0.47</v>
      </c>
      <c r="K24" s="16" t="n">
        <f aca="false">J24+L24</f>
        <v>0.497</v>
      </c>
      <c r="L24" s="16" t="n">
        <f aca="false">RANDBETWEEN(-30,90)/1000</f>
        <v>0.027</v>
      </c>
      <c r="M24" s="16" t="n">
        <f aca="false">+Chạy!N23</f>
        <v>14.2</v>
      </c>
      <c r="N24" s="16" t="n">
        <f aca="false">+M24+O24</f>
        <v>14.1925</v>
      </c>
      <c r="O24" s="16" t="n">
        <f aca="false">RANDBETWEEN(-105,115)/10000</f>
        <v>-0.0075</v>
      </c>
      <c r="P24" s="16" t="n">
        <f aca="false">+Chạy!O23</f>
        <v>0.36</v>
      </c>
      <c r="Q24" s="16" t="n">
        <f aca="false">P24+R24</f>
        <v>0.397</v>
      </c>
      <c r="R24" s="16" t="n">
        <f aca="false">RANDBETWEEN(-30,90)/1000</f>
        <v>0.037</v>
      </c>
      <c r="S24" s="17"/>
      <c r="T24" s="0" t="n">
        <v>16.78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+Chạy!F31</f>
        <v>-14.2</v>
      </c>
      <c r="E25" s="16" t="n">
        <f aca="false">+D25+F25</f>
        <v>-14.2086</v>
      </c>
      <c r="F25" s="16" t="n">
        <f aca="false">RANDBETWEEN(-105,115)/10000</f>
        <v>-0.0086</v>
      </c>
      <c r="G25" s="16" t="n">
        <f aca="false">+Chạy!G31</f>
        <v>0.35</v>
      </c>
      <c r="H25" s="16" t="n">
        <f aca="false">G25+I25</f>
        <v>0.342</v>
      </c>
      <c r="I25" s="16" t="n">
        <f aca="false">RANDBETWEEN(-30,90)/1000</f>
        <v>-0.008</v>
      </c>
      <c r="J25" s="16" t="n">
        <f aca="false">+Chạy!K31</f>
        <v>0.47</v>
      </c>
      <c r="K25" s="16" t="n">
        <f aca="false">J25+L25</f>
        <v>0.559</v>
      </c>
      <c r="L25" s="16" t="n">
        <f aca="false">RANDBETWEEN(-30,90)/1000</f>
        <v>0.089</v>
      </c>
      <c r="M25" s="16" t="n">
        <f aca="false">+Chạy!N31</f>
        <v>14.2</v>
      </c>
      <c r="N25" s="16" t="n">
        <f aca="false">+M25+O25</f>
        <v>14.2098</v>
      </c>
      <c r="O25" s="16" t="n">
        <f aca="false">RANDBETWEEN(-105,115)/10000</f>
        <v>0.0098</v>
      </c>
      <c r="P25" s="16" t="n">
        <f aca="false">+Chạy!O31</f>
        <v>0.35</v>
      </c>
      <c r="Q25" s="16" t="n">
        <f aca="false">P25+R25</f>
        <v>0.352</v>
      </c>
      <c r="R25" s="16" t="n">
        <f aca="false">RANDBETWEEN(-30,90)/1000</f>
        <v>0.002</v>
      </c>
      <c r="S25" s="17"/>
      <c r="T25" s="0" t="n">
        <v>17.1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+Chạy!F39</f>
        <v>-14.2</v>
      </c>
      <c r="E26" s="16" t="n">
        <f aca="false">+D26+F26</f>
        <v>-14.19</v>
      </c>
      <c r="F26" s="16" t="n">
        <f aca="false">RANDBETWEEN(-105,115)/10000</f>
        <v>0.01</v>
      </c>
      <c r="G26" s="16" t="n">
        <f aca="false">+Chạy!G39</f>
        <v>0.34</v>
      </c>
      <c r="H26" s="16" t="n">
        <f aca="false">G26+I26</f>
        <v>0.373</v>
      </c>
      <c r="I26" s="16" t="n">
        <f aca="false">RANDBETWEEN(-30,90)/1000</f>
        <v>0.033</v>
      </c>
      <c r="J26" s="16" t="n">
        <f aca="false">+Chạy!K39</f>
        <v>0.46</v>
      </c>
      <c r="K26" s="16" t="n">
        <f aca="false">J26+L26</f>
        <v>0.525</v>
      </c>
      <c r="L26" s="16" t="n">
        <f aca="false">RANDBETWEEN(-30,90)/1000</f>
        <v>0.065</v>
      </c>
      <c r="M26" s="16" t="n">
        <f aca="false">+Chạy!N39</f>
        <v>14.2</v>
      </c>
      <c r="N26" s="16" t="n">
        <f aca="false">+M26+O26</f>
        <v>14.19</v>
      </c>
      <c r="O26" s="16" t="n">
        <f aca="false">RANDBETWEEN(-105,115)/10000</f>
        <v>-0.01</v>
      </c>
      <c r="P26" s="16" t="n">
        <f aca="false">+Chạy!O39</f>
        <v>0.34</v>
      </c>
      <c r="Q26" s="16" t="n">
        <f aca="false">P26+R26</f>
        <v>0.428</v>
      </c>
      <c r="R26" s="16" t="n">
        <f aca="false">RANDBETWEEN(-30,90)/1000</f>
        <v>0.088</v>
      </c>
      <c r="S26" s="17"/>
      <c r="T26" s="0" t="n">
        <v>15.15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+Chạy!F47</f>
        <v>-14.2</v>
      </c>
      <c r="E27" s="16" t="n">
        <f aca="false">+D27+F27</f>
        <v>-14.1934</v>
      </c>
      <c r="F27" s="16" t="n">
        <f aca="false">RANDBETWEEN(-105,115)/10000</f>
        <v>0.0066</v>
      </c>
      <c r="G27" s="16" t="n">
        <f aca="false">+Chạy!G47</f>
        <v>0.34</v>
      </c>
      <c r="H27" s="16" t="n">
        <f aca="false">G27+I27</f>
        <v>0.376</v>
      </c>
      <c r="I27" s="16" t="n">
        <f aca="false">RANDBETWEEN(-30,90)/1000</f>
        <v>0.036</v>
      </c>
      <c r="J27" s="16" t="n">
        <f aca="false">+Chạy!K47</f>
        <v>0.45</v>
      </c>
      <c r="K27" s="16" t="n">
        <f aca="false">J27+L27</f>
        <v>0.509</v>
      </c>
      <c r="L27" s="16" t="n">
        <f aca="false">RANDBETWEEN(-30,90)/1000</f>
        <v>0.059</v>
      </c>
      <c r="M27" s="16" t="n">
        <f aca="false">+Chạy!N47</f>
        <v>14.2</v>
      </c>
      <c r="N27" s="16" t="n">
        <f aca="false">+M27+O27</f>
        <v>14.1955</v>
      </c>
      <c r="O27" s="16" t="n">
        <f aca="false">RANDBETWEEN(-105,115)/10000</f>
        <v>-0.0045</v>
      </c>
      <c r="P27" s="16" t="n">
        <f aca="false">+Chạy!O47</f>
        <v>0.34</v>
      </c>
      <c r="Q27" s="16" t="n">
        <f aca="false">P27+R27</f>
        <v>0.323</v>
      </c>
      <c r="R27" s="16" t="n">
        <f aca="false">RANDBETWEEN(-30,90)/1000</f>
        <v>-0.017</v>
      </c>
      <c r="S27" s="17"/>
      <c r="T27" s="0" t="n">
        <v>0.15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+Chạy!F55</f>
        <v>-14.2</v>
      </c>
      <c r="E28" s="16" t="n">
        <f aca="false">+D28+F28</f>
        <v>-14.2072</v>
      </c>
      <c r="F28" s="16" t="n">
        <f aca="false">RANDBETWEEN(-105,115)/10000</f>
        <v>-0.0072</v>
      </c>
      <c r="G28" s="16" t="n">
        <f aca="false">+Chạy!G55</f>
        <v>0.34</v>
      </c>
      <c r="H28" s="16" t="n">
        <f aca="false">G28+I28</f>
        <v>0.336</v>
      </c>
      <c r="I28" s="16" t="n">
        <f aca="false">RANDBETWEEN(-30,90)/1000</f>
        <v>-0.004</v>
      </c>
      <c r="J28" s="16" t="n">
        <f aca="false">+Chạy!K55</f>
        <v>0.45</v>
      </c>
      <c r="K28" s="16" t="n">
        <f aca="false">J28+L28</f>
        <v>0.482</v>
      </c>
      <c r="L28" s="16" t="n">
        <f aca="false">RANDBETWEEN(-30,90)/1000</f>
        <v>0.032</v>
      </c>
      <c r="M28" s="16" t="n">
        <f aca="false">+Chạy!N55</f>
        <v>14.2</v>
      </c>
      <c r="N28" s="16" t="n">
        <f aca="false">+M28+O28</f>
        <v>14.1907</v>
      </c>
      <c r="O28" s="16" t="n">
        <f aca="false">RANDBETWEEN(-105,115)/10000</f>
        <v>-0.0093</v>
      </c>
      <c r="P28" s="16" t="n">
        <f aca="false">+Chạy!O55</f>
        <v>0.34</v>
      </c>
      <c r="Q28" s="16" t="n">
        <f aca="false">P28+R28</f>
        <v>0.313</v>
      </c>
      <c r="R28" s="16" t="n">
        <f aca="false">RANDBETWEEN(-30,90)/1000</f>
        <v>-0.027</v>
      </c>
      <c r="S28" s="17"/>
      <c r="T28" s="0" t="n">
        <v>6.55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+Chạy!F63</f>
        <v>-14.2</v>
      </c>
      <c r="E29" s="16" t="n">
        <f aca="false">+D29+F29</f>
        <v>-14.2013</v>
      </c>
      <c r="F29" s="16" t="n">
        <f aca="false">RANDBETWEEN(-105,115)/10000</f>
        <v>-0.0013</v>
      </c>
      <c r="G29" s="16" t="n">
        <f aca="false">+Chạy!G63</f>
        <v>0.34</v>
      </c>
      <c r="H29" s="16" t="n">
        <f aca="false">G29+I29</f>
        <v>0.375</v>
      </c>
      <c r="I29" s="16" t="n">
        <f aca="false">RANDBETWEEN(-30,90)/1000</f>
        <v>0.035</v>
      </c>
      <c r="J29" s="16" t="n">
        <f aca="false">+Chạy!K63</f>
        <v>0.45</v>
      </c>
      <c r="K29" s="16" t="n">
        <f aca="false">J29+L29</f>
        <v>0.45</v>
      </c>
      <c r="L29" s="16" t="n">
        <f aca="false">RANDBETWEEN(-30,90)/1000</f>
        <v>0</v>
      </c>
      <c r="M29" s="16" t="n">
        <f aca="false">+Chạy!N63</f>
        <v>14.2</v>
      </c>
      <c r="N29" s="16" t="n">
        <f aca="false">+M29+O29</f>
        <v>14.1899</v>
      </c>
      <c r="O29" s="16" t="n">
        <f aca="false">RANDBETWEEN(-105,115)/10000</f>
        <v>-0.0101</v>
      </c>
      <c r="P29" s="16" t="n">
        <f aca="false">+Chạy!O63</f>
        <v>0.34</v>
      </c>
      <c r="Q29" s="16" t="n">
        <f aca="false">P29+R29</f>
        <v>0.414</v>
      </c>
      <c r="R29" s="16" t="n">
        <f aca="false">RANDBETWEEN(-30,90)/1000</f>
        <v>0.074</v>
      </c>
      <c r="S29" s="17"/>
      <c r="T29" s="0" t="n">
        <v>6.55</v>
      </c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+Chạy!F71</f>
        <v>-14.2</v>
      </c>
      <c r="E30" s="16" t="n">
        <f aca="false">+D30+F30</f>
        <v>-14.2076</v>
      </c>
      <c r="F30" s="16" t="n">
        <f aca="false">RANDBETWEEN(-105,115)/10000</f>
        <v>-0.0076</v>
      </c>
      <c r="G30" s="16" t="n">
        <f aca="false">+Chạy!G71</f>
        <v>0.34</v>
      </c>
      <c r="H30" s="16" t="n">
        <f aca="false">G30+I30</f>
        <v>0.388</v>
      </c>
      <c r="I30" s="16" t="n">
        <f aca="false">RANDBETWEEN(-30,90)/1000</f>
        <v>0.048</v>
      </c>
      <c r="J30" s="16" t="n">
        <f aca="false">+Chạy!K71</f>
        <v>0.45</v>
      </c>
      <c r="K30" s="16" t="n">
        <f aca="false">J30+L30</f>
        <v>0.537</v>
      </c>
      <c r="L30" s="16" t="n">
        <f aca="false">RANDBETWEEN(-30,90)/1000</f>
        <v>0.087</v>
      </c>
      <c r="M30" s="16" t="n">
        <f aca="false">+Chạy!N71</f>
        <v>14.2</v>
      </c>
      <c r="N30" s="16" t="n">
        <f aca="false">+M30+O30</f>
        <v>14.2048</v>
      </c>
      <c r="O30" s="16" t="n">
        <f aca="false">RANDBETWEEN(-105,115)/10000</f>
        <v>0.0048</v>
      </c>
      <c r="P30" s="16" t="n">
        <f aca="false">+Chạy!O71</f>
        <v>0.34</v>
      </c>
      <c r="Q30" s="16" t="n">
        <f aca="false">P30+R30</f>
        <v>0.332</v>
      </c>
      <c r="R30" s="16" t="n">
        <f aca="false">RANDBETWEEN(-30,90)/1000</f>
        <v>-0.008</v>
      </c>
      <c r="S30" s="17"/>
      <c r="T30" s="0" t="n">
        <v>0.04</v>
      </c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+Chạy!F79</f>
        <v>-14.2</v>
      </c>
      <c r="E31" s="16" t="n">
        <f aca="false">+D31+F31</f>
        <v>-14.2055</v>
      </c>
      <c r="F31" s="16" t="n">
        <f aca="false">RANDBETWEEN(-105,115)/10000</f>
        <v>-0.0055</v>
      </c>
      <c r="G31" s="16" t="n">
        <f aca="false">+Chạy!G79</f>
        <v>0.47</v>
      </c>
      <c r="H31" s="16" t="n">
        <f aca="false">G31+I31</f>
        <v>0.532</v>
      </c>
      <c r="I31" s="16" t="n">
        <f aca="false">RANDBETWEEN(-30,90)/1000</f>
        <v>0.062</v>
      </c>
      <c r="J31" s="16" t="n">
        <f aca="false">+Chạy!K79</f>
        <v>0.45</v>
      </c>
      <c r="K31" s="16" t="n">
        <f aca="false">J31+L31</f>
        <v>0.476</v>
      </c>
      <c r="L31" s="16" t="n">
        <f aca="false">RANDBETWEEN(-30,90)/1000</f>
        <v>0.026</v>
      </c>
      <c r="M31" s="16" t="n">
        <f aca="false">+Chạy!N79</f>
        <v>14.2</v>
      </c>
      <c r="N31" s="16" t="n">
        <f aca="false">+M31+O31</f>
        <v>14.2105</v>
      </c>
      <c r="O31" s="16" t="n">
        <f aca="false">RANDBETWEEN(-105,115)/10000</f>
        <v>0.0105</v>
      </c>
      <c r="P31" s="16" t="n">
        <f aca="false">+Chạy!O79</f>
        <v>0.34</v>
      </c>
      <c r="Q31" s="16" t="n">
        <f aca="false">P31+R31</f>
        <v>0.361</v>
      </c>
      <c r="R31" s="16" t="n">
        <f aca="false">RANDBETWEEN(-30,90)/1000</f>
        <v>0.021</v>
      </c>
      <c r="S31" s="17"/>
      <c r="T31" s="0" t="n">
        <v>16.95</v>
      </c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+Chạy!F87</f>
        <v>-14.2</v>
      </c>
      <c r="E32" s="16" t="n">
        <f aca="false">+D32+F32</f>
        <v>-14.2062</v>
      </c>
      <c r="F32" s="16" t="n">
        <f aca="false">RANDBETWEEN(-105,115)/10000</f>
        <v>-0.0062</v>
      </c>
      <c r="G32" s="16" t="n">
        <f aca="false">+Chạy!G87</f>
        <v>0.34</v>
      </c>
      <c r="H32" s="16" t="n">
        <f aca="false">G32+I32</f>
        <v>0.429</v>
      </c>
      <c r="I32" s="16" t="n">
        <f aca="false">RANDBETWEEN(-30,90)/1000</f>
        <v>0.089</v>
      </c>
      <c r="J32" s="16" t="n">
        <f aca="false">+Chạy!K87</f>
        <v>0.46</v>
      </c>
      <c r="K32" s="16" t="n">
        <f aca="false">J32+L32</f>
        <v>0.462</v>
      </c>
      <c r="L32" s="16" t="n">
        <f aca="false">RANDBETWEEN(-30,90)/1000</f>
        <v>0.002</v>
      </c>
      <c r="M32" s="16" t="n">
        <f aca="false">+Chạy!N87</f>
        <v>14.2</v>
      </c>
      <c r="N32" s="16" t="n">
        <f aca="false">+M32+O32</f>
        <v>14.1927</v>
      </c>
      <c r="O32" s="16" t="n">
        <f aca="false">RANDBETWEEN(-105,115)/10000</f>
        <v>-0.0073</v>
      </c>
      <c r="P32" s="16" t="n">
        <f aca="false">+Chạy!O87</f>
        <v>0.34</v>
      </c>
      <c r="Q32" s="16" t="n">
        <f aca="false">P32+R32</f>
        <v>0.372</v>
      </c>
      <c r="R32" s="16" t="n">
        <f aca="false">RANDBETWEEN(-30,90)/1000</f>
        <v>0.032</v>
      </c>
      <c r="S32" s="17"/>
      <c r="T32" s="0" t="n">
        <v>17</v>
      </c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+Chạy!F95</f>
        <v>-14.2</v>
      </c>
      <c r="E33" s="16" t="n">
        <f aca="false">+D33+F33</f>
        <v>-14.2089</v>
      </c>
      <c r="F33" s="16" t="n">
        <f aca="false">RANDBETWEEN(-105,115)/10000</f>
        <v>-0.0089</v>
      </c>
      <c r="G33" s="16" t="n">
        <f aca="false">+Chạy!G95</f>
        <v>0.34</v>
      </c>
      <c r="H33" s="16" t="n">
        <f aca="false">G33+I33</f>
        <v>0.331</v>
      </c>
      <c r="I33" s="16" t="n">
        <f aca="false">RANDBETWEEN(-30,90)/1000</f>
        <v>-0.009</v>
      </c>
      <c r="J33" s="16" t="n">
        <f aca="false">+Chạy!K95</f>
        <v>0.46</v>
      </c>
      <c r="K33" s="16" t="n">
        <f aca="false">J33+L33</f>
        <v>0.515</v>
      </c>
      <c r="L33" s="16" t="n">
        <f aca="false">RANDBETWEEN(-30,90)/1000</f>
        <v>0.055</v>
      </c>
      <c r="M33" s="16" t="n">
        <f aca="false">+Chạy!N95</f>
        <v>14.2</v>
      </c>
      <c r="N33" s="16" t="n">
        <f aca="false">+M33+O33</f>
        <v>14.2053</v>
      </c>
      <c r="O33" s="16" t="n">
        <f aca="false">RANDBETWEEN(-105,115)/10000</f>
        <v>0.0053</v>
      </c>
      <c r="P33" s="16" t="n">
        <f aca="false">+Chạy!O95</f>
        <v>0.34</v>
      </c>
      <c r="Q33" s="16" t="n">
        <f aca="false">P33+R33</f>
        <v>0.387</v>
      </c>
      <c r="R33" s="16" t="n">
        <f aca="false">RANDBETWEEN(-30,90)/1000</f>
        <v>0.047</v>
      </c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66.NĐXD8/CVXD ngày 17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66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3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25</v>
      </c>
      <c r="C11" s="51" t="n">
        <f aca="false">'3.KTHH L3'!C22</f>
        <v>489.19</v>
      </c>
      <c r="D11" s="13" t="n">
        <f aca="false">'3.KTHH L3'!T22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7.12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103.9113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D1</v>
      </c>
      <c r="C12" s="51" t="n">
        <f aca="false">'3.KTHH L3'!C23</f>
        <v>502.36</v>
      </c>
      <c r="D12" s="13" t="n">
        <f aca="false">'3.KTHH L3'!T23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8.66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90.7568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26</v>
      </c>
      <c r="C13" s="51" t="n">
        <f aca="false">'3.KTHH L3'!C24</f>
        <v>512.84</v>
      </c>
      <c r="D13" s="13" t="n">
        <f aca="false">'3.KTHH L3'!T24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145.3148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27</v>
      </c>
      <c r="C14" s="51" t="n">
        <f aca="false">'3.KTHH L3'!C25</f>
        <v>529.62</v>
      </c>
      <c r="D14" s="13" t="n">
        <f aca="false">'3.KTHH L3'!T25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8.66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134.3205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28</v>
      </c>
      <c r="C15" s="51" t="n">
        <f aca="false">'3.KTHH L3'!C26</f>
        <v>546.72</v>
      </c>
      <c r="D15" s="13" t="n">
        <f aca="false">'3.KTHH L3'!T26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7.05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119.00325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E5</v>
      </c>
      <c r="C16" s="51" t="n">
        <f aca="false">'3.KTHH L3'!C27</f>
        <v>561.87</v>
      </c>
      <c r="D16" s="13" t="n">
        <f aca="false">'3.KTHH L3'!T27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8.66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1.29825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TD</v>
      </c>
      <c r="C17" s="51" t="n">
        <f aca="false">'3.KTHH L3'!C28</f>
        <v>562.02</v>
      </c>
      <c r="D17" s="13" t="n">
        <f aca="false">'3.KTHH L3'!T28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Chạy!E55</f>
        <v>8.65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56.69025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P</v>
      </c>
      <c r="C18" s="51" t="n">
        <f aca="false">'3.KTHH L3'!C29</f>
        <v>568.57</v>
      </c>
      <c r="D18" s="13" t="n">
        <f aca="false">'3.KTHH L3'!T29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Chạy!E63</f>
        <v>8.66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55.4785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TC</v>
      </c>
      <c r="C19" s="51" t="n">
        <f aca="false">'3.KTHH L3'!C30</f>
        <v>575.12</v>
      </c>
      <c r="D19" s="13" t="n">
        <f aca="false">'3.KTHH L3'!T30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Chạy!E71</f>
        <v>8.28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0.3308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'3.KTHH L3'!B31</f>
        <v>29</v>
      </c>
      <c r="C20" s="51" t="n">
        <f aca="false">'3.KTHH L3'!C31</f>
        <v>575.16</v>
      </c>
      <c r="D20" s="13" t="n">
        <f aca="false">'3.KTHH L3'!T31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Chạy!E79</f>
        <v>8.26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143.397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'3.KTHH L3'!B32</f>
        <v>30</v>
      </c>
      <c r="C21" s="51" t="n">
        <f aca="false">'3.KTHH L3'!C32</f>
        <v>592.11</v>
      </c>
      <c r="D21" s="13" t="n">
        <f aca="false">'3.KTHH L3'!T32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Chạy!E87</f>
        <v>8.66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136.68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'3.KTHH L3'!B33</f>
        <v>31</v>
      </c>
      <c r="C22" s="51" t="n">
        <f aca="false">'3.KTHH L3'!C33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Chạy!E95</f>
        <v>7.42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61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SUM(W11:W22)</f>
        <v>987.18145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67.NĐXD8/CVXD ngày 18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67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4 đoạn từ Km0+489,19 - Km0+609,11,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+Chạy!F6</f>
        <v>-13.75</v>
      </c>
      <c r="E22" s="16" t="n">
        <f aca="false">+D22+F22</f>
        <v>-13.7514</v>
      </c>
      <c r="F22" s="16" t="n">
        <f aca="false">RANDBETWEEN(-105,115)/10000</f>
        <v>-0.0014</v>
      </c>
      <c r="G22" s="16" t="n">
        <f aca="false">+Chạy!G6</f>
        <v>0.67</v>
      </c>
      <c r="H22" s="16" t="n">
        <f aca="false">G22+I22</f>
        <v>0.757</v>
      </c>
      <c r="I22" s="16" t="n">
        <f aca="false">RANDBETWEEN(-30,90)/1000</f>
        <v>0.087</v>
      </c>
      <c r="J22" s="16" t="n">
        <f aca="false">+Chạy!K6</f>
        <v>0.79</v>
      </c>
      <c r="K22" s="16" t="n">
        <f aca="false">J22+L22</f>
        <v>0.836</v>
      </c>
      <c r="L22" s="16" t="n">
        <f aca="false">RANDBETWEEN(-30,90)/1000</f>
        <v>0.046</v>
      </c>
      <c r="M22" s="16" t="n">
        <f aca="false">+Chạy!N6</f>
        <v>13.75</v>
      </c>
      <c r="N22" s="16" t="n">
        <f aca="false">+M22+O22</f>
        <v>13.7424</v>
      </c>
      <c r="O22" s="16" t="n">
        <f aca="false">RANDBETWEEN(-105,115)/10000</f>
        <v>-0.0076</v>
      </c>
      <c r="P22" s="16" t="n">
        <f aca="false">+Chạy!O6</f>
        <v>0.67</v>
      </c>
      <c r="Q22" s="16" t="n">
        <f aca="false">P22+R22</f>
        <v>0.664</v>
      </c>
      <c r="R22" s="16" t="n">
        <f aca="false">RANDBETWEEN(-30,90)/1000</f>
        <v>-0.006</v>
      </c>
      <c r="S22" s="17"/>
      <c r="T22" s="1" t="n">
        <v>13.17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+Chạy!F14</f>
        <v>-13.75</v>
      </c>
      <c r="E23" s="16" t="n">
        <f aca="false">+D23+F23</f>
        <v>-13.7433</v>
      </c>
      <c r="F23" s="16" t="n">
        <f aca="false">RANDBETWEEN(-105,115)/10000</f>
        <v>0.0067</v>
      </c>
      <c r="G23" s="16" t="n">
        <f aca="false">+Chạy!G14</f>
        <v>0.66</v>
      </c>
      <c r="H23" s="16" t="n">
        <f aca="false">G23+I23</f>
        <v>0.719</v>
      </c>
      <c r="I23" s="16" t="n">
        <f aca="false">RANDBETWEEN(-30,90)/1000</f>
        <v>0.059</v>
      </c>
      <c r="J23" s="16" t="n">
        <f aca="false">+Chạy!K14</f>
        <v>0.78</v>
      </c>
      <c r="K23" s="16" t="n">
        <f aca="false">J23+L23</f>
        <v>0.81</v>
      </c>
      <c r="L23" s="16" t="n">
        <f aca="false">RANDBETWEEN(-30,90)/1000</f>
        <v>0.03</v>
      </c>
      <c r="M23" s="16" t="n">
        <f aca="false">+Chạy!N14</f>
        <v>13.75</v>
      </c>
      <c r="N23" s="16" t="n">
        <f aca="false">+M23+O23</f>
        <v>13.7516</v>
      </c>
      <c r="O23" s="16" t="n">
        <f aca="false">RANDBETWEEN(-105,115)/10000</f>
        <v>0.0016</v>
      </c>
      <c r="P23" s="16" t="n">
        <f aca="false">+Chạy!O14</f>
        <v>0.66</v>
      </c>
      <c r="Q23" s="16" t="n">
        <f aca="false">P23+R23</f>
        <v>0.699</v>
      </c>
      <c r="R23" s="16" t="n">
        <f aca="false">RANDBETWEEN(-30,90)/1000</f>
        <v>0.039</v>
      </c>
      <c r="S23" s="17"/>
      <c r="T23" s="1" t="n">
        <v>10.48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+Chạy!F22</f>
        <v>-13.75</v>
      </c>
      <c r="E24" s="16" t="n">
        <f aca="false">+D24+F24</f>
        <v>-13.7559</v>
      </c>
      <c r="F24" s="16" t="n">
        <f aca="false">RANDBETWEEN(-105,115)/10000</f>
        <v>-0.0059</v>
      </c>
      <c r="G24" s="16" t="n">
        <f aca="false">+Chạy!G22</f>
        <v>0.66</v>
      </c>
      <c r="H24" s="16" t="n">
        <f aca="false">G24+I24</f>
        <v>0.727</v>
      </c>
      <c r="I24" s="16" t="n">
        <f aca="false">RANDBETWEEN(-30,90)/1000</f>
        <v>0.067</v>
      </c>
      <c r="J24" s="16" t="n">
        <f aca="false">+Chạy!K22</f>
        <v>0.77</v>
      </c>
      <c r="K24" s="16" t="n">
        <f aca="false">J24+L24</f>
        <v>0.771</v>
      </c>
      <c r="L24" s="16" t="n">
        <f aca="false">RANDBETWEEN(-30,90)/1000</f>
        <v>0.001</v>
      </c>
      <c r="M24" s="16" t="n">
        <f aca="false">+Chạy!N22</f>
        <v>13.75</v>
      </c>
      <c r="N24" s="16" t="n">
        <f aca="false">+M24+O24</f>
        <v>13.7442</v>
      </c>
      <c r="O24" s="16" t="n">
        <f aca="false">RANDBETWEEN(-105,115)/10000</f>
        <v>-0.0058</v>
      </c>
      <c r="P24" s="16" t="n">
        <f aca="false">+Chạy!O22</f>
        <v>0.66</v>
      </c>
      <c r="Q24" s="16" t="n">
        <f aca="false">P24+R24</f>
        <v>0.706</v>
      </c>
      <c r="R24" s="16" t="n">
        <f aca="false">RANDBETWEEN(-30,90)/1000</f>
        <v>0.046</v>
      </c>
      <c r="S24" s="17"/>
      <c r="T24" s="1" t="n">
        <v>16.78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+Chạy!F30</f>
        <v>-13.75</v>
      </c>
      <c r="E25" s="16" t="n">
        <f aca="false">+D25+F25</f>
        <v>-13.7572</v>
      </c>
      <c r="F25" s="16" t="n">
        <f aca="false">RANDBETWEEN(-105,115)/10000</f>
        <v>-0.0072</v>
      </c>
      <c r="G25" s="16" t="n">
        <f aca="false">+Chạy!G30</f>
        <v>0.65</v>
      </c>
      <c r="H25" s="16" t="n">
        <f aca="false">G25+I25</f>
        <v>0.733</v>
      </c>
      <c r="I25" s="16" t="n">
        <f aca="false">RANDBETWEEN(-30,90)/1000</f>
        <v>0.083</v>
      </c>
      <c r="J25" s="16" t="n">
        <f aca="false">+Chạy!K30</f>
        <v>0.77</v>
      </c>
      <c r="K25" s="16" t="n">
        <f aca="false">J25+L25</f>
        <v>0.764</v>
      </c>
      <c r="L25" s="16" t="n">
        <f aca="false">RANDBETWEEN(-30,90)/1000</f>
        <v>-0.006</v>
      </c>
      <c r="M25" s="16" t="n">
        <f aca="false">+Chạy!N30</f>
        <v>13.75</v>
      </c>
      <c r="N25" s="16" t="n">
        <f aca="false">+M25+O25</f>
        <v>13.7584</v>
      </c>
      <c r="O25" s="16" t="n">
        <f aca="false">RANDBETWEEN(-105,115)/10000</f>
        <v>0.0084</v>
      </c>
      <c r="P25" s="16" t="n">
        <f aca="false">+Chạy!O30</f>
        <v>0.65</v>
      </c>
      <c r="Q25" s="16" t="n">
        <f aca="false">P25+R25</f>
        <v>0.682</v>
      </c>
      <c r="R25" s="16" t="n">
        <f aca="false">RANDBETWEEN(-30,90)/1000</f>
        <v>0.032</v>
      </c>
      <c r="S25" s="17"/>
      <c r="T25" s="1" t="n">
        <v>17.1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+Chạy!F38</f>
        <v>-13.75</v>
      </c>
      <c r="E26" s="16" t="n">
        <f aca="false">+D26+F26</f>
        <v>-13.7395</v>
      </c>
      <c r="F26" s="16" t="n">
        <f aca="false">RANDBETWEEN(-105,115)/10000</f>
        <v>0.0105</v>
      </c>
      <c r="G26" s="16" t="n">
        <f aca="false">+Chạy!G38</f>
        <v>0.64</v>
      </c>
      <c r="H26" s="16" t="n">
        <f aca="false">G26+I26</f>
        <v>0.647</v>
      </c>
      <c r="I26" s="16" t="n">
        <f aca="false">RANDBETWEEN(-30,90)/1000</f>
        <v>0.007</v>
      </c>
      <c r="J26" s="16" t="n">
        <f aca="false">+Chạy!K38</f>
        <v>0.76</v>
      </c>
      <c r="K26" s="16" t="n">
        <f aca="false">J26+L26</f>
        <v>0.741</v>
      </c>
      <c r="L26" s="16" t="n">
        <f aca="false">RANDBETWEEN(-30,90)/1000</f>
        <v>-0.019</v>
      </c>
      <c r="M26" s="16" t="n">
        <f aca="false">+Chạy!N38</f>
        <v>13.75</v>
      </c>
      <c r="N26" s="16" t="n">
        <f aca="false">+M26+O26</f>
        <v>13.7598</v>
      </c>
      <c r="O26" s="16" t="n">
        <f aca="false">RANDBETWEEN(-105,115)/10000</f>
        <v>0.0098</v>
      </c>
      <c r="P26" s="16" t="n">
        <f aca="false">+Chạy!O38</f>
        <v>0.64</v>
      </c>
      <c r="Q26" s="16" t="n">
        <f aca="false">P26+R26</f>
        <v>0.634</v>
      </c>
      <c r="R26" s="16" t="n">
        <f aca="false">RANDBETWEEN(-30,90)/1000</f>
        <v>-0.006</v>
      </c>
      <c r="S26" s="17"/>
      <c r="T26" s="1" t="n">
        <v>15.15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+Chạy!F46</f>
        <v>-13.75</v>
      </c>
      <c r="E27" s="16" t="n">
        <f aca="false">+D27+F27</f>
        <v>-13.7594</v>
      </c>
      <c r="F27" s="16" t="n">
        <f aca="false">RANDBETWEEN(-105,115)/10000</f>
        <v>-0.0094</v>
      </c>
      <c r="G27" s="16" t="n">
        <f aca="false">+Chạy!G46</f>
        <v>0.64</v>
      </c>
      <c r="H27" s="16" t="n">
        <f aca="false">G27+I27</f>
        <v>0.674</v>
      </c>
      <c r="I27" s="16" t="n">
        <f aca="false">RANDBETWEEN(-30,90)/1000</f>
        <v>0.034</v>
      </c>
      <c r="J27" s="16" t="n">
        <f aca="false">+Chạy!K46</f>
        <v>0.75</v>
      </c>
      <c r="K27" s="16" t="n">
        <f aca="false">J27+L27</f>
        <v>0.799</v>
      </c>
      <c r="L27" s="16" t="n">
        <f aca="false">RANDBETWEEN(-30,90)/1000</f>
        <v>0.049</v>
      </c>
      <c r="M27" s="16" t="n">
        <f aca="false">+Chạy!N46</f>
        <v>13.75</v>
      </c>
      <c r="N27" s="16" t="n">
        <f aca="false">+M27+O27</f>
        <v>13.7533</v>
      </c>
      <c r="O27" s="16" t="n">
        <f aca="false">RANDBETWEEN(-105,115)/10000</f>
        <v>0.0033</v>
      </c>
      <c r="P27" s="16" t="n">
        <f aca="false">+Chạy!O46</f>
        <v>0.64</v>
      </c>
      <c r="Q27" s="16" t="n">
        <f aca="false">P27+R27</f>
        <v>0.637</v>
      </c>
      <c r="R27" s="16" t="n">
        <f aca="false">RANDBETWEEN(-30,90)/1000</f>
        <v>-0.003</v>
      </c>
      <c r="S27" s="17"/>
      <c r="T27" s="1" t="n">
        <v>0.15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+Chạy!F54</f>
        <v>-13.75</v>
      </c>
      <c r="E28" s="16" t="n">
        <f aca="false">+D28+F28</f>
        <v>-13.7397</v>
      </c>
      <c r="F28" s="16" t="n">
        <f aca="false">RANDBETWEEN(-105,115)/10000</f>
        <v>0.0103</v>
      </c>
      <c r="G28" s="16" t="n">
        <f aca="false">+Chạy!G54</f>
        <v>0.64</v>
      </c>
      <c r="H28" s="16" t="n">
        <f aca="false">G28+I28</f>
        <v>0.616</v>
      </c>
      <c r="I28" s="16" t="n">
        <f aca="false">RANDBETWEEN(-30,90)/1000</f>
        <v>-0.024</v>
      </c>
      <c r="J28" s="16" t="n">
        <f aca="false">+Chạy!K54</f>
        <v>0.75</v>
      </c>
      <c r="K28" s="16" t="n">
        <f aca="false">J28+L28</f>
        <v>0.725</v>
      </c>
      <c r="L28" s="16" t="n">
        <f aca="false">RANDBETWEEN(-30,90)/1000</f>
        <v>-0.025</v>
      </c>
      <c r="M28" s="16" t="n">
        <f aca="false">+Chạy!N54</f>
        <v>13.75</v>
      </c>
      <c r="N28" s="16" t="n">
        <f aca="false">+M28+O28</f>
        <v>13.7546</v>
      </c>
      <c r="O28" s="16" t="n">
        <f aca="false">RANDBETWEEN(-105,115)/10000</f>
        <v>0.0046</v>
      </c>
      <c r="P28" s="16" t="n">
        <f aca="false">+Chạy!O54</f>
        <v>0.64</v>
      </c>
      <c r="Q28" s="16" t="n">
        <f aca="false">P28+R28</f>
        <v>0.685</v>
      </c>
      <c r="R28" s="16" t="n">
        <f aca="false">RANDBETWEEN(-30,90)/1000</f>
        <v>0.045</v>
      </c>
      <c r="S28" s="17"/>
      <c r="T28" s="1" t="n">
        <v>6.55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+Chạy!F62</f>
        <v>-13.75</v>
      </c>
      <c r="E29" s="16" t="n">
        <f aca="false">+D29+F29</f>
        <v>-13.7433</v>
      </c>
      <c r="F29" s="16" t="n">
        <f aca="false">RANDBETWEEN(-105,115)/10000</f>
        <v>0.0067</v>
      </c>
      <c r="G29" s="16" t="n">
        <f aca="false">+Chạy!G62</f>
        <v>0.64</v>
      </c>
      <c r="H29" s="16" t="n">
        <f aca="false">G29+I29</f>
        <v>0.689</v>
      </c>
      <c r="I29" s="16" t="n">
        <f aca="false">RANDBETWEEN(-30,90)/1000</f>
        <v>0.049</v>
      </c>
      <c r="J29" s="16" t="n">
        <f aca="false">+Chạy!K62</f>
        <v>0.75</v>
      </c>
      <c r="K29" s="16" t="n">
        <f aca="false">J29+L29</f>
        <v>0.783</v>
      </c>
      <c r="L29" s="16" t="n">
        <f aca="false">RANDBETWEEN(-30,90)/1000</f>
        <v>0.033</v>
      </c>
      <c r="M29" s="16" t="n">
        <f aca="false">+Chạy!N62</f>
        <v>13.75</v>
      </c>
      <c r="N29" s="16" t="n">
        <f aca="false">+M29+O29</f>
        <v>13.7483</v>
      </c>
      <c r="O29" s="16" t="n">
        <f aca="false">RANDBETWEEN(-105,115)/10000</f>
        <v>-0.0017</v>
      </c>
      <c r="P29" s="16" t="n">
        <f aca="false">+Chạy!O62</f>
        <v>0.64</v>
      </c>
      <c r="Q29" s="16" t="n">
        <f aca="false">P29+R29</f>
        <v>0.715</v>
      </c>
      <c r="R29" s="16" t="n">
        <f aca="false">RANDBETWEEN(-30,90)/1000</f>
        <v>0.075</v>
      </c>
      <c r="S29" s="17"/>
      <c r="T29" s="1" t="n">
        <v>6.55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+Chạy!F70</f>
        <v>-13.75</v>
      </c>
      <c r="E30" s="16" t="n">
        <f aca="false">+D30+F30</f>
        <v>-13.7488</v>
      </c>
      <c r="F30" s="16" t="n">
        <f aca="false">RANDBETWEEN(-105,115)/10000</f>
        <v>0.0012</v>
      </c>
      <c r="G30" s="16" t="n">
        <f aca="false">+Chạy!G70</f>
        <v>0.64</v>
      </c>
      <c r="H30" s="16" t="n">
        <f aca="false">G30+I30</f>
        <v>0.688</v>
      </c>
      <c r="I30" s="16" t="n">
        <f aca="false">RANDBETWEEN(-30,90)/1000</f>
        <v>0.048</v>
      </c>
      <c r="J30" s="16" t="n">
        <f aca="false">+Chạy!K70</f>
        <v>0.75</v>
      </c>
      <c r="K30" s="16" t="n">
        <f aca="false">J30+L30</f>
        <v>0.732</v>
      </c>
      <c r="L30" s="16" t="n">
        <f aca="false">RANDBETWEEN(-30,90)/1000</f>
        <v>-0.018</v>
      </c>
      <c r="M30" s="16" t="n">
        <f aca="false">+Chạy!N70</f>
        <v>13.75</v>
      </c>
      <c r="N30" s="16" t="n">
        <f aca="false">+M30+O30</f>
        <v>13.7481</v>
      </c>
      <c r="O30" s="16" t="n">
        <f aca="false">RANDBETWEEN(-105,115)/10000</f>
        <v>-0.0019</v>
      </c>
      <c r="P30" s="16" t="n">
        <f aca="false">+Chạy!O70</f>
        <v>0.64</v>
      </c>
      <c r="Q30" s="16" t="n">
        <f aca="false">P30+R30</f>
        <v>0.67</v>
      </c>
      <c r="R30" s="16" t="n">
        <f aca="false">RANDBETWEEN(-30,90)/1000</f>
        <v>0.03</v>
      </c>
      <c r="S30" s="17"/>
      <c r="T30" s="1" t="n">
        <v>0.04</v>
      </c>
      <c r="W30" s="102"/>
      <c r="X30" s="103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+Chạy!F78</f>
        <v>-13.75</v>
      </c>
      <c r="E31" s="16" t="n">
        <f aca="false">+D31+F31</f>
        <v>-13.7426</v>
      </c>
      <c r="F31" s="16" t="n">
        <f aca="false">RANDBETWEEN(-105,115)/10000</f>
        <v>0.0074</v>
      </c>
      <c r="G31" s="16" t="n">
        <f aca="false">+Chạy!G78</f>
        <v>0.77</v>
      </c>
      <c r="H31" s="16" t="n">
        <f aca="false">G31+I31</f>
        <v>0.828</v>
      </c>
      <c r="I31" s="16" t="n">
        <f aca="false">RANDBETWEEN(-30,90)/1000</f>
        <v>0.058</v>
      </c>
      <c r="J31" s="16" t="n">
        <f aca="false">+Chạy!K78</f>
        <v>0.75</v>
      </c>
      <c r="K31" s="16" t="n">
        <f aca="false">J31+L31</f>
        <v>0.826</v>
      </c>
      <c r="L31" s="16" t="n">
        <f aca="false">RANDBETWEEN(-30,90)/1000</f>
        <v>0.076</v>
      </c>
      <c r="M31" s="16" t="n">
        <f aca="false">+Chạy!N78</f>
        <v>13.75</v>
      </c>
      <c r="N31" s="16" t="n">
        <f aca="false">+M31+O31</f>
        <v>13.7445</v>
      </c>
      <c r="O31" s="16" t="n">
        <f aca="false">RANDBETWEEN(-105,115)/10000</f>
        <v>-0.0055</v>
      </c>
      <c r="P31" s="16" t="n">
        <f aca="false">+Chạy!O78</f>
        <v>0.64</v>
      </c>
      <c r="Q31" s="16" t="n">
        <f aca="false">P31+R31</f>
        <v>0.69</v>
      </c>
      <c r="R31" s="16" t="n">
        <f aca="false">RANDBETWEEN(-30,90)/1000</f>
        <v>0.05</v>
      </c>
      <c r="S31" s="17"/>
      <c r="T31" s="1" t="n">
        <v>16.95</v>
      </c>
      <c r="W31" s="102"/>
      <c r="X31" s="103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+Chạy!F86</f>
        <v>-13.75</v>
      </c>
      <c r="E32" s="16" t="n">
        <f aca="false">+D32+F32</f>
        <v>-13.7464</v>
      </c>
      <c r="F32" s="16" t="n">
        <f aca="false">RANDBETWEEN(-105,115)/10000</f>
        <v>0.0036</v>
      </c>
      <c r="G32" s="16" t="n">
        <f aca="false">+Chạy!G86</f>
        <v>0.64</v>
      </c>
      <c r="H32" s="16" t="n">
        <f aca="false">G32+I32</f>
        <v>0.71</v>
      </c>
      <c r="I32" s="16" t="n">
        <f aca="false">RANDBETWEEN(-30,90)/1000</f>
        <v>0.07</v>
      </c>
      <c r="J32" s="16" t="n">
        <f aca="false">+Chạy!K86</f>
        <v>0.76</v>
      </c>
      <c r="K32" s="16" t="n">
        <f aca="false">J32+L32</f>
        <v>0.84</v>
      </c>
      <c r="L32" s="16" t="n">
        <f aca="false">RANDBETWEEN(-30,90)/1000</f>
        <v>0.08</v>
      </c>
      <c r="M32" s="16" t="n">
        <f aca="false">+Chạy!N86</f>
        <v>13.75</v>
      </c>
      <c r="N32" s="16" t="n">
        <f aca="false">+M32+O32</f>
        <v>13.7509</v>
      </c>
      <c r="O32" s="16" t="n">
        <f aca="false">RANDBETWEEN(-105,115)/10000</f>
        <v>0.0009</v>
      </c>
      <c r="P32" s="16" t="n">
        <f aca="false">+Chạy!O86</f>
        <v>0.64</v>
      </c>
      <c r="Q32" s="16" t="n">
        <f aca="false">P32+R32</f>
        <v>0.707</v>
      </c>
      <c r="R32" s="16" t="n">
        <f aca="false">RANDBETWEEN(-30,90)/1000</f>
        <v>0.067</v>
      </c>
      <c r="S32" s="17"/>
      <c r="T32" s="1" t="n">
        <v>17</v>
      </c>
      <c r="W32" s="102"/>
      <c r="X32" s="103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+Chạy!F94</f>
        <v>-13.75</v>
      </c>
      <c r="E33" s="16" t="n">
        <f aca="false">+D33+F33</f>
        <v>-13.7532</v>
      </c>
      <c r="F33" s="16" t="n">
        <f aca="false">RANDBETWEEN(-105,115)/10000</f>
        <v>-0.0032</v>
      </c>
      <c r="G33" s="16" t="n">
        <f aca="false">+Chạy!G94</f>
        <v>0.64</v>
      </c>
      <c r="H33" s="16" t="n">
        <f aca="false">G33+I33</f>
        <v>0.632</v>
      </c>
      <c r="I33" s="16" t="n">
        <f aca="false">RANDBETWEEN(-30,90)/1000</f>
        <v>-0.008</v>
      </c>
      <c r="J33" s="16" t="n">
        <f aca="false">+Chạy!K94</f>
        <v>0.76</v>
      </c>
      <c r="K33" s="16" t="n">
        <f aca="false">J33+L33</f>
        <v>0.795</v>
      </c>
      <c r="L33" s="16" t="n">
        <f aca="false">RANDBETWEEN(-30,90)/1000</f>
        <v>0.035</v>
      </c>
      <c r="M33" s="16" t="n">
        <f aca="false">+Chạy!N94</f>
        <v>13.75</v>
      </c>
      <c r="N33" s="16" t="n">
        <f aca="false">+M33+O33</f>
        <v>13.7486</v>
      </c>
      <c r="O33" s="16" t="n">
        <f aca="false">RANDBETWEEN(-105,115)/10000</f>
        <v>-0.0014</v>
      </c>
      <c r="P33" s="16" t="n">
        <f aca="false">+Chạy!O94</f>
        <v>0.64</v>
      </c>
      <c r="Q33" s="16" t="n">
        <f aca="false">P33+R33</f>
        <v>0.616</v>
      </c>
      <c r="R33" s="16" t="n">
        <f aca="false">RANDBETWEEN(-30,90)/1000</f>
        <v>-0.024</v>
      </c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67.NĐXD8/CVXD ngày 18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67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4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25</v>
      </c>
      <c r="C11" s="51" t="n">
        <f aca="false">'4.KTHH L4'!C22</f>
        <v>489.19</v>
      </c>
      <c r="D11" s="13" t="n">
        <f aca="false">'4.KTHH L4'!T22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7.22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102.79185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D1</v>
      </c>
      <c r="C12" s="51" t="n">
        <f aca="false">'4.KTHH L4'!C23</f>
        <v>502.36</v>
      </c>
      <c r="D12" s="13" t="n">
        <f aca="false">'4.KTHH L4'!T23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87.9272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26</v>
      </c>
      <c r="C13" s="51" t="n">
        <f aca="false">'4.KTHH L4'!C24</f>
        <v>512.84</v>
      </c>
      <c r="D13" s="13" t="n">
        <f aca="false">'4.KTHH L4'!T24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140.7842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27</v>
      </c>
      <c r="C14" s="51" t="n">
        <f aca="false">'4.KTHH L4'!C25</f>
        <v>529.62</v>
      </c>
      <c r="D14" s="13" t="n">
        <f aca="false">'4.KTHH L4'!T25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131.841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28</v>
      </c>
      <c r="C15" s="51" t="n">
        <f aca="false">'4.KTHH L4'!C26</f>
        <v>546.72</v>
      </c>
      <c r="D15" s="13" t="n">
        <f aca="false">'4.KTHH L4'!T26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7.03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116.8065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E5</v>
      </c>
      <c r="C16" s="51" t="n">
        <f aca="false">'4.KTHH L4'!C27</f>
        <v>561.87</v>
      </c>
      <c r="D16" s="13" t="n">
        <f aca="false">'4.KTHH L4'!T27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Chạy!E46</f>
        <v>8.39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1.2585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TD</v>
      </c>
      <c r="C17" s="51" t="n">
        <f aca="false">'4.KTHH L4'!C28</f>
        <v>562.02</v>
      </c>
      <c r="D17" s="13" t="n">
        <f aca="false">'4.KTHH L4'!T28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Chạy!E54</f>
        <v>8.39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54.9545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P</v>
      </c>
      <c r="C18" s="51" t="n">
        <f aca="false">'4.KTHH L4'!C29</f>
        <v>568.57</v>
      </c>
      <c r="D18" s="13" t="n">
        <f aca="false">'4.KTHH L4'!T29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Chạy!E62</f>
        <v>8.39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54.9545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TC</v>
      </c>
      <c r="C19" s="51" t="n">
        <f aca="false">'4.KTHH L4'!C30</f>
        <v>575.12</v>
      </c>
      <c r="D19" s="13" t="n">
        <f aca="false">'4.KTHH L4'!T30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Chạy!E70</f>
        <v>8.39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0.3356</v>
      </c>
      <c r="X19" s="55"/>
      <c r="Y19" s="55"/>
      <c r="Z19" s="55"/>
      <c r="AA19" s="55"/>
      <c r="AB19" s="56"/>
      <c r="AC19" s="55"/>
    </row>
    <row r="20" s="84" customFormat="true" ht="15" hidden="false" customHeight="true" outlineLevel="0" collapsed="false">
      <c r="A20" s="13" t="n">
        <v>10</v>
      </c>
      <c r="B20" s="13" t="str">
        <f aca="false">'4.KTHH L4'!B31</f>
        <v>29</v>
      </c>
      <c r="C20" s="51" t="n">
        <f aca="false">'4.KTHH L4'!C31</f>
        <v>575.16</v>
      </c>
      <c r="D20" s="13" t="n">
        <f aca="false">'4.KTHH L4'!T31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Chạy!E78</f>
        <v>8.39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142.2105</v>
      </c>
      <c r="X20" s="55"/>
      <c r="Y20" s="55"/>
      <c r="Z20" s="55"/>
      <c r="AA20" s="55"/>
      <c r="AB20" s="56"/>
      <c r="AC20" s="55"/>
    </row>
    <row r="21" s="84" customFormat="true" ht="15" hidden="false" customHeight="true" outlineLevel="0" collapsed="false">
      <c r="A21" s="13" t="n">
        <v>11</v>
      </c>
      <c r="B21" s="13" t="str">
        <f aca="false">'4.KTHH L4'!B32</f>
        <v>30</v>
      </c>
      <c r="C21" s="51" t="n">
        <f aca="false">'4.KTHH L4'!C32</f>
        <v>592.11</v>
      </c>
      <c r="D21" s="13" t="n">
        <f aca="false">'4.KTHH L4'!T32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Chạy!E86</f>
        <v>8.39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142.63</v>
      </c>
      <c r="X21" s="55"/>
      <c r="Y21" s="55"/>
      <c r="Z21" s="55"/>
      <c r="AA21" s="55"/>
      <c r="AB21" s="56"/>
      <c r="AC21" s="55"/>
    </row>
    <row r="22" s="84" customFormat="true" ht="15" hidden="false" customHeight="true" outlineLevel="0" collapsed="false">
      <c r="A22" s="13" t="n">
        <v>12</v>
      </c>
      <c r="B22" s="13" t="str">
        <f aca="false">'4.KTHH L4'!B33</f>
        <v>31</v>
      </c>
      <c r="C22" s="51" t="n">
        <f aca="false">'4.KTHH L4'!C33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Chạy!E94</f>
        <v>8.39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976.49435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68.NĐXD8/CVXD ngày 18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68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5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09"/>
      <c r="B21" s="109"/>
      <c r="C21" s="10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489.19</v>
      </c>
      <c r="D22" s="16" t="n">
        <f aca="false">+Chạy!F5</f>
        <v>-13.3</v>
      </c>
      <c r="E22" s="16" t="n">
        <f aca="false">+D22+F22</f>
        <v>-13.2942</v>
      </c>
      <c r="F22" s="16" t="n">
        <f aca="false">RANDBETWEEN(-105,115)/10000</f>
        <v>0.0058</v>
      </c>
      <c r="G22" s="16" t="n">
        <f aca="false">+Chạy!G5</f>
        <v>0.97</v>
      </c>
      <c r="H22" s="16" t="n">
        <f aca="false">G22+I22</f>
        <v>0.968</v>
      </c>
      <c r="I22" s="16" t="n">
        <f aca="false">RANDBETWEEN(-30,90)/1000</f>
        <v>-0.002</v>
      </c>
      <c r="J22" s="16" t="n">
        <f aca="false">+Chạy!K5</f>
        <v>1.09</v>
      </c>
      <c r="K22" s="16" t="n">
        <f aca="false">J22+L22</f>
        <v>1.146</v>
      </c>
      <c r="L22" s="16" t="n">
        <f aca="false">RANDBETWEEN(-30,90)/1000</f>
        <v>0.056</v>
      </c>
      <c r="M22" s="16" t="n">
        <f aca="false">+Chạy!N5</f>
        <v>13.3</v>
      </c>
      <c r="N22" s="16" t="n">
        <f aca="false">+M22+O22</f>
        <v>13.3048</v>
      </c>
      <c r="O22" s="16" t="n">
        <f aca="false">RANDBETWEEN(-105,115)/10000</f>
        <v>0.0048</v>
      </c>
      <c r="P22" s="16" t="n">
        <f aca="false">+Chạy!O5</f>
        <v>0.97</v>
      </c>
      <c r="Q22" s="16" t="n">
        <f aca="false">P22+R22</f>
        <v>1.018</v>
      </c>
      <c r="R22" s="16" t="n">
        <f aca="false">RANDBETWEEN(-30,90)/1000</f>
        <v>0.048</v>
      </c>
      <c r="S22" s="17"/>
      <c r="T22" s="0" t="n">
        <v>13.17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502.36</v>
      </c>
      <c r="D23" s="16" t="n">
        <f aca="false">+Chạy!F13</f>
        <v>-13.3</v>
      </c>
      <c r="E23" s="16" t="n">
        <f aca="false">+D23+F23</f>
        <v>-13.29</v>
      </c>
      <c r="F23" s="16" t="n">
        <f aca="false">RANDBETWEEN(-105,115)/10000</f>
        <v>0.01</v>
      </c>
      <c r="G23" s="16" t="n">
        <f aca="false">+Chạy!G13</f>
        <v>0.96</v>
      </c>
      <c r="H23" s="16" t="n">
        <f aca="false">G23+I23</f>
        <v>0.965</v>
      </c>
      <c r="I23" s="16" t="n">
        <f aca="false">RANDBETWEEN(-30,90)/1000</f>
        <v>0.005</v>
      </c>
      <c r="J23" s="16" t="n">
        <f aca="false">+Chạy!K13</f>
        <v>1.08</v>
      </c>
      <c r="K23" s="16" t="n">
        <f aca="false">J23+L23</f>
        <v>1.149</v>
      </c>
      <c r="L23" s="16" t="n">
        <f aca="false">RANDBETWEEN(-30,90)/1000</f>
        <v>0.069</v>
      </c>
      <c r="M23" s="16" t="n">
        <f aca="false">+Chạy!N13</f>
        <v>13.3</v>
      </c>
      <c r="N23" s="16" t="n">
        <f aca="false">+M23+O23</f>
        <v>13.2996</v>
      </c>
      <c r="O23" s="16" t="n">
        <f aca="false">RANDBETWEEN(-105,115)/10000</f>
        <v>-0.0004</v>
      </c>
      <c r="P23" s="16" t="n">
        <f aca="false">+Chạy!O13</f>
        <v>0.96</v>
      </c>
      <c r="Q23" s="16" t="n">
        <f aca="false">P23+R23</f>
        <v>1.044</v>
      </c>
      <c r="R23" s="16" t="n">
        <f aca="false">RANDBETWEEN(-30,90)/1000</f>
        <v>0.084</v>
      </c>
      <c r="S23" s="17"/>
      <c r="T23" s="0" t="n">
        <v>10.48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512.84</v>
      </c>
      <c r="D24" s="16" t="n">
        <f aca="false">+Chạy!F21</f>
        <v>-13.3</v>
      </c>
      <c r="E24" s="16" t="n">
        <f aca="false">+D24+F24</f>
        <v>-13.3084</v>
      </c>
      <c r="F24" s="16" t="n">
        <f aca="false">RANDBETWEEN(-105,115)/10000</f>
        <v>-0.0084</v>
      </c>
      <c r="G24" s="16" t="n">
        <f aca="false">+Chạy!G21</f>
        <v>0.96</v>
      </c>
      <c r="H24" s="16" t="n">
        <f aca="false">G24+I24</f>
        <v>0.981</v>
      </c>
      <c r="I24" s="16" t="n">
        <f aca="false">RANDBETWEEN(-30,90)/1000</f>
        <v>0.021</v>
      </c>
      <c r="J24" s="16" t="n">
        <f aca="false">+Chạy!K21</f>
        <v>1.07</v>
      </c>
      <c r="K24" s="16" t="n">
        <f aca="false">J24+L24</f>
        <v>1.116</v>
      </c>
      <c r="L24" s="16" t="n">
        <f aca="false">RANDBETWEEN(-30,90)/1000</f>
        <v>0.046</v>
      </c>
      <c r="M24" s="16" t="n">
        <f aca="false">+Chạy!N21</f>
        <v>13.3</v>
      </c>
      <c r="N24" s="16" t="n">
        <f aca="false">+M24+O24</f>
        <v>13.3082</v>
      </c>
      <c r="O24" s="16" t="n">
        <f aca="false">RANDBETWEEN(-105,115)/10000</f>
        <v>0.0082</v>
      </c>
      <c r="P24" s="16" t="n">
        <f aca="false">+Chạy!O21</f>
        <v>0.96</v>
      </c>
      <c r="Q24" s="16" t="n">
        <f aca="false">P24+R24</f>
        <v>0.96</v>
      </c>
      <c r="R24" s="16" t="n">
        <f aca="false">RANDBETWEEN(-30,90)/1000</f>
        <v>0</v>
      </c>
      <c r="S24" s="17"/>
      <c r="T24" s="0" t="n">
        <v>16.78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529.62</v>
      </c>
      <c r="D25" s="16" t="n">
        <f aca="false">+Chạy!F29</f>
        <v>-13.3</v>
      </c>
      <c r="E25" s="16" t="n">
        <f aca="false">+D25+F25</f>
        <v>-13.2926</v>
      </c>
      <c r="F25" s="16" t="n">
        <f aca="false">RANDBETWEEN(-105,115)/10000</f>
        <v>0.0074</v>
      </c>
      <c r="G25" s="16" t="n">
        <f aca="false">+Chạy!G29</f>
        <v>0.95</v>
      </c>
      <c r="H25" s="16" t="n">
        <f aca="false">G25+I25</f>
        <v>1.004</v>
      </c>
      <c r="I25" s="16" t="n">
        <f aca="false">RANDBETWEEN(-30,90)/1000</f>
        <v>0.054</v>
      </c>
      <c r="J25" s="16" t="n">
        <f aca="false">+Chạy!K29</f>
        <v>1.07</v>
      </c>
      <c r="K25" s="16" t="n">
        <f aca="false">J25+L25</f>
        <v>1.054</v>
      </c>
      <c r="L25" s="16" t="n">
        <f aca="false">RANDBETWEEN(-30,90)/1000</f>
        <v>-0.016</v>
      </c>
      <c r="M25" s="16" t="n">
        <f aca="false">+Chạy!N29</f>
        <v>13.3</v>
      </c>
      <c r="N25" s="16" t="n">
        <f aca="false">+M25+O25</f>
        <v>13.3094</v>
      </c>
      <c r="O25" s="16" t="n">
        <f aca="false">RANDBETWEEN(-105,115)/10000</f>
        <v>0.0094</v>
      </c>
      <c r="P25" s="16" t="n">
        <f aca="false">+Chạy!O29</f>
        <v>0.95</v>
      </c>
      <c r="Q25" s="16" t="n">
        <f aca="false">P25+R25</f>
        <v>0.97</v>
      </c>
      <c r="R25" s="16" t="n">
        <f aca="false">RANDBETWEEN(-30,90)/1000</f>
        <v>0.02</v>
      </c>
      <c r="S25" s="17"/>
      <c r="T25" s="0" t="n">
        <v>17.1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546.72</v>
      </c>
      <c r="D26" s="16" t="n">
        <f aca="false">+Chạy!F37</f>
        <v>-13.3</v>
      </c>
      <c r="E26" s="16" t="n">
        <f aca="false">+D26+F26</f>
        <v>-13.3048</v>
      </c>
      <c r="F26" s="16" t="n">
        <f aca="false">RANDBETWEEN(-105,115)/10000</f>
        <v>-0.0048</v>
      </c>
      <c r="G26" s="16" t="n">
        <f aca="false">+Chạy!G37</f>
        <v>0.94</v>
      </c>
      <c r="H26" s="16" t="n">
        <f aca="false">G26+I26</f>
        <v>0.944</v>
      </c>
      <c r="I26" s="16" t="n">
        <f aca="false">RANDBETWEEN(-30,90)/1000</f>
        <v>0.004</v>
      </c>
      <c r="J26" s="16" t="n">
        <f aca="false">+Chạy!K37</f>
        <v>1.06</v>
      </c>
      <c r="K26" s="16" t="n">
        <f aca="false">J26+L26</f>
        <v>1.072</v>
      </c>
      <c r="L26" s="16" t="n">
        <f aca="false">RANDBETWEEN(-30,90)/1000</f>
        <v>0.012</v>
      </c>
      <c r="M26" s="16" t="n">
        <f aca="false">+Chạy!N37</f>
        <v>13.3</v>
      </c>
      <c r="N26" s="16" t="n">
        <f aca="false">+M26+O26</f>
        <v>13.2944</v>
      </c>
      <c r="O26" s="16" t="n">
        <f aca="false">RANDBETWEEN(-105,115)/10000</f>
        <v>-0.0056</v>
      </c>
      <c r="P26" s="16" t="n">
        <f aca="false">+Chạy!O37</f>
        <v>0.94</v>
      </c>
      <c r="Q26" s="16" t="n">
        <f aca="false">P26+R26</f>
        <v>1.019</v>
      </c>
      <c r="R26" s="16" t="n">
        <f aca="false">RANDBETWEEN(-30,90)/1000</f>
        <v>0.079</v>
      </c>
      <c r="S26" s="17"/>
      <c r="T26" s="0" t="n">
        <v>15.15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561.87</v>
      </c>
      <c r="D27" s="16" t="n">
        <f aca="false">+Chạy!F45</f>
        <v>-13.3</v>
      </c>
      <c r="E27" s="16" t="n">
        <f aca="false">+D27+F27</f>
        <v>-13.3074</v>
      </c>
      <c r="F27" s="16" t="n">
        <f aca="false">RANDBETWEEN(-105,115)/10000</f>
        <v>-0.0074</v>
      </c>
      <c r="G27" s="16" t="n">
        <f aca="false">+Chạy!G45</f>
        <v>0.94</v>
      </c>
      <c r="H27" s="16" t="n">
        <f aca="false">G27+I27</f>
        <v>0.941</v>
      </c>
      <c r="I27" s="16" t="n">
        <f aca="false">RANDBETWEEN(-30,90)/1000</f>
        <v>0.001</v>
      </c>
      <c r="J27" s="16" t="n">
        <f aca="false">+Chạy!K45</f>
        <v>1.05</v>
      </c>
      <c r="K27" s="16" t="n">
        <f aca="false">J27+L27</f>
        <v>1.086</v>
      </c>
      <c r="L27" s="16" t="n">
        <f aca="false">RANDBETWEEN(-30,90)/1000</f>
        <v>0.036</v>
      </c>
      <c r="M27" s="16" t="n">
        <f aca="false">+Chạy!N45</f>
        <v>13.3</v>
      </c>
      <c r="N27" s="16" t="n">
        <f aca="false">+M27+O27</f>
        <v>13.2918</v>
      </c>
      <c r="O27" s="16" t="n">
        <f aca="false">RANDBETWEEN(-105,115)/10000</f>
        <v>-0.0082</v>
      </c>
      <c r="P27" s="16" t="n">
        <f aca="false">+Chạy!O45</f>
        <v>0.94</v>
      </c>
      <c r="Q27" s="16" t="n">
        <f aca="false">P27+R27</f>
        <v>0.925</v>
      </c>
      <c r="R27" s="16" t="n">
        <f aca="false">RANDBETWEEN(-30,90)/1000</f>
        <v>-0.015</v>
      </c>
      <c r="S27" s="17"/>
      <c r="T27" s="0" t="n">
        <v>0.15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562.02</v>
      </c>
      <c r="D28" s="16" t="n">
        <f aca="false">+Chạy!F53</f>
        <v>-13.3</v>
      </c>
      <c r="E28" s="16" t="n">
        <f aca="false">+D28+F28</f>
        <v>-13.3102</v>
      </c>
      <c r="F28" s="16" t="n">
        <f aca="false">RANDBETWEEN(-105,115)/10000</f>
        <v>-0.0102</v>
      </c>
      <c r="G28" s="16" t="n">
        <f aca="false">+Chạy!G53</f>
        <v>0.94</v>
      </c>
      <c r="H28" s="16" t="n">
        <f aca="false">G28+I28</f>
        <v>0.945</v>
      </c>
      <c r="I28" s="16" t="n">
        <f aca="false">RANDBETWEEN(-30,90)/1000</f>
        <v>0.005</v>
      </c>
      <c r="J28" s="16" t="n">
        <f aca="false">+Chạy!K53</f>
        <v>1.05</v>
      </c>
      <c r="K28" s="16" t="n">
        <f aca="false">J28+L28</f>
        <v>1.054</v>
      </c>
      <c r="L28" s="16" t="n">
        <f aca="false">RANDBETWEEN(-30,90)/1000</f>
        <v>0.004</v>
      </c>
      <c r="M28" s="16" t="n">
        <f aca="false">+Chạy!N53</f>
        <v>13.3</v>
      </c>
      <c r="N28" s="16" t="n">
        <f aca="false">+M28+O28</f>
        <v>13.2961</v>
      </c>
      <c r="O28" s="16" t="n">
        <f aca="false">RANDBETWEEN(-105,115)/10000</f>
        <v>-0.0039</v>
      </c>
      <c r="P28" s="16" t="n">
        <f aca="false">+Chạy!O53</f>
        <v>0.94</v>
      </c>
      <c r="Q28" s="16" t="n">
        <f aca="false">P28+R28</f>
        <v>0.994</v>
      </c>
      <c r="R28" s="16" t="n">
        <f aca="false">RANDBETWEEN(-30,90)/1000</f>
        <v>0.054</v>
      </c>
      <c r="S28" s="17"/>
      <c r="T28" s="0" t="n">
        <v>6.55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568.57</v>
      </c>
      <c r="D29" s="16" t="n">
        <f aca="false">+Chạy!F61</f>
        <v>-13.3</v>
      </c>
      <c r="E29" s="16" t="n">
        <f aca="false">+D29+F29</f>
        <v>-13.2959</v>
      </c>
      <c r="F29" s="16" t="n">
        <f aca="false">RANDBETWEEN(-105,115)/10000</f>
        <v>0.0041</v>
      </c>
      <c r="G29" s="16" t="n">
        <f aca="false">+Chạy!G61</f>
        <v>0.94</v>
      </c>
      <c r="H29" s="16" t="n">
        <f aca="false">G29+I29</f>
        <v>0.933</v>
      </c>
      <c r="I29" s="16" t="n">
        <f aca="false">RANDBETWEEN(-30,90)/1000</f>
        <v>-0.007</v>
      </c>
      <c r="J29" s="16" t="n">
        <f aca="false">+Chạy!K61</f>
        <v>1.05</v>
      </c>
      <c r="K29" s="16" t="n">
        <f aca="false">J29+L29</f>
        <v>1.125</v>
      </c>
      <c r="L29" s="16" t="n">
        <f aca="false">RANDBETWEEN(-30,90)/1000</f>
        <v>0.075</v>
      </c>
      <c r="M29" s="16" t="n">
        <f aca="false">+Chạy!N61</f>
        <v>13.3</v>
      </c>
      <c r="N29" s="16" t="n">
        <f aca="false">+M29+O29</f>
        <v>13.3071</v>
      </c>
      <c r="O29" s="16" t="n">
        <f aca="false">RANDBETWEEN(-105,115)/10000</f>
        <v>0.0071</v>
      </c>
      <c r="P29" s="16" t="n">
        <f aca="false">+Chạy!O61</f>
        <v>0.94</v>
      </c>
      <c r="Q29" s="16" t="n">
        <f aca="false">P29+R29</f>
        <v>1.004</v>
      </c>
      <c r="R29" s="16" t="n">
        <f aca="false">RANDBETWEEN(-30,90)/1000</f>
        <v>0.064</v>
      </c>
      <c r="S29" s="17"/>
      <c r="T29" s="0" t="n">
        <v>6.55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1</v>
      </c>
      <c r="C30" s="15" t="n">
        <f aca="false">+C29+T29</f>
        <v>575.12</v>
      </c>
      <c r="D30" s="16" t="n">
        <f aca="false">+Chạy!F69</f>
        <v>-13.3</v>
      </c>
      <c r="E30" s="16" t="n">
        <f aca="false">+D30+F30</f>
        <v>-13.29</v>
      </c>
      <c r="F30" s="16" t="n">
        <f aca="false">RANDBETWEEN(-105,115)/10000</f>
        <v>0.01</v>
      </c>
      <c r="G30" s="16" t="n">
        <f aca="false">+Chạy!G69</f>
        <v>0.94</v>
      </c>
      <c r="H30" s="16" t="n">
        <f aca="false">G30+I30</f>
        <v>1.022</v>
      </c>
      <c r="I30" s="16" t="n">
        <f aca="false">RANDBETWEEN(-30,90)/1000</f>
        <v>0.082</v>
      </c>
      <c r="J30" s="16" t="n">
        <f aca="false">+Chạy!K69</f>
        <v>1.05</v>
      </c>
      <c r="K30" s="16" t="n">
        <f aca="false">J30+L30</f>
        <v>1.049</v>
      </c>
      <c r="L30" s="16" t="n">
        <f aca="false">RANDBETWEEN(-30,90)/1000</f>
        <v>-0.001</v>
      </c>
      <c r="M30" s="16" t="n">
        <f aca="false">+Chạy!N69</f>
        <v>13.3</v>
      </c>
      <c r="N30" s="16" t="n">
        <f aca="false">+M30+O30</f>
        <v>13.3084</v>
      </c>
      <c r="O30" s="16" t="n">
        <f aca="false">RANDBETWEEN(-105,115)/10000</f>
        <v>0.0084</v>
      </c>
      <c r="P30" s="16" t="n">
        <f aca="false">+Chạy!O69</f>
        <v>0.94</v>
      </c>
      <c r="Q30" s="16" t="n">
        <f aca="false">P30+R30</f>
        <v>1</v>
      </c>
      <c r="R30" s="16" t="n">
        <f aca="false">RANDBETWEEN(-30,90)/1000</f>
        <v>0.06</v>
      </c>
      <c r="S30" s="17"/>
      <c r="T30" s="0" t="n">
        <v>0.04</v>
      </c>
      <c r="W30" s="102"/>
      <c r="X30" s="102"/>
    </row>
    <row r="31" customFormat="false" ht="16.5" hidden="false" customHeight="true" outlineLevel="0" collapsed="false">
      <c r="A31" s="110" t="n">
        <v>10</v>
      </c>
      <c r="B31" s="13" t="s">
        <v>25</v>
      </c>
      <c r="C31" s="15" t="n">
        <f aca="false">+C30+T30</f>
        <v>575.16</v>
      </c>
      <c r="D31" s="16" t="n">
        <f aca="false">+Chạy!F77</f>
        <v>-13.3</v>
      </c>
      <c r="E31" s="16" t="n">
        <f aca="false">+D31+F31</f>
        <v>-13.3024</v>
      </c>
      <c r="F31" s="16" t="n">
        <f aca="false">RANDBETWEEN(-105,115)/10000</f>
        <v>-0.0024</v>
      </c>
      <c r="G31" s="16" t="n">
        <f aca="false">+Chạy!G77</f>
        <v>1.07</v>
      </c>
      <c r="H31" s="16" t="n">
        <f aca="false">G31+I31</f>
        <v>1.11</v>
      </c>
      <c r="I31" s="16" t="n">
        <f aca="false">RANDBETWEEN(-30,90)/1000</f>
        <v>0.04</v>
      </c>
      <c r="J31" s="16" t="n">
        <f aca="false">+Chạy!K77</f>
        <v>1.05</v>
      </c>
      <c r="K31" s="16" t="n">
        <f aca="false">J31+L31</f>
        <v>1.118</v>
      </c>
      <c r="L31" s="16" t="n">
        <f aca="false">RANDBETWEEN(-30,90)/1000</f>
        <v>0.068</v>
      </c>
      <c r="M31" s="16" t="n">
        <f aca="false">+Chạy!N77</f>
        <v>13.3</v>
      </c>
      <c r="N31" s="16" t="n">
        <f aca="false">+M31+O31</f>
        <v>13.2899</v>
      </c>
      <c r="O31" s="16" t="n">
        <f aca="false">RANDBETWEEN(-105,115)/10000</f>
        <v>-0.0101</v>
      </c>
      <c r="P31" s="16" t="n">
        <f aca="false">+Chạy!O77</f>
        <v>0.94</v>
      </c>
      <c r="Q31" s="16" t="n">
        <f aca="false">P31+R31</f>
        <v>1.02</v>
      </c>
      <c r="R31" s="16" t="n">
        <f aca="false">RANDBETWEEN(-30,90)/1000</f>
        <v>0.08</v>
      </c>
      <c r="S31" s="17"/>
      <c r="T31" s="0" t="n">
        <v>16.95</v>
      </c>
      <c r="W31" s="102"/>
      <c r="X31" s="102"/>
    </row>
    <row r="32" customFormat="false" ht="16.5" hidden="false" customHeight="true" outlineLevel="0" collapsed="false">
      <c r="A32" s="110" t="n">
        <v>11</v>
      </c>
      <c r="B32" s="13" t="s">
        <v>26</v>
      </c>
      <c r="C32" s="15" t="n">
        <f aca="false">+C31+T31</f>
        <v>592.11</v>
      </c>
      <c r="D32" s="16" t="n">
        <f aca="false">+Chạy!F85</f>
        <v>-13.3</v>
      </c>
      <c r="E32" s="16" t="n">
        <f aca="false">+D32+F32</f>
        <v>-13.3024</v>
      </c>
      <c r="F32" s="16" t="n">
        <f aca="false">RANDBETWEEN(-105,115)/10000</f>
        <v>-0.0024</v>
      </c>
      <c r="G32" s="16" t="n">
        <f aca="false">+Chạy!G85</f>
        <v>0.94</v>
      </c>
      <c r="H32" s="16" t="n">
        <f aca="false">G32+I32</f>
        <v>0.927</v>
      </c>
      <c r="I32" s="16" t="n">
        <f aca="false">RANDBETWEEN(-30,90)/1000</f>
        <v>-0.013</v>
      </c>
      <c r="J32" s="16" t="n">
        <f aca="false">+Chạy!K85</f>
        <v>1.06</v>
      </c>
      <c r="K32" s="16" t="n">
        <f aca="false">J32+L32</f>
        <v>1.149</v>
      </c>
      <c r="L32" s="16" t="n">
        <f aca="false">RANDBETWEEN(-30,90)/1000</f>
        <v>0.089</v>
      </c>
      <c r="M32" s="16" t="n">
        <f aca="false">+Chạy!N85</f>
        <v>13.3</v>
      </c>
      <c r="N32" s="16" t="n">
        <f aca="false">+M32+O32</f>
        <v>13.3081</v>
      </c>
      <c r="O32" s="16" t="n">
        <f aca="false">RANDBETWEEN(-105,115)/10000</f>
        <v>0.0081</v>
      </c>
      <c r="P32" s="16" t="n">
        <f aca="false">+Chạy!O85</f>
        <v>0.94</v>
      </c>
      <c r="Q32" s="16" t="n">
        <f aca="false">P32+R32</f>
        <v>1.025</v>
      </c>
      <c r="R32" s="16" t="n">
        <f aca="false">RANDBETWEEN(-30,90)/1000</f>
        <v>0.085</v>
      </c>
      <c r="S32" s="17"/>
      <c r="T32" s="0" t="n">
        <v>17</v>
      </c>
      <c r="W32" s="102"/>
      <c r="X32" s="102"/>
    </row>
    <row r="33" customFormat="false" ht="16.5" hidden="false" customHeight="true" outlineLevel="0" collapsed="false">
      <c r="A33" s="110" t="n">
        <v>12</v>
      </c>
      <c r="B33" s="13" t="s">
        <v>27</v>
      </c>
      <c r="C33" s="15" t="n">
        <f aca="false">+C32+T32</f>
        <v>609.11</v>
      </c>
      <c r="D33" s="16" t="n">
        <f aca="false">+Chạy!F93</f>
        <v>-13.3</v>
      </c>
      <c r="E33" s="16" t="n">
        <f aca="false">+D33+F33</f>
        <v>-13.306</v>
      </c>
      <c r="F33" s="16" t="n">
        <f aca="false">RANDBETWEEN(-105,115)/10000</f>
        <v>-0.006</v>
      </c>
      <c r="G33" s="16" t="n">
        <f aca="false">+Chạy!G93</f>
        <v>0.94</v>
      </c>
      <c r="H33" s="16" t="n">
        <f aca="false">G33+I33</f>
        <v>0.948</v>
      </c>
      <c r="I33" s="16" t="n">
        <f aca="false">RANDBETWEEN(-30,90)/1000</f>
        <v>0.008</v>
      </c>
      <c r="J33" s="16" t="n">
        <f aca="false">+Chạy!K93</f>
        <v>1.06</v>
      </c>
      <c r="K33" s="16" t="n">
        <f aca="false">J33+L33</f>
        <v>1.097</v>
      </c>
      <c r="L33" s="16" t="n">
        <f aca="false">RANDBETWEEN(-30,90)/1000</f>
        <v>0.037</v>
      </c>
      <c r="M33" s="16" t="n">
        <f aca="false">+Chạy!N93</f>
        <v>13.3</v>
      </c>
      <c r="N33" s="16" t="n">
        <f aca="false">+M33+O33</f>
        <v>13.3045</v>
      </c>
      <c r="O33" s="16" t="n">
        <f aca="false">RANDBETWEEN(-105,115)/10000</f>
        <v>0.0045</v>
      </c>
      <c r="P33" s="16" t="n">
        <f aca="false">+Chạy!O93</f>
        <v>0.94</v>
      </c>
      <c r="Q33" s="16" t="n">
        <f aca="false">P33+R33</f>
        <v>0.955</v>
      </c>
      <c r="R33" s="16" t="n">
        <f aca="false">RANDBETWEEN(-30,90)/1000</f>
        <v>0.015</v>
      </c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68.NĐXD8/CVXD ngày 18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68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5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25</v>
      </c>
      <c r="C11" s="51" t="n">
        <f aca="false">'5.KTHH L5'!C22</f>
        <v>489.19</v>
      </c>
      <c r="D11" s="13" t="n">
        <f aca="false">'5.KTHH L5'!T22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7.12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100.3554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D1</v>
      </c>
      <c r="C12" s="51" t="n">
        <f aca="false">'5.KTHH L5'!C23</f>
        <v>502.36</v>
      </c>
      <c r="D12" s="13" t="n">
        <f aca="false">'5.KTHH L5'!T23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85.0976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26</v>
      </c>
      <c r="C13" s="51" t="n">
        <f aca="false">'5.KTHH L5'!C24</f>
        <v>512.84</v>
      </c>
      <c r="D13" s="13" t="n">
        <f aca="false">'5.KTHH L5'!T24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136.2536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27</v>
      </c>
      <c r="C14" s="51" t="n">
        <f aca="false">'5.KTHH L5'!C25</f>
        <v>529.62</v>
      </c>
      <c r="D14" s="13" t="n">
        <f aca="false">'5.KTHH L5'!T25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129.105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28</v>
      </c>
      <c r="C15" s="51" t="n">
        <f aca="false">'5.KTHH L5'!C26</f>
        <v>546.72</v>
      </c>
      <c r="D15" s="13" t="n">
        <f aca="false">'5.KTHH L5'!T26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Chạy!E37</f>
        <v>6.98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114.3825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E5</v>
      </c>
      <c r="C16" s="51" t="n">
        <f aca="false">'5.KTHH L5'!C27</f>
        <v>561.87</v>
      </c>
      <c r="D16" s="13" t="n">
        <f aca="false">'5.KTHH L5'!T27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Chạy!E45</f>
        <v>8.12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1.218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TD</v>
      </c>
      <c r="C17" s="51" t="n">
        <f aca="false">'5.KTHH L5'!C28</f>
        <v>562.02</v>
      </c>
      <c r="D17" s="13" t="n">
        <f aca="false">'5.KTHH L5'!T28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Chạy!E53</f>
        <v>8.12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53.186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P</v>
      </c>
      <c r="C18" s="51" t="n">
        <f aca="false">'5.KTHH L5'!C29</f>
        <v>568.57</v>
      </c>
      <c r="D18" s="13" t="n">
        <f aca="false">'5.KTHH L5'!T29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Chạy!E61</f>
        <v>8.12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53.186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TC</v>
      </c>
      <c r="C19" s="51" t="n">
        <f aca="false">'5.KTHH L5'!C30</f>
        <v>575.12</v>
      </c>
      <c r="D19" s="13" t="n">
        <f aca="false">'5.KTHH L5'!T30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Chạy!E69</f>
        <v>8.12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0.3248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'5.KTHH L5'!B31</f>
        <v>29</v>
      </c>
      <c r="C20" s="51" t="n">
        <f aca="false">'5.KTHH L5'!C31</f>
        <v>575.16</v>
      </c>
      <c r="D20" s="13" t="n">
        <f aca="false">'5.KTHH L5'!T31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Chạy!E77</f>
        <v>8.12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137.634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'5.KTHH L5'!B32</f>
        <v>30</v>
      </c>
      <c r="C21" s="51" t="n">
        <f aca="false">'5.KTHH L5'!C32</f>
        <v>592.11</v>
      </c>
      <c r="D21" s="13" t="n">
        <f aca="false">'5.KTHH L5'!T32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Chạy!E85</f>
        <v>8.12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138.04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'5.KTHH L5'!B33</f>
        <v>31</v>
      </c>
      <c r="C22" s="51" t="n">
        <f aca="false">'5.KTHH L5'!C33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Chạy!E93</f>
        <v>8.12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948.7829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69.NĐXD8/CVXD ngày 19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6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+Chạy!F4</f>
        <v>-12.85</v>
      </c>
      <c r="E22" s="16" t="n">
        <f aca="false">+D22+F22</f>
        <v>-12.8407</v>
      </c>
      <c r="F22" s="16" t="n">
        <f aca="false">RANDBETWEEN(-105,115)/10000</f>
        <v>0.0093</v>
      </c>
      <c r="G22" s="16" t="n">
        <f aca="false">+Chạy!G4</f>
        <v>1.27</v>
      </c>
      <c r="H22" s="16" t="n">
        <f aca="false">G22+I22</f>
        <v>1.331</v>
      </c>
      <c r="I22" s="16" t="n">
        <f aca="false">RANDBETWEEN(-30,90)/1000</f>
        <v>0.061</v>
      </c>
      <c r="J22" s="16" t="n">
        <f aca="false">+Chạy!K4</f>
        <v>1.39</v>
      </c>
      <c r="K22" s="16" t="n">
        <f aca="false">J22+L22</f>
        <v>1.444</v>
      </c>
      <c r="L22" s="16" t="n">
        <f aca="false">RANDBETWEEN(-30,90)/1000</f>
        <v>0.054</v>
      </c>
      <c r="M22" s="16" t="n">
        <f aca="false">+Chạy!N4</f>
        <v>12.85</v>
      </c>
      <c r="N22" s="16" t="n">
        <f aca="false">+M22+O22</f>
        <v>12.8539</v>
      </c>
      <c r="O22" s="16" t="n">
        <f aca="false">RANDBETWEEN(-105,115)/10000</f>
        <v>0.0039</v>
      </c>
      <c r="P22" s="16" t="n">
        <f aca="false">+Chạy!O4</f>
        <v>1.27</v>
      </c>
      <c r="Q22" s="16" t="n">
        <f aca="false">P22+R22</f>
        <v>1.301</v>
      </c>
      <c r="R22" s="16" t="n">
        <f aca="false">RANDBETWEEN(-30,90)/1000</f>
        <v>0.031</v>
      </c>
      <c r="S22" s="17"/>
      <c r="T22" s="0" t="n">
        <v>13.17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+Chạy!F12</f>
        <v>-12.85</v>
      </c>
      <c r="E23" s="16" t="n">
        <f aca="false">+D23+F23</f>
        <v>-12.8436</v>
      </c>
      <c r="F23" s="16" t="n">
        <f aca="false">RANDBETWEEN(-105,115)/10000</f>
        <v>0.0064</v>
      </c>
      <c r="G23" s="16" t="n">
        <f aca="false">+Chạy!G12</f>
        <v>1.26</v>
      </c>
      <c r="H23" s="16" t="n">
        <f aca="false">G23+I23</f>
        <v>1.327</v>
      </c>
      <c r="I23" s="16" t="n">
        <f aca="false">RANDBETWEEN(-30,90)/1000</f>
        <v>0.067</v>
      </c>
      <c r="J23" s="16" t="n">
        <f aca="false">+Chạy!K12</f>
        <v>1.38</v>
      </c>
      <c r="K23" s="16" t="n">
        <f aca="false">J23+L23</f>
        <v>1.391</v>
      </c>
      <c r="L23" s="16" t="n">
        <f aca="false">RANDBETWEEN(-30,90)/1000</f>
        <v>0.011</v>
      </c>
      <c r="M23" s="16" t="n">
        <f aca="false">+Chạy!N12</f>
        <v>12.85</v>
      </c>
      <c r="N23" s="16" t="n">
        <f aca="false">+M23+O23</f>
        <v>12.8467</v>
      </c>
      <c r="O23" s="16" t="n">
        <f aca="false">RANDBETWEEN(-105,115)/10000</f>
        <v>-0.0033</v>
      </c>
      <c r="P23" s="16" t="n">
        <f aca="false">+Chạy!O12</f>
        <v>1.26</v>
      </c>
      <c r="Q23" s="16" t="n">
        <f aca="false">P23+R23</f>
        <v>1.305</v>
      </c>
      <c r="R23" s="16" t="n">
        <f aca="false">RANDBETWEEN(-30,90)/1000</f>
        <v>0.045</v>
      </c>
      <c r="S23" s="17"/>
      <c r="T23" s="0" t="n">
        <v>10.48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+Chạy!F20</f>
        <v>-12.85</v>
      </c>
      <c r="E24" s="16" t="n">
        <f aca="false">+D24+F24</f>
        <v>-12.8433</v>
      </c>
      <c r="F24" s="16" t="n">
        <f aca="false">RANDBETWEEN(-105,115)/10000</f>
        <v>0.0067</v>
      </c>
      <c r="G24" s="16" t="n">
        <f aca="false">+Chạy!G20</f>
        <v>1.26</v>
      </c>
      <c r="H24" s="16" t="n">
        <f aca="false">G24+I24</f>
        <v>1.316</v>
      </c>
      <c r="I24" s="16" t="n">
        <f aca="false">RANDBETWEEN(-30,90)/1000</f>
        <v>0.056</v>
      </c>
      <c r="J24" s="16" t="n">
        <f aca="false">+Chạy!K20</f>
        <v>1.37</v>
      </c>
      <c r="K24" s="16" t="n">
        <f aca="false">J24+L24</f>
        <v>1.459</v>
      </c>
      <c r="L24" s="16" t="n">
        <f aca="false">RANDBETWEEN(-30,90)/1000</f>
        <v>0.089</v>
      </c>
      <c r="M24" s="16" t="n">
        <f aca="false">+Chạy!N20</f>
        <v>12.85</v>
      </c>
      <c r="N24" s="16" t="n">
        <f aca="false">+M24+O24</f>
        <v>12.8422</v>
      </c>
      <c r="O24" s="16" t="n">
        <f aca="false">RANDBETWEEN(-105,115)/10000</f>
        <v>-0.0078</v>
      </c>
      <c r="P24" s="16" t="n">
        <f aca="false">+Chạy!O20</f>
        <v>1.26</v>
      </c>
      <c r="Q24" s="16" t="n">
        <f aca="false">P24+R24</f>
        <v>1.243</v>
      </c>
      <c r="R24" s="16" t="n">
        <f aca="false">RANDBETWEEN(-30,90)/1000</f>
        <v>-0.017</v>
      </c>
      <c r="S24" s="17"/>
      <c r="T24" s="0" t="n">
        <v>16.78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+Chạy!F28</f>
        <v>-12.85</v>
      </c>
      <c r="E25" s="16" t="n">
        <f aca="false">+D25+F25</f>
        <v>-12.8509</v>
      </c>
      <c r="F25" s="16" t="n">
        <f aca="false">RANDBETWEEN(-105,115)/10000</f>
        <v>-0.0009</v>
      </c>
      <c r="G25" s="16" t="n">
        <f aca="false">+Chạy!G28</f>
        <v>1.25</v>
      </c>
      <c r="H25" s="16" t="n">
        <f aca="false">G25+I25</f>
        <v>1.34</v>
      </c>
      <c r="I25" s="16" t="n">
        <f aca="false">RANDBETWEEN(-30,90)/1000</f>
        <v>0.09</v>
      </c>
      <c r="J25" s="16" t="n">
        <f aca="false">+Chạy!K28</f>
        <v>1.37</v>
      </c>
      <c r="K25" s="16" t="n">
        <f aca="false">J25+L25</f>
        <v>1.355</v>
      </c>
      <c r="L25" s="16" t="n">
        <f aca="false">RANDBETWEEN(-30,90)/1000</f>
        <v>-0.015</v>
      </c>
      <c r="M25" s="16" t="n">
        <f aca="false">+Chạy!N28</f>
        <v>12.85</v>
      </c>
      <c r="N25" s="16" t="n">
        <f aca="false">+M25+O25</f>
        <v>12.8586</v>
      </c>
      <c r="O25" s="16" t="n">
        <f aca="false">RANDBETWEEN(-105,115)/10000</f>
        <v>0.0086</v>
      </c>
      <c r="P25" s="16" t="n">
        <f aca="false">+Chạy!O28</f>
        <v>1.25</v>
      </c>
      <c r="Q25" s="16" t="n">
        <f aca="false">P25+R25</f>
        <v>1.278</v>
      </c>
      <c r="R25" s="16" t="n">
        <f aca="false">RANDBETWEEN(-30,90)/1000</f>
        <v>0.028</v>
      </c>
      <c r="S25" s="17"/>
      <c r="T25" s="0" t="n">
        <v>17.1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+Chạy!F36</f>
        <v>-12.85</v>
      </c>
      <c r="E26" s="16" t="n">
        <f aca="false">+D26+F26</f>
        <v>-12.8427</v>
      </c>
      <c r="F26" s="16" t="n">
        <f aca="false">RANDBETWEEN(-105,115)/10000</f>
        <v>0.0073</v>
      </c>
      <c r="G26" s="16" t="n">
        <f aca="false">+Chạy!G36</f>
        <v>1.24</v>
      </c>
      <c r="H26" s="16" t="n">
        <f aca="false">G26+I26</f>
        <v>1.244</v>
      </c>
      <c r="I26" s="16" t="n">
        <f aca="false">RANDBETWEEN(-30,90)/1000</f>
        <v>0.004</v>
      </c>
      <c r="J26" s="16" t="n">
        <f aca="false">+Chạy!K36</f>
        <v>1.36</v>
      </c>
      <c r="K26" s="16" t="n">
        <f aca="false">J26+L26</f>
        <v>1.373</v>
      </c>
      <c r="L26" s="16" t="n">
        <f aca="false">RANDBETWEEN(-30,90)/1000</f>
        <v>0.013</v>
      </c>
      <c r="M26" s="16" t="n">
        <f aca="false">+Chạy!N36</f>
        <v>12.85</v>
      </c>
      <c r="N26" s="16" t="n">
        <f aca="false">+M26+O26</f>
        <v>12.8574</v>
      </c>
      <c r="O26" s="16" t="n">
        <f aca="false">RANDBETWEEN(-105,115)/10000</f>
        <v>0.0074</v>
      </c>
      <c r="P26" s="16" t="n">
        <f aca="false">+Chạy!O36</f>
        <v>1.24</v>
      </c>
      <c r="Q26" s="16" t="n">
        <f aca="false">P26+R26</f>
        <v>1.26</v>
      </c>
      <c r="R26" s="16" t="n">
        <f aca="false">RANDBETWEEN(-30,90)/1000</f>
        <v>0.02</v>
      </c>
      <c r="S26" s="17"/>
      <c r="T26" s="0" t="n">
        <v>15.15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+Chạy!F44</f>
        <v>-12.85</v>
      </c>
      <c r="E27" s="16" t="n">
        <f aca="false">+D27+F27</f>
        <v>-12.8566</v>
      </c>
      <c r="F27" s="16" t="n">
        <f aca="false">RANDBETWEEN(-105,115)/10000</f>
        <v>-0.0066</v>
      </c>
      <c r="G27" s="16" t="n">
        <f aca="false">+Chạy!G44</f>
        <v>1.24</v>
      </c>
      <c r="H27" s="16" t="n">
        <f aca="false">G27+I27</f>
        <v>1.247</v>
      </c>
      <c r="I27" s="16" t="n">
        <f aca="false">RANDBETWEEN(-30,90)/1000</f>
        <v>0.007</v>
      </c>
      <c r="J27" s="16" t="n">
        <f aca="false">+Chạy!K44</f>
        <v>1.35</v>
      </c>
      <c r="K27" s="16" t="n">
        <f aca="false">J27+L27</f>
        <v>1.382</v>
      </c>
      <c r="L27" s="16" t="n">
        <f aca="false">RANDBETWEEN(-30,90)/1000</f>
        <v>0.032</v>
      </c>
      <c r="M27" s="16" t="n">
        <f aca="false">+Chạy!N44</f>
        <v>12.85</v>
      </c>
      <c r="N27" s="16" t="n">
        <f aca="false">+M27+O27</f>
        <v>12.8592</v>
      </c>
      <c r="O27" s="16" t="n">
        <f aca="false">RANDBETWEEN(-105,115)/10000</f>
        <v>0.0092</v>
      </c>
      <c r="P27" s="16" t="n">
        <f aca="false">+Chạy!O44</f>
        <v>1.24</v>
      </c>
      <c r="Q27" s="16" t="n">
        <f aca="false">P27+R27</f>
        <v>1.285</v>
      </c>
      <c r="R27" s="16" t="n">
        <f aca="false">RANDBETWEEN(-30,90)/1000</f>
        <v>0.045</v>
      </c>
      <c r="S27" s="17"/>
      <c r="T27" s="0" t="n">
        <v>0.15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+Chạy!F52</f>
        <v>-12.85</v>
      </c>
      <c r="E28" s="16" t="n">
        <f aca="false">+D28+F28</f>
        <v>-12.8599</v>
      </c>
      <c r="F28" s="16" t="n">
        <f aca="false">RANDBETWEEN(-105,115)/10000</f>
        <v>-0.0099</v>
      </c>
      <c r="G28" s="16" t="n">
        <f aca="false">+Chạy!G52</f>
        <v>1.24</v>
      </c>
      <c r="H28" s="16" t="n">
        <f aca="false">G28+I28</f>
        <v>1.229</v>
      </c>
      <c r="I28" s="16" t="n">
        <f aca="false">RANDBETWEEN(-30,90)/1000</f>
        <v>-0.011</v>
      </c>
      <c r="J28" s="16" t="n">
        <f aca="false">+Chạy!K52</f>
        <v>1.35</v>
      </c>
      <c r="K28" s="16" t="n">
        <f aca="false">J28+L28</f>
        <v>1.429</v>
      </c>
      <c r="L28" s="16" t="n">
        <f aca="false">RANDBETWEEN(-30,90)/1000</f>
        <v>0.079</v>
      </c>
      <c r="M28" s="16" t="n">
        <f aca="false">+Chạy!N52</f>
        <v>12.85</v>
      </c>
      <c r="N28" s="16" t="n">
        <f aca="false">+M28+O28</f>
        <v>12.8437</v>
      </c>
      <c r="O28" s="16" t="n">
        <f aca="false">RANDBETWEEN(-105,115)/10000</f>
        <v>-0.0063</v>
      </c>
      <c r="P28" s="16" t="n">
        <f aca="false">+Chạy!O52</f>
        <v>1.24</v>
      </c>
      <c r="Q28" s="16" t="n">
        <f aca="false">P28+R28</f>
        <v>1.325</v>
      </c>
      <c r="R28" s="16" t="n">
        <f aca="false">RANDBETWEEN(-30,90)/1000</f>
        <v>0.085</v>
      </c>
      <c r="S28" s="17"/>
      <c r="T28" s="0" t="n">
        <v>6.55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+Chạy!F60</f>
        <v>-12.85</v>
      </c>
      <c r="E29" s="16" t="n">
        <f aca="false">+D29+F29</f>
        <v>-12.8451</v>
      </c>
      <c r="F29" s="16" t="n">
        <f aca="false">RANDBETWEEN(-105,115)/10000</f>
        <v>0.0049</v>
      </c>
      <c r="G29" s="16" t="n">
        <f aca="false">+Chạy!G60</f>
        <v>1.24</v>
      </c>
      <c r="H29" s="16" t="n">
        <f aca="false">G29+I29</f>
        <v>1.313</v>
      </c>
      <c r="I29" s="16" t="n">
        <f aca="false">RANDBETWEEN(-30,90)/1000</f>
        <v>0.073</v>
      </c>
      <c r="J29" s="16" t="n">
        <f aca="false">+Chạy!K60</f>
        <v>1.35</v>
      </c>
      <c r="K29" s="16" t="n">
        <f aca="false">J29+L29</f>
        <v>1.352</v>
      </c>
      <c r="L29" s="16" t="n">
        <f aca="false">RANDBETWEEN(-30,90)/1000</f>
        <v>0.002</v>
      </c>
      <c r="M29" s="16" t="n">
        <f aca="false">+Chạy!N60</f>
        <v>12.85</v>
      </c>
      <c r="N29" s="16" t="n">
        <f aca="false">+M29+O29</f>
        <v>12.8608</v>
      </c>
      <c r="O29" s="16" t="n">
        <f aca="false">RANDBETWEEN(-105,115)/10000</f>
        <v>0.0108</v>
      </c>
      <c r="P29" s="16" t="n">
        <f aca="false">+Chạy!O60</f>
        <v>1.24</v>
      </c>
      <c r="Q29" s="16" t="n">
        <f aca="false">P29+R29</f>
        <v>1.273</v>
      </c>
      <c r="R29" s="16" t="n">
        <f aca="false">RANDBETWEEN(-30,90)/1000</f>
        <v>0.033</v>
      </c>
      <c r="S29" s="17"/>
      <c r="T29" s="0" t="n">
        <v>6.55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+Chạy!F68</f>
        <v>-12.85</v>
      </c>
      <c r="E30" s="16" t="n">
        <f aca="false">+D30+F30</f>
        <v>-12.8522</v>
      </c>
      <c r="F30" s="16" t="n">
        <f aca="false">RANDBETWEEN(-105,115)/10000</f>
        <v>-0.0022</v>
      </c>
      <c r="G30" s="16" t="n">
        <f aca="false">+Chạy!G68</f>
        <v>1.24</v>
      </c>
      <c r="H30" s="16" t="n">
        <f aca="false">G30+I30</f>
        <v>1.251</v>
      </c>
      <c r="I30" s="16" t="n">
        <f aca="false">RANDBETWEEN(-30,90)/1000</f>
        <v>0.011</v>
      </c>
      <c r="J30" s="16" t="n">
        <f aca="false">+Chạy!K68</f>
        <v>1.35</v>
      </c>
      <c r="K30" s="16" t="n">
        <f aca="false">J30+L30</f>
        <v>1.423</v>
      </c>
      <c r="L30" s="16" t="n">
        <f aca="false">RANDBETWEEN(-30,90)/1000</f>
        <v>0.073</v>
      </c>
      <c r="M30" s="16" t="n">
        <f aca="false">+Chạy!N68</f>
        <v>12.85</v>
      </c>
      <c r="N30" s="16" t="n">
        <f aca="false">+M30+O30</f>
        <v>12.8426</v>
      </c>
      <c r="O30" s="16" t="n">
        <f aca="false">RANDBETWEEN(-105,115)/10000</f>
        <v>-0.0074</v>
      </c>
      <c r="P30" s="16" t="n">
        <f aca="false">+Chạy!O68</f>
        <v>1.24</v>
      </c>
      <c r="Q30" s="16" t="n">
        <f aca="false">P30+R30</f>
        <v>1.327</v>
      </c>
      <c r="R30" s="16" t="n">
        <f aca="false">RANDBETWEEN(-30,90)/1000</f>
        <v>0.087</v>
      </c>
      <c r="S30" s="17"/>
      <c r="T30" s="0" t="n">
        <v>0.04</v>
      </c>
      <c r="W30" s="102"/>
      <c r="X30" s="102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+Chạy!F76</f>
        <v>-12.85</v>
      </c>
      <c r="E31" s="16" t="n">
        <f aca="false">+D31+F31</f>
        <v>-12.8588</v>
      </c>
      <c r="F31" s="16" t="n">
        <f aca="false">RANDBETWEEN(-105,115)/10000</f>
        <v>-0.0088</v>
      </c>
      <c r="G31" s="16" t="n">
        <f aca="false">+Chạy!G76</f>
        <v>1.37</v>
      </c>
      <c r="H31" s="16" t="n">
        <f aca="false">G31+I31</f>
        <v>1.343</v>
      </c>
      <c r="I31" s="16" t="n">
        <f aca="false">RANDBETWEEN(-30,90)/1000</f>
        <v>-0.027</v>
      </c>
      <c r="J31" s="16" t="n">
        <f aca="false">+Chạy!K76</f>
        <v>1.35</v>
      </c>
      <c r="K31" s="16" t="n">
        <f aca="false">J31+L31</f>
        <v>1.323</v>
      </c>
      <c r="L31" s="16" t="n">
        <f aca="false">RANDBETWEEN(-30,90)/1000</f>
        <v>-0.027</v>
      </c>
      <c r="M31" s="16" t="n">
        <f aca="false">+Chạy!N76</f>
        <v>12.85</v>
      </c>
      <c r="N31" s="16" t="n">
        <f aca="false">+M31+O31</f>
        <v>12.8461</v>
      </c>
      <c r="O31" s="16" t="n">
        <f aca="false">RANDBETWEEN(-105,115)/10000</f>
        <v>-0.0039</v>
      </c>
      <c r="P31" s="16" t="n">
        <f aca="false">+Chạy!O76</f>
        <v>1.24</v>
      </c>
      <c r="Q31" s="16" t="n">
        <f aca="false">P31+R31</f>
        <v>1.324</v>
      </c>
      <c r="R31" s="16" t="n">
        <f aca="false">RANDBETWEEN(-30,90)/1000</f>
        <v>0.084</v>
      </c>
      <c r="S31" s="17"/>
      <c r="T31" s="0" t="n">
        <v>16.95</v>
      </c>
      <c r="W31" s="102"/>
      <c r="X31" s="102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+Chạy!F84</f>
        <v>-12.85</v>
      </c>
      <c r="E32" s="16" t="n">
        <f aca="false">+D32+F32</f>
        <v>-12.8396</v>
      </c>
      <c r="F32" s="16" t="n">
        <f aca="false">RANDBETWEEN(-105,115)/10000</f>
        <v>0.0104</v>
      </c>
      <c r="G32" s="16" t="n">
        <f aca="false">+Chạy!G84</f>
        <v>1.24</v>
      </c>
      <c r="H32" s="16" t="n">
        <f aca="false">G32+I32</f>
        <v>1.22</v>
      </c>
      <c r="I32" s="16" t="n">
        <f aca="false">RANDBETWEEN(-30,90)/1000</f>
        <v>-0.02</v>
      </c>
      <c r="J32" s="16" t="n">
        <f aca="false">+Chạy!K84</f>
        <v>1.36</v>
      </c>
      <c r="K32" s="16" t="n">
        <f aca="false">J32+L32</f>
        <v>1.361</v>
      </c>
      <c r="L32" s="16" t="n">
        <f aca="false">RANDBETWEEN(-30,90)/1000</f>
        <v>0.001</v>
      </c>
      <c r="M32" s="16" t="n">
        <f aca="false">+Chạy!N84</f>
        <v>12.85</v>
      </c>
      <c r="N32" s="16" t="n">
        <f aca="false">+M32+O32</f>
        <v>12.8399</v>
      </c>
      <c r="O32" s="16" t="n">
        <f aca="false">RANDBETWEEN(-105,115)/10000</f>
        <v>-0.0101</v>
      </c>
      <c r="P32" s="16" t="n">
        <f aca="false">+Chạy!O84</f>
        <v>1.24</v>
      </c>
      <c r="Q32" s="16" t="n">
        <f aca="false">P32+R32</f>
        <v>1.307</v>
      </c>
      <c r="R32" s="16" t="n">
        <f aca="false">RANDBETWEEN(-30,90)/1000</f>
        <v>0.067</v>
      </c>
      <c r="S32" s="17"/>
      <c r="T32" s="0" t="n">
        <v>17</v>
      </c>
      <c r="W32" s="102"/>
      <c r="X32" s="102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+Chạy!F92</f>
        <v>-12.85</v>
      </c>
      <c r="E33" s="16" t="n">
        <f aca="false">+D33+F33</f>
        <v>-12.844</v>
      </c>
      <c r="F33" s="16" t="n">
        <f aca="false">RANDBETWEEN(-105,115)/10000</f>
        <v>0.006</v>
      </c>
      <c r="G33" s="16" t="n">
        <f aca="false">+Chạy!G92</f>
        <v>1.24</v>
      </c>
      <c r="H33" s="16" t="n">
        <f aca="false">G33+I33</f>
        <v>1.254</v>
      </c>
      <c r="I33" s="16" t="n">
        <f aca="false">RANDBETWEEN(-30,90)/1000</f>
        <v>0.014</v>
      </c>
      <c r="J33" s="16" t="n">
        <f aca="false">+Chạy!K92</f>
        <v>1.36</v>
      </c>
      <c r="K33" s="16" t="n">
        <f aca="false">J33+L33</f>
        <v>1.434</v>
      </c>
      <c r="L33" s="16" t="n">
        <f aca="false">RANDBETWEEN(-30,90)/1000</f>
        <v>0.074</v>
      </c>
      <c r="M33" s="16" t="n">
        <f aca="false">+Chạy!N92</f>
        <v>12.85</v>
      </c>
      <c r="N33" s="16" t="n">
        <f aca="false">+M33+O33</f>
        <v>12.8482</v>
      </c>
      <c r="O33" s="16" t="n">
        <f aca="false">RANDBETWEEN(-105,115)/10000</f>
        <v>-0.0018</v>
      </c>
      <c r="P33" s="16" t="n">
        <f aca="false">+Chạy!O92</f>
        <v>1.24</v>
      </c>
      <c r="Q33" s="16" t="n">
        <f aca="false">P33+R33</f>
        <v>1.315</v>
      </c>
      <c r="R33" s="16" t="n">
        <f aca="false">RANDBETWEEN(-30,90)/1000</f>
        <v>0.075</v>
      </c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69.NĐXD8/CVXD ngày 19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6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25</v>
      </c>
      <c r="C11" s="51" t="n">
        <f aca="false">'6.KTHH L6'!C22</f>
        <v>489.19</v>
      </c>
      <c r="D11" s="13" t="n">
        <f aca="false">'6.KTHH L6'!T22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7.02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97.91895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D1</v>
      </c>
      <c r="C12" s="51" t="n">
        <f aca="false">'6.KTHH L6'!C23</f>
        <v>502.36</v>
      </c>
      <c r="D12" s="13" t="n">
        <f aca="false">'6.KTHH L6'!T23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82.268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26</v>
      </c>
      <c r="C13" s="51" t="n">
        <f aca="false">'6.KTHH L6'!C24</f>
        <v>512.84</v>
      </c>
      <c r="D13" s="13" t="n">
        <f aca="false">'6.KTHH L6'!T24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131.723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27</v>
      </c>
      <c r="C14" s="51" t="n">
        <f aca="false">'6.KTHH L6'!C25</f>
        <v>529.62</v>
      </c>
      <c r="D14" s="13" t="n">
        <f aca="false">'6.KTHH L6'!T25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Chạy!E28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126.369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28</v>
      </c>
      <c r="C15" s="51" t="n">
        <f aca="false">'6.KTHH L6'!C26</f>
        <v>546.72</v>
      </c>
      <c r="D15" s="13" t="n">
        <f aca="false">'6.KTHH L6'!T26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Chạy!E36</f>
        <v>6.93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111.9585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E5</v>
      </c>
      <c r="C16" s="51" t="n">
        <f aca="false">'6.KTHH L6'!C27</f>
        <v>561.87</v>
      </c>
      <c r="D16" s="13" t="n">
        <f aca="false">'6.KTHH L6'!T27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Chạy!E44</f>
        <v>7.85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1.1775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TD</v>
      </c>
      <c r="C17" s="51" t="n">
        <f aca="false">'6.KTHH L6'!C28</f>
        <v>562.02</v>
      </c>
      <c r="D17" s="13" t="n">
        <f aca="false">'6.KTHH L6'!T28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Chạy!E52</f>
        <v>7.85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51.4175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P</v>
      </c>
      <c r="C18" s="51" t="n">
        <f aca="false">'6.KTHH L6'!C29</f>
        <v>568.57</v>
      </c>
      <c r="D18" s="13" t="n">
        <f aca="false">'6.KTHH L6'!T29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Chạy!E60</f>
        <v>7.85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51.4175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TC</v>
      </c>
      <c r="C19" s="51" t="n">
        <f aca="false">'6.KTHH L6'!C30</f>
        <v>575.12</v>
      </c>
      <c r="D19" s="13" t="n">
        <f aca="false">'6.KTHH L6'!T30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Chạy!E68</f>
        <v>7.85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0.314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'6.KTHH L6'!B31</f>
        <v>29</v>
      </c>
      <c r="C20" s="51" t="n">
        <f aca="false">'6.KTHH L6'!C31</f>
        <v>575.16</v>
      </c>
      <c r="D20" s="13" t="n">
        <f aca="false">'6.KTHH L6'!T31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Chạy!E76</f>
        <v>7.85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133.0575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'6.KTHH L6'!B32</f>
        <v>30</v>
      </c>
      <c r="C21" s="51" t="n">
        <f aca="false">'6.KTHH L6'!C32</f>
        <v>592.11</v>
      </c>
      <c r="D21" s="13" t="n">
        <f aca="false">'6.KTHH L6'!T32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Chạy!E84</f>
        <v>7.85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133.45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'6.KTHH L6'!B33</f>
        <v>31</v>
      </c>
      <c r="C22" s="51" t="n">
        <f aca="false">'6.KTHH L6'!C33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Chạy!E92</f>
        <v>7.85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921.07145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70.NĐXD8/CVXD ngày 19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70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7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+Chạy!F3</f>
        <v>-12.4</v>
      </c>
      <c r="E22" s="16" t="n">
        <f aca="false">+D22+F22</f>
        <v>-12.4072</v>
      </c>
      <c r="F22" s="16" t="n">
        <f aca="false">RANDBETWEEN(-105,115)/10000</f>
        <v>-0.0072</v>
      </c>
      <c r="G22" s="16" t="n">
        <f aca="false">+Chạy!G3</f>
        <v>1.57</v>
      </c>
      <c r="H22" s="16" t="n">
        <f aca="false">G22+I22</f>
        <v>1.586</v>
      </c>
      <c r="I22" s="16" t="n">
        <f aca="false">RANDBETWEEN(-30,90)/1000</f>
        <v>0.016</v>
      </c>
      <c r="J22" s="16" t="n">
        <f aca="false">+Chạy!K3</f>
        <v>1.69</v>
      </c>
      <c r="K22" s="16" t="n">
        <f aca="false">J22+L22</f>
        <v>1.683</v>
      </c>
      <c r="L22" s="16" t="n">
        <f aca="false">RANDBETWEEN(-30,90)/1000</f>
        <v>-0.007</v>
      </c>
      <c r="M22" s="16" t="n">
        <f aca="false">+Chạy!N3</f>
        <v>12.4</v>
      </c>
      <c r="N22" s="16" t="n">
        <f aca="false">+M22+O22</f>
        <v>12.4018</v>
      </c>
      <c r="O22" s="16" t="n">
        <f aca="false">RANDBETWEEN(-105,115)/10000</f>
        <v>0.0018</v>
      </c>
      <c r="P22" s="16" t="n">
        <f aca="false">+Chạy!O3</f>
        <v>1.57</v>
      </c>
      <c r="Q22" s="16" t="n">
        <f aca="false">P22+R22</f>
        <v>1.574</v>
      </c>
      <c r="R22" s="16" t="n">
        <f aca="false">RANDBETWEEN(-30,90)/1000</f>
        <v>0.004</v>
      </c>
      <c r="S22" s="17"/>
      <c r="T22" s="0" t="n">
        <v>13.17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+Chạy!F11</f>
        <v>-12.4</v>
      </c>
      <c r="E23" s="16" t="n">
        <f aca="false">+D23+F23</f>
        <v>-12.4097</v>
      </c>
      <c r="F23" s="16" t="n">
        <f aca="false">RANDBETWEEN(-105,115)/10000</f>
        <v>-0.0097</v>
      </c>
      <c r="G23" s="16" t="n">
        <f aca="false">+Chạy!G11</f>
        <v>1.56</v>
      </c>
      <c r="H23" s="16" t="n">
        <f aca="false">G23+I23</f>
        <v>1.552</v>
      </c>
      <c r="I23" s="16" t="n">
        <f aca="false">RANDBETWEEN(-30,90)/1000</f>
        <v>-0.008</v>
      </c>
      <c r="J23" s="16" t="n">
        <f aca="false">+Chạy!K11</f>
        <v>1.68</v>
      </c>
      <c r="K23" s="16" t="n">
        <f aca="false">J23+L23</f>
        <v>1.746</v>
      </c>
      <c r="L23" s="16" t="n">
        <f aca="false">RANDBETWEEN(-30,90)/1000</f>
        <v>0.066</v>
      </c>
      <c r="M23" s="16" t="n">
        <f aca="false">+Chạy!N11</f>
        <v>12.4</v>
      </c>
      <c r="N23" s="16" t="n">
        <f aca="false">+M23+O23</f>
        <v>12.4065</v>
      </c>
      <c r="O23" s="16" t="n">
        <f aca="false">RANDBETWEEN(-105,115)/10000</f>
        <v>0.0065</v>
      </c>
      <c r="P23" s="16" t="n">
        <f aca="false">+Chạy!O11</f>
        <v>1.56</v>
      </c>
      <c r="Q23" s="16" t="n">
        <f aca="false">P23+R23</f>
        <v>1.557</v>
      </c>
      <c r="R23" s="16" t="n">
        <f aca="false">RANDBETWEEN(-30,90)/1000</f>
        <v>-0.003</v>
      </c>
      <c r="S23" s="17"/>
      <c r="T23" s="0" t="n">
        <v>10.48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+Chạy!F19</f>
        <v>-12.4</v>
      </c>
      <c r="E24" s="16" t="n">
        <f aca="false">+D24+F24</f>
        <v>-12.4098</v>
      </c>
      <c r="F24" s="16" t="n">
        <f aca="false">RANDBETWEEN(-105,115)/10000</f>
        <v>-0.0098</v>
      </c>
      <c r="G24" s="16" t="n">
        <f aca="false">+Chạy!G19</f>
        <v>1.56</v>
      </c>
      <c r="H24" s="16" t="n">
        <f aca="false">G24+I24</f>
        <v>1.589</v>
      </c>
      <c r="I24" s="16" t="n">
        <f aca="false">RANDBETWEEN(-30,90)/1000</f>
        <v>0.029</v>
      </c>
      <c r="J24" s="16" t="n">
        <f aca="false">+Chạy!K19</f>
        <v>1.67</v>
      </c>
      <c r="K24" s="16" t="n">
        <f aca="false">J24+L24</f>
        <v>1.726</v>
      </c>
      <c r="L24" s="16" t="n">
        <f aca="false">RANDBETWEEN(-30,90)/1000</f>
        <v>0.056</v>
      </c>
      <c r="M24" s="16" t="n">
        <f aca="false">+Chạy!N19</f>
        <v>12.4</v>
      </c>
      <c r="N24" s="16" t="n">
        <f aca="false">+M24+O24</f>
        <v>12.3905</v>
      </c>
      <c r="O24" s="16" t="n">
        <f aca="false">RANDBETWEEN(-105,115)/10000</f>
        <v>-0.0095</v>
      </c>
      <c r="P24" s="16" t="n">
        <f aca="false">+Chạy!O19</f>
        <v>1.56</v>
      </c>
      <c r="Q24" s="16" t="n">
        <f aca="false">P24+R24</f>
        <v>1.581</v>
      </c>
      <c r="R24" s="16" t="n">
        <f aca="false">RANDBETWEEN(-30,90)/1000</f>
        <v>0.021</v>
      </c>
      <c r="S24" s="17"/>
      <c r="T24" s="0" t="n">
        <v>16.78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+Chạy!F27</f>
        <v>-12.4</v>
      </c>
      <c r="E25" s="16" t="n">
        <f aca="false">+D25+F25</f>
        <v>-12.4063</v>
      </c>
      <c r="F25" s="16" t="n">
        <f aca="false">RANDBETWEEN(-105,115)/10000</f>
        <v>-0.0063</v>
      </c>
      <c r="G25" s="16" t="n">
        <f aca="false">+Chạy!G27</f>
        <v>1.55</v>
      </c>
      <c r="H25" s="16" t="n">
        <f aca="false">G25+I25</f>
        <v>1.597</v>
      </c>
      <c r="I25" s="16" t="n">
        <f aca="false">RANDBETWEEN(-30,90)/1000</f>
        <v>0.047</v>
      </c>
      <c r="J25" s="16" t="n">
        <f aca="false">+Chạy!K27</f>
        <v>1.67</v>
      </c>
      <c r="K25" s="16" t="n">
        <f aca="false">J25+L25</f>
        <v>1.673</v>
      </c>
      <c r="L25" s="16" t="n">
        <f aca="false">RANDBETWEEN(-30,90)/1000</f>
        <v>0.003</v>
      </c>
      <c r="M25" s="16" t="n">
        <f aca="false">+Chạy!N27</f>
        <v>12.4</v>
      </c>
      <c r="N25" s="16" t="n">
        <f aca="false">+M25+O25</f>
        <v>12.4063</v>
      </c>
      <c r="O25" s="16" t="n">
        <f aca="false">RANDBETWEEN(-105,115)/10000</f>
        <v>0.0063</v>
      </c>
      <c r="P25" s="16" t="n">
        <f aca="false">+Chạy!O27</f>
        <v>1.55</v>
      </c>
      <c r="Q25" s="16" t="n">
        <f aca="false">P25+R25</f>
        <v>1.634</v>
      </c>
      <c r="R25" s="16" t="n">
        <f aca="false">RANDBETWEEN(-30,90)/1000</f>
        <v>0.084</v>
      </c>
      <c r="S25" s="17"/>
      <c r="T25" s="0" t="n">
        <v>17.1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+Chạy!F35</f>
        <v>-12.4</v>
      </c>
      <c r="E26" s="16" t="n">
        <f aca="false">+D26+F26</f>
        <v>-12.398</v>
      </c>
      <c r="F26" s="16" t="n">
        <f aca="false">RANDBETWEEN(-105,115)/10000</f>
        <v>0.002</v>
      </c>
      <c r="G26" s="16" t="n">
        <f aca="false">+Chạy!G35</f>
        <v>1.54</v>
      </c>
      <c r="H26" s="16" t="n">
        <f aca="false">G26+I26</f>
        <v>1.532</v>
      </c>
      <c r="I26" s="16" t="n">
        <f aca="false">RANDBETWEEN(-30,90)/1000</f>
        <v>-0.008</v>
      </c>
      <c r="J26" s="16" t="n">
        <f aca="false">+Chạy!K35</f>
        <v>1.66</v>
      </c>
      <c r="K26" s="16" t="n">
        <f aca="false">J26+L26</f>
        <v>1.678</v>
      </c>
      <c r="L26" s="16" t="n">
        <f aca="false">RANDBETWEEN(-30,90)/1000</f>
        <v>0.018</v>
      </c>
      <c r="M26" s="16" t="n">
        <f aca="false">+Chạy!N35</f>
        <v>12.4</v>
      </c>
      <c r="N26" s="16" t="n">
        <f aca="false">+M26+O26</f>
        <v>12.4077</v>
      </c>
      <c r="O26" s="16" t="n">
        <f aca="false">RANDBETWEEN(-105,115)/10000</f>
        <v>0.0077</v>
      </c>
      <c r="P26" s="16" t="n">
        <f aca="false">+Chạy!O35</f>
        <v>1.54</v>
      </c>
      <c r="Q26" s="16" t="n">
        <f aca="false">P26+R26</f>
        <v>1.581</v>
      </c>
      <c r="R26" s="16" t="n">
        <f aca="false">RANDBETWEEN(-30,90)/1000</f>
        <v>0.041</v>
      </c>
      <c r="S26" s="17"/>
      <c r="T26" s="0" t="n">
        <v>15.15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+Chạy!F43</f>
        <v>-12.4</v>
      </c>
      <c r="E27" s="16" t="n">
        <f aca="false">+D27+F27</f>
        <v>-12.3982</v>
      </c>
      <c r="F27" s="16" t="n">
        <f aca="false">RANDBETWEEN(-105,115)/10000</f>
        <v>0.0018</v>
      </c>
      <c r="G27" s="16" t="n">
        <f aca="false">+Chạy!G43</f>
        <v>1.54</v>
      </c>
      <c r="H27" s="16" t="n">
        <f aca="false">G27+I27</f>
        <v>1.607</v>
      </c>
      <c r="I27" s="16" t="n">
        <f aca="false">RANDBETWEEN(-30,90)/1000</f>
        <v>0.067</v>
      </c>
      <c r="J27" s="16" t="n">
        <f aca="false">+Chạy!K43</f>
        <v>1.65</v>
      </c>
      <c r="K27" s="16" t="n">
        <f aca="false">J27+L27</f>
        <v>1.736</v>
      </c>
      <c r="L27" s="16" t="n">
        <f aca="false">RANDBETWEEN(-30,90)/1000</f>
        <v>0.086</v>
      </c>
      <c r="M27" s="16" t="n">
        <f aca="false">+Chạy!N43</f>
        <v>12.4</v>
      </c>
      <c r="N27" s="16" t="n">
        <f aca="false">+M27+O27</f>
        <v>12.4087</v>
      </c>
      <c r="O27" s="16" t="n">
        <f aca="false">RANDBETWEEN(-105,115)/10000</f>
        <v>0.0087</v>
      </c>
      <c r="P27" s="16" t="n">
        <f aca="false">+Chạy!O43</f>
        <v>1.54</v>
      </c>
      <c r="Q27" s="16" t="n">
        <f aca="false">P27+R27</f>
        <v>1.596</v>
      </c>
      <c r="R27" s="16" t="n">
        <f aca="false">RANDBETWEEN(-30,90)/1000</f>
        <v>0.056</v>
      </c>
      <c r="S27" s="17"/>
      <c r="T27" s="0" t="n">
        <v>0.15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+Chạy!F51</f>
        <v>-12.4</v>
      </c>
      <c r="E28" s="16" t="n">
        <f aca="false">+D28+F28</f>
        <v>-12.3941</v>
      </c>
      <c r="F28" s="16" t="n">
        <f aca="false">RANDBETWEEN(-105,115)/10000</f>
        <v>0.0059</v>
      </c>
      <c r="G28" s="16" t="n">
        <f aca="false">+Chạy!G51</f>
        <v>1.54</v>
      </c>
      <c r="H28" s="16" t="n">
        <f aca="false">G28+I28</f>
        <v>1.537</v>
      </c>
      <c r="I28" s="16" t="n">
        <f aca="false">RANDBETWEEN(-30,90)/1000</f>
        <v>-0.003</v>
      </c>
      <c r="J28" s="16" t="n">
        <f aca="false">+Chạy!K51</f>
        <v>1.65</v>
      </c>
      <c r="K28" s="16" t="n">
        <f aca="false">J28+L28</f>
        <v>1.683</v>
      </c>
      <c r="L28" s="16" t="n">
        <f aca="false">RANDBETWEEN(-30,90)/1000</f>
        <v>0.033</v>
      </c>
      <c r="M28" s="16" t="n">
        <f aca="false">+Chạy!N51</f>
        <v>12.4</v>
      </c>
      <c r="N28" s="16" t="n">
        <f aca="false">+M28+O28</f>
        <v>12.3983</v>
      </c>
      <c r="O28" s="16" t="n">
        <f aca="false">RANDBETWEEN(-105,115)/10000</f>
        <v>-0.0017</v>
      </c>
      <c r="P28" s="16" t="n">
        <f aca="false">+Chạy!O51</f>
        <v>1.54</v>
      </c>
      <c r="Q28" s="16" t="n">
        <f aca="false">P28+R28</f>
        <v>1.618</v>
      </c>
      <c r="R28" s="16" t="n">
        <f aca="false">RANDBETWEEN(-30,90)/1000</f>
        <v>0.078</v>
      </c>
      <c r="S28" s="17"/>
      <c r="T28" s="0" t="n">
        <v>6.55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+Chạy!F59</f>
        <v>-12.4</v>
      </c>
      <c r="E29" s="16" t="n">
        <f aca="false">+D29+F29</f>
        <v>-12.3991</v>
      </c>
      <c r="F29" s="16" t="n">
        <f aca="false">RANDBETWEEN(-105,115)/10000</f>
        <v>0.0009</v>
      </c>
      <c r="G29" s="16" t="n">
        <f aca="false">+Chạy!G59</f>
        <v>1.54</v>
      </c>
      <c r="H29" s="16" t="n">
        <f aca="false">G29+I29</f>
        <v>1.578</v>
      </c>
      <c r="I29" s="16" t="n">
        <f aca="false">RANDBETWEEN(-30,90)/1000</f>
        <v>0.038</v>
      </c>
      <c r="J29" s="16" t="n">
        <f aca="false">+Chạy!K59</f>
        <v>1.65</v>
      </c>
      <c r="K29" s="16" t="n">
        <f aca="false">J29+L29</f>
        <v>1.717</v>
      </c>
      <c r="L29" s="16" t="n">
        <f aca="false">RANDBETWEEN(-30,90)/1000</f>
        <v>0.067</v>
      </c>
      <c r="M29" s="16" t="n">
        <f aca="false">+Chạy!N59</f>
        <v>12.4</v>
      </c>
      <c r="N29" s="16" t="n">
        <f aca="false">+M29+O29</f>
        <v>12.3965</v>
      </c>
      <c r="O29" s="16" t="n">
        <f aca="false">RANDBETWEEN(-105,115)/10000</f>
        <v>-0.0035</v>
      </c>
      <c r="P29" s="16" t="n">
        <f aca="false">+Chạy!O59</f>
        <v>1.54</v>
      </c>
      <c r="Q29" s="16" t="n">
        <f aca="false">P29+R29</f>
        <v>1.627</v>
      </c>
      <c r="R29" s="16" t="n">
        <f aca="false">RANDBETWEEN(-30,90)/1000</f>
        <v>0.087</v>
      </c>
      <c r="S29" s="17"/>
      <c r="T29" s="0" t="n">
        <v>6.55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+Chạy!F67</f>
        <v>-12.4</v>
      </c>
      <c r="E30" s="16" t="n">
        <f aca="false">+D30+F30</f>
        <v>-12.405</v>
      </c>
      <c r="F30" s="16" t="n">
        <f aca="false">RANDBETWEEN(-105,115)/10000</f>
        <v>-0.005</v>
      </c>
      <c r="G30" s="16" t="n">
        <f aca="false">+Chạy!G67</f>
        <v>1.54</v>
      </c>
      <c r="H30" s="16" t="n">
        <f aca="false">G30+I30</f>
        <v>1.594</v>
      </c>
      <c r="I30" s="16" t="n">
        <f aca="false">RANDBETWEEN(-30,90)/1000</f>
        <v>0.054</v>
      </c>
      <c r="J30" s="16" t="n">
        <f aca="false">+Chạy!K67</f>
        <v>1.65</v>
      </c>
      <c r="K30" s="16" t="n">
        <f aca="false">J30+L30</f>
        <v>1.649</v>
      </c>
      <c r="L30" s="16" t="n">
        <f aca="false">RANDBETWEEN(-30,90)/1000</f>
        <v>-0.001</v>
      </c>
      <c r="M30" s="16" t="n">
        <f aca="false">+Chạy!N67</f>
        <v>12.4</v>
      </c>
      <c r="N30" s="16" t="n">
        <f aca="false">+M30+O30</f>
        <v>12.4083</v>
      </c>
      <c r="O30" s="16" t="n">
        <f aca="false">RANDBETWEEN(-105,115)/10000</f>
        <v>0.0083</v>
      </c>
      <c r="P30" s="16" t="n">
        <f aca="false">+Chạy!O67</f>
        <v>1.54</v>
      </c>
      <c r="Q30" s="16" t="n">
        <f aca="false">P30+R30</f>
        <v>1.562</v>
      </c>
      <c r="R30" s="16" t="n">
        <f aca="false">RANDBETWEEN(-30,90)/1000</f>
        <v>0.022</v>
      </c>
      <c r="S30" s="17"/>
      <c r="T30" s="0" t="n">
        <v>0.04</v>
      </c>
      <c r="W30" s="115"/>
      <c r="X30" s="102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+Chạy!F75</f>
        <v>-12.4</v>
      </c>
      <c r="E31" s="16" t="n">
        <f aca="false">+D31+F31</f>
        <v>-12.3896</v>
      </c>
      <c r="F31" s="16" t="n">
        <f aca="false">RANDBETWEEN(-105,115)/10000</f>
        <v>0.0104</v>
      </c>
      <c r="G31" s="16" t="n">
        <f aca="false">+Chạy!G75</f>
        <v>1.67</v>
      </c>
      <c r="H31" s="16" t="n">
        <f aca="false">G31+I31</f>
        <v>1.685</v>
      </c>
      <c r="I31" s="16" t="n">
        <f aca="false">RANDBETWEEN(-30,90)/1000</f>
        <v>0.015</v>
      </c>
      <c r="J31" s="16" t="n">
        <f aca="false">+Chạy!K75</f>
        <v>1.65</v>
      </c>
      <c r="K31" s="16" t="n">
        <f aca="false">J31+L31</f>
        <v>1.733</v>
      </c>
      <c r="L31" s="16" t="n">
        <f aca="false">RANDBETWEEN(-30,90)/1000</f>
        <v>0.083</v>
      </c>
      <c r="M31" s="16" t="n">
        <f aca="false">+Chạy!N75</f>
        <v>12.4</v>
      </c>
      <c r="N31" s="16" t="n">
        <f aca="false">+M31+O31</f>
        <v>12.3985</v>
      </c>
      <c r="O31" s="16" t="n">
        <f aca="false">RANDBETWEEN(-105,115)/10000</f>
        <v>-0.0015</v>
      </c>
      <c r="P31" s="16" t="n">
        <f aca="false">+Chạy!O75</f>
        <v>1.54</v>
      </c>
      <c r="Q31" s="16" t="n">
        <f aca="false">P31+R31</f>
        <v>1.611</v>
      </c>
      <c r="R31" s="16" t="n">
        <f aca="false">RANDBETWEEN(-30,90)/1000</f>
        <v>0.071</v>
      </c>
      <c r="S31" s="17"/>
      <c r="T31" s="0" t="n">
        <v>16.95</v>
      </c>
      <c r="W31" s="115"/>
      <c r="X31" s="102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+Chạy!F83</f>
        <v>-12.4</v>
      </c>
      <c r="E32" s="16" t="n">
        <f aca="false">+D32+F32</f>
        <v>-12.3926</v>
      </c>
      <c r="F32" s="16" t="n">
        <f aca="false">RANDBETWEEN(-105,115)/10000</f>
        <v>0.0074</v>
      </c>
      <c r="G32" s="16" t="n">
        <f aca="false">+Chạy!G83</f>
        <v>1.54</v>
      </c>
      <c r="H32" s="16" t="n">
        <f aca="false">G32+I32</f>
        <v>1.595</v>
      </c>
      <c r="I32" s="16" t="n">
        <f aca="false">RANDBETWEEN(-30,90)/1000</f>
        <v>0.055</v>
      </c>
      <c r="J32" s="16" t="n">
        <f aca="false">+Chạy!K83</f>
        <v>1.66</v>
      </c>
      <c r="K32" s="16" t="n">
        <f aca="false">J32+L32</f>
        <v>1.649</v>
      </c>
      <c r="L32" s="16" t="n">
        <f aca="false">RANDBETWEEN(-30,90)/1000</f>
        <v>-0.011</v>
      </c>
      <c r="M32" s="16" t="n">
        <f aca="false">+Chạy!N83</f>
        <v>12.4</v>
      </c>
      <c r="N32" s="16" t="n">
        <f aca="false">+M32+O32</f>
        <v>12.4008</v>
      </c>
      <c r="O32" s="16" t="n">
        <f aca="false">RANDBETWEEN(-105,115)/10000</f>
        <v>0.0008</v>
      </c>
      <c r="P32" s="16" t="n">
        <f aca="false">+Chạy!O83</f>
        <v>1.54</v>
      </c>
      <c r="Q32" s="16" t="n">
        <f aca="false">P32+R32</f>
        <v>1.577</v>
      </c>
      <c r="R32" s="16" t="n">
        <f aca="false">RANDBETWEEN(-30,90)/1000</f>
        <v>0.037</v>
      </c>
      <c r="S32" s="17"/>
      <c r="T32" s="0" t="n">
        <v>17</v>
      </c>
      <c r="W32" s="115"/>
      <c r="X32" s="102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+Chạy!F91</f>
        <v>-12.4</v>
      </c>
      <c r="E33" s="16" t="n">
        <f aca="false">+D33+F33</f>
        <v>-12.3934</v>
      </c>
      <c r="F33" s="16" t="n">
        <f aca="false">RANDBETWEEN(-105,115)/10000</f>
        <v>0.0066</v>
      </c>
      <c r="G33" s="16" t="n">
        <f aca="false">+Chạy!G91</f>
        <v>1.54</v>
      </c>
      <c r="H33" s="16" t="n">
        <f aca="false">G33+I33</f>
        <v>1.522</v>
      </c>
      <c r="I33" s="16" t="n">
        <f aca="false">RANDBETWEEN(-30,90)/1000</f>
        <v>-0.018</v>
      </c>
      <c r="J33" s="16" t="n">
        <f aca="false">+Chạy!K91</f>
        <v>1.66</v>
      </c>
      <c r="K33" s="16" t="n">
        <f aca="false">J33+L33</f>
        <v>1.656</v>
      </c>
      <c r="L33" s="16" t="n">
        <f aca="false">RANDBETWEEN(-30,90)/1000</f>
        <v>-0.004</v>
      </c>
      <c r="M33" s="16" t="n">
        <f aca="false">+Chạy!N91</f>
        <v>12.4</v>
      </c>
      <c r="N33" s="16" t="n">
        <f aca="false">+M33+O33</f>
        <v>12.4023</v>
      </c>
      <c r="O33" s="16" t="n">
        <f aca="false">RANDBETWEEN(-105,115)/10000</f>
        <v>0.0023</v>
      </c>
      <c r="P33" s="16" t="n">
        <f aca="false">+Chạy!O91</f>
        <v>1.54</v>
      </c>
      <c r="Q33" s="16" t="n">
        <f aca="false">P33+R33</f>
        <v>1.529</v>
      </c>
      <c r="R33" s="16" t="n">
        <f aca="false">RANDBETWEEN(-30,90)/1000</f>
        <v>-0.011</v>
      </c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70.NĐXD8/CVXD ngày 19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70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7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25</v>
      </c>
      <c r="C11" s="51" t="n">
        <f aca="false">'7.KTHH L7'!C22</f>
        <v>489.19</v>
      </c>
      <c r="D11" s="13" t="n">
        <f aca="false">'7.KTHH L7'!T22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7.01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96.07515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D1</v>
      </c>
      <c r="C12" s="51" t="n">
        <f aca="false">'7.KTHH L7'!C23</f>
        <v>502.36</v>
      </c>
      <c r="D12" s="13" t="n">
        <f aca="false">'7.KTHH L7'!T23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79.4384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26</v>
      </c>
      <c r="C13" s="51" t="n">
        <f aca="false">'7.KTHH L7'!C24</f>
        <v>512.84</v>
      </c>
      <c r="D13" s="13" t="n">
        <f aca="false">'7.KTHH L7'!T24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Chạy!E19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127.1924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27</v>
      </c>
      <c r="C14" s="51" t="n">
        <f aca="false">'7.KTHH L7'!C25</f>
        <v>529.62</v>
      </c>
      <c r="D14" s="13" t="n">
        <f aca="false">'7.KTHH L7'!T25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Chạy!E27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124.7445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28</v>
      </c>
      <c r="C15" s="51" t="n">
        <f aca="false">'7.KTHH L7'!C26</f>
        <v>546.72</v>
      </c>
      <c r="D15" s="13" t="n">
        <f aca="false">'7.KTHH L7'!T26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Chạy!E35</f>
        <v>7.01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110.51925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E5</v>
      </c>
      <c r="C16" s="51" t="n">
        <f aca="false">'7.KTHH L7'!C27</f>
        <v>561.87</v>
      </c>
      <c r="D16" s="13" t="n">
        <f aca="false">'7.KTHH L7'!T27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Chạy!E43</f>
        <v>7.58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1.137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TD</v>
      </c>
      <c r="C17" s="51" t="n">
        <f aca="false">'7.KTHH L7'!C28</f>
        <v>562.02</v>
      </c>
      <c r="D17" s="13" t="n">
        <f aca="false">'7.KTHH L7'!T28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Chạy!E51</f>
        <v>7.58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49.649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P</v>
      </c>
      <c r="C18" s="51" t="n">
        <f aca="false">'7.KTHH L7'!C29</f>
        <v>568.57</v>
      </c>
      <c r="D18" s="13" t="n">
        <f aca="false">'7.KTHH L7'!T29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Chạy!E59</f>
        <v>7.58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49.649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TC</v>
      </c>
      <c r="C19" s="51" t="n">
        <f aca="false">'7.KTHH L7'!C30</f>
        <v>575.12</v>
      </c>
      <c r="D19" s="13" t="n">
        <f aca="false">'7.KTHH L7'!T30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Chạy!E67</f>
        <v>7.58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0.3032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'7.KTHH L7'!B31</f>
        <v>29</v>
      </c>
      <c r="C20" s="51" t="n">
        <f aca="false">'7.KTHH L7'!C31</f>
        <v>575.16</v>
      </c>
      <c r="D20" s="13" t="n">
        <f aca="false">'7.KTHH L7'!T31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Chạy!E75</f>
        <v>7.58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128.481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'7.KTHH L7'!B32</f>
        <v>30</v>
      </c>
      <c r="C21" s="51" t="n">
        <f aca="false">'7.KTHH L7'!C32</f>
        <v>592.11</v>
      </c>
      <c r="D21" s="13" t="n">
        <f aca="false">'7.KTHH L7'!T32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Chạy!E83</f>
        <v>7.58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128.86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'7.KTHH L7'!B33</f>
        <v>31</v>
      </c>
      <c r="C22" s="51" t="n">
        <f aca="false">'7.KTHH L7'!C33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Chạy!E91</f>
        <v>7.58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896.0489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71.NĐXD8/CVXD ngày 20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71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8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489.19</v>
      </c>
      <c r="D22" s="16" t="n">
        <f aca="false">+Chạy!F2</f>
        <v>-11.95</v>
      </c>
      <c r="E22" s="16" t="n">
        <f aca="false">+D22+F22</f>
        <v>-11.9471</v>
      </c>
      <c r="F22" s="16" t="n">
        <f aca="false">RANDBETWEEN(-105,115)/10000</f>
        <v>0.0029</v>
      </c>
      <c r="G22" s="16" t="n">
        <f aca="false">+Chạy!G2</f>
        <v>1.87</v>
      </c>
      <c r="H22" s="16" t="n">
        <f aca="false">G22+I22</f>
        <v>1.902</v>
      </c>
      <c r="I22" s="16" t="n">
        <f aca="false">RANDBETWEEN(-30,90)/1000</f>
        <v>0.032</v>
      </c>
      <c r="J22" s="16" t="n">
        <f aca="false">+Chạy!K2</f>
        <v>1.99</v>
      </c>
      <c r="K22" s="16" t="n">
        <f aca="false">J22+L22</f>
        <v>1.963</v>
      </c>
      <c r="L22" s="16" t="n">
        <f aca="false">RANDBETWEEN(-30,90)/1000</f>
        <v>-0.027</v>
      </c>
      <c r="M22" s="16" t="n">
        <f aca="false">+Chạy!N2</f>
        <v>11.95</v>
      </c>
      <c r="N22" s="16" t="n">
        <f aca="false">+M22+O22</f>
        <v>11.9427</v>
      </c>
      <c r="O22" s="16" t="n">
        <f aca="false">RANDBETWEEN(-105,115)/10000</f>
        <v>-0.0073</v>
      </c>
      <c r="P22" s="16" t="n">
        <f aca="false">+Chạy!O2</f>
        <v>1.87</v>
      </c>
      <c r="Q22" s="16" t="n">
        <f aca="false">P22+R22</f>
        <v>1.883</v>
      </c>
      <c r="R22" s="16" t="n">
        <f aca="false">RANDBETWEEN(-30,90)/1000</f>
        <v>0.013</v>
      </c>
      <c r="S22" s="17"/>
      <c r="T22" s="0" t="n">
        <v>13.17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502.36</v>
      </c>
      <c r="D23" s="16" t="n">
        <f aca="false">+Chạy!F10</f>
        <v>-11.95</v>
      </c>
      <c r="E23" s="16" t="n">
        <f aca="false">+D23+F23</f>
        <v>-11.9463</v>
      </c>
      <c r="F23" s="16" t="n">
        <f aca="false">RANDBETWEEN(-105,115)/10000</f>
        <v>0.0037</v>
      </c>
      <c r="G23" s="16" t="n">
        <f aca="false">+Chạy!G10</f>
        <v>1.86</v>
      </c>
      <c r="H23" s="16" t="n">
        <f aca="false">G23+I23</f>
        <v>1.845</v>
      </c>
      <c r="I23" s="16" t="n">
        <f aca="false">RANDBETWEEN(-30,90)/1000</f>
        <v>-0.015</v>
      </c>
      <c r="J23" s="16" t="n">
        <f aca="false">+Chạy!K10</f>
        <v>1.98</v>
      </c>
      <c r="K23" s="16" t="n">
        <f aca="false">J23+L23</f>
        <v>2.069</v>
      </c>
      <c r="L23" s="16" t="n">
        <f aca="false">RANDBETWEEN(-30,90)/1000</f>
        <v>0.089</v>
      </c>
      <c r="M23" s="16" t="n">
        <f aca="false">+Chạy!N10</f>
        <v>11.95</v>
      </c>
      <c r="N23" s="16" t="n">
        <f aca="false">+M23+O23</f>
        <v>11.9544</v>
      </c>
      <c r="O23" s="16" t="n">
        <f aca="false">RANDBETWEEN(-105,115)/10000</f>
        <v>0.0044</v>
      </c>
      <c r="P23" s="16" t="n">
        <f aca="false">+Chạy!O10</f>
        <v>1.86</v>
      </c>
      <c r="Q23" s="16" t="n">
        <f aca="false">P23+R23</f>
        <v>1.855</v>
      </c>
      <c r="R23" s="16" t="n">
        <f aca="false">RANDBETWEEN(-30,90)/1000</f>
        <v>-0.005</v>
      </c>
      <c r="S23" s="17"/>
      <c r="T23" s="0" t="n">
        <v>10.48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512.84</v>
      </c>
      <c r="D24" s="16" t="n">
        <f aca="false">+Chạy!F18</f>
        <v>-11.95</v>
      </c>
      <c r="E24" s="16" t="n">
        <f aca="false">+D24+F24</f>
        <v>-11.9568</v>
      </c>
      <c r="F24" s="16" t="n">
        <f aca="false">RANDBETWEEN(-105,115)/10000</f>
        <v>-0.0068</v>
      </c>
      <c r="G24" s="16" t="n">
        <f aca="false">+Chạy!G18</f>
        <v>1.86</v>
      </c>
      <c r="H24" s="16" t="n">
        <f aca="false">G24+I24</f>
        <v>1.915</v>
      </c>
      <c r="I24" s="16" t="n">
        <f aca="false">RANDBETWEEN(-30,90)/1000</f>
        <v>0.055</v>
      </c>
      <c r="J24" s="16" t="n">
        <f aca="false">+Chạy!K18</f>
        <v>1.97</v>
      </c>
      <c r="K24" s="16" t="n">
        <f aca="false">J24+L24</f>
        <v>2.03</v>
      </c>
      <c r="L24" s="16" t="n">
        <f aca="false">RANDBETWEEN(-30,90)/1000</f>
        <v>0.06</v>
      </c>
      <c r="M24" s="16" t="n">
        <f aca="false">+Chạy!N18</f>
        <v>11.95</v>
      </c>
      <c r="N24" s="16" t="n">
        <f aca="false">+M24+O24</f>
        <v>11.9582</v>
      </c>
      <c r="O24" s="16" t="n">
        <f aca="false">RANDBETWEEN(-105,115)/10000</f>
        <v>0.0082</v>
      </c>
      <c r="P24" s="16" t="n">
        <f aca="false">+Chạy!O18</f>
        <v>1.86</v>
      </c>
      <c r="Q24" s="16" t="n">
        <f aca="false">P24+R24</f>
        <v>1.947</v>
      </c>
      <c r="R24" s="16" t="n">
        <f aca="false">RANDBETWEEN(-30,90)/1000</f>
        <v>0.087</v>
      </c>
      <c r="S24" s="17"/>
      <c r="T24" s="0" t="n">
        <v>16.78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529.62</v>
      </c>
      <c r="D25" s="16" t="n">
        <f aca="false">+Chạy!F26</f>
        <v>-11.95</v>
      </c>
      <c r="E25" s="16" t="n">
        <f aca="false">+D25+F25</f>
        <v>-11.951</v>
      </c>
      <c r="F25" s="16" t="n">
        <f aca="false">RANDBETWEEN(-105,115)/10000</f>
        <v>-0.001</v>
      </c>
      <c r="G25" s="16" t="n">
        <f aca="false">+Chạy!G26</f>
        <v>1.85</v>
      </c>
      <c r="H25" s="16" t="n">
        <f aca="false">G25+I25</f>
        <v>1.834</v>
      </c>
      <c r="I25" s="16" t="n">
        <f aca="false">RANDBETWEEN(-30,90)/1000</f>
        <v>-0.016</v>
      </c>
      <c r="J25" s="16" t="n">
        <f aca="false">+Chạy!K26</f>
        <v>1.97</v>
      </c>
      <c r="K25" s="16" t="n">
        <f aca="false">J25+L25</f>
        <v>1.95</v>
      </c>
      <c r="L25" s="16" t="n">
        <f aca="false">RANDBETWEEN(-30,90)/1000</f>
        <v>-0.02</v>
      </c>
      <c r="M25" s="16" t="n">
        <f aca="false">+Chạy!N26</f>
        <v>11.95</v>
      </c>
      <c r="N25" s="16" t="n">
        <f aca="false">+M25+O25</f>
        <v>11.9469</v>
      </c>
      <c r="O25" s="16" t="n">
        <f aca="false">RANDBETWEEN(-105,115)/10000</f>
        <v>-0.0031</v>
      </c>
      <c r="P25" s="16" t="n">
        <f aca="false">+Chạy!O26</f>
        <v>1.85</v>
      </c>
      <c r="Q25" s="16" t="n">
        <f aca="false">P25+R25</f>
        <v>1.853</v>
      </c>
      <c r="R25" s="16" t="n">
        <f aca="false">RANDBETWEEN(-30,90)/1000</f>
        <v>0.003</v>
      </c>
      <c r="S25" s="17"/>
      <c r="T25" s="0" t="n">
        <v>17.1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546.72</v>
      </c>
      <c r="D26" s="16" t="n">
        <f aca="false">+Chạy!F34</f>
        <v>-11.95</v>
      </c>
      <c r="E26" s="16" t="n">
        <f aca="false">+D26+F26</f>
        <v>-11.943</v>
      </c>
      <c r="F26" s="16" t="n">
        <f aca="false">RANDBETWEEN(-105,115)/10000</f>
        <v>0.007</v>
      </c>
      <c r="G26" s="16" t="n">
        <f aca="false">+Chạy!G34</f>
        <v>1.84</v>
      </c>
      <c r="H26" s="16" t="n">
        <f aca="false">G26+I26</f>
        <v>1.879</v>
      </c>
      <c r="I26" s="16" t="n">
        <f aca="false">RANDBETWEEN(-30,90)/1000</f>
        <v>0.039</v>
      </c>
      <c r="J26" s="16" t="n">
        <f aca="false">+Chạy!K34</f>
        <v>1.96</v>
      </c>
      <c r="K26" s="16" t="n">
        <f aca="false">J26+L26</f>
        <v>1.937</v>
      </c>
      <c r="L26" s="16" t="n">
        <f aca="false">RANDBETWEEN(-30,90)/1000</f>
        <v>-0.023</v>
      </c>
      <c r="M26" s="16" t="n">
        <f aca="false">+Chạy!N34</f>
        <v>11.95</v>
      </c>
      <c r="N26" s="16" t="n">
        <f aca="false">+M26+O26</f>
        <v>11.9598</v>
      </c>
      <c r="O26" s="16" t="n">
        <f aca="false">RANDBETWEEN(-105,115)/10000</f>
        <v>0.0098</v>
      </c>
      <c r="P26" s="16" t="n">
        <f aca="false">+Chạy!O34</f>
        <v>1.84</v>
      </c>
      <c r="Q26" s="16" t="n">
        <f aca="false">P26+R26</f>
        <v>1.92</v>
      </c>
      <c r="R26" s="16" t="n">
        <f aca="false">RANDBETWEEN(-30,90)/1000</f>
        <v>0.08</v>
      </c>
      <c r="S26" s="17"/>
      <c r="T26" s="0" t="n">
        <v>15.15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561.87</v>
      </c>
      <c r="D27" s="16" t="n">
        <f aca="false">+Chạy!F42</f>
        <v>-11.95</v>
      </c>
      <c r="E27" s="16" t="n">
        <f aca="false">+D27+F27</f>
        <v>-11.9522</v>
      </c>
      <c r="F27" s="16" t="n">
        <f aca="false">RANDBETWEEN(-105,115)/10000</f>
        <v>-0.0022</v>
      </c>
      <c r="G27" s="16" t="n">
        <f aca="false">+Chạy!G42</f>
        <v>1.84</v>
      </c>
      <c r="H27" s="16" t="n">
        <f aca="false">G27+I27</f>
        <v>1.844</v>
      </c>
      <c r="I27" s="16" t="n">
        <f aca="false">RANDBETWEEN(-30,90)/1000</f>
        <v>0.004</v>
      </c>
      <c r="J27" s="16" t="n">
        <f aca="false">+Chạy!K42</f>
        <v>1.95</v>
      </c>
      <c r="K27" s="16" t="n">
        <f aca="false">J27+L27</f>
        <v>1.95</v>
      </c>
      <c r="L27" s="16" t="n">
        <f aca="false">RANDBETWEEN(-30,90)/1000</f>
        <v>0</v>
      </c>
      <c r="M27" s="16" t="n">
        <f aca="false">+Chạy!N42</f>
        <v>11.95</v>
      </c>
      <c r="N27" s="16" t="n">
        <f aca="false">+M27+O27</f>
        <v>11.943</v>
      </c>
      <c r="O27" s="16" t="n">
        <f aca="false">RANDBETWEEN(-105,115)/10000</f>
        <v>-0.007</v>
      </c>
      <c r="P27" s="16" t="n">
        <f aca="false">+Chạy!O42</f>
        <v>1.84</v>
      </c>
      <c r="Q27" s="16" t="n">
        <f aca="false">P27+R27</f>
        <v>1.821</v>
      </c>
      <c r="R27" s="16" t="n">
        <f aca="false">RANDBETWEEN(-30,90)/1000</f>
        <v>-0.019</v>
      </c>
      <c r="S27" s="17"/>
      <c r="T27" s="0" t="n">
        <v>0.15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562.02</v>
      </c>
      <c r="D28" s="16" t="n">
        <f aca="false">+Chạy!F50</f>
        <v>-11.95</v>
      </c>
      <c r="E28" s="16" t="n">
        <f aca="false">+D28+F28</f>
        <v>-11.948</v>
      </c>
      <c r="F28" s="16" t="n">
        <f aca="false">RANDBETWEEN(-105,115)/10000</f>
        <v>0.002</v>
      </c>
      <c r="G28" s="16" t="n">
        <f aca="false">+Chạy!G50</f>
        <v>1.84</v>
      </c>
      <c r="H28" s="16" t="n">
        <f aca="false">G28+I28</f>
        <v>1.818</v>
      </c>
      <c r="I28" s="16" t="n">
        <f aca="false">RANDBETWEEN(-30,90)/1000</f>
        <v>-0.022</v>
      </c>
      <c r="J28" s="16" t="n">
        <f aca="false">+Chạy!K50</f>
        <v>1.95</v>
      </c>
      <c r="K28" s="16" t="n">
        <f aca="false">J28+L28</f>
        <v>2.037</v>
      </c>
      <c r="L28" s="16" t="n">
        <f aca="false">RANDBETWEEN(-30,90)/1000</f>
        <v>0.087</v>
      </c>
      <c r="M28" s="16" t="n">
        <f aca="false">+Chạy!N50</f>
        <v>11.95</v>
      </c>
      <c r="N28" s="16" t="n">
        <f aca="false">+M28+O28</f>
        <v>11.9512</v>
      </c>
      <c r="O28" s="16" t="n">
        <f aca="false">RANDBETWEEN(-105,115)/10000</f>
        <v>0.0012</v>
      </c>
      <c r="P28" s="16" t="n">
        <f aca="false">+Chạy!O50</f>
        <v>1.84</v>
      </c>
      <c r="Q28" s="16" t="n">
        <f aca="false">P28+R28</f>
        <v>1.847</v>
      </c>
      <c r="R28" s="16" t="n">
        <f aca="false">RANDBETWEEN(-30,90)/1000</f>
        <v>0.007</v>
      </c>
      <c r="S28" s="17"/>
      <c r="T28" s="0" t="n">
        <v>6.55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568.57</v>
      </c>
      <c r="D29" s="16" t="n">
        <f aca="false">+Chạy!F58</f>
        <v>-11.95</v>
      </c>
      <c r="E29" s="16" t="n">
        <f aca="false">+D29+F29</f>
        <v>-11.9559</v>
      </c>
      <c r="F29" s="16" t="n">
        <f aca="false">RANDBETWEEN(-105,115)/10000</f>
        <v>-0.0059</v>
      </c>
      <c r="G29" s="16" t="n">
        <f aca="false">+Chạy!G58</f>
        <v>1.84</v>
      </c>
      <c r="H29" s="16" t="n">
        <f aca="false">G29+I29</f>
        <v>1.902</v>
      </c>
      <c r="I29" s="16" t="n">
        <f aca="false">RANDBETWEEN(-30,90)/1000</f>
        <v>0.062</v>
      </c>
      <c r="J29" s="16" t="n">
        <f aca="false">+Chạy!K58</f>
        <v>1.95</v>
      </c>
      <c r="K29" s="16" t="n">
        <f aca="false">J29+L29</f>
        <v>1.958</v>
      </c>
      <c r="L29" s="16" t="n">
        <f aca="false">RANDBETWEEN(-30,90)/1000</f>
        <v>0.008</v>
      </c>
      <c r="M29" s="16" t="n">
        <f aca="false">+Chạy!N58</f>
        <v>11.95</v>
      </c>
      <c r="N29" s="16" t="n">
        <f aca="false">+M29+O29</f>
        <v>11.9508</v>
      </c>
      <c r="O29" s="16" t="n">
        <f aca="false">RANDBETWEEN(-105,115)/10000</f>
        <v>0.0008</v>
      </c>
      <c r="P29" s="16" t="n">
        <f aca="false">+Chạy!O58</f>
        <v>1.84</v>
      </c>
      <c r="Q29" s="16" t="n">
        <f aca="false">P29+R29</f>
        <v>1.903</v>
      </c>
      <c r="R29" s="16" t="n">
        <f aca="false">RANDBETWEEN(-30,90)/1000</f>
        <v>0.063</v>
      </c>
      <c r="S29" s="17"/>
      <c r="T29" s="0" t="n">
        <v>6.55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1</v>
      </c>
      <c r="C30" s="15" t="n">
        <f aca="false">+C29+T29</f>
        <v>575.12</v>
      </c>
      <c r="D30" s="16" t="n">
        <f aca="false">+Chạy!F66</f>
        <v>-11.95</v>
      </c>
      <c r="E30" s="16" t="n">
        <f aca="false">+D30+F30</f>
        <v>-11.9414</v>
      </c>
      <c r="F30" s="16" t="n">
        <f aca="false">RANDBETWEEN(-105,115)/10000</f>
        <v>0.0086</v>
      </c>
      <c r="G30" s="16" t="n">
        <f aca="false">+Chạy!G66</f>
        <v>1.84</v>
      </c>
      <c r="H30" s="16" t="n">
        <f aca="false">G30+I30</f>
        <v>1.899</v>
      </c>
      <c r="I30" s="16" t="n">
        <f aca="false">RANDBETWEEN(-30,90)/1000</f>
        <v>0.059</v>
      </c>
      <c r="J30" s="16" t="n">
        <f aca="false">+Chạy!K66</f>
        <v>1.95</v>
      </c>
      <c r="K30" s="16" t="n">
        <f aca="false">J30+L30</f>
        <v>2</v>
      </c>
      <c r="L30" s="16" t="n">
        <f aca="false">RANDBETWEEN(-30,90)/1000</f>
        <v>0.05</v>
      </c>
      <c r="M30" s="16" t="n">
        <f aca="false">+Chạy!N66</f>
        <v>11.95</v>
      </c>
      <c r="N30" s="16" t="n">
        <f aca="false">+M30+O30</f>
        <v>11.9441</v>
      </c>
      <c r="O30" s="16" t="n">
        <f aca="false">RANDBETWEEN(-105,115)/10000</f>
        <v>-0.0059</v>
      </c>
      <c r="P30" s="16" t="n">
        <f aca="false">+Chạy!O66</f>
        <v>1.84</v>
      </c>
      <c r="Q30" s="16" t="n">
        <f aca="false">P30+R30</f>
        <v>1.845</v>
      </c>
      <c r="R30" s="16" t="n">
        <f aca="false">RANDBETWEEN(-30,90)/1000</f>
        <v>0.005</v>
      </c>
      <c r="S30" s="17"/>
      <c r="T30" s="0" t="n">
        <v>0.04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25</v>
      </c>
      <c r="C31" s="15" t="n">
        <f aca="false">+C30+T30</f>
        <v>575.16</v>
      </c>
      <c r="D31" s="16" t="n">
        <f aca="false">+Chạy!F74</f>
        <v>-11.95</v>
      </c>
      <c r="E31" s="16" t="n">
        <f aca="false">+D31+F31</f>
        <v>-11.948</v>
      </c>
      <c r="F31" s="16" t="n">
        <f aca="false">RANDBETWEEN(-105,115)/10000</f>
        <v>0.002</v>
      </c>
      <c r="G31" s="16" t="n">
        <f aca="false">+Chạy!G74</f>
        <v>1.97</v>
      </c>
      <c r="H31" s="16" t="n">
        <f aca="false">G31+I31</f>
        <v>2.048</v>
      </c>
      <c r="I31" s="16" t="n">
        <f aca="false">RANDBETWEEN(-30,90)/1000</f>
        <v>0.078</v>
      </c>
      <c r="J31" s="16" t="n">
        <f aca="false">+Chạy!K74</f>
        <v>1.95</v>
      </c>
      <c r="K31" s="16" t="n">
        <f aca="false">J31+L31</f>
        <v>1.964</v>
      </c>
      <c r="L31" s="16" t="n">
        <f aca="false">RANDBETWEEN(-30,90)/1000</f>
        <v>0.014</v>
      </c>
      <c r="M31" s="16" t="n">
        <f aca="false">+Chạy!N74</f>
        <v>11.95</v>
      </c>
      <c r="N31" s="16" t="n">
        <f aca="false">+M31+O31</f>
        <v>11.9532</v>
      </c>
      <c r="O31" s="16" t="n">
        <f aca="false">RANDBETWEEN(-105,115)/10000</f>
        <v>0.0032</v>
      </c>
      <c r="P31" s="16" t="n">
        <f aca="false">+Chạy!O74</f>
        <v>1.84</v>
      </c>
      <c r="Q31" s="16" t="n">
        <f aca="false">P31+R31</f>
        <v>1.871</v>
      </c>
      <c r="R31" s="16" t="n">
        <f aca="false">RANDBETWEEN(-30,90)/1000</f>
        <v>0.031</v>
      </c>
      <c r="S31" s="17"/>
      <c r="T31" s="0" t="n">
        <v>16.95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26</v>
      </c>
      <c r="C32" s="15" t="n">
        <f aca="false">+C31+T31</f>
        <v>592.11</v>
      </c>
      <c r="D32" s="16" t="n">
        <f aca="false">+Chạy!F82</f>
        <v>-11.95</v>
      </c>
      <c r="E32" s="16" t="n">
        <f aca="false">+D32+F32</f>
        <v>-11.9458</v>
      </c>
      <c r="F32" s="16" t="n">
        <f aca="false">RANDBETWEEN(-105,115)/10000</f>
        <v>0.0042</v>
      </c>
      <c r="G32" s="16" t="n">
        <f aca="false">+Chạy!G82</f>
        <v>1.84</v>
      </c>
      <c r="H32" s="16" t="n">
        <f aca="false">G32+I32</f>
        <v>1.859</v>
      </c>
      <c r="I32" s="16" t="n">
        <f aca="false">RANDBETWEEN(-30,90)/1000</f>
        <v>0.019</v>
      </c>
      <c r="J32" s="16" t="n">
        <f aca="false">+Chạy!K82</f>
        <v>1.96</v>
      </c>
      <c r="K32" s="16" t="n">
        <f aca="false">J32+L32</f>
        <v>1.951</v>
      </c>
      <c r="L32" s="16" t="n">
        <f aca="false">RANDBETWEEN(-30,90)/1000</f>
        <v>-0.009</v>
      </c>
      <c r="M32" s="16" t="n">
        <f aca="false">+Chạy!N82</f>
        <v>11.95</v>
      </c>
      <c r="N32" s="16" t="n">
        <f aca="false">+M32+O32</f>
        <v>11.9507</v>
      </c>
      <c r="O32" s="16" t="n">
        <f aca="false">RANDBETWEEN(-105,115)/10000</f>
        <v>0.0007</v>
      </c>
      <c r="P32" s="16" t="n">
        <f aca="false">+Chạy!O82</f>
        <v>1.84</v>
      </c>
      <c r="Q32" s="16" t="n">
        <f aca="false">P32+R32</f>
        <v>1.905</v>
      </c>
      <c r="R32" s="16" t="n">
        <f aca="false">RANDBETWEEN(-30,90)/1000</f>
        <v>0.065</v>
      </c>
      <c r="S32" s="17"/>
      <c r="T32" s="0" t="n">
        <v>17</v>
      </c>
      <c r="X32" s="119"/>
      <c r="Y32" s="102"/>
      <c r="AA32" s="120"/>
      <c r="AB32" s="121"/>
      <c r="AC32" s="122"/>
      <c r="AE32" s="122"/>
    </row>
    <row r="33" customFormat="false" ht="15.75" hidden="false" customHeight="true" outlineLevel="0" collapsed="false">
      <c r="A33" s="118" t="n">
        <v>12</v>
      </c>
      <c r="B33" s="13" t="s">
        <v>27</v>
      </c>
      <c r="C33" s="15" t="n">
        <f aca="false">+C32+T32</f>
        <v>609.11</v>
      </c>
      <c r="D33" s="16" t="n">
        <f aca="false">+Chạy!F90</f>
        <v>-11.95</v>
      </c>
      <c r="E33" s="16" t="n">
        <f aca="false">+D33+F33</f>
        <v>-11.9576</v>
      </c>
      <c r="F33" s="16" t="n">
        <f aca="false">RANDBETWEEN(-105,115)/10000</f>
        <v>-0.0076</v>
      </c>
      <c r="G33" s="16" t="n">
        <f aca="false">+Chạy!G90</f>
        <v>1.84</v>
      </c>
      <c r="H33" s="16" t="n">
        <f aca="false">G33+I33</f>
        <v>1.88</v>
      </c>
      <c r="I33" s="16" t="n">
        <f aca="false">RANDBETWEEN(-30,90)/1000</f>
        <v>0.04</v>
      </c>
      <c r="J33" s="16" t="n">
        <f aca="false">+Chạy!K90</f>
        <v>1.96</v>
      </c>
      <c r="K33" s="16" t="n">
        <f aca="false">J33+L33</f>
        <v>1.947</v>
      </c>
      <c r="L33" s="16" t="n">
        <f aca="false">RANDBETWEEN(-30,90)/1000</f>
        <v>-0.013</v>
      </c>
      <c r="M33" s="16" t="n">
        <f aca="false">+Chạy!N90</f>
        <v>11.95</v>
      </c>
      <c r="N33" s="16" t="n">
        <f aca="false">+M33+O33</f>
        <v>11.9411</v>
      </c>
      <c r="O33" s="16" t="n">
        <f aca="false">RANDBETWEEN(-105,115)/10000</f>
        <v>-0.0089</v>
      </c>
      <c r="P33" s="16" t="n">
        <f aca="false">+Chạy!O90</f>
        <v>1.84</v>
      </c>
      <c r="Q33" s="16" t="n">
        <f aca="false">P33+R33</f>
        <v>1.899</v>
      </c>
      <c r="R33" s="16" t="n">
        <f aca="false">RANDBETWEEN(-30,90)/1000</f>
        <v>0.059</v>
      </c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71.NĐXD8/CVXD ngày 20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71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8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25</v>
      </c>
      <c r="C11" s="51" t="n">
        <f aca="false">'8.KTHH L8'!C22</f>
        <v>489.19</v>
      </c>
      <c r="D11" s="13" t="n">
        <f aca="false">'8.KTHH L8'!T22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96.2727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D1</v>
      </c>
      <c r="C12" s="51" t="n">
        <f aca="false">'8.KTHH L8'!C23</f>
        <v>502.36</v>
      </c>
      <c r="D12" s="13" t="n">
        <f aca="false">'8.KTHH L8'!T23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Chạy!E10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76.6088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26</v>
      </c>
      <c r="C13" s="51" t="n">
        <f aca="false">'8.KTHH L8'!C24</f>
        <v>512.84</v>
      </c>
      <c r="D13" s="13" t="n">
        <f aca="false">'8.KTHH L8'!T24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Chạy!E18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122.6618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27</v>
      </c>
      <c r="C14" s="51" t="n">
        <f aca="false">'8.KTHH L8'!C25</f>
        <v>529.62</v>
      </c>
      <c r="D14" s="13" t="n">
        <f aca="false">'8.KTHH L8'!T25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Chạy!E26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125.001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28</v>
      </c>
      <c r="C15" s="51" t="n">
        <f aca="false">'8.KTHH L8'!C26</f>
        <v>546.72</v>
      </c>
      <c r="D15" s="13" t="n">
        <f aca="false">'8.KTHH L8'!T26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Chạy!E34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110.7465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E5</v>
      </c>
      <c r="C16" s="51" t="n">
        <f aca="false">'8.KTHH L8'!C27</f>
        <v>561.87</v>
      </c>
      <c r="D16" s="13" t="n">
        <f aca="false">'8.KTHH L8'!T27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Chạy!E42</f>
        <v>7.31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1.0965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TD</v>
      </c>
      <c r="C17" s="51" t="n">
        <f aca="false">'8.KTHH L8'!C28</f>
        <v>562.02</v>
      </c>
      <c r="D17" s="13" t="n">
        <f aca="false">'8.KTHH L8'!T28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Chạy!E50</f>
        <v>7.31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47.8805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P</v>
      </c>
      <c r="C18" s="51" t="n">
        <f aca="false">'8.KTHH L8'!C29</f>
        <v>568.57</v>
      </c>
      <c r="D18" s="13" t="n">
        <f aca="false">'8.KTHH L8'!T29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Chạy!E58</f>
        <v>7.31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47.8805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TC</v>
      </c>
      <c r="C19" s="51" t="n">
        <f aca="false">'8.KTHH L8'!C30</f>
        <v>575.12</v>
      </c>
      <c r="D19" s="13" t="n">
        <f aca="false">'8.KTHH L8'!T30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Chạy!E66</f>
        <v>7.31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0.2924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'8.KTHH L8'!B31</f>
        <v>29</v>
      </c>
      <c r="C20" s="51" t="n">
        <f aca="false">'8.KTHH L8'!C31</f>
        <v>575.16</v>
      </c>
      <c r="D20" s="13" t="n">
        <f aca="false">'8.KTHH L8'!T31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Chạy!E74</f>
        <v>7.31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123.9045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'8.KTHH L8'!B32</f>
        <v>30</v>
      </c>
      <c r="C21" s="51" t="n">
        <f aca="false">'8.KTHH L8'!C32</f>
        <v>592.11</v>
      </c>
      <c r="D21" s="13" t="n">
        <f aca="false">'8.KTHH L8'!T32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Chạy!E82</f>
        <v>7.31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124.27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'8.KTHH L8'!B33</f>
        <v>31</v>
      </c>
      <c r="C22" s="51" t="n">
        <f aca="false">'8.KTHH L8'!C33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Chạy!E90</f>
        <v>7.31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876.6152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