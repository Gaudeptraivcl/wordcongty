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16.xml.rels" ContentType="application/vnd.openxmlformats-package.relationships+xml"/>
  <Override PartName="/xl/worksheets/_rels/sheet2.xml.rels" ContentType="application/vnd.openxmlformats-package.relationships+xml"/>
  <Override PartName="/xl/worksheets/_rels/sheet4.xml.rels" ContentType="application/vnd.openxmlformats-package.relationships+xml"/>
  <Override PartName="/xl/worksheets/_rels/sheet10.xml.rels" ContentType="application/vnd.openxmlformats-package.relationships+xml"/>
  <Override PartName="/xl/worksheets/_rels/sheet12.xml.rels" ContentType="application/vnd.openxmlformats-package.relationships+xml"/>
  <Override PartName="/xl/worksheets/_rels/sheet6.xml.rels" ContentType="application/vnd.openxmlformats-package.relationships+xml"/>
  <Override PartName="/xl/worksheets/_rels/sheet8.xml.rels" ContentType="application/vnd.openxmlformats-package.relationships+xml"/>
  <Override PartName="/xl/worksheets/_rels/sheet14.xml.rels" ContentType="application/vnd.openxmlformats-package.relationships+xml"/>
  <Override PartName="/xl/worksheets/sheet11.xml" ContentType="application/vnd.openxmlformats-officedocument.spreadsheetml.worksheet+xml"/>
  <Override PartName="/xl/worksheets/sheet6.xml" ContentType="application/vnd.openxmlformats-officedocument.spreadsheetml.worksheet+xml"/>
  <Override PartName="/xl/worksheets/sheet10.xml" ContentType="application/vnd.openxmlformats-officedocument.spreadsheetml.worksheet+xml"/>
  <Override PartName="/xl/worksheets/sheet5.xml" ContentType="application/vnd.openxmlformats-officedocument.spreadsheetml.worksheet+xml"/>
  <Override PartName="/xl/worksheets/sheet17.xml" ContentType="application/vnd.openxmlformats-officedocument.spreadsheetml.worksheet+xml"/>
  <Override PartName="/xl/worksheets/sheet16.xml" ContentType="application/vnd.openxmlformats-officedocument.spreadsheetml.worksheet+xml"/>
  <Override PartName="/xl/worksheets/sheet15.xml" ContentType="application/vnd.openxmlformats-officedocument.spreadsheetml.worksheet+xml"/>
  <Override PartName="/xl/worksheets/sheet4.xml" ContentType="application/vnd.openxmlformats-officedocument.spreadsheetml.worksheet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12.xml" ContentType="application/vnd.openxmlformats-officedocument.spreadsheetml.worksheet+xml"/>
  <Override PartName="/xl/worksheets/sheet7.xml" ContentType="application/vnd.openxmlformats-officedocument.spreadsheetml.worksheet+xml"/>
  <Override PartName="/xl/worksheets/sheet13.xml" ContentType="application/vnd.openxmlformats-officedocument.spreadsheetml.worksheet+xml"/>
  <Override PartName="/xl/worksheets/sheet8.xml" ContentType="application/vnd.openxmlformats-officedocument.spreadsheetml.worksheet+xml"/>
  <Override PartName="/xl/worksheets/sheet14.xml" ContentType="application/vnd.openxmlformats-officedocument.spreadsheetml.worksheet+xml"/>
  <Override PartName="/xl/worksheets/sheet9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_rels/drawing8.xml.rels" ContentType="application/vnd.openxmlformats-package.relationships+xml"/>
  <Override PartName="/xl/drawings/_rels/drawing7.xml.rels" ContentType="application/vnd.openxmlformats-package.relationships+xml"/>
  <Override PartName="/xl/drawings/_rels/drawing6.xml.rels" ContentType="application/vnd.openxmlformats-package.relationships+xml"/>
  <Override PartName="/xl/drawings/_rels/drawing5.xml.rels" ContentType="application/vnd.openxmlformats-package.relationships+xml"/>
  <Override PartName="/xl/drawings/_rels/drawing4.xml.rels" ContentType="application/vnd.openxmlformats-package.relationships+xml"/>
  <Override PartName="/xl/drawings/_rels/drawing3.xml.rels" ContentType="application/vnd.openxmlformats-package.relationships+xml"/>
  <Override PartName="/xl/drawings/_rels/drawing2.xml.rels" ContentType="application/vnd.openxmlformats-package.relationships+xml"/>
  <Override PartName="/xl/drawings/_rels/drawing1.xml.rels" ContentType="application/vnd.openxmlformats-package.relationships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drawings/drawing8.xml" ContentType="application/vnd.openxmlformats-officedocument.drawing+xml"/>
  <Override PartName="/xl/_rels/workbook.xml.rels" ContentType="application/vnd.openxmlformats-package.relationships+xml"/>
  <Override PartName="/xl/media/image1.png" ContentType="image/png"/>
  <Override PartName="/xl/media/image2.png" ContentType="image/png"/>
  <Override PartName="/xl/media/image3.png" ContentType="image/png"/>
  <Override PartName="/xl/media/image4.png" ContentType="image/png"/>
  <Override PartName="/xl/media/image5.png" ContentType="image/png"/>
  <Override PartName="/xl/media/image6.png" ContentType="image/png"/>
  <Override PartName="/xl/media/image7.png" ContentType="image/png"/>
  <Override PartName="/xl/media/image8.png" ContentType="image/png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externalLinks/externalLink1.xml" ContentType="application/vnd.openxmlformats-officedocument.spreadsheetml.externalLink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4"/>
  </bookViews>
  <sheets>
    <sheet name="Chạy" sheetId="1" state="visible" r:id="rId3"/>
    <sheet name="1.KTHH L1" sheetId="2" state="visible" r:id="rId4"/>
    <sheet name="1.KL L1" sheetId="3" state="visible" r:id="rId5"/>
    <sheet name="2.KTHH L2" sheetId="4" state="visible" r:id="rId6"/>
    <sheet name="2.KL L2" sheetId="5" state="visible" r:id="rId7"/>
    <sheet name="3.KTHH L3" sheetId="6" state="visible" r:id="rId8"/>
    <sheet name="3.KL L3" sheetId="7" state="visible" r:id="rId9"/>
    <sheet name="4.KTHH L4" sheetId="8" state="visible" r:id="rId10"/>
    <sheet name="4.KL L4" sheetId="9" state="visible" r:id="rId11"/>
    <sheet name="5.KTHH L5" sheetId="10" state="visible" r:id="rId12"/>
    <sheet name="5.KL L5" sheetId="11" state="visible" r:id="rId13"/>
    <sheet name="6.KTHH L6" sheetId="12" state="visible" r:id="rId14"/>
    <sheet name="6.KL L6" sheetId="13" state="visible" r:id="rId15"/>
    <sheet name="7.KTHH L7" sheetId="14" state="visible" r:id="rId16"/>
    <sheet name="7.KL L7" sheetId="15" state="visible" r:id="rId17"/>
    <sheet name="8.KTHH L8" sheetId="16" state="visible" r:id="rId18"/>
    <sheet name="8.KL L8" sheetId="17" state="visible" r:id="rId19"/>
  </sheets>
  <externalReferences>
    <externalReference r:id="rIdExt1"/>
  </externalReferences>
  <definedNames>
    <definedName function="false" hidden="false" localSheetId="2" name="_xlnm.Print_Area" vbProcedure="false">'1.KL L1'!$A$1:$AB$60</definedName>
    <definedName function="false" hidden="false" localSheetId="1" name="_xlnm.Print_Area" vbProcedure="false">'1.KTHH L1'!$A$1:$S$69</definedName>
    <definedName function="false" hidden="false" localSheetId="1" name="_xlnm.Print_Titles" vbProcedure="false">'1.KTHH L1'!$19:$20</definedName>
    <definedName function="false" hidden="false" localSheetId="4" name="_xlnm.Print_Area" vbProcedure="false">'2.KL L2'!$A$1:$AB$60</definedName>
    <definedName function="false" hidden="false" localSheetId="3" name="_xlnm.Print_Area" vbProcedure="false">'2.KTHH L2'!$A$1:$S$69</definedName>
    <definedName function="false" hidden="false" localSheetId="3" name="_xlnm.Print_Titles" vbProcedure="false">'2.KTHH L2'!$19:$20</definedName>
    <definedName function="false" hidden="false" localSheetId="6" name="_xlnm.Print_Area" vbProcedure="false">'3.KL L3'!$A$1:$AB$60</definedName>
    <definedName function="false" hidden="false" localSheetId="5" name="_xlnm.Print_Area" vbProcedure="false">'3.KTHH L3'!$A$1:$S$70</definedName>
    <definedName function="false" hidden="false" localSheetId="5" name="_xlnm.Print_Titles" vbProcedure="false">'3.KTHH L3'!$20:$21</definedName>
    <definedName function="false" hidden="false" localSheetId="8" name="_xlnm.Print_Area" vbProcedure="false">'4.KL L4'!$A$1:$AB$60</definedName>
    <definedName function="false" hidden="false" localSheetId="7" name="_xlnm.Print_Area" vbProcedure="false">'4.KTHH L4'!$A$1:$S$70</definedName>
    <definedName function="false" hidden="false" localSheetId="7" name="_xlnm.Print_Titles" vbProcedure="false">'4.KTHH L4'!$20:$21</definedName>
    <definedName function="false" hidden="false" localSheetId="10" name="_xlnm.Print_Area" vbProcedure="false">'5.KL L5'!$A$1:$AB$60</definedName>
    <definedName function="false" hidden="false" localSheetId="9" name="_xlnm.Print_Area" vbProcedure="false">'5.KTHH L5'!$A$1:$S$70</definedName>
    <definedName function="false" hidden="false" localSheetId="9" name="_xlnm.Print_Titles" vbProcedure="false">'5.KTHH L5'!$20:$21</definedName>
    <definedName function="false" hidden="false" localSheetId="12" name="_xlnm.Print_Area" vbProcedure="false">'6.KL L6'!$A$1:$AB$60</definedName>
    <definedName function="false" hidden="false" localSheetId="11" name="_xlnm.Print_Area" vbProcedure="false">'6.KTHH L6'!$A$1:$S$70</definedName>
    <definedName function="false" hidden="false" localSheetId="11" name="_xlnm.Print_Titles" vbProcedure="false">'6.KTHH L6'!$20:$21</definedName>
    <definedName function="false" hidden="false" localSheetId="14" name="_xlnm.Print_Area" vbProcedure="false">'7.KL L7'!$A$1:$AB$60</definedName>
    <definedName function="false" hidden="false" localSheetId="13" name="_xlnm.Print_Area" vbProcedure="false">'7.KTHH L7'!$A$1:$S$70</definedName>
    <definedName function="false" hidden="false" localSheetId="13" name="_xlnm.Print_Titles" vbProcedure="false">'7.KTHH L7'!$20:$21</definedName>
    <definedName function="false" hidden="false" localSheetId="16" name="_xlnm.Print_Area" vbProcedure="false">'8.KL L8'!$A$1:$AB$60</definedName>
    <definedName function="false" hidden="false" localSheetId="15" name="_xlnm.Print_Area" vbProcedure="false">'8.KTHH L8'!$A$1:$S$70</definedName>
    <definedName function="false" hidden="false" localSheetId="15" name="_xlnm.Print_Titles" vbProcedure="false">'8.KTHH L8'!$20:$21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<sst xmlns="http://schemas.openxmlformats.org/spreadsheetml/2006/main" count="594" uniqueCount="77">
  <si>
    <t xml:space="preserve">STT</t>
  </si>
  <si>
    <t xml:space="preserve">TC</t>
  </si>
  <si>
    <t xml:space="preserve">LT</t>
  </si>
  <si>
    <t xml:space="preserve">TL</t>
  </si>
  <si>
    <t xml:space="preserve">DT</t>
  </si>
  <si>
    <t xml:space="preserve">KCt 1</t>
  </si>
  <si>
    <t xml:space="preserve">CDt 1</t>
  </si>
  <si>
    <t xml:space="preserve">KCt 2</t>
  </si>
  <si>
    <t xml:space="preserve">CDt 2</t>
  </si>
  <si>
    <t xml:space="preserve">KC tim</t>
  </si>
  <si>
    <t xml:space="preserve">CD tim</t>
  </si>
  <si>
    <t xml:space="preserve">KCp 1</t>
  </si>
  <si>
    <t xml:space="preserve">CDp 1</t>
  </si>
  <si>
    <t xml:space="preserve">KCp 2</t>
  </si>
  <si>
    <t xml:space="preserve">CDp 2</t>
  </si>
  <si>
    <t xml:space="preserve">S bao</t>
  </si>
  <si>
    <t xml:space="preserve">S le</t>
  </si>
  <si>
    <t xml:space="preserve">25</t>
  </si>
  <si>
    <t xml:space="preserve">D1</t>
  </si>
  <si>
    <t xml:space="preserve">26</t>
  </si>
  <si>
    <t xml:space="preserve">27</t>
  </si>
  <si>
    <t xml:space="preserve">28</t>
  </si>
  <si>
    <t xml:space="preserve">E5</t>
  </si>
  <si>
    <t xml:space="preserve">TD</t>
  </si>
  <si>
    <t xml:space="preserve">P</t>
  </si>
  <si>
    <t xml:space="preserve">29</t>
  </si>
  <si>
    <t xml:space="preserve">30</t>
  </si>
  <si>
    <t xml:space="preserve">31</t>
  </si>
  <si>
    <t xml:space="preserve">PHỤ LỤC KIỂM TRA CAO ĐỘ, KÍCH THƯỚC HÌNH HỌC</t>
  </si>
  <si>
    <t xml:space="preserve">Kèm theo BBNT số: 64.NĐXD8/CVXD ngày 16 tháng 09 năm 2026</t>
  </si>
  <si>
    <t xml:space="preserve">Dự án: Xây dựng HTKT Khu tái định cư phục vụ di dân xã Hải Hà, thị xã Nghi Sơn, tỉnh Thanh Hóa.</t>
  </si>
  <si>
    <t xml:space="preserve">Gói thầu số 12: Xây dựng HTKT khu vực Hải Bình và Xuân Lâm (bao gồm cả bảo hiểm xây dựng công trình)</t>
  </si>
  <si>
    <t xml:space="preserve">Nhà thầu thi công: Công ty TNHH Hoàng Tuấn</t>
  </si>
  <si>
    <t xml:space="preserve">Hạng mục:  Nền đường tuyến XD8</t>
  </si>
  <si>
    <t xml:space="preserve">- Đối tượng nghiệm thu:</t>
  </si>
  <si>
    <t xml:space="preserve">Đắp đất nền đường lớp 1 đoạn từ Km0+489,19 - Km0+609,11, độ chặt K&gt;=0,95</t>
  </si>
  <si>
    <t xml:space="preserve">Sơ họa:</t>
  </si>
  <si>
    <t xml:space="preserve">TT</t>
  </si>
  <si>
    <t xml:space="preserve">Tên cọc</t>
  </si>
  <si>
    <t xml:space="preserve">Lý trình</t>
  </si>
  <si>
    <t xml:space="preserve">Bên trái (H1)</t>
  </si>
  <si>
    <t xml:space="preserve">Tim (H2)</t>
  </si>
  <si>
    <t xml:space="preserve">Bên phải (H3)</t>
  </si>
  <si>
    <t xml:space="preserve">Ghi chú</t>
  </si>
  <si>
    <t xml:space="preserve">KCTK</t>
  </si>
  <si>
    <t xml:space="preserve">KCTC</t>
  </si>
  <si>
    <t xml:space="preserve">Chênh KC (m)</t>
  </si>
  <si>
    <t xml:space="preserve">CDTK (m)</t>
  </si>
  <si>
    <t xml:space="preserve">CDTC (m)</t>
  </si>
  <si>
    <t xml:space="preserve">Chênh CD (m)</t>
  </si>
  <si>
    <t xml:space="preserve">NHÀ THẦU THI CÔNG</t>
  </si>
  <si>
    <t xml:space="preserve">TƯ VẤN GIÁM SÁT</t>
  </si>
  <si>
    <t xml:space="preserve">Nguyễn Xuân Hưng</t>
  </si>
  <si>
    <t xml:space="preserve">Trần Mạnh Tùng</t>
  </si>
  <si>
    <t xml:space="preserve">PHỤ LỤC KHỐI LƯỢNG </t>
  </si>
  <si>
    <t xml:space="preserve">K/c lẻ</t>
  </si>
  <si>
    <t xml:space="preserve">Khối lượng đắp đất</t>
  </si>
  <si>
    <t xml:space="preserve">Diện tích</t>
  </si>
  <si>
    <t xml:space="preserve">Diện tích
 (m2)</t>
  </si>
  <si>
    <t xml:space="preserve">Khối lượng</t>
  </si>
  <si>
    <t xml:space="preserve">Khối lượng (m3)</t>
  </si>
  <si>
    <t xml:space="preserve">Tổng cộng (m3)</t>
  </si>
  <si>
    <t xml:space="preserve">                 </t>
  </si>
  <si>
    <t xml:space="preserve">Kèm theo BBNT số: 65.NĐXD8/CVXD ngày 17 tháng 09 năm 2026</t>
  </si>
  <si>
    <t xml:space="preserve">Đắp đất nền đường lớp 2 đoạn từ Km0+489,19 - Km0+609,11, độ chặt K&gt;=0,95</t>
  </si>
  <si>
    <t xml:space="preserve">Kèm theo BBNT số: 66.NĐXD8/CVXD ngày 17 tháng 09 năm 2026</t>
  </si>
  <si>
    <t xml:space="preserve">Đắp đất nền đường lớp 3 đoạn từ Km0+489,19 - Km0+609,11, độ chặt K&gt;=0,95</t>
  </si>
  <si>
    <t xml:space="preserve">Kèm theo BBNT số: 67.NĐXD8/CVXD ngày 18 tháng 09 năm 2026</t>
  </si>
  <si>
    <t xml:space="preserve">Đắp đất nền đường lớp 4 đoạn từ Km0+489,19 - Km0+609,11, độ chặt K&gt;=0,95</t>
  </si>
  <si>
    <t xml:space="preserve">Kèm theo BBNT số: 68.NĐXD8/CVXD ngày 18 tháng 09 năm 2026</t>
  </si>
  <si>
    <t xml:space="preserve">Đắp đất nền đường lớp 5 đoạn từ Km0+489,19 - Km0+609,11, độ chặt K&gt;=0,95</t>
  </si>
  <si>
    <t xml:space="preserve">Kèm theo BBNT số: 69.NĐXD8/CVXD ngày 19 tháng 09 năm 2026</t>
  </si>
  <si>
    <t xml:space="preserve">Đắp đất nền đường lớp 6 đoạn từ Km0+489,19 - Km0+609,11, độ chặt K&gt;=0,95</t>
  </si>
  <si>
    <t xml:space="preserve">Kèm theo BBNT số: 70.NĐXD8/CVXD ngày 19 tháng 09 năm 2026</t>
  </si>
  <si>
    <t xml:space="preserve">Đắp đất nền đường lớp 7 đoạn từ Km0+489,19 - Km0+609,11, độ chặt K&gt;=0,95</t>
  </si>
  <si>
    <t xml:space="preserve">Kèm theo BBNT số: 71.NĐXD8/CVXD ngày 20 tháng 09 năm 2026</t>
  </si>
  <si>
    <t xml:space="preserve">Đắp đất nền đường lớp 8 đoạn từ Km0+489,19 - Km0+609,11, độ chặt K&gt;=0,95</t>
  </si>
</sst>
</file>

<file path=xl/styles.xml><?xml version="1.0" encoding="utf-8"?>
<styleSheet xmlns="http://schemas.openxmlformats.org/spreadsheetml/2006/main">
  <numFmts count="14">
    <numFmt numFmtId="164" formatCode="General"/>
    <numFmt numFmtId="165" formatCode="_(* #,##0.00_);_(* \(#,##0.00\);_(* \-??_);_(@_)"/>
    <numFmt numFmtId="166" formatCode="#,##0.00;\-#,##0.00;;@"/>
    <numFmt numFmtId="167" formatCode="&quot;Km&quot;0\+000.00"/>
    <numFmt numFmtId="168" formatCode="#,##0.000"/>
    <numFmt numFmtId="169" formatCode="0.00"/>
    <numFmt numFmtId="170" formatCode="_-* #,##0.00\ _₫_-;\-* #,##0.00\ _₫_-;_-* \-??\ _₫_-;_-@_-"/>
    <numFmt numFmtId="171" formatCode="0.00_);\(0.00\)"/>
    <numFmt numFmtId="172" formatCode="_(* #,##0.000_);_(* \(#,##0.000\);_(* \-??_);_(@_)"/>
    <numFmt numFmtId="173" formatCode="_-* #,##0\ _₫_-;\-* #,##0\ _₫_-;_-* \-??\ _₫_-;_-@_-"/>
    <numFmt numFmtId="174" formatCode="_-* #,##0.0\ _₫_-;\-* #,##0.0\ _₫_-;_-* \-??\ _₫_-;_-@_-"/>
    <numFmt numFmtId="175" formatCode="0"/>
    <numFmt numFmtId="176" formatCode="0.000"/>
    <numFmt numFmtId="177" formatCode="_-* #,##0.000\ _₫_-;\-* #,##0.000\ _₫_-;_-* \-??\ _₫_-;_-@_-"/>
  </numFmts>
  <fonts count="38">
    <font>
      <sz val="11"/>
      <color theme="1"/>
      <name val="Calibri"/>
      <family val="2"/>
      <charset val="163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1"/>
      <color theme="1"/>
      <name val="Times New Roman"/>
      <family val="2"/>
      <charset val="1"/>
    </font>
    <font>
      <sz val="14"/>
      <color theme="1"/>
      <name val="Times New Roman"/>
      <family val="2"/>
      <charset val="163"/>
    </font>
    <font>
      <sz val="11"/>
      <color rgb="FFFF0000"/>
      <name val="Calibri"/>
      <family val="2"/>
      <charset val="163"/>
    </font>
    <font>
      <b val="true"/>
      <sz val="12"/>
      <name val="Times New Roman"/>
      <family val="1"/>
      <charset val="1"/>
    </font>
    <font>
      <sz val="16"/>
      <name val="Times New Roman"/>
      <family val="1"/>
      <charset val="1"/>
    </font>
    <font>
      <i val="true"/>
      <sz val="14"/>
      <name val="Times New Roman"/>
      <family val="1"/>
      <charset val="1"/>
    </font>
    <font>
      <sz val="14"/>
      <name val="Times New Roman"/>
      <family val="1"/>
      <charset val="1"/>
    </font>
    <font>
      <b val="true"/>
      <sz val="14"/>
      <name val="Times New Roman"/>
      <family val="1"/>
      <charset val="1"/>
    </font>
    <font>
      <sz val="11"/>
      <name val="Times New Roman"/>
      <family val="1"/>
      <charset val="1"/>
    </font>
    <font>
      <b val="true"/>
      <sz val="11"/>
      <name val="Times New Roman"/>
      <family val="1"/>
      <charset val="1"/>
    </font>
    <font>
      <sz val="10"/>
      <name val="Times New Roman"/>
      <family val="1"/>
      <charset val="1"/>
    </font>
    <font>
      <b val="true"/>
      <sz val="13"/>
      <name val="Times New Roman"/>
      <family val="1"/>
      <charset val="1"/>
    </font>
    <font>
      <sz val="13"/>
      <name val="Times New Roman"/>
      <family val="2"/>
      <charset val="1"/>
    </font>
    <font>
      <i val="true"/>
      <sz val="13"/>
      <name val="Times New Roman"/>
      <family val="1"/>
      <charset val="1"/>
    </font>
    <font>
      <sz val="13"/>
      <name val="Times New Roman"/>
      <family val="1"/>
      <charset val="1"/>
    </font>
    <font>
      <sz val="13"/>
      <name val=".VnTime"/>
      <family val="2"/>
      <charset val="1"/>
    </font>
    <font>
      <b val="true"/>
      <sz val="12"/>
      <color theme="1"/>
      <name val="Times New Roman"/>
      <family val="1"/>
      <charset val="1"/>
    </font>
    <font>
      <sz val="12"/>
      <color theme="1"/>
      <name val="Times New Roman"/>
      <family val="2"/>
      <charset val="163"/>
    </font>
    <font>
      <sz val="13"/>
      <name val=".VnTimeH"/>
      <family val="2"/>
      <charset val="1"/>
    </font>
    <font>
      <sz val="11"/>
      <name val="Arial"/>
      <family val="2"/>
      <charset val="1"/>
    </font>
    <font>
      <sz val="11"/>
      <name val=".VnTime"/>
      <family val="2"/>
      <charset val="1"/>
    </font>
    <font>
      <b val="true"/>
      <sz val="13"/>
      <name val=".vntime"/>
      <family val="2"/>
      <charset val="1"/>
    </font>
    <font>
      <sz val="12"/>
      <name val=".VnTime"/>
      <family val="2"/>
      <charset val="1"/>
    </font>
    <font>
      <b val="true"/>
      <sz val="12"/>
      <name val=".VnTime"/>
      <family val="2"/>
      <charset val="1"/>
    </font>
    <font>
      <b val="true"/>
      <sz val="11"/>
      <name val=".VnTime"/>
      <family val="2"/>
      <charset val="1"/>
    </font>
    <font>
      <sz val="13.5"/>
      <name val="Times New Roman"/>
      <family val="1"/>
      <charset val="1"/>
    </font>
    <font>
      <b val="true"/>
      <sz val="11"/>
      <color theme="1"/>
      <name val="Calibri"/>
      <family val="2"/>
      <charset val="1"/>
    </font>
    <font>
      <sz val="12"/>
      <color theme="1"/>
      <name val="Calibri"/>
      <family val="2"/>
      <charset val="163"/>
    </font>
    <font>
      <sz val="12.5"/>
      <color theme="1"/>
      <name val="Calibri"/>
      <family val="2"/>
      <charset val="163"/>
    </font>
    <font>
      <b val="true"/>
      <sz val="11"/>
      <color rgb="FFFF0000"/>
      <name val="Calibri"/>
      <family val="2"/>
      <charset val="163"/>
    </font>
    <font>
      <sz val="12.5"/>
      <name val="Times New Roman"/>
      <family val="1"/>
      <charset val="1"/>
    </font>
    <font>
      <b val="true"/>
      <sz val="11"/>
      <name val="Calibri"/>
      <family val="2"/>
      <charset val="1"/>
    </font>
    <font>
      <sz val="11"/>
      <name val="Calibri"/>
      <family val="2"/>
      <charset val="163"/>
    </font>
    <font>
      <sz val="12"/>
      <name val="Times New Roman"/>
      <family val="1"/>
      <charset val="1"/>
    </font>
  </fonts>
  <fills count="4">
    <fill>
      <patternFill patternType="none"/>
    </fill>
    <fill>
      <patternFill patternType="gray125"/>
    </fill>
    <fill>
      <patternFill patternType="solid">
        <fgColor theme="0"/>
        <bgColor rgb="FFFFFFCC"/>
      </patternFill>
    </fill>
    <fill>
      <patternFill patternType="solid">
        <fgColor rgb="FFFFFF00"/>
        <bgColor rgb="FFFFFF00"/>
      </patternFill>
    </fill>
  </fills>
  <borders count="9">
    <border diagonalUp="false" diagonalDown="false">
      <left/>
      <right/>
      <top/>
      <bottom/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 style="thin"/>
      <right/>
      <top/>
      <bottom/>
      <diagonal/>
    </border>
    <border diagonalUp="false" diagonalDown="false">
      <left style="thin"/>
      <right style="thin"/>
      <top style="hair"/>
      <bottom style="hair"/>
      <diagonal/>
    </border>
    <border diagonalUp="false" diagonalDown="false">
      <left/>
      <right/>
      <top/>
      <bottom style="thin"/>
      <diagonal/>
    </border>
    <border diagonalUp="false" diagonalDown="false">
      <left style="thin"/>
      <right style="thin"/>
      <top style="thin"/>
      <bottom/>
      <diagonal/>
    </border>
    <border diagonalUp="false" diagonalDown="false">
      <left/>
      <right style="thin"/>
      <top style="thin"/>
      <bottom style="thin"/>
      <diagonal/>
    </border>
    <border diagonalUp="false" diagonalDown="false">
      <left style="thin"/>
      <right style="thin"/>
      <top/>
      <bottom style="thin"/>
      <diagonal/>
    </border>
    <border diagonalUp="false" diagonalDown="false">
      <left style="thin"/>
      <right style="thin"/>
      <top style="thin"/>
      <bottom style="hair"/>
      <diagonal/>
    </border>
  </borders>
  <cellStyleXfs count="24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165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  <xf numFmtId="165" fontId="4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</cellStyleXfs>
  <cellXfs count="123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0" borderId="0" xfId="0" applyFont="true" applyBorder="false" applyAlignment="true" applyProtection="false">
      <alignment horizontal="general" vertical="center" textRotation="0" wrapText="true" indent="0" shrinkToFit="false"/>
      <protection locked="true" hidden="false"/>
    </xf>
    <xf numFmtId="164" fontId="9" fillId="0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9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10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11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12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13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12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12" fillId="0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2" fillId="0" borderId="3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2" fillId="0" borderId="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12" fillId="0" borderId="3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8" fontId="12" fillId="0" borderId="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2" fillId="0" borderId="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13" fillId="0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3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12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14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9" fontId="14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70" fontId="14" fillId="0" borderId="0" xfId="15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15" fillId="0" borderId="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16" fillId="0" borderId="0" xfId="15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7" fillId="0" borderId="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8" fillId="0" borderId="0" xfId="22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9" fillId="0" borderId="0" xfId="22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70" fontId="19" fillId="0" borderId="0" xfId="15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1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0" fillId="0" borderId="0" xfId="23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21" fillId="0" borderId="0" xfId="23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21" fillId="0" borderId="0" xfId="23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22" fillId="0" borderId="4" xfId="22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3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9" fontId="13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9" fontId="13" fillId="0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9" fontId="13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9" fontId="13" fillId="0" borderId="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15" fillId="0" borderId="6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8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70" fontId="18" fillId="0" borderId="0" xfId="15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9" fontId="13" fillId="0" borderId="7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9" fontId="18" fillId="0" borderId="8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18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70" fontId="18" fillId="0" borderId="0" xfId="15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1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5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7" fontId="12" fillId="0" borderId="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1" fontId="12" fillId="0" borderId="3" xfId="2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9" fontId="12" fillId="0" borderId="3" xfId="2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0" fontId="23" fillId="2" borderId="3" xfId="15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2" fillId="0" borderId="3" xfId="2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2" fontId="12" fillId="0" borderId="3" xfId="2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18" fillId="0" borderId="3" xfId="2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0" fontId="18" fillId="0" borderId="0" xfId="15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1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1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3" fillId="0" borderId="7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4" fillId="0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4" fillId="0" borderId="7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24" fillId="0" borderId="7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24" fillId="0" borderId="7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3" fillId="0" borderId="7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3" fontId="25" fillId="0" borderId="0" xfId="15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3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2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2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2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26" fillId="0" borderId="0" xfId="15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3" fontId="26" fillId="0" borderId="0" xfId="15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3" fontId="27" fillId="0" borderId="0" xfId="15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8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24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24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74" fontId="26" fillId="0" borderId="0" xfId="15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4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26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73" fontId="2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29" fillId="0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30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3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3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3" fontId="18" fillId="0" borderId="0" xfId="15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19" fillId="0" borderId="0" xfId="15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3" fontId="19" fillId="0" borderId="0" xfId="15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5" fontId="2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4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24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24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3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33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76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6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13" fillId="0" borderId="6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2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9" fontId="12" fillId="0" borderId="8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12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2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34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34" fillId="0" borderId="3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35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3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3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3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6" fontId="3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37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3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37" fillId="0" borderId="3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6" fontId="0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7" fontId="0" fillId="0" borderId="0" xfId="15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0" fillId="0" borderId="0" xfId="15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10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  <cellStyle name="Comma 2" xfId="20"/>
    <cellStyle name="Comma 2 2" xfId="21"/>
    <cellStyle name="Normal 2" xfId="22"/>
    <cellStyle name="Normal 2 2" xfId="23"/>
  </cellStyles>
</styleSheet>
</file>

<file path=xl/_rels/workbook.xml.rels><?xml version='1.0' encoding='UTF-8' standalone='yes'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worksheet" Target="worksheets/sheet13.xml"/><Relationship Id="rId16" Type="http://schemas.openxmlformats.org/officeDocument/2006/relationships/worksheet" Target="worksheets/sheet14.xml"/><Relationship Id="rId17" Type="http://schemas.openxmlformats.org/officeDocument/2006/relationships/worksheet" Target="worksheets/sheet15.xml"/><Relationship Id="rId18" Type="http://schemas.openxmlformats.org/officeDocument/2006/relationships/worksheet" Target="worksheets/sheet16.xml"/><Relationship Id="rId19" Type="http://schemas.openxmlformats.org/officeDocument/2006/relationships/worksheet" Target="worksheets/sheet17.xml"/><Relationship Id="rId20" Type="http://schemas.openxmlformats.org/officeDocument/2006/relationships/sharedStrings" Target="sharedStrings.xml"/>
<Relationship Id="rIdExt1" Type="http://schemas.openxmlformats.org/officeDocument/2006/relationships/externalLink" Target="externalLinks/externalLink1.xml"/></Relationships>
</file>

<file path=xl/drawings/_rels/drawing1.xml.rels><?xml version="1.0" encoding="UTF-8"?>
<Relationships xmlns="http://schemas.openxmlformats.org/package/2006/relationships"><Relationship Id="rId1" Type="http://schemas.openxmlformats.org/officeDocument/2006/relationships/image" Target="../media/image1.png"/>
</Relationships>
</file>

<file path=xl/drawings/_rels/drawing2.xml.rels><?xml version="1.0" encoding="UTF-8"?>
<Relationships xmlns="http://schemas.openxmlformats.org/package/2006/relationships"><Relationship Id="rId1" Type="http://schemas.openxmlformats.org/officeDocument/2006/relationships/image" Target="../media/image2.png"/>
</Relationships>
</file>

<file path=xl/drawings/_rels/drawing3.xml.rels><?xml version="1.0" encoding="UTF-8"?>
<Relationships xmlns="http://schemas.openxmlformats.org/package/2006/relationships"><Relationship Id="rId1" Type="http://schemas.openxmlformats.org/officeDocument/2006/relationships/image" Target="../media/image3.png"/>
</Relationships>
</file>

<file path=xl/drawings/_rels/drawing4.xml.rels><?xml version="1.0" encoding="UTF-8"?>
<Relationships xmlns="http://schemas.openxmlformats.org/package/2006/relationships"><Relationship Id="rId1" Type="http://schemas.openxmlformats.org/officeDocument/2006/relationships/image" Target="../media/image4.png"/>
</Relationships>
</file>

<file path=xl/drawings/_rels/drawing5.xml.rels><?xml version="1.0" encoding="UTF-8"?>
<Relationships xmlns="http://schemas.openxmlformats.org/package/2006/relationships"><Relationship Id="rId1" Type="http://schemas.openxmlformats.org/officeDocument/2006/relationships/image" Target="../media/image5.png"/>
</Relationships>
</file>

<file path=xl/drawings/_rels/drawing6.xml.rels><?xml version="1.0" encoding="UTF-8"?>
<Relationships xmlns="http://schemas.openxmlformats.org/package/2006/relationships"><Relationship Id="rId1" Type="http://schemas.openxmlformats.org/officeDocument/2006/relationships/image" Target="../media/image6.png"/>
</Relationships>
</file>

<file path=xl/drawings/_rels/drawing7.xml.rels><?xml version="1.0" encoding="UTF-8"?>
<Relationships xmlns="http://schemas.openxmlformats.org/package/2006/relationships"><Relationship Id="rId1" Type="http://schemas.openxmlformats.org/officeDocument/2006/relationships/image" Target="../media/image7.png"/>
</Relationships>
</file>

<file path=xl/drawings/_rels/drawing8.xml.rels><?xml version="1.0" encoding="UTF-8"?>
<Relationships xmlns="http://schemas.openxmlformats.org/package/2006/relationships"><Relationship Id="rId1" Type="http://schemas.openxmlformats.org/officeDocument/2006/relationships/image" Target="../media/image8.png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1</xdr:col>
      <xdr:colOff>398160</xdr:colOff>
      <xdr:row>7</xdr:row>
      <xdr:rowOff>225000</xdr:rowOff>
    </xdr:from>
    <xdr:to>
      <xdr:col>17</xdr:col>
      <xdr:colOff>284040</xdr:colOff>
      <xdr:row>17</xdr:row>
      <xdr:rowOff>49320</xdr:rowOff>
    </xdr:to>
    <xdr:pic>
      <xdr:nvPicPr>
        <xdr:cNvPr id="0" name="Picture 3" descr=""/>
        <xdr:cNvPicPr/>
      </xdr:nvPicPr>
      <xdr:blipFill>
        <a:blip r:embed="rId1"/>
        <a:stretch/>
      </xdr:blipFill>
      <xdr:spPr>
        <a:xfrm>
          <a:off x="871200" y="1910880"/>
          <a:ext cx="8170920" cy="1776960"/>
        </a:xfrm>
        <a:prstGeom prst="rect">
          <a:avLst/>
        </a:prstGeom>
        <a:ln w="0">
          <a:noFill/>
        </a:ln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1</xdr:col>
      <xdr:colOff>336240</xdr:colOff>
      <xdr:row>7</xdr:row>
      <xdr:rowOff>100800</xdr:rowOff>
    </xdr:from>
    <xdr:to>
      <xdr:col>17</xdr:col>
      <xdr:colOff>542160</xdr:colOff>
      <xdr:row>17</xdr:row>
      <xdr:rowOff>10800</xdr:rowOff>
    </xdr:to>
    <xdr:pic>
      <xdr:nvPicPr>
        <xdr:cNvPr id="1" name="Picture 3" descr=""/>
        <xdr:cNvPicPr/>
      </xdr:nvPicPr>
      <xdr:blipFill>
        <a:blip r:embed="rId1"/>
        <a:stretch/>
      </xdr:blipFill>
      <xdr:spPr>
        <a:xfrm>
          <a:off x="779400" y="1786680"/>
          <a:ext cx="8161200" cy="1862640"/>
        </a:xfrm>
        <a:prstGeom prst="rect">
          <a:avLst/>
        </a:prstGeom>
        <a:ln w="0">
          <a:noFill/>
        </a:ln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1</xdr:col>
      <xdr:colOff>403560</xdr:colOff>
      <xdr:row>7</xdr:row>
      <xdr:rowOff>212760</xdr:rowOff>
    </xdr:from>
    <xdr:to>
      <xdr:col>17</xdr:col>
      <xdr:colOff>406800</xdr:colOff>
      <xdr:row>17</xdr:row>
      <xdr:rowOff>21960</xdr:rowOff>
    </xdr:to>
    <xdr:pic>
      <xdr:nvPicPr>
        <xdr:cNvPr id="2" name="Picture 3" descr=""/>
        <xdr:cNvPicPr/>
      </xdr:nvPicPr>
      <xdr:blipFill>
        <a:blip r:embed="rId1"/>
        <a:stretch/>
      </xdr:blipFill>
      <xdr:spPr>
        <a:xfrm>
          <a:off x="866520" y="1898640"/>
          <a:ext cx="8166600" cy="1761840"/>
        </a:xfrm>
        <a:prstGeom prst="rect">
          <a:avLst/>
        </a:prstGeom>
        <a:ln w="0">
          <a:noFill/>
        </a:ln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2</xdr:col>
      <xdr:colOff>95400</xdr:colOff>
      <xdr:row>7</xdr:row>
      <xdr:rowOff>136080</xdr:rowOff>
    </xdr:from>
    <xdr:to>
      <xdr:col>18</xdr:col>
      <xdr:colOff>104400</xdr:colOff>
      <xdr:row>17</xdr:row>
      <xdr:rowOff>5760</xdr:rowOff>
    </xdr:to>
    <xdr:pic>
      <xdr:nvPicPr>
        <xdr:cNvPr id="3" name="Picture 2" descr=""/>
        <xdr:cNvPicPr/>
      </xdr:nvPicPr>
      <xdr:blipFill>
        <a:blip r:embed="rId1"/>
        <a:stretch/>
      </xdr:blipFill>
      <xdr:spPr>
        <a:xfrm>
          <a:off x="1011600" y="1821960"/>
          <a:ext cx="7921080" cy="1822320"/>
        </a:xfrm>
        <a:prstGeom prst="rect">
          <a:avLst/>
        </a:prstGeom>
        <a:ln w="0">
          <a:noFill/>
        </a:ln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1</xdr:col>
      <xdr:colOff>470520</xdr:colOff>
      <xdr:row>7</xdr:row>
      <xdr:rowOff>156960</xdr:rowOff>
    </xdr:from>
    <xdr:to>
      <xdr:col>17</xdr:col>
      <xdr:colOff>446040</xdr:colOff>
      <xdr:row>16</xdr:row>
      <xdr:rowOff>111600</xdr:rowOff>
    </xdr:to>
    <xdr:pic>
      <xdr:nvPicPr>
        <xdr:cNvPr id="4" name="Picture 3" descr=""/>
        <xdr:cNvPicPr/>
      </xdr:nvPicPr>
      <xdr:blipFill>
        <a:blip r:embed="rId1"/>
        <a:stretch/>
      </xdr:blipFill>
      <xdr:spPr>
        <a:xfrm>
          <a:off x="923400" y="1842840"/>
          <a:ext cx="7808760" cy="1716840"/>
        </a:xfrm>
        <a:prstGeom prst="rect">
          <a:avLst/>
        </a:prstGeom>
        <a:ln w="0">
          <a:noFill/>
        </a:ln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1</xdr:col>
      <xdr:colOff>380880</xdr:colOff>
      <xdr:row>7</xdr:row>
      <xdr:rowOff>134640</xdr:rowOff>
    </xdr:from>
    <xdr:to>
      <xdr:col>18</xdr:col>
      <xdr:colOff>19440</xdr:colOff>
      <xdr:row>17</xdr:row>
      <xdr:rowOff>47520</xdr:rowOff>
    </xdr:to>
    <xdr:pic>
      <xdr:nvPicPr>
        <xdr:cNvPr id="5" name="Picture 2" descr=""/>
        <xdr:cNvPicPr/>
      </xdr:nvPicPr>
      <xdr:blipFill>
        <a:blip r:embed="rId1"/>
        <a:stretch/>
      </xdr:blipFill>
      <xdr:spPr>
        <a:xfrm>
          <a:off x="833760" y="1820520"/>
          <a:ext cx="8236800" cy="1865520"/>
        </a:xfrm>
        <a:prstGeom prst="rect">
          <a:avLst/>
        </a:prstGeom>
        <a:ln w="0">
          <a:noFill/>
        </a:ln>
      </xdr:spPr>
    </xdr:pic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2</xdr:col>
      <xdr:colOff>11160</xdr:colOff>
      <xdr:row>7</xdr:row>
      <xdr:rowOff>145800</xdr:rowOff>
    </xdr:from>
    <xdr:to>
      <xdr:col>17</xdr:col>
      <xdr:colOff>596160</xdr:colOff>
      <xdr:row>16</xdr:row>
      <xdr:rowOff>183240</xdr:rowOff>
    </xdr:to>
    <xdr:pic>
      <xdr:nvPicPr>
        <xdr:cNvPr id="6" name="Picture 2" descr=""/>
        <xdr:cNvPicPr/>
      </xdr:nvPicPr>
      <xdr:blipFill>
        <a:blip r:embed="rId1"/>
        <a:stretch/>
      </xdr:blipFill>
      <xdr:spPr>
        <a:xfrm>
          <a:off x="977760" y="1831680"/>
          <a:ext cx="8305920" cy="1799640"/>
        </a:xfrm>
        <a:prstGeom prst="rect">
          <a:avLst/>
        </a:prstGeom>
        <a:ln w="0">
          <a:noFill/>
        </a:ln>
      </xdr:spPr>
    </xdr:pic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2</xdr:col>
      <xdr:colOff>13680</xdr:colOff>
      <xdr:row>7</xdr:row>
      <xdr:rowOff>176760</xdr:rowOff>
    </xdr:from>
    <xdr:to>
      <xdr:col>17</xdr:col>
      <xdr:colOff>642600</xdr:colOff>
      <xdr:row>17</xdr:row>
      <xdr:rowOff>166680</xdr:rowOff>
    </xdr:to>
    <xdr:pic>
      <xdr:nvPicPr>
        <xdr:cNvPr id="7" name="Picture 2" descr=""/>
        <xdr:cNvPicPr/>
      </xdr:nvPicPr>
      <xdr:blipFill>
        <a:blip r:embed="rId1"/>
        <a:stretch/>
      </xdr:blipFill>
      <xdr:spPr>
        <a:xfrm>
          <a:off x="980280" y="1862640"/>
          <a:ext cx="8349840" cy="1942560"/>
        </a:xfrm>
        <a:prstGeom prst="rect">
          <a:avLst/>
        </a:prstGeom>
        <a:ln w="0">
          <a:noFill/>
        </a:ln>
      </xdr:spPr>
    </xdr:pic>
    <xdr:clientData/>
  </xdr:twoCellAnchor>
</xdr:wsDr>
</file>

<file path=xl/externalLinks/_rels/externalLink1.xml.rels><?xml version="1.0" encoding="UTF-8" standalone="yes"?>
<Relationships xmlns="http://schemas.openxmlformats.org/package/2006/relationships"><Relationship Id="rId1" Type="http://schemas.openxmlformats.org/officeDocument/2006/relationships/externalLinkPath" Target="1.%20Danh%20m%E1%BB%A5c%20nghi%E1%BB%87m%20thu%20-%20XD8%20%C4%91o%E1%BA%A1n%203.xlsx" TargetMode="External"/>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IN"/>
      <sheetName val="Tuyến XD8"/>
      <sheetName val="1. PL đường đen"/>
      <sheetName val="2. Cao độ đào nền"/>
      <sheetName val="2. KL đào nền"/>
      <sheetName val="3. KTHH vải lọc"/>
      <sheetName val="3. KL vải lọc"/>
      <sheetName val="chạy VL"/>
      <sheetName val="KL tưới nhựa"/>
      <sheetName val="CĐ mặt đường"/>
      <sheetName val="KL BTN"/>
    </sheetNames>
    <sheetDataSet>
      <sheetData sheetId="0"/>
      <sheetData sheetId="1">
        <row r="3">
          <cell r="A3">
            <v>57</v>
          </cell>
          <cell r="B3" t="str">
            <v xml:space="preserve">Kiểm tra cao độ đường đen đoạn từ Km0+489,19 -:- Km0+609,11</v>
          </cell>
          <cell r="D3" t="str">
            <v xml:space="preserve">ngày 12 tháng 09 năm 2026</v>
          </cell>
          <cell r="G3" t="str">
            <v xml:space="preserve">57.NĐXD8/CVXD </v>
          </cell>
        </row>
        <row r="4">
          <cell r="A4">
            <v>58</v>
          </cell>
          <cell r="B4" t="str">
            <v xml:space="preserve">Đào đất xử lý nền đường đoạn từ Km0+489,19 - Km0+609,11</v>
          </cell>
          <cell r="D4" t="str">
            <v xml:space="preserve">ngày 13 tháng 09 năm 2026</v>
          </cell>
          <cell r="G4" t="str">
            <v xml:space="preserve">58.NĐXD8/CVXD </v>
          </cell>
        </row>
        <row r="5">
          <cell r="A5">
            <v>59</v>
          </cell>
          <cell r="B5" t="str">
            <v xml:space="preserve">Rải vải địa kỹ thuật đoạn từ Km0+489,19 - Km0+609,11</v>
          </cell>
          <cell r="D5" t="str">
            <v xml:space="preserve">ngày 14 tháng 09 năm 2026</v>
          </cell>
          <cell r="G5" t="str">
            <v xml:space="preserve">59.NĐXD8/CVXD </v>
          </cell>
        </row>
        <row r="6">
          <cell r="A6">
            <v>60</v>
          </cell>
          <cell r="B6" t="str">
            <v xml:space="preserve">Đắp cát nền đường lớp 1 đoạn từ Km0+489,19 - Km0+609,11, độ chặt K&gt;=0,95</v>
          </cell>
          <cell r="D6" t="str">
            <v xml:space="preserve">ngày 14 tháng 09 năm 2026</v>
          </cell>
          <cell r="G6" t="str">
            <v xml:space="preserve">60.NĐXD8/CVXD </v>
          </cell>
        </row>
        <row r="7">
          <cell r="A7">
            <v>61</v>
          </cell>
          <cell r="B7" t="str">
            <v xml:space="preserve">Đắp cát nền đường lớp 2 đoạn từ Km0+489,19 - Km0+609,11, độ chặt K&gt;=0,95</v>
          </cell>
          <cell r="D7" t="str">
            <v xml:space="preserve">ngày 15 tháng 09 năm 2026</v>
          </cell>
          <cell r="G7" t="str">
            <v xml:space="preserve">61.NĐXD8/CVXD </v>
          </cell>
        </row>
        <row r="8">
          <cell r="A8">
            <v>62</v>
          </cell>
          <cell r="B8" t="str">
            <v xml:space="preserve">Đắp cát nền đường lớp 3 đoạn từ Km0+489,19 - Km0+609,11, độ chặt K&gt;=0,95</v>
          </cell>
          <cell r="D8" t="str">
            <v xml:space="preserve">ngày 15 tháng 09 năm 2026</v>
          </cell>
          <cell r="G8" t="str">
            <v xml:space="preserve">62.NĐXD8/CVXD </v>
          </cell>
        </row>
        <row r="9">
          <cell r="A9">
            <v>63</v>
          </cell>
          <cell r="B9" t="str">
            <v xml:space="preserve">Đắp cát nền đường lớp 4 đoạn từ Km0+489,19 - Km0+609,11, độ chặt K&gt;=0,95</v>
          </cell>
          <cell r="D9" t="str">
            <v xml:space="preserve">ngày 16 tháng 09 năm 2026</v>
          </cell>
          <cell r="G9" t="str">
            <v xml:space="preserve">63.NĐXD8/CVXD </v>
          </cell>
        </row>
        <row r="10">
          <cell r="A10">
            <v>64</v>
          </cell>
          <cell r="B10" t="str">
            <v xml:space="preserve">Đắp đất nền đường lớp 1 đoạn từ Km0+489,19 - Km0+609,11, độ chặt K&gt;=0,95</v>
          </cell>
          <cell r="D10" t="str">
            <v xml:space="preserve">ngày 16 tháng 09 năm 2026</v>
          </cell>
          <cell r="G10" t="str">
            <v xml:space="preserve">64.NĐXD8/CVXD </v>
          </cell>
        </row>
        <row r="11">
          <cell r="A11">
            <v>65</v>
          </cell>
          <cell r="B11" t="str">
            <v xml:space="preserve">Đắp đất nền đường lớp 2 đoạn từ Km0+489,19 - Km0+609,11, độ chặt K&gt;=0,95</v>
          </cell>
          <cell r="D11" t="str">
            <v xml:space="preserve">ngày 17 tháng 09 năm 2026</v>
          </cell>
          <cell r="G11" t="str">
            <v xml:space="preserve">65.NĐXD8/CVXD </v>
          </cell>
        </row>
        <row r="12">
          <cell r="A12">
            <v>66</v>
          </cell>
          <cell r="B12" t="str">
            <v xml:space="preserve">Đắp đất nền đường lớp 3 đoạn từ Km0+489,19 - Km0+609,11, độ chặt K&gt;=0,95</v>
          </cell>
          <cell r="D12" t="str">
            <v xml:space="preserve">ngày 17 tháng 09 năm 2026</v>
          </cell>
          <cell r="G12" t="str">
            <v xml:space="preserve">66.NĐXD8/CVXD </v>
          </cell>
        </row>
        <row r="13">
          <cell r="A13">
            <v>67</v>
          </cell>
          <cell r="B13" t="str">
            <v xml:space="preserve">Đắp đất nền đường lớp 4 đoạn từ Km0+489,19 - Km0+609,11, độ chặt K&gt;=0,95</v>
          </cell>
          <cell r="D13" t="str">
            <v xml:space="preserve">ngày 18 tháng 09 năm 2026</v>
          </cell>
          <cell r="G13" t="str">
            <v xml:space="preserve">67.NĐXD8/CVXD </v>
          </cell>
        </row>
        <row r="14">
          <cell r="A14">
            <v>68</v>
          </cell>
          <cell r="B14" t="str">
            <v xml:space="preserve">Đắp đất nền đường lớp 5 đoạn từ Km0+489,19 - Km0+609,11, độ chặt K&gt;=0,95</v>
          </cell>
          <cell r="D14" t="str">
            <v xml:space="preserve">ngày 18 tháng 09 năm 2026</v>
          </cell>
          <cell r="G14" t="str">
            <v xml:space="preserve">68.NĐXD8/CVXD </v>
          </cell>
        </row>
        <row r="15">
          <cell r="A15">
            <v>69</v>
          </cell>
          <cell r="B15" t="str">
            <v xml:space="preserve">Đắp đất nền đường lớp 6 đoạn từ Km0+489,19 - Km0+609,11, độ chặt K&gt;=0,95</v>
          </cell>
          <cell r="D15" t="str">
            <v xml:space="preserve">ngày 19 tháng 09 năm 2026</v>
          </cell>
          <cell r="G15" t="str">
            <v xml:space="preserve">69.NĐXD8/CVXD </v>
          </cell>
        </row>
        <row r="16">
          <cell r="A16">
            <v>70</v>
          </cell>
          <cell r="B16" t="str">
            <v xml:space="preserve">Đắp đất nền đường lớp 7 đoạn từ Km0+489,19 - Km0+609,11, độ chặt K&gt;=0,95</v>
          </cell>
          <cell r="D16" t="str">
            <v xml:space="preserve">ngày 19 tháng 09 năm 2026</v>
          </cell>
          <cell r="G16" t="str">
            <v xml:space="preserve">70.NĐXD8/CVXD </v>
          </cell>
        </row>
        <row r="17">
          <cell r="A17">
            <v>71</v>
          </cell>
          <cell r="B17" t="str">
            <v xml:space="preserve">Đắp đất nền đường lớp 8 đoạn từ Km0+489,19 - Km0+609,11, độ chặt K&gt;=0,95</v>
          </cell>
          <cell r="D17" t="str">
            <v xml:space="preserve">ngày 20 tháng 09 năm 2026</v>
          </cell>
          <cell r="G17" t="str">
            <v xml:space="preserve">71.NĐXD8/CVXD </v>
          </cell>
        </row>
        <row r="18">
          <cell r="A18">
            <v>72</v>
          </cell>
          <cell r="B18" t="str">
            <v xml:space="preserve">Đắp đất nền đường lớp 1, độ chặt K&gt;=0,98 đoạn từ Km0+489,19 - Km0+609,11</v>
          </cell>
          <cell r="D18" t="str">
            <v xml:space="preserve">ngày 21 tháng 09 năm 2026</v>
          </cell>
          <cell r="G18" t="str">
            <v xml:space="preserve">72.NĐXD8/CVXD </v>
          </cell>
        </row>
        <row r="19">
          <cell r="A19">
            <v>73</v>
          </cell>
          <cell r="B19" t="str">
            <v xml:space="preserve">Đắp đất lề đường lớp 1, độ chặt K&gt;=0,95 đoạn từ Km0+489,19 - Km0+609,11</v>
          </cell>
          <cell r="D19" t="str">
            <v xml:space="preserve">ngày 21 tháng 09 năm 2026</v>
          </cell>
          <cell r="G19" t="str">
            <v xml:space="preserve">73.NĐXD8/CVXD </v>
          </cell>
        </row>
        <row r="20">
          <cell r="A20">
            <v>74</v>
          </cell>
          <cell r="B20" t="str">
            <v xml:space="preserve">Đắp đất nền đường lớp 2, độ chặt K&gt;=0,98 đoạn từ Km0+489,19 - Km0+609,11</v>
          </cell>
          <cell r="D20" t="str">
            <v xml:space="preserve">ngày 22 tháng 09 năm 2026</v>
          </cell>
          <cell r="G20" t="str">
            <v xml:space="preserve">74.NĐXD8/CVXD </v>
          </cell>
        </row>
        <row r="21">
          <cell r="A21">
            <v>75</v>
          </cell>
          <cell r="B21" t="str">
            <v xml:space="preserve">Đắp đất lề đường lớp 2, độ chặt K&gt;=0,95 đoạn từ Km0+489,19 - Km0+609,11</v>
          </cell>
          <cell r="D21" t="str">
            <v xml:space="preserve">ngày 22 tháng 09 năm 2026</v>
          </cell>
          <cell r="G21" t="str">
            <v xml:space="preserve">75.NĐXD8/CVXD </v>
          </cell>
        </row>
        <row r="22">
          <cell r="A22">
            <v>76</v>
          </cell>
          <cell r="B22" t="str">
            <v xml:space="preserve">Đắp cấp phối đá dăm loại 2 đoạn từ Km0+489,19 - Km0+609,11</v>
          </cell>
          <cell r="D22" t="str">
            <v xml:space="preserve">ngày 23 tháng 09 năm 2026</v>
          </cell>
          <cell r="G22" t="str">
            <v xml:space="preserve">76.NĐXD8/CVXD </v>
          </cell>
        </row>
        <row r="23">
          <cell r="A23">
            <v>77</v>
          </cell>
          <cell r="B23" t="str">
            <v xml:space="preserve">Đắp đất lề đường lớp 3, độ chặt K&gt;=0,95 đoạn từ Km0+489,19 - Km0+609,11</v>
          </cell>
          <cell r="D23" t="str">
            <v xml:space="preserve">ngày 23 tháng 09 năm 2026</v>
          </cell>
          <cell r="G23" t="str">
            <v xml:space="preserve">77.NĐXD8/CVXD </v>
          </cell>
        </row>
        <row r="24">
          <cell r="A24">
            <v>78</v>
          </cell>
          <cell r="B24" t="str">
            <v xml:space="preserve">Đắp đất lề đường lớp 4, độ chặt K&gt;=0,95 đoạn từ Km0+489,19 - Km0+609,11</v>
          </cell>
          <cell r="D24" t="str">
            <v xml:space="preserve">ngày 24 tháng 09 năm 2026</v>
          </cell>
          <cell r="G24" t="str">
            <v xml:space="preserve">78.NĐXD8/CVXD </v>
          </cell>
        </row>
        <row r="25">
          <cell r="A25">
            <v>79</v>
          </cell>
          <cell r="B25" t="str">
            <v xml:space="preserve">Đắp cấp phối đá dăm loại 1 đoạn từ Km0+489,19 - Km0+609,11</v>
          </cell>
          <cell r="D25" t="str">
            <v xml:space="preserve">ngày 24 tháng 09 năm 2026</v>
          </cell>
          <cell r="G25" t="str">
            <v xml:space="preserve">79.NĐXD8/CVXD </v>
          </cell>
        </row>
        <row r="26">
          <cell r="A26">
            <v>80</v>
          </cell>
          <cell r="B26" t="str">
            <v xml:space="preserve">Vệ sinh, thổi bụi mặt đường </v>
          </cell>
          <cell r="D26" t="str">
            <v xml:space="preserve">ngày 26 tháng 09 năm 2026</v>
          </cell>
          <cell r="G26" t="str">
            <v xml:space="preserve">80.NĐXD8/CVXD </v>
          </cell>
        </row>
        <row r="27">
          <cell r="A27">
            <v>81</v>
          </cell>
          <cell r="B27" t="str">
            <v xml:space="preserve">Tưới lớp thấm bám mặt đường, nhựa MC70, lượng nhựa 1kg/m2</v>
          </cell>
          <cell r="D27" t="str">
            <v xml:space="preserve">ngày 28 tháng 09 năm 2026</v>
          </cell>
          <cell r="G27" t="str">
            <v xml:space="preserve">81.NĐXD8/CVXD </v>
          </cell>
        </row>
        <row r="28">
          <cell r="A28">
            <v>82</v>
          </cell>
          <cell r="B28" t="str">
            <v xml:space="preserve">Rải thảm mặt đường bê tông nhựa C16 - Chiều dày mặt đường đã lèn ép 6cm</v>
          </cell>
          <cell r="D28" t="str">
            <v xml:space="preserve">ngày 01 tháng 10 năm 2026</v>
          </cell>
          <cell r="G28" t="str">
            <v xml:space="preserve">82.NĐXD8/CVXD </v>
          </cell>
        </row>
        <row r="29">
          <cell r="A29">
            <v>83</v>
          </cell>
          <cell r="B29" t="str">
            <v xml:space="preserve">Bê tông nhựa C16 - Chiều dày mặt đường đã lèn ép 6cm</v>
          </cell>
          <cell r="D29" t="str">
            <v xml:space="preserve">ngày 03 tháng 10 năm 2026</v>
          </cell>
          <cell r="G29" t="str">
            <v xml:space="preserve">83.NĐXD8/CVXD </v>
          </cell>
        </row>
      </sheetData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</sheetDataSet>
  </externalBook>
</externalLink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_rels/sheet6.xml.rels><?xml version="1.0" encoding="UTF-8"?>
<Relationships xmlns="http://schemas.openxmlformats.org/package/2006/relationships"><Relationship Id="rId1" Type="http://schemas.openxmlformats.org/officeDocument/2006/relationships/drawing" Target="../drawings/drawing3.xml"/>
</Relationships>
</file>

<file path=xl/worksheets/_rels/sheet8.xml.rels><?xml version="1.0" encoding="UTF-8"?>
<Relationships xmlns="http://schemas.openxmlformats.org/package/2006/relationships"><Relationship Id="rId1" Type="http://schemas.openxmlformats.org/officeDocument/2006/relationships/drawing" Target="../drawings/drawing4.xml"/>
</Relationships>
</file>

<file path=xl/worksheets/_rels/sheet10.xml.rels><?xml version="1.0" encoding="UTF-8"?>
<Relationships xmlns="http://schemas.openxmlformats.org/package/2006/relationships"><Relationship Id="rId1" Type="http://schemas.openxmlformats.org/officeDocument/2006/relationships/drawing" Target="../drawings/drawing5.xml"/>
</Relationships>
</file>

<file path=xl/worksheets/_rels/sheet12.xml.rels><?xml version="1.0" encoding="UTF-8"?>
<Relationships xmlns="http://schemas.openxmlformats.org/package/2006/relationships"><Relationship Id="rId1" Type="http://schemas.openxmlformats.org/officeDocument/2006/relationships/drawing" Target="../drawings/drawing6.xml"/>
</Relationships>
</file>

<file path=xl/worksheets/_rels/sheet14.xml.rels><?xml version="1.0" encoding="UTF-8"?>
<Relationships xmlns="http://schemas.openxmlformats.org/package/2006/relationships"><Relationship Id="rId1" Type="http://schemas.openxmlformats.org/officeDocument/2006/relationships/drawing" Target="../drawings/drawing7.xml"/>
</Relationships>
</file>

<file path=xl/worksheets/_rels/sheet16.xml.rels><?xml version="1.0" encoding="UTF-8"?>
<Relationships xmlns="http://schemas.openxmlformats.org/package/2006/relationships"><Relationship Id="rId1" Type="http://schemas.openxmlformats.org/officeDocument/2006/relationships/drawing" Target="../drawings/drawing8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Q97"/>
  <sheetViews>
    <sheetView showFormulas="false" showGridLines="true" showRowColHeaders="true" showZeros="true" rightToLeft="false" tabSelected="false" showOutlineSymbols="true" defaultGridColor="true" view="normal" topLeftCell="B216" colorId="64" zoomScale="100" zoomScaleNormal="100" zoomScalePageLayoutView="100" workbookViewId="0">
      <selection pane="topLeft" activeCell="T228" activeCellId="0" sqref="T228"/>
    </sheetView>
  </sheetViews>
  <sheetFormatPr defaultColWidth="7.00390625" defaultRowHeight="15" zeroHeight="false" outlineLevelRow="0" outlineLevelCol="0"/>
  <cols>
    <col collapsed="false" customWidth="true" hidden="true" outlineLevel="0" max="1" min="1" style="1" width="11.53"/>
    <col collapsed="false" customWidth="false" hidden="false" outlineLevel="0" max="2" min="2" style="2" width="7"/>
    <col collapsed="false" customWidth="false" hidden="false" outlineLevel="0" max="7" min="7" style="2" width="7"/>
    <col collapsed="false" customWidth="true" hidden="true" outlineLevel="0" max="9" min="8" style="1" width="11.53"/>
    <col collapsed="false" customWidth="false" hidden="false" outlineLevel="0" max="11" min="11" style="2" width="7"/>
    <col collapsed="false" customWidth="false" hidden="false" outlineLevel="0" max="13" min="13" style="2" width="7"/>
    <col collapsed="false" customWidth="false" hidden="false" outlineLevel="0" max="15" min="14" style="1" width="7"/>
  </cols>
  <sheetData>
    <row r="1" customFormat="false" ht="15" hidden="false" customHeight="false" outlineLevel="0" collapsed="false">
      <c r="A1" s="1" t="s">
        <v>0</v>
      </c>
      <c r="B1" s="2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1" t="s">
        <v>11</v>
      </c>
      <c r="M1" s="2" t="s">
        <v>12</v>
      </c>
      <c r="N1" s="1" t="s">
        <v>13</v>
      </c>
      <c r="O1" s="1" t="s">
        <v>14</v>
      </c>
      <c r="P1" s="1" t="s">
        <v>15</v>
      </c>
      <c r="Q1" s="1" t="s">
        <v>16</v>
      </c>
    </row>
    <row r="2" customFormat="false" ht="15" hidden="false" customHeight="false" outlineLevel="0" collapsed="false">
      <c r="A2" s="1" t="n">
        <v>1</v>
      </c>
      <c r="B2" s="2" t="s">
        <v>17</v>
      </c>
      <c r="C2" s="0" t="n">
        <v>489.19</v>
      </c>
      <c r="D2" s="0" t="n">
        <v>8</v>
      </c>
      <c r="E2" s="0" t="n">
        <v>7.31</v>
      </c>
      <c r="F2" s="0" t="n">
        <v>-11.95</v>
      </c>
      <c r="G2" s="2" t="n">
        <v>1.87</v>
      </c>
      <c r="H2" s="1" t="n">
        <v>-5.25</v>
      </c>
      <c r="I2" s="1" t="n">
        <v>1.87</v>
      </c>
      <c r="J2" s="0" t="n">
        <v>0</v>
      </c>
      <c r="K2" s="2" t="n">
        <v>1.99</v>
      </c>
      <c r="L2" s="0" t="n">
        <v>5.25</v>
      </c>
      <c r="M2" s="2" t="n">
        <v>1.87</v>
      </c>
      <c r="N2" s="1" t="n">
        <v>11.95</v>
      </c>
      <c r="O2" s="1" t="n">
        <v>1.87</v>
      </c>
      <c r="P2" s="0" t="n">
        <v>63.94</v>
      </c>
      <c r="Q2" s="0" t="n">
        <v>11.55</v>
      </c>
    </row>
    <row r="3" customFormat="false" ht="15" hidden="false" customHeight="false" outlineLevel="0" collapsed="false">
      <c r="D3" s="0" t="n">
        <v>7</v>
      </c>
      <c r="E3" s="0" t="n">
        <v>7.01</v>
      </c>
      <c r="F3" s="0" t="n">
        <v>-12.4</v>
      </c>
      <c r="G3" s="2" t="n">
        <v>1.57</v>
      </c>
      <c r="H3" s="1" t="n">
        <v>-5.25</v>
      </c>
      <c r="I3" s="1" t="n">
        <v>1.57</v>
      </c>
      <c r="J3" s="0" t="n">
        <v>0</v>
      </c>
      <c r="K3" s="2" t="n">
        <v>1.69</v>
      </c>
      <c r="L3" s="0" t="n">
        <v>5.25</v>
      </c>
      <c r="M3" s="2" t="n">
        <v>1.57</v>
      </c>
      <c r="N3" s="1" t="n">
        <v>12.4</v>
      </c>
      <c r="O3" s="1" t="n">
        <v>1.57</v>
      </c>
    </row>
    <row r="4" customFormat="false" ht="15" hidden="false" customHeight="false" outlineLevel="0" collapsed="false">
      <c r="D4" s="0" t="n">
        <v>6</v>
      </c>
      <c r="E4" s="0" t="n">
        <v>7.02</v>
      </c>
      <c r="F4" s="0" t="n">
        <v>-12.85</v>
      </c>
      <c r="G4" s="2" t="n">
        <v>1.27</v>
      </c>
      <c r="H4" s="1" t="n">
        <v>-5.25</v>
      </c>
      <c r="I4" s="1" t="n">
        <v>1.27</v>
      </c>
      <c r="J4" s="0" t="n">
        <v>0</v>
      </c>
      <c r="K4" s="2" t="n">
        <v>1.39</v>
      </c>
      <c r="L4" s="0" t="n">
        <v>5.25</v>
      </c>
      <c r="M4" s="2" t="n">
        <v>1.27</v>
      </c>
      <c r="N4" s="1" t="n">
        <v>12.85</v>
      </c>
      <c r="O4" s="1" t="n">
        <v>1.27</v>
      </c>
    </row>
    <row r="5" customFormat="false" ht="15" hidden="false" customHeight="false" outlineLevel="0" collapsed="false">
      <c r="D5" s="0" t="n">
        <v>5</v>
      </c>
      <c r="E5" s="0" t="n">
        <v>7.12</v>
      </c>
      <c r="F5" s="0" t="n">
        <v>-13.3</v>
      </c>
      <c r="G5" s="2" t="n">
        <v>0.97</v>
      </c>
      <c r="H5" s="1" t="n">
        <v>-5.25</v>
      </c>
      <c r="I5" s="1" t="n">
        <v>0.97</v>
      </c>
      <c r="J5" s="0" t="n">
        <v>0</v>
      </c>
      <c r="K5" s="2" t="n">
        <v>1.09</v>
      </c>
      <c r="L5" s="0" t="n">
        <v>5.25</v>
      </c>
      <c r="M5" s="2" t="n">
        <v>0.97</v>
      </c>
      <c r="N5" s="1" t="n">
        <v>13.3</v>
      </c>
      <c r="O5" s="1" t="n">
        <v>0.97</v>
      </c>
    </row>
    <row r="6" customFormat="false" ht="15" hidden="false" customHeight="false" outlineLevel="0" collapsed="false">
      <c r="D6" s="0" t="n">
        <v>4</v>
      </c>
      <c r="E6" s="0" t="n">
        <v>7.22</v>
      </c>
      <c r="F6" s="0" t="n">
        <v>-13.75</v>
      </c>
      <c r="G6" s="2" t="n">
        <v>0.67</v>
      </c>
      <c r="H6" s="1" t="n">
        <v>-5.25</v>
      </c>
      <c r="I6" s="1" t="n">
        <v>0.67</v>
      </c>
      <c r="J6" s="0" t="n">
        <v>0</v>
      </c>
      <c r="K6" s="2" t="n">
        <v>0.79</v>
      </c>
      <c r="L6" s="0" t="n">
        <v>5.25</v>
      </c>
      <c r="M6" s="2" t="n">
        <v>0.67</v>
      </c>
      <c r="N6" s="1" t="n">
        <v>13.75</v>
      </c>
      <c r="O6" s="1" t="n">
        <v>0.67</v>
      </c>
    </row>
    <row r="7" customFormat="false" ht="15" hidden="false" customHeight="false" outlineLevel="0" collapsed="false">
      <c r="D7" s="0" t="n">
        <v>3</v>
      </c>
      <c r="E7" s="0" t="n">
        <v>7.12</v>
      </c>
      <c r="F7" s="0" t="n">
        <v>-14.2</v>
      </c>
      <c r="G7" s="2" t="n">
        <v>0.37</v>
      </c>
      <c r="H7" s="1" t="n">
        <v>-5.25</v>
      </c>
      <c r="I7" s="1" t="n">
        <v>0.37</v>
      </c>
      <c r="J7" s="0" t="n">
        <v>0</v>
      </c>
      <c r="K7" s="2" t="n">
        <v>0.49</v>
      </c>
      <c r="L7" s="0" t="n">
        <v>5.25</v>
      </c>
      <c r="M7" s="2" t="n">
        <v>0.37</v>
      </c>
      <c r="N7" s="1" t="n">
        <v>14.2</v>
      </c>
      <c r="O7" s="1" t="n">
        <v>0.37</v>
      </c>
    </row>
    <row r="8" customFormat="false" ht="15" hidden="false" customHeight="false" outlineLevel="0" collapsed="false">
      <c r="D8" s="0" t="n">
        <v>2</v>
      </c>
      <c r="E8" s="0" t="n">
        <v>5.39</v>
      </c>
      <c r="F8" s="0" t="n">
        <v>-14.65</v>
      </c>
      <c r="G8" s="2" t="n">
        <v>0.07</v>
      </c>
      <c r="H8" s="1" t="n">
        <v>-5.25</v>
      </c>
      <c r="I8" s="1" t="n">
        <v>0.07</v>
      </c>
      <c r="J8" s="0" t="n">
        <v>0</v>
      </c>
      <c r="K8" s="2" t="n">
        <v>0.19</v>
      </c>
      <c r="L8" s="0" t="n">
        <v>5.25</v>
      </c>
      <c r="M8" s="2" t="n">
        <v>0.07</v>
      </c>
      <c r="N8" s="1" t="n">
        <v>14.65</v>
      </c>
      <c r="O8" s="1" t="n">
        <v>0.07</v>
      </c>
    </row>
    <row r="9" customFormat="false" ht="15" hidden="false" customHeight="false" outlineLevel="0" collapsed="false">
      <c r="D9" s="0" t="n">
        <v>1</v>
      </c>
      <c r="E9" s="0" t="n">
        <v>4.13</v>
      </c>
      <c r="F9" s="0" t="n">
        <v>-9.67</v>
      </c>
      <c r="G9" s="2" t="n">
        <v>-0.23</v>
      </c>
      <c r="H9" s="1" t="n">
        <v>-5.25</v>
      </c>
      <c r="I9" s="1" t="n">
        <v>-0.23</v>
      </c>
      <c r="J9" s="0" t="n">
        <v>0</v>
      </c>
      <c r="K9" s="2" t="n">
        <v>-0.11</v>
      </c>
      <c r="L9" s="0" t="n">
        <v>5.25</v>
      </c>
      <c r="M9" s="2" t="n">
        <v>-0.23</v>
      </c>
      <c r="N9" s="1" t="n">
        <v>15.1</v>
      </c>
      <c r="O9" s="1" t="n">
        <v>-0.23</v>
      </c>
    </row>
    <row r="10" customFormat="false" ht="15" hidden="false" customHeight="false" outlineLevel="0" collapsed="false">
      <c r="A10" s="1" t="n">
        <v>2</v>
      </c>
      <c r="B10" s="2" t="s">
        <v>18</v>
      </c>
      <c r="C10" s="0" t="n">
        <v>502.36</v>
      </c>
      <c r="D10" s="0" t="n">
        <v>8</v>
      </c>
      <c r="E10" s="0" t="n">
        <v>7.31</v>
      </c>
      <c r="F10" s="0" t="n">
        <v>-11.95</v>
      </c>
      <c r="G10" s="2" t="n">
        <v>1.86</v>
      </c>
      <c r="H10" s="1" t="n">
        <v>-5.25</v>
      </c>
      <c r="I10" s="1" t="n">
        <v>1.86</v>
      </c>
      <c r="J10" s="0" t="n">
        <v>0</v>
      </c>
      <c r="K10" s="2" t="n">
        <v>1.98</v>
      </c>
      <c r="L10" s="0" t="n">
        <v>5.25</v>
      </c>
      <c r="M10" s="2" t="n">
        <v>1.86</v>
      </c>
      <c r="N10" s="1" t="n">
        <v>11.95</v>
      </c>
      <c r="O10" s="1" t="n">
        <v>1.86</v>
      </c>
      <c r="P10" s="0" t="n">
        <v>72.73</v>
      </c>
      <c r="Q10" s="0" t="n">
        <v>11.55</v>
      </c>
    </row>
    <row r="11" customFormat="false" ht="15" hidden="false" customHeight="false" outlineLevel="0" collapsed="false">
      <c r="D11" s="0" t="n">
        <v>7</v>
      </c>
      <c r="E11" s="0" t="n">
        <v>7.58</v>
      </c>
      <c r="F11" s="0" t="n">
        <v>-12.4</v>
      </c>
      <c r="G11" s="2" t="n">
        <v>1.56</v>
      </c>
      <c r="H11" s="1" t="n">
        <v>-5.25</v>
      </c>
      <c r="I11" s="1" t="n">
        <v>1.56</v>
      </c>
      <c r="J11" s="0" t="n">
        <v>0</v>
      </c>
      <c r="K11" s="2" t="n">
        <v>1.68</v>
      </c>
      <c r="L11" s="0" t="n">
        <v>5.25</v>
      </c>
      <c r="M11" s="2" t="n">
        <v>1.56</v>
      </c>
      <c r="N11" s="1" t="n">
        <v>12.4</v>
      </c>
      <c r="O11" s="1" t="n">
        <v>1.56</v>
      </c>
    </row>
    <row r="12" customFormat="false" ht="15" hidden="false" customHeight="false" outlineLevel="0" collapsed="false">
      <c r="D12" s="0" t="n">
        <v>6</v>
      </c>
      <c r="E12" s="0" t="n">
        <v>7.85</v>
      </c>
      <c r="F12" s="0" t="n">
        <v>-12.85</v>
      </c>
      <c r="G12" s="2" t="n">
        <v>1.26</v>
      </c>
      <c r="H12" s="1" t="n">
        <v>-5.25</v>
      </c>
      <c r="I12" s="1" t="n">
        <v>1.26</v>
      </c>
      <c r="J12" s="0" t="n">
        <v>0</v>
      </c>
      <c r="K12" s="2" t="n">
        <v>1.38</v>
      </c>
      <c r="L12" s="0" t="n">
        <v>5.25</v>
      </c>
      <c r="M12" s="2" t="n">
        <v>1.26</v>
      </c>
      <c r="N12" s="1" t="n">
        <v>12.85</v>
      </c>
      <c r="O12" s="1" t="n">
        <v>1.26</v>
      </c>
    </row>
    <row r="13" customFormat="false" ht="15" hidden="false" customHeight="false" outlineLevel="0" collapsed="false">
      <c r="D13" s="0" t="n">
        <v>5</v>
      </c>
      <c r="E13" s="0" t="n">
        <v>8.12</v>
      </c>
      <c r="F13" s="0" t="n">
        <v>-13.3</v>
      </c>
      <c r="G13" s="2" t="n">
        <v>0.96</v>
      </c>
      <c r="H13" s="1" t="n">
        <v>-5.25</v>
      </c>
      <c r="I13" s="1" t="n">
        <v>0.96</v>
      </c>
      <c r="J13" s="0" t="n">
        <v>0</v>
      </c>
      <c r="K13" s="2" t="n">
        <v>1.08</v>
      </c>
      <c r="L13" s="0" t="n">
        <v>5.25</v>
      </c>
      <c r="M13" s="2" t="n">
        <v>0.96</v>
      </c>
      <c r="N13" s="1" t="n">
        <v>13.3</v>
      </c>
      <c r="O13" s="1" t="n">
        <v>0.96</v>
      </c>
    </row>
    <row r="14" customFormat="false" ht="15" hidden="false" customHeight="false" outlineLevel="0" collapsed="false">
      <c r="D14" s="0" t="n">
        <v>4</v>
      </c>
      <c r="E14" s="0" t="n">
        <v>8.39</v>
      </c>
      <c r="F14" s="0" t="n">
        <v>-13.75</v>
      </c>
      <c r="G14" s="2" t="n">
        <v>0.66</v>
      </c>
      <c r="H14" s="1" t="n">
        <v>-5.25</v>
      </c>
      <c r="I14" s="1" t="n">
        <v>0.66</v>
      </c>
      <c r="J14" s="0" t="n">
        <v>0</v>
      </c>
      <c r="K14" s="2" t="n">
        <v>0.78</v>
      </c>
      <c r="L14" s="0" t="n">
        <v>5.25</v>
      </c>
      <c r="M14" s="2" t="n">
        <v>0.66</v>
      </c>
      <c r="N14" s="1" t="n">
        <v>13.75</v>
      </c>
      <c r="O14" s="1" t="n">
        <v>0.66</v>
      </c>
    </row>
    <row r="15" customFormat="false" ht="15" hidden="false" customHeight="false" outlineLevel="0" collapsed="false">
      <c r="D15" s="0" t="n">
        <v>3</v>
      </c>
      <c r="E15" s="0" t="n">
        <v>8.66</v>
      </c>
      <c r="F15" s="0" t="n">
        <v>-14.2</v>
      </c>
      <c r="G15" s="2" t="n">
        <v>0.36</v>
      </c>
      <c r="H15" s="1" t="n">
        <v>-5.25</v>
      </c>
      <c r="I15" s="1" t="n">
        <v>0.36</v>
      </c>
      <c r="J15" s="0" t="n">
        <v>0</v>
      </c>
      <c r="K15" s="2" t="n">
        <v>0.48</v>
      </c>
      <c r="L15" s="0" t="n">
        <v>5.25</v>
      </c>
      <c r="M15" s="2" t="n">
        <v>0.36</v>
      </c>
      <c r="N15" s="1" t="n">
        <v>14.2</v>
      </c>
      <c r="O15" s="1" t="n">
        <v>0.36</v>
      </c>
    </row>
    <row r="16" customFormat="false" ht="15" hidden="false" customHeight="false" outlineLevel="0" collapsed="false">
      <c r="D16" s="0" t="n">
        <v>2</v>
      </c>
      <c r="E16" s="0" t="n">
        <v>8.13</v>
      </c>
      <c r="F16" s="0" t="n">
        <v>-14.65</v>
      </c>
      <c r="G16" s="2" t="n">
        <v>0.06</v>
      </c>
      <c r="H16" s="1" t="n">
        <v>-5.25</v>
      </c>
      <c r="I16" s="1" t="n">
        <v>0.06</v>
      </c>
      <c r="J16" s="0" t="n">
        <v>0</v>
      </c>
      <c r="K16" s="2" t="n">
        <v>0.18</v>
      </c>
      <c r="L16" s="0" t="n">
        <v>5.25</v>
      </c>
      <c r="M16" s="2" t="n">
        <v>0.06</v>
      </c>
      <c r="N16" s="1" t="n">
        <v>14.65</v>
      </c>
      <c r="O16" s="1" t="n">
        <v>0.06</v>
      </c>
    </row>
    <row r="17" customFormat="false" ht="15" hidden="false" customHeight="false" outlineLevel="0" collapsed="false">
      <c r="D17" s="0" t="n">
        <v>1</v>
      </c>
      <c r="E17" s="0" t="n">
        <v>5.13</v>
      </c>
      <c r="F17" s="0" t="n">
        <v>-10.68</v>
      </c>
      <c r="G17" s="2" t="n">
        <v>-0.24</v>
      </c>
      <c r="H17" s="1" t="n">
        <v>-5.25</v>
      </c>
      <c r="I17" s="1" t="n">
        <v>-0.24</v>
      </c>
      <c r="J17" s="0" t="n">
        <v>0</v>
      </c>
      <c r="K17" s="2" t="n">
        <v>-0.12</v>
      </c>
      <c r="L17" s="0" t="n">
        <v>5.25</v>
      </c>
      <c r="M17" s="2" t="n">
        <v>-0.24</v>
      </c>
      <c r="N17" s="1" t="n">
        <v>10.58</v>
      </c>
      <c r="O17" s="1" t="n">
        <v>-0.24</v>
      </c>
    </row>
    <row r="18" customFormat="false" ht="15" hidden="false" customHeight="false" outlineLevel="0" collapsed="false">
      <c r="A18" s="1" t="n">
        <v>3</v>
      </c>
      <c r="B18" s="2" t="s">
        <v>19</v>
      </c>
      <c r="C18" s="0" t="n">
        <v>512.84</v>
      </c>
      <c r="D18" s="0" t="n">
        <v>8</v>
      </c>
      <c r="E18" s="0" t="n">
        <v>7.31</v>
      </c>
      <c r="F18" s="0" t="n">
        <v>-11.95</v>
      </c>
      <c r="G18" s="2" t="n">
        <v>1.86</v>
      </c>
      <c r="H18" s="1" t="n">
        <v>-5.25</v>
      </c>
      <c r="I18" s="1" t="n">
        <v>1.86</v>
      </c>
      <c r="J18" s="0" t="n">
        <v>0</v>
      </c>
      <c r="K18" s="2" t="n">
        <v>1.97</v>
      </c>
      <c r="L18" s="0" t="n">
        <v>5.25</v>
      </c>
      <c r="M18" s="2" t="n">
        <v>1.86</v>
      </c>
      <c r="N18" s="1" t="n">
        <v>11.95</v>
      </c>
      <c r="O18" s="1" t="n">
        <v>1.86</v>
      </c>
      <c r="P18" s="0" t="n">
        <v>72.39</v>
      </c>
      <c r="Q18" s="0" t="n">
        <v>11.55</v>
      </c>
    </row>
    <row r="19" customFormat="false" ht="15" hidden="false" customHeight="false" outlineLevel="0" collapsed="false">
      <c r="D19" s="0" t="n">
        <v>7</v>
      </c>
      <c r="E19" s="0" t="n">
        <v>7.58</v>
      </c>
      <c r="F19" s="0" t="n">
        <v>-12.4</v>
      </c>
      <c r="G19" s="2" t="n">
        <v>1.56</v>
      </c>
      <c r="H19" s="1" t="n">
        <v>-5.25</v>
      </c>
      <c r="I19" s="1" t="n">
        <v>1.56</v>
      </c>
      <c r="J19" s="0" t="n">
        <v>0</v>
      </c>
      <c r="K19" s="2" t="n">
        <v>1.67</v>
      </c>
      <c r="L19" s="0" t="n">
        <v>5.25</v>
      </c>
      <c r="M19" s="2" t="n">
        <v>1.56</v>
      </c>
      <c r="N19" s="1" t="n">
        <v>12.4</v>
      </c>
      <c r="O19" s="1" t="n">
        <v>1.56</v>
      </c>
    </row>
    <row r="20" customFormat="false" ht="15" hidden="false" customHeight="false" outlineLevel="0" collapsed="false">
      <c r="D20" s="0" t="n">
        <v>6</v>
      </c>
      <c r="E20" s="0" t="n">
        <v>7.85</v>
      </c>
      <c r="F20" s="0" t="n">
        <v>-12.85</v>
      </c>
      <c r="G20" s="2" t="n">
        <v>1.26</v>
      </c>
      <c r="H20" s="1" t="n">
        <v>-5.25</v>
      </c>
      <c r="I20" s="1" t="n">
        <v>1.26</v>
      </c>
      <c r="J20" s="0" t="n">
        <v>0</v>
      </c>
      <c r="K20" s="2" t="n">
        <v>1.37</v>
      </c>
      <c r="L20" s="0" t="n">
        <v>5.25</v>
      </c>
      <c r="M20" s="2" t="n">
        <v>1.26</v>
      </c>
      <c r="N20" s="1" t="n">
        <v>12.85</v>
      </c>
      <c r="O20" s="1" t="n">
        <v>1.26</v>
      </c>
    </row>
    <row r="21" customFormat="false" ht="15" hidden="false" customHeight="false" outlineLevel="0" collapsed="false">
      <c r="D21" s="0" t="n">
        <v>5</v>
      </c>
      <c r="E21" s="0" t="n">
        <v>8.12</v>
      </c>
      <c r="F21" s="0" t="n">
        <v>-13.3</v>
      </c>
      <c r="G21" s="2" t="n">
        <v>0.96</v>
      </c>
      <c r="H21" s="1" t="n">
        <v>-5.25</v>
      </c>
      <c r="I21" s="1" t="n">
        <v>0.96</v>
      </c>
      <c r="J21" s="0" t="n">
        <v>0</v>
      </c>
      <c r="K21" s="2" t="n">
        <v>1.07</v>
      </c>
      <c r="L21" s="0" t="n">
        <v>5.25</v>
      </c>
      <c r="M21" s="2" t="n">
        <v>0.96</v>
      </c>
      <c r="N21" s="1" t="n">
        <v>13.3</v>
      </c>
      <c r="O21" s="1" t="n">
        <v>0.96</v>
      </c>
    </row>
    <row r="22" customFormat="false" ht="15" hidden="false" customHeight="false" outlineLevel="0" collapsed="false">
      <c r="D22" s="0" t="n">
        <v>4</v>
      </c>
      <c r="E22" s="0" t="n">
        <v>8.39</v>
      </c>
      <c r="F22" s="0" t="n">
        <v>-13.75</v>
      </c>
      <c r="G22" s="2" t="n">
        <v>0.66</v>
      </c>
      <c r="H22" s="1" t="n">
        <v>-5.25</v>
      </c>
      <c r="I22" s="1" t="n">
        <v>0.66</v>
      </c>
      <c r="J22" s="0" t="n">
        <v>0</v>
      </c>
      <c r="K22" s="2" t="n">
        <v>0.77</v>
      </c>
      <c r="L22" s="0" t="n">
        <v>5.25</v>
      </c>
      <c r="M22" s="2" t="n">
        <v>0.66</v>
      </c>
      <c r="N22" s="1" t="n">
        <v>13.75</v>
      </c>
      <c r="O22" s="1" t="n">
        <v>0.66</v>
      </c>
    </row>
    <row r="23" customFormat="false" ht="15" hidden="false" customHeight="false" outlineLevel="0" collapsed="false">
      <c r="D23" s="0" t="n">
        <v>3</v>
      </c>
      <c r="E23" s="0" t="n">
        <v>8.66</v>
      </c>
      <c r="F23" s="0" t="n">
        <v>-14.2</v>
      </c>
      <c r="G23" s="2" t="n">
        <v>0.36</v>
      </c>
      <c r="H23" s="1" t="n">
        <v>-5.25</v>
      </c>
      <c r="I23" s="1" t="n">
        <v>0.36</v>
      </c>
      <c r="J23" s="0" t="n">
        <v>0</v>
      </c>
      <c r="K23" s="2" t="n">
        <v>0.47</v>
      </c>
      <c r="L23" s="0" t="n">
        <v>5.25</v>
      </c>
      <c r="M23" s="2" t="n">
        <v>0.36</v>
      </c>
      <c r="N23" s="1" t="n">
        <v>14.2</v>
      </c>
      <c r="O23" s="1" t="n">
        <v>0.36</v>
      </c>
    </row>
    <row r="24" customFormat="false" ht="15" hidden="false" customHeight="false" outlineLevel="0" collapsed="false">
      <c r="D24" s="0" t="n">
        <v>2</v>
      </c>
      <c r="E24" s="0" t="n">
        <v>8.05</v>
      </c>
      <c r="F24" s="0" t="n">
        <v>-14.65</v>
      </c>
      <c r="G24" s="2" t="n">
        <v>0.06</v>
      </c>
      <c r="H24" s="1" t="n">
        <v>-5.25</v>
      </c>
      <c r="I24" s="1" t="n">
        <v>0.06</v>
      </c>
      <c r="J24" s="0" t="n">
        <v>0</v>
      </c>
      <c r="K24" s="2" t="n">
        <v>0.17</v>
      </c>
      <c r="L24" s="0" t="n">
        <v>5.25</v>
      </c>
      <c r="M24" s="2" t="n">
        <v>0.06</v>
      </c>
      <c r="N24" s="1" t="n">
        <v>14.65</v>
      </c>
      <c r="O24" s="1" t="n">
        <v>0.06</v>
      </c>
    </row>
    <row r="25" customFormat="false" ht="15" hidden="false" customHeight="false" outlineLevel="0" collapsed="false">
      <c r="D25" s="0" t="n">
        <v>1</v>
      </c>
      <c r="E25" s="0" t="n">
        <v>4.88</v>
      </c>
      <c r="F25" s="0" t="n">
        <v>-10.11</v>
      </c>
      <c r="G25" s="2" t="n">
        <v>-0.24</v>
      </c>
      <c r="H25" s="1" t="n">
        <v>-5.25</v>
      </c>
      <c r="I25" s="1" t="n">
        <v>-0.24</v>
      </c>
      <c r="J25" s="0" t="n">
        <v>0</v>
      </c>
      <c r="K25" s="2" t="n">
        <v>-0.13</v>
      </c>
      <c r="L25" s="0" t="n">
        <v>5.25</v>
      </c>
      <c r="M25" s="2" t="n">
        <v>-0.24</v>
      </c>
      <c r="N25" s="1" t="n">
        <v>10.49</v>
      </c>
      <c r="O25" s="1" t="n">
        <v>-0.24</v>
      </c>
    </row>
    <row r="26" customFormat="false" ht="15" hidden="false" customHeight="false" outlineLevel="0" collapsed="false">
      <c r="A26" s="1" t="n">
        <v>4</v>
      </c>
      <c r="B26" s="2" t="s">
        <v>20</v>
      </c>
      <c r="C26" s="0" t="n">
        <v>529.62</v>
      </c>
      <c r="D26" s="0" t="n">
        <v>8</v>
      </c>
      <c r="E26" s="0" t="n">
        <v>7.31</v>
      </c>
      <c r="F26" s="0" t="n">
        <v>-11.95</v>
      </c>
      <c r="G26" s="2" t="n">
        <v>1.85</v>
      </c>
      <c r="H26" s="1" t="n">
        <v>-5.25</v>
      </c>
      <c r="I26" s="1" t="n">
        <v>1.85</v>
      </c>
      <c r="J26" s="0" t="n">
        <v>0</v>
      </c>
      <c r="K26" s="2" t="n">
        <v>1.97</v>
      </c>
      <c r="L26" s="0" t="n">
        <v>5.25</v>
      </c>
      <c r="M26" s="2" t="n">
        <v>1.85</v>
      </c>
      <c r="N26" s="1" t="n">
        <v>11.95</v>
      </c>
      <c r="O26" s="1" t="n">
        <v>1.85</v>
      </c>
      <c r="P26" s="0" t="n">
        <v>73.43</v>
      </c>
      <c r="Q26" s="0" t="n">
        <v>11.55</v>
      </c>
    </row>
    <row r="27" customFormat="false" ht="15" hidden="false" customHeight="false" outlineLevel="0" collapsed="false">
      <c r="D27" s="0" t="n">
        <v>7</v>
      </c>
      <c r="E27" s="0" t="n">
        <v>7.58</v>
      </c>
      <c r="F27" s="0" t="n">
        <v>-12.4</v>
      </c>
      <c r="G27" s="2" t="n">
        <v>1.55</v>
      </c>
      <c r="H27" s="1" t="n">
        <v>-5.25</v>
      </c>
      <c r="I27" s="1" t="n">
        <v>1.55</v>
      </c>
      <c r="J27" s="0" t="n">
        <v>0</v>
      </c>
      <c r="K27" s="2" t="n">
        <v>1.67</v>
      </c>
      <c r="L27" s="0" t="n">
        <v>5.25</v>
      </c>
      <c r="M27" s="2" t="n">
        <v>1.55</v>
      </c>
      <c r="N27" s="1" t="n">
        <v>12.4</v>
      </c>
      <c r="O27" s="1" t="n">
        <v>1.55</v>
      </c>
    </row>
    <row r="28" customFormat="false" ht="15" hidden="false" customHeight="false" outlineLevel="0" collapsed="false">
      <c r="D28" s="0" t="n">
        <v>6</v>
      </c>
      <c r="E28" s="0" t="n">
        <v>7.85</v>
      </c>
      <c r="F28" s="0" t="n">
        <v>-12.85</v>
      </c>
      <c r="G28" s="2" t="n">
        <v>1.25</v>
      </c>
      <c r="H28" s="1" t="n">
        <v>-5.25</v>
      </c>
      <c r="I28" s="1" t="n">
        <v>1.25</v>
      </c>
      <c r="J28" s="0" t="n">
        <v>0</v>
      </c>
      <c r="K28" s="2" t="n">
        <v>1.37</v>
      </c>
      <c r="L28" s="0" t="n">
        <v>5.25</v>
      </c>
      <c r="M28" s="2" t="n">
        <v>1.25</v>
      </c>
      <c r="N28" s="1" t="n">
        <v>12.85</v>
      </c>
      <c r="O28" s="1" t="n">
        <v>1.25</v>
      </c>
    </row>
    <row r="29" customFormat="false" ht="15" hidden="false" customHeight="false" outlineLevel="0" collapsed="false">
      <c r="D29" s="0" t="n">
        <v>5</v>
      </c>
      <c r="E29" s="0" t="n">
        <v>8.12</v>
      </c>
      <c r="F29" s="0" t="n">
        <v>-13.3</v>
      </c>
      <c r="G29" s="2" t="n">
        <v>0.95</v>
      </c>
      <c r="H29" s="1" t="n">
        <v>-5.25</v>
      </c>
      <c r="I29" s="1" t="n">
        <v>0.95</v>
      </c>
      <c r="J29" s="0" t="n">
        <v>0</v>
      </c>
      <c r="K29" s="2" t="n">
        <v>1.07</v>
      </c>
      <c r="L29" s="0" t="n">
        <v>5.25</v>
      </c>
      <c r="M29" s="2" t="n">
        <v>0.95</v>
      </c>
      <c r="N29" s="1" t="n">
        <v>13.3</v>
      </c>
      <c r="O29" s="1" t="n">
        <v>0.95</v>
      </c>
    </row>
    <row r="30" customFormat="false" ht="15" hidden="false" customHeight="false" outlineLevel="0" collapsed="false">
      <c r="D30" s="0" t="n">
        <v>4</v>
      </c>
      <c r="E30" s="0" t="n">
        <v>8.39</v>
      </c>
      <c r="F30" s="0" t="n">
        <v>-13.75</v>
      </c>
      <c r="G30" s="2" t="n">
        <v>0.65</v>
      </c>
      <c r="H30" s="1" t="n">
        <v>-5.25</v>
      </c>
      <c r="I30" s="1" t="n">
        <v>0.65</v>
      </c>
      <c r="J30" s="0" t="n">
        <v>0</v>
      </c>
      <c r="K30" s="2" t="n">
        <v>0.77</v>
      </c>
      <c r="L30" s="0" t="n">
        <v>5.25</v>
      </c>
      <c r="M30" s="2" t="n">
        <v>0.65</v>
      </c>
      <c r="N30" s="1" t="n">
        <v>13.75</v>
      </c>
      <c r="O30" s="1" t="n">
        <v>0.65</v>
      </c>
    </row>
    <row r="31" customFormat="false" ht="15" hidden="false" customHeight="false" outlineLevel="0" collapsed="false">
      <c r="D31" s="0" t="n">
        <v>3</v>
      </c>
      <c r="E31" s="0" t="n">
        <v>8.66</v>
      </c>
      <c r="F31" s="0" t="n">
        <v>-14.2</v>
      </c>
      <c r="G31" s="2" t="n">
        <v>0.35</v>
      </c>
      <c r="H31" s="1" t="n">
        <v>-5.25</v>
      </c>
      <c r="I31" s="1" t="n">
        <v>0.35</v>
      </c>
      <c r="J31" s="0" t="n">
        <v>0</v>
      </c>
      <c r="K31" s="2" t="n">
        <v>0.47</v>
      </c>
      <c r="L31" s="0" t="n">
        <v>5.25</v>
      </c>
      <c r="M31" s="2" t="n">
        <v>0.35</v>
      </c>
      <c r="N31" s="1" t="n">
        <v>14.2</v>
      </c>
      <c r="O31" s="1" t="n">
        <v>0.35</v>
      </c>
    </row>
    <row r="32" customFormat="false" ht="15" hidden="false" customHeight="false" outlineLevel="0" collapsed="false">
      <c r="D32" s="0" t="n">
        <v>2</v>
      </c>
      <c r="E32" s="0" t="n">
        <v>8.93</v>
      </c>
      <c r="F32" s="0" t="n">
        <v>-14.65</v>
      </c>
      <c r="G32" s="2" t="n">
        <v>0.05</v>
      </c>
      <c r="H32" s="1" t="n">
        <v>-5.25</v>
      </c>
      <c r="I32" s="1" t="n">
        <v>0.05</v>
      </c>
      <c r="J32" s="0" t="n">
        <v>0</v>
      </c>
      <c r="K32" s="2" t="n">
        <v>0.17</v>
      </c>
      <c r="L32" s="0" t="n">
        <v>5.25</v>
      </c>
      <c r="M32" s="2" t="n">
        <v>0.05</v>
      </c>
      <c r="N32" s="1" t="n">
        <v>14.65</v>
      </c>
      <c r="O32" s="1" t="n">
        <v>0.05</v>
      </c>
    </row>
    <row r="33" customFormat="false" ht="15" hidden="false" customHeight="false" outlineLevel="0" collapsed="false">
      <c r="D33" s="0" t="n">
        <v>1</v>
      </c>
      <c r="E33" s="0" t="n">
        <v>5.06</v>
      </c>
      <c r="F33" s="0" t="n">
        <v>-15.04</v>
      </c>
      <c r="G33" s="2" t="n">
        <v>-0.25</v>
      </c>
      <c r="H33" s="1" t="n">
        <v>-5.25</v>
      </c>
      <c r="I33" s="1" t="n">
        <v>-0.25</v>
      </c>
      <c r="J33" s="0" t="n">
        <v>0</v>
      </c>
      <c r="K33" s="2" t="n">
        <v>-0.13</v>
      </c>
      <c r="L33" s="0" t="n">
        <v>5.25</v>
      </c>
      <c r="M33" s="2" t="n">
        <v>-0.25</v>
      </c>
      <c r="N33" s="1" t="n">
        <v>15.1</v>
      </c>
      <c r="O33" s="1" t="n">
        <v>-0.25</v>
      </c>
    </row>
    <row r="34" customFormat="false" ht="15" hidden="false" customHeight="false" outlineLevel="0" collapsed="false">
      <c r="A34" s="1" t="n">
        <v>5</v>
      </c>
      <c r="B34" s="2" t="s">
        <v>21</v>
      </c>
      <c r="C34" s="0" t="n">
        <v>546.72</v>
      </c>
      <c r="D34" s="0" t="n">
        <v>8</v>
      </c>
      <c r="E34" s="0" t="n">
        <v>7.31</v>
      </c>
      <c r="F34" s="0" t="n">
        <v>-11.95</v>
      </c>
      <c r="G34" s="2" t="n">
        <v>1.84</v>
      </c>
      <c r="H34" s="1" t="n">
        <v>-5.25</v>
      </c>
      <c r="I34" s="1" t="n">
        <v>1.84</v>
      </c>
      <c r="J34" s="0" t="n">
        <v>0</v>
      </c>
      <c r="K34" s="2" t="n">
        <v>1.96</v>
      </c>
      <c r="L34" s="0" t="n">
        <v>5.25</v>
      </c>
      <c r="M34" s="2" t="n">
        <v>1.84</v>
      </c>
      <c r="N34" s="1" t="n">
        <v>11.95</v>
      </c>
      <c r="O34" s="1" t="n">
        <v>1.84</v>
      </c>
      <c r="P34" s="0" t="n">
        <v>62.93</v>
      </c>
      <c r="Q34" s="0" t="n">
        <v>11.55</v>
      </c>
    </row>
    <row r="35" customFormat="false" ht="15" hidden="false" customHeight="false" outlineLevel="0" collapsed="false">
      <c r="D35" s="0" t="n">
        <v>7</v>
      </c>
      <c r="E35" s="0" t="n">
        <v>7.01</v>
      </c>
      <c r="F35" s="0" t="n">
        <v>-12.4</v>
      </c>
      <c r="G35" s="2" t="n">
        <v>1.54</v>
      </c>
      <c r="H35" s="1" t="n">
        <v>-5.25</v>
      </c>
      <c r="I35" s="1" t="n">
        <v>1.54</v>
      </c>
      <c r="J35" s="0" t="n">
        <v>0</v>
      </c>
      <c r="K35" s="2" t="n">
        <v>1.66</v>
      </c>
      <c r="L35" s="0" t="n">
        <v>5.25</v>
      </c>
      <c r="M35" s="2" t="n">
        <v>1.54</v>
      </c>
      <c r="N35" s="1" t="n">
        <v>12.4</v>
      </c>
      <c r="O35" s="1" t="n">
        <v>1.54</v>
      </c>
    </row>
    <row r="36" customFormat="false" ht="15" hidden="false" customHeight="false" outlineLevel="0" collapsed="false">
      <c r="D36" s="0" t="n">
        <v>6</v>
      </c>
      <c r="E36" s="0" t="n">
        <v>6.93</v>
      </c>
      <c r="F36" s="0" t="n">
        <v>-12.85</v>
      </c>
      <c r="G36" s="2" t="n">
        <v>1.24</v>
      </c>
      <c r="H36" s="1" t="n">
        <v>-5.25</v>
      </c>
      <c r="I36" s="1" t="n">
        <v>1.24</v>
      </c>
      <c r="J36" s="0" t="n">
        <v>0</v>
      </c>
      <c r="K36" s="2" t="n">
        <v>1.36</v>
      </c>
      <c r="L36" s="0" t="n">
        <v>5.25</v>
      </c>
      <c r="M36" s="2" t="n">
        <v>1.24</v>
      </c>
      <c r="N36" s="1" t="n">
        <v>12.85</v>
      </c>
      <c r="O36" s="1" t="n">
        <v>1.24</v>
      </c>
    </row>
    <row r="37" customFormat="false" ht="15" hidden="false" customHeight="false" outlineLevel="0" collapsed="false">
      <c r="D37" s="0" t="n">
        <v>5</v>
      </c>
      <c r="E37" s="0" t="n">
        <v>6.98</v>
      </c>
      <c r="F37" s="0" t="n">
        <v>-13.3</v>
      </c>
      <c r="G37" s="2" t="n">
        <v>0.94</v>
      </c>
      <c r="H37" s="1" t="n">
        <v>-5.25</v>
      </c>
      <c r="I37" s="1" t="n">
        <v>0.94</v>
      </c>
      <c r="J37" s="0" t="n">
        <v>0</v>
      </c>
      <c r="K37" s="2" t="n">
        <v>1.06</v>
      </c>
      <c r="L37" s="0" t="n">
        <v>5.25</v>
      </c>
      <c r="M37" s="2" t="n">
        <v>0.94</v>
      </c>
      <c r="N37" s="1" t="n">
        <v>13.3</v>
      </c>
      <c r="O37" s="1" t="n">
        <v>0.94</v>
      </c>
    </row>
    <row r="38" customFormat="false" ht="15" hidden="false" customHeight="false" outlineLevel="0" collapsed="false">
      <c r="D38" s="0" t="n">
        <v>4</v>
      </c>
      <c r="E38" s="0" t="n">
        <v>7.03</v>
      </c>
      <c r="F38" s="0" t="n">
        <v>-13.75</v>
      </c>
      <c r="G38" s="2" t="n">
        <v>0.64</v>
      </c>
      <c r="H38" s="1" t="n">
        <v>-5.25</v>
      </c>
      <c r="I38" s="1" t="n">
        <v>0.64</v>
      </c>
      <c r="J38" s="0" t="n">
        <v>0</v>
      </c>
      <c r="K38" s="2" t="n">
        <v>0.76</v>
      </c>
      <c r="L38" s="0" t="n">
        <v>5.25</v>
      </c>
      <c r="M38" s="2" t="n">
        <v>0.64</v>
      </c>
      <c r="N38" s="1" t="n">
        <v>13.75</v>
      </c>
      <c r="O38" s="1" t="n">
        <v>0.64</v>
      </c>
    </row>
    <row r="39" customFormat="false" ht="15" hidden="false" customHeight="false" outlineLevel="0" collapsed="false">
      <c r="D39" s="0" t="n">
        <v>3</v>
      </c>
      <c r="E39" s="0" t="n">
        <v>7.05</v>
      </c>
      <c r="F39" s="0" t="n">
        <v>-14.2</v>
      </c>
      <c r="G39" s="2" t="n">
        <v>0.34</v>
      </c>
      <c r="H39" s="1" t="n">
        <v>-5.25</v>
      </c>
      <c r="I39" s="1" t="n">
        <v>0.34</v>
      </c>
      <c r="J39" s="0" t="n">
        <v>0</v>
      </c>
      <c r="K39" s="2" t="n">
        <v>0.46</v>
      </c>
      <c r="L39" s="0" t="n">
        <v>5.25</v>
      </c>
      <c r="M39" s="2" t="n">
        <v>0.34</v>
      </c>
      <c r="N39" s="1" t="n">
        <v>14.2</v>
      </c>
      <c r="O39" s="1" t="n">
        <v>0.34</v>
      </c>
    </row>
    <row r="40" customFormat="false" ht="15" hidden="false" customHeight="false" outlineLevel="0" collapsed="false">
      <c r="D40" s="0" t="n">
        <v>2</v>
      </c>
      <c r="E40" s="0" t="n">
        <v>5.37</v>
      </c>
      <c r="F40" s="0" t="n">
        <v>-14.65</v>
      </c>
      <c r="G40" s="2" t="n">
        <v>0.04</v>
      </c>
      <c r="H40" s="1" t="n">
        <v>-5.25</v>
      </c>
      <c r="I40" s="1" t="n">
        <v>0.04</v>
      </c>
      <c r="J40" s="0" t="n">
        <v>0</v>
      </c>
      <c r="K40" s="2" t="n">
        <v>0.16</v>
      </c>
      <c r="L40" s="0" t="n">
        <v>5.25</v>
      </c>
      <c r="M40" s="2" t="n">
        <v>0.04</v>
      </c>
      <c r="N40" s="1" t="n">
        <v>14.65</v>
      </c>
      <c r="O40" s="1" t="n">
        <v>0.04</v>
      </c>
    </row>
    <row r="41" customFormat="false" ht="15" hidden="false" customHeight="false" outlineLevel="0" collapsed="false">
      <c r="D41" s="0" t="n">
        <v>1</v>
      </c>
      <c r="E41" s="0" t="n">
        <v>3.71</v>
      </c>
      <c r="F41" s="0" t="n">
        <v>-6.44</v>
      </c>
      <c r="G41" s="2" t="n">
        <v>-0.26</v>
      </c>
      <c r="H41" s="1" t="n">
        <v>-5.25</v>
      </c>
      <c r="I41" s="1" t="n">
        <v>-0.26</v>
      </c>
      <c r="J41" s="0" t="n">
        <v>0</v>
      </c>
      <c r="K41" s="2" t="n">
        <v>-0.14</v>
      </c>
      <c r="L41" s="0" t="n">
        <v>5.25</v>
      </c>
      <c r="M41" s="2" t="n">
        <v>-0.26</v>
      </c>
      <c r="N41" s="1" t="n">
        <v>9.68</v>
      </c>
      <c r="O41" s="1" t="n">
        <v>-0.26</v>
      </c>
    </row>
    <row r="42" customFormat="false" ht="15" hidden="false" customHeight="false" outlineLevel="0" collapsed="false">
      <c r="A42" s="1" t="n">
        <v>6</v>
      </c>
      <c r="B42" s="2" t="s">
        <v>22</v>
      </c>
      <c r="C42" s="0" t="n">
        <v>561.87</v>
      </c>
      <c r="D42" s="0" t="n">
        <v>8</v>
      </c>
      <c r="E42" s="0" t="n">
        <v>7.31</v>
      </c>
      <c r="F42" s="0" t="n">
        <v>-11.95</v>
      </c>
      <c r="G42" s="2" t="n">
        <v>1.84</v>
      </c>
      <c r="H42" s="1" t="n">
        <v>-5.25</v>
      </c>
      <c r="I42" s="1" t="n">
        <v>1.84</v>
      </c>
      <c r="J42" s="0" t="n">
        <v>0</v>
      </c>
      <c r="K42" s="2" t="n">
        <v>1.95</v>
      </c>
      <c r="L42" s="0" t="n">
        <v>5.25</v>
      </c>
      <c r="M42" s="2" t="n">
        <v>1.84</v>
      </c>
      <c r="N42" s="1" t="n">
        <v>11.95</v>
      </c>
      <c r="O42" s="1" t="n">
        <v>1.84</v>
      </c>
      <c r="P42" s="0" t="n">
        <v>71.38</v>
      </c>
      <c r="Q42" s="0" t="n">
        <v>11.55</v>
      </c>
    </row>
    <row r="43" customFormat="false" ht="15" hidden="false" customHeight="false" outlineLevel="0" collapsed="false">
      <c r="D43" s="0" t="n">
        <v>7</v>
      </c>
      <c r="E43" s="0" t="n">
        <v>7.58</v>
      </c>
      <c r="F43" s="0" t="n">
        <v>-12.4</v>
      </c>
      <c r="G43" s="2" t="n">
        <v>1.54</v>
      </c>
      <c r="H43" s="1" t="n">
        <v>-5.25</v>
      </c>
      <c r="I43" s="1" t="n">
        <v>1.54</v>
      </c>
      <c r="J43" s="0" t="n">
        <v>0</v>
      </c>
      <c r="K43" s="2" t="n">
        <v>1.65</v>
      </c>
      <c r="L43" s="0" t="n">
        <v>5.25</v>
      </c>
      <c r="M43" s="2" t="n">
        <v>1.54</v>
      </c>
      <c r="N43" s="1" t="n">
        <v>12.4</v>
      </c>
      <c r="O43" s="1" t="n">
        <v>1.54</v>
      </c>
    </row>
    <row r="44" customFormat="false" ht="15" hidden="false" customHeight="false" outlineLevel="0" collapsed="false">
      <c r="D44" s="0" t="n">
        <v>6</v>
      </c>
      <c r="E44" s="0" t="n">
        <v>7.85</v>
      </c>
      <c r="F44" s="0" t="n">
        <v>-12.85</v>
      </c>
      <c r="G44" s="2" t="n">
        <v>1.24</v>
      </c>
      <c r="H44" s="1" t="n">
        <v>-5.25</v>
      </c>
      <c r="I44" s="1" t="n">
        <v>1.24</v>
      </c>
      <c r="J44" s="0" t="n">
        <v>0</v>
      </c>
      <c r="K44" s="2" t="n">
        <v>1.35</v>
      </c>
      <c r="L44" s="0" t="n">
        <v>5.25</v>
      </c>
      <c r="M44" s="2" t="n">
        <v>1.24</v>
      </c>
      <c r="N44" s="1" t="n">
        <v>12.85</v>
      </c>
      <c r="O44" s="1" t="n">
        <v>1.24</v>
      </c>
    </row>
    <row r="45" customFormat="false" ht="15" hidden="false" customHeight="false" outlineLevel="0" collapsed="false">
      <c r="D45" s="0" t="n">
        <v>5</v>
      </c>
      <c r="E45" s="0" t="n">
        <v>8.12</v>
      </c>
      <c r="F45" s="0" t="n">
        <v>-13.3</v>
      </c>
      <c r="G45" s="2" t="n">
        <v>0.94</v>
      </c>
      <c r="H45" s="1" t="n">
        <v>-5.25</v>
      </c>
      <c r="I45" s="1" t="n">
        <v>0.94</v>
      </c>
      <c r="J45" s="0" t="n">
        <v>0</v>
      </c>
      <c r="K45" s="2" t="n">
        <v>1.05</v>
      </c>
      <c r="L45" s="0" t="n">
        <v>5.25</v>
      </c>
      <c r="M45" s="2" t="n">
        <v>0.94</v>
      </c>
      <c r="N45" s="1" t="n">
        <v>13.3</v>
      </c>
      <c r="O45" s="1" t="n">
        <v>0.94</v>
      </c>
    </row>
    <row r="46" customFormat="false" ht="15" hidden="false" customHeight="false" outlineLevel="0" collapsed="false">
      <c r="D46" s="0" t="n">
        <v>4</v>
      </c>
      <c r="E46" s="0" t="n">
        <v>8.39</v>
      </c>
      <c r="F46" s="0" t="n">
        <v>-13.75</v>
      </c>
      <c r="G46" s="2" t="n">
        <v>0.64</v>
      </c>
      <c r="H46" s="1" t="n">
        <v>-5.25</v>
      </c>
      <c r="I46" s="1" t="n">
        <v>0.64</v>
      </c>
      <c r="J46" s="0" t="n">
        <v>0</v>
      </c>
      <c r="K46" s="2" t="n">
        <v>0.75</v>
      </c>
      <c r="L46" s="0" t="n">
        <v>5.25</v>
      </c>
      <c r="M46" s="2" t="n">
        <v>0.64</v>
      </c>
      <c r="N46" s="1" t="n">
        <v>13.75</v>
      </c>
      <c r="O46" s="1" t="n">
        <v>0.64</v>
      </c>
    </row>
    <row r="47" customFormat="false" ht="15" hidden="false" customHeight="false" outlineLevel="0" collapsed="false">
      <c r="D47" s="0" t="n">
        <v>3</v>
      </c>
      <c r="E47" s="0" t="n">
        <v>8.66</v>
      </c>
      <c r="F47" s="0" t="n">
        <v>-14.2</v>
      </c>
      <c r="G47" s="2" t="n">
        <v>0.34</v>
      </c>
      <c r="H47" s="1" t="n">
        <v>-5.25</v>
      </c>
      <c r="I47" s="1" t="n">
        <v>0.34</v>
      </c>
      <c r="J47" s="0" t="n">
        <v>0</v>
      </c>
      <c r="K47" s="2" t="n">
        <v>0.45</v>
      </c>
      <c r="L47" s="0" t="n">
        <v>5.25</v>
      </c>
      <c r="M47" s="2" t="n">
        <v>0.34</v>
      </c>
      <c r="N47" s="1" t="n">
        <v>14.2</v>
      </c>
      <c r="O47" s="1" t="n">
        <v>0.34</v>
      </c>
    </row>
    <row r="48" customFormat="false" ht="15" hidden="false" customHeight="false" outlineLevel="0" collapsed="false">
      <c r="D48" s="0" t="n">
        <v>2</v>
      </c>
      <c r="E48" s="0" t="n">
        <v>7.46</v>
      </c>
      <c r="F48" s="0" t="n">
        <v>-14.65</v>
      </c>
      <c r="G48" s="2" t="n">
        <v>0.04</v>
      </c>
      <c r="H48" s="1" t="n">
        <v>-5.25</v>
      </c>
      <c r="I48" s="1" t="n">
        <v>0.04</v>
      </c>
      <c r="J48" s="0" t="n">
        <v>0</v>
      </c>
      <c r="K48" s="2" t="n">
        <v>0.15</v>
      </c>
      <c r="L48" s="0" t="n">
        <v>5.25</v>
      </c>
      <c r="M48" s="2" t="n">
        <v>0.04</v>
      </c>
      <c r="N48" s="1" t="n">
        <v>14.65</v>
      </c>
      <c r="O48" s="1" t="n">
        <v>0.04</v>
      </c>
    </row>
    <row r="49" customFormat="false" ht="15" hidden="false" customHeight="false" outlineLevel="0" collapsed="false">
      <c r="D49" s="0" t="n">
        <v>1</v>
      </c>
      <c r="E49" s="0" t="n">
        <v>4.48</v>
      </c>
      <c r="F49" s="0" t="n">
        <v>-10.17</v>
      </c>
      <c r="G49" s="2" t="n">
        <v>-0.26</v>
      </c>
      <c r="H49" s="1" t="n">
        <v>-5.25</v>
      </c>
      <c r="I49" s="1" t="n">
        <v>-0.26</v>
      </c>
      <c r="J49" s="0" t="n">
        <v>0</v>
      </c>
      <c r="K49" s="2" t="n">
        <v>-0.15</v>
      </c>
      <c r="L49" s="0" t="n">
        <v>5.25</v>
      </c>
      <c r="M49" s="2" t="n">
        <v>-0.26</v>
      </c>
      <c r="N49" s="1" t="n">
        <v>10.31</v>
      </c>
      <c r="O49" s="1" t="n">
        <v>-0.26</v>
      </c>
    </row>
    <row r="50" customFormat="false" ht="15" hidden="false" customHeight="false" outlineLevel="0" collapsed="false">
      <c r="A50" s="1" t="n">
        <v>7</v>
      </c>
      <c r="B50" s="2" t="s">
        <v>23</v>
      </c>
      <c r="C50" s="0" t="n">
        <v>562.02</v>
      </c>
      <c r="D50" s="0" t="n">
        <v>8</v>
      </c>
      <c r="E50" s="0" t="n">
        <v>7.31</v>
      </c>
      <c r="F50" s="0" t="n">
        <v>-11.95</v>
      </c>
      <c r="G50" s="2" t="n">
        <v>1.84</v>
      </c>
      <c r="H50" s="1" t="n">
        <v>-5.25</v>
      </c>
      <c r="I50" s="1" t="n">
        <v>1.84</v>
      </c>
      <c r="J50" s="0" t="n">
        <v>0</v>
      </c>
      <c r="K50" s="2" t="n">
        <v>1.95</v>
      </c>
      <c r="L50" s="0" t="n">
        <v>5.25</v>
      </c>
      <c r="M50" s="2" t="n">
        <v>1.84</v>
      </c>
      <c r="N50" s="1" t="n">
        <v>11.95</v>
      </c>
      <c r="O50" s="1" t="n">
        <v>1.84</v>
      </c>
      <c r="P50" s="0" t="n">
        <v>70.43</v>
      </c>
      <c r="Q50" s="0" t="n">
        <v>11.55</v>
      </c>
    </row>
    <row r="51" customFormat="false" ht="15" hidden="false" customHeight="false" outlineLevel="0" collapsed="false">
      <c r="D51" s="0" t="n">
        <v>7</v>
      </c>
      <c r="E51" s="0" t="n">
        <v>7.58</v>
      </c>
      <c r="F51" s="0" t="n">
        <v>-12.4</v>
      </c>
      <c r="G51" s="2" t="n">
        <v>1.54</v>
      </c>
      <c r="H51" s="1" t="n">
        <v>-5.25</v>
      </c>
      <c r="I51" s="1" t="n">
        <v>1.54</v>
      </c>
      <c r="J51" s="0" t="n">
        <v>0</v>
      </c>
      <c r="K51" s="2" t="n">
        <v>1.65</v>
      </c>
      <c r="L51" s="0" t="n">
        <v>5.25</v>
      </c>
      <c r="M51" s="2" t="n">
        <v>1.54</v>
      </c>
      <c r="N51" s="1" t="n">
        <v>12.4</v>
      </c>
      <c r="O51" s="1" t="n">
        <v>1.54</v>
      </c>
    </row>
    <row r="52" customFormat="false" ht="15" hidden="false" customHeight="false" outlineLevel="0" collapsed="false">
      <c r="D52" s="0" t="n">
        <v>6</v>
      </c>
      <c r="E52" s="0" t="n">
        <v>7.85</v>
      </c>
      <c r="F52" s="0" t="n">
        <v>-12.85</v>
      </c>
      <c r="G52" s="2" t="n">
        <v>1.24</v>
      </c>
      <c r="H52" s="1" t="n">
        <v>-5.25</v>
      </c>
      <c r="I52" s="1" t="n">
        <v>1.24</v>
      </c>
      <c r="J52" s="0" t="n">
        <v>0</v>
      </c>
      <c r="K52" s="2" t="n">
        <v>1.35</v>
      </c>
      <c r="L52" s="0" t="n">
        <v>5.25</v>
      </c>
      <c r="M52" s="2" t="n">
        <v>1.24</v>
      </c>
      <c r="N52" s="1" t="n">
        <v>12.85</v>
      </c>
      <c r="O52" s="1" t="n">
        <v>1.24</v>
      </c>
    </row>
    <row r="53" customFormat="false" ht="15" hidden="false" customHeight="false" outlineLevel="0" collapsed="false">
      <c r="D53" s="0" t="n">
        <v>5</v>
      </c>
      <c r="E53" s="0" t="n">
        <v>8.12</v>
      </c>
      <c r="F53" s="0" t="n">
        <v>-13.3</v>
      </c>
      <c r="G53" s="2" t="n">
        <v>0.94</v>
      </c>
      <c r="H53" s="1" t="n">
        <v>-5.25</v>
      </c>
      <c r="I53" s="1" t="n">
        <v>0.94</v>
      </c>
      <c r="J53" s="0" t="n">
        <v>0</v>
      </c>
      <c r="K53" s="2" t="n">
        <v>1.05</v>
      </c>
      <c r="L53" s="0" t="n">
        <v>5.25</v>
      </c>
      <c r="M53" s="2" t="n">
        <v>0.94</v>
      </c>
      <c r="N53" s="1" t="n">
        <v>13.3</v>
      </c>
      <c r="O53" s="1" t="n">
        <v>0.94</v>
      </c>
    </row>
    <row r="54" customFormat="false" ht="15" hidden="false" customHeight="false" outlineLevel="0" collapsed="false">
      <c r="D54" s="0" t="n">
        <v>4</v>
      </c>
      <c r="E54" s="0" t="n">
        <v>8.39</v>
      </c>
      <c r="F54" s="0" t="n">
        <v>-13.75</v>
      </c>
      <c r="G54" s="2" t="n">
        <v>0.64</v>
      </c>
      <c r="H54" s="1" t="n">
        <v>-5.25</v>
      </c>
      <c r="I54" s="1" t="n">
        <v>0.64</v>
      </c>
      <c r="J54" s="0" t="n">
        <v>0</v>
      </c>
      <c r="K54" s="2" t="n">
        <v>0.75</v>
      </c>
      <c r="L54" s="0" t="n">
        <v>5.25</v>
      </c>
      <c r="M54" s="2" t="n">
        <v>0.64</v>
      </c>
      <c r="N54" s="1" t="n">
        <v>13.75</v>
      </c>
      <c r="O54" s="1" t="n">
        <v>0.64</v>
      </c>
    </row>
    <row r="55" customFormat="false" ht="15" hidden="false" customHeight="false" outlineLevel="0" collapsed="false">
      <c r="D55" s="0" t="n">
        <v>3</v>
      </c>
      <c r="E55" s="0" t="n">
        <v>8.65</v>
      </c>
      <c r="F55" s="0" t="n">
        <v>-14.2</v>
      </c>
      <c r="G55" s="2" t="n">
        <v>0.34</v>
      </c>
      <c r="H55" s="1" t="n">
        <v>-5.25</v>
      </c>
      <c r="I55" s="1" t="n">
        <v>0.34</v>
      </c>
      <c r="J55" s="0" t="n">
        <v>0</v>
      </c>
      <c r="K55" s="2" t="n">
        <v>0.45</v>
      </c>
      <c r="L55" s="0" t="n">
        <v>5.25</v>
      </c>
      <c r="M55" s="2" t="n">
        <v>0.34</v>
      </c>
      <c r="N55" s="1" t="n">
        <v>14.2</v>
      </c>
      <c r="O55" s="1" t="n">
        <v>0.34</v>
      </c>
    </row>
    <row r="56" customFormat="false" ht="15" hidden="false" customHeight="false" outlineLevel="0" collapsed="false">
      <c r="D56" s="0" t="n">
        <v>2</v>
      </c>
      <c r="E56" s="0" t="n">
        <v>6.51</v>
      </c>
      <c r="F56" s="0" t="n">
        <v>-14.65</v>
      </c>
      <c r="G56" s="2" t="n">
        <v>0.04</v>
      </c>
      <c r="H56" s="1" t="n">
        <v>-5.25</v>
      </c>
      <c r="I56" s="1" t="n">
        <v>0.04</v>
      </c>
      <c r="J56" s="0" t="n">
        <v>0</v>
      </c>
      <c r="K56" s="2" t="n">
        <v>0.15</v>
      </c>
      <c r="L56" s="0" t="n">
        <v>5.25</v>
      </c>
      <c r="M56" s="2" t="n">
        <v>0.04</v>
      </c>
      <c r="N56" s="1" t="n">
        <v>14.65</v>
      </c>
      <c r="O56" s="1" t="n">
        <v>0.04</v>
      </c>
    </row>
    <row r="57" customFormat="false" ht="15" hidden="false" customHeight="false" outlineLevel="0" collapsed="false">
      <c r="D57" s="0" t="n">
        <v>1</v>
      </c>
      <c r="E57" s="0" t="n">
        <v>4.48</v>
      </c>
      <c r="F57" s="0" t="n">
        <v>-10.18</v>
      </c>
      <c r="G57" s="2" t="n">
        <v>-0.26</v>
      </c>
      <c r="H57" s="1" t="n">
        <v>-5.25</v>
      </c>
      <c r="I57" s="1" t="n">
        <v>-0.26</v>
      </c>
      <c r="J57" s="0" t="n">
        <v>0</v>
      </c>
      <c r="K57" s="2" t="n">
        <v>-0.15</v>
      </c>
      <c r="L57" s="0" t="n">
        <v>5.25</v>
      </c>
      <c r="M57" s="2" t="n">
        <v>-0.26</v>
      </c>
      <c r="N57" s="1" t="n">
        <v>10.31</v>
      </c>
      <c r="O57" s="1" t="n">
        <v>-0.26</v>
      </c>
    </row>
    <row r="58" customFormat="false" ht="15" hidden="false" customHeight="false" outlineLevel="0" collapsed="false">
      <c r="A58" s="1" t="n">
        <v>8</v>
      </c>
      <c r="B58" s="2" t="s">
        <v>24</v>
      </c>
      <c r="C58" s="0" t="n">
        <v>568.57</v>
      </c>
      <c r="D58" s="0" t="n">
        <v>8</v>
      </c>
      <c r="E58" s="0" t="n">
        <v>7.31</v>
      </c>
      <c r="F58" s="0" t="n">
        <v>-11.95</v>
      </c>
      <c r="G58" s="2" t="n">
        <v>1.84</v>
      </c>
      <c r="H58" s="1" t="n">
        <v>-5.25</v>
      </c>
      <c r="I58" s="1" t="n">
        <v>1.84</v>
      </c>
      <c r="J58" s="0" t="n">
        <v>0</v>
      </c>
      <c r="K58" s="2" t="n">
        <v>1.95</v>
      </c>
      <c r="L58" s="0" t="n">
        <v>5.25</v>
      </c>
      <c r="M58" s="2" t="n">
        <v>1.84</v>
      </c>
      <c r="N58" s="1" t="n">
        <v>11.95</v>
      </c>
      <c r="O58" s="1" t="n">
        <v>1.84</v>
      </c>
      <c r="P58" s="0" t="n">
        <v>71.51</v>
      </c>
      <c r="Q58" s="0" t="n">
        <v>11.55</v>
      </c>
    </row>
    <row r="59" customFormat="false" ht="15" hidden="false" customHeight="false" outlineLevel="0" collapsed="false">
      <c r="D59" s="0" t="n">
        <v>7</v>
      </c>
      <c r="E59" s="0" t="n">
        <v>7.58</v>
      </c>
      <c r="F59" s="0" t="n">
        <v>-12.4</v>
      </c>
      <c r="G59" s="2" t="n">
        <v>1.54</v>
      </c>
      <c r="H59" s="1" t="n">
        <v>-5.25</v>
      </c>
      <c r="I59" s="1" t="n">
        <v>1.54</v>
      </c>
      <c r="J59" s="0" t="n">
        <v>0</v>
      </c>
      <c r="K59" s="2" t="n">
        <v>1.65</v>
      </c>
      <c r="L59" s="0" t="n">
        <v>5.25</v>
      </c>
      <c r="M59" s="2" t="n">
        <v>1.54</v>
      </c>
      <c r="N59" s="1" t="n">
        <v>12.4</v>
      </c>
      <c r="O59" s="1" t="n">
        <v>1.54</v>
      </c>
    </row>
    <row r="60" customFormat="false" ht="15" hidden="false" customHeight="false" outlineLevel="0" collapsed="false">
      <c r="D60" s="0" t="n">
        <v>6</v>
      </c>
      <c r="E60" s="0" t="n">
        <v>7.85</v>
      </c>
      <c r="F60" s="0" t="n">
        <v>-12.85</v>
      </c>
      <c r="G60" s="2" t="n">
        <v>1.24</v>
      </c>
      <c r="H60" s="1" t="n">
        <v>-5.25</v>
      </c>
      <c r="I60" s="1" t="n">
        <v>1.24</v>
      </c>
      <c r="J60" s="0" t="n">
        <v>0</v>
      </c>
      <c r="K60" s="2" t="n">
        <v>1.35</v>
      </c>
      <c r="L60" s="0" t="n">
        <v>5.25</v>
      </c>
      <c r="M60" s="2" t="n">
        <v>1.24</v>
      </c>
      <c r="N60" s="1" t="n">
        <v>12.85</v>
      </c>
      <c r="O60" s="1" t="n">
        <v>1.24</v>
      </c>
    </row>
    <row r="61" customFormat="false" ht="15" hidden="false" customHeight="false" outlineLevel="0" collapsed="false">
      <c r="D61" s="0" t="n">
        <v>5</v>
      </c>
      <c r="E61" s="0" t="n">
        <v>8.12</v>
      </c>
      <c r="F61" s="0" t="n">
        <v>-13.3</v>
      </c>
      <c r="G61" s="2" t="n">
        <v>0.94</v>
      </c>
      <c r="H61" s="1" t="n">
        <v>-5.25</v>
      </c>
      <c r="I61" s="1" t="n">
        <v>0.94</v>
      </c>
      <c r="J61" s="0" t="n">
        <v>0</v>
      </c>
      <c r="K61" s="2" t="n">
        <v>1.05</v>
      </c>
      <c r="L61" s="0" t="n">
        <v>5.25</v>
      </c>
      <c r="M61" s="2" t="n">
        <v>0.94</v>
      </c>
      <c r="N61" s="1" t="n">
        <v>13.3</v>
      </c>
      <c r="O61" s="1" t="n">
        <v>0.94</v>
      </c>
    </row>
    <row r="62" customFormat="false" ht="15" hidden="false" customHeight="false" outlineLevel="0" collapsed="false">
      <c r="D62" s="0" t="n">
        <v>4</v>
      </c>
      <c r="E62" s="0" t="n">
        <v>8.39</v>
      </c>
      <c r="F62" s="0" t="n">
        <v>-13.75</v>
      </c>
      <c r="G62" s="2" t="n">
        <v>0.64</v>
      </c>
      <c r="H62" s="1" t="n">
        <v>-5.25</v>
      </c>
      <c r="I62" s="1" t="n">
        <v>0.64</v>
      </c>
      <c r="J62" s="0" t="n">
        <v>0</v>
      </c>
      <c r="K62" s="2" t="n">
        <v>0.75</v>
      </c>
      <c r="L62" s="0" t="n">
        <v>5.25</v>
      </c>
      <c r="M62" s="2" t="n">
        <v>0.64</v>
      </c>
      <c r="N62" s="1" t="n">
        <v>13.75</v>
      </c>
      <c r="O62" s="1" t="n">
        <v>0.64</v>
      </c>
    </row>
    <row r="63" customFormat="false" ht="15" hidden="false" customHeight="false" outlineLevel="0" collapsed="false">
      <c r="D63" s="0" t="n">
        <v>3</v>
      </c>
      <c r="E63" s="0" t="n">
        <v>8.66</v>
      </c>
      <c r="F63" s="0" t="n">
        <v>-14.2</v>
      </c>
      <c r="G63" s="2" t="n">
        <v>0.34</v>
      </c>
      <c r="H63" s="1" t="n">
        <v>-5.25</v>
      </c>
      <c r="I63" s="1" t="n">
        <v>0.34</v>
      </c>
      <c r="J63" s="0" t="n">
        <v>0</v>
      </c>
      <c r="K63" s="2" t="n">
        <v>0.45</v>
      </c>
      <c r="L63" s="0" t="n">
        <v>5.25</v>
      </c>
      <c r="M63" s="2" t="n">
        <v>0.34</v>
      </c>
      <c r="N63" s="1" t="n">
        <v>14.2</v>
      </c>
      <c r="O63" s="1" t="n">
        <v>0.34</v>
      </c>
    </row>
    <row r="64" customFormat="false" ht="15" hidden="false" customHeight="false" outlineLevel="0" collapsed="false">
      <c r="D64" s="0" t="n">
        <v>2</v>
      </c>
      <c r="E64" s="0" t="n">
        <v>7.52</v>
      </c>
      <c r="F64" s="0" t="n">
        <v>-14.65</v>
      </c>
      <c r="G64" s="2" t="n">
        <v>0.04</v>
      </c>
      <c r="H64" s="1" t="n">
        <v>-5.25</v>
      </c>
      <c r="I64" s="1" t="n">
        <v>0.04</v>
      </c>
      <c r="J64" s="0" t="n">
        <v>0</v>
      </c>
      <c r="K64" s="2" t="n">
        <v>0.15</v>
      </c>
      <c r="L64" s="0" t="n">
        <v>5.25</v>
      </c>
      <c r="M64" s="2" t="n">
        <v>0.04</v>
      </c>
      <c r="N64" s="1" t="n">
        <v>14.65</v>
      </c>
      <c r="O64" s="1" t="n">
        <v>0.04</v>
      </c>
    </row>
    <row r="65" customFormat="false" ht="15" hidden="false" customHeight="false" outlineLevel="0" collapsed="false">
      <c r="D65" s="0" t="n">
        <v>1</v>
      </c>
      <c r="E65" s="0" t="n">
        <v>4.56</v>
      </c>
      <c r="F65" s="0" t="n">
        <v>-10.35</v>
      </c>
      <c r="G65" s="2" t="n">
        <v>-0.26</v>
      </c>
      <c r="H65" s="1" t="n">
        <v>-5.25</v>
      </c>
      <c r="I65" s="1" t="n">
        <v>-0.26</v>
      </c>
      <c r="J65" s="0" t="n">
        <v>0</v>
      </c>
      <c r="K65" s="2" t="n">
        <v>-0.15</v>
      </c>
      <c r="L65" s="0" t="n">
        <v>5.25</v>
      </c>
      <c r="M65" s="2" t="n">
        <v>-0.26</v>
      </c>
      <c r="N65" s="1" t="n">
        <v>10.66</v>
      </c>
      <c r="O65" s="1" t="n">
        <v>-0.26</v>
      </c>
    </row>
    <row r="66" customFormat="false" ht="15" hidden="false" customHeight="false" outlineLevel="0" collapsed="false">
      <c r="A66" s="1" t="n">
        <v>9</v>
      </c>
      <c r="B66" s="2" t="s">
        <v>1</v>
      </c>
      <c r="C66" s="0" t="n">
        <v>575.12</v>
      </c>
      <c r="D66" s="0" t="n">
        <v>8</v>
      </c>
      <c r="E66" s="0" t="n">
        <v>7.31</v>
      </c>
      <c r="F66" s="0" t="n">
        <v>-11.95</v>
      </c>
      <c r="G66" s="2" t="n">
        <v>1.84</v>
      </c>
      <c r="H66" s="1" t="n">
        <v>-5.25</v>
      </c>
      <c r="I66" s="1" t="n">
        <v>1.84</v>
      </c>
      <c r="J66" s="0" t="n">
        <v>0</v>
      </c>
      <c r="K66" s="2" t="n">
        <v>1.95</v>
      </c>
      <c r="L66" s="0" t="n">
        <v>5.25</v>
      </c>
      <c r="M66" s="2" t="n">
        <v>1.84</v>
      </c>
      <c r="N66" s="1" t="n">
        <v>11.95</v>
      </c>
      <c r="O66" s="1" t="n">
        <v>1.84</v>
      </c>
      <c r="P66" s="0" t="n">
        <v>69.66</v>
      </c>
      <c r="Q66" s="0" t="n">
        <v>11.55</v>
      </c>
    </row>
    <row r="67" customFormat="false" ht="15" hidden="false" customHeight="false" outlineLevel="0" collapsed="false">
      <c r="D67" s="0" t="n">
        <v>7</v>
      </c>
      <c r="E67" s="0" t="n">
        <v>7.58</v>
      </c>
      <c r="F67" s="0" t="n">
        <v>-12.4</v>
      </c>
      <c r="G67" s="2" t="n">
        <v>1.54</v>
      </c>
      <c r="H67" s="1" t="n">
        <v>-5.25</v>
      </c>
      <c r="I67" s="1" t="n">
        <v>1.54</v>
      </c>
      <c r="J67" s="0" t="n">
        <v>0</v>
      </c>
      <c r="K67" s="2" t="n">
        <v>1.65</v>
      </c>
      <c r="L67" s="0" t="n">
        <v>5.25</v>
      </c>
      <c r="M67" s="2" t="n">
        <v>1.54</v>
      </c>
      <c r="N67" s="1" t="n">
        <v>12.4</v>
      </c>
      <c r="O67" s="1" t="n">
        <v>1.54</v>
      </c>
    </row>
    <row r="68" customFormat="false" ht="15" hidden="false" customHeight="false" outlineLevel="0" collapsed="false">
      <c r="D68" s="0" t="n">
        <v>6</v>
      </c>
      <c r="E68" s="0" t="n">
        <v>7.85</v>
      </c>
      <c r="F68" s="0" t="n">
        <v>-12.85</v>
      </c>
      <c r="G68" s="2" t="n">
        <v>1.24</v>
      </c>
      <c r="H68" s="1" t="n">
        <v>-5.25</v>
      </c>
      <c r="I68" s="1" t="n">
        <v>1.24</v>
      </c>
      <c r="J68" s="0" t="n">
        <v>0</v>
      </c>
      <c r="K68" s="2" t="n">
        <v>1.35</v>
      </c>
      <c r="L68" s="0" t="n">
        <v>5.25</v>
      </c>
      <c r="M68" s="2" t="n">
        <v>1.24</v>
      </c>
      <c r="N68" s="1" t="n">
        <v>12.85</v>
      </c>
      <c r="O68" s="1" t="n">
        <v>1.24</v>
      </c>
    </row>
    <row r="69" customFormat="false" ht="15" hidden="false" customHeight="false" outlineLevel="0" collapsed="false">
      <c r="D69" s="0" t="n">
        <v>5</v>
      </c>
      <c r="E69" s="0" t="n">
        <v>8.12</v>
      </c>
      <c r="F69" s="0" t="n">
        <v>-13.3</v>
      </c>
      <c r="G69" s="2" t="n">
        <v>0.94</v>
      </c>
      <c r="H69" s="1" t="n">
        <v>-5.25</v>
      </c>
      <c r="I69" s="1" t="n">
        <v>0.94</v>
      </c>
      <c r="J69" s="0" t="n">
        <v>0</v>
      </c>
      <c r="K69" s="2" t="n">
        <v>1.05</v>
      </c>
      <c r="L69" s="0" t="n">
        <v>5.25</v>
      </c>
      <c r="M69" s="2" t="n">
        <v>0.94</v>
      </c>
      <c r="N69" s="1" t="n">
        <v>13.3</v>
      </c>
      <c r="O69" s="1" t="n">
        <v>0.94</v>
      </c>
    </row>
    <row r="70" customFormat="false" ht="15" hidden="false" customHeight="false" outlineLevel="0" collapsed="false">
      <c r="D70" s="0" t="n">
        <v>4</v>
      </c>
      <c r="E70" s="0" t="n">
        <v>8.39</v>
      </c>
      <c r="F70" s="0" t="n">
        <v>-13.75</v>
      </c>
      <c r="G70" s="2" t="n">
        <v>0.64</v>
      </c>
      <c r="H70" s="1" t="n">
        <v>-5.25</v>
      </c>
      <c r="I70" s="1" t="n">
        <v>0.64</v>
      </c>
      <c r="J70" s="0" t="n">
        <v>0</v>
      </c>
      <c r="K70" s="2" t="n">
        <v>0.75</v>
      </c>
      <c r="L70" s="0" t="n">
        <v>5.25</v>
      </c>
      <c r="M70" s="2" t="n">
        <v>0.64</v>
      </c>
      <c r="N70" s="1" t="n">
        <v>13.75</v>
      </c>
      <c r="O70" s="1" t="n">
        <v>0.64</v>
      </c>
    </row>
    <row r="71" customFormat="false" ht="15" hidden="false" customHeight="false" outlineLevel="0" collapsed="false">
      <c r="D71" s="0" t="n">
        <v>3</v>
      </c>
      <c r="E71" s="0" t="n">
        <v>8.28</v>
      </c>
      <c r="F71" s="0" t="n">
        <v>-14.2</v>
      </c>
      <c r="G71" s="2" t="n">
        <v>0.34</v>
      </c>
      <c r="H71" s="1" t="n">
        <v>-5.25</v>
      </c>
      <c r="I71" s="1" t="n">
        <v>0.34</v>
      </c>
      <c r="J71" s="0" t="n">
        <v>0</v>
      </c>
      <c r="K71" s="2" t="n">
        <v>0.45</v>
      </c>
      <c r="L71" s="0" t="n">
        <v>5.25</v>
      </c>
      <c r="M71" s="2" t="n">
        <v>0.34</v>
      </c>
      <c r="N71" s="1" t="n">
        <v>14.2</v>
      </c>
      <c r="O71" s="1" t="n">
        <v>0.34</v>
      </c>
    </row>
    <row r="72" customFormat="false" ht="15" hidden="false" customHeight="false" outlineLevel="0" collapsed="false">
      <c r="D72" s="0" t="n">
        <v>2</v>
      </c>
      <c r="E72" s="0" t="n">
        <v>6.3</v>
      </c>
      <c r="F72" s="0" t="n">
        <v>-14.65</v>
      </c>
      <c r="G72" s="2" t="n">
        <v>0.04</v>
      </c>
      <c r="H72" s="1" t="n">
        <v>-5.25</v>
      </c>
      <c r="I72" s="1" t="n">
        <v>0.04</v>
      </c>
      <c r="J72" s="0" t="n">
        <v>0</v>
      </c>
      <c r="K72" s="2" t="n">
        <v>0.15</v>
      </c>
      <c r="L72" s="0" t="n">
        <v>5.25</v>
      </c>
      <c r="M72" s="2" t="n">
        <v>0.04</v>
      </c>
      <c r="N72" s="1" t="n">
        <v>10.04</v>
      </c>
      <c r="O72" s="1" t="n">
        <v>0.04</v>
      </c>
    </row>
    <row r="73" customFormat="false" ht="15" hidden="false" customHeight="false" outlineLevel="0" collapsed="false">
      <c r="D73" s="0" t="n">
        <v>1</v>
      </c>
      <c r="E73" s="0" t="n">
        <v>4.31</v>
      </c>
      <c r="F73" s="0" t="n">
        <v>-10.07</v>
      </c>
      <c r="G73" s="2" t="n">
        <v>-0.26</v>
      </c>
      <c r="H73" s="1" t="n">
        <v>-5.25</v>
      </c>
      <c r="I73" s="1" t="n">
        <v>-0.26</v>
      </c>
      <c r="J73" s="0" t="n">
        <v>0</v>
      </c>
      <c r="K73" s="2" t="n">
        <v>-0.15</v>
      </c>
      <c r="L73" s="0" t="n">
        <v>5.25</v>
      </c>
      <c r="M73" s="2" t="n">
        <v>-0.26</v>
      </c>
      <c r="N73" s="1" t="n">
        <v>9.74</v>
      </c>
      <c r="O73" s="1" t="n">
        <v>-0.26</v>
      </c>
    </row>
    <row r="74" customFormat="false" ht="15" hidden="false" customHeight="false" outlineLevel="0" collapsed="false">
      <c r="A74" s="1" t="n">
        <v>10</v>
      </c>
      <c r="B74" s="2" t="s">
        <v>25</v>
      </c>
      <c r="C74" s="0" t="n">
        <v>575.16</v>
      </c>
      <c r="D74" s="0" t="n">
        <v>8</v>
      </c>
      <c r="E74" s="0" t="n">
        <v>7.31</v>
      </c>
      <c r="F74" s="0" t="n">
        <v>-11.95</v>
      </c>
      <c r="G74" s="2" t="n">
        <v>1.97</v>
      </c>
      <c r="H74" s="1" t="n">
        <v>-5.25</v>
      </c>
      <c r="I74" s="1" t="n">
        <v>1.97</v>
      </c>
      <c r="J74" s="0" t="n">
        <v>0</v>
      </c>
      <c r="K74" s="2" t="n">
        <v>1.95</v>
      </c>
      <c r="L74" s="0" t="n">
        <v>5.25</v>
      </c>
      <c r="M74" s="2" t="n">
        <v>1.84</v>
      </c>
      <c r="N74" s="1" t="n">
        <v>11.95</v>
      </c>
      <c r="O74" s="1" t="n">
        <v>1.84</v>
      </c>
      <c r="P74" s="0" t="n">
        <v>71.13</v>
      </c>
      <c r="Q74" s="0" t="n">
        <v>11.55</v>
      </c>
    </row>
    <row r="75" customFormat="false" ht="15" hidden="false" customHeight="false" outlineLevel="0" collapsed="false">
      <c r="D75" s="0" t="n">
        <v>7</v>
      </c>
      <c r="E75" s="0" t="n">
        <v>7.58</v>
      </c>
      <c r="F75" s="0" t="n">
        <v>-12.4</v>
      </c>
      <c r="G75" s="2" t="n">
        <v>1.67</v>
      </c>
      <c r="H75" s="1" t="n">
        <v>-5.25</v>
      </c>
      <c r="I75" s="1" t="n">
        <v>1.67</v>
      </c>
      <c r="J75" s="0" t="n">
        <v>0</v>
      </c>
      <c r="K75" s="2" t="n">
        <v>1.65</v>
      </c>
      <c r="L75" s="0" t="n">
        <v>5.25</v>
      </c>
      <c r="M75" s="2" t="n">
        <v>1.54</v>
      </c>
      <c r="N75" s="1" t="n">
        <v>12.4</v>
      </c>
      <c r="O75" s="1" t="n">
        <v>1.54</v>
      </c>
    </row>
    <row r="76" customFormat="false" ht="15" hidden="false" customHeight="false" outlineLevel="0" collapsed="false">
      <c r="D76" s="0" t="n">
        <v>6</v>
      </c>
      <c r="E76" s="0" t="n">
        <v>7.85</v>
      </c>
      <c r="F76" s="0" t="n">
        <v>-12.85</v>
      </c>
      <c r="G76" s="2" t="n">
        <v>1.37</v>
      </c>
      <c r="H76" s="1" t="n">
        <v>-5.25</v>
      </c>
      <c r="I76" s="1" t="n">
        <v>1.37</v>
      </c>
      <c r="J76" s="0" t="n">
        <v>0</v>
      </c>
      <c r="K76" s="2" t="n">
        <v>1.35</v>
      </c>
      <c r="L76" s="0" t="n">
        <v>5.25</v>
      </c>
      <c r="M76" s="2" t="n">
        <v>1.24</v>
      </c>
      <c r="N76" s="1" t="n">
        <v>12.85</v>
      </c>
      <c r="O76" s="1" t="n">
        <v>1.24</v>
      </c>
    </row>
    <row r="77" customFormat="false" ht="15" hidden="false" customHeight="false" outlineLevel="0" collapsed="false">
      <c r="D77" s="0" t="n">
        <v>5</v>
      </c>
      <c r="E77" s="0" t="n">
        <v>8.12</v>
      </c>
      <c r="F77" s="0" t="n">
        <v>-13.3</v>
      </c>
      <c r="G77" s="2" t="n">
        <v>1.07</v>
      </c>
      <c r="H77" s="1" t="n">
        <v>-5.25</v>
      </c>
      <c r="I77" s="1" t="n">
        <v>1.07</v>
      </c>
      <c r="J77" s="0" t="n">
        <v>0</v>
      </c>
      <c r="K77" s="2" t="n">
        <v>1.05</v>
      </c>
      <c r="L77" s="0" t="n">
        <v>5.25</v>
      </c>
      <c r="M77" s="2" t="n">
        <v>0.94</v>
      </c>
      <c r="N77" s="1" t="n">
        <v>13.3</v>
      </c>
      <c r="O77" s="1" t="n">
        <v>0.94</v>
      </c>
    </row>
    <row r="78" customFormat="false" ht="15" hidden="false" customHeight="false" outlineLevel="0" collapsed="false">
      <c r="D78" s="0" t="n">
        <v>4</v>
      </c>
      <c r="E78" s="0" t="n">
        <v>8.39</v>
      </c>
      <c r="F78" s="0" t="n">
        <v>-13.75</v>
      </c>
      <c r="G78" s="2" t="n">
        <v>0.77</v>
      </c>
      <c r="H78" s="1" t="n">
        <v>-5.25</v>
      </c>
      <c r="I78" s="1" t="n">
        <v>0.77</v>
      </c>
      <c r="J78" s="0" t="n">
        <v>0</v>
      </c>
      <c r="K78" s="2" t="n">
        <v>0.75</v>
      </c>
      <c r="L78" s="0" t="n">
        <v>5.25</v>
      </c>
      <c r="M78" s="2" t="n">
        <v>0.64</v>
      </c>
      <c r="N78" s="1" t="n">
        <v>13.75</v>
      </c>
      <c r="O78" s="1" t="n">
        <v>0.64</v>
      </c>
    </row>
    <row r="79" customFormat="false" ht="15" hidden="false" customHeight="false" outlineLevel="0" collapsed="false">
      <c r="D79" s="0" t="n">
        <v>3</v>
      </c>
      <c r="E79" s="0" t="n">
        <v>8.26</v>
      </c>
      <c r="F79" s="0" t="n">
        <v>-14.2</v>
      </c>
      <c r="G79" s="2" t="n">
        <v>0.47</v>
      </c>
      <c r="H79" s="1" t="n">
        <v>-5.25</v>
      </c>
      <c r="I79" s="1" t="n">
        <v>0.47</v>
      </c>
      <c r="J79" s="0" t="n">
        <v>0</v>
      </c>
      <c r="K79" s="2" t="n">
        <v>0.45</v>
      </c>
      <c r="L79" s="0" t="n">
        <v>5.25</v>
      </c>
      <c r="M79" s="2" t="n">
        <v>0.34</v>
      </c>
      <c r="N79" s="1" t="n">
        <v>14.2</v>
      </c>
      <c r="O79" s="1" t="n">
        <v>0.34</v>
      </c>
    </row>
    <row r="80" customFormat="false" ht="15" hidden="false" customHeight="false" outlineLevel="0" collapsed="false">
      <c r="D80" s="0" t="n">
        <v>2</v>
      </c>
      <c r="E80" s="0" t="n">
        <v>6.85</v>
      </c>
      <c r="F80" s="0" t="n">
        <v>-14.65</v>
      </c>
      <c r="G80" s="2" t="n">
        <v>0.17</v>
      </c>
      <c r="H80" s="1" t="n">
        <v>-5.25</v>
      </c>
      <c r="I80" s="1" t="n">
        <v>0.17</v>
      </c>
      <c r="J80" s="0" t="n">
        <v>0</v>
      </c>
      <c r="K80" s="2" t="n">
        <v>0.15</v>
      </c>
      <c r="L80" s="0" t="n">
        <v>5.25</v>
      </c>
      <c r="M80" s="2" t="n">
        <v>0.04</v>
      </c>
      <c r="N80" s="1" t="n">
        <v>9.82</v>
      </c>
      <c r="O80" s="1" t="n">
        <v>0.04</v>
      </c>
    </row>
    <row r="81" customFormat="false" ht="15" hidden="false" customHeight="false" outlineLevel="0" collapsed="false">
      <c r="D81" s="0" t="n">
        <v>1</v>
      </c>
      <c r="E81" s="0" t="n">
        <v>5.25</v>
      </c>
      <c r="F81" s="0" t="n">
        <v>-10.2</v>
      </c>
      <c r="G81" s="2" t="n">
        <v>-0.13</v>
      </c>
      <c r="H81" s="1" t="n">
        <v>-5.25</v>
      </c>
      <c r="I81" s="1" t="n">
        <v>-0.13</v>
      </c>
      <c r="J81" s="0" t="n">
        <v>0</v>
      </c>
      <c r="K81" s="2" t="n">
        <v>-0.15</v>
      </c>
      <c r="L81" s="0" t="n">
        <v>5.25</v>
      </c>
      <c r="M81" s="2" t="n">
        <v>-0.26</v>
      </c>
      <c r="N81" s="1" t="n">
        <v>9.52</v>
      </c>
      <c r="O81" s="1" t="n">
        <v>-0.26</v>
      </c>
    </row>
    <row r="82" customFormat="false" ht="15" hidden="false" customHeight="false" outlineLevel="0" collapsed="false">
      <c r="A82" s="1" t="n">
        <v>11</v>
      </c>
      <c r="B82" s="2" t="s">
        <v>26</v>
      </c>
      <c r="C82" s="0" t="n">
        <v>592.11</v>
      </c>
      <c r="D82" s="0" t="n">
        <v>8</v>
      </c>
      <c r="E82" s="0" t="n">
        <v>7.31</v>
      </c>
      <c r="F82" s="0" t="n">
        <v>-11.95</v>
      </c>
      <c r="G82" s="2" t="n">
        <v>1.84</v>
      </c>
      <c r="H82" s="1" t="n">
        <v>-5.25</v>
      </c>
      <c r="I82" s="1" t="n">
        <v>1.84</v>
      </c>
      <c r="J82" s="0" t="n">
        <v>0</v>
      </c>
      <c r="K82" s="2" t="n">
        <v>1.96</v>
      </c>
      <c r="L82" s="0" t="n">
        <v>5.25</v>
      </c>
      <c r="M82" s="2" t="n">
        <v>1.84</v>
      </c>
      <c r="N82" s="1" t="n">
        <v>11.95</v>
      </c>
      <c r="O82" s="1" t="n">
        <v>1.84</v>
      </c>
      <c r="P82" s="0" t="n">
        <v>72.18</v>
      </c>
      <c r="Q82" s="0" t="n">
        <v>11.55</v>
      </c>
    </row>
    <row r="83" customFormat="false" ht="15" hidden="false" customHeight="false" outlineLevel="0" collapsed="false">
      <c r="D83" s="0" t="n">
        <v>7</v>
      </c>
      <c r="E83" s="0" t="n">
        <v>7.58</v>
      </c>
      <c r="F83" s="0" t="n">
        <v>-12.4</v>
      </c>
      <c r="G83" s="2" t="n">
        <v>1.54</v>
      </c>
      <c r="H83" s="1" t="n">
        <v>-5.25</v>
      </c>
      <c r="I83" s="1" t="n">
        <v>1.54</v>
      </c>
      <c r="J83" s="0" t="n">
        <v>0</v>
      </c>
      <c r="K83" s="2" t="n">
        <v>1.66</v>
      </c>
      <c r="L83" s="0" t="n">
        <v>5.25</v>
      </c>
      <c r="M83" s="2" t="n">
        <v>1.54</v>
      </c>
      <c r="N83" s="1" t="n">
        <v>12.4</v>
      </c>
      <c r="O83" s="1" t="n">
        <v>1.54</v>
      </c>
    </row>
    <row r="84" customFormat="false" ht="15" hidden="false" customHeight="false" outlineLevel="0" collapsed="false">
      <c r="D84" s="0" t="n">
        <v>6</v>
      </c>
      <c r="E84" s="0" t="n">
        <v>7.85</v>
      </c>
      <c r="F84" s="0" t="n">
        <v>-12.85</v>
      </c>
      <c r="G84" s="2" t="n">
        <v>1.24</v>
      </c>
      <c r="H84" s="1" t="n">
        <v>-5.25</v>
      </c>
      <c r="I84" s="1" t="n">
        <v>1.24</v>
      </c>
      <c r="J84" s="0" t="n">
        <v>0</v>
      </c>
      <c r="K84" s="2" t="n">
        <v>1.36</v>
      </c>
      <c r="L84" s="0" t="n">
        <v>5.25</v>
      </c>
      <c r="M84" s="2" t="n">
        <v>1.24</v>
      </c>
      <c r="N84" s="1" t="n">
        <v>12.85</v>
      </c>
      <c r="O84" s="1" t="n">
        <v>1.24</v>
      </c>
    </row>
    <row r="85" customFormat="false" ht="15" hidden="false" customHeight="false" outlineLevel="0" collapsed="false">
      <c r="D85" s="0" t="n">
        <v>5</v>
      </c>
      <c r="E85" s="0" t="n">
        <v>8.12</v>
      </c>
      <c r="F85" s="0" t="n">
        <v>-13.3</v>
      </c>
      <c r="G85" s="2" t="n">
        <v>0.94</v>
      </c>
      <c r="H85" s="1" t="n">
        <v>-5.25</v>
      </c>
      <c r="I85" s="1" t="n">
        <v>0.94</v>
      </c>
      <c r="J85" s="0" t="n">
        <v>0</v>
      </c>
      <c r="K85" s="2" t="n">
        <v>1.06</v>
      </c>
      <c r="L85" s="0" t="n">
        <v>5.25</v>
      </c>
      <c r="M85" s="2" t="n">
        <v>0.94</v>
      </c>
      <c r="N85" s="1" t="n">
        <v>13.3</v>
      </c>
      <c r="O85" s="1" t="n">
        <v>0.94</v>
      </c>
    </row>
    <row r="86" customFormat="false" ht="15" hidden="false" customHeight="false" outlineLevel="0" collapsed="false">
      <c r="D86" s="0" t="n">
        <v>4</v>
      </c>
      <c r="E86" s="0" t="n">
        <v>8.39</v>
      </c>
      <c r="F86" s="0" t="n">
        <v>-13.75</v>
      </c>
      <c r="G86" s="2" t="n">
        <v>0.64</v>
      </c>
      <c r="H86" s="1" t="n">
        <v>-5.25</v>
      </c>
      <c r="I86" s="1" t="n">
        <v>0.64</v>
      </c>
      <c r="J86" s="0" t="n">
        <v>0</v>
      </c>
      <c r="K86" s="2" t="n">
        <v>0.76</v>
      </c>
      <c r="L86" s="0" t="n">
        <v>5.25</v>
      </c>
      <c r="M86" s="2" t="n">
        <v>0.64</v>
      </c>
      <c r="N86" s="1" t="n">
        <v>13.75</v>
      </c>
      <c r="O86" s="1" t="n">
        <v>0.64</v>
      </c>
    </row>
    <row r="87" customFormat="false" ht="15" hidden="false" customHeight="false" outlineLevel="0" collapsed="false">
      <c r="D87" s="0" t="n">
        <v>3</v>
      </c>
      <c r="E87" s="0" t="n">
        <v>8.66</v>
      </c>
      <c r="F87" s="0" t="n">
        <v>-14.2</v>
      </c>
      <c r="G87" s="2" t="n">
        <v>0.34</v>
      </c>
      <c r="H87" s="1" t="n">
        <v>-5.25</v>
      </c>
      <c r="I87" s="1" t="n">
        <v>0.34</v>
      </c>
      <c r="J87" s="0" t="n">
        <v>0</v>
      </c>
      <c r="K87" s="2" t="n">
        <v>0.46</v>
      </c>
      <c r="L87" s="0" t="n">
        <v>5.25</v>
      </c>
      <c r="M87" s="2" t="n">
        <v>0.34</v>
      </c>
      <c r="N87" s="1" t="n">
        <v>14.2</v>
      </c>
      <c r="O87" s="1" t="n">
        <v>0.34</v>
      </c>
    </row>
    <row r="88" customFormat="false" ht="15" hidden="false" customHeight="false" outlineLevel="0" collapsed="false">
      <c r="D88" s="0" t="n">
        <v>2</v>
      </c>
      <c r="E88" s="0" t="n">
        <v>8.25</v>
      </c>
      <c r="F88" s="0" t="n">
        <v>-14.65</v>
      </c>
      <c r="G88" s="2" t="n">
        <v>0.04</v>
      </c>
      <c r="H88" s="1" t="n">
        <v>-5.25</v>
      </c>
      <c r="I88" s="1" t="n">
        <v>0.04</v>
      </c>
      <c r="J88" s="0" t="n">
        <v>0</v>
      </c>
      <c r="K88" s="2" t="n">
        <v>0.16</v>
      </c>
      <c r="L88" s="0" t="n">
        <v>5.25</v>
      </c>
      <c r="M88" s="2" t="n">
        <v>0.04</v>
      </c>
      <c r="N88" s="1" t="n">
        <v>14.65</v>
      </c>
      <c r="O88" s="1" t="n">
        <v>0.04</v>
      </c>
    </row>
    <row r="89" customFormat="false" ht="15" hidden="false" customHeight="false" outlineLevel="0" collapsed="false">
      <c r="D89" s="0" t="n">
        <v>1</v>
      </c>
      <c r="E89" s="0" t="n">
        <v>4.5</v>
      </c>
      <c r="F89" s="0" t="n">
        <v>-10.24</v>
      </c>
      <c r="G89" s="2" t="n">
        <v>-0.26</v>
      </c>
      <c r="H89" s="1" t="n">
        <v>-5.25</v>
      </c>
      <c r="I89" s="1" t="n">
        <v>-0.26</v>
      </c>
      <c r="J89" s="0" t="n">
        <v>0</v>
      </c>
      <c r="K89" s="2" t="n">
        <v>-0.14</v>
      </c>
      <c r="L89" s="0" t="n">
        <v>5.25</v>
      </c>
      <c r="M89" s="2" t="n">
        <v>-0.26</v>
      </c>
      <c r="N89" s="1" t="n">
        <v>10.3</v>
      </c>
      <c r="O89" s="1" t="n">
        <v>-0.26</v>
      </c>
    </row>
    <row r="90" customFormat="false" ht="15" hidden="false" customHeight="false" outlineLevel="0" collapsed="false">
      <c r="A90" s="1" t="n">
        <v>12</v>
      </c>
      <c r="B90" s="2" t="s">
        <v>27</v>
      </c>
      <c r="C90" s="0" t="n">
        <v>609.11</v>
      </c>
      <c r="D90" s="0" t="n">
        <v>8</v>
      </c>
      <c r="E90" s="0" t="n">
        <v>7.31</v>
      </c>
      <c r="F90" s="0" t="n">
        <v>-11.95</v>
      </c>
      <c r="G90" s="2" t="n">
        <v>1.84</v>
      </c>
      <c r="H90" s="1" t="n">
        <v>-5.25</v>
      </c>
      <c r="I90" s="1" t="n">
        <v>1.84</v>
      </c>
      <c r="J90" s="0" t="n">
        <v>0</v>
      </c>
      <c r="K90" s="2" t="n">
        <v>1.96</v>
      </c>
      <c r="L90" s="0" t="n">
        <v>5.25</v>
      </c>
      <c r="M90" s="2" t="n">
        <v>1.84</v>
      </c>
      <c r="N90" s="1" t="n">
        <v>11.95</v>
      </c>
      <c r="O90" s="1" t="n">
        <v>1.84</v>
      </c>
      <c r="P90" s="0" t="n">
        <v>68.14</v>
      </c>
      <c r="Q90" s="0" t="n">
        <v>11.55</v>
      </c>
    </row>
    <row r="91" customFormat="false" ht="15" hidden="false" customHeight="false" outlineLevel="0" collapsed="false">
      <c r="D91" s="0" t="n">
        <v>7</v>
      </c>
      <c r="E91" s="0" t="n">
        <v>7.58</v>
      </c>
      <c r="F91" s="0" t="n">
        <v>-12.4</v>
      </c>
      <c r="G91" s="2" t="n">
        <v>1.54</v>
      </c>
      <c r="H91" s="1" t="n">
        <v>-5.25</v>
      </c>
      <c r="I91" s="1" t="n">
        <v>1.54</v>
      </c>
      <c r="J91" s="0" t="n">
        <v>0</v>
      </c>
      <c r="K91" s="2" t="n">
        <v>1.66</v>
      </c>
      <c r="L91" s="0" t="n">
        <v>5.25</v>
      </c>
      <c r="M91" s="2" t="n">
        <v>1.54</v>
      </c>
      <c r="N91" s="1" t="n">
        <v>12.4</v>
      </c>
      <c r="O91" s="1" t="n">
        <v>1.54</v>
      </c>
    </row>
    <row r="92" customFormat="false" ht="15" hidden="false" customHeight="false" outlineLevel="0" collapsed="false">
      <c r="D92" s="0" t="n">
        <v>6</v>
      </c>
      <c r="E92" s="0" t="n">
        <v>7.85</v>
      </c>
      <c r="F92" s="0" t="n">
        <v>-12.85</v>
      </c>
      <c r="G92" s="2" t="n">
        <v>1.24</v>
      </c>
      <c r="H92" s="1" t="n">
        <v>-5.25</v>
      </c>
      <c r="I92" s="1" t="n">
        <v>1.24</v>
      </c>
      <c r="J92" s="0" t="n">
        <v>0</v>
      </c>
      <c r="K92" s="2" t="n">
        <v>1.36</v>
      </c>
      <c r="L92" s="0" t="n">
        <v>5.25</v>
      </c>
      <c r="M92" s="2" t="n">
        <v>1.24</v>
      </c>
      <c r="N92" s="1" t="n">
        <v>12.85</v>
      </c>
      <c r="O92" s="1" t="n">
        <v>1.24</v>
      </c>
    </row>
    <row r="93" customFormat="false" ht="15" hidden="false" customHeight="false" outlineLevel="0" collapsed="false">
      <c r="D93" s="0" t="n">
        <v>5</v>
      </c>
      <c r="E93" s="0" t="n">
        <v>8.12</v>
      </c>
      <c r="F93" s="0" t="n">
        <v>-13.3</v>
      </c>
      <c r="G93" s="2" t="n">
        <v>0.94</v>
      </c>
      <c r="H93" s="1" t="n">
        <v>-5.25</v>
      </c>
      <c r="I93" s="1" t="n">
        <v>0.94</v>
      </c>
      <c r="J93" s="0" t="n">
        <v>0</v>
      </c>
      <c r="K93" s="2" t="n">
        <v>1.06</v>
      </c>
      <c r="L93" s="0" t="n">
        <v>5.25</v>
      </c>
      <c r="M93" s="2" t="n">
        <v>0.94</v>
      </c>
      <c r="N93" s="1" t="n">
        <v>13.3</v>
      </c>
      <c r="O93" s="1" t="n">
        <v>0.94</v>
      </c>
    </row>
    <row r="94" customFormat="false" ht="15" hidden="false" customHeight="false" outlineLevel="0" collapsed="false">
      <c r="D94" s="0" t="n">
        <v>4</v>
      </c>
      <c r="E94" s="0" t="n">
        <v>8.39</v>
      </c>
      <c r="F94" s="0" t="n">
        <v>-13.75</v>
      </c>
      <c r="G94" s="2" t="n">
        <v>0.64</v>
      </c>
      <c r="H94" s="1" t="n">
        <v>-5.25</v>
      </c>
      <c r="I94" s="1" t="n">
        <v>0.64</v>
      </c>
      <c r="J94" s="0" t="n">
        <v>0</v>
      </c>
      <c r="K94" s="2" t="n">
        <v>0.76</v>
      </c>
      <c r="L94" s="0" t="n">
        <v>5.25</v>
      </c>
      <c r="M94" s="2" t="n">
        <v>0.64</v>
      </c>
      <c r="N94" s="1" t="n">
        <v>13.75</v>
      </c>
      <c r="O94" s="1" t="n">
        <v>0.64</v>
      </c>
    </row>
    <row r="95" customFormat="false" ht="15" hidden="false" customHeight="false" outlineLevel="0" collapsed="false">
      <c r="D95" s="0" t="n">
        <v>3</v>
      </c>
      <c r="E95" s="0" t="n">
        <v>7.42</v>
      </c>
      <c r="F95" s="0" t="n">
        <v>-14.2</v>
      </c>
      <c r="G95" s="2" t="n">
        <v>0.34</v>
      </c>
      <c r="H95" s="1" t="n">
        <v>-5.25</v>
      </c>
      <c r="I95" s="1" t="n">
        <v>0.34</v>
      </c>
      <c r="J95" s="0" t="n">
        <v>0</v>
      </c>
      <c r="K95" s="2" t="n">
        <v>0.46</v>
      </c>
      <c r="L95" s="0" t="n">
        <v>5.25</v>
      </c>
      <c r="M95" s="2" t="n">
        <v>0.34</v>
      </c>
      <c r="N95" s="1" t="n">
        <v>14.2</v>
      </c>
      <c r="O95" s="1" t="n">
        <v>0.34</v>
      </c>
    </row>
    <row r="96" customFormat="false" ht="15" hidden="false" customHeight="false" outlineLevel="0" collapsed="false">
      <c r="D96" s="0" t="n">
        <v>2</v>
      </c>
      <c r="E96" s="0" t="n">
        <v>5.72</v>
      </c>
      <c r="F96" s="0" t="n">
        <v>-9.76</v>
      </c>
      <c r="G96" s="2" t="n">
        <v>0.04</v>
      </c>
      <c r="H96" s="1" t="n">
        <v>-5.25</v>
      </c>
      <c r="I96" s="1" t="n">
        <v>0.04</v>
      </c>
      <c r="J96" s="0" t="n">
        <v>0</v>
      </c>
      <c r="K96" s="2" t="n">
        <v>0.16</v>
      </c>
      <c r="L96" s="0" t="n">
        <v>5.25</v>
      </c>
      <c r="M96" s="2" t="n">
        <v>0.04</v>
      </c>
      <c r="N96" s="1" t="n">
        <v>9.62</v>
      </c>
      <c r="O96" s="1" t="n">
        <v>0.04</v>
      </c>
    </row>
    <row r="97" customFormat="false" ht="15" hidden="false" customHeight="false" outlineLevel="0" collapsed="false">
      <c r="D97" s="0" t="n">
        <v>1</v>
      </c>
      <c r="E97" s="0" t="n">
        <v>4.22</v>
      </c>
      <c r="F97" s="0" t="n">
        <v>-9.46</v>
      </c>
      <c r="G97" s="2" t="n">
        <v>-0.26</v>
      </c>
      <c r="H97" s="1" t="n">
        <v>-5.25</v>
      </c>
      <c r="I97" s="1" t="n">
        <v>-0.26</v>
      </c>
      <c r="J97" s="0" t="n">
        <v>0</v>
      </c>
      <c r="K97" s="2" t="n">
        <v>-0.14</v>
      </c>
      <c r="L97" s="0" t="n">
        <v>5.25</v>
      </c>
      <c r="M97" s="2" t="n">
        <v>-0.26</v>
      </c>
      <c r="N97" s="1" t="n">
        <v>9.32</v>
      </c>
      <c r="O97" s="1" t="n">
        <v>-0.26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W67"/>
  <sheetViews>
    <sheetView showFormulas="false" showGridLines="true" showRowColHeaders="true" showZeros="true" rightToLeft="false" tabSelected="false" showOutlineSymbols="true" defaultGridColor="true" view="normal" topLeftCell="A1" colorId="64" zoomScale="85" zoomScaleNormal="85" zoomScalePageLayoutView="100" workbookViewId="0">
      <selection pane="topLeft" activeCell="U66" activeCellId="0" sqref="U66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6.71"/>
    <col collapsed="false" customWidth="true" hidden="false" outlineLevel="0" max="2" min="2" style="1" width="7.42"/>
    <col collapsed="false" customWidth="true" hidden="false" outlineLevel="0" max="3" min="3" style="1" width="16.43"/>
    <col collapsed="false" customWidth="true" hidden="true" outlineLevel="0" max="4" min="4" style="1" width="8.29"/>
    <col collapsed="false" customWidth="false" hidden="true" outlineLevel="0" max="5" min="5" style="1" width="8.71"/>
    <col collapsed="false" customWidth="true" hidden="true" outlineLevel="0" max="6" min="6" style="1" width="9.14"/>
    <col collapsed="false" customWidth="true" hidden="false" outlineLevel="0" max="12" min="7" style="1" width="11.71"/>
    <col collapsed="false" customWidth="true" hidden="true" outlineLevel="0" max="15" min="13" style="1" width="8.57"/>
    <col collapsed="false" customWidth="true" hidden="false" outlineLevel="0" max="18" min="16" style="1" width="11.71"/>
    <col collapsed="false" customWidth="true" hidden="false" outlineLevel="0" max="19" min="19" style="1" width="7"/>
  </cols>
  <sheetData>
    <row r="1" customFormat="false" ht="20.25" hidden="false" customHeight="true" outlineLevel="0" collapsed="false">
      <c r="A1" s="3" t="s">
        <v>28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3"/>
      <c r="T1" s="4"/>
      <c r="U1" s="4"/>
      <c r="V1" s="4"/>
      <c r="W1" s="4"/>
    </row>
    <row r="2" customFormat="false" ht="18.75" hidden="false" customHeight="true" outlineLevel="0" collapsed="false">
      <c r="A2" s="5" t="str">
        <f>"Kèm theo BBNT số: "&amp;VLOOKUP(AZ2,'[1]Tuyến XD8'!$A$2:$G$60,7,0)&amp;VLOOKUP(AZ2,'[1]Tuyến XD8'!$A$2:$G$60,4,0)</f>
        <v xml:space="preserve">Kèm theo BBNT số: 64.NĐXD8/CVXD ngày 16 tháng 09 năm 2026</v>
      </c>
      <c r="B2" s="5"/>
      <c r="C2" s="5"/>
      <c r="D2" s="5"/>
      <c r="E2" s="5"/>
      <c r="F2" s="5"/>
      <c r="G2" s="5"/>
      <c r="H2" s="5"/>
      <c r="I2" s="5"/>
      <c r="J2" s="5"/>
      <c r="K2" s="5"/>
      <c r="L2" s="5"/>
      <c r="M2" s="5"/>
      <c r="N2" s="5"/>
      <c r="O2" s="5"/>
      <c r="P2" s="5"/>
      <c r="Q2" s="5"/>
      <c r="R2" s="5"/>
      <c r="S2" s="5"/>
      <c r="U2" s="6"/>
      <c r="V2" s="6"/>
      <c r="W2" s="6"/>
      <c r="AZ2">
        <v>64</v>
      </c>
    </row>
    <row r="3" customFormat="false" ht="18.75" hidden="false" customHeight="true" outlineLevel="0" collapsed="false">
      <c r="A3" s="7" t="s">
        <v>30</v>
      </c>
      <c r="C3" s="7"/>
      <c r="D3" s="7"/>
      <c r="E3" s="7"/>
      <c r="F3" s="7"/>
      <c r="G3" s="7"/>
      <c r="H3" s="7"/>
      <c r="I3" s="7"/>
      <c r="J3" s="7"/>
      <c r="K3" s="7"/>
      <c r="L3" s="7"/>
      <c r="M3" s="7"/>
      <c r="N3" s="7"/>
      <c r="O3" s="7"/>
      <c r="P3" s="7"/>
      <c r="Q3" s="7"/>
      <c r="R3" s="7"/>
      <c r="S3" s="7"/>
      <c r="T3" s="7"/>
      <c r="U3" s="7"/>
      <c r="V3" s="7"/>
      <c r="W3" s="7"/>
    </row>
    <row r="4" customFormat="false" ht="18.75" hidden="false" customHeight="true" outlineLevel="0" collapsed="false">
      <c r="A4" s="7" t="s">
        <v>31</v>
      </c>
      <c r="C4" s="7"/>
      <c r="D4" s="7"/>
      <c r="E4" s="7"/>
      <c r="F4" s="7"/>
      <c r="G4" s="7"/>
      <c r="H4" s="7"/>
      <c r="I4" s="7"/>
      <c r="J4" s="7"/>
      <c r="K4" s="7"/>
      <c r="L4" s="7"/>
      <c r="M4" s="7"/>
      <c r="N4" s="7"/>
      <c r="O4" s="7"/>
      <c r="P4" s="7"/>
      <c r="Q4" s="7"/>
      <c r="R4" s="7"/>
      <c r="S4" s="7"/>
      <c r="T4" s="7"/>
      <c r="U4" s="7"/>
      <c r="V4" s="7"/>
      <c r="W4" s="7"/>
    </row>
    <row r="5" customFormat="false" ht="18.75" hidden="false" customHeight="true" outlineLevel="0" collapsed="false">
      <c r="A5" s="7" t="s">
        <v>32</v>
      </c>
      <c r="C5" s="7"/>
      <c r="D5" s="7"/>
      <c r="E5" s="7"/>
      <c r="F5" s="7"/>
      <c r="G5" s="7"/>
      <c r="H5" s="7"/>
      <c r="I5" s="7"/>
      <c r="J5" s="7"/>
      <c r="K5" s="7"/>
      <c r="L5" s="7"/>
      <c r="M5" s="7"/>
      <c r="N5" s="7"/>
      <c r="O5" s="7"/>
      <c r="P5" s="7"/>
      <c r="Q5" s="7"/>
      <c r="R5" s="7"/>
      <c r="S5" s="7"/>
      <c r="T5" s="7"/>
      <c r="U5" s="7"/>
      <c r="V5" s="7"/>
      <c r="W5" s="7"/>
    </row>
    <row r="6" customFormat="false" ht="18.75" hidden="false" customHeight="true" outlineLevel="0" collapsed="false">
      <c r="A6" s="7" t="s">
        <v>33</v>
      </c>
      <c r="C6" s="7"/>
      <c r="D6" s="7"/>
      <c r="E6" s="7"/>
      <c r="F6" s="7"/>
      <c r="G6" s="7"/>
      <c r="H6" s="7"/>
      <c r="I6" s="7"/>
      <c r="J6" s="7"/>
      <c r="K6" s="7"/>
      <c r="L6" s="7"/>
      <c r="M6" s="7"/>
      <c r="N6" s="7"/>
      <c r="O6" s="7"/>
      <c r="P6" s="7"/>
      <c r="Q6" s="7"/>
      <c r="R6" s="7"/>
      <c r="S6" s="7"/>
      <c r="T6" s="7"/>
      <c r="U6" s="7"/>
      <c r="V6" s="7"/>
      <c r="W6" s="7"/>
    </row>
    <row r="7" customFormat="false" ht="18.75" hidden="false" customHeight="true" outlineLevel="0" collapsed="false">
      <c r="A7" s="8" t="s">
        <v>34</v>
      </c>
      <c r="C7" s="7"/>
      <c r="D7" s="7"/>
      <c r="F7" s="7"/>
      <c r="G7" s="7" t="str">
        <f>VLOOKUP(AZ2,'[1]Tuyến XD8'!$A$2:$B$60,2,0)</f>
        <v xml:space="preserve">Đắp đất nền đường lớp 1 đoạn từ Km0+489,19 - Km0+609,11, độ chặt K&gt;=0,95</v>
      </c>
      <c r="I7" s="7"/>
      <c r="J7" s="7"/>
      <c r="K7" s="7"/>
      <c r="L7" s="7"/>
      <c r="M7" s="7"/>
      <c r="N7" s="7"/>
      <c r="O7" s="7"/>
      <c r="P7" s="7"/>
      <c r="Q7" s="7"/>
      <c r="R7" s="7"/>
      <c r="S7" s="7"/>
      <c r="T7" s="7"/>
      <c r="U7" s="7"/>
      <c r="V7" s="7"/>
      <c r="W7" s="7"/>
    </row>
    <row r="8" customFormat="false" ht="18.75" hidden="false" customHeight="true" outlineLevel="0" collapsed="false">
      <c r="A8" s="8" t="s">
        <v>36</v>
      </c>
      <c r="C8" s="7"/>
      <c r="D8" s="7"/>
      <c r="E8" s="7"/>
      <c r="F8" s="7"/>
      <c r="G8" s="7"/>
      <c r="H8" s="7"/>
      <c r="I8" s="7"/>
      <c r="J8" s="7"/>
      <c r="K8" s="7"/>
      <c r="L8" s="7"/>
      <c r="M8" s="7"/>
      <c r="N8" s="7"/>
      <c r="O8" s="7"/>
      <c r="P8" s="7"/>
      <c r="Q8" s="7"/>
      <c r="R8" s="7"/>
      <c r="S8" s="7"/>
      <c r="T8" s="7"/>
      <c r="U8" s="7"/>
      <c r="V8" s="7"/>
      <c r="W8" s="7"/>
    </row>
    <row r="19" customFormat="false" ht="15" hidden="false" customHeight="true" outlineLevel="0" collapsed="false">
      <c r="A19" s="9" t="s">
        <v>37</v>
      </c>
      <c r="B19" s="9" t="s">
        <v>38</v>
      </c>
      <c r="C19" s="9" t="s">
        <v>39</v>
      </c>
      <c r="D19" s="10" t="s">
        <v>40</v>
      </c>
      <c r="E19" s="10"/>
      <c r="F19" s="10"/>
      <c r="G19" s="10"/>
      <c r="H19" s="10"/>
      <c r="I19" s="10"/>
      <c r="J19" s="10" t="s">
        <v>41</v>
      </c>
      <c r="K19" s="10"/>
      <c r="L19" s="10"/>
      <c r="M19" s="10" t="s">
        <v>42</v>
      </c>
      <c r="N19" s="10"/>
      <c r="O19" s="10"/>
      <c r="P19" s="10"/>
      <c r="Q19" s="10"/>
      <c r="R19" s="10"/>
      <c r="S19" s="9" t="s">
        <v>43</v>
      </c>
    </row>
    <row r="20" customFormat="false" ht="30" hidden="false" customHeight="true" outlineLevel="0" collapsed="false">
      <c r="A20" s="9"/>
      <c r="B20" s="9"/>
      <c r="C20" s="9"/>
      <c r="D20" s="11" t="s">
        <v>44</v>
      </c>
      <c r="E20" s="11" t="s">
        <v>45</v>
      </c>
      <c r="F20" s="11" t="s">
        <v>46</v>
      </c>
      <c r="G20" s="11" t="s">
        <v>47</v>
      </c>
      <c r="H20" s="11" t="s">
        <v>48</v>
      </c>
      <c r="I20" s="11" t="s">
        <v>49</v>
      </c>
      <c r="J20" s="11" t="s">
        <v>47</v>
      </c>
      <c r="K20" s="11" t="s">
        <v>48</v>
      </c>
      <c r="L20" s="11" t="s">
        <v>49</v>
      </c>
      <c r="M20" s="11" t="s">
        <v>44</v>
      </c>
      <c r="N20" s="11" t="s">
        <v>45</v>
      </c>
      <c r="O20" s="11" t="s">
        <v>46</v>
      </c>
      <c r="P20" s="11" t="s">
        <v>47</v>
      </c>
      <c r="Q20" s="11" t="s">
        <v>48</v>
      </c>
      <c r="R20" s="11" t="s">
        <v>49</v>
      </c>
      <c r="S20" s="9"/>
      <c r="T20" s="12"/>
    </row>
    <row r="21" customFormat="false" ht="17.25" hidden="false" customHeight="true" outlineLevel="0" collapsed="false">
      <c r="A21" s="13" t="n">
        <v>1</v>
      </c>
      <c r="B21" s="14" t="s">
        <v>17</v>
      </c>
      <c r="C21" s="15" t="n">
        <v>489.19</v>
      </c>
      <c r="D21" s="16" t="n">
        <f aca="false">+Chạy!F9</f>
        <v>-9.67</v>
      </c>
      <c r="E21" s="16" t="n">
        <f aca="false">+D21+F21</f>
        <v>-9.6645</v>
      </c>
      <c r="F21" s="16" t="n">
        <f aca="false">RANDBETWEEN(-105,115)/10000</f>
        <v>0.0055</v>
      </c>
      <c r="G21" s="16" t="n">
        <f aca="false">+Chạy!G9</f>
        <v>-0.23</v>
      </c>
      <c r="H21" s="16" t="n">
        <f aca="false">G21+I21</f>
        <v>-0.245</v>
      </c>
      <c r="I21" s="16" t="n">
        <f aca="false">RANDBETWEEN(-30,90)/1000</f>
        <v>-0.015</v>
      </c>
      <c r="J21" s="16" t="n">
        <f aca="false">+Chạy!K9</f>
        <v>-0.11</v>
      </c>
      <c r="K21" s="16" t="n">
        <f aca="false">J21+L21</f>
        <v>-0.096</v>
      </c>
      <c r="L21" s="16" t="n">
        <f aca="false">RANDBETWEEN(-30,90)/1000</f>
        <v>0.014</v>
      </c>
      <c r="M21" s="16" t="n">
        <f aca="false">+Chạy!N9</f>
        <v>15.1</v>
      </c>
      <c r="N21" s="16" t="n">
        <f aca="false">+M21+O21</f>
        <v>15.109</v>
      </c>
      <c r="O21" s="16" t="n">
        <f aca="false">RANDBETWEEN(-105,115)/10000</f>
        <v>0.009</v>
      </c>
      <c r="P21" s="16" t="n">
        <f aca="false">+Chạy!O9</f>
        <v>-0.23</v>
      </c>
      <c r="Q21" s="16" t="n">
        <f aca="false">P21+R21</f>
        <v>-0.225</v>
      </c>
      <c r="R21" s="16" t="n">
        <f aca="false">RANDBETWEEN(-30,90)/1000</f>
        <v>0.005</v>
      </c>
      <c r="S21" s="17"/>
      <c r="T21" s="18" t="n">
        <v>13.17</v>
      </c>
    </row>
    <row r="22" customFormat="false" ht="17.25" hidden="false" customHeight="true" outlineLevel="0" collapsed="false">
      <c r="A22" s="13" t="n">
        <v>2</v>
      </c>
      <c r="B22" s="14" t="s">
        <v>18</v>
      </c>
      <c r="C22" s="15" t="n">
        <f aca="false">+C21+T21</f>
        <v>502.36</v>
      </c>
      <c r="D22" s="16" t="n">
        <f aca="false">+Chạy!F17</f>
        <v>-10.68</v>
      </c>
      <c r="E22" s="16" t="n">
        <f aca="false">+D22+F22</f>
        <v>-10.6869</v>
      </c>
      <c r="F22" s="16" t="n">
        <f aca="false">RANDBETWEEN(-105,115)/10000</f>
        <v>-0.0069</v>
      </c>
      <c r="G22" s="16" t="n">
        <f aca="false">+Chạy!G17</f>
        <v>-0.24</v>
      </c>
      <c r="H22" s="16" t="n">
        <f aca="false">G22+I22</f>
        <v>-0.174</v>
      </c>
      <c r="I22" s="16" t="n">
        <f aca="false">RANDBETWEEN(-30,90)/1000</f>
        <v>0.066</v>
      </c>
      <c r="J22" s="16" t="n">
        <f aca="false">+Chạy!K17</f>
        <v>-0.12</v>
      </c>
      <c r="K22" s="16" t="n">
        <f aca="false">J22+L22</f>
        <v>-0.123</v>
      </c>
      <c r="L22" s="16" t="n">
        <f aca="false">RANDBETWEEN(-30,90)/1000</f>
        <v>-0.003</v>
      </c>
      <c r="M22" s="16" t="n">
        <f aca="false">+Chạy!N17</f>
        <v>10.58</v>
      </c>
      <c r="N22" s="16" t="n">
        <f aca="false">+M22+O22</f>
        <v>10.5905</v>
      </c>
      <c r="O22" s="16" t="n">
        <f aca="false">RANDBETWEEN(-105,115)/10000</f>
        <v>0.0105</v>
      </c>
      <c r="P22" s="16" t="n">
        <f aca="false">+Chạy!O17</f>
        <v>-0.24</v>
      </c>
      <c r="Q22" s="16" t="n">
        <f aca="false">P22+R22</f>
        <v>-0.155</v>
      </c>
      <c r="R22" s="16" t="n">
        <f aca="false">RANDBETWEEN(-30,90)/1000</f>
        <v>0.085</v>
      </c>
      <c r="S22" s="17"/>
      <c r="T22" s="18" t="n">
        <v>10.48</v>
      </c>
    </row>
    <row r="23" customFormat="false" ht="17.25" hidden="false" customHeight="true" outlineLevel="0" collapsed="false">
      <c r="A23" s="13" t="n">
        <v>3</v>
      </c>
      <c r="B23" s="14" t="s">
        <v>19</v>
      </c>
      <c r="C23" s="15" t="n">
        <f aca="false">+C22+T22</f>
        <v>512.84</v>
      </c>
      <c r="D23" s="16" t="n">
        <f aca="false">+Chạy!F25</f>
        <v>-10.11</v>
      </c>
      <c r="E23" s="16" t="n">
        <f aca="false">+D23+F23</f>
        <v>-10.1148</v>
      </c>
      <c r="F23" s="16" t="n">
        <f aca="false">RANDBETWEEN(-105,115)/10000</f>
        <v>-0.0048</v>
      </c>
      <c r="G23" s="16" t="n">
        <f aca="false">+Chạy!G25</f>
        <v>-0.24</v>
      </c>
      <c r="H23" s="16" t="n">
        <f aca="false">G23+I23</f>
        <v>-0.188</v>
      </c>
      <c r="I23" s="16" t="n">
        <f aca="false">RANDBETWEEN(-30,90)/1000</f>
        <v>0.052</v>
      </c>
      <c r="J23" s="16" t="n">
        <f aca="false">+Chạy!K25</f>
        <v>-0.13</v>
      </c>
      <c r="K23" s="16" t="n">
        <f aca="false">J23+L23</f>
        <v>-0.11</v>
      </c>
      <c r="L23" s="16" t="n">
        <f aca="false">RANDBETWEEN(-30,90)/1000</f>
        <v>0.02</v>
      </c>
      <c r="M23" s="16" t="n">
        <f aca="false">+Chạy!N25</f>
        <v>10.49</v>
      </c>
      <c r="N23" s="16" t="n">
        <f aca="false">+M23+O23</f>
        <v>10.4815</v>
      </c>
      <c r="O23" s="16" t="n">
        <f aca="false">RANDBETWEEN(-105,115)/10000</f>
        <v>-0.0085</v>
      </c>
      <c r="P23" s="16" t="n">
        <f aca="false">+Chạy!O25</f>
        <v>-0.24</v>
      </c>
      <c r="Q23" s="16" t="n">
        <f aca="false">P23+R23</f>
        <v>-0.24</v>
      </c>
      <c r="R23" s="16" t="n">
        <f aca="false">RANDBETWEEN(-30,90)/1000</f>
        <v>0</v>
      </c>
      <c r="S23" s="17"/>
      <c r="T23" s="18" t="n">
        <v>16.78</v>
      </c>
    </row>
    <row r="24" customFormat="false" ht="17.25" hidden="false" customHeight="true" outlineLevel="0" collapsed="false">
      <c r="A24" s="13" t="n">
        <v>4</v>
      </c>
      <c r="B24" s="14" t="s">
        <v>20</v>
      </c>
      <c r="C24" s="15" t="n">
        <f aca="false">+C23+T23</f>
        <v>529.62</v>
      </c>
      <c r="D24" s="16" t="n">
        <f aca="false">+Chạy!F33</f>
        <v>-15.04</v>
      </c>
      <c r="E24" s="16" t="n">
        <f aca="false">+D24+F24</f>
        <v>-15.034</v>
      </c>
      <c r="F24" s="16" t="n">
        <f aca="false">RANDBETWEEN(-105,115)/10000</f>
        <v>0.006</v>
      </c>
      <c r="G24" s="16" t="n">
        <f aca="false">+Chạy!G33</f>
        <v>-0.25</v>
      </c>
      <c r="H24" s="16" t="n">
        <f aca="false">G24+I24</f>
        <v>-0.176</v>
      </c>
      <c r="I24" s="16" t="n">
        <f aca="false">RANDBETWEEN(-30,90)/1000</f>
        <v>0.074</v>
      </c>
      <c r="J24" s="16" t="n">
        <f aca="false">+Chạy!K33</f>
        <v>-0.13</v>
      </c>
      <c r="K24" s="16" t="n">
        <f aca="false">J24+L24</f>
        <v>-0.146</v>
      </c>
      <c r="L24" s="16" t="n">
        <f aca="false">RANDBETWEEN(-30,90)/1000</f>
        <v>-0.016</v>
      </c>
      <c r="M24" s="16" t="n">
        <f aca="false">+Chạy!N33</f>
        <v>15.1</v>
      </c>
      <c r="N24" s="16" t="n">
        <f aca="false">+M24+O24</f>
        <v>15.1099</v>
      </c>
      <c r="O24" s="16" t="n">
        <f aca="false">RANDBETWEEN(-105,115)/10000</f>
        <v>0.0099</v>
      </c>
      <c r="P24" s="16" t="n">
        <f aca="false">+Chạy!O33</f>
        <v>-0.25</v>
      </c>
      <c r="Q24" s="16" t="n">
        <f aca="false">P24+R24</f>
        <v>-0.166</v>
      </c>
      <c r="R24" s="16" t="n">
        <f aca="false">RANDBETWEEN(-30,90)/1000</f>
        <v>0.084</v>
      </c>
      <c r="S24" s="17"/>
      <c r="T24" s="18" t="n">
        <v>17.1</v>
      </c>
    </row>
    <row r="25" customFormat="false" ht="17.25" hidden="false" customHeight="true" outlineLevel="0" collapsed="false">
      <c r="A25" s="13" t="n">
        <v>5</v>
      </c>
      <c r="B25" s="14" t="s">
        <v>21</v>
      </c>
      <c r="C25" s="15" t="n">
        <f aca="false">+C24+T24</f>
        <v>546.72</v>
      </c>
      <c r="D25" s="16" t="n">
        <f aca="false">+Chạy!F41</f>
        <v>-6.44</v>
      </c>
      <c r="E25" s="16" t="n">
        <f aca="false">+D25+F25</f>
        <v>-6.4373</v>
      </c>
      <c r="F25" s="16" t="n">
        <f aca="false">RANDBETWEEN(-105,115)/10000</f>
        <v>0.0027</v>
      </c>
      <c r="G25" s="16" t="n">
        <f aca="false">+Chạy!G41</f>
        <v>-0.26</v>
      </c>
      <c r="H25" s="16" t="n">
        <f aca="false">G25+I25</f>
        <v>-0.216</v>
      </c>
      <c r="I25" s="16" t="n">
        <f aca="false">RANDBETWEEN(-30,90)/1000</f>
        <v>0.044</v>
      </c>
      <c r="J25" s="16" t="n">
        <f aca="false">+Chạy!K41</f>
        <v>-0.14</v>
      </c>
      <c r="K25" s="16" t="n">
        <f aca="false">J25+L25</f>
        <v>-0.104</v>
      </c>
      <c r="L25" s="16" t="n">
        <f aca="false">RANDBETWEEN(-30,90)/1000</f>
        <v>0.036</v>
      </c>
      <c r="M25" s="16" t="n">
        <f aca="false">+Chạy!N41</f>
        <v>9.68</v>
      </c>
      <c r="N25" s="16" t="n">
        <f aca="false">+M25+O25</f>
        <v>9.6826</v>
      </c>
      <c r="O25" s="16" t="n">
        <f aca="false">RANDBETWEEN(-105,115)/10000</f>
        <v>0.0026</v>
      </c>
      <c r="P25" s="16" t="n">
        <f aca="false">+Chạy!O41</f>
        <v>-0.26</v>
      </c>
      <c r="Q25" s="16" t="n">
        <f aca="false">P25+R25</f>
        <v>-0.199</v>
      </c>
      <c r="R25" s="16" t="n">
        <f aca="false">RANDBETWEEN(-30,90)/1000</f>
        <v>0.061</v>
      </c>
      <c r="S25" s="17"/>
      <c r="T25" s="18" t="n">
        <v>15.15</v>
      </c>
    </row>
    <row r="26" customFormat="false" ht="17.25" hidden="false" customHeight="true" outlineLevel="0" collapsed="false">
      <c r="A26" s="13" t="n">
        <v>6</v>
      </c>
      <c r="B26" s="14" t="s">
        <v>22</v>
      </c>
      <c r="C26" s="15" t="n">
        <f aca="false">+C25+T25</f>
        <v>561.87</v>
      </c>
      <c r="D26" s="16" t="n">
        <f aca="false">+Chạy!F49</f>
        <v>-10.17</v>
      </c>
      <c r="E26" s="16" t="n">
        <f aca="false">+D26+F26</f>
        <v>-10.1658</v>
      </c>
      <c r="F26" s="16" t="n">
        <f aca="false">RANDBETWEEN(-105,115)/10000</f>
        <v>0.0042</v>
      </c>
      <c r="G26" s="16" t="n">
        <f aca="false">+Chạy!G49</f>
        <v>-0.26</v>
      </c>
      <c r="H26" s="16" t="n">
        <f aca="false">G26+I26</f>
        <v>-0.254</v>
      </c>
      <c r="I26" s="16" t="n">
        <f aca="false">RANDBETWEEN(-30,90)/1000</f>
        <v>0.006</v>
      </c>
      <c r="J26" s="16" t="n">
        <f aca="false">+Chạy!K49</f>
        <v>-0.15</v>
      </c>
      <c r="K26" s="16" t="n">
        <f aca="false">J26+L26</f>
        <v>-0.151</v>
      </c>
      <c r="L26" s="16" t="n">
        <f aca="false">RANDBETWEEN(-30,90)/1000</f>
        <v>-0.001</v>
      </c>
      <c r="M26" s="16" t="n">
        <f aca="false">+Chạy!N49</f>
        <v>10.31</v>
      </c>
      <c r="N26" s="16" t="n">
        <f aca="false">+M26+O26</f>
        <v>10.3069</v>
      </c>
      <c r="O26" s="16" t="n">
        <f aca="false">RANDBETWEEN(-105,115)/10000</f>
        <v>-0.0031</v>
      </c>
      <c r="P26" s="16" t="n">
        <f aca="false">+Chạy!O49</f>
        <v>-0.26</v>
      </c>
      <c r="Q26" s="16" t="n">
        <f aca="false">P26+R26</f>
        <v>-0.228</v>
      </c>
      <c r="R26" s="16" t="n">
        <f aca="false">RANDBETWEEN(-30,90)/1000</f>
        <v>0.032</v>
      </c>
      <c r="S26" s="17"/>
      <c r="T26" s="18" t="n">
        <v>0.15</v>
      </c>
    </row>
    <row r="27" customFormat="false" ht="17.25" hidden="false" customHeight="true" outlineLevel="0" collapsed="false">
      <c r="A27" s="13" t="n">
        <v>7</v>
      </c>
      <c r="B27" s="14" t="s">
        <v>23</v>
      </c>
      <c r="C27" s="15" t="n">
        <f aca="false">+C26+T26</f>
        <v>562.02</v>
      </c>
      <c r="D27" s="16" t="n">
        <f aca="false">+Chạy!F57</f>
        <v>-10.18</v>
      </c>
      <c r="E27" s="16" t="n">
        <f aca="false">+D27+F27</f>
        <v>-10.1769</v>
      </c>
      <c r="F27" s="16" t="n">
        <f aca="false">RANDBETWEEN(-105,115)/10000</f>
        <v>0.0031</v>
      </c>
      <c r="G27" s="16" t="n">
        <f aca="false">+Chạy!G57</f>
        <v>-0.26</v>
      </c>
      <c r="H27" s="16" t="n">
        <f aca="false">G27+I27</f>
        <v>-0.222</v>
      </c>
      <c r="I27" s="16" t="n">
        <f aca="false">RANDBETWEEN(-30,90)/1000</f>
        <v>0.038</v>
      </c>
      <c r="J27" s="16" t="n">
        <f aca="false">+Chạy!K57</f>
        <v>-0.15</v>
      </c>
      <c r="K27" s="16" t="n">
        <f aca="false">J27+L27</f>
        <v>-0.135</v>
      </c>
      <c r="L27" s="16" t="n">
        <f aca="false">RANDBETWEEN(-30,90)/1000</f>
        <v>0.015</v>
      </c>
      <c r="M27" s="16" t="n">
        <f aca="false">+Chạy!N57</f>
        <v>10.31</v>
      </c>
      <c r="N27" s="16" t="n">
        <f aca="false">+M27+O27</f>
        <v>10.3077</v>
      </c>
      <c r="O27" s="16" t="n">
        <f aca="false">RANDBETWEEN(-105,115)/10000</f>
        <v>-0.0023</v>
      </c>
      <c r="P27" s="16" t="n">
        <f aca="false">+Chạy!O57</f>
        <v>-0.26</v>
      </c>
      <c r="Q27" s="16" t="n">
        <f aca="false">P27+R27</f>
        <v>-0.189</v>
      </c>
      <c r="R27" s="16" t="n">
        <f aca="false">RANDBETWEEN(-30,90)/1000</f>
        <v>0.071</v>
      </c>
      <c r="S27" s="17"/>
      <c r="T27" s="18" t="n">
        <v>6.55</v>
      </c>
    </row>
    <row r="28" customFormat="false" ht="17.25" hidden="false" customHeight="true" outlineLevel="0" collapsed="false">
      <c r="A28" s="13" t="n">
        <v>8</v>
      </c>
      <c r="B28" s="14" t="s">
        <v>24</v>
      </c>
      <c r="C28" s="15" t="n">
        <f aca="false">+C27+T27</f>
        <v>568.57</v>
      </c>
      <c r="D28" s="16" t="n">
        <f aca="false">+Chạy!F65</f>
        <v>-10.35</v>
      </c>
      <c r="E28" s="16" t="n">
        <f aca="false">+D28+F28</f>
        <v>-10.3414</v>
      </c>
      <c r="F28" s="16" t="n">
        <f aca="false">RANDBETWEEN(-105,115)/10000</f>
        <v>0.0086</v>
      </c>
      <c r="G28" s="16" t="n">
        <f aca="false">+Chạy!G65</f>
        <v>-0.26</v>
      </c>
      <c r="H28" s="16" t="n">
        <f aca="false">G28+I28</f>
        <v>-0.287</v>
      </c>
      <c r="I28" s="16" t="n">
        <f aca="false">RANDBETWEEN(-30,90)/1000</f>
        <v>-0.027</v>
      </c>
      <c r="J28" s="16" t="n">
        <f aca="false">+Chạy!K65</f>
        <v>-0.15</v>
      </c>
      <c r="K28" s="16" t="n">
        <f aca="false">J28+L28</f>
        <v>-0.089</v>
      </c>
      <c r="L28" s="16" t="n">
        <f aca="false">RANDBETWEEN(-30,90)/1000</f>
        <v>0.061</v>
      </c>
      <c r="M28" s="16" t="n">
        <f aca="false">+Chạy!N65</f>
        <v>10.66</v>
      </c>
      <c r="N28" s="16" t="n">
        <f aca="false">+M28+O28</f>
        <v>10.6636</v>
      </c>
      <c r="O28" s="16" t="n">
        <f aca="false">RANDBETWEEN(-105,115)/10000</f>
        <v>0.0036</v>
      </c>
      <c r="P28" s="16" t="n">
        <f aca="false">+Chạy!O65</f>
        <v>-0.26</v>
      </c>
      <c r="Q28" s="16" t="n">
        <f aca="false">P28+R28</f>
        <v>-0.279</v>
      </c>
      <c r="R28" s="16" t="n">
        <f aca="false">RANDBETWEEN(-30,90)/1000</f>
        <v>-0.019</v>
      </c>
      <c r="S28" s="17"/>
      <c r="T28" s="18" t="n">
        <v>6.55</v>
      </c>
    </row>
    <row r="29" customFormat="false" ht="17.25" hidden="false" customHeight="true" outlineLevel="0" collapsed="false">
      <c r="A29" s="13" t="n">
        <v>9</v>
      </c>
      <c r="B29" s="14" t="s">
        <v>1</v>
      </c>
      <c r="C29" s="15" t="n">
        <f aca="false">+C28+T28</f>
        <v>575.12</v>
      </c>
      <c r="D29" s="16" t="n">
        <f aca="false">+Chạy!F73</f>
        <v>-10.07</v>
      </c>
      <c r="E29" s="16" t="n">
        <f aca="false">+D29+F29</f>
        <v>-10.0793</v>
      </c>
      <c r="F29" s="16" t="n">
        <f aca="false">RANDBETWEEN(-105,115)/10000</f>
        <v>-0.0093</v>
      </c>
      <c r="G29" s="16" t="n">
        <f aca="false">+Chạy!G73</f>
        <v>-0.26</v>
      </c>
      <c r="H29" s="16" t="n">
        <f aca="false">G29+I29</f>
        <v>-0.251</v>
      </c>
      <c r="I29" s="16" t="n">
        <f aca="false">RANDBETWEEN(-30,90)/1000</f>
        <v>0.009</v>
      </c>
      <c r="J29" s="16" t="n">
        <f aca="false">+Chạy!K73</f>
        <v>-0.15</v>
      </c>
      <c r="K29" s="16" t="n">
        <f aca="false">J29+L29</f>
        <v>-0.117</v>
      </c>
      <c r="L29" s="16" t="n">
        <f aca="false">RANDBETWEEN(-30,90)/1000</f>
        <v>0.033</v>
      </c>
      <c r="M29" s="16" t="n">
        <f aca="false">+Chạy!N73</f>
        <v>9.74</v>
      </c>
      <c r="N29" s="16" t="n">
        <f aca="false">+M29+O29</f>
        <v>9.7444</v>
      </c>
      <c r="O29" s="16" t="n">
        <f aca="false">RANDBETWEEN(-105,115)/10000</f>
        <v>0.0044</v>
      </c>
      <c r="P29" s="16" t="n">
        <f aca="false">+Chạy!O73</f>
        <v>-0.26</v>
      </c>
      <c r="Q29" s="16" t="n">
        <f aca="false">P29+R29</f>
        <v>-0.173</v>
      </c>
      <c r="R29" s="16" t="n">
        <f aca="false">RANDBETWEEN(-30,90)/1000</f>
        <v>0.087</v>
      </c>
      <c r="S29" s="17"/>
      <c r="T29" s="18" t="n">
        <v>0.04</v>
      </c>
    </row>
    <row r="30" customFormat="false" ht="17.25" hidden="false" customHeight="true" outlineLevel="0" collapsed="false">
      <c r="A30" s="13" t="n">
        <v>10</v>
      </c>
      <c r="B30" s="14" t="s">
        <v>25</v>
      </c>
      <c r="C30" s="15" t="n">
        <f aca="false">+C29+T29</f>
        <v>575.16</v>
      </c>
      <c r="D30" s="16" t="n">
        <f aca="false">+Chạy!F81</f>
        <v>-10.2</v>
      </c>
      <c r="E30" s="16" t="n">
        <f aca="false">+D30+F30</f>
        <v>-10.2095</v>
      </c>
      <c r="F30" s="16" t="n">
        <f aca="false">RANDBETWEEN(-105,115)/10000</f>
        <v>-0.0095</v>
      </c>
      <c r="G30" s="16" t="n">
        <f aca="false">+Chạy!G81</f>
        <v>-0.13</v>
      </c>
      <c r="H30" s="16" t="n">
        <f aca="false">G30+I30</f>
        <v>-0.086</v>
      </c>
      <c r="I30" s="16" t="n">
        <f aca="false">RANDBETWEEN(-30,90)/1000</f>
        <v>0.044</v>
      </c>
      <c r="J30" s="16" t="n">
        <f aca="false">+Chạy!K81</f>
        <v>-0.15</v>
      </c>
      <c r="K30" s="16" t="n">
        <f aca="false">J30+L30</f>
        <v>-0.165</v>
      </c>
      <c r="L30" s="16" t="n">
        <f aca="false">RANDBETWEEN(-30,90)/1000</f>
        <v>-0.015</v>
      </c>
      <c r="M30" s="16" t="n">
        <f aca="false">+Chạy!N81</f>
        <v>9.52</v>
      </c>
      <c r="N30" s="16" t="n">
        <f aca="false">+M30+O30</f>
        <v>9.5255</v>
      </c>
      <c r="O30" s="16" t="n">
        <f aca="false">RANDBETWEEN(-105,115)/10000</f>
        <v>0.0055</v>
      </c>
      <c r="P30" s="16" t="n">
        <f aca="false">+Chạy!O81</f>
        <v>-0.26</v>
      </c>
      <c r="Q30" s="16" t="n">
        <f aca="false">P30+R30</f>
        <v>-0.254</v>
      </c>
      <c r="R30" s="16" t="n">
        <f aca="false">RANDBETWEEN(-30,90)/1000</f>
        <v>0.006</v>
      </c>
      <c r="S30" s="17"/>
      <c r="T30" s="18" t="n">
        <v>16.95</v>
      </c>
    </row>
    <row r="31" customFormat="false" ht="17.25" hidden="false" customHeight="true" outlineLevel="0" collapsed="false">
      <c r="A31" s="13" t="n">
        <v>11</v>
      </c>
      <c r="B31" s="14" t="s">
        <v>26</v>
      </c>
      <c r="C31" s="15" t="n">
        <f aca="false">+C30+T30</f>
        <v>592.11</v>
      </c>
      <c r="D31" s="16" t="n">
        <f aca="false">+Chạy!F89</f>
        <v>-10.24</v>
      </c>
      <c r="E31" s="16" t="n">
        <f aca="false">+D31+F31</f>
        <v>-10.2303</v>
      </c>
      <c r="F31" s="16" t="n">
        <f aca="false">RANDBETWEEN(-105,115)/10000</f>
        <v>0.0097</v>
      </c>
      <c r="G31" s="16" t="n">
        <f aca="false">+Chạy!G89</f>
        <v>-0.26</v>
      </c>
      <c r="H31" s="16" t="n">
        <f aca="false">G31+I31</f>
        <v>-0.222</v>
      </c>
      <c r="I31" s="16" t="n">
        <f aca="false">RANDBETWEEN(-30,90)/1000</f>
        <v>0.038</v>
      </c>
      <c r="J31" s="16" t="n">
        <f aca="false">+Chạy!K89</f>
        <v>-0.14</v>
      </c>
      <c r="K31" s="16" t="n">
        <f aca="false">J31+L31</f>
        <v>-0.081</v>
      </c>
      <c r="L31" s="16" t="n">
        <f aca="false">RANDBETWEEN(-30,90)/1000</f>
        <v>0.059</v>
      </c>
      <c r="M31" s="16" t="n">
        <f aca="false">+Chạy!N89</f>
        <v>10.3</v>
      </c>
      <c r="N31" s="16" t="n">
        <f aca="false">+M31+O31</f>
        <v>10.2897</v>
      </c>
      <c r="O31" s="16" t="n">
        <f aca="false">RANDBETWEEN(-105,115)/10000</f>
        <v>-0.0103</v>
      </c>
      <c r="P31" s="16" t="n">
        <f aca="false">+Chạy!O89</f>
        <v>-0.26</v>
      </c>
      <c r="Q31" s="16" t="n">
        <f aca="false">P31+R31</f>
        <v>-0.191</v>
      </c>
      <c r="R31" s="16" t="n">
        <f aca="false">RANDBETWEEN(-30,90)/1000</f>
        <v>0.069</v>
      </c>
      <c r="S31" s="17"/>
      <c r="T31" s="18" t="n">
        <v>17</v>
      </c>
    </row>
    <row r="32" customFormat="false" ht="17.25" hidden="false" customHeight="true" outlineLevel="0" collapsed="false">
      <c r="A32" s="13" t="n">
        <v>12</v>
      </c>
      <c r="B32" s="14" t="s">
        <v>27</v>
      </c>
      <c r="C32" s="15" t="n">
        <f aca="false">+C31+T31</f>
        <v>609.11</v>
      </c>
      <c r="D32" s="16" t="n">
        <f aca="false">+Chạy!F97</f>
        <v>-9.46</v>
      </c>
      <c r="E32" s="16" t="n">
        <f aca="false">+D32+F32</f>
        <v>-9.4674</v>
      </c>
      <c r="F32" s="16" t="n">
        <f aca="false">RANDBETWEEN(-105,115)/10000</f>
        <v>-0.0074</v>
      </c>
      <c r="G32" s="16" t="n">
        <f aca="false">+Chạy!G97</f>
        <v>-0.26</v>
      </c>
      <c r="H32" s="16" t="n">
        <f aca="false">G32+I32</f>
        <v>-0.2</v>
      </c>
      <c r="I32" s="16" t="n">
        <f aca="false">RANDBETWEEN(-30,90)/1000</f>
        <v>0.06</v>
      </c>
      <c r="J32" s="16" t="n">
        <f aca="false">+Chạy!K97</f>
        <v>-0.14</v>
      </c>
      <c r="K32" s="16" t="n">
        <f aca="false">J32+L32</f>
        <v>-0.087</v>
      </c>
      <c r="L32" s="16" t="n">
        <f aca="false">RANDBETWEEN(-30,90)/1000</f>
        <v>0.053</v>
      </c>
      <c r="M32" s="16" t="n">
        <f aca="false">+Chạy!N97</f>
        <v>9.32</v>
      </c>
      <c r="N32" s="16" t="n">
        <f aca="false">+M32+O32</f>
        <v>9.321</v>
      </c>
      <c r="O32" s="16" t="n">
        <f aca="false">RANDBETWEEN(-105,115)/10000</f>
        <v>0.001</v>
      </c>
      <c r="P32" s="16" t="n">
        <f aca="false">+Chạy!O97</f>
        <v>-0.26</v>
      </c>
      <c r="Q32" s="16" t="n">
        <f aca="false">P32+R32</f>
        <v>-0.284</v>
      </c>
      <c r="R32" s="16" t="n">
        <f aca="false">RANDBETWEEN(-30,90)/1000</f>
        <v>-0.024</v>
      </c>
      <c r="S32" s="17"/>
      <c r="T32" s="18"/>
    </row>
    <row r="33" customFormat="false" ht="17.25" hidden="true" customHeight="true" outlineLevel="0" collapsed="false">
      <c r="A33" s="13"/>
      <c r="B33" s="14"/>
      <c r="C33" s="15"/>
      <c r="D33" s="16"/>
      <c r="E33" s="16"/>
      <c r="F33" s="16"/>
      <c r="G33" s="16"/>
      <c r="H33" s="16"/>
      <c r="I33" s="16"/>
      <c r="J33" s="16"/>
      <c r="K33" s="16"/>
      <c r="L33" s="16"/>
      <c r="M33" s="16"/>
      <c r="N33" s="16"/>
      <c r="O33" s="16"/>
      <c r="P33" s="16"/>
      <c r="Q33" s="16"/>
      <c r="R33" s="16"/>
      <c r="S33" s="17"/>
      <c r="T33" s="18"/>
    </row>
    <row r="34" customFormat="false" ht="17.25" hidden="true" customHeight="true" outlineLevel="0" collapsed="false">
      <c r="A34" s="13"/>
      <c r="B34" s="14"/>
      <c r="C34" s="15"/>
      <c r="D34" s="16"/>
      <c r="E34" s="16"/>
      <c r="F34" s="16"/>
      <c r="G34" s="16"/>
      <c r="H34" s="16"/>
      <c r="I34" s="16"/>
      <c r="J34" s="16"/>
      <c r="K34" s="16"/>
      <c r="L34" s="16"/>
      <c r="M34" s="16"/>
      <c r="N34" s="16"/>
      <c r="O34" s="16"/>
      <c r="P34" s="16"/>
      <c r="Q34" s="16"/>
      <c r="R34" s="16"/>
      <c r="S34" s="17"/>
      <c r="T34" s="18"/>
    </row>
    <row r="35" customFormat="false" ht="17.25" hidden="true" customHeight="true" outlineLevel="0" collapsed="false">
      <c r="A35" s="13"/>
      <c r="B35" s="14"/>
      <c r="C35" s="15"/>
      <c r="D35" s="16"/>
      <c r="E35" s="16"/>
      <c r="F35" s="16"/>
      <c r="G35" s="16"/>
      <c r="H35" s="16"/>
      <c r="I35" s="16"/>
      <c r="J35" s="16"/>
      <c r="K35" s="16"/>
      <c r="L35" s="16"/>
      <c r="M35" s="16"/>
      <c r="N35" s="16"/>
      <c r="O35" s="16"/>
      <c r="P35" s="16"/>
      <c r="Q35" s="16"/>
      <c r="R35" s="16"/>
      <c r="S35" s="17"/>
      <c r="T35" s="18"/>
    </row>
    <row r="36" customFormat="false" ht="17.25" hidden="true" customHeight="true" outlineLevel="0" collapsed="false">
      <c r="A36" s="13"/>
      <c r="B36" s="14"/>
      <c r="C36" s="15"/>
      <c r="D36" s="16"/>
      <c r="E36" s="16"/>
      <c r="F36" s="16"/>
      <c r="G36" s="16"/>
      <c r="H36" s="16"/>
      <c r="I36" s="16"/>
      <c r="J36" s="16"/>
      <c r="K36" s="16"/>
      <c r="L36" s="16"/>
      <c r="M36" s="16"/>
      <c r="N36" s="16"/>
      <c r="O36" s="16"/>
      <c r="P36" s="16"/>
      <c r="Q36" s="16"/>
      <c r="R36" s="16"/>
      <c r="S36" s="17"/>
      <c r="T36" s="18"/>
    </row>
    <row r="37" customFormat="false" ht="17.25" hidden="true" customHeight="true" outlineLevel="0" collapsed="false">
      <c r="A37" s="13"/>
      <c r="B37" s="14"/>
      <c r="C37" s="15"/>
      <c r="D37" s="16"/>
      <c r="E37" s="16"/>
      <c r="F37" s="16"/>
      <c r="G37" s="16"/>
      <c r="H37" s="16"/>
      <c r="I37" s="16"/>
      <c r="J37" s="16"/>
      <c r="K37" s="16"/>
      <c r="L37" s="16"/>
      <c r="M37" s="16"/>
      <c r="N37" s="16"/>
      <c r="O37" s="16"/>
      <c r="P37" s="16"/>
      <c r="Q37" s="16"/>
      <c r="R37" s="16"/>
      <c r="S37" s="17"/>
      <c r="T37" s="18"/>
    </row>
    <row r="38" customFormat="false" ht="17.25" hidden="true" customHeight="true" outlineLevel="0" collapsed="false">
      <c r="A38" s="13"/>
      <c r="B38" s="14"/>
      <c r="C38" s="15"/>
      <c r="D38" s="16"/>
      <c r="E38" s="16"/>
      <c r="F38" s="16"/>
      <c r="G38" s="16"/>
      <c r="H38" s="16"/>
      <c r="I38" s="16"/>
      <c r="J38" s="16"/>
      <c r="K38" s="16"/>
      <c r="L38" s="16"/>
      <c r="M38" s="16"/>
      <c r="N38" s="16"/>
      <c r="O38" s="16"/>
      <c r="P38" s="16"/>
      <c r="Q38" s="16"/>
      <c r="R38" s="16"/>
      <c r="S38" s="17"/>
      <c r="T38" s="18"/>
    </row>
    <row r="39" customFormat="false" ht="17.25" hidden="true" customHeight="true" outlineLevel="0" collapsed="false">
      <c r="A39" s="13"/>
      <c r="B39" s="14"/>
      <c r="C39" s="15"/>
      <c r="D39" s="16"/>
      <c r="E39" s="16"/>
      <c r="F39" s="16"/>
      <c r="G39" s="16"/>
      <c r="H39" s="16"/>
      <c r="I39" s="16"/>
      <c r="J39" s="16"/>
      <c r="K39" s="16"/>
      <c r="L39" s="16"/>
      <c r="M39" s="16"/>
      <c r="N39" s="16"/>
      <c r="O39" s="16"/>
      <c r="P39" s="16"/>
      <c r="Q39" s="16"/>
      <c r="R39" s="16"/>
      <c r="S39" s="17"/>
      <c r="T39" s="18"/>
    </row>
    <row r="40" customFormat="false" ht="17.25" hidden="true" customHeight="true" outlineLevel="0" collapsed="false">
      <c r="A40" s="13"/>
      <c r="B40" s="14"/>
      <c r="C40" s="15"/>
      <c r="D40" s="16"/>
      <c r="E40" s="16"/>
      <c r="F40" s="16"/>
      <c r="G40" s="16"/>
      <c r="H40" s="16"/>
      <c r="I40" s="16"/>
      <c r="J40" s="16"/>
      <c r="K40" s="16"/>
      <c r="L40" s="16"/>
      <c r="M40" s="16"/>
      <c r="N40" s="16"/>
      <c r="O40" s="16"/>
      <c r="P40" s="16"/>
      <c r="Q40" s="16"/>
      <c r="R40" s="16"/>
      <c r="S40" s="17"/>
      <c r="T40" s="18"/>
    </row>
    <row r="41" customFormat="false" ht="17.25" hidden="true" customHeight="true" outlineLevel="0" collapsed="false">
      <c r="A41" s="13"/>
      <c r="B41" s="14"/>
      <c r="C41" s="15"/>
      <c r="D41" s="16"/>
      <c r="E41" s="16"/>
      <c r="F41" s="16"/>
      <c r="G41" s="16"/>
      <c r="H41" s="16"/>
      <c r="I41" s="16"/>
      <c r="J41" s="16"/>
      <c r="K41" s="16"/>
      <c r="L41" s="16"/>
      <c r="M41" s="16"/>
      <c r="N41" s="16"/>
      <c r="O41" s="16"/>
      <c r="P41" s="16"/>
      <c r="Q41" s="16"/>
      <c r="R41" s="16"/>
      <c r="S41" s="17"/>
      <c r="T41" s="18"/>
    </row>
    <row r="42" customFormat="false" ht="17.25" hidden="true" customHeight="true" outlineLevel="0" collapsed="false">
      <c r="A42" s="13"/>
      <c r="B42" s="14"/>
      <c r="C42" s="15"/>
      <c r="D42" s="16"/>
      <c r="E42" s="16"/>
      <c r="F42" s="16"/>
      <c r="G42" s="16"/>
      <c r="H42" s="16"/>
      <c r="I42" s="16"/>
      <c r="J42" s="16"/>
      <c r="K42" s="16"/>
      <c r="L42" s="16"/>
      <c r="M42" s="16"/>
      <c r="N42" s="16"/>
      <c r="O42" s="16"/>
      <c r="P42" s="16"/>
      <c r="Q42" s="16"/>
      <c r="R42" s="16"/>
      <c r="S42" s="17"/>
      <c r="T42" s="18"/>
    </row>
    <row r="43" customFormat="false" ht="17.25" hidden="true" customHeight="true" outlineLevel="0" collapsed="false">
      <c r="A43" s="13"/>
      <c r="B43" s="14"/>
      <c r="C43" s="15"/>
      <c r="D43" s="16"/>
      <c r="E43" s="16"/>
      <c r="F43" s="16"/>
      <c r="G43" s="16"/>
      <c r="H43" s="16"/>
      <c r="I43" s="16"/>
      <c r="J43" s="16"/>
      <c r="K43" s="16"/>
      <c r="L43" s="16"/>
      <c r="M43" s="16"/>
      <c r="N43" s="16"/>
      <c r="O43" s="16"/>
      <c r="P43" s="16"/>
      <c r="Q43" s="16"/>
      <c r="R43" s="16"/>
      <c r="S43" s="17"/>
      <c r="T43" s="18"/>
    </row>
    <row r="44" customFormat="false" ht="17.25" hidden="true" customHeight="true" outlineLevel="0" collapsed="false">
      <c r="A44" s="13"/>
      <c r="B44" s="14"/>
      <c r="C44" s="15"/>
      <c r="D44" s="16"/>
      <c r="E44" s="16"/>
      <c r="F44" s="16"/>
      <c r="G44" s="16"/>
      <c r="H44" s="16"/>
      <c r="I44" s="16"/>
      <c r="J44" s="16"/>
      <c r="K44" s="16"/>
      <c r="L44" s="16"/>
      <c r="M44" s="16"/>
      <c r="N44" s="16"/>
      <c r="O44" s="16"/>
      <c r="P44" s="16"/>
      <c r="Q44" s="16"/>
      <c r="R44" s="16"/>
      <c r="S44" s="17"/>
      <c r="T44" s="18"/>
    </row>
    <row r="45" customFormat="false" ht="17.25" hidden="true" customHeight="true" outlineLevel="0" collapsed="false">
      <c r="A45" s="13"/>
      <c r="B45" s="14"/>
      <c r="C45" s="15"/>
      <c r="D45" s="16"/>
      <c r="E45" s="16"/>
      <c r="F45" s="16"/>
      <c r="G45" s="16"/>
      <c r="H45" s="16"/>
      <c r="I45" s="16"/>
      <c r="J45" s="16"/>
      <c r="K45" s="16"/>
      <c r="L45" s="16"/>
      <c r="M45" s="16"/>
      <c r="N45" s="16"/>
      <c r="O45" s="16"/>
      <c r="P45" s="16"/>
      <c r="Q45" s="16"/>
      <c r="R45" s="16"/>
      <c r="S45" s="17"/>
      <c r="T45" s="18"/>
    </row>
    <row r="46" customFormat="false" ht="17.25" hidden="true" customHeight="true" outlineLevel="0" collapsed="false">
      <c r="A46" s="13"/>
      <c r="B46" s="14"/>
      <c r="C46" s="15"/>
      <c r="D46" s="16"/>
      <c r="E46" s="16"/>
      <c r="F46" s="16"/>
      <c r="G46" s="16"/>
      <c r="H46" s="16"/>
      <c r="I46" s="16"/>
      <c r="J46" s="16"/>
      <c r="K46" s="16"/>
      <c r="L46" s="16"/>
      <c r="M46" s="16"/>
      <c r="N46" s="16"/>
      <c r="O46" s="16"/>
      <c r="P46" s="16"/>
      <c r="Q46" s="16"/>
      <c r="R46" s="16"/>
      <c r="S46" s="17"/>
      <c r="T46" s="18"/>
    </row>
    <row r="47" customFormat="false" ht="17.25" hidden="true" customHeight="true" outlineLevel="0" collapsed="false">
      <c r="A47" s="13"/>
      <c r="B47" s="14"/>
      <c r="C47" s="15"/>
      <c r="D47" s="16"/>
      <c r="E47" s="16"/>
      <c r="F47" s="16"/>
      <c r="G47" s="16"/>
      <c r="H47" s="16"/>
      <c r="I47" s="16"/>
      <c r="J47" s="16"/>
      <c r="K47" s="16"/>
      <c r="L47" s="16"/>
      <c r="M47" s="16"/>
      <c r="N47" s="16"/>
      <c r="O47" s="16"/>
      <c r="P47" s="16"/>
      <c r="Q47" s="16"/>
      <c r="R47" s="16"/>
      <c r="S47" s="17"/>
      <c r="T47" s="18"/>
    </row>
    <row r="48" customFormat="false" ht="17.25" hidden="true" customHeight="true" outlineLevel="0" collapsed="false">
      <c r="A48" s="13"/>
      <c r="B48" s="14"/>
      <c r="C48" s="15"/>
      <c r="D48" s="16"/>
      <c r="E48" s="16"/>
      <c r="F48" s="16"/>
      <c r="G48" s="16"/>
      <c r="H48" s="16"/>
      <c r="I48" s="16"/>
      <c r="J48" s="16"/>
      <c r="K48" s="16"/>
      <c r="L48" s="16"/>
      <c r="M48" s="16"/>
      <c r="N48" s="16"/>
      <c r="O48" s="16"/>
      <c r="P48" s="16"/>
      <c r="Q48" s="16"/>
      <c r="R48" s="16"/>
      <c r="S48" s="17"/>
      <c r="T48" s="18"/>
    </row>
    <row r="49" customFormat="false" ht="17.25" hidden="true" customHeight="true" outlineLevel="0" collapsed="false">
      <c r="A49" s="13"/>
      <c r="B49" s="14"/>
      <c r="C49" s="15"/>
      <c r="D49" s="16"/>
      <c r="E49" s="16"/>
      <c r="F49" s="16"/>
      <c r="G49" s="16"/>
      <c r="H49" s="16"/>
      <c r="I49" s="16"/>
      <c r="J49" s="16"/>
      <c r="K49" s="16"/>
      <c r="L49" s="16"/>
      <c r="M49" s="16"/>
      <c r="N49" s="16"/>
      <c r="O49" s="16"/>
      <c r="P49" s="16"/>
      <c r="Q49" s="16"/>
      <c r="R49" s="16"/>
      <c r="S49" s="17"/>
      <c r="T49" s="18"/>
    </row>
    <row r="50" customFormat="false" ht="17.25" hidden="true" customHeight="true" outlineLevel="0" collapsed="false">
      <c r="A50" s="13"/>
      <c r="B50" s="14"/>
      <c r="C50" s="15"/>
      <c r="D50" s="16"/>
      <c r="E50" s="16"/>
      <c r="F50" s="16"/>
      <c r="G50" s="16"/>
      <c r="H50" s="16"/>
      <c r="I50" s="16"/>
      <c r="J50" s="16"/>
      <c r="K50" s="16"/>
      <c r="L50" s="16"/>
      <c r="M50" s="16"/>
      <c r="N50" s="16"/>
      <c r="O50" s="16"/>
      <c r="P50" s="16"/>
      <c r="Q50" s="16"/>
      <c r="R50" s="16"/>
      <c r="S50" s="17"/>
      <c r="T50" s="18"/>
    </row>
    <row r="51" customFormat="false" ht="17.25" hidden="true" customHeight="true" outlineLevel="0" collapsed="false">
      <c r="A51" s="13"/>
      <c r="B51" s="14"/>
      <c r="C51" s="15"/>
      <c r="D51" s="16"/>
      <c r="E51" s="16"/>
      <c r="F51" s="16"/>
      <c r="G51" s="16"/>
      <c r="H51" s="16"/>
      <c r="I51" s="16"/>
      <c r="J51" s="16"/>
      <c r="K51" s="16"/>
      <c r="L51" s="16"/>
      <c r="M51" s="16"/>
      <c r="N51" s="16"/>
      <c r="O51" s="16"/>
      <c r="P51" s="16"/>
      <c r="Q51" s="16"/>
      <c r="R51" s="16"/>
      <c r="S51" s="17"/>
      <c r="T51" s="18"/>
    </row>
    <row r="52" customFormat="false" ht="17.25" hidden="true" customHeight="true" outlineLevel="0" collapsed="false">
      <c r="A52" s="13"/>
      <c r="B52" s="14"/>
      <c r="C52" s="15"/>
      <c r="D52" s="16"/>
      <c r="E52" s="16"/>
      <c r="F52" s="16"/>
      <c r="G52" s="16"/>
      <c r="H52" s="16"/>
      <c r="I52" s="16"/>
      <c r="J52" s="16"/>
      <c r="K52" s="16"/>
      <c r="L52" s="16"/>
      <c r="M52" s="16"/>
      <c r="N52" s="16"/>
      <c r="O52" s="16"/>
      <c r="P52" s="16"/>
      <c r="Q52" s="16"/>
      <c r="R52" s="16"/>
      <c r="S52" s="17"/>
      <c r="T52" s="18"/>
    </row>
    <row r="53" customFormat="false" ht="17.25" hidden="true" customHeight="true" outlineLevel="0" collapsed="false">
      <c r="A53" s="13"/>
      <c r="B53" s="14"/>
      <c r="C53" s="15"/>
      <c r="D53" s="16"/>
      <c r="E53" s="16"/>
      <c r="F53" s="16"/>
      <c r="G53" s="16"/>
      <c r="H53" s="16"/>
      <c r="I53" s="16"/>
      <c r="J53" s="16"/>
      <c r="K53" s="16"/>
      <c r="L53" s="16"/>
      <c r="M53" s="16"/>
      <c r="N53" s="16"/>
      <c r="O53" s="16"/>
      <c r="P53" s="16"/>
      <c r="Q53" s="16"/>
      <c r="R53" s="16"/>
      <c r="S53" s="17"/>
      <c r="T53" s="18"/>
    </row>
    <row r="54" customFormat="false" ht="17.25" hidden="true" customHeight="true" outlineLevel="0" collapsed="false">
      <c r="A54" s="13"/>
      <c r="B54" s="14"/>
      <c r="C54" s="15"/>
      <c r="D54" s="16"/>
      <c r="E54" s="16"/>
      <c r="F54" s="16"/>
      <c r="G54" s="16"/>
      <c r="H54" s="16"/>
      <c r="I54" s="16"/>
      <c r="J54" s="16"/>
      <c r="K54" s="16"/>
      <c r="L54" s="16"/>
      <c r="M54" s="16"/>
      <c r="N54" s="16"/>
      <c r="O54" s="16"/>
      <c r="P54" s="16"/>
      <c r="Q54" s="16"/>
      <c r="R54" s="16"/>
      <c r="S54" s="17"/>
      <c r="T54" s="18"/>
    </row>
    <row r="55" customFormat="false" ht="17.25" hidden="true" customHeight="true" outlineLevel="0" collapsed="false">
      <c r="A55" s="13"/>
      <c r="B55" s="14"/>
      <c r="C55" s="15"/>
      <c r="D55" s="16"/>
      <c r="E55" s="16"/>
      <c r="F55" s="16"/>
      <c r="G55" s="16"/>
      <c r="H55" s="16"/>
      <c r="I55" s="16"/>
      <c r="J55" s="16"/>
      <c r="K55" s="16"/>
      <c r="L55" s="16"/>
      <c r="M55" s="16"/>
      <c r="N55" s="16"/>
      <c r="O55" s="16"/>
      <c r="P55" s="16"/>
      <c r="Q55" s="16"/>
      <c r="R55" s="16"/>
      <c r="S55" s="17"/>
      <c r="T55" s="18"/>
    </row>
    <row r="56" customFormat="false" ht="17.25" hidden="true" customHeight="true" outlineLevel="0" collapsed="false">
      <c r="A56" s="13"/>
      <c r="B56" s="14"/>
      <c r="C56" s="15"/>
      <c r="D56" s="16"/>
      <c r="E56" s="16"/>
      <c r="F56" s="16"/>
      <c r="G56" s="16"/>
      <c r="H56" s="16"/>
      <c r="I56" s="16"/>
      <c r="J56" s="16"/>
      <c r="K56" s="16"/>
      <c r="L56" s="16"/>
      <c r="M56" s="16"/>
      <c r="N56" s="16"/>
      <c r="O56" s="16"/>
      <c r="P56" s="16"/>
      <c r="Q56" s="16"/>
      <c r="R56" s="16"/>
      <c r="S56" s="17"/>
      <c r="T56" s="18"/>
    </row>
    <row r="57" customFormat="false" ht="17.25" hidden="true" customHeight="true" outlineLevel="0" collapsed="false">
      <c r="A57" s="13"/>
      <c r="B57" s="14"/>
      <c r="C57" s="15"/>
      <c r="D57" s="16"/>
      <c r="E57" s="16"/>
      <c r="F57" s="16"/>
      <c r="G57" s="16"/>
      <c r="H57" s="16"/>
      <c r="I57" s="16"/>
      <c r="J57" s="16"/>
      <c r="K57" s="16"/>
      <c r="L57" s="16"/>
      <c r="M57" s="16"/>
      <c r="N57" s="16"/>
      <c r="O57" s="16"/>
      <c r="P57" s="16"/>
      <c r="Q57" s="16"/>
      <c r="R57" s="16"/>
      <c r="S57" s="17"/>
      <c r="T57" s="18"/>
    </row>
    <row r="58" customFormat="false" ht="17.25" hidden="true" customHeight="true" outlineLevel="0" collapsed="false">
      <c r="A58" s="13"/>
      <c r="B58" s="14"/>
      <c r="C58" s="15"/>
      <c r="D58" s="16"/>
      <c r="E58" s="16"/>
      <c r="F58" s="16"/>
      <c r="G58" s="16"/>
      <c r="H58" s="16"/>
      <c r="I58" s="16"/>
      <c r="J58" s="16"/>
      <c r="K58" s="16"/>
      <c r="L58" s="16"/>
      <c r="M58" s="16"/>
      <c r="N58" s="16"/>
      <c r="O58" s="16"/>
      <c r="P58" s="16"/>
      <c r="Q58" s="16"/>
      <c r="R58" s="16"/>
      <c r="S58" s="17"/>
      <c r="T58" s="18"/>
    </row>
    <row r="59" customFormat="false" ht="17.25" hidden="true" customHeight="true" outlineLevel="0" collapsed="false">
      <c r="A59" s="13"/>
      <c r="B59" s="14"/>
      <c r="C59" s="15"/>
      <c r="D59" s="16"/>
      <c r="E59" s="16"/>
      <c r="F59" s="16"/>
      <c r="G59" s="16"/>
      <c r="H59" s="16"/>
      <c r="I59" s="16"/>
      <c r="J59" s="16"/>
      <c r="K59" s="16"/>
      <c r="L59" s="16"/>
      <c r="M59" s="16"/>
      <c r="N59" s="16"/>
      <c r="O59" s="16"/>
      <c r="P59" s="16"/>
      <c r="Q59" s="16"/>
      <c r="R59" s="16"/>
      <c r="S59" s="17"/>
      <c r="T59" s="18"/>
    </row>
    <row r="60" customFormat="false" ht="17.25" hidden="true" customHeight="true" outlineLevel="0" collapsed="false">
      <c r="A60" s="13"/>
      <c r="B60" s="14"/>
      <c r="C60" s="15"/>
      <c r="D60" s="16"/>
      <c r="E60" s="16"/>
      <c r="F60" s="16"/>
      <c r="G60" s="16"/>
      <c r="H60" s="16"/>
      <c r="I60" s="16"/>
      <c r="J60" s="16"/>
      <c r="K60" s="16"/>
      <c r="L60" s="16"/>
      <c r="M60" s="16"/>
      <c r="N60" s="16"/>
      <c r="O60" s="16"/>
      <c r="P60" s="16"/>
      <c r="Q60" s="16"/>
      <c r="R60" s="16"/>
      <c r="S60" s="17"/>
      <c r="T60" s="18"/>
    </row>
    <row r="62" customFormat="false" ht="15" hidden="false" customHeight="false" outlineLevel="0" collapsed="false">
      <c r="C62" s="19" t="s">
        <v>50</v>
      </c>
      <c r="D62" s="19"/>
      <c r="E62" s="19"/>
      <c r="F62" s="19"/>
      <c r="G62" s="19"/>
      <c r="H62" s="19"/>
      <c r="I62" s="19"/>
      <c r="K62" s="20"/>
      <c r="L62" s="20"/>
      <c r="M62" s="20"/>
      <c r="N62" s="20"/>
      <c r="O62" s="19" t="s">
        <v>51</v>
      </c>
      <c r="P62" s="19"/>
      <c r="Q62" s="19"/>
      <c r="R62" s="19"/>
    </row>
    <row r="63" customFormat="false" ht="15" hidden="false" customHeight="false" outlineLevel="0" collapsed="false">
      <c r="E63" s="21"/>
      <c r="F63" s="21"/>
      <c r="G63" s="21"/>
      <c r="H63" s="21"/>
      <c r="K63" s="21"/>
      <c r="L63" s="21"/>
      <c r="M63" s="21"/>
      <c r="N63" s="21"/>
      <c r="O63" s="21"/>
      <c r="P63" s="21"/>
      <c r="Q63" s="21"/>
      <c r="R63" s="21"/>
    </row>
    <row r="64" customFormat="false" ht="15" hidden="false" customHeight="false" outlineLevel="0" collapsed="false">
      <c r="E64" s="21"/>
      <c r="F64" s="21"/>
      <c r="G64" s="21"/>
      <c r="H64" s="21"/>
      <c r="K64" s="21"/>
      <c r="L64" s="21"/>
      <c r="M64" s="21"/>
      <c r="N64" s="21"/>
      <c r="O64" s="21"/>
      <c r="P64" s="21"/>
      <c r="Q64" s="21"/>
      <c r="R64" s="21"/>
    </row>
    <row r="65" customFormat="false" ht="15" hidden="false" customHeight="false" outlineLevel="0" collapsed="false">
      <c r="E65" s="21"/>
      <c r="F65" s="21"/>
      <c r="G65" s="21"/>
      <c r="H65" s="21"/>
      <c r="K65" s="21"/>
      <c r="L65" s="21"/>
      <c r="M65" s="21"/>
      <c r="N65" s="21"/>
      <c r="O65" s="21"/>
      <c r="P65" s="21"/>
      <c r="Q65" s="21"/>
      <c r="R65" s="21"/>
    </row>
    <row r="66" customFormat="false" ht="15" hidden="false" customHeight="false" outlineLevel="0" collapsed="false">
      <c r="E66" s="21"/>
      <c r="F66" s="21"/>
      <c r="G66" s="21"/>
      <c r="H66" s="21"/>
      <c r="K66" s="21"/>
      <c r="L66" s="21"/>
      <c r="M66" s="21"/>
      <c r="N66" s="21"/>
      <c r="O66" s="21"/>
      <c r="P66" s="21"/>
      <c r="Q66" s="21"/>
      <c r="R66" s="21"/>
    </row>
    <row r="67" customFormat="false" ht="15" hidden="false" customHeight="false" outlineLevel="0" collapsed="false">
      <c r="C67" s="19" t="s">
        <v>52</v>
      </c>
      <c r="D67" s="19"/>
      <c r="E67" s="19"/>
      <c r="F67" s="19"/>
      <c r="G67" s="19"/>
      <c r="H67" s="19"/>
      <c r="I67" s="19"/>
      <c r="K67" s="20"/>
      <c r="L67" s="20"/>
      <c r="M67" s="20"/>
      <c r="N67" s="20"/>
      <c r="O67" s="19" t="s">
        <v>53</v>
      </c>
      <c r="P67" s="19"/>
      <c r="Q67" s="19"/>
      <c r="R67" s="19"/>
    </row>
  </sheetData>
  <mergeCells count="13">
    <mergeCell ref="A1:S1"/>
    <mergeCell ref="A2:S2"/>
    <mergeCell ref="A19:A20"/>
    <mergeCell ref="B19:B20"/>
    <mergeCell ref="C19:C20"/>
    <mergeCell ref="D19:I19"/>
    <mergeCell ref="J19:L19"/>
    <mergeCell ref="M19:R19"/>
    <mergeCell ref="S19:S20"/>
    <mergeCell ref="C62:I62"/>
    <mergeCell ref="O62:R62"/>
    <mergeCell ref="C67:I67"/>
    <mergeCell ref="O67:R67"/>
  </mergeCells>
  <printOptions headings="false" gridLines="false" gridLinesSet="true" horizontalCentered="true" verticalCentered="false"/>
  <pageMargins left="0.196527777777778" right="0.196527777777778" top="0.39375" bottom="0.393055555555556" header="0.511811023622047" footer="0.196527777777778"/>
  <pageSetup paperSize="9" scale="100" fitToWidth="1" fitToHeight="2" pageOrder="downThenOver" orientation="landscape" blackAndWhite="false" draft="false" cellComments="none" horizontalDpi="300" verticalDpi="300" copies="1"/>
  <headerFooter differentFirst="false" differentOddEven="false">
    <oddHeader/>
    <oddFooter>&amp;C&amp;P</oddFooter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HY136"/>
  <sheetViews>
    <sheetView showFormulas="false" showGridLines="true" showRowColHeaders="true" showZeros="true" rightToLeft="false" tabSelected="false" showOutlineSymbols="true" defaultGridColor="true" view="normal" topLeftCell="A35" colorId="64" zoomScale="70" zoomScaleNormal="70" zoomScalePageLayoutView="100" workbookViewId="0">
      <selection pane="topLeft" activeCell="AD50" activeCellId="0" sqref="AD50"/>
    </sheetView>
  </sheetViews>
  <sheetFormatPr defaultColWidth="9.2890625" defaultRowHeight="12.75" zeroHeight="false" outlineLevelRow="0" outlineLevelCol="0"/>
  <cols>
    <col collapsed="false" customWidth="true" hidden="false" outlineLevel="0" max="1" min="1" style="22" width="6.71"/>
    <col collapsed="false" customWidth="true" hidden="false" outlineLevel="0" max="2" min="2" style="22" width="12.29"/>
    <col collapsed="false" customWidth="true" hidden="false" outlineLevel="0" max="3" min="3" style="22" width="19.57"/>
    <col collapsed="false" customWidth="true" hidden="false" outlineLevel="0" max="4" min="4" style="23" width="12.71"/>
    <col collapsed="false" customWidth="true" hidden="true" outlineLevel="0" max="6" min="5" style="23" width="8.42"/>
    <col collapsed="false" customWidth="true" hidden="true" outlineLevel="0" max="7" min="7" style="23" width="11"/>
    <col collapsed="false" customWidth="true" hidden="true" outlineLevel="0" max="12" min="8" style="23" width="8.42"/>
    <col collapsed="false" customWidth="true" hidden="true" outlineLevel="0" max="14" min="13" style="23" width="14.29"/>
    <col collapsed="false" customWidth="true" hidden="false" outlineLevel="0" max="15" min="15" style="23" width="15.42"/>
    <col collapsed="false" customWidth="true" hidden="true" outlineLevel="0" max="22" min="16" style="23" width="14.29"/>
    <col collapsed="false" customWidth="true" hidden="false" outlineLevel="0" max="23" min="23" style="23" width="15.29"/>
    <col collapsed="false" customWidth="true" hidden="true" outlineLevel="0" max="25" min="24" style="23" width="14.29"/>
    <col collapsed="false" customWidth="true" hidden="true" outlineLevel="0" max="27" min="26" style="23" width="12.86"/>
    <col collapsed="false" customWidth="true" hidden="false" outlineLevel="0" max="28" min="28" style="23" width="10.29"/>
    <col collapsed="false" customWidth="false" hidden="true" outlineLevel="0" max="29" min="29" style="23" width="9.29"/>
    <col collapsed="false" customWidth="true" hidden="false" outlineLevel="0" max="30" min="30" style="22" width="11.57"/>
    <col collapsed="false" customWidth="true" hidden="false" outlineLevel="0" max="31" min="31" style="24" width="14.57"/>
    <col collapsed="false" customWidth="true" hidden="false" outlineLevel="0" max="32" min="32" style="22" width="11.57"/>
    <col collapsed="false" customWidth="true" hidden="false" outlineLevel="0" max="33" min="33" style="22" width="15.42"/>
    <col collapsed="false" customWidth="true" hidden="false" outlineLevel="0" max="34" min="34" style="22" width="13.42"/>
    <col collapsed="false" customWidth="true" hidden="false" outlineLevel="0" max="35" min="35" style="22" width="14.57"/>
    <col collapsed="false" customWidth="true" hidden="false" outlineLevel="0" max="37" min="36" style="22" width="13.42"/>
    <col collapsed="false" customWidth="true" hidden="false" outlineLevel="0" max="38" min="38" style="22" width="12.86"/>
    <col collapsed="false" customWidth="true" hidden="false" outlineLevel="0" max="40" min="39" style="22" width="10.57"/>
    <col collapsed="false" customWidth="false" hidden="false" outlineLevel="0" max="16384" min="41" style="22" width="9.29"/>
  </cols>
  <sheetData>
    <row r="1" s="26" customFormat="true" ht="16.5" hidden="false" customHeight="true" outlineLevel="0" collapsed="false">
      <c r="A1" s="25" t="s">
        <v>54</v>
      </c>
      <c r="B1" s="25"/>
      <c r="C1" s="25"/>
      <c r="D1" s="25"/>
      <c r="E1" s="25"/>
      <c r="F1" s="25"/>
      <c r="G1" s="25"/>
      <c r="H1" s="25"/>
      <c r="I1" s="25"/>
      <c r="J1" s="25"/>
      <c r="K1" s="25"/>
      <c r="L1" s="25"/>
      <c r="M1" s="25"/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E1" s="27"/>
    </row>
    <row r="2" s="26" customFormat="true" ht="16.5" hidden="false" customHeight="true" outlineLevel="0" collapsed="false">
      <c r="A2" s="28" t="str">
        <f>"Kèm theo BBNT số: "&amp;VLOOKUP(AZ2,'[1]Tuyến XD8'!$A$2:$G$60,7,0)&amp;VLOOKUP(AZ2,'[1]Tuyến XD8'!$A$2:$G$60,4,0)</f>
        <v xml:space="preserve">Kèm theo BBNT số: 64.NĐXD8/CVXD ngày 16 tháng 09 năm 2026</v>
      </c>
      <c r="B2" s="28"/>
      <c r="C2" s="28"/>
      <c r="D2" s="28"/>
      <c r="E2" s="28"/>
      <c r="F2" s="28"/>
      <c r="G2" s="28"/>
      <c r="H2" s="28"/>
      <c r="I2" s="28"/>
      <c r="J2" s="28"/>
      <c r="K2" s="28"/>
      <c r="L2" s="28"/>
      <c r="M2" s="28"/>
      <c r="N2" s="28"/>
      <c r="O2" s="28"/>
      <c r="P2" s="28"/>
      <c r="Q2" s="28"/>
      <c r="R2" s="28"/>
      <c r="S2" s="28"/>
      <c r="T2" s="28"/>
      <c r="U2" s="28"/>
      <c r="V2" s="28"/>
      <c r="W2" s="28"/>
      <c r="X2" s="28"/>
      <c r="Y2" s="28"/>
      <c r="Z2" s="28"/>
      <c r="AA2" s="28"/>
      <c r="AB2" s="28"/>
      <c r="AE2" s="27"/>
      <c r="AZ2">
        <v>64</v>
      </c>
    </row>
    <row r="3" s="32" customFormat="true" ht="37.5" hidden="false" customHeight="true" outlineLevel="0" collapsed="false">
      <c r="A3" s="29" t="s">
        <v>30</v>
      </c>
      <c r="B3" s="29"/>
      <c r="C3" s="29"/>
      <c r="D3" s="29"/>
      <c r="E3" s="29"/>
      <c r="F3" s="29"/>
      <c r="G3" s="29"/>
      <c r="H3" s="29"/>
      <c r="I3" s="29"/>
      <c r="J3" s="29"/>
      <c r="K3" s="29"/>
      <c r="L3" s="29"/>
      <c r="M3" s="29"/>
      <c r="N3" s="29"/>
      <c r="O3" s="29"/>
      <c r="P3" s="29"/>
      <c r="Q3" s="29"/>
      <c r="R3" s="29"/>
      <c r="S3" s="29"/>
      <c r="T3" s="29"/>
      <c r="U3" s="29"/>
      <c r="V3" s="29"/>
      <c r="W3" s="29"/>
      <c r="X3" s="29"/>
      <c r="Y3" s="29"/>
      <c r="Z3" s="29"/>
      <c r="AA3" s="29"/>
      <c r="AB3" s="29"/>
      <c r="AC3" s="30"/>
      <c r="AD3" s="30"/>
      <c r="AE3" s="31"/>
      <c r="AF3" s="30"/>
      <c r="AG3" s="30"/>
      <c r="AH3" s="30"/>
      <c r="AI3" s="30"/>
      <c r="AJ3" s="30"/>
      <c r="AK3" s="30"/>
      <c r="AL3" s="30"/>
      <c r="AM3" s="30"/>
      <c r="AN3" s="30"/>
      <c r="AO3" s="30"/>
      <c r="AP3" s="30"/>
      <c r="AQ3" s="30"/>
      <c r="AR3" s="30"/>
      <c r="AS3" s="30"/>
      <c r="AT3" s="30"/>
      <c r="AU3" s="30"/>
      <c r="AV3" s="30"/>
      <c r="AW3" s="30"/>
      <c r="AX3" s="30"/>
      <c r="AY3" s="30"/>
      <c r="AZ3" s="30"/>
      <c r="BA3" s="30"/>
      <c r="BB3" s="30"/>
      <c r="BC3" s="30"/>
      <c r="BD3" s="30"/>
      <c r="BE3" s="30"/>
      <c r="BF3" s="30"/>
      <c r="BG3" s="30"/>
      <c r="BH3" s="30"/>
      <c r="BI3" s="30"/>
      <c r="BJ3" s="30"/>
      <c r="BK3" s="30"/>
      <c r="BL3" s="30"/>
      <c r="BM3" s="30"/>
      <c r="BN3" s="30"/>
      <c r="BO3" s="30"/>
      <c r="BP3" s="30"/>
      <c r="BQ3" s="30"/>
      <c r="BR3" s="30"/>
      <c r="BS3" s="30"/>
      <c r="BT3" s="30"/>
      <c r="BU3" s="30"/>
      <c r="BV3" s="30"/>
      <c r="BW3" s="30"/>
      <c r="BX3" s="30"/>
      <c r="BY3" s="30"/>
      <c r="BZ3" s="30"/>
      <c r="CA3" s="30"/>
      <c r="CB3" s="30"/>
      <c r="CC3" s="30"/>
      <c r="CD3" s="30"/>
      <c r="CE3" s="30"/>
      <c r="CF3" s="30"/>
      <c r="CG3" s="30"/>
      <c r="CH3" s="30"/>
      <c r="CI3" s="30"/>
      <c r="CJ3" s="30"/>
      <c r="CK3" s="30"/>
      <c r="CL3" s="30"/>
      <c r="CM3" s="30"/>
      <c r="CN3" s="30"/>
      <c r="CO3" s="30"/>
      <c r="CP3" s="30"/>
      <c r="CQ3" s="30"/>
      <c r="CR3" s="30"/>
      <c r="CS3" s="30"/>
      <c r="CT3" s="30"/>
      <c r="CU3" s="30"/>
      <c r="CV3" s="30"/>
      <c r="CW3" s="30"/>
      <c r="CX3" s="30"/>
      <c r="CY3" s="30"/>
      <c r="CZ3" s="30"/>
      <c r="DA3" s="30"/>
      <c r="DB3" s="30"/>
      <c r="DC3" s="30"/>
      <c r="DD3" s="30"/>
      <c r="DE3" s="30"/>
      <c r="DF3" s="30"/>
      <c r="DG3" s="30"/>
      <c r="DH3" s="30"/>
      <c r="DI3" s="30"/>
      <c r="DJ3" s="30"/>
      <c r="DK3" s="30"/>
      <c r="DL3" s="30"/>
      <c r="DM3" s="30"/>
      <c r="DN3" s="30"/>
      <c r="DO3" s="30"/>
      <c r="DP3" s="30"/>
      <c r="DQ3" s="30"/>
      <c r="DR3" s="30"/>
      <c r="DS3" s="30"/>
      <c r="DT3" s="30"/>
      <c r="DU3" s="30"/>
      <c r="DV3" s="30"/>
      <c r="DW3" s="30"/>
      <c r="DX3" s="30"/>
      <c r="DY3" s="30"/>
      <c r="DZ3" s="30"/>
      <c r="EA3" s="30"/>
      <c r="EB3" s="30"/>
      <c r="EC3" s="30"/>
      <c r="ED3" s="30"/>
      <c r="EE3" s="30"/>
      <c r="EF3" s="30"/>
      <c r="EG3" s="30"/>
      <c r="EH3" s="30"/>
      <c r="EI3" s="30"/>
      <c r="EJ3" s="30"/>
      <c r="EK3" s="30"/>
      <c r="EL3" s="30"/>
      <c r="EM3" s="30"/>
      <c r="EN3" s="30"/>
      <c r="EO3" s="30"/>
      <c r="EP3" s="30"/>
      <c r="EQ3" s="30"/>
      <c r="ER3" s="30"/>
      <c r="ES3" s="30"/>
      <c r="ET3" s="30"/>
      <c r="EU3" s="30"/>
      <c r="EV3" s="30"/>
      <c r="EW3" s="30"/>
      <c r="EX3" s="30"/>
      <c r="EY3" s="30"/>
      <c r="EZ3" s="30"/>
      <c r="FA3" s="30"/>
      <c r="FB3" s="30"/>
      <c r="FC3" s="30"/>
      <c r="FD3" s="30"/>
      <c r="FE3" s="30"/>
      <c r="FF3" s="30"/>
      <c r="FG3" s="30"/>
      <c r="FH3" s="30"/>
      <c r="FI3" s="30"/>
      <c r="FJ3" s="30"/>
      <c r="FK3" s="30"/>
      <c r="FL3" s="30"/>
      <c r="FM3" s="30"/>
      <c r="FN3" s="30"/>
      <c r="FO3" s="30"/>
      <c r="FP3" s="30"/>
      <c r="FQ3" s="30"/>
      <c r="FR3" s="30"/>
      <c r="FS3" s="30"/>
      <c r="FT3" s="30"/>
      <c r="FU3" s="30"/>
      <c r="FV3" s="30"/>
      <c r="FW3" s="30"/>
      <c r="FX3" s="30"/>
      <c r="FY3" s="30"/>
      <c r="FZ3" s="30"/>
      <c r="GA3" s="30"/>
      <c r="GB3" s="30"/>
      <c r="GC3" s="30"/>
      <c r="GD3" s="30"/>
      <c r="GE3" s="30"/>
      <c r="GF3" s="30"/>
      <c r="GG3" s="30"/>
      <c r="GH3" s="30"/>
      <c r="GI3" s="30"/>
      <c r="GJ3" s="30"/>
      <c r="GK3" s="30"/>
      <c r="GL3" s="30"/>
      <c r="GM3" s="30"/>
      <c r="GN3" s="30"/>
      <c r="GO3" s="30"/>
      <c r="GP3" s="30"/>
      <c r="GQ3" s="30"/>
      <c r="GR3" s="30"/>
      <c r="GS3" s="30"/>
      <c r="GT3" s="30"/>
      <c r="GU3" s="30"/>
      <c r="GV3" s="30"/>
      <c r="GW3" s="30"/>
      <c r="GX3" s="30"/>
      <c r="GY3" s="30"/>
      <c r="GZ3" s="30"/>
      <c r="HA3" s="30"/>
      <c r="HB3" s="30"/>
      <c r="HC3" s="30"/>
      <c r="HD3" s="30"/>
      <c r="HE3" s="30"/>
      <c r="HF3" s="30"/>
      <c r="HG3" s="30"/>
      <c r="HH3" s="30"/>
      <c r="HI3" s="30"/>
      <c r="HJ3" s="30"/>
      <c r="HK3" s="30"/>
      <c r="HL3" s="30"/>
      <c r="HM3" s="30"/>
      <c r="HN3" s="30"/>
      <c r="HO3" s="30"/>
      <c r="HP3" s="30"/>
      <c r="HQ3" s="30"/>
      <c r="HR3" s="30"/>
      <c r="HS3" s="30"/>
      <c r="HT3" s="30"/>
      <c r="HU3" s="30"/>
      <c r="HV3" s="30"/>
      <c r="HW3" s="30"/>
      <c r="HX3" s="30"/>
      <c r="HY3" s="30"/>
    </row>
    <row r="4" s="32" customFormat="true" ht="37.5" hidden="false" customHeight="true" outlineLevel="0" collapsed="false">
      <c r="A4" s="29" t="s">
        <v>31</v>
      </c>
      <c r="B4" s="29"/>
      <c r="C4" s="29"/>
      <c r="D4" s="29"/>
      <c r="E4" s="29"/>
      <c r="F4" s="29"/>
      <c r="G4" s="29"/>
      <c r="H4" s="29"/>
      <c r="I4" s="29"/>
      <c r="J4" s="29"/>
      <c r="K4" s="29"/>
      <c r="L4" s="29"/>
      <c r="M4" s="29"/>
      <c r="N4" s="29"/>
      <c r="O4" s="29"/>
      <c r="P4" s="29"/>
      <c r="Q4" s="29"/>
      <c r="R4" s="29"/>
      <c r="S4" s="29"/>
      <c r="T4" s="29"/>
      <c r="U4" s="29"/>
      <c r="V4" s="29"/>
      <c r="W4" s="29"/>
      <c r="X4" s="29"/>
      <c r="Y4" s="29"/>
      <c r="Z4" s="29"/>
      <c r="AA4" s="29"/>
      <c r="AB4" s="29"/>
      <c r="AC4" s="30"/>
      <c r="AD4" s="30"/>
      <c r="AE4" s="31"/>
      <c r="AF4" s="30"/>
      <c r="AG4" s="30"/>
      <c r="AH4" s="30"/>
      <c r="AI4" s="30"/>
      <c r="AJ4" s="30"/>
      <c r="AK4" s="30"/>
      <c r="AL4" s="30"/>
      <c r="AM4" s="30"/>
      <c r="AN4" s="30"/>
      <c r="AO4" s="30"/>
      <c r="AP4" s="30"/>
      <c r="AQ4" s="30"/>
      <c r="AR4" s="30"/>
      <c r="AS4" s="30"/>
      <c r="AT4" s="30"/>
      <c r="AU4" s="30"/>
      <c r="AV4" s="30"/>
      <c r="AW4" s="30"/>
      <c r="AX4" s="30"/>
      <c r="AY4" s="30"/>
      <c r="AZ4" s="30"/>
      <c r="BA4" s="30"/>
      <c r="BB4" s="30"/>
      <c r="BC4" s="30"/>
      <c r="BD4" s="30"/>
      <c r="BE4" s="30"/>
      <c r="BF4" s="30"/>
      <c r="BG4" s="30"/>
      <c r="BH4" s="30"/>
      <c r="BI4" s="30"/>
      <c r="BJ4" s="30"/>
      <c r="BK4" s="30"/>
      <c r="BL4" s="30"/>
      <c r="BM4" s="30"/>
      <c r="BN4" s="30"/>
      <c r="BO4" s="30"/>
      <c r="BP4" s="30"/>
      <c r="BQ4" s="30"/>
      <c r="BR4" s="30"/>
      <c r="BS4" s="30"/>
      <c r="BT4" s="30"/>
      <c r="BU4" s="30"/>
      <c r="BV4" s="30"/>
      <c r="BW4" s="30"/>
      <c r="BX4" s="30"/>
      <c r="BY4" s="30"/>
      <c r="BZ4" s="30"/>
      <c r="CA4" s="30"/>
      <c r="CB4" s="30"/>
      <c r="CC4" s="30"/>
      <c r="CD4" s="30"/>
      <c r="CE4" s="30"/>
      <c r="CF4" s="30"/>
      <c r="CG4" s="30"/>
      <c r="CH4" s="30"/>
      <c r="CI4" s="30"/>
      <c r="CJ4" s="30"/>
      <c r="CK4" s="30"/>
      <c r="CL4" s="30"/>
      <c r="CM4" s="30"/>
      <c r="CN4" s="30"/>
      <c r="CO4" s="30"/>
      <c r="CP4" s="30"/>
      <c r="CQ4" s="30"/>
      <c r="CR4" s="30"/>
      <c r="CS4" s="30"/>
      <c r="CT4" s="30"/>
      <c r="CU4" s="30"/>
      <c r="CV4" s="30"/>
      <c r="CW4" s="30"/>
      <c r="CX4" s="30"/>
      <c r="CY4" s="30"/>
      <c r="CZ4" s="30"/>
      <c r="DA4" s="30"/>
      <c r="DB4" s="30"/>
      <c r="DC4" s="30"/>
      <c r="DD4" s="30"/>
      <c r="DE4" s="30"/>
      <c r="DF4" s="30"/>
      <c r="DG4" s="30"/>
      <c r="DH4" s="30"/>
      <c r="DI4" s="30"/>
      <c r="DJ4" s="30"/>
      <c r="DK4" s="30"/>
      <c r="DL4" s="30"/>
      <c r="DM4" s="30"/>
      <c r="DN4" s="30"/>
      <c r="DO4" s="30"/>
      <c r="DP4" s="30"/>
      <c r="DQ4" s="30"/>
      <c r="DR4" s="30"/>
      <c r="DS4" s="30"/>
      <c r="DT4" s="30"/>
      <c r="DU4" s="30"/>
      <c r="DV4" s="30"/>
      <c r="DW4" s="30"/>
      <c r="DX4" s="30"/>
      <c r="DY4" s="30"/>
      <c r="DZ4" s="30"/>
      <c r="EA4" s="30"/>
      <c r="EB4" s="30"/>
      <c r="EC4" s="30"/>
      <c r="ED4" s="30"/>
      <c r="EE4" s="30"/>
      <c r="EF4" s="30"/>
      <c r="EG4" s="30"/>
      <c r="EH4" s="30"/>
      <c r="EI4" s="30"/>
      <c r="EJ4" s="30"/>
      <c r="EK4" s="30"/>
      <c r="EL4" s="30"/>
      <c r="EM4" s="30"/>
      <c r="EN4" s="30"/>
      <c r="EO4" s="30"/>
      <c r="EP4" s="30"/>
      <c r="EQ4" s="30"/>
      <c r="ER4" s="30"/>
      <c r="ES4" s="30"/>
      <c r="ET4" s="30"/>
      <c r="EU4" s="30"/>
      <c r="EV4" s="30"/>
      <c r="EW4" s="30"/>
      <c r="EX4" s="30"/>
      <c r="EY4" s="30"/>
      <c r="EZ4" s="30"/>
      <c r="FA4" s="30"/>
      <c r="FB4" s="30"/>
      <c r="FC4" s="30"/>
      <c r="FD4" s="30"/>
      <c r="FE4" s="30"/>
      <c r="FF4" s="30"/>
      <c r="FG4" s="30"/>
      <c r="FH4" s="30"/>
      <c r="FI4" s="30"/>
      <c r="FJ4" s="30"/>
      <c r="FK4" s="30"/>
      <c r="FL4" s="30"/>
      <c r="FM4" s="30"/>
      <c r="FN4" s="30"/>
      <c r="FO4" s="30"/>
      <c r="FP4" s="30"/>
      <c r="FQ4" s="30"/>
      <c r="FR4" s="30"/>
      <c r="FS4" s="30"/>
      <c r="FT4" s="30"/>
      <c r="FU4" s="30"/>
      <c r="FV4" s="30"/>
      <c r="FW4" s="30"/>
      <c r="FX4" s="30"/>
      <c r="FY4" s="30"/>
      <c r="FZ4" s="30"/>
      <c r="GA4" s="30"/>
      <c r="GB4" s="30"/>
      <c r="GC4" s="30"/>
      <c r="GD4" s="30"/>
      <c r="GE4" s="30"/>
      <c r="GF4" s="30"/>
      <c r="GG4" s="30"/>
      <c r="GH4" s="30"/>
      <c r="GI4" s="30"/>
      <c r="GJ4" s="30"/>
      <c r="GK4" s="30"/>
      <c r="GL4" s="30"/>
      <c r="GM4" s="30"/>
      <c r="GN4" s="30"/>
      <c r="GO4" s="30"/>
      <c r="GP4" s="30"/>
      <c r="GQ4" s="30"/>
      <c r="GR4" s="30"/>
      <c r="GS4" s="30"/>
      <c r="GT4" s="30"/>
      <c r="GU4" s="30"/>
      <c r="GV4" s="30"/>
      <c r="GW4" s="30"/>
      <c r="GX4" s="30"/>
      <c r="GY4" s="30"/>
      <c r="GZ4" s="30"/>
      <c r="HA4" s="30"/>
      <c r="HB4" s="30"/>
      <c r="HC4" s="30"/>
      <c r="HD4" s="30"/>
      <c r="HE4" s="30"/>
      <c r="HF4" s="30"/>
      <c r="HG4" s="30"/>
      <c r="HH4" s="30"/>
      <c r="HI4" s="30"/>
      <c r="HJ4" s="30"/>
      <c r="HK4" s="30"/>
      <c r="HL4" s="30"/>
      <c r="HM4" s="30"/>
      <c r="HN4" s="30"/>
      <c r="HO4" s="30"/>
      <c r="HP4" s="30"/>
      <c r="HQ4" s="30"/>
      <c r="HR4" s="30"/>
      <c r="HS4" s="30"/>
      <c r="HT4" s="30"/>
      <c r="HU4" s="30"/>
      <c r="HV4" s="30"/>
      <c r="HW4" s="30"/>
      <c r="HX4" s="30"/>
      <c r="HY4" s="30"/>
    </row>
    <row r="5" s="32" customFormat="true" ht="16.5" hidden="false" customHeight="true" outlineLevel="0" collapsed="false">
      <c r="A5" s="29" t="s">
        <v>32</v>
      </c>
      <c r="B5" s="29"/>
      <c r="C5" s="29"/>
      <c r="D5" s="29"/>
      <c r="E5" s="29"/>
      <c r="F5" s="29"/>
      <c r="G5" s="29"/>
      <c r="H5" s="29"/>
      <c r="I5" s="29"/>
      <c r="J5" s="29"/>
      <c r="K5" s="29"/>
      <c r="L5" s="29"/>
      <c r="M5" s="29"/>
      <c r="N5" s="29"/>
      <c r="O5" s="29"/>
      <c r="P5" s="29"/>
      <c r="Q5" s="29"/>
      <c r="R5" s="29"/>
      <c r="S5" s="29"/>
      <c r="T5" s="29"/>
      <c r="U5" s="29"/>
      <c r="V5" s="29"/>
      <c r="W5" s="29"/>
      <c r="X5" s="29"/>
      <c r="Y5" s="29"/>
      <c r="Z5" s="29"/>
      <c r="AA5" s="29"/>
      <c r="AB5" s="29"/>
      <c r="AC5" s="30"/>
      <c r="AD5" s="30"/>
      <c r="AE5" s="31"/>
      <c r="AF5" s="30"/>
      <c r="AG5" s="30"/>
      <c r="AH5" s="30"/>
      <c r="AI5" s="30"/>
      <c r="AJ5" s="30"/>
      <c r="AK5" s="30"/>
      <c r="AL5" s="30"/>
      <c r="AM5" s="30"/>
      <c r="AN5" s="30"/>
      <c r="AO5" s="30"/>
      <c r="AP5" s="30"/>
      <c r="AQ5" s="30"/>
      <c r="AR5" s="30"/>
      <c r="AS5" s="30"/>
      <c r="AT5" s="30"/>
      <c r="AU5" s="30"/>
      <c r="AV5" s="30"/>
      <c r="AW5" s="30"/>
      <c r="AX5" s="30"/>
      <c r="AY5" s="30"/>
      <c r="AZ5" s="30"/>
      <c r="BA5" s="30"/>
      <c r="BB5" s="30"/>
      <c r="BC5" s="30"/>
      <c r="BD5" s="30"/>
      <c r="BE5" s="30"/>
      <c r="BF5" s="30"/>
      <c r="BG5" s="30"/>
      <c r="BH5" s="30"/>
      <c r="BI5" s="30"/>
      <c r="BJ5" s="30"/>
      <c r="BK5" s="30"/>
      <c r="BL5" s="30"/>
      <c r="BM5" s="30"/>
      <c r="BN5" s="30"/>
      <c r="BO5" s="30"/>
      <c r="BP5" s="30"/>
      <c r="BQ5" s="30"/>
      <c r="BR5" s="30"/>
      <c r="BS5" s="30"/>
      <c r="BT5" s="30"/>
      <c r="BU5" s="30"/>
      <c r="BV5" s="30"/>
      <c r="BW5" s="30"/>
      <c r="BX5" s="30"/>
      <c r="BY5" s="30"/>
      <c r="BZ5" s="30"/>
      <c r="CA5" s="30"/>
      <c r="CB5" s="30"/>
      <c r="CC5" s="30"/>
      <c r="CD5" s="30"/>
      <c r="CE5" s="30"/>
      <c r="CF5" s="30"/>
      <c r="CG5" s="30"/>
      <c r="CH5" s="30"/>
      <c r="CI5" s="30"/>
      <c r="CJ5" s="30"/>
      <c r="CK5" s="30"/>
      <c r="CL5" s="30"/>
      <c r="CM5" s="30"/>
      <c r="CN5" s="30"/>
      <c r="CO5" s="30"/>
      <c r="CP5" s="30"/>
      <c r="CQ5" s="30"/>
      <c r="CR5" s="30"/>
      <c r="CS5" s="30"/>
      <c r="CT5" s="30"/>
      <c r="CU5" s="30"/>
      <c r="CV5" s="30"/>
      <c r="CW5" s="30"/>
      <c r="CX5" s="30"/>
      <c r="CY5" s="30"/>
      <c r="CZ5" s="30"/>
      <c r="DA5" s="30"/>
      <c r="DB5" s="30"/>
      <c r="DC5" s="30"/>
      <c r="DD5" s="30"/>
      <c r="DE5" s="30"/>
      <c r="DF5" s="30"/>
      <c r="DG5" s="30"/>
      <c r="DH5" s="30"/>
      <c r="DI5" s="30"/>
      <c r="DJ5" s="30"/>
      <c r="DK5" s="30"/>
      <c r="DL5" s="30"/>
      <c r="DM5" s="30"/>
      <c r="DN5" s="30"/>
      <c r="DO5" s="30"/>
      <c r="DP5" s="30"/>
      <c r="DQ5" s="30"/>
      <c r="DR5" s="30"/>
      <c r="DS5" s="30"/>
      <c r="DT5" s="30"/>
      <c r="DU5" s="30"/>
      <c r="DV5" s="30"/>
      <c r="DW5" s="30"/>
      <c r="DX5" s="30"/>
      <c r="DY5" s="30"/>
      <c r="DZ5" s="30"/>
      <c r="EA5" s="30"/>
      <c r="EB5" s="30"/>
      <c r="EC5" s="30"/>
      <c r="ED5" s="30"/>
      <c r="EE5" s="30"/>
      <c r="EF5" s="30"/>
      <c r="EG5" s="30"/>
      <c r="EH5" s="30"/>
      <c r="EI5" s="30"/>
      <c r="EJ5" s="30"/>
      <c r="EK5" s="30"/>
      <c r="EL5" s="30"/>
      <c r="EM5" s="30"/>
      <c r="EN5" s="30"/>
      <c r="EO5" s="30"/>
      <c r="EP5" s="30"/>
      <c r="EQ5" s="30"/>
      <c r="ER5" s="30"/>
      <c r="ES5" s="30"/>
      <c r="ET5" s="30"/>
      <c r="EU5" s="30"/>
      <c r="EV5" s="30"/>
      <c r="EW5" s="30"/>
      <c r="EX5" s="30"/>
      <c r="EY5" s="30"/>
      <c r="EZ5" s="30"/>
      <c r="FA5" s="30"/>
      <c r="FB5" s="30"/>
      <c r="FC5" s="30"/>
      <c r="FD5" s="30"/>
      <c r="FE5" s="30"/>
      <c r="FF5" s="30"/>
      <c r="FG5" s="30"/>
      <c r="FH5" s="30"/>
      <c r="FI5" s="30"/>
      <c r="FJ5" s="30"/>
      <c r="FK5" s="30"/>
      <c r="FL5" s="30"/>
      <c r="FM5" s="30"/>
      <c r="FN5" s="30"/>
      <c r="FO5" s="30"/>
      <c r="FP5" s="30"/>
      <c r="FQ5" s="30"/>
      <c r="FR5" s="30"/>
      <c r="FS5" s="30"/>
      <c r="FT5" s="30"/>
      <c r="FU5" s="30"/>
      <c r="FV5" s="30"/>
      <c r="FW5" s="30"/>
      <c r="FX5" s="30"/>
      <c r="FY5" s="30"/>
      <c r="FZ5" s="30"/>
      <c r="GA5" s="30"/>
      <c r="GB5" s="30"/>
      <c r="GC5" s="30"/>
      <c r="GD5" s="30"/>
      <c r="GE5" s="30"/>
      <c r="GF5" s="30"/>
      <c r="GG5" s="30"/>
      <c r="GH5" s="30"/>
      <c r="GI5" s="30"/>
      <c r="GJ5" s="30"/>
      <c r="GK5" s="30"/>
      <c r="GL5" s="30"/>
      <c r="GM5" s="30"/>
      <c r="GN5" s="30"/>
      <c r="GO5" s="30"/>
      <c r="GP5" s="30"/>
      <c r="GQ5" s="30"/>
      <c r="GR5" s="30"/>
      <c r="GS5" s="30"/>
      <c r="GT5" s="30"/>
      <c r="GU5" s="30"/>
      <c r="GV5" s="30"/>
      <c r="GW5" s="30"/>
      <c r="GX5" s="30"/>
      <c r="GY5" s="30"/>
      <c r="GZ5" s="30"/>
      <c r="HA5" s="30"/>
      <c r="HB5" s="30"/>
      <c r="HC5" s="30"/>
      <c r="HD5" s="30"/>
      <c r="HE5" s="30"/>
      <c r="HF5" s="30"/>
      <c r="HG5" s="30"/>
      <c r="HH5" s="30"/>
      <c r="HI5" s="30"/>
      <c r="HJ5" s="30"/>
      <c r="HK5" s="30"/>
      <c r="HL5" s="30"/>
      <c r="HM5" s="30"/>
      <c r="HN5" s="30"/>
      <c r="HO5" s="30"/>
      <c r="HP5" s="30"/>
      <c r="HQ5" s="30"/>
      <c r="HR5" s="30"/>
      <c r="HS5" s="30"/>
      <c r="HT5" s="30"/>
      <c r="HU5" s="30"/>
      <c r="HV5" s="30"/>
      <c r="HW5" s="30"/>
      <c r="HX5" s="30"/>
      <c r="HY5" s="30"/>
    </row>
    <row r="6" s="32" customFormat="true" ht="16.5" hidden="false" customHeight="true" outlineLevel="0" collapsed="false">
      <c r="A6" s="29" t="s">
        <v>33</v>
      </c>
      <c r="B6" s="29"/>
      <c r="C6" s="29"/>
      <c r="D6" s="29"/>
      <c r="E6" s="29"/>
      <c r="F6" s="29"/>
      <c r="G6" s="29"/>
      <c r="H6" s="29"/>
      <c r="I6" s="29"/>
      <c r="J6" s="29"/>
      <c r="K6" s="29"/>
      <c r="L6" s="29"/>
      <c r="M6" s="29"/>
      <c r="N6" s="29"/>
      <c r="O6" s="29"/>
      <c r="P6" s="29"/>
      <c r="Q6" s="29"/>
      <c r="R6" s="29"/>
      <c r="S6" s="29"/>
      <c r="T6" s="29"/>
      <c r="U6" s="29"/>
      <c r="V6" s="29"/>
      <c r="W6" s="29"/>
      <c r="X6" s="29"/>
      <c r="Y6" s="29"/>
      <c r="Z6" s="29"/>
      <c r="AA6" s="29"/>
      <c r="AB6" s="29"/>
      <c r="AC6" s="30"/>
      <c r="AD6" s="30"/>
      <c r="AE6" s="31"/>
      <c r="AF6" s="30"/>
      <c r="AG6" s="30"/>
      <c r="AH6" s="30"/>
      <c r="AI6" s="30"/>
      <c r="AJ6" s="30"/>
      <c r="AK6" s="30"/>
      <c r="AL6" s="30"/>
      <c r="AM6" s="30"/>
      <c r="AN6" s="30"/>
      <c r="AO6" s="30"/>
      <c r="AP6" s="30"/>
      <c r="AQ6" s="30"/>
      <c r="AR6" s="30"/>
      <c r="AS6" s="30"/>
      <c r="AT6" s="30"/>
      <c r="AU6" s="30"/>
      <c r="AV6" s="30"/>
      <c r="AW6" s="30"/>
      <c r="AX6" s="30"/>
      <c r="AY6" s="30"/>
      <c r="AZ6" s="30"/>
      <c r="BA6" s="30"/>
      <c r="BB6" s="30"/>
      <c r="BC6" s="30"/>
      <c r="BD6" s="30"/>
      <c r="BE6" s="30"/>
      <c r="BF6" s="30"/>
      <c r="BG6" s="30"/>
      <c r="BH6" s="30"/>
      <c r="BI6" s="30"/>
      <c r="BJ6" s="30"/>
      <c r="BK6" s="30"/>
      <c r="BL6" s="30"/>
      <c r="BM6" s="30"/>
      <c r="BN6" s="30"/>
      <c r="BO6" s="30"/>
      <c r="BP6" s="30"/>
      <c r="BQ6" s="30"/>
      <c r="BR6" s="30"/>
      <c r="BS6" s="30"/>
      <c r="BT6" s="30"/>
      <c r="BU6" s="30"/>
      <c r="BV6" s="30"/>
      <c r="BW6" s="30"/>
      <c r="BX6" s="30"/>
      <c r="BY6" s="30"/>
      <c r="BZ6" s="30"/>
      <c r="CA6" s="30"/>
      <c r="CB6" s="30"/>
      <c r="CC6" s="30"/>
      <c r="CD6" s="30"/>
      <c r="CE6" s="30"/>
      <c r="CF6" s="30"/>
      <c r="CG6" s="30"/>
      <c r="CH6" s="30"/>
      <c r="CI6" s="30"/>
      <c r="CJ6" s="30"/>
      <c r="CK6" s="30"/>
      <c r="CL6" s="30"/>
      <c r="CM6" s="30"/>
      <c r="CN6" s="30"/>
      <c r="CO6" s="30"/>
      <c r="CP6" s="30"/>
      <c r="CQ6" s="30"/>
      <c r="CR6" s="30"/>
      <c r="CS6" s="30"/>
      <c r="CT6" s="30"/>
      <c r="CU6" s="30"/>
      <c r="CV6" s="30"/>
      <c r="CW6" s="30"/>
      <c r="CX6" s="30"/>
      <c r="CY6" s="30"/>
      <c r="CZ6" s="30"/>
      <c r="DA6" s="30"/>
      <c r="DB6" s="30"/>
      <c r="DC6" s="30"/>
      <c r="DD6" s="30"/>
      <c r="DE6" s="30"/>
      <c r="DF6" s="30"/>
      <c r="DG6" s="30"/>
      <c r="DH6" s="30"/>
      <c r="DI6" s="30"/>
      <c r="DJ6" s="30"/>
      <c r="DK6" s="30"/>
      <c r="DL6" s="30"/>
      <c r="DM6" s="30"/>
      <c r="DN6" s="30"/>
      <c r="DO6" s="30"/>
      <c r="DP6" s="30"/>
      <c r="DQ6" s="30"/>
      <c r="DR6" s="30"/>
      <c r="DS6" s="30"/>
      <c r="DT6" s="30"/>
      <c r="DU6" s="30"/>
      <c r="DV6" s="30"/>
      <c r="DW6" s="30"/>
      <c r="DX6" s="30"/>
      <c r="DY6" s="30"/>
      <c r="DZ6" s="30"/>
      <c r="EA6" s="30"/>
      <c r="EB6" s="30"/>
      <c r="EC6" s="30"/>
      <c r="ED6" s="30"/>
      <c r="EE6" s="30"/>
      <c r="EF6" s="30"/>
      <c r="EG6" s="30"/>
      <c r="EH6" s="30"/>
      <c r="EI6" s="30"/>
      <c r="EJ6" s="30"/>
      <c r="EK6" s="30"/>
      <c r="EL6" s="30"/>
      <c r="EM6" s="30"/>
      <c r="EN6" s="30"/>
      <c r="EO6" s="30"/>
      <c r="EP6" s="30"/>
      <c r="EQ6" s="30"/>
      <c r="ER6" s="30"/>
      <c r="ES6" s="30"/>
      <c r="ET6" s="30"/>
      <c r="EU6" s="30"/>
      <c r="EV6" s="30"/>
      <c r="EW6" s="30"/>
      <c r="EX6" s="30"/>
      <c r="EY6" s="30"/>
      <c r="EZ6" s="30"/>
      <c r="FA6" s="30"/>
      <c r="FB6" s="30"/>
      <c r="FC6" s="30"/>
      <c r="FD6" s="30"/>
      <c r="FE6" s="30"/>
      <c r="FF6" s="30"/>
      <c r="FG6" s="30"/>
      <c r="FH6" s="30"/>
      <c r="FI6" s="30"/>
      <c r="FJ6" s="30"/>
      <c r="FK6" s="30"/>
      <c r="FL6" s="30"/>
      <c r="FM6" s="30"/>
      <c r="FN6" s="30"/>
      <c r="FO6" s="30"/>
      <c r="FP6" s="30"/>
      <c r="FQ6" s="30"/>
      <c r="FR6" s="30"/>
      <c r="FS6" s="30"/>
      <c r="FT6" s="30"/>
      <c r="FU6" s="30"/>
      <c r="FV6" s="30"/>
      <c r="FW6" s="30"/>
      <c r="FX6" s="30"/>
      <c r="FY6" s="30"/>
      <c r="FZ6" s="30"/>
      <c r="GA6" s="30"/>
      <c r="GB6" s="30"/>
      <c r="GC6" s="30"/>
      <c r="GD6" s="30"/>
      <c r="GE6" s="30"/>
      <c r="GF6" s="30"/>
      <c r="GG6" s="30"/>
      <c r="GH6" s="30"/>
      <c r="GI6" s="30"/>
      <c r="GJ6" s="30"/>
      <c r="GK6" s="30"/>
      <c r="GL6" s="30"/>
      <c r="GM6" s="30"/>
      <c r="GN6" s="30"/>
      <c r="GO6" s="30"/>
      <c r="GP6" s="30"/>
      <c r="GQ6" s="30"/>
      <c r="GR6" s="30"/>
      <c r="GS6" s="30"/>
      <c r="GT6" s="30"/>
      <c r="GU6" s="30"/>
      <c r="GV6" s="30"/>
      <c r="GW6" s="30"/>
      <c r="GX6" s="30"/>
      <c r="GY6" s="30"/>
      <c r="GZ6" s="30"/>
      <c r="HA6" s="30"/>
      <c r="HB6" s="30"/>
      <c r="HC6" s="30"/>
      <c r="HD6" s="30"/>
      <c r="HE6" s="30"/>
      <c r="HF6" s="30"/>
      <c r="HG6" s="30"/>
      <c r="HH6" s="30"/>
      <c r="HI6" s="30"/>
      <c r="HJ6" s="30"/>
      <c r="HK6" s="30"/>
      <c r="HL6" s="30"/>
      <c r="HM6" s="30"/>
      <c r="HN6" s="30"/>
      <c r="HO6" s="30"/>
      <c r="HP6" s="30"/>
      <c r="HQ6" s="30"/>
      <c r="HR6" s="30"/>
      <c r="HS6" s="30"/>
      <c r="HT6" s="30"/>
      <c r="HU6" s="30"/>
      <c r="HV6" s="30"/>
      <c r="HW6" s="30"/>
      <c r="HX6" s="30"/>
      <c r="HY6" s="30"/>
    </row>
    <row r="7" s="32" customFormat="true" ht="16.5" hidden="false" customHeight="true" outlineLevel="0" collapsed="false">
      <c r="A7" s="33" t="s">
        <v>34</v>
      </c>
      <c r="B7" s="34"/>
      <c r="D7" s="35" t="str">
        <f>VLOOKUP(AZ2,'[1]Tuyến XD8'!$A$2:$B$60,2,0)</f>
        <v xml:space="preserve">Đắp đất nền đường lớp 1 đoạn từ Km0+489,19 - Km0+609,11, độ chặt K&gt;=0,95</v>
      </c>
      <c r="E7" s="35"/>
      <c r="F7" s="35"/>
      <c r="G7" s="35"/>
      <c r="H7" s="35"/>
      <c r="I7" s="35"/>
      <c r="J7" s="35"/>
      <c r="K7" s="35"/>
      <c r="L7" s="35"/>
      <c r="M7" s="35"/>
      <c r="N7" s="35"/>
      <c r="O7" s="35"/>
      <c r="P7" s="35"/>
      <c r="Q7" s="35"/>
      <c r="R7" s="35"/>
      <c r="S7" s="35"/>
      <c r="T7" s="35"/>
      <c r="U7" s="35"/>
      <c r="V7" s="35"/>
      <c r="W7" s="35"/>
      <c r="X7" s="35"/>
      <c r="Y7" s="35"/>
      <c r="Z7" s="35"/>
      <c r="AA7" s="35"/>
      <c r="AB7" s="35"/>
      <c r="AC7" s="30"/>
      <c r="AD7" s="30"/>
      <c r="AE7" s="31"/>
      <c r="AF7" s="30"/>
      <c r="AG7" s="30"/>
      <c r="AH7" s="30"/>
      <c r="AI7" s="30"/>
      <c r="AJ7" s="30"/>
      <c r="AK7" s="30"/>
      <c r="AL7" s="30"/>
      <c r="AM7" s="30"/>
      <c r="AN7" s="30"/>
      <c r="AO7" s="30"/>
      <c r="AP7" s="30"/>
      <c r="AQ7" s="30"/>
      <c r="AR7" s="30"/>
      <c r="AS7" s="30"/>
      <c r="AT7" s="30"/>
      <c r="AU7" s="30"/>
      <c r="AV7" s="30"/>
      <c r="AW7" s="30"/>
      <c r="AX7" s="30"/>
      <c r="AY7" s="30"/>
      <c r="AZ7" s="30"/>
      <c r="BA7" s="30"/>
      <c r="BB7" s="30"/>
      <c r="BC7" s="30"/>
      <c r="BD7" s="30"/>
      <c r="BE7" s="30"/>
      <c r="BF7" s="30"/>
      <c r="BG7" s="30"/>
      <c r="BH7" s="30"/>
      <c r="BI7" s="30"/>
      <c r="BJ7" s="30"/>
      <c r="BK7" s="30"/>
      <c r="BL7" s="30"/>
      <c r="BM7" s="30"/>
      <c r="BN7" s="30"/>
      <c r="BO7" s="30"/>
      <c r="BP7" s="30"/>
      <c r="BQ7" s="30"/>
      <c r="BR7" s="30"/>
      <c r="BS7" s="30"/>
      <c r="BT7" s="30"/>
      <c r="BU7" s="30"/>
      <c r="BV7" s="30"/>
      <c r="BW7" s="30"/>
      <c r="BX7" s="30"/>
      <c r="BY7" s="30"/>
      <c r="BZ7" s="30"/>
      <c r="CA7" s="30"/>
      <c r="CB7" s="30"/>
      <c r="CC7" s="30"/>
      <c r="CD7" s="30"/>
      <c r="CE7" s="30"/>
      <c r="CF7" s="30"/>
      <c r="CG7" s="30"/>
      <c r="CH7" s="30"/>
      <c r="CI7" s="30"/>
      <c r="CJ7" s="30"/>
      <c r="CK7" s="30"/>
      <c r="CL7" s="30"/>
      <c r="CM7" s="30"/>
      <c r="CN7" s="30"/>
      <c r="CO7" s="30"/>
      <c r="CP7" s="30"/>
      <c r="CQ7" s="30"/>
      <c r="CR7" s="30"/>
      <c r="CS7" s="30"/>
      <c r="CT7" s="30"/>
      <c r="CU7" s="30"/>
      <c r="CV7" s="30"/>
      <c r="CW7" s="30"/>
      <c r="CX7" s="30"/>
      <c r="CY7" s="30"/>
      <c r="CZ7" s="30"/>
      <c r="DA7" s="30"/>
      <c r="DB7" s="30"/>
      <c r="DC7" s="30"/>
      <c r="DD7" s="30"/>
      <c r="DE7" s="30"/>
      <c r="DF7" s="30"/>
      <c r="DG7" s="30"/>
      <c r="DH7" s="30"/>
      <c r="DI7" s="30"/>
      <c r="DJ7" s="30"/>
      <c r="DK7" s="30"/>
      <c r="DL7" s="30"/>
      <c r="DM7" s="30"/>
      <c r="DN7" s="30"/>
      <c r="DO7" s="30"/>
      <c r="DP7" s="30"/>
      <c r="DQ7" s="30"/>
      <c r="DR7" s="30"/>
      <c r="DS7" s="30"/>
      <c r="DT7" s="30"/>
      <c r="DU7" s="30"/>
      <c r="DV7" s="30"/>
      <c r="DW7" s="30"/>
      <c r="DX7" s="30"/>
      <c r="DY7" s="30"/>
      <c r="DZ7" s="30"/>
      <c r="EA7" s="30"/>
      <c r="EB7" s="30"/>
      <c r="EC7" s="30"/>
      <c r="ED7" s="30"/>
      <c r="EE7" s="30"/>
      <c r="EF7" s="30"/>
      <c r="EG7" s="30"/>
      <c r="EH7" s="30"/>
      <c r="EI7" s="30"/>
      <c r="EJ7" s="30"/>
      <c r="EK7" s="30"/>
      <c r="EL7" s="30"/>
      <c r="EM7" s="30"/>
      <c r="EN7" s="30"/>
      <c r="EO7" s="30"/>
      <c r="EP7" s="30"/>
      <c r="EQ7" s="30"/>
      <c r="ER7" s="30"/>
      <c r="ES7" s="30"/>
      <c r="ET7" s="30"/>
      <c r="EU7" s="30"/>
      <c r="EV7" s="30"/>
      <c r="EW7" s="30"/>
      <c r="EX7" s="30"/>
      <c r="EY7" s="30"/>
      <c r="EZ7" s="30"/>
      <c r="FA7" s="30"/>
      <c r="FB7" s="30"/>
      <c r="FC7" s="30"/>
      <c r="FD7" s="30"/>
      <c r="FE7" s="30"/>
      <c r="FF7" s="30"/>
      <c r="FG7" s="30"/>
      <c r="FH7" s="30"/>
      <c r="FI7" s="30"/>
      <c r="FJ7" s="30"/>
      <c r="FK7" s="30"/>
      <c r="FL7" s="30"/>
      <c r="FM7" s="30"/>
      <c r="FN7" s="30"/>
      <c r="FO7" s="30"/>
      <c r="FP7" s="30"/>
      <c r="FQ7" s="30"/>
      <c r="FR7" s="30"/>
      <c r="FS7" s="30"/>
      <c r="FT7" s="30"/>
      <c r="FU7" s="30"/>
      <c r="FV7" s="30"/>
      <c r="FW7" s="30"/>
      <c r="FX7" s="30"/>
      <c r="FY7" s="30"/>
      <c r="FZ7" s="30"/>
      <c r="GA7" s="30"/>
      <c r="GB7" s="30"/>
      <c r="GC7" s="30"/>
      <c r="GD7" s="30"/>
      <c r="GE7" s="30"/>
      <c r="GF7" s="30"/>
      <c r="GG7" s="30"/>
      <c r="GH7" s="30"/>
      <c r="GI7" s="30"/>
      <c r="GJ7" s="30"/>
      <c r="GK7" s="30"/>
      <c r="GL7" s="30"/>
      <c r="GM7" s="30"/>
      <c r="GN7" s="30"/>
      <c r="GO7" s="30"/>
      <c r="GP7" s="30"/>
      <c r="GQ7" s="30"/>
      <c r="GR7" s="30"/>
      <c r="GS7" s="30"/>
      <c r="GT7" s="30"/>
      <c r="GU7" s="30"/>
      <c r="GV7" s="30"/>
      <c r="GW7" s="30"/>
      <c r="GX7" s="30"/>
      <c r="GY7" s="30"/>
      <c r="GZ7" s="30"/>
      <c r="HA7" s="30"/>
      <c r="HB7" s="30"/>
      <c r="HC7" s="30"/>
      <c r="HD7" s="30"/>
      <c r="HE7" s="30"/>
      <c r="HF7" s="30"/>
      <c r="HG7" s="30"/>
      <c r="HH7" s="30"/>
      <c r="HI7" s="30"/>
      <c r="HJ7" s="30"/>
      <c r="HK7" s="30"/>
      <c r="HL7" s="30"/>
      <c r="HM7" s="30"/>
      <c r="HN7" s="30"/>
      <c r="HO7" s="30"/>
      <c r="HP7" s="30"/>
      <c r="HQ7" s="30"/>
      <c r="HR7" s="30"/>
      <c r="HS7" s="30"/>
      <c r="HT7" s="30"/>
      <c r="HU7" s="30"/>
      <c r="HV7" s="30"/>
      <c r="HW7" s="30"/>
      <c r="HX7" s="30"/>
      <c r="HY7" s="30"/>
    </row>
    <row r="8" s="30" customFormat="true" ht="13.5" hidden="false" customHeight="true" outlineLevel="0" collapsed="false">
      <c r="A8" s="36"/>
      <c r="B8" s="36"/>
      <c r="C8" s="36"/>
      <c r="D8" s="36"/>
      <c r="E8" s="36"/>
      <c r="F8" s="36"/>
      <c r="G8" s="36"/>
      <c r="H8" s="36"/>
      <c r="I8" s="36"/>
      <c r="J8" s="36"/>
      <c r="K8" s="36"/>
      <c r="L8" s="36"/>
      <c r="M8" s="36"/>
      <c r="N8" s="36"/>
      <c r="O8" s="36"/>
      <c r="P8" s="36"/>
      <c r="Q8" s="36"/>
      <c r="R8" s="36"/>
      <c r="S8" s="36"/>
      <c r="T8" s="36"/>
      <c r="U8" s="36"/>
      <c r="V8" s="36"/>
      <c r="W8" s="36"/>
      <c r="X8" s="36"/>
      <c r="Y8" s="36"/>
      <c r="Z8" s="36"/>
      <c r="AA8" s="36"/>
      <c r="AB8" s="36"/>
      <c r="AE8" s="31"/>
    </row>
    <row r="9" s="43" customFormat="true" ht="22.5" hidden="false" customHeight="true" outlineLevel="0" collapsed="false">
      <c r="A9" s="37" t="s">
        <v>0</v>
      </c>
      <c r="B9" s="37" t="s">
        <v>38</v>
      </c>
      <c r="C9" s="37" t="s">
        <v>39</v>
      </c>
      <c r="D9" s="38" t="s">
        <v>55</v>
      </c>
      <c r="E9" s="39"/>
      <c r="F9" s="39"/>
      <c r="G9" s="38"/>
      <c r="H9" s="39"/>
      <c r="I9" s="39"/>
      <c r="J9" s="39"/>
      <c r="K9" s="39"/>
      <c r="L9" s="39"/>
      <c r="M9" s="40" t="s">
        <v>56</v>
      </c>
      <c r="N9" s="40"/>
      <c r="O9" s="40"/>
      <c r="P9" s="40"/>
      <c r="Q9" s="40"/>
      <c r="R9" s="40"/>
      <c r="S9" s="40"/>
      <c r="T9" s="40"/>
      <c r="U9" s="40"/>
      <c r="V9" s="40"/>
      <c r="W9" s="40"/>
      <c r="X9" s="40"/>
      <c r="Y9" s="40"/>
      <c r="Z9" s="41"/>
      <c r="AA9" s="41"/>
      <c r="AB9" s="38" t="s">
        <v>43</v>
      </c>
      <c r="AC9" s="42"/>
      <c r="AE9" s="44"/>
    </row>
    <row r="10" s="49" customFormat="true" ht="28.5" hidden="false" customHeight="true" outlineLevel="0" collapsed="false">
      <c r="A10" s="37"/>
      <c r="B10" s="37"/>
      <c r="C10" s="37"/>
      <c r="D10" s="37"/>
      <c r="E10" s="40"/>
      <c r="F10" s="40"/>
      <c r="G10" s="40"/>
      <c r="H10" s="40"/>
      <c r="I10" s="40"/>
      <c r="J10" s="40"/>
      <c r="K10" s="40"/>
      <c r="L10" s="40"/>
      <c r="M10" s="40"/>
      <c r="N10" s="40" t="s">
        <v>57</v>
      </c>
      <c r="O10" s="40" t="s">
        <v>58</v>
      </c>
      <c r="P10" s="40" t="s">
        <v>57</v>
      </c>
      <c r="Q10" s="40" t="s">
        <v>57</v>
      </c>
      <c r="R10" s="40"/>
      <c r="S10" s="40"/>
      <c r="T10" s="40"/>
      <c r="U10" s="40" t="s">
        <v>59</v>
      </c>
      <c r="V10" s="40" t="s">
        <v>59</v>
      </c>
      <c r="W10" s="40" t="s">
        <v>60</v>
      </c>
      <c r="X10" s="40" t="s">
        <v>59</v>
      </c>
      <c r="Y10" s="40" t="s">
        <v>59</v>
      </c>
      <c r="Z10" s="45"/>
      <c r="AA10" s="45"/>
      <c r="AB10" s="38"/>
      <c r="AC10" s="46"/>
      <c r="AD10" s="47"/>
      <c r="AE10" s="48"/>
      <c r="AG10" s="50"/>
      <c r="AH10" s="50"/>
      <c r="AI10" s="50"/>
      <c r="AV10" s="50"/>
    </row>
    <row r="11" s="49" customFormat="true" ht="15" hidden="false" customHeight="true" outlineLevel="0" collapsed="false">
      <c r="A11" s="13" t="n">
        <v>1</v>
      </c>
      <c r="B11" s="13" t="str">
        <f aca="false">'1.KTHH L1'!B21</f>
        <v>25</v>
      </c>
      <c r="C11" s="51" t="n">
        <f aca="false">'1.KTHH L1'!C21</f>
        <v>489.19</v>
      </c>
      <c r="D11" s="13" t="n">
        <f aca="false">'1.KTHH L1'!T21</f>
        <v>13.17</v>
      </c>
      <c r="E11" s="52"/>
      <c r="F11" s="52"/>
      <c r="G11" s="52"/>
      <c r="H11" s="52"/>
      <c r="I11" s="52"/>
      <c r="J11" s="52"/>
      <c r="K11" s="53"/>
      <c r="L11" s="16"/>
      <c r="M11" s="17"/>
      <c r="N11" s="54"/>
      <c r="O11" s="53" t="n">
        <f aca="false">Chạy!E9</f>
        <v>4.13</v>
      </c>
      <c r="P11" s="53"/>
      <c r="Q11" s="53"/>
      <c r="R11" s="55"/>
      <c r="S11" s="55"/>
      <c r="T11" s="55"/>
      <c r="U11" s="55"/>
      <c r="V11" s="55"/>
      <c r="W11" s="55" t="n">
        <f aca="false">(O11+O12)*D11/2</f>
        <v>60.9771</v>
      </c>
      <c r="X11" s="55"/>
      <c r="Y11" s="55"/>
      <c r="Z11" s="55"/>
      <c r="AA11" s="55"/>
      <c r="AB11" s="56"/>
      <c r="AC11" s="57"/>
      <c r="AE11" s="58"/>
      <c r="AF11" s="58"/>
      <c r="AG11" s="58"/>
      <c r="AH11" s="58"/>
      <c r="AI11" s="59"/>
      <c r="AJ11" s="60"/>
      <c r="AL11" s="58"/>
      <c r="AO11" s="59"/>
      <c r="AP11" s="59"/>
      <c r="AQ11" s="59"/>
      <c r="AR11" s="59"/>
      <c r="AS11" s="59"/>
      <c r="AT11" s="59"/>
      <c r="AU11" s="59"/>
      <c r="AV11" s="59"/>
      <c r="AX11" s="59"/>
    </row>
    <row r="12" s="49" customFormat="true" ht="15" hidden="false" customHeight="true" outlineLevel="0" collapsed="false">
      <c r="A12" s="13" t="n">
        <v>2</v>
      </c>
      <c r="B12" s="13" t="str">
        <f aca="false">'1.KTHH L1'!B22</f>
        <v>D1</v>
      </c>
      <c r="C12" s="51" t="n">
        <f aca="false">'1.KTHH L1'!C22</f>
        <v>502.36</v>
      </c>
      <c r="D12" s="13" t="n">
        <f aca="false">'1.KTHH L1'!T22</f>
        <v>10.48</v>
      </c>
      <c r="E12" s="52"/>
      <c r="F12" s="52"/>
      <c r="G12" s="52"/>
      <c r="H12" s="52"/>
      <c r="I12" s="52"/>
      <c r="J12" s="52"/>
      <c r="K12" s="53"/>
      <c r="L12" s="16"/>
      <c r="M12" s="17"/>
      <c r="N12" s="54"/>
      <c r="O12" s="53" t="n">
        <f aca="false">Chạy!E17</f>
        <v>5.13</v>
      </c>
      <c r="P12" s="53"/>
      <c r="Q12" s="53"/>
      <c r="R12" s="55"/>
      <c r="S12" s="55"/>
      <c r="T12" s="55"/>
      <c r="U12" s="55"/>
      <c r="V12" s="55"/>
      <c r="W12" s="55" t="n">
        <f aca="false">(O12+O13)*D12/2</f>
        <v>52.4524</v>
      </c>
      <c r="X12" s="55"/>
      <c r="Y12" s="55"/>
      <c r="Z12" s="55"/>
      <c r="AA12" s="55"/>
      <c r="AB12" s="56"/>
      <c r="AC12" s="57"/>
      <c r="AE12" s="58"/>
      <c r="AF12" s="58"/>
      <c r="AG12" s="58"/>
      <c r="AH12" s="58"/>
      <c r="AI12" s="59"/>
      <c r="AJ12" s="60"/>
      <c r="AL12" s="58"/>
      <c r="AO12" s="59"/>
      <c r="AP12" s="59"/>
      <c r="AQ12" s="59"/>
      <c r="AR12" s="59"/>
      <c r="AS12" s="59"/>
      <c r="AT12" s="59"/>
      <c r="AU12" s="59"/>
      <c r="AV12" s="59"/>
      <c r="AX12" s="59"/>
    </row>
    <row r="13" s="49" customFormat="true" ht="15" hidden="false" customHeight="true" outlineLevel="0" collapsed="false">
      <c r="A13" s="13" t="n">
        <v>3</v>
      </c>
      <c r="B13" s="13" t="str">
        <f aca="false">'1.KTHH L1'!B23</f>
        <v>26</v>
      </c>
      <c r="C13" s="51" t="n">
        <f aca="false">'1.KTHH L1'!C23</f>
        <v>512.84</v>
      </c>
      <c r="D13" s="13" t="n">
        <f aca="false">'1.KTHH L1'!T23</f>
        <v>16.78</v>
      </c>
      <c r="E13" s="52"/>
      <c r="F13" s="52"/>
      <c r="G13" s="52"/>
      <c r="H13" s="52"/>
      <c r="I13" s="52"/>
      <c r="J13" s="52"/>
      <c r="K13" s="53"/>
      <c r="L13" s="16"/>
      <c r="M13" s="17"/>
      <c r="N13" s="54"/>
      <c r="O13" s="53" t="n">
        <f aca="false">Chạy!E25</f>
        <v>4.88</v>
      </c>
      <c r="P13" s="53"/>
      <c r="Q13" s="53"/>
      <c r="R13" s="55"/>
      <c r="S13" s="55"/>
      <c r="T13" s="55"/>
      <c r="U13" s="55"/>
      <c r="V13" s="55"/>
      <c r="W13" s="55" t="n">
        <f aca="false">(O13+O14)*D13/2</f>
        <v>83.3966</v>
      </c>
      <c r="X13" s="55"/>
      <c r="Y13" s="55"/>
      <c r="Z13" s="55"/>
      <c r="AA13" s="55"/>
      <c r="AB13" s="56"/>
      <c r="AC13" s="57"/>
      <c r="AE13" s="58"/>
      <c r="AF13" s="58"/>
      <c r="AG13" s="58"/>
      <c r="AH13" s="58"/>
      <c r="AI13" s="59"/>
      <c r="AJ13" s="60"/>
      <c r="AL13" s="58"/>
      <c r="AO13" s="59"/>
      <c r="AP13" s="59"/>
      <c r="AQ13" s="59"/>
      <c r="AR13" s="59"/>
      <c r="AS13" s="59"/>
      <c r="AT13" s="59"/>
      <c r="AU13" s="59"/>
      <c r="AV13" s="59"/>
      <c r="AX13" s="59"/>
    </row>
    <row r="14" s="49" customFormat="true" ht="15" hidden="false" customHeight="true" outlineLevel="0" collapsed="false">
      <c r="A14" s="13" t="n">
        <v>4</v>
      </c>
      <c r="B14" s="13" t="str">
        <f aca="false">'1.KTHH L1'!B24</f>
        <v>27</v>
      </c>
      <c r="C14" s="51" t="n">
        <f aca="false">'1.KTHH L1'!C24</f>
        <v>529.62</v>
      </c>
      <c r="D14" s="13" t="n">
        <f aca="false">'1.KTHH L1'!T24</f>
        <v>17.1</v>
      </c>
      <c r="E14" s="52"/>
      <c r="F14" s="52"/>
      <c r="G14" s="52"/>
      <c r="H14" s="52"/>
      <c r="I14" s="52"/>
      <c r="J14" s="52"/>
      <c r="K14" s="53"/>
      <c r="L14" s="16"/>
      <c r="M14" s="17"/>
      <c r="N14" s="54"/>
      <c r="O14" s="53" t="n">
        <f aca="false">Chạy!E33</f>
        <v>5.06</v>
      </c>
      <c r="P14" s="53"/>
      <c r="Q14" s="53"/>
      <c r="R14" s="55"/>
      <c r="S14" s="55"/>
      <c r="T14" s="55"/>
      <c r="U14" s="55"/>
      <c r="V14" s="55"/>
      <c r="W14" s="55" t="n">
        <f aca="false">(O14+O15)*D14/2</f>
        <v>74.9835</v>
      </c>
      <c r="X14" s="55"/>
      <c r="Y14" s="55"/>
      <c r="Z14" s="55"/>
      <c r="AA14" s="55"/>
      <c r="AB14" s="56"/>
      <c r="AC14" s="57"/>
      <c r="AE14" s="58"/>
      <c r="AF14" s="58"/>
      <c r="AG14" s="58"/>
      <c r="AH14" s="58"/>
      <c r="AI14" s="59"/>
      <c r="AJ14" s="60"/>
      <c r="AL14" s="58"/>
      <c r="AO14" s="59"/>
      <c r="AP14" s="59"/>
      <c r="AQ14" s="59"/>
      <c r="AR14" s="59"/>
      <c r="AS14" s="59"/>
      <c r="AT14" s="59"/>
      <c r="AU14" s="59"/>
      <c r="AV14" s="59"/>
      <c r="AX14" s="59"/>
    </row>
    <row r="15" s="49" customFormat="true" ht="15" hidden="false" customHeight="true" outlineLevel="0" collapsed="false">
      <c r="A15" s="13" t="n">
        <v>5</v>
      </c>
      <c r="B15" s="13" t="str">
        <f aca="false">'1.KTHH L1'!B25</f>
        <v>28</v>
      </c>
      <c r="C15" s="51" t="n">
        <f aca="false">'1.KTHH L1'!C25</f>
        <v>546.72</v>
      </c>
      <c r="D15" s="13" t="n">
        <f aca="false">'1.KTHH L1'!T25</f>
        <v>15.15</v>
      </c>
      <c r="E15" s="52"/>
      <c r="F15" s="52"/>
      <c r="G15" s="52"/>
      <c r="H15" s="52"/>
      <c r="I15" s="52"/>
      <c r="J15" s="52"/>
      <c r="K15" s="53"/>
      <c r="L15" s="16"/>
      <c r="M15" s="17"/>
      <c r="N15" s="54"/>
      <c r="O15" s="53" t="n">
        <f aca="false">Chạy!E41</f>
        <v>3.71</v>
      </c>
      <c r="P15" s="53"/>
      <c r="Q15" s="53"/>
      <c r="R15" s="55"/>
      <c r="S15" s="55"/>
      <c r="T15" s="55"/>
      <c r="U15" s="55"/>
      <c r="V15" s="55"/>
      <c r="W15" s="55" t="n">
        <f aca="false">(O15+O16)*D15/2</f>
        <v>62.03925</v>
      </c>
      <c r="X15" s="55"/>
      <c r="Y15" s="55"/>
      <c r="Z15" s="55"/>
      <c r="AA15" s="55"/>
      <c r="AB15" s="56"/>
      <c r="AC15" s="57"/>
      <c r="AE15" s="58"/>
      <c r="AF15" s="58"/>
      <c r="AG15" s="58"/>
      <c r="AH15" s="58"/>
      <c r="AI15" s="59"/>
      <c r="AJ15" s="60"/>
      <c r="AL15" s="58"/>
      <c r="AO15" s="59"/>
      <c r="AP15" s="59"/>
      <c r="AQ15" s="59"/>
      <c r="AR15" s="59"/>
      <c r="AS15" s="59"/>
      <c r="AT15" s="59"/>
      <c r="AU15" s="59"/>
      <c r="AV15" s="59"/>
      <c r="AX15" s="59"/>
    </row>
    <row r="16" s="49" customFormat="true" ht="15" hidden="false" customHeight="true" outlineLevel="0" collapsed="false">
      <c r="A16" s="13" t="n">
        <v>6</v>
      </c>
      <c r="B16" s="13" t="str">
        <f aca="false">'1.KTHH L1'!B26</f>
        <v>E5</v>
      </c>
      <c r="C16" s="51" t="n">
        <f aca="false">'1.KTHH L1'!C26</f>
        <v>561.87</v>
      </c>
      <c r="D16" s="13" t="n">
        <f aca="false">'1.KTHH L1'!T26</f>
        <v>0.15</v>
      </c>
      <c r="E16" s="52"/>
      <c r="F16" s="52"/>
      <c r="G16" s="52"/>
      <c r="H16" s="52"/>
      <c r="I16" s="52"/>
      <c r="J16" s="52"/>
      <c r="K16" s="53"/>
      <c r="L16" s="16"/>
      <c r="M16" s="17"/>
      <c r="N16" s="54"/>
      <c r="O16" s="53" t="n">
        <f aca="false">Chạy!E49</f>
        <v>4.48</v>
      </c>
      <c r="P16" s="53"/>
      <c r="Q16" s="53"/>
      <c r="R16" s="55"/>
      <c r="S16" s="55"/>
      <c r="T16" s="55"/>
      <c r="U16" s="55"/>
      <c r="V16" s="55"/>
      <c r="W16" s="55" t="n">
        <f aca="false">(O16+O17)*D16/2</f>
        <v>0.672</v>
      </c>
      <c r="X16" s="55"/>
      <c r="Y16" s="55"/>
      <c r="Z16" s="55"/>
      <c r="AA16" s="55"/>
      <c r="AB16" s="56"/>
      <c r="AC16" s="57"/>
      <c r="AE16" s="58"/>
      <c r="AF16" s="58"/>
      <c r="AG16" s="58"/>
      <c r="AH16" s="58"/>
      <c r="AI16" s="59"/>
      <c r="AJ16" s="60"/>
      <c r="AL16" s="58"/>
      <c r="AO16" s="59"/>
      <c r="AP16" s="59"/>
      <c r="AQ16" s="59"/>
      <c r="AR16" s="59"/>
      <c r="AS16" s="59"/>
      <c r="AT16" s="59"/>
      <c r="AU16" s="59"/>
      <c r="AV16" s="59"/>
      <c r="AX16" s="59"/>
    </row>
    <row r="17" s="49" customFormat="true" ht="15" hidden="false" customHeight="true" outlineLevel="0" collapsed="false">
      <c r="A17" s="13" t="n">
        <v>7</v>
      </c>
      <c r="B17" s="13" t="str">
        <f aca="false">'1.KTHH L1'!B27</f>
        <v>TD</v>
      </c>
      <c r="C17" s="51" t="n">
        <f aca="false">'1.KTHH L1'!C27</f>
        <v>562.02</v>
      </c>
      <c r="D17" s="13" t="n">
        <f aca="false">'1.KTHH L1'!T27</f>
        <v>6.55</v>
      </c>
      <c r="E17" s="52"/>
      <c r="F17" s="52"/>
      <c r="G17" s="52"/>
      <c r="H17" s="52"/>
      <c r="I17" s="52"/>
      <c r="J17" s="52"/>
      <c r="K17" s="53"/>
      <c r="L17" s="16"/>
      <c r="M17" s="17"/>
      <c r="N17" s="54"/>
      <c r="O17" s="53" t="n">
        <f aca="false">Chạy!E57</f>
        <v>4.48</v>
      </c>
      <c r="P17" s="53"/>
      <c r="Q17" s="53"/>
      <c r="R17" s="55"/>
      <c r="S17" s="55"/>
      <c r="T17" s="55"/>
      <c r="U17" s="55"/>
      <c r="V17" s="55"/>
      <c r="W17" s="55" t="n">
        <f aca="false">(O17+O18)*D17/2</f>
        <v>29.606</v>
      </c>
      <c r="X17" s="55"/>
      <c r="Y17" s="55"/>
      <c r="Z17" s="55"/>
      <c r="AA17" s="55"/>
      <c r="AB17" s="56"/>
      <c r="AC17" s="57"/>
      <c r="AE17" s="58"/>
      <c r="AF17" s="58"/>
      <c r="AG17" s="58"/>
      <c r="AH17" s="58"/>
      <c r="AI17" s="59"/>
      <c r="AJ17" s="60"/>
      <c r="AL17" s="58"/>
      <c r="AO17" s="59"/>
      <c r="AP17" s="59"/>
      <c r="AQ17" s="59"/>
      <c r="AR17" s="59"/>
      <c r="AS17" s="59"/>
      <c r="AT17" s="59"/>
      <c r="AU17" s="59"/>
      <c r="AV17" s="59"/>
      <c r="AX17" s="59"/>
    </row>
    <row r="18" s="49" customFormat="true" ht="15" hidden="false" customHeight="true" outlineLevel="0" collapsed="false">
      <c r="A18" s="13" t="n">
        <v>8</v>
      </c>
      <c r="B18" s="13" t="str">
        <f aca="false">'1.KTHH L1'!B28</f>
        <v>P</v>
      </c>
      <c r="C18" s="51" t="n">
        <f aca="false">'1.KTHH L1'!C28</f>
        <v>568.57</v>
      </c>
      <c r="D18" s="13" t="n">
        <f aca="false">'1.KTHH L1'!T28</f>
        <v>6.55</v>
      </c>
      <c r="E18" s="52"/>
      <c r="F18" s="52"/>
      <c r="G18" s="52"/>
      <c r="H18" s="52"/>
      <c r="I18" s="52"/>
      <c r="J18" s="52"/>
      <c r="K18" s="53"/>
      <c r="L18" s="16"/>
      <c r="M18" s="17"/>
      <c r="N18" s="54"/>
      <c r="O18" s="53" t="n">
        <f aca="false">Chạy!E65</f>
        <v>4.56</v>
      </c>
      <c r="P18" s="53"/>
      <c r="Q18" s="53"/>
      <c r="R18" s="55"/>
      <c r="S18" s="55"/>
      <c r="T18" s="55"/>
      <c r="U18" s="55"/>
      <c r="V18" s="55"/>
      <c r="W18" s="55" t="n">
        <f aca="false">(O18+O19)*D18/2</f>
        <v>29.04925</v>
      </c>
      <c r="X18" s="55"/>
      <c r="Y18" s="55"/>
      <c r="Z18" s="55"/>
      <c r="AA18" s="55"/>
      <c r="AB18" s="56"/>
      <c r="AC18" s="57"/>
      <c r="AE18" s="58"/>
      <c r="AF18" s="58"/>
      <c r="AG18" s="58"/>
      <c r="AH18" s="58"/>
      <c r="AI18" s="59"/>
      <c r="AJ18" s="60"/>
      <c r="AL18" s="58"/>
      <c r="AO18" s="59"/>
      <c r="AP18" s="59"/>
      <c r="AQ18" s="59"/>
      <c r="AR18" s="59"/>
      <c r="AS18" s="59"/>
      <c r="AT18" s="59"/>
      <c r="AU18" s="59"/>
      <c r="AV18" s="59"/>
      <c r="AX18" s="59"/>
    </row>
    <row r="19" s="49" customFormat="true" ht="15" hidden="false" customHeight="true" outlineLevel="0" collapsed="false">
      <c r="A19" s="13" t="n">
        <v>9</v>
      </c>
      <c r="B19" s="13" t="str">
        <f aca="false">'1.KTHH L1'!B29</f>
        <v>TC</v>
      </c>
      <c r="C19" s="51" t="n">
        <f aca="false">'1.KTHH L1'!C29</f>
        <v>575.12</v>
      </c>
      <c r="D19" s="13" t="n">
        <f aca="false">'1.KTHH L1'!T29</f>
        <v>0.04</v>
      </c>
      <c r="E19" s="52"/>
      <c r="F19" s="52"/>
      <c r="G19" s="52"/>
      <c r="H19" s="52"/>
      <c r="I19" s="52"/>
      <c r="J19" s="52"/>
      <c r="K19" s="53"/>
      <c r="L19" s="16"/>
      <c r="M19" s="17"/>
      <c r="N19" s="54"/>
      <c r="O19" s="53" t="n">
        <f aca="false">Chạy!E73</f>
        <v>4.31</v>
      </c>
      <c r="P19" s="53"/>
      <c r="Q19" s="53"/>
      <c r="R19" s="55"/>
      <c r="S19" s="55"/>
      <c r="T19" s="55"/>
      <c r="U19" s="55"/>
      <c r="V19" s="55"/>
      <c r="W19" s="55" t="n">
        <f aca="false">(O19+O20)*D19/2</f>
        <v>0.1912</v>
      </c>
      <c r="X19" s="55"/>
      <c r="Y19" s="55"/>
      <c r="Z19" s="55"/>
      <c r="AA19" s="55"/>
      <c r="AB19" s="56"/>
      <c r="AC19" s="57"/>
      <c r="AE19" s="58"/>
      <c r="AF19" s="58"/>
      <c r="AG19" s="58"/>
      <c r="AH19" s="58"/>
      <c r="AI19" s="59"/>
      <c r="AJ19" s="60"/>
      <c r="AL19" s="58"/>
      <c r="AO19" s="59"/>
      <c r="AP19" s="59"/>
      <c r="AQ19" s="59"/>
      <c r="AR19" s="59"/>
      <c r="AS19" s="59"/>
      <c r="AT19" s="59"/>
      <c r="AU19" s="59"/>
      <c r="AV19" s="59"/>
      <c r="AX19" s="59"/>
    </row>
    <row r="20" s="49" customFormat="true" ht="15" hidden="false" customHeight="true" outlineLevel="0" collapsed="false">
      <c r="A20" s="13" t="n">
        <v>10</v>
      </c>
      <c r="B20" s="13" t="str">
        <f aca="false">'1.KTHH L1'!B30</f>
        <v>29</v>
      </c>
      <c r="C20" s="51" t="n">
        <f aca="false">'1.KTHH L1'!C30</f>
        <v>575.16</v>
      </c>
      <c r="D20" s="13" t="n">
        <f aca="false">'1.KTHH L1'!T30</f>
        <v>16.95</v>
      </c>
      <c r="E20" s="52"/>
      <c r="F20" s="52"/>
      <c r="G20" s="52"/>
      <c r="H20" s="52"/>
      <c r="I20" s="52"/>
      <c r="J20" s="52"/>
      <c r="K20" s="53"/>
      <c r="L20" s="16"/>
      <c r="M20" s="17"/>
      <c r="N20" s="54"/>
      <c r="O20" s="53" t="n">
        <f aca="false">Chạy!E81</f>
        <v>5.25</v>
      </c>
      <c r="P20" s="53"/>
      <c r="Q20" s="53"/>
      <c r="R20" s="55"/>
      <c r="S20" s="55"/>
      <c r="T20" s="55"/>
      <c r="U20" s="55"/>
      <c r="V20" s="55"/>
      <c r="W20" s="55" t="n">
        <f aca="false">(O20+O21)*D20/2</f>
        <v>82.63125</v>
      </c>
      <c r="X20" s="55"/>
      <c r="Y20" s="55"/>
      <c r="Z20" s="55"/>
      <c r="AA20" s="55"/>
      <c r="AB20" s="56"/>
      <c r="AC20" s="57"/>
      <c r="AE20" s="58"/>
      <c r="AF20" s="58"/>
      <c r="AG20" s="58"/>
      <c r="AH20" s="58"/>
      <c r="AI20" s="59"/>
      <c r="AJ20" s="60"/>
      <c r="AL20" s="58"/>
      <c r="AO20" s="59"/>
      <c r="AP20" s="59"/>
      <c r="AQ20" s="59"/>
      <c r="AR20" s="59"/>
      <c r="AS20" s="59"/>
      <c r="AT20" s="59"/>
      <c r="AU20" s="59"/>
      <c r="AV20" s="59"/>
      <c r="AX20" s="59"/>
    </row>
    <row r="21" s="49" customFormat="true" ht="15" hidden="false" customHeight="true" outlineLevel="0" collapsed="false">
      <c r="A21" s="13" t="n">
        <v>11</v>
      </c>
      <c r="B21" s="13" t="str">
        <f aca="false">'1.KTHH L1'!B31</f>
        <v>30</v>
      </c>
      <c r="C21" s="51" t="n">
        <f aca="false">'1.KTHH L1'!C31</f>
        <v>592.11</v>
      </c>
      <c r="D21" s="13" t="n">
        <f aca="false">'1.KTHH L1'!T31</f>
        <v>17</v>
      </c>
      <c r="E21" s="52"/>
      <c r="F21" s="52"/>
      <c r="G21" s="52"/>
      <c r="H21" s="52"/>
      <c r="I21" s="52"/>
      <c r="J21" s="52"/>
      <c r="K21" s="53"/>
      <c r="L21" s="16"/>
      <c r="M21" s="17"/>
      <c r="N21" s="54"/>
      <c r="O21" s="53" t="n">
        <f aca="false">Chạy!E89</f>
        <v>4.5</v>
      </c>
      <c r="P21" s="53"/>
      <c r="Q21" s="53"/>
      <c r="R21" s="55"/>
      <c r="S21" s="55"/>
      <c r="T21" s="55"/>
      <c r="U21" s="55"/>
      <c r="V21" s="55"/>
      <c r="W21" s="55" t="n">
        <f aca="false">(O21+O22)*D21/2</f>
        <v>74.12</v>
      </c>
      <c r="X21" s="55"/>
      <c r="Y21" s="55"/>
      <c r="Z21" s="55"/>
      <c r="AA21" s="55"/>
      <c r="AB21" s="56"/>
      <c r="AC21" s="57"/>
      <c r="AE21" s="58"/>
      <c r="AF21" s="58"/>
      <c r="AG21" s="58"/>
      <c r="AH21" s="58"/>
      <c r="AI21" s="59"/>
      <c r="AJ21" s="60"/>
      <c r="AL21" s="58"/>
      <c r="AO21" s="59"/>
      <c r="AP21" s="59"/>
      <c r="AQ21" s="59"/>
      <c r="AR21" s="59"/>
      <c r="AS21" s="59"/>
      <c r="AT21" s="59"/>
      <c r="AU21" s="59"/>
      <c r="AV21" s="59"/>
      <c r="AX21" s="59"/>
    </row>
    <row r="22" s="49" customFormat="true" ht="15" hidden="false" customHeight="true" outlineLevel="0" collapsed="false">
      <c r="A22" s="13" t="n">
        <v>12</v>
      </c>
      <c r="B22" s="13" t="str">
        <f aca="false">'1.KTHH L1'!B32</f>
        <v>31</v>
      </c>
      <c r="C22" s="51" t="n">
        <f aca="false">'1.KTHH L1'!C32</f>
        <v>609.11</v>
      </c>
      <c r="D22" s="13"/>
      <c r="E22" s="52"/>
      <c r="F22" s="52"/>
      <c r="G22" s="52"/>
      <c r="H22" s="52"/>
      <c r="I22" s="52"/>
      <c r="J22" s="52"/>
      <c r="K22" s="53"/>
      <c r="L22" s="16"/>
      <c r="M22" s="17"/>
      <c r="N22" s="54"/>
      <c r="O22" s="53" t="n">
        <f aca="false">Chạy!E97</f>
        <v>4.22</v>
      </c>
      <c r="P22" s="53"/>
      <c r="Q22" s="53"/>
      <c r="R22" s="55"/>
      <c r="S22" s="55"/>
      <c r="T22" s="55"/>
      <c r="U22" s="55"/>
      <c r="V22" s="55"/>
      <c r="W22" s="55"/>
      <c r="X22" s="55"/>
      <c r="Y22" s="55"/>
      <c r="Z22" s="55"/>
      <c r="AA22" s="55"/>
      <c r="AB22" s="56"/>
      <c r="AC22" s="57"/>
      <c r="AE22" s="58"/>
      <c r="AF22" s="58"/>
      <c r="AG22" s="58"/>
      <c r="AH22" s="58"/>
      <c r="AI22" s="59"/>
      <c r="AJ22" s="60"/>
      <c r="AL22" s="58"/>
      <c r="AO22" s="59"/>
      <c r="AP22" s="59"/>
      <c r="AQ22" s="59"/>
      <c r="AR22" s="59"/>
      <c r="AS22" s="59"/>
      <c r="AT22" s="59"/>
      <c r="AU22" s="59"/>
      <c r="AV22" s="59"/>
      <c r="AX22" s="59"/>
    </row>
    <row r="23" s="49" customFormat="true" ht="15" hidden="true" customHeight="true" outlineLevel="0" collapsed="false">
      <c r="A23" s="13"/>
      <c r="B23" s="13"/>
      <c r="C23" s="51"/>
      <c r="D23" s="13"/>
      <c r="E23" s="52"/>
      <c r="F23" s="52"/>
      <c r="G23" s="52"/>
      <c r="H23" s="52"/>
      <c r="I23" s="52"/>
      <c r="J23" s="52"/>
      <c r="K23" s="53"/>
      <c r="L23" s="16"/>
      <c r="M23" s="17"/>
      <c r="N23" s="54"/>
      <c r="O23" s="53"/>
      <c r="P23" s="53"/>
      <c r="Q23" s="53"/>
      <c r="R23" s="55"/>
      <c r="S23" s="55"/>
      <c r="T23" s="55"/>
      <c r="U23" s="55"/>
      <c r="V23" s="55"/>
      <c r="W23" s="55"/>
      <c r="X23" s="55"/>
      <c r="Y23" s="55"/>
      <c r="Z23" s="55"/>
      <c r="AA23" s="55"/>
      <c r="AB23" s="56"/>
      <c r="AC23" s="57"/>
      <c r="AE23" s="58"/>
      <c r="AF23" s="58"/>
      <c r="AG23" s="58"/>
      <c r="AH23" s="58"/>
      <c r="AI23" s="59"/>
      <c r="AJ23" s="60"/>
      <c r="AL23" s="58"/>
      <c r="AO23" s="59"/>
      <c r="AP23" s="59"/>
      <c r="AQ23" s="59"/>
      <c r="AR23" s="59"/>
      <c r="AS23" s="59"/>
      <c r="AT23" s="59"/>
      <c r="AU23" s="59"/>
      <c r="AV23" s="59"/>
      <c r="AX23" s="59"/>
    </row>
    <row r="24" s="49" customFormat="true" ht="15" hidden="true" customHeight="true" outlineLevel="0" collapsed="false">
      <c r="A24" s="13"/>
      <c r="B24" s="13"/>
      <c r="C24" s="51"/>
      <c r="D24" s="13"/>
      <c r="E24" s="52"/>
      <c r="F24" s="52"/>
      <c r="G24" s="52"/>
      <c r="H24" s="52"/>
      <c r="I24" s="52"/>
      <c r="J24" s="52"/>
      <c r="K24" s="53"/>
      <c r="L24" s="16"/>
      <c r="M24" s="17"/>
      <c r="N24" s="54"/>
      <c r="O24" s="53"/>
      <c r="P24" s="53"/>
      <c r="Q24" s="53"/>
      <c r="R24" s="55"/>
      <c r="S24" s="55"/>
      <c r="T24" s="55"/>
      <c r="U24" s="55"/>
      <c r="V24" s="55"/>
      <c r="W24" s="55"/>
      <c r="X24" s="55"/>
      <c r="Y24" s="55"/>
      <c r="Z24" s="55"/>
      <c r="AA24" s="55"/>
      <c r="AB24" s="56"/>
      <c r="AC24" s="57"/>
      <c r="AE24" s="58"/>
      <c r="AF24" s="58"/>
      <c r="AG24" s="58"/>
      <c r="AH24" s="58"/>
      <c r="AI24" s="59"/>
      <c r="AJ24" s="60"/>
      <c r="AL24" s="58"/>
      <c r="AO24" s="59"/>
      <c r="AP24" s="59"/>
      <c r="AQ24" s="59"/>
      <c r="AR24" s="59"/>
      <c r="AS24" s="59"/>
      <c r="AT24" s="59"/>
      <c r="AU24" s="59"/>
      <c r="AV24" s="59"/>
      <c r="AX24" s="59"/>
    </row>
    <row r="25" s="49" customFormat="true" ht="15" hidden="true" customHeight="true" outlineLevel="0" collapsed="false">
      <c r="A25" s="13"/>
      <c r="B25" s="13"/>
      <c r="C25" s="51"/>
      <c r="D25" s="13"/>
      <c r="E25" s="52"/>
      <c r="F25" s="52"/>
      <c r="G25" s="52"/>
      <c r="H25" s="52"/>
      <c r="I25" s="52"/>
      <c r="J25" s="52"/>
      <c r="K25" s="53"/>
      <c r="L25" s="16"/>
      <c r="M25" s="17"/>
      <c r="N25" s="54"/>
      <c r="O25" s="53"/>
      <c r="P25" s="53"/>
      <c r="Q25" s="53"/>
      <c r="R25" s="55"/>
      <c r="S25" s="55"/>
      <c r="T25" s="55"/>
      <c r="U25" s="55"/>
      <c r="V25" s="55"/>
      <c r="W25" s="55"/>
      <c r="X25" s="55"/>
      <c r="Y25" s="55"/>
      <c r="Z25" s="55"/>
      <c r="AA25" s="55"/>
      <c r="AB25" s="56"/>
      <c r="AC25" s="57"/>
      <c r="AE25" s="58"/>
      <c r="AF25" s="58"/>
      <c r="AG25" s="58"/>
      <c r="AH25" s="58"/>
      <c r="AI25" s="59"/>
      <c r="AJ25" s="60"/>
      <c r="AL25" s="58"/>
      <c r="AO25" s="59"/>
      <c r="AP25" s="59"/>
      <c r="AQ25" s="59"/>
      <c r="AR25" s="59"/>
      <c r="AS25" s="59"/>
      <c r="AT25" s="59"/>
      <c r="AU25" s="59"/>
      <c r="AV25" s="59"/>
      <c r="AX25" s="59"/>
    </row>
    <row r="26" s="49" customFormat="true" ht="15" hidden="true" customHeight="true" outlineLevel="0" collapsed="false">
      <c r="A26" s="13"/>
      <c r="B26" s="13"/>
      <c r="C26" s="51"/>
      <c r="D26" s="13"/>
      <c r="E26" s="52"/>
      <c r="F26" s="52"/>
      <c r="G26" s="52"/>
      <c r="H26" s="52"/>
      <c r="I26" s="52"/>
      <c r="J26" s="52"/>
      <c r="K26" s="53"/>
      <c r="L26" s="16"/>
      <c r="M26" s="17"/>
      <c r="N26" s="54"/>
      <c r="O26" s="53"/>
      <c r="P26" s="53"/>
      <c r="Q26" s="53"/>
      <c r="R26" s="55"/>
      <c r="S26" s="55"/>
      <c r="T26" s="55"/>
      <c r="U26" s="55"/>
      <c r="V26" s="55"/>
      <c r="W26" s="55"/>
      <c r="X26" s="55"/>
      <c r="Y26" s="55"/>
      <c r="Z26" s="55"/>
      <c r="AA26" s="55"/>
      <c r="AB26" s="56"/>
      <c r="AC26" s="57"/>
      <c r="AE26" s="58"/>
      <c r="AF26" s="58"/>
      <c r="AG26" s="58"/>
      <c r="AH26" s="58"/>
      <c r="AI26" s="59"/>
      <c r="AJ26" s="60"/>
      <c r="AL26" s="58"/>
      <c r="AO26" s="59"/>
      <c r="AP26" s="59"/>
      <c r="AQ26" s="59"/>
      <c r="AR26" s="59"/>
      <c r="AS26" s="59"/>
      <c r="AT26" s="59"/>
      <c r="AU26" s="59"/>
      <c r="AV26" s="59"/>
      <c r="AX26" s="59"/>
    </row>
    <row r="27" s="49" customFormat="true" ht="15" hidden="true" customHeight="true" outlineLevel="0" collapsed="false">
      <c r="A27" s="13"/>
      <c r="B27" s="13"/>
      <c r="C27" s="51"/>
      <c r="D27" s="13"/>
      <c r="E27" s="52"/>
      <c r="F27" s="52"/>
      <c r="G27" s="52"/>
      <c r="H27" s="52"/>
      <c r="I27" s="52"/>
      <c r="J27" s="52"/>
      <c r="K27" s="53"/>
      <c r="L27" s="16"/>
      <c r="M27" s="17"/>
      <c r="N27" s="54"/>
      <c r="O27" s="53"/>
      <c r="P27" s="53"/>
      <c r="Q27" s="53"/>
      <c r="R27" s="55"/>
      <c r="S27" s="55"/>
      <c r="T27" s="55"/>
      <c r="U27" s="55"/>
      <c r="V27" s="55"/>
      <c r="W27" s="55"/>
      <c r="X27" s="55"/>
      <c r="Y27" s="55"/>
      <c r="Z27" s="55"/>
      <c r="AA27" s="55"/>
      <c r="AB27" s="56"/>
      <c r="AC27" s="57"/>
      <c r="AE27" s="58"/>
      <c r="AF27" s="58"/>
      <c r="AG27" s="58"/>
      <c r="AH27" s="58"/>
      <c r="AI27" s="59"/>
      <c r="AJ27" s="60"/>
      <c r="AL27" s="58"/>
      <c r="AO27" s="59"/>
      <c r="AP27" s="59"/>
      <c r="AQ27" s="59"/>
      <c r="AR27" s="59"/>
      <c r="AS27" s="59"/>
      <c r="AT27" s="59"/>
      <c r="AU27" s="59"/>
      <c r="AV27" s="59"/>
      <c r="AX27" s="59"/>
    </row>
    <row r="28" s="49" customFormat="true" ht="15" hidden="true" customHeight="true" outlineLevel="0" collapsed="false">
      <c r="A28" s="13"/>
      <c r="B28" s="13"/>
      <c r="C28" s="51"/>
      <c r="D28" s="13"/>
      <c r="E28" s="52"/>
      <c r="F28" s="52"/>
      <c r="G28" s="52"/>
      <c r="H28" s="52"/>
      <c r="I28" s="52"/>
      <c r="J28" s="52"/>
      <c r="K28" s="53"/>
      <c r="L28" s="16"/>
      <c r="M28" s="17"/>
      <c r="N28" s="54"/>
      <c r="O28" s="53"/>
      <c r="P28" s="53"/>
      <c r="Q28" s="53"/>
      <c r="R28" s="55"/>
      <c r="S28" s="55"/>
      <c r="T28" s="55"/>
      <c r="U28" s="55"/>
      <c r="V28" s="55"/>
      <c r="W28" s="55"/>
      <c r="X28" s="55"/>
      <c r="Y28" s="55"/>
      <c r="Z28" s="55"/>
      <c r="AA28" s="55"/>
      <c r="AB28" s="56"/>
      <c r="AC28" s="57"/>
      <c r="AE28" s="58"/>
      <c r="AF28" s="58"/>
      <c r="AG28" s="58"/>
      <c r="AH28" s="58"/>
      <c r="AI28" s="59"/>
      <c r="AJ28" s="60"/>
      <c r="AL28" s="58"/>
      <c r="AO28" s="59"/>
      <c r="AP28" s="59"/>
      <c r="AQ28" s="59"/>
      <c r="AR28" s="59"/>
      <c r="AS28" s="59"/>
      <c r="AT28" s="59"/>
      <c r="AU28" s="59"/>
      <c r="AV28" s="59"/>
      <c r="AX28" s="59"/>
    </row>
    <row r="29" s="49" customFormat="true" ht="15" hidden="true" customHeight="true" outlineLevel="0" collapsed="false">
      <c r="A29" s="13"/>
      <c r="B29" s="13"/>
      <c r="C29" s="51"/>
      <c r="D29" s="13"/>
      <c r="E29" s="52"/>
      <c r="F29" s="52"/>
      <c r="G29" s="52"/>
      <c r="H29" s="52"/>
      <c r="I29" s="52"/>
      <c r="J29" s="52"/>
      <c r="K29" s="53"/>
      <c r="L29" s="16"/>
      <c r="M29" s="17"/>
      <c r="N29" s="54"/>
      <c r="O29" s="53"/>
      <c r="P29" s="53"/>
      <c r="Q29" s="53"/>
      <c r="R29" s="55"/>
      <c r="S29" s="55"/>
      <c r="T29" s="55"/>
      <c r="U29" s="55"/>
      <c r="V29" s="55"/>
      <c r="W29" s="55"/>
      <c r="X29" s="55"/>
      <c r="Y29" s="55"/>
      <c r="Z29" s="55"/>
      <c r="AA29" s="55"/>
      <c r="AB29" s="56"/>
      <c r="AC29" s="57"/>
      <c r="AE29" s="58"/>
      <c r="AF29" s="58"/>
      <c r="AG29" s="58"/>
      <c r="AH29" s="58"/>
      <c r="AI29" s="59"/>
      <c r="AJ29" s="60"/>
      <c r="AL29" s="58"/>
      <c r="AO29" s="59"/>
      <c r="AP29" s="59"/>
      <c r="AQ29" s="59"/>
      <c r="AR29" s="59"/>
      <c r="AS29" s="59"/>
      <c r="AT29" s="59"/>
      <c r="AU29" s="59"/>
      <c r="AV29" s="59"/>
      <c r="AX29" s="59"/>
    </row>
    <row r="30" s="49" customFormat="true" ht="15" hidden="true" customHeight="true" outlineLevel="0" collapsed="false">
      <c r="A30" s="13"/>
      <c r="B30" s="13"/>
      <c r="C30" s="51"/>
      <c r="D30" s="13"/>
      <c r="E30" s="52"/>
      <c r="F30" s="52"/>
      <c r="G30" s="52"/>
      <c r="H30" s="52"/>
      <c r="I30" s="52"/>
      <c r="J30" s="52"/>
      <c r="K30" s="53"/>
      <c r="L30" s="16"/>
      <c r="M30" s="17"/>
      <c r="N30" s="54"/>
      <c r="O30" s="53"/>
      <c r="P30" s="53"/>
      <c r="Q30" s="53"/>
      <c r="R30" s="55"/>
      <c r="S30" s="55"/>
      <c r="T30" s="55"/>
      <c r="U30" s="55"/>
      <c r="V30" s="55"/>
      <c r="W30" s="55"/>
      <c r="X30" s="55"/>
      <c r="Y30" s="55"/>
      <c r="Z30" s="55"/>
      <c r="AA30" s="55"/>
      <c r="AB30" s="56"/>
      <c r="AC30" s="57"/>
      <c r="AE30" s="58"/>
      <c r="AF30" s="58"/>
      <c r="AG30" s="58"/>
      <c r="AH30" s="58"/>
      <c r="AI30" s="59"/>
      <c r="AJ30" s="60"/>
      <c r="AL30" s="58"/>
      <c r="AO30" s="59"/>
      <c r="AP30" s="59"/>
      <c r="AQ30" s="59"/>
      <c r="AR30" s="59"/>
      <c r="AS30" s="59"/>
      <c r="AT30" s="59"/>
      <c r="AU30" s="59"/>
      <c r="AV30" s="59"/>
      <c r="AX30" s="59"/>
    </row>
    <row r="31" s="49" customFormat="true" ht="15" hidden="true" customHeight="true" outlineLevel="0" collapsed="false">
      <c r="A31" s="13"/>
      <c r="B31" s="13"/>
      <c r="C31" s="51"/>
      <c r="D31" s="13"/>
      <c r="E31" s="52"/>
      <c r="F31" s="52"/>
      <c r="G31" s="52"/>
      <c r="H31" s="52"/>
      <c r="I31" s="52"/>
      <c r="J31" s="52"/>
      <c r="K31" s="53"/>
      <c r="L31" s="16"/>
      <c r="M31" s="17"/>
      <c r="N31" s="54"/>
      <c r="O31" s="53"/>
      <c r="P31" s="53"/>
      <c r="Q31" s="53"/>
      <c r="R31" s="55"/>
      <c r="S31" s="55"/>
      <c r="T31" s="55"/>
      <c r="U31" s="55"/>
      <c r="V31" s="55"/>
      <c r="W31" s="55"/>
      <c r="X31" s="55"/>
      <c r="Y31" s="55"/>
      <c r="Z31" s="55"/>
      <c r="AA31" s="55"/>
      <c r="AB31" s="56"/>
      <c r="AC31" s="57"/>
      <c r="AE31" s="58"/>
      <c r="AF31" s="58"/>
      <c r="AG31" s="58"/>
      <c r="AH31" s="58"/>
      <c r="AI31" s="59"/>
      <c r="AJ31" s="60"/>
      <c r="AL31" s="58"/>
      <c r="AO31" s="59"/>
      <c r="AP31" s="59"/>
      <c r="AQ31" s="59"/>
      <c r="AR31" s="59"/>
      <c r="AS31" s="59"/>
      <c r="AT31" s="59"/>
      <c r="AU31" s="59"/>
      <c r="AV31" s="59"/>
      <c r="AX31" s="59"/>
    </row>
    <row r="32" s="49" customFormat="true" ht="15" hidden="true" customHeight="true" outlineLevel="0" collapsed="false">
      <c r="A32" s="13"/>
      <c r="B32" s="13"/>
      <c r="C32" s="51"/>
      <c r="D32" s="13"/>
      <c r="E32" s="52"/>
      <c r="F32" s="52"/>
      <c r="G32" s="52"/>
      <c r="H32" s="52"/>
      <c r="I32" s="52"/>
      <c r="J32" s="52"/>
      <c r="K32" s="53"/>
      <c r="L32" s="16"/>
      <c r="M32" s="17"/>
      <c r="N32" s="54"/>
      <c r="O32" s="53"/>
      <c r="P32" s="53"/>
      <c r="Q32" s="53"/>
      <c r="R32" s="55"/>
      <c r="S32" s="55"/>
      <c r="T32" s="55"/>
      <c r="U32" s="55"/>
      <c r="V32" s="55"/>
      <c r="W32" s="55"/>
      <c r="X32" s="55"/>
      <c r="Y32" s="55"/>
      <c r="Z32" s="55"/>
      <c r="AA32" s="55"/>
      <c r="AB32" s="56"/>
      <c r="AC32" s="57"/>
      <c r="AE32" s="58"/>
      <c r="AF32" s="58"/>
      <c r="AG32" s="58"/>
      <c r="AH32" s="58"/>
      <c r="AI32" s="59"/>
      <c r="AJ32" s="60"/>
      <c r="AL32" s="58"/>
      <c r="AO32" s="59"/>
      <c r="AP32" s="59"/>
      <c r="AQ32" s="59"/>
      <c r="AR32" s="59"/>
      <c r="AS32" s="59"/>
      <c r="AT32" s="59"/>
      <c r="AU32" s="59"/>
      <c r="AV32" s="59"/>
      <c r="AX32" s="59"/>
    </row>
    <row r="33" s="49" customFormat="true" ht="15" hidden="true" customHeight="true" outlineLevel="0" collapsed="false">
      <c r="A33" s="13"/>
      <c r="B33" s="13"/>
      <c r="C33" s="51"/>
      <c r="D33" s="13"/>
      <c r="E33" s="52"/>
      <c r="F33" s="52"/>
      <c r="G33" s="52"/>
      <c r="H33" s="52"/>
      <c r="I33" s="52"/>
      <c r="J33" s="52"/>
      <c r="K33" s="53"/>
      <c r="L33" s="16"/>
      <c r="M33" s="17"/>
      <c r="N33" s="54"/>
      <c r="O33" s="53"/>
      <c r="P33" s="53"/>
      <c r="Q33" s="53"/>
      <c r="R33" s="55"/>
      <c r="S33" s="55"/>
      <c r="T33" s="55"/>
      <c r="U33" s="55"/>
      <c r="V33" s="55"/>
      <c r="W33" s="55"/>
      <c r="X33" s="55"/>
      <c r="Y33" s="55"/>
      <c r="Z33" s="55"/>
      <c r="AA33" s="55"/>
      <c r="AB33" s="56"/>
      <c r="AC33" s="57"/>
      <c r="AE33" s="58"/>
      <c r="AF33" s="58"/>
      <c r="AG33" s="58"/>
      <c r="AH33" s="58"/>
      <c r="AI33" s="59"/>
      <c r="AJ33" s="60"/>
      <c r="AL33" s="58"/>
      <c r="AO33" s="59"/>
      <c r="AP33" s="59"/>
      <c r="AQ33" s="59"/>
      <c r="AR33" s="59"/>
      <c r="AS33" s="59"/>
      <c r="AT33" s="59"/>
      <c r="AU33" s="59"/>
      <c r="AV33" s="59"/>
      <c r="AX33" s="59"/>
    </row>
    <row r="34" s="49" customFormat="true" ht="15" hidden="true" customHeight="true" outlineLevel="0" collapsed="false">
      <c r="A34" s="13"/>
      <c r="B34" s="13"/>
      <c r="C34" s="51"/>
      <c r="D34" s="13"/>
      <c r="E34" s="52"/>
      <c r="F34" s="52"/>
      <c r="G34" s="52"/>
      <c r="H34" s="52"/>
      <c r="I34" s="52"/>
      <c r="J34" s="52"/>
      <c r="K34" s="53"/>
      <c r="L34" s="16"/>
      <c r="M34" s="17"/>
      <c r="N34" s="54"/>
      <c r="O34" s="53"/>
      <c r="P34" s="53"/>
      <c r="Q34" s="53"/>
      <c r="R34" s="55"/>
      <c r="S34" s="55"/>
      <c r="T34" s="55"/>
      <c r="U34" s="55"/>
      <c r="V34" s="55"/>
      <c r="W34" s="55"/>
      <c r="X34" s="55"/>
      <c r="Y34" s="55"/>
      <c r="Z34" s="55"/>
      <c r="AA34" s="55"/>
      <c r="AB34" s="56"/>
      <c r="AC34" s="57"/>
      <c r="AE34" s="58"/>
      <c r="AF34" s="58"/>
      <c r="AG34" s="58"/>
      <c r="AH34" s="58"/>
      <c r="AI34" s="59"/>
      <c r="AJ34" s="60"/>
      <c r="AL34" s="58"/>
      <c r="AO34" s="59"/>
      <c r="AP34" s="59"/>
      <c r="AQ34" s="59"/>
      <c r="AR34" s="59"/>
      <c r="AS34" s="59"/>
      <c r="AT34" s="59"/>
      <c r="AU34" s="59"/>
      <c r="AV34" s="59"/>
      <c r="AX34" s="59"/>
    </row>
    <row r="35" s="49" customFormat="true" ht="15" hidden="true" customHeight="true" outlineLevel="0" collapsed="false">
      <c r="A35" s="13"/>
      <c r="B35" s="13"/>
      <c r="C35" s="51"/>
      <c r="D35" s="13"/>
      <c r="E35" s="52"/>
      <c r="F35" s="52"/>
      <c r="G35" s="52"/>
      <c r="H35" s="52"/>
      <c r="I35" s="52"/>
      <c r="J35" s="52"/>
      <c r="K35" s="53"/>
      <c r="L35" s="16"/>
      <c r="M35" s="17"/>
      <c r="N35" s="54"/>
      <c r="O35" s="53"/>
      <c r="P35" s="53"/>
      <c r="Q35" s="53"/>
      <c r="R35" s="55"/>
      <c r="S35" s="55"/>
      <c r="T35" s="55"/>
      <c r="U35" s="55"/>
      <c r="V35" s="55"/>
      <c r="W35" s="55"/>
      <c r="X35" s="55"/>
      <c r="Y35" s="55"/>
      <c r="Z35" s="55"/>
      <c r="AA35" s="55"/>
      <c r="AB35" s="56"/>
      <c r="AC35" s="57"/>
      <c r="AE35" s="58"/>
      <c r="AF35" s="58"/>
      <c r="AG35" s="58"/>
      <c r="AH35" s="58"/>
      <c r="AI35" s="59"/>
      <c r="AJ35" s="60"/>
      <c r="AL35" s="58"/>
      <c r="AO35" s="59"/>
      <c r="AP35" s="59"/>
      <c r="AQ35" s="59"/>
      <c r="AR35" s="59"/>
      <c r="AS35" s="59"/>
      <c r="AT35" s="59"/>
      <c r="AU35" s="59"/>
      <c r="AV35" s="59"/>
      <c r="AX35" s="59"/>
    </row>
    <row r="36" s="49" customFormat="true" ht="15" hidden="true" customHeight="true" outlineLevel="0" collapsed="false">
      <c r="A36" s="13"/>
      <c r="B36" s="13"/>
      <c r="C36" s="51"/>
      <c r="D36" s="13"/>
      <c r="E36" s="52"/>
      <c r="F36" s="52"/>
      <c r="G36" s="52"/>
      <c r="H36" s="52"/>
      <c r="I36" s="52"/>
      <c r="J36" s="52"/>
      <c r="K36" s="53"/>
      <c r="L36" s="16"/>
      <c r="M36" s="17"/>
      <c r="N36" s="54"/>
      <c r="O36" s="53"/>
      <c r="P36" s="53"/>
      <c r="Q36" s="53"/>
      <c r="R36" s="55"/>
      <c r="S36" s="55"/>
      <c r="T36" s="55"/>
      <c r="U36" s="55"/>
      <c r="V36" s="55"/>
      <c r="W36" s="55"/>
      <c r="X36" s="55"/>
      <c r="Y36" s="55"/>
      <c r="Z36" s="55"/>
      <c r="AA36" s="55"/>
      <c r="AB36" s="56"/>
      <c r="AC36" s="57"/>
      <c r="AE36" s="58"/>
      <c r="AF36" s="58"/>
      <c r="AG36" s="58"/>
      <c r="AH36" s="58"/>
      <c r="AI36" s="59"/>
      <c r="AJ36" s="60"/>
      <c r="AL36" s="58"/>
      <c r="AO36" s="59"/>
      <c r="AP36" s="59"/>
      <c r="AQ36" s="59"/>
      <c r="AR36" s="59"/>
      <c r="AS36" s="59"/>
      <c r="AT36" s="59"/>
      <c r="AU36" s="59"/>
      <c r="AV36" s="59"/>
      <c r="AX36" s="59"/>
    </row>
    <row r="37" s="49" customFormat="true" ht="15" hidden="true" customHeight="true" outlineLevel="0" collapsed="false">
      <c r="A37" s="13"/>
      <c r="B37" s="13"/>
      <c r="C37" s="51"/>
      <c r="D37" s="13"/>
      <c r="E37" s="52"/>
      <c r="F37" s="52"/>
      <c r="G37" s="52"/>
      <c r="H37" s="52"/>
      <c r="I37" s="52"/>
      <c r="J37" s="52"/>
      <c r="K37" s="53"/>
      <c r="L37" s="16"/>
      <c r="M37" s="17"/>
      <c r="N37" s="54"/>
      <c r="O37" s="53"/>
      <c r="P37" s="53"/>
      <c r="Q37" s="53"/>
      <c r="R37" s="55"/>
      <c r="S37" s="55"/>
      <c r="T37" s="55"/>
      <c r="U37" s="55"/>
      <c r="V37" s="55"/>
      <c r="W37" s="55"/>
      <c r="X37" s="55"/>
      <c r="Y37" s="55"/>
      <c r="Z37" s="55"/>
      <c r="AA37" s="55"/>
      <c r="AB37" s="56"/>
      <c r="AC37" s="57"/>
      <c r="AE37" s="58"/>
      <c r="AF37" s="58"/>
      <c r="AG37" s="58"/>
      <c r="AH37" s="58"/>
      <c r="AI37" s="59"/>
      <c r="AJ37" s="60"/>
      <c r="AL37" s="58"/>
      <c r="AO37" s="59"/>
      <c r="AP37" s="59"/>
      <c r="AQ37" s="59"/>
      <c r="AR37" s="59"/>
      <c r="AS37" s="59"/>
      <c r="AT37" s="59"/>
      <c r="AU37" s="59"/>
      <c r="AV37" s="59"/>
      <c r="AX37" s="59"/>
    </row>
    <row r="38" s="49" customFormat="true" ht="15" hidden="true" customHeight="true" outlineLevel="0" collapsed="false">
      <c r="A38" s="13"/>
      <c r="B38" s="13"/>
      <c r="C38" s="51"/>
      <c r="D38" s="13"/>
      <c r="E38" s="52"/>
      <c r="F38" s="52"/>
      <c r="G38" s="52"/>
      <c r="H38" s="52"/>
      <c r="I38" s="52"/>
      <c r="J38" s="52"/>
      <c r="K38" s="53"/>
      <c r="L38" s="16"/>
      <c r="M38" s="17"/>
      <c r="N38" s="54"/>
      <c r="O38" s="53"/>
      <c r="P38" s="53"/>
      <c r="Q38" s="53"/>
      <c r="R38" s="55"/>
      <c r="S38" s="55"/>
      <c r="T38" s="55"/>
      <c r="U38" s="55"/>
      <c r="V38" s="55"/>
      <c r="W38" s="55"/>
      <c r="X38" s="55"/>
      <c r="Y38" s="55"/>
      <c r="Z38" s="55"/>
      <c r="AA38" s="55"/>
      <c r="AB38" s="56"/>
      <c r="AC38" s="57"/>
      <c r="AE38" s="58"/>
      <c r="AF38" s="58"/>
      <c r="AG38" s="58"/>
      <c r="AH38" s="58"/>
      <c r="AI38" s="59"/>
      <c r="AJ38" s="60"/>
      <c r="AL38" s="58"/>
      <c r="AO38" s="59"/>
      <c r="AP38" s="59"/>
      <c r="AQ38" s="59"/>
      <c r="AR38" s="59"/>
      <c r="AS38" s="59"/>
      <c r="AT38" s="59"/>
      <c r="AU38" s="59"/>
      <c r="AV38" s="59"/>
      <c r="AX38" s="59"/>
    </row>
    <row r="39" s="49" customFormat="true" ht="15" hidden="true" customHeight="true" outlineLevel="0" collapsed="false">
      <c r="A39" s="13"/>
      <c r="B39" s="13"/>
      <c r="C39" s="51"/>
      <c r="D39" s="13"/>
      <c r="E39" s="52"/>
      <c r="F39" s="52"/>
      <c r="G39" s="52"/>
      <c r="H39" s="52"/>
      <c r="I39" s="52"/>
      <c r="J39" s="52"/>
      <c r="K39" s="53"/>
      <c r="L39" s="16"/>
      <c r="M39" s="17"/>
      <c r="N39" s="54"/>
      <c r="O39" s="53"/>
      <c r="P39" s="53"/>
      <c r="Q39" s="53"/>
      <c r="R39" s="55"/>
      <c r="S39" s="55"/>
      <c r="T39" s="55"/>
      <c r="U39" s="55"/>
      <c r="V39" s="55"/>
      <c r="W39" s="55"/>
      <c r="X39" s="55"/>
      <c r="Y39" s="55"/>
      <c r="Z39" s="55"/>
      <c r="AA39" s="55"/>
      <c r="AB39" s="56"/>
      <c r="AC39" s="57"/>
      <c r="AE39" s="58"/>
      <c r="AF39" s="58"/>
      <c r="AG39" s="58"/>
      <c r="AH39" s="58"/>
      <c r="AI39" s="59"/>
      <c r="AJ39" s="60"/>
      <c r="AL39" s="58"/>
      <c r="AO39" s="59"/>
      <c r="AP39" s="59"/>
      <c r="AQ39" s="59"/>
      <c r="AR39" s="59"/>
      <c r="AS39" s="59"/>
      <c r="AT39" s="59"/>
      <c r="AU39" s="59"/>
      <c r="AV39" s="59"/>
      <c r="AX39" s="59"/>
    </row>
    <row r="40" s="49" customFormat="true" ht="15" hidden="true" customHeight="true" outlineLevel="0" collapsed="false">
      <c r="A40" s="13"/>
      <c r="B40" s="13"/>
      <c r="C40" s="51"/>
      <c r="D40" s="13"/>
      <c r="E40" s="52"/>
      <c r="F40" s="52"/>
      <c r="G40" s="52"/>
      <c r="H40" s="52"/>
      <c r="I40" s="52"/>
      <c r="J40" s="52"/>
      <c r="K40" s="53"/>
      <c r="L40" s="16"/>
      <c r="M40" s="17"/>
      <c r="N40" s="54"/>
      <c r="O40" s="53"/>
      <c r="P40" s="53"/>
      <c r="Q40" s="53"/>
      <c r="R40" s="55"/>
      <c r="S40" s="55"/>
      <c r="T40" s="55"/>
      <c r="U40" s="55"/>
      <c r="V40" s="55"/>
      <c r="W40" s="55"/>
      <c r="X40" s="55"/>
      <c r="Y40" s="55"/>
      <c r="Z40" s="55"/>
      <c r="AA40" s="55"/>
      <c r="AB40" s="56"/>
      <c r="AC40" s="57"/>
      <c r="AE40" s="58"/>
      <c r="AF40" s="58"/>
      <c r="AG40" s="58"/>
      <c r="AH40" s="58"/>
      <c r="AI40" s="59"/>
      <c r="AJ40" s="60"/>
      <c r="AL40" s="58"/>
      <c r="AO40" s="59"/>
      <c r="AP40" s="59"/>
      <c r="AQ40" s="59"/>
      <c r="AR40" s="59"/>
      <c r="AS40" s="59"/>
      <c r="AT40" s="59"/>
      <c r="AU40" s="59"/>
      <c r="AV40" s="59"/>
      <c r="AX40" s="59"/>
    </row>
    <row r="41" s="49" customFormat="true" ht="15" hidden="true" customHeight="true" outlineLevel="0" collapsed="false">
      <c r="A41" s="13"/>
      <c r="B41" s="13"/>
      <c r="C41" s="51"/>
      <c r="D41" s="13"/>
      <c r="E41" s="52"/>
      <c r="F41" s="52"/>
      <c r="G41" s="52"/>
      <c r="H41" s="52"/>
      <c r="I41" s="52"/>
      <c r="J41" s="52"/>
      <c r="K41" s="53"/>
      <c r="L41" s="16"/>
      <c r="M41" s="17"/>
      <c r="N41" s="54"/>
      <c r="O41" s="53"/>
      <c r="P41" s="53"/>
      <c r="Q41" s="53"/>
      <c r="R41" s="55"/>
      <c r="S41" s="55"/>
      <c r="T41" s="55"/>
      <c r="U41" s="55"/>
      <c r="V41" s="55"/>
      <c r="W41" s="55"/>
      <c r="X41" s="55"/>
      <c r="Y41" s="55"/>
      <c r="Z41" s="55"/>
      <c r="AA41" s="55"/>
      <c r="AB41" s="56"/>
      <c r="AC41" s="57"/>
      <c r="AE41" s="58"/>
      <c r="AF41" s="58"/>
      <c r="AG41" s="58"/>
      <c r="AH41" s="58"/>
      <c r="AI41" s="59"/>
      <c r="AJ41" s="60"/>
      <c r="AL41" s="58"/>
      <c r="AO41" s="59"/>
      <c r="AP41" s="59"/>
      <c r="AQ41" s="59"/>
      <c r="AR41" s="59"/>
      <c r="AS41" s="59"/>
      <c r="AT41" s="59"/>
      <c r="AU41" s="59"/>
      <c r="AV41" s="59"/>
      <c r="AX41" s="59"/>
    </row>
    <row r="42" s="49" customFormat="true" ht="15" hidden="true" customHeight="true" outlineLevel="0" collapsed="false">
      <c r="A42" s="13"/>
      <c r="B42" s="13"/>
      <c r="C42" s="51"/>
      <c r="D42" s="13"/>
      <c r="E42" s="52"/>
      <c r="F42" s="52"/>
      <c r="G42" s="52"/>
      <c r="H42" s="52"/>
      <c r="I42" s="52"/>
      <c r="J42" s="52"/>
      <c r="K42" s="53"/>
      <c r="L42" s="16"/>
      <c r="M42" s="17"/>
      <c r="N42" s="54"/>
      <c r="O42" s="53"/>
      <c r="P42" s="53"/>
      <c r="Q42" s="53"/>
      <c r="R42" s="55"/>
      <c r="S42" s="55"/>
      <c r="T42" s="55"/>
      <c r="U42" s="55"/>
      <c r="V42" s="55"/>
      <c r="W42" s="55"/>
      <c r="X42" s="55"/>
      <c r="Y42" s="55"/>
      <c r="Z42" s="55"/>
      <c r="AA42" s="55"/>
      <c r="AB42" s="56"/>
      <c r="AC42" s="57"/>
      <c r="AE42" s="58"/>
      <c r="AF42" s="58"/>
      <c r="AG42" s="58"/>
      <c r="AH42" s="58"/>
      <c r="AI42" s="59"/>
      <c r="AJ42" s="60"/>
      <c r="AL42" s="58"/>
      <c r="AO42" s="59"/>
      <c r="AP42" s="59"/>
      <c r="AQ42" s="59"/>
      <c r="AR42" s="59"/>
      <c r="AS42" s="59"/>
      <c r="AT42" s="59"/>
      <c r="AU42" s="59"/>
      <c r="AV42" s="59"/>
      <c r="AX42" s="59"/>
    </row>
    <row r="43" s="49" customFormat="true" ht="15" hidden="true" customHeight="true" outlineLevel="0" collapsed="false">
      <c r="A43" s="13"/>
      <c r="B43" s="13"/>
      <c r="C43" s="51"/>
      <c r="D43" s="13"/>
      <c r="E43" s="52"/>
      <c r="F43" s="52"/>
      <c r="G43" s="52"/>
      <c r="H43" s="52"/>
      <c r="I43" s="52"/>
      <c r="J43" s="52"/>
      <c r="K43" s="53"/>
      <c r="L43" s="16"/>
      <c r="M43" s="17"/>
      <c r="N43" s="54"/>
      <c r="O43" s="53"/>
      <c r="P43" s="53"/>
      <c r="Q43" s="53"/>
      <c r="R43" s="55"/>
      <c r="S43" s="55"/>
      <c r="T43" s="55"/>
      <c r="U43" s="55"/>
      <c r="V43" s="55"/>
      <c r="W43" s="55"/>
      <c r="X43" s="55"/>
      <c r="Y43" s="55"/>
      <c r="Z43" s="55"/>
      <c r="AA43" s="55"/>
      <c r="AB43" s="56"/>
      <c r="AC43" s="57"/>
      <c r="AE43" s="58"/>
      <c r="AF43" s="58"/>
      <c r="AG43" s="58"/>
      <c r="AH43" s="58"/>
      <c r="AI43" s="59"/>
      <c r="AJ43" s="60"/>
      <c r="AL43" s="58"/>
      <c r="AO43" s="59"/>
      <c r="AP43" s="59"/>
      <c r="AQ43" s="59"/>
      <c r="AR43" s="59"/>
      <c r="AS43" s="59"/>
      <c r="AT43" s="59"/>
      <c r="AU43" s="59"/>
      <c r="AV43" s="59"/>
      <c r="AX43" s="59"/>
    </row>
    <row r="44" s="49" customFormat="true" ht="15" hidden="true" customHeight="true" outlineLevel="0" collapsed="false">
      <c r="A44" s="13"/>
      <c r="B44" s="13"/>
      <c r="C44" s="51"/>
      <c r="D44" s="13"/>
      <c r="E44" s="52"/>
      <c r="F44" s="52"/>
      <c r="G44" s="52"/>
      <c r="H44" s="52"/>
      <c r="I44" s="52"/>
      <c r="J44" s="52"/>
      <c r="K44" s="53"/>
      <c r="L44" s="16"/>
      <c r="M44" s="17"/>
      <c r="N44" s="54"/>
      <c r="O44" s="53"/>
      <c r="P44" s="53"/>
      <c r="Q44" s="53"/>
      <c r="R44" s="55"/>
      <c r="S44" s="55"/>
      <c r="T44" s="55"/>
      <c r="U44" s="55"/>
      <c r="V44" s="55"/>
      <c r="W44" s="55"/>
      <c r="X44" s="55"/>
      <c r="Y44" s="55"/>
      <c r="Z44" s="55"/>
      <c r="AA44" s="55"/>
      <c r="AB44" s="56"/>
      <c r="AC44" s="57"/>
      <c r="AE44" s="58"/>
      <c r="AF44" s="58"/>
      <c r="AG44" s="58"/>
      <c r="AH44" s="58"/>
      <c r="AI44" s="59"/>
      <c r="AJ44" s="60"/>
      <c r="AL44" s="58"/>
      <c r="AO44" s="59"/>
      <c r="AP44" s="59"/>
      <c r="AQ44" s="59"/>
      <c r="AR44" s="59"/>
      <c r="AS44" s="59"/>
      <c r="AT44" s="59"/>
      <c r="AU44" s="59"/>
      <c r="AV44" s="59"/>
      <c r="AX44" s="59"/>
    </row>
    <row r="45" s="49" customFormat="true" ht="15" hidden="true" customHeight="true" outlineLevel="0" collapsed="false">
      <c r="A45" s="13"/>
      <c r="B45" s="13"/>
      <c r="C45" s="51"/>
      <c r="D45" s="13"/>
      <c r="E45" s="52"/>
      <c r="F45" s="52"/>
      <c r="G45" s="52"/>
      <c r="H45" s="52"/>
      <c r="I45" s="52"/>
      <c r="J45" s="52"/>
      <c r="K45" s="53"/>
      <c r="L45" s="16"/>
      <c r="M45" s="17"/>
      <c r="N45" s="54"/>
      <c r="O45" s="53"/>
      <c r="P45" s="53"/>
      <c r="Q45" s="53"/>
      <c r="R45" s="55"/>
      <c r="S45" s="55"/>
      <c r="T45" s="55"/>
      <c r="U45" s="55"/>
      <c r="V45" s="55"/>
      <c r="W45" s="55"/>
      <c r="X45" s="55"/>
      <c r="Y45" s="55"/>
      <c r="Z45" s="55"/>
      <c r="AA45" s="55"/>
      <c r="AB45" s="56"/>
      <c r="AC45" s="57"/>
      <c r="AE45" s="58"/>
      <c r="AF45" s="58"/>
      <c r="AG45" s="58"/>
      <c r="AH45" s="58"/>
      <c r="AI45" s="59"/>
      <c r="AJ45" s="60"/>
      <c r="AL45" s="58"/>
      <c r="AO45" s="59"/>
      <c r="AP45" s="59"/>
      <c r="AQ45" s="59"/>
      <c r="AR45" s="59"/>
      <c r="AS45" s="59"/>
      <c r="AT45" s="59"/>
      <c r="AU45" s="59"/>
      <c r="AV45" s="59"/>
      <c r="AX45" s="59"/>
    </row>
    <row r="46" s="49" customFormat="true" ht="15" hidden="true" customHeight="true" outlineLevel="0" collapsed="false">
      <c r="A46" s="13"/>
      <c r="B46" s="13"/>
      <c r="C46" s="51"/>
      <c r="D46" s="13"/>
      <c r="E46" s="52"/>
      <c r="F46" s="52"/>
      <c r="G46" s="52"/>
      <c r="H46" s="52"/>
      <c r="I46" s="52"/>
      <c r="J46" s="52"/>
      <c r="K46" s="53"/>
      <c r="L46" s="16"/>
      <c r="M46" s="17"/>
      <c r="N46" s="54"/>
      <c r="O46" s="53"/>
      <c r="P46" s="53"/>
      <c r="Q46" s="53"/>
      <c r="R46" s="55"/>
      <c r="S46" s="55"/>
      <c r="T46" s="55"/>
      <c r="U46" s="55"/>
      <c r="V46" s="55"/>
      <c r="W46" s="55"/>
      <c r="X46" s="55"/>
      <c r="Y46" s="55"/>
      <c r="Z46" s="55"/>
      <c r="AA46" s="55"/>
      <c r="AB46" s="56"/>
      <c r="AC46" s="57"/>
      <c r="AE46" s="58"/>
      <c r="AF46" s="58"/>
      <c r="AG46" s="58"/>
      <c r="AH46" s="58"/>
      <c r="AI46" s="59"/>
      <c r="AJ46" s="60"/>
      <c r="AL46" s="58"/>
      <c r="AO46" s="59"/>
      <c r="AP46" s="59"/>
      <c r="AQ46" s="59"/>
      <c r="AR46" s="59"/>
      <c r="AS46" s="59"/>
      <c r="AT46" s="59"/>
      <c r="AU46" s="59"/>
      <c r="AV46" s="59"/>
      <c r="AX46" s="59"/>
    </row>
    <row r="47" s="49" customFormat="true" ht="15" hidden="true" customHeight="true" outlineLevel="0" collapsed="false">
      <c r="A47" s="13"/>
      <c r="B47" s="13"/>
      <c r="C47" s="51"/>
      <c r="D47" s="13"/>
      <c r="E47" s="52"/>
      <c r="F47" s="52"/>
      <c r="G47" s="52"/>
      <c r="H47" s="52"/>
      <c r="I47" s="52"/>
      <c r="J47" s="52"/>
      <c r="K47" s="53"/>
      <c r="L47" s="16"/>
      <c r="M47" s="17"/>
      <c r="N47" s="54"/>
      <c r="O47" s="53"/>
      <c r="P47" s="53"/>
      <c r="Q47" s="53"/>
      <c r="R47" s="55"/>
      <c r="S47" s="55"/>
      <c r="T47" s="55"/>
      <c r="U47" s="55"/>
      <c r="V47" s="55"/>
      <c r="W47" s="55"/>
      <c r="X47" s="55"/>
      <c r="Y47" s="55"/>
      <c r="Z47" s="55"/>
      <c r="AA47" s="55"/>
      <c r="AB47" s="56"/>
      <c r="AC47" s="57"/>
      <c r="AE47" s="58"/>
      <c r="AF47" s="58"/>
      <c r="AG47" s="58"/>
      <c r="AH47" s="58"/>
      <c r="AI47" s="59"/>
      <c r="AJ47" s="60"/>
      <c r="AL47" s="58"/>
      <c r="AO47" s="59"/>
      <c r="AP47" s="59"/>
      <c r="AQ47" s="59"/>
      <c r="AR47" s="59"/>
      <c r="AS47" s="59"/>
      <c r="AT47" s="59"/>
      <c r="AU47" s="59"/>
      <c r="AV47" s="59"/>
      <c r="AX47" s="59"/>
    </row>
    <row r="48" s="49" customFormat="true" ht="15" hidden="true" customHeight="true" outlineLevel="0" collapsed="false">
      <c r="A48" s="13"/>
      <c r="B48" s="13"/>
      <c r="C48" s="51"/>
      <c r="D48" s="13"/>
      <c r="E48" s="52"/>
      <c r="F48" s="52"/>
      <c r="G48" s="52"/>
      <c r="H48" s="52"/>
      <c r="I48" s="52"/>
      <c r="J48" s="52"/>
      <c r="K48" s="53"/>
      <c r="L48" s="16"/>
      <c r="M48" s="17"/>
      <c r="N48" s="54"/>
      <c r="O48" s="53"/>
      <c r="P48" s="53"/>
      <c r="Q48" s="53"/>
      <c r="R48" s="55"/>
      <c r="S48" s="55"/>
      <c r="T48" s="55"/>
      <c r="U48" s="55"/>
      <c r="V48" s="55"/>
      <c r="W48" s="55"/>
      <c r="X48" s="55"/>
      <c r="Y48" s="55"/>
      <c r="Z48" s="55"/>
      <c r="AA48" s="55"/>
      <c r="AB48" s="56"/>
      <c r="AC48" s="57"/>
      <c r="AE48" s="58"/>
      <c r="AF48" s="58"/>
      <c r="AG48" s="58"/>
      <c r="AH48" s="58"/>
      <c r="AI48" s="59"/>
      <c r="AJ48" s="60"/>
      <c r="AL48" s="58"/>
      <c r="AO48" s="59"/>
      <c r="AP48" s="59"/>
      <c r="AQ48" s="59"/>
      <c r="AR48" s="59"/>
      <c r="AS48" s="59"/>
      <c r="AT48" s="59"/>
      <c r="AU48" s="59"/>
      <c r="AV48" s="59"/>
      <c r="AX48" s="59"/>
    </row>
    <row r="49" s="49" customFormat="true" ht="15" hidden="true" customHeight="true" outlineLevel="0" collapsed="false">
      <c r="A49" s="13"/>
      <c r="B49" s="13"/>
      <c r="C49" s="51"/>
      <c r="D49" s="13"/>
      <c r="E49" s="52"/>
      <c r="F49" s="52"/>
      <c r="G49" s="52"/>
      <c r="H49" s="52"/>
      <c r="I49" s="52"/>
      <c r="J49" s="52"/>
      <c r="K49" s="53"/>
      <c r="L49" s="16"/>
      <c r="M49" s="17"/>
      <c r="N49" s="54"/>
      <c r="O49" s="53"/>
      <c r="P49" s="53"/>
      <c r="Q49" s="53"/>
      <c r="R49" s="55"/>
      <c r="S49" s="55"/>
      <c r="T49" s="55"/>
      <c r="U49" s="55"/>
      <c r="V49" s="55"/>
      <c r="W49" s="55"/>
      <c r="X49" s="55"/>
      <c r="Y49" s="55"/>
      <c r="Z49" s="55"/>
      <c r="AA49" s="55"/>
      <c r="AB49" s="56"/>
      <c r="AC49" s="57"/>
      <c r="AE49" s="58"/>
      <c r="AF49" s="58"/>
      <c r="AG49" s="58"/>
      <c r="AH49" s="58"/>
      <c r="AI49" s="59"/>
      <c r="AJ49" s="60"/>
      <c r="AL49" s="58"/>
      <c r="AO49" s="59"/>
      <c r="AP49" s="59"/>
      <c r="AQ49" s="59"/>
      <c r="AR49" s="59"/>
      <c r="AS49" s="59"/>
      <c r="AT49" s="59"/>
      <c r="AU49" s="59"/>
      <c r="AV49" s="59"/>
      <c r="AX49" s="59"/>
    </row>
    <row r="50" s="49" customFormat="true" ht="15" hidden="true" customHeight="true" outlineLevel="0" collapsed="false">
      <c r="A50" s="13"/>
      <c r="B50" s="13"/>
      <c r="C50" s="51"/>
      <c r="D50" s="13"/>
      <c r="E50" s="52"/>
      <c r="F50" s="52"/>
      <c r="G50" s="52"/>
      <c r="H50" s="52"/>
      <c r="I50" s="52"/>
      <c r="J50" s="52"/>
      <c r="K50" s="53"/>
      <c r="L50" s="16"/>
      <c r="M50" s="17"/>
      <c r="N50" s="54"/>
      <c r="O50" s="53"/>
      <c r="P50" s="53"/>
      <c r="Q50" s="53"/>
      <c r="R50" s="55"/>
      <c r="S50" s="55"/>
      <c r="T50" s="55"/>
      <c r="U50" s="55"/>
      <c r="V50" s="55"/>
      <c r="W50" s="55"/>
      <c r="X50" s="55"/>
      <c r="Y50" s="55"/>
      <c r="Z50" s="55"/>
      <c r="AA50" s="55"/>
      <c r="AB50" s="56"/>
      <c r="AC50" s="57"/>
      <c r="AE50" s="58"/>
      <c r="AF50" s="58"/>
      <c r="AG50" s="58"/>
      <c r="AH50" s="58"/>
      <c r="AI50" s="59"/>
      <c r="AJ50" s="60"/>
      <c r="AL50" s="58"/>
      <c r="AO50" s="59"/>
      <c r="AP50" s="59"/>
      <c r="AQ50" s="59"/>
      <c r="AR50" s="59"/>
      <c r="AS50" s="59"/>
      <c r="AT50" s="59"/>
      <c r="AU50" s="59"/>
      <c r="AV50" s="59"/>
      <c r="AX50" s="59"/>
    </row>
    <row r="51" s="32" customFormat="true" ht="16.5" hidden="false" customHeight="true" outlineLevel="0" collapsed="false">
      <c r="A51" s="61" t="s">
        <v>61</v>
      </c>
      <c r="B51" s="61"/>
      <c r="C51" s="61"/>
      <c r="D51" s="61"/>
      <c r="E51" s="62"/>
      <c r="F51" s="62"/>
      <c r="G51" s="62"/>
      <c r="H51" s="62"/>
      <c r="I51" s="62"/>
      <c r="J51" s="62"/>
      <c r="K51" s="62"/>
      <c r="L51" s="62"/>
      <c r="M51" s="63"/>
      <c r="N51" s="63"/>
      <c r="O51" s="63"/>
      <c r="P51" s="63"/>
      <c r="Q51" s="63"/>
      <c r="R51" s="64" t="n">
        <f aca="false">SUM(R11:R50)</f>
        <v>0</v>
      </c>
      <c r="S51" s="64" t="n">
        <f aca="false">SUM(S11:S50)</f>
        <v>0</v>
      </c>
      <c r="T51" s="64"/>
      <c r="U51" s="65" t="n">
        <f aca="false">SUM(U11:U50)</f>
        <v>0</v>
      </c>
      <c r="V51" s="65" t="n">
        <f aca="false">SUM(V11:V50)</f>
        <v>0</v>
      </c>
      <c r="W51" s="66" t="n">
        <f aca="false">SUM(W11:W22)</f>
        <v>550.11855</v>
      </c>
      <c r="X51" s="65" t="n">
        <f aca="false">SUM(X11:X50)</f>
        <v>0</v>
      </c>
      <c r="Y51" s="65" t="n">
        <f aca="false">SUM(Y11:Y50)</f>
        <v>0</v>
      </c>
      <c r="Z51" s="65" t="n">
        <f aca="false">SUM(Z11:Z50)</f>
        <v>0</v>
      </c>
      <c r="AA51" s="65" t="n">
        <f aca="false">SUM(AA11:AA50)</f>
        <v>0</v>
      </c>
      <c r="AB51" s="65"/>
      <c r="AN51" s="67"/>
    </row>
    <row r="52" s="72" customFormat="true" ht="15.75" hidden="false" customHeight="true" outlineLevel="0" collapsed="false">
      <c r="A52" s="68"/>
      <c r="B52" s="68"/>
      <c r="C52" s="68"/>
      <c r="D52" s="68"/>
      <c r="E52" s="69"/>
      <c r="F52" s="69"/>
      <c r="G52" s="69"/>
      <c r="H52" s="69"/>
      <c r="I52" s="69"/>
      <c r="J52" s="69"/>
      <c r="K52" s="69"/>
      <c r="L52" s="69"/>
      <c r="M52" s="69"/>
      <c r="N52" s="69"/>
      <c r="O52" s="69"/>
      <c r="P52" s="69"/>
      <c r="Q52" s="69"/>
      <c r="R52" s="70"/>
      <c r="S52" s="70"/>
      <c r="T52" s="70"/>
      <c r="U52" s="71"/>
      <c r="V52" s="71"/>
      <c r="W52" s="71"/>
      <c r="X52" s="71"/>
      <c r="Y52" s="71"/>
      <c r="Z52" s="71"/>
      <c r="AA52" s="71"/>
      <c r="AB52" s="71"/>
      <c r="AE52" s="73"/>
      <c r="AF52" s="74"/>
      <c r="AG52" s="74"/>
      <c r="AH52" s="74"/>
      <c r="AK52" s="75"/>
      <c r="AL52" s="76"/>
    </row>
    <row r="53" s="72" customFormat="true" ht="15.75" hidden="false" customHeight="true" outlineLevel="0" collapsed="false">
      <c r="A53" s="19" t="s">
        <v>50</v>
      </c>
      <c r="B53" s="19"/>
      <c r="C53" s="19"/>
      <c r="D53" s="77" t="s">
        <v>62</v>
      </c>
      <c r="E53" s="19" t="s">
        <v>51</v>
      </c>
      <c r="F53" s="19"/>
      <c r="G53" s="19"/>
      <c r="H53" s="19"/>
      <c r="I53" s="19"/>
      <c r="J53" s="19"/>
      <c r="K53" s="19"/>
      <c r="L53" s="19"/>
      <c r="M53" s="19"/>
      <c r="N53" s="19"/>
      <c r="O53" s="19"/>
      <c r="P53" s="19"/>
      <c r="Q53" s="19"/>
      <c r="R53" s="19"/>
      <c r="S53" s="19"/>
      <c r="T53" s="19"/>
      <c r="U53" s="19"/>
      <c r="V53" s="19"/>
      <c r="W53" s="19"/>
      <c r="X53" s="19"/>
      <c r="Y53" s="19"/>
      <c r="Z53" s="19"/>
      <c r="AA53" s="19"/>
      <c r="AB53" s="19"/>
      <c r="AE53" s="73"/>
      <c r="AL53" s="76"/>
    </row>
    <row r="54" s="72" customFormat="true" ht="16.5" hidden="false" customHeight="true" outlineLevel="0" collapsed="false">
      <c r="A54" s="78"/>
      <c r="B54" s="78"/>
      <c r="C54" s="78"/>
      <c r="D54" s="79"/>
      <c r="E54" s="79"/>
      <c r="F54" s="79"/>
      <c r="G54" s="79"/>
      <c r="H54" s="79"/>
      <c r="I54" s="79"/>
      <c r="J54" s="79"/>
      <c r="K54" s="79"/>
      <c r="L54" s="79"/>
      <c r="M54" s="79"/>
      <c r="N54" s="79"/>
      <c r="O54" s="79"/>
      <c r="P54" s="79"/>
      <c r="Q54" s="79"/>
      <c r="R54" s="79"/>
      <c r="S54" s="79"/>
      <c r="T54" s="79"/>
      <c r="U54" s="79"/>
      <c r="V54" s="79"/>
      <c r="W54" s="79"/>
      <c r="X54" s="69"/>
      <c r="Y54" s="69"/>
      <c r="Z54" s="69"/>
      <c r="AA54" s="69"/>
      <c r="AB54" s="69"/>
      <c r="AD54" s="80"/>
      <c r="AE54" s="80"/>
      <c r="AF54" s="80"/>
      <c r="AG54" s="80"/>
      <c r="AH54" s="80"/>
      <c r="AI54" s="80"/>
      <c r="AJ54" s="80"/>
      <c r="AK54" s="80"/>
      <c r="AL54" s="67"/>
    </row>
    <row r="55" s="72" customFormat="true" ht="15.75" hidden="false" customHeight="true" outlineLevel="0" collapsed="false">
      <c r="A55" s="78"/>
      <c r="B55" s="78"/>
      <c r="C55" s="81"/>
      <c r="D55" s="81"/>
      <c r="E55" s="79"/>
      <c r="F55" s="79"/>
      <c r="G55" s="79"/>
      <c r="H55" s="79"/>
      <c r="I55" s="79"/>
      <c r="J55" s="79"/>
      <c r="K55" s="79"/>
      <c r="L55" s="79"/>
      <c r="M55" s="79"/>
      <c r="N55" s="79"/>
      <c r="O55" s="79"/>
      <c r="P55" s="79"/>
      <c r="Q55" s="79"/>
      <c r="R55" s="79"/>
      <c r="S55" s="79"/>
      <c r="T55" s="79"/>
      <c r="U55" s="79"/>
      <c r="V55" s="79"/>
      <c r="W55" s="79"/>
      <c r="X55" s="69"/>
      <c r="Y55" s="69"/>
      <c r="Z55" s="69"/>
      <c r="AA55" s="69"/>
      <c r="AB55" s="69"/>
      <c r="AE55" s="73"/>
      <c r="AF55" s="75"/>
      <c r="AK55" s="75"/>
      <c r="AL55" s="74"/>
      <c r="AM55" s="82"/>
    </row>
    <row r="56" s="72" customFormat="true" ht="15.75" hidden="false" customHeight="true" outlineLevel="0" collapsed="false">
      <c r="A56" s="78"/>
      <c r="B56" s="78"/>
      <c r="C56" s="78"/>
      <c r="D56" s="79"/>
      <c r="E56" s="79"/>
      <c r="F56" s="79"/>
      <c r="G56" s="79"/>
      <c r="H56" s="79"/>
      <c r="I56" s="79"/>
      <c r="J56" s="79"/>
      <c r="K56" s="79"/>
      <c r="L56" s="79"/>
      <c r="M56" s="79"/>
      <c r="N56" s="79"/>
      <c r="O56" s="79"/>
      <c r="P56" s="79"/>
      <c r="Q56" s="79"/>
      <c r="R56" s="79"/>
      <c r="S56" s="79"/>
      <c r="T56" s="79"/>
      <c r="U56" s="79"/>
      <c r="V56" s="79"/>
      <c r="W56" s="79"/>
      <c r="X56" s="69"/>
      <c r="Y56" s="69"/>
      <c r="Z56" s="69"/>
      <c r="AA56" s="69"/>
      <c r="AB56" s="69"/>
      <c r="AE56" s="73"/>
      <c r="AL56" s="83"/>
      <c r="AN56" s="83"/>
    </row>
    <row r="57" s="72" customFormat="true" ht="15" hidden="false" customHeight="true" outlineLevel="0" collapsed="false">
      <c r="A57" s="78"/>
      <c r="B57" s="78"/>
      <c r="C57" s="78"/>
      <c r="D57" s="79"/>
      <c r="E57" s="79"/>
      <c r="F57" s="79"/>
      <c r="G57" s="79"/>
      <c r="H57" s="79"/>
      <c r="I57" s="79"/>
      <c r="J57" s="79"/>
      <c r="K57" s="79"/>
      <c r="L57" s="79"/>
      <c r="M57" s="79"/>
      <c r="N57" s="79"/>
      <c r="O57" s="79"/>
      <c r="P57" s="79"/>
      <c r="Q57" s="79"/>
      <c r="R57" s="79"/>
      <c r="S57" s="79"/>
      <c r="T57" s="79"/>
      <c r="U57" s="79"/>
      <c r="V57" s="79"/>
      <c r="W57" s="79"/>
      <c r="X57" s="69"/>
      <c r="Y57" s="69"/>
      <c r="Z57" s="69"/>
      <c r="AA57" s="69"/>
      <c r="AB57" s="69"/>
      <c r="AE57" s="73"/>
    </row>
    <row r="58" s="72" customFormat="true" ht="15" hidden="false" customHeight="true" outlineLevel="0" collapsed="false">
      <c r="A58" s="78"/>
      <c r="B58" s="78"/>
      <c r="C58" s="78"/>
      <c r="D58" s="79"/>
      <c r="E58" s="79"/>
      <c r="F58" s="79"/>
      <c r="G58" s="79"/>
      <c r="H58" s="79"/>
      <c r="I58" s="79"/>
      <c r="J58" s="79"/>
      <c r="K58" s="79"/>
      <c r="L58" s="79"/>
      <c r="M58" s="79"/>
      <c r="N58" s="79"/>
      <c r="O58" s="79"/>
      <c r="P58" s="79"/>
      <c r="Q58" s="79"/>
      <c r="R58" s="79"/>
      <c r="S58" s="79"/>
      <c r="T58" s="79"/>
      <c r="U58" s="79"/>
      <c r="V58" s="79"/>
      <c r="W58" s="79"/>
      <c r="X58" s="69"/>
      <c r="Y58" s="69"/>
      <c r="Z58" s="69"/>
      <c r="AA58" s="69"/>
      <c r="AB58" s="69"/>
      <c r="AE58" s="73"/>
    </row>
    <row r="59" s="72" customFormat="true" ht="15" hidden="false" customHeight="true" outlineLevel="0" collapsed="false">
      <c r="A59" s="19" t="s">
        <v>52</v>
      </c>
      <c r="B59" s="19"/>
      <c r="C59" s="19"/>
      <c r="D59" s="20"/>
      <c r="E59" s="20"/>
      <c r="F59" s="20"/>
      <c r="G59" s="20"/>
      <c r="H59" s="20"/>
      <c r="I59" s="20"/>
      <c r="J59" s="20"/>
      <c r="K59" s="20"/>
      <c r="L59" s="20"/>
      <c r="M59" s="19" t="s">
        <v>53</v>
      </c>
      <c r="N59" s="19"/>
      <c r="O59" s="19"/>
      <c r="P59" s="19"/>
      <c r="Q59" s="19"/>
      <c r="R59" s="19"/>
      <c r="S59" s="19"/>
      <c r="T59" s="19"/>
      <c r="U59" s="19"/>
      <c r="V59" s="19"/>
      <c r="W59" s="19"/>
      <c r="X59" s="19"/>
      <c r="Y59" s="19"/>
      <c r="Z59" s="19"/>
      <c r="AA59" s="19"/>
      <c r="AB59" s="19"/>
    </row>
    <row r="60" customFormat="false" ht="15" hidden="false" customHeight="true" outlineLevel="0" collapsed="false">
      <c r="A60" s="84"/>
      <c r="B60" s="84"/>
      <c r="C60" s="84"/>
      <c r="D60" s="84"/>
      <c r="E60" s="84"/>
      <c r="F60" s="84"/>
      <c r="G60" s="84"/>
      <c r="H60" s="84"/>
      <c r="I60" s="84"/>
      <c r="J60" s="84"/>
      <c r="K60" s="84"/>
      <c r="L60" s="84"/>
      <c r="M60" s="84"/>
      <c r="N60" s="84"/>
      <c r="O60" s="84"/>
      <c r="P60" s="84"/>
      <c r="Q60" s="84"/>
      <c r="R60" s="84"/>
      <c r="S60" s="84"/>
      <c r="T60" s="84"/>
      <c r="U60" s="84"/>
      <c r="V60" s="84"/>
      <c r="W60" s="84"/>
      <c r="X60" s="84"/>
      <c r="Y60" s="84"/>
      <c r="Z60" s="84"/>
      <c r="AA60" s="84"/>
      <c r="AB60" s="84"/>
      <c r="AC60" s="85"/>
    </row>
    <row r="61" customFormat="false" ht="12.75" hidden="false" customHeight="false" outlineLevel="0" collapsed="false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customFormat="false" ht="12.75" hidden="false" customHeight="false" outlineLevel="0" collapsed="false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customFormat="false" ht="12.75" hidden="false" customHeight="false" outlineLevel="0" collapsed="false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customFormat="false" ht="12.75" hidden="false" customHeight="false" outlineLevel="0" collapsed="false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customFormat="false" ht="12.75" hidden="false" customHeight="false" outlineLevel="0" collapsed="false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customFormat="false" ht="12.75" hidden="false" customHeight="false" outlineLevel="0" collapsed="false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customFormat="false" ht="12.75" hidden="false" customHeight="false" outlineLevel="0" collapsed="false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customFormat="false" ht="12.75" hidden="false" customHeight="false" outlineLevel="0" collapsed="false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customFormat="false" ht="12.75" hidden="false" customHeight="false" outlineLevel="0" collapsed="false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customFormat="false" ht="12.75" hidden="false" customHeight="false" outlineLevel="0" collapsed="false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customFormat="false" ht="12.75" hidden="false" customHeight="false" outlineLevel="0" collapsed="false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customFormat="false" ht="12.75" hidden="false" customHeight="false" outlineLevel="0" collapsed="false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customFormat="false" ht="12.75" hidden="false" customHeight="false" outlineLevel="0" collapsed="false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customFormat="false" ht="12.75" hidden="false" customHeight="false" outlineLevel="0" collapsed="false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customFormat="false" ht="12.75" hidden="false" customHeight="false" outlineLevel="0" collapsed="false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customFormat="false" ht="12.75" hidden="false" customHeight="false" outlineLevel="0" collapsed="false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customFormat="false" ht="12.75" hidden="false" customHeight="false" outlineLevel="0" collapsed="false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customFormat="false" ht="12.75" hidden="false" customHeight="false" outlineLevel="0" collapsed="false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customFormat="false" ht="12.75" hidden="false" customHeight="false" outlineLevel="0" collapsed="false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customFormat="false" ht="12.75" hidden="false" customHeight="false" outlineLevel="0" collapsed="false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customFormat="false" ht="12.75" hidden="false" customHeight="false" outlineLevel="0" collapsed="false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customFormat="false" ht="12.75" hidden="false" customHeight="false" outlineLevel="0" collapsed="false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customFormat="false" ht="12.75" hidden="false" customHeight="false" outlineLevel="0" collapsed="false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customFormat="false" ht="12.75" hidden="false" customHeight="false" outlineLevel="0" collapsed="false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customFormat="false" ht="12.75" hidden="false" customHeight="false" outlineLevel="0" collapsed="false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customFormat="false" ht="12.75" hidden="false" customHeight="false" outlineLevel="0" collapsed="false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customFormat="false" ht="12.75" hidden="false" customHeight="false" outlineLevel="0" collapsed="false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customFormat="false" ht="12.75" hidden="false" customHeight="false" outlineLevel="0" collapsed="false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customFormat="false" ht="12.75" hidden="false" customHeight="false" outlineLevel="0" collapsed="false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customFormat="false" ht="12.75" hidden="false" customHeight="false" outlineLevel="0" collapsed="false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customFormat="false" ht="12.75" hidden="false" customHeight="false" outlineLevel="0" collapsed="false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customFormat="false" ht="12.75" hidden="false" customHeight="false" outlineLevel="0" collapsed="false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customFormat="false" ht="12.75" hidden="false" customHeight="false" outlineLevel="0" collapsed="false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customFormat="false" ht="12.75" hidden="false" customHeight="false" outlineLevel="0" collapsed="false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customFormat="false" ht="12.75" hidden="false" customHeight="false" outlineLevel="0" collapsed="false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customFormat="false" ht="12.75" hidden="false" customHeight="false" outlineLevel="0" collapsed="false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customFormat="false" ht="12.75" hidden="false" customHeight="false" outlineLevel="0" collapsed="false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customFormat="false" ht="12.75" hidden="false" customHeight="false" outlineLevel="0" collapsed="false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customFormat="false" ht="12.75" hidden="false" customHeight="false" outlineLevel="0" collapsed="false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customFormat="false" ht="12.75" hidden="false" customHeight="false" outlineLevel="0" collapsed="false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customFormat="false" ht="12.75" hidden="false" customHeight="false" outlineLevel="0" collapsed="false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customFormat="false" ht="12.75" hidden="false" customHeight="false" outlineLevel="0" collapsed="false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customFormat="false" ht="12.75" hidden="false" customHeight="false" outlineLevel="0" collapsed="false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customFormat="false" ht="12.75" hidden="false" customHeight="false" outlineLevel="0" collapsed="false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customFormat="false" ht="12.75" hidden="false" customHeight="false" outlineLevel="0" collapsed="false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customFormat="false" ht="12.75" hidden="false" customHeight="false" outlineLevel="0" collapsed="false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customFormat="false" ht="12.75" hidden="false" customHeight="false" outlineLevel="0" collapsed="false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customFormat="false" ht="12.75" hidden="false" customHeight="false" outlineLevel="0" collapsed="false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s="23" customFormat="true" ht="12.75" hidden="false" customHeight="false" outlineLevel="0" collapsed="false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  <c r="AD109" s="22"/>
      <c r="AE109" s="24"/>
      <c r="AF109" s="22"/>
      <c r="AG109" s="22"/>
    </row>
    <row r="110" s="23" customFormat="true" ht="12.75" hidden="false" customHeight="false" outlineLevel="0" collapsed="false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  <c r="AD110" s="22"/>
      <c r="AE110" s="24"/>
      <c r="AF110" s="22"/>
      <c r="AG110" s="22"/>
    </row>
    <row r="111" s="23" customFormat="true" ht="12.75" hidden="false" customHeight="false" outlineLevel="0" collapsed="false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  <c r="AD111" s="22"/>
      <c r="AE111" s="24"/>
      <c r="AF111" s="22"/>
      <c r="AG111" s="22"/>
    </row>
    <row r="112" s="23" customFormat="true" ht="12.75" hidden="false" customHeight="false" outlineLevel="0" collapsed="false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  <c r="AD112" s="22"/>
      <c r="AE112" s="24"/>
      <c r="AF112" s="22"/>
      <c r="AG112" s="22"/>
    </row>
    <row r="113" s="23" customFormat="true" ht="12.75" hidden="false" customHeight="false" outlineLevel="0" collapsed="false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  <c r="AD113" s="22"/>
      <c r="AE113" s="24"/>
      <c r="AF113" s="22"/>
      <c r="AG113" s="22"/>
    </row>
    <row r="114" s="23" customFormat="true" ht="12.75" hidden="false" customHeight="false" outlineLevel="0" collapsed="false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  <c r="AD114" s="22"/>
      <c r="AE114" s="24"/>
      <c r="AF114" s="22"/>
      <c r="AG114" s="22"/>
    </row>
    <row r="115" s="23" customFormat="true" ht="12.75" hidden="false" customHeight="false" outlineLevel="0" collapsed="false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  <c r="AD115" s="22"/>
      <c r="AE115" s="24"/>
      <c r="AF115" s="22"/>
      <c r="AG115" s="22"/>
    </row>
    <row r="116" s="23" customFormat="true" ht="12.75" hidden="false" customHeight="false" outlineLevel="0" collapsed="false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  <c r="AD116" s="22"/>
      <c r="AE116" s="24"/>
      <c r="AF116" s="22"/>
      <c r="AG116" s="22"/>
    </row>
    <row r="117" s="23" customFormat="true" ht="12.75" hidden="false" customHeight="false" outlineLevel="0" collapsed="false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  <c r="AD117" s="22"/>
      <c r="AE117" s="24"/>
      <c r="AF117" s="22"/>
      <c r="AG117" s="22"/>
    </row>
    <row r="118" s="23" customFormat="true" ht="12.75" hidden="false" customHeight="false" outlineLevel="0" collapsed="false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  <c r="AD118" s="22"/>
      <c r="AE118" s="24"/>
      <c r="AF118" s="22"/>
      <c r="AG118" s="22"/>
    </row>
    <row r="119" s="23" customFormat="true" ht="12.75" hidden="false" customHeight="false" outlineLevel="0" collapsed="false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  <c r="AD119" s="22"/>
      <c r="AE119" s="24"/>
      <c r="AF119" s="22"/>
      <c r="AG119" s="22"/>
    </row>
    <row r="120" s="23" customFormat="true" ht="12.75" hidden="false" customHeight="false" outlineLevel="0" collapsed="false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  <c r="AD120" s="22"/>
      <c r="AE120" s="24"/>
      <c r="AF120" s="22"/>
      <c r="AG120" s="22"/>
    </row>
    <row r="121" s="23" customFormat="true" ht="12.75" hidden="false" customHeight="false" outlineLevel="0" collapsed="false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  <c r="AD121" s="22"/>
      <c r="AE121" s="24"/>
      <c r="AF121" s="22"/>
      <c r="AG121" s="22"/>
    </row>
    <row r="122" s="23" customFormat="true" ht="12.75" hidden="false" customHeight="false" outlineLevel="0" collapsed="false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  <c r="AD122" s="22"/>
      <c r="AE122" s="24"/>
      <c r="AF122" s="22"/>
      <c r="AG122" s="22"/>
    </row>
    <row r="123" s="23" customFormat="true" ht="12.75" hidden="false" customHeight="false" outlineLevel="0" collapsed="false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  <c r="AD123" s="22"/>
      <c r="AE123" s="24"/>
      <c r="AF123" s="22"/>
      <c r="AG123" s="22"/>
    </row>
    <row r="124" s="23" customFormat="true" ht="12.75" hidden="false" customHeight="false" outlineLevel="0" collapsed="false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  <c r="AD124" s="22"/>
      <c r="AE124" s="24"/>
      <c r="AF124" s="22"/>
      <c r="AG124" s="22"/>
    </row>
    <row r="125" s="23" customFormat="true" ht="12.75" hidden="false" customHeight="false" outlineLevel="0" collapsed="false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  <c r="AD125" s="22"/>
      <c r="AE125" s="24"/>
      <c r="AF125" s="22"/>
      <c r="AG125" s="22"/>
    </row>
    <row r="126" s="23" customFormat="true" ht="12.75" hidden="false" customHeight="false" outlineLevel="0" collapsed="false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  <c r="AD126" s="22"/>
      <c r="AE126" s="24"/>
      <c r="AF126" s="22"/>
      <c r="AG126" s="22"/>
    </row>
    <row r="127" s="23" customFormat="true" ht="12.75" hidden="false" customHeight="false" outlineLevel="0" collapsed="false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  <c r="AD127" s="22"/>
      <c r="AE127" s="24"/>
      <c r="AF127" s="22"/>
      <c r="AG127" s="22"/>
    </row>
    <row r="128" s="23" customFormat="true" ht="12.75" hidden="false" customHeight="false" outlineLevel="0" collapsed="false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  <c r="AD128" s="22"/>
      <c r="AE128" s="24"/>
      <c r="AF128" s="22"/>
      <c r="AG128" s="22"/>
    </row>
    <row r="129" s="23" customFormat="true" ht="12.75" hidden="false" customHeight="false" outlineLevel="0" collapsed="false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  <c r="AD129" s="22"/>
      <c r="AE129" s="24"/>
      <c r="AF129" s="22"/>
      <c r="AG129" s="22"/>
    </row>
    <row r="130" s="23" customFormat="true" ht="12.75" hidden="false" customHeight="false" outlineLevel="0" collapsed="false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  <c r="AD130" s="22"/>
      <c r="AE130" s="24"/>
      <c r="AF130" s="22"/>
      <c r="AG130" s="22"/>
    </row>
    <row r="131" s="23" customFormat="true" ht="12.75" hidden="false" customHeight="false" outlineLevel="0" collapsed="false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  <c r="AD131" s="22"/>
      <c r="AE131" s="24"/>
      <c r="AF131" s="22"/>
      <c r="AG131" s="22"/>
    </row>
    <row r="132" s="23" customFormat="true" ht="12.75" hidden="false" customHeight="false" outlineLevel="0" collapsed="false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  <c r="AD132" s="22"/>
      <c r="AE132" s="24"/>
      <c r="AF132" s="22"/>
      <c r="AG132" s="22"/>
    </row>
    <row r="133" s="23" customFormat="true" ht="12.75" hidden="false" customHeight="false" outlineLevel="0" collapsed="false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  <c r="AD133" s="22"/>
      <c r="AE133" s="24"/>
      <c r="AF133" s="22"/>
      <c r="AG133" s="22"/>
    </row>
    <row r="134" s="23" customFormat="true" ht="12.75" hidden="false" customHeight="false" outlineLevel="0" collapsed="false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  <c r="AD134" s="22"/>
      <c r="AE134" s="24"/>
      <c r="AF134" s="22"/>
      <c r="AG134" s="22"/>
    </row>
    <row r="135" s="23" customFormat="true" ht="12.75" hidden="false" customHeight="false" outlineLevel="0" collapsed="false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  <c r="AD135" s="22"/>
      <c r="AE135" s="24"/>
      <c r="AF135" s="22"/>
      <c r="AG135" s="22"/>
    </row>
    <row r="136" s="23" customFormat="true" ht="12.75" hidden="false" customHeight="false" outlineLevel="0" collapsed="false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  <c r="AD136" s="22"/>
      <c r="AE136" s="24"/>
      <c r="AF136" s="22"/>
      <c r="AG136" s="22"/>
    </row>
  </sheetData>
  <mergeCells count="19">
    <mergeCell ref="A1:AB1"/>
    <mergeCell ref="A2:AB2"/>
    <mergeCell ref="A3:AB3"/>
    <mergeCell ref="A4:AB4"/>
    <mergeCell ref="A5:AB5"/>
    <mergeCell ref="A6:AB6"/>
    <mergeCell ref="D7:AB7"/>
    <mergeCell ref="A8:AB8"/>
    <mergeCell ref="A9:A10"/>
    <mergeCell ref="B9:B10"/>
    <mergeCell ref="C9:C10"/>
    <mergeCell ref="D9:D10"/>
    <mergeCell ref="M9:Y9"/>
    <mergeCell ref="AB9:AB10"/>
    <mergeCell ref="A51:D51"/>
    <mergeCell ref="A53:C53"/>
    <mergeCell ref="E53:AB53"/>
    <mergeCell ref="A59:C59"/>
    <mergeCell ref="M59:AB59"/>
  </mergeCells>
  <printOptions headings="false" gridLines="false" gridLinesSet="true" horizontalCentered="false" verticalCentered="false"/>
  <pageMargins left="0.7" right="0.159722222222222" top="0.359722222222222" bottom="0.240277777777778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X68"/>
  <sheetViews>
    <sheetView showFormulas="false" showGridLines="true" showRowColHeaders="true" showZeros="true" rightToLeft="false" tabSelected="false" showOutlineSymbols="true" defaultGridColor="true" view="normal" topLeftCell="A45" colorId="64" zoomScale="85" zoomScaleNormal="85" zoomScalePageLayoutView="100" workbookViewId="0">
      <selection pane="topLeft" activeCell="U17" activeCellId="0" sqref="U17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6.29"/>
    <col collapsed="false" customWidth="true" hidden="false" outlineLevel="0" max="2" min="2" style="1" width="7.15"/>
    <col collapsed="false" customWidth="true" hidden="false" outlineLevel="0" max="3" min="3" style="1" width="16.57"/>
    <col collapsed="false" customWidth="true" hidden="true" outlineLevel="0" max="4" min="4" style="1" width="8.29"/>
    <col collapsed="false" customWidth="false" hidden="true" outlineLevel="0" max="5" min="5" style="1" width="8.71"/>
    <col collapsed="false" customWidth="true" hidden="true" outlineLevel="0" max="6" min="6" style="1" width="9.14"/>
    <col collapsed="false" customWidth="true" hidden="false" outlineLevel="0" max="12" min="7" style="1" width="11.14"/>
    <col collapsed="false" customWidth="true" hidden="true" outlineLevel="0" max="15" min="13" style="1" width="8.57"/>
    <col collapsed="false" customWidth="true" hidden="false" outlineLevel="0" max="18" min="16" style="1" width="11.14"/>
    <col collapsed="false" customWidth="true" hidden="false" outlineLevel="0" max="19" min="19" style="1" width="6.43"/>
  </cols>
  <sheetData>
    <row r="1" customFormat="false" ht="20.25" hidden="false" customHeight="true" outlineLevel="0" collapsed="false">
      <c r="A1" s="3" t="s">
        <v>28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3"/>
      <c r="T1" s="4"/>
      <c r="U1" s="4"/>
      <c r="V1" s="4"/>
      <c r="W1" s="4"/>
    </row>
    <row r="2" customFormat="false" ht="18.75" hidden="false" customHeight="true" outlineLevel="0" collapsed="false">
      <c r="A2" s="5" t="str">
        <f>"Kèm theo BBNT số: "&amp;VLOOKUP(AZ2,'[1]Tuyến XD8'!$A$2:$G$60,7,0)&amp;VLOOKUP(AZ2,'[1]Tuyến XD8'!$A$2:$G$60,4,0)</f>
        <v xml:space="preserve">Kèm theo BBNT số: 65.NĐXD8/CVXD ngày 17 tháng 09 năm 2026</v>
      </c>
      <c r="B2" s="5"/>
      <c r="C2" s="5"/>
      <c r="D2" s="5"/>
      <c r="E2" s="5"/>
      <c r="F2" s="5"/>
      <c r="G2" s="5"/>
      <c r="H2" s="5"/>
      <c r="I2" s="5"/>
      <c r="J2" s="5"/>
      <c r="K2" s="5"/>
      <c r="L2" s="5"/>
      <c r="M2" s="5"/>
      <c r="N2" s="5"/>
      <c r="O2" s="5"/>
      <c r="P2" s="5"/>
      <c r="Q2" s="5"/>
      <c r="R2" s="5"/>
      <c r="S2" s="5"/>
      <c r="U2" s="6"/>
      <c r="V2" s="6"/>
      <c r="W2" s="6"/>
      <c r="AZ2">
        <v>65</v>
      </c>
    </row>
    <row r="3" customFormat="false" ht="18.75" hidden="false" customHeight="true" outlineLevel="0" collapsed="false">
      <c r="A3" s="7" t="str">
        <f aca="false">'1.KTHH L1'!A3</f>
        <v>Dự án: Xây dựng HTKT Khu tái định cư phục vụ di dân xã Hải Hà, thị xã Nghi Sơn, tỉnh Thanh Hóa.</v>
      </c>
      <c r="C3" s="7"/>
      <c r="D3" s="7"/>
      <c r="E3" s="7"/>
      <c r="F3" s="7"/>
      <c r="G3" s="7"/>
      <c r="H3" s="7"/>
      <c r="I3" s="7"/>
      <c r="J3" s="7"/>
      <c r="K3" s="7"/>
      <c r="L3" s="7"/>
      <c r="M3" s="7"/>
      <c r="N3" s="7"/>
      <c r="O3" s="7"/>
      <c r="P3" s="7"/>
      <c r="Q3" s="7"/>
      <c r="R3" s="7"/>
      <c r="S3" s="7"/>
      <c r="T3" s="7"/>
      <c r="U3" s="7"/>
      <c r="V3" s="7"/>
      <c r="W3" s="7"/>
    </row>
    <row r="4" customFormat="false" ht="18.75" hidden="false" customHeight="true" outlineLevel="0" collapsed="false">
      <c r="A4" s="7" t="str">
        <f aca="false">'1.KTHH L1'!A4</f>
        <v>Gói thầu số 12: Xây dựng HTKT khu vực Hải Bình và Xuân Lâm (bao gồm cả bảo hiểm xây dựng công trình)</v>
      </c>
      <c r="C4" s="7"/>
      <c r="D4" s="7"/>
      <c r="E4" s="7"/>
      <c r="F4" s="7"/>
      <c r="G4" s="7"/>
      <c r="H4" s="7"/>
      <c r="I4" s="7"/>
      <c r="J4" s="7"/>
      <c r="K4" s="7"/>
      <c r="L4" s="7"/>
      <c r="M4" s="7"/>
      <c r="N4" s="7"/>
      <c r="O4" s="7"/>
      <c r="P4" s="7"/>
      <c r="Q4" s="7"/>
      <c r="R4" s="7"/>
      <c r="S4" s="7"/>
      <c r="T4" s="7"/>
      <c r="U4" s="7"/>
      <c r="V4" s="7"/>
      <c r="W4" s="7"/>
    </row>
    <row r="5" customFormat="false" ht="18.75" hidden="false" customHeight="true" outlineLevel="0" collapsed="false">
      <c r="A5" s="7" t="str">
        <f aca="false">'1.KTHH L1'!A5</f>
        <v>Nhà thầu thi công: Công ty TNHH Hoàng Tuấn</v>
      </c>
      <c r="C5" s="7"/>
      <c r="D5" s="7"/>
      <c r="E5" s="7"/>
      <c r="F5" s="7"/>
      <c r="G5" s="7"/>
      <c r="H5" s="7"/>
      <c r="I5" s="7"/>
      <c r="J5" s="7"/>
      <c r="K5" s="7"/>
      <c r="L5" s="7"/>
      <c r="M5" s="7"/>
      <c r="N5" s="7"/>
      <c r="O5" s="7"/>
      <c r="P5" s="7"/>
      <c r="Q5" s="7"/>
      <c r="R5" s="7"/>
      <c r="S5" s="7"/>
      <c r="T5" s="7"/>
      <c r="U5" s="7"/>
      <c r="V5" s="7"/>
      <c r="W5" s="7"/>
    </row>
    <row r="6" customFormat="false" ht="18.75" hidden="false" customHeight="true" outlineLevel="0" collapsed="false">
      <c r="A6" s="7" t="s">
        <v>33</v>
      </c>
      <c r="C6" s="7"/>
      <c r="D6" s="7"/>
      <c r="E6" s="7"/>
      <c r="F6" s="7"/>
      <c r="G6" s="7"/>
      <c r="H6" s="7"/>
      <c r="I6" s="7"/>
      <c r="J6" s="7"/>
      <c r="K6" s="7"/>
      <c r="L6" s="7"/>
      <c r="M6" s="7"/>
      <c r="N6" s="7"/>
      <c r="O6" s="7"/>
      <c r="P6" s="7"/>
      <c r="Q6" s="7"/>
      <c r="R6" s="7"/>
      <c r="S6" s="7"/>
      <c r="T6" s="7"/>
      <c r="U6" s="7"/>
      <c r="V6" s="7"/>
      <c r="W6" s="7"/>
    </row>
    <row r="7" customFormat="false" ht="18.75" hidden="false" customHeight="true" outlineLevel="0" collapsed="false">
      <c r="A7" s="8" t="s">
        <v>34</v>
      </c>
      <c r="C7" s="7"/>
      <c r="D7" s="7"/>
      <c r="F7" s="7"/>
      <c r="G7" s="7" t="str">
        <f>VLOOKUP(AZ2,'[1]Tuyến XD8'!$A$2:$B$60,2,0)</f>
        <v xml:space="preserve">Đắp đất nền đường lớp 2 đoạn từ Km0+489,19 - Km0+609,11, độ chặt K&gt;=0,95</v>
      </c>
      <c r="H7" s="7"/>
      <c r="I7" s="7"/>
      <c r="J7" s="7"/>
      <c r="K7" s="7"/>
      <c r="L7" s="7"/>
      <c r="M7" s="7"/>
      <c r="N7" s="7"/>
      <c r="O7" s="7"/>
      <c r="P7" s="7"/>
      <c r="Q7" s="7"/>
      <c r="R7" s="7"/>
      <c r="S7" s="7"/>
      <c r="T7" s="7"/>
      <c r="U7" s="7"/>
      <c r="V7" s="7"/>
      <c r="W7" s="7"/>
    </row>
    <row r="8" customFormat="false" ht="18.75" hidden="false" customHeight="true" outlineLevel="0" collapsed="false">
      <c r="A8" s="8" t="s">
        <v>36</v>
      </c>
      <c r="C8" s="7"/>
      <c r="D8" s="7"/>
      <c r="E8" s="7"/>
      <c r="F8" s="7"/>
      <c r="G8" s="7"/>
      <c r="H8" s="7"/>
      <c r="I8" s="7"/>
      <c r="J8" s="7"/>
      <c r="K8" s="7"/>
      <c r="L8" s="7"/>
      <c r="M8" s="7"/>
      <c r="N8" s="7"/>
      <c r="O8" s="7"/>
      <c r="P8" s="7"/>
      <c r="Q8" s="7"/>
      <c r="R8" s="7"/>
      <c r="S8" s="7"/>
      <c r="T8" s="7"/>
      <c r="U8" s="7"/>
      <c r="V8" s="7"/>
      <c r="W8" s="7"/>
    </row>
    <row r="19" customFormat="false" ht="15" hidden="false" customHeight="true" outlineLevel="0" collapsed="false">
      <c r="A19" s="9" t="s">
        <v>37</v>
      </c>
      <c r="B19" s="9" t="s">
        <v>38</v>
      </c>
      <c r="C19" s="9" t="s">
        <v>39</v>
      </c>
      <c r="D19" s="10" t="s">
        <v>40</v>
      </c>
      <c r="E19" s="10"/>
      <c r="F19" s="10"/>
      <c r="G19" s="10"/>
      <c r="H19" s="10"/>
      <c r="I19" s="10"/>
      <c r="J19" s="10" t="s">
        <v>41</v>
      </c>
      <c r="K19" s="10"/>
      <c r="L19" s="10"/>
      <c r="M19" s="10" t="s">
        <v>42</v>
      </c>
      <c r="N19" s="10"/>
      <c r="O19" s="10"/>
      <c r="P19" s="10"/>
      <c r="Q19" s="10"/>
      <c r="R19" s="10"/>
      <c r="S19" s="9" t="s">
        <v>43</v>
      </c>
    </row>
    <row r="20" customFormat="false" ht="30" hidden="false" customHeight="true" outlineLevel="0" collapsed="false">
      <c r="A20" s="9"/>
      <c r="B20" s="9"/>
      <c r="C20" s="9"/>
      <c r="D20" s="11" t="s">
        <v>44</v>
      </c>
      <c r="E20" s="11" t="s">
        <v>45</v>
      </c>
      <c r="F20" s="11" t="s">
        <v>46</v>
      </c>
      <c r="G20" s="11" t="s">
        <v>47</v>
      </c>
      <c r="H20" s="11" t="s">
        <v>48</v>
      </c>
      <c r="I20" s="11" t="s">
        <v>49</v>
      </c>
      <c r="J20" s="11" t="s">
        <v>47</v>
      </c>
      <c r="K20" s="11" t="s">
        <v>48</v>
      </c>
      <c r="L20" s="11" t="s">
        <v>49</v>
      </c>
      <c r="M20" s="11" t="s">
        <v>44</v>
      </c>
      <c r="N20" s="11" t="s">
        <v>45</v>
      </c>
      <c r="O20" s="11" t="s">
        <v>46</v>
      </c>
      <c r="P20" s="11" t="s">
        <v>47</v>
      </c>
      <c r="Q20" s="11" t="s">
        <v>48</v>
      </c>
      <c r="R20" s="11" t="s">
        <v>49</v>
      </c>
      <c r="S20" s="9"/>
      <c r="T20" s="86"/>
      <c r="V20" s="87"/>
      <c r="W20" s="87"/>
      <c r="X20" s="87"/>
    </row>
    <row r="21" customFormat="false" ht="15" hidden="false" customHeight="false" outlineLevel="0" collapsed="false">
      <c r="A21" s="13" t="n">
        <v>1</v>
      </c>
      <c r="B21" s="13" t="s">
        <v>17</v>
      </c>
      <c r="C21" s="15" t="n">
        <v>489.19</v>
      </c>
      <c r="D21" s="16" t="n">
        <f aca="false">+Chạy!F8</f>
        <v>-14.65</v>
      </c>
      <c r="E21" s="16" t="n">
        <f aca="false">+D21+F21</f>
        <v>-14.6514</v>
      </c>
      <c r="F21" s="16" t="n">
        <f aca="false">RANDBETWEEN(-105,115)/10000</f>
        <v>-0.0014</v>
      </c>
      <c r="G21" s="16" t="n">
        <f aca="false">+Chạy!G8</f>
        <v>0.07</v>
      </c>
      <c r="H21" s="16" t="n">
        <f aca="false">G21+I21</f>
        <v>0.086</v>
      </c>
      <c r="I21" s="16" t="n">
        <f aca="false">RANDBETWEEN(-30,90)/1000</f>
        <v>0.016</v>
      </c>
      <c r="J21" s="16" t="n">
        <f aca="false">+Chạy!K8</f>
        <v>0.19</v>
      </c>
      <c r="K21" s="16" t="n">
        <f aca="false">J21+L21</f>
        <v>0.183</v>
      </c>
      <c r="L21" s="16" t="n">
        <f aca="false">RANDBETWEEN(-30,90)/1000</f>
        <v>-0.007</v>
      </c>
      <c r="M21" s="16" t="n">
        <f aca="false">+Chạy!N8</f>
        <v>14.65</v>
      </c>
      <c r="N21" s="16" t="n">
        <f aca="false">+M21+O21</f>
        <v>14.648</v>
      </c>
      <c r="O21" s="16" t="n">
        <f aca="false">RANDBETWEEN(-105,115)/10000</f>
        <v>-0.002</v>
      </c>
      <c r="P21" s="16" t="n">
        <f aca="false">+Chạy!O8</f>
        <v>0.07</v>
      </c>
      <c r="Q21" s="16" t="n">
        <f aca="false">P21+R21</f>
        <v>0.105</v>
      </c>
      <c r="R21" s="16" t="n">
        <f aca="false">RANDBETWEEN(-30,90)/1000</f>
        <v>0.035</v>
      </c>
      <c r="S21" s="17"/>
      <c r="T21" s="0" t="n">
        <v>13.17</v>
      </c>
    </row>
    <row r="22" customFormat="false" ht="15" hidden="false" customHeight="false" outlineLevel="0" collapsed="false">
      <c r="A22" s="13" t="n">
        <v>2</v>
      </c>
      <c r="B22" s="13" t="s">
        <v>18</v>
      </c>
      <c r="C22" s="15" t="n">
        <f aca="false">+C21+T21</f>
        <v>502.36</v>
      </c>
      <c r="D22" s="16" t="n">
        <f aca="false">+Chạy!F16</f>
        <v>-14.65</v>
      </c>
      <c r="E22" s="16" t="n">
        <f aca="false">+D22+F22</f>
        <v>-14.6492</v>
      </c>
      <c r="F22" s="16" t="n">
        <f aca="false">RANDBETWEEN(-105,115)/10000</f>
        <v>0.0008</v>
      </c>
      <c r="G22" s="16" t="n">
        <f aca="false">+Chạy!G16</f>
        <v>0.06</v>
      </c>
      <c r="H22" s="16" t="n">
        <f aca="false">G22+I22</f>
        <v>0.053</v>
      </c>
      <c r="I22" s="16" t="n">
        <f aca="false">RANDBETWEEN(-30,90)/1000</f>
        <v>-0.007</v>
      </c>
      <c r="J22" s="16" t="n">
        <f aca="false">+Chạy!K16</f>
        <v>0.18</v>
      </c>
      <c r="K22" s="16" t="n">
        <f aca="false">J22+L22</f>
        <v>0.252</v>
      </c>
      <c r="L22" s="16" t="n">
        <f aca="false">RANDBETWEEN(-30,90)/1000</f>
        <v>0.072</v>
      </c>
      <c r="M22" s="16" t="n">
        <f aca="false">+Chạy!N16</f>
        <v>14.65</v>
      </c>
      <c r="N22" s="16" t="n">
        <f aca="false">+M22+O22</f>
        <v>14.648</v>
      </c>
      <c r="O22" s="16" t="n">
        <f aca="false">RANDBETWEEN(-105,115)/10000</f>
        <v>-0.002</v>
      </c>
      <c r="P22" s="16" t="n">
        <f aca="false">+Chạy!O16</f>
        <v>0.06</v>
      </c>
      <c r="Q22" s="16" t="n">
        <f aca="false">P22+R22</f>
        <v>0.121</v>
      </c>
      <c r="R22" s="16" t="n">
        <f aca="false">RANDBETWEEN(-30,90)/1000</f>
        <v>0.061</v>
      </c>
      <c r="S22" s="17"/>
      <c r="T22" s="0" t="n">
        <v>10.48</v>
      </c>
    </row>
    <row r="23" customFormat="false" ht="15" hidden="false" customHeight="false" outlineLevel="0" collapsed="false">
      <c r="A23" s="13" t="n">
        <v>3</v>
      </c>
      <c r="B23" s="13" t="s">
        <v>19</v>
      </c>
      <c r="C23" s="15" t="n">
        <f aca="false">+C22+T22</f>
        <v>512.84</v>
      </c>
      <c r="D23" s="16" t="n">
        <f aca="false">+Chạy!F24</f>
        <v>-14.65</v>
      </c>
      <c r="E23" s="16" t="n">
        <f aca="false">+D23+F23</f>
        <v>-14.6529</v>
      </c>
      <c r="F23" s="16" t="n">
        <f aca="false">RANDBETWEEN(-105,115)/10000</f>
        <v>-0.0029</v>
      </c>
      <c r="G23" s="16" t="n">
        <f aca="false">+Chạy!G24</f>
        <v>0.06</v>
      </c>
      <c r="H23" s="16" t="n">
        <f aca="false">G23+I23</f>
        <v>0.092</v>
      </c>
      <c r="I23" s="16" t="n">
        <f aca="false">RANDBETWEEN(-30,90)/1000</f>
        <v>0.032</v>
      </c>
      <c r="J23" s="16" t="n">
        <f aca="false">+Chạy!K24</f>
        <v>0.17</v>
      </c>
      <c r="K23" s="16" t="n">
        <f aca="false">J23+L23</f>
        <v>0.215</v>
      </c>
      <c r="L23" s="16" t="n">
        <f aca="false">RANDBETWEEN(-30,90)/1000</f>
        <v>0.045</v>
      </c>
      <c r="M23" s="16" t="n">
        <f aca="false">+Chạy!N24</f>
        <v>14.65</v>
      </c>
      <c r="N23" s="16" t="n">
        <f aca="false">+M23+O23</f>
        <v>14.6516</v>
      </c>
      <c r="O23" s="16" t="n">
        <f aca="false">RANDBETWEEN(-105,115)/10000</f>
        <v>0.0016</v>
      </c>
      <c r="P23" s="16" t="n">
        <f aca="false">+Chạy!O24</f>
        <v>0.06</v>
      </c>
      <c r="Q23" s="16" t="n">
        <f aca="false">P23+R23</f>
        <v>0.101</v>
      </c>
      <c r="R23" s="16" t="n">
        <f aca="false">RANDBETWEEN(-30,90)/1000</f>
        <v>0.041</v>
      </c>
      <c r="S23" s="17"/>
      <c r="T23" s="0" t="n">
        <v>16.78</v>
      </c>
    </row>
    <row r="24" customFormat="false" ht="15" hidden="false" customHeight="false" outlineLevel="0" collapsed="false">
      <c r="A24" s="13" t="n">
        <v>4</v>
      </c>
      <c r="B24" s="13" t="s">
        <v>20</v>
      </c>
      <c r="C24" s="15" t="n">
        <f aca="false">+C23+T23</f>
        <v>529.62</v>
      </c>
      <c r="D24" s="16" t="n">
        <f aca="false">+Chạy!F32</f>
        <v>-14.65</v>
      </c>
      <c r="E24" s="16" t="n">
        <f aca="false">+D24+F24</f>
        <v>-14.6444</v>
      </c>
      <c r="F24" s="16" t="n">
        <f aca="false">RANDBETWEEN(-105,115)/10000</f>
        <v>0.0056</v>
      </c>
      <c r="G24" s="16" t="n">
        <f aca="false">+Chạy!G32</f>
        <v>0.05</v>
      </c>
      <c r="H24" s="16" t="n">
        <f aca="false">G24+I24</f>
        <v>0.047</v>
      </c>
      <c r="I24" s="16" t="n">
        <f aca="false">RANDBETWEEN(-30,90)/1000</f>
        <v>-0.003</v>
      </c>
      <c r="J24" s="16" t="n">
        <f aca="false">+Chạy!K32</f>
        <v>0.17</v>
      </c>
      <c r="K24" s="16" t="n">
        <f aca="false">J24+L24</f>
        <v>0.251</v>
      </c>
      <c r="L24" s="16" t="n">
        <f aca="false">RANDBETWEEN(-30,90)/1000</f>
        <v>0.081</v>
      </c>
      <c r="M24" s="16" t="n">
        <f aca="false">+Chạy!N32</f>
        <v>14.65</v>
      </c>
      <c r="N24" s="16" t="n">
        <f aca="false">+M24+O24</f>
        <v>14.6478</v>
      </c>
      <c r="O24" s="16" t="n">
        <f aca="false">RANDBETWEEN(-105,115)/10000</f>
        <v>-0.0022</v>
      </c>
      <c r="P24" s="16" t="n">
        <f aca="false">+Chạy!O32</f>
        <v>0.05</v>
      </c>
      <c r="Q24" s="16" t="n">
        <f aca="false">P24+R24</f>
        <v>0.027</v>
      </c>
      <c r="R24" s="16" t="n">
        <f aca="false">RANDBETWEEN(-30,90)/1000</f>
        <v>-0.023</v>
      </c>
      <c r="S24" s="17"/>
      <c r="T24" s="0" t="n">
        <v>17.1</v>
      </c>
    </row>
    <row r="25" customFormat="false" ht="15" hidden="false" customHeight="false" outlineLevel="0" collapsed="false">
      <c r="A25" s="13" t="n">
        <v>5</v>
      </c>
      <c r="B25" s="13" t="s">
        <v>21</v>
      </c>
      <c r="C25" s="15" t="n">
        <f aca="false">+C24+T24</f>
        <v>546.72</v>
      </c>
      <c r="D25" s="16" t="n">
        <f aca="false">+Chạy!F40</f>
        <v>-14.65</v>
      </c>
      <c r="E25" s="16" t="n">
        <f aca="false">+D25+F25</f>
        <v>-14.6466</v>
      </c>
      <c r="F25" s="16" t="n">
        <f aca="false">RANDBETWEEN(-105,115)/10000</f>
        <v>0.0034</v>
      </c>
      <c r="G25" s="16" t="n">
        <f aca="false">+Chạy!G40</f>
        <v>0.04</v>
      </c>
      <c r="H25" s="16" t="n">
        <f aca="false">G25+I25</f>
        <v>0.057</v>
      </c>
      <c r="I25" s="16" t="n">
        <f aca="false">RANDBETWEEN(-30,90)/1000</f>
        <v>0.017</v>
      </c>
      <c r="J25" s="16" t="n">
        <f aca="false">+Chạy!K40</f>
        <v>0.16</v>
      </c>
      <c r="K25" s="16" t="n">
        <f aca="false">J25+L25</f>
        <v>0.206</v>
      </c>
      <c r="L25" s="16" t="n">
        <f aca="false">RANDBETWEEN(-30,90)/1000</f>
        <v>0.046</v>
      </c>
      <c r="M25" s="16" t="n">
        <f aca="false">+Chạy!N40</f>
        <v>14.65</v>
      </c>
      <c r="N25" s="16" t="n">
        <f aca="false">+M25+O25</f>
        <v>14.6523</v>
      </c>
      <c r="O25" s="16" t="n">
        <f aca="false">RANDBETWEEN(-105,115)/10000</f>
        <v>0.0023</v>
      </c>
      <c r="P25" s="16" t="n">
        <f aca="false">+Chạy!O40</f>
        <v>0.04</v>
      </c>
      <c r="Q25" s="16" t="n">
        <f aca="false">P25+R25</f>
        <v>0.087</v>
      </c>
      <c r="R25" s="16" t="n">
        <f aca="false">RANDBETWEEN(-30,90)/1000</f>
        <v>0.047</v>
      </c>
      <c r="S25" s="17"/>
      <c r="T25" s="0" t="n">
        <v>15.15</v>
      </c>
    </row>
    <row r="26" customFormat="false" ht="15" hidden="false" customHeight="false" outlineLevel="0" collapsed="false">
      <c r="A26" s="13" t="n">
        <v>6</v>
      </c>
      <c r="B26" s="13" t="s">
        <v>22</v>
      </c>
      <c r="C26" s="15" t="n">
        <f aca="false">+C25+T25</f>
        <v>561.87</v>
      </c>
      <c r="D26" s="16" t="n">
        <f aca="false">+Chạy!F48</f>
        <v>-14.65</v>
      </c>
      <c r="E26" s="16" t="n">
        <f aca="false">+D26+F26</f>
        <v>-14.6442</v>
      </c>
      <c r="F26" s="16" t="n">
        <f aca="false">RANDBETWEEN(-105,115)/10000</f>
        <v>0.0058</v>
      </c>
      <c r="G26" s="16" t="n">
        <f aca="false">+Chạy!G48</f>
        <v>0.04</v>
      </c>
      <c r="H26" s="16" t="n">
        <f aca="false">G26+I26</f>
        <v>0.084</v>
      </c>
      <c r="I26" s="16" t="n">
        <f aca="false">RANDBETWEEN(-30,90)/1000</f>
        <v>0.044</v>
      </c>
      <c r="J26" s="16" t="n">
        <f aca="false">+Chạy!K48</f>
        <v>0.15</v>
      </c>
      <c r="K26" s="16" t="n">
        <f aca="false">J26+L26</f>
        <v>0.157</v>
      </c>
      <c r="L26" s="16" t="n">
        <f aca="false">RANDBETWEEN(-30,90)/1000</f>
        <v>0.007</v>
      </c>
      <c r="M26" s="16" t="n">
        <f aca="false">+Chạy!N48</f>
        <v>14.65</v>
      </c>
      <c r="N26" s="16" t="n">
        <f aca="false">+M26+O26</f>
        <v>14.656</v>
      </c>
      <c r="O26" s="16" t="n">
        <f aca="false">RANDBETWEEN(-105,115)/10000</f>
        <v>0.006</v>
      </c>
      <c r="P26" s="16" t="n">
        <f aca="false">+Chạy!O48</f>
        <v>0.04</v>
      </c>
      <c r="Q26" s="16" t="n">
        <f aca="false">P26+R26</f>
        <v>0.068</v>
      </c>
      <c r="R26" s="16" t="n">
        <f aca="false">RANDBETWEEN(-30,90)/1000</f>
        <v>0.028</v>
      </c>
      <c r="S26" s="17"/>
      <c r="T26" s="0" t="n">
        <v>0.15</v>
      </c>
    </row>
    <row r="27" customFormat="false" ht="15" hidden="false" customHeight="false" outlineLevel="0" collapsed="false">
      <c r="A27" s="13" t="n">
        <v>7</v>
      </c>
      <c r="B27" s="13" t="s">
        <v>23</v>
      </c>
      <c r="C27" s="15" t="n">
        <f aca="false">+C26+T26</f>
        <v>562.02</v>
      </c>
      <c r="D27" s="16" t="n">
        <f aca="false">+Chạy!F56</f>
        <v>-14.65</v>
      </c>
      <c r="E27" s="16" t="n">
        <f aca="false">+D27+F27</f>
        <v>-14.6461</v>
      </c>
      <c r="F27" s="16" t="n">
        <f aca="false">RANDBETWEEN(-105,115)/10000</f>
        <v>0.0039</v>
      </c>
      <c r="G27" s="16" t="n">
        <f aca="false">+Chạy!G56</f>
        <v>0.04</v>
      </c>
      <c r="H27" s="16" t="n">
        <f aca="false">G27+I27</f>
        <v>0.077</v>
      </c>
      <c r="I27" s="16" t="n">
        <f aca="false">RANDBETWEEN(-30,90)/1000</f>
        <v>0.037</v>
      </c>
      <c r="J27" s="16" t="n">
        <f aca="false">+Chạy!K56</f>
        <v>0.15</v>
      </c>
      <c r="K27" s="16" t="n">
        <f aca="false">J27+L27</f>
        <v>0.164</v>
      </c>
      <c r="L27" s="16" t="n">
        <f aca="false">RANDBETWEEN(-30,90)/1000</f>
        <v>0.014</v>
      </c>
      <c r="M27" s="16" t="n">
        <f aca="false">+Chạy!N56</f>
        <v>14.65</v>
      </c>
      <c r="N27" s="16" t="n">
        <f aca="false">+M27+O27</f>
        <v>14.6398</v>
      </c>
      <c r="O27" s="16" t="n">
        <f aca="false">RANDBETWEEN(-105,115)/10000</f>
        <v>-0.0102</v>
      </c>
      <c r="P27" s="16" t="n">
        <f aca="false">+Chạy!O56</f>
        <v>0.04</v>
      </c>
      <c r="Q27" s="16" t="n">
        <f aca="false">P27+R27</f>
        <v>0.042</v>
      </c>
      <c r="R27" s="16" t="n">
        <f aca="false">RANDBETWEEN(-30,90)/1000</f>
        <v>0.002</v>
      </c>
      <c r="S27" s="17"/>
      <c r="T27" s="0" t="n">
        <v>6.55</v>
      </c>
    </row>
    <row r="28" customFormat="false" ht="15" hidden="false" customHeight="false" outlineLevel="0" collapsed="false">
      <c r="A28" s="13" t="n">
        <v>8</v>
      </c>
      <c r="B28" s="13" t="s">
        <v>24</v>
      </c>
      <c r="C28" s="15" t="n">
        <f aca="false">+C27+T27</f>
        <v>568.57</v>
      </c>
      <c r="D28" s="16" t="n">
        <f aca="false">+Chạy!F64</f>
        <v>-14.65</v>
      </c>
      <c r="E28" s="16" t="n">
        <f aca="false">+D28+F28</f>
        <v>-14.6552</v>
      </c>
      <c r="F28" s="16" t="n">
        <f aca="false">RANDBETWEEN(-105,115)/10000</f>
        <v>-0.0052</v>
      </c>
      <c r="G28" s="16" t="n">
        <f aca="false">+Chạy!G64</f>
        <v>0.04</v>
      </c>
      <c r="H28" s="16" t="n">
        <f aca="false">G28+I28</f>
        <v>0.077</v>
      </c>
      <c r="I28" s="16" t="n">
        <f aca="false">RANDBETWEEN(-30,90)/1000</f>
        <v>0.037</v>
      </c>
      <c r="J28" s="16" t="n">
        <f aca="false">+Chạy!K64</f>
        <v>0.15</v>
      </c>
      <c r="K28" s="16" t="n">
        <f aca="false">J28+L28</f>
        <v>0.171</v>
      </c>
      <c r="L28" s="16" t="n">
        <f aca="false">RANDBETWEEN(-30,90)/1000</f>
        <v>0.021</v>
      </c>
      <c r="M28" s="16" t="n">
        <f aca="false">+Chạy!N64</f>
        <v>14.65</v>
      </c>
      <c r="N28" s="16" t="n">
        <f aca="false">+M28+O28</f>
        <v>14.6543</v>
      </c>
      <c r="O28" s="16" t="n">
        <f aca="false">RANDBETWEEN(-105,115)/10000</f>
        <v>0.0043</v>
      </c>
      <c r="P28" s="16" t="n">
        <f aca="false">+Chạy!O64</f>
        <v>0.04</v>
      </c>
      <c r="Q28" s="16" t="n">
        <f aca="false">P28+R28</f>
        <v>0.031</v>
      </c>
      <c r="R28" s="16" t="n">
        <f aca="false">RANDBETWEEN(-30,90)/1000</f>
        <v>-0.009</v>
      </c>
      <c r="S28" s="17"/>
      <c r="T28" s="0" t="n">
        <v>6.55</v>
      </c>
    </row>
    <row r="29" customFormat="false" ht="15" hidden="false" customHeight="false" outlineLevel="0" collapsed="false">
      <c r="A29" s="13" t="n">
        <v>9</v>
      </c>
      <c r="B29" s="13" t="s">
        <v>1</v>
      </c>
      <c r="C29" s="15" t="n">
        <f aca="false">+C28+T28</f>
        <v>575.12</v>
      </c>
      <c r="D29" s="16" t="n">
        <f aca="false">+Chạy!F72</f>
        <v>-14.65</v>
      </c>
      <c r="E29" s="16" t="n">
        <f aca="false">+D29+F29</f>
        <v>-14.6474</v>
      </c>
      <c r="F29" s="16" t="n">
        <f aca="false">RANDBETWEEN(-105,115)/10000</f>
        <v>0.0026</v>
      </c>
      <c r="G29" s="16" t="n">
        <f aca="false">+Chạy!G72</f>
        <v>0.04</v>
      </c>
      <c r="H29" s="16" t="n">
        <f aca="false">G29+I29</f>
        <v>0.128</v>
      </c>
      <c r="I29" s="16" t="n">
        <f aca="false">RANDBETWEEN(-30,90)/1000</f>
        <v>0.088</v>
      </c>
      <c r="J29" s="16" t="n">
        <f aca="false">+Chạy!K72</f>
        <v>0.15</v>
      </c>
      <c r="K29" s="16" t="n">
        <f aca="false">J29+L29</f>
        <v>0.194</v>
      </c>
      <c r="L29" s="16" t="n">
        <f aca="false">RANDBETWEEN(-30,90)/1000</f>
        <v>0.044</v>
      </c>
      <c r="M29" s="16" t="n">
        <f aca="false">+Chạy!N72</f>
        <v>10.04</v>
      </c>
      <c r="N29" s="16" t="n">
        <f aca="false">+M29+O29</f>
        <v>10.0449</v>
      </c>
      <c r="O29" s="16" t="n">
        <f aca="false">RANDBETWEEN(-105,115)/10000</f>
        <v>0.0049</v>
      </c>
      <c r="P29" s="16" t="n">
        <f aca="false">+Chạy!O72</f>
        <v>0.04</v>
      </c>
      <c r="Q29" s="16" t="n">
        <f aca="false">P29+R29</f>
        <v>0.042</v>
      </c>
      <c r="R29" s="16" t="n">
        <f aca="false">RANDBETWEEN(-30,90)/1000</f>
        <v>0.002</v>
      </c>
      <c r="S29" s="17"/>
      <c r="T29" s="0" t="n">
        <v>0.04</v>
      </c>
    </row>
    <row r="30" customFormat="false" ht="15" hidden="false" customHeight="false" outlineLevel="0" collapsed="false">
      <c r="A30" s="13" t="n">
        <v>10</v>
      </c>
      <c r="B30" s="13" t="s">
        <v>25</v>
      </c>
      <c r="C30" s="15" t="n">
        <f aca="false">+C29+T29</f>
        <v>575.16</v>
      </c>
      <c r="D30" s="16" t="n">
        <f aca="false">+Chạy!F80</f>
        <v>-14.65</v>
      </c>
      <c r="E30" s="16" t="n">
        <f aca="false">+D30+F30</f>
        <v>-14.6471</v>
      </c>
      <c r="F30" s="16" t="n">
        <f aca="false">RANDBETWEEN(-105,115)/10000</f>
        <v>0.0029</v>
      </c>
      <c r="G30" s="16" t="n">
        <f aca="false">+Chạy!G80</f>
        <v>0.17</v>
      </c>
      <c r="H30" s="16" t="n">
        <f aca="false">G30+I30</f>
        <v>0.236</v>
      </c>
      <c r="I30" s="16" t="n">
        <f aca="false">RANDBETWEEN(-30,90)/1000</f>
        <v>0.066</v>
      </c>
      <c r="J30" s="16" t="n">
        <f aca="false">+Chạy!K80</f>
        <v>0.15</v>
      </c>
      <c r="K30" s="16" t="n">
        <f aca="false">J30+L30</f>
        <v>0.13</v>
      </c>
      <c r="L30" s="16" t="n">
        <f aca="false">RANDBETWEEN(-30,90)/1000</f>
        <v>-0.02</v>
      </c>
      <c r="M30" s="16" t="n">
        <f aca="false">+Chạy!N80</f>
        <v>9.82</v>
      </c>
      <c r="N30" s="16" t="n">
        <f aca="false">+M30+O30</f>
        <v>9.8105</v>
      </c>
      <c r="O30" s="16" t="n">
        <f aca="false">RANDBETWEEN(-105,115)/10000</f>
        <v>-0.0095</v>
      </c>
      <c r="P30" s="16" t="n">
        <f aca="false">+Chạy!O80</f>
        <v>0.04</v>
      </c>
      <c r="Q30" s="16" t="n">
        <f aca="false">P30+R30</f>
        <v>0.124</v>
      </c>
      <c r="R30" s="16" t="n">
        <f aca="false">RANDBETWEEN(-30,90)/1000</f>
        <v>0.084</v>
      </c>
      <c r="S30" s="17"/>
      <c r="T30" s="0" t="n">
        <v>16.95</v>
      </c>
    </row>
    <row r="31" customFormat="false" ht="15" hidden="false" customHeight="false" outlineLevel="0" collapsed="false">
      <c r="A31" s="13" t="n">
        <v>11</v>
      </c>
      <c r="B31" s="13" t="s">
        <v>26</v>
      </c>
      <c r="C31" s="15" t="n">
        <f aca="false">+C30+T30</f>
        <v>592.11</v>
      </c>
      <c r="D31" s="16" t="n">
        <f aca="false">+Chạy!F88</f>
        <v>-14.65</v>
      </c>
      <c r="E31" s="16" t="n">
        <f aca="false">+D31+F31</f>
        <v>-14.6604</v>
      </c>
      <c r="F31" s="16" t="n">
        <f aca="false">RANDBETWEEN(-105,115)/10000</f>
        <v>-0.0104</v>
      </c>
      <c r="G31" s="16" t="n">
        <f aca="false">+Chạy!G88</f>
        <v>0.04</v>
      </c>
      <c r="H31" s="16" t="n">
        <f aca="false">G31+I31</f>
        <v>0.09</v>
      </c>
      <c r="I31" s="16" t="n">
        <f aca="false">RANDBETWEEN(-30,90)/1000</f>
        <v>0.05</v>
      </c>
      <c r="J31" s="16" t="n">
        <f aca="false">+Chạy!K88</f>
        <v>0.16</v>
      </c>
      <c r="K31" s="16" t="n">
        <f aca="false">J31+L31</f>
        <v>0.165</v>
      </c>
      <c r="L31" s="16" t="n">
        <f aca="false">RANDBETWEEN(-30,90)/1000</f>
        <v>0.005</v>
      </c>
      <c r="M31" s="16" t="n">
        <f aca="false">+Chạy!N88</f>
        <v>14.65</v>
      </c>
      <c r="N31" s="16" t="n">
        <f aca="false">+M31+O31</f>
        <v>14.6583</v>
      </c>
      <c r="O31" s="16" t="n">
        <f aca="false">RANDBETWEEN(-105,115)/10000</f>
        <v>0.0083</v>
      </c>
      <c r="P31" s="16" t="n">
        <f aca="false">+Chạy!O88</f>
        <v>0.04</v>
      </c>
      <c r="Q31" s="16" t="n">
        <f aca="false">P31+R31</f>
        <v>0.076</v>
      </c>
      <c r="R31" s="16" t="n">
        <f aca="false">RANDBETWEEN(-30,90)/1000</f>
        <v>0.036</v>
      </c>
      <c r="S31" s="17"/>
      <c r="T31" s="0" t="n">
        <v>17</v>
      </c>
    </row>
    <row r="32" customFormat="false" ht="15" hidden="false" customHeight="false" outlineLevel="0" collapsed="false">
      <c r="A32" s="13" t="n">
        <v>12</v>
      </c>
      <c r="B32" s="13" t="s">
        <v>27</v>
      </c>
      <c r="C32" s="15" t="n">
        <f aca="false">+C31+T31</f>
        <v>609.11</v>
      </c>
      <c r="D32" s="16" t="n">
        <f aca="false">+Chạy!F96</f>
        <v>-9.76</v>
      </c>
      <c r="E32" s="16" t="n">
        <f aca="false">+D32+F32</f>
        <v>-9.7529</v>
      </c>
      <c r="F32" s="16" t="n">
        <f aca="false">RANDBETWEEN(-105,115)/10000</f>
        <v>0.0071</v>
      </c>
      <c r="G32" s="16" t="n">
        <f aca="false">+Chạy!G96</f>
        <v>0.04</v>
      </c>
      <c r="H32" s="16" t="n">
        <f aca="false">G32+I32</f>
        <v>0.027</v>
      </c>
      <c r="I32" s="16" t="n">
        <f aca="false">RANDBETWEEN(-30,90)/1000</f>
        <v>-0.013</v>
      </c>
      <c r="J32" s="16" t="n">
        <f aca="false">+Chạy!K96</f>
        <v>0.16</v>
      </c>
      <c r="K32" s="16" t="n">
        <f aca="false">J32+L32</f>
        <v>0.165</v>
      </c>
      <c r="L32" s="16" t="n">
        <f aca="false">RANDBETWEEN(-30,90)/1000</f>
        <v>0.005</v>
      </c>
      <c r="M32" s="16" t="n">
        <f aca="false">+Chạy!N96</f>
        <v>9.62</v>
      </c>
      <c r="N32" s="16" t="n">
        <f aca="false">+M32+O32</f>
        <v>9.628</v>
      </c>
      <c r="O32" s="16" t="n">
        <f aca="false">RANDBETWEEN(-105,115)/10000</f>
        <v>0.008</v>
      </c>
      <c r="P32" s="16" t="n">
        <f aca="false">+Chạy!O96</f>
        <v>0.04</v>
      </c>
      <c r="Q32" s="16" t="n">
        <f aca="false">P32+R32</f>
        <v>0.029</v>
      </c>
      <c r="R32" s="16" t="n">
        <f aca="false">RANDBETWEEN(-30,90)/1000</f>
        <v>-0.011</v>
      </c>
      <c r="S32" s="17"/>
    </row>
    <row r="33" customFormat="false" ht="15" hidden="true" customHeight="false" outlineLevel="0" collapsed="false">
      <c r="A33" s="13"/>
      <c r="B33" s="13"/>
      <c r="C33" s="15"/>
      <c r="D33" s="16"/>
      <c r="E33" s="16"/>
      <c r="F33" s="16"/>
      <c r="G33" s="16"/>
      <c r="H33" s="16"/>
      <c r="I33" s="16"/>
      <c r="J33" s="16"/>
      <c r="K33" s="16"/>
      <c r="L33" s="16"/>
      <c r="M33" s="16"/>
      <c r="N33" s="16"/>
      <c r="O33" s="16"/>
      <c r="P33" s="16"/>
      <c r="Q33" s="16"/>
      <c r="R33" s="16"/>
      <c r="S33" s="17"/>
    </row>
    <row r="34" customFormat="false" ht="15" hidden="true" customHeight="false" outlineLevel="0" collapsed="false">
      <c r="A34" s="13"/>
      <c r="B34" s="13"/>
      <c r="C34" s="15"/>
      <c r="D34" s="16"/>
      <c r="E34" s="16"/>
      <c r="F34" s="16"/>
      <c r="G34" s="16"/>
      <c r="H34" s="16"/>
      <c r="I34" s="16"/>
      <c r="J34" s="16"/>
      <c r="K34" s="16"/>
      <c r="L34" s="16"/>
      <c r="M34" s="16"/>
      <c r="N34" s="16"/>
      <c r="O34" s="16"/>
      <c r="P34" s="16"/>
      <c r="Q34" s="16"/>
      <c r="R34" s="16"/>
      <c r="S34" s="17"/>
    </row>
    <row r="35" customFormat="false" ht="15" hidden="true" customHeight="false" outlineLevel="0" collapsed="false">
      <c r="A35" s="13"/>
      <c r="B35" s="13"/>
      <c r="C35" s="15"/>
      <c r="D35" s="16"/>
      <c r="E35" s="16"/>
      <c r="F35" s="16"/>
      <c r="G35" s="16"/>
      <c r="H35" s="16"/>
      <c r="I35" s="16"/>
      <c r="J35" s="16"/>
      <c r="K35" s="16"/>
      <c r="L35" s="16"/>
      <c r="M35" s="16"/>
      <c r="N35" s="16"/>
      <c r="O35" s="16"/>
      <c r="P35" s="16"/>
      <c r="Q35" s="16"/>
      <c r="R35" s="16"/>
      <c r="S35" s="17"/>
    </row>
    <row r="36" customFormat="false" ht="15" hidden="true" customHeight="false" outlineLevel="0" collapsed="false">
      <c r="A36" s="13"/>
      <c r="B36" s="13"/>
      <c r="C36" s="15"/>
      <c r="D36" s="16"/>
      <c r="E36" s="16"/>
      <c r="F36" s="16"/>
      <c r="G36" s="16"/>
      <c r="H36" s="16"/>
      <c r="I36" s="16"/>
      <c r="J36" s="16"/>
      <c r="K36" s="16"/>
      <c r="L36" s="16"/>
      <c r="M36" s="16"/>
      <c r="N36" s="16"/>
      <c r="O36" s="16"/>
      <c r="P36" s="16"/>
      <c r="Q36" s="16"/>
      <c r="R36" s="16"/>
      <c r="S36" s="17"/>
    </row>
    <row r="37" customFormat="false" ht="15" hidden="true" customHeight="false" outlineLevel="0" collapsed="false">
      <c r="A37" s="13"/>
      <c r="B37" s="13"/>
      <c r="C37" s="15"/>
      <c r="D37" s="16"/>
      <c r="E37" s="16"/>
      <c r="F37" s="16"/>
      <c r="G37" s="16"/>
      <c r="H37" s="16"/>
      <c r="I37" s="16"/>
      <c r="J37" s="16"/>
      <c r="K37" s="16"/>
      <c r="L37" s="16"/>
      <c r="M37" s="16"/>
      <c r="N37" s="16"/>
      <c r="O37" s="16"/>
      <c r="P37" s="16"/>
      <c r="Q37" s="16"/>
      <c r="R37" s="16"/>
      <c r="S37" s="17"/>
    </row>
    <row r="38" customFormat="false" ht="15" hidden="true" customHeight="false" outlineLevel="0" collapsed="false">
      <c r="A38" s="13"/>
      <c r="B38" s="13"/>
      <c r="C38" s="15"/>
      <c r="D38" s="16"/>
      <c r="E38" s="16"/>
      <c r="F38" s="16"/>
      <c r="G38" s="16"/>
      <c r="H38" s="16"/>
      <c r="I38" s="16"/>
      <c r="J38" s="16"/>
      <c r="K38" s="16"/>
      <c r="L38" s="16"/>
      <c r="M38" s="16"/>
      <c r="N38" s="16"/>
      <c r="O38" s="16"/>
      <c r="P38" s="16"/>
      <c r="Q38" s="16"/>
      <c r="R38" s="16"/>
      <c r="S38" s="17"/>
    </row>
    <row r="39" customFormat="false" ht="15" hidden="true" customHeight="false" outlineLevel="0" collapsed="false">
      <c r="A39" s="13"/>
      <c r="B39" s="13"/>
      <c r="C39" s="15"/>
      <c r="D39" s="16"/>
      <c r="E39" s="16"/>
      <c r="F39" s="16"/>
      <c r="G39" s="16"/>
      <c r="H39" s="16"/>
      <c r="I39" s="16"/>
      <c r="J39" s="16"/>
      <c r="K39" s="16"/>
      <c r="L39" s="16"/>
      <c r="M39" s="16"/>
      <c r="N39" s="16"/>
      <c r="O39" s="16"/>
      <c r="P39" s="16"/>
      <c r="Q39" s="16"/>
      <c r="R39" s="16"/>
      <c r="S39" s="17"/>
    </row>
    <row r="40" customFormat="false" ht="15" hidden="true" customHeight="false" outlineLevel="0" collapsed="false">
      <c r="A40" s="13"/>
      <c r="B40" s="13"/>
      <c r="C40" s="15"/>
      <c r="D40" s="16"/>
      <c r="E40" s="16"/>
      <c r="F40" s="16"/>
      <c r="G40" s="16"/>
      <c r="H40" s="16"/>
      <c r="I40" s="16"/>
      <c r="J40" s="16"/>
      <c r="K40" s="16"/>
      <c r="L40" s="16"/>
      <c r="M40" s="16"/>
      <c r="N40" s="16"/>
      <c r="O40" s="16"/>
      <c r="P40" s="16"/>
      <c r="Q40" s="16"/>
      <c r="R40" s="16"/>
      <c r="S40" s="17"/>
    </row>
    <row r="41" customFormat="false" ht="15" hidden="true" customHeight="false" outlineLevel="0" collapsed="false">
      <c r="A41" s="13"/>
      <c r="B41" s="13"/>
      <c r="C41" s="15"/>
      <c r="D41" s="16"/>
      <c r="E41" s="16"/>
      <c r="F41" s="16"/>
      <c r="G41" s="16"/>
      <c r="H41" s="16"/>
      <c r="I41" s="16"/>
      <c r="J41" s="16"/>
      <c r="K41" s="16"/>
      <c r="L41" s="16"/>
      <c r="M41" s="16"/>
      <c r="N41" s="16"/>
      <c r="O41" s="16"/>
      <c r="P41" s="16"/>
      <c r="Q41" s="16"/>
      <c r="R41" s="16"/>
      <c r="S41" s="17"/>
    </row>
    <row r="42" customFormat="false" ht="15" hidden="true" customHeight="false" outlineLevel="0" collapsed="false">
      <c r="A42" s="13"/>
      <c r="B42" s="13"/>
      <c r="C42" s="15"/>
      <c r="D42" s="16"/>
      <c r="E42" s="16"/>
      <c r="F42" s="16"/>
      <c r="G42" s="16"/>
      <c r="H42" s="16"/>
      <c r="I42" s="16"/>
      <c r="J42" s="16"/>
      <c r="K42" s="16"/>
      <c r="L42" s="16"/>
      <c r="M42" s="16"/>
      <c r="N42" s="16"/>
      <c r="O42" s="16"/>
      <c r="P42" s="16"/>
      <c r="Q42" s="16"/>
      <c r="R42" s="16"/>
      <c r="S42" s="17"/>
    </row>
    <row r="43" customFormat="false" ht="15" hidden="true" customHeight="false" outlineLevel="0" collapsed="false">
      <c r="A43" s="13"/>
      <c r="B43" s="13"/>
      <c r="C43" s="15"/>
      <c r="D43" s="16"/>
      <c r="E43" s="16"/>
      <c r="F43" s="16"/>
      <c r="G43" s="16"/>
      <c r="H43" s="16"/>
      <c r="I43" s="16"/>
      <c r="J43" s="16"/>
      <c r="K43" s="16"/>
      <c r="L43" s="16"/>
      <c r="M43" s="16"/>
      <c r="N43" s="16"/>
      <c r="O43" s="16"/>
      <c r="P43" s="16"/>
      <c r="Q43" s="16"/>
      <c r="R43" s="16"/>
      <c r="S43" s="17"/>
    </row>
    <row r="44" customFormat="false" ht="15" hidden="true" customHeight="false" outlineLevel="0" collapsed="false">
      <c r="A44" s="13"/>
      <c r="B44" s="13"/>
      <c r="C44" s="15"/>
      <c r="D44" s="16"/>
      <c r="E44" s="16"/>
      <c r="F44" s="16"/>
      <c r="G44" s="16"/>
      <c r="H44" s="16"/>
      <c r="I44" s="16"/>
      <c r="J44" s="16"/>
      <c r="K44" s="16"/>
      <c r="L44" s="16"/>
      <c r="M44" s="16"/>
      <c r="N44" s="16"/>
      <c r="O44" s="16"/>
      <c r="P44" s="16"/>
      <c r="Q44" s="16"/>
      <c r="R44" s="16"/>
      <c r="S44" s="17"/>
    </row>
    <row r="45" customFormat="false" ht="15" hidden="true" customHeight="false" outlineLevel="0" collapsed="false">
      <c r="A45" s="13"/>
      <c r="B45" s="13"/>
      <c r="C45" s="15"/>
      <c r="D45" s="16"/>
      <c r="E45" s="16"/>
      <c r="F45" s="16"/>
      <c r="G45" s="16"/>
      <c r="H45" s="16"/>
      <c r="I45" s="16"/>
      <c r="J45" s="16"/>
      <c r="K45" s="16"/>
      <c r="L45" s="16"/>
      <c r="M45" s="16"/>
      <c r="N45" s="16"/>
      <c r="O45" s="16"/>
      <c r="P45" s="16"/>
      <c r="Q45" s="16"/>
      <c r="R45" s="16"/>
      <c r="S45" s="17"/>
    </row>
    <row r="46" customFormat="false" ht="15" hidden="true" customHeight="false" outlineLevel="0" collapsed="false">
      <c r="A46" s="13"/>
      <c r="B46" s="13"/>
      <c r="C46" s="15"/>
      <c r="D46" s="16"/>
      <c r="E46" s="16"/>
      <c r="F46" s="16"/>
      <c r="G46" s="16"/>
      <c r="H46" s="16"/>
      <c r="I46" s="16"/>
      <c r="J46" s="16"/>
      <c r="K46" s="16"/>
      <c r="L46" s="16"/>
      <c r="M46" s="16"/>
      <c r="N46" s="16"/>
      <c r="O46" s="16"/>
      <c r="P46" s="16"/>
      <c r="Q46" s="16"/>
      <c r="R46" s="16"/>
      <c r="S46" s="17"/>
    </row>
    <row r="47" customFormat="false" ht="15" hidden="true" customHeight="false" outlineLevel="0" collapsed="false">
      <c r="A47" s="13"/>
      <c r="B47" s="13"/>
      <c r="C47" s="15"/>
      <c r="D47" s="16"/>
      <c r="E47" s="16"/>
      <c r="F47" s="16"/>
      <c r="G47" s="16"/>
      <c r="H47" s="16"/>
      <c r="I47" s="16"/>
      <c r="J47" s="16"/>
      <c r="K47" s="16"/>
      <c r="L47" s="16"/>
      <c r="M47" s="16"/>
      <c r="N47" s="16"/>
      <c r="O47" s="16"/>
      <c r="P47" s="16"/>
      <c r="Q47" s="16"/>
      <c r="R47" s="16"/>
      <c r="S47" s="17"/>
    </row>
    <row r="48" customFormat="false" ht="15" hidden="true" customHeight="false" outlineLevel="0" collapsed="false">
      <c r="A48" s="13"/>
      <c r="B48" s="13"/>
      <c r="C48" s="15"/>
      <c r="D48" s="16"/>
      <c r="E48" s="16"/>
      <c r="F48" s="16"/>
      <c r="G48" s="16"/>
      <c r="H48" s="16"/>
      <c r="I48" s="16"/>
      <c r="J48" s="16"/>
      <c r="K48" s="16"/>
      <c r="L48" s="16"/>
      <c r="M48" s="16"/>
      <c r="N48" s="16"/>
      <c r="O48" s="16"/>
      <c r="P48" s="16"/>
      <c r="Q48" s="16"/>
      <c r="R48" s="16"/>
      <c r="S48" s="17"/>
    </row>
    <row r="49" customFormat="false" ht="15" hidden="true" customHeight="false" outlineLevel="0" collapsed="false">
      <c r="A49" s="13"/>
      <c r="B49" s="13"/>
      <c r="C49" s="15"/>
      <c r="D49" s="16"/>
      <c r="E49" s="16"/>
      <c r="F49" s="16"/>
      <c r="G49" s="16"/>
      <c r="H49" s="16"/>
      <c r="I49" s="16"/>
      <c r="J49" s="16"/>
      <c r="K49" s="16"/>
      <c r="L49" s="16"/>
      <c r="M49" s="16"/>
      <c r="N49" s="16"/>
      <c r="O49" s="16"/>
      <c r="P49" s="16"/>
      <c r="Q49" s="16"/>
      <c r="R49" s="16"/>
      <c r="S49" s="17"/>
    </row>
    <row r="50" customFormat="false" ht="15" hidden="true" customHeight="false" outlineLevel="0" collapsed="false">
      <c r="A50" s="13"/>
      <c r="B50" s="13"/>
      <c r="C50" s="15"/>
      <c r="D50" s="16"/>
      <c r="E50" s="16"/>
      <c r="F50" s="16"/>
      <c r="G50" s="16"/>
      <c r="H50" s="16"/>
      <c r="I50" s="16"/>
      <c r="J50" s="16"/>
      <c r="K50" s="16"/>
      <c r="L50" s="16"/>
      <c r="M50" s="16"/>
      <c r="N50" s="16"/>
      <c r="O50" s="16"/>
      <c r="P50" s="16"/>
      <c r="Q50" s="16"/>
      <c r="R50" s="16"/>
      <c r="S50" s="17"/>
    </row>
    <row r="51" customFormat="false" ht="15" hidden="true" customHeight="false" outlineLevel="0" collapsed="false">
      <c r="A51" s="13"/>
      <c r="B51" s="13"/>
      <c r="C51" s="15"/>
      <c r="D51" s="16"/>
      <c r="E51" s="16"/>
      <c r="F51" s="16"/>
      <c r="G51" s="16"/>
      <c r="H51" s="16"/>
      <c r="I51" s="16"/>
      <c r="J51" s="16"/>
      <c r="K51" s="16"/>
      <c r="L51" s="16"/>
      <c r="M51" s="16"/>
      <c r="N51" s="16"/>
      <c r="O51" s="16"/>
      <c r="P51" s="16"/>
      <c r="Q51" s="16"/>
      <c r="R51" s="16"/>
      <c r="S51" s="17"/>
    </row>
    <row r="52" customFormat="false" ht="15" hidden="true" customHeight="false" outlineLevel="0" collapsed="false">
      <c r="A52" s="13"/>
      <c r="B52" s="13"/>
      <c r="C52" s="15"/>
      <c r="D52" s="16"/>
      <c r="E52" s="16"/>
      <c r="F52" s="16"/>
      <c r="G52" s="16"/>
      <c r="H52" s="16"/>
      <c r="I52" s="16"/>
      <c r="J52" s="16"/>
      <c r="K52" s="16"/>
      <c r="L52" s="16"/>
      <c r="M52" s="16"/>
      <c r="N52" s="16"/>
      <c r="O52" s="16"/>
      <c r="P52" s="16"/>
      <c r="Q52" s="16"/>
      <c r="R52" s="16"/>
      <c r="S52" s="17"/>
    </row>
    <row r="53" customFormat="false" ht="15" hidden="true" customHeight="false" outlineLevel="0" collapsed="false">
      <c r="A53" s="13"/>
      <c r="B53" s="13"/>
      <c r="C53" s="15"/>
      <c r="D53" s="16"/>
      <c r="E53" s="16"/>
      <c r="F53" s="16"/>
      <c r="G53" s="16"/>
      <c r="H53" s="16"/>
      <c r="I53" s="16"/>
      <c r="J53" s="16"/>
      <c r="K53" s="16"/>
      <c r="L53" s="16"/>
      <c r="M53" s="16"/>
      <c r="N53" s="16"/>
      <c r="O53" s="16"/>
      <c r="P53" s="16"/>
      <c r="Q53" s="16"/>
      <c r="R53" s="16"/>
      <c r="S53" s="17"/>
    </row>
    <row r="54" customFormat="false" ht="15" hidden="true" customHeight="false" outlineLevel="0" collapsed="false">
      <c r="A54" s="13"/>
      <c r="B54" s="13"/>
      <c r="C54" s="15"/>
      <c r="D54" s="16"/>
      <c r="E54" s="16"/>
      <c r="F54" s="16"/>
      <c r="G54" s="16"/>
      <c r="H54" s="16"/>
      <c r="I54" s="16"/>
      <c r="J54" s="16"/>
      <c r="K54" s="16"/>
      <c r="L54" s="16"/>
      <c r="M54" s="16"/>
      <c r="N54" s="16"/>
      <c r="O54" s="16"/>
      <c r="P54" s="16"/>
      <c r="Q54" s="16"/>
      <c r="R54" s="16"/>
      <c r="S54" s="17"/>
    </row>
    <row r="55" customFormat="false" ht="15" hidden="true" customHeight="false" outlineLevel="0" collapsed="false">
      <c r="A55" s="13"/>
      <c r="B55" s="13"/>
      <c r="C55" s="15"/>
      <c r="D55" s="16"/>
      <c r="E55" s="16"/>
      <c r="F55" s="16"/>
      <c r="G55" s="16"/>
      <c r="H55" s="16"/>
      <c r="I55" s="16"/>
      <c r="J55" s="16"/>
      <c r="K55" s="16"/>
      <c r="L55" s="16"/>
      <c r="M55" s="16"/>
      <c r="N55" s="16"/>
      <c r="O55" s="16"/>
      <c r="P55" s="16"/>
      <c r="Q55" s="16"/>
      <c r="R55" s="16"/>
      <c r="S55" s="17"/>
    </row>
    <row r="56" customFormat="false" ht="15" hidden="true" customHeight="false" outlineLevel="0" collapsed="false">
      <c r="A56" s="13"/>
      <c r="B56" s="13"/>
      <c r="C56" s="15"/>
      <c r="D56" s="16"/>
      <c r="E56" s="16"/>
      <c r="F56" s="16"/>
      <c r="G56" s="16"/>
      <c r="H56" s="16"/>
      <c r="I56" s="16"/>
      <c r="J56" s="16"/>
      <c r="K56" s="16"/>
      <c r="L56" s="16"/>
      <c r="M56" s="16"/>
      <c r="N56" s="16"/>
      <c r="O56" s="16"/>
      <c r="P56" s="16"/>
      <c r="Q56" s="16"/>
      <c r="R56" s="16"/>
      <c r="S56" s="17"/>
    </row>
    <row r="57" customFormat="false" ht="15" hidden="true" customHeight="false" outlineLevel="0" collapsed="false">
      <c r="A57" s="13"/>
      <c r="B57" s="13"/>
      <c r="C57" s="15"/>
      <c r="D57" s="16"/>
      <c r="E57" s="16"/>
      <c r="F57" s="16"/>
      <c r="G57" s="16"/>
      <c r="H57" s="16"/>
      <c r="I57" s="16"/>
      <c r="J57" s="16"/>
      <c r="K57" s="16"/>
      <c r="L57" s="16"/>
      <c r="M57" s="16"/>
      <c r="N57" s="16"/>
      <c r="O57" s="16"/>
      <c r="P57" s="16"/>
      <c r="Q57" s="16"/>
      <c r="R57" s="16"/>
      <c r="S57" s="17"/>
    </row>
    <row r="58" customFormat="false" ht="15" hidden="true" customHeight="false" outlineLevel="0" collapsed="false">
      <c r="A58" s="13"/>
      <c r="B58" s="13"/>
      <c r="C58" s="15"/>
      <c r="D58" s="16"/>
      <c r="E58" s="16"/>
      <c r="F58" s="16"/>
      <c r="G58" s="16"/>
      <c r="H58" s="16"/>
      <c r="I58" s="16"/>
      <c r="J58" s="16"/>
      <c r="K58" s="16"/>
      <c r="L58" s="16"/>
      <c r="M58" s="16"/>
      <c r="N58" s="16"/>
      <c r="O58" s="16"/>
      <c r="P58" s="16"/>
      <c r="Q58" s="16"/>
      <c r="R58" s="16"/>
      <c r="S58" s="17"/>
    </row>
    <row r="59" customFormat="false" ht="15" hidden="true" customHeight="false" outlineLevel="0" collapsed="false">
      <c r="A59" s="13"/>
      <c r="B59" s="13"/>
      <c r="C59" s="15"/>
      <c r="D59" s="16"/>
      <c r="E59" s="16"/>
      <c r="F59" s="16"/>
      <c r="G59" s="16"/>
      <c r="H59" s="16"/>
      <c r="I59" s="16"/>
      <c r="J59" s="16"/>
      <c r="K59" s="16"/>
      <c r="L59" s="16"/>
      <c r="M59" s="16"/>
      <c r="N59" s="16"/>
      <c r="O59" s="16"/>
      <c r="P59" s="16"/>
      <c r="Q59" s="16"/>
      <c r="R59" s="16"/>
      <c r="S59" s="17"/>
    </row>
    <row r="60" customFormat="false" ht="15" hidden="true" customHeight="false" outlineLevel="0" collapsed="false">
      <c r="A60" s="13"/>
      <c r="B60" s="13"/>
      <c r="C60" s="15"/>
      <c r="D60" s="16"/>
      <c r="E60" s="16"/>
      <c r="F60" s="16"/>
      <c r="G60" s="16"/>
      <c r="H60" s="16"/>
      <c r="I60" s="16"/>
      <c r="J60" s="16"/>
      <c r="K60" s="16"/>
      <c r="L60" s="16"/>
      <c r="M60" s="16"/>
      <c r="N60" s="16"/>
      <c r="O60" s="16"/>
      <c r="P60" s="16"/>
      <c r="Q60" s="16"/>
      <c r="R60" s="16"/>
      <c r="S60" s="17"/>
    </row>
    <row r="61" customFormat="false" ht="12" hidden="false" customHeight="true" outlineLevel="0" collapsed="false"/>
    <row r="62" customFormat="false" ht="15" hidden="false" customHeight="false" outlineLevel="0" collapsed="false">
      <c r="C62" s="19" t="s">
        <v>50</v>
      </c>
      <c r="D62" s="19"/>
      <c r="E62" s="19"/>
      <c r="F62" s="19"/>
      <c r="G62" s="19"/>
      <c r="H62" s="19"/>
      <c r="I62" s="19"/>
      <c r="K62" s="20"/>
      <c r="L62" s="20"/>
      <c r="M62" s="20"/>
      <c r="N62" s="20"/>
      <c r="O62" s="19" t="s">
        <v>51</v>
      </c>
      <c r="P62" s="19"/>
      <c r="Q62" s="19"/>
      <c r="R62" s="19"/>
    </row>
    <row r="63" customFormat="false" ht="15" hidden="false" customHeight="false" outlineLevel="0" collapsed="false">
      <c r="E63" s="21"/>
      <c r="F63" s="21"/>
      <c r="G63" s="21"/>
      <c r="H63" s="21"/>
      <c r="K63" s="21"/>
      <c r="L63" s="21"/>
      <c r="M63" s="21"/>
      <c r="N63" s="21"/>
      <c r="O63" s="21"/>
      <c r="P63" s="21"/>
      <c r="Q63" s="21"/>
      <c r="R63" s="21"/>
    </row>
    <row r="64" customFormat="false" ht="15" hidden="false" customHeight="false" outlineLevel="0" collapsed="false">
      <c r="E64" s="21"/>
      <c r="F64" s="21"/>
      <c r="G64" s="21"/>
      <c r="H64" s="21"/>
      <c r="K64" s="21"/>
      <c r="L64" s="21"/>
      <c r="M64" s="21"/>
      <c r="N64" s="21"/>
      <c r="O64" s="21"/>
      <c r="P64" s="21"/>
      <c r="Q64" s="21"/>
      <c r="R64" s="21"/>
    </row>
    <row r="65" customFormat="false" ht="15" hidden="false" customHeight="false" outlineLevel="0" collapsed="false">
      <c r="E65" s="21"/>
      <c r="F65" s="21"/>
      <c r="G65" s="21"/>
      <c r="H65" s="21"/>
      <c r="K65" s="21"/>
      <c r="L65" s="21"/>
      <c r="M65" s="21"/>
      <c r="N65" s="21"/>
      <c r="O65" s="21"/>
      <c r="P65" s="21"/>
      <c r="Q65" s="21"/>
      <c r="R65" s="21"/>
    </row>
    <row r="66" customFormat="false" ht="15" hidden="false" customHeight="false" outlineLevel="0" collapsed="false">
      <c r="E66" s="21"/>
      <c r="F66" s="21"/>
      <c r="G66" s="21"/>
      <c r="H66" s="21"/>
      <c r="K66" s="21"/>
      <c r="L66" s="21"/>
      <c r="M66" s="21"/>
      <c r="N66" s="21"/>
      <c r="O66" s="21"/>
      <c r="P66" s="21"/>
      <c r="Q66" s="21"/>
      <c r="R66" s="21"/>
    </row>
    <row r="67" customFormat="false" ht="15.75" hidden="false" customHeight="true" outlineLevel="0" collapsed="false">
      <c r="A67" s="88"/>
      <c r="B67" s="88"/>
      <c r="C67" s="89" t="s">
        <v>52</v>
      </c>
      <c r="D67" s="89"/>
      <c r="E67" s="89"/>
      <c r="F67" s="89"/>
      <c r="G67" s="89"/>
      <c r="H67" s="89"/>
      <c r="I67" s="89"/>
      <c r="J67" s="88"/>
      <c r="K67" s="90"/>
      <c r="L67" s="90"/>
      <c r="M67" s="90"/>
      <c r="N67" s="90"/>
      <c r="O67" s="89" t="s">
        <v>53</v>
      </c>
      <c r="P67" s="89"/>
      <c r="Q67" s="89"/>
      <c r="R67" s="89"/>
      <c r="S67" s="88"/>
    </row>
    <row r="68" customFormat="false" ht="17.25" hidden="false" customHeight="true" outlineLevel="0" collapsed="false">
      <c r="A68" s="91"/>
      <c r="B68" s="91"/>
      <c r="C68" s="91"/>
      <c r="D68" s="91"/>
      <c r="E68" s="91"/>
      <c r="F68" s="91"/>
      <c r="G68" s="91"/>
      <c r="H68" s="91"/>
      <c r="I68" s="91"/>
      <c r="J68" s="91"/>
      <c r="K68" s="91"/>
      <c r="L68" s="91"/>
      <c r="M68" s="91"/>
      <c r="N68" s="91"/>
      <c r="O68" s="91"/>
      <c r="P68" s="91"/>
      <c r="Q68" s="91"/>
      <c r="R68" s="91"/>
      <c r="S68" s="91"/>
    </row>
  </sheetData>
  <mergeCells count="13">
    <mergeCell ref="A1:S1"/>
    <mergeCell ref="A2:S2"/>
    <mergeCell ref="A19:A20"/>
    <mergeCell ref="B19:B20"/>
    <mergeCell ref="C19:C20"/>
    <mergeCell ref="D19:I19"/>
    <mergeCell ref="J19:L19"/>
    <mergeCell ref="M19:R19"/>
    <mergeCell ref="S19:S20"/>
    <mergeCell ref="C62:I62"/>
    <mergeCell ref="O62:R62"/>
    <mergeCell ref="C67:I67"/>
    <mergeCell ref="O67:R67"/>
  </mergeCells>
  <printOptions headings="false" gridLines="false" gridLinesSet="true" horizontalCentered="true" verticalCentered="false"/>
  <pageMargins left="0.196527777777778" right="0.196527777777778" top="0.747916666666667" bottom="0.393055555555556" header="0.511811023622047" footer="0.196527777777778"/>
  <pageSetup paperSize="9" scale="100" fitToWidth="1" fitToHeight="2" pageOrder="downThenOver" orientation="landscape" blackAndWhite="false" draft="false" cellComments="none" horizontalDpi="300" verticalDpi="300" copies="1"/>
  <headerFooter differentFirst="false" differentOddEven="false">
    <oddHeader/>
    <oddFooter>&amp;C&amp;P</oddFooter>
  </headerFooter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HW136"/>
  <sheetViews>
    <sheetView showFormulas="false" showGridLines="true" showRowColHeaders="true" showZeros="true" rightToLeft="false" tabSelected="true" showOutlineSymbols="true" defaultGridColor="true" view="normal" topLeftCell="A4" colorId="64" zoomScale="70" zoomScaleNormal="70" zoomScalePageLayoutView="100" workbookViewId="0">
      <selection pane="topLeft" activeCell="AD52" activeCellId="0" sqref="AD52"/>
    </sheetView>
  </sheetViews>
  <sheetFormatPr defaultColWidth="9.2890625" defaultRowHeight="12.75" zeroHeight="false" outlineLevelRow="0" outlineLevelCol="0"/>
  <cols>
    <col collapsed="false" customWidth="true" hidden="false" outlineLevel="0" max="1" min="1" style="22" width="6.71"/>
    <col collapsed="false" customWidth="true" hidden="false" outlineLevel="0" max="2" min="2" style="22" width="12.29"/>
    <col collapsed="false" customWidth="true" hidden="false" outlineLevel="0" max="3" min="3" style="22" width="19.57"/>
    <col collapsed="false" customWidth="true" hidden="false" outlineLevel="0" max="4" min="4" style="23" width="12.71"/>
    <col collapsed="false" customWidth="true" hidden="true" outlineLevel="0" max="6" min="5" style="23" width="8.42"/>
    <col collapsed="false" customWidth="true" hidden="true" outlineLevel="0" max="7" min="7" style="23" width="11"/>
    <col collapsed="false" customWidth="true" hidden="true" outlineLevel="0" max="12" min="8" style="23" width="8.42"/>
    <col collapsed="false" customWidth="true" hidden="true" outlineLevel="0" max="14" min="13" style="23" width="14.29"/>
    <col collapsed="false" customWidth="true" hidden="false" outlineLevel="0" max="15" min="15" style="23" width="15.42"/>
    <col collapsed="false" customWidth="true" hidden="true" outlineLevel="0" max="22" min="16" style="23" width="14.29"/>
    <col collapsed="false" customWidth="true" hidden="false" outlineLevel="0" max="23" min="23" style="23" width="15.29"/>
    <col collapsed="false" customWidth="true" hidden="true" outlineLevel="0" max="25" min="24" style="23" width="14.29"/>
    <col collapsed="false" customWidth="true" hidden="true" outlineLevel="0" max="27" min="26" style="23" width="12.86"/>
    <col collapsed="false" customWidth="true" hidden="false" outlineLevel="0" max="28" min="28" style="23" width="10.29"/>
    <col collapsed="false" customWidth="false" hidden="true" outlineLevel="0" max="29" min="29" style="23" width="9.29"/>
    <col collapsed="false" customWidth="true" hidden="false" outlineLevel="0" max="31" min="30" style="22" width="11.85"/>
    <col collapsed="false" customWidth="true" hidden="false" outlineLevel="0" max="32" min="32" style="22" width="13.86"/>
    <col collapsed="false" customWidth="true" hidden="false" outlineLevel="0" max="38" min="33" style="22" width="10.57"/>
    <col collapsed="false" customWidth="true" hidden="false" outlineLevel="0" max="39" min="39" style="22" width="11.85"/>
    <col collapsed="false" customWidth="false" hidden="false" outlineLevel="0" max="16384" min="40" style="22" width="9.29"/>
  </cols>
  <sheetData>
    <row r="1" s="26" customFormat="true" ht="16.5" hidden="false" customHeight="true" outlineLevel="0" collapsed="false">
      <c r="A1" s="25" t="s">
        <v>54</v>
      </c>
      <c r="B1" s="25"/>
      <c r="C1" s="25"/>
      <c r="D1" s="25"/>
      <c r="E1" s="25"/>
      <c r="F1" s="25"/>
      <c r="G1" s="25"/>
      <c r="H1" s="25"/>
      <c r="I1" s="25"/>
      <c r="J1" s="25"/>
      <c r="K1" s="25"/>
      <c r="L1" s="25"/>
      <c r="M1" s="25"/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</row>
    <row r="2" s="26" customFormat="true" ht="16.5" hidden="false" customHeight="true" outlineLevel="0" collapsed="false">
      <c r="A2" s="28" t="str">
        <f>"Kèm theo BBNT số: "&amp;VLOOKUP(AZ2,'[1]Tuyến XD8'!$A$2:$G$60,7,0)&amp;VLOOKUP(AZ2,'[1]Tuyến XD8'!$A$2:$G$60,4,0)</f>
        <v xml:space="preserve">Kèm theo BBNT số: 65.NĐXD8/CVXD ngày 17 tháng 09 năm 2026</v>
      </c>
      <c r="B2" s="28"/>
      <c r="C2" s="28"/>
      <c r="D2" s="28"/>
      <c r="E2" s="28"/>
      <c r="F2" s="28"/>
      <c r="G2" s="28"/>
      <c r="H2" s="28"/>
      <c r="I2" s="28"/>
      <c r="J2" s="28"/>
      <c r="K2" s="28"/>
      <c r="L2" s="28"/>
      <c r="M2" s="28"/>
      <c r="N2" s="28"/>
      <c r="O2" s="28"/>
      <c r="P2" s="28"/>
      <c r="Q2" s="28"/>
      <c r="R2" s="28"/>
      <c r="S2" s="28"/>
      <c r="T2" s="28"/>
      <c r="U2" s="28"/>
      <c r="V2" s="28"/>
      <c r="W2" s="28"/>
      <c r="X2" s="28"/>
      <c r="Y2" s="28"/>
      <c r="Z2" s="28"/>
      <c r="AA2" s="28"/>
      <c r="AB2" s="28"/>
      <c r="AZ2">
        <v>65</v>
      </c>
    </row>
    <row r="3" s="32" customFormat="true" ht="37.5" hidden="false" customHeight="true" outlineLevel="0" collapsed="false">
      <c r="A3" s="29" t="str">
        <f aca="false">'1.KTHH L1'!A3</f>
        <v>Dự án: Xây dựng HTKT Khu tái định cư phục vụ di dân xã Hải Hà, thị xã Nghi Sơn, tỉnh Thanh Hóa.</v>
      </c>
      <c r="B3" s="29"/>
      <c r="C3" s="29"/>
      <c r="D3" s="29"/>
      <c r="E3" s="29"/>
      <c r="F3" s="29"/>
      <c r="G3" s="29"/>
      <c r="H3" s="29"/>
      <c r="I3" s="29"/>
      <c r="J3" s="29"/>
      <c r="K3" s="29"/>
      <c r="L3" s="29"/>
      <c r="M3" s="29"/>
      <c r="N3" s="29"/>
      <c r="O3" s="29"/>
      <c r="P3" s="29"/>
      <c r="Q3" s="29"/>
      <c r="R3" s="29"/>
      <c r="S3" s="29"/>
      <c r="T3" s="29"/>
      <c r="U3" s="29"/>
      <c r="V3" s="29"/>
      <c r="W3" s="29"/>
      <c r="X3" s="29"/>
      <c r="Y3" s="29"/>
      <c r="Z3" s="29"/>
      <c r="AA3" s="29"/>
      <c r="AB3" s="29"/>
      <c r="AC3" s="30"/>
      <c r="AD3" s="30"/>
      <c r="AE3" s="30"/>
      <c r="AF3" s="30"/>
      <c r="AG3" s="30"/>
      <c r="AH3" s="30"/>
      <c r="AI3" s="30"/>
      <c r="AJ3" s="30"/>
      <c r="AK3" s="30"/>
      <c r="AL3" s="30"/>
      <c r="AM3" s="30"/>
      <c r="AN3" s="30"/>
      <c r="AO3" s="30"/>
      <c r="AP3" s="30"/>
      <c r="AQ3" s="30"/>
      <c r="AR3" s="30"/>
      <c r="AS3" s="30"/>
      <c r="AT3" s="30"/>
      <c r="AU3" s="30"/>
      <c r="AV3" s="30"/>
      <c r="AW3" s="30"/>
      <c r="AX3" s="30"/>
      <c r="AY3" s="30"/>
      <c r="AZ3" s="30"/>
      <c r="BA3" s="30"/>
      <c r="BB3" s="30"/>
      <c r="BC3" s="30"/>
      <c r="BD3" s="30"/>
      <c r="BE3" s="30"/>
      <c r="BF3" s="30"/>
      <c r="BG3" s="30"/>
      <c r="BH3" s="30"/>
      <c r="BI3" s="30"/>
      <c r="BJ3" s="30"/>
      <c r="BK3" s="30"/>
      <c r="BL3" s="30"/>
      <c r="BM3" s="30"/>
      <c r="BN3" s="30"/>
      <c r="BO3" s="30"/>
      <c r="BP3" s="30"/>
      <c r="BQ3" s="30"/>
      <c r="BR3" s="30"/>
      <c r="BS3" s="30"/>
      <c r="BT3" s="30"/>
      <c r="BU3" s="30"/>
      <c r="BV3" s="30"/>
      <c r="BW3" s="30"/>
      <c r="BX3" s="30"/>
      <c r="BY3" s="30"/>
      <c r="BZ3" s="30"/>
      <c r="CA3" s="30"/>
      <c r="CB3" s="30"/>
      <c r="CC3" s="30"/>
      <c r="CD3" s="30"/>
      <c r="CE3" s="30"/>
      <c r="CF3" s="30"/>
      <c r="CG3" s="30"/>
      <c r="CH3" s="30"/>
      <c r="CI3" s="30"/>
      <c r="CJ3" s="30"/>
      <c r="CK3" s="30"/>
      <c r="CL3" s="30"/>
      <c r="CM3" s="30"/>
      <c r="CN3" s="30"/>
      <c r="CO3" s="30"/>
      <c r="CP3" s="30"/>
      <c r="CQ3" s="30"/>
      <c r="CR3" s="30"/>
      <c r="CS3" s="30"/>
      <c r="CT3" s="30"/>
      <c r="CU3" s="30"/>
      <c r="CV3" s="30"/>
      <c r="CW3" s="30"/>
      <c r="CX3" s="30"/>
      <c r="CY3" s="30"/>
      <c r="CZ3" s="30"/>
      <c r="DA3" s="30"/>
      <c r="DB3" s="30"/>
      <c r="DC3" s="30"/>
      <c r="DD3" s="30"/>
      <c r="DE3" s="30"/>
      <c r="DF3" s="30"/>
      <c r="DG3" s="30"/>
      <c r="DH3" s="30"/>
      <c r="DI3" s="30"/>
      <c r="DJ3" s="30"/>
      <c r="DK3" s="30"/>
      <c r="DL3" s="30"/>
      <c r="DM3" s="30"/>
      <c r="DN3" s="30"/>
      <c r="DO3" s="30"/>
      <c r="DP3" s="30"/>
      <c r="DQ3" s="30"/>
      <c r="DR3" s="30"/>
      <c r="DS3" s="30"/>
      <c r="DT3" s="30"/>
      <c r="DU3" s="30"/>
      <c r="DV3" s="30"/>
      <c r="DW3" s="30"/>
      <c r="DX3" s="30"/>
      <c r="DY3" s="30"/>
      <c r="DZ3" s="30"/>
      <c r="EA3" s="30"/>
      <c r="EB3" s="30"/>
      <c r="EC3" s="30"/>
      <c r="ED3" s="30"/>
      <c r="EE3" s="30"/>
      <c r="EF3" s="30"/>
      <c r="EG3" s="30"/>
      <c r="EH3" s="30"/>
      <c r="EI3" s="30"/>
      <c r="EJ3" s="30"/>
      <c r="EK3" s="30"/>
      <c r="EL3" s="30"/>
      <c r="EM3" s="30"/>
      <c r="EN3" s="30"/>
      <c r="EO3" s="30"/>
      <c r="EP3" s="30"/>
      <c r="EQ3" s="30"/>
      <c r="ER3" s="30"/>
      <c r="ES3" s="30"/>
      <c r="ET3" s="30"/>
      <c r="EU3" s="30"/>
      <c r="EV3" s="30"/>
      <c r="EW3" s="30"/>
      <c r="EX3" s="30"/>
      <c r="EY3" s="30"/>
      <c r="EZ3" s="30"/>
      <c r="FA3" s="30"/>
      <c r="FB3" s="30"/>
      <c r="FC3" s="30"/>
      <c r="FD3" s="30"/>
      <c r="FE3" s="30"/>
      <c r="FF3" s="30"/>
      <c r="FG3" s="30"/>
      <c r="FH3" s="30"/>
      <c r="FI3" s="30"/>
      <c r="FJ3" s="30"/>
      <c r="FK3" s="30"/>
      <c r="FL3" s="30"/>
      <c r="FM3" s="30"/>
      <c r="FN3" s="30"/>
      <c r="FO3" s="30"/>
      <c r="FP3" s="30"/>
      <c r="FQ3" s="30"/>
      <c r="FR3" s="30"/>
      <c r="FS3" s="30"/>
      <c r="FT3" s="30"/>
      <c r="FU3" s="30"/>
      <c r="FV3" s="30"/>
      <c r="FW3" s="30"/>
      <c r="FX3" s="30"/>
      <c r="FY3" s="30"/>
      <c r="FZ3" s="30"/>
      <c r="GA3" s="30"/>
      <c r="GB3" s="30"/>
      <c r="GC3" s="30"/>
      <c r="GD3" s="30"/>
      <c r="GE3" s="30"/>
      <c r="GF3" s="30"/>
      <c r="GG3" s="30"/>
      <c r="GH3" s="30"/>
      <c r="GI3" s="30"/>
      <c r="GJ3" s="30"/>
      <c r="GK3" s="30"/>
      <c r="GL3" s="30"/>
      <c r="GM3" s="30"/>
      <c r="GN3" s="30"/>
      <c r="GO3" s="30"/>
      <c r="GP3" s="30"/>
      <c r="GQ3" s="30"/>
      <c r="GR3" s="30"/>
      <c r="GS3" s="30"/>
      <c r="GT3" s="30"/>
      <c r="GU3" s="30"/>
      <c r="GV3" s="30"/>
      <c r="GW3" s="30"/>
      <c r="GX3" s="30"/>
      <c r="GY3" s="30"/>
      <c r="GZ3" s="30"/>
      <c r="HA3" s="30"/>
      <c r="HB3" s="30"/>
      <c r="HC3" s="30"/>
      <c r="HD3" s="30"/>
      <c r="HE3" s="30"/>
      <c r="HF3" s="30"/>
      <c r="HG3" s="30"/>
      <c r="HH3" s="30"/>
      <c r="HI3" s="30"/>
      <c r="HJ3" s="30"/>
      <c r="HK3" s="30"/>
      <c r="HL3" s="30"/>
      <c r="HM3" s="30"/>
      <c r="HN3" s="30"/>
      <c r="HO3" s="30"/>
      <c r="HP3" s="30"/>
      <c r="HQ3" s="30"/>
      <c r="HR3" s="30"/>
      <c r="HS3" s="30"/>
      <c r="HT3" s="30"/>
      <c r="HU3" s="30"/>
      <c r="HV3" s="30"/>
      <c r="HW3" s="30"/>
    </row>
    <row r="4" s="32" customFormat="true" ht="37.5" hidden="false" customHeight="true" outlineLevel="0" collapsed="false">
      <c r="A4" s="29" t="str">
        <f aca="false">'1.KTHH L1'!A4</f>
        <v>Gói thầu số 12: Xây dựng HTKT khu vực Hải Bình và Xuân Lâm (bao gồm cả bảo hiểm xây dựng công trình)</v>
      </c>
      <c r="B4" s="29"/>
      <c r="C4" s="29"/>
      <c r="D4" s="29"/>
      <c r="E4" s="29"/>
      <c r="F4" s="29"/>
      <c r="G4" s="29"/>
      <c r="H4" s="29"/>
      <c r="I4" s="29"/>
      <c r="J4" s="29"/>
      <c r="K4" s="29"/>
      <c r="L4" s="29"/>
      <c r="M4" s="29"/>
      <c r="N4" s="29"/>
      <c r="O4" s="29"/>
      <c r="P4" s="29"/>
      <c r="Q4" s="29"/>
      <c r="R4" s="29"/>
      <c r="S4" s="29"/>
      <c r="T4" s="29"/>
      <c r="U4" s="29"/>
      <c r="V4" s="29"/>
      <c r="W4" s="29"/>
      <c r="X4" s="29"/>
      <c r="Y4" s="29"/>
      <c r="Z4" s="29"/>
      <c r="AA4" s="29"/>
      <c r="AB4" s="29"/>
      <c r="AC4" s="30"/>
      <c r="AD4" s="30"/>
      <c r="AE4" s="30"/>
      <c r="AF4" s="30"/>
      <c r="AG4" s="30"/>
      <c r="AH4" s="30"/>
      <c r="AI4" s="30"/>
      <c r="AJ4" s="30"/>
      <c r="AK4" s="30"/>
      <c r="AL4" s="30"/>
      <c r="AM4" s="30"/>
      <c r="AN4" s="30"/>
      <c r="AO4" s="30"/>
      <c r="AP4" s="30"/>
      <c r="AQ4" s="30"/>
      <c r="AR4" s="30"/>
      <c r="AS4" s="30"/>
      <c r="AT4" s="30"/>
      <c r="AU4" s="30"/>
      <c r="AV4" s="30"/>
      <c r="AW4" s="30"/>
      <c r="AX4" s="30"/>
      <c r="AY4" s="30"/>
      <c r="AZ4" s="30"/>
      <c r="BA4" s="30"/>
      <c r="BB4" s="30"/>
      <c r="BC4" s="30"/>
      <c r="BD4" s="30"/>
      <c r="BE4" s="30"/>
      <c r="BF4" s="30"/>
      <c r="BG4" s="30"/>
      <c r="BH4" s="30"/>
      <c r="BI4" s="30"/>
      <c r="BJ4" s="30"/>
      <c r="BK4" s="30"/>
      <c r="BL4" s="30"/>
      <c r="BM4" s="30"/>
      <c r="BN4" s="30"/>
      <c r="BO4" s="30"/>
      <c r="BP4" s="30"/>
      <c r="BQ4" s="30"/>
      <c r="BR4" s="30"/>
      <c r="BS4" s="30"/>
      <c r="BT4" s="30"/>
      <c r="BU4" s="30"/>
      <c r="BV4" s="30"/>
      <c r="BW4" s="30"/>
      <c r="BX4" s="30"/>
      <c r="BY4" s="30"/>
      <c r="BZ4" s="30"/>
      <c r="CA4" s="30"/>
      <c r="CB4" s="30"/>
      <c r="CC4" s="30"/>
      <c r="CD4" s="30"/>
      <c r="CE4" s="30"/>
      <c r="CF4" s="30"/>
      <c r="CG4" s="30"/>
      <c r="CH4" s="30"/>
      <c r="CI4" s="30"/>
      <c r="CJ4" s="30"/>
      <c r="CK4" s="30"/>
      <c r="CL4" s="30"/>
      <c r="CM4" s="30"/>
      <c r="CN4" s="30"/>
      <c r="CO4" s="30"/>
      <c r="CP4" s="30"/>
      <c r="CQ4" s="30"/>
      <c r="CR4" s="30"/>
      <c r="CS4" s="30"/>
      <c r="CT4" s="30"/>
      <c r="CU4" s="30"/>
      <c r="CV4" s="30"/>
      <c r="CW4" s="30"/>
      <c r="CX4" s="30"/>
      <c r="CY4" s="30"/>
      <c r="CZ4" s="30"/>
      <c r="DA4" s="30"/>
      <c r="DB4" s="30"/>
      <c r="DC4" s="30"/>
      <c r="DD4" s="30"/>
      <c r="DE4" s="30"/>
      <c r="DF4" s="30"/>
      <c r="DG4" s="30"/>
      <c r="DH4" s="30"/>
      <c r="DI4" s="30"/>
      <c r="DJ4" s="30"/>
      <c r="DK4" s="30"/>
      <c r="DL4" s="30"/>
      <c r="DM4" s="30"/>
      <c r="DN4" s="30"/>
      <c r="DO4" s="30"/>
      <c r="DP4" s="30"/>
      <c r="DQ4" s="30"/>
      <c r="DR4" s="30"/>
      <c r="DS4" s="30"/>
      <c r="DT4" s="30"/>
      <c r="DU4" s="30"/>
      <c r="DV4" s="30"/>
      <c r="DW4" s="30"/>
      <c r="DX4" s="30"/>
      <c r="DY4" s="30"/>
      <c r="DZ4" s="30"/>
      <c r="EA4" s="30"/>
      <c r="EB4" s="30"/>
      <c r="EC4" s="30"/>
      <c r="ED4" s="30"/>
      <c r="EE4" s="30"/>
      <c r="EF4" s="30"/>
      <c r="EG4" s="30"/>
      <c r="EH4" s="30"/>
      <c r="EI4" s="30"/>
      <c r="EJ4" s="30"/>
      <c r="EK4" s="30"/>
      <c r="EL4" s="30"/>
      <c r="EM4" s="30"/>
      <c r="EN4" s="30"/>
      <c r="EO4" s="30"/>
      <c r="EP4" s="30"/>
      <c r="EQ4" s="30"/>
      <c r="ER4" s="30"/>
      <c r="ES4" s="30"/>
      <c r="ET4" s="30"/>
      <c r="EU4" s="30"/>
      <c r="EV4" s="30"/>
      <c r="EW4" s="30"/>
      <c r="EX4" s="30"/>
      <c r="EY4" s="30"/>
      <c r="EZ4" s="30"/>
      <c r="FA4" s="30"/>
      <c r="FB4" s="30"/>
      <c r="FC4" s="30"/>
      <c r="FD4" s="30"/>
      <c r="FE4" s="30"/>
      <c r="FF4" s="30"/>
      <c r="FG4" s="30"/>
      <c r="FH4" s="30"/>
      <c r="FI4" s="30"/>
      <c r="FJ4" s="30"/>
      <c r="FK4" s="30"/>
      <c r="FL4" s="30"/>
      <c r="FM4" s="30"/>
      <c r="FN4" s="30"/>
      <c r="FO4" s="30"/>
      <c r="FP4" s="30"/>
      <c r="FQ4" s="30"/>
      <c r="FR4" s="30"/>
      <c r="FS4" s="30"/>
      <c r="FT4" s="30"/>
      <c r="FU4" s="30"/>
      <c r="FV4" s="30"/>
      <c r="FW4" s="30"/>
      <c r="FX4" s="30"/>
      <c r="FY4" s="30"/>
      <c r="FZ4" s="30"/>
      <c r="GA4" s="30"/>
      <c r="GB4" s="30"/>
      <c r="GC4" s="30"/>
      <c r="GD4" s="30"/>
      <c r="GE4" s="30"/>
      <c r="GF4" s="30"/>
      <c r="GG4" s="30"/>
      <c r="GH4" s="30"/>
      <c r="GI4" s="30"/>
      <c r="GJ4" s="30"/>
      <c r="GK4" s="30"/>
      <c r="GL4" s="30"/>
      <c r="GM4" s="30"/>
      <c r="GN4" s="30"/>
      <c r="GO4" s="30"/>
      <c r="GP4" s="30"/>
      <c r="GQ4" s="30"/>
      <c r="GR4" s="30"/>
      <c r="GS4" s="30"/>
      <c r="GT4" s="30"/>
      <c r="GU4" s="30"/>
      <c r="GV4" s="30"/>
      <c r="GW4" s="30"/>
      <c r="GX4" s="30"/>
      <c r="GY4" s="30"/>
      <c r="GZ4" s="30"/>
      <c r="HA4" s="30"/>
      <c r="HB4" s="30"/>
      <c r="HC4" s="30"/>
      <c r="HD4" s="30"/>
      <c r="HE4" s="30"/>
      <c r="HF4" s="30"/>
      <c r="HG4" s="30"/>
      <c r="HH4" s="30"/>
      <c r="HI4" s="30"/>
      <c r="HJ4" s="30"/>
      <c r="HK4" s="30"/>
      <c r="HL4" s="30"/>
      <c r="HM4" s="30"/>
      <c r="HN4" s="30"/>
      <c r="HO4" s="30"/>
      <c r="HP4" s="30"/>
      <c r="HQ4" s="30"/>
      <c r="HR4" s="30"/>
      <c r="HS4" s="30"/>
      <c r="HT4" s="30"/>
      <c r="HU4" s="30"/>
      <c r="HV4" s="30"/>
      <c r="HW4" s="30"/>
    </row>
    <row r="5" s="32" customFormat="true" ht="16.5" hidden="false" customHeight="true" outlineLevel="0" collapsed="false">
      <c r="A5" s="29" t="str">
        <f aca="false">'1.KTHH L1'!A5</f>
        <v>Nhà thầu thi công: Công ty TNHH Hoàng Tuấn</v>
      </c>
      <c r="B5" s="29"/>
      <c r="C5" s="29"/>
      <c r="D5" s="29"/>
      <c r="E5" s="29"/>
      <c r="F5" s="29"/>
      <c r="G5" s="29"/>
      <c r="H5" s="29"/>
      <c r="I5" s="29"/>
      <c r="J5" s="29"/>
      <c r="K5" s="29"/>
      <c r="L5" s="29"/>
      <c r="M5" s="29"/>
      <c r="N5" s="29"/>
      <c r="O5" s="29"/>
      <c r="P5" s="29"/>
      <c r="Q5" s="29"/>
      <c r="R5" s="29"/>
      <c r="S5" s="29"/>
      <c r="T5" s="29"/>
      <c r="U5" s="29"/>
      <c r="V5" s="29"/>
      <c r="W5" s="29"/>
      <c r="X5" s="29"/>
      <c r="Y5" s="29"/>
      <c r="Z5" s="29"/>
      <c r="AA5" s="29"/>
      <c r="AB5" s="29"/>
      <c r="AC5" s="30"/>
      <c r="AD5" s="30"/>
      <c r="AE5" s="30"/>
      <c r="AF5" s="30"/>
      <c r="AG5" s="30"/>
      <c r="AH5" s="30"/>
      <c r="AI5" s="30"/>
      <c r="AJ5" s="30"/>
      <c r="AK5" s="30"/>
      <c r="AL5" s="30"/>
      <c r="AM5" s="30"/>
      <c r="AN5" s="30"/>
      <c r="AO5" s="30"/>
      <c r="AP5" s="30"/>
      <c r="AQ5" s="30"/>
      <c r="AR5" s="30"/>
      <c r="AS5" s="30"/>
      <c r="AT5" s="30"/>
      <c r="AU5" s="30"/>
      <c r="AV5" s="30"/>
      <c r="AW5" s="30"/>
      <c r="AX5" s="30"/>
      <c r="AY5" s="30"/>
      <c r="AZ5" s="30"/>
      <c r="BA5" s="30"/>
      <c r="BB5" s="30"/>
      <c r="BC5" s="30"/>
      <c r="BD5" s="30"/>
      <c r="BE5" s="30"/>
      <c r="BF5" s="30"/>
      <c r="BG5" s="30"/>
      <c r="BH5" s="30"/>
      <c r="BI5" s="30"/>
      <c r="BJ5" s="30"/>
      <c r="BK5" s="30"/>
      <c r="BL5" s="30"/>
      <c r="BM5" s="30"/>
      <c r="BN5" s="30"/>
      <c r="BO5" s="30"/>
      <c r="BP5" s="30"/>
      <c r="BQ5" s="30"/>
      <c r="BR5" s="30"/>
      <c r="BS5" s="30"/>
      <c r="BT5" s="30"/>
      <c r="BU5" s="30"/>
      <c r="BV5" s="30"/>
      <c r="BW5" s="30"/>
      <c r="BX5" s="30"/>
      <c r="BY5" s="30"/>
      <c r="BZ5" s="30"/>
      <c r="CA5" s="30"/>
      <c r="CB5" s="30"/>
      <c r="CC5" s="30"/>
      <c r="CD5" s="30"/>
      <c r="CE5" s="30"/>
      <c r="CF5" s="30"/>
      <c r="CG5" s="30"/>
      <c r="CH5" s="30"/>
      <c r="CI5" s="30"/>
      <c r="CJ5" s="30"/>
      <c r="CK5" s="30"/>
      <c r="CL5" s="30"/>
      <c r="CM5" s="30"/>
      <c r="CN5" s="30"/>
      <c r="CO5" s="30"/>
      <c r="CP5" s="30"/>
      <c r="CQ5" s="30"/>
      <c r="CR5" s="30"/>
      <c r="CS5" s="30"/>
      <c r="CT5" s="30"/>
      <c r="CU5" s="30"/>
      <c r="CV5" s="30"/>
      <c r="CW5" s="30"/>
      <c r="CX5" s="30"/>
      <c r="CY5" s="30"/>
      <c r="CZ5" s="30"/>
      <c r="DA5" s="30"/>
      <c r="DB5" s="30"/>
      <c r="DC5" s="30"/>
      <c r="DD5" s="30"/>
      <c r="DE5" s="30"/>
      <c r="DF5" s="30"/>
      <c r="DG5" s="30"/>
      <c r="DH5" s="30"/>
      <c r="DI5" s="30"/>
      <c r="DJ5" s="30"/>
      <c r="DK5" s="30"/>
      <c r="DL5" s="30"/>
      <c r="DM5" s="30"/>
      <c r="DN5" s="30"/>
      <c r="DO5" s="30"/>
      <c r="DP5" s="30"/>
      <c r="DQ5" s="30"/>
      <c r="DR5" s="30"/>
      <c r="DS5" s="30"/>
      <c r="DT5" s="30"/>
      <c r="DU5" s="30"/>
      <c r="DV5" s="30"/>
      <c r="DW5" s="30"/>
      <c r="DX5" s="30"/>
      <c r="DY5" s="30"/>
      <c r="DZ5" s="30"/>
      <c r="EA5" s="30"/>
      <c r="EB5" s="30"/>
      <c r="EC5" s="30"/>
      <c r="ED5" s="30"/>
      <c r="EE5" s="30"/>
      <c r="EF5" s="30"/>
      <c r="EG5" s="30"/>
      <c r="EH5" s="30"/>
      <c r="EI5" s="30"/>
      <c r="EJ5" s="30"/>
      <c r="EK5" s="30"/>
      <c r="EL5" s="30"/>
      <c r="EM5" s="30"/>
      <c r="EN5" s="30"/>
      <c r="EO5" s="30"/>
      <c r="EP5" s="30"/>
      <c r="EQ5" s="30"/>
      <c r="ER5" s="30"/>
      <c r="ES5" s="30"/>
      <c r="ET5" s="30"/>
      <c r="EU5" s="30"/>
      <c r="EV5" s="30"/>
      <c r="EW5" s="30"/>
      <c r="EX5" s="30"/>
      <c r="EY5" s="30"/>
      <c r="EZ5" s="30"/>
      <c r="FA5" s="30"/>
      <c r="FB5" s="30"/>
      <c r="FC5" s="30"/>
      <c r="FD5" s="30"/>
      <c r="FE5" s="30"/>
      <c r="FF5" s="30"/>
      <c r="FG5" s="30"/>
      <c r="FH5" s="30"/>
      <c r="FI5" s="30"/>
      <c r="FJ5" s="30"/>
      <c r="FK5" s="30"/>
      <c r="FL5" s="30"/>
      <c r="FM5" s="30"/>
      <c r="FN5" s="30"/>
      <c r="FO5" s="30"/>
      <c r="FP5" s="30"/>
      <c r="FQ5" s="30"/>
      <c r="FR5" s="30"/>
      <c r="FS5" s="30"/>
      <c r="FT5" s="30"/>
      <c r="FU5" s="30"/>
      <c r="FV5" s="30"/>
      <c r="FW5" s="30"/>
      <c r="FX5" s="30"/>
      <c r="FY5" s="30"/>
      <c r="FZ5" s="30"/>
      <c r="GA5" s="30"/>
      <c r="GB5" s="30"/>
      <c r="GC5" s="30"/>
      <c r="GD5" s="30"/>
      <c r="GE5" s="30"/>
      <c r="GF5" s="30"/>
      <c r="GG5" s="30"/>
      <c r="GH5" s="30"/>
      <c r="GI5" s="30"/>
      <c r="GJ5" s="30"/>
      <c r="GK5" s="30"/>
      <c r="GL5" s="30"/>
      <c r="GM5" s="30"/>
      <c r="GN5" s="30"/>
      <c r="GO5" s="30"/>
      <c r="GP5" s="30"/>
      <c r="GQ5" s="30"/>
      <c r="GR5" s="30"/>
      <c r="GS5" s="30"/>
      <c r="GT5" s="30"/>
      <c r="GU5" s="30"/>
      <c r="GV5" s="30"/>
      <c r="GW5" s="30"/>
      <c r="GX5" s="30"/>
      <c r="GY5" s="30"/>
      <c r="GZ5" s="30"/>
      <c r="HA5" s="30"/>
      <c r="HB5" s="30"/>
      <c r="HC5" s="30"/>
      <c r="HD5" s="30"/>
      <c r="HE5" s="30"/>
      <c r="HF5" s="30"/>
      <c r="HG5" s="30"/>
      <c r="HH5" s="30"/>
      <c r="HI5" s="30"/>
      <c r="HJ5" s="30"/>
      <c r="HK5" s="30"/>
      <c r="HL5" s="30"/>
      <c r="HM5" s="30"/>
      <c r="HN5" s="30"/>
      <c r="HO5" s="30"/>
      <c r="HP5" s="30"/>
      <c r="HQ5" s="30"/>
      <c r="HR5" s="30"/>
      <c r="HS5" s="30"/>
      <c r="HT5" s="30"/>
      <c r="HU5" s="30"/>
      <c r="HV5" s="30"/>
      <c r="HW5" s="30"/>
    </row>
    <row r="6" s="32" customFormat="true" ht="16.5" hidden="false" customHeight="true" outlineLevel="0" collapsed="false">
      <c r="A6" s="29" t="s">
        <v>33</v>
      </c>
      <c r="B6" s="29"/>
      <c r="C6" s="29"/>
      <c r="D6" s="29"/>
      <c r="E6" s="29"/>
      <c r="F6" s="29"/>
      <c r="G6" s="29"/>
      <c r="H6" s="29"/>
      <c r="I6" s="29"/>
      <c r="J6" s="29"/>
      <c r="K6" s="29"/>
      <c r="L6" s="29"/>
      <c r="M6" s="29"/>
      <c r="N6" s="29"/>
      <c r="O6" s="29"/>
      <c r="P6" s="29"/>
      <c r="Q6" s="29"/>
      <c r="R6" s="29"/>
      <c r="S6" s="29"/>
      <c r="T6" s="29"/>
      <c r="U6" s="29"/>
      <c r="V6" s="29"/>
      <c r="W6" s="29"/>
      <c r="X6" s="29"/>
      <c r="Y6" s="29"/>
      <c r="Z6" s="29"/>
      <c r="AA6" s="29"/>
      <c r="AB6" s="29"/>
      <c r="AC6" s="30"/>
      <c r="AD6" s="30"/>
      <c r="AE6" s="30"/>
      <c r="AF6" s="30"/>
      <c r="AG6" s="30"/>
      <c r="AH6" s="30"/>
      <c r="AI6" s="30"/>
      <c r="AJ6" s="30"/>
      <c r="AK6" s="30"/>
      <c r="AL6" s="30"/>
      <c r="AM6" s="30"/>
      <c r="AN6" s="30"/>
      <c r="AO6" s="30"/>
      <c r="AP6" s="30"/>
      <c r="AQ6" s="30"/>
      <c r="AR6" s="30"/>
      <c r="AS6" s="30"/>
      <c r="AT6" s="30"/>
      <c r="AU6" s="30"/>
      <c r="AV6" s="30"/>
      <c r="AW6" s="30"/>
      <c r="AX6" s="30"/>
      <c r="AY6" s="30"/>
      <c r="AZ6" s="30"/>
      <c r="BA6" s="30"/>
      <c r="BB6" s="30"/>
      <c r="BC6" s="30"/>
      <c r="BD6" s="30"/>
      <c r="BE6" s="30"/>
      <c r="BF6" s="30"/>
      <c r="BG6" s="30"/>
      <c r="BH6" s="30"/>
      <c r="BI6" s="30"/>
      <c r="BJ6" s="30"/>
      <c r="BK6" s="30"/>
      <c r="BL6" s="30"/>
      <c r="BM6" s="30"/>
      <c r="BN6" s="30"/>
      <c r="BO6" s="30"/>
      <c r="BP6" s="30"/>
      <c r="BQ6" s="30"/>
      <c r="BR6" s="30"/>
      <c r="BS6" s="30"/>
      <c r="BT6" s="30"/>
      <c r="BU6" s="30"/>
      <c r="BV6" s="30"/>
      <c r="BW6" s="30"/>
      <c r="BX6" s="30"/>
      <c r="BY6" s="30"/>
      <c r="BZ6" s="30"/>
      <c r="CA6" s="30"/>
      <c r="CB6" s="30"/>
      <c r="CC6" s="30"/>
      <c r="CD6" s="30"/>
      <c r="CE6" s="30"/>
      <c r="CF6" s="30"/>
      <c r="CG6" s="30"/>
      <c r="CH6" s="30"/>
      <c r="CI6" s="30"/>
      <c r="CJ6" s="30"/>
      <c r="CK6" s="30"/>
      <c r="CL6" s="30"/>
      <c r="CM6" s="30"/>
      <c r="CN6" s="30"/>
      <c r="CO6" s="30"/>
      <c r="CP6" s="30"/>
      <c r="CQ6" s="30"/>
      <c r="CR6" s="30"/>
      <c r="CS6" s="30"/>
      <c r="CT6" s="30"/>
      <c r="CU6" s="30"/>
      <c r="CV6" s="30"/>
      <c r="CW6" s="30"/>
      <c r="CX6" s="30"/>
      <c r="CY6" s="30"/>
      <c r="CZ6" s="30"/>
      <c r="DA6" s="30"/>
      <c r="DB6" s="30"/>
      <c r="DC6" s="30"/>
      <c r="DD6" s="30"/>
      <c r="DE6" s="30"/>
      <c r="DF6" s="30"/>
      <c r="DG6" s="30"/>
      <c r="DH6" s="30"/>
      <c r="DI6" s="30"/>
      <c r="DJ6" s="30"/>
      <c r="DK6" s="30"/>
      <c r="DL6" s="30"/>
      <c r="DM6" s="30"/>
      <c r="DN6" s="30"/>
      <c r="DO6" s="30"/>
      <c r="DP6" s="30"/>
      <c r="DQ6" s="30"/>
      <c r="DR6" s="30"/>
      <c r="DS6" s="30"/>
      <c r="DT6" s="30"/>
      <c r="DU6" s="30"/>
      <c r="DV6" s="30"/>
      <c r="DW6" s="30"/>
      <c r="DX6" s="30"/>
      <c r="DY6" s="30"/>
      <c r="DZ6" s="30"/>
      <c r="EA6" s="30"/>
      <c r="EB6" s="30"/>
      <c r="EC6" s="30"/>
      <c r="ED6" s="30"/>
      <c r="EE6" s="30"/>
      <c r="EF6" s="30"/>
      <c r="EG6" s="30"/>
      <c r="EH6" s="30"/>
      <c r="EI6" s="30"/>
      <c r="EJ6" s="30"/>
      <c r="EK6" s="30"/>
      <c r="EL6" s="30"/>
      <c r="EM6" s="30"/>
      <c r="EN6" s="30"/>
      <c r="EO6" s="30"/>
      <c r="EP6" s="30"/>
      <c r="EQ6" s="30"/>
      <c r="ER6" s="30"/>
      <c r="ES6" s="30"/>
      <c r="ET6" s="30"/>
      <c r="EU6" s="30"/>
      <c r="EV6" s="30"/>
      <c r="EW6" s="30"/>
      <c r="EX6" s="30"/>
      <c r="EY6" s="30"/>
      <c r="EZ6" s="30"/>
      <c r="FA6" s="30"/>
      <c r="FB6" s="30"/>
      <c r="FC6" s="30"/>
      <c r="FD6" s="30"/>
      <c r="FE6" s="30"/>
      <c r="FF6" s="30"/>
      <c r="FG6" s="30"/>
      <c r="FH6" s="30"/>
      <c r="FI6" s="30"/>
      <c r="FJ6" s="30"/>
      <c r="FK6" s="30"/>
      <c r="FL6" s="30"/>
      <c r="FM6" s="30"/>
      <c r="FN6" s="30"/>
      <c r="FO6" s="30"/>
      <c r="FP6" s="30"/>
      <c r="FQ6" s="30"/>
      <c r="FR6" s="30"/>
      <c r="FS6" s="30"/>
      <c r="FT6" s="30"/>
      <c r="FU6" s="30"/>
      <c r="FV6" s="30"/>
      <c r="FW6" s="30"/>
      <c r="FX6" s="30"/>
      <c r="FY6" s="30"/>
      <c r="FZ6" s="30"/>
      <c r="GA6" s="30"/>
      <c r="GB6" s="30"/>
      <c r="GC6" s="30"/>
      <c r="GD6" s="30"/>
      <c r="GE6" s="30"/>
      <c r="GF6" s="30"/>
      <c r="GG6" s="30"/>
      <c r="GH6" s="30"/>
      <c r="GI6" s="30"/>
      <c r="GJ6" s="30"/>
      <c r="GK6" s="30"/>
      <c r="GL6" s="30"/>
      <c r="GM6" s="30"/>
      <c r="GN6" s="30"/>
      <c r="GO6" s="30"/>
      <c r="GP6" s="30"/>
      <c r="GQ6" s="30"/>
      <c r="GR6" s="30"/>
      <c r="GS6" s="30"/>
      <c r="GT6" s="30"/>
      <c r="GU6" s="30"/>
      <c r="GV6" s="30"/>
      <c r="GW6" s="30"/>
      <c r="GX6" s="30"/>
      <c r="GY6" s="30"/>
      <c r="GZ6" s="30"/>
      <c r="HA6" s="30"/>
      <c r="HB6" s="30"/>
      <c r="HC6" s="30"/>
      <c r="HD6" s="30"/>
      <c r="HE6" s="30"/>
      <c r="HF6" s="30"/>
      <c r="HG6" s="30"/>
      <c r="HH6" s="30"/>
      <c r="HI6" s="30"/>
      <c r="HJ6" s="30"/>
      <c r="HK6" s="30"/>
      <c r="HL6" s="30"/>
      <c r="HM6" s="30"/>
      <c r="HN6" s="30"/>
      <c r="HO6" s="30"/>
      <c r="HP6" s="30"/>
      <c r="HQ6" s="30"/>
      <c r="HR6" s="30"/>
      <c r="HS6" s="30"/>
      <c r="HT6" s="30"/>
      <c r="HU6" s="30"/>
      <c r="HV6" s="30"/>
      <c r="HW6" s="30"/>
    </row>
    <row r="7" s="32" customFormat="true" ht="35.25" hidden="false" customHeight="true" outlineLevel="0" collapsed="false">
      <c r="A7" s="33" t="s">
        <v>34</v>
      </c>
      <c r="B7" s="34"/>
      <c r="D7" s="35" t="str">
        <f>VLOOKUP(AZ2,'[1]Tuyến XD8'!$A$2:$B$60,2,0)</f>
        <v xml:space="preserve">Đắp đất nền đường lớp 2 đoạn từ Km0+489,19 - Km0+609,11, độ chặt K&gt;=0,95</v>
      </c>
      <c r="E7" s="35"/>
      <c r="F7" s="35"/>
      <c r="G7" s="35"/>
      <c r="H7" s="35"/>
      <c r="I7" s="35"/>
      <c r="J7" s="35"/>
      <c r="K7" s="35"/>
      <c r="L7" s="35"/>
      <c r="M7" s="35"/>
      <c r="N7" s="35"/>
      <c r="O7" s="35"/>
      <c r="P7" s="35"/>
      <c r="Q7" s="35"/>
      <c r="R7" s="35"/>
      <c r="S7" s="35"/>
      <c r="T7" s="35"/>
      <c r="U7" s="35"/>
      <c r="V7" s="35"/>
      <c r="W7" s="35"/>
      <c r="X7" s="35"/>
      <c r="Y7" s="35"/>
      <c r="Z7" s="35"/>
      <c r="AA7" s="35"/>
      <c r="AB7" s="35"/>
      <c r="AC7" s="30"/>
      <c r="AD7" s="30"/>
      <c r="AE7" s="30"/>
      <c r="AF7" s="30"/>
      <c r="AG7" s="30"/>
      <c r="AH7" s="30"/>
      <c r="AI7" s="30"/>
      <c r="AJ7" s="30"/>
      <c r="AK7" s="30"/>
      <c r="AL7" s="30"/>
      <c r="AM7" s="30"/>
      <c r="AN7" s="30"/>
      <c r="AO7" s="30"/>
      <c r="AP7" s="30"/>
      <c r="AQ7" s="30"/>
      <c r="AR7" s="30"/>
      <c r="AS7" s="30"/>
      <c r="AT7" s="30"/>
      <c r="AU7" s="30"/>
      <c r="AV7" s="30"/>
      <c r="AW7" s="30"/>
      <c r="AX7" s="30"/>
      <c r="AY7" s="30"/>
      <c r="AZ7" s="30"/>
      <c r="BA7" s="30"/>
      <c r="BB7" s="30"/>
      <c r="BC7" s="30"/>
      <c r="BD7" s="30"/>
      <c r="BE7" s="30"/>
      <c r="BF7" s="30"/>
      <c r="BG7" s="30"/>
      <c r="BH7" s="30"/>
      <c r="BI7" s="30"/>
      <c r="BJ7" s="30"/>
      <c r="BK7" s="30"/>
      <c r="BL7" s="30"/>
      <c r="BM7" s="30"/>
      <c r="BN7" s="30"/>
      <c r="BO7" s="30"/>
      <c r="BP7" s="30"/>
      <c r="BQ7" s="30"/>
      <c r="BR7" s="30"/>
      <c r="BS7" s="30"/>
      <c r="BT7" s="30"/>
      <c r="BU7" s="30"/>
      <c r="BV7" s="30"/>
      <c r="BW7" s="30"/>
      <c r="BX7" s="30"/>
      <c r="BY7" s="30"/>
      <c r="BZ7" s="30"/>
      <c r="CA7" s="30"/>
      <c r="CB7" s="30"/>
      <c r="CC7" s="30"/>
      <c r="CD7" s="30"/>
      <c r="CE7" s="30"/>
      <c r="CF7" s="30"/>
      <c r="CG7" s="30"/>
      <c r="CH7" s="30"/>
      <c r="CI7" s="30"/>
      <c r="CJ7" s="30"/>
      <c r="CK7" s="30"/>
      <c r="CL7" s="30"/>
      <c r="CM7" s="30"/>
      <c r="CN7" s="30"/>
      <c r="CO7" s="30"/>
      <c r="CP7" s="30"/>
      <c r="CQ7" s="30"/>
      <c r="CR7" s="30"/>
      <c r="CS7" s="30"/>
      <c r="CT7" s="30"/>
      <c r="CU7" s="30"/>
      <c r="CV7" s="30"/>
      <c r="CW7" s="30"/>
      <c r="CX7" s="30"/>
      <c r="CY7" s="30"/>
      <c r="CZ7" s="30"/>
      <c r="DA7" s="30"/>
      <c r="DB7" s="30"/>
      <c r="DC7" s="30"/>
      <c r="DD7" s="30"/>
      <c r="DE7" s="30"/>
      <c r="DF7" s="30"/>
      <c r="DG7" s="30"/>
      <c r="DH7" s="30"/>
      <c r="DI7" s="30"/>
      <c r="DJ7" s="30"/>
      <c r="DK7" s="30"/>
      <c r="DL7" s="30"/>
      <c r="DM7" s="30"/>
      <c r="DN7" s="30"/>
      <c r="DO7" s="30"/>
      <c r="DP7" s="30"/>
      <c r="DQ7" s="30"/>
      <c r="DR7" s="30"/>
      <c r="DS7" s="30"/>
      <c r="DT7" s="30"/>
      <c r="DU7" s="30"/>
      <c r="DV7" s="30"/>
      <c r="DW7" s="30"/>
      <c r="DX7" s="30"/>
      <c r="DY7" s="30"/>
      <c r="DZ7" s="30"/>
      <c r="EA7" s="30"/>
      <c r="EB7" s="30"/>
      <c r="EC7" s="30"/>
      <c r="ED7" s="30"/>
      <c r="EE7" s="30"/>
      <c r="EF7" s="30"/>
      <c r="EG7" s="30"/>
      <c r="EH7" s="30"/>
      <c r="EI7" s="30"/>
      <c r="EJ7" s="30"/>
      <c r="EK7" s="30"/>
      <c r="EL7" s="30"/>
      <c r="EM7" s="30"/>
      <c r="EN7" s="30"/>
      <c r="EO7" s="30"/>
      <c r="EP7" s="30"/>
      <c r="EQ7" s="30"/>
      <c r="ER7" s="30"/>
      <c r="ES7" s="30"/>
      <c r="ET7" s="30"/>
      <c r="EU7" s="30"/>
      <c r="EV7" s="30"/>
      <c r="EW7" s="30"/>
      <c r="EX7" s="30"/>
      <c r="EY7" s="30"/>
      <c r="EZ7" s="30"/>
      <c r="FA7" s="30"/>
      <c r="FB7" s="30"/>
      <c r="FC7" s="30"/>
      <c r="FD7" s="30"/>
      <c r="FE7" s="30"/>
      <c r="FF7" s="30"/>
      <c r="FG7" s="30"/>
      <c r="FH7" s="30"/>
      <c r="FI7" s="30"/>
      <c r="FJ7" s="30"/>
      <c r="FK7" s="30"/>
      <c r="FL7" s="30"/>
      <c r="FM7" s="30"/>
      <c r="FN7" s="30"/>
      <c r="FO7" s="30"/>
      <c r="FP7" s="30"/>
      <c r="FQ7" s="30"/>
      <c r="FR7" s="30"/>
      <c r="FS7" s="30"/>
      <c r="FT7" s="30"/>
      <c r="FU7" s="30"/>
      <c r="FV7" s="30"/>
      <c r="FW7" s="30"/>
      <c r="FX7" s="30"/>
      <c r="FY7" s="30"/>
      <c r="FZ7" s="30"/>
      <c r="GA7" s="30"/>
      <c r="GB7" s="30"/>
      <c r="GC7" s="30"/>
      <c r="GD7" s="30"/>
      <c r="GE7" s="30"/>
      <c r="GF7" s="30"/>
      <c r="GG7" s="30"/>
      <c r="GH7" s="30"/>
      <c r="GI7" s="30"/>
      <c r="GJ7" s="30"/>
      <c r="GK7" s="30"/>
      <c r="GL7" s="30"/>
      <c r="GM7" s="30"/>
      <c r="GN7" s="30"/>
      <c r="GO7" s="30"/>
      <c r="GP7" s="30"/>
      <c r="GQ7" s="30"/>
      <c r="GR7" s="30"/>
      <c r="GS7" s="30"/>
      <c r="GT7" s="30"/>
      <c r="GU7" s="30"/>
      <c r="GV7" s="30"/>
      <c r="GW7" s="30"/>
      <c r="GX7" s="30"/>
      <c r="GY7" s="30"/>
      <c r="GZ7" s="30"/>
      <c r="HA7" s="30"/>
      <c r="HB7" s="30"/>
      <c r="HC7" s="30"/>
      <c r="HD7" s="30"/>
      <c r="HE7" s="30"/>
      <c r="HF7" s="30"/>
      <c r="HG7" s="30"/>
      <c r="HH7" s="30"/>
      <c r="HI7" s="30"/>
      <c r="HJ7" s="30"/>
      <c r="HK7" s="30"/>
      <c r="HL7" s="30"/>
      <c r="HM7" s="30"/>
      <c r="HN7" s="30"/>
      <c r="HO7" s="30"/>
      <c r="HP7" s="30"/>
      <c r="HQ7" s="30"/>
      <c r="HR7" s="30"/>
      <c r="HS7" s="30"/>
      <c r="HT7" s="30"/>
      <c r="HU7" s="30"/>
      <c r="HV7" s="30"/>
      <c r="HW7" s="30"/>
    </row>
    <row r="8" s="30" customFormat="true" ht="13.5" hidden="false" customHeight="true" outlineLevel="0" collapsed="false">
      <c r="A8" s="36"/>
      <c r="B8" s="36"/>
      <c r="C8" s="36"/>
      <c r="D8" s="36"/>
      <c r="E8" s="36"/>
      <c r="F8" s="36"/>
      <c r="G8" s="36"/>
      <c r="H8" s="36"/>
      <c r="I8" s="36"/>
      <c r="J8" s="36"/>
      <c r="K8" s="36"/>
      <c r="L8" s="36"/>
      <c r="M8" s="36"/>
      <c r="N8" s="36"/>
      <c r="O8" s="36"/>
      <c r="P8" s="36"/>
      <c r="Q8" s="36"/>
      <c r="R8" s="36"/>
      <c r="S8" s="36"/>
      <c r="T8" s="36"/>
      <c r="U8" s="36"/>
      <c r="V8" s="36"/>
      <c r="W8" s="36"/>
      <c r="X8" s="36"/>
      <c r="Y8" s="36"/>
      <c r="Z8" s="36"/>
      <c r="AA8" s="36"/>
      <c r="AB8" s="36"/>
    </row>
    <row r="9" s="43" customFormat="true" ht="22.5" hidden="false" customHeight="true" outlineLevel="0" collapsed="false">
      <c r="A9" s="37" t="s">
        <v>0</v>
      </c>
      <c r="B9" s="37" t="s">
        <v>38</v>
      </c>
      <c r="C9" s="37" t="s">
        <v>39</v>
      </c>
      <c r="D9" s="38" t="s">
        <v>55</v>
      </c>
      <c r="E9" s="39"/>
      <c r="F9" s="39"/>
      <c r="G9" s="38"/>
      <c r="H9" s="39"/>
      <c r="I9" s="39"/>
      <c r="J9" s="39"/>
      <c r="K9" s="39"/>
      <c r="L9" s="39"/>
      <c r="M9" s="40" t="s">
        <v>56</v>
      </c>
      <c r="N9" s="40"/>
      <c r="O9" s="40"/>
      <c r="P9" s="40"/>
      <c r="Q9" s="40"/>
      <c r="R9" s="40"/>
      <c r="S9" s="40"/>
      <c r="T9" s="40"/>
      <c r="U9" s="40"/>
      <c r="V9" s="40"/>
      <c r="W9" s="40"/>
      <c r="X9" s="40"/>
      <c r="Y9" s="40"/>
      <c r="Z9" s="41"/>
      <c r="AA9" s="41"/>
      <c r="AB9" s="38" t="s">
        <v>43</v>
      </c>
      <c r="AC9" s="42"/>
    </row>
    <row r="10" s="49" customFormat="true" ht="28.5" hidden="false" customHeight="true" outlineLevel="0" collapsed="false">
      <c r="A10" s="37"/>
      <c r="B10" s="37"/>
      <c r="C10" s="37"/>
      <c r="D10" s="37"/>
      <c r="E10" s="40"/>
      <c r="F10" s="40"/>
      <c r="G10" s="40"/>
      <c r="H10" s="40"/>
      <c r="I10" s="40"/>
      <c r="J10" s="40"/>
      <c r="K10" s="40"/>
      <c r="L10" s="40"/>
      <c r="M10" s="40"/>
      <c r="N10" s="40" t="s">
        <v>57</v>
      </c>
      <c r="O10" s="40" t="s">
        <v>58</v>
      </c>
      <c r="P10" s="40" t="s">
        <v>57</v>
      </c>
      <c r="Q10" s="40" t="s">
        <v>57</v>
      </c>
      <c r="R10" s="40"/>
      <c r="S10" s="40"/>
      <c r="T10" s="40"/>
      <c r="U10" s="40" t="s">
        <v>59</v>
      </c>
      <c r="V10" s="40" t="s">
        <v>59</v>
      </c>
      <c r="W10" s="40" t="s">
        <v>60</v>
      </c>
      <c r="X10" s="40" t="s">
        <v>59</v>
      </c>
      <c r="Y10" s="40" t="s">
        <v>59</v>
      </c>
      <c r="Z10" s="45"/>
      <c r="AA10" s="45"/>
      <c r="AB10" s="38"/>
      <c r="AC10" s="46"/>
      <c r="AD10" s="47"/>
      <c r="AE10" s="47"/>
    </row>
    <row r="11" s="49" customFormat="true" ht="15" hidden="false" customHeight="true" outlineLevel="0" collapsed="false">
      <c r="A11" s="13" t="n">
        <v>1</v>
      </c>
      <c r="B11" s="13" t="str">
        <f aca="false">'2.KTHH L2'!B21</f>
        <v>25</v>
      </c>
      <c r="C11" s="51" t="n">
        <f aca="false">'2.KTHH L2'!C21</f>
        <v>489.19</v>
      </c>
      <c r="D11" s="13" t="n">
        <f aca="false">'2.KTHH L2'!T21</f>
        <v>13.17</v>
      </c>
      <c r="E11" s="52"/>
      <c r="F11" s="52"/>
      <c r="G11" s="52"/>
      <c r="H11" s="52"/>
      <c r="I11" s="52"/>
      <c r="J11" s="52"/>
      <c r="K11" s="53"/>
      <c r="L11" s="16"/>
      <c r="M11" s="17"/>
      <c r="N11" s="54"/>
      <c r="O11" s="53" t="n">
        <f aca="false">Chạy!E8</f>
        <v>5.39</v>
      </c>
      <c r="P11" s="53"/>
      <c r="Q11" s="53"/>
      <c r="R11" s="55"/>
      <c r="S11" s="55"/>
      <c r="T11" s="55"/>
      <c r="U11" s="55"/>
      <c r="V11" s="55"/>
      <c r="W11" s="55" t="n">
        <f aca="false">(O11+O12)*D11/2</f>
        <v>89.0292</v>
      </c>
      <c r="X11" s="55"/>
      <c r="Y11" s="55"/>
      <c r="Z11" s="55"/>
      <c r="AA11" s="55"/>
      <c r="AB11" s="56"/>
      <c r="AC11" s="57"/>
      <c r="AE11" s="92"/>
    </row>
    <row r="12" s="49" customFormat="true" ht="15" hidden="false" customHeight="true" outlineLevel="0" collapsed="false">
      <c r="A12" s="13" t="n">
        <v>2</v>
      </c>
      <c r="B12" s="13" t="str">
        <f aca="false">'2.KTHH L2'!B22</f>
        <v>D1</v>
      </c>
      <c r="C12" s="51" t="n">
        <f aca="false">'2.KTHH L2'!C22</f>
        <v>502.36</v>
      </c>
      <c r="D12" s="13" t="n">
        <f aca="false">'2.KTHH L2'!T22</f>
        <v>10.48</v>
      </c>
      <c r="E12" s="52"/>
      <c r="F12" s="52"/>
      <c r="G12" s="52"/>
      <c r="H12" s="52"/>
      <c r="I12" s="52"/>
      <c r="J12" s="52"/>
      <c r="K12" s="53"/>
      <c r="L12" s="16"/>
      <c r="M12" s="17"/>
      <c r="N12" s="54"/>
      <c r="O12" s="53" t="n">
        <f aca="false">Chạy!E16</f>
        <v>8.13</v>
      </c>
      <c r="P12" s="53"/>
      <c r="Q12" s="53"/>
      <c r="R12" s="55"/>
      <c r="S12" s="55"/>
      <c r="T12" s="55"/>
      <c r="U12" s="55"/>
      <c r="V12" s="55"/>
      <c r="W12" s="55" t="n">
        <f aca="false">(O12+O13)*D12/2</f>
        <v>84.7832</v>
      </c>
      <c r="X12" s="55"/>
      <c r="Y12" s="55"/>
      <c r="Z12" s="55"/>
      <c r="AA12" s="55"/>
      <c r="AB12" s="56"/>
      <c r="AC12" s="57"/>
      <c r="AE12" s="92"/>
    </row>
    <row r="13" s="49" customFormat="true" ht="15" hidden="false" customHeight="true" outlineLevel="0" collapsed="false">
      <c r="A13" s="13" t="n">
        <v>3</v>
      </c>
      <c r="B13" s="13" t="str">
        <f aca="false">'2.KTHH L2'!B23</f>
        <v>26</v>
      </c>
      <c r="C13" s="51" t="n">
        <f aca="false">'2.KTHH L2'!C23</f>
        <v>512.84</v>
      </c>
      <c r="D13" s="13" t="n">
        <f aca="false">'2.KTHH L2'!T23</f>
        <v>16.78</v>
      </c>
      <c r="E13" s="52"/>
      <c r="F13" s="52"/>
      <c r="G13" s="52"/>
      <c r="H13" s="52"/>
      <c r="I13" s="52"/>
      <c r="J13" s="52"/>
      <c r="K13" s="53"/>
      <c r="L13" s="16"/>
      <c r="M13" s="17"/>
      <c r="N13" s="54"/>
      <c r="O13" s="53" t="n">
        <f aca="false">Chạy!E24</f>
        <v>8.05</v>
      </c>
      <c r="P13" s="53"/>
      <c r="Q13" s="53"/>
      <c r="R13" s="55"/>
      <c r="S13" s="55"/>
      <c r="T13" s="55"/>
      <c r="U13" s="55"/>
      <c r="V13" s="55"/>
      <c r="W13" s="55" t="n">
        <f aca="false">(O13+O14)*D13/2</f>
        <v>142.4622</v>
      </c>
      <c r="X13" s="55"/>
      <c r="Y13" s="55"/>
      <c r="Z13" s="55"/>
      <c r="AA13" s="55"/>
      <c r="AB13" s="56"/>
      <c r="AC13" s="57"/>
      <c r="AE13" s="92"/>
    </row>
    <row r="14" s="49" customFormat="true" ht="15" hidden="false" customHeight="true" outlineLevel="0" collapsed="false">
      <c r="A14" s="13" t="n">
        <v>4</v>
      </c>
      <c r="B14" s="13" t="str">
        <f aca="false">'2.KTHH L2'!B24</f>
        <v>27</v>
      </c>
      <c r="C14" s="51" t="n">
        <f aca="false">'2.KTHH L2'!C24</f>
        <v>529.62</v>
      </c>
      <c r="D14" s="13" t="n">
        <f aca="false">'2.KTHH L2'!T24</f>
        <v>17.1</v>
      </c>
      <c r="E14" s="52"/>
      <c r="F14" s="52"/>
      <c r="G14" s="52"/>
      <c r="H14" s="52"/>
      <c r="I14" s="52"/>
      <c r="J14" s="52"/>
      <c r="K14" s="53"/>
      <c r="L14" s="16"/>
      <c r="M14" s="17"/>
      <c r="N14" s="54"/>
      <c r="O14" s="53" t="n">
        <f aca="false">Chạy!E32</f>
        <v>8.93</v>
      </c>
      <c r="P14" s="53"/>
      <c r="Q14" s="53"/>
      <c r="R14" s="55"/>
      <c r="S14" s="55"/>
      <c r="T14" s="55"/>
      <c r="U14" s="55"/>
      <c r="V14" s="55"/>
      <c r="W14" s="55" t="n">
        <f aca="false">(O14+O15)*D14/2</f>
        <v>122.265</v>
      </c>
      <c r="X14" s="55"/>
      <c r="Y14" s="55"/>
      <c r="Z14" s="55"/>
      <c r="AA14" s="55"/>
      <c r="AB14" s="56"/>
      <c r="AC14" s="57"/>
      <c r="AE14" s="92"/>
    </row>
    <row r="15" s="49" customFormat="true" ht="15" hidden="false" customHeight="true" outlineLevel="0" collapsed="false">
      <c r="A15" s="13" t="n">
        <v>5</v>
      </c>
      <c r="B15" s="13" t="str">
        <f aca="false">'2.KTHH L2'!B25</f>
        <v>28</v>
      </c>
      <c r="C15" s="51" t="n">
        <f aca="false">'2.KTHH L2'!C25</f>
        <v>546.72</v>
      </c>
      <c r="D15" s="13" t="n">
        <f aca="false">'2.KTHH L2'!T25</f>
        <v>15.15</v>
      </c>
      <c r="E15" s="52"/>
      <c r="F15" s="52"/>
      <c r="G15" s="52"/>
      <c r="H15" s="52"/>
      <c r="I15" s="52"/>
      <c r="J15" s="52"/>
      <c r="K15" s="53"/>
      <c r="L15" s="16"/>
      <c r="M15" s="17"/>
      <c r="N15" s="54"/>
      <c r="O15" s="53" t="n">
        <f aca="false">Chạy!E40</f>
        <v>5.37</v>
      </c>
      <c r="P15" s="53"/>
      <c r="Q15" s="53"/>
      <c r="R15" s="55"/>
      <c r="S15" s="55"/>
      <c r="T15" s="55"/>
      <c r="U15" s="55"/>
      <c r="V15" s="55"/>
      <c r="W15" s="55" t="n">
        <f aca="false">(O15+O16)*D15/2</f>
        <v>97.18725</v>
      </c>
      <c r="X15" s="55"/>
      <c r="Y15" s="55"/>
      <c r="Z15" s="55"/>
      <c r="AA15" s="55"/>
      <c r="AB15" s="56"/>
      <c r="AC15" s="57"/>
      <c r="AE15" s="92"/>
    </row>
    <row r="16" s="49" customFormat="true" ht="15" hidden="false" customHeight="true" outlineLevel="0" collapsed="false">
      <c r="A16" s="13" t="n">
        <v>6</v>
      </c>
      <c r="B16" s="13" t="str">
        <f aca="false">'2.KTHH L2'!B26</f>
        <v>E5</v>
      </c>
      <c r="C16" s="51" t="n">
        <f aca="false">'2.KTHH L2'!C26</f>
        <v>561.87</v>
      </c>
      <c r="D16" s="13" t="n">
        <f aca="false">'2.KTHH L2'!T26</f>
        <v>0.15</v>
      </c>
      <c r="E16" s="52"/>
      <c r="F16" s="52"/>
      <c r="G16" s="52"/>
      <c r="H16" s="52"/>
      <c r="I16" s="52"/>
      <c r="J16" s="52"/>
      <c r="K16" s="53"/>
      <c r="L16" s="16"/>
      <c r="M16" s="17"/>
      <c r="N16" s="54"/>
      <c r="O16" s="53" t="n">
        <f aca="false">Chạy!E48</f>
        <v>7.46</v>
      </c>
      <c r="P16" s="53"/>
      <c r="Q16" s="53"/>
      <c r="R16" s="55"/>
      <c r="S16" s="55"/>
      <c r="T16" s="55"/>
      <c r="U16" s="55"/>
      <c r="V16" s="55"/>
      <c r="W16" s="55" t="n">
        <f aca="false">(O16+O17)*D16/2</f>
        <v>1.04775</v>
      </c>
      <c r="X16" s="55"/>
      <c r="Y16" s="55"/>
      <c r="Z16" s="55"/>
      <c r="AA16" s="55"/>
      <c r="AB16" s="56"/>
      <c r="AC16" s="57"/>
      <c r="AE16" s="92"/>
    </row>
    <row r="17" s="49" customFormat="true" ht="15" hidden="false" customHeight="true" outlineLevel="0" collapsed="false">
      <c r="A17" s="13" t="n">
        <v>7</v>
      </c>
      <c r="B17" s="13" t="str">
        <f aca="false">'2.KTHH L2'!B27</f>
        <v>TD</v>
      </c>
      <c r="C17" s="51" t="n">
        <f aca="false">'2.KTHH L2'!C27</f>
        <v>562.02</v>
      </c>
      <c r="D17" s="13" t="n">
        <f aca="false">'2.KTHH L2'!T27</f>
        <v>6.55</v>
      </c>
      <c r="E17" s="52"/>
      <c r="F17" s="52"/>
      <c r="G17" s="52"/>
      <c r="H17" s="52"/>
      <c r="I17" s="52"/>
      <c r="J17" s="52"/>
      <c r="K17" s="53"/>
      <c r="L17" s="16"/>
      <c r="M17" s="17"/>
      <c r="N17" s="54"/>
      <c r="O17" s="53" t="n">
        <f aca="false">Chạy!E56</f>
        <v>6.51</v>
      </c>
      <c r="P17" s="53"/>
      <c r="Q17" s="53"/>
      <c r="R17" s="55"/>
      <c r="S17" s="55"/>
      <c r="T17" s="55"/>
      <c r="U17" s="55"/>
      <c r="V17" s="55"/>
      <c r="W17" s="55" t="n">
        <f aca="false">(O17+O18)*D17/2</f>
        <v>45.94825</v>
      </c>
      <c r="X17" s="55"/>
      <c r="Y17" s="55"/>
      <c r="Z17" s="55"/>
      <c r="AA17" s="55"/>
      <c r="AB17" s="56"/>
      <c r="AC17" s="57"/>
      <c r="AE17" s="92"/>
    </row>
    <row r="18" s="49" customFormat="true" ht="15" hidden="false" customHeight="true" outlineLevel="0" collapsed="false">
      <c r="A18" s="13" t="n">
        <v>8</v>
      </c>
      <c r="B18" s="13" t="str">
        <f aca="false">'2.KTHH L2'!B28</f>
        <v>P</v>
      </c>
      <c r="C18" s="51" t="n">
        <f aca="false">'2.KTHH L2'!C28</f>
        <v>568.57</v>
      </c>
      <c r="D18" s="13" t="n">
        <f aca="false">'2.KTHH L2'!T28</f>
        <v>6.55</v>
      </c>
      <c r="E18" s="52"/>
      <c r="F18" s="52"/>
      <c r="G18" s="52"/>
      <c r="H18" s="52"/>
      <c r="I18" s="52"/>
      <c r="J18" s="52"/>
      <c r="K18" s="53"/>
      <c r="L18" s="16"/>
      <c r="M18" s="17"/>
      <c r="N18" s="54"/>
      <c r="O18" s="53" t="n">
        <f aca="false">Chạy!E64</f>
        <v>7.52</v>
      </c>
      <c r="P18" s="53"/>
      <c r="Q18" s="53"/>
      <c r="R18" s="55"/>
      <c r="S18" s="55"/>
      <c r="T18" s="55"/>
      <c r="U18" s="55"/>
      <c r="V18" s="55"/>
      <c r="W18" s="55" t="n">
        <f aca="false">(O18+O19)*D18/2</f>
        <v>45.2605</v>
      </c>
      <c r="X18" s="55"/>
      <c r="Y18" s="55"/>
      <c r="Z18" s="55"/>
      <c r="AA18" s="55"/>
      <c r="AB18" s="56"/>
      <c r="AC18" s="57"/>
      <c r="AE18" s="92"/>
    </row>
    <row r="19" s="49" customFormat="true" ht="15" hidden="false" customHeight="true" outlineLevel="0" collapsed="false">
      <c r="A19" s="13" t="n">
        <v>9</v>
      </c>
      <c r="B19" s="13" t="str">
        <f aca="false">'2.KTHH L2'!B29</f>
        <v>TC</v>
      </c>
      <c r="C19" s="51" t="n">
        <f aca="false">'2.KTHH L2'!C29</f>
        <v>575.12</v>
      </c>
      <c r="D19" s="13" t="n">
        <f aca="false">'2.KTHH L2'!T29</f>
        <v>0.04</v>
      </c>
      <c r="E19" s="52"/>
      <c r="F19" s="52"/>
      <c r="G19" s="52"/>
      <c r="H19" s="52"/>
      <c r="I19" s="52"/>
      <c r="J19" s="52"/>
      <c r="K19" s="53"/>
      <c r="L19" s="16"/>
      <c r="M19" s="17"/>
      <c r="N19" s="54"/>
      <c r="O19" s="53" t="n">
        <f aca="false">Chạy!E72</f>
        <v>6.3</v>
      </c>
      <c r="P19" s="53"/>
      <c r="Q19" s="53"/>
      <c r="R19" s="55"/>
      <c r="S19" s="55"/>
      <c r="T19" s="55"/>
      <c r="U19" s="55"/>
      <c r="V19" s="55"/>
      <c r="W19" s="55" t="n">
        <f aca="false">(O19+O20)*D19/2</f>
        <v>0.263</v>
      </c>
      <c r="X19" s="55"/>
      <c r="Y19" s="55"/>
      <c r="Z19" s="55"/>
      <c r="AA19" s="55"/>
      <c r="AB19" s="56"/>
      <c r="AC19" s="57"/>
      <c r="AE19" s="92"/>
    </row>
    <row r="20" s="49" customFormat="true" ht="15" hidden="false" customHeight="true" outlineLevel="0" collapsed="false">
      <c r="A20" s="13" t="n">
        <v>10</v>
      </c>
      <c r="B20" s="13" t="str">
        <f aca="false">'2.KTHH L2'!B30</f>
        <v>29</v>
      </c>
      <c r="C20" s="51" t="n">
        <f aca="false">'2.KTHH L2'!C30</f>
        <v>575.16</v>
      </c>
      <c r="D20" s="13" t="n">
        <f aca="false">'2.KTHH L2'!T30</f>
        <v>16.95</v>
      </c>
      <c r="E20" s="52"/>
      <c r="F20" s="52"/>
      <c r="G20" s="52"/>
      <c r="H20" s="52"/>
      <c r="I20" s="52"/>
      <c r="J20" s="52"/>
      <c r="K20" s="53"/>
      <c r="L20" s="16"/>
      <c r="M20" s="17"/>
      <c r="N20" s="54"/>
      <c r="O20" s="53" t="n">
        <f aca="false">Chạy!E80</f>
        <v>6.85</v>
      </c>
      <c r="P20" s="53"/>
      <c r="Q20" s="53"/>
      <c r="R20" s="55"/>
      <c r="S20" s="55"/>
      <c r="T20" s="55"/>
      <c r="U20" s="55"/>
      <c r="V20" s="55"/>
      <c r="W20" s="55" t="n">
        <f aca="false">(O20+O21)*D20/2</f>
        <v>127.9725</v>
      </c>
      <c r="X20" s="55"/>
      <c r="Y20" s="55"/>
      <c r="Z20" s="55"/>
      <c r="AA20" s="55"/>
      <c r="AB20" s="56"/>
      <c r="AC20" s="57"/>
      <c r="AE20" s="92"/>
    </row>
    <row r="21" s="49" customFormat="true" ht="15" hidden="false" customHeight="true" outlineLevel="0" collapsed="false">
      <c r="A21" s="13" t="n">
        <v>11</v>
      </c>
      <c r="B21" s="13" t="str">
        <f aca="false">'2.KTHH L2'!B31</f>
        <v>30</v>
      </c>
      <c r="C21" s="51" t="n">
        <f aca="false">'2.KTHH L2'!C31</f>
        <v>592.11</v>
      </c>
      <c r="D21" s="13" t="n">
        <f aca="false">'2.KTHH L2'!T31</f>
        <v>17</v>
      </c>
      <c r="E21" s="52"/>
      <c r="F21" s="52"/>
      <c r="G21" s="52"/>
      <c r="H21" s="52"/>
      <c r="I21" s="52"/>
      <c r="J21" s="52"/>
      <c r="K21" s="53"/>
      <c r="L21" s="16"/>
      <c r="M21" s="17"/>
      <c r="N21" s="54"/>
      <c r="O21" s="53" t="n">
        <f aca="false">Chạy!E88</f>
        <v>8.25</v>
      </c>
      <c r="P21" s="53"/>
      <c r="Q21" s="53"/>
      <c r="R21" s="55"/>
      <c r="S21" s="55"/>
      <c r="T21" s="55"/>
      <c r="U21" s="55"/>
      <c r="V21" s="55"/>
      <c r="W21" s="55" t="n">
        <f aca="false">(O21+O22)*D21/2</f>
        <v>118.745</v>
      </c>
      <c r="X21" s="55"/>
      <c r="Y21" s="55"/>
      <c r="Z21" s="55"/>
      <c r="AA21" s="55"/>
      <c r="AB21" s="56"/>
      <c r="AC21" s="57"/>
      <c r="AE21" s="92"/>
    </row>
    <row r="22" s="49" customFormat="true" ht="15" hidden="false" customHeight="true" outlineLevel="0" collapsed="false">
      <c r="A22" s="13" t="n">
        <v>12</v>
      </c>
      <c r="B22" s="13" t="str">
        <f aca="false">'2.KTHH L2'!B32</f>
        <v>31</v>
      </c>
      <c r="C22" s="51" t="n">
        <f aca="false">'2.KTHH L2'!C32</f>
        <v>609.11</v>
      </c>
      <c r="D22" s="13"/>
      <c r="E22" s="52"/>
      <c r="F22" s="52"/>
      <c r="G22" s="52"/>
      <c r="H22" s="52"/>
      <c r="I22" s="52"/>
      <c r="J22" s="52"/>
      <c r="K22" s="53"/>
      <c r="L22" s="16"/>
      <c r="M22" s="17"/>
      <c r="N22" s="54"/>
      <c r="O22" s="53" t="n">
        <f aca="false">Chạy!E96</f>
        <v>5.72</v>
      </c>
      <c r="P22" s="53"/>
      <c r="Q22" s="53"/>
      <c r="R22" s="55"/>
      <c r="S22" s="55"/>
      <c r="T22" s="55"/>
      <c r="U22" s="55"/>
      <c r="V22" s="55"/>
      <c r="W22" s="55"/>
      <c r="X22" s="55"/>
      <c r="Y22" s="55"/>
      <c r="Z22" s="55"/>
      <c r="AA22" s="55"/>
      <c r="AB22" s="56"/>
      <c r="AC22" s="57"/>
      <c r="AE22" s="92"/>
    </row>
    <row r="23" s="49" customFormat="true" ht="15" hidden="true" customHeight="true" outlineLevel="0" collapsed="false">
      <c r="A23" s="13"/>
      <c r="B23" s="13"/>
      <c r="C23" s="51"/>
      <c r="D23" s="13"/>
      <c r="E23" s="52"/>
      <c r="F23" s="52"/>
      <c r="G23" s="52"/>
      <c r="H23" s="52"/>
      <c r="I23" s="52"/>
      <c r="J23" s="52"/>
      <c r="K23" s="53"/>
      <c r="L23" s="16"/>
      <c r="M23" s="17"/>
      <c r="N23" s="54"/>
      <c r="O23" s="53"/>
      <c r="P23" s="53"/>
      <c r="Q23" s="53"/>
      <c r="R23" s="55"/>
      <c r="S23" s="55"/>
      <c r="T23" s="55"/>
      <c r="U23" s="55"/>
      <c r="V23" s="55"/>
      <c r="W23" s="55"/>
      <c r="X23" s="55"/>
      <c r="Y23" s="55"/>
      <c r="Z23" s="55"/>
      <c r="AA23" s="55"/>
      <c r="AB23" s="56"/>
      <c r="AC23" s="57"/>
      <c r="AE23" s="92"/>
    </row>
    <row r="24" s="49" customFormat="true" ht="15" hidden="true" customHeight="true" outlineLevel="0" collapsed="false">
      <c r="A24" s="13"/>
      <c r="B24" s="13"/>
      <c r="C24" s="51"/>
      <c r="D24" s="13"/>
      <c r="E24" s="52"/>
      <c r="F24" s="52"/>
      <c r="G24" s="52"/>
      <c r="H24" s="52"/>
      <c r="I24" s="52"/>
      <c r="J24" s="52"/>
      <c r="K24" s="53"/>
      <c r="L24" s="16"/>
      <c r="M24" s="17"/>
      <c r="N24" s="54"/>
      <c r="O24" s="53"/>
      <c r="P24" s="53"/>
      <c r="Q24" s="53"/>
      <c r="R24" s="55"/>
      <c r="S24" s="55"/>
      <c r="T24" s="55"/>
      <c r="U24" s="55"/>
      <c r="V24" s="55"/>
      <c r="W24" s="55"/>
      <c r="X24" s="55"/>
      <c r="Y24" s="55"/>
      <c r="Z24" s="55"/>
      <c r="AA24" s="55"/>
      <c r="AB24" s="56"/>
      <c r="AC24" s="57"/>
      <c r="AE24" s="92"/>
    </row>
    <row r="25" s="49" customFormat="true" ht="15" hidden="true" customHeight="true" outlineLevel="0" collapsed="false">
      <c r="A25" s="13"/>
      <c r="B25" s="13"/>
      <c r="C25" s="51"/>
      <c r="D25" s="13"/>
      <c r="E25" s="52"/>
      <c r="F25" s="52"/>
      <c r="G25" s="52"/>
      <c r="H25" s="52"/>
      <c r="I25" s="52"/>
      <c r="J25" s="52"/>
      <c r="K25" s="53"/>
      <c r="L25" s="16"/>
      <c r="M25" s="17"/>
      <c r="N25" s="54"/>
      <c r="O25" s="53"/>
      <c r="P25" s="53"/>
      <c r="Q25" s="53"/>
      <c r="R25" s="55"/>
      <c r="S25" s="55"/>
      <c r="T25" s="55"/>
      <c r="U25" s="55"/>
      <c r="V25" s="55"/>
      <c r="W25" s="55"/>
      <c r="X25" s="55"/>
      <c r="Y25" s="55"/>
      <c r="Z25" s="55"/>
      <c r="AA25" s="55"/>
      <c r="AB25" s="56"/>
      <c r="AC25" s="57"/>
      <c r="AE25" s="92"/>
    </row>
    <row r="26" s="49" customFormat="true" ht="15" hidden="true" customHeight="true" outlineLevel="0" collapsed="false">
      <c r="A26" s="13"/>
      <c r="B26" s="13"/>
      <c r="C26" s="51"/>
      <c r="D26" s="13"/>
      <c r="E26" s="52"/>
      <c r="F26" s="52"/>
      <c r="G26" s="52"/>
      <c r="H26" s="52"/>
      <c r="I26" s="52"/>
      <c r="J26" s="52"/>
      <c r="K26" s="53"/>
      <c r="L26" s="16"/>
      <c r="M26" s="17"/>
      <c r="N26" s="54"/>
      <c r="O26" s="53"/>
      <c r="P26" s="53"/>
      <c r="Q26" s="53"/>
      <c r="R26" s="55"/>
      <c r="S26" s="55"/>
      <c r="T26" s="55"/>
      <c r="U26" s="55"/>
      <c r="V26" s="55"/>
      <c r="W26" s="55"/>
      <c r="X26" s="55"/>
      <c r="Y26" s="55"/>
      <c r="Z26" s="55"/>
      <c r="AA26" s="55"/>
      <c r="AB26" s="56"/>
      <c r="AC26" s="57"/>
      <c r="AE26" s="92"/>
    </row>
    <row r="27" s="49" customFormat="true" ht="15" hidden="true" customHeight="true" outlineLevel="0" collapsed="false">
      <c r="A27" s="13"/>
      <c r="B27" s="13"/>
      <c r="C27" s="51"/>
      <c r="D27" s="13"/>
      <c r="E27" s="52"/>
      <c r="F27" s="52"/>
      <c r="G27" s="52"/>
      <c r="H27" s="52"/>
      <c r="I27" s="52"/>
      <c r="J27" s="52"/>
      <c r="K27" s="53"/>
      <c r="L27" s="16"/>
      <c r="M27" s="17"/>
      <c r="N27" s="54"/>
      <c r="O27" s="53"/>
      <c r="P27" s="53"/>
      <c r="Q27" s="53"/>
      <c r="R27" s="55"/>
      <c r="S27" s="55"/>
      <c r="T27" s="55"/>
      <c r="U27" s="55"/>
      <c r="V27" s="55"/>
      <c r="W27" s="55"/>
      <c r="X27" s="55"/>
      <c r="Y27" s="55"/>
      <c r="Z27" s="55"/>
      <c r="AA27" s="55"/>
      <c r="AB27" s="56"/>
      <c r="AC27" s="57"/>
      <c r="AE27" s="92"/>
    </row>
    <row r="28" s="49" customFormat="true" ht="15" hidden="true" customHeight="true" outlineLevel="0" collapsed="false">
      <c r="A28" s="13"/>
      <c r="B28" s="13"/>
      <c r="C28" s="51"/>
      <c r="D28" s="13"/>
      <c r="E28" s="52"/>
      <c r="F28" s="52"/>
      <c r="G28" s="52"/>
      <c r="H28" s="52"/>
      <c r="I28" s="52"/>
      <c r="J28" s="52"/>
      <c r="K28" s="53"/>
      <c r="L28" s="16"/>
      <c r="M28" s="17"/>
      <c r="N28" s="54"/>
      <c r="O28" s="53"/>
      <c r="P28" s="53"/>
      <c r="Q28" s="53"/>
      <c r="R28" s="55"/>
      <c r="S28" s="55"/>
      <c r="T28" s="55"/>
      <c r="U28" s="55"/>
      <c r="V28" s="55"/>
      <c r="W28" s="55"/>
      <c r="X28" s="55"/>
      <c r="Y28" s="55"/>
      <c r="Z28" s="55"/>
      <c r="AA28" s="55"/>
      <c r="AB28" s="56"/>
      <c r="AC28" s="57"/>
      <c r="AE28" s="92"/>
    </row>
    <row r="29" s="49" customFormat="true" ht="15" hidden="true" customHeight="true" outlineLevel="0" collapsed="false">
      <c r="A29" s="13"/>
      <c r="B29" s="13"/>
      <c r="C29" s="51"/>
      <c r="D29" s="13"/>
      <c r="E29" s="52"/>
      <c r="F29" s="52"/>
      <c r="G29" s="52"/>
      <c r="H29" s="52"/>
      <c r="I29" s="52"/>
      <c r="J29" s="52"/>
      <c r="K29" s="53"/>
      <c r="L29" s="16"/>
      <c r="M29" s="17"/>
      <c r="N29" s="54"/>
      <c r="O29" s="53"/>
      <c r="P29" s="53"/>
      <c r="Q29" s="53"/>
      <c r="R29" s="55"/>
      <c r="S29" s="55"/>
      <c r="T29" s="55"/>
      <c r="U29" s="55"/>
      <c r="V29" s="55"/>
      <c r="W29" s="55"/>
      <c r="X29" s="55"/>
      <c r="Y29" s="55"/>
      <c r="Z29" s="55"/>
      <c r="AA29" s="55"/>
      <c r="AB29" s="56"/>
      <c r="AC29" s="57"/>
      <c r="AE29" s="92"/>
    </row>
    <row r="30" s="49" customFormat="true" ht="15" hidden="true" customHeight="true" outlineLevel="0" collapsed="false">
      <c r="A30" s="13"/>
      <c r="B30" s="13"/>
      <c r="C30" s="51"/>
      <c r="D30" s="13"/>
      <c r="E30" s="52"/>
      <c r="F30" s="52"/>
      <c r="G30" s="52"/>
      <c r="H30" s="52"/>
      <c r="I30" s="52"/>
      <c r="J30" s="52"/>
      <c r="K30" s="53"/>
      <c r="L30" s="16"/>
      <c r="M30" s="17"/>
      <c r="N30" s="54"/>
      <c r="O30" s="53"/>
      <c r="P30" s="53"/>
      <c r="Q30" s="53"/>
      <c r="R30" s="55"/>
      <c r="S30" s="55"/>
      <c r="T30" s="55"/>
      <c r="U30" s="55"/>
      <c r="V30" s="55"/>
      <c r="W30" s="55"/>
      <c r="X30" s="55"/>
      <c r="Y30" s="55"/>
      <c r="Z30" s="55"/>
      <c r="AA30" s="55"/>
      <c r="AB30" s="56"/>
      <c r="AC30" s="57"/>
      <c r="AE30" s="92"/>
    </row>
    <row r="31" s="49" customFormat="true" ht="15" hidden="true" customHeight="true" outlineLevel="0" collapsed="false">
      <c r="A31" s="13"/>
      <c r="B31" s="13"/>
      <c r="C31" s="51"/>
      <c r="D31" s="13"/>
      <c r="E31" s="52"/>
      <c r="F31" s="52"/>
      <c r="G31" s="52"/>
      <c r="H31" s="52"/>
      <c r="I31" s="52"/>
      <c r="J31" s="52"/>
      <c r="K31" s="53"/>
      <c r="L31" s="16"/>
      <c r="M31" s="17"/>
      <c r="N31" s="54"/>
      <c r="O31" s="53"/>
      <c r="P31" s="53"/>
      <c r="Q31" s="53"/>
      <c r="R31" s="55"/>
      <c r="S31" s="55"/>
      <c r="T31" s="55"/>
      <c r="U31" s="55"/>
      <c r="V31" s="55"/>
      <c r="W31" s="55"/>
      <c r="X31" s="55"/>
      <c r="Y31" s="55"/>
      <c r="Z31" s="55"/>
      <c r="AA31" s="55"/>
      <c r="AB31" s="56"/>
      <c r="AC31" s="57"/>
      <c r="AE31" s="92"/>
    </row>
    <row r="32" s="49" customFormat="true" ht="15" hidden="true" customHeight="true" outlineLevel="0" collapsed="false">
      <c r="A32" s="13"/>
      <c r="B32" s="13"/>
      <c r="C32" s="51"/>
      <c r="D32" s="13"/>
      <c r="E32" s="52"/>
      <c r="F32" s="52"/>
      <c r="G32" s="52"/>
      <c r="H32" s="52"/>
      <c r="I32" s="52"/>
      <c r="J32" s="52"/>
      <c r="K32" s="53"/>
      <c r="L32" s="16"/>
      <c r="M32" s="17"/>
      <c r="N32" s="54"/>
      <c r="O32" s="53"/>
      <c r="P32" s="53"/>
      <c r="Q32" s="53"/>
      <c r="R32" s="55"/>
      <c r="S32" s="55"/>
      <c r="T32" s="55"/>
      <c r="U32" s="55"/>
      <c r="V32" s="55"/>
      <c r="W32" s="55"/>
      <c r="X32" s="55"/>
      <c r="Y32" s="55"/>
      <c r="Z32" s="55"/>
      <c r="AA32" s="55"/>
      <c r="AB32" s="56"/>
      <c r="AC32" s="57"/>
      <c r="AE32" s="92"/>
    </row>
    <row r="33" s="49" customFormat="true" ht="15" hidden="true" customHeight="true" outlineLevel="0" collapsed="false">
      <c r="A33" s="13"/>
      <c r="B33" s="13"/>
      <c r="C33" s="51"/>
      <c r="D33" s="13"/>
      <c r="E33" s="52"/>
      <c r="F33" s="52"/>
      <c r="G33" s="52"/>
      <c r="H33" s="52"/>
      <c r="I33" s="52"/>
      <c r="J33" s="52"/>
      <c r="K33" s="53"/>
      <c r="L33" s="16"/>
      <c r="M33" s="17"/>
      <c r="N33" s="54"/>
      <c r="O33" s="53"/>
      <c r="P33" s="53"/>
      <c r="Q33" s="53"/>
      <c r="R33" s="55"/>
      <c r="S33" s="55"/>
      <c r="T33" s="55"/>
      <c r="U33" s="55"/>
      <c r="V33" s="55"/>
      <c r="W33" s="55"/>
      <c r="X33" s="55"/>
      <c r="Y33" s="55"/>
      <c r="Z33" s="55"/>
      <c r="AA33" s="55"/>
      <c r="AB33" s="56"/>
      <c r="AC33" s="57"/>
      <c r="AE33" s="92"/>
    </row>
    <row r="34" s="49" customFormat="true" ht="15" hidden="true" customHeight="true" outlineLevel="0" collapsed="false">
      <c r="A34" s="13"/>
      <c r="B34" s="13"/>
      <c r="C34" s="51"/>
      <c r="D34" s="13"/>
      <c r="E34" s="52"/>
      <c r="F34" s="52"/>
      <c r="G34" s="52"/>
      <c r="H34" s="52"/>
      <c r="I34" s="52"/>
      <c r="J34" s="52"/>
      <c r="K34" s="53"/>
      <c r="L34" s="16"/>
      <c r="M34" s="17"/>
      <c r="N34" s="54"/>
      <c r="O34" s="53"/>
      <c r="P34" s="53"/>
      <c r="Q34" s="53"/>
      <c r="R34" s="55"/>
      <c r="S34" s="55"/>
      <c r="T34" s="55"/>
      <c r="U34" s="55"/>
      <c r="V34" s="55"/>
      <c r="W34" s="55"/>
      <c r="X34" s="55"/>
      <c r="Y34" s="55"/>
      <c r="Z34" s="55"/>
      <c r="AA34" s="55"/>
      <c r="AB34" s="56"/>
      <c r="AC34" s="57"/>
      <c r="AE34" s="92"/>
    </row>
    <row r="35" s="49" customFormat="true" ht="15" hidden="true" customHeight="true" outlineLevel="0" collapsed="false">
      <c r="A35" s="13"/>
      <c r="B35" s="13"/>
      <c r="C35" s="51"/>
      <c r="D35" s="13"/>
      <c r="E35" s="52"/>
      <c r="F35" s="52"/>
      <c r="G35" s="52"/>
      <c r="H35" s="52"/>
      <c r="I35" s="52"/>
      <c r="J35" s="52"/>
      <c r="K35" s="53"/>
      <c r="L35" s="16"/>
      <c r="M35" s="17"/>
      <c r="N35" s="54"/>
      <c r="O35" s="53"/>
      <c r="P35" s="53"/>
      <c r="Q35" s="53"/>
      <c r="R35" s="55"/>
      <c r="S35" s="55"/>
      <c r="T35" s="55"/>
      <c r="U35" s="55"/>
      <c r="V35" s="55"/>
      <c r="W35" s="55"/>
      <c r="X35" s="55"/>
      <c r="Y35" s="55"/>
      <c r="Z35" s="55"/>
      <c r="AA35" s="55"/>
      <c r="AB35" s="56"/>
      <c r="AC35" s="57"/>
      <c r="AE35" s="92"/>
    </row>
    <row r="36" s="49" customFormat="true" ht="15" hidden="true" customHeight="true" outlineLevel="0" collapsed="false">
      <c r="A36" s="13"/>
      <c r="B36" s="13"/>
      <c r="C36" s="51"/>
      <c r="D36" s="13"/>
      <c r="E36" s="52"/>
      <c r="F36" s="52"/>
      <c r="G36" s="52"/>
      <c r="H36" s="52"/>
      <c r="I36" s="52"/>
      <c r="J36" s="52"/>
      <c r="K36" s="53"/>
      <c r="L36" s="16"/>
      <c r="M36" s="17"/>
      <c r="N36" s="54"/>
      <c r="O36" s="53"/>
      <c r="P36" s="53"/>
      <c r="Q36" s="53"/>
      <c r="R36" s="55"/>
      <c r="S36" s="55"/>
      <c r="T36" s="55"/>
      <c r="U36" s="55"/>
      <c r="V36" s="55"/>
      <c r="W36" s="55"/>
      <c r="X36" s="55"/>
      <c r="Y36" s="55"/>
      <c r="Z36" s="55"/>
      <c r="AA36" s="55"/>
      <c r="AB36" s="56"/>
      <c r="AC36" s="57"/>
      <c r="AE36" s="92"/>
    </row>
    <row r="37" s="49" customFormat="true" ht="15" hidden="true" customHeight="true" outlineLevel="0" collapsed="false">
      <c r="A37" s="13"/>
      <c r="B37" s="13"/>
      <c r="C37" s="51"/>
      <c r="D37" s="13"/>
      <c r="E37" s="52"/>
      <c r="F37" s="52"/>
      <c r="G37" s="52"/>
      <c r="H37" s="52"/>
      <c r="I37" s="52"/>
      <c r="J37" s="52"/>
      <c r="K37" s="53"/>
      <c r="L37" s="16"/>
      <c r="M37" s="17"/>
      <c r="N37" s="54"/>
      <c r="O37" s="53"/>
      <c r="P37" s="53"/>
      <c r="Q37" s="53"/>
      <c r="R37" s="55"/>
      <c r="S37" s="55"/>
      <c r="T37" s="55"/>
      <c r="U37" s="55"/>
      <c r="V37" s="55"/>
      <c r="W37" s="55"/>
      <c r="X37" s="55"/>
      <c r="Y37" s="55"/>
      <c r="Z37" s="55"/>
      <c r="AA37" s="55"/>
      <c r="AB37" s="56"/>
      <c r="AC37" s="57"/>
      <c r="AE37" s="92"/>
    </row>
    <row r="38" s="49" customFormat="true" ht="15" hidden="true" customHeight="true" outlineLevel="0" collapsed="false">
      <c r="A38" s="13"/>
      <c r="B38" s="13"/>
      <c r="C38" s="51"/>
      <c r="D38" s="13"/>
      <c r="E38" s="52"/>
      <c r="F38" s="52"/>
      <c r="G38" s="52"/>
      <c r="H38" s="52"/>
      <c r="I38" s="52"/>
      <c r="J38" s="52"/>
      <c r="K38" s="53"/>
      <c r="L38" s="16"/>
      <c r="M38" s="17"/>
      <c r="N38" s="54"/>
      <c r="O38" s="53"/>
      <c r="P38" s="53"/>
      <c r="Q38" s="53"/>
      <c r="R38" s="55"/>
      <c r="S38" s="55"/>
      <c r="T38" s="55"/>
      <c r="U38" s="55"/>
      <c r="V38" s="55"/>
      <c r="W38" s="55"/>
      <c r="X38" s="55"/>
      <c r="Y38" s="55"/>
      <c r="Z38" s="55"/>
      <c r="AA38" s="55"/>
      <c r="AB38" s="56"/>
      <c r="AC38" s="57"/>
      <c r="AE38" s="92"/>
    </row>
    <row r="39" s="49" customFormat="true" ht="15" hidden="true" customHeight="true" outlineLevel="0" collapsed="false">
      <c r="A39" s="13"/>
      <c r="B39" s="13"/>
      <c r="C39" s="51"/>
      <c r="D39" s="13"/>
      <c r="E39" s="52"/>
      <c r="F39" s="52"/>
      <c r="G39" s="52"/>
      <c r="H39" s="52"/>
      <c r="I39" s="52"/>
      <c r="J39" s="52"/>
      <c r="K39" s="53"/>
      <c r="L39" s="16"/>
      <c r="M39" s="17"/>
      <c r="N39" s="54"/>
      <c r="O39" s="53"/>
      <c r="P39" s="53"/>
      <c r="Q39" s="53"/>
      <c r="R39" s="55"/>
      <c r="S39" s="55"/>
      <c r="T39" s="55"/>
      <c r="U39" s="55"/>
      <c r="V39" s="55"/>
      <c r="W39" s="55"/>
      <c r="X39" s="55"/>
      <c r="Y39" s="55"/>
      <c r="Z39" s="55"/>
      <c r="AA39" s="55"/>
      <c r="AB39" s="56"/>
      <c r="AC39" s="57"/>
      <c r="AE39" s="92"/>
    </row>
    <row r="40" s="49" customFormat="true" ht="15" hidden="true" customHeight="true" outlineLevel="0" collapsed="false">
      <c r="A40" s="13"/>
      <c r="B40" s="13"/>
      <c r="C40" s="51"/>
      <c r="D40" s="13"/>
      <c r="E40" s="52"/>
      <c r="F40" s="52"/>
      <c r="G40" s="52"/>
      <c r="H40" s="52"/>
      <c r="I40" s="52"/>
      <c r="J40" s="52"/>
      <c r="K40" s="53"/>
      <c r="L40" s="16"/>
      <c r="M40" s="17"/>
      <c r="N40" s="54"/>
      <c r="O40" s="53"/>
      <c r="P40" s="53"/>
      <c r="Q40" s="53"/>
      <c r="R40" s="55"/>
      <c r="S40" s="55"/>
      <c r="T40" s="55"/>
      <c r="U40" s="55"/>
      <c r="V40" s="55"/>
      <c r="W40" s="55"/>
      <c r="X40" s="55"/>
      <c r="Y40" s="55"/>
      <c r="Z40" s="55"/>
      <c r="AA40" s="55"/>
      <c r="AB40" s="56"/>
      <c r="AC40" s="57"/>
      <c r="AE40" s="92"/>
    </row>
    <row r="41" s="49" customFormat="true" ht="15" hidden="true" customHeight="true" outlineLevel="0" collapsed="false">
      <c r="A41" s="13"/>
      <c r="B41" s="13"/>
      <c r="C41" s="51"/>
      <c r="D41" s="13"/>
      <c r="E41" s="52"/>
      <c r="F41" s="52"/>
      <c r="G41" s="52"/>
      <c r="H41" s="52"/>
      <c r="I41" s="52"/>
      <c r="J41" s="52"/>
      <c r="K41" s="53"/>
      <c r="L41" s="16"/>
      <c r="M41" s="17"/>
      <c r="N41" s="54"/>
      <c r="O41" s="53"/>
      <c r="P41" s="53"/>
      <c r="Q41" s="53"/>
      <c r="R41" s="55"/>
      <c r="S41" s="55"/>
      <c r="T41" s="55"/>
      <c r="U41" s="55"/>
      <c r="V41" s="55"/>
      <c r="W41" s="55"/>
      <c r="X41" s="55"/>
      <c r="Y41" s="55"/>
      <c r="Z41" s="55"/>
      <c r="AA41" s="55"/>
      <c r="AB41" s="56"/>
      <c r="AC41" s="57"/>
      <c r="AE41" s="92"/>
    </row>
    <row r="42" s="49" customFormat="true" ht="15" hidden="true" customHeight="true" outlineLevel="0" collapsed="false">
      <c r="A42" s="13"/>
      <c r="B42" s="13"/>
      <c r="C42" s="51"/>
      <c r="D42" s="13"/>
      <c r="E42" s="52"/>
      <c r="F42" s="52"/>
      <c r="G42" s="52"/>
      <c r="H42" s="52"/>
      <c r="I42" s="52"/>
      <c r="J42" s="52"/>
      <c r="K42" s="53"/>
      <c r="L42" s="16"/>
      <c r="M42" s="17"/>
      <c r="N42" s="54"/>
      <c r="O42" s="53"/>
      <c r="P42" s="53"/>
      <c r="Q42" s="53"/>
      <c r="R42" s="55"/>
      <c r="S42" s="55"/>
      <c r="T42" s="55"/>
      <c r="U42" s="55"/>
      <c r="V42" s="55"/>
      <c r="W42" s="55"/>
      <c r="X42" s="55"/>
      <c r="Y42" s="55"/>
      <c r="Z42" s="55"/>
      <c r="AA42" s="55"/>
      <c r="AB42" s="56"/>
      <c r="AC42" s="57"/>
      <c r="AE42" s="92"/>
    </row>
    <row r="43" s="49" customFormat="true" ht="15" hidden="true" customHeight="true" outlineLevel="0" collapsed="false">
      <c r="A43" s="13"/>
      <c r="B43" s="13"/>
      <c r="C43" s="51"/>
      <c r="D43" s="13"/>
      <c r="E43" s="52"/>
      <c r="F43" s="52"/>
      <c r="G43" s="52"/>
      <c r="H43" s="52"/>
      <c r="I43" s="52"/>
      <c r="J43" s="52"/>
      <c r="K43" s="53"/>
      <c r="L43" s="16"/>
      <c r="M43" s="17"/>
      <c r="N43" s="54"/>
      <c r="O43" s="53"/>
      <c r="P43" s="53"/>
      <c r="Q43" s="53"/>
      <c r="R43" s="55"/>
      <c r="S43" s="55"/>
      <c r="T43" s="55"/>
      <c r="U43" s="55"/>
      <c r="V43" s="55"/>
      <c r="W43" s="55"/>
      <c r="X43" s="55"/>
      <c r="Y43" s="55"/>
      <c r="Z43" s="55"/>
      <c r="AA43" s="55"/>
      <c r="AB43" s="56"/>
      <c r="AC43" s="57"/>
      <c r="AE43" s="92"/>
    </row>
    <row r="44" s="49" customFormat="true" ht="15" hidden="true" customHeight="true" outlineLevel="0" collapsed="false">
      <c r="A44" s="13"/>
      <c r="B44" s="13"/>
      <c r="C44" s="51"/>
      <c r="D44" s="13"/>
      <c r="E44" s="52"/>
      <c r="F44" s="52"/>
      <c r="G44" s="52"/>
      <c r="H44" s="52"/>
      <c r="I44" s="52"/>
      <c r="J44" s="52"/>
      <c r="K44" s="53"/>
      <c r="L44" s="16"/>
      <c r="M44" s="17"/>
      <c r="N44" s="54"/>
      <c r="O44" s="53"/>
      <c r="P44" s="53"/>
      <c r="Q44" s="53"/>
      <c r="R44" s="55"/>
      <c r="S44" s="55"/>
      <c r="T44" s="55"/>
      <c r="U44" s="55"/>
      <c r="V44" s="55"/>
      <c r="W44" s="55"/>
      <c r="X44" s="55"/>
      <c r="Y44" s="55"/>
      <c r="Z44" s="55"/>
      <c r="AA44" s="55"/>
      <c r="AB44" s="56"/>
      <c r="AC44" s="57"/>
      <c r="AE44" s="92"/>
    </row>
    <row r="45" s="49" customFormat="true" ht="15" hidden="true" customHeight="true" outlineLevel="0" collapsed="false">
      <c r="A45" s="13"/>
      <c r="B45" s="13"/>
      <c r="C45" s="51"/>
      <c r="D45" s="13"/>
      <c r="E45" s="52"/>
      <c r="F45" s="52"/>
      <c r="G45" s="52"/>
      <c r="H45" s="52"/>
      <c r="I45" s="52"/>
      <c r="J45" s="52"/>
      <c r="K45" s="53"/>
      <c r="L45" s="16"/>
      <c r="M45" s="17"/>
      <c r="N45" s="54"/>
      <c r="O45" s="53"/>
      <c r="P45" s="53"/>
      <c r="Q45" s="53"/>
      <c r="R45" s="55"/>
      <c r="S45" s="55"/>
      <c r="T45" s="55"/>
      <c r="U45" s="55"/>
      <c r="V45" s="55"/>
      <c r="W45" s="55"/>
      <c r="X45" s="55"/>
      <c r="Y45" s="55"/>
      <c r="Z45" s="55"/>
      <c r="AA45" s="55"/>
      <c r="AB45" s="56"/>
      <c r="AC45" s="57"/>
      <c r="AE45" s="92"/>
    </row>
    <row r="46" s="49" customFormat="true" ht="15" hidden="true" customHeight="true" outlineLevel="0" collapsed="false">
      <c r="A46" s="13"/>
      <c r="B46" s="13"/>
      <c r="C46" s="51"/>
      <c r="D46" s="13"/>
      <c r="E46" s="52"/>
      <c r="F46" s="52"/>
      <c r="G46" s="52"/>
      <c r="H46" s="52"/>
      <c r="I46" s="52"/>
      <c r="J46" s="52"/>
      <c r="K46" s="53"/>
      <c r="L46" s="16"/>
      <c r="M46" s="17"/>
      <c r="N46" s="54"/>
      <c r="O46" s="53"/>
      <c r="P46" s="53"/>
      <c r="Q46" s="53"/>
      <c r="R46" s="55"/>
      <c r="S46" s="55"/>
      <c r="T46" s="55"/>
      <c r="U46" s="55"/>
      <c r="V46" s="55"/>
      <c r="W46" s="55"/>
      <c r="X46" s="55"/>
      <c r="Y46" s="55"/>
      <c r="Z46" s="55"/>
      <c r="AA46" s="55"/>
      <c r="AB46" s="56"/>
      <c r="AC46" s="57"/>
      <c r="AE46" s="92"/>
    </row>
    <row r="47" s="49" customFormat="true" ht="15" hidden="true" customHeight="true" outlineLevel="0" collapsed="false">
      <c r="A47" s="13"/>
      <c r="B47" s="13"/>
      <c r="C47" s="51"/>
      <c r="D47" s="13"/>
      <c r="E47" s="52"/>
      <c r="F47" s="52"/>
      <c r="G47" s="52"/>
      <c r="H47" s="52"/>
      <c r="I47" s="52"/>
      <c r="J47" s="52"/>
      <c r="K47" s="53"/>
      <c r="L47" s="16"/>
      <c r="M47" s="17"/>
      <c r="N47" s="54"/>
      <c r="O47" s="53"/>
      <c r="P47" s="53"/>
      <c r="Q47" s="53"/>
      <c r="R47" s="55"/>
      <c r="S47" s="55"/>
      <c r="T47" s="55"/>
      <c r="U47" s="55"/>
      <c r="V47" s="55"/>
      <c r="W47" s="55"/>
      <c r="X47" s="55"/>
      <c r="Y47" s="55"/>
      <c r="Z47" s="55"/>
      <c r="AA47" s="55"/>
      <c r="AB47" s="56"/>
      <c r="AC47" s="57"/>
      <c r="AE47" s="92"/>
    </row>
    <row r="48" s="49" customFormat="true" ht="15" hidden="true" customHeight="true" outlineLevel="0" collapsed="false">
      <c r="A48" s="13"/>
      <c r="B48" s="13"/>
      <c r="C48" s="51"/>
      <c r="D48" s="13"/>
      <c r="E48" s="52"/>
      <c r="F48" s="52"/>
      <c r="G48" s="52"/>
      <c r="H48" s="52"/>
      <c r="I48" s="52"/>
      <c r="J48" s="52"/>
      <c r="K48" s="53"/>
      <c r="L48" s="16"/>
      <c r="M48" s="17"/>
      <c r="N48" s="54"/>
      <c r="O48" s="53"/>
      <c r="P48" s="53"/>
      <c r="Q48" s="53"/>
      <c r="R48" s="55"/>
      <c r="S48" s="55"/>
      <c r="T48" s="55"/>
      <c r="U48" s="55"/>
      <c r="V48" s="55"/>
      <c r="W48" s="55"/>
      <c r="X48" s="55"/>
      <c r="Y48" s="55"/>
      <c r="Z48" s="55"/>
      <c r="AA48" s="55"/>
      <c r="AB48" s="56"/>
      <c r="AC48" s="57"/>
      <c r="AE48" s="92"/>
    </row>
    <row r="49" s="49" customFormat="true" ht="15" hidden="true" customHeight="true" outlineLevel="0" collapsed="false">
      <c r="A49" s="13"/>
      <c r="B49" s="13"/>
      <c r="C49" s="51"/>
      <c r="D49" s="13"/>
      <c r="E49" s="52"/>
      <c r="F49" s="52"/>
      <c r="G49" s="52"/>
      <c r="H49" s="52"/>
      <c r="I49" s="52"/>
      <c r="J49" s="52"/>
      <c r="K49" s="53"/>
      <c r="L49" s="16"/>
      <c r="M49" s="17"/>
      <c r="N49" s="54"/>
      <c r="O49" s="53"/>
      <c r="P49" s="53"/>
      <c r="Q49" s="53"/>
      <c r="R49" s="55"/>
      <c r="S49" s="55"/>
      <c r="T49" s="55"/>
      <c r="U49" s="55"/>
      <c r="V49" s="55"/>
      <c r="W49" s="55"/>
      <c r="X49" s="55"/>
      <c r="Y49" s="55"/>
      <c r="Z49" s="55"/>
      <c r="AA49" s="55"/>
      <c r="AB49" s="56"/>
      <c r="AC49" s="57"/>
      <c r="AE49" s="92"/>
    </row>
    <row r="50" s="49" customFormat="true" ht="15" hidden="true" customHeight="true" outlineLevel="0" collapsed="false">
      <c r="A50" s="13"/>
      <c r="B50" s="13"/>
      <c r="C50" s="51"/>
      <c r="D50" s="13"/>
      <c r="E50" s="52"/>
      <c r="F50" s="52"/>
      <c r="G50" s="52"/>
      <c r="H50" s="52"/>
      <c r="I50" s="52"/>
      <c r="J50" s="52"/>
      <c r="K50" s="53"/>
      <c r="L50" s="16"/>
      <c r="M50" s="17"/>
      <c r="N50" s="54"/>
      <c r="O50" s="53"/>
      <c r="P50" s="53"/>
      <c r="Q50" s="53"/>
      <c r="R50" s="55"/>
      <c r="S50" s="55"/>
      <c r="T50" s="55"/>
      <c r="U50" s="55"/>
      <c r="V50" s="55"/>
      <c r="W50" s="55"/>
      <c r="X50" s="55"/>
      <c r="Y50" s="55"/>
      <c r="Z50" s="55"/>
      <c r="AA50" s="55"/>
      <c r="AB50" s="56"/>
      <c r="AC50" s="57"/>
      <c r="AE50" s="92"/>
    </row>
    <row r="51" s="32" customFormat="true" ht="16.5" hidden="false" customHeight="true" outlineLevel="0" collapsed="false">
      <c r="A51" s="61" t="s">
        <v>61</v>
      </c>
      <c r="B51" s="61"/>
      <c r="C51" s="61"/>
      <c r="D51" s="61"/>
      <c r="E51" s="62"/>
      <c r="F51" s="62"/>
      <c r="G51" s="62"/>
      <c r="H51" s="62"/>
      <c r="I51" s="62"/>
      <c r="J51" s="62"/>
      <c r="K51" s="62"/>
      <c r="L51" s="62"/>
      <c r="M51" s="63"/>
      <c r="N51" s="63"/>
      <c r="O51" s="63"/>
      <c r="P51" s="63"/>
      <c r="Q51" s="63"/>
      <c r="R51" s="64" t="n">
        <f aca="false">SUM(R11:R50)</f>
        <v>0</v>
      </c>
      <c r="S51" s="64" t="n">
        <f aca="false">SUM(S11:S50)</f>
        <v>0</v>
      </c>
      <c r="T51" s="64"/>
      <c r="U51" s="65" t="n">
        <f aca="false">SUM(U11:U50)</f>
        <v>0</v>
      </c>
      <c r="V51" s="65" t="n">
        <f aca="false">SUM(V11:V50)</f>
        <v>0</v>
      </c>
      <c r="W51" s="66" t="n">
        <f aca="false">SUM(W11:W22)</f>
        <v>874.96385</v>
      </c>
      <c r="X51" s="65" t="n">
        <f aca="false">SUM(X11:X50)</f>
        <v>0</v>
      </c>
      <c r="Y51" s="65" t="n">
        <f aca="false">SUM(Y11:Y50)</f>
        <v>0</v>
      </c>
      <c r="Z51" s="65" t="n">
        <f aca="false">SUM(Z11:Z50)</f>
        <v>0</v>
      </c>
      <c r="AA51" s="65" t="n">
        <f aca="false">SUM(AA11:AA50)</f>
        <v>0</v>
      </c>
      <c r="AB51" s="65"/>
      <c r="AD51" s="93"/>
      <c r="AE51" s="74"/>
      <c r="AF51" s="94"/>
      <c r="AG51" s="95"/>
      <c r="AH51" s="95"/>
      <c r="AI51" s="95"/>
      <c r="AJ51" s="95"/>
      <c r="AK51" s="95"/>
      <c r="AL51" s="95"/>
      <c r="AM51" s="67"/>
      <c r="AN51" s="96"/>
    </row>
    <row r="52" s="72" customFormat="true" ht="15" hidden="false" customHeight="true" outlineLevel="0" collapsed="false">
      <c r="A52" s="68"/>
      <c r="B52" s="68"/>
      <c r="C52" s="68"/>
      <c r="D52" s="68"/>
      <c r="E52" s="69"/>
      <c r="F52" s="69"/>
      <c r="G52" s="69"/>
      <c r="H52" s="69"/>
      <c r="I52" s="69"/>
      <c r="J52" s="69"/>
      <c r="K52" s="69"/>
      <c r="L52" s="69"/>
      <c r="M52" s="69"/>
      <c r="N52" s="69"/>
      <c r="O52" s="69"/>
      <c r="P52" s="69"/>
      <c r="Q52" s="69"/>
      <c r="R52" s="70"/>
      <c r="S52" s="70"/>
      <c r="T52" s="70"/>
      <c r="U52" s="71"/>
      <c r="V52" s="71"/>
      <c r="W52" s="71"/>
      <c r="X52" s="71"/>
      <c r="Y52" s="71"/>
      <c r="Z52" s="71"/>
      <c r="AA52" s="71"/>
      <c r="AB52" s="71"/>
    </row>
    <row r="53" s="72" customFormat="true" ht="15" hidden="false" customHeight="true" outlineLevel="0" collapsed="false">
      <c r="A53" s="19" t="s">
        <v>50</v>
      </c>
      <c r="B53" s="19"/>
      <c r="C53" s="19"/>
      <c r="D53" s="77" t="s">
        <v>62</v>
      </c>
      <c r="E53" s="19" t="s">
        <v>51</v>
      </c>
      <c r="F53" s="19"/>
      <c r="G53" s="19"/>
      <c r="H53" s="19"/>
      <c r="I53" s="19"/>
      <c r="J53" s="19"/>
      <c r="K53" s="19"/>
      <c r="L53" s="19"/>
      <c r="M53" s="19"/>
      <c r="N53" s="19"/>
      <c r="O53" s="19"/>
      <c r="P53" s="19"/>
      <c r="Q53" s="19"/>
      <c r="R53" s="19"/>
      <c r="S53" s="19"/>
      <c r="T53" s="19"/>
      <c r="U53" s="19"/>
      <c r="V53" s="19"/>
      <c r="W53" s="19"/>
      <c r="X53" s="19"/>
      <c r="Y53" s="19"/>
      <c r="Z53" s="19"/>
      <c r="AA53" s="19"/>
      <c r="AB53" s="19"/>
    </row>
    <row r="54" s="72" customFormat="true" ht="15" hidden="false" customHeight="true" outlineLevel="0" collapsed="false">
      <c r="A54" s="78"/>
      <c r="B54" s="78"/>
      <c r="C54" s="78"/>
      <c r="D54" s="79"/>
      <c r="E54" s="79"/>
      <c r="F54" s="79"/>
      <c r="G54" s="79"/>
      <c r="H54" s="79"/>
      <c r="I54" s="79"/>
      <c r="J54" s="79"/>
      <c r="K54" s="79"/>
      <c r="L54" s="79"/>
      <c r="M54" s="79"/>
      <c r="N54" s="79"/>
      <c r="O54" s="79"/>
      <c r="P54" s="79"/>
      <c r="Q54" s="79"/>
      <c r="R54" s="79"/>
      <c r="S54" s="79"/>
      <c r="T54" s="79"/>
      <c r="U54" s="79"/>
      <c r="V54" s="79"/>
      <c r="W54" s="79"/>
      <c r="X54" s="69"/>
      <c r="Y54" s="69"/>
      <c r="Z54" s="69"/>
      <c r="AA54" s="69"/>
      <c r="AB54" s="69"/>
    </row>
    <row r="55" s="72" customFormat="true" ht="15.75" hidden="false" customHeight="true" outlineLevel="0" collapsed="false">
      <c r="A55" s="78"/>
      <c r="B55" s="78"/>
      <c r="C55" s="81"/>
      <c r="D55" s="81"/>
      <c r="E55" s="79"/>
      <c r="F55" s="79"/>
      <c r="G55" s="79"/>
      <c r="H55" s="79"/>
      <c r="I55" s="79"/>
      <c r="J55" s="79"/>
      <c r="K55" s="79"/>
      <c r="L55" s="79"/>
      <c r="M55" s="79"/>
      <c r="N55" s="79"/>
      <c r="O55" s="79"/>
      <c r="P55" s="79"/>
      <c r="Q55" s="79"/>
      <c r="R55" s="79"/>
      <c r="S55" s="79"/>
      <c r="T55" s="79"/>
      <c r="U55" s="79"/>
      <c r="V55" s="79"/>
      <c r="W55" s="79"/>
      <c r="X55" s="69"/>
      <c r="Y55" s="69"/>
      <c r="Z55" s="69"/>
      <c r="AA55" s="69"/>
      <c r="AB55" s="69"/>
      <c r="AF55" s="75"/>
    </row>
    <row r="56" s="72" customFormat="true" ht="15" hidden="false" customHeight="true" outlineLevel="0" collapsed="false">
      <c r="A56" s="78"/>
      <c r="B56" s="78"/>
      <c r="C56" s="78"/>
      <c r="D56" s="79"/>
      <c r="E56" s="79"/>
      <c r="F56" s="79"/>
      <c r="G56" s="79"/>
      <c r="H56" s="79"/>
      <c r="I56" s="79"/>
      <c r="J56" s="79"/>
      <c r="K56" s="79"/>
      <c r="L56" s="79"/>
      <c r="M56" s="79"/>
      <c r="N56" s="79"/>
      <c r="O56" s="79"/>
      <c r="P56" s="79"/>
      <c r="Q56" s="79"/>
      <c r="R56" s="79"/>
      <c r="S56" s="79"/>
      <c r="T56" s="79"/>
      <c r="U56" s="79"/>
      <c r="V56" s="79"/>
      <c r="W56" s="79"/>
      <c r="X56" s="69"/>
      <c r="Y56" s="69"/>
      <c r="Z56" s="69"/>
      <c r="AA56" s="69"/>
      <c r="AB56" s="69"/>
    </row>
    <row r="57" s="72" customFormat="true" ht="15" hidden="false" customHeight="true" outlineLevel="0" collapsed="false">
      <c r="A57" s="78"/>
      <c r="B57" s="78"/>
      <c r="C57" s="78"/>
      <c r="D57" s="79"/>
      <c r="E57" s="79"/>
      <c r="F57" s="79"/>
      <c r="G57" s="79"/>
      <c r="H57" s="79"/>
      <c r="I57" s="79"/>
      <c r="J57" s="79"/>
      <c r="K57" s="79"/>
      <c r="L57" s="79"/>
      <c r="M57" s="79"/>
      <c r="N57" s="79"/>
      <c r="O57" s="79"/>
      <c r="P57" s="79"/>
      <c r="Q57" s="79"/>
      <c r="R57" s="79"/>
      <c r="S57" s="79"/>
      <c r="T57" s="79"/>
      <c r="U57" s="79"/>
      <c r="V57" s="79"/>
      <c r="W57" s="79"/>
      <c r="X57" s="69"/>
      <c r="Y57" s="69"/>
      <c r="Z57" s="69"/>
      <c r="AA57" s="69"/>
      <c r="AB57" s="69"/>
    </row>
    <row r="58" s="72" customFormat="true" ht="15" hidden="false" customHeight="true" outlineLevel="0" collapsed="false">
      <c r="A58" s="78"/>
      <c r="B58" s="78"/>
      <c r="C58" s="78"/>
      <c r="D58" s="79"/>
      <c r="E58" s="79"/>
      <c r="F58" s="79"/>
      <c r="G58" s="79"/>
      <c r="H58" s="79"/>
      <c r="I58" s="79"/>
      <c r="J58" s="79"/>
      <c r="K58" s="79"/>
      <c r="L58" s="79"/>
      <c r="M58" s="79"/>
      <c r="N58" s="79"/>
      <c r="O58" s="79"/>
      <c r="P58" s="79"/>
      <c r="Q58" s="79"/>
      <c r="R58" s="79"/>
      <c r="S58" s="79"/>
      <c r="T58" s="79"/>
      <c r="U58" s="79"/>
      <c r="V58" s="79"/>
      <c r="W58" s="79"/>
      <c r="X58" s="69"/>
      <c r="Y58" s="69"/>
      <c r="Z58" s="69"/>
      <c r="AA58" s="69"/>
      <c r="AB58" s="69"/>
    </row>
    <row r="59" s="72" customFormat="true" ht="15" hidden="false" customHeight="true" outlineLevel="0" collapsed="false">
      <c r="A59" s="19" t="s">
        <v>52</v>
      </c>
      <c r="B59" s="19"/>
      <c r="C59" s="19"/>
      <c r="D59" s="20"/>
      <c r="E59" s="20"/>
      <c r="F59" s="20"/>
      <c r="G59" s="20"/>
      <c r="H59" s="20"/>
      <c r="I59" s="20"/>
      <c r="J59" s="20"/>
      <c r="K59" s="20"/>
      <c r="L59" s="20"/>
      <c r="M59" s="19" t="s">
        <v>53</v>
      </c>
      <c r="N59" s="19"/>
      <c r="O59" s="19"/>
      <c r="P59" s="19"/>
      <c r="Q59" s="19"/>
      <c r="R59" s="19"/>
      <c r="S59" s="19"/>
      <c r="T59" s="19"/>
      <c r="U59" s="19"/>
      <c r="V59" s="19"/>
      <c r="W59" s="19"/>
      <c r="X59" s="19"/>
      <c r="Y59" s="19"/>
      <c r="Z59" s="19"/>
      <c r="AA59" s="19"/>
      <c r="AB59" s="19"/>
    </row>
    <row r="60" customFormat="false" ht="12.75" hidden="false" customHeight="false" outlineLevel="0" collapsed="false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customFormat="false" ht="12.75" hidden="false" customHeight="false" outlineLevel="0" collapsed="false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customFormat="false" ht="12.75" hidden="false" customHeight="false" outlineLevel="0" collapsed="false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customFormat="false" ht="12.75" hidden="false" customHeight="false" outlineLevel="0" collapsed="false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customFormat="false" ht="12.75" hidden="false" customHeight="false" outlineLevel="0" collapsed="false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customFormat="false" ht="12.75" hidden="false" customHeight="false" outlineLevel="0" collapsed="false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customFormat="false" ht="12.75" hidden="false" customHeight="false" outlineLevel="0" collapsed="false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customFormat="false" ht="12.75" hidden="false" customHeight="false" outlineLevel="0" collapsed="false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customFormat="false" ht="12.75" hidden="false" customHeight="false" outlineLevel="0" collapsed="false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customFormat="false" ht="12.75" hidden="false" customHeight="false" outlineLevel="0" collapsed="false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customFormat="false" ht="12.75" hidden="false" customHeight="false" outlineLevel="0" collapsed="false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customFormat="false" ht="12.75" hidden="false" customHeight="false" outlineLevel="0" collapsed="false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customFormat="false" ht="12.75" hidden="false" customHeight="false" outlineLevel="0" collapsed="false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customFormat="false" ht="12.75" hidden="false" customHeight="false" outlineLevel="0" collapsed="false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customFormat="false" ht="12.75" hidden="false" customHeight="false" outlineLevel="0" collapsed="false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customFormat="false" ht="12.75" hidden="false" customHeight="false" outlineLevel="0" collapsed="false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customFormat="false" ht="12.75" hidden="false" customHeight="false" outlineLevel="0" collapsed="false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customFormat="false" ht="12.75" hidden="false" customHeight="false" outlineLevel="0" collapsed="false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customFormat="false" ht="12.75" hidden="false" customHeight="false" outlineLevel="0" collapsed="false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customFormat="false" ht="12.75" hidden="false" customHeight="false" outlineLevel="0" collapsed="false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customFormat="false" ht="12.75" hidden="false" customHeight="false" outlineLevel="0" collapsed="false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customFormat="false" ht="12.75" hidden="false" customHeight="false" outlineLevel="0" collapsed="false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customFormat="false" ht="12.75" hidden="false" customHeight="false" outlineLevel="0" collapsed="false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customFormat="false" ht="12.75" hidden="false" customHeight="false" outlineLevel="0" collapsed="false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customFormat="false" ht="12.75" hidden="false" customHeight="false" outlineLevel="0" collapsed="false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customFormat="false" ht="12.75" hidden="false" customHeight="false" outlineLevel="0" collapsed="false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customFormat="false" ht="12.75" hidden="false" customHeight="false" outlineLevel="0" collapsed="false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customFormat="false" ht="12.75" hidden="false" customHeight="false" outlineLevel="0" collapsed="false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customFormat="false" ht="12.75" hidden="false" customHeight="false" outlineLevel="0" collapsed="false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customFormat="false" ht="12.75" hidden="false" customHeight="false" outlineLevel="0" collapsed="false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customFormat="false" ht="12.75" hidden="false" customHeight="false" outlineLevel="0" collapsed="false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customFormat="false" ht="12.75" hidden="false" customHeight="false" outlineLevel="0" collapsed="false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customFormat="false" ht="12.75" hidden="false" customHeight="false" outlineLevel="0" collapsed="false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customFormat="false" ht="12.75" hidden="false" customHeight="false" outlineLevel="0" collapsed="false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customFormat="false" ht="12.75" hidden="false" customHeight="false" outlineLevel="0" collapsed="false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customFormat="false" ht="12.75" hidden="false" customHeight="false" outlineLevel="0" collapsed="false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customFormat="false" ht="12.75" hidden="false" customHeight="false" outlineLevel="0" collapsed="false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customFormat="false" ht="12.75" hidden="false" customHeight="false" outlineLevel="0" collapsed="false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customFormat="false" ht="12.75" hidden="false" customHeight="false" outlineLevel="0" collapsed="false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customFormat="false" ht="12.75" hidden="false" customHeight="false" outlineLevel="0" collapsed="false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customFormat="false" ht="12.75" hidden="false" customHeight="false" outlineLevel="0" collapsed="false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customFormat="false" ht="12.75" hidden="false" customHeight="false" outlineLevel="0" collapsed="false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customFormat="false" ht="12.75" hidden="false" customHeight="false" outlineLevel="0" collapsed="false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customFormat="false" ht="12.75" hidden="false" customHeight="false" outlineLevel="0" collapsed="false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customFormat="false" ht="12.75" hidden="false" customHeight="false" outlineLevel="0" collapsed="false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customFormat="false" ht="12.75" hidden="false" customHeight="false" outlineLevel="0" collapsed="false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customFormat="false" ht="12.75" hidden="false" customHeight="false" outlineLevel="0" collapsed="false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customFormat="false" ht="12.75" hidden="false" customHeight="false" outlineLevel="0" collapsed="false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customFormat="false" ht="12.75" hidden="false" customHeight="false" outlineLevel="0" collapsed="false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s="23" customFormat="true" ht="12.75" hidden="false" customHeight="false" outlineLevel="0" collapsed="false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  <c r="AD109" s="22"/>
      <c r="AE109" s="22"/>
      <c r="AF109" s="22"/>
      <c r="AG109" s="22"/>
    </row>
    <row r="110" s="23" customFormat="true" ht="12.75" hidden="false" customHeight="false" outlineLevel="0" collapsed="false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  <c r="AD110" s="22"/>
      <c r="AE110" s="22"/>
      <c r="AF110" s="22"/>
      <c r="AG110" s="22"/>
    </row>
    <row r="111" s="23" customFormat="true" ht="12.75" hidden="false" customHeight="false" outlineLevel="0" collapsed="false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  <c r="AD111" s="22"/>
      <c r="AE111" s="22"/>
      <c r="AF111" s="22"/>
      <c r="AG111" s="22"/>
    </row>
    <row r="112" s="23" customFormat="true" ht="12.75" hidden="false" customHeight="false" outlineLevel="0" collapsed="false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  <c r="AD112" s="22"/>
      <c r="AE112" s="22"/>
      <c r="AF112" s="22"/>
      <c r="AG112" s="22"/>
    </row>
    <row r="113" s="23" customFormat="true" ht="12.75" hidden="false" customHeight="false" outlineLevel="0" collapsed="false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  <c r="AD113" s="22"/>
      <c r="AE113" s="22"/>
      <c r="AF113" s="22"/>
      <c r="AG113" s="22"/>
    </row>
    <row r="114" s="23" customFormat="true" ht="12.75" hidden="false" customHeight="false" outlineLevel="0" collapsed="false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  <c r="AD114" s="22"/>
      <c r="AE114" s="22"/>
      <c r="AF114" s="22"/>
      <c r="AG114" s="22"/>
    </row>
    <row r="115" s="23" customFormat="true" ht="12.75" hidden="false" customHeight="false" outlineLevel="0" collapsed="false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  <c r="AD115" s="22"/>
      <c r="AE115" s="22"/>
      <c r="AF115" s="22"/>
      <c r="AG115" s="22"/>
    </row>
    <row r="116" s="23" customFormat="true" ht="12.75" hidden="false" customHeight="false" outlineLevel="0" collapsed="false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  <c r="AD116" s="22"/>
      <c r="AE116" s="22"/>
      <c r="AF116" s="22"/>
      <c r="AG116" s="22"/>
    </row>
    <row r="117" s="23" customFormat="true" ht="12.75" hidden="false" customHeight="false" outlineLevel="0" collapsed="false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  <c r="AD117" s="22"/>
      <c r="AE117" s="22"/>
      <c r="AF117" s="22"/>
      <c r="AG117" s="22"/>
    </row>
    <row r="118" s="23" customFormat="true" ht="12.75" hidden="false" customHeight="false" outlineLevel="0" collapsed="false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  <c r="AD118" s="22"/>
      <c r="AE118" s="22"/>
      <c r="AF118" s="22"/>
      <c r="AG118" s="22"/>
    </row>
    <row r="119" s="23" customFormat="true" ht="12.75" hidden="false" customHeight="false" outlineLevel="0" collapsed="false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  <c r="AD119" s="22"/>
      <c r="AE119" s="22"/>
      <c r="AF119" s="22"/>
      <c r="AG119" s="22"/>
    </row>
    <row r="120" s="23" customFormat="true" ht="12.75" hidden="false" customHeight="false" outlineLevel="0" collapsed="false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  <c r="AD120" s="22"/>
      <c r="AE120" s="22"/>
      <c r="AF120" s="22"/>
      <c r="AG120" s="22"/>
    </row>
    <row r="121" s="23" customFormat="true" ht="12.75" hidden="false" customHeight="false" outlineLevel="0" collapsed="false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  <c r="AD121" s="22"/>
      <c r="AE121" s="22"/>
      <c r="AF121" s="22"/>
      <c r="AG121" s="22"/>
    </row>
    <row r="122" s="23" customFormat="true" ht="12.75" hidden="false" customHeight="false" outlineLevel="0" collapsed="false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  <c r="AD122" s="22"/>
      <c r="AE122" s="22"/>
      <c r="AF122" s="22"/>
      <c r="AG122" s="22"/>
    </row>
    <row r="123" s="23" customFormat="true" ht="12.75" hidden="false" customHeight="false" outlineLevel="0" collapsed="false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  <c r="AD123" s="22"/>
      <c r="AE123" s="22"/>
      <c r="AF123" s="22"/>
      <c r="AG123" s="22"/>
    </row>
    <row r="124" s="23" customFormat="true" ht="12.75" hidden="false" customHeight="false" outlineLevel="0" collapsed="false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  <c r="AD124" s="22"/>
      <c r="AE124" s="22"/>
      <c r="AF124" s="22"/>
      <c r="AG124" s="22"/>
    </row>
    <row r="125" s="23" customFormat="true" ht="12.75" hidden="false" customHeight="false" outlineLevel="0" collapsed="false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  <c r="AD125" s="22"/>
      <c r="AE125" s="22"/>
      <c r="AF125" s="22"/>
      <c r="AG125" s="22"/>
    </row>
    <row r="126" s="23" customFormat="true" ht="12.75" hidden="false" customHeight="false" outlineLevel="0" collapsed="false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  <c r="AD126" s="22"/>
      <c r="AE126" s="22"/>
      <c r="AF126" s="22"/>
      <c r="AG126" s="22"/>
    </row>
    <row r="127" s="23" customFormat="true" ht="12.75" hidden="false" customHeight="false" outlineLevel="0" collapsed="false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  <c r="AD127" s="22"/>
      <c r="AE127" s="22"/>
      <c r="AF127" s="22"/>
      <c r="AG127" s="22"/>
    </row>
    <row r="128" s="23" customFormat="true" ht="12.75" hidden="false" customHeight="false" outlineLevel="0" collapsed="false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  <c r="AD128" s="22"/>
      <c r="AE128" s="22"/>
      <c r="AF128" s="22"/>
      <c r="AG128" s="22"/>
    </row>
    <row r="129" s="23" customFormat="true" ht="12.75" hidden="false" customHeight="false" outlineLevel="0" collapsed="false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  <c r="AD129" s="22"/>
      <c r="AE129" s="22"/>
      <c r="AF129" s="22"/>
      <c r="AG129" s="22"/>
    </row>
    <row r="130" s="23" customFormat="true" ht="12.75" hidden="false" customHeight="false" outlineLevel="0" collapsed="false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  <c r="AD130" s="22"/>
      <c r="AE130" s="22"/>
      <c r="AF130" s="22"/>
      <c r="AG130" s="22"/>
    </row>
    <row r="131" s="23" customFormat="true" ht="12.75" hidden="false" customHeight="false" outlineLevel="0" collapsed="false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  <c r="AD131" s="22"/>
      <c r="AE131" s="22"/>
      <c r="AF131" s="22"/>
      <c r="AG131" s="22"/>
    </row>
    <row r="132" s="23" customFormat="true" ht="12.75" hidden="false" customHeight="false" outlineLevel="0" collapsed="false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  <c r="AD132" s="22"/>
      <c r="AE132" s="22"/>
      <c r="AF132" s="22"/>
      <c r="AG132" s="22"/>
    </row>
    <row r="133" s="23" customFormat="true" ht="12.75" hidden="false" customHeight="false" outlineLevel="0" collapsed="false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  <c r="AD133" s="22"/>
      <c r="AE133" s="22"/>
      <c r="AF133" s="22"/>
      <c r="AG133" s="22"/>
    </row>
    <row r="134" s="23" customFormat="true" ht="12.75" hidden="false" customHeight="false" outlineLevel="0" collapsed="false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  <c r="AD134" s="22"/>
      <c r="AE134" s="22"/>
      <c r="AF134" s="22"/>
      <c r="AG134" s="22"/>
    </row>
    <row r="135" s="23" customFormat="true" ht="12.75" hidden="false" customHeight="false" outlineLevel="0" collapsed="false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  <c r="AD135" s="22"/>
      <c r="AE135" s="22"/>
      <c r="AF135" s="22"/>
      <c r="AG135" s="22"/>
    </row>
    <row r="136" s="23" customFormat="true" ht="12.75" hidden="false" customHeight="false" outlineLevel="0" collapsed="false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  <c r="AD136" s="22"/>
      <c r="AE136" s="22"/>
      <c r="AF136" s="22"/>
      <c r="AG136" s="22"/>
    </row>
  </sheetData>
  <mergeCells count="19">
    <mergeCell ref="A1:AB1"/>
    <mergeCell ref="A2:AB2"/>
    <mergeCell ref="A3:AB3"/>
    <mergeCell ref="A4:AB4"/>
    <mergeCell ref="A5:AB5"/>
    <mergeCell ref="A6:AB6"/>
    <mergeCell ref="D7:AB7"/>
    <mergeCell ref="A8:AB8"/>
    <mergeCell ref="A9:A10"/>
    <mergeCell ref="B9:B10"/>
    <mergeCell ref="C9:C10"/>
    <mergeCell ref="D9:D10"/>
    <mergeCell ref="M9:Y9"/>
    <mergeCell ref="AB9:AB10"/>
    <mergeCell ref="A51:D51"/>
    <mergeCell ref="A53:C53"/>
    <mergeCell ref="E53:AB53"/>
    <mergeCell ref="A59:C59"/>
    <mergeCell ref="M59:AB59"/>
  </mergeCells>
  <printOptions headings="false" gridLines="false" gridLinesSet="true" horizontalCentered="false" verticalCentered="false"/>
  <pageMargins left="0.7" right="0.159722222222222" top="0.529861111111111" bottom="0.470138888888889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Y68"/>
  <sheetViews>
    <sheetView showFormulas="false" showGridLines="true" showRowColHeaders="true" showZeros="true" rightToLeft="false" tabSelected="false" showOutlineSymbols="true" defaultGridColor="true" view="normal" topLeftCell="A13" colorId="64" zoomScale="85" zoomScaleNormal="85" zoomScalePageLayoutView="100" workbookViewId="0">
      <selection pane="topLeft" activeCell="J51" activeCellId="0" sqref="J5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6.57"/>
    <col collapsed="false" customWidth="true" hidden="false" outlineLevel="0" max="2" min="2" style="1" width="8.15"/>
    <col collapsed="false" customWidth="true" hidden="false" outlineLevel="0" max="3" min="3" style="1" width="16.29"/>
    <col collapsed="false" customWidth="true" hidden="true" outlineLevel="0" max="4" min="4" style="1" width="8.29"/>
    <col collapsed="false" customWidth="false" hidden="true" outlineLevel="0" max="5" min="5" style="1" width="8.71"/>
    <col collapsed="false" customWidth="true" hidden="true" outlineLevel="0" max="6" min="6" style="1" width="9.14"/>
    <col collapsed="false" customWidth="true" hidden="false" outlineLevel="0" max="12" min="7" style="1" width="11.43"/>
    <col collapsed="false" customWidth="true" hidden="true" outlineLevel="0" max="15" min="13" style="1" width="8.57"/>
    <col collapsed="false" customWidth="true" hidden="false" outlineLevel="0" max="18" min="16" style="1" width="11.43"/>
    <col collapsed="false" customWidth="true" hidden="false" outlineLevel="0" max="19" min="19" style="1" width="7.86"/>
  </cols>
  <sheetData>
    <row r="1" customFormat="false" ht="20.25" hidden="false" customHeight="true" outlineLevel="0" collapsed="false">
      <c r="A1" s="3" t="s">
        <v>28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3"/>
      <c r="T1" s="26"/>
      <c r="U1" s="26"/>
      <c r="V1" s="4"/>
      <c r="W1" s="4"/>
    </row>
    <row r="2" customFormat="false" ht="18.75" hidden="false" customHeight="true" outlineLevel="0" collapsed="false">
      <c r="A2" s="5" t="str">
        <f>"Kèm theo BBNT số: "&amp;VLOOKUP(AZ2,'[1]Tuyến XD8'!$A$2:$G$60,7,0)&amp;VLOOKUP(AZ2,'[1]Tuyến XD8'!$A$2:$G$60,4,0)</f>
        <v xml:space="preserve">Kèm theo BBNT số: 66.NĐXD8/CVXD ngày 17 tháng 09 năm 2026</v>
      </c>
      <c r="B2" s="5"/>
      <c r="C2" s="5"/>
      <c r="D2" s="5"/>
      <c r="E2" s="5"/>
      <c r="F2" s="5"/>
      <c r="G2" s="5"/>
      <c r="H2" s="5"/>
      <c r="I2" s="5"/>
      <c r="J2" s="5"/>
      <c r="K2" s="5"/>
      <c r="L2" s="5"/>
      <c r="M2" s="5"/>
      <c r="N2" s="5"/>
      <c r="O2" s="5"/>
      <c r="P2" s="5"/>
      <c r="Q2" s="5"/>
      <c r="R2" s="5"/>
      <c r="S2" s="5"/>
      <c r="U2" s="6"/>
      <c r="V2" s="6"/>
      <c r="W2" s="6"/>
      <c r="AZ2">
        <v>66</v>
      </c>
    </row>
    <row r="3" customFormat="false" ht="18.75" hidden="false" customHeight="true" outlineLevel="0" collapsed="false">
      <c r="A3" s="7" t="str">
        <f aca="false">'1.KTHH L1'!A3</f>
        <v>Dự án: Xây dựng HTKT Khu tái định cư phục vụ di dân xã Hải Hà, thị xã Nghi Sơn, tỉnh Thanh Hóa.</v>
      </c>
      <c r="C3" s="7"/>
      <c r="D3" s="7"/>
      <c r="E3" s="7"/>
      <c r="F3" s="7"/>
      <c r="G3" s="7"/>
      <c r="H3" s="7"/>
      <c r="I3" s="7"/>
      <c r="J3" s="7"/>
      <c r="K3" s="7"/>
      <c r="L3" s="7"/>
      <c r="M3" s="7"/>
      <c r="N3" s="7"/>
      <c r="O3" s="7"/>
      <c r="P3" s="7"/>
      <c r="Q3" s="7"/>
      <c r="R3" s="7"/>
      <c r="S3" s="7"/>
      <c r="T3" s="7"/>
      <c r="U3" s="7"/>
      <c r="V3" s="7"/>
      <c r="W3" s="7"/>
    </row>
    <row r="4" customFormat="false" ht="18.75" hidden="false" customHeight="true" outlineLevel="0" collapsed="false">
      <c r="A4" s="7" t="str">
        <f aca="false">'1.KTHH L1'!A4</f>
        <v>Gói thầu số 12: Xây dựng HTKT khu vực Hải Bình và Xuân Lâm (bao gồm cả bảo hiểm xây dựng công trình)</v>
      </c>
      <c r="C4" s="7"/>
      <c r="D4" s="7"/>
      <c r="E4" s="7"/>
      <c r="F4" s="7"/>
      <c r="G4" s="7"/>
      <c r="H4" s="7"/>
      <c r="I4" s="7"/>
      <c r="J4" s="7"/>
      <c r="K4" s="7"/>
      <c r="L4" s="7"/>
      <c r="M4" s="7"/>
      <c r="N4" s="7"/>
      <c r="O4" s="7"/>
      <c r="P4" s="7"/>
      <c r="Q4" s="7"/>
      <c r="R4" s="7"/>
      <c r="S4" s="7"/>
      <c r="T4" s="7"/>
      <c r="U4" s="7"/>
      <c r="V4" s="7"/>
      <c r="W4" s="7"/>
    </row>
    <row r="5" customFormat="false" ht="18.75" hidden="false" customHeight="true" outlineLevel="0" collapsed="false">
      <c r="A5" s="7" t="str">
        <f aca="false">'1.KTHH L1'!A5</f>
        <v>Nhà thầu thi công: Công ty TNHH Hoàng Tuấn</v>
      </c>
      <c r="C5" s="7"/>
      <c r="D5" s="7"/>
      <c r="E5" s="7"/>
      <c r="F5" s="7"/>
      <c r="G5" s="7"/>
      <c r="H5" s="7"/>
      <c r="I5" s="7"/>
      <c r="J5" s="7"/>
      <c r="K5" s="7"/>
      <c r="L5" s="7"/>
      <c r="M5" s="7"/>
      <c r="N5" s="7"/>
      <c r="O5" s="7"/>
      <c r="P5" s="7"/>
      <c r="Q5" s="7"/>
      <c r="R5" s="7"/>
      <c r="S5" s="7"/>
      <c r="T5" s="7"/>
      <c r="U5" s="7"/>
      <c r="V5" s="7"/>
      <c r="W5" s="7"/>
    </row>
    <row r="6" customFormat="false" ht="18.75" hidden="false" customHeight="true" outlineLevel="0" collapsed="false">
      <c r="A6" s="7" t="s">
        <v>33</v>
      </c>
      <c r="C6" s="7"/>
      <c r="D6" s="7"/>
      <c r="E6" s="7"/>
      <c r="F6" s="7"/>
      <c r="G6" s="7"/>
      <c r="H6" s="7"/>
      <c r="I6" s="7"/>
      <c r="J6" s="7"/>
      <c r="K6" s="7"/>
      <c r="L6" s="7"/>
      <c r="M6" s="7"/>
      <c r="N6" s="7"/>
      <c r="O6" s="7"/>
      <c r="P6" s="7"/>
      <c r="Q6" s="7"/>
      <c r="R6" s="7"/>
      <c r="S6" s="7"/>
      <c r="T6" s="7"/>
      <c r="U6" s="7"/>
      <c r="V6" s="7"/>
      <c r="W6" s="7"/>
    </row>
    <row r="7" customFormat="false" ht="18.75" hidden="false" customHeight="true" outlineLevel="0" collapsed="false">
      <c r="A7" s="8" t="s">
        <v>34</v>
      </c>
      <c r="C7" s="7"/>
      <c r="D7" s="7"/>
      <c r="F7" s="7"/>
      <c r="G7" s="7" t="str">
        <f>VLOOKUP(AZ2,'[1]Tuyến XD8'!$A$2:$B$60,2,0)</f>
        <v xml:space="preserve">Đắp đất nền đường lớp 3 đoạn từ Km0+489,19 - Km0+609,11, độ chặt K&gt;=0,95</v>
      </c>
      <c r="H7" s="7"/>
      <c r="I7" s="7"/>
      <c r="J7" s="7"/>
      <c r="K7" s="7"/>
      <c r="L7" s="7"/>
      <c r="M7" s="7"/>
      <c r="N7" s="7"/>
      <c r="O7" s="7"/>
      <c r="P7" s="7"/>
      <c r="Q7" s="7"/>
      <c r="R7" s="7"/>
      <c r="S7" s="7"/>
      <c r="T7" s="7"/>
      <c r="U7" s="7"/>
      <c r="V7" s="7"/>
      <c r="W7" s="7"/>
    </row>
    <row r="8" customFormat="false" ht="18.75" hidden="false" customHeight="true" outlineLevel="0" collapsed="false">
      <c r="A8" s="8" t="s">
        <v>36</v>
      </c>
      <c r="C8" s="7"/>
      <c r="D8" s="7"/>
      <c r="E8" s="7"/>
      <c r="F8" s="7"/>
      <c r="G8" s="7"/>
      <c r="H8" s="7"/>
      <c r="I8" s="7"/>
      <c r="J8" s="7"/>
      <c r="K8" s="7"/>
      <c r="L8" s="7"/>
      <c r="M8" s="7"/>
      <c r="N8" s="7"/>
      <c r="O8" s="7"/>
      <c r="P8" s="7"/>
      <c r="Q8" s="7"/>
      <c r="R8" s="7"/>
      <c r="S8" s="7"/>
      <c r="T8" s="7"/>
      <c r="U8" s="7"/>
      <c r="V8" s="7"/>
      <c r="W8" s="7"/>
    </row>
    <row r="20" customFormat="false" ht="15" hidden="false" customHeight="true" outlineLevel="0" collapsed="false">
      <c r="A20" s="9" t="s">
        <v>37</v>
      </c>
      <c r="B20" s="9" t="s">
        <v>38</v>
      </c>
      <c r="C20" s="9" t="s">
        <v>39</v>
      </c>
      <c r="D20" s="10" t="s">
        <v>40</v>
      </c>
      <c r="E20" s="10"/>
      <c r="F20" s="10"/>
      <c r="G20" s="10"/>
      <c r="H20" s="10"/>
      <c r="I20" s="10"/>
      <c r="J20" s="10" t="s">
        <v>41</v>
      </c>
      <c r="K20" s="10"/>
      <c r="L20" s="10"/>
      <c r="M20" s="10" t="s">
        <v>42</v>
      </c>
      <c r="N20" s="10"/>
      <c r="O20" s="10"/>
      <c r="P20" s="10"/>
      <c r="Q20" s="10"/>
      <c r="R20" s="10"/>
      <c r="S20" s="9" t="s">
        <v>43</v>
      </c>
    </row>
    <row r="21" customFormat="false" ht="30" hidden="false" customHeight="true" outlineLevel="0" collapsed="false">
      <c r="A21" s="9"/>
      <c r="B21" s="9"/>
      <c r="C21" s="9"/>
      <c r="D21" s="11" t="s">
        <v>44</v>
      </c>
      <c r="E21" s="11" t="s">
        <v>45</v>
      </c>
      <c r="F21" s="11" t="s">
        <v>46</v>
      </c>
      <c r="G21" s="11" t="s">
        <v>47</v>
      </c>
      <c r="H21" s="11" t="s">
        <v>48</v>
      </c>
      <c r="I21" s="11" t="s">
        <v>49</v>
      </c>
      <c r="J21" s="11" t="s">
        <v>47</v>
      </c>
      <c r="K21" s="11" t="s">
        <v>48</v>
      </c>
      <c r="L21" s="11" t="s">
        <v>49</v>
      </c>
      <c r="M21" s="11" t="s">
        <v>44</v>
      </c>
      <c r="N21" s="11" t="s">
        <v>45</v>
      </c>
      <c r="O21" s="11" t="s">
        <v>46</v>
      </c>
      <c r="P21" s="11" t="s">
        <v>47</v>
      </c>
      <c r="Q21" s="11" t="s">
        <v>48</v>
      </c>
      <c r="R21" s="11" t="s">
        <v>49</v>
      </c>
      <c r="S21" s="9"/>
      <c r="T21" s="86"/>
      <c r="W21" s="87"/>
      <c r="X21" s="87"/>
      <c r="Y21" s="87"/>
    </row>
    <row r="22" customFormat="false" ht="15" hidden="false" customHeight="false" outlineLevel="0" collapsed="false">
      <c r="A22" s="13" t="n">
        <v>1</v>
      </c>
      <c r="B22" s="13" t="s">
        <v>17</v>
      </c>
      <c r="C22" s="15" t="n">
        <v>489.19</v>
      </c>
      <c r="D22" s="16" t="n">
        <f aca="false">+Chạy!F7</f>
        <v>-14.2</v>
      </c>
      <c r="E22" s="16" t="n">
        <f aca="false">+D22+F22</f>
        <v>-14.2086</v>
      </c>
      <c r="F22" s="16" t="n">
        <f aca="false">RANDBETWEEN(-105,115)/10000</f>
        <v>-0.0086</v>
      </c>
      <c r="G22" s="16" t="n">
        <f aca="false">+Chạy!G7</f>
        <v>0.37</v>
      </c>
      <c r="H22" s="16" t="n">
        <f aca="false">G22+I22</f>
        <v>0.357</v>
      </c>
      <c r="I22" s="16" t="n">
        <f aca="false">RANDBETWEEN(-30,90)/1000</f>
        <v>-0.013</v>
      </c>
      <c r="J22" s="16" t="n">
        <f aca="false">+Chạy!K7</f>
        <v>0.49</v>
      </c>
      <c r="K22" s="16" t="n">
        <f aca="false">J22+L22</f>
        <v>0.547</v>
      </c>
      <c r="L22" s="16" t="n">
        <f aca="false">RANDBETWEEN(-30,90)/1000</f>
        <v>0.057</v>
      </c>
      <c r="M22" s="16" t="n">
        <f aca="false">+Chạy!N7</f>
        <v>14.2</v>
      </c>
      <c r="N22" s="16" t="n">
        <f aca="false">+M22+O22</f>
        <v>14.1995</v>
      </c>
      <c r="O22" s="16" t="n">
        <f aca="false">RANDBETWEEN(-105,115)/10000</f>
        <v>-0.0005</v>
      </c>
      <c r="P22" s="16" t="n">
        <f aca="false">+Chạy!O7</f>
        <v>0.37</v>
      </c>
      <c r="Q22" s="16" t="n">
        <f aca="false">P22+R22</f>
        <v>0.385</v>
      </c>
      <c r="R22" s="16" t="n">
        <f aca="false">RANDBETWEEN(-30,90)/1000</f>
        <v>0.015</v>
      </c>
      <c r="S22" s="17"/>
      <c r="T22" s="0" t="n">
        <v>13.17</v>
      </c>
    </row>
    <row r="23" customFormat="false" ht="15" hidden="false" customHeight="false" outlineLevel="0" collapsed="false">
      <c r="A23" s="13" t="n">
        <v>2</v>
      </c>
      <c r="B23" s="13" t="s">
        <v>18</v>
      </c>
      <c r="C23" s="15" t="n">
        <f aca="false">+C22+T22</f>
        <v>502.36</v>
      </c>
      <c r="D23" s="16" t="n">
        <f aca="false">+Chạy!F15</f>
        <v>-14.2</v>
      </c>
      <c r="E23" s="16" t="n">
        <f aca="false">+D23+F23</f>
        <v>-14.1921</v>
      </c>
      <c r="F23" s="16" t="n">
        <f aca="false">RANDBETWEEN(-105,115)/10000</f>
        <v>0.0079</v>
      </c>
      <c r="G23" s="16" t="n">
        <f aca="false">+Chạy!G15</f>
        <v>0.36</v>
      </c>
      <c r="H23" s="16" t="n">
        <f aca="false">G23+I23</f>
        <v>0.414</v>
      </c>
      <c r="I23" s="16" t="n">
        <f aca="false">RANDBETWEEN(-30,90)/1000</f>
        <v>0.054</v>
      </c>
      <c r="J23" s="16" t="n">
        <f aca="false">+Chạy!K15</f>
        <v>0.48</v>
      </c>
      <c r="K23" s="16" t="n">
        <f aca="false">J23+L23</f>
        <v>0.461</v>
      </c>
      <c r="L23" s="16" t="n">
        <f aca="false">RANDBETWEEN(-30,90)/1000</f>
        <v>-0.019</v>
      </c>
      <c r="M23" s="16" t="n">
        <f aca="false">+Chạy!N15</f>
        <v>14.2</v>
      </c>
      <c r="N23" s="16" t="n">
        <f aca="false">+M23+O23</f>
        <v>14.1999</v>
      </c>
      <c r="O23" s="16" t="n">
        <f aca="false">RANDBETWEEN(-105,115)/10000</f>
        <v>-0.0001</v>
      </c>
      <c r="P23" s="16" t="n">
        <f aca="false">+Chạy!O15</f>
        <v>0.36</v>
      </c>
      <c r="Q23" s="16" t="n">
        <f aca="false">P23+R23</f>
        <v>0.334</v>
      </c>
      <c r="R23" s="16" t="n">
        <f aca="false">RANDBETWEEN(-30,90)/1000</f>
        <v>-0.026</v>
      </c>
      <c r="S23" s="17"/>
      <c r="T23" s="0" t="n">
        <v>10.48</v>
      </c>
    </row>
    <row r="24" customFormat="false" ht="15" hidden="false" customHeight="false" outlineLevel="0" collapsed="false">
      <c r="A24" s="13" t="n">
        <v>3</v>
      </c>
      <c r="B24" s="13" t="s">
        <v>19</v>
      </c>
      <c r="C24" s="15" t="n">
        <f aca="false">+C23+T23</f>
        <v>512.84</v>
      </c>
      <c r="D24" s="16" t="n">
        <f aca="false">+Chạy!F23</f>
        <v>-14.2</v>
      </c>
      <c r="E24" s="16" t="n">
        <f aca="false">+D24+F24</f>
        <v>-14.2018</v>
      </c>
      <c r="F24" s="16" t="n">
        <f aca="false">RANDBETWEEN(-105,115)/10000</f>
        <v>-0.0018</v>
      </c>
      <c r="G24" s="16" t="n">
        <f aca="false">+Chạy!G23</f>
        <v>0.36</v>
      </c>
      <c r="H24" s="16" t="n">
        <f aca="false">G24+I24</f>
        <v>0.43</v>
      </c>
      <c r="I24" s="16" t="n">
        <f aca="false">RANDBETWEEN(-30,90)/1000</f>
        <v>0.07</v>
      </c>
      <c r="J24" s="16" t="n">
        <f aca="false">+Chạy!K23</f>
        <v>0.47</v>
      </c>
      <c r="K24" s="16" t="n">
        <f aca="false">J24+L24</f>
        <v>0.497</v>
      </c>
      <c r="L24" s="16" t="n">
        <f aca="false">RANDBETWEEN(-30,90)/1000</f>
        <v>0.027</v>
      </c>
      <c r="M24" s="16" t="n">
        <f aca="false">+Chạy!N23</f>
        <v>14.2</v>
      </c>
      <c r="N24" s="16" t="n">
        <f aca="false">+M24+O24</f>
        <v>14.1925</v>
      </c>
      <c r="O24" s="16" t="n">
        <f aca="false">RANDBETWEEN(-105,115)/10000</f>
        <v>-0.0075</v>
      </c>
      <c r="P24" s="16" t="n">
        <f aca="false">+Chạy!O23</f>
        <v>0.36</v>
      </c>
      <c r="Q24" s="16" t="n">
        <f aca="false">P24+R24</f>
        <v>0.397</v>
      </c>
      <c r="R24" s="16" t="n">
        <f aca="false">RANDBETWEEN(-30,90)/1000</f>
        <v>0.037</v>
      </c>
      <c r="S24" s="17"/>
      <c r="T24" s="0" t="n">
        <v>16.78</v>
      </c>
    </row>
    <row r="25" customFormat="false" ht="15" hidden="false" customHeight="false" outlineLevel="0" collapsed="false">
      <c r="A25" s="13" t="n">
        <v>4</v>
      </c>
      <c r="B25" s="13" t="s">
        <v>20</v>
      </c>
      <c r="C25" s="15" t="n">
        <f aca="false">+C24+T24</f>
        <v>529.62</v>
      </c>
      <c r="D25" s="16" t="n">
        <f aca="false">+Chạy!F31</f>
        <v>-14.2</v>
      </c>
      <c r="E25" s="16" t="n">
        <f aca="false">+D25+F25</f>
        <v>-14.2086</v>
      </c>
      <c r="F25" s="16" t="n">
        <f aca="false">RANDBETWEEN(-105,115)/10000</f>
        <v>-0.0086</v>
      </c>
      <c r="G25" s="16" t="n">
        <f aca="false">+Chạy!G31</f>
        <v>0.35</v>
      </c>
      <c r="H25" s="16" t="n">
        <f aca="false">G25+I25</f>
        <v>0.342</v>
      </c>
      <c r="I25" s="16" t="n">
        <f aca="false">RANDBETWEEN(-30,90)/1000</f>
        <v>-0.008</v>
      </c>
      <c r="J25" s="16" t="n">
        <f aca="false">+Chạy!K31</f>
        <v>0.47</v>
      </c>
      <c r="K25" s="16" t="n">
        <f aca="false">J25+L25</f>
        <v>0.559</v>
      </c>
      <c r="L25" s="16" t="n">
        <f aca="false">RANDBETWEEN(-30,90)/1000</f>
        <v>0.089</v>
      </c>
      <c r="M25" s="16" t="n">
        <f aca="false">+Chạy!N31</f>
        <v>14.2</v>
      </c>
      <c r="N25" s="16" t="n">
        <f aca="false">+M25+O25</f>
        <v>14.2098</v>
      </c>
      <c r="O25" s="16" t="n">
        <f aca="false">RANDBETWEEN(-105,115)/10000</f>
        <v>0.0098</v>
      </c>
      <c r="P25" s="16" t="n">
        <f aca="false">+Chạy!O31</f>
        <v>0.35</v>
      </c>
      <c r="Q25" s="16" t="n">
        <f aca="false">P25+R25</f>
        <v>0.352</v>
      </c>
      <c r="R25" s="16" t="n">
        <f aca="false">RANDBETWEEN(-30,90)/1000</f>
        <v>0.002</v>
      </c>
      <c r="S25" s="17"/>
      <c r="T25" s="0" t="n">
        <v>17.1</v>
      </c>
    </row>
    <row r="26" customFormat="false" ht="15" hidden="false" customHeight="false" outlineLevel="0" collapsed="false">
      <c r="A26" s="13" t="n">
        <v>5</v>
      </c>
      <c r="B26" s="13" t="s">
        <v>21</v>
      </c>
      <c r="C26" s="15" t="n">
        <f aca="false">+C25+T25</f>
        <v>546.72</v>
      </c>
      <c r="D26" s="16" t="n">
        <f aca="false">+Chạy!F39</f>
        <v>-14.2</v>
      </c>
      <c r="E26" s="16" t="n">
        <f aca="false">+D26+F26</f>
        <v>-14.19</v>
      </c>
      <c r="F26" s="16" t="n">
        <f aca="false">RANDBETWEEN(-105,115)/10000</f>
        <v>0.01</v>
      </c>
      <c r="G26" s="16" t="n">
        <f aca="false">+Chạy!G39</f>
        <v>0.34</v>
      </c>
      <c r="H26" s="16" t="n">
        <f aca="false">G26+I26</f>
        <v>0.373</v>
      </c>
      <c r="I26" s="16" t="n">
        <f aca="false">RANDBETWEEN(-30,90)/1000</f>
        <v>0.033</v>
      </c>
      <c r="J26" s="16" t="n">
        <f aca="false">+Chạy!K39</f>
        <v>0.46</v>
      </c>
      <c r="K26" s="16" t="n">
        <f aca="false">J26+L26</f>
        <v>0.525</v>
      </c>
      <c r="L26" s="16" t="n">
        <f aca="false">RANDBETWEEN(-30,90)/1000</f>
        <v>0.065</v>
      </c>
      <c r="M26" s="16" t="n">
        <f aca="false">+Chạy!N39</f>
        <v>14.2</v>
      </c>
      <c r="N26" s="16" t="n">
        <f aca="false">+M26+O26</f>
        <v>14.19</v>
      </c>
      <c r="O26" s="16" t="n">
        <f aca="false">RANDBETWEEN(-105,115)/10000</f>
        <v>-0.01</v>
      </c>
      <c r="P26" s="16" t="n">
        <f aca="false">+Chạy!O39</f>
        <v>0.34</v>
      </c>
      <c r="Q26" s="16" t="n">
        <f aca="false">P26+R26</f>
        <v>0.428</v>
      </c>
      <c r="R26" s="16" t="n">
        <f aca="false">RANDBETWEEN(-30,90)/1000</f>
        <v>0.088</v>
      </c>
      <c r="S26" s="17"/>
      <c r="T26" s="0" t="n">
        <v>15.15</v>
      </c>
    </row>
    <row r="27" customFormat="false" ht="15" hidden="false" customHeight="false" outlineLevel="0" collapsed="false">
      <c r="A27" s="13" t="n">
        <v>6</v>
      </c>
      <c r="B27" s="13" t="s">
        <v>22</v>
      </c>
      <c r="C27" s="15" t="n">
        <f aca="false">+C26+T26</f>
        <v>561.87</v>
      </c>
      <c r="D27" s="16" t="n">
        <f aca="false">+Chạy!F47</f>
        <v>-14.2</v>
      </c>
      <c r="E27" s="16" t="n">
        <f aca="false">+D27+F27</f>
        <v>-14.1934</v>
      </c>
      <c r="F27" s="16" t="n">
        <f aca="false">RANDBETWEEN(-105,115)/10000</f>
        <v>0.0066</v>
      </c>
      <c r="G27" s="16" t="n">
        <f aca="false">+Chạy!G47</f>
        <v>0.34</v>
      </c>
      <c r="H27" s="16" t="n">
        <f aca="false">G27+I27</f>
        <v>0.376</v>
      </c>
      <c r="I27" s="16" t="n">
        <f aca="false">RANDBETWEEN(-30,90)/1000</f>
        <v>0.036</v>
      </c>
      <c r="J27" s="16" t="n">
        <f aca="false">+Chạy!K47</f>
        <v>0.45</v>
      </c>
      <c r="K27" s="16" t="n">
        <f aca="false">J27+L27</f>
        <v>0.509</v>
      </c>
      <c r="L27" s="16" t="n">
        <f aca="false">RANDBETWEEN(-30,90)/1000</f>
        <v>0.059</v>
      </c>
      <c r="M27" s="16" t="n">
        <f aca="false">+Chạy!N47</f>
        <v>14.2</v>
      </c>
      <c r="N27" s="16" t="n">
        <f aca="false">+M27+O27</f>
        <v>14.1955</v>
      </c>
      <c r="O27" s="16" t="n">
        <f aca="false">RANDBETWEEN(-105,115)/10000</f>
        <v>-0.0045</v>
      </c>
      <c r="P27" s="16" t="n">
        <f aca="false">+Chạy!O47</f>
        <v>0.34</v>
      </c>
      <c r="Q27" s="16" t="n">
        <f aca="false">P27+R27</f>
        <v>0.323</v>
      </c>
      <c r="R27" s="16" t="n">
        <f aca="false">RANDBETWEEN(-30,90)/1000</f>
        <v>-0.017</v>
      </c>
      <c r="S27" s="17"/>
      <c r="T27" s="0" t="n">
        <v>0.15</v>
      </c>
    </row>
    <row r="28" customFormat="false" ht="15" hidden="false" customHeight="false" outlineLevel="0" collapsed="false">
      <c r="A28" s="13" t="n">
        <v>7</v>
      </c>
      <c r="B28" s="13" t="s">
        <v>23</v>
      </c>
      <c r="C28" s="15" t="n">
        <f aca="false">+C27+T27</f>
        <v>562.02</v>
      </c>
      <c r="D28" s="16" t="n">
        <f aca="false">+Chạy!F55</f>
        <v>-14.2</v>
      </c>
      <c r="E28" s="16" t="n">
        <f aca="false">+D28+F28</f>
        <v>-14.2072</v>
      </c>
      <c r="F28" s="16" t="n">
        <f aca="false">RANDBETWEEN(-105,115)/10000</f>
        <v>-0.0072</v>
      </c>
      <c r="G28" s="16" t="n">
        <f aca="false">+Chạy!G55</f>
        <v>0.34</v>
      </c>
      <c r="H28" s="16" t="n">
        <f aca="false">G28+I28</f>
        <v>0.336</v>
      </c>
      <c r="I28" s="16" t="n">
        <f aca="false">RANDBETWEEN(-30,90)/1000</f>
        <v>-0.004</v>
      </c>
      <c r="J28" s="16" t="n">
        <f aca="false">+Chạy!K55</f>
        <v>0.45</v>
      </c>
      <c r="K28" s="16" t="n">
        <f aca="false">J28+L28</f>
        <v>0.482</v>
      </c>
      <c r="L28" s="16" t="n">
        <f aca="false">RANDBETWEEN(-30,90)/1000</f>
        <v>0.032</v>
      </c>
      <c r="M28" s="16" t="n">
        <f aca="false">+Chạy!N55</f>
        <v>14.2</v>
      </c>
      <c r="N28" s="16" t="n">
        <f aca="false">+M28+O28</f>
        <v>14.1907</v>
      </c>
      <c r="O28" s="16" t="n">
        <f aca="false">RANDBETWEEN(-105,115)/10000</f>
        <v>-0.0093</v>
      </c>
      <c r="P28" s="16" t="n">
        <f aca="false">+Chạy!O55</f>
        <v>0.34</v>
      </c>
      <c r="Q28" s="16" t="n">
        <f aca="false">P28+R28</f>
        <v>0.313</v>
      </c>
      <c r="R28" s="16" t="n">
        <f aca="false">RANDBETWEEN(-30,90)/1000</f>
        <v>-0.027</v>
      </c>
      <c r="S28" s="17"/>
      <c r="T28" s="0" t="n">
        <v>6.55</v>
      </c>
    </row>
    <row r="29" customFormat="false" ht="15" hidden="false" customHeight="false" outlineLevel="0" collapsed="false">
      <c r="A29" s="13" t="n">
        <v>8</v>
      </c>
      <c r="B29" s="13" t="s">
        <v>24</v>
      </c>
      <c r="C29" s="15" t="n">
        <f aca="false">+C28+T28</f>
        <v>568.57</v>
      </c>
      <c r="D29" s="16" t="n">
        <f aca="false">+Chạy!F63</f>
        <v>-14.2</v>
      </c>
      <c r="E29" s="16" t="n">
        <f aca="false">+D29+F29</f>
        <v>-14.2013</v>
      </c>
      <c r="F29" s="16" t="n">
        <f aca="false">RANDBETWEEN(-105,115)/10000</f>
        <v>-0.0013</v>
      </c>
      <c r="G29" s="16" t="n">
        <f aca="false">+Chạy!G63</f>
        <v>0.34</v>
      </c>
      <c r="H29" s="16" t="n">
        <f aca="false">G29+I29</f>
        <v>0.375</v>
      </c>
      <c r="I29" s="16" t="n">
        <f aca="false">RANDBETWEEN(-30,90)/1000</f>
        <v>0.035</v>
      </c>
      <c r="J29" s="16" t="n">
        <f aca="false">+Chạy!K63</f>
        <v>0.45</v>
      </c>
      <c r="K29" s="16" t="n">
        <f aca="false">J29+L29</f>
        <v>0.45</v>
      </c>
      <c r="L29" s="16" t="n">
        <f aca="false">RANDBETWEEN(-30,90)/1000</f>
        <v>0</v>
      </c>
      <c r="M29" s="16" t="n">
        <f aca="false">+Chạy!N63</f>
        <v>14.2</v>
      </c>
      <c r="N29" s="16" t="n">
        <f aca="false">+M29+O29</f>
        <v>14.1899</v>
      </c>
      <c r="O29" s="16" t="n">
        <f aca="false">RANDBETWEEN(-105,115)/10000</f>
        <v>-0.0101</v>
      </c>
      <c r="P29" s="16" t="n">
        <f aca="false">+Chạy!O63</f>
        <v>0.34</v>
      </c>
      <c r="Q29" s="16" t="n">
        <f aca="false">P29+R29</f>
        <v>0.414</v>
      </c>
      <c r="R29" s="16" t="n">
        <f aca="false">RANDBETWEEN(-30,90)/1000</f>
        <v>0.074</v>
      </c>
      <c r="S29" s="17"/>
      <c r="T29" s="0" t="n">
        <v>6.55</v>
      </c>
    </row>
    <row r="30" customFormat="false" ht="15" hidden="false" customHeight="false" outlineLevel="0" collapsed="false">
      <c r="A30" s="13" t="n">
        <v>9</v>
      </c>
      <c r="B30" s="13" t="s">
        <v>1</v>
      </c>
      <c r="C30" s="15" t="n">
        <f aca="false">+C29+T29</f>
        <v>575.12</v>
      </c>
      <c r="D30" s="16" t="n">
        <f aca="false">+Chạy!F71</f>
        <v>-14.2</v>
      </c>
      <c r="E30" s="16" t="n">
        <f aca="false">+D30+F30</f>
        <v>-14.2076</v>
      </c>
      <c r="F30" s="16" t="n">
        <f aca="false">RANDBETWEEN(-105,115)/10000</f>
        <v>-0.0076</v>
      </c>
      <c r="G30" s="16" t="n">
        <f aca="false">+Chạy!G71</f>
        <v>0.34</v>
      </c>
      <c r="H30" s="16" t="n">
        <f aca="false">G30+I30</f>
        <v>0.388</v>
      </c>
      <c r="I30" s="16" t="n">
        <f aca="false">RANDBETWEEN(-30,90)/1000</f>
        <v>0.048</v>
      </c>
      <c r="J30" s="16" t="n">
        <f aca="false">+Chạy!K71</f>
        <v>0.45</v>
      </c>
      <c r="K30" s="16" t="n">
        <f aca="false">J30+L30</f>
        <v>0.537</v>
      </c>
      <c r="L30" s="16" t="n">
        <f aca="false">RANDBETWEEN(-30,90)/1000</f>
        <v>0.087</v>
      </c>
      <c r="M30" s="16" t="n">
        <f aca="false">+Chạy!N71</f>
        <v>14.2</v>
      </c>
      <c r="N30" s="16" t="n">
        <f aca="false">+M30+O30</f>
        <v>14.2048</v>
      </c>
      <c r="O30" s="16" t="n">
        <f aca="false">RANDBETWEEN(-105,115)/10000</f>
        <v>0.0048</v>
      </c>
      <c r="P30" s="16" t="n">
        <f aca="false">+Chạy!O71</f>
        <v>0.34</v>
      </c>
      <c r="Q30" s="16" t="n">
        <f aca="false">P30+R30</f>
        <v>0.332</v>
      </c>
      <c r="R30" s="16" t="n">
        <f aca="false">RANDBETWEEN(-30,90)/1000</f>
        <v>-0.008</v>
      </c>
      <c r="S30" s="17"/>
      <c r="T30" s="0" t="n">
        <v>0.04</v>
      </c>
    </row>
    <row r="31" customFormat="false" ht="15" hidden="false" customHeight="false" outlineLevel="0" collapsed="false">
      <c r="A31" s="13" t="n">
        <v>10</v>
      </c>
      <c r="B31" s="13" t="s">
        <v>25</v>
      </c>
      <c r="C31" s="15" t="n">
        <f aca="false">+C30+T30</f>
        <v>575.16</v>
      </c>
      <c r="D31" s="16" t="n">
        <f aca="false">+Chạy!F79</f>
        <v>-14.2</v>
      </c>
      <c r="E31" s="16" t="n">
        <f aca="false">+D31+F31</f>
        <v>-14.2055</v>
      </c>
      <c r="F31" s="16" t="n">
        <f aca="false">RANDBETWEEN(-105,115)/10000</f>
        <v>-0.0055</v>
      </c>
      <c r="G31" s="16" t="n">
        <f aca="false">+Chạy!G79</f>
        <v>0.47</v>
      </c>
      <c r="H31" s="16" t="n">
        <f aca="false">G31+I31</f>
        <v>0.532</v>
      </c>
      <c r="I31" s="16" t="n">
        <f aca="false">RANDBETWEEN(-30,90)/1000</f>
        <v>0.062</v>
      </c>
      <c r="J31" s="16" t="n">
        <f aca="false">+Chạy!K79</f>
        <v>0.45</v>
      </c>
      <c r="K31" s="16" t="n">
        <f aca="false">J31+L31</f>
        <v>0.476</v>
      </c>
      <c r="L31" s="16" t="n">
        <f aca="false">RANDBETWEEN(-30,90)/1000</f>
        <v>0.026</v>
      </c>
      <c r="M31" s="16" t="n">
        <f aca="false">+Chạy!N79</f>
        <v>14.2</v>
      </c>
      <c r="N31" s="16" t="n">
        <f aca="false">+M31+O31</f>
        <v>14.2105</v>
      </c>
      <c r="O31" s="16" t="n">
        <f aca="false">RANDBETWEEN(-105,115)/10000</f>
        <v>0.0105</v>
      </c>
      <c r="P31" s="16" t="n">
        <f aca="false">+Chạy!O79</f>
        <v>0.34</v>
      </c>
      <c r="Q31" s="16" t="n">
        <f aca="false">P31+R31</f>
        <v>0.361</v>
      </c>
      <c r="R31" s="16" t="n">
        <f aca="false">RANDBETWEEN(-30,90)/1000</f>
        <v>0.021</v>
      </c>
      <c r="S31" s="17"/>
      <c r="T31" s="0" t="n">
        <v>16.95</v>
      </c>
    </row>
    <row r="32" customFormat="false" ht="15" hidden="false" customHeight="false" outlineLevel="0" collapsed="false">
      <c r="A32" s="13" t="n">
        <v>11</v>
      </c>
      <c r="B32" s="13" t="s">
        <v>26</v>
      </c>
      <c r="C32" s="15" t="n">
        <f aca="false">+C31+T31</f>
        <v>592.11</v>
      </c>
      <c r="D32" s="16" t="n">
        <f aca="false">+Chạy!F87</f>
        <v>-14.2</v>
      </c>
      <c r="E32" s="16" t="n">
        <f aca="false">+D32+F32</f>
        <v>-14.2062</v>
      </c>
      <c r="F32" s="16" t="n">
        <f aca="false">RANDBETWEEN(-105,115)/10000</f>
        <v>-0.0062</v>
      </c>
      <c r="G32" s="16" t="n">
        <f aca="false">+Chạy!G87</f>
        <v>0.34</v>
      </c>
      <c r="H32" s="16" t="n">
        <f aca="false">G32+I32</f>
        <v>0.429</v>
      </c>
      <c r="I32" s="16" t="n">
        <f aca="false">RANDBETWEEN(-30,90)/1000</f>
        <v>0.089</v>
      </c>
      <c r="J32" s="16" t="n">
        <f aca="false">+Chạy!K87</f>
        <v>0.46</v>
      </c>
      <c r="K32" s="16" t="n">
        <f aca="false">J32+L32</f>
        <v>0.462</v>
      </c>
      <c r="L32" s="16" t="n">
        <f aca="false">RANDBETWEEN(-30,90)/1000</f>
        <v>0.002</v>
      </c>
      <c r="M32" s="16" t="n">
        <f aca="false">+Chạy!N87</f>
        <v>14.2</v>
      </c>
      <c r="N32" s="16" t="n">
        <f aca="false">+M32+O32</f>
        <v>14.1927</v>
      </c>
      <c r="O32" s="16" t="n">
        <f aca="false">RANDBETWEEN(-105,115)/10000</f>
        <v>-0.0073</v>
      </c>
      <c r="P32" s="16" t="n">
        <f aca="false">+Chạy!O87</f>
        <v>0.34</v>
      </c>
      <c r="Q32" s="16" t="n">
        <f aca="false">P32+R32</f>
        <v>0.372</v>
      </c>
      <c r="R32" s="16" t="n">
        <f aca="false">RANDBETWEEN(-30,90)/1000</f>
        <v>0.032</v>
      </c>
      <c r="S32" s="17"/>
      <c r="T32" s="0" t="n">
        <v>17</v>
      </c>
    </row>
    <row r="33" customFormat="false" ht="15" hidden="false" customHeight="false" outlineLevel="0" collapsed="false">
      <c r="A33" s="13" t="n">
        <v>12</v>
      </c>
      <c r="B33" s="13" t="s">
        <v>27</v>
      </c>
      <c r="C33" s="15" t="n">
        <f aca="false">+C32+T32</f>
        <v>609.11</v>
      </c>
      <c r="D33" s="16" t="n">
        <f aca="false">+Chạy!F95</f>
        <v>-14.2</v>
      </c>
      <c r="E33" s="16" t="n">
        <f aca="false">+D33+F33</f>
        <v>-14.2089</v>
      </c>
      <c r="F33" s="16" t="n">
        <f aca="false">RANDBETWEEN(-105,115)/10000</f>
        <v>-0.0089</v>
      </c>
      <c r="G33" s="16" t="n">
        <f aca="false">+Chạy!G95</f>
        <v>0.34</v>
      </c>
      <c r="H33" s="16" t="n">
        <f aca="false">G33+I33</f>
        <v>0.331</v>
      </c>
      <c r="I33" s="16" t="n">
        <f aca="false">RANDBETWEEN(-30,90)/1000</f>
        <v>-0.009</v>
      </c>
      <c r="J33" s="16" t="n">
        <f aca="false">+Chạy!K95</f>
        <v>0.46</v>
      </c>
      <c r="K33" s="16" t="n">
        <f aca="false">J33+L33</f>
        <v>0.515</v>
      </c>
      <c r="L33" s="16" t="n">
        <f aca="false">RANDBETWEEN(-30,90)/1000</f>
        <v>0.055</v>
      </c>
      <c r="M33" s="16" t="n">
        <f aca="false">+Chạy!N95</f>
        <v>14.2</v>
      </c>
      <c r="N33" s="16" t="n">
        <f aca="false">+M33+O33</f>
        <v>14.2053</v>
      </c>
      <c r="O33" s="16" t="n">
        <f aca="false">RANDBETWEEN(-105,115)/10000</f>
        <v>0.0053</v>
      </c>
      <c r="P33" s="16" t="n">
        <f aca="false">+Chạy!O95</f>
        <v>0.34</v>
      </c>
      <c r="Q33" s="16" t="n">
        <f aca="false">P33+R33</f>
        <v>0.387</v>
      </c>
      <c r="R33" s="16" t="n">
        <f aca="false">RANDBETWEEN(-30,90)/1000</f>
        <v>0.047</v>
      </c>
      <c r="S33" s="17"/>
    </row>
    <row r="34" customFormat="false" ht="15" hidden="true" customHeight="false" outlineLevel="0" collapsed="false">
      <c r="A34" s="13"/>
      <c r="B34" s="13"/>
      <c r="C34" s="15"/>
      <c r="D34" s="16"/>
      <c r="E34" s="16"/>
      <c r="F34" s="16"/>
      <c r="G34" s="16"/>
      <c r="H34" s="16"/>
      <c r="I34" s="16"/>
      <c r="J34" s="16"/>
      <c r="K34" s="16"/>
      <c r="L34" s="16"/>
      <c r="M34" s="16"/>
      <c r="N34" s="16"/>
      <c r="O34" s="16"/>
      <c r="P34" s="16"/>
      <c r="Q34" s="16"/>
      <c r="R34" s="16"/>
      <c r="S34" s="17"/>
    </row>
    <row r="35" customFormat="false" ht="15" hidden="true" customHeight="false" outlineLevel="0" collapsed="false">
      <c r="A35" s="13"/>
      <c r="B35" s="13"/>
      <c r="C35" s="15"/>
      <c r="D35" s="16"/>
      <c r="E35" s="16"/>
      <c r="F35" s="16"/>
      <c r="G35" s="16"/>
      <c r="H35" s="16"/>
      <c r="I35" s="16"/>
      <c r="J35" s="16"/>
      <c r="K35" s="16"/>
      <c r="L35" s="16"/>
      <c r="M35" s="16"/>
      <c r="N35" s="16"/>
      <c r="O35" s="16"/>
      <c r="P35" s="16"/>
      <c r="Q35" s="16"/>
      <c r="R35" s="16"/>
      <c r="S35" s="17"/>
    </row>
    <row r="36" customFormat="false" ht="15" hidden="true" customHeight="false" outlineLevel="0" collapsed="false">
      <c r="A36" s="13"/>
      <c r="B36" s="13"/>
      <c r="C36" s="15"/>
      <c r="D36" s="16"/>
      <c r="E36" s="16"/>
      <c r="F36" s="16"/>
      <c r="G36" s="16"/>
      <c r="H36" s="16"/>
      <c r="I36" s="16"/>
      <c r="J36" s="16"/>
      <c r="K36" s="16"/>
      <c r="L36" s="16"/>
      <c r="M36" s="16"/>
      <c r="N36" s="16"/>
      <c r="O36" s="16"/>
      <c r="P36" s="16"/>
      <c r="Q36" s="16"/>
      <c r="R36" s="16"/>
      <c r="S36" s="17"/>
    </row>
    <row r="37" customFormat="false" ht="15" hidden="true" customHeight="false" outlineLevel="0" collapsed="false">
      <c r="A37" s="13"/>
      <c r="B37" s="13"/>
      <c r="C37" s="15"/>
      <c r="D37" s="16"/>
      <c r="E37" s="16"/>
      <c r="F37" s="16"/>
      <c r="G37" s="16"/>
      <c r="H37" s="16"/>
      <c r="I37" s="16"/>
      <c r="J37" s="16"/>
      <c r="K37" s="16"/>
      <c r="L37" s="16"/>
      <c r="M37" s="16"/>
      <c r="N37" s="16"/>
      <c r="O37" s="16"/>
      <c r="P37" s="16"/>
      <c r="Q37" s="16"/>
      <c r="R37" s="16"/>
      <c r="S37" s="17"/>
    </row>
    <row r="38" customFormat="false" ht="15" hidden="true" customHeight="false" outlineLevel="0" collapsed="false">
      <c r="A38" s="13"/>
      <c r="B38" s="13"/>
      <c r="C38" s="15"/>
      <c r="D38" s="16"/>
      <c r="E38" s="16"/>
      <c r="F38" s="16"/>
      <c r="G38" s="16"/>
      <c r="H38" s="16"/>
      <c r="I38" s="16"/>
      <c r="J38" s="16"/>
      <c r="K38" s="16"/>
      <c r="L38" s="16"/>
      <c r="M38" s="16"/>
      <c r="N38" s="16"/>
      <c r="O38" s="16"/>
      <c r="P38" s="16"/>
      <c r="Q38" s="16"/>
      <c r="R38" s="16"/>
      <c r="S38" s="17"/>
    </row>
    <row r="39" customFormat="false" ht="15" hidden="true" customHeight="false" outlineLevel="0" collapsed="false">
      <c r="A39" s="13"/>
      <c r="B39" s="13"/>
      <c r="C39" s="15"/>
      <c r="D39" s="16"/>
      <c r="E39" s="16"/>
      <c r="F39" s="16"/>
      <c r="G39" s="16"/>
      <c r="H39" s="16"/>
      <c r="I39" s="16"/>
      <c r="J39" s="16"/>
      <c r="K39" s="16"/>
      <c r="L39" s="16"/>
      <c r="M39" s="16"/>
      <c r="N39" s="16"/>
      <c r="O39" s="16"/>
      <c r="P39" s="16"/>
      <c r="Q39" s="16"/>
      <c r="R39" s="16"/>
      <c r="S39" s="17"/>
    </row>
    <row r="40" customFormat="false" ht="15" hidden="true" customHeight="false" outlineLevel="0" collapsed="false">
      <c r="A40" s="13"/>
      <c r="B40" s="13"/>
      <c r="C40" s="15"/>
      <c r="D40" s="16"/>
      <c r="E40" s="16"/>
      <c r="F40" s="16"/>
      <c r="G40" s="16"/>
      <c r="H40" s="16"/>
      <c r="I40" s="16"/>
      <c r="J40" s="16"/>
      <c r="K40" s="16"/>
      <c r="L40" s="16"/>
      <c r="M40" s="16"/>
      <c r="N40" s="16"/>
      <c r="O40" s="16"/>
      <c r="P40" s="16"/>
      <c r="Q40" s="16"/>
      <c r="R40" s="16"/>
      <c r="S40" s="17"/>
    </row>
    <row r="41" customFormat="false" ht="15" hidden="true" customHeight="false" outlineLevel="0" collapsed="false">
      <c r="A41" s="13"/>
      <c r="B41" s="13"/>
      <c r="C41" s="15"/>
      <c r="D41" s="16"/>
      <c r="E41" s="16"/>
      <c r="F41" s="16"/>
      <c r="G41" s="16"/>
      <c r="H41" s="16"/>
      <c r="I41" s="16"/>
      <c r="J41" s="16"/>
      <c r="K41" s="16"/>
      <c r="L41" s="16"/>
      <c r="M41" s="16"/>
      <c r="N41" s="16"/>
      <c r="O41" s="16"/>
      <c r="P41" s="16"/>
      <c r="Q41" s="16"/>
      <c r="R41" s="16"/>
      <c r="S41" s="17"/>
    </row>
    <row r="42" customFormat="false" ht="15" hidden="true" customHeight="false" outlineLevel="0" collapsed="false">
      <c r="A42" s="13"/>
      <c r="B42" s="13"/>
      <c r="C42" s="15"/>
      <c r="D42" s="16"/>
      <c r="E42" s="16"/>
      <c r="F42" s="16"/>
      <c r="G42" s="16"/>
      <c r="H42" s="16"/>
      <c r="I42" s="16"/>
      <c r="J42" s="16"/>
      <c r="K42" s="16"/>
      <c r="L42" s="16"/>
      <c r="M42" s="16"/>
      <c r="N42" s="16"/>
      <c r="O42" s="16"/>
      <c r="P42" s="16"/>
      <c r="Q42" s="16"/>
      <c r="R42" s="16"/>
      <c r="S42" s="17"/>
    </row>
    <row r="43" customFormat="false" ht="15" hidden="true" customHeight="false" outlineLevel="0" collapsed="false">
      <c r="A43" s="13"/>
      <c r="B43" s="13"/>
      <c r="C43" s="15"/>
      <c r="D43" s="16"/>
      <c r="E43" s="16"/>
      <c r="F43" s="16"/>
      <c r="G43" s="16"/>
      <c r="H43" s="16"/>
      <c r="I43" s="16"/>
      <c r="J43" s="16"/>
      <c r="K43" s="16"/>
      <c r="L43" s="16"/>
      <c r="M43" s="16"/>
      <c r="N43" s="16"/>
      <c r="O43" s="16"/>
      <c r="P43" s="16"/>
      <c r="Q43" s="16"/>
      <c r="R43" s="16"/>
      <c r="S43" s="17"/>
    </row>
    <row r="44" customFormat="false" ht="15" hidden="true" customHeight="false" outlineLevel="0" collapsed="false">
      <c r="A44" s="13"/>
      <c r="B44" s="13"/>
      <c r="C44" s="15"/>
      <c r="D44" s="16"/>
      <c r="E44" s="16"/>
      <c r="F44" s="16"/>
      <c r="G44" s="16"/>
      <c r="H44" s="16"/>
      <c r="I44" s="16"/>
      <c r="J44" s="16"/>
      <c r="K44" s="16"/>
      <c r="L44" s="16"/>
      <c r="M44" s="16"/>
      <c r="N44" s="16"/>
      <c r="O44" s="16"/>
      <c r="P44" s="16"/>
      <c r="Q44" s="16"/>
      <c r="R44" s="16"/>
      <c r="S44" s="17"/>
    </row>
    <row r="45" customFormat="false" ht="15" hidden="true" customHeight="false" outlineLevel="0" collapsed="false">
      <c r="A45" s="13"/>
      <c r="B45" s="13"/>
      <c r="C45" s="15"/>
      <c r="D45" s="16"/>
      <c r="E45" s="16"/>
      <c r="F45" s="16"/>
      <c r="G45" s="16"/>
      <c r="H45" s="16"/>
      <c r="I45" s="16"/>
      <c r="J45" s="16"/>
      <c r="K45" s="16"/>
      <c r="L45" s="16"/>
      <c r="M45" s="16"/>
      <c r="N45" s="16"/>
      <c r="O45" s="16"/>
      <c r="P45" s="16"/>
      <c r="Q45" s="16"/>
      <c r="R45" s="16"/>
      <c r="S45" s="17"/>
    </row>
    <row r="46" customFormat="false" ht="15" hidden="true" customHeight="false" outlineLevel="0" collapsed="false">
      <c r="A46" s="13"/>
      <c r="B46" s="13"/>
      <c r="C46" s="15"/>
      <c r="D46" s="16"/>
      <c r="E46" s="16"/>
      <c r="F46" s="16"/>
      <c r="G46" s="16"/>
      <c r="H46" s="16"/>
      <c r="I46" s="16"/>
      <c r="J46" s="16"/>
      <c r="K46" s="16"/>
      <c r="L46" s="16"/>
      <c r="M46" s="16"/>
      <c r="N46" s="16"/>
      <c r="O46" s="16"/>
      <c r="P46" s="16"/>
      <c r="Q46" s="16"/>
      <c r="R46" s="16"/>
      <c r="S46" s="17"/>
    </row>
    <row r="47" customFormat="false" ht="15" hidden="true" customHeight="false" outlineLevel="0" collapsed="false">
      <c r="A47" s="13"/>
      <c r="B47" s="13"/>
      <c r="C47" s="15"/>
      <c r="D47" s="16"/>
      <c r="E47" s="16"/>
      <c r="F47" s="16"/>
      <c r="G47" s="16"/>
      <c r="H47" s="16"/>
      <c r="I47" s="16"/>
      <c r="J47" s="16"/>
      <c r="K47" s="16"/>
      <c r="L47" s="16"/>
      <c r="M47" s="16"/>
      <c r="N47" s="16"/>
      <c r="O47" s="16"/>
      <c r="P47" s="16"/>
      <c r="Q47" s="16"/>
      <c r="R47" s="16"/>
      <c r="S47" s="17"/>
    </row>
    <row r="48" customFormat="false" ht="15" hidden="true" customHeight="false" outlineLevel="0" collapsed="false">
      <c r="A48" s="13"/>
      <c r="B48" s="13"/>
      <c r="C48" s="15"/>
      <c r="D48" s="16"/>
      <c r="E48" s="16"/>
      <c r="F48" s="16"/>
      <c r="G48" s="16"/>
      <c r="H48" s="16"/>
      <c r="I48" s="16"/>
      <c r="J48" s="16"/>
      <c r="K48" s="16"/>
      <c r="L48" s="16"/>
      <c r="M48" s="16"/>
      <c r="N48" s="16"/>
      <c r="O48" s="16"/>
      <c r="P48" s="16"/>
      <c r="Q48" s="16"/>
      <c r="R48" s="16"/>
      <c r="S48" s="17"/>
    </row>
    <row r="49" customFormat="false" ht="15" hidden="true" customHeight="false" outlineLevel="0" collapsed="false">
      <c r="A49" s="13"/>
      <c r="B49" s="13"/>
      <c r="C49" s="15"/>
      <c r="D49" s="16"/>
      <c r="E49" s="16"/>
      <c r="F49" s="16"/>
      <c r="G49" s="16"/>
      <c r="H49" s="16"/>
      <c r="I49" s="16"/>
      <c r="J49" s="16"/>
      <c r="K49" s="16"/>
      <c r="L49" s="16"/>
      <c r="M49" s="16"/>
      <c r="N49" s="16"/>
      <c r="O49" s="16"/>
      <c r="P49" s="16"/>
      <c r="Q49" s="16"/>
      <c r="R49" s="16"/>
      <c r="S49" s="17"/>
    </row>
    <row r="50" customFormat="false" ht="15" hidden="true" customHeight="false" outlineLevel="0" collapsed="false">
      <c r="A50" s="13"/>
      <c r="B50" s="13"/>
      <c r="C50" s="15"/>
      <c r="D50" s="16"/>
      <c r="E50" s="16"/>
      <c r="F50" s="16"/>
      <c r="G50" s="16"/>
      <c r="H50" s="16"/>
      <c r="I50" s="16"/>
      <c r="J50" s="16"/>
      <c r="K50" s="16"/>
      <c r="L50" s="16"/>
      <c r="M50" s="16"/>
      <c r="N50" s="16"/>
      <c r="O50" s="16"/>
      <c r="P50" s="16"/>
      <c r="Q50" s="16"/>
      <c r="R50" s="16"/>
      <c r="S50" s="17"/>
    </row>
    <row r="51" customFormat="false" ht="15" hidden="true" customHeight="false" outlineLevel="0" collapsed="false">
      <c r="A51" s="13"/>
      <c r="B51" s="13"/>
      <c r="C51" s="15"/>
      <c r="D51" s="16"/>
      <c r="E51" s="16"/>
      <c r="F51" s="16"/>
      <c r="G51" s="16"/>
      <c r="H51" s="16"/>
      <c r="I51" s="16"/>
      <c r="J51" s="16"/>
      <c r="K51" s="16"/>
      <c r="L51" s="16"/>
      <c r="M51" s="16"/>
      <c r="N51" s="16"/>
      <c r="O51" s="16"/>
      <c r="P51" s="16"/>
      <c r="Q51" s="16"/>
      <c r="R51" s="16"/>
      <c r="S51" s="17"/>
    </row>
    <row r="52" customFormat="false" ht="15" hidden="true" customHeight="false" outlineLevel="0" collapsed="false">
      <c r="A52" s="13"/>
      <c r="B52" s="13"/>
      <c r="C52" s="15"/>
      <c r="D52" s="16"/>
      <c r="E52" s="16"/>
      <c r="F52" s="16"/>
      <c r="G52" s="16"/>
      <c r="H52" s="16"/>
      <c r="I52" s="16"/>
      <c r="J52" s="16"/>
      <c r="K52" s="16"/>
      <c r="L52" s="16"/>
      <c r="M52" s="16"/>
      <c r="N52" s="16"/>
      <c r="O52" s="16"/>
      <c r="P52" s="16"/>
      <c r="Q52" s="16"/>
      <c r="R52" s="16"/>
      <c r="S52" s="17"/>
    </row>
    <row r="53" customFormat="false" ht="15" hidden="true" customHeight="false" outlineLevel="0" collapsed="false">
      <c r="A53" s="13"/>
      <c r="B53" s="13"/>
      <c r="C53" s="15"/>
      <c r="D53" s="16"/>
      <c r="E53" s="16"/>
      <c r="F53" s="16"/>
      <c r="G53" s="16"/>
      <c r="H53" s="16"/>
      <c r="I53" s="16"/>
      <c r="J53" s="16"/>
      <c r="K53" s="16"/>
      <c r="L53" s="16"/>
      <c r="M53" s="16"/>
      <c r="N53" s="16"/>
      <c r="O53" s="16"/>
      <c r="P53" s="16"/>
      <c r="Q53" s="16"/>
      <c r="R53" s="16"/>
      <c r="S53" s="17"/>
    </row>
    <row r="54" customFormat="false" ht="15" hidden="true" customHeight="false" outlineLevel="0" collapsed="false">
      <c r="A54" s="13"/>
      <c r="B54" s="13"/>
      <c r="C54" s="15"/>
      <c r="D54" s="16"/>
      <c r="E54" s="16"/>
      <c r="F54" s="16"/>
      <c r="G54" s="16"/>
      <c r="H54" s="16"/>
      <c r="I54" s="16"/>
      <c r="J54" s="16"/>
      <c r="K54" s="16"/>
      <c r="L54" s="16"/>
      <c r="M54" s="16"/>
      <c r="N54" s="16"/>
      <c r="O54" s="16"/>
      <c r="P54" s="16"/>
      <c r="Q54" s="16"/>
      <c r="R54" s="16"/>
      <c r="S54" s="17"/>
    </row>
    <row r="55" customFormat="false" ht="15" hidden="true" customHeight="false" outlineLevel="0" collapsed="false">
      <c r="A55" s="13"/>
      <c r="B55" s="13"/>
      <c r="C55" s="15"/>
      <c r="D55" s="16"/>
      <c r="E55" s="16"/>
      <c r="F55" s="16"/>
      <c r="G55" s="16"/>
      <c r="H55" s="16"/>
      <c r="I55" s="16"/>
      <c r="J55" s="16"/>
      <c r="K55" s="16"/>
      <c r="L55" s="16"/>
      <c r="M55" s="16"/>
      <c r="N55" s="16"/>
      <c r="O55" s="16"/>
      <c r="P55" s="16"/>
      <c r="Q55" s="16"/>
      <c r="R55" s="16"/>
      <c r="S55" s="17"/>
    </row>
    <row r="56" customFormat="false" ht="15" hidden="true" customHeight="false" outlineLevel="0" collapsed="false">
      <c r="A56" s="13"/>
      <c r="B56" s="13"/>
      <c r="C56" s="15"/>
      <c r="D56" s="16"/>
      <c r="E56" s="16"/>
      <c r="F56" s="16"/>
      <c r="G56" s="16"/>
      <c r="H56" s="16"/>
      <c r="I56" s="16"/>
      <c r="J56" s="16"/>
      <c r="K56" s="16"/>
      <c r="L56" s="16"/>
      <c r="M56" s="16"/>
      <c r="N56" s="16"/>
      <c r="O56" s="16"/>
      <c r="P56" s="16"/>
      <c r="Q56" s="16"/>
      <c r="R56" s="16"/>
      <c r="S56" s="17"/>
    </row>
    <row r="57" customFormat="false" ht="15" hidden="true" customHeight="false" outlineLevel="0" collapsed="false">
      <c r="A57" s="13"/>
      <c r="B57" s="13"/>
      <c r="C57" s="15"/>
      <c r="D57" s="16"/>
      <c r="E57" s="16"/>
      <c r="F57" s="16"/>
      <c r="G57" s="16"/>
      <c r="H57" s="16"/>
      <c r="I57" s="16"/>
      <c r="J57" s="16"/>
      <c r="K57" s="16"/>
      <c r="L57" s="16"/>
      <c r="M57" s="16"/>
      <c r="N57" s="16"/>
      <c r="O57" s="16"/>
      <c r="P57" s="16"/>
      <c r="Q57" s="16"/>
      <c r="R57" s="16"/>
      <c r="S57" s="17"/>
    </row>
    <row r="58" customFormat="false" ht="15" hidden="true" customHeight="false" outlineLevel="0" collapsed="false">
      <c r="A58" s="13"/>
      <c r="B58" s="13"/>
      <c r="C58" s="15"/>
      <c r="D58" s="16"/>
      <c r="E58" s="16"/>
      <c r="F58" s="16"/>
      <c r="G58" s="16"/>
      <c r="H58" s="16"/>
      <c r="I58" s="16"/>
      <c r="J58" s="16"/>
      <c r="K58" s="16"/>
      <c r="L58" s="16"/>
      <c r="M58" s="16"/>
      <c r="N58" s="16"/>
      <c r="O58" s="16"/>
      <c r="P58" s="16"/>
      <c r="Q58" s="16"/>
      <c r="R58" s="16"/>
      <c r="S58" s="17"/>
    </row>
    <row r="59" customFormat="false" ht="15" hidden="true" customHeight="false" outlineLevel="0" collapsed="false">
      <c r="A59" s="13"/>
      <c r="B59" s="13"/>
      <c r="C59" s="15"/>
      <c r="D59" s="16"/>
      <c r="E59" s="16"/>
      <c r="F59" s="16"/>
      <c r="G59" s="16"/>
      <c r="H59" s="16"/>
      <c r="I59" s="16"/>
      <c r="J59" s="16"/>
      <c r="K59" s="16"/>
      <c r="L59" s="16"/>
      <c r="M59" s="16"/>
      <c r="N59" s="16"/>
      <c r="O59" s="16"/>
      <c r="P59" s="16"/>
      <c r="Q59" s="16"/>
      <c r="R59" s="16"/>
      <c r="S59" s="17"/>
    </row>
    <row r="60" customFormat="false" ht="15" hidden="true" customHeight="false" outlineLevel="0" collapsed="false">
      <c r="A60" s="13"/>
      <c r="B60" s="13"/>
      <c r="C60" s="15"/>
      <c r="D60" s="16"/>
      <c r="E60" s="16"/>
      <c r="F60" s="16"/>
      <c r="G60" s="16"/>
      <c r="H60" s="16"/>
      <c r="I60" s="16"/>
      <c r="J60" s="16"/>
      <c r="K60" s="16"/>
      <c r="L60" s="16"/>
      <c r="M60" s="16"/>
      <c r="N60" s="16"/>
      <c r="O60" s="16"/>
      <c r="P60" s="16"/>
      <c r="Q60" s="16"/>
      <c r="R60" s="16"/>
      <c r="S60" s="17"/>
    </row>
    <row r="61" customFormat="false" ht="15" hidden="true" customHeight="false" outlineLevel="0" collapsed="false">
      <c r="A61" s="13"/>
      <c r="B61" s="13"/>
      <c r="C61" s="15"/>
      <c r="D61" s="16"/>
      <c r="E61" s="16"/>
      <c r="F61" s="16"/>
      <c r="G61" s="16"/>
      <c r="H61" s="16"/>
      <c r="I61" s="16"/>
      <c r="J61" s="16"/>
      <c r="K61" s="16"/>
      <c r="L61" s="16"/>
      <c r="M61" s="16"/>
      <c r="N61" s="16"/>
      <c r="O61" s="16"/>
      <c r="P61" s="16"/>
      <c r="Q61" s="16"/>
      <c r="R61" s="16"/>
      <c r="S61" s="17"/>
    </row>
    <row r="62" customFormat="false" ht="10.5" hidden="false" customHeight="true" outlineLevel="0" collapsed="false"/>
    <row r="63" customFormat="false" ht="15" hidden="false" customHeight="false" outlineLevel="0" collapsed="false">
      <c r="C63" s="19" t="s">
        <v>50</v>
      </c>
      <c r="D63" s="19"/>
      <c r="E63" s="19"/>
      <c r="F63" s="19"/>
      <c r="G63" s="19"/>
      <c r="H63" s="19"/>
      <c r="I63" s="19"/>
      <c r="K63" s="20"/>
      <c r="L63" s="20"/>
      <c r="M63" s="20"/>
      <c r="N63" s="20"/>
      <c r="O63" s="19" t="s">
        <v>51</v>
      </c>
      <c r="P63" s="19"/>
      <c r="Q63" s="19"/>
      <c r="R63" s="19"/>
    </row>
    <row r="64" customFormat="false" ht="15" hidden="false" customHeight="false" outlineLevel="0" collapsed="false">
      <c r="E64" s="21"/>
      <c r="F64" s="21"/>
      <c r="G64" s="21"/>
      <c r="H64" s="21"/>
      <c r="K64" s="21"/>
      <c r="L64" s="21"/>
      <c r="M64" s="21"/>
      <c r="N64" s="21"/>
      <c r="O64" s="21"/>
      <c r="P64" s="21"/>
      <c r="Q64" s="21"/>
      <c r="R64" s="21"/>
    </row>
    <row r="65" customFormat="false" ht="15" hidden="false" customHeight="false" outlineLevel="0" collapsed="false">
      <c r="E65" s="21"/>
      <c r="F65" s="21"/>
      <c r="G65" s="21"/>
      <c r="H65" s="21"/>
      <c r="K65" s="21"/>
      <c r="L65" s="21"/>
      <c r="M65" s="21"/>
      <c r="N65" s="21"/>
      <c r="O65" s="21"/>
      <c r="P65" s="21"/>
      <c r="Q65" s="21"/>
      <c r="R65" s="21"/>
    </row>
    <row r="66" customFormat="false" ht="15" hidden="false" customHeight="false" outlineLevel="0" collapsed="false">
      <c r="E66" s="21"/>
      <c r="F66" s="21"/>
      <c r="G66" s="21"/>
      <c r="H66" s="21"/>
      <c r="K66" s="21"/>
      <c r="L66" s="21"/>
      <c r="M66" s="21"/>
      <c r="N66" s="21"/>
      <c r="O66" s="21"/>
      <c r="P66" s="21"/>
      <c r="Q66" s="21"/>
      <c r="R66" s="21"/>
    </row>
    <row r="67" customFormat="false" ht="15" hidden="false" customHeight="false" outlineLevel="0" collapsed="false">
      <c r="E67" s="21"/>
      <c r="F67" s="21"/>
      <c r="G67" s="21"/>
      <c r="H67" s="21"/>
      <c r="K67" s="21"/>
      <c r="L67" s="21"/>
      <c r="M67" s="21"/>
      <c r="N67" s="21"/>
      <c r="O67" s="21"/>
      <c r="P67" s="21"/>
      <c r="Q67" s="21"/>
      <c r="R67" s="21"/>
    </row>
    <row r="68" customFormat="false" ht="15" hidden="false" customHeight="false" outlineLevel="0" collapsed="false">
      <c r="C68" s="19" t="s">
        <v>52</v>
      </c>
      <c r="D68" s="19"/>
      <c r="E68" s="19"/>
      <c r="F68" s="19"/>
      <c r="G68" s="19"/>
      <c r="H68" s="19"/>
      <c r="I68" s="19"/>
      <c r="K68" s="20"/>
      <c r="L68" s="20"/>
      <c r="M68" s="20"/>
      <c r="N68" s="20"/>
      <c r="O68" s="19" t="s">
        <v>53</v>
      </c>
      <c r="P68" s="19"/>
      <c r="Q68" s="19"/>
      <c r="R68" s="19"/>
    </row>
  </sheetData>
  <mergeCells count="13">
    <mergeCell ref="A1:S1"/>
    <mergeCell ref="A2:S2"/>
    <mergeCell ref="A20:A21"/>
    <mergeCell ref="B20:B21"/>
    <mergeCell ref="C20:C21"/>
    <mergeCell ref="D20:I20"/>
    <mergeCell ref="J20:L20"/>
    <mergeCell ref="M20:R20"/>
    <mergeCell ref="S20:S21"/>
    <mergeCell ref="C63:I63"/>
    <mergeCell ref="O63:R63"/>
    <mergeCell ref="C68:I68"/>
    <mergeCell ref="O68:R68"/>
  </mergeCells>
  <printOptions headings="false" gridLines="false" gridLinesSet="true" horizontalCentered="true" verticalCentered="false"/>
  <pageMargins left="0.196527777777778" right="0.196527777777778" top="0.747916666666667" bottom="0.393055555555556" header="0.511811023622047" footer="0.196527777777778"/>
  <pageSetup paperSize="9" scale="100" fitToWidth="1" fitToHeight="2" pageOrder="downThenOver" orientation="landscape" blackAndWhite="false" draft="false" cellComments="none" horizontalDpi="300" verticalDpi="300" copies="1"/>
  <headerFooter differentFirst="false" differentOddEven="false">
    <oddHeader/>
    <oddFooter>&amp;C&amp;P</oddFooter>
  </headerFooter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HW136"/>
  <sheetViews>
    <sheetView showFormulas="false" showGridLines="true" showRowColHeaders="true" showZeros="true" rightToLeft="false" tabSelected="false" showOutlineSymbols="true" defaultGridColor="true" view="normal" topLeftCell="A1" colorId="64" zoomScale="85" zoomScaleNormal="85" zoomScalePageLayoutView="100" workbookViewId="0">
      <selection pane="topLeft" activeCell="A8" activeCellId="0" sqref="A8"/>
    </sheetView>
  </sheetViews>
  <sheetFormatPr defaultColWidth="9.2890625" defaultRowHeight="12.75" zeroHeight="false" outlineLevelRow="0" outlineLevelCol="0"/>
  <cols>
    <col collapsed="false" customWidth="true" hidden="false" outlineLevel="0" max="1" min="1" style="22" width="6.71"/>
    <col collapsed="false" customWidth="true" hidden="false" outlineLevel="0" max="2" min="2" style="22" width="12.29"/>
    <col collapsed="false" customWidth="true" hidden="false" outlineLevel="0" max="3" min="3" style="22" width="19.57"/>
    <col collapsed="false" customWidth="true" hidden="false" outlineLevel="0" max="4" min="4" style="23" width="12.71"/>
    <col collapsed="false" customWidth="true" hidden="true" outlineLevel="0" max="6" min="5" style="23" width="8.42"/>
    <col collapsed="false" customWidth="true" hidden="true" outlineLevel="0" max="7" min="7" style="23" width="11"/>
    <col collapsed="false" customWidth="true" hidden="true" outlineLevel="0" max="12" min="8" style="23" width="8.42"/>
    <col collapsed="false" customWidth="true" hidden="true" outlineLevel="0" max="14" min="13" style="23" width="14.29"/>
    <col collapsed="false" customWidth="true" hidden="false" outlineLevel="0" max="15" min="15" style="23" width="15.42"/>
    <col collapsed="false" customWidth="true" hidden="true" outlineLevel="0" max="22" min="16" style="23" width="14.29"/>
    <col collapsed="false" customWidth="true" hidden="false" outlineLevel="0" max="23" min="23" style="23" width="15.29"/>
    <col collapsed="false" customWidth="true" hidden="true" outlineLevel="0" max="25" min="24" style="23" width="14.29"/>
    <col collapsed="false" customWidth="true" hidden="true" outlineLevel="0" max="27" min="26" style="23" width="12.86"/>
    <col collapsed="false" customWidth="true" hidden="false" outlineLevel="0" max="28" min="28" style="23" width="10.29"/>
    <col collapsed="false" customWidth="false" hidden="true" outlineLevel="0" max="29" min="29" style="23" width="9.29"/>
    <col collapsed="false" customWidth="false" hidden="false" outlineLevel="0" max="30" min="30" style="22" width="9.29"/>
    <col collapsed="false" customWidth="true" hidden="false" outlineLevel="0" max="31" min="31" style="22" width="11.85"/>
    <col collapsed="false" customWidth="true" hidden="false" outlineLevel="0" max="32" min="32" style="22" width="24.57"/>
    <col collapsed="false" customWidth="false" hidden="false" outlineLevel="0" max="16384" min="33" style="22" width="9.29"/>
  </cols>
  <sheetData>
    <row r="1" s="26" customFormat="true" ht="16.5" hidden="false" customHeight="true" outlineLevel="0" collapsed="false">
      <c r="A1" s="25" t="s">
        <v>54</v>
      </c>
      <c r="B1" s="25"/>
      <c r="C1" s="25"/>
      <c r="D1" s="25"/>
      <c r="E1" s="25"/>
      <c r="F1" s="25"/>
      <c r="G1" s="25"/>
      <c r="H1" s="25"/>
      <c r="I1" s="25"/>
      <c r="J1" s="25"/>
      <c r="K1" s="25"/>
      <c r="L1" s="25"/>
      <c r="M1" s="25"/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</row>
    <row r="2" s="26" customFormat="true" ht="16.5" hidden="false" customHeight="true" outlineLevel="0" collapsed="false">
      <c r="A2" s="28" t="str">
        <f>"Kèm theo BBNT số: "&amp;VLOOKUP(AZ2,'[1]Tuyến XD8'!$A$2:$G$60,7,0)&amp;VLOOKUP(AZ2,'[1]Tuyến XD8'!$A$2:$G$60,4,0)</f>
        <v xml:space="preserve">Kèm theo BBNT số: 66.NĐXD8/CVXD ngày 17 tháng 09 năm 2026</v>
      </c>
      <c r="B2" s="28"/>
      <c r="C2" s="28"/>
      <c r="D2" s="28"/>
      <c r="E2" s="28"/>
      <c r="F2" s="28"/>
      <c r="G2" s="28"/>
      <c r="H2" s="28"/>
      <c r="I2" s="28"/>
      <c r="J2" s="28"/>
      <c r="K2" s="28"/>
      <c r="L2" s="28"/>
      <c r="M2" s="28"/>
      <c r="N2" s="28"/>
      <c r="O2" s="28"/>
      <c r="P2" s="28"/>
      <c r="Q2" s="28"/>
      <c r="R2" s="28"/>
      <c r="S2" s="28"/>
      <c r="T2" s="28"/>
      <c r="U2" s="28"/>
      <c r="V2" s="28"/>
      <c r="W2" s="28"/>
      <c r="X2" s="28"/>
      <c r="Y2" s="28"/>
      <c r="Z2" s="28"/>
      <c r="AA2" s="28"/>
      <c r="AB2" s="28"/>
      <c r="AZ2">
        <v>66</v>
      </c>
    </row>
    <row r="3" s="32" customFormat="true" ht="37.5" hidden="false" customHeight="true" outlineLevel="0" collapsed="false">
      <c r="A3" s="29" t="str">
        <f aca="false">'1.KTHH L1'!A3</f>
        <v>Dự án: Xây dựng HTKT Khu tái định cư phục vụ di dân xã Hải Hà, thị xã Nghi Sơn, tỉnh Thanh Hóa.</v>
      </c>
      <c r="B3" s="29"/>
      <c r="C3" s="29"/>
      <c r="D3" s="29"/>
      <c r="E3" s="29"/>
      <c r="F3" s="29"/>
      <c r="G3" s="29"/>
      <c r="H3" s="29"/>
      <c r="I3" s="29"/>
      <c r="J3" s="29"/>
      <c r="K3" s="29"/>
      <c r="L3" s="29"/>
      <c r="M3" s="29"/>
      <c r="N3" s="29"/>
      <c r="O3" s="29"/>
      <c r="P3" s="29"/>
      <c r="Q3" s="29"/>
      <c r="R3" s="29"/>
      <c r="S3" s="29"/>
      <c r="T3" s="29"/>
      <c r="U3" s="29"/>
      <c r="V3" s="29"/>
      <c r="W3" s="29"/>
      <c r="X3" s="29"/>
      <c r="Y3" s="29"/>
      <c r="Z3" s="29"/>
      <c r="AA3" s="29"/>
      <c r="AB3" s="29"/>
      <c r="AC3" s="30"/>
      <c r="AD3" s="30"/>
      <c r="AE3" s="30"/>
      <c r="AF3" s="30"/>
      <c r="AG3" s="30"/>
      <c r="AH3" s="30"/>
      <c r="AI3" s="30"/>
      <c r="AJ3" s="30"/>
      <c r="AK3" s="30"/>
      <c r="AL3" s="30"/>
      <c r="AM3" s="30"/>
      <c r="AN3" s="30"/>
      <c r="AO3" s="30"/>
      <c r="AP3" s="30"/>
      <c r="AQ3" s="30"/>
      <c r="AR3" s="30"/>
      <c r="AS3" s="30"/>
      <c r="AT3" s="30"/>
      <c r="AU3" s="30"/>
      <c r="AV3" s="30"/>
      <c r="AW3" s="30"/>
      <c r="AX3" s="30"/>
      <c r="AY3" s="30"/>
      <c r="AZ3" s="30"/>
      <c r="BA3" s="30"/>
      <c r="BB3" s="30"/>
      <c r="BC3" s="30"/>
      <c r="BD3" s="30"/>
      <c r="BE3" s="30"/>
      <c r="BF3" s="30"/>
      <c r="BG3" s="30"/>
      <c r="BH3" s="30"/>
      <c r="BI3" s="30"/>
      <c r="BJ3" s="30"/>
      <c r="BK3" s="30"/>
      <c r="BL3" s="30"/>
      <c r="BM3" s="30"/>
      <c r="BN3" s="30"/>
      <c r="BO3" s="30"/>
      <c r="BP3" s="30"/>
      <c r="BQ3" s="30"/>
      <c r="BR3" s="30"/>
      <c r="BS3" s="30"/>
      <c r="BT3" s="30"/>
      <c r="BU3" s="30"/>
      <c r="BV3" s="30"/>
      <c r="BW3" s="30"/>
      <c r="BX3" s="30"/>
      <c r="BY3" s="30"/>
      <c r="BZ3" s="30"/>
      <c r="CA3" s="30"/>
      <c r="CB3" s="30"/>
      <c r="CC3" s="30"/>
      <c r="CD3" s="30"/>
      <c r="CE3" s="30"/>
      <c r="CF3" s="30"/>
      <c r="CG3" s="30"/>
      <c r="CH3" s="30"/>
      <c r="CI3" s="30"/>
      <c r="CJ3" s="30"/>
      <c r="CK3" s="30"/>
      <c r="CL3" s="30"/>
      <c r="CM3" s="30"/>
      <c r="CN3" s="30"/>
      <c r="CO3" s="30"/>
      <c r="CP3" s="30"/>
      <c r="CQ3" s="30"/>
      <c r="CR3" s="30"/>
      <c r="CS3" s="30"/>
      <c r="CT3" s="30"/>
      <c r="CU3" s="30"/>
      <c r="CV3" s="30"/>
      <c r="CW3" s="30"/>
      <c r="CX3" s="30"/>
      <c r="CY3" s="30"/>
      <c r="CZ3" s="30"/>
      <c r="DA3" s="30"/>
      <c r="DB3" s="30"/>
      <c r="DC3" s="30"/>
      <c r="DD3" s="30"/>
      <c r="DE3" s="30"/>
      <c r="DF3" s="30"/>
      <c r="DG3" s="30"/>
      <c r="DH3" s="30"/>
      <c r="DI3" s="30"/>
      <c r="DJ3" s="30"/>
      <c r="DK3" s="30"/>
      <c r="DL3" s="30"/>
      <c r="DM3" s="30"/>
      <c r="DN3" s="30"/>
      <c r="DO3" s="30"/>
      <c r="DP3" s="30"/>
      <c r="DQ3" s="30"/>
      <c r="DR3" s="30"/>
      <c r="DS3" s="30"/>
      <c r="DT3" s="30"/>
      <c r="DU3" s="30"/>
      <c r="DV3" s="30"/>
      <c r="DW3" s="30"/>
      <c r="DX3" s="30"/>
      <c r="DY3" s="30"/>
      <c r="DZ3" s="30"/>
      <c r="EA3" s="30"/>
      <c r="EB3" s="30"/>
      <c r="EC3" s="30"/>
      <c r="ED3" s="30"/>
      <c r="EE3" s="30"/>
      <c r="EF3" s="30"/>
      <c r="EG3" s="30"/>
      <c r="EH3" s="30"/>
      <c r="EI3" s="30"/>
      <c r="EJ3" s="30"/>
      <c r="EK3" s="30"/>
      <c r="EL3" s="30"/>
      <c r="EM3" s="30"/>
      <c r="EN3" s="30"/>
      <c r="EO3" s="30"/>
      <c r="EP3" s="30"/>
      <c r="EQ3" s="30"/>
      <c r="ER3" s="30"/>
      <c r="ES3" s="30"/>
      <c r="ET3" s="30"/>
      <c r="EU3" s="30"/>
      <c r="EV3" s="30"/>
      <c r="EW3" s="30"/>
      <c r="EX3" s="30"/>
      <c r="EY3" s="30"/>
      <c r="EZ3" s="30"/>
      <c r="FA3" s="30"/>
      <c r="FB3" s="30"/>
      <c r="FC3" s="30"/>
      <c r="FD3" s="30"/>
      <c r="FE3" s="30"/>
      <c r="FF3" s="30"/>
      <c r="FG3" s="30"/>
      <c r="FH3" s="30"/>
      <c r="FI3" s="30"/>
      <c r="FJ3" s="30"/>
      <c r="FK3" s="30"/>
      <c r="FL3" s="30"/>
      <c r="FM3" s="30"/>
      <c r="FN3" s="30"/>
      <c r="FO3" s="30"/>
      <c r="FP3" s="30"/>
      <c r="FQ3" s="30"/>
      <c r="FR3" s="30"/>
      <c r="FS3" s="30"/>
      <c r="FT3" s="30"/>
      <c r="FU3" s="30"/>
      <c r="FV3" s="30"/>
      <c r="FW3" s="30"/>
      <c r="FX3" s="30"/>
      <c r="FY3" s="30"/>
      <c r="FZ3" s="30"/>
      <c r="GA3" s="30"/>
      <c r="GB3" s="30"/>
      <c r="GC3" s="30"/>
      <c r="GD3" s="30"/>
      <c r="GE3" s="30"/>
      <c r="GF3" s="30"/>
      <c r="GG3" s="30"/>
      <c r="GH3" s="30"/>
      <c r="GI3" s="30"/>
      <c r="GJ3" s="30"/>
      <c r="GK3" s="30"/>
      <c r="GL3" s="30"/>
      <c r="GM3" s="30"/>
      <c r="GN3" s="30"/>
      <c r="GO3" s="30"/>
      <c r="GP3" s="30"/>
      <c r="GQ3" s="30"/>
      <c r="GR3" s="30"/>
      <c r="GS3" s="30"/>
      <c r="GT3" s="30"/>
      <c r="GU3" s="30"/>
      <c r="GV3" s="30"/>
      <c r="GW3" s="30"/>
      <c r="GX3" s="30"/>
      <c r="GY3" s="30"/>
      <c r="GZ3" s="30"/>
      <c r="HA3" s="30"/>
      <c r="HB3" s="30"/>
      <c r="HC3" s="30"/>
      <c r="HD3" s="30"/>
      <c r="HE3" s="30"/>
      <c r="HF3" s="30"/>
      <c r="HG3" s="30"/>
      <c r="HH3" s="30"/>
      <c r="HI3" s="30"/>
      <c r="HJ3" s="30"/>
      <c r="HK3" s="30"/>
      <c r="HL3" s="30"/>
      <c r="HM3" s="30"/>
      <c r="HN3" s="30"/>
      <c r="HO3" s="30"/>
      <c r="HP3" s="30"/>
      <c r="HQ3" s="30"/>
      <c r="HR3" s="30"/>
      <c r="HS3" s="30"/>
      <c r="HT3" s="30"/>
      <c r="HU3" s="30"/>
      <c r="HV3" s="30"/>
      <c r="HW3" s="30"/>
    </row>
    <row r="4" s="32" customFormat="true" ht="37.5" hidden="false" customHeight="true" outlineLevel="0" collapsed="false">
      <c r="A4" s="29" t="str">
        <f aca="false">'1.KTHH L1'!A4</f>
        <v>Gói thầu số 12: Xây dựng HTKT khu vực Hải Bình và Xuân Lâm (bao gồm cả bảo hiểm xây dựng công trình)</v>
      </c>
      <c r="B4" s="29"/>
      <c r="C4" s="29"/>
      <c r="D4" s="29"/>
      <c r="E4" s="29"/>
      <c r="F4" s="29"/>
      <c r="G4" s="29"/>
      <c r="H4" s="29"/>
      <c r="I4" s="29"/>
      <c r="J4" s="29"/>
      <c r="K4" s="29"/>
      <c r="L4" s="29"/>
      <c r="M4" s="29"/>
      <c r="N4" s="29"/>
      <c r="O4" s="29"/>
      <c r="P4" s="29"/>
      <c r="Q4" s="29"/>
      <c r="R4" s="29"/>
      <c r="S4" s="29"/>
      <c r="T4" s="29"/>
      <c r="U4" s="29"/>
      <c r="V4" s="29"/>
      <c r="W4" s="29"/>
      <c r="X4" s="29"/>
      <c r="Y4" s="29"/>
      <c r="Z4" s="29"/>
      <c r="AA4" s="29"/>
      <c r="AB4" s="29"/>
      <c r="AC4" s="30"/>
      <c r="AD4" s="30"/>
      <c r="AE4" s="30"/>
      <c r="AF4" s="30"/>
      <c r="AG4" s="30"/>
      <c r="AH4" s="30"/>
      <c r="AI4" s="30"/>
      <c r="AJ4" s="30"/>
      <c r="AK4" s="30"/>
      <c r="AL4" s="30"/>
      <c r="AM4" s="30"/>
      <c r="AN4" s="30"/>
      <c r="AO4" s="30"/>
      <c r="AP4" s="30"/>
      <c r="AQ4" s="30"/>
      <c r="AR4" s="30"/>
      <c r="AS4" s="30"/>
      <c r="AT4" s="30"/>
      <c r="AU4" s="30"/>
      <c r="AV4" s="30"/>
      <c r="AW4" s="30"/>
      <c r="AX4" s="30"/>
      <c r="AY4" s="30"/>
      <c r="AZ4" s="30"/>
      <c r="BA4" s="30"/>
      <c r="BB4" s="30"/>
      <c r="BC4" s="30"/>
      <c r="BD4" s="30"/>
      <c r="BE4" s="30"/>
      <c r="BF4" s="30"/>
      <c r="BG4" s="30"/>
      <c r="BH4" s="30"/>
      <c r="BI4" s="30"/>
      <c r="BJ4" s="30"/>
      <c r="BK4" s="30"/>
      <c r="BL4" s="30"/>
      <c r="BM4" s="30"/>
      <c r="BN4" s="30"/>
      <c r="BO4" s="30"/>
      <c r="BP4" s="30"/>
      <c r="BQ4" s="30"/>
      <c r="BR4" s="30"/>
      <c r="BS4" s="30"/>
      <c r="BT4" s="30"/>
      <c r="BU4" s="30"/>
      <c r="BV4" s="30"/>
      <c r="BW4" s="30"/>
      <c r="BX4" s="30"/>
      <c r="BY4" s="30"/>
      <c r="BZ4" s="30"/>
      <c r="CA4" s="30"/>
      <c r="CB4" s="30"/>
      <c r="CC4" s="30"/>
      <c r="CD4" s="30"/>
      <c r="CE4" s="30"/>
      <c r="CF4" s="30"/>
      <c r="CG4" s="30"/>
      <c r="CH4" s="30"/>
      <c r="CI4" s="30"/>
      <c r="CJ4" s="30"/>
      <c r="CK4" s="30"/>
      <c r="CL4" s="30"/>
      <c r="CM4" s="30"/>
      <c r="CN4" s="30"/>
      <c r="CO4" s="30"/>
      <c r="CP4" s="30"/>
      <c r="CQ4" s="30"/>
      <c r="CR4" s="30"/>
      <c r="CS4" s="30"/>
      <c r="CT4" s="30"/>
      <c r="CU4" s="30"/>
      <c r="CV4" s="30"/>
      <c r="CW4" s="30"/>
      <c r="CX4" s="30"/>
      <c r="CY4" s="30"/>
      <c r="CZ4" s="30"/>
      <c r="DA4" s="30"/>
      <c r="DB4" s="30"/>
      <c r="DC4" s="30"/>
      <c r="DD4" s="30"/>
      <c r="DE4" s="30"/>
      <c r="DF4" s="30"/>
      <c r="DG4" s="30"/>
      <c r="DH4" s="30"/>
      <c r="DI4" s="30"/>
      <c r="DJ4" s="30"/>
      <c r="DK4" s="30"/>
      <c r="DL4" s="30"/>
      <c r="DM4" s="30"/>
      <c r="DN4" s="30"/>
      <c r="DO4" s="30"/>
      <c r="DP4" s="30"/>
      <c r="DQ4" s="30"/>
      <c r="DR4" s="30"/>
      <c r="DS4" s="30"/>
      <c r="DT4" s="30"/>
      <c r="DU4" s="30"/>
      <c r="DV4" s="30"/>
      <c r="DW4" s="30"/>
      <c r="DX4" s="30"/>
      <c r="DY4" s="30"/>
      <c r="DZ4" s="30"/>
      <c r="EA4" s="30"/>
      <c r="EB4" s="30"/>
      <c r="EC4" s="30"/>
      <c r="ED4" s="30"/>
      <c r="EE4" s="30"/>
      <c r="EF4" s="30"/>
      <c r="EG4" s="30"/>
      <c r="EH4" s="30"/>
      <c r="EI4" s="30"/>
      <c r="EJ4" s="30"/>
      <c r="EK4" s="30"/>
      <c r="EL4" s="30"/>
      <c r="EM4" s="30"/>
      <c r="EN4" s="30"/>
      <c r="EO4" s="30"/>
      <c r="EP4" s="30"/>
      <c r="EQ4" s="30"/>
      <c r="ER4" s="30"/>
      <c r="ES4" s="30"/>
      <c r="ET4" s="30"/>
      <c r="EU4" s="30"/>
      <c r="EV4" s="30"/>
      <c r="EW4" s="30"/>
      <c r="EX4" s="30"/>
      <c r="EY4" s="30"/>
      <c r="EZ4" s="30"/>
      <c r="FA4" s="30"/>
      <c r="FB4" s="30"/>
      <c r="FC4" s="30"/>
      <c r="FD4" s="30"/>
      <c r="FE4" s="30"/>
      <c r="FF4" s="30"/>
      <c r="FG4" s="30"/>
      <c r="FH4" s="30"/>
      <c r="FI4" s="30"/>
      <c r="FJ4" s="30"/>
      <c r="FK4" s="30"/>
      <c r="FL4" s="30"/>
      <c r="FM4" s="30"/>
      <c r="FN4" s="30"/>
      <c r="FO4" s="30"/>
      <c r="FP4" s="30"/>
      <c r="FQ4" s="30"/>
      <c r="FR4" s="30"/>
      <c r="FS4" s="30"/>
      <c r="FT4" s="30"/>
      <c r="FU4" s="30"/>
      <c r="FV4" s="30"/>
      <c r="FW4" s="30"/>
      <c r="FX4" s="30"/>
      <c r="FY4" s="30"/>
      <c r="FZ4" s="30"/>
      <c r="GA4" s="30"/>
      <c r="GB4" s="30"/>
      <c r="GC4" s="30"/>
      <c r="GD4" s="30"/>
      <c r="GE4" s="30"/>
      <c r="GF4" s="30"/>
      <c r="GG4" s="30"/>
      <c r="GH4" s="30"/>
      <c r="GI4" s="30"/>
      <c r="GJ4" s="30"/>
      <c r="GK4" s="30"/>
      <c r="GL4" s="30"/>
      <c r="GM4" s="30"/>
      <c r="GN4" s="30"/>
      <c r="GO4" s="30"/>
      <c r="GP4" s="30"/>
      <c r="GQ4" s="30"/>
      <c r="GR4" s="30"/>
      <c r="GS4" s="30"/>
      <c r="GT4" s="30"/>
      <c r="GU4" s="30"/>
      <c r="GV4" s="30"/>
      <c r="GW4" s="30"/>
      <c r="GX4" s="30"/>
      <c r="GY4" s="30"/>
      <c r="GZ4" s="30"/>
      <c r="HA4" s="30"/>
      <c r="HB4" s="30"/>
      <c r="HC4" s="30"/>
      <c r="HD4" s="30"/>
      <c r="HE4" s="30"/>
      <c r="HF4" s="30"/>
      <c r="HG4" s="30"/>
      <c r="HH4" s="30"/>
      <c r="HI4" s="30"/>
      <c r="HJ4" s="30"/>
      <c r="HK4" s="30"/>
      <c r="HL4" s="30"/>
      <c r="HM4" s="30"/>
      <c r="HN4" s="30"/>
      <c r="HO4" s="30"/>
      <c r="HP4" s="30"/>
      <c r="HQ4" s="30"/>
      <c r="HR4" s="30"/>
      <c r="HS4" s="30"/>
      <c r="HT4" s="30"/>
      <c r="HU4" s="30"/>
      <c r="HV4" s="30"/>
      <c r="HW4" s="30"/>
    </row>
    <row r="5" s="32" customFormat="true" ht="16.5" hidden="false" customHeight="true" outlineLevel="0" collapsed="false">
      <c r="A5" s="29" t="str">
        <f aca="false">'1.KTHH L1'!A5</f>
        <v>Nhà thầu thi công: Công ty TNHH Hoàng Tuấn</v>
      </c>
      <c r="B5" s="29"/>
      <c r="C5" s="29"/>
      <c r="D5" s="29"/>
      <c r="E5" s="29"/>
      <c r="F5" s="29"/>
      <c r="G5" s="29"/>
      <c r="H5" s="29"/>
      <c r="I5" s="29"/>
      <c r="J5" s="29"/>
      <c r="K5" s="29"/>
      <c r="L5" s="29"/>
      <c r="M5" s="29"/>
      <c r="N5" s="29"/>
      <c r="O5" s="29"/>
      <c r="P5" s="29"/>
      <c r="Q5" s="29"/>
      <c r="R5" s="29"/>
      <c r="S5" s="29"/>
      <c r="T5" s="29"/>
      <c r="U5" s="29"/>
      <c r="V5" s="29"/>
      <c r="W5" s="29"/>
      <c r="X5" s="29"/>
      <c r="Y5" s="29"/>
      <c r="Z5" s="29"/>
      <c r="AA5" s="29"/>
      <c r="AB5" s="29"/>
      <c r="AC5" s="30"/>
      <c r="AD5" s="30"/>
      <c r="AE5" s="30"/>
      <c r="AF5" s="30"/>
      <c r="AG5" s="30"/>
      <c r="AH5" s="30"/>
      <c r="AI5" s="30"/>
      <c r="AJ5" s="30"/>
      <c r="AK5" s="30"/>
      <c r="AL5" s="30"/>
      <c r="AM5" s="30"/>
      <c r="AN5" s="30"/>
      <c r="AO5" s="30"/>
      <c r="AP5" s="30"/>
      <c r="AQ5" s="30"/>
      <c r="AR5" s="30"/>
      <c r="AS5" s="30"/>
      <c r="AT5" s="30"/>
      <c r="AU5" s="30"/>
      <c r="AV5" s="30"/>
      <c r="AW5" s="30"/>
      <c r="AX5" s="30"/>
      <c r="AY5" s="30"/>
      <c r="AZ5" s="30"/>
      <c r="BA5" s="30"/>
      <c r="BB5" s="30"/>
      <c r="BC5" s="30"/>
      <c r="BD5" s="30"/>
      <c r="BE5" s="30"/>
      <c r="BF5" s="30"/>
      <c r="BG5" s="30"/>
      <c r="BH5" s="30"/>
      <c r="BI5" s="30"/>
      <c r="BJ5" s="30"/>
      <c r="BK5" s="30"/>
      <c r="BL5" s="30"/>
      <c r="BM5" s="30"/>
      <c r="BN5" s="30"/>
      <c r="BO5" s="30"/>
      <c r="BP5" s="30"/>
      <c r="BQ5" s="30"/>
      <c r="BR5" s="30"/>
      <c r="BS5" s="30"/>
      <c r="BT5" s="30"/>
      <c r="BU5" s="30"/>
      <c r="BV5" s="30"/>
      <c r="BW5" s="30"/>
      <c r="BX5" s="30"/>
      <c r="BY5" s="30"/>
      <c r="BZ5" s="30"/>
      <c r="CA5" s="30"/>
      <c r="CB5" s="30"/>
      <c r="CC5" s="30"/>
      <c r="CD5" s="30"/>
      <c r="CE5" s="30"/>
      <c r="CF5" s="30"/>
      <c r="CG5" s="30"/>
      <c r="CH5" s="30"/>
      <c r="CI5" s="30"/>
      <c r="CJ5" s="30"/>
      <c r="CK5" s="30"/>
      <c r="CL5" s="30"/>
      <c r="CM5" s="30"/>
      <c r="CN5" s="30"/>
      <c r="CO5" s="30"/>
      <c r="CP5" s="30"/>
      <c r="CQ5" s="30"/>
      <c r="CR5" s="30"/>
      <c r="CS5" s="30"/>
      <c r="CT5" s="30"/>
      <c r="CU5" s="30"/>
      <c r="CV5" s="30"/>
      <c r="CW5" s="30"/>
      <c r="CX5" s="30"/>
      <c r="CY5" s="30"/>
      <c r="CZ5" s="30"/>
      <c r="DA5" s="30"/>
      <c r="DB5" s="30"/>
      <c r="DC5" s="30"/>
      <c r="DD5" s="30"/>
      <c r="DE5" s="30"/>
      <c r="DF5" s="30"/>
      <c r="DG5" s="30"/>
      <c r="DH5" s="30"/>
      <c r="DI5" s="30"/>
      <c r="DJ5" s="30"/>
      <c r="DK5" s="30"/>
      <c r="DL5" s="30"/>
      <c r="DM5" s="30"/>
      <c r="DN5" s="30"/>
      <c r="DO5" s="30"/>
      <c r="DP5" s="30"/>
      <c r="DQ5" s="30"/>
      <c r="DR5" s="30"/>
      <c r="DS5" s="30"/>
      <c r="DT5" s="30"/>
      <c r="DU5" s="30"/>
      <c r="DV5" s="30"/>
      <c r="DW5" s="30"/>
      <c r="DX5" s="30"/>
      <c r="DY5" s="30"/>
      <c r="DZ5" s="30"/>
      <c r="EA5" s="30"/>
      <c r="EB5" s="30"/>
      <c r="EC5" s="30"/>
      <c r="ED5" s="30"/>
      <c r="EE5" s="30"/>
      <c r="EF5" s="30"/>
      <c r="EG5" s="30"/>
      <c r="EH5" s="30"/>
      <c r="EI5" s="30"/>
      <c r="EJ5" s="30"/>
      <c r="EK5" s="30"/>
      <c r="EL5" s="30"/>
      <c r="EM5" s="30"/>
      <c r="EN5" s="30"/>
      <c r="EO5" s="30"/>
      <c r="EP5" s="30"/>
      <c r="EQ5" s="30"/>
      <c r="ER5" s="30"/>
      <c r="ES5" s="30"/>
      <c r="ET5" s="30"/>
      <c r="EU5" s="30"/>
      <c r="EV5" s="30"/>
      <c r="EW5" s="30"/>
      <c r="EX5" s="30"/>
      <c r="EY5" s="30"/>
      <c r="EZ5" s="30"/>
      <c r="FA5" s="30"/>
      <c r="FB5" s="30"/>
      <c r="FC5" s="30"/>
      <c r="FD5" s="30"/>
      <c r="FE5" s="30"/>
      <c r="FF5" s="30"/>
      <c r="FG5" s="30"/>
      <c r="FH5" s="30"/>
      <c r="FI5" s="30"/>
      <c r="FJ5" s="30"/>
      <c r="FK5" s="30"/>
      <c r="FL5" s="30"/>
      <c r="FM5" s="30"/>
      <c r="FN5" s="30"/>
      <c r="FO5" s="30"/>
      <c r="FP5" s="30"/>
      <c r="FQ5" s="30"/>
      <c r="FR5" s="30"/>
      <c r="FS5" s="30"/>
      <c r="FT5" s="30"/>
      <c r="FU5" s="30"/>
      <c r="FV5" s="30"/>
      <c r="FW5" s="30"/>
      <c r="FX5" s="30"/>
      <c r="FY5" s="30"/>
      <c r="FZ5" s="30"/>
      <c r="GA5" s="30"/>
      <c r="GB5" s="30"/>
      <c r="GC5" s="30"/>
      <c r="GD5" s="30"/>
      <c r="GE5" s="30"/>
      <c r="GF5" s="30"/>
      <c r="GG5" s="30"/>
      <c r="GH5" s="30"/>
      <c r="GI5" s="30"/>
      <c r="GJ5" s="30"/>
      <c r="GK5" s="30"/>
      <c r="GL5" s="30"/>
      <c r="GM5" s="30"/>
      <c r="GN5" s="30"/>
      <c r="GO5" s="30"/>
      <c r="GP5" s="30"/>
      <c r="GQ5" s="30"/>
      <c r="GR5" s="30"/>
      <c r="GS5" s="30"/>
      <c r="GT5" s="30"/>
      <c r="GU5" s="30"/>
      <c r="GV5" s="30"/>
      <c r="GW5" s="30"/>
      <c r="GX5" s="30"/>
      <c r="GY5" s="30"/>
      <c r="GZ5" s="30"/>
      <c r="HA5" s="30"/>
      <c r="HB5" s="30"/>
      <c r="HC5" s="30"/>
      <c r="HD5" s="30"/>
      <c r="HE5" s="30"/>
      <c r="HF5" s="30"/>
      <c r="HG5" s="30"/>
      <c r="HH5" s="30"/>
      <c r="HI5" s="30"/>
      <c r="HJ5" s="30"/>
      <c r="HK5" s="30"/>
      <c r="HL5" s="30"/>
      <c r="HM5" s="30"/>
      <c r="HN5" s="30"/>
      <c r="HO5" s="30"/>
      <c r="HP5" s="30"/>
      <c r="HQ5" s="30"/>
      <c r="HR5" s="30"/>
      <c r="HS5" s="30"/>
      <c r="HT5" s="30"/>
      <c r="HU5" s="30"/>
      <c r="HV5" s="30"/>
      <c r="HW5" s="30"/>
    </row>
    <row r="6" s="32" customFormat="true" ht="16.5" hidden="false" customHeight="true" outlineLevel="0" collapsed="false">
      <c r="A6" s="29" t="s">
        <v>33</v>
      </c>
      <c r="B6" s="29"/>
      <c r="C6" s="29"/>
      <c r="D6" s="29"/>
      <c r="E6" s="29"/>
      <c r="F6" s="29"/>
      <c r="G6" s="29"/>
      <c r="H6" s="29"/>
      <c r="I6" s="29"/>
      <c r="J6" s="29"/>
      <c r="K6" s="29"/>
      <c r="L6" s="29"/>
      <c r="M6" s="29"/>
      <c r="N6" s="29"/>
      <c r="O6" s="29"/>
      <c r="P6" s="29"/>
      <c r="Q6" s="29"/>
      <c r="R6" s="29"/>
      <c r="S6" s="29"/>
      <c r="T6" s="29"/>
      <c r="U6" s="29"/>
      <c r="V6" s="29"/>
      <c r="W6" s="29"/>
      <c r="X6" s="29"/>
      <c r="Y6" s="29"/>
      <c r="Z6" s="29"/>
      <c r="AA6" s="29"/>
      <c r="AB6" s="29"/>
      <c r="AC6" s="30"/>
      <c r="AD6" s="30"/>
      <c r="AE6" s="30"/>
      <c r="AF6" s="30"/>
      <c r="AG6" s="30"/>
      <c r="AH6" s="30"/>
      <c r="AI6" s="30"/>
      <c r="AJ6" s="30"/>
      <c r="AK6" s="30"/>
      <c r="AL6" s="30"/>
      <c r="AM6" s="30"/>
      <c r="AN6" s="30"/>
      <c r="AO6" s="30"/>
      <c r="AP6" s="30"/>
      <c r="AQ6" s="30"/>
      <c r="AR6" s="30"/>
      <c r="AS6" s="30"/>
      <c r="AT6" s="30"/>
      <c r="AU6" s="30"/>
      <c r="AV6" s="30"/>
      <c r="AW6" s="30"/>
      <c r="AX6" s="30"/>
      <c r="AY6" s="30"/>
      <c r="AZ6" s="30"/>
      <c r="BA6" s="30"/>
      <c r="BB6" s="30"/>
      <c r="BC6" s="30"/>
      <c r="BD6" s="30"/>
      <c r="BE6" s="30"/>
      <c r="BF6" s="30"/>
      <c r="BG6" s="30"/>
      <c r="BH6" s="30"/>
      <c r="BI6" s="30"/>
      <c r="BJ6" s="30"/>
      <c r="BK6" s="30"/>
      <c r="BL6" s="30"/>
      <c r="BM6" s="30"/>
      <c r="BN6" s="30"/>
      <c r="BO6" s="30"/>
      <c r="BP6" s="30"/>
      <c r="BQ6" s="30"/>
      <c r="BR6" s="30"/>
      <c r="BS6" s="30"/>
      <c r="BT6" s="30"/>
      <c r="BU6" s="30"/>
      <c r="BV6" s="30"/>
      <c r="BW6" s="30"/>
      <c r="BX6" s="30"/>
      <c r="BY6" s="30"/>
      <c r="BZ6" s="30"/>
      <c r="CA6" s="30"/>
      <c r="CB6" s="30"/>
      <c r="CC6" s="30"/>
      <c r="CD6" s="30"/>
      <c r="CE6" s="30"/>
      <c r="CF6" s="30"/>
      <c r="CG6" s="30"/>
      <c r="CH6" s="30"/>
      <c r="CI6" s="30"/>
      <c r="CJ6" s="30"/>
      <c r="CK6" s="30"/>
      <c r="CL6" s="30"/>
      <c r="CM6" s="30"/>
      <c r="CN6" s="30"/>
      <c r="CO6" s="30"/>
      <c r="CP6" s="30"/>
      <c r="CQ6" s="30"/>
      <c r="CR6" s="30"/>
      <c r="CS6" s="30"/>
      <c r="CT6" s="30"/>
      <c r="CU6" s="30"/>
      <c r="CV6" s="30"/>
      <c r="CW6" s="30"/>
      <c r="CX6" s="30"/>
      <c r="CY6" s="30"/>
      <c r="CZ6" s="30"/>
      <c r="DA6" s="30"/>
      <c r="DB6" s="30"/>
      <c r="DC6" s="30"/>
      <c r="DD6" s="30"/>
      <c r="DE6" s="30"/>
      <c r="DF6" s="30"/>
      <c r="DG6" s="30"/>
      <c r="DH6" s="30"/>
      <c r="DI6" s="30"/>
      <c r="DJ6" s="30"/>
      <c r="DK6" s="30"/>
      <c r="DL6" s="30"/>
      <c r="DM6" s="30"/>
      <c r="DN6" s="30"/>
      <c r="DO6" s="30"/>
      <c r="DP6" s="30"/>
      <c r="DQ6" s="30"/>
      <c r="DR6" s="30"/>
      <c r="DS6" s="30"/>
      <c r="DT6" s="30"/>
      <c r="DU6" s="30"/>
      <c r="DV6" s="30"/>
      <c r="DW6" s="30"/>
      <c r="DX6" s="30"/>
      <c r="DY6" s="30"/>
      <c r="DZ6" s="30"/>
      <c r="EA6" s="30"/>
      <c r="EB6" s="30"/>
      <c r="EC6" s="30"/>
      <c r="ED6" s="30"/>
      <c r="EE6" s="30"/>
      <c r="EF6" s="30"/>
      <c r="EG6" s="30"/>
      <c r="EH6" s="30"/>
      <c r="EI6" s="30"/>
      <c r="EJ6" s="30"/>
      <c r="EK6" s="30"/>
      <c r="EL6" s="30"/>
      <c r="EM6" s="30"/>
      <c r="EN6" s="30"/>
      <c r="EO6" s="30"/>
      <c r="EP6" s="30"/>
      <c r="EQ6" s="30"/>
      <c r="ER6" s="30"/>
      <c r="ES6" s="30"/>
      <c r="ET6" s="30"/>
      <c r="EU6" s="30"/>
      <c r="EV6" s="30"/>
      <c r="EW6" s="30"/>
      <c r="EX6" s="30"/>
      <c r="EY6" s="30"/>
      <c r="EZ6" s="30"/>
      <c r="FA6" s="30"/>
      <c r="FB6" s="30"/>
      <c r="FC6" s="30"/>
      <c r="FD6" s="30"/>
      <c r="FE6" s="30"/>
      <c r="FF6" s="30"/>
      <c r="FG6" s="30"/>
      <c r="FH6" s="30"/>
      <c r="FI6" s="30"/>
      <c r="FJ6" s="30"/>
      <c r="FK6" s="30"/>
      <c r="FL6" s="30"/>
      <c r="FM6" s="30"/>
      <c r="FN6" s="30"/>
      <c r="FO6" s="30"/>
      <c r="FP6" s="30"/>
      <c r="FQ6" s="30"/>
      <c r="FR6" s="30"/>
      <c r="FS6" s="30"/>
      <c r="FT6" s="30"/>
      <c r="FU6" s="30"/>
      <c r="FV6" s="30"/>
      <c r="FW6" s="30"/>
      <c r="FX6" s="30"/>
      <c r="FY6" s="30"/>
      <c r="FZ6" s="30"/>
      <c r="GA6" s="30"/>
      <c r="GB6" s="30"/>
      <c r="GC6" s="30"/>
      <c r="GD6" s="30"/>
      <c r="GE6" s="30"/>
      <c r="GF6" s="30"/>
      <c r="GG6" s="30"/>
      <c r="GH6" s="30"/>
      <c r="GI6" s="30"/>
      <c r="GJ6" s="30"/>
      <c r="GK6" s="30"/>
      <c r="GL6" s="30"/>
      <c r="GM6" s="30"/>
      <c r="GN6" s="30"/>
      <c r="GO6" s="30"/>
      <c r="GP6" s="30"/>
      <c r="GQ6" s="30"/>
      <c r="GR6" s="30"/>
      <c r="GS6" s="30"/>
      <c r="GT6" s="30"/>
      <c r="GU6" s="30"/>
      <c r="GV6" s="30"/>
      <c r="GW6" s="30"/>
      <c r="GX6" s="30"/>
      <c r="GY6" s="30"/>
      <c r="GZ6" s="30"/>
      <c r="HA6" s="30"/>
      <c r="HB6" s="30"/>
      <c r="HC6" s="30"/>
      <c r="HD6" s="30"/>
      <c r="HE6" s="30"/>
      <c r="HF6" s="30"/>
      <c r="HG6" s="30"/>
      <c r="HH6" s="30"/>
      <c r="HI6" s="30"/>
      <c r="HJ6" s="30"/>
      <c r="HK6" s="30"/>
      <c r="HL6" s="30"/>
      <c r="HM6" s="30"/>
      <c r="HN6" s="30"/>
      <c r="HO6" s="30"/>
      <c r="HP6" s="30"/>
      <c r="HQ6" s="30"/>
      <c r="HR6" s="30"/>
      <c r="HS6" s="30"/>
      <c r="HT6" s="30"/>
      <c r="HU6" s="30"/>
      <c r="HV6" s="30"/>
      <c r="HW6" s="30"/>
    </row>
    <row r="7" s="32" customFormat="true" ht="30" hidden="false" customHeight="true" outlineLevel="0" collapsed="false">
      <c r="A7" s="33" t="s">
        <v>34</v>
      </c>
      <c r="B7" s="34"/>
      <c r="D7" s="35" t="str">
        <f>VLOOKUP(AZ2,'[1]Tuyến XD8'!$A$2:$B$60,2,0)</f>
        <v xml:space="preserve">Đắp đất nền đường lớp 3 đoạn từ Km0+489,19 - Km0+609,11, độ chặt K&gt;=0,95</v>
      </c>
      <c r="E7" s="35"/>
      <c r="F7" s="35"/>
      <c r="G7" s="35"/>
      <c r="H7" s="35"/>
      <c r="I7" s="35"/>
      <c r="J7" s="35"/>
      <c r="K7" s="35"/>
      <c r="L7" s="35"/>
      <c r="M7" s="35"/>
      <c r="N7" s="35"/>
      <c r="O7" s="35"/>
      <c r="P7" s="35"/>
      <c r="Q7" s="35"/>
      <c r="R7" s="35"/>
      <c r="S7" s="35"/>
      <c r="T7" s="35"/>
      <c r="U7" s="35"/>
      <c r="V7" s="35"/>
      <c r="W7" s="35"/>
      <c r="X7" s="35"/>
      <c r="Y7" s="35"/>
      <c r="Z7" s="35"/>
      <c r="AA7" s="35"/>
      <c r="AB7" s="35"/>
      <c r="AC7" s="30"/>
      <c r="AD7" s="30"/>
      <c r="AE7" s="30"/>
      <c r="AF7" s="30"/>
      <c r="AG7" s="30"/>
      <c r="AH7" s="30"/>
      <c r="AI7" s="30"/>
      <c r="AJ7" s="30"/>
      <c r="AK7" s="30"/>
      <c r="AL7" s="30"/>
      <c r="AM7" s="30"/>
      <c r="AN7" s="30"/>
      <c r="AO7" s="30"/>
      <c r="AP7" s="30"/>
      <c r="AQ7" s="30"/>
      <c r="AR7" s="30"/>
      <c r="AS7" s="30"/>
      <c r="AT7" s="30"/>
      <c r="AU7" s="30"/>
      <c r="AV7" s="30"/>
      <c r="AW7" s="30"/>
      <c r="AX7" s="30"/>
      <c r="AY7" s="30"/>
      <c r="AZ7" s="30"/>
      <c r="BA7" s="30"/>
      <c r="BB7" s="30"/>
      <c r="BC7" s="30"/>
      <c r="BD7" s="30"/>
      <c r="BE7" s="30"/>
      <c r="BF7" s="30"/>
      <c r="BG7" s="30"/>
      <c r="BH7" s="30"/>
      <c r="BI7" s="30"/>
      <c r="BJ7" s="30"/>
      <c r="BK7" s="30"/>
      <c r="BL7" s="30"/>
      <c r="BM7" s="30"/>
      <c r="BN7" s="30"/>
      <c r="BO7" s="30"/>
      <c r="BP7" s="30"/>
      <c r="BQ7" s="30"/>
      <c r="BR7" s="30"/>
      <c r="BS7" s="30"/>
      <c r="BT7" s="30"/>
      <c r="BU7" s="30"/>
      <c r="BV7" s="30"/>
      <c r="BW7" s="30"/>
      <c r="BX7" s="30"/>
      <c r="BY7" s="30"/>
      <c r="BZ7" s="30"/>
      <c r="CA7" s="30"/>
      <c r="CB7" s="30"/>
      <c r="CC7" s="30"/>
      <c r="CD7" s="30"/>
      <c r="CE7" s="30"/>
      <c r="CF7" s="30"/>
      <c r="CG7" s="30"/>
      <c r="CH7" s="30"/>
      <c r="CI7" s="30"/>
      <c r="CJ7" s="30"/>
      <c r="CK7" s="30"/>
      <c r="CL7" s="30"/>
      <c r="CM7" s="30"/>
      <c r="CN7" s="30"/>
      <c r="CO7" s="30"/>
      <c r="CP7" s="30"/>
      <c r="CQ7" s="30"/>
      <c r="CR7" s="30"/>
      <c r="CS7" s="30"/>
      <c r="CT7" s="30"/>
      <c r="CU7" s="30"/>
      <c r="CV7" s="30"/>
      <c r="CW7" s="30"/>
      <c r="CX7" s="30"/>
      <c r="CY7" s="30"/>
      <c r="CZ7" s="30"/>
      <c r="DA7" s="30"/>
      <c r="DB7" s="30"/>
      <c r="DC7" s="30"/>
      <c r="DD7" s="30"/>
      <c r="DE7" s="30"/>
      <c r="DF7" s="30"/>
      <c r="DG7" s="30"/>
      <c r="DH7" s="30"/>
      <c r="DI7" s="30"/>
      <c r="DJ7" s="30"/>
      <c r="DK7" s="30"/>
      <c r="DL7" s="30"/>
      <c r="DM7" s="30"/>
      <c r="DN7" s="30"/>
      <c r="DO7" s="30"/>
      <c r="DP7" s="30"/>
      <c r="DQ7" s="30"/>
      <c r="DR7" s="30"/>
      <c r="DS7" s="30"/>
      <c r="DT7" s="30"/>
      <c r="DU7" s="30"/>
      <c r="DV7" s="30"/>
      <c r="DW7" s="30"/>
      <c r="DX7" s="30"/>
      <c r="DY7" s="30"/>
      <c r="DZ7" s="30"/>
      <c r="EA7" s="30"/>
      <c r="EB7" s="30"/>
      <c r="EC7" s="30"/>
      <c r="ED7" s="30"/>
      <c r="EE7" s="30"/>
      <c r="EF7" s="30"/>
      <c r="EG7" s="30"/>
      <c r="EH7" s="30"/>
      <c r="EI7" s="30"/>
      <c r="EJ7" s="30"/>
      <c r="EK7" s="30"/>
      <c r="EL7" s="30"/>
      <c r="EM7" s="30"/>
      <c r="EN7" s="30"/>
      <c r="EO7" s="30"/>
      <c r="EP7" s="30"/>
      <c r="EQ7" s="30"/>
      <c r="ER7" s="30"/>
      <c r="ES7" s="30"/>
      <c r="ET7" s="30"/>
      <c r="EU7" s="30"/>
      <c r="EV7" s="30"/>
      <c r="EW7" s="30"/>
      <c r="EX7" s="30"/>
      <c r="EY7" s="30"/>
      <c r="EZ7" s="30"/>
      <c r="FA7" s="30"/>
      <c r="FB7" s="30"/>
      <c r="FC7" s="30"/>
      <c r="FD7" s="30"/>
      <c r="FE7" s="30"/>
      <c r="FF7" s="30"/>
      <c r="FG7" s="30"/>
      <c r="FH7" s="30"/>
      <c r="FI7" s="30"/>
      <c r="FJ7" s="30"/>
      <c r="FK7" s="30"/>
      <c r="FL7" s="30"/>
      <c r="FM7" s="30"/>
      <c r="FN7" s="30"/>
      <c r="FO7" s="30"/>
      <c r="FP7" s="30"/>
      <c r="FQ7" s="30"/>
      <c r="FR7" s="30"/>
      <c r="FS7" s="30"/>
      <c r="FT7" s="30"/>
      <c r="FU7" s="30"/>
      <c r="FV7" s="30"/>
      <c r="FW7" s="30"/>
      <c r="FX7" s="30"/>
      <c r="FY7" s="30"/>
      <c r="FZ7" s="30"/>
      <c r="GA7" s="30"/>
      <c r="GB7" s="30"/>
      <c r="GC7" s="30"/>
      <c r="GD7" s="30"/>
      <c r="GE7" s="30"/>
      <c r="GF7" s="30"/>
      <c r="GG7" s="30"/>
      <c r="GH7" s="30"/>
      <c r="GI7" s="30"/>
      <c r="GJ7" s="30"/>
      <c r="GK7" s="30"/>
      <c r="GL7" s="30"/>
      <c r="GM7" s="30"/>
      <c r="GN7" s="30"/>
      <c r="GO7" s="30"/>
      <c r="GP7" s="30"/>
      <c r="GQ7" s="30"/>
      <c r="GR7" s="30"/>
      <c r="GS7" s="30"/>
      <c r="GT7" s="30"/>
      <c r="GU7" s="30"/>
      <c r="GV7" s="30"/>
      <c r="GW7" s="30"/>
      <c r="GX7" s="30"/>
      <c r="GY7" s="30"/>
      <c r="GZ7" s="30"/>
      <c r="HA7" s="30"/>
      <c r="HB7" s="30"/>
      <c r="HC7" s="30"/>
      <c r="HD7" s="30"/>
      <c r="HE7" s="30"/>
      <c r="HF7" s="30"/>
      <c r="HG7" s="30"/>
      <c r="HH7" s="30"/>
      <c r="HI7" s="30"/>
      <c r="HJ7" s="30"/>
      <c r="HK7" s="30"/>
      <c r="HL7" s="30"/>
      <c r="HM7" s="30"/>
      <c r="HN7" s="30"/>
      <c r="HO7" s="30"/>
      <c r="HP7" s="30"/>
      <c r="HQ7" s="30"/>
      <c r="HR7" s="30"/>
      <c r="HS7" s="30"/>
      <c r="HT7" s="30"/>
      <c r="HU7" s="30"/>
      <c r="HV7" s="30"/>
      <c r="HW7" s="30"/>
    </row>
    <row r="8" s="30" customFormat="true" ht="13.5" hidden="false" customHeight="true" outlineLevel="0" collapsed="false">
      <c r="A8" s="36"/>
      <c r="B8" s="36"/>
      <c r="C8" s="36"/>
      <c r="D8" s="36"/>
      <c r="E8" s="36"/>
      <c r="F8" s="36"/>
      <c r="G8" s="36"/>
      <c r="H8" s="36"/>
      <c r="I8" s="36"/>
      <c r="J8" s="36"/>
      <c r="K8" s="36"/>
      <c r="L8" s="36"/>
      <c r="M8" s="36"/>
      <c r="N8" s="36"/>
      <c r="O8" s="36"/>
      <c r="P8" s="36"/>
      <c r="Q8" s="36"/>
      <c r="R8" s="36"/>
      <c r="S8" s="36"/>
      <c r="T8" s="36"/>
      <c r="U8" s="36"/>
      <c r="V8" s="36"/>
      <c r="W8" s="36"/>
      <c r="X8" s="36"/>
      <c r="Y8" s="36"/>
      <c r="Z8" s="36"/>
      <c r="AA8" s="36"/>
      <c r="AB8" s="36"/>
    </row>
    <row r="9" s="43" customFormat="true" ht="22.5" hidden="false" customHeight="true" outlineLevel="0" collapsed="false">
      <c r="A9" s="37" t="s">
        <v>0</v>
      </c>
      <c r="B9" s="37" t="s">
        <v>38</v>
      </c>
      <c r="C9" s="37" t="s">
        <v>39</v>
      </c>
      <c r="D9" s="38" t="s">
        <v>55</v>
      </c>
      <c r="E9" s="39"/>
      <c r="F9" s="39"/>
      <c r="G9" s="38"/>
      <c r="H9" s="39"/>
      <c r="I9" s="39"/>
      <c r="J9" s="39"/>
      <c r="K9" s="39"/>
      <c r="L9" s="39"/>
      <c r="M9" s="40" t="s">
        <v>56</v>
      </c>
      <c r="N9" s="40"/>
      <c r="O9" s="40"/>
      <c r="P9" s="40"/>
      <c r="Q9" s="40"/>
      <c r="R9" s="40"/>
      <c r="S9" s="40"/>
      <c r="T9" s="40"/>
      <c r="U9" s="40"/>
      <c r="V9" s="40"/>
      <c r="W9" s="40"/>
      <c r="X9" s="40"/>
      <c r="Y9" s="40"/>
      <c r="Z9" s="41"/>
      <c r="AA9" s="41"/>
      <c r="AB9" s="38" t="s">
        <v>43</v>
      </c>
      <c r="AC9" s="42"/>
    </row>
    <row r="10" s="49" customFormat="true" ht="28.5" hidden="false" customHeight="true" outlineLevel="0" collapsed="false">
      <c r="A10" s="37"/>
      <c r="B10" s="37"/>
      <c r="C10" s="37"/>
      <c r="D10" s="37"/>
      <c r="E10" s="40"/>
      <c r="F10" s="40"/>
      <c r="G10" s="40"/>
      <c r="H10" s="40"/>
      <c r="I10" s="40"/>
      <c r="J10" s="40"/>
      <c r="K10" s="40"/>
      <c r="L10" s="40"/>
      <c r="M10" s="40"/>
      <c r="N10" s="40" t="s">
        <v>57</v>
      </c>
      <c r="O10" s="40" t="s">
        <v>58</v>
      </c>
      <c r="P10" s="40" t="s">
        <v>57</v>
      </c>
      <c r="Q10" s="40" t="s">
        <v>57</v>
      </c>
      <c r="R10" s="40"/>
      <c r="S10" s="40"/>
      <c r="T10" s="40"/>
      <c r="U10" s="40" t="s">
        <v>59</v>
      </c>
      <c r="V10" s="40" t="s">
        <v>59</v>
      </c>
      <c r="W10" s="40" t="s">
        <v>60</v>
      </c>
      <c r="X10" s="40" t="s">
        <v>59</v>
      </c>
      <c r="Y10" s="40" t="s">
        <v>59</v>
      </c>
      <c r="Z10" s="45"/>
      <c r="AA10" s="45"/>
      <c r="AB10" s="38"/>
      <c r="AC10" s="46"/>
      <c r="AD10" s="47"/>
    </row>
    <row r="11" s="49" customFormat="true" ht="15" hidden="false" customHeight="true" outlineLevel="0" collapsed="false">
      <c r="A11" s="13" t="n">
        <v>1</v>
      </c>
      <c r="B11" s="13" t="str">
        <f aca="false">'3.KTHH L3'!B22</f>
        <v>25</v>
      </c>
      <c r="C11" s="51" t="n">
        <f aca="false">'3.KTHH L3'!C22</f>
        <v>489.19</v>
      </c>
      <c r="D11" s="13" t="n">
        <f aca="false">'3.KTHH L3'!T22</f>
        <v>13.17</v>
      </c>
      <c r="E11" s="52"/>
      <c r="F11" s="52"/>
      <c r="G11" s="52"/>
      <c r="H11" s="52"/>
      <c r="I11" s="52"/>
      <c r="J11" s="52"/>
      <c r="K11" s="53"/>
      <c r="L11" s="16"/>
      <c r="M11" s="17"/>
      <c r="N11" s="54"/>
      <c r="O11" s="53" t="n">
        <f aca="false">Chạy!E7</f>
        <v>7.12</v>
      </c>
      <c r="P11" s="53"/>
      <c r="Q11" s="53"/>
      <c r="R11" s="55"/>
      <c r="S11" s="55"/>
      <c r="T11" s="55"/>
      <c r="U11" s="55"/>
      <c r="V11" s="55"/>
      <c r="W11" s="55" t="n">
        <f aca="false">(O11+O12)*D11/2</f>
        <v>103.9113</v>
      </c>
      <c r="X11" s="55"/>
      <c r="Y11" s="55"/>
      <c r="Z11" s="55"/>
      <c r="AA11" s="55"/>
      <c r="AB11" s="56"/>
      <c r="AC11" s="57"/>
    </row>
    <row r="12" s="49" customFormat="true" ht="15" hidden="false" customHeight="true" outlineLevel="0" collapsed="false">
      <c r="A12" s="13" t="n">
        <v>2</v>
      </c>
      <c r="B12" s="13" t="str">
        <f aca="false">'3.KTHH L3'!B23</f>
        <v>D1</v>
      </c>
      <c r="C12" s="51" t="n">
        <f aca="false">'3.KTHH L3'!C23</f>
        <v>502.36</v>
      </c>
      <c r="D12" s="13" t="n">
        <f aca="false">'3.KTHH L3'!T23</f>
        <v>10.48</v>
      </c>
      <c r="E12" s="52"/>
      <c r="F12" s="52"/>
      <c r="G12" s="52"/>
      <c r="H12" s="52"/>
      <c r="I12" s="52"/>
      <c r="J12" s="52"/>
      <c r="K12" s="53"/>
      <c r="L12" s="16"/>
      <c r="M12" s="17"/>
      <c r="N12" s="54"/>
      <c r="O12" s="53" t="n">
        <f aca="false">Chạy!E15</f>
        <v>8.66</v>
      </c>
      <c r="P12" s="53"/>
      <c r="Q12" s="53"/>
      <c r="R12" s="55"/>
      <c r="S12" s="55"/>
      <c r="T12" s="55"/>
      <c r="U12" s="55"/>
      <c r="V12" s="55"/>
      <c r="W12" s="55" t="n">
        <f aca="false">(O12+O13)*D12/2</f>
        <v>90.7568</v>
      </c>
      <c r="X12" s="55"/>
      <c r="Y12" s="55"/>
      <c r="Z12" s="55"/>
      <c r="AA12" s="55"/>
      <c r="AB12" s="56"/>
      <c r="AC12" s="57"/>
    </row>
    <row r="13" s="49" customFormat="true" ht="15" hidden="false" customHeight="true" outlineLevel="0" collapsed="false">
      <c r="A13" s="13" t="n">
        <v>3</v>
      </c>
      <c r="B13" s="13" t="str">
        <f aca="false">'3.KTHH L3'!B24</f>
        <v>26</v>
      </c>
      <c r="C13" s="51" t="n">
        <f aca="false">'3.KTHH L3'!C24</f>
        <v>512.84</v>
      </c>
      <c r="D13" s="13" t="n">
        <f aca="false">'3.KTHH L3'!T24</f>
        <v>16.78</v>
      </c>
      <c r="E13" s="52"/>
      <c r="F13" s="52"/>
      <c r="G13" s="52"/>
      <c r="H13" s="52"/>
      <c r="I13" s="52"/>
      <c r="J13" s="52"/>
      <c r="K13" s="53"/>
      <c r="L13" s="16"/>
      <c r="M13" s="17"/>
      <c r="N13" s="54"/>
      <c r="O13" s="53" t="n">
        <f aca="false">Chạy!E23</f>
        <v>8.66</v>
      </c>
      <c r="P13" s="53"/>
      <c r="Q13" s="53"/>
      <c r="R13" s="55"/>
      <c r="S13" s="55"/>
      <c r="T13" s="55"/>
      <c r="U13" s="55"/>
      <c r="V13" s="55"/>
      <c r="W13" s="55" t="n">
        <f aca="false">(O13+O14)*D13/2</f>
        <v>145.3148</v>
      </c>
      <c r="X13" s="55"/>
      <c r="Y13" s="55"/>
      <c r="Z13" s="55"/>
      <c r="AA13" s="55"/>
      <c r="AB13" s="56"/>
      <c r="AC13" s="57"/>
    </row>
    <row r="14" s="49" customFormat="true" ht="15" hidden="false" customHeight="true" outlineLevel="0" collapsed="false">
      <c r="A14" s="13" t="n">
        <v>4</v>
      </c>
      <c r="B14" s="13" t="str">
        <f aca="false">'3.KTHH L3'!B25</f>
        <v>27</v>
      </c>
      <c r="C14" s="51" t="n">
        <f aca="false">'3.KTHH L3'!C25</f>
        <v>529.62</v>
      </c>
      <c r="D14" s="13" t="n">
        <f aca="false">'3.KTHH L3'!T25</f>
        <v>17.1</v>
      </c>
      <c r="E14" s="52"/>
      <c r="F14" s="52"/>
      <c r="G14" s="52"/>
      <c r="H14" s="52"/>
      <c r="I14" s="52"/>
      <c r="J14" s="52"/>
      <c r="K14" s="53"/>
      <c r="L14" s="16"/>
      <c r="M14" s="17"/>
      <c r="N14" s="54"/>
      <c r="O14" s="53" t="n">
        <f aca="false">Chạy!E31</f>
        <v>8.66</v>
      </c>
      <c r="P14" s="53"/>
      <c r="Q14" s="53"/>
      <c r="R14" s="55"/>
      <c r="S14" s="55"/>
      <c r="T14" s="55"/>
      <c r="U14" s="55"/>
      <c r="V14" s="55"/>
      <c r="W14" s="55" t="n">
        <f aca="false">(O14+O15)*D14/2</f>
        <v>134.3205</v>
      </c>
      <c r="X14" s="55"/>
      <c r="Y14" s="55"/>
      <c r="Z14" s="55"/>
      <c r="AA14" s="55"/>
      <c r="AB14" s="56"/>
      <c r="AC14" s="57"/>
    </row>
    <row r="15" s="49" customFormat="true" ht="15" hidden="false" customHeight="true" outlineLevel="0" collapsed="false">
      <c r="A15" s="13" t="n">
        <v>5</v>
      </c>
      <c r="B15" s="13" t="str">
        <f aca="false">'3.KTHH L3'!B26</f>
        <v>28</v>
      </c>
      <c r="C15" s="51" t="n">
        <f aca="false">'3.KTHH L3'!C26</f>
        <v>546.72</v>
      </c>
      <c r="D15" s="13" t="n">
        <f aca="false">'3.KTHH L3'!T26</f>
        <v>15.15</v>
      </c>
      <c r="E15" s="52"/>
      <c r="F15" s="52"/>
      <c r="G15" s="52"/>
      <c r="H15" s="52"/>
      <c r="I15" s="52"/>
      <c r="J15" s="52"/>
      <c r="K15" s="53"/>
      <c r="L15" s="16"/>
      <c r="M15" s="17"/>
      <c r="N15" s="54"/>
      <c r="O15" s="53" t="n">
        <f aca="false">Chạy!E39</f>
        <v>7.05</v>
      </c>
      <c r="P15" s="53"/>
      <c r="Q15" s="53"/>
      <c r="R15" s="55"/>
      <c r="S15" s="55"/>
      <c r="T15" s="55"/>
      <c r="U15" s="55"/>
      <c r="V15" s="55"/>
      <c r="W15" s="55" t="n">
        <f aca="false">(O15+O16)*D15/2</f>
        <v>119.00325</v>
      </c>
      <c r="X15" s="55"/>
      <c r="Y15" s="55"/>
      <c r="Z15" s="55"/>
      <c r="AA15" s="55"/>
      <c r="AB15" s="56"/>
      <c r="AC15" s="57"/>
    </row>
    <row r="16" s="49" customFormat="true" ht="15" hidden="false" customHeight="true" outlineLevel="0" collapsed="false">
      <c r="A16" s="13" t="n">
        <v>6</v>
      </c>
      <c r="B16" s="13" t="str">
        <f aca="false">'3.KTHH L3'!B27</f>
        <v>E5</v>
      </c>
      <c r="C16" s="51" t="n">
        <f aca="false">'3.KTHH L3'!C27</f>
        <v>561.87</v>
      </c>
      <c r="D16" s="13" t="n">
        <f aca="false">'3.KTHH L3'!T27</f>
        <v>0.15</v>
      </c>
      <c r="E16" s="52"/>
      <c r="F16" s="52"/>
      <c r="G16" s="52"/>
      <c r="H16" s="52"/>
      <c r="I16" s="52"/>
      <c r="J16" s="52"/>
      <c r="K16" s="53"/>
      <c r="L16" s="16"/>
      <c r="M16" s="17"/>
      <c r="N16" s="54"/>
      <c r="O16" s="53" t="n">
        <f aca="false">Chạy!E47</f>
        <v>8.66</v>
      </c>
      <c r="P16" s="53"/>
      <c r="Q16" s="53"/>
      <c r="R16" s="55"/>
      <c r="S16" s="55"/>
      <c r="T16" s="55"/>
      <c r="U16" s="55"/>
      <c r="V16" s="55"/>
      <c r="W16" s="55" t="n">
        <f aca="false">(O16+O17)*D16/2</f>
        <v>1.29825</v>
      </c>
      <c r="X16" s="55"/>
      <c r="Y16" s="55"/>
      <c r="Z16" s="55"/>
      <c r="AA16" s="55"/>
      <c r="AB16" s="56"/>
      <c r="AC16" s="57"/>
    </row>
    <row r="17" s="49" customFormat="true" ht="15" hidden="false" customHeight="true" outlineLevel="0" collapsed="false">
      <c r="A17" s="13" t="n">
        <v>7</v>
      </c>
      <c r="B17" s="13" t="str">
        <f aca="false">'3.KTHH L3'!B28</f>
        <v>TD</v>
      </c>
      <c r="C17" s="51" t="n">
        <f aca="false">'3.KTHH L3'!C28</f>
        <v>562.02</v>
      </c>
      <c r="D17" s="13" t="n">
        <f aca="false">'3.KTHH L3'!T28</f>
        <v>6.55</v>
      </c>
      <c r="E17" s="52"/>
      <c r="F17" s="52"/>
      <c r="G17" s="52"/>
      <c r="H17" s="52"/>
      <c r="I17" s="52"/>
      <c r="J17" s="52"/>
      <c r="K17" s="53"/>
      <c r="L17" s="16"/>
      <c r="M17" s="17"/>
      <c r="N17" s="54"/>
      <c r="O17" s="53" t="n">
        <f aca="false">Chạy!E55</f>
        <v>8.65</v>
      </c>
      <c r="P17" s="53"/>
      <c r="Q17" s="53"/>
      <c r="R17" s="55"/>
      <c r="S17" s="55"/>
      <c r="T17" s="55"/>
      <c r="U17" s="55"/>
      <c r="V17" s="55"/>
      <c r="W17" s="55" t="n">
        <f aca="false">(O17+O18)*D17/2</f>
        <v>56.69025</v>
      </c>
      <c r="X17" s="55"/>
      <c r="Y17" s="55"/>
      <c r="Z17" s="55"/>
      <c r="AA17" s="55"/>
      <c r="AB17" s="56"/>
      <c r="AC17" s="57"/>
    </row>
    <row r="18" s="49" customFormat="true" ht="15" hidden="false" customHeight="true" outlineLevel="0" collapsed="false">
      <c r="A18" s="13" t="n">
        <v>8</v>
      </c>
      <c r="B18" s="13" t="str">
        <f aca="false">'3.KTHH L3'!B29</f>
        <v>P</v>
      </c>
      <c r="C18" s="51" t="n">
        <f aca="false">'3.KTHH L3'!C29</f>
        <v>568.57</v>
      </c>
      <c r="D18" s="13" t="n">
        <f aca="false">'3.KTHH L3'!T29</f>
        <v>6.55</v>
      </c>
      <c r="E18" s="52"/>
      <c r="F18" s="52"/>
      <c r="G18" s="52"/>
      <c r="H18" s="52"/>
      <c r="I18" s="52"/>
      <c r="J18" s="52"/>
      <c r="K18" s="53"/>
      <c r="L18" s="16"/>
      <c r="M18" s="17"/>
      <c r="N18" s="54"/>
      <c r="O18" s="53" t="n">
        <f aca="false">Chạy!E63</f>
        <v>8.66</v>
      </c>
      <c r="P18" s="53"/>
      <c r="Q18" s="53"/>
      <c r="R18" s="55"/>
      <c r="S18" s="55"/>
      <c r="T18" s="55"/>
      <c r="U18" s="55"/>
      <c r="V18" s="55"/>
      <c r="W18" s="55" t="n">
        <f aca="false">(O18+O19)*D18/2</f>
        <v>55.4785</v>
      </c>
      <c r="X18" s="55"/>
      <c r="Y18" s="55"/>
      <c r="Z18" s="55"/>
      <c r="AA18" s="55"/>
      <c r="AB18" s="56"/>
      <c r="AC18" s="57"/>
    </row>
    <row r="19" s="49" customFormat="true" ht="15" hidden="false" customHeight="true" outlineLevel="0" collapsed="false">
      <c r="A19" s="13" t="n">
        <v>9</v>
      </c>
      <c r="B19" s="13" t="str">
        <f aca="false">'3.KTHH L3'!B30</f>
        <v>TC</v>
      </c>
      <c r="C19" s="51" t="n">
        <f aca="false">'3.KTHH L3'!C30</f>
        <v>575.12</v>
      </c>
      <c r="D19" s="13" t="n">
        <f aca="false">'3.KTHH L3'!T30</f>
        <v>0.04</v>
      </c>
      <c r="E19" s="52"/>
      <c r="F19" s="52"/>
      <c r="G19" s="52"/>
      <c r="H19" s="52"/>
      <c r="I19" s="52"/>
      <c r="J19" s="52"/>
      <c r="K19" s="53"/>
      <c r="L19" s="16"/>
      <c r="M19" s="17"/>
      <c r="N19" s="54"/>
      <c r="O19" s="53" t="n">
        <f aca="false">Chạy!E71</f>
        <v>8.28</v>
      </c>
      <c r="P19" s="53"/>
      <c r="Q19" s="53"/>
      <c r="R19" s="55"/>
      <c r="S19" s="55"/>
      <c r="T19" s="55"/>
      <c r="U19" s="55"/>
      <c r="V19" s="55"/>
      <c r="W19" s="55" t="n">
        <f aca="false">(O19+O20)*D19/2</f>
        <v>0.3308</v>
      </c>
      <c r="X19" s="55"/>
      <c r="Y19" s="55"/>
      <c r="Z19" s="55"/>
      <c r="AA19" s="55"/>
      <c r="AB19" s="56"/>
      <c r="AC19" s="57"/>
    </row>
    <row r="20" s="49" customFormat="true" ht="15" hidden="false" customHeight="true" outlineLevel="0" collapsed="false">
      <c r="A20" s="13" t="n">
        <v>10</v>
      </c>
      <c r="B20" s="13" t="str">
        <f aca="false">'3.KTHH L3'!B31</f>
        <v>29</v>
      </c>
      <c r="C20" s="51" t="n">
        <f aca="false">'3.KTHH L3'!C31</f>
        <v>575.16</v>
      </c>
      <c r="D20" s="13" t="n">
        <f aca="false">'3.KTHH L3'!T31</f>
        <v>16.95</v>
      </c>
      <c r="E20" s="52"/>
      <c r="F20" s="52"/>
      <c r="G20" s="52"/>
      <c r="H20" s="52"/>
      <c r="I20" s="52"/>
      <c r="J20" s="52"/>
      <c r="K20" s="53"/>
      <c r="L20" s="16"/>
      <c r="M20" s="17"/>
      <c r="N20" s="54"/>
      <c r="O20" s="53" t="n">
        <f aca="false">Chạy!E79</f>
        <v>8.26</v>
      </c>
      <c r="P20" s="53"/>
      <c r="Q20" s="53"/>
      <c r="R20" s="55"/>
      <c r="S20" s="55"/>
      <c r="T20" s="55"/>
      <c r="U20" s="55"/>
      <c r="V20" s="55"/>
      <c r="W20" s="55" t="n">
        <f aca="false">(O20+O21)*D20/2</f>
        <v>143.397</v>
      </c>
      <c r="X20" s="55"/>
      <c r="Y20" s="55"/>
      <c r="Z20" s="55"/>
      <c r="AA20" s="55"/>
      <c r="AB20" s="56"/>
      <c r="AC20" s="57"/>
    </row>
    <row r="21" s="49" customFormat="true" ht="15" hidden="false" customHeight="true" outlineLevel="0" collapsed="false">
      <c r="A21" s="13" t="n">
        <v>11</v>
      </c>
      <c r="B21" s="13" t="str">
        <f aca="false">'3.KTHH L3'!B32</f>
        <v>30</v>
      </c>
      <c r="C21" s="51" t="n">
        <f aca="false">'3.KTHH L3'!C32</f>
        <v>592.11</v>
      </c>
      <c r="D21" s="13" t="n">
        <f aca="false">'3.KTHH L3'!T32</f>
        <v>17</v>
      </c>
      <c r="E21" s="52"/>
      <c r="F21" s="52"/>
      <c r="G21" s="52"/>
      <c r="H21" s="52"/>
      <c r="I21" s="52"/>
      <c r="J21" s="52"/>
      <c r="K21" s="53"/>
      <c r="L21" s="16"/>
      <c r="M21" s="17"/>
      <c r="N21" s="54"/>
      <c r="O21" s="53" t="n">
        <f aca="false">Chạy!E87</f>
        <v>8.66</v>
      </c>
      <c r="P21" s="53"/>
      <c r="Q21" s="53"/>
      <c r="R21" s="55"/>
      <c r="S21" s="55"/>
      <c r="T21" s="55"/>
      <c r="U21" s="55"/>
      <c r="V21" s="55"/>
      <c r="W21" s="55" t="n">
        <f aca="false">(O21+O22)*D21/2</f>
        <v>136.68</v>
      </c>
      <c r="X21" s="55"/>
      <c r="Y21" s="55"/>
      <c r="Z21" s="55"/>
      <c r="AA21" s="55"/>
      <c r="AB21" s="56"/>
      <c r="AC21" s="57"/>
    </row>
    <row r="22" s="49" customFormat="true" ht="15" hidden="false" customHeight="true" outlineLevel="0" collapsed="false">
      <c r="A22" s="13" t="n">
        <v>12</v>
      </c>
      <c r="B22" s="13" t="str">
        <f aca="false">'3.KTHH L3'!B33</f>
        <v>31</v>
      </c>
      <c r="C22" s="51" t="n">
        <f aca="false">'3.KTHH L3'!C33</f>
        <v>609.11</v>
      </c>
      <c r="D22" s="13"/>
      <c r="E22" s="52"/>
      <c r="F22" s="52"/>
      <c r="G22" s="52"/>
      <c r="H22" s="52"/>
      <c r="I22" s="52"/>
      <c r="J22" s="52"/>
      <c r="K22" s="53"/>
      <c r="L22" s="16"/>
      <c r="M22" s="17"/>
      <c r="N22" s="54"/>
      <c r="O22" s="53" t="n">
        <f aca="false">Chạy!E95</f>
        <v>7.42</v>
      </c>
      <c r="P22" s="53"/>
      <c r="Q22" s="53"/>
      <c r="R22" s="55"/>
      <c r="S22" s="55"/>
      <c r="T22" s="55"/>
      <c r="U22" s="55"/>
      <c r="V22" s="55"/>
      <c r="W22" s="55"/>
      <c r="X22" s="55"/>
      <c r="Y22" s="55"/>
      <c r="Z22" s="55"/>
      <c r="AA22" s="55"/>
      <c r="AB22" s="56"/>
      <c r="AC22" s="57"/>
    </row>
    <row r="23" s="49" customFormat="true" ht="15" hidden="true" customHeight="true" outlineLevel="0" collapsed="false">
      <c r="A23" s="13"/>
      <c r="B23" s="13"/>
      <c r="C23" s="51"/>
      <c r="D23" s="13"/>
      <c r="E23" s="52"/>
      <c r="F23" s="52"/>
      <c r="G23" s="52"/>
      <c r="H23" s="52"/>
      <c r="I23" s="52"/>
      <c r="J23" s="52"/>
      <c r="K23" s="53"/>
      <c r="L23" s="16"/>
      <c r="M23" s="17"/>
      <c r="N23" s="54"/>
      <c r="O23" s="53"/>
      <c r="P23" s="53"/>
      <c r="Q23" s="53"/>
      <c r="R23" s="55"/>
      <c r="S23" s="55"/>
      <c r="T23" s="55"/>
      <c r="U23" s="55"/>
      <c r="V23" s="55"/>
      <c r="W23" s="55"/>
      <c r="X23" s="55"/>
      <c r="Y23" s="55"/>
      <c r="Z23" s="55"/>
      <c r="AA23" s="55"/>
      <c r="AB23" s="56"/>
      <c r="AC23" s="57"/>
    </row>
    <row r="24" s="49" customFormat="true" ht="15" hidden="true" customHeight="true" outlineLevel="0" collapsed="false">
      <c r="A24" s="13"/>
      <c r="B24" s="13"/>
      <c r="C24" s="51"/>
      <c r="D24" s="13"/>
      <c r="E24" s="52"/>
      <c r="F24" s="52"/>
      <c r="G24" s="52"/>
      <c r="H24" s="52"/>
      <c r="I24" s="52"/>
      <c r="J24" s="52"/>
      <c r="K24" s="53"/>
      <c r="L24" s="16"/>
      <c r="M24" s="17"/>
      <c r="N24" s="54"/>
      <c r="O24" s="53"/>
      <c r="P24" s="53"/>
      <c r="Q24" s="53"/>
      <c r="R24" s="55"/>
      <c r="S24" s="55"/>
      <c r="T24" s="55"/>
      <c r="U24" s="55"/>
      <c r="V24" s="55"/>
      <c r="W24" s="55"/>
      <c r="X24" s="55"/>
      <c r="Y24" s="55"/>
      <c r="Z24" s="55"/>
      <c r="AA24" s="55"/>
      <c r="AB24" s="56"/>
      <c r="AC24" s="57"/>
    </row>
    <row r="25" s="49" customFormat="true" ht="15" hidden="true" customHeight="true" outlineLevel="0" collapsed="false">
      <c r="A25" s="13"/>
      <c r="B25" s="13"/>
      <c r="C25" s="51"/>
      <c r="D25" s="13"/>
      <c r="E25" s="52"/>
      <c r="F25" s="52"/>
      <c r="G25" s="52"/>
      <c r="H25" s="52"/>
      <c r="I25" s="52"/>
      <c r="J25" s="52"/>
      <c r="K25" s="53"/>
      <c r="L25" s="16"/>
      <c r="M25" s="17"/>
      <c r="N25" s="54"/>
      <c r="O25" s="53"/>
      <c r="P25" s="53"/>
      <c r="Q25" s="53"/>
      <c r="R25" s="55"/>
      <c r="S25" s="55"/>
      <c r="T25" s="55"/>
      <c r="U25" s="55"/>
      <c r="V25" s="55"/>
      <c r="W25" s="55"/>
      <c r="X25" s="55"/>
      <c r="Y25" s="55"/>
      <c r="Z25" s="55"/>
      <c r="AA25" s="55"/>
      <c r="AB25" s="56"/>
      <c r="AC25" s="57"/>
    </row>
    <row r="26" s="49" customFormat="true" ht="15" hidden="true" customHeight="true" outlineLevel="0" collapsed="false">
      <c r="A26" s="13"/>
      <c r="B26" s="13"/>
      <c r="C26" s="51"/>
      <c r="D26" s="13"/>
      <c r="E26" s="52"/>
      <c r="F26" s="52"/>
      <c r="G26" s="52"/>
      <c r="H26" s="52"/>
      <c r="I26" s="52"/>
      <c r="J26" s="52"/>
      <c r="K26" s="53"/>
      <c r="L26" s="16"/>
      <c r="M26" s="17"/>
      <c r="N26" s="54"/>
      <c r="O26" s="53"/>
      <c r="P26" s="53"/>
      <c r="Q26" s="53"/>
      <c r="R26" s="55"/>
      <c r="S26" s="55"/>
      <c r="T26" s="55"/>
      <c r="U26" s="55"/>
      <c r="V26" s="55"/>
      <c r="W26" s="55"/>
      <c r="X26" s="55"/>
      <c r="Y26" s="55"/>
      <c r="Z26" s="55"/>
      <c r="AA26" s="55"/>
      <c r="AB26" s="56"/>
      <c r="AC26" s="57"/>
    </row>
    <row r="27" s="49" customFormat="true" ht="15" hidden="true" customHeight="true" outlineLevel="0" collapsed="false">
      <c r="A27" s="13"/>
      <c r="B27" s="13"/>
      <c r="C27" s="51"/>
      <c r="D27" s="13"/>
      <c r="E27" s="52"/>
      <c r="F27" s="52"/>
      <c r="G27" s="52"/>
      <c r="H27" s="52"/>
      <c r="I27" s="52"/>
      <c r="J27" s="52"/>
      <c r="K27" s="53"/>
      <c r="L27" s="16"/>
      <c r="M27" s="17"/>
      <c r="N27" s="54"/>
      <c r="O27" s="53"/>
      <c r="P27" s="53"/>
      <c r="Q27" s="53"/>
      <c r="R27" s="55"/>
      <c r="S27" s="55"/>
      <c r="T27" s="55"/>
      <c r="U27" s="55"/>
      <c r="V27" s="55"/>
      <c r="W27" s="55"/>
      <c r="X27" s="55"/>
      <c r="Y27" s="55"/>
      <c r="Z27" s="55"/>
      <c r="AA27" s="55"/>
      <c r="AB27" s="56"/>
      <c r="AC27" s="57"/>
    </row>
    <row r="28" s="49" customFormat="true" ht="15" hidden="true" customHeight="true" outlineLevel="0" collapsed="false">
      <c r="A28" s="13"/>
      <c r="B28" s="13"/>
      <c r="C28" s="51"/>
      <c r="D28" s="13"/>
      <c r="E28" s="52"/>
      <c r="F28" s="52"/>
      <c r="G28" s="52"/>
      <c r="H28" s="52"/>
      <c r="I28" s="52"/>
      <c r="J28" s="52"/>
      <c r="K28" s="53"/>
      <c r="L28" s="16"/>
      <c r="M28" s="17"/>
      <c r="N28" s="54"/>
      <c r="O28" s="53"/>
      <c r="P28" s="53"/>
      <c r="Q28" s="53"/>
      <c r="R28" s="55"/>
      <c r="S28" s="55"/>
      <c r="T28" s="55"/>
      <c r="U28" s="55"/>
      <c r="V28" s="55"/>
      <c r="W28" s="55"/>
      <c r="X28" s="55"/>
      <c r="Y28" s="55"/>
      <c r="Z28" s="55"/>
      <c r="AA28" s="55"/>
      <c r="AB28" s="56"/>
      <c r="AC28" s="57"/>
    </row>
    <row r="29" s="49" customFormat="true" ht="15" hidden="true" customHeight="true" outlineLevel="0" collapsed="false">
      <c r="A29" s="13"/>
      <c r="B29" s="13"/>
      <c r="C29" s="51"/>
      <c r="D29" s="13"/>
      <c r="E29" s="52"/>
      <c r="F29" s="52"/>
      <c r="G29" s="52"/>
      <c r="H29" s="52"/>
      <c r="I29" s="52"/>
      <c r="J29" s="52"/>
      <c r="K29" s="53"/>
      <c r="L29" s="16"/>
      <c r="M29" s="17"/>
      <c r="N29" s="54"/>
      <c r="O29" s="53"/>
      <c r="P29" s="53"/>
      <c r="Q29" s="53"/>
      <c r="R29" s="55"/>
      <c r="S29" s="55"/>
      <c r="T29" s="55"/>
      <c r="U29" s="55"/>
      <c r="V29" s="55"/>
      <c r="W29" s="55"/>
      <c r="X29" s="55"/>
      <c r="Y29" s="55"/>
      <c r="Z29" s="55"/>
      <c r="AA29" s="55"/>
      <c r="AB29" s="56"/>
      <c r="AC29" s="57"/>
    </row>
    <row r="30" s="49" customFormat="true" ht="15" hidden="true" customHeight="true" outlineLevel="0" collapsed="false">
      <c r="A30" s="13"/>
      <c r="B30" s="13"/>
      <c r="C30" s="51"/>
      <c r="D30" s="13"/>
      <c r="E30" s="52"/>
      <c r="F30" s="52"/>
      <c r="G30" s="52"/>
      <c r="H30" s="52"/>
      <c r="I30" s="52"/>
      <c r="J30" s="52"/>
      <c r="K30" s="53"/>
      <c r="L30" s="16"/>
      <c r="M30" s="17"/>
      <c r="N30" s="54"/>
      <c r="O30" s="53"/>
      <c r="P30" s="53"/>
      <c r="Q30" s="53"/>
      <c r="R30" s="55"/>
      <c r="S30" s="55"/>
      <c r="T30" s="55"/>
      <c r="U30" s="55"/>
      <c r="V30" s="55"/>
      <c r="W30" s="55"/>
      <c r="X30" s="55"/>
      <c r="Y30" s="55"/>
      <c r="Z30" s="55"/>
      <c r="AA30" s="55"/>
      <c r="AB30" s="56"/>
      <c r="AC30" s="57"/>
    </row>
    <row r="31" s="49" customFormat="true" ht="15" hidden="true" customHeight="true" outlineLevel="0" collapsed="false">
      <c r="A31" s="13"/>
      <c r="B31" s="13"/>
      <c r="C31" s="51"/>
      <c r="D31" s="13"/>
      <c r="E31" s="52"/>
      <c r="F31" s="52"/>
      <c r="G31" s="52"/>
      <c r="H31" s="52"/>
      <c r="I31" s="52"/>
      <c r="J31" s="52"/>
      <c r="K31" s="53"/>
      <c r="L31" s="16"/>
      <c r="M31" s="17"/>
      <c r="N31" s="54"/>
      <c r="O31" s="53"/>
      <c r="P31" s="53"/>
      <c r="Q31" s="53"/>
      <c r="R31" s="55"/>
      <c r="S31" s="55"/>
      <c r="T31" s="55"/>
      <c r="U31" s="55"/>
      <c r="V31" s="55"/>
      <c r="W31" s="55"/>
      <c r="X31" s="55"/>
      <c r="Y31" s="55"/>
      <c r="Z31" s="55"/>
      <c r="AA31" s="55"/>
      <c r="AB31" s="56"/>
      <c r="AC31" s="57"/>
    </row>
    <row r="32" s="49" customFormat="true" ht="15" hidden="true" customHeight="true" outlineLevel="0" collapsed="false">
      <c r="A32" s="13"/>
      <c r="B32" s="13"/>
      <c r="C32" s="51"/>
      <c r="D32" s="13"/>
      <c r="E32" s="52"/>
      <c r="F32" s="52"/>
      <c r="G32" s="52"/>
      <c r="H32" s="52"/>
      <c r="I32" s="52"/>
      <c r="J32" s="52"/>
      <c r="K32" s="53"/>
      <c r="L32" s="16"/>
      <c r="M32" s="17"/>
      <c r="N32" s="54"/>
      <c r="O32" s="53"/>
      <c r="P32" s="53"/>
      <c r="Q32" s="53"/>
      <c r="R32" s="55"/>
      <c r="S32" s="55"/>
      <c r="T32" s="55"/>
      <c r="U32" s="55"/>
      <c r="V32" s="55"/>
      <c r="W32" s="55"/>
      <c r="X32" s="55"/>
      <c r="Y32" s="55"/>
      <c r="Z32" s="55"/>
      <c r="AA32" s="55"/>
      <c r="AB32" s="56"/>
      <c r="AC32" s="57"/>
    </row>
    <row r="33" s="49" customFormat="true" ht="15" hidden="true" customHeight="true" outlineLevel="0" collapsed="false">
      <c r="A33" s="13"/>
      <c r="B33" s="13"/>
      <c r="C33" s="51"/>
      <c r="D33" s="13"/>
      <c r="E33" s="52"/>
      <c r="F33" s="52"/>
      <c r="G33" s="52"/>
      <c r="H33" s="52"/>
      <c r="I33" s="52"/>
      <c r="J33" s="52"/>
      <c r="K33" s="53"/>
      <c r="L33" s="16"/>
      <c r="M33" s="17"/>
      <c r="N33" s="54"/>
      <c r="O33" s="53"/>
      <c r="P33" s="53"/>
      <c r="Q33" s="53"/>
      <c r="R33" s="55"/>
      <c r="S33" s="55"/>
      <c r="T33" s="55"/>
      <c r="U33" s="55"/>
      <c r="V33" s="55"/>
      <c r="W33" s="55"/>
      <c r="X33" s="55"/>
      <c r="Y33" s="55"/>
      <c r="Z33" s="55"/>
      <c r="AA33" s="55"/>
      <c r="AB33" s="56"/>
      <c r="AC33" s="57"/>
    </row>
    <row r="34" s="49" customFormat="true" ht="15" hidden="true" customHeight="true" outlineLevel="0" collapsed="false">
      <c r="A34" s="13"/>
      <c r="B34" s="13"/>
      <c r="C34" s="51"/>
      <c r="D34" s="13"/>
      <c r="E34" s="52"/>
      <c r="F34" s="52"/>
      <c r="G34" s="52"/>
      <c r="H34" s="52"/>
      <c r="I34" s="52"/>
      <c r="J34" s="52"/>
      <c r="K34" s="53"/>
      <c r="L34" s="16"/>
      <c r="M34" s="17"/>
      <c r="N34" s="54"/>
      <c r="O34" s="53"/>
      <c r="P34" s="53"/>
      <c r="Q34" s="53"/>
      <c r="R34" s="55"/>
      <c r="S34" s="55"/>
      <c r="T34" s="55"/>
      <c r="U34" s="55"/>
      <c r="V34" s="55"/>
      <c r="W34" s="55"/>
      <c r="X34" s="55"/>
      <c r="Y34" s="55"/>
      <c r="Z34" s="55"/>
      <c r="AA34" s="55"/>
      <c r="AB34" s="56"/>
      <c r="AC34" s="57"/>
    </row>
    <row r="35" s="49" customFormat="true" ht="15" hidden="true" customHeight="true" outlineLevel="0" collapsed="false">
      <c r="A35" s="13"/>
      <c r="B35" s="13"/>
      <c r="C35" s="51"/>
      <c r="D35" s="13"/>
      <c r="E35" s="52"/>
      <c r="F35" s="52"/>
      <c r="G35" s="52"/>
      <c r="H35" s="52"/>
      <c r="I35" s="52"/>
      <c r="J35" s="52"/>
      <c r="K35" s="53"/>
      <c r="L35" s="16"/>
      <c r="M35" s="17"/>
      <c r="N35" s="54"/>
      <c r="O35" s="53"/>
      <c r="P35" s="53"/>
      <c r="Q35" s="53"/>
      <c r="R35" s="55"/>
      <c r="S35" s="55"/>
      <c r="T35" s="55"/>
      <c r="U35" s="55"/>
      <c r="V35" s="55"/>
      <c r="W35" s="55"/>
      <c r="X35" s="55"/>
      <c r="Y35" s="55"/>
      <c r="Z35" s="55"/>
      <c r="AA35" s="55"/>
      <c r="AB35" s="56"/>
      <c r="AC35" s="57"/>
    </row>
    <row r="36" s="49" customFormat="true" ht="15" hidden="true" customHeight="true" outlineLevel="0" collapsed="false">
      <c r="A36" s="13"/>
      <c r="B36" s="13"/>
      <c r="C36" s="51"/>
      <c r="D36" s="13"/>
      <c r="E36" s="52"/>
      <c r="F36" s="52"/>
      <c r="G36" s="52"/>
      <c r="H36" s="52"/>
      <c r="I36" s="52"/>
      <c r="J36" s="52"/>
      <c r="K36" s="53"/>
      <c r="L36" s="16"/>
      <c r="M36" s="17"/>
      <c r="N36" s="54"/>
      <c r="O36" s="53"/>
      <c r="P36" s="53"/>
      <c r="Q36" s="53"/>
      <c r="R36" s="55"/>
      <c r="S36" s="55"/>
      <c r="T36" s="55"/>
      <c r="U36" s="55"/>
      <c r="V36" s="55"/>
      <c r="W36" s="55"/>
      <c r="X36" s="55"/>
      <c r="Y36" s="55"/>
      <c r="Z36" s="55"/>
      <c r="AA36" s="55"/>
      <c r="AB36" s="56"/>
      <c r="AC36" s="57"/>
    </row>
    <row r="37" s="49" customFormat="true" ht="15" hidden="true" customHeight="true" outlineLevel="0" collapsed="false">
      <c r="A37" s="13"/>
      <c r="B37" s="13"/>
      <c r="C37" s="51"/>
      <c r="D37" s="13"/>
      <c r="E37" s="52"/>
      <c r="F37" s="52"/>
      <c r="G37" s="52"/>
      <c r="H37" s="52"/>
      <c r="I37" s="52"/>
      <c r="J37" s="52"/>
      <c r="K37" s="53"/>
      <c r="L37" s="16"/>
      <c r="M37" s="17"/>
      <c r="N37" s="54"/>
      <c r="O37" s="53"/>
      <c r="P37" s="53"/>
      <c r="Q37" s="53"/>
      <c r="R37" s="55"/>
      <c r="S37" s="55"/>
      <c r="T37" s="55"/>
      <c r="U37" s="55"/>
      <c r="V37" s="55"/>
      <c r="W37" s="55"/>
      <c r="X37" s="55"/>
      <c r="Y37" s="55"/>
      <c r="Z37" s="55"/>
      <c r="AA37" s="55"/>
      <c r="AB37" s="56"/>
      <c r="AC37" s="57"/>
    </row>
    <row r="38" s="49" customFormat="true" ht="15" hidden="true" customHeight="true" outlineLevel="0" collapsed="false">
      <c r="A38" s="13"/>
      <c r="B38" s="13"/>
      <c r="C38" s="51"/>
      <c r="D38" s="13"/>
      <c r="E38" s="52"/>
      <c r="F38" s="52"/>
      <c r="G38" s="52"/>
      <c r="H38" s="52"/>
      <c r="I38" s="52"/>
      <c r="J38" s="52"/>
      <c r="K38" s="53"/>
      <c r="L38" s="16"/>
      <c r="M38" s="17"/>
      <c r="N38" s="54"/>
      <c r="O38" s="53"/>
      <c r="P38" s="53"/>
      <c r="Q38" s="53"/>
      <c r="R38" s="55"/>
      <c r="S38" s="55"/>
      <c r="T38" s="55"/>
      <c r="U38" s="55"/>
      <c r="V38" s="55"/>
      <c r="W38" s="55"/>
      <c r="X38" s="55"/>
      <c r="Y38" s="55"/>
      <c r="Z38" s="55"/>
      <c r="AA38" s="55"/>
      <c r="AB38" s="56"/>
      <c r="AC38" s="57"/>
    </row>
    <row r="39" s="49" customFormat="true" ht="15" hidden="true" customHeight="true" outlineLevel="0" collapsed="false">
      <c r="A39" s="13"/>
      <c r="B39" s="13"/>
      <c r="C39" s="51"/>
      <c r="D39" s="13"/>
      <c r="E39" s="52"/>
      <c r="F39" s="52"/>
      <c r="G39" s="52"/>
      <c r="H39" s="52"/>
      <c r="I39" s="52"/>
      <c r="J39" s="52"/>
      <c r="K39" s="53"/>
      <c r="L39" s="16"/>
      <c r="M39" s="17"/>
      <c r="N39" s="54"/>
      <c r="O39" s="53"/>
      <c r="P39" s="53"/>
      <c r="Q39" s="53"/>
      <c r="R39" s="55"/>
      <c r="S39" s="55"/>
      <c r="T39" s="55"/>
      <c r="U39" s="55"/>
      <c r="V39" s="55"/>
      <c r="W39" s="55"/>
      <c r="X39" s="55"/>
      <c r="Y39" s="55"/>
      <c r="Z39" s="55"/>
      <c r="AA39" s="55"/>
      <c r="AB39" s="56"/>
      <c r="AC39" s="57"/>
    </row>
    <row r="40" s="49" customFormat="true" ht="15" hidden="true" customHeight="true" outlineLevel="0" collapsed="false">
      <c r="A40" s="13"/>
      <c r="B40" s="13"/>
      <c r="C40" s="51"/>
      <c r="D40" s="13"/>
      <c r="E40" s="52"/>
      <c r="F40" s="52"/>
      <c r="G40" s="52"/>
      <c r="H40" s="52"/>
      <c r="I40" s="52"/>
      <c r="J40" s="52"/>
      <c r="K40" s="53"/>
      <c r="L40" s="16"/>
      <c r="M40" s="17"/>
      <c r="N40" s="54"/>
      <c r="O40" s="53"/>
      <c r="P40" s="53"/>
      <c r="Q40" s="53"/>
      <c r="R40" s="55"/>
      <c r="S40" s="55"/>
      <c r="T40" s="55"/>
      <c r="U40" s="55"/>
      <c r="V40" s="55"/>
      <c r="W40" s="55"/>
      <c r="X40" s="55"/>
      <c r="Y40" s="55"/>
      <c r="Z40" s="55"/>
      <c r="AA40" s="55"/>
      <c r="AB40" s="56"/>
      <c r="AC40" s="57"/>
    </row>
    <row r="41" s="49" customFormat="true" ht="15" hidden="true" customHeight="true" outlineLevel="0" collapsed="false">
      <c r="A41" s="13"/>
      <c r="B41" s="13"/>
      <c r="C41" s="51"/>
      <c r="D41" s="13"/>
      <c r="E41" s="52"/>
      <c r="F41" s="52"/>
      <c r="G41" s="52"/>
      <c r="H41" s="52"/>
      <c r="I41" s="52"/>
      <c r="J41" s="52"/>
      <c r="K41" s="53"/>
      <c r="L41" s="16"/>
      <c r="M41" s="17"/>
      <c r="N41" s="54"/>
      <c r="O41" s="53"/>
      <c r="P41" s="53"/>
      <c r="Q41" s="53"/>
      <c r="R41" s="55"/>
      <c r="S41" s="55"/>
      <c r="T41" s="55"/>
      <c r="U41" s="55"/>
      <c r="V41" s="55"/>
      <c r="W41" s="55"/>
      <c r="X41" s="55"/>
      <c r="Y41" s="55"/>
      <c r="Z41" s="55"/>
      <c r="AA41" s="55"/>
      <c r="AB41" s="56"/>
      <c r="AC41" s="57"/>
    </row>
    <row r="42" s="49" customFormat="true" ht="15" hidden="true" customHeight="true" outlineLevel="0" collapsed="false">
      <c r="A42" s="13"/>
      <c r="B42" s="13"/>
      <c r="C42" s="51"/>
      <c r="D42" s="13"/>
      <c r="E42" s="52"/>
      <c r="F42" s="52"/>
      <c r="G42" s="52"/>
      <c r="H42" s="52"/>
      <c r="I42" s="52"/>
      <c r="J42" s="52"/>
      <c r="K42" s="53"/>
      <c r="L42" s="16"/>
      <c r="M42" s="17"/>
      <c r="N42" s="54"/>
      <c r="O42" s="53"/>
      <c r="P42" s="53"/>
      <c r="Q42" s="53"/>
      <c r="R42" s="55"/>
      <c r="S42" s="55"/>
      <c r="T42" s="55"/>
      <c r="U42" s="55"/>
      <c r="V42" s="55"/>
      <c r="W42" s="55"/>
      <c r="X42" s="55"/>
      <c r="Y42" s="55"/>
      <c r="Z42" s="55"/>
      <c r="AA42" s="55"/>
      <c r="AB42" s="56"/>
      <c r="AC42" s="57"/>
    </row>
    <row r="43" s="49" customFormat="true" ht="15" hidden="true" customHeight="true" outlineLevel="0" collapsed="false">
      <c r="A43" s="13"/>
      <c r="B43" s="13"/>
      <c r="C43" s="51"/>
      <c r="D43" s="13"/>
      <c r="E43" s="52"/>
      <c r="F43" s="52"/>
      <c r="G43" s="52"/>
      <c r="H43" s="52"/>
      <c r="I43" s="52"/>
      <c r="J43" s="52"/>
      <c r="K43" s="53"/>
      <c r="L43" s="16"/>
      <c r="M43" s="17"/>
      <c r="N43" s="54"/>
      <c r="O43" s="53"/>
      <c r="P43" s="53"/>
      <c r="Q43" s="53"/>
      <c r="R43" s="55"/>
      <c r="S43" s="55"/>
      <c r="T43" s="55"/>
      <c r="U43" s="55"/>
      <c r="V43" s="55"/>
      <c r="W43" s="55"/>
      <c r="X43" s="55"/>
      <c r="Y43" s="55"/>
      <c r="Z43" s="55"/>
      <c r="AA43" s="55"/>
      <c r="AB43" s="56"/>
      <c r="AC43" s="57"/>
    </row>
    <row r="44" s="49" customFormat="true" ht="15" hidden="true" customHeight="true" outlineLevel="0" collapsed="false">
      <c r="A44" s="13"/>
      <c r="B44" s="13"/>
      <c r="C44" s="51"/>
      <c r="D44" s="13"/>
      <c r="E44" s="52"/>
      <c r="F44" s="52"/>
      <c r="G44" s="52"/>
      <c r="H44" s="52"/>
      <c r="I44" s="52"/>
      <c r="J44" s="52"/>
      <c r="K44" s="53"/>
      <c r="L44" s="16"/>
      <c r="M44" s="17"/>
      <c r="N44" s="54"/>
      <c r="O44" s="53"/>
      <c r="P44" s="53"/>
      <c r="Q44" s="53"/>
      <c r="R44" s="55"/>
      <c r="S44" s="55"/>
      <c r="T44" s="55"/>
      <c r="U44" s="55"/>
      <c r="V44" s="55"/>
      <c r="W44" s="55"/>
      <c r="X44" s="55"/>
      <c r="Y44" s="55"/>
      <c r="Z44" s="55"/>
      <c r="AA44" s="55"/>
      <c r="AB44" s="56"/>
      <c r="AC44" s="57"/>
    </row>
    <row r="45" s="49" customFormat="true" ht="15" hidden="true" customHeight="true" outlineLevel="0" collapsed="false">
      <c r="A45" s="13"/>
      <c r="B45" s="13"/>
      <c r="C45" s="51"/>
      <c r="D45" s="13"/>
      <c r="E45" s="52"/>
      <c r="F45" s="52"/>
      <c r="G45" s="52"/>
      <c r="H45" s="52"/>
      <c r="I45" s="52"/>
      <c r="J45" s="52"/>
      <c r="K45" s="53"/>
      <c r="L45" s="16"/>
      <c r="M45" s="17"/>
      <c r="N45" s="54"/>
      <c r="O45" s="53"/>
      <c r="P45" s="53"/>
      <c r="Q45" s="53"/>
      <c r="R45" s="55"/>
      <c r="S45" s="55"/>
      <c r="T45" s="55"/>
      <c r="U45" s="55"/>
      <c r="V45" s="55"/>
      <c r="W45" s="55"/>
      <c r="X45" s="55"/>
      <c r="Y45" s="55"/>
      <c r="Z45" s="55"/>
      <c r="AA45" s="55"/>
      <c r="AB45" s="56"/>
      <c r="AC45" s="57"/>
    </row>
    <row r="46" s="49" customFormat="true" ht="15" hidden="true" customHeight="true" outlineLevel="0" collapsed="false">
      <c r="A46" s="13"/>
      <c r="B46" s="13"/>
      <c r="C46" s="51"/>
      <c r="D46" s="13"/>
      <c r="E46" s="52"/>
      <c r="F46" s="52"/>
      <c r="G46" s="52"/>
      <c r="H46" s="52"/>
      <c r="I46" s="52"/>
      <c r="J46" s="52"/>
      <c r="K46" s="53"/>
      <c r="L46" s="16"/>
      <c r="M46" s="17"/>
      <c r="N46" s="54"/>
      <c r="O46" s="53"/>
      <c r="P46" s="53"/>
      <c r="Q46" s="53"/>
      <c r="R46" s="55"/>
      <c r="S46" s="55"/>
      <c r="T46" s="55"/>
      <c r="U46" s="55"/>
      <c r="V46" s="55"/>
      <c r="W46" s="55"/>
      <c r="X46" s="55"/>
      <c r="Y46" s="55"/>
      <c r="Z46" s="55"/>
      <c r="AA46" s="55"/>
      <c r="AB46" s="56"/>
      <c r="AC46" s="57"/>
    </row>
    <row r="47" s="49" customFormat="true" ht="15" hidden="true" customHeight="true" outlineLevel="0" collapsed="false">
      <c r="A47" s="13"/>
      <c r="B47" s="13"/>
      <c r="C47" s="51"/>
      <c r="D47" s="13"/>
      <c r="E47" s="52"/>
      <c r="F47" s="52"/>
      <c r="G47" s="52"/>
      <c r="H47" s="52"/>
      <c r="I47" s="52"/>
      <c r="J47" s="52"/>
      <c r="K47" s="53"/>
      <c r="L47" s="16"/>
      <c r="M47" s="17"/>
      <c r="N47" s="54"/>
      <c r="O47" s="53"/>
      <c r="P47" s="53"/>
      <c r="Q47" s="53"/>
      <c r="R47" s="55"/>
      <c r="S47" s="55"/>
      <c r="T47" s="55"/>
      <c r="U47" s="55"/>
      <c r="V47" s="55"/>
      <c r="W47" s="55"/>
      <c r="X47" s="55"/>
      <c r="Y47" s="55"/>
      <c r="Z47" s="55"/>
      <c r="AA47" s="55"/>
      <c r="AB47" s="56"/>
      <c r="AC47" s="57"/>
    </row>
    <row r="48" s="49" customFormat="true" ht="15" hidden="true" customHeight="true" outlineLevel="0" collapsed="false">
      <c r="A48" s="13"/>
      <c r="B48" s="13"/>
      <c r="C48" s="51"/>
      <c r="D48" s="13"/>
      <c r="E48" s="52"/>
      <c r="F48" s="52"/>
      <c r="G48" s="52"/>
      <c r="H48" s="52"/>
      <c r="I48" s="52"/>
      <c r="J48" s="52"/>
      <c r="K48" s="53"/>
      <c r="L48" s="16"/>
      <c r="M48" s="17"/>
      <c r="N48" s="54"/>
      <c r="O48" s="53"/>
      <c r="P48" s="53"/>
      <c r="Q48" s="53"/>
      <c r="R48" s="55"/>
      <c r="S48" s="55"/>
      <c r="T48" s="55"/>
      <c r="U48" s="55"/>
      <c r="V48" s="55"/>
      <c r="W48" s="55"/>
      <c r="X48" s="55"/>
      <c r="Y48" s="55"/>
      <c r="Z48" s="55"/>
      <c r="AA48" s="55"/>
      <c r="AB48" s="56"/>
      <c r="AC48" s="57"/>
    </row>
    <row r="49" s="49" customFormat="true" ht="15" hidden="true" customHeight="true" outlineLevel="0" collapsed="false">
      <c r="A49" s="13"/>
      <c r="B49" s="13"/>
      <c r="C49" s="51"/>
      <c r="D49" s="13"/>
      <c r="E49" s="52"/>
      <c r="F49" s="52"/>
      <c r="G49" s="52"/>
      <c r="H49" s="52"/>
      <c r="I49" s="52"/>
      <c r="J49" s="52"/>
      <c r="K49" s="53"/>
      <c r="L49" s="16"/>
      <c r="M49" s="17"/>
      <c r="N49" s="54"/>
      <c r="O49" s="53"/>
      <c r="P49" s="53"/>
      <c r="Q49" s="53"/>
      <c r="R49" s="55"/>
      <c r="S49" s="55"/>
      <c r="T49" s="55"/>
      <c r="U49" s="55"/>
      <c r="V49" s="55"/>
      <c r="W49" s="55"/>
      <c r="X49" s="55"/>
      <c r="Y49" s="55"/>
      <c r="Z49" s="55"/>
      <c r="AA49" s="55"/>
      <c r="AB49" s="56"/>
      <c r="AC49" s="57"/>
    </row>
    <row r="50" s="49" customFormat="true" ht="15" hidden="true" customHeight="true" outlineLevel="0" collapsed="false">
      <c r="A50" s="13"/>
      <c r="B50" s="13"/>
      <c r="C50" s="51"/>
      <c r="D50" s="13"/>
      <c r="E50" s="52"/>
      <c r="F50" s="52"/>
      <c r="G50" s="52"/>
      <c r="H50" s="52"/>
      <c r="I50" s="52"/>
      <c r="J50" s="52"/>
      <c r="K50" s="53"/>
      <c r="L50" s="16"/>
      <c r="M50" s="17"/>
      <c r="N50" s="54"/>
      <c r="O50" s="53"/>
      <c r="P50" s="53"/>
      <c r="Q50" s="53"/>
      <c r="R50" s="55"/>
      <c r="S50" s="55"/>
      <c r="T50" s="55"/>
      <c r="U50" s="55"/>
      <c r="V50" s="55"/>
      <c r="W50" s="55"/>
      <c r="X50" s="55"/>
      <c r="Y50" s="55"/>
      <c r="Z50" s="55"/>
      <c r="AA50" s="55"/>
      <c r="AB50" s="56"/>
      <c r="AC50" s="57"/>
    </row>
    <row r="51" s="32" customFormat="true" ht="16.5" hidden="false" customHeight="true" outlineLevel="0" collapsed="false">
      <c r="A51" s="37" t="s">
        <v>61</v>
      </c>
      <c r="B51" s="37"/>
      <c r="C51" s="37"/>
      <c r="D51" s="37"/>
      <c r="E51" s="97"/>
      <c r="F51" s="97"/>
      <c r="G51" s="97"/>
      <c r="H51" s="97"/>
      <c r="I51" s="97"/>
      <c r="J51" s="97"/>
      <c r="K51" s="97"/>
      <c r="L51" s="97"/>
      <c r="M51" s="97"/>
      <c r="N51" s="97"/>
      <c r="O51" s="97"/>
      <c r="P51" s="97"/>
      <c r="Q51" s="97"/>
      <c r="R51" s="98" t="n">
        <f aca="false">SUM(R11:R50)</f>
        <v>0</v>
      </c>
      <c r="S51" s="98" t="n">
        <f aca="false">SUM(S11:S50)</f>
        <v>0</v>
      </c>
      <c r="T51" s="98"/>
      <c r="U51" s="99" t="n">
        <f aca="false">SUM(U11:U50)</f>
        <v>0</v>
      </c>
      <c r="V51" s="99" t="n">
        <f aca="false">SUM(V11:V50)</f>
        <v>0</v>
      </c>
      <c r="W51" s="100" t="n">
        <f aca="false">SUM(W11:W22)</f>
        <v>987.18145</v>
      </c>
      <c r="X51" s="99" t="n">
        <f aca="false">SUM(X11:X50)</f>
        <v>0</v>
      </c>
      <c r="Y51" s="99" t="n">
        <f aca="false">SUM(Y11:Y50)</f>
        <v>0</v>
      </c>
      <c r="Z51" s="99" t="n">
        <f aca="false">SUM(Z11:Z50)</f>
        <v>0</v>
      </c>
      <c r="AA51" s="99" t="n">
        <f aca="false">SUM(AA11:AA50)</f>
        <v>0</v>
      </c>
      <c r="AB51" s="99"/>
      <c r="AE51" s="93"/>
    </row>
    <row r="52" s="72" customFormat="true" ht="15" hidden="false" customHeight="true" outlineLevel="0" collapsed="false">
      <c r="A52" s="68"/>
      <c r="B52" s="68"/>
      <c r="C52" s="68"/>
      <c r="D52" s="68"/>
      <c r="E52" s="69"/>
      <c r="F52" s="69"/>
      <c r="G52" s="69"/>
      <c r="H52" s="69"/>
      <c r="I52" s="69"/>
      <c r="J52" s="69"/>
      <c r="K52" s="69"/>
      <c r="L52" s="69"/>
      <c r="M52" s="69"/>
      <c r="N52" s="69"/>
      <c r="O52" s="69"/>
      <c r="P52" s="69"/>
      <c r="Q52" s="69"/>
      <c r="R52" s="70"/>
      <c r="S52" s="70"/>
      <c r="T52" s="70"/>
      <c r="U52" s="71"/>
      <c r="V52" s="71"/>
      <c r="W52" s="71"/>
      <c r="X52" s="71"/>
      <c r="Y52" s="71"/>
      <c r="Z52" s="71"/>
      <c r="AA52" s="71"/>
      <c r="AB52" s="71"/>
    </row>
    <row r="53" s="72" customFormat="true" ht="15" hidden="false" customHeight="true" outlineLevel="0" collapsed="false">
      <c r="A53" s="19" t="s">
        <v>50</v>
      </c>
      <c r="B53" s="19"/>
      <c r="C53" s="19"/>
      <c r="D53" s="77" t="s">
        <v>62</v>
      </c>
      <c r="E53" s="19" t="s">
        <v>51</v>
      </c>
      <c r="F53" s="19"/>
      <c r="G53" s="19"/>
      <c r="H53" s="19"/>
      <c r="I53" s="19"/>
      <c r="J53" s="19"/>
      <c r="K53" s="19"/>
      <c r="L53" s="19"/>
      <c r="M53" s="19"/>
      <c r="N53" s="19"/>
      <c r="O53" s="19"/>
      <c r="P53" s="19"/>
      <c r="Q53" s="19"/>
      <c r="R53" s="19"/>
      <c r="S53" s="19"/>
      <c r="T53" s="19"/>
      <c r="U53" s="19"/>
      <c r="V53" s="19"/>
      <c r="W53" s="19"/>
      <c r="X53" s="19"/>
      <c r="Y53" s="19"/>
      <c r="Z53" s="19"/>
      <c r="AA53" s="19"/>
      <c r="AB53" s="19"/>
    </row>
    <row r="54" s="72" customFormat="true" ht="15" hidden="false" customHeight="true" outlineLevel="0" collapsed="false">
      <c r="A54" s="78"/>
      <c r="B54" s="78"/>
      <c r="C54" s="78"/>
      <c r="D54" s="79"/>
      <c r="E54" s="79"/>
      <c r="F54" s="79"/>
      <c r="G54" s="79"/>
      <c r="H54" s="79"/>
      <c r="I54" s="79"/>
      <c r="J54" s="79"/>
      <c r="K54" s="79"/>
      <c r="L54" s="79"/>
      <c r="M54" s="79"/>
      <c r="N54" s="79"/>
      <c r="O54" s="79"/>
      <c r="P54" s="79"/>
      <c r="Q54" s="79"/>
      <c r="R54" s="79"/>
      <c r="S54" s="79"/>
      <c r="T54" s="79"/>
      <c r="U54" s="79"/>
      <c r="V54" s="79"/>
      <c r="W54" s="79"/>
      <c r="X54" s="69"/>
      <c r="Y54" s="69"/>
      <c r="Z54" s="69"/>
      <c r="AA54" s="69"/>
      <c r="AB54" s="69"/>
    </row>
    <row r="55" s="72" customFormat="true" ht="15.75" hidden="false" customHeight="true" outlineLevel="0" collapsed="false">
      <c r="A55" s="78"/>
      <c r="B55" s="78"/>
      <c r="C55" s="81"/>
      <c r="D55" s="81"/>
      <c r="E55" s="79"/>
      <c r="F55" s="79"/>
      <c r="G55" s="79"/>
      <c r="H55" s="79"/>
      <c r="I55" s="79"/>
      <c r="J55" s="79"/>
      <c r="K55" s="79"/>
      <c r="L55" s="79"/>
      <c r="M55" s="79"/>
      <c r="N55" s="79"/>
      <c r="O55" s="79"/>
      <c r="P55" s="79"/>
      <c r="Q55" s="79"/>
      <c r="R55" s="79"/>
      <c r="S55" s="79"/>
      <c r="T55" s="79"/>
      <c r="U55" s="79"/>
      <c r="V55" s="79"/>
      <c r="W55" s="79"/>
      <c r="X55" s="69"/>
      <c r="Y55" s="69"/>
      <c r="Z55" s="69"/>
      <c r="AA55" s="69"/>
      <c r="AB55" s="69"/>
      <c r="AF55" s="75"/>
    </row>
    <row r="56" s="72" customFormat="true" ht="15" hidden="false" customHeight="true" outlineLevel="0" collapsed="false">
      <c r="A56" s="78"/>
      <c r="B56" s="78"/>
      <c r="C56" s="78"/>
      <c r="D56" s="79"/>
      <c r="E56" s="79"/>
      <c r="F56" s="79"/>
      <c r="G56" s="79"/>
      <c r="H56" s="79"/>
      <c r="I56" s="79"/>
      <c r="J56" s="79"/>
      <c r="K56" s="79"/>
      <c r="L56" s="79"/>
      <c r="M56" s="79"/>
      <c r="N56" s="79"/>
      <c r="O56" s="79"/>
      <c r="P56" s="79"/>
      <c r="Q56" s="79"/>
      <c r="R56" s="79"/>
      <c r="S56" s="79"/>
      <c r="T56" s="79"/>
      <c r="U56" s="79"/>
      <c r="V56" s="79"/>
      <c r="W56" s="79"/>
      <c r="X56" s="69"/>
      <c r="Y56" s="69"/>
      <c r="Z56" s="69"/>
      <c r="AA56" s="69"/>
      <c r="AB56" s="69"/>
    </row>
    <row r="57" s="72" customFormat="true" ht="15" hidden="false" customHeight="true" outlineLevel="0" collapsed="false">
      <c r="A57" s="78"/>
      <c r="B57" s="78"/>
      <c r="C57" s="78"/>
      <c r="D57" s="79"/>
      <c r="E57" s="79"/>
      <c r="F57" s="79"/>
      <c r="G57" s="79"/>
      <c r="H57" s="79"/>
      <c r="I57" s="79"/>
      <c r="J57" s="79"/>
      <c r="K57" s="79"/>
      <c r="L57" s="79"/>
      <c r="M57" s="79"/>
      <c r="N57" s="79"/>
      <c r="O57" s="79"/>
      <c r="P57" s="79"/>
      <c r="Q57" s="79"/>
      <c r="R57" s="79"/>
      <c r="S57" s="79"/>
      <c r="T57" s="79"/>
      <c r="U57" s="79"/>
      <c r="V57" s="79"/>
      <c r="W57" s="79"/>
      <c r="X57" s="69"/>
      <c r="Y57" s="69"/>
      <c r="Z57" s="69"/>
      <c r="AA57" s="69"/>
      <c r="AB57" s="69"/>
    </row>
    <row r="58" s="72" customFormat="true" ht="15" hidden="false" customHeight="true" outlineLevel="0" collapsed="false">
      <c r="A58" s="78"/>
      <c r="B58" s="78"/>
      <c r="C58" s="78"/>
      <c r="D58" s="79"/>
      <c r="E58" s="79"/>
      <c r="F58" s="79"/>
      <c r="G58" s="79"/>
      <c r="H58" s="79"/>
      <c r="I58" s="79"/>
      <c r="J58" s="79"/>
      <c r="K58" s="79"/>
      <c r="L58" s="79"/>
      <c r="M58" s="79"/>
      <c r="N58" s="79"/>
      <c r="O58" s="79"/>
      <c r="P58" s="79"/>
      <c r="Q58" s="79"/>
      <c r="R58" s="79"/>
      <c r="S58" s="79"/>
      <c r="T58" s="79"/>
      <c r="U58" s="79"/>
      <c r="V58" s="79"/>
      <c r="W58" s="79"/>
      <c r="X58" s="69"/>
      <c r="Y58" s="69"/>
      <c r="Z58" s="69"/>
      <c r="AA58" s="69"/>
      <c r="AB58" s="69"/>
    </row>
    <row r="59" s="72" customFormat="true" ht="15" hidden="false" customHeight="true" outlineLevel="0" collapsed="false">
      <c r="A59" s="19" t="s">
        <v>52</v>
      </c>
      <c r="B59" s="19"/>
      <c r="C59" s="19"/>
      <c r="D59" s="20"/>
      <c r="E59" s="20"/>
      <c r="F59" s="20"/>
      <c r="G59" s="20"/>
      <c r="H59" s="20"/>
      <c r="I59" s="20"/>
      <c r="J59" s="20"/>
      <c r="K59" s="20"/>
      <c r="L59" s="20"/>
      <c r="M59" s="19" t="s">
        <v>53</v>
      </c>
      <c r="N59" s="19"/>
      <c r="O59" s="19"/>
      <c r="P59" s="19"/>
      <c r="Q59" s="19"/>
      <c r="R59" s="19"/>
      <c r="S59" s="19"/>
      <c r="T59" s="19"/>
      <c r="U59" s="19"/>
      <c r="V59" s="19"/>
      <c r="W59" s="19"/>
      <c r="X59" s="19"/>
      <c r="Y59" s="19"/>
      <c r="Z59" s="19"/>
      <c r="AA59" s="19"/>
      <c r="AB59" s="19"/>
    </row>
    <row r="60" customFormat="false" ht="12.75" hidden="false" customHeight="false" outlineLevel="0" collapsed="false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customFormat="false" ht="12.75" hidden="false" customHeight="false" outlineLevel="0" collapsed="false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customFormat="false" ht="12.75" hidden="false" customHeight="false" outlineLevel="0" collapsed="false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customFormat="false" ht="12.75" hidden="false" customHeight="false" outlineLevel="0" collapsed="false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customFormat="false" ht="12.75" hidden="false" customHeight="false" outlineLevel="0" collapsed="false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customFormat="false" ht="12.75" hidden="false" customHeight="false" outlineLevel="0" collapsed="false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customFormat="false" ht="12.75" hidden="false" customHeight="false" outlineLevel="0" collapsed="false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customFormat="false" ht="12.75" hidden="false" customHeight="false" outlineLevel="0" collapsed="false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customFormat="false" ht="12.75" hidden="false" customHeight="false" outlineLevel="0" collapsed="false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customFormat="false" ht="12.75" hidden="false" customHeight="false" outlineLevel="0" collapsed="false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customFormat="false" ht="12.75" hidden="false" customHeight="false" outlineLevel="0" collapsed="false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customFormat="false" ht="12.75" hidden="false" customHeight="false" outlineLevel="0" collapsed="false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customFormat="false" ht="12.75" hidden="false" customHeight="false" outlineLevel="0" collapsed="false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customFormat="false" ht="12.75" hidden="false" customHeight="false" outlineLevel="0" collapsed="false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customFormat="false" ht="12.75" hidden="false" customHeight="false" outlineLevel="0" collapsed="false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customFormat="false" ht="12.75" hidden="false" customHeight="false" outlineLevel="0" collapsed="false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customFormat="false" ht="12.75" hidden="false" customHeight="false" outlineLevel="0" collapsed="false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customFormat="false" ht="12.75" hidden="false" customHeight="false" outlineLevel="0" collapsed="false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customFormat="false" ht="12.75" hidden="false" customHeight="false" outlineLevel="0" collapsed="false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customFormat="false" ht="12.75" hidden="false" customHeight="false" outlineLevel="0" collapsed="false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customFormat="false" ht="12.75" hidden="false" customHeight="false" outlineLevel="0" collapsed="false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customFormat="false" ht="12.75" hidden="false" customHeight="false" outlineLevel="0" collapsed="false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customFormat="false" ht="12.75" hidden="false" customHeight="false" outlineLevel="0" collapsed="false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customFormat="false" ht="12.75" hidden="false" customHeight="false" outlineLevel="0" collapsed="false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customFormat="false" ht="12.75" hidden="false" customHeight="false" outlineLevel="0" collapsed="false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customFormat="false" ht="12.75" hidden="false" customHeight="false" outlineLevel="0" collapsed="false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customFormat="false" ht="12.75" hidden="false" customHeight="false" outlineLevel="0" collapsed="false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customFormat="false" ht="12.75" hidden="false" customHeight="false" outlineLevel="0" collapsed="false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customFormat="false" ht="12.75" hidden="false" customHeight="false" outlineLevel="0" collapsed="false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customFormat="false" ht="12.75" hidden="false" customHeight="false" outlineLevel="0" collapsed="false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customFormat="false" ht="12.75" hidden="false" customHeight="false" outlineLevel="0" collapsed="false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customFormat="false" ht="12.75" hidden="false" customHeight="false" outlineLevel="0" collapsed="false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customFormat="false" ht="12.75" hidden="false" customHeight="false" outlineLevel="0" collapsed="false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customFormat="false" ht="12.75" hidden="false" customHeight="false" outlineLevel="0" collapsed="false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customFormat="false" ht="12.75" hidden="false" customHeight="false" outlineLevel="0" collapsed="false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customFormat="false" ht="12.75" hidden="false" customHeight="false" outlineLevel="0" collapsed="false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customFormat="false" ht="12.75" hidden="false" customHeight="false" outlineLevel="0" collapsed="false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customFormat="false" ht="12.75" hidden="false" customHeight="false" outlineLevel="0" collapsed="false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customFormat="false" ht="12.75" hidden="false" customHeight="false" outlineLevel="0" collapsed="false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customFormat="false" ht="12.75" hidden="false" customHeight="false" outlineLevel="0" collapsed="false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customFormat="false" ht="12.75" hidden="false" customHeight="false" outlineLevel="0" collapsed="false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customFormat="false" ht="12.75" hidden="false" customHeight="false" outlineLevel="0" collapsed="false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customFormat="false" ht="12.75" hidden="false" customHeight="false" outlineLevel="0" collapsed="false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customFormat="false" ht="12.75" hidden="false" customHeight="false" outlineLevel="0" collapsed="false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customFormat="false" ht="12.75" hidden="false" customHeight="false" outlineLevel="0" collapsed="false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customFormat="false" ht="12.75" hidden="false" customHeight="false" outlineLevel="0" collapsed="false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customFormat="false" ht="12.75" hidden="false" customHeight="false" outlineLevel="0" collapsed="false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customFormat="false" ht="12.75" hidden="false" customHeight="false" outlineLevel="0" collapsed="false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customFormat="false" ht="12.75" hidden="false" customHeight="false" outlineLevel="0" collapsed="false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s="23" customFormat="true" ht="12.75" hidden="false" customHeight="false" outlineLevel="0" collapsed="false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  <c r="AD109" s="22"/>
      <c r="AE109" s="22"/>
      <c r="AF109" s="22"/>
      <c r="AG109" s="22"/>
    </row>
    <row r="110" s="23" customFormat="true" ht="12.75" hidden="false" customHeight="false" outlineLevel="0" collapsed="false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  <c r="AD110" s="22"/>
      <c r="AE110" s="22"/>
      <c r="AF110" s="22"/>
      <c r="AG110" s="22"/>
    </row>
    <row r="111" s="23" customFormat="true" ht="12.75" hidden="false" customHeight="false" outlineLevel="0" collapsed="false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  <c r="AD111" s="22"/>
      <c r="AE111" s="22"/>
      <c r="AF111" s="22"/>
      <c r="AG111" s="22"/>
    </row>
    <row r="112" s="23" customFormat="true" ht="12.75" hidden="false" customHeight="false" outlineLevel="0" collapsed="false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  <c r="AD112" s="22"/>
      <c r="AE112" s="22"/>
      <c r="AF112" s="22"/>
      <c r="AG112" s="22"/>
    </row>
    <row r="113" s="23" customFormat="true" ht="12.75" hidden="false" customHeight="false" outlineLevel="0" collapsed="false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  <c r="AD113" s="22"/>
      <c r="AE113" s="22"/>
      <c r="AF113" s="22"/>
      <c r="AG113" s="22"/>
    </row>
    <row r="114" s="23" customFormat="true" ht="12.75" hidden="false" customHeight="false" outlineLevel="0" collapsed="false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  <c r="AD114" s="22"/>
      <c r="AE114" s="22"/>
      <c r="AF114" s="22"/>
      <c r="AG114" s="22"/>
    </row>
    <row r="115" s="23" customFormat="true" ht="12.75" hidden="false" customHeight="false" outlineLevel="0" collapsed="false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  <c r="AD115" s="22"/>
      <c r="AE115" s="22"/>
      <c r="AF115" s="22"/>
      <c r="AG115" s="22"/>
    </row>
    <row r="116" s="23" customFormat="true" ht="12.75" hidden="false" customHeight="false" outlineLevel="0" collapsed="false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  <c r="AD116" s="22"/>
      <c r="AE116" s="22"/>
      <c r="AF116" s="22"/>
      <c r="AG116" s="22"/>
    </row>
    <row r="117" s="23" customFormat="true" ht="12.75" hidden="false" customHeight="false" outlineLevel="0" collapsed="false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  <c r="AD117" s="22"/>
      <c r="AE117" s="22"/>
      <c r="AF117" s="22"/>
      <c r="AG117" s="22"/>
    </row>
    <row r="118" s="23" customFormat="true" ht="12.75" hidden="false" customHeight="false" outlineLevel="0" collapsed="false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  <c r="AD118" s="22"/>
      <c r="AE118" s="22"/>
      <c r="AF118" s="22"/>
      <c r="AG118" s="22"/>
    </row>
    <row r="119" s="23" customFormat="true" ht="12.75" hidden="false" customHeight="false" outlineLevel="0" collapsed="false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  <c r="AD119" s="22"/>
      <c r="AE119" s="22"/>
      <c r="AF119" s="22"/>
      <c r="AG119" s="22"/>
    </row>
    <row r="120" s="23" customFormat="true" ht="12.75" hidden="false" customHeight="false" outlineLevel="0" collapsed="false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  <c r="AD120" s="22"/>
      <c r="AE120" s="22"/>
      <c r="AF120" s="22"/>
      <c r="AG120" s="22"/>
    </row>
    <row r="121" s="23" customFormat="true" ht="12.75" hidden="false" customHeight="false" outlineLevel="0" collapsed="false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  <c r="AD121" s="22"/>
      <c r="AE121" s="22"/>
      <c r="AF121" s="22"/>
      <c r="AG121" s="22"/>
    </row>
    <row r="122" s="23" customFormat="true" ht="12.75" hidden="false" customHeight="false" outlineLevel="0" collapsed="false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  <c r="AD122" s="22"/>
      <c r="AE122" s="22"/>
      <c r="AF122" s="22"/>
      <c r="AG122" s="22"/>
    </row>
    <row r="123" s="23" customFormat="true" ht="12.75" hidden="false" customHeight="false" outlineLevel="0" collapsed="false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  <c r="AD123" s="22"/>
      <c r="AE123" s="22"/>
      <c r="AF123" s="22"/>
      <c r="AG123" s="22"/>
    </row>
    <row r="124" s="23" customFormat="true" ht="12.75" hidden="false" customHeight="false" outlineLevel="0" collapsed="false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  <c r="AD124" s="22"/>
      <c r="AE124" s="22"/>
      <c r="AF124" s="22"/>
      <c r="AG124" s="22"/>
    </row>
    <row r="125" s="23" customFormat="true" ht="12.75" hidden="false" customHeight="false" outlineLevel="0" collapsed="false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  <c r="AD125" s="22"/>
      <c r="AE125" s="22"/>
      <c r="AF125" s="22"/>
      <c r="AG125" s="22"/>
    </row>
    <row r="126" s="23" customFormat="true" ht="12.75" hidden="false" customHeight="false" outlineLevel="0" collapsed="false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  <c r="AD126" s="22"/>
      <c r="AE126" s="22"/>
      <c r="AF126" s="22"/>
      <c r="AG126" s="22"/>
    </row>
    <row r="127" s="23" customFormat="true" ht="12.75" hidden="false" customHeight="false" outlineLevel="0" collapsed="false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  <c r="AD127" s="22"/>
      <c r="AE127" s="22"/>
      <c r="AF127" s="22"/>
      <c r="AG127" s="22"/>
    </row>
    <row r="128" s="23" customFormat="true" ht="12.75" hidden="false" customHeight="false" outlineLevel="0" collapsed="false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  <c r="AD128" s="22"/>
      <c r="AE128" s="22"/>
      <c r="AF128" s="22"/>
      <c r="AG128" s="22"/>
    </row>
    <row r="129" s="23" customFormat="true" ht="12.75" hidden="false" customHeight="false" outlineLevel="0" collapsed="false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  <c r="AD129" s="22"/>
      <c r="AE129" s="22"/>
      <c r="AF129" s="22"/>
      <c r="AG129" s="22"/>
    </row>
    <row r="130" s="23" customFormat="true" ht="12.75" hidden="false" customHeight="false" outlineLevel="0" collapsed="false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  <c r="AD130" s="22"/>
      <c r="AE130" s="22"/>
      <c r="AF130" s="22"/>
      <c r="AG130" s="22"/>
    </row>
    <row r="131" s="23" customFormat="true" ht="12.75" hidden="false" customHeight="false" outlineLevel="0" collapsed="false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  <c r="AD131" s="22"/>
      <c r="AE131" s="22"/>
      <c r="AF131" s="22"/>
      <c r="AG131" s="22"/>
    </row>
    <row r="132" s="23" customFormat="true" ht="12.75" hidden="false" customHeight="false" outlineLevel="0" collapsed="false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  <c r="AD132" s="22"/>
      <c r="AE132" s="22"/>
      <c r="AF132" s="22"/>
      <c r="AG132" s="22"/>
    </row>
    <row r="133" s="23" customFormat="true" ht="12.75" hidden="false" customHeight="false" outlineLevel="0" collapsed="false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  <c r="AD133" s="22"/>
      <c r="AE133" s="22"/>
      <c r="AF133" s="22"/>
      <c r="AG133" s="22"/>
    </row>
    <row r="134" s="23" customFormat="true" ht="12.75" hidden="false" customHeight="false" outlineLevel="0" collapsed="false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  <c r="AD134" s="22"/>
      <c r="AE134" s="22"/>
      <c r="AF134" s="22"/>
      <c r="AG134" s="22"/>
    </row>
    <row r="135" s="23" customFormat="true" ht="12.75" hidden="false" customHeight="false" outlineLevel="0" collapsed="false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  <c r="AD135" s="22"/>
      <c r="AE135" s="22"/>
      <c r="AF135" s="22"/>
      <c r="AG135" s="22"/>
    </row>
    <row r="136" s="23" customFormat="true" ht="12.75" hidden="false" customHeight="false" outlineLevel="0" collapsed="false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  <c r="AD136" s="22"/>
      <c r="AE136" s="22"/>
      <c r="AF136" s="22"/>
      <c r="AG136" s="22"/>
    </row>
  </sheetData>
  <mergeCells count="19">
    <mergeCell ref="A1:AB1"/>
    <mergeCell ref="A2:AB2"/>
    <mergeCell ref="A3:AB3"/>
    <mergeCell ref="A4:AB4"/>
    <mergeCell ref="A5:AB5"/>
    <mergeCell ref="A6:AB6"/>
    <mergeCell ref="D7:AB7"/>
    <mergeCell ref="A8:AB8"/>
    <mergeCell ref="A9:A10"/>
    <mergeCell ref="B9:B10"/>
    <mergeCell ref="C9:C10"/>
    <mergeCell ref="D9:D10"/>
    <mergeCell ref="M9:Y9"/>
    <mergeCell ref="AB9:AB10"/>
    <mergeCell ref="A51:D51"/>
    <mergeCell ref="A53:C53"/>
    <mergeCell ref="E53:AB53"/>
    <mergeCell ref="A59:C59"/>
    <mergeCell ref="M59:AB59"/>
  </mergeCells>
  <printOptions headings="false" gridLines="false" gridLinesSet="true" horizontalCentered="false" verticalCentered="false"/>
  <pageMargins left="0.7" right="0.159722222222222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Y68"/>
  <sheetViews>
    <sheetView showFormulas="false" showGridLines="true" showRowColHeaders="true" showZeros="true" rightToLeft="false" tabSelected="false" showOutlineSymbols="true" defaultGridColor="true" view="normal" topLeftCell="A13" colorId="64" zoomScale="100" zoomScaleNormal="100" zoomScalePageLayoutView="100" workbookViewId="0">
      <selection pane="topLeft" activeCell="G8" activeCellId="0" sqref="G8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5.86"/>
    <col collapsed="false" customWidth="true" hidden="false" outlineLevel="0" max="2" min="2" style="1" width="7.15"/>
    <col collapsed="false" customWidth="true" hidden="false" outlineLevel="0" max="3" min="3" style="1" width="17.15"/>
    <col collapsed="false" customWidth="true" hidden="true" outlineLevel="0" max="4" min="4" style="1" width="8.29"/>
    <col collapsed="false" customWidth="false" hidden="true" outlineLevel="0" max="5" min="5" style="1" width="8.71"/>
    <col collapsed="false" customWidth="true" hidden="true" outlineLevel="0" max="6" min="6" style="1" width="9.14"/>
    <col collapsed="false" customWidth="true" hidden="false" outlineLevel="0" max="12" min="7" style="1" width="10.57"/>
    <col collapsed="false" customWidth="true" hidden="true" outlineLevel="0" max="15" min="13" style="1" width="8.57"/>
    <col collapsed="false" customWidth="true" hidden="false" outlineLevel="0" max="18" min="16" style="1" width="10.57"/>
    <col collapsed="false" customWidth="true" hidden="false" outlineLevel="0" max="19" min="19" style="1" width="8"/>
    <col collapsed="false" customWidth="true" hidden="false" outlineLevel="0" max="20" min="20" style="1" width="6.71"/>
    <col collapsed="false" customWidth="true" hidden="false" outlineLevel="0" max="22" min="21" style="1" width="2.42"/>
    <col collapsed="false" customWidth="true" hidden="false" outlineLevel="0" max="24" min="24" style="2" width="9.14"/>
    <col collapsed="false" customWidth="true" hidden="false" outlineLevel="0" max="26" min="26" style="2" width="9.14"/>
  </cols>
  <sheetData>
    <row r="1" customFormat="false" ht="20.25" hidden="false" customHeight="true" outlineLevel="0" collapsed="false">
      <c r="A1" s="3" t="s">
        <v>28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3"/>
      <c r="T1" s="26"/>
      <c r="U1" s="26"/>
      <c r="V1" s="4"/>
      <c r="W1" s="4"/>
    </row>
    <row r="2" customFormat="false" ht="18.75" hidden="false" customHeight="true" outlineLevel="0" collapsed="false">
      <c r="A2" s="5" t="str">
        <f>"Kèm theo BBNT số: "&amp;VLOOKUP(AZ2,'[1]Tuyến XD8'!$A$2:$G$60,7,0)&amp;VLOOKUP(AZ2,'[1]Tuyến XD8'!$A$2:$G$60,4,0)</f>
        <v xml:space="preserve">Kèm theo BBNT số: 67.NĐXD8/CVXD ngày 18 tháng 09 năm 2026</v>
      </c>
      <c r="B2" s="5"/>
      <c r="C2" s="5"/>
      <c r="D2" s="5"/>
      <c r="E2" s="5"/>
      <c r="F2" s="5"/>
      <c r="G2" s="5"/>
      <c r="H2" s="5"/>
      <c r="I2" s="5"/>
      <c r="J2" s="5"/>
      <c r="K2" s="5"/>
      <c r="L2" s="5"/>
      <c r="M2" s="5"/>
      <c r="N2" s="5"/>
      <c r="O2" s="5"/>
      <c r="P2" s="5"/>
      <c r="Q2" s="5"/>
      <c r="R2" s="5"/>
      <c r="S2" s="5"/>
      <c r="U2" s="6"/>
      <c r="V2" s="6"/>
      <c r="W2" s="6"/>
      <c r="AZ2">
        <v>67</v>
      </c>
    </row>
    <row r="3" customFormat="false" ht="18.75" hidden="false" customHeight="true" outlineLevel="0" collapsed="false">
      <c r="A3" s="7" t="str">
        <f aca="false">'1.KTHH L1'!A3</f>
        <v>Dự án: Xây dựng HTKT Khu tái định cư phục vụ di dân xã Hải Hà, thị xã Nghi Sơn, tỉnh Thanh Hóa.</v>
      </c>
      <c r="C3" s="7"/>
      <c r="D3" s="7"/>
      <c r="E3" s="7"/>
      <c r="F3" s="7"/>
      <c r="G3" s="7"/>
      <c r="H3" s="7"/>
      <c r="I3" s="7"/>
      <c r="J3" s="7"/>
      <c r="K3" s="7"/>
      <c r="L3" s="7"/>
      <c r="M3" s="7"/>
      <c r="N3" s="7"/>
      <c r="O3" s="7"/>
      <c r="P3" s="7"/>
      <c r="Q3" s="7"/>
      <c r="R3" s="7"/>
      <c r="S3" s="7"/>
      <c r="T3" s="7"/>
      <c r="U3" s="7"/>
      <c r="V3" s="7"/>
      <c r="W3" s="7"/>
    </row>
    <row r="4" customFormat="false" ht="18.75" hidden="false" customHeight="true" outlineLevel="0" collapsed="false">
      <c r="A4" s="7" t="str">
        <f aca="false">'1.KTHH L1'!A4</f>
        <v>Gói thầu số 12: Xây dựng HTKT khu vực Hải Bình và Xuân Lâm (bao gồm cả bảo hiểm xây dựng công trình)</v>
      </c>
      <c r="C4" s="7"/>
      <c r="D4" s="7"/>
      <c r="E4" s="7"/>
      <c r="F4" s="7"/>
      <c r="G4" s="7"/>
      <c r="H4" s="7"/>
      <c r="I4" s="7"/>
      <c r="J4" s="7"/>
      <c r="K4" s="7"/>
      <c r="L4" s="7"/>
      <c r="M4" s="7"/>
      <c r="N4" s="7"/>
      <c r="O4" s="7"/>
      <c r="P4" s="7"/>
      <c r="Q4" s="7"/>
      <c r="R4" s="7"/>
      <c r="S4" s="7"/>
      <c r="T4" s="7"/>
      <c r="U4" s="7"/>
      <c r="V4" s="7"/>
      <c r="W4" s="7"/>
    </row>
    <row r="5" customFormat="false" ht="18.75" hidden="false" customHeight="true" outlineLevel="0" collapsed="false">
      <c r="A5" s="7" t="str">
        <f aca="false">'1.KTHH L1'!A5</f>
        <v>Nhà thầu thi công: Công ty TNHH Hoàng Tuấn</v>
      </c>
      <c r="C5" s="7"/>
      <c r="D5" s="7"/>
      <c r="E5" s="7"/>
      <c r="F5" s="7"/>
      <c r="G5" s="7"/>
      <c r="H5" s="7"/>
      <c r="I5" s="7"/>
      <c r="J5" s="7"/>
      <c r="K5" s="7"/>
      <c r="L5" s="7"/>
      <c r="M5" s="7"/>
      <c r="N5" s="7"/>
      <c r="O5" s="7"/>
      <c r="P5" s="7"/>
      <c r="Q5" s="7"/>
      <c r="R5" s="7"/>
      <c r="S5" s="7"/>
      <c r="T5" s="7"/>
      <c r="U5" s="7"/>
      <c r="V5" s="7"/>
      <c r="W5" s="7"/>
    </row>
    <row r="6" customFormat="false" ht="18.75" hidden="false" customHeight="true" outlineLevel="0" collapsed="false">
      <c r="A6" s="7" t="s">
        <v>33</v>
      </c>
      <c r="C6" s="7"/>
      <c r="D6" s="7"/>
      <c r="E6" s="7"/>
      <c r="F6" s="7"/>
      <c r="G6" s="7"/>
      <c r="H6" s="7"/>
      <c r="I6" s="7"/>
      <c r="J6" s="7"/>
      <c r="K6" s="7"/>
      <c r="L6" s="7"/>
      <c r="M6" s="7"/>
      <c r="N6" s="7"/>
      <c r="O6" s="7"/>
      <c r="P6" s="7"/>
      <c r="Q6" s="7"/>
      <c r="R6" s="7"/>
      <c r="S6" s="7"/>
      <c r="T6" s="7"/>
      <c r="U6" s="7"/>
      <c r="V6" s="7"/>
      <c r="W6" s="7"/>
    </row>
    <row r="7" customFormat="false" ht="18.75" hidden="false" customHeight="true" outlineLevel="0" collapsed="false">
      <c r="A7" s="8" t="s">
        <v>34</v>
      </c>
      <c r="C7" s="7"/>
      <c r="D7" s="7"/>
      <c r="F7" s="7"/>
      <c r="G7" s="7" t="str">
        <f>VLOOKUP(AZ2,'[1]Tuyến XD8'!$A$2:$B$60,2,0)</f>
        <v xml:space="preserve">Đắp đất nền đường lớp 4 đoạn từ Km0+489,19 - Km0+609,11, độ chặt K&gt;=0,95</v>
      </c>
      <c r="H7" s="7"/>
      <c r="I7" s="7"/>
      <c r="J7" s="7"/>
      <c r="K7" s="7"/>
      <c r="L7" s="7"/>
      <c r="M7" s="7"/>
      <c r="N7" s="7"/>
      <c r="O7" s="7"/>
      <c r="P7" s="7"/>
      <c r="Q7" s="7"/>
      <c r="R7" s="7"/>
      <c r="S7" s="7"/>
      <c r="T7" s="7"/>
      <c r="U7" s="7"/>
      <c r="V7" s="7"/>
      <c r="W7" s="7"/>
    </row>
    <row r="8" customFormat="false" ht="18.75" hidden="false" customHeight="true" outlineLevel="0" collapsed="false">
      <c r="A8" s="8" t="s">
        <v>36</v>
      </c>
      <c r="C8" s="7"/>
      <c r="D8" s="7"/>
      <c r="E8" s="7"/>
      <c r="F8" s="7"/>
      <c r="G8" s="7"/>
      <c r="H8" s="7"/>
      <c r="I8" s="7"/>
      <c r="J8" s="7"/>
      <c r="K8" s="7"/>
      <c r="L8" s="7"/>
      <c r="M8" s="7"/>
      <c r="N8" s="7"/>
      <c r="O8" s="7"/>
      <c r="P8" s="7"/>
      <c r="Q8" s="7"/>
      <c r="R8" s="7"/>
      <c r="S8" s="7"/>
      <c r="T8" s="7"/>
      <c r="U8" s="7"/>
      <c r="V8" s="7"/>
      <c r="W8" s="7"/>
    </row>
    <row r="19" customFormat="false" ht="3" hidden="false" customHeight="true" outlineLevel="0" collapsed="false"/>
    <row r="20" customFormat="false" ht="15" hidden="false" customHeight="true" outlineLevel="0" collapsed="false">
      <c r="A20" s="9" t="s">
        <v>37</v>
      </c>
      <c r="B20" s="9" t="s">
        <v>38</v>
      </c>
      <c r="C20" s="9" t="s">
        <v>39</v>
      </c>
      <c r="D20" s="10" t="s">
        <v>40</v>
      </c>
      <c r="E20" s="10"/>
      <c r="F20" s="10"/>
      <c r="G20" s="10"/>
      <c r="H20" s="10"/>
      <c r="I20" s="10"/>
      <c r="J20" s="10" t="s">
        <v>41</v>
      </c>
      <c r="K20" s="10"/>
      <c r="L20" s="10"/>
      <c r="M20" s="10" t="s">
        <v>42</v>
      </c>
      <c r="N20" s="10"/>
      <c r="O20" s="10"/>
      <c r="P20" s="10"/>
      <c r="Q20" s="10"/>
      <c r="R20" s="10"/>
      <c r="S20" s="9" t="s">
        <v>43</v>
      </c>
    </row>
    <row r="21" customFormat="false" ht="30" hidden="false" customHeight="true" outlineLevel="0" collapsed="false">
      <c r="A21" s="9"/>
      <c r="B21" s="9"/>
      <c r="C21" s="9"/>
      <c r="D21" s="11" t="s">
        <v>44</v>
      </c>
      <c r="E21" s="11" t="s">
        <v>45</v>
      </c>
      <c r="F21" s="11" t="s">
        <v>46</v>
      </c>
      <c r="G21" s="11" t="s">
        <v>47</v>
      </c>
      <c r="H21" s="11" t="s">
        <v>48</v>
      </c>
      <c r="I21" s="11" t="s">
        <v>49</v>
      </c>
      <c r="J21" s="11" t="s">
        <v>47</v>
      </c>
      <c r="K21" s="11" t="s">
        <v>48</v>
      </c>
      <c r="L21" s="11" t="s">
        <v>49</v>
      </c>
      <c r="M21" s="11" t="s">
        <v>44</v>
      </c>
      <c r="N21" s="11" t="s">
        <v>45</v>
      </c>
      <c r="O21" s="11" t="s">
        <v>46</v>
      </c>
      <c r="P21" s="11" t="s">
        <v>47</v>
      </c>
      <c r="Q21" s="11" t="s">
        <v>48</v>
      </c>
      <c r="R21" s="11" t="s">
        <v>49</v>
      </c>
      <c r="S21" s="9"/>
      <c r="T21" s="12"/>
      <c r="W21" s="87"/>
      <c r="X21" s="101"/>
      <c r="Y21" s="87"/>
    </row>
    <row r="22" customFormat="false" ht="15" hidden="false" customHeight="false" outlineLevel="0" collapsed="false">
      <c r="A22" s="13" t="n">
        <v>1</v>
      </c>
      <c r="B22" s="13" t="s">
        <v>17</v>
      </c>
      <c r="C22" s="15" t="n">
        <v>489.19</v>
      </c>
      <c r="D22" s="16" t="n">
        <f aca="false">+Chạy!F6</f>
        <v>-13.75</v>
      </c>
      <c r="E22" s="16" t="n">
        <f aca="false">+D22+F22</f>
        <v>-13.7514</v>
      </c>
      <c r="F22" s="16" t="n">
        <f aca="false">RANDBETWEEN(-105,115)/10000</f>
        <v>-0.0014</v>
      </c>
      <c r="G22" s="16" t="n">
        <f aca="false">+Chạy!G6</f>
        <v>0.67</v>
      </c>
      <c r="H22" s="16" t="n">
        <f aca="false">G22+I22</f>
        <v>0.757</v>
      </c>
      <c r="I22" s="16" t="n">
        <f aca="false">RANDBETWEEN(-30,90)/1000</f>
        <v>0.087</v>
      </c>
      <c r="J22" s="16" t="n">
        <f aca="false">+Chạy!K6</f>
        <v>0.79</v>
      </c>
      <c r="K22" s="16" t="n">
        <f aca="false">J22+L22</f>
        <v>0.836</v>
      </c>
      <c r="L22" s="16" t="n">
        <f aca="false">RANDBETWEEN(-30,90)/1000</f>
        <v>0.046</v>
      </c>
      <c r="M22" s="16" t="n">
        <f aca="false">+Chạy!N6</f>
        <v>13.75</v>
      </c>
      <c r="N22" s="16" t="n">
        <f aca="false">+M22+O22</f>
        <v>13.7424</v>
      </c>
      <c r="O22" s="16" t="n">
        <f aca="false">RANDBETWEEN(-105,115)/10000</f>
        <v>-0.0076</v>
      </c>
      <c r="P22" s="16" t="n">
        <f aca="false">+Chạy!O6</f>
        <v>0.67</v>
      </c>
      <c r="Q22" s="16" t="n">
        <f aca="false">P22+R22</f>
        <v>0.664</v>
      </c>
      <c r="R22" s="16" t="n">
        <f aca="false">RANDBETWEEN(-30,90)/1000</f>
        <v>-0.006</v>
      </c>
      <c r="S22" s="17"/>
      <c r="T22" s="1" t="n">
        <v>13.17</v>
      </c>
      <c r="W22" s="102"/>
      <c r="X22" s="103"/>
    </row>
    <row r="23" customFormat="false" ht="15" hidden="false" customHeight="false" outlineLevel="0" collapsed="false">
      <c r="A23" s="13" t="n">
        <v>2</v>
      </c>
      <c r="B23" s="13" t="s">
        <v>18</v>
      </c>
      <c r="C23" s="15" t="n">
        <f aca="false">+C22+T22</f>
        <v>502.36</v>
      </c>
      <c r="D23" s="16" t="n">
        <f aca="false">+Chạy!F14</f>
        <v>-13.75</v>
      </c>
      <c r="E23" s="16" t="n">
        <f aca="false">+D23+F23</f>
        <v>-13.7433</v>
      </c>
      <c r="F23" s="16" t="n">
        <f aca="false">RANDBETWEEN(-105,115)/10000</f>
        <v>0.0067</v>
      </c>
      <c r="G23" s="16" t="n">
        <f aca="false">+Chạy!G14</f>
        <v>0.66</v>
      </c>
      <c r="H23" s="16" t="n">
        <f aca="false">G23+I23</f>
        <v>0.719</v>
      </c>
      <c r="I23" s="16" t="n">
        <f aca="false">RANDBETWEEN(-30,90)/1000</f>
        <v>0.059</v>
      </c>
      <c r="J23" s="16" t="n">
        <f aca="false">+Chạy!K14</f>
        <v>0.78</v>
      </c>
      <c r="K23" s="16" t="n">
        <f aca="false">J23+L23</f>
        <v>0.81</v>
      </c>
      <c r="L23" s="16" t="n">
        <f aca="false">RANDBETWEEN(-30,90)/1000</f>
        <v>0.03</v>
      </c>
      <c r="M23" s="16" t="n">
        <f aca="false">+Chạy!N14</f>
        <v>13.75</v>
      </c>
      <c r="N23" s="16" t="n">
        <f aca="false">+M23+O23</f>
        <v>13.7516</v>
      </c>
      <c r="O23" s="16" t="n">
        <f aca="false">RANDBETWEEN(-105,115)/10000</f>
        <v>0.0016</v>
      </c>
      <c r="P23" s="16" t="n">
        <f aca="false">+Chạy!O14</f>
        <v>0.66</v>
      </c>
      <c r="Q23" s="16" t="n">
        <f aca="false">P23+R23</f>
        <v>0.699</v>
      </c>
      <c r="R23" s="16" t="n">
        <f aca="false">RANDBETWEEN(-30,90)/1000</f>
        <v>0.039</v>
      </c>
      <c r="S23" s="17"/>
      <c r="T23" s="1" t="n">
        <v>10.48</v>
      </c>
      <c r="W23" s="102"/>
      <c r="X23" s="103"/>
    </row>
    <row r="24" customFormat="false" ht="15" hidden="false" customHeight="false" outlineLevel="0" collapsed="false">
      <c r="A24" s="13" t="n">
        <v>3</v>
      </c>
      <c r="B24" s="13" t="s">
        <v>19</v>
      </c>
      <c r="C24" s="15" t="n">
        <f aca="false">+C23+T23</f>
        <v>512.84</v>
      </c>
      <c r="D24" s="16" t="n">
        <f aca="false">+Chạy!F22</f>
        <v>-13.75</v>
      </c>
      <c r="E24" s="16" t="n">
        <f aca="false">+D24+F24</f>
        <v>-13.7559</v>
      </c>
      <c r="F24" s="16" t="n">
        <f aca="false">RANDBETWEEN(-105,115)/10000</f>
        <v>-0.0059</v>
      </c>
      <c r="G24" s="16" t="n">
        <f aca="false">+Chạy!G22</f>
        <v>0.66</v>
      </c>
      <c r="H24" s="16" t="n">
        <f aca="false">G24+I24</f>
        <v>0.727</v>
      </c>
      <c r="I24" s="16" t="n">
        <f aca="false">RANDBETWEEN(-30,90)/1000</f>
        <v>0.067</v>
      </c>
      <c r="J24" s="16" t="n">
        <f aca="false">+Chạy!K22</f>
        <v>0.77</v>
      </c>
      <c r="K24" s="16" t="n">
        <f aca="false">J24+L24</f>
        <v>0.771</v>
      </c>
      <c r="L24" s="16" t="n">
        <f aca="false">RANDBETWEEN(-30,90)/1000</f>
        <v>0.001</v>
      </c>
      <c r="M24" s="16" t="n">
        <f aca="false">+Chạy!N22</f>
        <v>13.75</v>
      </c>
      <c r="N24" s="16" t="n">
        <f aca="false">+M24+O24</f>
        <v>13.7442</v>
      </c>
      <c r="O24" s="16" t="n">
        <f aca="false">RANDBETWEEN(-105,115)/10000</f>
        <v>-0.0058</v>
      </c>
      <c r="P24" s="16" t="n">
        <f aca="false">+Chạy!O22</f>
        <v>0.66</v>
      </c>
      <c r="Q24" s="16" t="n">
        <f aca="false">P24+R24</f>
        <v>0.706</v>
      </c>
      <c r="R24" s="16" t="n">
        <f aca="false">RANDBETWEEN(-30,90)/1000</f>
        <v>0.046</v>
      </c>
      <c r="S24" s="17"/>
      <c r="T24" s="1" t="n">
        <v>16.78</v>
      </c>
      <c r="W24" s="102"/>
      <c r="X24" s="103"/>
    </row>
    <row r="25" customFormat="false" ht="15" hidden="false" customHeight="false" outlineLevel="0" collapsed="false">
      <c r="A25" s="13" t="n">
        <v>4</v>
      </c>
      <c r="B25" s="13" t="s">
        <v>20</v>
      </c>
      <c r="C25" s="15" t="n">
        <f aca="false">+C24+T24</f>
        <v>529.62</v>
      </c>
      <c r="D25" s="16" t="n">
        <f aca="false">+Chạy!F30</f>
        <v>-13.75</v>
      </c>
      <c r="E25" s="16" t="n">
        <f aca="false">+D25+F25</f>
        <v>-13.7572</v>
      </c>
      <c r="F25" s="16" t="n">
        <f aca="false">RANDBETWEEN(-105,115)/10000</f>
        <v>-0.0072</v>
      </c>
      <c r="G25" s="16" t="n">
        <f aca="false">+Chạy!G30</f>
        <v>0.65</v>
      </c>
      <c r="H25" s="16" t="n">
        <f aca="false">G25+I25</f>
        <v>0.733</v>
      </c>
      <c r="I25" s="16" t="n">
        <f aca="false">RANDBETWEEN(-30,90)/1000</f>
        <v>0.083</v>
      </c>
      <c r="J25" s="16" t="n">
        <f aca="false">+Chạy!K30</f>
        <v>0.77</v>
      </c>
      <c r="K25" s="16" t="n">
        <f aca="false">J25+L25</f>
        <v>0.764</v>
      </c>
      <c r="L25" s="16" t="n">
        <f aca="false">RANDBETWEEN(-30,90)/1000</f>
        <v>-0.006</v>
      </c>
      <c r="M25" s="16" t="n">
        <f aca="false">+Chạy!N30</f>
        <v>13.75</v>
      </c>
      <c r="N25" s="16" t="n">
        <f aca="false">+M25+O25</f>
        <v>13.7584</v>
      </c>
      <c r="O25" s="16" t="n">
        <f aca="false">RANDBETWEEN(-105,115)/10000</f>
        <v>0.0084</v>
      </c>
      <c r="P25" s="16" t="n">
        <f aca="false">+Chạy!O30</f>
        <v>0.65</v>
      </c>
      <c r="Q25" s="16" t="n">
        <f aca="false">P25+R25</f>
        <v>0.682</v>
      </c>
      <c r="R25" s="16" t="n">
        <f aca="false">RANDBETWEEN(-30,90)/1000</f>
        <v>0.032</v>
      </c>
      <c r="S25" s="17"/>
      <c r="T25" s="1" t="n">
        <v>17.1</v>
      </c>
      <c r="W25" s="102"/>
      <c r="X25" s="103"/>
    </row>
    <row r="26" customFormat="false" ht="15" hidden="false" customHeight="false" outlineLevel="0" collapsed="false">
      <c r="A26" s="13" t="n">
        <v>5</v>
      </c>
      <c r="B26" s="13" t="s">
        <v>21</v>
      </c>
      <c r="C26" s="15" t="n">
        <f aca="false">+C25+T25</f>
        <v>546.72</v>
      </c>
      <c r="D26" s="16" t="n">
        <f aca="false">+Chạy!F38</f>
        <v>-13.75</v>
      </c>
      <c r="E26" s="16" t="n">
        <f aca="false">+D26+F26</f>
        <v>-13.7395</v>
      </c>
      <c r="F26" s="16" t="n">
        <f aca="false">RANDBETWEEN(-105,115)/10000</f>
        <v>0.0105</v>
      </c>
      <c r="G26" s="16" t="n">
        <f aca="false">+Chạy!G38</f>
        <v>0.64</v>
      </c>
      <c r="H26" s="16" t="n">
        <f aca="false">G26+I26</f>
        <v>0.647</v>
      </c>
      <c r="I26" s="16" t="n">
        <f aca="false">RANDBETWEEN(-30,90)/1000</f>
        <v>0.007</v>
      </c>
      <c r="J26" s="16" t="n">
        <f aca="false">+Chạy!K38</f>
        <v>0.76</v>
      </c>
      <c r="K26" s="16" t="n">
        <f aca="false">J26+L26</f>
        <v>0.741</v>
      </c>
      <c r="L26" s="16" t="n">
        <f aca="false">RANDBETWEEN(-30,90)/1000</f>
        <v>-0.019</v>
      </c>
      <c r="M26" s="16" t="n">
        <f aca="false">+Chạy!N38</f>
        <v>13.75</v>
      </c>
      <c r="N26" s="16" t="n">
        <f aca="false">+M26+O26</f>
        <v>13.7598</v>
      </c>
      <c r="O26" s="16" t="n">
        <f aca="false">RANDBETWEEN(-105,115)/10000</f>
        <v>0.0098</v>
      </c>
      <c r="P26" s="16" t="n">
        <f aca="false">+Chạy!O38</f>
        <v>0.64</v>
      </c>
      <c r="Q26" s="16" t="n">
        <f aca="false">P26+R26</f>
        <v>0.634</v>
      </c>
      <c r="R26" s="16" t="n">
        <f aca="false">RANDBETWEEN(-30,90)/1000</f>
        <v>-0.006</v>
      </c>
      <c r="S26" s="17"/>
      <c r="T26" s="1" t="n">
        <v>15.15</v>
      </c>
      <c r="W26" s="102"/>
      <c r="X26" s="103"/>
    </row>
    <row r="27" customFormat="false" ht="15" hidden="false" customHeight="false" outlineLevel="0" collapsed="false">
      <c r="A27" s="13" t="n">
        <v>6</v>
      </c>
      <c r="B27" s="13" t="s">
        <v>22</v>
      </c>
      <c r="C27" s="15" t="n">
        <f aca="false">+C26+T26</f>
        <v>561.87</v>
      </c>
      <c r="D27" s="16" t="n">
        <f aca="false">+Chạy!F46</f>
        <v>-13.75</v>
      </c>
      <c r="E27" s="16" t="n">
        <f aca="false">+D27+F27</f>
        <v>-13.7594</v>
      </c>
      <c r="F27" s="16" t="n">
        <f aca="false">RANDBETWEEN(-105,115)/10000</f>
        <v>-0.0094</v>
      </c>
      <c r="G27" s="16" t="n">
        <f aca="false">+Chạy!G46</f>
        <v>0.64</v>
      </c>
      <c r="H27" s="16" t="n">
        <f aca="false">G27+I27</f>
        <v>0.674</v>
      </c>
      <c r="I27" s="16" t="n">
        <f aca="false">RANDBETWEEN(-30,90)/1000</f>
        <v>0.034</v>
      </c>
      <c r="J27" s="16" t="n">
        <f aca="false">+Chạy!K46</f>
        <v>0.75</v>
      </c>
      <c r="K27" s="16" t="n">
        <f aca="false">J27+L27</f>
        <v>0.799</v>
      </c>
      <c r="L27" s="16" t="n">
        <f aca="false">RANDBETWEEN(-30,90)/1000</f>
        <v>0.049</v>
      </c>
      <c r="M27" s="16" t="n">
        <f aca="false">+Chạy!N46</f>
        <v>13.75</v>
      </c>
      <c r="N27" s="16" t="n">
        <f aca="false">+M27+O27</f>
        <v>13.7533</v>
      </c>
      <c r="O27" s="16" t="n">
        <f aca="false">RANDBETWEEN(-105,115)/10000</f>
        <v>0.0033</v>
      </c>
      <c r="P27" s="16" t="n">
        <f aca="false">+Chạy!O46</f>
        <v>0.64</v>
      </c>
      <c r="Q27" s="16" t="n">
        <f aca="false">P27+R27</f>
        <v>0.637</v>
      </c>
      <c r="R27" s="16" t="n">
        <f aca="false">RANDBETWEEN(-30,90)/1000</f>
        <v>-0.003</v>
      </c>
      <c r="S27" s="17"/>
      <c r="T27" s="1" t="n">
        <v>0.15</v>
      </c>
      <c r="W27" s="102"/>
      <c r="X27" s="103"/>
    </row>
    <row r="28" customFormat="false" ht="15" hidden="false" customHeight="false" outlineLevel="0" collapsed="false">
      <c r="A28" s="13" t="n">
        <v>7</v>
      </c>
      <c r="B28" s="13" t="s">
        <v>23</v>
      </c>
      <c r="C28" s="15" t="n">
        <f aca="false">+C27+T27</f>
        <v>562.02</v>
      </c>
      <c r="D28" s="16" t="n">
        <f aca="false">+Chạy!F54</f>
        <v>-13.75</v>
      </c>
      <c r="E28" s="16" t="n">
        <f aca="false">+D28+F28</f>
        <v>-13.7397</v>
      </c>
      <c r="F28" s="16" t="n">
        <f aca="false">RANDBETWEEN(-105,115)/10000</f>
        <v>0.0103</v>
      </c>
      <c r="G28" s="16" t="n">
        <f aca="false">+Chạy!G54</f>
        <v>0.64</v>
      </c>
      <c r="H28" s="16" t="n">
        <f aca="false">G28+I28</f>
        <v>0.616</v>
      </c>
      <c r="I28" s="16" t="n">
        <f aca="false">RANDBETWEEN(-30,90)/1000</f>
        <v>-0.024</v>
      </c>
      <c r="J28" s="16" t="n">
        <f aca="false">+Chạy!K54</f>
        <v>0.75</v>
      </c>
      <c r="K28" s="16" t="n">
        <f aca="false">J28+L28</f>
        <v>0.725</v>
      </c>
      <c r="L28" s="16" t="n">
        <f aca="false">RANDBETWEEN(-30,90)/1000</f>
        <v>-0.025</v>
      </c>
      <c r="M28" s="16" t="n">
        <f aca="false">+Chạy!N54</f>
        <v>13.75</v>
      </c>
      <c r="N28" s="16" t="n">
        <f aca="false">+M28+O28</f>
        <v>13.7546</v>
      </c>
      <c r="O28" s="16" t="n">
        <f aca="false">RANDBETWEEN(-105,115)/10000</f>
        <v>0.0046</v>
      </c>
      <c r="P28" s="16" t="n">
        <f aca="false">+Chạy!O54</f>
        <v>0.64</v>
      </c>
      <c r="Q28" s="16" t="n">
        <f aca="false">P28+R28</f>
        <v>0.685</v>
      </c>
      <c r="R28" s="16" t="n">
        <f aca="false">RANDBETWEEN(-30,90)/1000</f>
        <v>0.045</v>
      </c>
      <c r="S28" s="17"/>
      <c r="T28" s="1" t="n">
        <v>6.55</v>
      </c>
      <c r="W28" s="102"/>
      <c r="X28" s="103"/>
    </row>
    <row r="29" customFormat="false" ht="15" hidden="false" customHeight="false" outlineLevel="0" collapsed="false">
      <c r="A29" s="13" t="n">
        <v>8</v>
      </c>
      <c r="B29" s="13" t="s">
        <v>24</v>
      </c>
      <c r="C29" s="15" t="n">
        <f aca="false">+C28+T28</f>
        <v>568.57</v>
      </c>
      <c r="D29" s="16" t="n">
        <f aca="false">+Chạy!F62</f>
        <v>-13.75</v>
      </c>
      <c r="E29" s="16" t="n">
        <f aca="false">+D29+F29</f>
        <v>-13.7433</v>
      </c>
      <c r="F29" s="16" t="n">
        <f aca="false">RANDBETWEEN(-105,115)/10000</f>
        <v>0.0067</v>
      </c>
      <c r="G29" s="16" t="n">
        <f aca="false">+Chạy!G62</f>
        <v>0.64</v>
      </c>
      <c r="H29" s="16" t="n">
        <f aca="false">G29+I29</f>
        <v>0.689</v>
      </c>
      <c r="I29" s="16" t="n">
        <f aca="false">RANDBETWEEN(-30,90)/1000</f>
        <v>0.049</v>
      </c>
      <c r="J29" s="16" t="n">
        <f aca="false">+Chạy!K62</f>
        <v>0.75</v>
      </c>
      <c r="K29" s="16" t="n">
        <f aca="false">J29+L29</f>
        <v>0.783</v>
      </c>
      <c r="L29" s="16" t="n">
        <f aca="false">RANDBETWEEN(-30,90)/1000</f>
        <v>0.033</v>
      </c>
      <c r="M29" s="16" t="n">
        <f aca="false">+Chạy!N62</f>
        <v>13.75</v>
      </c>
      <c r="N29" s="16" t="n">
        <f aca="false">+M29+O29</f>
        <v>13.7483</v>
      </c>
      <c r="O29" s="16" t="n">
        <f aca="false">RANDBETWEEN(-105,115)/10000</f>
        <v>-0.0017</v>
      </c>
      <c r="P29" s="16" t="n">
        <f aca="false">+Chạy!O62</f>
        <v>0.64</v>
      </c>
      <c r="Q29" s="16" t="n">
        <f aca="false">P29+R29</f>
        <v>0.715</v>
      </c>
      <c r="R29" s="16" t="n">
        <f aca="false">RANDBETWEEN(-30,90)/1000</f>
        <v>0.075</v>
      </c>
      <c r="S29" s="17"/>
      <c r="T29" s="1" t="n">
        <v>6.55</v>
      </c>
      <c r="W29" s="102"/>
      <c r="X29" s="103"/>
    </row>
    <row r="30" customFormat="false" ht="15" hidden="false" customHeight="false" outlineLevel="0" collapsed="false">
      <c r="A30" s="13" t="n">
        <v>9</v>
      </c>
      <c r="B30" s="13" t="s">
        <v>1</v>
      </c>
      <c r="C30" s="15" t="n">
        <f aca="false">+C29+T29</f>
        <v>575.12</v>
      </c>
      <c r="D30" s="16" t="n">
        <f aca="false">+Chạy!F70</f>
        <v>-13.75</v>
      </c>
      <c r="E30" s="16" t="n">
        <f aca="false">+D30+F30</f>
        <v>-13.7488</v>
      </c>
      <c r="F30" s="16" t="n">
        <f aca="false">RANDBETWEEN(-105,115)/10000</f>
        <v>0.0012</v>
      </c>
      <c r="G30" s="16" t="n">
        <f aca="false">+Chạy!G70</f>
        <v>0.64</v>
      </c>
      <c r="H30" s="16" t="n">
        <f aca="false">G30+I30</f>
        <v>0.688</v>
      </c>
      <c r="I30" s="16" t="n">
        <f aca="false">RANDBETWEEN(-30,90)/1000</f>
        <v>0.048</v>
      </c>
      <c r="J30" s="16" t="n">
        <f aca="false">+Chạy!K70</f>
        <v>0.75</v>
      </c>
      <c r="K30" s="16" t="n">
        <f aca="false">J30+L30</f>
        <v>0.732</v>
      </c>
      <c r="L30" s="16" t="n">
        <f aca="false">RANDBETWEEN(-30,90)/1000</f>
        <v>-0.018</v>
      </c>
      <c r="M30" s="16" t="n">
        <f aca="false">+Chạy!N70</f>
        <v>13.75</v>
      </c>
      <c r="N30" s="16" t="n">
        <f aca="false">+M30+O30</f>
        <v>13.7481</v>
      </c>
      <c r="O30" s="16" t="n">
        <f aca="false">RANDBETWEEN(-105,115)/10000</f>
        <v>-0.0019</v>
      </c>
      <c r="P30" s="16" t="n">
        <f aca="false">+Chạy!O70</f>
        <v>0.64</v>
      </c>
      <c r="Q30" s="16" t="n">
        <f aca="false">P30+R30</f>
        <v>0.67</v>
      </c>
      <c r="R30" s="16" t="n">
        <f aca="false">RANDBETWEEN(-30,90)/1000</f>
        <v>0.03</v>
      </c>
      <c r="S30" s="17"/>
      <c r="T30" s="1" t="n">
        <v>0.04</v>
      </c>
      <c r="W30" s="102"/>
      <c r="X30" s="103"/>
    </row>
    <row r="31" customFormat="false" ht="15" hidden="false" customHeight="false" outlineLevel="0" collapsed="false">
      <c r="A31" s="13" t="n">
        <v>10</v>
      </c>
      <c r="B31" s="13" t="s">
        <v>25</v>
      </c>
      <c r="C31" s="15" t="n">
        <f aca="false">+C30+T30</f>
        <v>575.16</v>
      </c>
      <c r="D31" s="16" t="n">
        <f aca="false">+Chạy!F78</f>
        <v>-13.75</v>
      </c>
      <c r="E31" s="16" t="n">
        <f aca="false">+D31+F31</f>
        <v>-13.7426</v>
      </c>
      <c r="F31" s="16" t="n">
        <f aca="false">RANDBETWEEN(-105,115)/10000</f>
        <v>0.0074</v>
      </c>
      <c r="G31" s="16" t="n">
        <f aca="false">+Chạy!G78</f>
        <v>0.77</v>
      </c>
      <c r="H31" s="16" t="n">
        <f aca="false">G31+I31</f>
        <v>0.828</v>
      </c>
      <c r="I31" s="16" t="n">
        <f aca="false">RANDBETWEEN(-30,90)/1000</f>
        <v>0.058</v>
      </c>
      <c r="J31" s="16" t="n">
        <f aca="false">+Chạy!K78</f>
        <v>0.75</v>
      </c>
      <c r="K31" s="16" t="n">
        <f aca="false">J31+L31</f>
        <v>0.826</v>
      </c>
      <c r="L31" s="16" t="n">
        <f aca="false">RANDBETWEEN(-30,90)/1000</f>
        <v>0.076</v>
      </c>
      <c r="M31" s="16" t="n">
        <f aca="false">+Chạy!N78</f>
        <v>13.75</v>
      </c>
      <c r="N31" s="16" t="n">
        <f aca="false">+M31+O31</f>
        <v>13.7445</v>
      </c>
      <c r="O31" s="16" t="n">
        <f aca="false">RANDBETWEEN(-105,115)/10000</f>
        <v>-0.0055</v>
      </c>
      <c r="P31" s="16" t="n">
        <f aca="false">+Chạy!O78</f>
        <v>0.64</v>
      </c>
      <c r="Q31" s="16" t="n">
        <f aca="false">P31+R31</f>
        <v>0.69</v>
      </c>
      <c r="R31" s="16" t="n">
        <f aca="false">RANDBETWEEN(-30,90)/1000</f>
        <v>0.05</v>
      </c>
      <c r="S31" s="17"/>
      <c r="T31" s="1" t="n">
        <v>16.95</v>
      </c>
      <c r="W31" s="102"/>
      <c r="X31" s="103"/>
    </row>
    <row r="32" customFormat="false" ht="15" hidden="false" customHeight="false" outlineLevel="0" collapsed="false">
      <c r="A32" s="13" t="n">
        <v>11</v>
      </c>
      <c r="B32" s="13" t="s">
        <v>26</v>
      </c>
      <c r="C32" s="15" t="n">
        <f aca="false">+C31+T31</f>
        <v>592.11</v>
      </c>
      <c r="D32" s="16" t="n">
        <f aca="false">+Chạy!F86</f>
        <v>-13.75</v>
      </c>
      <c r="E32" s="16" t="n">
        <f aca="false">+D32+F32</f>
        <v>-13.7464</v>
      </c>
      <c r="F32" s="16" t="n">
        <f aca="false">RANDBETWEEN(-105,115)/10000</f>
        <v>0.0036</v>
      </c>
      <c r="G32" s="16" t="n">
        <f aca="false">+Chạy!G86</f>
        <v>0.64</v>
      </c>
      <c r="H32" s="16" t="n">
        <f aca="false">G32+I32</f>
        <v>0.71</v>
      </c>
      <c r="I32" s="16" t="n">
        <f aca="false">RANDBETWEEN(-30,90)/1000</f>
        <v>0.07</v>
      </c>
      <c r="J32" s="16" t="n">
        <f aca="false">+Chạy!K86</f>
        <v>0.76</v>
      </c>
      <c r="K32" s="16" t="n">
        <f aca="false">J32+L32</f>
        <v>0.84</v>
      </c>
      <c r="L32" s="16" t="n">
        <f aca="false">RANDBETWEEN(-30,90)/1000</f>
        <v>0.08</v>
      </c>
      <c r="M32" s="16" t="n">
        <f aca="false">+Chạy!N86</f>
        <v>13.75</v>
      </c>
      <c r="N32" s="16" t="n">
        <f aca="false">+M32+O32</f>
        <v>13.7509</v>
      </c>
      <c r="O32" s="16" t="n">
        <f aca="false">RANDBETWEEN(-105,115)/10000</f>
        <v>0.0009</v>
      </c>
      <c r="P32" s="16" t="n">
        <f aca="false">+Chạy!O86</f>
        <v>0.64</v>
      </c>
      <c r="Q32" s="16" t="n">
        <f aca="false">P32+R32</f>
        <v>0.707</v>
      </c>
      <c r="R32" s="16" t="n">
        <f aca="false">RANDBETWEEN(-30,90)/1000</f>
        <v>0.067</v>
      </c>
      <c r="S32" s="17"/>
      <c r="T32" s="1" t="n">
        <v>17</v>
      </c>
      <c r="W32" s="102"/>
      <c r="X32" s="103"/>
    </row>
    <row r="33" customFormat="false" ht="15" hidden="false" customHeight="false" outlineLevel="0" collapsed="false">
      <c r="A33" s="13" t="n">
        <v>12</v>
      </c>
      <c r="B33" s="13" t="s">
        <v>27</v>
      </c>
      <c r="C33" s="15" t="n">
        <f aca="false">+C32+T32</f>
        <v>609.11</v>
      </c>
      <c r="D33" s="16" t="n">
        <f aca="false">+Chạy!F94</f>
        <v>-13.75</v>
      </c>
      <c r="E33" s="16" t="n">
        <f aca="false">+D33+F33</f>
        <v>-13.7532</v>
      </c>
      <c r="F33" s="16" t="n">
        <f aca="false">RANDBETWEEN(-105,115)/10000</f>
        <v>-0.0032</v>
      </c>
      <c r="G33" s="16" t="n">
        <f aca="false">+Chạy!G94</f>
        <v>0.64</v>
      </c>
      <c r="H33" s="16" t="n">
        <f aca="false">G33+I33</f>
        <v>0.632</v>
      </c>
      <c r="I33" s="16" t="n">
        <f aca="false">RANDBETWEEN(-30,90)/1000</f>
        <v>-0.008</v>
      </c>
      <c r="J33" s="16" t="n">
        <f aca="false">+Chạy!K94</f>
        <v>0.76</v>
      </c>
      <c r="K33" s="16" t="n">
        <f aca="false">J33+L33</f>
        <v>0.795</v>
      </c>
      <c r="L33" s="16" t="n">
        <f aca="false">RANDBETWEEN(-30,90)/1000</f>
        <v>0.035</v>
      </c>
      <c r="M33" s="16" t="n">
        <f aca="false">+Chạy!N94</f>
        <v>13.75</v>
      </c>
      <c r="N33" s="16" t="n">
        <f aca="false">+M33+O33</f>
        <v>13.7486</v>
      </c>
      <c r="O33" s="16" t="n">
        <f aca="false">RANDBETWEEN(-105,115)/10000</f>
        <v>-0.0014</v>
      </c>
      <c r="P33" s="16" t="n">
        <f aca="false">+Chạy!O94</f>
        <v>0.64</v>
      </c>
      <c r="Q33" s="16" t="n">
        <f aca="false">P33+R33</f>
        <v>0.616</v>
      </c>
      <c r="R33" s="16" t="n">
        <f aca="false">RANDBETWEEN(-30,90)/1000</f>
        <v>-0.024</v>
      </c>
      <c r="S33" s="17"/>
      <c r="W33" s="102"/>
      <c r="X33" s="103"/>
    </row>
    <row r="34" customFormat="false" ht="15" hidden="true" customHeight="false" outlineLevel="0" collapsed="false">
      <c r="A34" s="13"/>
      <c r="B34" s="13"/>
      <c r="C34" s="15"/>
      <c r="D34" s="16"/>
      <c r="E34" s="16"/>
      <c r="F34" s="16"/>
      <c r="G34" s="16"/>
      <c r="H34" s="16"/>
      <c r="I34" s="16"/>
      <c r="J34" s="16"/>
      <c r="K34" s="16"/>
      <c r="L34" s="16"/>
      <c r="M34" s="16"/>
      <c r="N34" s="16"/>
      <c r="O34" s="16"/>
      <c r="P34" s="16"/>
      <c r="Q34" s="16"/>
      <c r="R34" s="16"/>
      <c r="S34" s="17"/>
      <c r="W34" s="102"/>
      <c r="X34" s="103"/>
    </row>
    <row r="35" customFormat="false" ht="15" hidden="true" customHeight="false" outlineLevel="0" collapsed="false">
      <c r="A35" s="13"/>
      <c r="B35" s="13"/>
      <c r="C35" s="15"/>
      <c r="D35" s="16"/>
      <c r="E35" s="16"/>
      <c r="F35" s="16"/>
      <c r="G35" s="16"/>
      <c r="H35" s="16"/>
      <c r="I35" s="16"/>
      <c r="J35" s="16"/>
      <c r="K35" s="16"/>
      <c r="L35" s="16"/>
      <c r="M35" s="16"/>
      <c r="N35" s="16"/>
      <c r="O35" s="16"/>
      <c r="P35" s="16"/>
      <c r="Q35" s="16"/>
      <c r="R35" s="16"/>
      <c r="S35" s="17"/>
      <c r="W35" s="102"/>
      <c r="X35" s="103"/>
    </row>
    <row r="36" customFormat="false" ht="15" hidden="true" customHeight="false" outlineLevel="0" collapsed="false">
      <c r="A36" s="13"/>
      <c r="B36" s="13"/>
      <c r="C36" s="15"/>
      <c r="D36" s="16"/>
      <c r="E36" s="16"/>
      <c r="F36" s="16"/>
      <c r="G36" s="16"/>
      <c r="H36" s="16"/>
      <c r="I36" s="16"/>
      <c r="J36" s="16"/>
      <c r="K36" s="16"/>
      <c r="L36" s="16"/>
      <c r="M36" s="16"/>
      <c r="N36" s="16"/>
      <c r="O36" s="16"/>
      <c r="P36" s="16"/>
      <c r="Q36" s="16"/>
      <c r="R36" s="16"/>
      <c r="S36" s="17"/>
      <c r="W36" s="102"/>
      <c r="X36" s="103"/>
    </row>
    <row r="37" customFormat="false" ht="15" hidden="true" customHeight="false" outlineLevel="0" collapsed="false">
      <c r="A37" s="13"/>
      <c r="B37" s="13"/>
      <c r="C37" s="15"/>
      <c r="D37" s="16"/>
      <c r="E37" s="16"/>
      <c r="F37" s="16"/>
      <c r="G37" s="16"/>
      <c r="H37" s="16"/>
      <c r="I37" s="16"/>
      <c r="J37" s="16"/>
      <c r="K37" s="16"/>
      <c r="L37" s="16"/>
      <c r="M37" s="16"/>
      <c r="N37" s="16"/>
      <c r="O37" s="16"/>
      <c r="P37" s="16"/>
      <c r="Q37" s="16"/>
      <c r="R37" s="16"/>
      <c r="S37" s="17"/>
      <c r="W37" s="102"/>
      <c r="X37" s="103"/>
    </row>
    <row r="38" customFormat="false" ht="15" hidden="true" customHeight="false" outlineLevel="0" collapsed="false">
      <c r="A38" s="13"/>
      <c r="B38" s="13"/>
      <c r="C38" s="15"/>
      <c r="D38" s="16"/>
      <c r="E38" s="16"/>
      <c r="F38" s="16"/>
      <c r="G38" s="16"/>
      <c r="H38" s="16"/>
      <c r="I38" s="16"/>
      <c r="J38" s="16"/>
      <c r="K38" s="16"/>
      <c r="L38" s="16"/>
      <c r="M38" s="16"/>
      <c r="N38" s="16"/>
      <c r="O38" s="16"/>
      <c r="P38" s="16"/>
      <c r="Q38" s="16"/>
      <c r="R38" s="16"/>
      <c r="S38" s="17"/>
      <c r="W38" s="102"/>
      <c r="X38" s="103"/>
    </row>
    <row r="39" customFormat="false" ht="15" hidden="true" customHeight="false" outlineLevel="0" collapsed="false">
      <c r="A39" s="13"/>
      <c r="B39" s="13"/>
      <c r="C39" s="15"/>
      <c r="D39" s="16"/>
      <c r="E39" s="16"/>
      <c r="F39" s="16"/>
      <c r="G39" s="16"/>
      <c r="H39" s="16"/>
      <c r="I39" s="16"/>
      <c r="J39" s="16"/>
      <c r="K39" s="16"/>
      <c r="L39" s="16"/>
      <c r="M39" s="16"/>
      <c r="N39" s="16"/>
      <c r="O39" s="16"/>
      <c r="P39" s="16"/>
      <c r="Q39" s="16"/>
      <c r="R39" s="16"/>
      <c r="S39" s="17"/>
      <c r="W39" s="102"/>
      <c r="X39" s="103"/>
    </row>
    <row r="40" customFormat="false" ht="15" hidden="true" customHeight="false" outlineLevel="0" collapsed="false">
      <c r="A40" s="13"/>
      <c r="B40" s="13"/>
      <c r="C40" s="15"/>
      <c r="D40" s="16"/>
      <c r="E40" s="16"/>
      <c r="F40" s="16"/>
      <c r="G40" s="16"/>
      <c r="H40" s="16"/>
      <c r="I40" s="16"/>
      <c r="J40" s="16"/>
      <c r="K40" s="16"/>
      <c r="L40" s="16"/>
      <c r="M40" s="16"/>
      <c r="N40" s="16"/>
      <c r="O40" s="16"/>
      <c r="P40" s="16"/>
      <c r="Q40" s="16"/>
      <c r="R40" s="16"/>
      <c r="S40" s="17"/>
      <c r="W40" s="102"/>
      <c r="X40" s="103"/>
    </row>
    <row r="41" customFormat="false" ht="15" hidden="true" customHeight="false" outlineLevel="0" collapsed="false">
      <c r="A41" s="13"/>
      <c r="B41" s="13"/>
      <c r="C41" s="15"/>
      <c r="D41" s="16"/>
      <c r="E41" s="16"/>
      <c r="F41" s="16"/>
      <c r="G41" s="16"/>
      <c r="H41" s="16"/>
      <c r="I41" s="16"/>
      <c r="J41" s="16"/>
      <c r="K41" s="16"/>
      <c r="L41" s="16"/>
      <c r="M41" s="16"/>
      <c r="N41" s="16"/>
      <c r="O41" s="16"/>
      <c r="P41" s="16"/>
      <c r="Q41" s="16"/>
      <c r="R41" s="16"/>
      <c r="S41" s="17"/>
      <c r="W41" s="102"/>
      <c r="X41" s="103"/>
    </row>
    <row r="42" customFormat="false" ht="15" hidden="true" customHeight="false" outlineLevel="0" collapsed="false">
      <c r="A42" s="13"/>
      <c r="B42" s="13"/>
      <c r="C42" s="15"/>
      <c r="D42" s="16"/>
      <c r="E42" s="16"/>
      <c r="F42" s="16"/>
      <c r="G42" s="16"/>
      <c r="H42" s="16"/>
      <c r="I42" s="16"/>
      <c r="J42" s="16"/>
      <c r="K42" s="16"/>
      <c r="L42" s="16"/>
      <c r="M42" s="16"/>
      <c r="N42" s="16"/>
      <c r="O42" s="16"/>
      <c r="P42" s="16"/>
      <c r="Q42" s="16"/>
      <c r="R42" s="16"/>
      <c r="S42" s="17"/>
      <c r="W42" s="102"/>
      <c r="X42" s="103"/>
    </row>
    <row r="43" customFormat="false" ht="15" hidden="true" customHeight="false" outlineLevel="0" collapsed="false">
      <c r="A43" s="13"/>
      <c r="B43" s="13"/>
      <c r="C43" s="15"/>
      <c r="D43" s="16"/>
      <c r="E43" s="16"/>
      <c r="F43" s="16"/>
      <c r="G43" s="16"/>
      <c r="H43" s="16"/>
      <c r="I43" s="16"/>
      <c r="J43" s="16"/>
      <c r="K43" s="16"/>
      <c r="L43" s="16"/>
      <c r="M43" s="16"/>
      <c r="N43" s="16"/>
      <c r="O43" s="16"/>
      <c r="P43" s="16"/>
      <c r="Q43" s="16"/>
      <c r="R43" s="16"/>
      <c r="S43" s="17"/>
      <c r="W43" s="102"/>
      <c r="X43" s="103"/>
    </row>
    <row r="44" customFormat="false" ht="15" hidden="true" customHeight="false" outlineLevel="0" collapsed="false">
      <c r="A44" s="13"/>
      <c r="B44" s="13"/>
      <c r="C44" s="15"/>
      <c r="D44" s="16"/>
      <c r="E44" s="16"/>
      <c r="F44" s="16"/>
      <c r="G44" s="16"/>
      <c r="H44" s="16"/>
      <c r="I44" s="16"/>
      <c r="J44" s="16"/>
      <c r="K44" s="16"/>
      <c r="L44" s="16"/>
      <c r="M44" s="16"/>
      <c r="N44" s="16"/>
      <c r="O44" s="16"/>
      <c r="P44" s="16"/>
      <c r="Q44" s="16"/>
      <c r="R44" s="16"/>
      <c r="S44" s="17"/>
      <c r="W44" s="102"/>
      <c r="X44" s="103"/>
    </row>
    <row r="45" customFormat="false" ht="15" hidden="true" customHeight="false" outlineLevel="0" collapsed="false">
      <c r="A45" s="13"/>
      <c r="B45" s="13"/>
      <c r="C45" s="15"/>
      <c r="D45" s="16"/>
      <c r="E45" s="16"/>
      <c r="F45" s="16"/>
      <c r="G45" s="16"/>
      <c r="H45" s="16"/>
      <c r="I45" s="16"/>
      <c r="J45" s="16"/>
      <c r="K45" s="16"/>
      <c r="L45" s="16"/>
      <c r="M45" s="16"/>
      <c r="N45" s="16"/>
      <c r="O45" s="16"/>
      <c r="P45" s="16"/>
      <c r="Q45" s="16"/>
      <c r="R45" s="16"/>
      <c r="S45" s="17"/>
      <c r="W45" s="102"/>
      <c r="X45" s="103"/>
    </row>
    <row r="46" customFormat="false" ht="15" hidden="true" customHeight="false" outlineLevel="0" collapsed="false">
      <c r="A46" s="13"/>
      <c r="B46" s="13"/>
      <c r="C46" s="15"/>
      <c r="D46" s="16"/>
      <c r="E46" s="16"/>
      <c r="F46" s="16"/>
      <c r="G46" s="16"/>
      <c r="H46" s="16"/>
      <c r="I46" s="16"/>
      <c r="J46" s="16"/>
      <c r="K46" s="16"/>
      <c r="L46" s="16"/>
      <c r="M46" s="16"/>
      <c r="N46" s="16"/>
      <c r="O46" s="16"/>
      <c r="P46" s="16"/>
      <c r="Q46" s="16"/>
      <c r="R46" s="16"/>
      <c r="S46" s="17"/>
      <c r="W46" s="102"/>
      <c r="X46" s="103"/>
    </row>
    <row r="47" customFormat="false" ht="15" hidden="true" customHeight="false" outlineLevel="0" collapsed="false">
      <c r="A47" s="13"/>
      <c r="B47" s="13"/>
      <c r="C47" s="15"/>
      <c r="D47" s="16"/>
      <c r="E47" s="16"/>
      <c r="F47" s="16"/>
      <c r="G47" s="16"/>
      <c r="H47" s="16"/>
      <c r="I47" s="16"/>
      <c r="J47" s="16"/>
      <c r="K47" s="16"/>
      <c r="L47" s="16"/>
      <c r="M47" s="16"/>
      <c r="N47" s="16"/>
      <c r="O47" s="16"/>
      <c r="P47" s="16"/>
      <c r="Q47" s="16"/>
      <c r="R47" s="16"/>
      <c r="S47" s="17"/>
      <c r="W47" s="102"/>
      <c r="X47" s="103"/>
    </row>
    <row r="48" customFormat="false" ht="15" hidden="true" customHeight="false" outlineLevel="0" collapsed="false">
      <c r="A48" s="13"/>
      <c r="B48" s="13"/>
      <c r="C48" s="15"/>
      <c r="D48" s="16"/>
      <c r="E48" s="16"/>
      <c r="F48" s="16"/>
      <c r="G48" s="16"/>
      <c r="H48" s="16"/>
      <c r="I48" s="16"/>
      <c r="J48" s="16"/>
      <c r="K48" s="16"/>
      <c r="L48" s="16"/>
      <c r="M48" s="16"/>
      <c r="N48" s="16"/>
      <c r="O48" s="16"/>
      <c r="P48" s="16"/>
      <c r="Q48" s="16"/>
      <c r="R48" s="16"/>
      <c r="S48" s="17"/>
      <c r="W48" s="102"/>
      <c r="X48" s="103"/>
    </row>
    <row r="49" customFormat="false" ht="15" hidden="true" customHeight="false" outlineLevel="0" collapsed="false">
      <c r="A49" s="13"/>
      <c r="B49" s="13"/>
      <c r="C49" s="15"/>
      <c r="D49" s="16"/>
      <c r="E49" s="16"/>
      <c r="F49" s="16"/>
      <c r="G49" s="16"/>
      <c r="H49" s="16"/>
      <c r="I49" s="16"/>
      <c r="J49" s="16"/>
      <c r="K49" s="16"/>
      <c r="L49" s="16"/>
      <c r="M49" s="16"/>
      <c r="N49" s="16"/>
      <c r="O49" s="16"/>
      <c r="P49" s="16"/>
      <c r="Q49" s="16"/>
      <c r="R49" s="16"/>
      <c r="S49" s="17"/>
      <c r="W49" s="102"/>
      <c r="X49" s="103"/>
    </row>
    <row r="50" customFormat="false" ht="15" hidden="true" customHeight="false" outlineLevel="0" collapsed="false">
      <c r="A50" s="13"/>
      <c r="B50" s="13"/>
      <c r="C50" s="15"/>
      <c r="D50" s="16"/>
      <c r="E50" s="16"/>
      <c r="F50" s="16"/>
      <c r="G50" s="16"/>
      <c r="H50" s="16"/>
      <c r="I50" s="16"/>
      <c r="J50" s="16"/>
      <c r="K50" s="16"/>
      <c r="L50" s="16"/>
      <c r="M50" s="16"/>
      <c r="N50" s="16"/>
      <c r="O50" s="16"/>
      <c r="P50" s="16"/>
      <c r="Q50" s="16"/>
      <c r="R50" s="16"/>
      <c r="S50" s="17"/>
      <c r="W50" s="102"/>
      <c r="X50" s="103"/>
    </row>
    <row r="51" customFormat="false" ht="15" hidden="true" customHeight="false" outlineLevel="0" collapsed="false">
      <c r="A51" s="13"/>
      <c r="B51" s="13"/>
      <c r="C51" s="15"/>
      <c r="D51" s="16"/>
      <c r="E51" s="16"/>
      <c r="F51" s="16"/>
      <c r="G51" s="16"/>
      <c r="H51" s="16"/>
      <c r="I51" s="16"/>
      <c r="J51" s="16"/>
      <c r="K51" s="16"/>
      <c r="L51" s="16"/>
      <c r="M51" s="16"/>
      <c r="N51" s="16"/>
      <c r="O51" s="16"/>
      <c r="P51" s="16"/>
      <c r="Q51" s="16"/>
      <c r="R51" s="16"/>
      <c r="S51" s="17"/>
      <c r="W51" s="102"/>
      <c r="X51" s="103"/>
    </row>
    <row r="52" customFormat="false" ht="15" hidden="true" customHeight="false" outlineLevel="0" collapsed="false">
      <c r="A52" s="13"/>
      <c r="B52" s="13"/>
      <c r="C52" s="15"/>
      <c r="D52" s="16"/>
      <c r="E52" s="16"/>
      <c r="F52" s="16"/>
      <c r="G52" s="16"/>
      <c r="H52" s="16"/>
      <c r="I52" s="16"/>
      <c r="J52" s="16"/>
      <c r="K52" s="16"/>
      <c r="L52" s="16"/>
      <c r="M52" s="16"/>
      <c r="N52" s="16"/>
      <c r="O52" s="16"/>
      <c r="P52" s="16"/>
      <c r="Q52" s="16"/>
      <c r="R52" s="16"/>
      <c r="S52" s="17"/>
      <c r="W52" s="102"/>
      <c r="X52" s="103"/>
    </row>
    <row r="53" customFormat="false" ht="15" hidden="true" customHeight="false" outlineLevel="0" collapsed="false">
      <c r="A53" s="13"/>
      <c r="B53" s="13"/>
      <c r="C53" s="15"/>
      <c r="D53" s="16"/>
      <c r="E53" s="16"/>
      <c r="F53" s="16"/>
      <c r="G53" s="16"/>
      <c r="H53" s="16"/>
      <c r="I53" s="16"/>
      <c r="J53" s="16"/>
      <c r="K53" s="16"/>
      <c r="L53" s="16"/>
      <c r="M53" s="16"/>
      <c r="N53" s="16"/>
      <c r="O53" s="16"/>
      <c r="P53" s="16"/>
      <c r="Q53" s="16"/>
      <c r="R53" s="16"/>
      <c r="S53" s="17"/>
      <c r="W53" s="102"/>
      <c r="X53" s="103"/>
    </row>
    <row r="54" customFormat="false" ht="15" hidden="true" customHeight="false" outlineLevel="0" collapsed="false">
      <c r="A54" s="13"/>
      <c r="B54" s="13"/>
      <c r="C54" s="15"/>
      <c r="D54" s="16"/>
      <c r="E54" s="16"/>
      <c r="F54" s="16"/>
      <c r="G54" s="16"/>
      <c r="H54" s="16"/>
      <c r="I54" s="16"/>
      <c r="J54" s="16"/>
      <c r="K54" s="16"/>
      <c r="L54" s="16"/>
      <c r="M54" s="16"/>
      <c r="N54" s="16"/>
      <c r="O54" s="16"/>
      <c r="P54" s="16"/>
      <c r="Q54" s="16"/>
      <c r="R54" s="16"/>
      <c r="S54" s="17"/>
      <c r="W54" s="102"/>
      <c r="X54" s="103"/>
    </row>
    <row r="55" customFormat="false" ht="15" hidden="true" customHeight="false" outlineLevel="0" collapsed="false">
      <c r="A55" s="13"/>
      <c r="B55" s="13"/>
      <c r="C55" s="15"/>
      <c r="D55" s="16"/>
      <c r="E55" s="16"/>
      <c r="F55" s="16"/>
      <c r="G55" s="16"/>
      <c r="H55" s="16"/>
      <c r="I55" s="16"/>
      <c r="J55" s="16"/>
      <c r="K55" s="16"/>
      <c r="L55" s="16"/>
      <c r="M55" s="16"/>
      <c r="N55" s="16"/>
      <c r="O55" s="16"/>
      <c r="P55" s="16"/>
      <c r="Q55" s="16"/>
      <c r="R55" s="16"/>
      <c r="S55" s="17"/>
      <c r="W55" s="102"/>
      <c r="X55" s="103"/>
    </row>
    <row r="56" customFormat="false" ht="15" hidden="true" customHeight="false" outlineLevel="0" collapsed="false">
      <c r="A56" s="13"/>
      <c r="B56" s="13"/>
      <c r="C56" s="15"/>
      <c r="D56" s="16"/>
      <c r="E56" s="16"/>
      <c r="F56" s="16"/>
      <c r="G56" s="16"/>
      <c r="H56" s="16"/>
      <c r="I56" s="16"/>
      <c r="J56" s="16"/>
      <c r="K56" s="16"/>
      <c r="L56" s="16"/>
      <c r="M56" s="16"/>
      <c r="N56" s="16"/>
      <c r="O56" s="16"/>
      <c r="P56" s="16"/>
      <c r="Q56" s="16"/>
      <c r="R56" s="16"/>
      <c r="S56" s="17"/>
      <c r="W56" s="102"/>
      <c r="X56" s="103"/>
    </row>
    <row r="57" customFormat="false" ht="15" hidden="true" customHeight="false" outlineLevel="0" collapsed="false">
      <c r="A57" s="13"/>
      <c r="B57" s="13"/>
      <c r="C57" s="15"/>
      <c r="D57" s="16"/>
      <c r="E57" s="16"/>
      <c r="F57" s="16"/>
      <c r="G57" s="16"/>
      <c r="H57" s="16"/>
      <c r="I57" s="16"/>
      <c r="J57" s="16"/>
      <c r="K57" s="16"/>
      <c r="L57" s="16"/>
      <c r="M57" s="16"/>
      <c r="N57" s="16"/>
      <c r="O57" s="16"/>
      <c r="P57" s="16"/>
      <c r="Q57" s="16"/>
      <c r="R57" s="16"/>
      <c r="S57" s="17"/>
      <c r="W57" s="102"/>
      <c r="X57" s="103"/>
    </row>
    <row r="58" customFormat="false" ht="15" hidden="true" customHeight="false" outlineLevel="0" collapsed="false">
      <c r="A58" s="13"/>
      <c r="B58" s="13"/>
      <c r="C58" s="15"/>
      <c r="D58" s="16"/>
      <c r="E58" s="16"/>
      <c r="F58" s="16"/>
      <c r="G58" s="16"/>
      <c r="H58" s="16"/>
      <c r="I58" s="16"/>
      <c r="J58" s="16"/>
      <c r="K58" s="16"/>
      <c r="L58" s="16"/>
      <c r="M58" s="16"/>
      <c r="N58" s="16"/>
      <c r="O58" s="16"/>
      <c r="P58" s="16"/>
      <c r="Q58" s="16"/>
      <c r="R58" s="16"/>
      <c r="S58" s="17"/>
      <c r="W58" s="102"/>
      <c r="X58" s="103"/>
    </row>
    <row r="59" customFormat="false" ht="15" hidden="true" customHeight="false" outlineLevel="0" collapsed="false">
      <c r="A59" s="13"/>
      <c r="B59" s="13"/>
      <c r="C59" s="15"/>
      <c r="D59" s="16"/>
      <c r="E59" s="16"/>
      <c r="F59" s="16"/>
      <c r="G59" s="16"/>
      <c r="H59" s="16"/>
      <c r="I59" s="16"/>
      <c r="J59" s="16"/>
      <c r="K59" s="16"/>
      <c r="L59" s="16"/>
      <c r="M59" s="16"/>
      <c r="N59" s="16"/>
      <c r="O59" s="16"/>
      <c r="P59" s="16"/>
      <c r="Q59" s="16"/>
      <c r="R59" s="16"/>
      <c r="S59" s="17"/>
      <c r="W59" s="102"/>
      <c r="X59" s="103"/>
    </row>
    <row r="60" customFormat="false" ht="15" hidden="true" customHeight="false" outlineLevel="0" collapsed="false">
      <c r="A60" s="13"/>
      <c r="B60" s="13"/>
      <c r="C60" s="15"/>
      <c r="D60" s="16"/>
      <c r="E60" s="16"/>
      <c r="F60" s="16"/>
      <c r="G60" s="16"/>
      <c r="H60" s="16"/>
      <c r="I60" s="16"/>
      <c r="J60" s="16"/>
      <c r="K60" s="16"/>
      <c r="L60" s="16"/>
      <c r="M60" s="16"/>
      <c r="N60" s="16"/>
      <c r="O60" s="16"/>
      <c r="P60" s="16"/>
      <c r="Q60" s="16"/>
      <c r="R60" s="16"/>
      <c r="S60" s="17"/>
      <c r="W60" s="102"/>
      <c r="X60" s="103"/>
    </row>
    <row r="61" customFormat="false" ht="15" hidden="true" customHeight="false" outlineLevel="0" collapsed="false">
      <c r="A61" s="13"/>
      <c r="B61" s="13"/>
      <c r="C61" s="15"/>
      <c r="D61" s="16"/>
      <c r="E61" s="16"/>
      <c r="F61" s="16"/>
      <c r="G61" s="16"/>
      <c r="H61" s="16"/>
      <c r="I61" s="16"/>
      <c r="J61" s="16"/>
      <c r="K61" s="16"/>
      <c r="L61" s="16"/>
      <c r="M61" s="16"/>
      <c r="N61" s="16"/>
      <c r="O61" s="16"/>
      <c r="P61" s="16"/>
      <c r="Q61" s="16"/>
      <c r="R61" s="16"/>
      <c r="S61" s="17"/>
      <c r="W61" s="102"/>
      <c r="X61" s="103"/>
    </row>
    <row r="63" customFormat="false" ht="15" hidden="false" customHeight="false" outlineLevel="0" collapsed="false">
      <c r="C63" s="19" t="s">
        <v>50</v>
      </c>
      <c r="D63" s="19"/>
      <c r="E63" s="19"/>
      <c r="F63" s="19"/>
      <c r="G63" s="19"/>
      <c r="H63" s="19"/>
      <c r="I63" s="19"/>
      <c r="K63" s="20"/>
      <c r="L63" s="20"/>
      <c r="M63" s="20"/>
      <c r="N63" s="20"/>
      <c r="O63" s="19" t="s">
        <v>51</v>
      </c>
      <c r="P63" s="19"/>
      <c r="Q63" s="19"/>
      <c r="R63" s="19"/>
    </row>
    <row r="64" customFormat="false" ht="15" hidden="false" customHeight="false" outlineLevel="0" collapsed="false">
      <c r="E64" s="21"/>
      <c r="F64" s="21"/>
      <c r="G64" s="21"/>
      <c r="H64" s="21"/>
      <c r="K64" s="21"/>
      <c r="L64" s="21"/>
      <c r="M64" s="21"/>
      <c r="N64" s="21"/>
      <c r="O64" s="21"/>
      <c r="P64" s="21"/>
      <c r="Q64" s="21"/>
      <c r="R64" s="21"/>
    </row>
    <row r="65" customFormat="false" ht="15" hidden="false" customHeight="false" outlineLevel="0" collapsed="false">
      <c r="E65" s="21"/>
      <c r="F65" s="21"/>
      <c r="G65" s="21"/>
      <c r="H65" s="21"/>
      <c r="K65" s="21"/>
      <c r="L65" s="21"/>
      <c r="M65" s="21"/>
      <c r="N65" s="21"/>
      <c r="O65" s="21"/>
      <c r="P65" s="21"/>
      <c r="Q65" s="21"/>
      <c r="R65" s="21"/>
    </row>
    <row r="66" customFormat="false" ht="15" hidden="false" customHeight="false" outlineLevel="0" collapsed="false">
      <c r="E66" s="21"/>
      <c r="F66" s="21"/>
      <c r="G66" s="21"/>
      <c r="H66" s="21"/>
      <c r="K66" s="21"/>
      <c r="L66" s="21"/>
      <c r="M66" s="21"/>
      <c r="N66" s="21"/>
      <c r="O66" s="21"/>
      <c r="P66" s="21"/>
      <c r="Q66" s="21"/>
      <c r="R66" s="21"/>
    </row>
    <row r="67" customFormat="false" ht="15" hidden="false" customHeight="false" outlineLevel="0" collapsed="false">
      <c r="E67" s="21"/>
      <c r="F67" s="21"/>
      <c r="G67" s="21"/>
      <c r="H67" s="21"/>
      <c r="K67" s="21"/>
      <c r="L67" s="21"/>
      <c r="M67" s="21"/>
      <c r="N67" s="21"/>
      <c r="O67" s="21"/>
      <c r="P67" s="21"/>
      <c r="Q67" s="21"/>
      <c r="R67" s="21"/>
    </row>
    <row r="68" customFormat="false" ht="15" hidden="false" customHeight="false" outlineLevel="0" collapsed="false">
      <c r="C68" s="19" t="s">
        <v>52</v>
      </c>
      <c r="D68" s="19"/>
      <c r="E68" s="19"/>
      <c r="F68" s="19"/>
      <c r="G68" s="19"/>
      <c r="H68" s="19"/>
      <c r="I68" s="19"/>
      <c r="K68" s="20"/>
      <c r="L68" s="20"/>
      <c r="M68" s="20"/>
      <c r="N68" s="20"/>
      <c r="O68" s="19" t="s">
        <v>53</v>
      </c>
      <c r="P68" s="19"/>
      <c r="Q68" s="19"/>
      <c r="R68" s="19"/>
    </row>
  </sheetData>
  <mergeCells count="13">
    <mergeCell ref="A1:S1"/>
    <mergeCell ref="A2:S2"/>
    <mergeCell ref="A20:A21"/>
    <mergeCell ref="B20:B21"/>
    <mergeCell ref="C20:C21"/>
    <mergeCell ref="D20:I20"/>
    <mergeCell ref="J20:L20"/>
    <mergeCell ref="M20:R20"/>
    <mergeCell ref="S20:S21"/>
    <mergeCell ref="C63:I63"/>
    <mergeCell ref="O63:R63"/>
    <mergeCell ref="C68:I68"/>
    <mergeCell ref="O68:R68"/>
  </mergeCells>
  <printOptions headings="false" gridLines="false" gridLinesSet="true" horizontalCentered="true" verticalCentered="false"/>
  <pageMargins left="0.39375" right="0.196527777777778" top="0.747916666666667" bottom="0.393055555555556" header="0.511811023622047" footer="0.196527777777778"/>
  <pageSetup paperSize="9" scale="100" fitToWidth="1" fitToHeight="2" pageOrder="downThenOver" orientation="landscape" blackAndWhite="false" draft="false" cellComments="none" horizontalDpi="300" verticalDpi="300" copies="1"/>
  <headerFooter differentFirst="false" differentOddEven="false">
    <oddHeader/>
    <oddFooter>&amp;C&amp;P</oddFooter>
  </headerFooter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HW136"/>
  <sheetViews>
    <sheetView showFormulas="false" showGridLines="true" showRowColHeaders="true" showZeros="true" rightToLeft="false" tabSelected="false" showOutlineSymbols="true" defaultGridColor="true" view="normal" topLeftCell="A1" colorId="64" zoomScale="70" zoomScaleNormal="70" zoomScalePageLayoutView="100" workbookViewId="0">
      <selection pane="topLeft" activeCell="D7" activeCellId="0" sqref="D7"/>
    </sheetView>
  </sheetViews>
  <sheetFormatPr defaultColWidth="9.2890625" defaultRowHeight="12.75" zeroHeight="false" outlineLevelRow="0" outlineLevelCol="0"/>
  <cols>
    <col collapsed="false" customWidth="true" hidden="false" outlineLevel="0" max="1" min="1" style="22" width="6.71"/>
    <col collapsed="false" customWidth="true" hidden="false" outlineLevel="0" max="2" min="2" style="22" width="12.29"/>
    <col collapsed="false" customWidth="true" hidden="false" outlineLevel="0" max="3" min="3" style="22" width="19.57"/>
    <col collapsed="false" customWidth="true" hidden="false" outlineLevel="0" max="4" min="4" style="23" width="12.71"/>
    <col collapsed="false" customWidth="true" hidden="true" outlineLevel="0" max="6" min="5" style="23" width="8.42"/>
    <col collapsed="false" customWidth="true" hidden="true" outlineLevel="0" max="7" min="7" style="23" width="11"/>
    <col collapsed="false" customWidth="true" hidden="true" outlineLevel="0" max="12" min="8" style="23" width="8.42"/>
    <col collapsed="false" customWidth="true" hidden="true" outlineLevel="0" max="14" min="13" style="23" width="14.29"/>
    <col collapsed="false" customWidth="true" hidden="false" outlineLevel="0" max="15" min="15" style="23" width="15.42"/>
    <col collapsed="false" customWidth="true" hidden="true" outlineLevel="0" max="22" min="16" style="23" width="14.29"/>
    <col collapsed="false" customWidth="true" hidden="false" outlineLevel="0" max="23" min="23" style="23" width="15.29"/>
    <col collapsed="false" customWidth="true" hidden="true" outlineLevel="0" max="25" min="24" style="23" width="14.29"/>
    <col collapsed="false" customWidth="true" hidden="true" outlineLevel="0" max="27" min="26" style="23" width="12.86"/>
    <col collapsed="false" customWidth="true" hidden="false" outlineLevel="0" max="28" min="28" style="23" width="10.29"/>
    <col collapsed="false" customWidth="false" hidden="true" outlineLevel="0" max="29" min="29" style="23" width="9.29"/>
    <col collapsed="false" customWidth="false" hidden="false" outlineLevel="0" max="30" min="30" style="22" width="9.29"/>
    <col collapsed="false" customWidth="true" hidden="false" outlineLevel="0" max="31" min="31" style="22" width="11.85"/>
    <col collapsed="false" customWidth="true" hidden="false" outlineLevel="0" max="32" min="32" style="22" width="24.57"/>
    <col collapsed="false" customWidth="false" hidden="false" outlineLevel="0" max="16384" min="33" style="22" width="9.29"/>
  </cols>
  <sheetData>
    <row r="1" s="26" customFormat="true" ht="16.5" hidden="false" customHeight="true" outlineLevel="0" collapsed="false">
      <c r="A1" s="25" t="s">
        <v>54</v>
      </c>
      <c r="B1" s="25"/>
      <c r="C1" s="25"/>
      <c r="D1" s="25"/>
      <c r="E1" s="25"/>
      <c r="F1" s="25"/>
      <c r="G1" s="25"/>
      <c r="H1" s="25"/>
      <c r="I1" s="25"/>
      <c r="J1" s="25"/>
      <c r="K1" s="25"/>
      <c r="L1" s="25"/>
      <c r="M1" s="25"/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</row>
    <row r="2" s="26" customFormat="true" ht="16.5" hidden="false" customHeight="true" outlineLevel="0" collapsed="false">
      <c r="A2" s="28" t="str">
        <f>"Kèm theo BBNT số: "&amp;VLOOKUP(AZ2,'[1]Tuyến XD8'!$A$2:$G$60,7,0)&amp;VLOOKUP(AZ2,'[1]Tuyến XD8'!$A$2:$G$60,4,0)</f>
        <v xml:space="preserve">Kèm theo BBNT số: 67.NĐXD8/CVXD ngày 18 tháng 09 năm 2026</v>
      </c>
      <c r="B2" s="28"/>
      <c r="C2" s="28"/>
      <c r="D2" s="28"/>
      <c r="E2" s="28"/>
      <c r="F2" s="28"/>
      <c r="G2" s="28"/>
      <c r="H2" s="28"/>
      <c r="I2" s="28"/>
      <c r="J2" s="28"/>
      <c r="K2" s="28"/>
      <c r="L2" s="28"/>
      <c r="M2" s="28"/>
      <c r="N2" s="28"/>
      <c r="O2" s="28"/>
      <c r="P2" s="28"/>
      <c r="Q2" s="28"/>
      <c r="R2" s="28"/>
      <c r="S2" s="28"/>
      <c r="T2" s="28"/>
      <c r="U2" s="28"/>
      <c r="V2" s="28"/>
      <c r="W2" s="28"/>
      <c r="X2" s="28"/>
      <c r="Y2" s="28"/>
      <c r="Z2" s="28"/>
      <c r="AA2" s="28"/>
      <c r="AB2" s="28"/>
      <c r="AZ2">
        <v>67</v>
      </c>
    </row>
    <row r="3" s="32" customFormat="true" ht="37.5" hidden="false" customHeight="true" outlineLevel="0" collapsed="false">
      <c r="A3" s="29" t="str">
        <f aca="false">'1.KTHH L1'!A3</f>
        <v>Dự án: Xây dựng HTKT Khu tái định cư phục vụ di dân xã Hải Hà, thị xã Nghi Sơn, tỉnh Thanh Hóa.</v>
      </c>
      <c r="B3" s="29"/>
      <c r="C3" s="29"/>
      <c r="D3" s="29"/>
      <c r="E3" s="29"/>
      <c r="F3" s="29"/>
      <c r="G3" s="29"/>
      <c r="H3" s="29"/>
      <c r="I3" s="29"/>
      <c r="J3" s="29"/>
      <c r="K3" s="29"/>
      <c r="L3" s="29"/>
      <c r="M3" s="29"/>
      <c r="N3" s="29"/>
      <c r="O3" s="29"/>
      <c r="P3" s="29"/>
      <c r="Q3" s="29"/>
      <c r="R3" s="29"/>
      <c r="S3" s="29"/>
      <c r="T3" s="29"/>
      <c r="U3" s="29"/>
      <c r="V3" s="29"/>
      <c r="W3" s="29"/>
      <c r="X3" s="29"/>
      <c r="Y3" s="29"/>
      <c r="Z3" s="29"/>
      <c r="AA3" s="29"/>
      <c r="AB3" s="29"/>
      <c r="AC3" s="30"/>
      <c r="AD3" s="30"/>
      <c r="AE3" s="30"/>
      <c r="AF3" s="30"/>
      <c r="AG3" s="30"/>
      <c r="AH3" s="30"/>
      <c r="AI3" s="30"/>
      <c r="AJ3" s="30"/>
      <c r="AK3" s="30"/>
      <c r="AL3" s="30"/>
      <c r="AM3" s="30"/>
      <c r="AN3" s="30"/>
      <c r="AO3" s="30"/>
      <c r="AP3" s="30"/>
      <c r="AQ3" s="30"/>
      <c r="AR3" s="30"/>
      <c r="AS3" s="30"/>
      <c r="AT3" s="30"/>
      <c r="AU3" s="30"/>
      <c r="AV3" s="30"/>
      <c r="AW3" s="30"/>
      <c r="AX3" s="30"/>
      <c r="AY3" s="30"/>
      <c r="AZ3" s="30"/>
      <c r="BA3" s="30"/>
      <c r="BB3" s="30"/>
      <c r="BC3" s="30"/>
      <c r="BD3" s="30"/>
      <c r="BE3" s="30"/>
      <c r="BF3" s="30"/>
      <c r="BG3" s="30"/>
      <c r="BH3" s="30"/>
      <c r="BI3" s="30"/>
      <c r="BJ3" s="30"/>
      <c r="BK3" s="30"/>
      <c r="BL3" s="30"/>
      <c r="BM3" s="30"/>
      <c r="BN3" s="30"/>
      <c r="BO3" s="30"/>
      <c r="BP3" s="30"/>
      <c r="BQ3" s="30"/>
      <c r="BR3" s="30"/>
      <c r="BS3" s="30"/>
      <c r="BT3" s="30"/>
      <c r="BU3" s="30"/>
      <c r="BV3" s="30"/>
      <c r="BW3" s="30"/>
      <c r="BX3" s="30"/>
      <c r="BY3" s="30"/>
      <c r="BZ3" s="30"/>
      <c r="CA3" s="30"/>
      <c r="CB3" s="30"/>
      <c r="CC3" s="30"/>
      <c r="CD3" s="30"/>
      <c r="CE3" s="30"/>
      <c r="CF3" s="30"/>
      <c r="CG3" s="30"/>
      <c r="CH3" s="30"/>
      <c r="CI3" s="30"/>
      <c r="CJ3" s="30"/>
      <c r="CK3" s="30"/>
      <c r="CL3" s="30"/>
      <c r="CM3" s="30"/>
      <c r="CN3" s="30"/>
      <c r="CO3" s="30"/>
      <c r="CP3" s="30"/>
      <c r="CQ3" s="30"/>
      <c r="CR3" s="30"/>
      <c r="CS3" s="30"/>
      <c r="CT3" s="30"/>
      <c r="CU3" s="30"/>
      <c r="CV3" s="30"/>
      <c r="CW3" s="30"/>
      <c r="CX3" s="30"/>
      <c r="CY3" s="30"/>
      <c r="CZ3" s="30"/>
      <c r="DA3" s="30"/>
      <c r="DB3" s="30"/>
      <c r="DC3" s="30"/>
      <c r="DD3" s="30"/>
      <c r="DE3" s="30"/>
      <c r="DF3" s="30"/>
      <c r="DG3" s="30"/>
      <c r="DH3" s="30"/>
      <c r="DI3" s="30"/>
      <c r="DJ3" s="30"/>
      <c r="DK3" s="30"/>
      <c r="DL3" s="30"/>
      <c r="DM3" s="30"/>
      <c r="DN3" s="30"/>
      <c r="DO3" s="30"/>
      <c r="DP3" s="30"/>
      <c r="DQ3" s="30"/>
      <c r="DR3" s="30"/>
      <c r="DS3" s="30"/>
      <c r="DT3" s="30"/>
      <c r="DU3" s="30"/>
      <c r="DV3" s="30"/>
      <c r="DW3" s="30"/>
      <c r="DX3" s="30"/>
      <c r="DY3" s="30"/>
      <c r="DZ3" s="30"/>
      <c r="EA3" s="30"/>
      <c r="EB3" s="30"/>
      <c r="EC3" s="30"/>
      <c r="ED3" s="30"/>
      <c r="EE3" s="30"/>
      <c r="EF3" s="30"/>
      <c r="EG3" s="30"/>
      <c r="EH3" s="30"/>
      <c r="EI3" s="30"/>
      <c r="EJ3" s="30"/>
      <c r="EK3" s="30"/>
      <c r="EL3" s="30"/>
      <c r="EM3" s="30"/>
      <c r="EN3" s="30"/>
      <c r="EO3" s="30"/>
      <c r="EP3" s="30"/>
      <c r="EQ3" s="30"/>
      <c r="ER3" s="30"/>
      <c r="ES3" s="30"/>
      <c r="ET3" s="30"/>
      <c r="EU3" s="30"/>
      <c r="EV3" s="30"/>
      <c r="EW3" s="30"/>
      <c r="EX3" s="30"/>
      <c r="EY3" s="30"/>
      <c r="EZ3" s="30"/>
      <c r="FA3" s="30"/>
      <c r="FB3" s="30"/>
      <c r="FC3" s="30"/>
      <c r="FD3" s="30"/>
      <c r="FE3" s="30"/>
      <c r="FF3" s="30"/>
      <c r="FG3" s="30"/>
      <c r="FH3" s="30"/>
      <c r="FI3" s="30"/>
      <c r="FJ3" s="30"/>
      <c r="FK3" s="30"/>
      <c r="FL3" s="30"/>
      <c r="FM3" s="30"/>
      <c r="FN3" s="30"/>
      <c r="FO3" s="30"/>
      <c r="FP3" s="30"/>
      <c r="FQ3" s="30"/>
      <c r="FR3" s="30"/>
      <c r="FS3" s="30"/>
      <c r="FT3" s="30"/>
      <c r="FU3" s="30"/>
      <c r="FV3" s="30"/>
      <c r="FW3" s="30"/>
      <c r="FX3" s="30"/>
      <c r="FY3" s="30"/>
      <c r="FZ3" s="30"/>
      <c r="GA3" s="30"/>
      <c r="GB3" s="30"/>
      <c r="GC3" s="30"/>
      <c r="GD3" s="30"/>
      <c r="GE3" s="30"/>
      <c r="GF3" s="30"/>
      <c r="GG3" s="30"/>
      <c r="GH3" s="30"/>
      <c r="GI3" s="30"/>
      <c r="GJ3" s="30"/>
      <c r="GK3" s="30"/>
      <c r="GL3" s="30"/>
      <c r="GM3" s="30"/>
      <c r="GN3" s="30"/>
      <c r="GO3" s="30"/>
      <c r="GP3" s="30"/>
      <c r="GQ3" s="30"/>
      <c r="GR3" s="30"/>
      <c r="GS3" s="30"/>
      <c r="GT3" s="30"/>
      <c r="GU3" s="30"/>
      <c r="GV3" s="30"/>
      <c r="GW3" s="30"/>
      <c r="GX3" s="30"/>
      <c r="GY3" s="30"/>
      <c r="GZ3" s="30"/>
      <c r="HA3" s="30"/>
      <c r="HB3" s="30"/>
      <c r="HC3" s="30"/>
      <c r="HD3" s="30"/>
      <c r="HE3" s="30"/>
      <c r="HF3" s="30"/>
      <c r="HG3" s="30"/>
      <c r="HH3" s="30"/>
      <c r="HI3" s="30"/>
      <c r="HJ3" s="30"/>
      <c r="HK3" s="30"/>
      <c r="HL3" s="30"/>
      <c r="HM3" s="30"/>
      <c r="HN3" s="30"/>
      <c r="HO3" s="30"/>
      <c r="HP3" s="30"/>
      <c r="HQ3" s="30"/>
      <c r="HR3" s="30"/>
      <c r="HS3" s="30"/>
      <c r="HT3" s="30"/>
      <c r="HU3" s="30"/>
      <c r="HV3" s="30"/>
      <c r="HW3" s="30"/>
    </row>
    <row r="4" s="32" customFormat="true" ht="37.5" hidden="false" customHeight="true" outlineLevel="0" collapsed="false">
      <c r="A4" s="29" t="str">
        <f aca="false">'1.KTHH L1'!A4</f>
        <v>Gói thầu số 12: Xây dựng HTKT khu vực Hải Bình và Xuân Lâm (bao gồm cả bảo hiểm xây dựng công trình)</v>
      </c>
      <c r="B4" s="29"/>
      <c r="C4" s="29"/>
      <c r="D4" s="29"/>
      <c r="E4" s="29"/>
      <c r="F4" s="29"/>
      <c r="G4" s="29"/>
      <c r="H4" s="29"/>
      <c r="I4" s="29"/>
      <c r="J4" s="29"/>
      <c r="K4" s="29"/>
      <c r="L4" s="29"/>
      <c r="M4" s="29"/>
      <c r="N4" s="29"/>
      <c r="O4" s="29"/>
      <c r="P4" s="29"/>
      <c r="Q4" s="29"/>
      <c r="R4" s="29"/>
      <c r="S4" s="29"/>
      <c r="T4" s="29"/>
      <c r="U4" s="29"/>
      <c r="V4" s="29"/>
      <c r="W4" s="29"/>
      <c r="X4" s="29"/>
      <c r="Y4" s="29"/>
      <c r="Z4" s="29"/>
      <c r="AA4" s="29"/>
      <c r="AB4" s="29"/>
      <c r="AC4" s="30"/>
      <c r="AD4" s="30"/>
      <c r="AE4" s="30"/>
      <c r="AF4" s="30"/>
      <c r="AG4" s="30"/>
      <c r="AH4" s="30"/>
      <c r="AI4" s="30"/>
      <c r="AJ4" s="30"/>
      <c r="AK4" s="30"/>
      <c r="AL4" s="30"/>
      <c r="AM4" s="30"/>
      <c r="AN4" s="30"/>
      <c r="AO4" s="30"/>
      <c r="AP4" s="30"/>
      <c r="AQ4" s="30"/>
      <c r="AR4" s="30"/>
      <c r="AS4" s="30"/>
      <c r="AT4" s="30"/>
      <c r="AU4" s="30"/>
      <c r="AV4" s="30"/>
      <c r="AW4" s="30"/>
      <c r="AX4" s="30"/>
      <c r="AY4" s="30"/>
      <c r="AZ4" s="30"/>
      <c r="BA4" s="30"/>
      <c r="BB4" s="30"/>
      <c r="BC4" s="30"/>
      <c r="BD4" s="30"/>
      <c r="BE4" s="30"/>
      <c r="BF4" s="30"/>
      <c r="BG4" s="30"/>
      <c r="BH4" s="30"/>
      <c r="BI4" s="30"/>
      <c r="BJ4" s="30"/>
      <c r="BK4" s="30"/>
      <c r="BL4" s="30"/>
      <c r="BM4" s="30"/>
      <c r="BN4" s="30"/>
      <c r="BO4" s="30"/>
      <c r="BP4" s="30"/>
      <c r="BQ4" s="30"/>
      <c r="BR4" s="30"/>
      <c r="BS4" s="30"/>
      <c r="BT4" s="30"/>
      <c r="BU4" s="30"/>
      <c r="BV4" s="30"/>
      <c r="BW4" s="30"/>
      <c r="BX4" s="30"/>
      <c r="BY4" s="30"/>
      <c r="BZ4" s="30"/>
      <c r="CA4" s="30"/>
      <c r="CB4" s="30"/>
      <c r="CC4" s="30"/>
      <c r="CD4" s="30"/>
      <c r="CE4" s="30"/>
      <c r="CF4" s="30"/>
      <c r="CG4" s="30"/>
      <c r="CH4" s="30"/>
      <c r="CI4" s="30"/>
      <c r="CJ4" s="30"/>
      <c r="CK4" s="30"/>
      <c r="CL4" s="30"/>
      <c r="CM4" s="30"/>
      <c r="CN4" s="30"/>
      <c r="CO4" s="30"/>
      <c r="CP4" s="30"/>
      <c r="CQ4" s="30"/>
      <c r="CR4" s="30"/>
      <c r="CS4" s="30"/>
      <c r="CT4" s="30"/>
      <c r="CU4" s="30"/>
      <c r="CV4" s="30"/>
      <c r="CW4" s="30"/>
      <c r="CX4" s="30"/>
      <c r="CY4" s="30"/>
      <c r="CZ4" s="30"/>
      <c r="DA4" s="30"/>
      <c r="DB4" s="30"/>
      <c r="DC4" s="30"/>
      <c r="DD4" s="30"/>
      <c r="DE4" s="30"/>
      <c r="DF4" s="30"/>
      <c r="DG4" s="30"/>
      <c r="DH4" s="30"/>
      <c r="DI4" s="30"/>
      <c r="DJ4" s="30"/>
      <c r="DK4" s="30"/>
      <c r="DL4" s="30"/>
      <c r="DM4" s="30"/>
      <c r="DN4" s="30"/>
      <c r="DO4" s="30"/>
      <c r="DP4" s="30"/>
      <c r="DQ4" s="30"/>
      <c r="DR4" s="30"/>
      <c r="DS4" s="30"/>
      <c r="DT4" s="30"/>
      <c r="DU4" s="30"/>
      <c r="DV4" s="30"/>
      <c r="DW4" s="30"/>
      <c r="DX4" s="30"/>
      <c r="DY4" s="30"/>
      <c r="DZ4" s="30"/>
      <c r="EA4" s="30"/>
      <c r="EB4" s="30"/>
      <c r="EC4" s="30"/>
      <c r="ED4" s="30"/>
      <c r="EE4" s="30"/>
      <c r="EF4" s="30"/>
      <c r="EG4" s="30"/>
      <c r="EH4" s="30"/>
      <c r="EI4" s="30"/>
      <c r="EJ4" s="30"/>
      <c r="EK4" s="30"/>
      <c r="EL4" s="30"/>
      <c r="EM4" s="30"/>
      <c r="EN4" s="30"/>
      <c r="EO4" s="30"/>
      <c r="EP4" s="30"/>
      <c r="EQ4" s="30"/>
      <c r="ER4" s="30"/>
      <c r="ES4" s="30"/>
      <c r="ET4" s="30"/>
      <c r="EU4" s="30"/>
      <c r="EV4" s="30"/>
      <c r="EW4" s="30"/>
      <c r="EX4" s="30"/>
      <c r="EY4" s="30"/>
      <c r="EZ4" s="30"/>
      <c r="FA4" s="30"/>
      <c r="FB4" s="30"/>
      <c r="FC4" s="30"/>
      <c r="FD4" s="30"/>
      <c r="FE4" s="30"/>
      <c r="FF4" s="30"/>
      <c r="FG4" s="30"/>
      <c r="FH4" s="30"/>
      <c r="FI4" s="30"/>
      <c r="FJ4" s="30"/>
      <c r="FK4" s="30"/>
      <c r="FL4" s="30"/>
      <c r="FM4" s="30"/>
      <c r="FN4" s="30"/>
      <c r="FO4" s="30"/>
      <c r="FP4" s="30"/>
      <c r="FQ4" s="30"/>
      <c r="FR4" s="30"/>
      <c r="FS4" s="30"/>
      <c r="FT4" s="30"/>
      <c r="FU4" s="30"/>
      <c r="FV4" s="30"/>
      <c r="FW4" s="30"/>
      <c r="FX4" s="30"/>
      <c r="FY4" s="30"/>
      <c r="FZ4" s="30"/>
      <c r="GA4" s="30"/>
      <c r="GB4" s="30"/>
      <c r="GC4" s="30"/>
      <c r="GD4" s="30"/>
      <c r="GE4" s="30"/>
      <c r="GF4" s="30"/>
      <c r="GG4" s="30"/>
      <c r="GH4" s="30"/>
      <c r="GI4" s="30"/>
      <c r="GJ4" s="30"/>
      <c r="GK4" s="30"/>
      <c r="GL4" s="30"/>
      <c r="GM4" s="30"/>
      <c r="GN4" s="30"/>
      <c r="GO4" s="30"/>
      <c r="GP4" s="30"/>
      <c r="GQ4" s="30"/>
      <c r="GR4" s="30"/>
      <c r="GS4" s="30"/>
      <c r="GT4" s="30"/>
      <c r="GU4" s="30"/>
      <c r="GV4" s="30"/>
      <c r="GW4" s="30"/>
      <c r="GX4" s="30"/>
      <c r="GY4" s="30"/>
      <c r="GZ4" s="30"/>
      <c r="HA4" s="30"/>
      <c r="HB4" s="30"/>
      <c r="HC4" s="30"/>
      <c r="HD4" s="30"/>
      <c r="HE4" s="30"/>
      <c r="HF4" s="30"/>
      <c r="HG4" s="30"/>
      <c r="HH4" s="30"/>
      <c r="HI4" s="30"/>
      <c r="HJ4" s="30"/>
      <c r="HK4" s="30"/>
      <c r="HL4" s="30"/>
      <c r="HM4" s="30"/>
      <c r="HN4" s="30"/>
      <c r="HO4" s="30"/>
      <c r="HP4" s="30"/>
      <c r="HQ4" s="30"/>
      <c r="HR4" s="30"/>
      <c r="HS4" s="30"/>
      <c r="HT4" s="30"/>
      <c r="HU4" s="30"/>
      <c r="HV4" s="30"/>
      <c r="HW4" s="30"/>
    </row>
    <row r="5" s="32" customFormat="true" ht="16.5" hidden="false" customHeight="true" outlineLevel="0" collapsed="false">
      <c r="A5" s="29" t="str">
        <f aca="false">'1.KTHH L1'!A5</f>
        <v>Nhà thầu thi công: Công ty TNHH Hoàng Tuấn</v>
      </c>
      <c r="B5" s="29"/>
      <c r="C5" s="29"/>
      <c r="D5" s="29"/>
      <c r="E5" s="29"/>
      <c r="F5" s="29"/>
      <c r="G5" s="29"/>
      <c r="H5" s="29"/>
      <c r="I5" s="29"/>
      <c r="J5" s="29"/>
      <c r="K5" s="29"/>
      <c r="L5" s="29"/>
      <c r="M5" s="29"/>
      <c r="N5" s="29"/>
      <c r="O5" s="29"/>
      <c r="P5" s="29"/>
      <c r="Q5" s="29"/>
      <c r="R5" s="29"/>
      <c r="S5" s="29"/>
      <c r="T5" s="29"/>
      <c r="U5" s="29"/>
      <c r="V5" s="29"/>
      <c r="W5" s="29"/>
      <c r="X5" s="29"/>
      <c r="Y5" s="29"/>
      <c r="Z5" s="29"/>
      <c r="AA5" s="29"/>
      <c r="AB5" s="29"/>
      <c r="AC5" s="30"/>
      <c r="AD5" s="30"/>
      <c r="AE5" s="30"/>
      <c r="AF5" s="30"/>
      <c r="AG5" s="30"/>
      <c r="AH5" s="30"/>
      <c r="AI5" s="30"/>
      <c r="AJ5" s="30"/>
      <c r="AK5" s="30"/>
      <c r="AL5" s="30"/>
      <c r="AM5" s="30"/>
      <c r="AN5" s="30"/>
      <c r="AO5" s="30"/>
      <c r="AP5" s="30"/>
      <c r="AQ5" s="30"/>
      <c r="AR5" s="30"/>
      <c r="AS5" s="30"/>
      <c r="AT5" s="30"/>
      <c r="AU5" s="30"/>
      <c r="AV5" s="30"/>
      <c r="AW5" s="30"/>
      <c r="AX5" s="30"/>
      <c r="AY5" s="30"/>
      <c r="AZ5" s="30"/>
      <c r="BA5" s="30"/>
      <c r="BB5" s="30"/>
      <c r="BC5" s="30"/>
      <c r="BD5" s="30"/>
      <c r="BE5" s="30"/>
      <c r="BF5" s="30"/>
      <c r="BG5" s="30"/>
      <c r="BH5" s="30"/>
      <c r="BI5" s="30"/>
      <c r="BJ5" s="30"/>
      <c r="BK5" s="30"/>
      <c r="BL5" s="30"/>
      <c r="BM5" s="30"/>
      <c r="BN5" s="30"/>
      <c r="BO5" s="30"/>
      <c r="BP5" s="30"/>
      <c r="BQ5" s="30"/>
      <c r="BR5" s="30"/>
      <c r="BS5" s="30"/>
      <c r="BT5" s="30"/>
      <c r="BU5" s="30"/>
      <c r="BV5" s="30"/>
      <c r="BW5" s="30"/>
      <c r="BX5" s="30"/>
      <c r="BY5" s="30"/>
      <c r="BZ5" s="30"/>
      <c r="CA5" s="30"/>
      <c r="CB5" s="30"/>
      <c r="CC5" s="30"/>
      <c r="CD5" s="30"/>
      <c r="CE5" s="30"/>
      <c r="CF5" s="30"/>
      <c r="CG5" s="30"/>
      <c r="CH5" s="30"/>
      <c r="CI5" s="30"/>
      <c r="CJ5" s="30"/>
      <c r="CK5" s="30"/>
      <c r="CL5" s="30"/>
      <c r="CM5" s="30"/>
      <c r="CN5" s="30"/>
      <c r="CO5" s="30"/>
      <c r="CP5" s="30"/>
      <c r="CQ5" s="30"/>
      <c r="CR5" s="30"/>
      <c r="CS5" s="30"/>
      <c r="CT5" s="30"/>
      <c r="CU5" s="30"/>
      <c r="CV5" s="30"/>
      <c r="CW5" s="30"/>
      <c r="CX5" s="30"/>
      <c r="CY5" s="30"/>
      <c r="CZ5" s="30"/>
      <c r="DA5" s="30"/>
      <c r="DB5" s="30"/>
      <c r="DC5" s="30"/>
      <c r="DD5" s="30"/>
      <c r="DE5" s="30"/>
      <c r="DF5" s="30"/>
      <c r="DG5" s="30"/>
      <c r="DH5" s="30"/>
      <c r="DI5" s="30"/>
      <c r="DJ5" s="30"/>
      <c r="DK5" s="30"/>
      <c r="DL5" s="30"/>
      <c r="DM5" s="30"/>
      <c r="DN5" s="30"/>
      <c r="DO5" s="30"/>
      <c r="DP5" s="30"/>
      <c r="DQ5" s="30"/>
      <c r="DR5" s="30"/>
      <c r="DS5" s="30"/>
      <c r="DT5" s="30"/>
      <c r="DU5" s="30"/>
      <c r="DV5" s="30"/>
      <c r="DW5" s="30"/>
      <c r="DX5" s="30"/>
      <c r="DY5" s="30"/>
      <c r="DZ5" s="30"/>
      <c r="EA5" s="30"/>
      <c r="EB5" s="30"/>
      <c r="EC5" s="30"/>
      <c r="ED5" s="30"/>
      <c r="EE5" s="30"/>
      <c r="EF5" s="30"/>
      <c r="EG5" s="30"/>
      <c r="EH5" s="30"/>
      <c r="EI5" s="30"/>
      <c r="EJ5" s="30"/>
      <c r="EK5" s="30"/>
      <c r="EL5" s="30"/>
      <c r="EM5" s="30"/>
      <c r="EN5" s="30"/>
      <c r="EO5" s="30"/>
      <c r="EP5" s="30"/>
      <c r="EQ5" s="30"/>
      <c r="ER5" s="30"/>
      <c r="ES5" s="30"/>
      <c r="ET5" s="30"/>
      <c r="EU5" s="30"/>
      <c r="EV5" s="30"/>
      <c r="EW5" s="30"/>
      <c r="EX5" s="30"/>
      <c r="EY5" s="30"/>
      <c r="EZ5" s="30"/>
      <c r="FA5" s="30"/>
      <c r="FB5" s="30"/>
      <c r="FC5" s="30"/>
      <c r="FD5" s="30"/>
      <c r="FE5" s="30"/>
      <c r="FF5" s="30"/>
      <c r="FG5" s="30"/>
      <c r="FH5" s="30"/>
      <c r="FI5" s="30"/>
      <c r="FJ5" s="30"/>
      <c r="FK5" s="30"/>
      <c r="FL5" s="30"/>
      <c r="FM5" s="30"/>
      <c r="FN5" s="30"/>
      <c r="FO5" s="30"/>
      <c r="FP5" s="30"/>
      <c r="FQ5" s="30"/>
      <c r="FR5" s="30"/>
      <c r="FS5" s="30"/>
      <c r="FT5" s="30"/>
      <c r="FU5" s="30"/>
      <c r="FV5" s="30"/>
      <c r="FW5" s="30"/>
      <c r="FX5" s="30"/>
      <c r="FY5" s="30"/>
      <c r="FZ5" s="30"/>
      <c r="GA5" s="30"/>
      <c r="GB5" s="30"/>
      <c r="GC5" s="30"/>
      <c r="GD5" s="30"/>
      <c r="GE5" s="30"/>
      <c r="GF5" s="30"/>
      <c r="GG5" s="30"/>
      <c r="GH5" s="30"/>
      <c r="GI5" s="30"/>
      <c r="GJ5" s="30"/>
      <c r="GK5" s="30"/>
      <c r="GL5" s="30"/>
      <c r="GM5" s="30"/>
      <c r="GN5" s="30"/>
      <c r="GO5" s="30"/>
      <c r="GP5" s="30"/>
      <c r="GQ5" s="30"/>
      <c r="GR5" s="30"/>
      <c r="GS5" s="30"/>
      <c r="GT5" s="30"/>
      <c r="GU5" s="30"/>
      <c r="GV5" s="30"/>
      <c r="GW5" s="30"/>
      <c r="GX5" s="30"/>
      <c r="GY5" s="30"/>
      <c r="GZ5" s="30"/>
      <c r="HA5" s="30"/>
      <c r="HB5" s="30"/>
      <c r="HC5" s="30"/>
      <c r="HD5" s="30"/>
      <c r="HE5" s="30"/>
      <c r="HF5" s="30"/>
      <c r="HG5" s="30"/>
      <c r="HH5" s="30"/>
      <c r="HI5" s="30"/>
      <c r="HJ5" s="30"/>
      <c r="HK5" s="30"/>
      <c r="HL5" s="30"/>
      <c r="HM5" s="30"/>
      <c r="HN5" s="30"/>
      <c r="HO5" s="30"/>
      <c r="HP5" s="30"/>
      <c r="HQ5" s="30"/>
      <c r="HR5" s="30"/>
      <c r="HS5" s="30"/>
      <c r="HT5" s="30"/>
      <c r="HU5" s="30"/>
      <c r="HV5" s="30"/>
      <c r="HW5" s="30"/>
    </row>
    <row r="6" s="32" customFormat="true" ht="16.5" hidden="false" customHeight="true" outlineLevel="0" collapsed="false">
      <c r="A6" s="29" t="s">
        <v>33</v>
      </c>
      <c r="B6" s="29"/>
      <c r="C6" s="29"/>
      <c r="D6" s="29"/>
      <c r="E6" s="29"/>
      <c r="F6" s="29"/>
      <c r="G6" s="29"/>
      <c r="H6" s="29"/>
      <c r="I6" s="29"/>
      <c r="J6" s="29"/>
      <c r="K6" s="29"/>
      <c r="L6" s="29"/>
      <c r="M6" s="29"/>
      <c r="N6" s="29"/>
      <c r="O6" s="29"/>
      <c r="P6" s="29"/>
      <c r="Q6" s="29"/>
      <c r="R6" s="29"/>
      <c r="S6" s="29"/>
      <c r="T6" s="29"/>
      <c r="U6" s="29"/>
      <c r="V6" s="29"/>
      <c r="W6" s="29"/>
      <c r="X6" s="29"/>
      <c r="Y6" s="29"/>
      <c r="Z6" s="29"/>
      <c r="AA6" s="29"/>
      <c r="AB6" s="29"/>
      <c r="AC6" s="30"/>
      <c r="AD6" s="30"/>
      <c r="AE6" s="30"/>
      <c r="AF6" s="30"/>
      <c r="AG6" s="30"/>
      <c r="AH6" s="30"/>
      <c r="AI6" s="30"/>
      <c r="AJ6" s="30"/>
      <c r="AK6" s="30"/>
      <c r="AL6" s="30"/>
      <c r="AM6" s="30"/>
      <c r="AN6" s="30"/>
      <c r="AO6" s="30"/>
      <c r="AP6" s="30"/>
      <c r="AQ6" s="30"/>
      <c r="AR6" s="30"/>
      <c r="AS6" s="30"/>
      <c r="AT6" s="30"/>
      <c r="AU6" s="30"/>
      <c r="AV6" s="30"/>
      <c r="AW6" s="30"/>
      <c r="AX6" s="30"/>
      <c r="AY6" s="30"/>
      <c r="AZ6" s="30"/>
      <c r="BA6" s="30"/>
      <c r="BB6" s="30"/>
      <c r="BC6" s="30"/>
      <c r="BD6" s="30"/>
      <c r="BE6" s="30"/>
      <c r="BF6" s="30"/>
      <c r="BG6" s="30"/>
      <c r="BH6" s="30"/>
      <c r="BI6" s="30"/>
      <c r="BJ6" s="30"/>
      <c r="BK6" s="30"/>
      <c r="BL6" s="30"/>
      <c r="BM6" s="30"/>
      <c r="BN6" s="30"/>
      <c r="BO6" s="30"/>
      <c r="BP6" s="30"/>
      <c r="BQ6" s="30"/>
      <c r="BR6" s="30"/>
      <c r="BS6" s="30"/>
      <c r="BT6" s="30"/>
      <c r="BU6" s="30"/>
      <c r="BV6" s="30"/>
      <c r="BW6" s="30"/>
      <c r="BX6" s="30"/>
      <c r="BY6" s="30"/>
      <c r="BZ6" s="30"/>
      <c r="CA6" s="30"/>
      <c r="CB6" s="30"/>
      <c r="CC6" s="30"/>
      <c r="CD6" s="30"/>
      <c r="CE6" s="30"/>
      <c r="CF6" s="30"/>
      <c r="CG6" s="30"/>
      <c r="CH6" s="30"/>
      <c r="CI6" s="30"/>
      <c r="CJ6" s="30"/>
      <c r="CK6" s="30"/>
      <c r="CL6" s="30"/>
      <c r="CM6" s="30"/>
      <c r="CN6" s="30"/>
      <c r="CO6" s="30"/>
      <c r="CP6" s="30"/>
      <c r="CQ6" s="30"/>
      <c r="CR6" s="30"/>
      <c r="CS6" s="30"/>
      <c r="CT6" s="30"/>
      <c r="CU6" s="30"/>
      <c r="CV6" s="30"/>
      <c r="CW6" s="30"/>
      <c r="CX6" s="30"/>
      <c r="CY6" s="30"/>
      <c r="CZ6" s="30"/>
      <c r="DA6" s="30"/>
      <c r="DB6" s="30"/>
      <c r="DC6" s="30"/>
      <c r="DD6" s="30"/>
      <c r="DE6" s="30"/>
      <c r="DF6" s="30"/>
      <c r="DG6" s="30"/>
      <c r="DH6" s="30"/>
      <c r="DI6" s="30"/>
      <c r="DJ6" s="30"/>
      <c r="DK6" s="30"/>
      <c r="DL6" s="30"/>
      <c r="DM6" s="30"/>
      <c r="DN6" s="30"/>
      <c r="DO6" s="30"/>
      <c r="DP6" s="30"/>
      <c r="DQ6" s="30"/>
      <c r="DR6" s="30"/>
      <c r="DS6" s="30"/>
      <c r="DT6" s="30"/>
      <c r="DU6" s="30"/>
      <c r="DV6" s="30"/>
      <c r="DW6" s="30"/>
      <c r="DX6" s="30"/>
      <c r="DY6" s="30"/>
      <c r="DZ6" s="30"/>
      <c r="EA6" s="30"/>
      <c r="EB6" s="30"/>
      <c r="EC6" s="30"/>
      <c r="ED6" s="30"/>
      <c r="EE6" s="30"/>
      <c r="EF6" s="30"/>
      <c r="EG6" s="30"/>
      <c r="EH6" s="30"/>
      <c r="EI6" s="30"/>
      <c r="EJ6" s="30"/>
      <c r="EK6" s="30"/>
      <c r="EL6" s="30"/>
      <c r="EM6" s="30"/>
      <c r="EN6" s="30"/>
      <c r="EO6" s="30"/>
      <c r="EP6" s="30"/>
      <c r="EQ6" s="30"/>
      <c r="ER6" s="30"/>
      <c r="ES6" s="30"/>
      <c r="ET6" s="30"/>
      <c r="EU6" s="30"/>
      <c r="EV6" s="30"/>
      <c r="EW6" s="30"/>
      <c r="EX6" s="30"/>
      <c r="EY6" s="30"/>
      <c r="EZ6" s="30"/>
      <c r="FA6" s="30"/>
      <c r="FB6" s="30"/>
      <c r="FC6" s="30"/>
      <c r="FD6" s="30"/>
      <c r="FE6" s="30"/>
      <c r="FF6" s="30"/>
      <c r="FG6" s="30"/>
      <c r="FH6" s="30"/>
      <c r="FI6" s="30"/>
      <c r="FJ6" s="30"/>
      <c r="FK6" s="30"/>
      <c r="FL6" s="30"/>
      <c r="FM6" s="30"/>
      <c r="FN6" s="30"/>
      <c r="FO6" s="30"/>
      <c r="FP6" s="30"/>
      <c r="FQ6" s="30"/>
      <c r="FR6" s="30"/>
      <c r="FS6" s="30"/>
      <c r="FT6" s="30"/>
      <c r="FU6" s="30"/>
      <c r="FV6" s="30"/>
      <c r="FW6" s="30"/>
      <c r="FX6" s="30"/>
      <c r="FY6" s="30"/>
      <c r="FZ6" s="30"/>
      <c r="GA6" s="30"/>
      <c r="GB6" s="30"/>
      <c r="GC6" s="30"/>
      <c r="GD6" s="30"/>
      <c r="GE6" s="30"/>
      <c r="GF6" s="30"/>
      <c r="GG6" s="30"/>
      <c r="GH6" s="30"/>
      <c r="GI6" s="30"/>
      <c r="GJ6" s="30"/>
      <c r="GK6" s="30"/>
      <c r="GL6" s="30"/>
      <c r="GM6" s="30"/>
      <c r="GN6" s="30"/>
      <c r="GO6" s="30"/>
      <c r="GP6" s="30"/>
      <c r="GQ6" s="30"/>
      <c r="GR6" s="30"/>
      <c r="GS6" s="30"/>
      <c r="GT6" s="30"/>
      <c r="GU6" s="30"/>
      <c r="GV6" s="30"/>
      <c r="GW6" s="30"/>
      <c r="GX6" s="30"/>
      <c r="GY6" s="30"/>
      <c r="GZ6" s="30"/>
      <c r="HA6" s="30"/>
      <c r="HB6" s="30"/>
      <c r="HC6" s="30"/>
      <c r="HD6" s="30"/>
      <c r="HE6" s="30"/>
      <c r="HF6" s="30"/>
      <c r="HG6" s="30"/>
      <c r="HH6" s="30"/>
      <c r="HI6" s="30"/>
      <c r="HJ6" s="30"/>
      <c r="HK6" s="30"/>
      <c r="HL6" s="30"/>
      <c r="HM6" s="30"/>
      <c r="HN6" s="30"/>
      <c r="HO6" s="30"/>
      <c r="HP6" s="30"/>
      <c r="HQ6" s="30"/>
      <c r="HR6" s="30"/>
      <c r="HS6" s="30"/>
      <c r="HT6" s="30"/>
      <c r="HU6" s="30"/>
      <c r="HV6" s="30"/>
      <c r="HW6" s="30"/>
    </row>
    <row r="7" s="32" customFormat="true" ht="33.75" hidden="false" customHeight="true" outlineLevel="0" collapsed="false">
      <c r="A7" s="33" t="s">
        <v>34</v>
      </c>
      <c r="B7" s="34"/>
      <c r="D7" s="35" t="str">
        <f>VLOOKUP(AZ2,'[1]Tuyến XD8'!$A$2:$B$60,2,0)</f>
        <v xml:space="preserve">Đắp đất nền đường lớp 4 đoạn từ Km0+489,19 - Km0+609,11, độ chặt K&gt;=0,95</v>
      </c>
      <c r="E7" s="35"/>
      <c r="F7" s="35"/>
      <c r="G7" s="35"/>
      <c r="H7" s="35"/>
      <c r="I7" s="35"/>
      <c r="J7" s="35"/>
      <c r="K7" s="35"/>
      <c r="L7" s="35"/>
      <c r="M7" s="35"/>
      <c r="N7" s="35"/>
      <c r="O7" s="35"/>
      <c r="P7" s="35"/>
      <c r="Q7" s="35"/>
      <c r="R7" s="35"/>
      <c r="S7" s="35"/>
      <c r="T7" s="35"/>
      <c r="U7" s="35"/>
      <c r="V7" s="35"/>
      <c r="W7" s="35"/>
      <c r="X7" s="35"/>
      <c r="Y7" s="35"/>
      <c r="Z7" s="35"/>
      <c r="AA7" s="35"/>
      <c r="AB7" s="35"/>
      <c r="AC7" s="30"/>
      <c r="AD7" s="30"/>
      <c r="AE7" s="30"/>
      <c r="AF7" s="30"/>
      <c r="AG7" s="30"/>
      <c r="AH7" s="30"/>
      <c r="AI7" s="30"/>
      <c r="AJ7" s="30"/>
      <c r="AK7" s="30"/>
      <c r="AL7" s="30"/>
      <c r="AM7" s="30"/>
      <c r="AN7" s="30"/>
      <c r="AO7" s="30"/>
      <c r="AP7" s="30"/>
      <c r="AQ7" s="30"/>
      <c r="AR7" s="30"/>
      <c r="AS7" s="30"/>
      <c r="AT7" s="30"/>
      <c r="AU7" s="30"/>
      <c r="AV7" s="30"/>
      <c r="AW7" s="30"/>
      <c r="AX7" s="30"/>
      <c r="AY7" s="30"/>
      <c r="AZ7" s="30"/>
      <c r="BA7" s="30"/>
      <c r="BB7" s="30"/>
      <c r="BC7" s="30"/>
      <c r="BD7" s="30"/>
      <c r="BE7" s="30"/>
      <c r="BF7" s="30"/>
      <c r="BG7" s="30"/>
      <c r="BH7" s="30"/>
      <c r="BI7" s="30"/>
      <c r="BJ7" s="30"/>
      <c r="BK7" s="30"/>
      <c r="BL7" s="30"/>
      <c r="BM7" s="30"/>
      <c r="BN7" s="30"/>
      <c r="BO7" s="30"/>
      <c r="BP7" s="30"/>
      <c r="BQ7" s="30"/>
      <c r="BR7" s="30"/>
      <c r="BS7" s="30"/>
      <c r="BT7" s="30"/>
      <c r="BU7" s="30"/>
      <c r="BV7" s="30"/>
      <c r="BW7" s="30"/>
      <c r="BX7" s="30"/>
      <c r="BY7" s="30"/>
      <c r="BZ7" s="30"/>
      <c r="CA7" s="30"/>
      <c r="CB7" s="30"/>
      <c r="CC7" s="30"/>
      <c r="CD7" s="30"/>
      <c r="CE7" s="30"/>
      <c r="CF7" s="30"/>
      <c r="CG7" s="30"/>
      <c r="CH7" s="30"/>
      <c r="CI7" s="30"/>
      <c r="CJ7" s="30"/>
      <c r="CK7" s="30"/>
      <c r="CL7" s="30"/>
      <c r="CM7" s="30"/>
      <c r="CN7" s="30"/>
      <c r="CO7" s="30"/>
      <c r="CP7" s="30"/>
      <c r="CQ7" s="30"/>
      <c r="CR7" s="30"/>
      <c r="CS7" s="30"/>
      <c r="CT7" s="30"/>
      <c r="CU7" s="30"/>
      <c r="CV7" s="30"/>
      <c r="CW7" s="30"/>
      <c r="CX7" s="30"/>
      <c r="CY7" s="30"/>
      <c r="CZ7" s="30"/>
      <c r="DA7" s="30"/>
      <c r="DB7" s="30"/>
      <c r="DC7" s="30"/>
      <c r="DD7" s="30"/>
      <c r="DE7" s="30"/>
      <c r="DF7" s="30"/>
      <c r="DG7" s="30"/>
      <c r="DH7" s="30"/>
      <c r="DI7" s="30"/>
      <c r="DJ7" s="30"/>
      <c r="DK7" s="30"/>
      <c r="DL7" s="30"/>
      <c r="DM7" s="30"/>
      <c r="DN7" s="30"/>
      <c r="DO7" s="30"/>
      <c r="DP7" s="30"/>
      <c r="DQ7" s="30"/>
      <c r="DR7" s="30"/>
      <c r="DS7" s="30"/>
      <c r="DT7" s="30"/>
      <c r="DU7" s="30"/>
      <c r="DV7" s="30"/>
      <c r="DW7" s="30"/>
      <c r="DX7" s="30"/>
      <c r="DY7" s="30"/>
      <c r="DZ7" s="30"/>
      <c r="EA7" s="30"/>
      <c r="EB7" s="30"/>
      <c r="EC7" s="30"/>
      <c r="ED7" s="30"/>
      <c r="EE7" s="30"/>
      <c r="EF7" s="30"/>
      <c r="EG7" s="30"/>
      <c r="EH7" s="30"/>
      <c r="EI7" s="30"/>
      <c r="EJ7" s="30"/>
      <c r="EK7" s="30"/>
      <c r="EL7" s="30"/>
      <c r="EM7" s="30"/>
      <c r="EN7" s="30"/>
      <c r="EO7" s="30"/>
      <c r="EP7" s="30"/>
      <c r="EQ7" s="30"/>
      <c r="ER7" s="30"/>
      <c r="ES7" s="30"/>
      <c r="ET7" s="30"/>
      <c r="EU7" s="30"/>
      <c r="EV7" s="30"/>
      <c r="EW7" s="30"/>
      <c r="EX7" s="30"/>
      <c r="EY7" s="30"/>
      <c r="EZ7" s="30"/>
      <c r="FA7" s="30"/>
      <c r="FB7" s="30"/>
      <c r="FC7" s="30"/>
      <c r="FD7" s="30"/>
      <c r="FE7" s="30"/>
      <c r="FF7" s="30"/>
      <c r="FG7" s="30"/>
      <c r="FH7" s="30"/>
      <c r="FI7" s="30"/>
      <c r="FJ7" s="30"/>
      <c r="FK7" s="30"/>
      <c r="FL7" s="30"/>
      <c r="FM7" s="30"/>
      <c r="FN7" s="30"/>
      <c r="FO7" s="30"/>
      <c r="FP7" s="30"/>
      <c r="FQ7" s="30"/>
      <c r="FR7" s="30"/>
      <c r="FS7" s="30"/>
      <c r="FT7" s="30"/>
      <c r="FU7" s="30"/>
      <c r="FV7" s="30"/>
      <c r="FW7" s="30"/>
      <c r="FX7" s="30"/>
      <c r="FY7" s="30"/>
      <c r="FZ7" s="30"/>
      <c r="GA7" s="30"/>
      <c r="GB7" s="30"/>
      <c r="GC7" s="30"/>
      <c r="GD7" s="30"/>
      <c r="GE7" s="30"/>
      <c r="GF7" s="30"/>
      <c r="GG7" s="30"/>
      <c r="GH7" s="30"/>
      <c r="GI7" s="30"/>
      <c r="GJ7" s="30"/>
      <c r="GK7" s="30"/>
      <c r="GL7" s="30"/>
      <c r="GM7" s="30"/>
      <c r="GN7" s="30"/>
      <c r="GO7" s="30"/>
      <c r="GP7" s="30"/>
      <c r="GQ7" s="30"/>
      <c r="GR7" s="30"/>
      <c r="GS7" s="30"/>
      <c r="GT7" s="30"/>
      <c r="GU7" s="30"/>
      <c r="GV7" s="30"/>
      <c r="GW7" s="30"/>
      <c r="GX7" s="30"/>
      <c r="GY7" s="30"/>
      <c r="GZ7" s="30"/>
      <c r="HA7" s="30"/>
      <c r="HB7" s="30"/>
      <c r="HC7" s="30"/>
      <c r="HD7" s="30"/>
      <c r="HE7" s="30"/>
      <c r="HF7" s="30"/>
      <c r="HG7" s="30"/>
      <c r="HH7" s="30"/>
      <c r="HI7" s="30"/>
      <c r="HJ7" s="30"/>
      <c r="HK7" s="30"/>
      <c r="HL7" s="30"/>
      <c r="HM7" s="30"/>
      <c r="HN7" s="30"/>
      <c r="HO7" s="30"/>
      <c r="HP7" s="30"/>
      <c r="HQ7" s="30"/>
      <c r="HR7" s="30"/>
      <c r="HS7" s="30"/>
      <c r="HT7" s="30"/>
      <c r="HU7" s="30"/>
      <c r="HV7" s="30"/>
      <c r="HW7" s="30"/>
    </row>
    <row r="8" s="30" customFormat="true" ht="13.5" hidden="false" customHeight="true" outlineLevel="0" collapsed="false">
      <c r="A8" s="36"/>
      <c r="B8" s="36"/>
      <c r="C8" s="36"/>
      <c r="D8" s="36"/>
      <c r="E8" s="36"/>
      <c r="F8" s="36"/>
      <c r="G8" s="36"/>
      <c r="H8" s="36"/>
      <c r="I8" s="36"/>
      <c r="J8" s="36"/>
      <c r="K8" s="36"/>
      <c r="L8" s="36"/>
      <c r="M8" s="36"/>
      <c r="N8" s="36"/>
      <c r="O8" s="36"/>
      <c r="P8" s="36"/>
      <c r="Q8" s="36"/>
      <c r="R8" s="36"/>
      <c r="S8" s="36"/>
      <c r="T8" s="36"/>
      <c r="U8" s="36"/>
      <c r="V8" s="36"/>
      <c r="W8" s="36"/>
      <c r="X8" s="36"/>
      <c r="Y8" s="36"/>
      <c r="Z8" s="36"/>
      <c r="AA8" s="36"/>
      <c r="AB8" s="36"/>
    </row>
    <row r="9" s="105" customFormat="true" ht="22.5" hidden="false" customHeight="true" outlineLevel="0" collapsed="false">
      <c r="A9" s="37" t="s">
        <v>0</v>
      </c>
      <c r="B9" s="37" t="s">
        <v>38</v>
      </c>
      <c r="C9" s="37" t="s">
        <v>39</v>
      </c>
      <c r="D9" s="38" t="s">
        <v>55</v>
      </c>
      <c r="E9" s="39"/>
      <c r="F9" s="39"/>
      <c r="G9" s="38"/>
      <c r="H9" s="39"/>
      <c r="I9" s="39"/>
      <c r="J9" s="39"/>
      <c r="K9" s="39"/>
      <c r="L9" s="39"/>
      <c r="M9" s="40" t="s">
        <v>56</v>
      </c>
      <c r="N9" s="40"/>
      <c r="O9" s="40"/>
      <c r="P9" s="40"/>
      <c r="Q9" s="40"/>
      <c r="R9" s="40"/>
      <c r="S9" s="40"/>
      <c r="T9" s="40"/>
      <c r="U9" s="40"/>
      <c r="V9" s="40"/>
      <c r="W9" s="40"/>
      <c r="X9" s="40"/>
      <c r="Y9" s="40"/>
      <c r="Z9" s="41"/>
      <c r="AA9" s="41"/>
      <c r="AB9" s="38" t="s">
        <v>43</v>
      </c>
      <c r="AC9" s="104"/>
    </row>
    <row r="10" s="84" customFormat="true" ht="28.5" hidden="false" customHeight="true" outlineLevel="0" collapsed="false">
      <c r="A10" s="37"/>
      <c r="B10" s="37"/>
      <c r="C10" s="37"/>
      <c r="D10" s="37"/>
      <c r="E10" s="40"/>
      <c r="F10" s="40"/>
      <c r="G10" s="40"/>
      <c r="H10" s="40"/>
      <c r="I10" s="40"/>
      <c r="J10" s="40"/>
      <c r="K10" s="40"/>
      <c r="L10" s="40"/>
      <c r="M10" s="40"/>
      <c r="N10" s="40" t="s">
        <v>57</v>
      </c>
      <c r="O10" s="40" t="s">
        <v>58</v>
      </c>
      <c r="P10" s="40" t="s">
        <v>57</v>
      </c>
      <c r="Q10" s="40" t="s">
        <v>57</v>
      </c>
      <c r="R10" s="40"/>
      <c r="S10" s="40"/>
      <c r="T10" s="40"/>
      <c r="U10" s="40" t="s">
        <v>59</v>
      </c>
      <c r="V10" s="40" t="s">
        <v>59</v>
      </c>
      <c r="W10" s="40" t="s">
        <v>60</v>
      </c>
      <c r="X10" s="40" t="s">
        <v>59</v>
      </c>
      <c r="Y10" s="40" t="s">
        <v>59</v>
      </c>
      <c r="Z10" s="45"/>
      <c r="AA10" s="45"/>
      <c r="AB10" s="38"/>
      <c r="AC10" s="106"/>
      <c r="AD10" s="107"/>
    </row>
    <row r="11" s="84" customFormat="true" ht="15" hidden="false" customHeight="true" outlineLevel="0" collapsed="false">
      <c r="A11" s="13" t="n">
        <v>1</v>
      </c>
      <c r="B11" s="13" t="str">
        <f aca="false">'4.KTHH L4'!B22</f>
        <v>25</v>
      </c>
      <c r="C11" s="51" t="n">
        <f aca="false">'4.KTHH L4'!C22</f>
        <v>489.19</v>
      </c>
      <c r="D11" s="13" t="n">
        <f aca="false">'4.KTHH L4'!T22</f>
        <v>13.17</v>
      </c>
      <c r="E11" s="52"/>
      <c r="F11" s="52"/>
      <c r="G11" s="52"/>
      <c r="H11" s="52"/>
      <c r="I11" s="52"/>
      <c r="J11" s="52"/>
      <c r="K11" s="53"/>
      <c r="L11" s="16"/>
      <c r="M11" s="17"/>
      <c r="N11" s="54"/>
      <c r="O11" s="53" t="n">
        <f aca="false">Chạy!E6</f>
        <v>7.22</v>
      </c>
      <c r="P11" s="53"/>
      <c r="Q11" s="53"/>
      <c r="R11" s="55"/>
      <c r="S11" s="55"/>
      <c r="T11" s="55"/>
      <c r="U11" s="55"/>
      <c r="V11" s="55"/>
      <c r="W11" s="55" t="n">
        <f aca="false">(O11+O12)*D11/2</f>
        <v>102.79185</v>
      </c>
      <c r="X11" s="55"/>
      <c r="Y11" s="55"/>
      <c r="Z11" s="55"/>
      <c r="AA11" s="55"/>
      <c r="AB11" s="56"/>
      <c r="AC11" s="55"/>
    </row>
    <row r="12" s="84" customFormat="true" ht="15" hidden="false" customHeight="true" outlineLevel="0" collapsed="false">
      <c r="A12" s="13" t="n">
        <v>2</v>
      </c>
      <c r="B12" s="13" t="str">
        <f aca="false">'4.KTHH L4'!B23</f>
        <v>D1</v>
      </c>
      <c r="C12" s="51" t="n">
        <f aca="false">'4.KTHH L4'!C23</f>
        <v>502.36</v>
      </c>
      <c r="D12" s="13" t="n">
        <f aca="false">'4.KTHH L4'!T23</f>
        <v>10.48</v>
      </c>
      <c r="E12" s="52"/>
      <c r="F12" s="52"/>
      <c r="G12" s="52"/>
      <c r="H12" s="52"/>
      <c r="I12" s="52"/>
      <c r="J12" s="52"/>
      <c r="K12" s="53"/>
      <c r="L12" s="16"/>
      <c r="M12" s="17"/>
      <c r="N12" s="54"/>
      <c r="O12" s="53" t="n">
        <f aca="false">Chạy!E14</f>
        <v>8.39</v>
      </c>
      <c r="P12" s="53"/>
      <c r="Q12" s="53"/>
      <c r="R12" s="55"/>
      <c r="S12" s="55"/>
      <c r="T12" s="55"/>
      <c r="U12" s="55"/>
      <c r="V12" s="55"/>
      <c r="W12" s="55" t="n">
        <f aca="false">(O12+O13)*D12/2</f>
        <v>87.9272</v>
      </c>
      <c r="X12" s="55"/>
      <c r="Y12" s="55"/>
      <c r="Z12" s="55"/>
      <c r="AA12" s="55"/>
      <c r="AB12" s="56"/>
      <c r="AC12" s="55"/>
    </row>
    <row r="13" s="84" customFormat="true" ht="15" hidden="false" customHeight="true" outlineLevel="0" collapsed="false">
      <c r="A13" s="13" t="n">
        <v>3</v>
      </c>
      <c r="B13" s="13" t="str">
        <f aca="false">'4.KTHH L4'!B24</f>
        <v>26</v>
      </c>
      <c r="C13" s="51" t="n">
        <f aca="false">'4.KTHH L4'!C24</f>
        <v>512.84</v>
      </c>
      <c r="D13" s="13" t="n">
        <f aca="false">'4.KTHH L4'!T24</f>
        <v>16.78</v>
      </c>
      <c r="E13" s="52"/>
      <c r="F13" s="52"/>
      <c r="G13" s="52"/>
      <c r="H13" s="52"/>
      <c r="I13" s="52"/>
      <c r="J13" s="52"/>
      <c r="K13" s="53"/>
      <c r="L13" s="16"/>
      <c r="M13" s="17"/>
      <c r="N13" s="54"/>
      <c r="O13" s="53" t="n">
        <f aca="false">Chạy!E22</f>
        <v>8.39</v>
      </c>
      <c r="P13" s="53"/>
      <c r="Q13" s="53"/>
      <c r="R13" s="55"/>
      <c r="S13" s="55"/>
      <c r="T13" s="55"/>
      <c r="U13" s="55"/>
      <c r="V13" s="55"/>
      <c r="W13" s="55" t="n">
        <f aca="false">(O13+O14)*D13/2</f>
        <v>140.7842</v>
      </c>
      <c r="X13" s="55"/>
      <c r="Y13" s="55"/>
      <c r="Z13" s="55"/>
      <c r="AA13" s="55"/>
      <c r="AB13" s="56"/>
      <c r="AC13" s="55"/>
    </row>
    <row r="14" s="84" customFormat="true" ht="15" hidden="false" customHeight="true" outlineLevel="0" collapsed="false">
      <c r="A14" s="13" t="n">
        <v>4</v>
      </c>
      <c r="B14" s="13" t="str">
        <f aca="false">'4.KTHH L4'!B25</f>
        <v>27</v>
      </c>
      <c r="C14" s="51" t="n">
        <f aca="false">'4.KTHH L4'!C25</f>
        <v>529.62</v>
      </c>
      <c r="D14" s="13" t="n">
        <f aca="false">'4.KTHH L4'!T25</f>
        <v>17.1</v>
      </c>
      <c r="E14" s="52"/>
      <c r="F14" s="52"/>
      <c r="G14" s="52"/>
      <c r="H14" s="52"/>
      <c r="I14" s="52"/>
      <c r="J14" s="52"/>
      <c r="K14" s="53"/>
      <c r="L14" s="16"/>
      <c r="M14" s="17"/>
      <c r="N14" s="54"/>
      <c r="O14" s="53" t="n">
        <f aca="false">Chạy!E30</f>
        <v>8.39</v>
      </c>
      <c r="P14" s="53"/>
      <c r="Q14" s="53"/>
      <c r="R14" s="55"/>
      <c r="S14" s="55"/>
      <c r="T14" s="55"/>
      <c r="U14" s="55"/>
      <c r="V14" s="55"/>
      <c r="W14" s="55" t="n">
        <f aca="false">(O14+O15)*D14/2</f>
        <v>131.841</v>
      </c>
      <c r="X14" s="55"/>
      <c r="Y14" s="55"/>
      <c r="Z14" s="55"/>
      <c r="AA14" s="55"/>
      <c r="AB14" s="56"/>
      <c r="AC14" s="55"/>
    </row>
    <row r="15" s="84" customFormat="true" ht="15" hidden="false" customHeight="true" outlineLevel="0" collapsed="false">
      <c r="A15" s="13" t="n">
        <v>5</v>
      </c>
      <c r="B15" s="13" t="str">
        <f aca="false">'4.KTHH L4'!B26</f>
        <v>28</v>
      </c>
      <c r="C15" s="51" t="n">
        <f aca="false">'4.KTHH L4'!C26</f>
        <v>546.72</v>
      </c>
      <c r="D15" s="13" t="n">
        <f aca="false">'4.KTHH L4'!T26</f>
        <v>15.15</v>
      </c>
      <c r="E15" s="52"/>
      <c r="F15" s="52"/>
      <c r="G15" s="52"/>
      <c r="H15" s="52"/>
      <c r="I15" s="52"/>
      <c r="J15" s="52"/>
      <c r="K15" s="53"/>
      <c r="L15" s="16"/>
      <c r="M15" s="17"/>
      <c r="N15" s="54"/>
      <c r="O15" s="53" t="n">
        <f aca="false">Chạy!E38</f>
        <v>7.03</v>
      </c>
      <c r="P15" s="53"/>
      <c r="Q15" s="53"/>
      <c r="R15" s="55"/>
      <c r="S15" s="55"/>
      <c r="T15" s="55"/>
      <c r="U15" s="55"/>
      <c r="V15" s="55"/>
      <c r="W15" s="55" t="n">
        <f aca="false">(O15+O16)*D15/2</f>
        <v>116.8065</v>
      </c>
      <c r="X15" s="55"/>
      <c r="Y15" s="55"/>
      <c r="Z15" s="55"/>
      <c r="AA15" s="55"/>
      <c r="AB15" s="56"/>
      <c r="AC15" s="55"/>
    </row>
    <row r="16" s="84" customFormat="true" ht="15" hidden="false" customHeight="true" outlineLevel="0" collapsed="false">
      <c r="A16" s="13" t="n">
        <v>6</v>
      </c>
      <c r="B16" s="13" t="str">
        <f aca="false">'4.KTHH L4'!B27</f>
        <v>E5</v>
      </c>
      <c r="C16" s="51" t="n">
        <f aca="false">'4.KTHH L4'!C27</f>
        <v>561.87</v>
      </c>
      <c r="D16" s="13" t="n">
        <f aca="false">'4.KTHH L4'!T27</f>
        <v>0.15</v>
      </c>
      <c r="E16" s="52"/>
      <c r="F16" s="52"/>
      <c r="G16" s="52"/>
      <c r="H16" s="52"/>
      <c r="I16" s="52"/>
      <c r="J16" s="52"/>
      <c r="K16" s="53"/>
      <c r="L16" s="16"/>
      <c r="M16" s="17"/>
      <c r="N16" s="54"/>
      <c r="O16" s="53" t="n">
        <f aca="false">Chạy!E46</f>
        <v>8.39</v>
      </c>
      <c r="P16" s="53"/>
      <c r="Q16" s="53"/>
      <c r="R16" s="55"/>
      <c r="S16" s="55"/>
      <c r="T16" s="55"/>
      <c r="U16" s="55"/>
      <c r="V16" s="55"/>
      <c r="W16" s="55" t="n">
        <f aca="false">(O16+O17)*D16/2</f>
        <v>1.2585</v>
      </c>
      <c r="X16" s="55"/>
      <c r="Y16" s="55"/>
      <c r="Z16" s="55"/>
      <c r="AA16" s="55"/>
      <c r="AB16" s="56"/>
      <c r="AC16" s="55"/>
    </row>
    <row r="17" s="84" customFormat="true" ht="15" hidden="false" customHeight="true" outlineLevel="0" collapsed="false">
      <c r="A17" s="13" t="n">
        <v>7</v>
      </c>
      <c r="B17" s="13" t="str">
        <f aca="false">'4.KTHH L4'!B28</f>
        <v>TD</v>
      </c>
      <c r="C17" s="51" t="n">
        <f aca="false">'4.KTHH L4'!C28</f>
        <v>562.02</v>
      </c>
      <c r="D17" s="13" t="n">
        <f aca="false">'4.KTHH L4'!T28</f>
        <v>6.55</v>
      </c>
      <c r="E17" s="52"/>
      <c r="F17" s="52"/>
      <c r="G17" s="52"/>
      <c r="H17" s="52"/>
      <c r="I17" s="52"/>
      <c r="J17" s="52"/>
      <c r="K17" s="53"/>
      <c r="L17" s="16"/>
      <c r="M17" s="17"/>
      <c r="N17" s="54"/>
      <c r="O17" s="53" t="n">
        <f aca="false">Chạy!E54</f>
        <v>8.39</v>
      </c>
      <c r="P17" s="53"/>
      <c r="Q17" s="53"/>
      <c r="R17" s="55"/>
      <c r="S17" s="55"/>
      <c r="T17" s="55"/>
      <c r="U17" s="55"/>
      <c r="V17" s="55"/>
      <c r="W17" s="55" t="n">
        <f aca="false">(O17+O18)*D17/2</f>
        <v>54.9545</v>
      </c>
      <c r="X17" s="55"/>
      <c r="Y17" s="55"/>
      <c r="Z17" s="55"/>
      <c r="AA17" s="55"/>
      <c r="AB17" s="56"/>
      <c r="AC17" s="55"/>
    </row>
    <row r="18" s="84" customFormat="true" ht="15" hidden="false" customHeight="true" outlineLevel="0" collapsed="false">
      <c r="A18" s="13" t="n">
        <v>8</v>
      </c>
      <c r="B18" s="13" t="str">
        <f aca="false">'4.KTHH L4'!B29</f>
        <v>P</v>
      </c>
      <c r="C18" s="51" t="n">
        <f aca="false">'4.KTHH L4'!C29</f>
        <v>568.57</v>
      </c>
      <c r="D18" s="13" t="n">
        <f aca="false">'4.KTHH L4'!T29</f>
        <v>6.55</v>
      </c>
      <c r="E18" s="52"/>
      <c r="F18" s="52"/>
      <c r="G18" s="52"/>
      <c r="H18" s="52"/>
      <c r="I18" s="52"/>
      <c r="J18" s="52"/>
      <c r="K18" s="53"/>
      <c r="L18" s="16"/>
      <c r="M18" s="17"/>
      <c r="N18" s="54"/>
      <c r="O18" s="53" t="n">
        <f aca="false">Chạy!E62</f>
        <v>8.39</v>
      </c>
      <c r="P18" s="53"/>
      <c r="Q18" s="53"/>
      <c r="R18" s="55"/>
      <c r="S18" s="55"/>
      <c r="T18" s="55"/>
      <c r="U18" s="55"/>
      <c r="V18" s="55"/>
      <c r="W18" s="55" t="n">
        <f aca="false">(O18+O19)*D18/2</f>
        <v>54.9545</v>
      </c>
      <c r="X18" s="55"/>
      <c r="Y18" s="55"/>
      <c r="Z18" s="55"/>
      <c r="AA18" s="55"/>
      <c r="AB18" s="56"/>
      <c r="AC18" s="55"/>
    </row>
    <row r="19" s="84" customFormat="true" ht="15" hidden="false" customHeight="true" outlineLevel="0" collapsed="false">
      <c r="A19" s="13" t="n">
        <v>9</v>
      </c>
      <c r="B19" s="13" t="str">
        <f aca="false">'4.KTHH L4'!B30</f>
        <v>TC</v>
      </c>
      <c r="C19" s="51" t="n">
        <f aca="false">'4.KTHH L4'!C30</f>
        <v>575.12</v>
      </c>
      <c r="D19" s="13" t="n">
        <f aca="false">'4.KTHH L4'!T30</f>
        <v>0.04</v>
      </c>
      <c r="E19" s="52"/>
      <c r="F19" s="52"/>
      <c r="G19" s="52"/>
      <c r="H19" s="52"/>
      <c r="I19" s="52"/>
      <c r="J19" s="52"/>
      <c r="K19" s="53"/>
      <c r="L19" s="16"/>
      <c r="M19" s="17"/>
      <c r="N19" s="54"/>
      <c r="O19" s="53" t="n">
        <f aca="false">Chạy!E70</f>
        <v>8.39</v>
      </c>
      <c r="P19" s="53"/>
      <c r="Q19" s="53"/>
      <c r="R19" s="55"/>
      <c r="S19" s="55"/>
      <c r="T19" s="55"/>
      <c r="U19" s="55"/>
      <c r="V19" s="55"/>
      <c r="W19" s="55" t="n">
        <f aca="false">(O19+O20)*D19/2</f>
        <v>0.3356</v>
      </c>
      <c r="X19" s="55"/>
      <c r="Y19" s="55"/>
      <c r="Z19" s="55"/>
      <c r="AA19" s="55"/>
      <c r="AB19" s="56"/>
      <c r="AC19" s="55"/>
    </row>
    <row r="20" s="84" customFormat="true" ht="15" hidden="false" customHeight="true" outlineLevel="0" collapsed="false">
      <c r="A20" s="13" t="n">
        <v>10</v>
      </c>
      <c r="B20" s="13" t="str">
        <f aca="false">'4.KTHH L4'!B31</f>
        <v>29</v>
      </c>
      <c r="C20" s="51" t="n">
        <f aca="false">'4.KTHH L4'!C31</f>
        <v>575.16</v>
      </c>
      <c r="D20" s="13" t="n">
        <f aca="false">'4.KTHH L4'!T31</f>
        <v>16.95</v>
      </c>
      <c r="E20" s="52"/>
      <c r="F20" s="52"/>
      <c r="G20" s="52"/>
      <c r="H20" s="52"/>
      <c r="I20" s="52"/>
      <c r="J20" s="52"/>
      <c r="K20" s="53"/>
      <c r="L20" s="16"/>
      <c r="M20" s="17"/>
      <c r="N20" s="54"/>
      <c r="O20" s="53" t="n">
        <f aca="false">Chạy!E78</f>
        <v>8.39</v>
      </c>
      <c r="P20" s="53"/>
      <c r="Q20" s="53"/>
      <c r="R20" s="55"/>
      <c r="S20" s="55"/>
      <c r="T20" s="55"/>
      <c r="U20" s="55"/>
      <c r="V20" s="55"/>
      <c r="W20" s="55" t="n">
        <f aca="false">(O20+O21)*D20/2</f>
        <v>142.2105</v>
      </c>
      <c r="X20" s="55"/>
      <c r="Y20" s="55"/>
      <c r="Z20" s="55"/>
      <c r="AA20" s="55"/>
      <c r="AB20" s="56"/>
      <c r="AC20" s="55"/>
    </row>
    <row r="21" s="84" customFormat="true" ht="15" hidden="false" customHeight="true" outlineLevel="0" collapsed="false">
      <c r="A21" s="13" t="n">
        <v>11</v>
      </c>
      <c r="B21" s="13" t="str">
        <f aca="false">'4.KTHH L4'!B32</f>
        <v>30</v>
      </c>
      <c r="C21" s="51" t="n">
        <f aca="false">'4.KTHH L4'!C32</f>
        <v>592.11</v>
      </c>
      <c r="D21" s="13" t="n">
        <f aca="false">'4.KTHH L4'!T32</f>
        <v>17</v>
      </c>
      <c r="E21" s="52"/>
      <c r="F21" s="52"/>
      <c r="G21" s="52"/>
      <c r="H21" s="52"/>
      <c r="I21" s="52"/>
      <c r="J21" s="52"/>
      <c r="K21" s="53"/>
      <c r="L21" s="16"/>
      <c r="M21" s="17"/>
      <c r="N21" s="54"/>
      <c r="O21" s="53" t="n">
        <f aca="false">Chạy!E86</f>
        <v>8.39</v>
      </c>
      <c r="P21" s="53"/>
      <c r="Q21" s="53"/>
      <c r="R21" s="55"/>
      <c r="S21" s="55"/>
      <c r="T21" s="55"/>
      <c r="U21" s="55"/>
      <c r="V21" s="55"/>
      <c r="W21" s="55" t="n">
        <f aca="false">(O21+O22)*D21/2</f>
        <v>142.63</v>
      </c>
      <c r="X21" s="55"/>
      <c r="Y21" s="55"/>
      <c r="Z21" s="55"/>
      <c r="AA21" s="55"/>
      <c r="AB21" s="56"/>
      <c r="AC21" s="55"/>
    </row>
    <row r="22" s="84" customFormat="true" ht="15" hidden="false" customHeight="true" outlineLevel="0" collapsed="false">
      <c r="A22" s="13" t="n">
        <v>12</v>
      </c>
      <c r="B22" s="13" t="str">
        <f aca="false">'4.KTHH L4'!B33</f>
        <v>31</v>
      </c>
      <c r="C22" s="51" t="n">
        <f aca="false">'4.KTHH L4'!C33</f>
        <v>609.11</v>
      </c>
      <c r="D22" s="13"/>
      <c r="E22" s="52"/>
      <c r="F22" s="52"/>
      <c r="G22" s="52"/>
      <c r="H22" s="52"/>
      <c r="I22" s="52"/>
      <c r="J22" s="52"/>
      <c r="K22" s="53"/>
      <c r="L22" s="16"/>
      <c r="M22" s="17"/>
      <c r="N22" s="54"/>
      <c r="O22" s="53" t="n">
        <f aca="false">Chạy!E94</f>
        <v>8.39</v>
      </c>
      <c r="P22" s="53"/>
      <c r="Q22" s="53"/>
      <c r="R22" s="55"/>
      <c r="S22" s="55"/>
      <c r="T22" s="55"/>
      <c r="U22" s="55"/>
      <c r="V22" s="55"/>
      <c r="W22" s="55"/>
      <c r="X22" s="55"/>
      <c r="Y22" s="55"/>
      <c r="Z22" s="55"/>
      <c r="AA22" s="55"/>
      <c r="AB22" s="56"/>
      <c r="AC22" s="55"/>
    </row>
    <row r="23" s="84" customFormat="true" ht="15" hidden="true" customHeight="true" outlineLevel="0" collapsed="false">
      <c r="A23" s="13"/>
      <c r="B23" s="13"/>
      <c r="C23" s="51"/>
      <c r="D23" s="13"/>
      <c r="E23" s="52"/>
      <c r="F23" s="52"/>
      <c r="G23" s="52"/>
      <c r="H23" s="52"/>
      <c r="I23" s="52"/>
      <c r="J23" s="52"/>
      <c r="K23" s="53"/>
      <c r="L23" s="16"/>
      <c r="M23" s="17"/>
      <c r="N23" s="54"/>
      <c r="O23" s="53"/>
      <c r="P23" s="53"/>
      <c r="Q23" s="53"/>
      <c r="R23" s="55"/>
      <c r="S23" s="55"/>
      <c r="T23" s="55"/>
      <c r="U23" s="55"/>
      <c r="V23" s="55"/>
      <c r="W23" s="55"/>
      <c r="X23" s="55"/>
      <c r="Y23" s="55"/>
      <c r="Z23" s="55"/>
      <c r="AA23" s="55"/>
      <c r="AB23" s="56"/>
      <c r="AC23" s="55"/>
    </row>
    <row r="24" s="84" customFormat="true" ht="15" hidden="true" customHeight="true" outlineLevel="0" collapsed="false">
      <c r="A24" s="13"/>
      <c r="B24" s="13"/>
      <c r="C24" s="51"/>
      <c r="D24" s="13"/>
      <c r="E24" s="52"/>
      <c r="F24" s="52"/>
      <c r="G24" s="52"/>
      <c r="H24" s="52"/>
      <c r="I24" s="52"/>
      <c r="J24" s="52"/>
      <c r="K24" s="53"/>
      <c r="L24" s="16"/>
      <c r="M24" s="17"/>
      <c r="N24" s="54"/>
      <c r="O24" s="53"/>
      <c r="P24" s="53"/>
      <c r="Q24" s="53"/>
      <c r="R24" s="55"/>
      <c r="S24" s="55"/>
      <c r="T24" s="55"/>
      <c r="U24" s="55"/>
      <c r="V24" s="55"/>
      <c r="W24" s="55"/>
      <c r="X24" s="55"/>
      <c r="Y24" s="55"/>
      <c r="Z24" s="55"/>
      <c r="AA24" s="55"/>
      <c r="AB24" s="56"/>
      <c r="AC24" s="55"/>
    </row>
    <row r="25" s="84" customFormat="true" ht="15" hidden="true" customHeight="true" outlineLevel="0" collapsed="false">
      <c r="A25" s="13"/>
      <c r="B25" s="13"/>
      <c r="C25" s="51"/>
      <c r="D25" s="13"/>
      <c r="E25" s="52"/>
      <c r="F25" s="52"/>
      <c r="G25" s="52"/>
      <c r="H25" s="52"/>
      <c r="I25" s="52"/>
      <c r="J25" s="52"/>
      <c r="K25" s="53"/>
      <c r="L25" s="16"/>
      <c r="M25" s="17"/>
      <c r="N25" s="54"/>
      <c r="O25" s="53"/>
      <c r="P25" s="53"/>
      <c r="Q25" s="53"/>
      <c r="R25" s="55"/>
      <c r="S25" s="55"/>
      <c r="T25" s="55"/>
      <c r="U25" s="55"/>
      <c r="V25" s="55"/>
      <c r="W25" s="55"/>
      <c r="X25" s="55"/>
      <c r="Y25" s="55"/>
      <c r="Z25" s="55"/>
      <c r="AA25" s="55"/>
      <c r="AB25" s="56"/>
      <c r="AC25" s="55"/>
    </row>
    <row r="26" s="84" customFormat="true" ht="15" hidden="true" customHeight="true" outlineLevel="0" collapsed="false">
      <c r="A26" s="13"/>
      <c r="B26" s="13"/>
      <c r="C26" s="51"/>
      <c r="D26" s="13"/>
      <c r="E26" s="52"/>
      <c r="F26" s="52"/>
      <c r="G26" s="52"/>
      <c r="H26" s="52"/>
      <c r="I26" s="52"/>
      <c r="J26" s="52"/>
      <c r="K26" s="53"/>
      <c r="L26" s="16"/>
      <c r="M26" s="17"/>
      <c r="N26" s="54"/>
      <c r="O26" s="53"/>
      <c r="P26" s="53"/>
      <c r="Q26" s="53"/>
      <c r="R26" s="55"/>
      <c r="S26" s="55"/>
      <c r="T26" s="55"/>
      <c r="U26" s="55"/>
      <c r="V26" s="55"/>
      <c r="W26" s="55"/>
      <c r="X26" s="55"/>
      <c r="Y26" s="55"/>
      <c r="Z26" s="55"/>
      <c r="AA26" s="55"/>
      <c r="AB26" s="56"/>
      <c r="AC26" s="55"/>
    </row>
    <row r="27" s="84" customFormat="true" ht="15" hidden="true" customHeight="true" outlineLevel="0" collapsed="false">
      <c r="A27" s="13"/>
      <c r="B27" s="13"/>
      <c r="C27" s="51"/>
      <c r="D27" s="13"/>
      <c r="E27" s="52"/>
      <c r="F27" s="52"/>
      <c r="G27" s="52"/>
      <c r="H27" s="52"/>
      <c r="I27" s="52"/>
      <c r="J27" s="52"/>
      <c r="K27" s="53"/>
      <c r="L27" s="16"/>
      <c r="M27" s="17"/>
      <c r="N27" s="54"/>
      <c r="O27" s="53"/>
      <c r="P27" s="53"/>
      <c r="Q27" s="53"/>
      <c r="R27" s="55"/>
      <c r="S27" s="55"/>
      <c r="T27" s="55"/>
      <c r="U27" s="55"/>
      <c r="V27" s="55"/>
      <c r="W27" s="55"/>
      <c r="X27" s="55"/>
      <c r="Y27" s="55"/>
      <c r="Z27" s="55"/>
      <c r="AA27" s="55"/>
      <c r="AB27" s="56"/>
      <c r="AC27" s="55"/>
    </row>
    <row r="28" s="84" customFormat="true" ht="15" hidden="true" customHeight="true" outlineLevel="0" collapsed="false">
      <c r="A28" s="13"/>
      <c r="B28" s="13"/>
      <c r="C28" s="51"/>
      <c r="D28" s="13"/>
      <c r="E28" s="52"/>
      <c r="F28" s="52"/>
      <c r="G28" s="52"/>
      <c r="H28" s="52"/>
      <c r="I28" s="52"/>
      <c r="J28" s="52"/>
      <c r="K28" s="53"/>
      <c r="L28" s="16"/>
      <c r="M28" s="17"/>
      <c r="N28" s="54"/>
      <c r="O28" s="53"/>
      <c r="P28" s="53"/>
      <c r="Q28" s="53"/>
      <c r="R28" s="55"/>
      <c r="S28" s="55"/>
      <c r="T28" s="55"/>
      <c r="U28" s="55"/>
      <c r="V28" s="55"/>
      <c r="W28" s="55"/>
      <c r="X28" s="55"/>
      <c r="Y28" s="55"/>
      <c r="Z28" s="55"/>
      <c r="AA28" s="55"/>
      <c r="AB28" s="56"/>
      <c r="AC28" s="55"/>
    </row>
    <row r="29" s="84" customFormat="true" ht="15" hidden="true" customHeight="true" outlineLevel="0" collapsed="false">
      <c r="A29" s="13"/>
      <c r="B29" s="13"/>
      <c r="C29" s="51"/>
      <c r="D29" s="13"/>
      <c r="E29" s="52"/>
      <c r="F29" s="52"/>
      <c r="G29" s="52"/>
      <c r="H29" s="52"/>
      <c r="I29" s="52"/>
      <c r="J29" s="52"/>
      <c r="K29" s="53"/>
      <c r="L29" s="16"/>
      <c r="M29" s="17"/>
      <c r="N29" s="54"/>
      <c r="O29" s="53"/>
      <c r="P29" s="53"/>
      <c r="Q29" s="53"/>
      <c r="R29" s="55"/>
      <c r="S29" s="55"/>
      <c r="T29" s="55"/>
      <c r="U29" s="55"/>
      <c r="V29" s="55"/>
      <c r="W29" s="55"/>
      <c r="X29" s="55"/>
      <c r="Y29" s="55"/>
      <c r="Z29" s="55"/>
      <c r="AA29" s="55"/>
      <c r="AB29" s="56"/>
      <c r="AC29" s="55"/>
    </row>
    <row r="30" s="84" customFormat="true" ht="15" hidden="true" customHeight="true" outlineLevel="0" collapsed="false">
      <c r="A30" s="13"/>
      <c r="B30" s="13"/>
      <c r="C30" s="51"/>
      <c r="D30" s="13"/>
      <c r="E30" s="52"/>
      <c r="F30" s="52"/>
      <c r="G30" s="52"/>
      <c r="H30" s="52"/>
      <c r="I30" s="52"/>
      <c r="J30" s="52"/>
      <c r="K30" s="53"/>
      <c r="L30" s="16"/>
      <c r="M30" s="17"/>
      <c r="N30" s="54"/>
      <c r="O30" s="53"/>
      <c r="P30" s="53"/>
      <c r="Q30" s="53"/>
      <c r="R30" s="55"/>
      <c r="S30" s="55"/>
      <c r="T30" s="55"/>
      <c r="U30" s="55"/>
      <c r="V30" s="55"/>
      <c r="W30" s="55"/>
      <c r="X30" s="55"/>
      <c r="Y30" s="55"/>
      <c r="Z30" s="55"/>
      <c r="AA30" s="55"/>
      <c r="AB30" s="56"/>
      <c r="AC30" s="55"/>
    </row>
    <row r="31" s="84" customFormat="true" ht="15" hidden="true" customHeight="true" outlineLevel="0" collapsed="false">
      <c r="A31" s="13"/>
      <c r="B31" s="13"/>
      <c r="C31" s="51"/>
      <c r="D31" s="13"/>
      <c r="E31" s="52"/>
      <c r="F31" s="52"/>
      <c r="G31" s="52"/>
      <c r="H31" s="52"/>
      <c r="I31" s="52"/>
      <c r="J31" s="52"/>
      <c r="K31" s="53"/>
      <c r="L31" s="16"/>
      <c r="M31" s="17"/>
      <c r="N31" s="54"/>
      <c r="O31" s="53"/>
      <c r="P31" s="53"/>
      <c r="Q31" s="53"/>
      <c r="R31" s="55"/>
      <c r="S31" s="55"/>
      <c r="T31" s="55"/>
      <c r="U31" s="55"/>
      <c r="V31" s="55"/>
      <c r="W31" s="55"/>
      <c r="X31" s="55"/>
      <c r="Y31" s="55"/>
      <c r="Z31" s="55"/>
      <c r="AA31" s="55"/>
      <c r="AB31" s="56"/>
      <c r="AC31" s="55"/>
    </row>
    <row r="32" s="84" customFormat="true" ht="15" hidden="true" customHeight="true" outlineLevel="0" collapsed="false">
      <c r="A32" s="13"/>
      <c r="B32" s="13"/>
      <c r="C32" s="51"/>
      <c r="D32" s="13"/>
      <c r="E32" s="52"/>
      <c r="F32" s="52"/>
      <c r="G32" s="52"/>
      <c r="H32" s="52"/>
      <c r="I32" s="52"/>
      <c r="J32" s="52"/>
      <c r="K32" s="53"/>
      <c r="L32" s="16"/>
      <c r="M32" s="17"/>
      <c r="N32" s="54"/>
      <c r="O32" s="53"/>
      <c r="P32" s="53"/>
      <c r="Q32" s="53"/>
      <c r="R32" s="55"/>
      <c r="S32" s="55"/>
      <c r="T32" s="55"/>
      <c r="U32" s="55"/>
      <c r="V32" s="55"/>
      <c r="W32" s="55"/>
      <c r="X32" s="55"/>
      <c r="Y32" s="55"/>
      <c r="Z32" s="55"/>
      <c r="AA32" s="55"/>
      <c r="AB32" s="56"/>
      <c r="AC32" s="55"/>
    </row>
    <row r="33" s="84" customFormat="true" ht="15" hidden="true" customHeight="true" outlineLevel="0" collapsed="false">
      <c r="A33" s="13"/>
      <c r="B33" s="13"/>
      <c r="C33" s="51"/>
      <c r="D33" s="13"/>
      <c r="E33" s="52"/>
      <c r="F33" s="52"/>
      <c r="G33" s="52"/>
      <c r="H33" s="52"/>
      <c r="I33" s="52"/>
      <c r="J33" s="52"/>
      <c r="K33" s="53"/>
      <c r="L33" s="16"/>
      <c r="M33" s="17"/>
      <c r="N33" s="54"/>
      <c r="O33" s="53"/>
      <c r="P33" s="53"/>
      <c r="Q33" s="53"/>
      <c r="R33" s="55"/>
      <c r="S33" s="55"/>
      <c r="T33" s="55"/>
      <c r="U33" s="55"/>
      <c r="V33" s="55"/>
      <c r="W33" s="55"/>
      <c r="X33" s="55"/>
      <c r="Y33" s="55"/>
      <c r="Z33" s="55"/>
      <c r="AA33" s="55"/>
      <c r="AB33" s="56"/>
      <c r="AC33" s="55"/>
    </row>
    <row r="34" s="84" customFormat="true" ht="15" hidden="true" customHeight="true" outlineLevel="0" collapsed="false">
      <c r="A34" s="13"/>
      <c r="B34" s="13"/>
      <c r="C34" s="51"/>
      <c r="D34" s="13"/>
      <c r="E34" s="52"/>
      <c r="F34" s="52"/>
      <c r="G34" s="52"/>
      <c r="H34" s="52"/>
      <c r="I34" s="52"/>
      <c r="J34" s="52"/>
      <c r="K34" s="53"/>
      <c r="L34" s="16"/>
      <c r="M34" s="17"/>
      <c r="N34" s="54"/>
      <c r="O34" s="53"/>
      <c r="P34" s="53"/>
      <c r="Q34" s="53"/>
      <c r="R34" s="55"/>
      <c r="S34" s="55"/>
      <c r="T34" s="55"/>
      <c r="U34" s="55"/>
      <c r="V34" s="55"/>
      <c r="W34" s="55"/>
      <c r="X34" s="55"/>
      <c r="Y34" s="55"/>
      <c r="Z34" s="55"/>
      <c r="AA34" s="55"/>
      <c r="AB34" s="56"/>
      <c r="AC34" s="55"/>
    </row>
    <row r="35" s="84" customFormat="true" ht="15" hidden="true" customHeight="true" outlineLevel="0" collapsed="false">
      <c r="A35" s="13"/>
      <c r="B35" s="13"/>
      <c r="C35" s="51"/>
      <c r="D35" s="13"/>
      <c r="E35" s="52"/>
      <c r="F35" s="52"/>
      <c r="G35" s="52"/>
      <c r="H35" s="52"/>
      <c r="I35" s="52"/>
      <c r="J35" s="52"/>
      <c r="K35" s="53"/>
      <c r="L35" s="16"/>
      <c r="M35" s="17"/>
      <c r="N35" s="54"/>
      <c r="O35" s="53"/>
      <c r="P35" s="53"/>
      <c r="Q35" s="53"/>
      <c r="R35" s="55"/>
      <c r="S35" s="55"/>
      <c r="T35" s="55"/>
      <c r="U35" s="55"/>
      <c r="V35" s="55"/>
      <c r="W35" s="55"/>
      <c r="X35" s="55"/>
      <c r="Y35" s="55"/>
      <c r="Z35" s="55"/>
      <c r="AA35" s="55"/>
      <c r="AB35" s="56"/>
      <c r="AC35" s="55"/>
    </row>
    <row r="36" s="84" customFormat="true" ht="15" hidden="true" customHeight="true" outlineLevel="0" collapsed="false">
      <c r="A36" s="13"/>
      <c r="B36" s="13"/>
      <c r="C36" s="51"/>
      <c r="D36" s="13"/>
      <c r="E36" s="52"/>
      <c r="F36" s="52"/>
      <c r="G36" s="52"/>
      <c r="H36" s="52"/>
      <c r="I36" s="52"/>
      <c r="J36" s="52"/>
      <c r="K36" s="53"/>
      <c r="L36" s="16"/>
      <c r="M36" s="17"/>
      <c r="N36" s="54"/>
      <c r="O36" s="53"/>
      <c r="P36" s="53"/>
      <c r="Q36" s="53"/>
      <c r="R36" s="55"/>
      <c r="S36" s="55"/>
      <c r="T36" s="55"/>
      <c r="U36" s="55"/>
      <c r="V36" s="55"/>
      <c r="W36" s="55"/>
      <c r="X36" s="55"/>
      <c r="Y36" s="55"/>
      <c r="Z36" s="55"/>
      <c r="AA36" s="55"/>
      <c r="AB36" s="56"/>
      <c r="AC36" s="55"/>
    </row>
    <row r="37" s="84" customFormat="true" ht="15" hidden="true" customHeight="true" outlineLevel="0" collapsed="false">
      <c r="A37" s="13"/>
      <c r="B37" s="13"/>
      <c r="C37" s="51"/>
      <c r="D37" s="13"/>
      <c r="E37" s="52"/>
      <c r="F37" s="52"/>
      <c r="G37" s="52"/>
      <c r="H37" s="52"/>
      <c r="I37" s="52"/>
      <c r="J37" s="52"/>
      <c r="K37" s="53"/>
      <c r="L37" s="16"/>
      <c r="M37" s="17"/>
      <c r="N37" s="54"/>
      <c r="O37" s="53"/>
      <c r="P37" s="53"/>
      <c r="Q37" s="53"/>
      <c r="R37" s="55"/>
      <c r="S37" s="55"/>
      <c r="T37" s="55"/>
      <c r="U37" s="55"/>
      <c r="V37" s="55"/>
      <c r="W37" s="55"/>
      <c r="X37" s="55"/>
      <c r="Y37" s="55"/>
      <c r="Z37" s="55"/>
      <c r="AA37" s="55"/>
      <c r="AB37" s="56"/>
      <c r="AC37" s="55"/>
    </row>
    <row r="38" s="84" customFormat="true" ht="15" hidden="true" customHeight="true" outlineLevel="0" collapsed="false">
      <c r="A38" s="13"/>
      <c r="B38" s="13"/>
      <c r="C38" s="51"/>
      <c r="D38" s="13"/>
      <c r="E38" s="52"/>
      <c r="F38" s="52"/>
      <c r="G38" s="52"/>
      <c r="H38" s="52"/>
      <c r="I38" s="52"/>
      <c r="J38" s="52"/>
      <c r="K38" s="53"/>
      <c r="L38" s="16"/>
      <c r="M38" s="17"/>
      <c r="N38" s="54"/>
      <c r="O38" s="53"/>
      <c r="P38" s="53"/>
      <c r="Q38" s="53"/>
      <c r="R38" s="55"/>
      <c r="S38" s="55"/>
      <c r="T38" s="55"/>
      <c r="U38" s="55"/>
      <c r="V38" s="55"/>
      <c r="W38" s="55"/>
      <c r="X38" s="55"/>
      <c r="Y38" s="55"/>
      <c r="Z38" s="55"/>
      <c r="AA38" s="55"/>
      <c r="AB38" s="56"/>
      <c r="AC38" s="55"/>
    </row>
    <row r="39" s="84" customFormat="true" ht="15" hidden="true" customHeight="true" outlineLevel="0" collapsed="false">
      <c r="A39" s="13"/>
      <c r="B39" s="13"/>
      <c r="C39" s="51"/>
      <c r="D39" s="13"/>
      <c r="E39" s="52"/>
      <c r="F39" s="52"/>
      <c r="G39" s="52"/>
      <c r="H39" s="52"/>
      <c r="I39" s="52"/>
      <c r="J39" s="52"/>
      <c r="K39" s="53"/>
      <c r="L39" s="16"/>
      <c r="M39" s="17"/>
      <c r="N39" s="54"/>
      <c r="O39" s="53"/>
      <c r="P39" s="53"/>
      <c r="Q39" s="53"/>
      <c r="R39" s="55"/>
      <c r="S39" s="55"/>
      <c r="T39" s="55"/>
      <c r="U39" s="55"/>
      <c r="V39" s="55"/>
      <c r="W39" s="55"/>
      <c r="X39" s="55"/>
      <c r="Y39" s="55"/>
      <c r="Z39" s="55"/>
      <c r="AA39" s="55"/>
      <c r="AB39" s="56"/>
      <c r="AC39" s="55"/>
    </row>
    <row r="40" s="84" customFormat="true" ht="15" hidden="true" customHeight="true" outlineLevel="0" collapsed="false">
      <c r="A40" s="13"/>
      <c r="B40" s="13"/>
      <c r="C40" s="51"/>
      <c r="D40" s="13"/>
      <c r="E40" s="52"/>
      <c r="F40" s="52"/>
      <c r="G40" s="52"/>
      <c r="H40" s="52"/>
      <c r="I40" s="52"/>
      <c r="J40" s="52"/>
      <c r="K40" s="53"/>
      <c r="L40" s="16"/>
      <c r="M40" s="17"/>
      <c r="N40" s="54"/>
      <c r="O40" s="53"/>
      <c r="P40" s="53"/>
      <c r="Q40" s="53"/>
      <c r="R40" s="55"/>
      <c r="S40" s="55"/>
      <c r="T40" s="55"/>
      <c r="U40" s="55"/>
      <c r="V40" s="55"/>
      <c r="W40" s="55"/>
      <c r="X40" s="55"/>
      <c r="Y40" s="55"/>
      <c r="Z40" s="55"/>
      <c r="AA40" s="55"/>
      <c r="AB40" s="56"/>
      <c r="AC40" s="55"/>
    </row>
    <row r="41" s="84" customFormat="true" ht="15" hidden="true" customHeight="true" outlineLevel="0" collapsed="false">
      <c r="A41" s="13"/>
      <c r="B41" s="13"/>
      <c r="C41" s="51"/>
      <c r="D41" s="13"/>
      <c r="E41" s="52"/>
      <c r="F41" s="52"/>
      <c r="G41" s="52"/>
      <c r="H41" s="52"/>
      <c r="I41" s="52"/>
      <c r="J41" s="52"/>
      <c r="K41" s="53"/>
      <c r="L41" s="16"/>
      <c r="M41" s="17"/>
      <c r="N41" s="54"/>
      <c r="O41" s="53"/>
      <c r="P41" s="53"/>
      <c r="Q41" s="53"/>
      <c r="R41" s="55"/>
      <c r="S41" s="55"/>
      <c r="T41" s="55"/>
      <c r="U41" s="55"/>
      <c r="V41" s="55"/>
      <c r="W41" s="55"/>
      <c r="X41" s="55"/>
      <c r="Y41" s="55"/>
      <c r="Z41" s="55"/>
      <c r="AA41" s="55"/>
      <c r="AB41" s="56"/>
      <c r="AC41" s="55"/>
    </row>
    <row r="42" s="84" customFormat="true" ht="15" hidden="true" customHeight="true" outlineLevel="0" collapsed="false">
      <c r="A42" s="13"/>
      <c r="B42" s="13"/>
      <c r="C42" s="51"/>
      <c r="D42" s="13"/>
      <c r="E42" s="52"/>
      <c r="F42" s="52"/>
      <c r="G42" s="52"/>
      <c r="H42" s="52"/>
      <c r="I42" s="52"/>
      <c r="J42" s="52"/>
      <c r="K42" s="53"/>
      <c r="L42" s="16"/>
      <c r="M42" s="17"/>
      <c r="N42" s="54"/>
      <c r="O42" s="53"/>
      <c r="P42" s="53"/>
      <c r="Q42" s="53"/>
      <c r="R42" s="55"/>
      <c r="S42" s="55"/>
      <c r="T42" s="55"/>
      <c r="U42" s="55"/>
      <c r="V42" s="55"/>
      <c r="W42" s="55"/>
      <c r="X42" s="55"/>
      <c r="Y42" s="55"/>
      <c r="Z42" s="55"/>
      <c r="AA42" s="55"/>
      <c r="AB42" s="56"/>
      <c r="AC42" s="55"/>
    </row>
    <row r="43" s="84" customFormat="true" ht="15" hidden="true" customHeight="true" outlineLevel="0" collapsed="false">
      <c r="A43" s="13"/>
      <c r="B43" s="13"/>
      <c r="C43" s="51"/>
      <c r="D43" s="13"/>
      <c r="E43" s="52"/>
      <c r="F43" s="52"/>
      <c r="G43" s="52"/>
      <c r="H43" s="52"/>
      <c r="I43" s="52"/>
      <c r="J43" s="52"/>
      <c r="K43" s="53"/>
      <c r="L43" s="16"/>
      <c r="M43" s="17"/>
      <c r="N43" s="54"/>
      <c r="O43" s="53"/>
      <c r="P43" s="53"/>
      <c r="Q43" s="53"/>
      <c r="R43" s="55"/>
      <c r="S43" s="55"/>
      <c r="T43" s="55"/>
      <c r="U43" s="55"/>
      <c r="V43" s="55"/>
      <c r="W43" s="55"/>
      <c r="X43" s="55"/>
      <c r="Y43" s="55"/>
      <c r="Z43" s="55"/>
      <c r="AA43" s="55"/>
      <c r="AB43" s="56"/>
      <c r="AC43" s="55"/>
    </row>
    <row r="44" s="84" customFormat="true" ht="15" hidden="true" customHeight="true" outlineLevel="0" collapsed="false">
      <c r="A44" s="13"/>
      <c r="B44" s="13"/>
      <c r="C44" s="51"/>
      <c r="D44" s="13"/>
      <c r="E44" s="52"/>
      <c r="F44" s="52"/>
      <c r="G44" s="52"/>
      <c r="H44" s="52"/>
      <c r="I44" s="52"/>
      <c r="J44" s="52"/>
      <c r="K44" s="53"/>
      <c r="L44" s="16"/>
      <c r="M44" s="17"/>
      <c r="N44" s="54"/>
      <c r="O44" s="53"/>
      <c r="P44" s="53"/>
      <c r="Q44" s="53"/>
      <c r="R44" s="55"/>
      <c r="S44" s="55"/>
      <c r="T44" s="55"/>
      <c r="U44" s="55"/>
      <c r="V44" s="55"/>
      <c r="W44" s="55"/>
      <c r="X44" s="55"/>
      <c r="Y44" s="55"/>
      <c r="Z44" s="55"/>
      <c r="AA44" s="55"/>
      <c r="AB44" s="56"/>
      <c r="AC44" s="55"/>
    </row>
    <row r="45" s="84" customFormat="true" ht="15" hidden="true" customHeight="true" outlineLevel="0" collapsed="false">
      <c r="A45" s="13"/>
      <c r="B45" s="13"/>
      <c r="C45" s="51"/>
      <c r="D45" s="13"/>
      <c r="E45" s="52"/>
      <c r="F45" s="52"/>
      <c r="G45" s="52"/>
      <c r="H45" s="52"/>
      <c r="I45" s="52"/>
      <c r="J45" s="52"/>
      <c r="K45" s="53"/>
      <c r="L45" s="16"/>
      <c r="M45" s="17"/>
      <c r="N45" s="54"/>
      <c r="O45" s="53"/>
      <c r="P45" s="53"/>
      <c r="Q45" s="53"/>
      <c r="R45" s="55"/>
      <c r="S45" s="55"/>
      <c r="T45" s="55"/>
      <c r="U45" s="55"/>
      <c r="V45" s="55"/>
      <c r="W45" s="55"/>
      <c r="X45" s="55"/>
      <c r="Y45" s="55"/>
      <c r="Z45" s="55"/>
      <c r="AA45" s="55"/>
      <c r="AB45" s="56"/>
      <c r="AC45" s="55"/>
    </row>
    <row r="46" s="84" customFormat="true" ht="15" hidden="true" customHeight="true" outlineLevel="0" collapsed="false">
      <c r="A46" s="13"/>
      <c r="B46" s="13"/>
      <c r="C46" s="51"/>
      <c r="D46" s="13"/>
      <c r="E46" s="52"/>
      <c r="F46" s="52"/>
      <c r="G46" s="52"/>
      <c r="H46" s="52"/>
      <c r="I46" s="52"/>
      <c r="J46" s="52"/>
      <c r="K46" s="53"/>
      <c r="L46" s="16"/>
      <c r="M46" s="17"/>
      <c r="N46" s="54"/>
      <c r="O46" s="53"/>
      <c r="P46" s="53"/>
      <c r="Q46" s="53"/>
      <c r="R46" s="55"/>
      <c r="S46" s="55"/>
      <c r="T46" s="55"/>
      <c r="U46" s="55"/>
      <c r="V46" s="55"/>
      <c r="W46" s="55"/>
      <c r="X46" s="55"/>
      <c r="Y46" s="55"/>
      <c r="Z46" s="55"/>
      <c r="AA46" s="55"/>
      <c r="AB46" s="56"/>
      <c r="AC46" s="55"/>
    </row>
    <row r="47" s="84" customFormat="true" ht="15" hidden="true" customHeight="true" outlineLevel="0" collapsed="false">
      <c r="A47" s="13"/>
      <c r="B47" s="13"/>
      <c r="C47" s="51"/>
      <c r="D47" s="13"/>
      <c r="E47" s="52"/>
      <c r="F47" s="52"/>
      <c r="G47" s="52"/>
      <c r="H47" s="52"/>
      <c r="I47" s="52"/>
      <c r="J47" s="52"/>
      <c r="K47" s="53"/>
      <c r="L47" s="16"/>
      <c r="M47" s="17"/>
      <c r="N47" s="54"/>
      <c r="O47" s="53"/>
      <c r="P47" s="53"/>
      <c r="Q47" s="53"/>
      <c r="R47" s="55"/>
      <c r="S47" s="55"/>
      <c r="T47" s="55"/>
      <c r="U47" s="55"/>
      <c r="V47" s="55"/>
      <c r="W47" s="55"/>
      <c r="X47" s="55"/>
      <c r="Y47" s="55"/>
      <c r="Z47" s="55"/>
      <c r="AA47" s="55"/>
      <c r="AB47" s="56"/>
      <c r="AC47" s="55"/>
    </row>
    <row r="48" s="84" customFormat="true" ht="15" hidden="true" customHeight="true" outlineLevel="0" collapsed="false">
      <c r="A48" s="13"/>
      <c r="B48" s="13"/>
      <c r="C48" s="51"/>
      <c r="D48" s="13"/>
      <c r="E48" s="52"/>
      <c r="F48" s="52"/>
      <c r="G48" s="52"/>
      <c r="H48" s="52"/>
      <c r="I48" s="52"/>
      <c r="J48" s="52"/>
      <c r="K48" s="53"/>
      <c r="L48" s="16"/>
      <c r="M48" s="17"/>
      <c r="N48" s="54"/>
      <c r="O48" s="53"/>
      <c r="P48" s="53"/>
      <c r="Q48" s="53"/>
      <c r="R48" s="55"/>
      <c r="S48" s="55"/>
      <c r="T48" s="55"/>
      <c r="U48" s="55"/>
      <c r="V48" s="55"/>
      <c r="W48" s="55"/>
      <c r="X48" s="55"/>
      <c r="Y48" s="55"/>
      <c r="Z48" s="55"/>
      <c r="AA48" s="55"/>
      <c r="AB48" s="56"/>
      <c r="AC48" s="55"/>
    </row>
    <row r="49" s="84" customFormat="true" ht="15" hidden="true" customHeight="true" outlineLevel="0" collapsed="false">
      <c r="A49" s="13"/>
      <c r="B49" s="13"/>
      <c r="C49" s="51"/>
      <c r="D49" s="13"/>
      <c r="E49" s="52"/>
      <c r="F49" s="52"/>
      <c r="G49" s="52"/>
      <c r="H49" s="52"/>
      <c r="I49" s="52"/>
      <c r="J49" s="52"/>
      <c r="K49" s="53"/>
      <c r="L49" s="16"/>
      <c r="M49" s="17"/>
      <c r="N49" s="54"/>
      <c r="O49" s="53"/>
      <c r="P49" s="53"/>
      <c r="Q49" s="53"/>
      <c r="R49" s="55"/>
      <c r="S49" s="55"/>
      <c r="T49" s="55"/>
      <c r="U49" s="55"/>
      <c r="V49" s="55"/>
      <c r="W49" s="55"/>
      <c r="X49" s="55"/>
      <c r="Y49" s="55"/>
      <c r="Z49" s="55"/>
      <c r="AA49" s="55"/>
      <c r="AB49" s="56"/>
      <c r="AC49" s="55"/>
    </row>
    <row r="50" s="84" customFormat="true" ht="15" hidden="true" customHeight="true" outlineLevel="0" collapsed="false">
      <c r="A50" s="13"/>
      <c r="B50" s="13"/>
      <c r="C50" s="51"/>
      <c r="D50" s="13"/>
      <c r="E50" s="52"/>
      <c r="F50" s="52"/>
      <c r="G50" s="52"/>
      <c r="H50" s="52"/>
      <c r="I50" s="52"/>
      <c r="J50" s="52"/>
      <c r="K50" s="53"/>
      <c r="L50" s="16"/>
      <c r="M50" s="17"/>
      <c r="N50" s="54"/>
      <c r="O50" s="53"/>
      <c r="P50" s="53"/>
      <c r="Q50" s="53"/>
      <c r="R50" s="55"/>
      <c r="S50" s="55"/>
      <c r="T50" s="55"/>
      <c r="U50" s="55"/>
      <c r="V50" s="55"/>
      <c r="W50" s="55"/>
      <c r="X50" s="55"/>
      <c r="Y50" s="55"/>
      <c r="Z50" s="55"/>
      <c r="AA50" s="55"/>
      <c r="AB50" s="56"/>
      <c r="AC50" s="55"/>
    </row>
    <row r="51" s="69" customFormat="true" ht="14.25" hidden="false" customHeight="true" outlineLevel="0" collapsed="false">
      <c r="A51" s="61" t="s">
        <v>61</v>
      </c>
      <c r="B51" s="61"/>
      <c r="C51" s="61"/>
      <c r="D51" s="61"/>
      <c r="E51" s="62"/>
      <c r="F51" s="62"/>
      <c r="G51" s="62"/>
      <c r="H51" s="62"/>
      <c r="I51" s="62"/>
      <c r="J51" s="62"/>
      <c r="K51" s="62"/>
      <c r="L51" s="62"/>
      <c r="M51" s="63"/>
      <c r="N51" s="63"/>
      <c r="O51" s="63"/>
      <c r="P51" s="63"/>
      <c r="Q51" s="63"/>
      <c r="R51" s="64" t="n">
        <f aca="false">SUM(R11:R50)</f>
        <v>0</v>
      </c>
      <c r="S51" s="64" t="n">
        <f aca="false">SUM(S11:S50)</f>
        <v>0</v>
      </c>
      <c r="T51" s="64"/>
      <c r="U51" s="65" t="n">
        <f aca="false">SUM(U11:U50)</f>
        <v>0</v>
      </c>
      <c r="V51" s="65" t="n">
        <f aca="false">SUM(V11:V50)</f>
        <v>0</v>
      </c>
      <c r="W51" s="66" t="n">
        <f aca="false">SUM(W11:W22)</f>
        <v>976.49435</v>
      </c>
      <c r="X51" s="65" t="n">
        <f aca="false">SUM(X11:X50)</f>
        <v>0</v>
      </c>
      <c r="Y51" s="65" t="n">
        <f aca="false">SUM(Y11:Y50)</f>
        <v>0</v>
      </c>
      <c r="Z51" s="65" t="n">
        <f aca="false">SUM(Z11:Z50)</f>
        <v>0</v>
      </c>
      <c r="AA51" s="65" t="n">
        <f aca="false">SUM(AA11:AA50)</f>
        <v>0</v>
      </c>
      <c r="AB51" s="65"/>
      <c r="AE51" s="71"/>
    </row>
    <row r="52" s="69" customFormat="true" ht="14.25" hidden="false" customHeight="true" outlineLevel="0" collapsed="false">
      <c r="A52" s="68"/>
      <c r="B52" s="68"/>
      <c r="C52" s="68"/>
      <c r="D52" s="68"/>
      <c r="R52" s="70"/>
      <c r="S52" s="70"/>
      <c r="T52" s="70"/>
      <c r="U52" s="71"/>
      <c r="V52" s="71"/>
      <c r="W52" s="71"/>
      <c r="X52" s="71"/>
      <c r="Y52" s="71"/>
      <c r="Z52" s="71"/>
      <c r="AA52" s="71"/>
      <c r="AB52" s="71"/>
    </row>
    <row r="53" s="69" customFormat="true" ht="15" hidden="false" customHeight="true" outlineLevel="0" collapsed="false">
      <c r="A53" s="19" t="s">
        <v>50</v>
      </c>
      <c r="B53" s="19"/>
      <c r="C53" s="19"/>
      <c r="D53" s="77" t="s">
        <v>62</v>
      </c>
      <c r="E53" s="19" t="s">
        <v>51</v>
      </c>
      <c r="F53" s="19"/>
      <c r="G53" s="19"/>
      <c r="H53" s="19"/>
      <c r="I53" s="19"/>
      <c r="J53" s="19"/>
      <c r="K53" s="19"/>
      <c r="L53" s="19"/>
      <c r="M53" s="19"/>
      <c r="N53" s="19"/>
      <c r="O53" s="19"/>
      <c r="P53" s="19"/>
      <c r="Q53" s="19"/>
      <c r="R53" s="19"/>
      <c r="S53" s="19"/>
      <c r="T53" s="19"/>
      <c r="U53" s="19"/>
      <c r="V53" s="19"/>
      <c r="W53" s="19"/>
      <c r="X53" s="19"/>
      <c r="Y53" s="19"/>
      <c r="Z53" s="19"/>
      <c r="AA53" s="19"/>
      <c r="AB53" s="19"/>
    </row>
    <row r="54" s="69" customFormat="true" ht="14.25" hidden="false" customHeight="true" outlineLevel="0" collapsed="false">
      <c r="A54" s="78"/>
      <c r="B54" s="78"/>
      <c r="C54" s="78"/>
      <c r="D54" s="79"/>
      <c r="E54" s="79"/>
      <c r="F54" s="79"/>
      <c r="G54" s="79"/>
      <c r="H54" s="79"/>
      <c r="I54" s="79"/>
      <c r="J54" s="79"/>
      <c r="K54" s="79"/>
      <c r="L54" s="79"/>
      <c r="M54" s="79"/>
      <c r="N54" s="79"/>
      <c r="O54" s="79"/>
      <c r="P54" s="79"/>
      <c r="Q54" s="79"/>
      <c r="R54" s="79"/>
      <c r="S54" s="79"/>
      <c r="T54" s="79"/>
      <c r="U54" s="79"/>
      <c r="V54" s="79"/>
      <c r="W54" s="79"/>
    </row>
    <row r="55" s="69" customFormat="true" ht="15" hidden="false" customHeight="true" outlineLevel="0" collapsed="false">
      <c r="A55" s="78"/>
      <c r="B55" s="78"/>
      <c r="C55" s="81"/>
      <c r="D55" s="81"/>
      <c r="E55" s="79"/>
      <c r="F55" s="79"/>
      <c r="G55" s="79"/>
      <c r="H55" s="79"/>
      <c r="I55" s="79"/>
      <c r="J55" s="79"/>
      <c r="K55" s="79"/>
      <c r="L55" s="79"/>
      <c r="M55" s="79"/>
      <c r="N55" s="79"/>
      <c r="O55" s="79"/>
      <c r="P55" s="79"/>
      <c r="Q55" s="79"/>
      <c r="R55" s="79"/>
      <c r="S55" s="79"/>
      <c r="T55" s="79"/>
      <c r="U55" s="79"/>
      <c r="V55" s="79"/>
      <c r="W55" s="79"/>
      <c r="AF55" s="108"/>
    </row>
    <row r="56" s="69" customFormat="true" ht="14.25" hidden="false" customHeight="true" outlineLevel="0" collapsed="false">
      <c r="A56" s="78"/>
      <c r="B56" s="78"/>
      <c r="C56" s="78"/>
      <c r="D56" s="79"/>
      <c r="E56" s="79"/>
      <c r="F56" s="79"/>
      <c r="G56" s="79"/>
      <c r="H56" s="79"/>
      <c r="I56" s="79"/>
      <c r="J56" s="79"/>
      <c r="K56" s="79"/>
      <c r="L56" s="79"/>
      <c r="M56" s="79"/>
      <c r="N56" s="79"/>
      <c r="O56" s="79"/>
      <c r="P56" s="79"/>
      <c r="Q56" s="79"/>
      <c r="R56" s="79"/>
      <c r="S56" s="79"/>
      <c r="T56" s="79"/>
      <c r="U56" s="79"/>
      <c r="V56" s="79"/>
      <c r="W56" s="79"/>
    </row>
    <row r="57" s="69" customFormat="true" ht="14.25" hidden="false" customHeight="true" outlineLevel="0" collapsed="false">
      <c r="A57" s="78"/>
      <c r="B57" s="78"/>
      <c r="C57" s="78"/>
      <c r="D57" s="79"/>
      <c r="E57" s="79"/>
      <c r="F57" s="79"/>
      <c r="G57" s="79"/>
      <c r="H57" s="79"/>
      <c r="I57" s="79"/>
      <c r="J57" s="79"/>
      <c r="K57" s="79"/>
      <c r="L57" s="79"/>
      <c r="M57" s="79"/>
      <c r="N57" s="79"/>
      <c r="O57" s="79"/>
      <c r="P57" s="79"/>
      <c r="Q57" s="79"/>
      <c r="R57" s="79"/>
      <c r="S57" s="79"/>
      <c r="T57" s="79"/>
      <c r="U57" s="79"/>
      <c r="V57" s="79"/>
      <c r="W57" s="79"/>
    </row>
    <row r="58" s="69" customFormat="true" ht="14.25" hidden="false" customHeight="true" outlineLevel="0" collapsed="false">
      <c r="A58" s="78"/>
      <c r="B58" s="78"/>
      <c r="C58" s="78"/>
      <c r="D58" s="79"/>
      <c r="E58" s="79"/>
      <c r="F58" s="79"/>
      <c r="G58" s="79"/>
      <c r="H58" s="79"/>
      <c r="I58" s="79"/>
      <c r="J58" s="79"/>
      <c r="K58" s="79"/>
      <c r="L58" s="79"/>
      <c r="M58" s="79"/>
      <c r="N58" s="79"/>
      <c r="O58" s="79"/>
      <c r="P58" s="79"/>
      <c r="Q58" s="79"/>
      <c r="R58" s="79"/>
      <c r="S58" s="79"/>
      <c r="T58" s="79"/>
      <c r="U58" s="79"/>
      <c r="V58" s="79"/>
      <c r="W58" s="79"/>
    </row>
    <row r="59" s="69" customFormat="true" ht="14.25" hidden="false" customHeight="true" outlineLevel="0" collapsed="false">
      <c r="A59" s="19" t="s">
        <v>52</v>
      </c>
      <c r="B59" s="19"/>
      <c r="C59" s="19"/>
      <c r="D59" s="20"/>
      <c r="E59" s="20"/>
      <c r="F59" s="20"/>
      <c r="G59" s="20"/>
      <c r="H59" s="20"/>
      <c r="I59" s="20"/>
      <c r="J59" s="20"/>
      <c r="K59" s="20"/>
      <c r="L59" s="20"/>
      <c r="M59" s="19" t="s">
        <v>53</v>
      </c>
      <c r="N59" s="19"/>
      <c r="O59" s="19"/>
      <c r="P59" s="19"/>
      <c r="Q59" s="19"/>
      <c r="R59" s="19"/>
      <c r="S59" s="19"/>
      <c r="T59" s="19"/>
      <c r="U59" s="19"/>
      <c r="V59" s="19"/>
      <c r="W59" s="19"/>
      <c r="X59" s="19"/>
      <c r="Y59" s="19"/>
      <c r="Z59" s="19"/>
      <c r="AA59" s="19"/>
      <c r="AB59" s="19"/>
    </row>
    <row r="60" customFormat="false" ht="12.75" hidden="false" customHeight="false" outlineLevel="0" collapsed="false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customFormat="false" ht="12.75" hidden="false" customHeight="false" outlineLevel="0" collapsed="false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customFormat="false" ht="12.75" hidden="false" customHeight="false" outlineLevel="0" collapsed="false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customFormat="false" ht="12.75" hidden="false" customHeight="false" outlineLevel="0" collapsed="false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customFormat="false" ht="12.75" hidden="false" customHeight="false" outlineLevel="0" collapsed="false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customFormat="false" ht="12.75" hidden="false" customHeight="false" outlineLevel="0" collapsed="false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customFormat="false" ht="12.75" hidden="false" customHeight="false" outlineLevel="0" collapsed="false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customFormat="false" ht="12.75" hidden="false" customHeight="false" outlineLevel="0" collapsed="false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customFormat="false" ht="12.75" hidden="false" customHeight="false" outlineLevel="0" collapsed="false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customFormat="false" ht="12.75" hidden="false" customHeight="false" outlineLevel="0" collapsed="false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customFormat="false" ht="12.75" hidden="false" customHeight="false" outlineLevel="0" collapsed="false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customFormat="false" ht="12.75" hidden="false" customHeight="false" outlineLevel="0" collapsed="false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customFormat="false" ht="12.75" hidden="false" customHeight="false" outlineLevel="0" collapsed="false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customFormat="false" ht="12.75" hidden="false" customHeight="false" outlineLevel="0" collapsed="false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customFormat="false" ht="12.75" hidden="false" customHeight="false" outlineLevel="0" collapsed="false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customFormat="false" ht="12.75" hidden="false" customHeight="false" outlineLevel="0" collapsed="false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customFormat="false" ht="12.75" hidden="false" customHeight="false" outlineLevel="0" collapsed="false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customFormat="false" ht="12.75" hidden="false" customHeight="false" outlineLevel="0" collapsed="false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customFormat="false" ht="12.75" hidden="false" customHeight="false" outlineLevel="0" collapsed="false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customFormat="false" ht="12.75" hidden="false" customHeight="false" outlineLevel="0" collapsed="false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customFormat="false" ht="12.75" hidden="false" customHeight="false" outlineLevel="0" collapsed="false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customFormat="false" ht="12.75" hidden="false" customHeight="false" outlineLevel="0" collapsed="false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customFormat="false" ht="12.75" hidden="false" customHeight="false" outlineLevel="0" collapsed="false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customFormat="false" ht="12.75" hidden="false" customHeight="false" outlineLevel="0" collapsed="false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customFormat="false" ht="12.75" hidden="false" customHeight="false" outlineLevel="0" collapsed="false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customFormat="false" ht="12.75" hidden="false" customHeight="false" outlineLevel="0" collapsed="false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customFormat="false" ht="12.75" hidden="false" customHeight="false" outlineLevel="0" collapsed="false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customFormat="false" ht="12.75" hidden="false" customHeight="false" outlineLevel="0" collapsed="false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customFormat="false" ht="12.75" hidden="false" customHeight="false" outlineLevel="0" collapsed="false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customFormat="false" ht="12.75" hidden="false" customHeight="false" outlineLevel="0" collapsed="false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customFormat="false" ht="12.75" hidden="false" customHeight="false" outlineLevel="0" collapsed="false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customFormat="false" ht="12.75" hidden="false" customHeight="false" outlineLevel="0" collapsed="false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customFormat="false" ht="12.75" hidden="false" customHeight="false" outlineLevel="0" collapsed="false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customFormat="false" ht="12.75" hidden="false" customHeight="false" outlineLevel="0" collapsed="false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customFormat="false" ht="12.75" hidden="false" customHeight="false" outlineLevel="0" collapsed="false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customFormat="false" ht="12.75" hidden="false" customHeight="false" outlineLevel="0" collapsed="false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customFormat="false" ht="12.75" hidden="false" customHeight="false" outlineLevel="0" collapsed="false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customFormat="false" ht="12.75" hidden="false" customHeight="false" outlineLevel="0" collapsed="false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customFormat="false" ht="12.75" hidden="false" customHeight="false" outlineLevel="0" collapsed="false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customFormat="false" ht="12.75" hidden="false" customHeight="false" outlineLevel="0" collapsed="false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customFormat="false" ht="12.75" hidden="false" customHeight="false" outlineLevel="0" collapsed="false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customFormat="false" ht="12.75" hidden="false" customHeight="false" outlineLevel="0" collapsed="false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customFormat="false" ht="12.75" hidden="false" customHeight="false" outlineLevel="0" collapsed="false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customFormat="false" ht="12.75" hidden="false" customHeight="false" outlineLevel="0" collapsed="false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customFormat="false" ht="12.75" hidden="false" customHeight="false" outlineLevel="0" collapsed="false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customFormat="false" ht="12.75" hidden="false" customHeight="false" outlineLevel="0" collapsed="false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customFormat="false" ht="12.75" hidden="false" customHeight="false" outlineLevel="0" collapsed="false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customFormat="false" ht="12.75" hidden="false" customHeight="false" outlineLevel="0" collapsed="false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customFormat="false" ht="12.75" hidden="false" customHeight="false" outlineLevel="0" collapsed="false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s="23" customFormat="true" ht="12.75" hidden="false" customHeight="false" outlineLevel="0" collapsed="false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  <c r="AD109" s="22"/>
      <c r="AE109" s="22"/>
      <c r="AF109" s="22"/>
      <c r="AG109" s="22"/>
    </row>
    <row r="110" s="23" customFormat="true" ht="12.75" hidden="false" customHeight="false" outlineLevel="0" collapsed="false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  <c r="AD110" s="22"/>
      <c r="AE110" s="22"/>
      <c r="AF110" s="22"/>
      <c r="AG110" s="22"/>
    </row>
    <row r="111" s="23" customFormat="true" ht="12.75" hidden="false" customHeight="false" outlineLevel="0" collapsed="false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  <c r="AD111" s="22"/>
      <c r="AE111" s="22"/>
      <c r="AF111" s="22"/>
      <c r="AG111" s="22"/>
    </row>
    <row r="112" s="23" customFormat="true" ht="12.75" hidden="false" customHeight="false" outlineLevel="0" collapsed="false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  <c r="AD112" s="22"/>
      <c r="AE112" s="22"/>
      <c r="AF112" s="22"/>
      <c r="AG112" s="22"/>
    </row>
    <row r="113" s="23" customFormat="true" ht="12.75" hidden="false" customHeight="false" outlineLevel="0" collapsed="false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  <c r="AD113" s="22"/>
      <c r="AE113" s="22"/>
      <c r="AF113" s="22"/>
      <c r="AG113" s="22"/>
    </row>
    <row r="114" s="23" customFormat="true" ht="12.75" hidden="false" customHeight="false" outlineLevel="0" collapsed="false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  <c r="AD114" s="22"/>
      <c r="AE114" s="22"/>
      <c r="AF114" s="22"/>
      <c r="AG114" s="22"/>
    </row>
    <row r="115" s="23" customFormat="true" ht="12.75" hidden="false" customHeight="false" outlineLevel="0" collapsed="false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  <c r="AD115" s="22"/>
      <c r="AE115" s="22"/>
      <c r="AF115" s="22"/>
      <c r="AG115" s="22"/>
    </row>
    <row r="116" s="23" customFormat="true" ht="12.75" hidden="false" customHeight="false" outlineLevel="0" collapsed="false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  <c r="AD116" s="22"/>
      <c r="AE116" s="22"/>
      <c r="AF116" s="22"/>
      <c r="AG116" s="22"/>
    </row>
    <row r="117" s="23" customFormat="true" ht="12.75" hidden="false" customHeight="false" outlineLevel="0" collapsed="false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  <c r="AD117" s="22"/>
      <c r="AE117" s="22"/>
      <c r="AF117" s="22"/>
      <c r="AG117" s="22"/>
    </row>
    <row r="118" s="23" customFormat="true" ht="12.75" hidden="false" customHeight="false" outlineLevel="0" collapsed="false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  <c r="AD118" s="22"/>
      <c r="AE118" s="22"/>
      <c r="AF118" s="22"/>
      <c r="AG118" s="22"/>
    </row>
    <row r="119" s="23" customFormat="true" ht="12.75" hidden="false" customHeight="false" outlineLevel="0" collapsed="false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  <c r="AD119" s="22"/>
      <c r="AE119" s="22"/>
      <c r="AF119" s="22"/>
      <c r="AG119" s="22"/>
    </row>
    <row r="120" s="23" customFormat="true" ht="12.75" hidden="false" customHeight="false" outlineLevel="0" collapsed="false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  <c r="AD120" s="22"/>
      <c r="AE120" s="22"/>
      <c r="AF120" s="22"/>
      <c r="AG120" s="22"/>
    </row>
    <row r="121" s="23" customFormat="true" ht="12.75" hidden="false" customHeight="false" outlineLevel="0" collapsed="false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  <c r="AD121" s="22"/>
      <c r="AE121" s="22"/>
      <c r="AF121" s="22"/>
      <c r="AG121" s="22"/>
    </row>
    <row r="122" s="23" customFormat="true" ht="12.75" hidden="false" customHeight="false" outlineLevel="0" collapsed="false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  <c r="AD122" s="22"/>
      <c r="AE122" s="22"/>
      <c r="AF122" s="22"/>
      <c r="AG122" s="22"/>
    </row>
    <row r="123" s="23" customFormat="true" ht="12.75" hidden="false" customHeight="false" outlineLevel="0" collapsed="false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  <c r="AD123" s="22"/>
      <c r="AE123" s="22"/>
      <c r="AF123" s="22"/>
      <c r="AG123" s="22"/>
    </row>
    <row r="124" s="23" customFormat="true" ht="12.75" hidden="false" customHeight="false" outlineLevel="0" collapsed="false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  <c r="AD124" s="22"/>
      <c r="AE124" s="22"/>
      <c r="AF124" s="22"/>
      <c r="AG124" s="22"/>
    </row>
    <row r="125" s="23" customFormat="true" ht="12.75" hidden="false" customHeight="false" outlineLevel="0" collapsed="false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  <c r="AD125" s="22"/>
      <c r="AE125" s="22"/>
      <c r="AF125" s="22"/>
      <c r="AG125" s="22"/>
    </row>
    <row r="126" s="23" customFormat="true" ht="12.75" hidden="false" customHeight="false" outlineLevel="0" collapsed="false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  <c r="AD126" s="22"/>
      <c r="AE126" s="22"/>
      <c r="AF126" s="22"/>
      <c r="AG126" s="22"/>
    </row>
    <row r="127" s="23" customFormat="true" ht="12.75" hidden="false" customHeight="false" outlineLevel="0" collapsed="false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  <c r="AD127" s="22"/>
      <c r="AE127" s="22"/>
      <c r="AF127" s="22"/>
      <c r="AG127" s="22"/>
    </row>
    <row r="128" s="23" customFormat="true" ht="12.75" hidden="false" customHeight="false" outlineLevel="0" collapsed="false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  <c r="AD128" s="22"/>
      <c r="AE128" s="22"/>
      <c r="AF128" s="22"/>
      <c r="AG128" s="22"/>
    </row>
    <row r="129" s="23" customFormat="true" ht="12.75" hidden="false" customHeight="false" outlineLevel="0" collapsed="false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  <c r="AD129" s="22"/>
      <c r="AE129" s="22"/>
      <c r="AF129" s="22"/>
      <c r="AG129" s="22"/>
    </row>
    <row r="130" s="23" customFormat="true" ht="12.75" hidden="false" customHeight="false" outlineLevel="0" collapsed="false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  <c r="AD130" s="22"/>
      <c r="AE130" s="22"/>
      <c r="AF130" s="22"/>
      <c r="AG130" s="22"/>
    </row>
    <row r="131" s="23" customFormat="true" ht="12.75" hidden="false" customHeight="false" outlineLevel="0" collapsed="false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  <c r="AD131" s="22"/>
      <c r="AE131" s="22"/>
      <c r="AF131" s="22"/>
      <c r="AG131" s="22"/>
    </row>
    <row r="132" s="23" customFormat="true" ht="12.75" hidden="false" customHeight="false" outlineLevel="0" collapsed="false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  <c r="AD132" s="22"/>
      <c r="AE132" s="22"/>
      <c r="AF132" s="22"/>
      <c r="AG132" s="22"/>
    </row>
    <row r="133" s="23" customFormat="true" ht="12.75" hidden="false" customHeight="false" outlineLevel="0" collapsed="false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  <c r="AD133" s="22"/>
      <c r="AE133" s="22"/>
      <c r="AF133" s="22"/>
      <c r="AG133" s="22"/>
    </row>
    <row r="134" s="23" customFormat="true" ht="12.75" hidden="false" customHeight="false" outlineLevel="0" collapsed="false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  <c r="AD134" s="22"/>
      <c r="AE134" s="22"/>
      <c r="AF134" s="22"/>
      <c r="AG134" s="22"/>
    </row>
    <row r="135" s="23" customFormat="true" ht="12.75" hidden="false" customHeight="false" outlineLevel="0" collapsed="false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  <c r="AD135" s="22"/>
      <c r="AE135" s="22"/>
      <c r="AF135" s="22"/>
      <c r="AG135" s="22"/>
    </row>
    <row r="136" s="23" customFormat="true" ht="12.75" hidden="false" customHeight="false" outlineLevel="0" collapsed="false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  <c r="AD136" s="22"/>
      <c r="AE136" s="22"/>
      <c r="AF136" s="22"/>
      <c r="AG136" s="22"/>
    </row>
  </sheetData>
  <mergeCells count="19">
    <mergeCell ref="A1:AB1"/>
    <mergeCell ref="A2:AB2"/>
    <mergeCell ref="A3:AB3"/>
    <mergeCell ref="A4:AB4"/>
    <mergeCell ref="A5:AB5"/>
    <mergeCell ref="A6:AB6"/>
    <mergeCell ref="D7:AB7"/>
    <mergeCell ref="A8:AB8"/>
    <mergeCell ref="A9:A10"/>
    <mergeCell ref="B9:B10"/>
    <mergeCell ref="C9:C10"/>
    <mergeCell ref="D9:D10"/>
    <mergeCell ref="M9:Y9"/>
    <mergeCell ref="AB9:AB10"/>
    <mergeCell ref="A51:D51"/>
    <mergeCell ref="A53:C53"/>
    <mergeCell ref="E53:AB53"/>
    <mergeCell ref="A59:C59"/>
    <mergeCell ref="M59:AB59"/>
  </mergeCells>
  <printOptions headings="false" gridLines="false" gridLinesSet="true" horizontalCentered="false" verticalCentered="false"/>
  <pageMargins left="0.7" right="0.159722222222222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Y68"/>
  <sheetViews>
    <sheetView showFormulas="false" showGridLines="true" showRowColHeaders="true" showZeros="true" rightToLeft="false" tabSelected="false" showOutlineSymbols="true" defaultGridColor="true" view="normal" topLeftCell="A13" colorId="64" zoomScale="85" zoomScaleNormal="85" zoomScalePageLayoutView="100" workbookViewId="0">
      <selection pane="topLeft" activeCell="T14" activeCellId="0" sqref="T14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6.43"/>
    <col collapsed="false" customWidth="true" hidden="false" outlineLevel="0" max="2" min="2" style="1" width="7.29"/>
    <col collapsed="false" customWidth="true" hidden="false" outlineLevel="0" max="3" min="3" style="1" width="17"/>
    <col collapsed="false" customWidth="true" hidden="true" outlineLevel="0" max="4" min="4" style="1" width="8.29"/>
    <col collapsed="false" customWidth="false" hidden="true" outlineLevel="0" max="5" min="5" style="1" width="8.71"/>
    <col collapsed="false" customWidth="true" hidden="true" outlineLevel="0" max="6" min="6" style="1" width="9.14"/>
    <col collapsed="false" customWidth="true" hidden="false" outlineLevel="0" max="12" min="7" style="1" width="10.85"/>
    <col collapsed="false" customWidth="true" hidden="true" outlineLevel="0" max="15" min="13" style="1" width="8.57"/>
    <col collapsed="false" customWidth="true" hidden="false" outlineLevel="0" max="18" min="16" style="1" width="10.85"/>
    <col collapsed="false" customWidth="true" hidden="false" outlineLevel="0" max="19" min="19" style="1" width="7"/>
  </cols>
  <sheetData>
    <row r="1" customFormat="false" ht="20.25" hidden="false" customHeight="true" outlineLevel="0" collapsed="false">
      <c r="A1" s="3" t="s">
        <v>28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3"/>
      <c r="T1" s="26"/>
      <c r="U1" s="26"/>
      <c r="V1" s="4"/>
      <c r="W1" s="4"/>
    </row>
    <row r="2" customFormat="false" ht="18.75" hidden="false" customHeight="true" outlineLevel="0" collapsed="false">
      <c r="A2" s="5" t="str">
        <f>"Kèm theo BBNT số: "&amp;VLOOKUP(AZ2,'[1]Tuyến XD8'!$A$2:$G$60,7,0)&amp;VLOOKUP(AZ2,'[1]Tuyến XD8'!$A$2:$G$60,4,0)</f>
        <v xml:space="preserve">Kèm theo BBNT số: 68.NĐXD8/CVXD ngày 18 tháng 09 năm 2026</v>
      </c>
      <c r="B2" s="5"/>
      <c r="C2" s="5"/>
      <c r="D2" s="5"/>
      <c r="E2" s="5"/>
      <c r="F2" s="5"/>
      <c r="G2" s="5"/>
      <c r="H2" s="5"/>
      <c r="I2" s="5"/>
      <c r="J2" s="5"/>
      <c r="K2" s="5"/>
      <c r="L2" s="5"/>
      <c r="M2" s="5"/>
      <c r="N2" s="5"/>
      <c r="O2" s="5"/>
      <c r="P2" s="5"/>
      <c r="Q2" s="5"/>
      <c r="R2" s="5"/>
      <c r="S2" s="5"/>
      <c r="U2" s="6"/>
      <c r="V2" s="6"/>
      <c r="W2" s="6"/>
      <c r="AZ2">
        <v>68</v>
      </c>
    </row>
    <row r="3" customFormat="false" ht="18.75" hidden="false" customHeight="true" outlineLevel="0" collapsed="false">
      <c r="A3" s="7" t="str">
        <f aca="false">'1.KTHH L1'!A3</f>
        <v>Dự án: Xây dựng HTKT Khu tái định cư phục vụ di dân xã Hải Hà, thị xã Nghi Sơn, tỉnh Thanh Hóa.</v>
      </c>
      <c r="C3" s="7"/>
      <c r="D3" s="7"/>
      <c r="E3" s="7"/>
      <c r="F3" s="7"/>
      <c r="G3" s="7"/>
      <c r="H3" s="7"/>
      <c r="I3" s="7"/>
      <c r="J3" s="7"/>
      <c r="K3" s="7"/>
      <c r="L3" s="7"/>
      <c r="M3" s="7"/>
      <c r="N3" s="7"/>
      <c r="O3" s="7"/>
      <c r="P3" s="7"/>
      <c r="Q3" s="7"/>
      <c r="R3" s="7"/>
      <c r="S3" s="7"/>
      <c r="T3" s="7"/>
      <c r="U3" s="7"/>
      <c r="V3" s="7"/>
      <c r="W3" s="7"/>
    </row>
    <row r="4" customFormat="false" ht="18.75" hidden="false" customHeight="true" outlineLevel="0" collapsed="false">
      <c r="A4" s="7" t="str">
        <f aca="false">'1.KTHH L1'!A4</f>
        <v>Gói thầu số 12: Xây dựng HTKT khu vực Hải Bình và Xuân Lâm (bao gồm cả bảo hiểm xây dựng công trình)</v>
      </c>
      <c r="C4" s="7"/>
      <c r="D4" s="7"/>
      <c r="E4" s="7"/>
      <c r="F4" s="7"/>
      <c r="G4" s="7"/>
      <c r="H4" s="7"/>
      <c r="I4" s="7"/>
      <c r="J4" s="7"/>
      <c r="K4" s="7"/>
      <c r="L4" s="7"/>
      <c r="M4" s="7"/>
      <c r="N4" s="7"/>
      <c r="O4" s="7"/>
      <c r="P4" s="7"/>
      <c r="Q4" s="7"/>
      <c r="R4" s="7"/>
      <c r="S4" s="7"/>
      <c r="T4" s="7"/>
      <c r="U4" s="7"/>
      <c r="V4" s="7"/>
      <c r="W4" s="7"/>
    </row>
    <row r="5" customFormat="false" ht="18.75" hidden="false" customHeight="true" outlineLevel="0" collapsed="false">
      <c r="A5" s="7" t="str">
        <f aca="false">'1.KTHH L1'!A5</f>
        <v>Nhà thầu thi công: Công ty TNHH Hoàng Tuấn</v>
      </c>
      <c r="C5" s="7"/>
      <c r="D5" s="7"/>
      <c r="E5" s="7"/>
      <c r="F5" s="7"/>
      <c r="G5" s="7"/>
      <c r="H5" s="7"/>
      <c r="I5" s="7"/>
      <c r="J5" s="7"/>
      <c r="K5" s="7"/>
      <c r="L5" s="7"/>
      <c r="M5" s="7"/>
      <c r="N5" s="7"/>
      <c r="O5" s="7"/>
      <c r="P5" s="7"/>
      <c r="Q5" s="7"/>
      <c r="R5" s="7"/>
      <c r="S5" s="7"/>
      <c r="T5" s="7"/>
      <c r="U5" s="7"/>
      <c r="V5" s="7"/>
      <c r="W5" s="7"/>
    </row>
    <row r="6" customFormat="false" ht="18.75" hidden="false" customHeight="true" outlineLevel="0" collapsed="false">
      <c r="A6" s="7" t="s">
        <v>33</v>
      </c>
      <c r="C6" s="7"/>
      <c r="D6" s="7"/>
      <c r="E6" s="7"/>
      <c r="F6" s="7"/>
      <c r="G6" s="7"/>
      <c r="H6" s="7"/>
      <c r="I6" s="7"/>
      <c r="J6" s="7"/>
      <c r="K6" s="7"/>
      <c r="L6" s="7"/>
      <c r="M6" s="7"/>
      <c r="N6" s="7"/>
      <c r="O6" s="7"/>
      <c r="P6" s="7"/>
      <c r="Q6" s="7"/>
      <c r="R6" s="7"/>
      <c r="S6" s="7"/>
      <c r="T6" s="7"/>
      <c r="U6" s="7"/>
      <c r="V6" s="7"/>
      <c r="W6" s="7"/>
    </row>
    <row r="7" customFormat="false" ht="18.75" hidden="false" customHeight="true" outlineLevel="0" collapsed="false">
      <c r="A7" s="8" t="s">
        <v>34</v>
      </c>
      <c r="C7" s="7"/>
      <c r="D7" s="7"/>
      <c r="F7" s="7"/>
      <c r="G7" s="7" t="str">
        <f>VLOOKUP(AZ2,'[1]Tuyến XD8'!$A$2:$B$60,2,0)</f>
        <v xml:space="preserve">Đắp đất nền đường lớp 5 đoạn từ Km0+489,19 - Km0+609,11, độ chặt K&gt;=0,95</v>
      </c>
      <c r="I7" s="7"/>
      <c r="J7" s="7"/>
      <c r="K7" s="7"/>
      <c r="L7" s="7"/>
      <c r="M7" s="7"/>
      <c r="N7" s="7"/>
      <c r="O7" s="7"/>
      <c r="P7" s="7"/>
      <c r="Q7" s="7"/>
      <c r="R7" s="7"/>
      <c r="S7" s="7"/>
      <c r="T7" s="7"/>
      <c r="U7" s="7"/>
      <c r="V7" s="7"/>
      <c r="W7" s="7"/>
    </row>
    <row r="8" customFormat="false" ht="18.75" hidden="false" customHeight="true" outlineLevel="0" collapsed="false">
      <c r="A8" s="8" t="s">
        <v>36</v>
      </c>
      <c r="C8" s="7"/>
      <c r="D8" s="7"/>
      <c r="E8" s="7"/>
      <c r="F8" s="7"/>
      <c r="G8" s="7"/>
      <c r="H8" s="7"/>
      <c r="I8" s="7"/>
      <c r="J8" s="7"/>
      <c r="K8" s="7"/>
      <c r="L8" s="7"/>
      <c r="M8" s="7"/>
      <c r="N8" s="7"/>
      <c r="O8" s="7"/>
      <c r="P8" s="7"/>
      <c r="Q8" s="7"/>
      <c r="R8" s="7"/>
      <c r="S8" s="7"/>
      <c r="T8" s="7"/>
      <c r="U8" s="7"/>
      <c r="V8" s="7"/>
      <c r="W8" s="7"/>
    </row>
    <row r="20" customFormat="false" ht="15" hidden="false" customHeight="true" outlineLevel="0" collapsed="false">
      <c r="A20" s="109" t="s">
        <v>37</v>
      </c>
      <c r="B20" s="9" t="s">
        <v>38</v>
      </c>
      <c r="C20" s="9" t="s">
        <v>39</v>
      </c>
      <c r="D20" s="10" t="s">
        <v>40</v>
      </c>
      <c r="E20" s="10"/>
      <c r="F20" s="10"/>
      <c r="G20" s="10"/>
      <c r="H20" s="10"/>
      <c r="I20" s="10"/>
      <c r="J20" s="10" t="s">
        <v>41</v>
      </c>
      <c r="K20" s="10"/>
      <c r="L20" s="10"/>
      <c r="M20" s="10" t="s">
        <v>42</v>
      </c>
      <c r="N20" s="10"/>
      <c r="O20" s="10"/>
      <c r="P20" s="10"/>
      <c r="Q20" s="10"/>
      <c r="R20" s="10"/>
      <c r="S20" s="9" t="s">
        <v>43</v>
      </c>
    </row>
    <row r="21" customFormat="false" ht="51.75" hidden="false" customHeight="true" outlineLevel="0" collapsed="false">
      <c r="A21" s="109"/>
      <c r="B21" s="109"/>
      <c r="C21" s="109"/>
      <c r="D21" s="11" t="s">
        <v>44</v>
      </c>
      <c r="E21" s="11" t="s">
        <v>45</v>
      </c>
      <c r="F21" s="11" t="s">
        <v>46</v>
      </c>
      <c r="G21" s="11" t="s">
        <v>47</v>
      </c>
      <c r="H21" s="11" t="s">
        <v>48</v>
      </c>
      <c r="I21" s="11" t="s">
        <v>49</v>
      </c>
      <c r="J21" s="11" t="s">
        <v>47</v>
      </c>
      <c r="K21" s="11" t="s">
        <v>48</v>
      </c>
      <c r="L21" s="11" t="s">
        <v>49</v>
      </c>
      <c r="M21" s="11" t="s">
        <v>44</v>
      </c>
      <c r="N21" s="11" t="s">
        <v>45</v>
      </c>
      <c r="O21" s="11" t="s">
        <v>46</v>
      </c>
      <c r="P21" s="11" t="s">
        <v>47</v>
      </c>
      <c r="Q21" s="11" t="s">
        <v>48</v>
      </c>
      <c r="R21" s="11" t="s">
        <v>49</v>
      </c>
      <c r="S21" s="9"/>
      <c r="T21" s="86"/>
      <c r="W21" s="87"/>
      <c r="X21" s="87"/>
      <c r="Y21" s="87"/>
    </row>
    <row r="22" customFormat="false" ht="16.5" hidden="false" customHeight="true" outlineLevel="0" collapsed="false">
      <c r="A22" s="110" t="n">
        <v>1</v>
      </c>
      <c r="B22" s="13" t="s">
        <v>17</v>
      </c>
      <c r="C22" s="15" t="n">
        <v>489.19</v>
      </c>
      <c r="D22" s="16" t="n">
        <f aca="false">+Chạy!F5</f>
        <v>-13.3</v>
      </c>
      <c r="E22" s="16" t="n">
        <f aca="false">+D22+F22</f>
        <v>-13.2942</v>
      </c>
      <c r="F22" s="16" t="n">
        <f aca="false">RANDBETWEEN(-105,115)/10000</f>
        <v>0.0058</v>
      </c>
      <c r="G22" s="16" t="n">
        <f aca="false">+Chạy!G5</f>
        <v>0.97</v>
      </c>
      <c r="H22" s="16" t="n">
        <f aca="false">G22+I22</f>
        <v>0.968</v>
      </c>
      <c r="I22" s="16" t="n">
        <f aca="false">RANDBETWEEN(-30,90)/1000</f>
        <v>-0.002</v>
      </c>
      <c r="J22" s="16" t="n">
        <f aca="false">+Chạy!K5</f>
        <v>1.09</v>
      </c>
      <c r="K22" s="16" t="n">
        <f aca="false">J22+L22</f>
        <v>1.146</v>
      </c>
      <c r="L22" s="16" t="n">
        <f aca="false">RANDBETWEEN(-30,90)/1000</f>
        <v>0.056</v>
      </c>
      <c r="M22" s="16" t="n">
        <f aca="false">+Chạy!N5</f>
        <v>13.3</v>
      </c>
      <c r="N22" s="16" t="n">
        <f aca="false">+M22+O22</f>
        <v>13.3048</v>
      </c>
      <c r="O22" s="16" t="n">
        <f aca="false">RANDBETWEEN(-105,115)/10000</f>
        <v>0.0048</v>
      </c>
      <c r="P22" s="16" t="n">
        <f aca="false">+Chạy!O5</f>
        <v>0.97</v>
      </c>
      <c r="Q22" s="16" t="n">
        <f aca="false">P22+R22</f>
        <v>1.018</v>
      </c>
      <c r="R22" s="16" t="n">
        <f aca="false">RANDBETWEEN(-30,90)/1000</f>
        <v>0.048</v>
      </c>
      <c r="S22" s="17"/>
      <c r="T22" s="0" t="n">
        <v>13.17</v>
      </c>
      <c r="W22" s="102"/>
      <c r="X22" s="102"/>
    </row>
    <row r="23" customFormat="false" ht="16.5" hidden="false" customHeight="true" outlineLevel="0" collapsed="false">
      <c r="A23" s="110" t="n">
        <v>2</v>
      </c>
      <c r="B23" s="13" t="s">
        <v>18</v>
      </c>
      <c r="C23" s="15" t="n">
        <f aca="false">+C22+T22</f>
        <v>502.36</v>
      </c>
      <c r="D23" s="16" t="n">
        <f aca="false">+Chạy!F13</f>
        <v>-13.3</v>
      </c>
      <c r="E23" s="16" t="n">
        <f aca="false">+D23+F23</f>
        <v>-13.29</v>
      </c>
      <c r="F23" s="16" t="n">
        <f aca="false">RANDBETWEEN(-105,115)/10000</f>
        <v>0.01</v>
      </c>
      <c r="G23" s="16" t="n">
        <f aca="false">+Chạy!G13</f>
        <v>0.96</v>
      </c>
      <c r="H23" s="16" t="n">
        <f aca="false">G23+I23</f>
        <v>0.965</v>
      </c>
      <c r="I23" s="16" t="n">
        <f aca="false">RANDBETWEEN(-30,90)/1000</f>
        <v>0.005</v>
      </c>
      <c r="J23" s="16" t="n">
        <f aca="false">+Chạy!K13</f>
        <v>1.08</v>
      </c>
      <c r="K23" s="16" t="n">
        <f aca="false">J23+L23</f>
        <v>1.149</v>
      </c>
      <c r="L23" s="16" t="n">
        <f aca="false">RANDBETWEEN(-30,90)/1000</f>
        <v>0.069</v>
      </c>
      <c r="M23" s="16" t="n">
        <f aca="false">+Chạy!N13</f>
        <v>13.3</v>
      </c>
      <c r="N23" s="16" t="n">
        <f aca="false">+M23+O23</f>
        <v>13.2996</v>
      </c>
      <c r="O23" s="16" t="n">
        <f aca="false">RANDBETWEEN(-105,115)/10000</f>
        <v>-0.0004</v>
      </c>
      <c r="P23" s="16" t="n">
        <f aca="false">+Chạy!O13</f>
        <v>0.96</v>
      </c>
      <c r="Q23" s="16" t="n">
        <f aca="false">P23+R23</f>
        <v>1.044</v>
      </c>
      <c r="R23" s="16" t="n">
        <f aca="false">RANDBETWEEN(-30,90)/1000</f>
        <v>0.084</v>
      </c>
      <c r="S23" s="17"/>
      <c r="T23" s="0" t="n">
        <v>10.48</v>
      </c>
      <c r="W23" s="102"/>
      <c r="X23" s="102"/>
    </row>
    <row r="24" customFormat="false" ht="16.5" hidden="false" customHeight="true" outlineLevel="0" collapsed="false">
      <c r="A24" s="110" t="n">
        <v>3</v>
      </c>
      <c r="B24" s="13" t="s">
        <v>19</v>
      </c>
      <c r="C24" s="15" t="n">
        <f aca="false">+C23+T23</f>
        <v>512.84</v>
      </c>
      <c r="D24" s="16" t="n">
        <f aca="false">+Chạy!F21</f>
        <v>-13.3</v>
      </c>
      <c r="E24" s="16" t="n">
        <f aca="false">+D24+F24</f>
        <v>-13.3084</v>
      </c>
      <c r="F24" s="16" t="n">
        <f aca="false">RANDBETWEEN(-105,115)/10000</f>
        <v>-0.0084</v>
      </c>
      <c r="G24" s="16" t="n">
        <f aca="false">+Chạy!G21</f>
        <v>0.96</v>
      </c>
      <c r="H24" s="16" t="n">
        <f aca="false">G24+I24</f>
        <v>0.981</v>
      </c>
      <c r="I24" s="16" t="n">
        <f aca="false">RANDBETWEEN(-30,90)/1000</f>
        <v>0.021</v>
      </c>
      <c r="J24" s="16" t="n">
        <f aca="false">+Chạy!K21</f>
        <v>1.07</v>
      </c>
      <c r="K24" s="16" t="n">
        <f aca="false">J24+L24</f>
        <v>1.116</v>
      </c>
      <c r="L24" s="16" t="n">
        <f aca="false">RANDBETWEEN(-30,90)/1000</f>
        <v>0.046</v>
      </c>
      <c r="M24" s="16" t="n">
        <f aca="false">+Chạy!N21</f>
        <v>13.3</v>
      </c>
      <c r="N24" s="16" t="n">
        <f aca="false">+M24+O24</f>
        <v>13.3082</v>
      </c>
      <c r="O24" s="16" t="n">
        <f aca="false">RANDBETWEEN(-105,115)/10000</f>
        <v>0.0082</v>
      </c>
      <c r="P24" s="16" t="n">
        <f aca="false">+Chạy!O21</f>
        <v>0.96</v>
      </c>
      <c r="Q24" s="16" t="n">
        <f aca="false">P24+R24</f>
        <v>0.96</v>
      </c>
      <c r="R24" s="16" t="n">
        <f aca="false">RANDBETWEEN(-30,90)/1000</f>
        <v>0</v>
      </c>
      <c r="S24" s="17"/>
      <c r="T24" s="0" t="n">
        <v>16.78</v>
      </c>
      <c r="W24" s="102"/>
      <c r="X24" s="102"/>
    </row>
    <row r="25" customFormat="false" ht="16.5" hidden="false" customHeight="true" outlineLevel="0" collapsed="false">
      <c r="A25" s="110" t="n">
        <v>4</v>
      </c>
      <c r="B25" s="13" t="s">
        <v>20</v>
      </c>
      <c r="C25" s="15" t="n">
        <f aca="false">+C24+T24</f>
        <v>529.62</v>
      </c>
      <c r="D25" s="16" t="n">
        <f aca="false">+Chạy!F29</f>
        <v>-13.3</v>
      </c>
      <c r="E25" s="16" t="n">
        <f aca="false">+D25+F25</f>
        <v>-13.2926</v>
      </c>
      <c r="F25" s="16" t="n">
        <f aca="false">RANDBETWEEN(-105,115)/10000</f>
        <v>0.0074</v>
      </c>
      <c r="G25" s="16" t="n">
        <f aca="false">+Chạy!G29</f>
        <v>0.95</v>
      </c>
      <c r="H25" s="16" t="n">
        <f aca="false">G25+I25</f>
        <v>1.004</v>
      </c>
      <c r="I25" s="16" t="n">
        <f aca="false">RANDBETWEEN(-30,90)/1000</f>
        <v>0.054</v>
      </c>
      <c r="J25" s="16" t="n">
        <f aca="false">+Chạy!K29</f>
        <v>1.07</v>
      </c>
      <c r="K25" s="16" t="n">
        <f aca="false">J25+L25</f>
        <v>1.054</v>
      </c>
      <c r="L25" s="16" t="n">
        <f aca="false">RANDBETWEEN(-30,90)/1000</f>
        <v>-0.016</v>
      </c>
      <c r="M25" s="16" t="n">
        <f aca="false">+Chạy!N29</f>
        <v>13.3</v>
      </c>
      <c r="N25" s="16" t="n">
        <f aca="false">+M25+O25</f>
        <v>13.3094</v>
      </c>
      <c r="O25" s="16" t="n">
        <f aca="false">RANDBETWEEN(-105,115)/10000</f>
        <v>0.0094</v>
      </c>
      <c r="P25" s="16" t="n">
        <f aca="false">+Chạy!O29</f>
        <v>0.95</v>
      </c>
      <c r="Q25" s="16" t="n">
        <f aca="false">P25+R25</f>
        <v>0.97</v>
      </c>
      <c r="R25" s="16" t="n">
        <f aca="false">RANDBETWEEN(-30,90)/1000</f>
        <v>0.02</v>
      </c>
      <c r="S25" s="17"/>
      <c r="T25" s="0" t="n">
        <v>17.1</v>
      </c>
      <c r="W25" s="102"/>
      <c r="X25" s="102"/>
    </row>
    <row r="26" customFormat="false" ht="16.5" hidden="false" customHeight="true" outlineLevel="0" collapsed="false">
      <c r="A26" s="110" t="n">
        <v>5</v>
      </c>
      <c r="B26" s="13" t="s">
        <v>21</v>
      </c>
      <c r="C26" s="15" t="n">
        <f aca="false">+C25+T25</f>
        <v>546.72</v>
      </c>
      <c r="D26" s="16" t="n">
        <f aca="false">+Chạy!F37</f>
        <v>-13.3</v>
      </c>
      <c r="E26" s="16" t="n">
        <f aca="false">+D26+F26</f>
        <v>-13.3048</v>
      </c>
      <c r="F26" s="16" t="n">
        <f aca="false">RANDBETWEEN(-105,115)/10000</f>
        <v>-0.0048</v>
      </c>
      <c r="G26" s="16" t="n">
        <f aca="false">+Chạy!G37</f>
        <v>0.94</v>
      </c>
      <c r="H26" s="16" t="n">
        <f aca="false">G26+I26</f>
        <v>0.944</v>
      </c>
      <c r="I26" s="16" t="n">
        <f aca="false">RANDBETWEEN(-30,90)/1000</f>
        <v>0.004</v>
      </c>
      <c r="J26" s="16" t="n">
        <f aca="false">+Chạy!K37</f>
        <v>1.06</v>
      </c>
      <c r="K26" s="16" t="n">
        <f aca="false">J26+L26</f>
        <v>1.072</v>
      </c>
      <c r="L26" s="16" t="n">
        <f aca="false">RANDBETWEEN(-30,90)/1000</f>
        <v>0.012</v>
      </c>
      <c r="M26" s="16" t="n">
        <f aca="false">+Chạy!N37</f>
        <v>13.3</v>
      </c>
      <c r="N26" s="16" t="n">
        <f aca="false">+M26+O26</f>
        <v>13.2944</v>
      </c>
      <c r="O26" s="16" t="n">
        <f aca="false">RANDBETWEEN(-105,115)/10000</f>
        <v>-0.0056</v>
      </c>
      <c r="P26" s="16" t="n">
        <f aca="false">+Chạy!O37</f>
        <v>0.94</v>
      </c>
      <c r="Q26" s="16" t="n">
        <f aca="false">P26+R26</f>
        <v>1.019</v>
      </c>
      <c r="R26" s="16" t="n">
        <f aca="false">RANDBETWEEN(-30,90)/1000</f>
        <v>0.079</v>
      </c>
      <c r="S26" s="17"/>
      <c r="T26" s="0" t="n">
        <v>15.15</v>
      </c>
      <c r="W26" s="102"/>
      <c r="X26" s="102"/>
    </row>
    <row r="27" customFormat="false" ht="16.5" hidden="false" customHeight="true" outlineLevel="0" collapsed="false">
      <c r="A27" s="110" t="n">
        <v>6</v>
      </c>
      <c r="B27" s="13" t="s">
        <v>22</v>
      </c>
      <c r="C27" s="15" t="n">
        <f aca="false">+C26+T26</f>
        <v>561.87</v>
      </c>
      <c r="D27" s="16" t="n">
        <f aca="false">+Chạy!F45</f>
        <v>-13.3</v>
      </c>
      <c r="E27" s="16" t="n">
        <f aca="false">+D27+F27</f>
        <v>-13.3074</v>
      </c>
      <c r="F27" s="16" t="n">
        <f aca="false">RANDBETWEEN(-105,115)/10000</f>
        <v>-0.0074</v>
      </c>
      <c r="G27" s="16" t="n">
        <f aca="false">+Chạy!G45</f>
        <v>0.94</v>
      </c>
      <c r="H27" s="16" t="n">
        <f aca="false">G27+I27</f>
        <v>0.941</v>
      </c>
      <c r="I27" s="16" t="n">
        <f aca="false">RANDBETWEEN(-30,90)/1000</f>
        <v>0.001</v>
      </c>
      <c r="J27" s="16" t="n">
        <f aca="false">+Chạy!K45</f>
        <v>1.05</v>
      </c>
      <c r="K27" s="16" t="n">
        <f aca="false">J27+L27</f>
        <v>1.086</v>
      </c>
      <c r="L27" s="16" t="n">
        <f aca="false">RANDBETWEEN(-30,90)/1000</f>
        <v>0.036</v>
      </c>
      <c r="M27" s="16" t="n">
        <f aca="false">+Chạy!N45</f>
        <v>13.3</v>
      </c>
      <c r="N27" s="16" t="n">
        <f aca="false">+M27+O27</f>
        <v>13.2918</v>
      </c>
      <c r="O27" s="16" t="n">
        <f aca="false">RANDBETWEEN(-105,115)/10000</f>
        <v>-0.0082</v>
      </c>
      <c r="P27" s="16" t="n">
        <f aca="false">+Chạy!O45</f>
        <v>0.94</v>
      </c>
      <c r="Q27" s="16" t="n">
        <f aca="false">P27+R27</f>
        <v>0.925</v>
      </c>
      <c r="R27" s="16" t="n">
        <f aca="false">RANDBETWEEN(-30,90)/1000</f>
        <v>-0.015</v>
      </c>
      <c r="S27" s="17"/>
      <c r="T27" s="0" t="n">
        <v>0.15</v>
      </c>
      <c r="W27" s="102"/>
      <c r="X27" s="102"/>
    </row>
    <row r="28" customFormat="false" ht="16.5" hidden="false" customHeight="true" outlineLevel="0" collapsed="false">
      <c r="A28" s="110" t="n">
        <v>7</v>
      </c>
      <c r="B28" s="13" t="s">
        <v>23</v>
      </c>
      <c r="C28" s="15" t="n">
        <f aca="false">+C27+T27</f>
        <v>562.02</v>
      </c>
      <c r="D28" s="16" t="n">
        <f aca="false">+Chạy!F53</f>
        <v>-13.3</v>
      </c>
      <c r="E28" s="16" t="n">
        <f aca="false">+D28+F28</f>
        <v>-13.3102</v>
      </c>
      <c r="F28" s="16" t="n">
        <f aca="false">RANDBETWEEN(-105,115)/10000</f>
        <v>-0.0102</v>
      </c>
      <c r="G28" s="16" t="n">
        <f aca="false">+Chạy!G53</f>
        <v>0.94</v>
      </c>
      <c r="H28" s="16" t="n">
        <f aca="false">G28+I28</f>
        <v>0.945</v>
      </c>
      <c r="I28" s="16" t="n">
        <f aca="false">RANDBETWEEN(-30,90)/1000</f>
        <v>0.005</v>
      </c>
      <c r="J28" s="16" t="n">
        <f aca="false">+Chạy!K53</f>
        <v>1.05</v>
      </c>
      <c r="K28" s="16" t="n">
        <f aca="false">J28+L28</f>
        <v>1.054</v>
      </c>
      <c r="L28" s="16" t="n">
        <f aca="false">RANDBETWEEN(-30,90)/1000</f>
        <v>0.004</v>
      </c>
      <c r="M28" s="16" t="n">
        <f aca="false">+Chạy!N53</f>
        <v>13.3</v>
      </c>
      <c r="N28" s="16" t="n">
        <f aca="false">+M28+O28</f>
        <v>13.2961</v>
      </c>
      <c r="O28" s="16" t="n">
        <f aca="false">RANDBETWEEN(-105,115)/10000</f>
        <v>-0.0039</v>
      </c>
      <c r="P28" s="16" t="n">
        <f aca="false">+Chạy!O53</f>
        <v>0.94</v>
      </c>
      <c r="Q28" s="16" t="n">
        <f aca="false">P28+R28</f>
        <v>0.994</v>
      </c>
      <c r="R28" s="16" t="n">
        <f aca="false">RANDBETWEEN(-30,90)/1000</f>
        <v>0.054</v>
      </c>
      <c r="S28" s="17"/>
      <c r="T28" s="0" t="n">
        <v>6.55</v>
      </c>
      <c r="W28" s="102"/>
      <c r="X28" s="102"/>
    </row>
    <row r="29" customFormat="false" ht="16.5" hidden="false" customHeight="true" outlineLevel="0" collapsed="false">
      <c r="A29" s="110" t="n">
        <v>8</v>
      </c>
      <c r="B29" s="13" t="s">
        <v>24</v>
      </c>
      <c r="C29" s="15" t="n">
        <f aca="false">+C28+T28</f>
        <v>568.57</v>
      </c>
      <c r="D29" s="16" t="n">
        <f aca="false">+Chạy!F61</f>
        <v>-13.3</v>
      </c>
      <c r="E29" s="16" t="n">
        <f aca="false">+D29+F29</f>
        <v>-13.2959</v>
      </c>
      <c r="F29" s="16" t="n">
        <f aca="false">RANDBETWEEN(-105,115)/10000</f>
        <v>0.0041</v>
      </c>
      <c r="G29" s="16" t="n">
        <f aca="false">+Chạy!G61</f>
        <v>0.94</v>
      </c>
      <c r="H29" s="16" t="n">
        <f aca="false">G29+I29</f>
        <v>0.933</v>
      </c>
      <c r="I29" s="16" t="n">
        <f aca="false">RANDBETWEEN(-30,90)/1000</f>
        <v>-0.007</v>
      </c>
      <c r="J29" s="16" t="n">
        <f aca="false">+Chạy!K61</f>
        <v>1.05</v>
      </c>
      <c r="K29" s="16" t="n">
        <f aca="false">J29+L29</f>
        <v>1.125</v>
      </c>
      <c r="L29" s="16" t="n">
        <f aca="false">RANDBETWEEN(-30,90)/1000</f>
        <v>0.075</v>
      </c>
      <c r="M29" s="16" t="n">
        <f aca="false">+Chạy!N61</f>
        <v>13.3</v>
      </c>
      <c r="N29" s="16" t="n">
        <f aca="false">+M29+O29</f>
        <v>13.3071</v>
      </c>
      <c r="O29" s="16" t="n">
        <f aca="false">RANDBETWEEN(-105,115)/10000</f>
        <v>0.0071</v>
      </c>
      <c r="P29" s="16" t="n">
        <f aca="false">+Chạy!O61</f>
        <v>0.94</v>
      </c>
      <c r="Q29" s="16" t="n">
        <f aca="false">P29+R29</f>
        <v>1.004</v>
      </c>
      <c r="R29" s="16" t="n">
        <f aca="false">RANDBETWEEN(-30,90)/1000</f>
        <v>0.064</v>
      </c>
      <c r="S29" s="17"/>
      <c r="T29" s="0" t="n">
        <v>6.55</v>
      </c>
      <c r="W29" s="102"/>
      <c r="X29" s="102"/>
    </row>
    <row r="30" customFormat="false" ht="16.5" hidden="false" customHeight="true" outlineLevel="0" collapsed="false">
      <c r="A30" s="110" t="n">
        <v>9</v>
      </c>
      <c r="B30" s="13" t="s">
        <v>1</v>
      </c>
      <c r="C30" s="15" t="n">
        <f aca="false">+C29+T29</f>
        <v>575.12</v>
      </c>
      <c r="D30" s="16" t="n">
        <f aca="false">+Chạy!F69</f>
        <v>-13.3</v>
      </c>
      <c r="E30" s="16" t="n">
        <f aca="false">+D30+F30</f>
        <v>-13.29</v>
      </c>
      <c r="F30" s="16" t="n">
        <f aca="false">RANDBETWEEN(-105,115)/10000</f>
        <v>0.01</v>
      </c>
      <c r="G30" s="16" t="n">
        <f aca="false">+Chạy!G69</f>
        <v>0.94</v>
      </c>
      <c r="H30" s="16" t="n">
        <f aca="false">G30+I30</f>
        <v>1.022</v>
      </c>
      <c r="I30" s="16" t="n">
        <f aca="false">RANDBETWEEN(-30,90)/1000</f>
        <v>0.082</v>
      </c>
      <c r="J30" s="16" t="n">
        <f aca="false">+Chạy!K69</f>
        <v>1.05</v>
      </c>
      <c r="K30" s="16" t="n">
        <f aca="false">J30+L30</f>
        <v>1.049</v>
      </c>
      <c r="L30" s="16" t="n">
        <f aca="false">RANDBETWEEN(-30,90)/1000</f>
        <v>-0.001</v>
      </c>
      <c r="M30" s="16" t="n">
        <f aca="false">+Chạy!N69</f>
        <v>13.3</v>
      </c>
      <c r="N30" s="16" t="n">
        <f aca="false">+M30+O30</f>
        <v>13.3084</v>
      </c>
      <c r="O30" s="16" t="n">
        <f aca="false">RANDBETWEEN(-105,115)/10000</f>
        <v>0.0084</v>
      </c>
      <c r="P30" s="16" t="n">
        <f aca="false">+Chạy!O69</f>
        <v>0.94</v>
      </c>
      <c r="Q30" s="16" t="n">
        <f aca="false">P30+R30</f>
        <v>1</v>
      </c>
      <c r="R30" s="16" t="n">
        <f aca="false">RANDBETWEEN(-30,90)/1000</f>
        <v>0.06</v>
      </c>
      <c r="S30" s="17"/>
      <c r="T30" s="0" t="n">
        <v>0.04</v>
      </c>
      <c r="W30" s="102"/>
      <c r="X30" s="102"/>
    </row>
    <row r="31" customFormat="false" ht="16.5" hidden="false" customHeight="true" outlineLevel="0" collapsed="false">
      <c r="A31" s="110" t="n">
        <v>10</v>
      </c>
      <c r="B31" s="13" t="s">
        <v>25</v>
      </c>
      <c r="C31" s="15" t="n">
        <f aca="false">+C30+T30</f>
        <v>575.16</v>
      </c>
      <c r="D31" s="16" t="n">
        <f aca="false">+Chạy!F77</f>
        <v>-13.3</v>
      </c>
      <c r="E31" s="16" t="n">
        <f aca="false">+D31+F31</f>
        <v>-13.3024</v>
      </c>
      <c r="F31" s="16" t="n">
        <f aca="false">RANDBETWEEN(-105,115)/10000</f>
        <v>-0.0024</v>
      </c>
      <c r="G31" s="16" t="n">
        <f aca="false">+Chạy!G77</f>
        <v>1.07</v>
      </c>
      <c r="H31" s="16" t="n">
        <f aca="false">G31+I31</f>
        <v>1.11</v>
      </c>
      <c r="I31" s="16" t="n">
        <f aca="false">RANDBETWEEN(-30,90)/1000</f>
        <v>0.04</v>
      </c>
      <c r="J31" s="16" t="n">
        <f aca="false">+Chạy!K77</f>
        <v>1.05</v>
      </c>
      <c r="K31" s="16" t="n">
        <f aca="false">J31+L31</f>
        <v>1.118</v>
      </c>
      <c r="L31" s="16" t="n">
        <f aca="false">RANDBETWEEN(-30,90)/1000</f>
        <v>0.068</v>
      </c>
      <c r="M31" s="16" t="n">
        <f aca="false">+Chạy!N77</f>
        <v>13.3</v>
      </c>
      <c r="N31" s="16" t="n">
        <f aca="false">+M31+O31</f>
        <v>13.2899</v>
      </c>
      <c r="O31" s="16" t="n">
        <f aca="false">RANDBETWEEN(-105,115)/10000</f>
        <v>-0.0101</v>
      </c>
      <c r="P31" s="16" t="n">
        <f aca="false">+Chạy!O77</f>
        <v>0.94</v>
      </c>
      <c r="Q31" s="16" t="n">
        <f aca="false">P31+R31</f>
        <v>1.02</v>
      </c>
      <c r="R31" s="16" t="n">
        <f aca="false">RANDBETWEEN(-30,90)/1000</f>
        <v>0.08</v>
      </c>
      <c r="S31" s="17"/>
      <c r="T31" s="0" t="n">
        <v>16.95</v>
      </c>
      <c r="W31" s="102"/>
      <c r="X31" s="102"/>
    </row>
    <row r="32" customFormat="false" ht="16.5" hidden="false" customHeight="true" outlineLevel="0" collapsed="false">
      <c r="A32" s="110" t="n">
        <v>11</v>
      </c>
      <c r="B32" s="13" t="s">
        <v>26</v>
      </c>
      <c r="C32" s="15" t="n">
        <f aca="false">+C31+T31</f>
        <v>592.11</v>
      </c>
      <c r="D32" s="16" t="n">
        <f aca="false">+Chạy!F85</f>
        <v>-13.3</v>
      </c>
      <c r="E32" s="16" t="n">
        <f aca="false">+D32+F32</f>
        <v>-13.3024</v>
      </c>
      <c r="F32" s="16" t="n">
        <f aca="false">RANDBETWEEN(-105,115)/10000</f>
        <v>-0.0024</v>
      </c>
      <c r="G32" s="16" t="n">
        <f aca="false">+Chạy!G85</f>
        <v>0.94</v>
      </c>
      <c r="H32" s="16" t="n">
        <f aca="false">G32+I32</f>
        <v>0.927</v>
      </c>
      <c r="I32" s="16" t="n">
        <f aca="false">RANDBETWEEN(-30,90)/1000</f>
        <v>-0.013</v>
      </c>
      <c r="J32" s="16" t="n">
        <f aca="false">+Chạy!K85</f>
        <v>1.06</v>
      </c>
      <c r="K32" s="16" t="n">
        <f aca="false">J32+L32</f>
        <v>1.149</v>
      </c>
      <c r="L32" s="16" t="n">
        <f aca="false">RANDBETWEEN(-30,90)/1000</f>
        <v>0.089</v>
      </c>
      <c r="M32" s="16" t="n">
        <f aca="false">+Chạy!N85</f>
        <v>13.3</v>
      </c>
      <c r="N32" s="16" t="n">
        <f aca="false">+M32+O32</f>
        <v>13.3081</v>
      </c>
      <c r="O32" s="16" t="n">
        <f aca="false">RANDBETWEEN(-105,115)/10000</f>
        <v>0.0081</v>
      </c>
      <c r="P32" s="16" t="n">
        <f aca="false">+Chạy!O85</f>
        <v>0.94</v>
      </c>
      <c r="Q32" s="16" t="n">
        <f aca="false">P32+R32</f>
        <v>1.025</v>
      </c>
      <c r="R32" s="16" t="n">
        <f aca="false">RANDBETWEEN(-30,90)/1000</f>
        <v>0.085</v>
      </c>
      <c r="S32" s="17"/>
      <c r="T32" s="0" t="n">
        <v>17</v>
      </c>
      <c r="W32" s="102"/>
      <c r="X32" s="102"/>
    </row>
    <row r="33" customFormat="false" ht="16.5" hidden="false" customHeight="true" outlineLevel="0" collapsed="false">
      <c r="A33" s="110" t="n">
        <v>12</v>
      </c>
      <c r="B33" s="13" t="s">
        <v>27</v>
      </c>
      <c r="C33" s="15" t="n">
        <f aca="false">+C32+T32</f>
        <v>609.11</v>
      </c>
      <c r="D33" s="16" t="n">
        <f aca="false">+Chạy!F93</f>
        <v>-13.3</v>
      </c>
      <c r="E33" s="16" t="n">
        <f aca="false">+D33+F33</f>
        <v>-13.306</v>
      </c>
      <c r="F33" s="16" t="n">
        <f aca="false">RANDBETWEEN(-105,115)/10000</f>
        <v>-0.006</v>
      </c>
      <c r="G33" s="16" t="n">
        <f aca="false">+Chạy!G93</f>
        <v>0.94</v>
      </c>
      <c r="H33" s="16" t="n">
        <f aca="false">G33+I33</f>
        <v>0.948</v>
      </c>
      <c r="I33" s="16" t="n">
        <f aca="false">RANDBETWEEN(-30,90)/1000</f>
        <v>0.008</v>
      </c>
      <c r="J33" s="16" t="n">
        <f aca="false">+Chạy!K93</f>
        <v>1.06</v>
      </c>
      <c r="K33" s="16" t="n">
        <f aca="false">J33+L33</f>
        <v>1.097</v>
      </c>
      <c r="L33" s="16" t="n">
        <f aca="false">RANDBETWEEN(-30,90)/1000</f>
        <v>0.037</v>
      </c>
      <c r="M33" s="16" t="n">
        <f aca="false">+Chạy!N93</f>
        <v>13.3</v>
      </c>
      <c r="N33" s="16" t="n">
        <f aca="false">+M33+O33</f>
        <v>13.3045</v>
      </c>
      <c r="O33" s="16" t="n">
        <f aca="false">RANDBETWEEN(-105,115)/10000</f>
        <v>0.0045</v>
      </c>
      <c r="P33" s="16" t="n">
        <f aca="false">+Chạy!O93</f>
        <v>0.94</v>
      </c>
      <c r="Q33" s="16" t="n">
        <f aca="false">P33+R33</f>
        <v>0.955</v>
      </c>
      <c r="R33" s="16" t="n">
        <f aca="false">RANDBETWEEN(-30,90)/1000</f>
        <v>0.015</v>
      </c>
      <c r="S33" s="17"/>
      <c r="W33" s="102"/>
      <c r="X33" s="102"/>
    </row>
    <row r="34" customFormat="false" ht="16.5" hidden="true" customHeight="true" outlineLevel="0" collapsed="false">
      <c r="A34" s="110"/>
      <c r="B34" s="13"/>
      <c r="C34" s="15"/>
      <c r="D34" s="16"/>
      <c r="E34" s="16"/>
      <c r="F34" s="16"/>
      <c r="G34" s="16"/>
      <c r="H34" s="16"/>
      <c r="I34" s="16"/>
      <c r="J34" s="16"/>
      <c r="K34" s="16"/>
      <c r="L34" s="16"/>
      <c r="M34" s="16"/>
      <c r="N34" s="16"/>
      <c r="O34" s="16"/>
      <c r="P34" s="16"/>
      <c r="Q34" s="16"/>
      <c r="R34" s="16"/>
      <c r="S34" s="17"/>
      <c r="W34" s="102"/>
      <c r="X34" s="102"/>
    </row>
    <row r="35" customFormat="false" ht="16.5" hidden="true" customHeight="true" outlineLevel="0" collapsed="false">
      <c r="A35" s="110"/>
      <c r="B35" s="13"/>
      <c r="C35" s="15"/>
      <c r="D35" s="16"/>
      <c r="E35" s="16"/>
      <c r="F35" s="16"/>
      <c r="G35" s="16"/>
      <c r="H35" s="16"/>
      <c r="I35" s="16"/>
      <c r="J35" s="16"/>
      <c r="K35" s="16"/>
      <c r="L35" s="16"/>
      <c r="M35" s="16"/>
      <c r="N35" s="16"/>
      <c r="O35" s="16"/>
      <c r="P35" s="16"/>
      <c r="Q35" s="16"/>
      <c r="R35" s="16"/>
      <c r="S35" s="17"/>
      <c r="W35" s="102"/>
      <c r="X35" s="102"/>
    </row>
    <row r="36" customFormat="false" ht="16.5" hidden="true" customHeight="true" outlineLevel="0" collapsed="false">
      <c r="A36" s="110"/>
      <c r="B36" s="13"/>
      <c r="C36" s="15"/>
      <c r="D36" s="16"/>
      <c r="E36" s="16"/>
      <c r="F36" s="16"/>
      <c r="G36" s="16"/>
      <c r="H36" s="16"/>
      <c r="I36" s="16"/>
      <c r="J36" s="16"/>
      <c r="K36" s="16"/>
      <c r="L36" s="16"/>
      <c r="M36" s="16"/>
      <c r="N36" s="16"/>
      <c r="O36" s="16"/>
      <c r="P36" s="16"/>
      <c r="Q36" s="16"/>
      <c r="R36" s="16"/>
      <c r="S36" s="17"/>
      <c r="W36" s="102"/>
      <c r="X36" s="102"/>
    </row>
    <row r="37" customFormat="false" ht="16.5" hidden="true" customHeight="true" outlineLevel="0" collapsed="false">
      <c r="A37" s="110"/>
      <c r="B37" s="13"/>
      <c r="C37" s="15"/>
      <c r="D37" s="16"/>
      <c r="E37" s="16"/>
      <c r="F37" s="16"/>
      <c r="G37" s="16"/>
      <c r="H37" s="16"/>
      <c r="I37" s="16"/>
      <c r="J37" s="16"/>
      <c r="K37" s="16"/>
      <c r="L37" s="16"/>
      <c r="M37" s="16"/>
      <c r="N37" s="16"/>
      <c r="O37" s="16"/>
      <c r="P37" s="16"/>
      <c r="Q37" s="16"/>
      <c r="R37" s="16"/>
      <c r="S37" s="17"/>
      <c r="W37" s="102"/>
      <c r="X37" s="102"/>
    </row>
    <row r="38" customFormat="false" ht="16.5" hidden="true" customHeight="true" outlineLevel="0" collapsed="false">
      <c r="A38" s="110"/>
      <c r="B38" s="13"/>
      <c r="C38" s="15"/>
      <c r="D38" s="16"/>
      <c r="E38" s="16"/>
      <c r="F38" s="16"/>
      <c r="G38" s="16"/>
      <c r="H38" s="16"/>
      <c r="I38" s="16"/>
      <c r="J38" s="16"/>
      <c r="K38" s="16"/>
      <c r="L38" s="16"/>
      <c r="M38" s="16"/>
      <c r="N38" s="16"/>
      <c r="O38" s="16"/>
      <c r="P38" s="16"/>
      <c r="Q38" s="16"/>
      <c r="R38" s="16"/>
      <c r="S38" s="17"/>
      <c r="W38" s="102"/>
      <c r="X38" s="102"/>
    </row>
    <row r="39" customFormat="false" ht="16.5" hidden="true" customHeight="true" outlineLevel="0" collapsed="false">
      <c r="A39" s="110"/>
      <c r="B39" s="13"/>
      <c r="C39" s="15"/>
      <c r="D39" s="16"/>
      <c r="E39" s="16"/>
      <c r="F39" s="16"/>
      <c r="G39" s="16"/>
      <c r="H39" s="16"/>
      <c r="I39" s="16"/>
      <c r="J39" s="16"/>
      <c r="K39" s="16"/>
      <c r="L39" s="16"/>
      <c r="M39" s="16"/>
      <c r="N39" s="16"/>
      <c r="O39" s="16"/>
      <c r="P39" s="16"/>
      <c r="Q39" s="16"/>
      <c r="R39" s="16"/>
      <c r="S39" s="17"/>
      <c r="W39" s="102"/>
      <c r="X39" s="102"/>
    </row>
    <row r="40" customFormat="false" ht="16.5" hidden="true" customHeight="true" outlineLevel="0" collapsed="false">
      <c r="A40" s="110"/>
      <c r="B40" s="13"/>
      <c r="C40" s="15"/>
      <c r="D40" s="16"/>
      <c r="E40" s="16"/>
      <c r="F40" s="16"/>
      <c r="G40" s="16"/>
      <c r="H40" s="16"/>
      <c r="I40" s="16"/>
      <c r="J40" s="16"/>
      <c r="K40" s="16"/>
      <c r="L40" s="16"/>
      <c r="M40" s="16"/>
      <c r="N40" s="16"/>
      <c r="O40" s="16"/>
      <c r="P40" s="16"/>
      <c r="Q40" s="16"/>
      <c r="R40" s="16"/>
      <c r="S40" s="17"/>
      <c r="W40" s="102"/>
      <c r="X40" s="102"/>
    </row>
    <row r="41" customFormat="false" ht="16.5" hidden="true" customHeight="true" outlineLevel="0" collapsed="false">
      <c r="A41" s="110"/>
      <c r="B41" s="13"/>
      <c r="C41" s="15"/>
      <c r="D41" s="16"/>
      <c r="E41" s="16"/>
      <c r="F41" s="16"/>
      <c r="G41" s="16"/>
      <c r="H41" s="16"/>
      <c r="I41" s="16"/>
      <c r="J41" s="16"/>
      <c r="K41" s="16"/>
      <c r="L41" s="16"/>
      <c r="M41" s="16"/>
      <c r="N41" s="16"/>
      <c r="O41" s="16"/>
      <c r="P41" s="16"/>
      <c r="Q41" s="16"/>
      <c r="R41" s="16"/>
      <c r="S41" s="17"/>
      <c r="W41" s="102"/>
      <c r="X41" s="102"/>
    </row>
    <row r="42" customFormat="false" ht="16.5" hidden="true" customHeight="true" outlineLevel="0" collapsed="false">
      <c r="A42" s="110"/>
      <c r="B42" s="13"/>
      <c r="C42" s="15"/>
      <c r="D42" s="16"/>
      <c r="E42" s="16"/>
      <c r="F42" s="16"/>
      <c r="G42" s="16"/>
      <c r="H42" s="16"/>
      <c r="I42" s="16"/>
      <c r="J42" s="16"/>
      <c r="K42" s="16"/>
      <c r="L42" s="16"/>
      <c r="M42" s="16"/>
      <c r="N42" s="16"/>
      <c r="O42" s="16"/>
      <c r="P42" s="16"/>
      <c r="Q42" s="16"/>
      <c r="R42" s="16"/>
      <c r="S42" s="17"/>
      <c r="W42" s="102"/>
      <c r="X42" s="102"/>
    </row>
    <row r="43" customFormat="false" ht="16.5" hidden="true" customHeight="true" outlineLevel="0" collapsed="false">
      <c r="A43" s="110"/>
      <c r="B43" s="13"/>
      <c r="C43" s="15"/>
      <c r="D43" s="16"/>
      <c r="E43" s="16"/>
      <c r="F43" s="16"/>
      <c r="G43" s="16"/>
      <c r="H43" s="16"/>
      <c r="I43" s="16"/>
      <c r="J43" s="16"/>
      <c r="K43" s="16"/>
      <c r="L43" s="16"/>
      <c r="M43" s="16"/>
      <c r="N43" s="16"/>
      <c r="O43" s="16"/>
      <c r="P43" s="16"/>
      <c r="Q43" s="16"/>
      <c r="R43" s="16"/>
      <c r="S43" s="17"/>
      <c r="W43" s="102"/>
      <c r="X43" s="102"/>
    </row>
    <row r="44" customFormat="false" ht="16.5" hidden="true" customHeight="true" outlineLevel="0" collapsed="false">
      <c r="A44" s="110"/>
      <c r="B44" s="13"/>
      <c r="C44" s="15"/>
      <c r="D44" s="16"/>
      <c r="E44" s="16"/>
      <c r="F44" s="16"/>
      <c r="G44" s="16"/>
      <c r="H44" s="16"/>
      <c r="I44" s="16"/>
      <c r="J44" s="16"/>
      <c r="K44" s="16"/>
      <c r="L44" s="16"/>
      <c r="M44" s="16"/>
      <c r="N44" s="16"/>
      <c r="O44" s="16"/>
      <c r="P44" s="16"/>
      <c r="Q44" s="16"/>
      <c r="R44" s="16"/>
      <c r="S44" s="17"/>
      <c r="W44" s="102"/>
      <c r="X44" s="102"/>
    </row>
    <row r="45" customFormat="false" ht="16.5" hidden="true" customHeight="true" outlineLevel="0" collapsed="false">
      <c r="A45" s="110"/>
      <c r="B45" s="13"/>
      <c r="C45" s="15"/>
      <c r="D45" s="16"/>
      <c r="E45" s="16"/>
      <c r="F45" s="16"/>
      <c r="G45" s="16"/>
      <c r="H45" s="16"/>
      <c r="I45" s="16"/>
      <c r="J45" s="16"/>
      <c r="K45" s="16"/>
      <c r="L45" s="16"/>
      <c r="M45" s="16"/>
      <c r="N45" s="16"/>
      <c r="O45" s="16"/>
      <c r="P45" s="16"/>
      <c r="Q45" s="16"/>
      <c r="R45" s="16"/>
      <c r="S45" s="17"/>
      <c r="W45" s="102"/>
      <c r="X45" s="102"/>
    </row>
    <row r="46" customFormat="false" ht="16.5" hidden="true" customHeight="true" outlineLevel="0" collapsed="false">
      <c r="A46" s="110"/>
      <c r="B46" s="13"/>
      <c r="C46" s="15"/>
      <c r="D46" s="16"/>
      <c r="E46" s="16"/>
      <c r="F46" s="16"/>
      <c r="G46" s="16"/>
      <c r="H46" s="16"/>
      <c r="I46" s="16"/>
      <c r="J46" s="16"/>
      <c r="K46" s="16"/>
      <c r="L46" s="16"/>
      <c r="M46" s="16"/>
      <c r="N46" s="16"/>
      <c r="O46" s="16"/>
      <c r="P46" s="16"/>
      <c r="Q46" s="16"/>
      <c r="R46" s="16"/>
      <c r="S46" s="17"/>
      <c r="W46" s="102"/>
      <c r="X46" s="102"/>
    </row>
    <row r="47" customFormat="false" ht="16.5" hidden="true" customHeight="true" outlineLevel="0" collapsed="false">
      <c r="A47" s="110"/>
      <c r="B47" s="13"/>
      <c r="C47" s="15"/>
      <c r="D47" s="16"/>
      <c r="E47" s="16"/>
      <c r="F47" s="16"/>
      <c r="G47" s="16"/>
      <c r="H47" s="16"/>
      <c r="I47" s="16"/>
      <c r="J47" s="16"/>
      <c r="K47" s="16"/>
      <c r="L47" s="16"/>
      <c r="M47" s="16"/>
      <c r="N47" s="16"/>
      <c r="O47" s="16"/>
      <c r="P47" s="16"/>
      <c r="Q47" s="16"/>
      <c r="R47" s="16"/>
      <c r="S47" s="17"/>
      <c r="W47" s="102"/>
      <c r="X47" s="102"/>
    </row>
    <row r="48" customFormat="false" ht="16.5" hidden="true" customHeight="true" outlineLevel="0" collapsed="false">
      <c r="A48" s="110"/>
      <c r="B48" s="13"/>
      <c r="C48" s="15"/>
      <c r="D48" s="16"/>
      <c r="E48" s="16"/>
      <c r="F48" s="16"/>
      <c r="G48" s="16"/>
      <c r="H48" s="16"/>
      <c r="I48" s="16"/>
      <c r="J48" s="16"/>
      <c r="K48" s="16"/>
      <c r="L48" s="16"/>
      <c r="M48" s="16"/>
      <c r="N48" s="16"/>
      <c r="O48" s="16"/>
      <c r="P48" s="16"/>
      <c r="Q48" s="16"/>
      <c r="R48" s="16"/>
      <c r="S48" s="17"/>
      <c r="W48" s="102"/>
      <c r="X48" s="102"/>
    </row>
    <row r="49" customFormat="false" ht="16.5" hidden="true" customHeight="true" outlineLevel="0" collapsed="false">
      <c r="A49" s="110"/>
      <c r="B49" s="13"/>
      <c r="C49" s="15"/>
      <c r="D49" s="16"/>
      <c r="E49" s="16"/>
      <c r="F49" s="16"/>
      <c r="G49" s="16"/>
      <c r="H49" s="16"/>
      <c r="I49" s="16"/>
      <c r="J49" s="16"/>
      <c r="K49" s="16"/>
      <c r="L49" s="16"/>
      <c r="M49" s="16"/>
      <c r="N49" s="16"/>
      <c r="O49" s="16"/>
      <c r="P49" s="16"/>
      <c r="Q49" s="16"/>
      <c r="R49" s="16"/>
      <c r="S49" s="17"/>
      <c r="W49" s="102"/>
      <c r="X49" s="102"/>
    </row>
    <row r="50" customFormat="false" ht="16.5" hidden="true" customHeight="true" outlineLevel="0" collapsed="false">
      <c r="A50" s="110"/>
      <c r="B50" s="13"/>
      <c r="C50" s="15"/>
      <c r="D50" s="16"/>
      <c r="E50" s="16"/>
      <c r="F50" s="16"/>
      <c r="G50" s="16"/>
      <c r="H50" s="16"/>
      <c r="I50" s="16"/>
      <c r="J50" s="16"/>
      <c r="K50" s="16"/>
      <c r="L50" s="16"/>
      <c r="M50" s="16"/>
      <c r="N50" s="16"/>
      <c r="O50" s="16"/>
      <c r="P50" s="16"/>
      <c r="Q50" s="16"/>
      <c r="R50" s="16"/>
      <c r="S50" s="17"/>
      <c r="W50" s="102"/>
      <c r="X50" s="102"/>
    </row>
    <row r="51" customFormat="false" ht="16.5" hidden="true" customHeight="true" outlineLevel="0" collapsed="false">
      <c r="A51" s="110"/>
      <c r="B51" s="13"/>
      <c r="C51" s="15"/>
      <c r="D51" s="16"/>
      <c r="E51" s="16"/>
      <c r="F51" s="16"/>
      <c r="G51" s="16"/>
      <c r="H51" s="16"/>
      <c r="I51" s="16"/>
      <c r="J51" s="16"/>
      <c r="K51" s="16"/>
      <c r="L51" s="16"/>
      <c r="M51" s="16"/>
      <c r="N51" s="16"/>
      <c r="O51" s="16"/>
      <c r="P51" s="16"/>
      <c r="Q51" s="16"/>
      <c r="R51" s="16"/>
      <c r="S51" s="17"/>
      <c r="W51" s="102"/>
      <c r="X51" s="102"/>
    </row>
    <row r="52" customFormat="false" ht="16.5" hidden="true" customHeight="true" outlineLevel="0" collapsed="false">
      <c r="A52" s="110"/>
      <c r="B52" s="13"/>
      <c r="C52" s="15"/>
      <c r="D52" s="16"/>
      <c r="E52" s="16"/>
      <c r="F52" s="16"/>
      <c r="G52" s="16"/>
      <c r="H52" s="16"/>
      <c r="I52" s="16"/>
      <c r="J52" s="16"/>
      <c r="K52" s="16"/>
      <c r="L52" s="16"/>
      <c r="M52" s="16"/>
      <c r="N52" s="16"/>
      <c r="O52" s="16"/>
      <c r="P52" s="16"/>
      <c r="Q52" s="16"/>
      <c r="R52" s="16"/>
      <c r="S52" s="17"/>
      <c r="W52" s="102"/>
      <c r="X52" s="102"/>
    </row>
    <row r="53" customFormat="false" ht="16.5" hidden="true" customHeight="true" outlineLevel="0" collapsed="false">
      <c r="A53" s="110"/>
      <c r="B53" s="13"/>
      <c r="C53" s="15"/>
      <c r="D53" s="16"/>
      <c r="E53" s="16"/>
      <c r="F53" s="16"/>
      <c r="G53" s="16"/>
      <c r="H53" s="16"/>
      <c r="I53" s="16"/>
      <c r="J53" s="16"/>
      <c r="K53" s="16"/>
      <c r="L53" s="16"/>
      <c r="M53" s="16"/>
      <c r="N53" s="16"/>
      <c r="O53" s="16"/>
      <c r="P53" s="16"/>
      <c r="Q53" s="16"/>
      <c r="R53" s="16"/>
      <c r="S53" s="17"/>
      <c r="W53" s="102"/>
      <c r="X53" s="102"/>
    </row>
    <row r="54" customFormat="false" ht="16.5" hidden="true" customHeight="true" outlineLevel="0" collapsed="false">
      <c r="A54" s="110"/>
      <c r="B54" s="13"/>
      <c r="C54" s="15"/>
      <c r="D54" s="16"/>
      <c r="E54" s="16"/>
      <c r="F54" s="16"/>
      <c r="G54" s="16"/>
      <c r="H54" s="16"/>
      <c r="I54" s="16"/>
      <c r="J54" s="16"/>
      <c r="K54" s="16"/>
      <c r="L54" s="16"/>
      <c r="M54" s="16"/>
      <c r="N54" s="16"/>
      <c r="O54" s="16"/>
      <c r="P54" s="16"/>
      <c r="Q54" s="16"/>
      <c r="R54" s="16"/>
      <c r="S54" s="17"/>
      <c r="W54" s="102"/>
      <c r="X54" s="102"/>
    </row>
    <row r="55" customFormat="false" ht="16.5" hidden="true" customHeight="true" outlineLevel="0" collapsed="false">
      <c r="A55" s="110"/>
      <c r="B55" s="13"/>
      <c r="C55" s="15"/>
      <c r="D55" s="16"/>
      <c r="E55" s="16"/>
      <c r="F55" s="16"/>
      <c r="G55" s="16"/>
      <c r="H55" s="16"/>
      <c r="I55" s="16"/>
      <c r="J55" s="16"/>
      <c r="K55" s="16"/>
      <c r="L55" s="16"/>
      <c r="M55" s="16"/>
      <c r="N55" s="16"/>
      <c r="O55" s="16"/>
      <c r="P55" s="16"/>
      <c r="Q55" s="16"/>
      <c r="R55" s="16"/>
      <c r="S55" s="17"/>
      <c r="W55" s="102"/>
      <c r="X55" s="102"/>
    </row>
    <row r="56" customFormat="false" ht="16.5" hidden="true" customHeight="true" outlineLevel="0" collapsed="false">
      <c r="A56" s="110"/>
      <c r="B56" s="13"/>
      <c r="C56" s="15"/>
      <c r="D56" s="16"/>
      <c r="E56" s="16"/>
      <c r="F56" s="16"/>
      <c r="G56" s="16"/>
      <c r="H56" s="16"/>
      <c r="I56" s="16"/>
      <c r="J56" s="16"/>
      <c r="K56" s="16"/>
      <c r="L56" s="16"/>
      <c r="M56" s="16"/>
      <c r="N56" s="16"/>
      <c r="O56" s="16"/>
      <c r="P56" s="16"/>
      <c r="Q56" s="16"/>
      <c r="R56" s="16"/>
      <c r="S56" s="17"/>
      <c r="W56" s="102"/>
      <c r="X56" s="102"/>
    </row>
    <row r="57" customFormat="false" ht="16.5" hidden="true" customHeight="true" outlineLevel="0" collapsed="false">
      <c r="A57" s="110"/>
      <c r="B57" s="13"/>
      <c r="C57" s="15"/>
      <c r="D57" s="16"/>
      <c r="E57" s="16"/>
      <c r="F57" s="16"/>
      <c r="G57" s="16"/>
      <c r="H57" s="16"/>
      <c r="I57" s="16"/>
      <c r="J57" s="16"/>
      <c r="K57" s="16"/>
      <c r="L57" s="16"/>
      <c r="M57" s="16"/>
      <c r="N57" s="16"/>
      <c r="O57" s="16"/>
      <c r="P57" s="16"/>
      <c r="Q57" s="16"/>
      <c r="R57" s="16"/>
      <c r="S57" s="17"/>
      <c r="W57" s="102"/>
      <c r="X57" s="102"/>
    </row>
    <row r="58" customFormat="false" ht="16.5" hidden="true" customHeight="true" outlineLevel="0" collapsed="false">
      <c r="A58" s="110"/>
      <c r="B58" s="13"/>
      <c r="C58" s="15"/>
      <c r="D58" s="16"/>
      <c r="E58" s="16"/>
      <c r="F58" s="16"/>
      <c r="G58" s="16"/>
      <c r="H58" s="16"/>
      <c r="I58" s="16"/>
      <c r="J58" s="16"/>
      <c r="K58" s="16"/>
      <c r="L58" s="16"/>
      <c r="M58" s="16"/>
      <c r="N58" s="16"/>
      <c r="O58" s="16"/>
      <c r="P58" s="16"/>
      <c r="Q58" s="16"/>
      <c r="R58" s="16"/>
      <c r="S58" s="17"/>
      <c r="W58" s="102"/>
      <c r="X58" s="102"/>
    </row>
    <row r="59" customFormat="false" ht="16.5" hidden="true" customHeight="true" outlineLevel="0" collapsed="false">
      <c r="A59" s="110"/>
      <c r="B59" s="13"/>
      <c r="C59" s="15"/>
      <c r="D59" s="16"/>
      <c r="E59" s="16"/>
      <c r="F59" s="16"/>
      <c r="G59" s="16"/>
      <c r="H59" s="16"/>
      <c r="I59" s="16"/>
      <c r="J59" s="16"/>
      <c r="K59" s="16"/>
      <c r="L59" s="16"/>
      <c r="M59" s="16"/>
      <c r="N59" s="16"/>
      <c r="O59" s="16"/>
      <c r="P59" s="16"/>
      <c r="Q59" s="16"/>
      <c r="R59" s="16"/>
      <c r="S59" s="17"/>
      <c r="W59" s="102"/>
      <c r="X59" s="102"/>
    </row>
    <row r="60" customFormat="false" ht="16.5" hidden="true" customHeight="true" outlineLevel="0" collapsed="false">
      <c r="A60" s="110"/>
      <c r="B60" s="13"/>
      <c r="C60" s="15"/>
      <c r="D60" s="16"/>
      <c r="E60" s="16"/>
      <c r="F60" s="16"/>
      <c r="G60" s="16"/>
      <c r="H60" s="16"/>
      <c r="I60" s="16"/>
      <c r="J60" s="16"/>
      <c r="K60" s="16"/>
      <c r="L60" s="16"/>
      <c r="M60" s="16"/>
      <c r="N60" s="16"/>
      <c r="O60" s="16"/>
      <c r="P60" s="16"/>
      <c r="Q60" s="16"/>
      <c r="R60" s="16"/>
      <c r="S60" s="17"/>
      <c r="W60" s="102"/>
      <c r="X60" s="102"/>
    </row>
    <row r="61" customFormat="false" ht="16.5" hidden="true" customHeight="true" outlineLevel="0" collapsed="false">
      <c r="A61" s="110"/>
      <c r="B61" s="13"/>
      <c r="C61" s="15"/>
      <c r="D61" s="16"/>
      <c r="E61" s="16"/>
      <c r="F61" s="16"/>
      <c r="G61" s="16"/>
      <c r="H61" s="16"/>
      <c r="I61" s="16"/>
      <c r="J61" s="16"/>
      <c r="K61" s="16"/>
      <c r="L61" s="16"/>
      <c r="M61" s="16"/>
      <c r="N61" s="16"/>
      <c r="O61" s="16"/>
      <c r="P61" s="16"/>
      <c r="Q61" s="16"/>
      <c r="R61" s="16"/>
      <c r="S61" s="17"/>
      <c r="W61" s="102"/>
      <c r="X61" s="102"/>
    </row>
    <row r="62" customFormat="false" ht="17.25" hidden="false" customHeight="true" outlineLevel="0" collapsed="false">
      <c r="A62" s="91"/>
    </row>
    <row r="63" customFormat="false" ht="17.25" hidden="false" customHeight="true" outlineLevel="0" collapsed="false">
      <c r="A63" s="91"/>
      <c r="C63" s="19" t="s">
        <v>50</v>
      </c>
      <c r="D63" s="19"/>
      <c r="E63" s="19"/>
      <c r="F63" s="19"/>
      <c r="G63" s="19"/>
      <c r="H63" s="19"/>
      <c r="I63" s="19"/>
      <c r="K63" s="20"/>
      <c r="L63" s="20"/>
      <c r="M63" s="20"/>
      <c r="N63" s="20"/>
      <c r="O63" s="19" t="s">
        <v>51</v>
      </c>
      <c r="P63" s="19"/>
      <c r="Q63" s="19"/>
      <c r="R63" s="19"/>
    </row>
    <row r="64" customFormat="false" ht="17.25" hidden="false" customHeight="true" outlineLevel="0" collapsed="false">
      <c r="A64" s="91"/>
      <c r="E64" s="21"/>
      <c r="F64" s="21"/>
      <c r="G64" s="21"/>
      <c r="H64" s="21"/>
      <c r="K64" s="21"/>
      <c r="L64" s="21"/>
      <c r="M64" s="21"/>
      <c r="N64" s="21"/>
      <c r="O64" s="21"/>
      <c r="P64" s="21"/>
      <c r="Q64" s="21"/>
      <c r="R64" s="21"/>
    </row>
    <row r="65" customFormat="false" ht="17.25" hidden="false" customHeight="true" outlineLevel="0" collapsed="false">
      <c r="A65" s="91"/>
      <c r="E65" s="21"/>
      <c r="F65" s="21"/>
      <c r="G65" s="21"/>
      <c r="H65" s="21"/>
      <c r="K65" s="21"/>
      <c r="L65" s="21"/>
      <c r="M65" s="21"/>
      <c r="N65" s="21"/>
      <c r="O65" s="21"/>
      <c r="P65" s="21"/>
      <c r="Q65" s="21"/>
      <c r="R65" s="21"/>
    </row>
    <row r="66" customFormat="false" ht="17.25" hidden="false" customHeight="true" outlineLevel="0" collapsed="false">
      <c r="A66" s="91"/>
      <c r="E66" s="21"/>
      <c r="F66" s="21"/>
      <c r="G66" s="21"/>
      <c r="H66" s="21"/>
      <c r="K66" s="21"/>
      <c r="L66" s="21"/>
      <c r="M66" s="21"/>
      <c r="N66" s="21"/>
      <c r="O66" s="21"/>
      <c r="P66" s="21"/>
      <c r="Q66" s="21"/>
      <c r="R66" s="21"/>
    </row>
    <row r="67" customFormat="false" ht="17.25" hidden="false" customHeight="true" outlineLevel="0" collapsed="false">
      <c r="A67" s="91"/>
      <c r="E67" s="21"/>
      <c r="F67" s="21"/>
      <c r="G67" s="21"/>
      <c r="H67" s="21"/>
      <c r="K67" s="21"/>
      <c r="L67" s="21"/>
      <c r="M67" s="21"/>
      <c r="N67" s="21"/>
      <c r="O67" s="21"/>
      <c r="P67" s="21"/>
      <c r="Q67" s="21"/>
      <c r="R67" s="21"/>
    </row>
    <row r="68" customFormat="false" ht="17.25" hidden="false" customHeight="true" outlineLevel="0" collapsed="false">
      <c r="A68" s="91"/>
      <c r="C68" s="19" t="s">
        <v>52</v>
      </c>
      <c r="D68" s="19"/>
      <c r="E68" s="19"/>
      <c r="F68" s="19"/>
      <c r="G68" s="19"/>
      <c r="H68" s="19"/>
      <c r="I68" s="19"/>
      <c r="K68" s="20"/>
      <c r="L68" s="20"/>
      <c r="M68" s="20"/>
      <c r="N68" s="20"/>
      <c r="O68" s="19" t="s">
        <v>53</v>
      </c>
      <c r="P68" s="19"/>
      <c r="Q68" s="19"/>
      <c r="R68" s="19"/>
    </row>
  </sheetData>
  <mergeCells count="13">
    <mergeCell ref="A1:S1"/>
    <mergeCell ref="A2:S2"/>
    <mergeCell ref="A20:A21"/>
    <mergeCell ref="B20:B21"/>
    <mergeCell ref="C20:C21"/>
    <mergeCell ref="D20:I20"/>
    <mergeCell ref="J20:L20"/>
    <mergeCell ref="M20:R20"/>
    <mergeCell ref="S20:S21"/>
    <mergeCell ref="C63:I63"/>
    <mergeCell ref="O63:R63"/>
    <mergeCell ref="C68:I68"/>
    <mergeCell ref="O68:R68"/>
  </mergeCells>
  <printOptions headings="false" gridLines="false" gridLinesSet="true" horizontalCentered="true" verticalCentered="false"/>
  <pageMargins left="0.39375" right="0.196527777777778" top="0.747916666666667" bottom="0.39375" header="0.511811023622047" footer="0.118055555555556"/>
  <pageSetup paperSize="9" scale="100" fitToWidth="1" fitToHeight="2" pageOrder="downThenOver" orientation="landscape" blackAndWhite="false" draft="false" cellComments="none" horizontalDpi="300" verticalDpi="300" copies="1"/>
  <headerFooter differentFirst="false" differentOddEven="false">
    <oddHeader/>
    <oddFooter>&amp;C&amp;P</oddFooter>
  </headerFooter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HW136"/>
  <sheetViews>
    <sheetView showFormulas="false" showGridLines="true" showRowColHeaders="true" showZeros="true" rightToLeft="false" tabSelected="false" showOutlineSymbols="true" defaultGridColor="true" view="normal" topLeftCell="A1" colorId="64" zoomScale="70" zoomScaleNormal="70" zoomScalePageLayoutView="100" workbookViewId="0">
      <selection pane="topLeft" activeCell="D7" activeCellId="0" sqref="D7"/>
    </sheetView>
  </sheetViews>
  <sheetFormatPr defaultColWidth="9.2890625" defaultRowHeight="12.75" zeroHeight="false" outlineLevelRow="0" outlineLevelCol="0"/>
  <cols>
    <col collapsed="false" customWidth="true" hidden="false" outlineLevel="0" max="1" min="1" style="22" width="6.71"/>
    <col collapsed="false" customWidth="true" hidden="false" outlineLevel="0" max="2" min="2" style="22" width="12.29"/>
    <col collapsed="false" customWidth="true" hidden="false" outlineLevel="0" max="3" min="3" style="22" width="19.57"/>
    <col collapsed="false" customWidth="true" hidden="false" outlineLevel="0" max="4" min="4" style="23" width="12.71"/>
    <col collapsed="false" customWidth="true" hidden="true" outlineLevel="0" max="6" min="5" style="23" width="8.42"/>
    <col collapsed="false" customWidth="true" hidden="true" outlineLevel="0" max="7" min="7" style="23" width="11"/>
    <col collapsed="false" customWidth="true" hidden="true" outlineLevel="0" max="12" min="8" style="23" width="8.42"/>
    <col collapsed="false" customWidth="true" hidden="true" outlineLevel="0" max="14" min="13" style="23" width="14.29"/>
    <col collapsed="false" customWidth="true" hidden="false" outlineLevel="0" max="15" min="15" style="23" width="15.42"/>
    <col collapsed="false" customWidth="true" hidden="true" outlineLevel="0" max="22" min="16" style="23" width="14.29"/>
    <col collapsed="false" customWidth="true" hidden="false" outlineLevel="0" max="23" min="23" style="23" width="15.29"/>
    <col collapsed="false" customWidth="true" hidden="true" outlineLevel="0" max="25" min="24" style="23" width="14.29"/>
    <col collapsed="false" customWidth="true" hidden="true" outlineLevel="0" max="27" min="26" style="23" width="12.86"/>
    <col collapsed="false" customWidth="true" hidden="false" outlineLevel="0" max="28" min="28" style="23" width="10.29"/>
    <col collapsed="false" customWidth="false" hidden="true" outlineLevel="0" max="29" min="29" style="23" width="9.29"/>
    <col collapsed="false" customWidth="false" hidden="false" outlineLevel="0" max="30" min="30" style="22" width="9.29"/>
    <col collapsed="false" customWidth="true" hidden="false" outlineLevel="0" max="31" min="31" style="22" width="11.85"/>
    <col collapsed="false" customWidth="true" hidden="false" outlineLevel="0" max="32" min="32" style="22" width="24.57"/>
    <col collapsed="false" customWidth="false" hidden="false" outlineLevel="0" max="16384" min="33" style="22" width="9.29"/>
  </cols>
  <sheetData>
    <row r="1" s="26" customFormat="true" ht="16.5" hidden="false" customHeight="true" outlineLevel="0" collapsed="false">
      <c r="A1" s="25" t="s">
        <v>54</v>
      </c>
      <c r="B1" s="25"/>
      <c r="C1" s="25"/>
      <c r="D1" s="25"/>
      <c r="E1" s="25"/>
      <c r="F1" s="25"/>
      <c r="G1" s="25"/>
      <c r="H1" s="25"/>
      <c r="I1" s="25"/>
      <c r="J1" s="25"/>
      <c r="K1" s="25"/>
      <c r="L1" s="25"/>
      <c r="M1" s="25"/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</row>
    <row r="2" s="26" customFormat="true" ht="16.5" hidden="false" customHeight="true" outlineLevel="0" collapsed="false">
      <c r="A2" s="28" t="str">
        <f>"Kèm theo BBNT số: "&amp;VLOOKUP(AZ2,'[1]Tuyến XD8'!$A$2:$G$60,7,0)&amp;VLOOKUP(AZ2,'[1]Tuyến XD8'!$A$2:$G$60,4,0)</f>
        <v xml:space="preserve">Kèm theo BBNT số: 68.NĐXD8/CVXD ngày 18 tháng 09 năm 2026</v>
      </c>
      <c r="B2" s="28"/>
      <c r="C2" s="28"/>
      <c r="D2" s="28"/>
      <c r="E2" s="28"/>
      <c r="F2" s="28"/>
      <c r="G2" s="28"/>
      <c r="H2" s="28"/>
      <c r="I2" s="28"/>
      <c r="J2" s="28"/>
      <c r="K2" s="28"/>
      <c r="L2" s="28"/>
      <c r="M2" s="28"/>
      <c r="N2" s="28"/>
      <c r="O2" s="28"/>
      <c r="P2" s="28"/>
      <c r="Q2" s="28"/>
      <c r="R2" s="28"/>
      <c r="S2" s="28"/>
      <c r="T2" s="28"/>
      <c r="U2" s="28"/>
      <c r="V2" s="28"/>
      <c r="W2" s="28"/>
      <c r="X2" s="28"/>
      <c r="Y2" s="28"/>
      <c r="Z2" s="28"/>
      <c r="AA2" s="28"/>
      <c r="AB2" s="28"/>
      <c r="AZ2">
        <v>68</v>
      </c>
    </row>
    <row r="3" s="32" customFormat="true" ht="37.5" hidden="false" customHeight="true" outlineLevel="0" collapsed="false">
      <c r="A3" s="29" t="str">
        <f aca="false">'1.KTHH L1'!A3</f>
        <v>Dự án: Xây dựng HTKT Khu tái định cư phục vụ di dân xã Hải Hà, thị xã Nghi Sơn, tỉnh Thanh Hóa.</v>
      </c>
      <c r="B3" s="29"/>
      <c r="C3" s="29"/>
      <c r="D3" s="29"/>
      <c r="E3" s="29"/>
      <c r="F3" s="29"/>
      <c r="G3" s="29"/>
      <c r="H3" s="29"/>
      <c r="I3" s="29"/>
      <c r="J3" s="29"/>
      <c r="K3" s="29"/>
      <c r="L3" s="29"/>
      <c r="M3" s="29"/>
      <c r="N3" s="29"/>
      <c r="O3" s="29"/>
      <c r="P3" s="29"/>
      <c r="Q3" s="29"/>
      <c r="R3" s="29"/>
      <c r="S3" s="29"/>
      <c r="T3" s="29"/>
      <c r="U3" s="29"/>
      <c r="V3" s="29"/>
      <c r="W3" s="29"/>
      <c r="X3" s="29"/>
      <c r="Y3" s="29"/>
      <c r="Z3" s="29"/>
      <c r="AA3" s="29"/>
      <c r="AB3" s="29"/>
      <c r="AC3" s="30"/>
      <c r="AD3" s="30"/>
      <c r="AE3" s="30"/>
      <c r="AF3" s="30"/>
      <c r="AG3" s="30"/>
      <c r="AH3" s="30"/>
      <c r="AI3" s="30"/>
      <c r="AJ3" s="30"/>
      <c r="AK3" s="30"/>
      <c r="AL3" s="30"/>
      <c r="AM3" s="30"/>
      <c r="AN3" s="30"/>
      <c r="AO3" s="30"/>
      <c r="AP3" s="30"/>
      <c r="AQ3" s="30"/>
      <c r="AR3" s="30"/>
      <c r="AS3" s="30"/>
      <c r="AT3" s="30"/>
      <c r="AU3" s="30"/>
      <c r="AV3" s="30"/>
      <c r="AW3" s="30"/>
      <c r="AX3" s="30"/>
      <c r="AY3" s="30"/>
      <c r="AZ3" s="30"/>
      <c r="BA3" s="30"/>
      <c r="BB3" s="30"/>
      <c r="BC3" s="30"/>
      <c r="BD3" s="30"/>
      <c r="BE3" s="30"/>
      <c r="BF3" s="30"/>
      <c r="BG3" s="30"/>
      <c r="BH3" s="30"/>
      <c r="BI3" s="30"/>
      <c r="BJ3" s="30"/>
      <c r="BK3" s="30"/>
      <c r="BL3" s="30"/>
      <c r="BM3" s="30"/>
      <c r="BN3" s="30"/>
      <c r="BO3" s="30"/>
      <c r="BP3" s="30"/>
      <c r="BQ3" s="30"/>
      <c r="BR3" s="30"/>
      <c r="BS3" s="30"/>
      <c r="BT3" s="30"/>
      <c r="BU3" s="30"/>
      <c r="BV3" s="30"/>
      <c r="BW3" s="30"/>
      <c r="BX3" s="30"/>
      <c r="BY3" s="30"/>
      <c r="BZ3" s="30"/>
      <c r="CA3" s="30"/>
      <c r="CB3" s="30"/>
      <c r="CC3" s="30"/>
      <c r="CD3" s="30"/>
      <c r="CE3" s="30"/>
      <c r="CF3" s="30"/>
      <c r="CG3" s="30"/>
      <c r="CH3" s="30"/>
      <c r="CI3" s="30"/>
      <c r="CJ3" s="30"/>
      <c r="CK3" s="30"/>
      <c r="CL3" s="30"/>
      <c r="CM3" s="30"/>
      <c r="CN3" s="30"/>
      <c r="CO3" s="30"/>
      <c r="CP3" s="30"/>
      <c r="CQ3" s="30"/>
      <c r="CR3" s="30"/>
      <c r="CS3" s="30"/>
      <c r="CT3" s="30"/>
      <c r="CU3" s="30"/>
      <c r="CV3" s="30"/>
      <c r="CW3" s="30"/>
      <c r="CX3" s="30"/>
      <c r="CY3" s="30"/>
      <c r="CZ3" s="30"/>
      <c r="DA3" s="30"/>
      <c r="DB3" s="30"/>
      <c r="DC3" s="30"/>
      <c r="DD3" s="30"/>
      <c r="DE3" s="30"/>
      <c r="DF3" s="30"/>
      <c r="DG3" s="30"/>
      <c r="DH3" s="30"/>
      <c r="DI3" s="30"/>
      <c r="DJ3" s="30"/>
      <c r="DK3" s="30"/>
      <c r="DL3" s="30"/>
      <c r="DM3" s="30"/>
      <c r="DN3" s="30"/>
      <c r="DO3" s="30"/>
      <c r="DP3" s="30"/>
      <c r="DQ3" s="30"/>
      <c r="DR3" s="30"/>
      <c r="DS3" s="30"/>
      <c r="DT3" s="30"/>
      <c r="DU3" s="30"/>
      <c r="DV3" s="30"/>
      <c r="DW3" s="30"/>
      <c r="DX3" s="30"/>
      <c r="DY3" s="30"/>
      <c r="DZ3" s="30"/>
      <c r="EA3" s="30"/>
      <c r="EB3" s="30"/>
      <c r="EC3" s="30"/>
      <c r="ED3" s="30"/>
      <c r="EE3" s="30"/>
      <c r="EF3" s="30"/>
      <c r="EG3" s="30"/>
      <c r="EH3" s="30"/>
      <c r="EI3" s="30"/>
      <c r="EJ3" s="30"/>
      <c r="EK3" s="30"/>
      <c r="EL3" s="30"/>
      <c r="EM3" s="30"/>
      <c r="EN3" s="30"/>
      <c r="EO3" s="30"/>
      <c r="EP3" s="30"/>
      <c r="EQ3" s="30"/>
      <c r="ER3" s="30"/>
      <c r="ES3" s="30"/>
      <c r="ET3" s="30"/>
      <c r="EU3" s="30"/>
      <c r="EV3" s="30"/>
      <c r="EW3" s="30"/>
      <c r="EX3" s="30"/>
      <c r="EY3" s="30"/>
      <c r="EZ3" s="30"/>
      <c r="FA3" s="30"/>
      <c r="FB3" s="30"/>
      <c r="FC3" s="30"/>
      <c r="FD3" s="30"/>
      <c r="FE3" s="30"/>
      <c r="FF3" s="30"/>
      <c r="FG3" s="30"/>
      <c r="FH3" s="30"/>
      <c r="FI3" s="30"/>
      <c r="FJ3" s="30"/>
      <c r="FK3" s="30"/>
      <c r="FL3" s="30"/>
      <c r="FM3" s="30"/>
      <c r="FN3" s="30"/>
      <c r="FO3" s="30"/>
      <c r="FP3" s="30"/>
      <c r="FQ3" s="30"/>
      <c r="FR3" s="30"/>
      <c r="FS3" s="30"/>
      <c r="FT3" s="30"/>
      <c r="FU3" s="30"/>
      <c r="FV3" s="30"/>
      <c r="FW3" s="30"/>
      <c r="FX3" s="30"/>
      <c r="FY3" s="30"/>
      <c r="FZ3" s="30"/>
      <c r="GA3" s="30"/>
      <c r="GB3" s="30"/>
      <c r="GC3" s="30"/>
      <c r="GD3" s="30"/>
      <c r="GE3" s="30"/>
      <c r="GF3" s="30"/>
      <c r="GG3" s="30"/>
      <c r="GH3" s="30"/>
      <c r="GI3" s="30"/>
      <c r="GJ3" s="30"/>
      <c r="GK3" s="30"/>
      <c r="GL3" s="30"/>
      <c r="GM3" s="30"/>
      <c r="GN3" s="30"/>
      <c r="GO3" s="30"/>
      <c r="GP3" s="30"/>
      <c r="GQ3" s="30"/>
      <c r="GR3" s="30"/>
      <c r="GS3" s="30"/>
      <c r="GT3" s="30"/>
      <c r="GU3" s="30"/>
      <c r="GV3" s="30"/>
      <c r="GW3" s="30"/>
      <c r="GX3" s="30"/>
      <c r="GY3" s="30"/>
      <c r="GZ3" s="30"/>
      <c r="HA3" s="30"/>
      <c r="HB3" s="30"/>
      <c r="HC3" s="30"/>
      <c r="HD3" s="30"/>
      <c r="HE3" s="30"/>
      <c r="HF3" s="30"/>
      <c r="HG3" s="30"/>
      <c r="HH3" s="30"/>
      <c r="HI3" s="30"/>
      <c r="HJ3" s="30"/>
      <c r="HK3" s="30"/>
      <c r="HL3" s="30"/>
      <c r="HM3" s="30"/>
      <c r="HN3" s="30"/>
      <c r="HO3" s="30"/>
      <c r="HP3" s="30"/>
      <c r="HQ3" s="30"/>
      <c r="HR3" s="30"/>
      <c r="HS3" s="30"/>
      <c r="HT3" s="30"/>
      <c r="HU3" s="30"/>
      <c r="HV3" s="30"/>
      <c r="HW3" s="30"/>
    </row>
    <row r="4" s="32" customFormat="true" ht="37.5" hidden="false" customHeight="true" outlineLevel="0" collapsed="false">
      <c r="A4" s="29" t="str">
        <f aca="false">'1.KTHH L1'!A4</f>
        <v>Gói thầu số 12: Xây dựng HTKT khu vực Hải Bình và Xuân Lâm (bao gồm cả bảo hiểm xây dựng công trình)</v>
      </c>
      <c r="B4" s="29"/>
      <c r="C4" s="29"/>
      <c r="D4" s="29"/>
      <c r="E4" s="29"/>
      <c r="F4" s="29"/>
      <c r="G4" s="29"/>
      <c r="H4" s="29"/>
      <c r="I4" s="29"/>
      <c r="J4" s="29"/>
      <c r="K4" s="29"/>
      <c r="L4" s="29"/>
      <c r="M4" s="29"/>
      <c r="N4" s="29"/>
      <c r="O4" s="29"/>
      <c r="P4" s="29"/>
      <c r="Q4" s="29"/>
      <c r="R4" s="29"/>
      <c r="S4" s="29"/>
      <c r="T4" s="29"/>
      <c r="U4" s="29"/>
      <c r="V4" s="29"/>
      <c r="W4" s="29"/>
      <c r="X4" s="29"/>
      <c r="Y4" s="29"/>
      <c r="Z4" s="29"/>
      <c r="AA4" s="29"/>
      <c r="AB4" s="29"/>
      <c r="AC4" s="30"/>
      <c r="AD4" s="30"/>
      <c r="AE4" s="30"/>
      <c r="AF4" s="30"/>
      <c r="AG4" s="30"/>
      <c r="AH4" s="30"/>
      <c r="AI4" s="30"/>
      <c r="AJ4" s="30"/>
      <c r="AK4" s="30"/>
      <c r="AL4" s="30"/>
      <c r="AM4" s="30"/>
      <c r="AN4" s="30"/>
      <c r="AO4" s="30"/>
      <c r="AP4" s="30"/>
      <c r="AQ4" s="30"/>
      <c r="AR4" s="30"/>
      <c r="AS4" s="30"/>
      <c r="AT4" s="30"/>
      <c r="AU4" s="30"/>
      <c r="AV4" s="30"/>
      <c r="AW4" s="30"/>
      <c r="AX4" s="30"/>
      <c r="AY4" s="30"/>
      <c r="AZ4" s="30"/>
      <c r="BA4" s="30"/>
      <c r="BB4" s="30"/>
      <c r="BC4" s="30"/>
      <c r="BD4" s="30"/>
      <c r="BE4" s="30"/>
      <c r="BF4" s="30"/>
      <c r="BG4" s="30"/>
      <c r="BH4" s="30"/>
      <c r="BI4" s="30"/>
      <c r="BJ4" s="30"/>
      <c r="BK4" s="30"/>
      <c r="BL4" s="30"/>
      <c r="BM4" s="30"/>
      <c r="BN4" s="30"/>
      <c r="BO4" s="30"/>
      <c r="BP4" s="30"/>
      <c r="BQ4" s="30"/>
      <c r="BR4" s="30"/>
      <c r="BS4" s="30"/>
      <c r="BT4" s="30"/>
      <c r="BU4" s="30"/>
      <c r="BV4" s="30"/>
      <c r="BW4" s="30"/>
      <c r="BX4" s="30"/>
      <c r="BY4" s="30"/>
      <c r="BZ4" s="30"/>
      <c r="CA4" s="30"/>
      <c r="CB4" s="30"/>
      <c r="CC4" s="30"/>
      <c r="CD4" s="30"/>
      <c r="CE4" s="30"/>
      <c r="CF4" s="30"/>
      <c r="CG4" s="30"/>
      <c r="CH4" s="30"/>
      <c r="CI4" s="30"/>
      <c r="CJ4" s="30"/>
      <c r="CK4" s="30"/>
      <c r="CL4" s="30"/>
      <c r="CM4" s="30"/>
      <c r="CN4" s="30"/>
      <c r="CO4" s="30"/>
      <c r="CP4" s="30"/>
      <c r="CQ4" s="30"/>
      <c r="CR4" s="30"/>
      <c r="CS4" s="30"/>
      <c r="CT4" s="30"/>
      <c r="CU4" s="30"/>
      <c r="CV4" s="30"/>
      <c r="CW4" s="30"/>
      <c r="CX4" s="30"/>
      <c r="CY4" s="30"/>
      <c r="CZ4" s="30"/>
      <c r="DA4" s="30"/>
      <c r="DB4" s="30"/>
      <c r="DC4" s="30"/>
      <c r="DD4" s="30"/>
      <c r="DE4" s="30"/>
      <c r="DF4" s="30"/>
      <c r="DG4" s="30"/>
      <c r="DH4" s="30"/>
      <c r="DI4" s="30"/>
      <c r="DJ4" s="30"/>
      <c r="DK4" s="30"/>
      <c r="DL4" s="30"/>
      <c r="DM4" s="30"/>
      <c r="DN4" s="30"/>
      <c r="DO4" s="30"/>
      <c r="DP4" s="30"/>
      <c r="DQ4" s="30"/>
      <c r="DR4" s="30"/>
      <c r="DS4" s="30"/>
      <c r="DT4" s="30"/>
      <c r="DU4" s="30"/>
      <c r="DV4" s="30"/>
      <c r="DW4" s="30"/>
      <c r="DX4" s="30"/>
      <c r="DY4" s="30"/>
      <c r="DZ4" s="30"/>
      <c r="EA4" s="30"/>
      <c r="EB4" s="30"/>
      <c r="EC4" s="30"/>
      <c r="ED4" s="30"/>
      <c r="EE4" s="30"/>
      <c r="EF4" s="30"/>
      <c r="EG4" s="30"/>
      <c r="EH4" s="30"/>
      <c r="EI4" s="30"/>
      <c r="EJ4" s="30"/>
      <c r="EK4" s="30"/>
      <c r="EL4" s="30"/>
      <c r="EM4" s="30"/>
      <c r="EN4" s="30"/>
      <c r="EO4" s="30"/>
      <c r="EP4" s="30"/>
      <c r="EQ4" s="30"/>
      <c r="ER4" s="30"/>
      <c r="ES4" s="30"/>
      <c r="ET4" s="30"/>
      <c r="EU4" s="30"/>
      <c r="EV4" s="30"/>
      <c r="EW4" s="30"/>
      <c r="EX4" s="30"/>
      <c r="EY4" s="30"/>
      <c r="EZ4" s="30"/>
      <c r="FA4" s="30"/>
      <c r="FB4" s="30"/>
      <c r="FC4" s="30"/>
      <c r="FD4" s="30"/>
      <c r="FE4" s="30"/>
      <c r="FF4" s="30"/>
      <c r="FG4" s="30"/>
      <c r="FH4" s="30"/>
      <c r="FI4" s="30"/>
      <c r="FJ4" s="30"/>
      <c r="FK4" s="30"/>
      <c r="FL4" s="30"/>
      <c r="FM4" s="30"/>
      <c r="FN4" s="30"/>
      <c r="FO4" s="30"/>
      <c r="FP4" s="30"/>
      <c r="FQ4" s="30"/>
      <c r="FR4" s="30"/>
      <c r="FS4" s="30"/>
      <c r="FT4" s="30"/>
      <c r="FU4" s="30"/>
      <c r="FV4" s="30"/>
      <c r="FW4" s="30"/>
      <c r="FX4" s="30"/>
      <c r="FY4" s="30"/>
      <c r="FZ4" s="30"/>
      <c r="GA4" s="30"/>
      <c r="GB4" s="30"/>
      <c r="GC4" s="30"/>
      <c r="GD4" s="30"/>
      <c r="GE4" s="30"/>
      <c r="GF4" s="30"/>
      <c r="GG4" s="30"/>
      <c r="GH4" s="30"/>
      <c r="GI4" s="30"/>
      <c r="GJ4" s="30"/>
      <c r="GK4" s="30"/>
      <c r="GL4" s="30"/>
      <c r="GM4" s="30"/>
      <c r="GN4" s="30"/>
      <c r="GO4" s="30"/>
      <c r="GP4" s="30"/>
      <c r="GQ4" s="30"/>
      <c r="GR4" s="30"/>
      <c r="GS4" s="30"/>
      <c r="GT4" s="30"/>
      <c r="GU4" s="30"/>
      <c r="GV4" s="30"/>
      <c r="GW4" s="30"/>
      <c r="GX4" s="30"/>
      <c r="GY4" s="30"/>
      <c r="GZ4" s="30"/>
      <c r="HA4" s="30"/>
      <c r="HB4" s="30"/>
      <c r="HC4" s="30"/>
      <c r="HD4" s="30"/>
      <c r="HE4" s="30"/>
      <c r="HF4" s="30"/>
      <c r="HG4" s="30"/>
      <c r="HH4" s="30"/>
      <c r="HI4" s="30"/>
      <c r="HJ4" s="30"/>
      <c r="HK4" s="30"/>
      <c r="HL4" s="30"/>
      <c r="HM4" s="30"/>
      <c r="HN4" s="30"/>
      <c r="HO4" s="30"/>
      <c r="HP4" s="30"/>
      <c r="HQ4" s="30"/>
      <c r="HR4" s="30"/>
      <c r="HS4" s="30"/>
      <c r="HT4" s="30"/>
      <c r="HU4" s="30"/>
      <c r="HV4" s="30"/>
      <c r="HW4" s="30"/>
    </row>
    <row r="5" s="32" customFormat="true" ht="16.5" hidden="false" customHeight="true" outlineLevel="0" collapsed="false">
      <c r="A5" s="29" t="str">
        <f aca="false">'1.KTHH L1'!A5</f>
        <v>Nhà thầu thi công: Công ty TNHH Hoàng Tuấn</v>
      </c>
      <c r="B5" s="29"/>
      <c r="C5" s="29"/>
      <c r="D5" s="29"/>
      <c r="E5" s="29"/>
      <c r="F5" s="29"/>
      <c r="G5" s="29"/>
      <c r="H5" s="29"/>
      <c r="I5" s="29"/>
      <c r="J5" s="29"/>
      <c r="K5" s="29"/>
      <c r="L5" s="29"/>
      <c r="M5" s="29"/>
      <c r="N5" s="29"/>
      <c r="O5" s="29"/>
      <c r="P5" s="29"/>
      <c r="Q5" s="29"/>
      <c r="R5" s="29"/>
      <c r="S5" s="29"/>
      <c r="T5" s="29"/>
      <c r="U5" s="29"/>
      <c r="V5" s="29"/>
      <c r="W5" s="29"/>
      <c r="X5" s="29"/>
      <c r="Y5" s="29"/>
      <c r="Z5" s="29"/>
      <c r="AA5" s="29"/>
      <c r="AB5" s="29"/>
      <c r="AC5" s="30"/>
      <c r="AD5" s="30"/>
      <c r="AE5" s="30"/>
      <c r="AF5" s="30"/>
      <c r="AG5" s="30"/>
      <c r="AH5" s="30"/>
      <c r="AI5" s="30"/>
      <c r="AJ5" s="30"/>
      <c r="AK5" s="30"/>
      <c r="AL5" s="30"/>
      <c r="AM5" s="30"/>
      <c r="AN5" s="30"/>
      <c r="AO5" s="30"/>
      <c r="AP5" s="30"/>
      <c r="AQ5" s="30"/>
      <c r="AR5" s="30"/>
      <c r="AS5" s="30"/>
      <c r="AT5" s="30"/>
      <c r="AU5" s="30"/>
      <c r="AV5" s="30"/>
      <c r="AW5" s="30"/>
      <c r="AX5" s="30"/>
      <c r="AY5" s="30"/>
      <c r="AZ5" s="30"/>
      <c r="BA5" s="30"/>
      <c r="BB5" s="30"/>
      <c r="BC5" s="30"/>
      <c r="BD5" s="30"/>
      <c r="BE5" s="30"/>
      <c r="BF5" s="30"/>
      <c r="BG5" s="30"/>
      <c r="BH5" s="30"/>
      <c r="BI5" s="30"/>
      <c r="BJ5" s="30"/>
      <c r="BK5" s="30"/>
      <c r="BL5" s="30"/>
      <c r="BM5" s="30"/>
      <c r="BN5" s="30"/>
      <c r="BO5" s="30"/>
      <c r="BP5" s="30"/>
      <c r="BQ5" s="30"/>
      <c r="BR5" s="30"/>
      <c r="BS5" s="30"/>
      <c r="BT5" s="30"/>
      <c r="BU5" s="30"/>
      <c r="BV5" s="30"/>
      <c r="BW5" s="30"/>
      <c r="BX5" s="30"/>
      <c r="BY5" s="30"/>
      <c r="BZ5" s="30"/>
      <c r="CA5" s="30"/>
      <c r="CB5" s="30"/>
      <c r="CC5" s="30"/>
      <c r="CD5" s="30"/>
      <c r="CE5" s="30"/>
      <c r="CF5" s="30"/>
      <c r="CG5" s="30"/>
      <c r="CH5" s="30"/>
      <c r="CI5" s="30"/>
      <c r="CJ5" s="30"/>
      <c r="CK5" s="30"/>
      <c r="CL5" s="30"/>
      <c r="CM5" s="30"/>
      <c r="CN5" s="30"/>
      <c r="CO5" s="30"/>
      <c r="CP5" s="30"/>
      <c r="CQ5" s="30"/>
      <c r="CR5" s="30"/>
      <c r="CS5" s="30"/>
      <c r="CT5" s="30"/>
      <c r="CU5" s="30"/>
      <c r="CV5" s="30"/>
      <c r="CW5" s="30"/>
      <c r="CX5" s="30"/>
      <c r="CY5" s="30"/>
      <c r="CZ5" s="30"/>
      <c r="DA5" s="30"/>
      <c r="DB5" s="30"/>
      <c r="DC5" s="30"/>
      <c r="DD5" s="30"/>
      <c r="DE5" s="30"/>
      <c r="DF5" s="30"/>
      <c r="DG5" s="30"/>
      <c r="DH5" s="30"/>
      <c r="DI5" s="30"/>
      <c r="DJ5" s="30"/>
      <c r="DK5" s="30"/>
      <c r="DL5" s="30"/>
      <c r="DM5" s="30"/>
      <c r="DN5" s="30"/>
      <c r="DO5" s="30"/>
      <c r="DP5" s="30"/>
      <c r="DQ5" s="30"/>
      <c r="DR5" s="30"/>
      <c r="DS5" s="30"/>
      <c r="DT5" s="30"/>
      <c r="DU5" s="30"/>
      <c r="DV5" s="30"/>
      <c r="DW5" s="30"/>
      <c r="DX5" s="30"/>
      <c r="DY5" s="30"/>
      <c r="DZ5" s="30"/>
      <c r="EA5" s="30"/>
      <c r="EB5" s="30"/>
      <c r="EC5" s="30"/>
      <c r="ED5" s="30"/>
      <c r="EE5" s="30"/>
      <c r="EF5" s="30"/>
      <c r="EG5" s="30"/>
      <c r="EH5" s="30"/>
      <c r="EI5" s="30"/>
      <c r="EJ5" s="30"/>
      <c r="EK5" s="30"/>
      <c r="EL5" s="30"/>
      <c r="EM5" s="30"/>
      <c r="EN5" s="30"/>
      <c r="EO5" s="30"/>
      <c r="EP5" s="30"/>
      <c r="EQ5" s="30"/>
      <c r="ER5" s="30"/>
      <c r="ES5" s="30"/>
      <c r="ET5" s="30"/>
      <c r="EU5" s="30"/>
      <c r="EV5" s="30"/>
      <c r="EW5" s="30"/>
      <c r="EX5" s="30"/>
      <c r="EY5" s="30"/>
      <c r="EZ5" s="30"/>
      <c r="FA5" s="30"/>
      <c r="FB5" s="30"/>
      <c r="FC5" s="30"/>
      <c r="FD5" s="30"/>
      <c r="FE5" s="30"/>
      <c r="FF5" s="30"/>
      <c r="FG5" s="30"/>
      <c r="FH5" s="30"/>
      <c r="FI5" s="30"/>
      <c r="FJ5" s="30"/>
      <c r="FK5" s="30"/>
      <c r="FL5" s="30"/>
      <c r="FM5" s="30"/>
      <c r="FN5" s="30"/>
      <c r="FO5" s="30"/>
      <c r="FP5" s="30"/>
      <c r="FQ5" s="30"/>
      <c r="FR5" s="30"/>
      <c r="FS5" s="30"/>
      <c r="FT5" s="30"/>
      <c r="FU5" s="30"/>
      <c r="FV5" s="30"/>
      <c r="FW5" s="30"/>
      <c r="FX5" s="30"/>
      <c r="FY5" s="30"/>
      <c r="FZ5" s="30"/>
      <c r="GA5" s="30"/>
      <c r="GB5" s="30"/>
      <c r="GC5" s="30"/>
      <c r="GD5" s="30"/>
      <c r="GE5" s="30"/>
      <c r="GF5" s="30"/>
      <c r="GG5" s="30"/>
      <c r="GH5" s="30"/>
      <c r="GI5" s="30"/>
      <c r="GJ5" s="30"/>
      <c r="GK5" s="30"/>
      <c r="GL5" s="30"/>
      <c r="GM5" s="30"/>
      <c r="GN5" s="30"/>
      <c r="GO5" s="30"/>
      <c r="GP5" s="30"/>
      <c r="GQ5" s="30"/>
      <c r="GR5" s="30"/>
      <c r="GS5" s="30"/>
      <c r="GT5" s="30"/>
      <c r="GU5" s="30"/>
      <c r="GV5" s="30"/>
      <c r="GW5" s="30"/>
      <c r="GX5" s="30"/>
      <c r="GY5" s="30"/>
      <c r="GZ5" s="30"/>
      <c r="HA5" s="30"/>
      <c r="HB5" s="30"/>
      <c r="HC5" s="30"/>
      <c r="HD5" s="30"/>
      <c r="HE5" s="30"/>
      <c r="HF5" s="30"/>
      <c r="HG5" s="30"/>
      <c r="HH5" s="30"/>
      <c r="HI5" s="30"/>
      <c r="HJ5" s="30"/>
      <c r="HK5" s="30"/>
      <c r="HL5" s="30"/>
      <c r="HM5" s="30"/>
      <c r="HN5" s="30"/>
      <c r="HO5" s="30"/>
      <c r="HP5" s="30"/>
      <c r="HQ5" s="30"/>
      <c r="HR5" s="30"/>
      <c r="HS5" s="30"/>
      <c r="HT5" s="30"/>
      <c r="HU5" s="30"/>
      <c r="HV5" s="30"/>
      <c r="HW5" s="30"/>
    </row>
    <row r="6" s="32" customFormat="true" ht="16.5" hidden="false" customHeight="true" outlineLevel="0" collapsed="false">
      <c r="A6" s="29" t="s">
        <v>33</v>
      </c>
      <c r="B6" s="29"/>
      <c r="C6" s="29"/>
      <c r="D6" s="29"/>
      <c r="E6" s="29"/>
      <c r="F6" s="29"/>
      <c r="G6" s="29"/>
      <c r="H6" s="29"/>
      <c r="I6" s="29"/>
      <c r="J6" s="29"/>
      <c r="K6" s="29"/>
      <c r="L6" s="29"/>
      <c r="M6" s="29"/>
      <c r="N6" s="29"/>
      <c r="O6" s="29"/>
      <c r="P6" s="29"/>
      <c r="Q6" s="29"/>
      <c r="R6" s="29"/>
      <c r="S6" s="29"/>
      <c r="T6" s="29"/>
      <c r="U6" s="29"/>
      <c r="V6" s="29"/>
      <c r="W6" s="29"/>
      <c r="X6" s="29"/>
      <c r="Y6" s="29"/>
      <c r="Z6" s="29"/>
      <c r="AA6" s="29"/>
      <c r="AB6" s="29"/>
      <c r="AC6" s="30"/>
      <c r="AD6" s="30"/>
      <c r="AE6" s="30"/>
      <c r="AF6" s="30"/>
      <c r="AG6" s="30"/>
      <c r="AH6" s="30"/>
      <c r="AI6" s="30"/>
      <c r="AJ6" s="30"/>
      <c r="AK6" s="30"/>
      <c r="AL6" s="30"/>
      <c r="AM6" s="30"/>
      <c r="AN6" s="30"/>
      <c r="AO6" s="30"/>
      <c r="AP6" s="30"/>
      <c r="AQ6" s="30"/>
      <c r="AR6" s="30"/>
      <c r="AS6" s="30"/>
      <c r="AT6" s="30"/>
      <c r="AU6" s="30"/>
      <c r="AV6" s="30"/>
      <c r="AW6" s="30"/>
      <c r="AX6" s="30"/>
      <c r="AY6" s="30"/>
      <c r="AZ6" s="30"/>
      <c r="BA6" s="30"/>
      <c r="BB6" s="30"/>
      <c r="BC6" s="30"/>
      <c r="BD6" s="30"/>
      <c r="BE6" s="30"/>
      <c r="BF6" s="30"/>
      <c r="BG6" s="30"/>
      <c r="BH6" s="30"/>
      <c r="BI6" s="30"/>
      <c r="BJ6" s="30"/>
      <c r="BK6" s="30"/>
      <c r="BL6" s="30"/>
      <c r="BM6" s="30"/>
      <c r="BN6" s="30"/>
      <c r="BO6" s="30"/>
      <c r="BP6" s="30"/>
      <c r="BQ6" s="30"/>
      <c r="BR6" s="30"/>
      <c r="BS6" s="30"/>
      <c r="BT6" s="30"/>
      <c r="BU6" s="30"/>
      <c r="BV6" s="30"/>
      <c r="BW6" s="30"/>
      <c r="BX6" s="30"/>
      <c r="BY6" s="30"/>
      <c r="BZ6" s="30"/>
      <c r="CA6" s="30"/>
      <c r="CB6" s="30"/>
      <c r="CC6" s="30"/>
      <c r="CD6" s="30"/>
      <c r="CE6" s="30"/>
      <c r="CF6" s="30"/>
      <c r="CG6" s="30"/>
      <c r="CH6" s="30"/>
      <c r="CI6" s="30"/>
      <c r="CJ6" s="30"/>
      <c r="CK6" s="30"/>
      <c r="CL6" s="30"/>
      <c r="CM6" s="30"/>
      <c r="CN6" s="30"/>
      <c r="CO6" s="30"/>
      <c r="CP6" s="30"/>
      <c r="CQ6" s="30"/>
      <c r="CR6" s="30"/>
      <c r="CS6" s="30"/>
      <c r="CT6" s="30"/>
      <c r="CU6" s="30"/>
      <c r="CV6" s="30"/>
      <c r="CW6" s="30"/>
      <c r="CX6" s="30"/>
      <c r="CY6" s="30"/>
      <c r="CZ6" s="30"/>
      <c r="DA6" s="30"/>
      <c r="DB6" s="30"/>
      <c r="DC6" s="30"/>
      <c r="DD6" s="30"/>
      <c r="DE6" s="30"/>
      <c r="DF6" s="30"/>
      <c r="DG6" s="30"/>
      <c r="DH6" s="30"/>
      <c r="DI6" s="30"/>
      <c r="DJ6" s="30"/>
      <c r="DK6" s="30"/>
      <c r="DL6" s="30"/>
      <c r="DM6" s="30"/>
      <c r="DN6" s="30"/>
      <c r="DO6" s="30"/>
      <c r="DP6" s="30"/>
      <c r="DQ6" s="30"/>
      <c r="DR6" s="30"/>
      <c r="DS6" s="30"/>
      <c r="DT6" s="30"/>
      <c r="DU6" s="30"/>
      <c r="DV6" s="30"/>
      <c r="DW6" s="30"/>
      <c r="DX6" s="30"/>
      <c r="DY6" s="30"/>
      <c r="DZ6" s="30"/>
      <c r="EA6" s="30"/>
      <c r="EB6" s="30"/>
      <c r="EC6" s="30"/>
      <c r="ED6" s="30"/>
      <c r="EE6" s="30"/>
      <c r="EF6" s="30"/>
      <c r="EG6" s="30"/>
      <c r="EH6" s="30"/>
      <c r="EI6" s="30"/>
      <c r="EJ6" s="30"/>
      <c r="EK6" s="30"/>
      <c r="EL6" s="30"/>
      <c r="EM6" s="30"/>
      <c r="EN6" s="30"/>
      <c r="EO6" s="30"/>
      <c r="EP6" s="30"/>
      <c r="EQ6" s="30"/>
      <c r="ER6" s="30"/>
      <c r="ES6" s="30"/>
      <c r="ET6" s="30"/>
      <c r="EU6" s="30"/>
      <c r="EV6" s="30"/>
      <c r="EW6" s="30"/>
      <c r="EX6" s="30"/>
      <c r="EY6" s="30"/>
      <c r="EZ6" s="30"/>
      <c r="FA6" s="30"/>
      <c r="FB6" s="30"/>
      <c r="FC6" s="30"/>
      <c r="FD6" s="30"/>
      <c r="FE6" s="30"/>
      <c r="FF6" s="30"/>
      <c r="FG6" s="30"/>
      <c r="FH6" s="30"/>
      <c r="FI6" s="30"/>
      <c r="FJ6" s="30"/>
      <c r="FK6" s="30"/>
      <c r="FL6" s="30"/>
      <c r="FM6" s="30"/>
      <c r="FN6" s="30"/>
      <c r="FO6" s="30"/>
      <c r="FP6" s="30"/>
      <c r="FQ6" s="30"/>
      <c r="FR6" s="30"/>
      <c r="FS6" s="30"/>
      <c r="FT6" s="30"/>
      <c r="FU6" s="30"/>
      <c r="FV6" s="30"/>
      <c r="FW6" s="30"/>
      <c r="FX6" s="30"/>
      <c r="FY6" s="30"/>
      <c r="FZ6" s="30"/>
      <c r="GA6" s="30"/>
      <c r="GB6" s="30"/>
      <c r="GC6" s="30"/>
      <c r="GD6" s="30"/>
      <c r="GE6" s="30"/>
      <c r="GF6" s="30"/>
      <c r="GG6" s="30"/>
      <c r="GH6" s="30"/>
      <c r="GI6" s="30"/>
      <c r="GJ6" s="30"/>
      <c r="GK6" s="30"/>
      <c r="GL6" s="30"/>
      <c r="GM6" s="30"/>
      <c r="GN6" s="30"/>
      <c r="GO6" s="30"/>
      <c r="GP6" s="30"/>
      <c r="GQ6" s="30"/>
      <c r="GR6" s="30"/>
      <c r="GS6" s="30"/>
      <c r="GT6" s="30"/>
      <c r="GU6" s="30"/>
      <c r="GV6" s="30"/>
      <c r="GW6" s="30"/>
      <c r="GX6" s="30"/>
      <c r="GY6" s="30"/>
      <c r="GZ6" s="30"/>
      <c r="HA6" s="30"/>
      <c r="HB6" s="30"/>
      <c r="HC6" s="30"/>
      <c r="HD6" s="30"/>
      <c r="HE6" s="30"/>
      <c r="HF6" s="30"/>
      <c r="HG6" s="30"/>
      <c r="HH6" s="30"/>
      <c r="HI6" s="30"/>
      <c r="HJ6" s="30"/>
      <c r="HK6" s="30"/>
      <c r="HL6" s="30"/>
      <c r="HM6" s="30"/>
      <c r="HN6" s="30"/>
      <c r="HO6" s="30"/>
      <c r="HP6" s="30"/>
      <c r="HQ6" s="30"/>
      <c r="HR6" s="30"/>
      <c r="HS6" s="30"/>
      <c r="HT6" s="30"/>
      <c r="HU6" s="30"/>
      <c r="HV6" s="30"/>
      <c r="HW6" s="30"/>
    </row>
    <row r="7" s="32" customFormat="true" ht="29.25" hidden="false" customHeight="true" outlineLevel="0" collapsed="false">
      <c r="A7" s="33" t="s">
        <v>34</v>
      </c>
      <c r="B7" s="34"/>
      <c r="D7" s="35" t="str">
        <f>VLOOKUP(AZ2,'[1]Tuyến XD8'!$A$2:$B$60,2,0)</f>
        <v xml:space="preserve">Đắp đất nền đường lớp 5 đoạn từ Km0+489,19 - Km0+609,11, độ chặt K&gt;=0,95</v>
      </c>
      <c r="E7" s="35"/>
      <c r="F7" s="35"/>
      <c r="G7" s="35"/>
      <c r="H7" s="35"/>
      <c r="I7" s="35"/>
      <c r="J7" s="35"/>
      <c r="K7" s="35"/>
      <c r="L7" s="35"/>
      <c r="M7" s="35"/>
      <c r="N7" s="35"/>
      <c r="O7" s="35"/>
      <c r="P7" s="35"/>
      <c r="Q7" s="35"/>
      <c r="R7" s="35"/>
      <c r="S7" s="35"/>
      <c r="T7" s="35"/>
      <c r="U7" s="35"/>
      <c r="V7" s="35"/>
      <c r="W7" s="35"/>
      <c r="X7" s="35"/>
      <c r="Y7" s="35"/>
      <c r="Z7" s="35"/>
      <c r="AA7" s="35"/>
      <c r="AB7" s="35"/>
      <c r="AC7" s="30"/>
      <c r="AD7" s="30"/>
      <c r="AE7" s="30"/>
      <c r="AF7" s="30"/>
      <c r="AG7" s="30"/>
      <c r="AH7" s="30"/>
      <c r="AI7" s="30"/>
      <c r="AJ7" s="30"/>
      <c r="AK7" s="30"/>
      <c r="AL7" s="30"/>
      <c r="AM7" s="30"/>
      <c r="AN7" s="30"/>
      <c r="AO7" s="30"/>
      <c r="AP7" s="30"/>
      <c r="AQ7" s="30"/>
      <c r="AR7" s="30"/>
      <c r="AS7" s="30"/>
      <c r="AT7" s="30"/>
      <c r="AU7" s="30"/>
      <c r="AV7" s="30"/>
      <c r="AW7" s="30"/>
      <c r="AX7" s="30"/>
      <c r="AY7" s="30"/>
      <c r="AZ7" s="30"/>
      <c r="BA7" s="30"/>
      <c r="BB7" s="30"/>
      <c r="BC7" s="30"/>
      <c r="BD7" s="30"/>
      <c r="BE7" s="30"/>
      <c r="BF7" s="30"/>
      <c r="BG7" s="30"/>
      <c r="BH7" s="30"/>
      <c r="BI7" s="30"/>
      <c r="BJ7" s="30"/>
      <c r="BK7" s="30"/>
      <c r="BL7" s="30"/>
      <c r="BM7" s="30"/>
      <c r="BN7" s="30"/>
      <c r="BO7" s="30"/>
      <c r="BP7" s="30"/>
      <c r="BQ7" s="30"/>
      <c r="BR7" s="30"/>
      <c r="BS7" s="30"/>
      <c r="BT7" s="30"/>
      <c r="BU7" s="30"/>
      <c r="BV7" s="30"/>
      <c r="BW7" s="30"/>
      <c r="BX7" s="30"/>
      <c r="BY7" s="30"/>
      <c r="BZ7" s="30"/>
      <c r="CA7" s="30"/>
      <c r="CB7" s="30"/>
      <c r="CC7" s="30"/>
      <c r="CD7" s="30"/>
      <c r="CE7" s="30"/>
      <c r="CF7" s="30"/>
      <c r="CG7" s="30"/>
      <c r="CH7" s="30"/>
      <c r="CI7" s="30"/>
      <c r="CJ7" s="30"/>
      <c r="CK7" s="30"/>
      <c r="CL7" s="30"/>
      <c r="CM7" s="30"/>
      <c r="CN7" s="30"/>
      <c r="CO7" s="30"/>
      <c r="CP7" s="30"/>
      <c r="CQ7" s="30"/>
      <c r="CR7" s="30"/>
      <c r="CS7" s="30"/>
      <c r="CT7" s="30"/>
      <c r="CU7" s="30"/>
      <c r="CV7" s="30"/>
      <c r="CW7" s="30"/>
      <c r="CX7" s="30"/>
      <c r="CY7" s="30"/>
      <c r="CZ7" s="30"/>
      <c r="DA7" s="30"/>
      <c r="DB7" s="30"/>
      <c r="DC7" s="30"/>
      <c r="DD7" s="30"/>
      <c r="DE7" s="30"/>
      <c r="DF7" s="30"/>
      <c r="DG7" s="30"/>
      <c r="DH7" s="30"/>
      <c r="DI7" s="30"/>
      <c r="DJ7" s="30"/>
      <c r="DK7" s="30"/>
      <c r="DL7" s="30"/>
      <c r="DM7" s="30"/>
      <c r="DN7" s="30"/>
      <c r="DO7" s="30"/>
      <c r="DP7" s="30"/>
      <c r="DQ7" s="30"/>
      <c r="DR7" s="30"/>
      <c r="DS7" s="30"/>
      <c r="DT7" s="30"/>
      <c r="DU7" s="30"/>
      <c r="DV7" s="30"/>
      <c r="DW7" s="30"/>
      <c r="DX7" s="30"/>
      <c r="DY7" s="30"/>
      <c r="DZ7" s="30"/>
      <c r="EA7" s="30"/>
      <c r="EB7" s="30"/>
      <c r="EC7" s="30"/>
      <c r="ED7" s="30"/>
      <c r="EE7" s="30"/>
      <c r="EF7" s="30"/>
      <c r="EG7" s="30"/>
      <c r="EH7" s="30"/>
      <c r="EI7" s="30"/>
      <c r="EJ7" s="30"/>
      <c r="EK7" s="30"/>
      <c r="EL7" s="30"/>
      <c r="EM7" s="30"/>
      <c r="EN7" s="30"/>
      <c r="EO7" s="30"/>
      <c r="EP7" s="30"/>
      <c r="EQ7" s="30"/>
      <c r="ER7" s="30"/>
      <c r="ES7" s="30"/>
      <c r="ET7" s="30"/>
      <c r="EU7" s="30"/>
      <c r="EV7" s="30"/>
      <c r="EW7" s="30"/>
      <c r="EX7" s="30"/>
      <c r="EY7" s="30"/>
      <c r="EZ7" s="30"/>
      <c r="FA7" s="30"/>
      <c r="FB7" s="30"/>
      <c r="FC7" s="30"/>
      <c r="FD7" s="30"/>
      <c r="FE7" s="30"/>
      <c r="FF7" s="30"/>
      <c r="FG7" s="30"/>
      <c r="FH7" s="30"/>
      <c r="FI7" s="30"/>
      <c r="FJ7" s="30"/>
      <c r="FK7" s="30"/>
      <c r="FL7" s="30"/>
      <c r="FM7" s="30"/>
      <c r="FN7" s="30"/>
      <c r="FO7" s="30"/>
      <c r="FP7" s="30"/>
      <c r="FQ7" s="30"/>
      <c r="FR7" s="30"/>
      <c r="FS7" s="30"/>
      <c r="FT7" s="30"/>
      <c r="FU7" s="30"/>
      <c r="FV7" s="30"/>
      <c r="FW7" s="30"/>
      <c r="FX7" s="30"/>
      <c r="FY7" s="30"/>
      <c r="FZ7" s="30"/>
      <c r="GA7" s="30"/>
      <c r="GB7" s="30"/>
      <c r="GC7" s="30"/>
      <c r="GD7" s="30"/>
      <c r="GE7" s="30"/>
      <c r="GF7" s="30"/>
      <c r="GG7" s="30"/>
      <c r="GH7" s="30"/>
      <c r="GI7" s="30"/>
      <c r="GJ7" s="30"/>
      <c r="GK7" s="30"/>
      <c r="GL7" s="30"/>
      <c r="GM7" s="30"/>
      <c r="GN7" s="30"/>
      <c r="GO7" s="30"/>
      <c r="GP7" s="30"/>
      <c r="GQ7" s="30"/>
      <c r="GR7" s="30"/>
      <c r="GS7" s="30"/>
      <c r="GT7" s="30"/>
      <c r="GU7" s="30"/>
      <c r="GV7" s="30"/>
      <c r="GW7" s="30"/>
      <c r="GX7" s="30"/>
      <c r="GY7" s="30"/>
      <c r="GZ7" s="30"/>
      <c r="HA7" s="30"/>
      <c r="HB7" s="30"/>
      <c r="HC7" s="30"/>
      <c r="HD7" s="30"/>
      <c r="HE7" s="30"/>
      <c r="HF7" s="30"/>
      <c r="HG7" s="30"/>
      <c r="HH7" s="30"/>
      <c r="HI7" s="30"/>
      <c r="HJ7" s="30"/>
      <c r="HK7" s="30"/>
      <c r="HL7" s="30"/>
      <c r="HM7" s="30"/>
      <c r="HN7" s="30"/>
      <c r="HO7" s="30"/>
      <c r="HP7" s="30"/>
      <c r="HQ7" s="30"/>
      <c r="HR7" s="30"/>
      <c r="HS7" s="30"/>
      <c r="HT7" s="30"/>
      <c r="HU7" s="30"/>
      <c r="HV7" s="30"/>
      <c r="HW7" s="30"/>
    </row>
    <row r="8" s="30" customFormat="true" ht="13.5" hidden="false" customHeight="true" outlineLevel="0" collapsed="false">
      <c r="A8" s="36"/>
      <c r="B8" s="36"/>
      <c r="C8" s="36"/>
      <c r="D8" s="36"/>
      <c r="E8" s="36"/>
      <c r="F8" s="36"/>
      <c r="G8" s="36"/>
      <c r="H8" s="36"/>
      <c r="I8" s="36"/>
      <c r="J8" s="36"/>
      <c r="K8" s="36"/>
      <c r="L8" s="36"/>
      <c r="M8" s="36"/>
      <c r="N8" s="36"/>
      <c r="O8" s="36"/>
      <c r="P8" s="36"/>
      <c r="Q8" s="36"/>
      <c r="R8" s="36"/>
      <c r="S8" s="36"/>
      <c r="T8" s="36"/>
      <c r="U8" s="36"/>
      <c r="V8" s="36"/>
      <c r="W8" s="36"/>
      <c r="X8" s="36"/>
      <c r="Y8" s="36"/>
      <c r="Z8" s="36"/>
      <c r="AA8" s="36"/>
      <c r="AB8" s="36"/>
    </row>
    <row r="9" s="43" customFormat="true" ht="22.5" hidden="false" customHeight="true" outlineLevel="0" collapsed="false">
      <c r="A9" s="37" t="s">
        <v>0</v>
      </c>
      <c r="B9" s="37" t="s">
        <v>38</v>
      </c>
      <c r="C9" s="37" t="s">
        <v>39</v>
      </c>
      <c r="D9" s="38" t="s">
        <v>55</v>
      </c>
      <c r="E9" s="39"/>
      <c r="F9" s="39"/>
      <c r="G9" s="38"/>
      <c r="H9" s="39"/>
      <c r="I9" s="39"/>
      <c r="J9" s="39"/>
      <c r="K9" s="39"/>
      <c r="L9" s="39"/>
      <c r="M9" s="40" t="s">
        <v>56</v>
      </c>
      <c r="N9" s="40"/>
      <c r="O9" s="40"/>
      <c r="P9" s="40"/>
      <c r="Q9" s="40"/>
      <c r="R9" s="40"/>
      <c r="S9" s="40"/>
      <c r="T9" s="40"/>
      <c r="U9" s="40"/>
      <c r="V9" s="40"/>
      <c r="W9" s="40"/>
      <c r="X9" s="40"/>
      <c r="Y9" s="40"/>
      <c r="Z9" s="41"/>
      <c r="AA9" s="41"/>
      <c r="AB9" s="38" t="s">
        <v>43</v>
      </c>
      <c r="AC9" s="42"/>
    </row>
    <row r="10" s="49" customFormat="true" ht="28.5" hidden="false" customHeight="true" outlineLevel="0" collapsed="false">
      <c r="A10" s="37"/>
      <c r="B10" s="37"/>
      <c r="C10" s="37"/>
      <c r="D10" s="37"/>
      <c r="E10" s="40"/>
      <c r="F10" s="40"/>
      <c r="G10" s="40"/>
      <c r="H10" s="40"/>
      <c r="I10" s="40"/>
      <c r="J10" s="40"/>
      <c r="K10" s="40"/>
      <c r="L10" s="40"/>
      <c r="M10" s="40"/>
      <c r="N10" s="40" t="s">
        <v>57</v>
      </c>
      <c r="O10" s="40" t="s">
        <v>58</v>
      </c>
      <c r="P10" s="40" t="s">
        <v>57</v>
      </c>
      <c r="Q10" s="40" t="s">
        <v>57</v>
      </c>
      <c r="R10" s="40"/>
      <c r="S10" s="40"/>
      <c r="T10" s="40"/>
      <c r="U10" s="40" t="s">
        <v>59</v>
      </c>
      <c r="V10" s="40" t="s">
        <v>59</v>
      </c>
      <c r="W10" s="40" t="s">
        <v>60</v>
      </c>
      <c r="X10" s="40" t="s">
        <v>59</v>
      </c>
      <c r="Y10" s="40" t="s">
        <v>59</v>
      </c>
      <c r="Z10" s="45"/>
      <c r="AA10" s="45"/>
      <c r="AB10" s="38"/>
      <c r="AC10" s="46"/>
      <c r="AD10" s="47"/>
    </row>
    <row r="11" s="49" customFormat="true" ht="15" hidden="false" customHeight="true" outlineLevel="0" collapsed="false">
      <c r="A11" s="13" t="n">
        <v>1</v>
      </c>
      <c r="B11" s="13" t="str">
        <f aca="false">'5.KTHH L5'!B22</f>
        <v>25</v>
      </c>
      <c r="C11" s="51" t="n">
        <f aca="false">'5.KTHH L5'!C22</f>
        <v>489.19</v>
      </c>
      <c r="D11" s="13" t="n">
        <f aca="false">'5.KTHH L5'!T22</f>
        <v>13.17</v>
      </c>
      <c r="E11" s="52"/>
      <c r="F11" s="52"/>
      <c r="G11" s="52"/>
      <c r="H11" s="52"/>
      <c r="I11" s="52"/>
      <c r="J11" s="52"/>
      <c r="K11" s="53"/>
      <c r="L11" s="16"/>
      <c r="M11" s="17"/>
      <c r="N11" s="54"/>
      <c r="O11" s="53" t="n">
        <f aca="false">Chạy!E5</f>
        <v>7.12</v>
      </c>
      <c r="P11" s="53"/>
      <c r="Q11" s="53"/>
      <c r="R11" s="55"/>
      <c r="S11" s="55"/>
      <c r="T11" s="55"/>
      <c r="U11" s="55"/>
      <c r="V11" s="55"/>
      <c r="W11" s="55" t="n">
        <f aca="false">(O11+O12)*D11/2</f>
        <v>100.3554</v>
      </c>
      <c r="X11" s="55"/>
      <c r="Y11" s="55"/>
      <c r="Z11" s="55"/>
      <c r="AA11" s="55"/>
      <c r="AB11" s="56"/>
      <c r="AC11" s="57"/>
    </row>
    <row r="12" s="49" customFormat="true" ht="15" hidden="false" customHeight="true" outlineLevel="0" collapsed="false">
      <c r="A12" s="13" t="n">
        <v>2</v>
      </c>
      <c r="B12" s="13" t="str">
        <f aca="false">'5.KTHH L5'!B23</f>
        <v>D1</v>
      </c>
      <c r="C12" s="51" t="n">
        <f aca="false">'5.KTHH L5'!C23</f>
        <v>502.36</v>
      </c>
      <c r="D12" s="13" t="n">
        <f aca="false">'5.KTHH L5'!T23</f>
        <v>10.48</v>
      </c>
      <c r="E12" s="52"/>
      <c r="F12" s="52"/>
      <c r="G12" s="52"/>
      <c r="H12" s="52"/>
      <c r="I12" s="52"/>
      <c r="J12" s="52"/>
      <c r="K12" s="53"/>
      <c r="L12" s="16"/>
      <c r="M12" s="17"/>
      <c r="N12" s="54"/>
      <c r="O12" s="53" t="n">
        <f aca="false">Chạy!E13</f>
        <v>8.12</v>
      </c>
      <c r="P12" s="53"/>
      <c r="Q12" s="53"/>
      <c r="R12" s="55"/>
      <c r="S12" s="55"/>
      <c r="T12" s="55"/>
      <c r="U12" s="55"/>
      <c r="V12" s="55"/>
      <c r="W12" s="55" t="n">
        <f aca="false">(O12+O13)*D12/2</f>
        <v>85.0976</v>
      </c>
      <c r="X12" s="55"/>
      <c r="Y12" s="55"/>
      <c r="Z12" s="55"/>
      <c r="AA12" s="55"/>
      <c r="AB12" s="56"/>
      <c r="AC12" s="57"/>
    </row>
    <row r="13" s="49" customFormat="true" ht="15" hidden="false" customHeight="true" outlineLevel="0" collapsed="false">
      <c r="A13" s="13" t="n">
        <v>3</v>
      </c>
      <c r="B13" s="13" t="str">
        <f aca="false">'5.KTHH L5'!B24</f>
        <v>26</v>
      </c>
      <c r="C13" s="51" t="n">
        <f aca="false">'5.KTHH L5'!C24</f>
        <v>512.84</v>
      </c>
      <c r="D13" s="13" t="n">
        <f aca="false">'5.KTHH L5'!T24</f>
        <v>16.78</v>
      </c>
      <c r="E13" s="52"/>
      <c r="F13" s="52"/>
      <c r="G13" s="52"/>
      <c r="H13" s="52"/>
      <c r="I13" s="52"/>
      <c r="J13" s="52"/>
      <c r="K13" s="53"/>
      <c r="L13" s="16"/>
      <c r="M13" s="17"/>
      <c r="N13" s="54"/>
      <c r="O13" s="53" t="n">
        <f aca="false">Chạy!E21</f>
        <v>8.12</v>
      </c>
      <c r="P13" s="53"/>
      <c r="Q13" s="53"/>
      <c r="R13" s="55"/>
      <c r="S13" s="55"/>
      <c r="T13" s="55"/>
      <c r="U13" s="55"/>
      <c r="V13" s="55"/>
      <c r="W13" s="55" t="n">
        <f aca="false">(O13+O14)*D13/2</f>
        <v>136.2536</v>
      </c>
      <c r="X13" s="55"/>
      <c r="Y13" s="55"/>
      <c r="Z13" s="55"/>
      <c r="AA13" s="55"/>
      <c r="AB13" s="56"/>
      <c r="AC13" s="57"/>
    </row>
    <row r="14" s="49" customFormat="true" ht="15" hidden="false" customHeight="true" outlineLevel="0" collapsed="false">
      <c r="A14" s="13" t="n">
        <v>4</v>
      </c>
      <c r="B14" s="13" t="str">
        <f aca="false">'5.KTHH L5'!B25</f>
        <v>27</v>
      </c>
      <c r="C14" s="51" t="n">
        <f aca="false">'5.KTHH L5'!C25</f>
        <v>529.62</v>
      </c>
      <c r="D14" s="13" t="n">
        <f aca="false">'5.KTHH L5'!T25</f>
        <v>17.1</v>
      </c>
      <c r="E14" s="52"/>
      <c r="F14" s="52"/>
      <c r="G14" s="52"/>
      <c r="H14" s="52"/>
      <c r="I14" s="52"/>
      <c r="J14" s="52"/>
      <c r="K14" s="53"/>
      <c r="L14" s="16"/>
      <c r="M14" s="17"/>
      <c r="N14" s="54"/>
      <c r="O14" s="53" t="n">
        <f aca="false">Chạy!E29</f>
        <v>8.12</v>
      </c>
      <c r="P14" s="53"/>
      <c r="Q14" s="53"/>
      <c r="R14" s="55"/>
      <c r="S14" s="55"/>
      <c r="T14" s="55"/>
      <c r="U14" s="55"/>
      <c r="V14" s="55"/>
      <c r="W14" s="55" t="n">
        <f aca="false">(O14+O15)*D14/2</f>
        <v>129.105</v>
      </c>
      <c r="X14" s="55"/>
      <c r="Y14" s="55"/>
      <c r="Z14" s="55"/>
      <c r="AA14" s="55"/>
      <c r="AB14" s="56"/>
      <c r="AC14" s="57"/>
    </row>
    <row r="15" s="49" customFormat="true" ht="15" hidden="false" customHeight="true" outlineLevel="0" collapsed="false">
      <c r="A15" s="13" t="n">
        <v>5</v>
      </c>
      <c r="B15" s="13" t="str">
        <f aca="false">'5.KTHH L5'!B26</f>
        <v>28</v>
      </c>
      <c r="C15" s="51" t="n">
        <f aca="false">'5.KTHH L5'!C26</f>
        <v>546.72</v>
      </c>
      <c r="D15" s="13" t="n">
        <f aca="false">'5.KTHH L5'!T26</f>
        <v>15.15</v>
      </c>
      <c r="E15" s="52"/>
      <c r="F15" s="52"/>
      <c r="G15" s="52"/>
      <c r="H15" s="52"/>
      <c r="I15" s="52"/>
      <c r="J15" s="52"/>
      <c r="K15" s="53"/>
      <c r="L15" s="16"/>
      <c r="M15" s="17"/>
      <c r="N15" s="54"/>
      <c r="O15" s="53" t="n">
        <f aca="false">Chạy!E37</f>
        <v>6.98</v>
      </c>
      <c r="P15" s="53"/>
      <c r="Q15" s="53"/>
      <c r="R15" s="55"/>
      <c r="S15" s="55"/>
      <c r="T15" s="55"/>
      <c r="U15" s="55"/>
      <c r="V15" s="55"/>
      <c r="W15" s="55" t="n">
        <f aca="false">(O15+O16)*D15/2</f>
        <v>114.3825</v>
      </c>
      <c r="X15" s="55"/>
      <c r="Y15" s="55"/>
      <c r="Z15" s="55"/>
      <c r="AA15" s="55"/>
      <c r="AB15" s="56"/>
      <c r="AC15" s="57"/>
    </row>
    <row r="16" s="49" customFormat="true" ht="15" hidden="false" customHeight="true" outlineLevel="0" collapsed="false">
      <c r="A16" s="13" t="n">
        <v>6</v>
      </c>
      <c r="B16" s="13" t="str">
        <f aca="false">'5.KTHH L5'!B27</f>
        <v>E5</v>
      </c>
      <c r="C16" s="51" t="n">
        <f aca="false">'5.KTHH L5'!C27</f>
        <v>561.87</v>
      </c>
      <c r="D16" s="13" t="n">
        <f aca="false">'5.KTHH L5'!T27</f>
        <v>0.15</v>
      </c>
      <c r="E16" s="52"/>
      <c r="F16" s="52"/>
      <c r="G16" s="52"/>
      <c r="H16" s="52"/>
      <c r="I16" s="52"/>
      <c r="J16" s="52"/>
      <c r="K16" s="53"/>
      <c r="L16" s="16"/>
      <c r="M16" s="17"/>
      <c r="N16" s="54"/>
      <c r="O16" s="53" t="n">
        <f aca="false">Chạy!E45</f>
        <v>8.12</v>
      </c>
      <c r="P16" s="53"/>
      <c r="Q16" s="53"/>
      <c r="R16" s="55"/>
      <c r="S16" s="55"/>
      <c r="T16" s="55"/>
      <c r="U16" s="55"/>
      <c r="V16" s="55"/>
      <c r="W16" s="55" t="n">
        <f aca="false">(O16+O17)*D16/2</f>
        <v>1.218</v>
      </c>
      <c r="X16" s="55"/>
      <c r="Y16" s="55"/>
      <c r="Z16" s="55"/>
      <c r="AA16" s="55"/>
      <c r="AB16" s="56"/>
      <c r="AC16" s="57"/>
    </row>
    <row r="17" s="49" customFormat="true" ht="15" hidden="false" customHeight="true" outlineLevel="0" collapsed="false">
      <c r="A17" s="13" t="n">
        <v>7</v>
      </c>
      <c r="B17" s="13" t="str">
        <f aca="false">'5.KTHH L5'!B28</f>
        <v>TD</v>
      </c>
      <c r="C17" s="51" t="n">
        <f aca="false">'5.KTHH L5'!C28</f>
        <v>562.02</v>
      </c>
      <c r="D17" s="13" t="n">
        <f aca="false">'5.KTHH L5'!T28</f>
        <v>6.55</v>
      </c>
      <c r="E17" s="52"/>
      <c r="F17" s="52"/>
      <c r="G17" s="52"/>
      <c r="H17" s="52"/>
      <c r="I17" s="52"/>
      <c r="J17" s="52"/>
      <c r="K17" s="53"/>
      <c r="L17" s="16"/>
      <c r="M17" s="17"/>
      <c r="N17" s="54"/>
      <c r="O17" s="53" t="n">
        <f aca="false">Chạy!E53</f>
        <v>8.12</v>
      </c>
      <c r="P17" s="53"/>
      <c r="Q17" s="53"/>
      <c r="R17" s="55"/>
      <c r="S17" s="55"/>
      <c r="T17" s="55"/>
      <c r="U17" s="55"/>
      <c r="V17" s="55"/>
      <c r="W17" s="55" t="n">
        <f aca="false">(O17+O18)*D17/2</f>
        <v>53.186</v>
      </c>
      <c r="X17" s="55"/>
      <c r="Y17" s="55"/>
      <c r="Z17" s="55"/>
      <c r="AA17" s="55"/>
      <c r="AB17" s="56"/>
      <c r="AC17" s="57"/>
    </row>
    <row r="18" s="49" customFormat="true" ht="15" hidden="false" customHeight="true" outlineLevel="0" collapsed="false">
      <c r="A18" s="13" t="n">
        <v>8</v>
      </c>
      <c r="B18" s="13" t="str">
        <f aca="false">'5.KTHH L5'!B29</f>
        <v>P</v>
      </c>
      <c r="C18" s="51" t="n">
        <f aca="false">'5.KTHH L5'!C29</f>
        <v>568.57</v>
      </c>
      <c r="D18" s="13" t="n">
        <f aca="false">'5.KTHH L5'!T29</f>
        <v>6.55</v>
      </c>
      <c r="E18" s="52"/>
      <c r="F18" s="52"/>
      <c r="G18" s="52"/>
      <c r="H18" s="52"/>
      <c r="I18" s="52"/>
      <c r="J18" s="52"/>
      <c r="K18" s="53"/>
      <c r="L18" s="16"/>
      <c r="M18" s="17"/>
      <c r="N18" s="54"/>
      <c r="O18" s="53" t="n">
        <f aca="false">Chạy!E61</f>
        <v>8.12</v>
      </c>
      <c r="P18" s="53"/>
      <c r="Q18" s="53"/>
      <c r="R18" s="55"/>
      <c r="S18" s="55"/>
      <c r="T18" s="55"/>
      <c r="U18" s="55"/>
      <c r="V18" s="55"/>
      <c r="W18" s="55" t="n">
        <f aca="false">(O18+O19)*D18/2</f>
        <v>53.186</v>
      </c>
      <c r="X18" s="55"/>
      <c r="Y18" s="55"/>
      <c r="Z18" s="55"/>
      <c r="AA18" s="55"/>
      <c r="AB18" s="56"/>
      <c r="AC18" s="57"/>
    </row>
    <row r="19" s="49" customFormat="true" ht="15" hidden="false" customHeight="true" outlineLevel="0" collapsed="false">
      <c r="A19" s="13" t="n">
        <v>9</v>
      </c>
      <c r="B19" s="13" t="str">
        <f aca="false">'5.KTHH L5'!B30</f>
        <v>TC</v>
      </c>
      <c r="C19" s="51" t="n">
        <f aca="false">'5.KTHH L5'!C30</f>
        <v>575.12</v>
      </c>
      <c r="D19" s="13" t="n">
        <f aca="false">'5.KTHH L5'!T30</f>
        <v>0.04</v>
      </c>
      <c r="E19" s="52"/>
      <c r="F19" s="52"/>
      <c r="G19" s="52"/>
      <c r="H19" s="52"/>
      <c r="I19" s="52"/>
      <c r="J19" s="52"/>
      <c r="K19" s="53"/>
      <c r="L19" s="16"/>
      <c r="M19" s="17"/>
      <c r="N19" s="54"/>
      <c r="O19" s="53" t="n">
        <f aca="false">Chạy!E69</f>
        <v>8.12</v>
      </c>
      <c r="P19" s="53"/>
      <c r="Q19" s="53"/>
      <c r="R19" s="55"/>
      <c r="S19" s="55"/>
      <c r="T19" s="55"/>
      <c r="U19" s="55"/>
      <c r="V19" s="55"/>
      <c r="W19" s="55" t="n">
        <f aca="false">(O19+O20)*D19/2</f>
        <v>0.3248</v>
      </c>
      <c r="X19" s="55"/>
      <c r="Y19" s="55"/>
      <c r="Z19" s="55"/>
      <c r="AA19" s="55"/>
      <c r="AB19" s="56"/>
      <c r="AC19" s="57"/>
    </row>
    <row r="20" s="49" customFormat="true" ht="15" hidden="false" customHeight="true" outlineLevel="0" collapsed="false">
      <c r="A20" s="13" t="n">
        <v>10</v>
      </c>
      <c r="B20" s="13" t="str">
        <f aca="false">'5.KTHH L5'!B31</f>
        <v>29</v>
      </c>
      <c r="C20" s="51" t="n">
        <f aca="false">'5.KTHH L5'!C31</f>
        <v>575.16</v>
      </c>
      <c r="D20" s="13" t="n">
        <f aca="false">'5.KTHH L5'!T31</f>
        <v>16.95</v>
      </c>
      <c r="E20" s="52"/>
      <c r="F20" s="52"/>
      <c r="G20" s="52"/>
      <c r="H20" s="52"/>
      <c r="I20" s="52"/>
      <c r="J20" s="52"/>
      <c r="K20" s="53"/>
      <c r="L20" s="16"/>
      <c r="M20" s="17"/>
      <c r="N20" s="54"/>
      <c r="O20" s="53" t="n">
        <f aca="false">Chạy!E77</f>
        <v>8.12</v>
      </c>
      <c r="P20" s="53"/>
      <c r="Q20" s="53"/>
      <c r="R20" s="55"/>
      <c r="S20" s="55"/>
      <c r="T20" s="55"/>
      <c r="U20" s="55"/>
      <c r="V20" s="55"/>
      <c r="W20" s="55" t="n">
        <f aca="false">(O20+O21)*D20/2</f>
        <v>137.634</v>
      </c>
      <c r="X20" s="55"/>
      <c r="Y20" s="55"/>
      <c r="Z20" s="55"/>
      <c r="AA20" s="55"/>
      <c r="AB20" s="56"/>
      <c r="AC20" s="57"/>
    </row>
    <row r="21" s="49" customFormat="true" ht="15" hidden="false" customHeight="true" outlineLevel="0" collapsed="false">
      <c r="A21" s="13" t="n">
        <v>11</v>
      </c>
      <c r="B21" s="13" t="str">
        <f aca="false">'5.KTHH L5'!B32</f>
        <v>30</v>
      </c>
      <c r="C21" s="51" t="n">
        <f aca="false">'5.KTHH L5'!C32</f>
        <v>592.11</v>
      </c>
      <c r="D21" s="13" t="n">
        <f aca="false">'5.KTHH L5'!T32</f>
        <v>17</v>
      </c>
      <c r="E21" s="52"/>
      <c r="F21" s="52"/>
      <c r="G21" s="52"/>
      <c r="H21" s="52"/>
      <c r="I21" s="52"/>
      <c r="J21" s="52"/>
      <c r="K21" s="53"/>
      <c r="L21" s="16"/>
      <c r="M21" s="17"/>
      <c r="N21" s="54"/>
      <c r="O21" s="53" t="n">
        <f aca="false">Chạy!E85</f>
        <v>8.12</v>
      </c>
      <c r="P21" s="53"/>
      <c r="Q21" s="53"/>
      <c r="R21" s="55"/>
      <c r="S21" s="55"/>
      <c r="T21" s="55"/>
      <c r="U21" s="55"/>
      <c r="V21" s="55"/>
      <c r="W21" s="55" t="n">
        <f aca="false">(O21+O22)*D21/2</f>
        <v>138.04</v>
      </c>
      <c r="X21" s="55"/>
      <c r="Y21" s="55"/>
      <c r="Z21" s="55"/>
      <c r="AA21" s="55"/>
      <c r="AB21" s="56"/>
      <c r="AC21" s="57"/>
    </row>
    <row r="22" s="49" customFormat="true" ht="15" hidden="false" customHeight="true" outlineLevel="0" collapsed="false">
      <c r="A22" s="13" t="n">
        <v>12</v>
      </c>
      <c r="B22" s="13" t="str">
        <f aca="false">'5.KTHH L5'!B33</f>
        <v>31</v>
      </c>
      <c r="C22" s="51" t="n">
        <f aca="false">'5.KTHH L5'!C33</f>
        <v>609.11</v>
      </c>
      <c r="D22" s="13"/>
      <c r="E22" s="52"/>
      <c r="F22" s="52"/>
      <c r="G22" s="52"/>
      <c r="H22" s="52"/>
      <c r="I22" s="52"/>
      <c r="J22" s="52"/>
      <c r="K22" s="53"/>
      <c r="L22" s="16"/>
      <c r="M22" s="17"/>
      <c r="N22" s="54"/>
      <c r="O22" s="53" t="n">
        <f aca="false">Chạy!E93</f>
        <v>8.12</v>
      </c>
      <c r="P22" s="53"/>
      <c r="Q22" s="53"/>
      <c r="R22" s="55"/>
      <c r="S22" s="55"/>
      <c r="T22" s="55"/>
      <c r="U22" s="55"/>
      <c r="V22" s="55"/>
      <c r="W22" s="55"/>
      <c r="X22" s="55"/>
      <c r="Y22" s="55"/>
      <c r="Z22" s="55"/>
      <c r="AA22" s="55"/>
      <c r="AB22" s="56"/>
      <c r="AC22" s="57"/>
    </row>
    <row r="23" s="49" customFormat="true" ht="15" hidden="true" customHeight="true" outlineLevel="0" collapsed="false">
      <c r="A23" s="13"/>
      <c r="B23" s="13"/>
      <c r="C23" s="51"/>
      <c r="D23" s="13"/>
      <c r="E23" s="52"/>
      <c r="F23" s="52"/>
      <c r="G23" s="52"/>
      <c r="H23" s="52"/>
      <c r="I23" s="52"/>
      <c r="J23" s="52"/>
      <c r="K23" s="53"/>
      <c r="L23" s="16"/>
      <c r="M23" s="17"/>
      <c r="N23" s="54"/>
      <c r="O23" s="53"/>
      <c r="P23" s="53"/>
      <c r="Q23" s="53"/>
      <c r="R23" s="55"/>
      <c r="S23" s="55"/>
      <c r="T23" s="55"/>
      <c r="U23" s="55"/>
      <c r="V23" s="55"/>
      <c r="W23" s="55"/>
      <c r="X23" s="55"/>
      <c r="Y23" s="55"/>
      <c r="Z23" s="55"/>
      <c r="AA23" s="55"/>
      <c r="AB23" s="56"/>
      <c r="AC23" s="57"/>
    </row>
    <row r="24" s="49" customFormat="true" ht="15" hidden="true" customHeight="true" outlineLevel="0" collapsed="false">
      <c r="A24" s="13"/>
      <c r="B24" s="13"/>
      <c r="C24" s="51"/>
      <c r="D24" s="13"/>
      <c r="E24" s="52"/>
      <c r="F24" s="52"/>
      <c r="G24" s="52"/>
      <c r="H24" s="52"/>
      <c r="I24" s="52"/>
      <c r="J24" s="52"/>
      <c r="K24" s="53"/>
      <c r="L24" s="16"/>
      <c r="M24" s="17"/>
      <c r="N24" s="54"/>
      <c r="O24" s="53"/>
      <c r="P24" s="53"/>
      <c r="Q24" s="53"/>
      <c r="R24" s="55"/>
      <c r="S24" s="55"/>
      <c r="T24" s="55"/>
      <c r="U24" s="55"/>
      <c r="V24" s="55"/>
      <c r="W24" s="55"/>
      <c r="X24" s="55"/>
      <c r="Y24" s="55"/>
      <c r="Z24" s="55"/>
      <c r="AA24" s="55"/>
      <c r="AB24" s="56"/>
      <c r="AC24" s="57"/>
    </row>
    <row r="25" s="49" customFormat="true" ht="15" hidden="true" customHeight="true" outlineLevel="0" collapsed="false">
      <c r="A25" s="13"/>
      <c r="B25" s="13"/>
      <c r="C25" s="51"/>
      <c r="D25" s="13"/>
      <c r="E25" s="52"/>
      <c r="F25" s="52"/>
      <c r="G25" s="52"/>
      <c r="H25" s="52"/>
      <c r="I25" s="52"/>
      <c r="J25" s="52"/>
      <c r="K25" s="53"/>
      <c r="L25" s="16"/>
      <c r="M25" s="17"/>
      <c r="N25" s="54"/>
      <c r="O25" s="53"/>
      <c r="P25" s="53"/>
      <c r="Q25" s="53"/>
      <c r="R25" s="55"/>
      <c r="S25" s="55"/>
      <c r="T25" s="55"/>
      <c r="U25" s="55"/>
      <c r="V25" s="55"/>
      <c r="W25" s="55"/>
      <c r="X25" s="55"/>
      <c r="Y25" s="55"/>
      <c r="Z25" s="55"/>
      <c r="AA25" s="55"/>
      <c r="AB25" s="56"/>
      <c r="AC25" s="57"/>
    </row>
    <row r="26" s="49" customFormat="true" ht="15" hidden="true" customHeight="true" outlineLevel="0" collapsed="false">
      <c r="A26" s="13"/>
      <c r="B26" s="13"/>
      <c r="C26" s="51"/>
      <c r="D26" s="13"/>
      <c r="E26" s="52"/>
      <c r="F26" s="52"/>
      <c r="G26" s="52"/>
      <c r="H26" s="52"/>
      <c r="I26" s="52"/>
      <c r="J26" s="52"/>
      <c r="K26" s="53"/>
      <c r="L26" s="16"/>
      <c r="M26" s="17"/>
      <c r="N26" s="54"/>
      <c r="O26" s="53"/>
      <c r="P26" s="53"/>
      <c r="Q26" s="53"/>
      <c r="R26" s="55"/>
      <c r="S26" s="55"/>
      <c r="T26" s="55"/>
      <c r="U26" s="55"/>
      <c r="V26" s="55"/>
      <c r="W26" s="55"/>
      <c r="X26" s="55"/>
      <c r="Y26" s="55"/>
      <c r="Z26" s="55"/>
      <c r="AA26" s="55"/>
      <c r="AB26" s="56"/>
      <c r="AC26" s="57"/>
    </row>
    <row r="27" s="49" customFormat="true" ht="15" hidden="true" customHeight="true" outlineLevel="0" collapsed="false">
      <c r="A27" s="13"/>
      <c r="B27" s="13"/>
      <c r="C27" s="51"/>
      <c r="D27" s="13"/>
      <c r="E27" s="52"/>
      <c r="F27" s="52"/>
      <c r="G27" s="52"/>
      <c r="H27" s="52"/>
      <c r="I27" s="52"/>
      <c r="J27" s="52"/>
      <c r="K27" s="53"/>
      <c r="L27" s="16"/>
      <c r="M27" s="17"/>
      <c r="N27" s="54"/>
      <c r="O27" s="53"/>
      <c r="P27" s="53"/>
      <c r="Q27" s="53"/>
      <c r="R27" s="55"/>
      <c r="S27" s="55"/>
      <c r="T27" s="55"/>
      <c r="U27" s="55"/>
      <c r="V27" s="55"/>
      <c r="W27" s="55"/>
      <c r="X27" s="55"/>
      <c r="Y27" s="55"/>
      <c r="Z27" s="55"/>
      <c r="AA27" s="55"/>
      <c r="AB27" s="56"/>
      <c r="AC27" s="57"/>
    </row>
    <row r="28" s="49" customFormat="true" ht="15" hidden="true" customHeight="true" outlineLevel="0" collapsed="false">
      <c r="A28" s="13"/>
      <c r="B28" s="13"/>
      <c r="C28" s="51"/>
      <c r="D28" s="13"/>
      <c r="E28" s="52"/>
      <c r="F28" s="52"/>
      <c r="G28" s="52"/>
      <c r="H28" s="52"/>
      <c r="I28" s="52"/>
      <c r="J28" s="52"/>
      <c r="K28" s="53"/>
      <c r="L28" s="16"/>
      <c r="M28" s="17"/>
      <c r="N28" s="54"/>
      <c r="O28" s="53"/>
      <c r="P28" s="53"/>
      <c r="Q28" s="53"/>
      <c r="R28" s="55"/>
      <c r="S28" s="55"/>
      <c r="T28" s="55"/>
      <c r="U28" s="55"/>
      <c r="V28" s="55"/>
      <c r="W28" s="55"/>
      <c r="X28" s="55"/>
      <c r="Y28" s="55"/>
      <c r="Z28" s="55"/>
      <c r="AA28" s="55"/>
      <c r="AB28" s="56"/>
      <c r="AC28" s="57"/>
    </row>
    <row r="29" s="49" customFormat="true" ht="15" hidden="true" customHeight="true" outlineLevel="0" collapsed="false">
      <c r="A29" s="13"/>
      <c r="B29" s="13"/>
      <c r="C29" s="51"/>
      <c r="D29" s="13"/>
      <c r="E29" s="52"/>
      <c r="F29" s="52"/>
      <c r="G29" s="52"/>
      <c r="H29" s="52"/>
      <c r="I29" s="52"/>
      <c r="J29" s="52"/>
      <c r="K29" s="53"/>
      <c r="L29" s="16"/>
      <c r="M29" s="17"/>
      <c r="N29" s="54"/>
      <c r="O29" s="53"/>
      <c r="P29" s="53"/>
      <c r="Q29" s="53"/>
      <c r="R29" s="55"/>
      <c r="S29" s="55"/>
      <c r="T29" s="55"/>
      <c r="U29" s="55"/>
      <c r="V29" s="55"/>
      <c r="W29" s="55"/>
      <c r="X29" s="55"/>
      <c r="Y29" s="55"/>
      <c r="Z29" s="55"/>
      <c r="AA29" s="55"/>
      <c r="AB29" s="56"/>
      <c r="AC29" s="57"/>
    </row>
    <row r="30" s="49" customFormat="true" ht="15" hidden="true" customHeight="true" outlineLevel="0" collapsed="false">
      <c r="A30" s="13"/>
      <c r="B30" s="13"/>
      <c r="C30" s="51"/>
      <c r="D30" s="13"/>
      <c r="E30" s="52"/>
      <c r="F30" s="52"/>
      <c r="G30" s="52"/>
      <c r="H30" s="52"/>
      <c r="I30" s="52"/>
      <c r="J30" s="52"/>
      <c r="K30" s="53"/>
      <c r="L30" s="16"/>
      <c r="M30" s="17"/>
      <c r="N30" s="54"/>
      <c r="O30" s="53"/>
      <c r="P30" s="53"/>
      <c r="Q30" s="53"/>
      <c r="R30" s="55"/>
      <c r="S30" s="55"/>
      <c r="T30" s="55"/>
      <c r="U30" s="55"/>
      <c r="V30" s="55"/>
      <c r="W30" s="55"/>
      <c r="X30" s="55"/>
      <c r="Y30" s="55"/>
      <c r="Z30" s="55"/>
      <c r="AA30" s="55"/>
      <c r="AB30" s="56"/>
      <c r="AC30" s="57"/>
    </row>
    <row r="31" s="49" customFormat="true" ht="15" hidden="true" customHeight="true" outlineLevel="0" collapsed="false">
      <c r="A31" s="13"/>
      <c r="B31" s="13"/>
      <c r="C31" s="51"/>
      <c r="D31" s="13"/>
      <c r="E31" s="52"/>
      <c r="F31" s="52"/>
      <c r="G31" s="52"/>
      <c r="H31" s="52"/>
      <c r="I31" s="52"/>
      <c r="J31" s="52"/>
      <c r="K31" s="53"/>
      <c r="L31" s="16"/>
      <c r="M31" s="17"/>
      <c r="N31" s="54"/>
      <c r="O31" s="53"/>
      <c r="P31" s="53"/>
      <c r="Q31" s="53"/>
      <c r="R31" s="55"/>
      <c r="S31" s="55"/>
      <c r="T31" s="55"/>
      <c r="U31" s="55"/>
      <c r="V31" s="55"/>
      <c r="W31" s="55"/>
      <c r="X31" s="55"/>
      <c r="Y31" s="55"/>
      <c r="Z31" s="55"/>
      <c r="AA31" s="55"/>
      <c r="AB31" s="56"/>
      <c r="AC31" s="57"/>
    </row>
    <row r="32" s="49" customFormat="true" ht="15" hidden="true" customHeight="true" outlineLevel="0" collapsed="false">
      <c r="A32" s="13"/>
      <c r="B32" s="13"/>
      <c r="C32" s="51"/>
      <c r="D32" s="13"/>
      <c r="E32" s="52"/>
      <c r="F32" s="52"/>
      <c r="G32" s="52"/>
      <c r="H32" s="52"/>
      <c r="I32" s="52"/>
      <c r="J32" s="52"/>
      <c r="K32" s="53"/>
      <c r="L32" s="16"/>
      <c r="M32" s="17"/>
      <c r="N32" s="54"/>
      <c r="O32" s="53"/>
      <c r="P32" s="53"/>
      <c r="Q32" s="53"/>
      <c r="R32" s="55"/>
      <c r="S32" s="55"/>
      <c r="T32" s="55"/>
      <c r="U32" s="55"/>
      <c r="V32" s="55"/>
      <c r="W32" s="55"/>
      <c r="X32" s="55"/>
      <c r="Y32" s="55"/>
      <c r="Z32" s="55"/>
      <c r="AA32" s="55"/>
      <c r="AB32" s="56"/>
      <c r="AC32" s="57"/>
    </row>
    <row r="33" s="49" customFormat="true" ht="15" hidden="true" customHeight="true" outlineLevel="0" collapsed="false">
      <c r="A33" s="13"/>
      <c r="B33" s="13"/>
      <c r="C33" s="51"/>
      <c r="D33" s="13"/>
      <c r="E33" s="52"/>
      <c r="F33" s="52"/>
      <c r="G33" s="52"/>
      <c r="H33" s="52"/>
      <c r="I33" s="52"/>
      <c r="J33" s="52"/>
      <c r="K33" s="53"/>
      <c r="L33" s="16"/>
      <c r="M33" s="17"/>
      <c r="N33" s="54"/>
      <c r="O33" s="53"/>
      <c r="P33" s="53"/>
      <c r="Q33" s="53"/>
      <c r="R33" s="55"/>
      <c r="S33" s="55"/>
      <c r="T33" s="55"/>
      <c r="U33" s="55"/>
      <c r="V33" s="55"/>
      <c r="W33" s="55"/>
      <c r="X33" s="55"/>
      <c r="Y33" s="55"/>
      <c r="Z33" s="55"/>
      <c r="AA33" s="55"/>
      <c r="AB33" s="56"/>
      <c r="AC33" s="57"/>
    </row>
    <row r="34" s="49" customFormat="true" ht="15" hidden="true" customHeight="true" outlineLevel="0" collapsed="false">
      <c r="A34" s="13"/>
      <c r="B34" s="13"/>
      <c r="C34" s="51"/>
      <c r="D34" s="13"/>
      <c r="E34" s="52"/>
      <c r="F34" s="52"/>
      <c r="G34" s="52"/>
      <c r="H34" s="52"/>
      <c r="I34" s="52"/>
      <c r="J34" s="52"/>
      <c r="K34" s="53"/>
      <c r="L34" s="16"/>
      <c r="M34" s="17"/>
      <c r="N34" s="54"/>
      <c r="O34" s="53"/>
      <c r="P34" s="53"/>
      <c r="Q34" s="53"/>
      <c r="R34" s="55"/>
      <c r="S34" s="55"/>
      <c r="T34" s="55"/>
      <c r="U34" s="55"/>
      <c r="V34" s="55"/>
      <c r="W34" s="55"/>
      <c r="X34" s="55"/>
      <c r="Y34" s="55"/>
      <c r="Z34" s="55"/>
      <c r="AA34" s="55"/>
      <c r="AB34" s="56"/>
      <c r="AC34" s="57"/>
    </row>
    <row r="35" s="49" customFormat="true" ht="15" hidden="true" customHeight="true" outlineLevel="0" collapsed="false">
      <c r="A35" s="13"/>
      <c r="B35" s="13"/>
      <c r="C35" s="51"/>
      <c r="D35" s="13"/>
      <c r="E35" s="52"/>
      <c r="F35" s="52"/>
      <c r="G35" s="52"/>
      <c r="H35" s="52"/>
      <c r="I35" s="52"/>
      <c r="J35" s="52"/>
      <c r="K35" s="53"/>
      <c r="L35" s="16"/>
      <c r="M35" s="17"/>
      <c r="N35" s="54"/>
      <c r="O35" s="53"/>
      <c r="P35" s="53"/>
      <c r="Q35" s="53"/>
      <c r="R35" s="55"/>
      <c r="S35" s="55"/>
      <c r="T35" s="55"/>
      <c r="U35" s="55"/>
      <c r="V35" s="55"/>
      <c r="W35" s="55"/>
      <c r="X35" s="55"/>
      <c r="Y35" s="55"/>
      <c r="Z35" s="55"/>
      <c r="AA35" s="55"/>
      <c r="AB35" s="56"/>
      <c r="AC35" s="57"/>
    </row>
    <row r="36" s="49" customFormat="true" ht="15" hidden="true" customHeight="true" outlineLevel="0" collapsed="false">
      <c r="A36" s="13"/>
      <c r="B36" s="13"/>
      <c r="C36" s="51"/>
      <c r="D36" s="13"/>
      <c r="E36" s="52"/>
      <c r="F36" s="52"/>
      <c r="G36" s="52"/>
      <c r="H36" s="52"/>
      <c r="I36" s="52"/>
      <c r="J36" s="52"/>
      <c r="K36" s="53"/>
      <c r="L36" s="16"/>
      <c r="M36" s="17"/>
      <c r="N36" s="54"/>
      <c r="O36" s="53"/>
      <c r="P36" s="53"/>
      <c r="Q36" s="53"/>
      <c r="R36" s="55"/>
      <c r="S36" s="55"/>
      <c r="T36" s="55"/>
      <c r="U36" s="55"/>
      <c r="V36" s="55"/>
      <c r="W36" s="55"/>
      <c r="X36" s="55"/>
      <c r="Y36" s="55"/>
      <c r="Z36" s="55"/>
      <c r="AA36" s="55"/>
      <c r="AB36" s="56"/>
      <c r="AC36" s="57"/>
    </row>
    <row r="37" s="49" customFormat="true" ht="15" hidden="true" customHeight="true" outlineLevel="0" collapsed="false">
      <c r="A37" s="13"/>
      <c r="B37" s="13"/>
      <c r="C37" s="51"/>
      <c r="D37" s="13"/>
      <c r="E37" s="52"/>
      <c r="F37" s="52"/>
      <c r="G37" s="52"/>
      <c r="H37" s="52"/>
      <c r="I37" s="52"/>
      <c r="J37" s="52"/>
      <c r="K37" s="53"/>
      <c r="L37" s="16"/>
      <c r="M37" s="17"/>
      <c r="N37" s="54"/>
      <c r="O37" s="53"/>
      <c r="P37" s="53"/>
      <c r="Q37" s="53"/>
      <c r="R37" s="55"/>
      <c r="S37" s="55"/>
      <c r="T37" s="55"/>
      <c r="U37" s="55"/>
      <c r="V37" s="55"/>
      <c r="W37" s="55"/>
      <c r="X37" s="55"/>
      <c r="Y37" s="55"/>
      <c r="Z37" s="55"/>
      <c r="AA37" s="55"/>
      <c r="AB37" s="56"/>
      <c r="AC37" s="57"/>
    </row>
    <row r="38" s="49" customFormat="true" ht="15" hidden="true" customHeight="true" outlineLevel="0" collapsed="false">
      <c r="A38" s="13"/>
      <c r="B38" s="13"/>
      <c r="C38" s="51"/>
      <c r="D38" s="13"/>
      <c r="E38" s="52"/>
      <c r="F38" s="52"/>
      <c r="G38" s="52"/>
      <c r="H38" s="52"/>
      <c r="I38" s="52"/>
      <c r="J38" s="52"/>
      <c r="K38" s="53"/>
      <c r="L38" s="16"/>
      <c r="M38" s="17"/>
      <c r="N38" s="54"/>
      <c r="O38" s="53"/>
      <c r="P38" s="53"/>
      <c r="Q38" s="53"/>
      <c r="R38" s="55"/>
      <c r="S38" s="55"/>
      <c r="T38" s="55"/>
      <c r="U38" s="55"/>
      <c r="V38" s="55"/>
      <c r="W38" s="55"/>
      <c r="X38" s="55"/>
      <c r="Y38" s="55"/>
      <c r="Z38" s="55"/>
      <c r="AA38" s="55"/>
      <c r="AB38" s="56"/>
      <c r="AC38" s="57"/>
    </row>
    <row r="39" s="49" customFormat="true" ht="15" hidden="true" customHeight="true" outlineLevel="0" collapsed="false">
      <c r="A39" s="13"/>
      <c r="B39" s="13"/>
      <c r="C39" s="51"/>
      <c r="D39" s="13"/>
      <c r="E39" s="52"/>
      <c r="F39" s="52"/>
      <c r="G39" s="52"/>
      <c r="H39" s="52"/>
      <c r="I39" s="52"/>
      <c r="J39" s="52"/>
      <c r="K39" s="53"/>
      <c r="L39" s="16"/>
      <c r="M39" s="17"/>
      <c r="N39" s="54"/>
      <c r="O39" s="53"/>
      <c r="P39" s="53"/>
      <c r="Q39" s="53"/>
      <c r="R39" s="55"/>
      <c r="S39" s="55"/>
      <c r="T39" s="55"/>
      <c r="U39" s="55"/>
      <c r="V39" s="55"/>
      <c r="W39" s="55"/>
      <c r="X39" s="55"/>
      <c r="Y39" s="55"/>
      <c r="Z39" s="55"/>
      <c r="AA39" s="55"/>
      <c r="AB39" s="56"/>
      <c r="AC39" s="57"/>
    </row>
    <row r="40" s="49" customFormat="true" ht="15" hidden="true" customHeight="true" outlineLevel="0" collapsed="false">
      <c r="A40" s="13"/>
      <c r="B40" s="13"/>
      <c r="C40" s="51"/>
      <c r="D40" s="13"/>
      <c r="E40" s="52"/>
      <c r="F40" s="52"/>
      <c r="G40" s="52"/>
      <c r="H40" s="52"/>
      <c r="I40" s="52"/>
      <c r="J40" s="52"/>
      <c r="K40" s="53"/>
      <c r="L40" s="16"/>
      <c r="M40" s="17"/>
      <c r="N40" s="54"/>
      <c r="O40" s="53"/>
      <c r="P40" s="53"/>
      <c r="Q40" s="53"/>
      <c r="R40" s="55"/>
      <c r="S40" s="55"/>
      <c r="T40" s="55"/>
      <c r="U40" s="55"/>
      <c r="V40" s="55"/>
      <c r="W40" s="55"/>
      <c r="X40" s="55"/>
      <c r="Y40" s="55"/>
      <c r="Z40" s="55"/>
      <c r="AA40" s="55"/>
      <c r="AB40" s="56"/>
      <c r="AC40" s="57"/>
    </row>
    <row r="41" s="49" customFormat="true" ht="15" hidden="true" customHeight="true" outlineLevel="0" collapsed="false">
      <c r="A41" s="13"/>
      <c r="B41" s="13"/>
      <c r="C41" s="51"/>
      <c r="D41" s="13"/>
      <c r="E41" s="52"/>
      <c r="F41" s="52"/>
      <c r="G41" s="52"/>
      <c r="H41" s="52"/>
      <c r="I41" s="52"/>
      <c r="J41" s="52"/>
      <c r="K41" s="53"/>
      <c r="L41" s="16"/>
      <c r="M41" s="17"/>
      <c r="N41" s="54"/>
      <c r="O41" s="53"/>
      <c r="P41" s="53"/>
      <c r="Q41" s="53"/>
      <c r="R41" s="55"/>
      <c r="S41" s="55"/>
      <c r="T41" s="55"/>
      <c r="U41" s="55"/>
      <c r="V41" s="55"/>
      <c r="W41" s="55"/>
      <c r="X41" s="55"/>
      <c r="Y41" s="55"/>
      <c r="Z41" s="55"/>
      <c r="AA41" s="55"/>
      <c r="AB41" s="56"/>
      <c r="AC41" s="57"/>
    </row>
    <row r="42" s="49" customFormat="true" ht="15" hidden="true" customHeight="true" outlineLevel="0" collapsed="false">
      <c r="A42" s="13"/>
      <c r="B42" s="13"/>
      <c r="C42" s="51"/>
      <c r="D42" s="13"/>
      <c r="E42" s="52"/>
      <c r="F42" s="52"/>
      <c r="G42" s="52"/>
      <c r="H42" s="52"/>
      <c r="I42" s="52"/>
      <c r="J42" s="52"/>
      <c r="K42" s="53"/>
      <c r="L42" s="16"/>
      <c r="M42" s="17"/>
      <c r="N42" s="54"/>
      <c r="O42" s="53"/>
      <c r="P42" s="53"/>
      <c r="Q42" s="53"/>
      <c r="R42" s="55"/>
      <c r="S42" s="55"/>
      <c r="T42" s="55"/>
      <c r="U42" s="55"/>
      <c r="V42" s="55"/>
      <c r="W42" s="55"/>
      <c r="X42" s="55"/>
      <c r="Y42" s="55"/>
      <c r="Z42" s="55"/>
      <c r="AA42" s="55"/>
      <c r="AB42" s="56"/>
      <c r="AC42" s="57"/>
    </row>
    <row r="43" s="49" customFormat="true" ht="15" hidden="true" customHeight="true" outlineLevel="0" collapsed="false">
      <c r="A43" s="13"/>
      <c r="B43" s="13"/>
      <c r="C43" s="51"/>
      <c r="D43" s="13"/>
      <c r="E43" s="52"/>
      <c r="F43" s="52"/>
      <c r="G43" s="52"/>
      <c r="H43" s="52"/>
      <c r="I43" s="52"/>
      <c r="J43" s="52"/>
      <c r="K43" s="53"/>
      <c r="L43" s="16"/>
      <c r="M43" s="17"/>
      <c r="N43" s="54"/>
      <c r="O43" s="53"/>
      <c r="P43" s="53"/>
      <c r="Q43" s="53"/>
      <c r="R43" s="55"/>
      <c r="S43" s="55"/>
      <c r="T43" s="55"/>
      <c r="U43" s="55"/>
      <c r="V43" s="55"/>
      <c r="W43" s="55"/>
      <c r="X43" s="55"/>
      <c r="Y43" s="55"/>
      <c r="Z43" s="55"/>
      <c r="AA43" s="55"/>
      <c r="AB43" s="56"/>
      <c r="AC43" s="57"/>
    </row>
    <row r="44" s="49" customFormat="true" ht="15" hidden="true" customHeight="true" outlineLevel="0" collapsed="false">
      <c r="A44" s="13"/>
      <c r="B44" s="13"/>
      <c r="C44" s="51"/>
      <c r="D44" s="13"/>
      <c r="E44" s="52"/>
      <c r="F44" s="52"/>
      <c r="G44" s="52"/>
      <c r="H44" s="52"/>
      <c r="I44" s="52"/>
      <c r="J44" s="52"/>
      <c r="K44" s="53"/>
      <c r="L44" s="16"/>
      <c r="M44" s="17"/>
      <c r="N44" s="54"/>
      <c r="O44" s="53"/>
      <c r="P44" s="53"/>
      <c r="Q44" s="53"/>
      <c r="R44" s="55"/>
      <c r="S44" s="55"/>
      <c r="T44" s="55"/>
      <c r="U44" s="55"/>
      <c r="V44" s="55"/>
      <c r="W44" s="55"/>
      <c r="X44" s="55"/>
      <c r="Y44" s="55"/>
      <c r="Z44" s="55"/>
      <c r="AA44" s="55"/>
      <c r="AB44" s="56"/>
      <c r="AC44" s="57"/>
    </row>
    <row r="45" s="49" customFormat="true" ht="15" hidden="true" customHeight="true" outlineLevel="0" collapsed="false">
      <c r="A45" s="13"/>
      <c r="B45" s="13"/>
      <c r="C45" s="51"/>
      <c r="D45" s="13"/>
      <c r="E45" s="52"/>
      <c r="F45" s="52"/>
      <c r="G45" s="52"/>
      <c r="H45" s="52"/>
      <c r="I45" s="52"/>
      <c r="J45" s="52"/>
      <c r="K45" s="53"/>
      <c r="L45" s="16"/>
      <c r="M45" s="17"/>
      <c r="N45" s="54"/>
      <c r="O45" s="53"/>
      <c r="P45" s="53"/>
      <c r="Q45" s="53"/>
      <c r="R45" s="55"/>
      <c r="S45" s="55"/>
      <c r="T45" s="55"/>
      <c r="U45" s="55"/>
      <c r="V45" s="55"/>
      <c r="W45" s="55"/>
      <c r="X45" s="55"/>
      <c r="Y45" s="55"/>
      <c r="Z45" s="55"/>
      <c r="AA45" s="55"/>
      <c r="AB45" s="56"/>
      <c r="AC45" s="57"/>
    </row>
    <row r="46" s="49" customFormat="true" ht="15" hidden="true" customHeight="true" outlineLevel="0" collapsed="false">
      <c r="A46" s="13"/>
      <c r="B46" s="13"/>
      <c r="C46" s="51"/>
      <c r="D46" s="13"/>
      <c r="E46" s="52"/>
      <c r="F46" s="52"/>
      <c r="G46" s="52"/>
      <c r="H46" s="52"/>
      <c r="I46" s="52"/>
      <c r="J46" s="52"/>
      <c r="K46" s="53"/>
      <c r="L46" s="16"/>
      <c r="M46" s="17"/>
      <c r="N46" s="54"/>
      <c r="O46" s="53"/>
      <c r="P46" s="53"/>
      <c r="Q46" s="53"/>
      <c r="R46" s="55"/>
      <c r="S46" s="55"/>
      <c r="T46" s="55"/>
      <c r="U46" s="55"/>
      <c r="V46" s="55"/>
      <c r="W46" s="55"/>
      <c r="X46" s="55"/>
      <c r="Y46" s="55"/>
      <c r="Z46" s="55"/>
      <c r="AA46" s="55"/>
      <c r="AB46" s="56"/>
      <c r="AC46" s="57"/>
    </row>
    <row r="47" s="49" customFormat="true" ht="15" hidden="true" customHeight="true" outlineLevel="0" collapsed="false">
      <c r="A47" s="13"/>
      <c r="B47" s="13"/>
      <c r="C47" s="51"/>
      <c r="D47" s="13"/>
      <c r="E47" s="52"/>
      <c r="F47" s="52"/>
      <c r="G47" s="52"/>
      <c r="H47" s="52"/>
      <c r="I47" s="52"/>
      <c r="J47" s="52"/>
      <c r="K47" s="53"/>
      <c r="L47" s="16"/>
      <c r="M47" s="17"/>
      <c r="N47" s="54"/>
      <c r="O47" s="53"/>
      <c r="P47" s="53"/>
      <c r="Q47" s="53"/>
      <c r="R47" s="55"/>
      <c r="S47" s="55"/>
      <c r="T47" s="55"/>
      <c r="U47" s="55"/>
      <c r="V47" s="55"/>
      <c r="W47" s="55"/>
      <c r="X47" s="55"/>
      <c r="Y47" s="55"/>
      <c r="Z47" s="55"/>
      <c r="AA47" s="55"/>
      <c r="AB47" s="56"/>
      <c r="AC47" s="57"/>
    </row>
    <row r="48" s="49" customFormat="true" ht="15" hidden="true" customHeight="true" outlineLevel="0" collapsed="false">
      <c r="A48" s="13"/>
      <c r="B48" s="13"/>
      <c r="C48" s="51"/>
      <c r="D48" s="13"/>
      <c r="E48" s="52"/>
      <c r="F48" s="52"/>
      <c r="G48" s="52"/>
      <c r="H48" s="52"/>
      <c r="I48" s="52"/>
      <c r="J48" s="52"/>
      <c r="K48" s="53"/>
      <c r="L48" s="16"/>
      <c r="M48" s="17"/>
      <c r="N48" s="54"/>
      <c r="O48" s="53"/>
      <c r="P48" s="53"/>
      <c r="Q48" s="53"/>
      <c r="R48" s="55"/>
      <c r="S48" s="55"/>
      <c r="T48" s="55"/>
      <c r="U48" s="55"/>
      <c r="V48" s="55"/>
      <c r="W48" s="55"/>
      <c r="X48" s="55"/>
      <c r="Y48" s="55"/>
      <c r="Z48" s="55"/>
      <c r="AA48" s="55"/>
      <c r="AB48" s="56"/>
      <c r="AC48" s="57"/>
    </row>
    <row r="49" s="49" customFormat="true" ht="15" hidden="true" customHeight="true" outlineLevel="0" collapsed="false">
      <c r="A49" s="13"/>
      <c r="B49" s="13"/>
      <c r="C49" s="51"/>
      <c r="D49" s="13"/>
      <c r="E49" s="52"/>
      <c r="F49" s="52"/>
      <c r="G49" s="52"/>
      <c r="H49" s="52"/>
      <c r="I49" s="52"/>
      <c r="J49" s="52"/>
      <c r="K49" s="53"/>
      <c r="L49" s="16"/>
      <c r="M49" s="17"/>
      <c r="N49" s="54"/>
      <c r="O49" s="53"/>
      <c r="P49" s="53"/>
      <c r="Q49" s="53"/>
      <c r="R49" s="55"/>
      <c r="S49" s="55"/>
      <c r="T49" s="55"/>
      <c r="U49" s="55"/>
      <c r="V49" s="55"/>
      <c r="W49" s="55"/>
      <c r="X49" s="55"/>
      <c r="Y49" s="55"/>
      <c r="Z49" s="55"/>
      <c r="AA49" s="55"/>
      <c r="AB49" s="56"/>
      <c r="AC49" s="57"/>
    </row>
    <row r="50" s="49" customFormat="true" ht="15" hidden="true" customHeight="true" outlineLevel="0" collapsed="false">
      <c r="A50" s="13"/>
      <c r="B50" s="13"/>
      <c r="C50" s="51"/>
      <c r="D50" s="13"/>
      <c r="E50" s="52"/>
      <c r="F50" s="52"/>
      <c r="G50" s="52"/>
      <c r="H50" s="52"/>
      <c r="I50" s="52"/>
      <c r="J50" s="52"/>
      <c r="K50" s="53"/>
      <c r="L50" s="16"/>
      <c r="M50" s="17"/>
      <c r="N50" s="54"/>
      <c r="O50" s="53"/>
      <c r="P50" s="53"/>
      <c r="Q50" s="53"/>
      <c r="R50" s="55"/>
      <c r="S50" s="55"/>
      <c r="T50" s="55"/>
      <c r="U50" s="55"/>
      <c r="V50" s="55"/>
      <c r="W50" s="55"/>
      <c r="X50" s="55"/>
      <c r="Y50" s="55"/>
      <c r="Z50" s="55"/>
      <c r="AA50" s="55"/>
      <c r="AB50" s="56"/>
      <c r="AC50" s="57"/>
    </row>
    <row r="51" s="32" customFormat="true" ht="16.5" hidden="false" customHeight="true" outlineLevel="0" collapsed="false">
      <c r="A51" s="61" t="s">
        <v>61</v>
      </c>
      <c r="B51" s="61"/>
      <c r="C51" s="61"/>
      <c r="D51" s="61"/>
      <c r="E51" s="62"/>
      <c r="F51" s="62"/>
      <c r="G51" s="62"/>
      <c r="H51" s="62"/>
      <c r="I51" s="62"/>
      <c r="J51" s="62"/>
      <c r="K51" s="62"/>
      <c r="L51" s="62"/>
      <c r="M51" s="63"/>
      <c r="N51" s="63"/>
      <c r="O51" s="63"/>
      <c r="P51" s="63"/>
      <c r="Q51" s="63"/>
      <c r="R51" s="64" t="n">
        <f aca="false">SUM(R11:R50)</f>
        <v>0</v>
      </c>
      <c r="S51" s="64" t="n">
        <f aca="false">SUM(S11:S50)</f>
        <v>0</v>
      </c>
      <c r="T51" s="64"/>
      <c r="U51" s="65" t="n">
        <f aca="false">SUM(U11:U50)</f>
        <v>0</v>
      </c>
      <c r="V51" s="65" t="n">
        <f aca="false">SUM(V11:V50)</f>
        <v>0</v>
      </c>
      <c r="W51" s="66" t="n">
        <f aca="false">SUM(W11:W22)</f>
        <v>948.7829</v>
      </c>
      <c r="X51" s="65" t="n">
        <f aca="false">SUM(X11:X50)</f>
        <v>0</v>
      </c>
      <c r="Y51" s="65" t="n">
        <f aca="false">SUM(Y11:Y50)</f>
        <v>0</v>
      </c>
      <c r="Z51" s="65" t="n">
        <f aca="false">SUM(Z11:Z50)</f>
        <v>0</v>
      </c>
      <c r="AA51" s="65" t="n">
        <f aca="false">SUM(AA11:AA50)</f>
        <v>0</v>
      </c>
      <c r="AB51" s="65"/>
      <c r="AE51" s="93"/>
    </row>
    <row r="52" s="72" customFormat="true" ht="13.5" hidden="false" customHeight="true" outlineLevel="0" collapsed="false">
      <c r="A52" s="68"/>
      <c r="B52" s="68"/>
      <c r="C52" s="68"/>
      <c r="D52" s="68"/>
      <c r="E52" s="69"/>
      <c r="F52" s="69"/>
      <c r="G52" s="69"/>
      <c r="H52" s="69"/>
      <c r="I52" s="69"/>
      <c r="J52" s="69"/>
      <c r="K52" s="69"/>
      <c r="L52" s="69"/>
      <c r="M52" s="69"/>
      <c r="N52" s="69"/>
      <c r="O52" s="69"/>
      <c r="P52" s="69"/>
      <c r="Q52" s="69"/>
      <c r="R52" s="70"/>
      <c r="S52" s="70"/>
      <c r="T52" s="70"/>
      <c r="U52" s="71"/>
      <c r="V52" s="71"/>
      <c r="W52" s="71"/>
      <c r="X52" s="71"/>
      <c r="Y52" s="71"/>
      <c r="Z52" s="71"/>
      <c r="AA52" s="71"/>
      <c r="AB52" s="71"/>
    </row>
    <row r="53" s="72" customFormat="true" ht="15" hidden="false" customHeight="true" outlineLevel="0" collapsed="false">
      <c r="A53" s="19" t="s">
        <v>50</v>
      </c>
      <c r="B53" s="19"/>
      <c r="C53" s="19"/>
      <c r="D53" s="77" t="s">
        <v>62</v>
      </c>
      <c r="E53" s="19" t="s">
        <v>51</v>
      </c>
      <c r="F53" s="19"/>
      <c r="G53" s="19"/>
      <c r="H53" s="19"/>
      <c r="I53" s="19"/>
      <c r="J53" s="19"/>
      <c r="K53" s="19"/>
      <c r="L53" s="19"/>
      <c r="M53" s="19"/>
      <c r="N53" s="19"/>
      <c r="O53" s="19"/>
      <c r="P53" s="19"/>
      <c r="Q53" s="19"/>
      <c r="R53" s="19"/>
      <c r="S53" s="19"/>
      <c r="T53" s="19"/>
      <c r="U53" s="19"/>
      <c r="V53" s="19"/>
      <c r="W53" s="19"/>
      <c r="X53" s="19"/>
      <c r="Y53" s="19"/>
      <c r="Z53" s="19"/>
      <c r="AA53" s="19"/>
      <c r="AB53" s="19"/>
    </row>
    <row r="54" s="72" customFormat="true" ht="15" hidden="false" customHeight="true" outlineLevel="0" collapsed="false">
      <c r="A54" s="78"/>
      <c r="B54" s="78"/>
      <c r="C54" s="78"/>
      <c r="D54" s="79"/>
      <c r="E54" s="79"/>
      <c r="F54" s="79"/>
      <c r="G54" s="79"/>
      <c r="H54" s="79"/>
      <c r="I54" s="79"/>
      <c r="J54" s="79"/>
      <c r="K54" s="79"/>
      <c r="L54" s="79"/>
      <c r="M54" s="79"/>
      <c r="N54" s="79"/>
      <c r="O54" s="79"/>
      <c r="P54" s="79"/>
      <c r="Q54" s="79"/>
      <c r="R54" s="79"/>
      <c r="S54" s="79"/>
      <c r="T54" s="79"/>
      <c r="U54" s="79"/>
      <c r="V54" s="79"/>
      <c r="W54" s="79"/>
      <c r="X54" s="69"/>
      <c r="Y54" s="69"/>
      <c r="Z54" s="69"/>
      <c r="AA54" s="69"/>
      <c r="AB54" s="69"/>
    </row>
    <row r="55" s="72" customFormat="true" ht="15.75" hidden="false" customHeight="true" outlineLevel="0" collapsed="false">
      <c r="A55" s="78"/>
      <c r="B55" s="78"/>
      <c r="C55" s="81"/>
      <c r="D55" s="81"/>
      <c r="E55" s="79"/>
      <c r="F55" s="79"/>
      <c r="G55" s="79"/>
      <c r="H55" s="79"/>
      <c r="I55" s="79"/>
      <c r="J55" s="79"/>
      <c r="K55" s="79"/>
      <c r="L55" s="79"/>
      <c r="M55" s="79"/>
      <c r="N55" s="79"/>
      <c r="O55" s="79"/>
      <c r="P55" s="79"/>
      <c r="Q55" s="79"/>
      <c r="R55" s="79"/>
      <c r="S55" s="79"/>
      <c r="T55" s="79"/>
      <c r="U55" s="79"/>
      <c r="V55" s="79"/>
      <c r="W55" s="79"/>
      <c r="X55" s="69"/>
      <c r="Y55" s="69"/>
      <c r="Z55" s="69"/>
      <c r="AA55" s="69"/>
      <c r="AB55" s="69"/>
      <c r="AF55" s="75"/>
    </row>
    <row r="56" s="72" customFormat="true" ht="15" hidden="false" customHeight="true" outlineLevel="0" collapsed="false">
      <c r="A56" s="78"/>
      <c r="B56" s="78"/>
      <c r="C56" s="78"/>
      <c r="D56" s="79"/>
      <c r="E56" s="79"/>
      <c r="F56" s="79"/>
      <c r="G56" s="79"/>
      <c r="H56" s="79"/>
      <c r="I56" s="79"/>
      <c r="J56" s="79"/>
      <c r="K56" s="79"/>
      <c r="L56" s="79"/>
      <c r="M56" s="79"/>
      <c r="N56" s="79"/>
      <c r="O56" s="79"/>
      <c r="P56" s="79"/>
      <c r="Q56" s="79"/>
      <c r="R56" s="79"/>
      <c r="S56" s="79"/>
      <c r="T56" s="79"/>
      <c r="U56" s="79"/>
      <c r="V56" s="79"/>
      <c r="W56" s="79"/>
      <c r="X56" s="69"/>
      <c r="Y56" s="69"/>
      <c r="Z56" s="69"/>
      <c r="AA56" s="69"/>
      <c r="AB56" s="69"/>
    </row>
    <row r="57" s="72" customFormat="true" ht="15" hidden="false" customHeight="true" outlineLevel="0" collapsed="false">
      <c r="A57" s="78"/>
      <c r="B57" s="78"/>
      <c r="C57" s="78"/>
      <c r="D57" s="79"/>
      <c r="E57" s="79"/>
      <c r="F57" s="79"/>
      <c r="G57" s="79"/>
      <c r="H57" s="79"/>
      <c r="I57" s="79"/>
      <c r="J57" s="79"/>
      <c r="K57" s="79"/>
      <c r="L57" s="79"/>
      <c r="M57" s="79"/>
      <c r="N57" s="79"/>
      <c r="O57" s="79"/>
      <c r="P57" s="79"/>
      <c r="Q57" s="79"/>
      <c r="R57" s="79"/>
      <c r="S57" s="79"/>
      <c r="T57" s="79"/>
      <c r="U57" s="79"/>
      <c r="V57" s="79"/>
      <c r="W57" s="79"/>
      <c r="X57" s="69"/>
      <c r="Y57" s="69"/>
      <c r="Z57" s="69"/>
      <c r="AA57" s="69"/>
      <c r="AB57" s="69"/>
    </row>
    <row r="58" s="72" customFormat="true" ht="15" hidden="false" customHeight="true" outlineLevel="0" collapsed="false">
      <c r="A58" s="78"/>
      <c r="B58" s="78"/>
      <c r="C58" s="78"/>
      <c r="D58" s="79"/>
      <c r="E58" s="79"/>
      <c r="F58" s="79"/>
      <c r="G58" s="79"/>
      <c r="H58" s="79"/>
      <c r="I58" s="79"/>
      <c r="J58" s="79"/>
      <c r="K58" s="79"/>
      <c r="L58" s="79"/>
      <c r="M58" s="79"/>
      <c r="N58" s="79"/>
      <c r="O58" s="79"/>
      <c r="P58" s="79"/>
      <c r="Q58" s="79"/>
      <c r="R58" s="79"/>
      <c r="S58" s="79"/>
      <c r="T58" s="79"/>
      <c r="U58" s="79"/>
      <c r="V58" s="79"/>
      <c r="W58" s="79"/>
      <c r="X58" s="69"/>
      <c r="Y58" s="69"/>
      <c r="Z58" s="69"/>
      <c r="AA58" s="69"/>
      <c r="AB58" s="69"/>
    </row>
    <row r="59" s="72" customFormat="true" ht="15" hidden="false" customHeight="true" outlineLevel="0" collapsed="false">
      <c r="A59" s="19" t="s">
        <v>52</v>
      </c>
      <c r="B59" s="19"/>
      <c r="C59" s="19"/>
      <c r="D59" s="20"/>
      <c r="E59" s="20"/>
      <c r="F59" s="20"/>
      <c r="G59" s="20"/>
      <c r="H59" s="20"/>
      <c r="I59" s="20"/>
      <c r="J59" s="20"/>
      <c r="K59" s="20"/>
      <c r="L59" s="20"/>
      <c r="M59" s="19" t="s">
        <v>53</v>
      </c>
      <c r="N59" s="19"/>
      <c r="O59" s="19"/>
      <c r="P59" s="19"/>
      <c r="Q59" s="19"/>
      <c r="R59" s="19"/>
      <c r="S59" s="19"/>
      <c r="T59" s="19"/>
      <c r="U59" s="19"/>
      <c r="V59" s="19"/>
      <c r="W59" s="19"/>
      <c r="X59" s="19"/>
      <c r="Y59" s="19"/>
      <c r="Z59" s="19"/>
      <c r="AA59" s="19"/>
      <c r="AB59" s="19"/>
    </row>
    <row r="60" customFormat="false" ht="15" hidden="false" customHeight="true" outlineLevel="0" collapsed="false">
      <c r="A60" s="84"/>
      <c r="B60" s="84"/>
      <c r="C60" s="84"/>
      <c r="D60" s="84"/>
      <c r="E60" s="84"/>
      <c r="F60" s="84"/>
      <c r="G60" s="84"/>
      <c r="H60" s="84"/>
      <c r="I60" s="84"/>
      <c r="J60" s="84"/>
      <c r="K60" s="84"/>
      <c r="L60" s="84"/>
      <c r="M60" s="84"/>
      <c r="N60" s="84"/>
      <c r="O60" s="84"/>
      <c r="P60" s="84"/>
      <c r="Q60" s="84"/>
      <c r="R60" s="84"/>
      <c r="S60" s="84"/>
      <c r="T60" s="84"/>
      <c r="U60" s="84"/>
      <c r="V60" s="84"/>
      <c r="W60" s="84"/>
      <c r="X60" s="84"/>
      <c r="Y60" s="84"/>
      <c r="Z60" s="84"/>
      <c r="AA60" s="84"/>
      <c r="AB60" s="84"/>
      <c r="AC60" s="85"/>
    </row>
    <row r="61" customFormat="false" ht="15" hidden="false" customHeight="true" outlineLevel="0" collapsed="false">
      <c r="A61" s="84"/>
      <c r="B61" s="84"/>
      <c r="C61" s="84"/>
      <c r="D61" s="84"/>
      <c r="E61" s="84"/>
      <c r="F61" s="84"/>
      <c r="G61" s="84"/>
      <c r="H61" s="84"/>
      <c r="I61" s="84"/>
      <c r="J61" s="84"/>
      <c r="K61" s="84"/>
      <c r="L61" s="84"/>
      <c r="M61" s="84"/>
      <c r="N61" s="84"/>
      <c r="O61" s="84"/>
      <c r="P61" s="84"/>
      <c r="Q61" s="84"/>
      <c r="R61" s="84"/>
      <c r="S61" s="84"/>
      <c r="T61" s="84"/>
      <c r="U61" s="84"/>
      <c r="V61" s="84"/>
      <c r="W61" s="84"/>
      <c r="X61" s="84"/>
      <c r="Y61" s="84"/>
      <c r="Z61" s="84"/>
      <c r="AA61" s="84"/>
      <c r="AB61" s="84"/>
      <c r="AC61" s="85"/>
    </row>
    <row r="62" customFormat="false" ht="12.75" hidden="false" customHeight="false" outlineLevel="0" collapsed="false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customFormat="false" ht="12.75" hidden="false" customHeight="false" outlineLevel="0" collapsed="false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customFormat="false" ht="12.75" hidden="false" customHeight="false" outlineLevel="0" collapsed="false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customFormat="false" ht="12.75" hidden="false" customHeight="false" outlineLevel="0" collapsed="false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customFormat="false" ht="12.75" hidden="false" customHeight="false" outlineLevel="0" collapsed="false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customFormat="false" ht="12.75" hidden="false" customHeight="false" outlineLevel="0" collapsed="false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customFormat="false" ht="12.75" hidden="false" customHeight="false" outlineLevel="0" collapsed="false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customFormat="false" ht="12.75" hidden="false" customHeight="false" outlineLevel="0" collapsed="false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customFormat="false" ht="12.75" hidden="false" customHeight="false" outlineLevel="0" collapsed="false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customFormat="false" ht="12.75" hidden="false" customHeight="false" outlineLevel="0" collapsed="false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customFormat="false" ht="12.75" hidden="false" customHeight="false" outlineLevel="0" collapsed="false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customFormat="false" ht="12.75" hidden="false" customHeight="false" outlineLevel="0" collapsed="false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customFormat="false" ht="12.75" hidden="false" customHeight="false" outlineLevel="0" collapsed="false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customFormat="false" ht="12.75" hidden="false" customHeight="false" outlineLevel="0" collapsed="false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customFormat="false" ht="12.75" hidden="false" customHeight="false" outlineLevel="0" collapsed="false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customFormat="false" ht="12.75" hidden="false" customHeight="false" outlineLevel="0" collapsed="false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customFormat="false" ht="12.75" hidden="false" customHeight="false" outlineLevel="0" collapsed="false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customFormat="false" ht="12.75" hidden="false" customHeight="false" outlineLevel="0" collapsed="false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customFormat="false" ht="12.75" hidden="false" customHeight="false" outlineLevel="0" collapsed="false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customFormat="false" ht="12.75" hidden="false" customHeight="false" outlineLevel="0" collapsed="false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customFormat="false" ht="12.75" hidden="false" customHeight="false" outlineLevel="0" collapsed="false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customFormat="false" ht="12.75" hidden="false" customHeight="false" outlineLevel="0" collapsed="false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customFormat="false" ht="12.75" hidden="false" customHeight="false" outlineLevel="0" collapsed="false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customFormat="false" ht="12.75" hidden="false" customHeight="false" outlineLevel="0" collapsed="false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customFormat="false" ht="12.75" hidden="false" customHeight="false" outlineLevel="0" collapsed="false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customFormat="false" ht="12.75" hidden="false" customHeight="false" outlineLevel="0" collapsed="false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customFormat="false" ht="12.75" hidden="false" customHeight="false" outlineLevel="0" collapsed="false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customFormat="false" ht="12.75" hidden="false" customHeight="false" outlineLevel="0" collapsed="false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customFormat="false" ht="12.75" hidden="false" customHeight="false" outlineLevel="0" collapsed="false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customFormat="false" ht="12.75" hidden="false" customHeight="false" outlineLevel="0" collapsed="false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customFormat="false" ht="12.75" hidden="false" customHeight="false" outlineLevel="0" collapsed="false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customFormat="false" ht="12.75" hidden="false" customHeight="false" outlineLevel="0" collapsed="false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customFormat="false" ht="12.75" hidden="false" customHeight="false" outlineLevel="0" collapsed="false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customFormat="false" ht="12.75" hidden="false" customHeight="false" outlineLevel="0" collapsed="false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customFormat="false" ht="12.75" hidden="false" customHeight="false" outlineLevel="0" collapsed="false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customFormat="false" ht="12.75" hidden="false" customHeight="false" outlineLevel="0" collapsed="false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customFormat="false" ht="12.75" hidden="false" customHeight="false" outlineLevel="0" collapsed="false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customFormat="false" ht="12.75" hidden="false" customHeight="false" outlineLevel="0" collapsed="false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customFormat="false" ht="12.75" hidden="false" customHeight="false" outlineLevel="0" collapsed="false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customFormat="false" ht="12.75" hidden="false" customHeight="false" outlineLevel="0" collapsed="false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customFormat="false" ht="12.75" hidden="false" customHeight="false" outlineLevel="0" collapsed="false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customFormat="false" ht="12.75" hidden="false" customHeight="false" outlineLevel="0" collapsed="false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customFormat="false" ht="12.75" hidden="false" customHeight="false" outlineLevel="0" collapsed="false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customFormat="false" ht="12.75" hidden="false" customHeight="false" outlineLevel="0" collapsed="false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customFormat="false" ht="12.75" hidden="false" customHeight="false" outlineLevel="0" collapsed="false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customFormat="false" ht="12.75" hidden="false" customHeight="false" outlineLevel="0" collapsed="false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customFormat="false" ht="12.75" hidden="false" customHeight="false" outlineLevel="0" collapsed="false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s="23" customFormat="true" ht="12.75" hidden="false" customHeight="false" outlineLevel="0" collapsed="false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  <c r="AD109" s="22"/>
      <c r="AE109" s="22"/>
      <c r="AF109" s="22"/>
      <c r="AG109" s="22"/>
    </row>
    <row r="110" s="23" customFormat="true" ht="12.75" hidden="false" customHeight="false" outlineLevel="0" collapsed="false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  <c r="AD110" s="22"/>
      <c r="AE110" s="22"/>
      <c r="AF110" s="22"/>
      <c r="AG110" s="22"/>
    </row>
    <row r="111" s="23" customFormat="true" ht="12.75" hidden="false" customHeight="false" outlineLevel="0" collapsed="false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  <c r="AD111" s="22"/>
      <c r="AE111" s="22"/>
      <c r="AF111" s="22"/>
      <c r="AG111" s="22"/>
    </row>
    <row r="112" s="23" customFormat="true" ht="12.75" hidden="false" customHeight="false" outlineLevel="0" collapsed="false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  <c r="AD112" s="22"/>
      <c r="AE112" s="22"/>
      <c r="AF112" s="22"/>
      <c r="AG112" s="22"/>
    </row>
    <row r="113" s="23" customFormat="true" ht="12.75" hidden="false" customHeight="false" outlineLevel="0" collapsed="false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  <c r="AD113" s="22"/>
      <c r="AE113" s="22"/>
      <c r="AF113" s="22"/>
      <c r="AG113" s="22"/>
    </row>
    <row r="114" s="23" customFormat="true" ht="12.75" hidden="false" customHeight="false" outlineLevel="0" collapsed="false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  <c r="AD114" s="22"/>
      <c r="AE114" s="22"/>
      <c r="AF114" s="22"/>
      <c r="AG114" s="22"/>
    </row>
    <row r="115" s="23" customFormat="true" ht="12.75" hidden="false" customHeight="false" outlineLevel="0" collapsed="false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  <c r="AD115" s="22"/>
      <c r="AE115" s="22"/>
      <c r="AF115" s="22"/>
      <c r="AG115" s="22"/>
    </row>
    <row r="116" s="23" customFormat="true" ht="12.75" hidden="false" customHeight="false" outlineLevel="0" collapsed="false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  <c r="AD116" s="22"/>
      <c r="AE116" s="22"/>
      <c r="AF116" s="22"/>
      <c r="AG116" s="22"/>
    </row>
    <row r="117" s="23" customFormat="true" ht="12.75" hidden="false" customHeight="false" outlineLevel="0" collapsed="false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  <c r="AD117" s="22"/>
      <c r="AE117" s="22"/>
      <c r="AF117" s="22"/>
      <c r="AG117" s="22"/>
    </row>
    <row r="118" s="23" customFormat="true" ht="12.75" hidden="false" customHeight="false" outlineLevel="0" collapsed="false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  <c r="AD118" s="22"/>
      <c r="AE118" s="22"/>
      <c r="AF118" s="22"/>
      <c r="AG118" s="22"/>
    </row>
    <row r="119" s="23" customFormat="true" ht="12.75" hidden="false" customHeight="false" outlineLevel="0" collapsed="false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  <c r="AD119" s="22"/>
      <c r="AE119" s="22"/>
      <c r="AF119" s="22"/>
      <c r="AG119" s="22"/>
    </row>
    <row r="120" s="23" customFormat="true" ht="12.75" hidden="false" customHeight="false" outlineLevel="0" collapsed="false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  <c r="AD120" s="22"/>
      <c r="AE120" s="22"/>
      <c r="AF120" s="22"/>
      <c r="AG120" s="22"/>
    </row>
    <row r="121" s="23" customFormat="true" ht="12.75" hidden="false" customHeight="false" outlineLevel="0" collapsed="false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  <c r="AD121" s="22"/>
      <c r="AE121" s="22"/>
      <c r="AF121" s="22"/>
      <c r="AG121" s="22"/>
    </row>
    <row r="122" s="23" customFormat="true" ht="12.75" hidden="false" customHeight="false" outlineLevel="0" collapsed="false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  <c r="AD122" s="22"/>
      <c r="AE122" s="22"/>
      <c r="AF122" s="22"/>
      <c r="AG122" s="22"/>
    </row>
    <row r="123" s="23" customFormat="true" ht="12.75" hidden="false" customHeight="false" outlineLevel="0" collapsed="false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  <c r="AD123" s="22"/>
      <c r="AE123" s="22"/>
      <c r="AF123" s="22"/>
      <c r="AG123" s="22"/>
    </row>
    <row r="124" s="23" customFormat="true" ht="12.75" hidden="false" customHeight="false" outlineLevel="0" collapsed="false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  <c r="AD124" s="22"/>
      <c r="AE124" s="22"/>
      <c r="AF124" s="22"/>
      <c r="AG124" s="22"/>
    </row>
    <row r="125" s="23" customFormat="true" ht="12.75" hidden="false" customHeight="false" outlineLevel="0" collapsed="false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  <c r="AD125" s="22"/>
      <c r="AE125" s="22"/>
      <c r="AF125" s="22"/>
      <c r="AG125" s="22"/>
    </row>
    <row r="126" s="23" customFormat="true" ht="12.75" hidden="false" customHeight="false" outlineLevel="0" collapsed="false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  <c r="AD126" s="22"/>
      <c r="AE126" s="22"/>
      <c r="AF126" s="22"/>
      <c r="AG126" s="22"/>
    </row>
    <row r="127" s="23" customFormat="true" ht="12.75" hidden="false" customHeight="false" outlineLevel="0" collapsed="false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  <c r="AD127" s="22"/>
      <c r="AE127" s="22"/>
      <c r="AF127" s="22"/>
      <c r="AG127" s="22"/>
    </row>
    <row r="128" s="23" customFormat="true" ht="12.75" hidden="false" customHeight="false" outlineLevel="0" collapsed="false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  <c r="AD128" s="22"/>
      <c r="AE128" s="22"/>
      <c r="AF128" s="22"/>
      <c r="AG128" s="22"/>
    </row>
    <row r="129" s="23" customFormat="true" ht="12.75" hidden="false" customHeight="false" outlineLevel="0" collapsed="false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  <c r="AD129" s="22"/>
      <c r="AE129" s="22"/>
      <c r="AF129" s="22"/>
      <c r="AG129" s="22"/>
    </row>
    <row r="130" s="23" customFormat="true" ht="12.75" hidden="false" customHeight="false" outlineLevel="0" collapsed="false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  <c r="AD130" s="22"/>
      <c r="AE130" s="22"/>
      <c r="AF130" s="22"/>
      <c r="AG130" s="22"/>
    </row>
    <row r="131" s="23" customFormat="true" ht="12.75" hidden="false" customHeight="false" outlineLevel="0" collapsed="false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  <c r="AD131" s="22"/>
      <c r="AE131" s="22"/>
      <c r="AF131" s="22"/>
      <c r="AG131" s="22"/>
    </row>
    <row r="132" s="23" customFormat="true" ht="12.75" hidden="false" customHeight="false" outlineLevel="0" collapsed="false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  <c r="AD132" s="22"/>
      <c r="AE132" s="22"/>
      <c r="AF132" s="22"/>
      <c r="AG132" s="22"/>
    </row>
    <row r="133" s="23" customFormat="true" ht="12.75" hidden="false" customHeight="false" outlineLevel="0" collapsed="false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  <c r="AD133" s="22"/>
      <c r="AE133" s="22"/>
      <c r="AF133" s="22"/>
      <c r="AG133" s="22"/>
    </row>
    <row r="134" s="23" customFormat="true" ht="12.75" hidden="false" customHeight="false" outlineLevel="0" collapsed="false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  <c r="AD134" s="22"/>
      <c r="AE134" s="22"/>
      <c r="AF134" s="22"/>
      <c r="AG134" s="22"/>
    </row>
    <row r="135" s="23" customFormat="true" ht="12.75" hidden="false" customHeight="false" outlineLevel="0" collapsed="false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  <c r="AD135" s="22"/>
      <c r="AE135" s="22"/>
      <c r="AF135" s="22"/>
      <c r="AG135" s="22"/>
    </row>
    <row r="136" s="23" customFormat="true" ht="12.75" hidden="false" customHeight="false" outlineLevel="0" collapsed="false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  <c r="AD136" s="22"/>
      <c r="AE136" s="22"/>
      <c r="AF136" s="22"/>
      <c r="AG136" s="22"/>
    </row>
  </sheetData>
  <mergeCells count="19">
    <mergeCell ref="A1:AB1"/>
    <mergeCell ref="A2:AB2"/>
    <mergeCell ref="A3:AB3"/>
    <mergeCell ref="A4:AB4"/>
    <mergeCell ref="A5:AB5"/>
    <mergeCell ref="A6:AB6"/>
    <mergeCell ref="D7:AB7"/>
    <mergeCell ref="A8:AB8"/>
    <mergeCell ref="A9:A10"/>
    <mergeCell ref="B9:B10"/>
    <mergeCell ref="C9:C10"/>
    <mergeCell ref="D9:D10"/>
    <mergeCell ref="M9:Y9"/>
    <mergeCell ref="AB9:AB10"/>
    <mergeCell ref="A51:D51"/>
    <mergeCell ref="A53:C53"/>
    <mergeCell ref="E53:AB53"/>
    <mergeCell ref="A59:C59"/>
    <mergeCell ref="M59:AB59"/>
  </mergeCells>
  <printOptions headings="false" gridLines="false" gridLinesSet="true" horizontalCentered="false" verticalCentered="false"/>
  <pageMargins left="0.7" right="0.159722222222222" top="0.609722222222222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X68"/>
  <sheetViews>
    <sheetView showFormulas="false" showGridLines="true" showRowColHeaders="true" showZeros="true" rightToLeft="false" tabSelected="false" showOutlineSymbols="true" defaultGridColor="true" view="normal" topLeftCell="A16" colorId="64" zoomScale="85" zoomScaleNormal="85" zoomScalePageLayoutView="100" workbookViewId="0">
      <selection pane="topLeft" activeCell="V64" activeCellId="0" sqref="V64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6.43"/>
    <col collapsed="false" customWidth="true" hidden="false" outlineLevel="0" max="2" min="2" style="1" width="7.29"/>
    <col collapsed="false" customWidth="true" hidden="false" outlineLevel="0" max="3" min="3" style="1" width="17"/>
    <col collapsed="false" customWidth="true" hidden="true" outlineLevel="0" max="4" min="4" style="1" width="8.29"/>
    <col collapsed="false" customWidth="false" hidden="true" outlineLevel="0" max="5" min="5" style="1" width="8.71"/>
    <col collapsed="false" customWidth="true" hidden="true" outlineLevel="0" max="6" min="6" style="1" width="9.14"/>
    <col collapsed="false" customWidth="true" hidden="false" outlineLevel="0" max="12" min="7" style="1" width="10.85"/>
    <col collapsed="false" customWidth="true" hidden="true" outlineLevel="0" max="15" min="13" style="1" width="8.57"/>
    <col collapsed="false" customWidth="true" hidden="false" outlineLevel="0" max="18" min="16" style="1" width="10.85"/>
    <col collapsed="false" customWidth="true" hidden="false" outlineLevel="0" max="19" min="19" style="1" width="7"/>
  </cols>
  <sheetData>
    <row r="1" customFormat="false" ht="20.25" hidden="false" customHeight="true" outlineLevel="0" collapsed="false">
      <c r="A1" s="3" t="s">
        <v>28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3"/>
      <c r="T1" s="26"/>
      <c r="U1" s="26"/>
      <c r="V1" s="4"/>
      <c r="W1" s="4"/>
    </row>
    <row r="2" customFormat="false" ht="18.75" hidden="false" customHeight="true" outlineLevel="0" collapsed="false">
      <c r="A2" s="5" t="str">
        <f>"Kèm theo BBNT số: "&amp;VLOOKUP(AZ2,'[1]Tuyến XD8'!$A$2:$G$60,7,0)&amp;VLOOKUP(AZ2,'[1]Tuyến XD8'!$A$2:$G$60,4,0)</f>
        <v xml:space="preserve">Kèm theo BBNT số: 69.NĐXD8/CVXD ngày 19 tháng 09 năm 2026</v>
      </c>
      <c r="B2" s="5"/>
      <c r="C2" s="5"/>
      <c r="D2" s="5"/>
      <c r="E2" s="5"/>
      <c r="F2" s="5"/>
      <c r="G2" s="5"/>
      <c r="H2" s="5"/>
      <c r="I2" s="5"/>
      <c r="J2" s="5"/>
      <c r="K2" s="5"/>
      <c r="L2" s="5"/>
      <c r="M2" s="5"/>
      <c r="N2" s="5"/>
      <c r="O2" s="5"/>
      <c r="P2" s="5"/>
      <c r="Q2" s="5"/>
      <c r="R2" s="5"/>
      <c r="S2" s="5"/>
      <c r="U2" s="6"/>
      <c r="V2" s="6"/>
      <c r="W2" s="6"/>
      <c r="AZ2">
        <v>69</v>
      </c>
    </row>
    <row r="3" customFormat="false" ht="18.75" hidden="false" customHeight="true" outlineLevel="0" collapsed="false">
      <c r="A3" s="7" t="str">
        <f aca="false">'1.KTHH L1'!A3</f>
        <v>Dự án: Xây dựng HTKT Khu tái định cư phục vụ di dân xã Hải Hà, thị xã Nghi Sơn, tỉnh Thanh Hóa.</v>
      </c>
      <c r="C3" s="7"/>
      <c r="D3" s="7"/>
      <c r="E3" s="7"/>
      <c r="F3" s="7"/>
      <c r="G3" s="7"/>
      <c r="H3" s="7"/>
      <c r="I3" s="7"/>
      <c r="J3" s="7"/>
      <c r="K3" s="7"/>
      <c r="L3" s="7"/>
      <c r="M3" s="7"/>
      <c r="N3" s="7"/>
      <c r="O3" s="7"/>
      <c r="P3" s="7"/>
      <c r="Q3" s="7"/>
      <c r="R3" s="7"/>
      <c r="S3" s="7"/>
      <c r="T3" s="7"/>
      <c r="U3" s="7"/>
      <c r="V3" s="7"/>
      <c r="W3" s="7"/>
    </row>
    <row r="4" customFormat="false" ht="18.75" hidden="false" customHeight="true" outlineLevel="0" collapsed="false">
      <c r="A4" s="7" t="str">
        <f aca="false">'1.KTHH L1'!A4</f>
        <v>Gói thầu số 12: Xây dựng HTKT khu vực Hải Bình và Xuân Lâm (bao gồm cả bảo hiểm xây dựng công trình)</v>
      </c>
      <c r="C4" s="7"/>
      <c r="D4" s="7"/>
      <c r="E4" s="7"/>
      <c r="F4" s="7"/>
      <c r="G4" s="7"/>
      <c r="H4" s="7"/>
      <c r="I4" s="7"/>
      <c r="J4" s="7"/>
      <c r="K4" s="7"/>
      <c r="L4" s="7"/>
      <c r="M4" s="7"/>
      <c r="N4" s="7"/>
      <c r="O4" s="7"/>
      <c r="P4" s="7"/>
      <c r="Q4" s="7"/>
      <c r="R4" s="7"/>
      <c r="S4" s="7"/>
      <c r="T4" s="7"/>
      <c r="U4" s="7"/>
      <c r="V4" s="7"/>
      <c r="W4" s="7"/>
    </row>
    <row r="5" customFormat="false" ht="18.75" hidden="false" customHeight="true" outlineLevel="0" collapsed="false">
      <c r="A5" s="7" t="str">
        <f aca="false">'1.KTHH L1'!A5</f>
        <v>Nhà thầu thi công: Công ty TNHH Hoàng Tuấn</v>
      </c>
      <c r="C5" s="7"/>
      <c r="D5" s="7"/>
      <c r="E5" s="7"/>
      <c r="F5" s="7"/>
      <c r="G5" s="7"/>
      <c r="H5" s="7"/>
      <c r="I5" s="7"/>
      <c r="J5" s="7"/>
      <c r="K5" s="7"/>
      <c r="L5" s="7"/>
      <c r="M5" s="7"/>
      <c r="N5" s="7"/>
      <c r="O5" s="7"/>
      <c r="P5" s="7"/>
      <c r="Q5" s="7"/>
      <c r="R5" s="7"/>
      <c r="S5" s="7"/>
      <c r="T5" s="7"/>
      <c r="U5" s="7"/>
      <c r="V5" s="7"/>
      <c r="W5" s="7"/>
    </row>
    <row r="6" customFormat="false" ht="18.75" hidden="false" customHeight="true" outlineLevel="0" collapsed="false">
      <c r="A6" s="7" t="s">
        <v>33</v>
      </c>
      <c r="C6" s="7"/>
      <c r="D6" s="7"/>
      <c r="E6" s="7"/>
      <c r="F6" s="7"/>
      <c r="G6" s="7"/>
      <c r="H6" s="7"/>
      <c r="I6" s="7"/>
      <c r="J6" s="7"/>
      <c r="K6" s="7"/>
      <c r="L6" s="7"/>
      <c r="M6" s="7"/>
      <c r="N6" s="7"/>
      <c r="O6" s="7"/>
      <c r="P6" s="7"/>
      <c r="Q6" s="7"/>
      <c r="R6" s="7"/>
      <c r="S6" s="7"/>
      <c r="T6" s="7"/>
      <c r="U6" s="7"/>
      <c r="V6" s="7"/>
      <c r="W6" s="7"/>
    </row>
    <row r="7" customFormat="false" ht="18.75" hidden="false" customHeight="true" outlineLevel="0" collapsed="false">
      <c r="A7" s="8" t="s">
        <v>34</v>
      </c>
      <c r="C7" s="7"/>
      <c r="D7" s="7"/>
      <c r="F7" s="7"/>
      <c r="G7" s="7" t="str">
        <f>VLOOKUP(AZ2,'[1]Tuyến XD8'!$A$2:$B$60,2,0)</f>
        <v xml:space="preserve">Đắp đất nền đường lớp 6 đoạn từ Km0+489,19 - Km0+609,11, độ chặt K&gt;=0,95</v>
      </c>
      <c r="I7" s="7"/>
      <c r="J7" s="7"/>
      <c r="K7" s="7"/>
      <c r="L7" s="7"/>
      <c r="M7" s="7"/>
      <c r="N7" s="7"/>
      <c r="O7" s="7"/>
      <c r="P7" s="7"/>
      <c r="Q7" s="7"/>
      <c r="R7" s="7"/>
      <c r="S7" s="7"/>
      <c r="T7" s="7"/>
      <c r="U7" s="7"/>
      <c r="V7" s="7"/>
      <c r="W7" s="7"/>
    </row>
    <row r="8" customFormat="false" ht="18.75" hidden="false" customHeight="true" outlineLevel="0" collapsed="false">
      <c r="A8" s="8" t="s">
        <v>36</v>
      </c>
      <c r="C8" s="7"/>
      <c r="D8" s="7"/>
      <c r="E8" s="7"/>
      <c r="F8" s="7"/>
      <c r="G8" s="7"/>
      <c r="H8" s="7"/>
      <c r="I8" s="7"/>
      <c r="J8" s="7"/>
      <c r="K8" s="7"/>
      <c r="L8" s="7"/>
      <c r="M8" s="7"/>
      <c r="N8" s="7"/>
      <c r="O8" s="7"/>
      <c r="P8" s="7"/>
      <c r="Q8" s="7"/>
      <c r="R8" s="7"/>
      <c r="S8" s="7"/>
      <c r="T8" s="7"/>
      <c r="U8" s="7"/>
      <c r="V8" s="7"/>
      <c r="W8" s="7"/>
    </row>
    <row r="20" customFormat="false" ht="17.25" hidden="false" customHeight="true" outlineLevel="0" collapsed="false">
      <c r="A20" s="9" t="s">
        <v>37</v>
      </c>
      <c r="B20" s="9" t="s">
        <v>38</v>
      </c>
      <c r="C20" s="9" t="s">
        <v>39</v>
      </c>
      <c r="D20" s="10" t="s">
        <v>40</v>
      </c>
      <c r="E20" s="10"/>
      <c r="F20" s="10"/>
      <c r="G20" s="10"/>
      <c r="H20" s="10"/>
      <c r="I20" s="10"/>
      <c r="J20" s="10" t="s">
        <v>41</v>
      </c>
      <c r="K20" s="10"/>
      <c r="L20" s="10"/>
      <c r="M20" s="10" t="s">
        <v>42</v>
      </c>
      <c r="N20" s="10"/>
      <c r="O20" s="10"/>
      <c r="P20" s="10"/>
      <c r="Q20" s="10"/>
      <c r="R20" s="10"/>
      <c r="S20" s="9" t="s">
        <v>43</v>
      </c>
    </row>
    <row r="21" customFormat="false" ht="30" hidden="false" customHeight="true" outlineLevel="0" collapsed="false">
      <c r="A21" s="9"/>
      <c r="B21" s="9"/>
      <c r="C21" s="9"/>
      <c r="D21" s="11" t="s">
        <v>44</v>
      </c>
      <c r="E21" s="11" t="s">
        <v>45</v>
      </c>
      <c r="F21" s="11" t="s">
        <v>46</v>
      </c>
      <c r="G21" s="11" t="s">
        <v>47</v>
      </c>
      <c r="H21" s="11" t="s">
        <v>48</v>
      </c>
      <c r="I21" s="11" t="s">
        <v>49</v>
      </c>
      <c r="J21" s="11" t="s">
        <v>47</v>
      </c>
      <c r="K21" s="11" t="s">
        <v>48</v>
      </c>
      <c r="L21" s="11" t="s">
        <v>49</v>
      </c>
      <c r="M21" s="11" t="s">
        <v>44</v>
      </c>
      <c r="N21" s="11" t="s">
        <v>45</v>
      </c>
      <c r="O21" s="11" t="s">
        <v>46</v>
      </c>
      <c r="P21" s="11" t="s">
        <v>47</v>
      </c>
      <c r="Q21" s="11" t="s">
        <v>48</v>
      </c>
      <c r="R21" s="11" t="s">
        <v>49</v>
      </c>
      <c r="S21" s="9"/>
      <c r="T21" s="86"/>
      <c r="W21" s="111"/>
    </row>
    <row r="22" customFormat="false" ht="15" hidden="false" customHeight="false" outlineLevel="0" collapsed="false">
      <c r="A22" s="13" t="n">
        <v>1</v>
      </c>
      <c r="B22" s="13" t="s">
        <v>17</v>
      </c>
      <c r="C22" s="15" t="n">
        <v>489.19</v>
      </c>
      <c r="D22" s="16" t="n">
        <f aca="false">+Chạy!F4</f>
        <v>-12.85</v>
      </c>
      <c r="E22" s="16" t="n">
        <f aca="false">+D22+F22</f>
        <v>-12.8407</v>
      </c>
      <c r="F22" s="16" t="n">
        <f aca="false">RANDBETWEEN(-105,115)/10000</f>
        <v>0.0093</v>
      </c>
      <c r="G22" s="16" t="n">
        <f aca="false">+Chạy!G4</f>
        <v>1.27</v>
      </c>
      <c r="H22" s="16" t="n">
        <f aca="false">G22+I22</f>
        <v>1.331</v>
      </c>
      <c r="I22" s="16" t="n">
        <f aca="false">RANDBETWEEN(-30,90)/1000</f>
        <v>0.061</v>
      </c>
      <c r="J22" s="16" t="n">
        <f aca="false">+Chạy!K4</f>
        <v>1.39</v>
      </c>
      <c r="K22" s="16" t="n">
        <f aca="false">J22+L22</f>
        <v>1.444</v>
      </c>
      <c r="L22" s="16" t="n">
        <f aca="false">RANDBETWEEN(-30,90)/1000</f>
        <v>0.054</v>
      </c>
      <c r="M22" s="16" t="n">
        <f aca="false">+Chạy!N4</f>
        <v>12.85</v>
      </c>
      <c r="N22" s="16" t="n">
        <f aca="false">+M22+O22</f>
        <v>12.8539</v>
      </c>
      <c r="O22" s="16" t="n">
        <f aca="false">RANDBETWEEN(-105,115)/10000</f>
        <v>0.0039</v>
      </c>
      <c r="P22" s="16" t="n">
        <f aca="false">+Chạy!O4</f>
        <v>1.27</v>
      </c>
      <c r="Q22" s="16" t="n">
        <f aca="false">P22+R22</f>
        <v>1.301</v>
      </c>
      <c r="R22" s="16" t="n">
        <f aca="false">RANDBETWEEN(-30,90)/1000</f>
        <v>0.031</v>
      </c>
      <c r="S22" s="17"/>
      <c r="T22" s="0" t="n">
        <v>13.17</v>
      </c>
      <c r="W22" s="102"/>
      <c r="X22" s="102"/>
    </row>
    <row r="23" customFormat="false" ht="15" hidden="false" customHeight="false" outlineLevel="0" collapsed="false">
      <c r="A23" s="13" t="n">
        <v>2</v>
      </c>
      <c r="B23" s="13" t="s">
        <v>18</v>
      </c>
      <c r="C23" s="15" t="n">
        <f aca="false">+C22+T22</f>
        <v>502.36</v>
      </c>
      <c r="D23" s="16" t="n">
        <f aca="false">+Chạy!F12</f>
        <v>-12.85</v>
      </c>
      <c r="E23" s="16" t="n">
        <f aca="false">+D23+F23</f>
        <v>-12.8436</v>
      </c>
      <c r="F23" s="16" t="n">
        <f aca="false">RANDBETWEEN(-105,115)/10000</f>
        <v>0.0064</v>
      </c>
      <c r="G23" s="16" t="n">
        <f aca="false">+Chạy!G12</f>
        <v>1.26</v>
      </c>
      <c r="H23" s="16" t="n">
        <f aca="false">G23+I23</f>
        <v>1.327</v>
      </c>
      <c r="I23" s="16" t="n">
        <f aca="false">RANDBETWEEN(-30,90)/1000</f>
        <v>0.067</v>
      </c>
      <c r="J23" s="16" t="n">
        <f aca="false">+Chạy!K12</f>
        <v>1.38</v>
      </c>
      <c r="K23" s="16" t="n">
        <f aca="false">J23+L23</f>
        <v>1.391</v>
      </c>
      <c r="L23" s="16" t="n">
        <f aca="false">RANDBETWEEN(-30,90)/1000</f>
        <v>0.011</v>
      </c>
      <c r="M23" s="16" t="n">
        <f aca="false">+Chạy!N12</f>
        <v>12.85</v>
      </c>
      <c r="N23" s="16" t="n">
        <f aca="false">+M23+O23</f>
        <v>12.8467</v>
      </c>
      <c r="O23" s="16" t="n">
        <f aca="false">RANDBETWEEN(-105,115)/10000</f>
        <v>-0.0033</v>
      </c>
      <c r="P23" s="16" t="n">
        <f aca="false">+Chạy!O12</f>
        <v>1.26</v>
      </c>
      <c r="Q23" s="16" t="n">
        <f aca="false">P23+R23</f>
        <v>1.305</v>
      </c>
      <c r="R23" s="16" t="n">
        <f aca="false">RANDBETWEEN(-30,90)/1000</f>
        <v>0.045</v>
      </c>
      <c r="S23" s="17"/>
      <c r="T23" s="0" t="n">
        <v>10.48</v>
      </c>
      <c r="W23" s="102"/>
      <c r="X23" s="102"/>
    </row>
    <row r="24" customFormat="false" ht="15" hidden="false" customHeight="false" outlineLevel="0" collapsed="false">
      <c r="A24" s="13" t="n">
        <v>3</v>
      </c>
      <c r="B24" s="13" t="s">
        <v>19</v>
      </c>
      <c r="C24" s="15" t="n">
        <f aca="false">+C23+T23</f>
        <v>512.84</v>
      </c>
      <c r="D24" s="16" t="n">
        <f aca="false">+Chạy!F20</f>
        <v>-12.85</v>
      </c>
      <c r="E24" s="16" t="n">
        <f aca="false">+D24+F24</f>
        <v>-12.8433</v>
      </c>
      <c r="F24" s="16" t="n">
        <f aca="false">RANDBETWEEN(-105,115)/10000</f>
        <v>0.0067</v>
      </c>
      <c r="G24" s="16" t="n">
        <f aca="false">+Chạy!G20</f>
        <v>1.26</v>
      </c>
      <c r="H24" s="16" t="n">
        <f aca="false">G24+I24</f>
        <v>1.316</v>
      </c>
      <c r="I24" s="16" t="n">
        <f aca="false">RANDBETWEEN(-30,90)/1000</f>
        <v>0.056</v>
      </c>
      <c r="J24" s="16" t="n">
        <f aca="false">+Chạy!K20</f>
        <v>1.37</v>
      </c>
      <c r="K24" s="16" t="n">
        <f aca="false">J24+L24</f>
        <v>1.459</v>
      </c>
      <c r="L24" s="16" t="n">
        <f aca="false">RANDBETWEEN(-30,90)/1000</f>
        <v>0.089</v>
      </c>
      <c r="M24" s="16" t="n">
        <f aca="false">+Chạy!N20</f>
        <v>12.85</v>
      </c>
      <c r="N24" s="16" t="n">
        <f aca="false">+M24+O24</f>
        <v>12.8422</v>
      </c>
      <c r="O24" s="16" t="n">
        <f aca="false">RANDBETWEEN(-105,115)/10000</f>
        <v>-0.0078</v>
      </c>
      <c r="P24" s="16" t="n">
        <f aca="false">+Chạy!O20</f>
        <v>1.26</v>
      </c>
      <c r="Q24" s="16" t="n">
        <f aca="false">P24+R24</f>
        <v>1.243</v>
      </c>
      <c r="R24" s="16" t="n">
        <f aca="false">RANDBETWEEN(-30,90)/1000</f>
        <v>-0.017</v>
      </c>
      <c r="S24" s="17"/>
      <c r="T24" s="0" t="n">
        <v>16.78</v>
      </c>
      <c r="W24" s="102"/>
      <c r="X24" s="102"/>
    </row>
    <row r="25" customFormat="false" ht="15" hidden="false" customHeight="false" outlineLevel="0" collapsed="false">
      <c r="A25" s="13" t="n">
        <v>4</v>
      </c>
      <c r="B25" s="13" t="s">
        <v>20</v>
      </c>
      <c r="C25" s="15" t="n">
        <f aca="false">+C24+T24</f>
        <v>529.62</v>
      </c>
      <c r="D25" s="16" t="n">
        <f aca="false">+Chạy!F28</f>
        <v>-12.85</v>
      </c>
      <c r="E25" s="16" t="n">
        <f aca="false">+D25+F25</f>
        <v>-12.8509</v>
      </c>
      <c r="F25" s="16" t="n">
        <f aca="false">RANDBETWEEN(-105,115)/10000</f>
        <v>-0.0009</v>
      </c>
      <c r="G25" s="16" t="n">
        <f aca="false">+Chạy!G28</f>
        <v>1.25</v>
      </c>
      <c r="H25" s="16" t="n">
        <f aca="false">G25+I25</f>
        <v>1.34</v>
      </c>
      <c r="I25" s="16" t="n">
        <f aca="false">RANDBETWEEN(-30,90)/1000</f>
        <v>0.09</v>
      </c>
      <c r="J25" s="16" t="n">
        <f aca="false">+Chạy!K28</f>
        <v>1.37</v>
      </c>
      <c r="K25" s="16" t="n">
        <f aca="false">J25+L25</f>
        <v>1.355</v>
      </c>
      <c r="L25" s="16" t="n">
        <f aca="false">RANDBETWEEN(-30,90)/1000</f>
        <v>-0.015</v>
      </c>
      <c r="M25" s="16" t="n">
        <f aca="false">+Chạy!N28</f>
        <v>12.85</v>
      </c>
      <c r="N25" s="16" t="n">
        <f aca="false">+M25+O25</f>
        <v>12.8586</v>
      </c>
      <c r="O25" s="16" t="n">
        <f aca="false">RANDBETWEEN(-105,115)/10000</f>
        <v>0.0086</v>
      </c>
      <c r="P25" s="16" t="n">
        <f aca="false">+Chạy!O28</f>
        <v>1.25</v>
      </c>
      <c r="Q25" s="16" t="n">
        <f aca="false">P25+R25</f>
        <v>1.278</v>
      </c>
      <c r="R25" s="16" t="n">
        <f aca="false">RANDBETWEEN(-30,90)/1000</f>
        <v>0.028</v>
      </c>
      <c r="S25" s="17"/>
      <c r="T25" s="0" t="n">
        <v>17.1</v>
      </c>
      <c r="W25" s="102"/>
      <c r="X25" s="102"/>
    </row>
    <row r="26" customFormat="false" ht="15" hidden="false" customHeight="false" outlineLevel="0" collapsed="false">
      <c r="A26" s="13" t="n">
        <v>5</v>
      </c>
      <c r="B26" s="13" t="s">
        <v>21</v>
      </c>
      <c r="C26" s="15" t="n">
        <f aca="false">+C25+T25</f>
        <v>546.72</v>
      </c>
      <c r="D26" s="16" t="n">
        <f aca="false">+Chạy!F36</f>
        <v>-12.85</v>
      </c>
      <c r="E26" s="16" t="n">
        <f aca="false">+D26+F26</f>
        <v>-12.8427</v>
      </c>
      <c r="F26" s="16" t="n">
        <f aca="false">RANDBETWEEN(-105,115)/10000</f>
        <v>0.0073</v>
      </c>
      <c r="G26" s="16" t="n">
        <f aca="false">+Chạy!G36</f>
        <v>1.24</v>
      </c>
      <c r="H26" s="16" t="n">
        <f aca="false">G26+I26</f>
        <v>1.244</v>
      </c>
      <c r="I26" s="16" t="n">
        <f aca="false">RANDBETWEEN(-30,90)/1000</f>
        <v>0.004</v>
      </c>
      <c r="J26" s="16" t="n">
        <f aca="false">+Chạy!K36</f>
        <v>1.36</v>
      </c>
      <c r="K26" s="16" t="n">
        <f aca="false">J26+L26</f>
        <v>1.373</v>
      </c>
      <c r="L26" s="16" t="n">
        <f aca="false">RANDBETWEEN(-30,90)/1000</f>
        <v>0.013</v>
      </c>
      <c r="M26" s="16" t="n">
        <f aca="false">+Chạy!N36</f>
        <v>12.85</v>
      </c>
      <c r="N26" s="16" t="n">
        <f aca="false">+M26+O26</f>
        <v>12.8574</v>
      </c>
      <c r="O26" s="16" t="n">
        <f aca="false">RANDBETWEEN(-105,115)/10000</f>
        <v>0.0074</v>
      </c>
      <c r="P26" s="16" t="n">
        <f aca="false">+Chạy!O36</f>
        <v>1.24</v>
      </c>
      <c r="Q26" s="16" t="n">
        <f aca="false">P26+R26</f>
        <v>1.26</v>
      </c>
      <c r="R26" s="16" t="n">
        <f aca="false">RANDBETWEEN(-30,90)/1000</f>
        <v>0.02</v>
      </c>
      <c r="S26" s="17"/>
      <c r="T26" s="0" t="n">
        <v>15.15</v>
      </c>
      <c r="W26" s="102"/>
      <c r="X26" s="102"/>
    </row>
    <row r="27" customFormat="false" ht="15" hidden="false" customHeight="false" outlineLevel="0" collapsed="false">
      <c r="A27" s="13" t="n">
        <v>6</v>
      </c>
      <c r="B27" s="13" t="s">
        <v>22</v>
      </c>
      <c r="C27" s="15" t="n">
        <f aca="false">+C26+T26</f>
        <v>561.87</v>
      </c>
      <c r="D27" s="16" t="n">
        <f aca="false">+Chạy!F44</f>
        <v>-12.85</v>
      </c>
      <c r="E27" s="16" t="n">
        <f aca="false">+D27+F27</f>
        <v>-12.8566</v>
      </c>
      <c r="F27" s="16" t="n">
        <f aca="false">RANDBETWEEN(-105,115)/10000</f>
        <v>-0.0066</v>
      </c>
      <c r="G27" s="16" t="n">
        <f aca="false">+Chạy!G44</f>
        <v>1.24</v>
      </c>
      <c r="H27" s="16" t="n">
        <f aca="false">G27+I27</f>
        <v>1.247</v>
      </c>
      <c r="I27" s="16" t="n">
        <f aca="false">RANDBETWEEN(-30,90)/1000</f>
        <v>0.007</v>
      </c>
      <c r="J27" s="16" t="n">
        <f aca="false">+Chạy!K44</f>
        <v>1.35</v>
      </c>
      <c r="K27" s="16" t="n">
        <f aca="false">J27+L27</f>
        <v>1.382</v>
      </c>
      <c r="L27" s="16" t="n">
        <f aca="false">RANDBETWEEN(-30,90)/1000</f>
        <v>0.032</v>
      </c>
      <c r="M27" s="16" t="n">
        <f aca="false">+Chạy!N44</f>
        <v>12.85</v>
      </c>
      <c r="N27" s="16" t="n">
        <f aca="false">+M27+O27</f>
        <v>12.8592</v>
      </c>
      <c r="O27" s="16" t="n">
        <f aca="false">RANDBETWEEN(-105,115)/10000</f>
        <v>0.0092</v>
      </c>
      <c r="P27" s="16" t="n">
        <f aca="false">+Chạy!O44</f>
        <v>1.24</v>
      </c>
      <c r="Q27" s="16" t="n">
        <f aca="false">P27+R27</f>
        <v>1.285</v>
      </c>
      <c r="R27" s="16" t="n">
        <f aca="false">RANDBETWEEN(-30,90)/1000</f>
        <v>0.045</v>
      </c>
      <c r="S27" s="17"/>
      <c r="T27" s="0" t="n">
        <v>0.15</v>
      </c>
      <c r="W27" s="102"/>
      <c r="X27" s="102"/>
    </row>
    <row r="28" customFormat="false" ht="15" hidden="false" customHeight="false" outlineLevel="0" collapsed="false">
      <c r="A28" s="13" t="n">
        <v>7</v>
      </c>
      <c r="B28" s="13" t="s">
        <v>23</v>
      </c>
      <c r="C28" s="15" t="n">
        <f aca="false">+C27+T27</f>
        <v>562.02</v>
      </c>
      <c r="D28" s="16" t="n">
        <f aca="false">+Chạy!F52</f>
        <v>-12.85</v>
      </c>
      <c r="E28" s="16" t="n">
        <f aca="false">+D28+F28</f>
        <v>-12.8599</v>
      </c>
      <c r="F28" s="16" t="n">
        <f aca="false">RANDBETWEEN(-105,115)/10000</f>
        <v>-0.0099</v>
      </c>
      <c r="G28" s="16" t="n">
        <f aca="false">+Chạy!G52</f>
        <v>1.24</v>
      </c>
      <c r="H28" s="16" t="n">
        <f aca="false">G28+I28</f>
        <v>1.229</v>
      </c>
      <c r="I28" s="16" t="n">
        <f aca="false">RANDBETWEEN(-30,90)/1000</f>
        <v>-0.011</v>
      </c>
      <c r="J28" s="16" t="n">
        <f aca="false">+Chạy!K52</f>
        <v>1.35</v>
      </c>
      <c r="K28" s="16" t="n">
        <f aca="false">J28+L28</f>
        <v>1.429</v>
      </c>
      <c r="L28" s="16" t="n">
        <f aca="false">RANDBETWEEN(-30,90)/1000</f>
        <v>0.079</v>
      </c>
      <c r="M28" s="16" t="n">
        <f aca="false">+Chạy!N52</f>
        <v>12.85</v>
      </c>
      <c r="N28" s="16" t="n">
        <f aca="false">+M28+O28</f>
        <v>12.8437</v>
      </c>
      <c r="O28" s="16" t="n">
        <f aca="false">RANDBETWEEN(-105,115)/10000</f>
        <v>-0.0063</v>
      </c>
      <c r="P28" s="16" t="n">
        <f aca="false">+Chạy!O52</f>
        <v>1.24</v>
      </c>
      <c r="Q28" s="16" t="n">
        <f aca="false">P28+R28</f>
        <v>1.325</v>
      </c>
      <c r="R28" s="16" t="n">
        <f aca="false">RANDBETWEEN(-30,90)/1000</f>
        <v>0.085</v>
      </c>
      <c r="S28" s="17"/>
      <c r="T28" s="0" t="n">
        <v>6.55</v>
      </c>
      <c r="W28" s="102"/>
      <c r="X28" s="102"/>
    </row>
    <row r="29" customFormat="false" ht="15" hidden="false" customHeight="false" outlineLevel="0" collapsed="false">
      <c r="A29" s="13" t="n">
        <v>8</v>
      </c>
      <c r="B29" s="13" t="s">
        <v>24</v>
      </c>
      <c r="C29" s="15" t="n">
        <f aca="false">+C28+T28</f>
        <v>568.57</v>
      </c>
      <c r="D29" s="16" t="n">
        <f aca="false">+Chạy!F60</f>
        <v>-12.85</v>
      </c>
      <c r="E29" s="16" t="n">
        <f aca="false">+D29+F29</f>
        <v>-12.8451</v>
      </c>
      <c r="F29" s="16" t="n">
        <f aca="false">RANDBETWEEN(-105,115)/10000</f>
        <v>0.0049</v>
      </c>
      <c r="G29" s="16" t="n">
        <f aca="false">+Chạy!G60</f>
        <v>1.24</v>
      </c>
      <c r="H29" s="16" t="n">
        <f aca="false">G29+I29</f>
        <v>1.313</v>
      </c>
      <c r="I29" s="16" t="n">
        <f aca="false">RANDBETWEEN(-30,90)/1000</f>
        <v>0.073</v>
      </c>
      <c r="J29" s="16" t="n">
        <f aca="false">+Chạy!K60</f>
        <v>1.35</v>
      </c>
      <c r="K29" s="16" t="n">
        <f aca="false">J29+L29</f>
        <v>1.352</v>
      </c>
      <c r="L29" s="16" t="n">
        <f aca="false">RANDBETWEEN(-30,90)/1000</f>
        <v>0.002</v>
      </c>
      <c r="M29" s="16" t="n">
        <f aca="false">+Chạy!N60</f>
        <v>12.85</v>
      </c>
      <c r="N29" s="16" t="n">
        <f aca="false">+M29+O29</f>
        <v>12.8608</v>
      </c>
      <c r="O29" s="16" t="n">
        <f aca="false">RANDBETWEEN(-105,115)/10000</f>
        <v>0.0108</v>
      </c>
      <c r="P29" s="16" t="n">
        <f aca="false">+Chạy!O60</f>
        <v>1.24</v>
      </c>
      <c r="Q29" s="16" t="n">
        <f aca="false">P29+R29</f>
        <v>1.273</v>
      </c>
      <c r="R29" s="16" t="n">
        <f aca="false">RANDBETWEEN(-30,90)/1000</f>
        <v>0.033</v>
      </c>
      <c r="S29" s="17"/>
      <c r="T29" s="0" t="n">
        <v>6.55</v>
      </c>
      <c r="W29" s="102"/>
      <c r="X29" s="102"/>
    </row>
    <row r="30" customFormat="false" ht="15" hidden="false" customHeight="false" outlineLevel="0" collapsed="false">
      <c r="A30" s="13" t="n">
        <v>9</v>
      </c>
      <c r="B30" s="13" t="s">
        <v>1</v>
      </c>
      <c r="C30" s="15" t="n">
        <f aca="false">+C29+T29</f>
        <v>575.12</v>
      </c>
      <c r="D30" s="16" t="n">
        <f aca="false">+Chạy!F68</f>
        <v>-12.85</v>
      </c>
      <c r="E30" s="16" t="n">
        <f aca="false">+D30+F30</f>
        <v>-12.8522</v>
      </c>
      <c r="F30" s="16" t="n">
        <f aca="false">RANDBETWEEN(-105,115)/10000</f>
        <v>-0.0022</v>
      </c>
      <c r="G30" s="16" t="n">
        <f aca="false">+Chạy!G68</f>
        <v>1.24</v>
      </c>
      <c r="H30" s="16" t="n">
        <f aca="false">G30+I30</f>
        <v>1.251</v>
      </c>
      <c r="I30" s="16" t="n">
        <f aca="false">RANDBETWEEN(-30,90)/1000</f>
        <v>0.011</v>
      </c>
      <c r="J30" s="16" t="n">
        <f aca="false">+Chạy!K68</f>
        <v>1.35</v>
      </c>
      <c r="K30" s="16" t="n">
        <f aca="false">J30+L30</f>
        <v>1.423</v>
      </c>
      <c r="L30" s="16" t="n">
        <f aca="false">RANDBETWEEN(-30,90)/1000</f>
        <v>0.073</v>
      </c>
      <c r="M30" s="16" t="n">
        <f aca="false">+Chạy!N68</f>
        <v>12.85</v>
      </c>
      <c r="N30" s="16" t="n">
        <f aca="false">+M30+O30</f>
        <v>12.8426</v>
      </c>
      <c r="O30" s="16" t="n">
        <f aca="false">RANDBETWEEN(-105,115)/10000</f>
        <v>-0.0074</v>
      </c>
      <c r="P30" s="16" t="n">
        <f aca="false">+Chạy!O68</f>
        <v>1.24</v>
      </c>
      <c r="Q30" s="16" t="n">
        <f aca="false">P30+R30</f>
        <v>1.327</v>
      </c>
      <c r="R30" s="16" t="n">
        <f aca="false">RANDBETWEEN(-30,90)/1000</f>
        <v>0.087</v>
      </c>
      <c r="S30" s="17"/>
      <c r="T30" s="0" t="n">
        <v>0.04</v>
      </c>
      <c r="W30" s="102"/>
      <c r="X30" s="102"/>
    </row>
    <row r="31" customFormat="false" ht="15" hidden="false" customHeight="false" outlineLevel="0" collapsed="false">
      <c r="A31" s="13" t="n">
        <v>10</v>
      </c>
      <c r="B31" s="13" t="s">
        <v>25</v>
      </c>
      <c r="C31" s="15" t="n">
        <f aca="false">+C30+T30</f>
        <v>575.16</v>
      </c>
      <c r="D31" s="16" t="n">
        <f aca="false">+Chạy!F76</f>
        <v>-12.85</v>
      </c>
      <c r="E31" s="16" t="n">
        <f aca="false">+D31+F31</f>
        <v>-12.8588</v>
      </c>
      <c r="F31" s="16" t="n">
        <f aca="false">RANDBETWEEN(-105,115)/10000</f>
        <v>-0.0088</v>
      </c>
      <c r="G31" s="16" t="n">
        <f aca="false">+Chạy!G76</f>
        <v>1.37</v>
      </c>
      <c r="H31" s="16" t="n">
        <f aca="false">G31+I31</f>
        <v>1.343</v>
      </c>
      <c r="I31" s="16" t="n">
        <f aca="false">RANDBETWEEN(-30,90)/1000</f>
        <v>-0.027</v>
      </c>
      <c r="J31" s="16" t="n">
        <f aca="false">+Chạy!K76</f>
        <v>1.35</v>
      </c>
      <c r="K31" s="16" t="n">
        <f aca="false">J31+L31</f>
        <v>1.323</v>
      </c>
      <c r="L31" s="16" t="n">
        <f aca="false">RANDBETWEEN(-30,90)/1000</f>
        <v>-0.027</v>
      </c>
      <c r="M31" s="16" t="n">
        <f aca="false">+Chạy!N76</f>
        <v>12.85</v>
      </c>
      <c r="N31" s="16" t="n">
        <f aca="false">+M31+O31</f>
        <v>12.8461</v>
      </c>
      <c r="O31" s="16" t="n">
        <f aca="false">RANDBETWEEN(-105,115)/10000</f>
        <v>-0.0039</v>
      </c>
      <c r="P31" s="16" t="n">
        <f aca="false">+Chạy!O76</f>
        <v>1.24</v>
      </c>
      <c r="Q31" s="16" t="n">
        <f aca="false">P31+R31</f>
        <v>1.324</v>
      </c>
      <c r="R31" s="16" t="n">
        <f aca="false">RANDBETWEEN(-30,90)/1000</f>
        <v>0.084</v>
      </c>
      <c r="S31" s="17"/>
      <c r="T31" s="0" t="n">
        <v>16.95</v>
      </c>
      <c r="W31" s="102"/>
      <c r="X31" s="102"/>
    </row>
    <row r="32" customFormat="false" ht="15" hidden="false" customHeight="false" outlineLevel="0" collapsed="false">
      <c r="A32" s="13" t="n">
        <v>11</v>
      </c>
      <c r="B32" s="13" t="s">
        <v>26</v>
      </c>
      <c r="C32" s="15" t="n">
        <f aca="false">+C31+T31</f>
        <v>592.11</v>
      </c>
      <c r="D32" s="16" t="n">
        <f aca="false">+Chạy!F84</f>
        <v>-12.85</v>
      </c>
      <c r="E32" s="16" t="n">
        <f aca="false">+D32+F32</f>
        <v>-12.8396</v>
      </c>
      <c r="F32" s="16" t="n">
        <f aca="false">RANDBETWEEN(-105,115)/10000</f>
        <v>0.0104</v>
      </c>
      <c r="G32" s="16" t="n">
        <f aca="false">+Chạy!G84</f>
        <v>1.24</v>
      </c>
      <c r="H32" s="16" t="n">
        <f aca="false">G32+I32</f>
        <v>1.22</v>
      </c>
      <c r="I32" s="16" t="n">
        <f aca="false">RANDBETWEEN(-30,90)/1000</f>
        <v>-0.02</v>
      </c>
      <c r="J32" s="16" t="n">
        <f aca="false">+Chạy!K84</f>
        <v>1.36</v>
      </c>
      <c r="K32" s="16" t="n">
        <f aca="false">J32+L32</f>
        <v>1.361</v>
      </c>
      <c r="L32" s="16" t="n">
        <f aca="false">RANDBETWEEN(-30,90)/1000</f>
        <v>0.001</v>
      </c>
      <c r="M32" s="16" t="n">
        <f aca="false">+Chạy!N84</f>
        <v>12.85</v>
      </c>
      <c r="N32" s="16" t="n">
        <f aca="false">+M32+O32</f>
        <v>12.8399</v>
      </c>
      <c r="O32" s="16" t="n">
        <f aca="false">RANDBETWEEN(-105,115)/10000</f>
        <v>-0.0101</v>
      </c>
      <c r="P32" s="16" t="n">
        <f aca="false">+Chạy!O84</f>
        <v>1.24</v>
      </c>
      <c r="Q32" s="16" t="n">
        <f aca="false">P32+R32</f>
        <v>1.307</v>
      </c>
      <c r="R32" s="16" t="n">
        <f aca="false">RANDBETWEEN(-30,90)/1000</f>
        <v>0.067</v>
      </c>
      <c r="S32" s="17"/>
      <c r="T32" s="0" t="n">
        <v>17</v>
      </c>
      <c r="W32" s="102"/>
      <c r="X32" s="102"/>
    </row>
    <row r="33" customFormat="false" ht="15" hidden="false" customHeight="false" outlineLevel="0" collapsed="false">
      <c r="A33" s="13" t="n">
        <v>12</v>
      </c>
      <c r="B33" s="13" t="s">
        <v>27</v>
      </c>
      <c r="C33" s="15" t="n">
        <f aca="false">+C32+T32</f>
        <v>609.11</v>
      </c>
      <c r="D33" s="16" t="n">
        <f aca="false">+Chạy!F92</f>
        <v>-12.85</v>
      </c>
      <c r="E33" s="16" t="n">
        <f aca="false">+D33+F33</f>
        <v>-12.844</v>
      </c>
      <c r="F33" s="16" t="n">
        <f aca="false">RANDBETWEEN(-105,115)/10000</f>
        <v>0.006</v>
      </c>
      <c r="G33" s="16" t="n">
        <f aca="false">+Chạy!G92</f>
        <v>1.24</v>
      </c>
      <c r="H33" s="16" t="n">
        <f aca="false">G33+I33</f>
        <v>1.254</v>
      </c>
      <c r="I33" s="16" t="n">
        <f aca="false">RANDBETWEEN(-30,90)/1000</f>
        <v>0.014</v>
      </c>
      <c r="J33" s="16" t="n">
        <f aca="false">+Chạy!K92</f>
        <v>1.36</v>
      </c>
      <c r="K33" s="16" t="n">
        <f aca="false">J33+L33</f>
        <v>1.434</v>
      </c>
      <c r="L33" s="16" t="n">
        <f aca="false">RANDBETWEEN(-30,90)/1000</f>
        <v>0.074</v>
      </c>
      <c r="M33" s="16" t="n">
        <f aca="false">+Chạy!N92</f>
        <v>12.85</v>
      </c>
      <c r="N33" s="16" t="n">
        <f aca="false">+M33+O33</f>
        <v>12.8482</v>
      </c>
      <c r="O33" s="16" t="n">
        <f aca="false">RANDBETWEEN(-105,115)/10000</f>
        <v>-0.0018</v>
      </c>
      <c r="P33" s="16" t="n">
        <f aca="false">+Chạy!O92</f>
        <v>1.24</v>
      </c>
      <c r="Q33" s="16" t="n">
        <f aca="false">P33+R33</f>
        <v>1.315</v>
      </c>
      <c r="R33" s="16" t="n">
        <f aca="false">RANDBETWEEN(-30,90)/1000</f>
        <v>0.075</v>
      </c>
      <c r="S33" s="17"/>
      <c r="W33" s="102"/>
      <c r="X33" s="102"/>
    </row>
    <row r="34" customFormat="false" ht="15" hidden="true" customHeight="false" outlineLevel="0" collapsed="false">
      <c r="A34" s="13"/>
      <c r="B34" s="13"/>
      <c r="C34" s="15"/>
      <c r="D34" s="16"/>
      <c r="E34" s="16"/>
      <c r="F34" s="16"/>
      <c r="G34" s="16"/>
      <c r="H34" s="16"/>
      <c r="I34" s="16"/>
      <c r="J34" s="16"/>
      <c r="K34" s="16"/>
      <c r="L34" s="16"/>
      <c r="M34" s="16"/>
      <c r="N34" s="16"/>
      <c r="O34" s="16"/>
      <c r="P34" s="16"/>
      <c r="Q34" s="16"/>
      <c r="R34" s="16"/>
      <c r="S34" s="17"/>
      <c r="W34" s="102"/>
      <c r="X34" s="102"/>
    </row>
    <row r="35" customFormat="false" ht="15" hidden="true" customHeight="false" outlineLevel="0" collapsed="false">
      <c r="A35" s="13"/>
      <c r="B35" s="13"/>
      <c r="C35" s="15"/>
      <c r="D35" s="16"/>
      <c r="E35" s="16"/>
      <c r="F35" s="16"/>
      <c r="G35" s="16"/>
      <c r="H35" s="16"/>
      <c r="I35" s="16"/>
      <c r="J35" s="16"/>
      <c r="K35" s="16"/>
      <c r="L35" s="16"/>
      <c r="M35" s="16"/>
      <c r="N35" s="16"/>
      <c r="O35" s="16"/>
      <c r="P35" s="16"/>
      <c r="Q35" s="16"/>
      <c r="R35" s="16"/>
      <c r="S35" s="17"/>
      <c r="W35" s="102"/>
      <c r="X35" s="102"/>
    </row>
    <row r="36" customFormat="false" ht="15" hidden="true" customHeight="false" outlineLevel="0" collapsed="false">
      <c r="A36" s="13"/>
      <c r="B36" s="13"/>
      <c r="C36" s="15"/>
      <c r="D36" s="16"/>
      <c r="E36" s="16"/>
      <c r="F36" s="16"/>
      <c r="G36" s="16"/>
      <c r="H36" s="16"/>
      <c r="I36" s="16"/>
      <c r="J36" s="16"/>
      <c r="K36" s="16"/>
      <c r="L36" s="16"/>
      <c r="M36" s="16"/>
      <c r="N36" s="16"/>
      <c r="O36" s="16"/>
      <c r="P36" s="16"/>
      <c r="Q36" s="16"/>
      <c r="R36" s="16"/>
      <c r="S36" s="17"/>
      <c r="W36" s="102"/>
      <c r="X36" s="102"/>
    </row>
    <row r="37" customFormat="false" ht="15" hidden="true" customHeight="false" outlineLevel="0" collapsed="false">
      <c r="A37" s="13"/>
      <c r="B37" s="13"/>
      <c r="C37" s="15"/>
      <c r="D37" s="16"/>
      <c r="E37" s="16"/>
      <c r="F37" s="16"/>
      <c r="G37" s="16"/>
      <c r="H37" s="16"/>
      <c r="I37" s="16"/>
      <c r="J37" s="16"/>
      <c r="K37" s="16"/>
      <c r="L37" s="16"/>
      <c r="M37" s="16"/>
      <c r="N37" s="16"/>
      <c r="O37" s="16"/>
      <c r="P37" s="16"/>
      <c r="Q37" s="16"/>
      <c r="R37" s="16"/>
      <c r="S37" s="17"/>
      <c r="W37" s="102"/>
      <c r="X37" s="102"/>
    </row>
    <row r="38" customFormat="false" ht="15" hidden="true" customHeight="false" outlineLevel="0" collapsed="false">
      <c r="A38" s="13"/>
      <c r="B38" s="13"/>
      <c r="C38" s="15"/>
      <c r="D38" s="16"/>
      <c r="E38" s="16"/>
      <c r="F38" s="16"/>
      <c r="G38" s="16"/>
      <c r="H38" s="16"/>
      <c r="I38" s="16"/>
      <c r="J38" s="16"/>
      <c r="K38" s="16"/>
      <c r="L38" s="16"/>
      <c r="M38" s="16"/>
      <c r="N38" s="16"/>
      <c r="O38" s="16"/>
      <c r="P38" s="16"/>
      <c r="Q38" s="16"/>
      <c r="R38" s="16"/>
      <c r="S38" s="17"/>
      <c r="W38" s="102"/>
      <c r="X38" s="102"/>
    </row>
    <row r="39" customFormat="false" ht="15" hidden="true" customHeight="false" outlineLevel="0" collapsed="false">
      <c r="A39" s="13"/>
      <c r="B39" s="13"/>
      <c r="C39" s="15"/>
      <c r="D39" s="16"/>
      <c r="E39" s="16"/>
      <c r="F39" s="16"/>
      <c r="G39" s="16"/>
      <c r="H39" s="16"/>
      <c r="I39" s="16"/>
      <c r="J39" s="16"/>
      <c r="K39" s="16"/>
      <c r="L39" s="16"/>
      <c r="M39" s="16"/>
      <c r="N39" s="16"/>
      <c r="O39" s="16"/>
      <c r="P39" s="16"/>
      <c r="Q39" s="16"/>
      <c r="R39" s="16"/>
      <c r="S39" s="17"/>
      <c r="W39" s="102"/>
      <c r="X39" s="102"/>
    </row>
    <row r="40" customFormat="false" ht="15" hidden="true" customHeight="false" outlineLevel="0" collapsed="false">
      <c r="A40" s="13"/>
      <c r="B40" s="13"/>
      <c r="C40" s="15"/>
      <c r="D40" s="16"/>
      <c r="E40" s="16"/>
      <c r="F40" s="16"/>
      <c r="G40" s="16"/>
      <c r="H40" s="16"/>
      <c r="I40" s="16"/>
      <c r="J40" s="16"/>
      <c r="K40" s="16"/>
      <c r="L40" s="16"/>
      <c r="M40" s="16"/>
      <c r="N40" s="16"/>
      <c r="O40" s="16"/>
      <c r="P40" s="16"/>
      <c r="Q40" s="16"/>
      <c r="R40" s="16"/>
      <c r="S40" s="17"/>
      <c r="W40" s="102"/>
      <c r="X40" s="102"/>
    </row>
    <row r="41" customFormat="false" ht="15" hidden="true" customHeight="false" outlineLevel="0" collapsed="false">
      <c r="A41" s="13"/>
      <c r="B41" s="13"/>
      <c r="C41" s="15"/>
      <c r="D41" s="16"/>
      <c r="E41" s="16"/>
      <c r="F41" s="16"/>
      <c r="G41" s="16"/>
      <c r="H41" s="16"/>
      <c r="I41" s="16"/>
      <c r="J41" s="16"/>
      <c r="K41" s="16"/>
      <c r="L41" s="16"/>
      <c r="M41" s="16"/>
      <c r="N41" s="16"/>
      <c r="O41" s="16"/>
      <c r="P41" s="16"/>
      <c r="Q41" s="16"/>
      <c r="R41" s="16"/>
      <c r="S41" s="17"/>
      <c r="W41" s="102"/>
      <c r="X41" s="102"/>
    </row>
    <row r="42" customFormat="false" ht="15" hidden="true" customHeight="false" outlineLevel="0" collapsed="false">
      <c r="A42" s="13"/>
      <c r="B42" s="13"/>
      <c r="C42" s="15"/>
      <c r="D42" s="16"/>
      <c r="E42" s="16"/>
      <c r="F42" s="16"/>
      <c r="G42" s="16"/>
      <c r="H42" s="16"/>
      <c r="I42" s="16"/>
      <c r="J42" s="16"/>
      <c r="K42" s="16"/>
      <c r="L42" s="16"/>
      <c r="M42" s="16"/>
      <c r="N42" s="16"/>
      <c r="O42" s="16"/>
      <c r="P42" s="16"/>
      <c r="Q42" s="16"/>
      <c r="R42" s="16"/>
      <c r="S42" s="17"/>
      <c r="W42" s="102"/>
      <c r="X42" s="102"/>
    </row>
    <row r="43" customFormat="false" ht="15" hidden="true" customHeight="false" outlineLevel="0" collapsed="false">
      <c r="A43" s="13"/>
      <c r="B43" s="13"/>
      <c r="C43" s="15"/>
      <c r="D43" s="16"/>
      <c r="E43" s="16"/>
      <c r="F43" s="16"/>
      <c r="G43" s="16"/>
      <c r="H43" s="16"/>
      <c r="I43" s="16"/>
      <c r="J43" s="16"/>
      <c r="K43" s="16"/>
      <c r="L43" s="16"/>
      <c r="M43" s="16"/>
      <c r="N43" s="16"/>
      <c r="O43" s="16"/>
      <c r="P43" s="16"/>
      <c r="Q43" s="16"/>
      <c r="R43" s="16"/>
      <c r="S43" s="17"/>
      <c r="W43" s="102"/>
      <c r="X43" s="102"/>
    </row>
    <row r="44" customFormat="false" ht="15" hidden="true" customHeight="false" outlineLevel="0" collapsed="false">
      <c r="A44" s="13"/>
      <c r="B44" s="13"/>
      <c r="C44" s="15"/>
      <c r="D44" s="16"/>
      <c r="E44" s="16"/>
      <c r="F44" s="16"/>
      <c r="G44" s="16"/>
      <c r="H44" s="16"/>
      <c r="I44" s="16"/>
      <c r="J44" s="16"/>
      <c r="K44" s="16"/>
      <c r="L44" s="16"/>
      <c r="M44" s="16"/>
      <c r="N44" s="16"/>
      <c r="O44" s="16"/>
      <c r="P44" s="16"/>
      <c r="Q44" s="16"/>
      <c r="R44" s="16"/>
      <c r="S44" s="17"/>
      <c r="W44" s="102"/>
      <c r="X44" s="102"/>
    </row>
    <row r="45" customFormat="false" ht="15" hidden="true" customHeight="false" outlineLevel="0" collapsed="false">
      <c r="A45" s="13"/>
      <c r="B45" s="13"/>
      <c r="C45" s="15"/>
      <c r="D45" s="16"/>
      <c r="E45" s="16"/>
      <c r="F45" s="16"/>
      <c r="G45" s="16"/>
      <c r="H45" s="16"/>
      <c r="I45" s="16"/>
      <c r="J45" s="16"/>
      <c r="K45" s="16"/>
      <c r="L45" s="16"/>
      <c r="M45" s="16"/>
      <c r="N45" s="16"/>
      <c r="O45" s="16"/>
      <c r="P45" s="16"/>
      <c r="Q45" s="16"/>
      <c r="R45" s="16"/>
      <c r="S45" s="17"/>
      <c r="W45" s="102"/>
      <c r="X45" s="102"/>
    </row>
    <row r="46" customFormat="false" ht="15" hidden="true" customHeight="false" outlineLevel="0" collapsed="false">
      <c r="A46" s="13"/>
      <c r="B46" s="13"/>
      <c r="C46" s="15"/>
      <c r="D46" s="16"/>
      <c r="E46" s="16"/>
      <c r="F46" s="16"/>
      <c r="G46" s="16"/>
      <c r="H46" s="16"/>
      <c r="I46" s="16"/>
      <c r="J46" s="16"/>
      <c r="K46" s="16"/>
      <c r="L46" s="16"/>
      <c r="M46" s="16"/>
      <c r="N46" s="16"/>
      <c r="O46" s="16"/>
      <c r="P46" s="16"/>
      <c r="Q46" s="16"/>
      <c r="R46" s="16"/>
      <c r="S46" s="17"/>
      <c r="W46" s="102"/>
      <c r="X46" s="102"/>
    </row>
    <row r="47" customFormat="false" ht="15" hidden="true" customHeight="false" outlineLevel="0" collapsed="false">
      <c r="A47" s="13"/>
      <c r="B47" s="13"/>
      <c r="C47" s="15"/>
      <c r="D47" s="16"/>
      <c r="E47" s="16"/>
      <c r="F47" s="16"/>
      <c r="G47" s="16"/>
      <c r="H47" s="16"/>
      <c r="I47" s="16"/>
      <c r="J47" s="16"/>
      <c r="K47" s="16"/>
      <c r="L47" s="16"/>
      <c r="M47" s="16"/>
      <c r="N47" s="16"/>
      <c r="O47" s="16"/>
      <c r="P47" s="16"/>
      <c r="Q47" s="16"/>
      <c r="R47" s="16"/>
      <c r="S47" s="17"/>
      <c r="W47" s="102"/>
      <c r="X47" s="102"/>
    </row>
    <row r="48" customFormat="false" ht="15" hidden="true" customHeight="false" outlineLevel="0" collapsed="false">
      <c r="A48" s="13"/>
      <c r="B48" s="13"/>
      <c r="C48" s="15"/>
      <c r="D48" s="16"/>
      <c r="E48" s="16"/>
      <c r="F48" s="16"/>
      <c r="G48" s="16"/>
      <c r="H48" s="16"/>
      <c r="I48" s="16"/>
      <c r="J48" s="16"/>
      <c r="K48" s="16"/>
      <c r="L48" s="16"/>
      <c r="M48" s="16"/>
      <c r="N48" s="16"/>
      <c r="O48" s="16"/>
      <c r="P48" s="16"/>
      <c r="Q48" s="16"/>
      <c r="R48" s="16"/>
      <c r="S48" s="17"/>
      <c r="W48" s="102"/>
      <c r="X48" s="102"/>
    </row>
    <row r="49" customFormat="false" ht="15" hidden="true" customHeight="false" outlineLevel="0" collapsed="false">
      <c r="A49" s="13"/>
      <c r="B49" s="13"/>
      <c r="C49" s="15"/>
      <c r="D49" s="16"/>
      <c r="E49" s="16"/>
      <c r="F49" s="16"/>
      <c r="G49" s="16"/>
      <c r="H49" s="16"/>
      <c r="I49" s="16"/>
      <c r="J49" s="16"/>
      <c r="K49" s="16"/>
      <c r="L49" s="16"/>
      <c r="M49" s="16"/>
      <c r="N49" s="16"/>
      <c r="O49" s="16"/>
      <c r="P49" s="16"/>
      <c r="Q49" s="16"/>
      <c r="R49" s="16"/>
      <c r="S49" s="17"/>
      <c r="W49" s="102"/>
      <c r="X49" s="102"/>
    </row>
    <row r="50" customFormat="false" ht="15" hidden="true" customHeight="false" outlineLevel="0" collapsed="false">
      <c r="A50" s="13"/>
      <c r="B50" s="13"/>
      <c r="C50" s="15"/>
      <c r="D50" s="16"/>
      <c r="E50" s="16"/>
      <c r="F50" s="16"/>
      <c r="G50" s="16"/>
      <c r="H50" s="16"/>
      <c r="I50" s="16"/>
      <c r="J50" s="16"/>
      <c r="K50" s="16"/>
      <c r="L50" s="16"/>
      <c r="M50" s="16"/>
      <c r="N50" s="16"/>
      <c r="O50" s="16"/>
      <c r="P50" s="16"/>
      <c r="Q50" s="16"/>
      <c r="R50" s="16"/>
      <c r="S50" s="17"/>
      <c r="W50" s="102"/>
      <c r="X50" s="102"/>
    </row>
    <row r="51" customFormat="false" ht="15" hidden="true" customHeight="false" outlineLevel="0" collapsed="false">
      <c r="A51" s="13"/>
      <c r="B51" s="13"/>
      <c r="C51" s="15"/>
      <c r="D51" s="16"/>
      <c r="E51" s="16"/>
      <c r="F51" s="16"/>
      <c r="G51" s="16"/>
      <c r="H51" s="16"/>
      <c r="I51" s="16"/>
      <c r="J51" s="16"/>
      <c r="K51" s="16"/>
      <c r="L51" s="16"/>
      <c r="M51" s="16"/>
      <c r="N51" s="16"/>
      <c r="O51" s="16"/>
      <c r="P51" s="16"/>
      <c r="Q51" s="16"/>
      <c r="R51" s="16"/>
      <c r="S51" s="17"/>
      <c r="W51" s="102"/>
      <c r="X51" s="102"/>
    </row>
    <row r="52" customFormat="false" ht="15" hidden="true" customHeight="false" outlineLevel="0" collapsed="false">
      <c r="A52" s="13"/>
      <c r="B52" s="13"/>
      <c r="C52" s="15"/>
      <c r="D52" s="16"/>
      <c r="E52" s="16"/>
      <c r="F52" s="16"/>
      <c r="G52" s="16"/>
      <c r="H52" s="16"/>
      <c r="I52" s="16"/>
      <c r="J52" s="16"/>
      <c r="K52" s="16"/>
      <c r="L52" s="16"/>
      <c r="M52" s="16"/>
      <c r="N52" s="16"/>
      <c r="O52" s="16"/>
      <c r="P52" s="16"/>
      <c r="Q52" s="16"/>
      <c r="R52" s="16"/>
      <c r="S52" s="17"/>
      <c r="W52" s="102"/>
      <c r="X52" s="102"/>
    </row>
    <row r="53" customFormat="false" ht="15" hidden="true" customHeight="false" outlineLevel="0" collapsed="false">
      <c r="A53" s="13"/>
      <c r="B53" s="13"/>
      <c r="C53" s="15"/>
      <c r="D53" s="16"/>
      <c r="E53" s="16"/>
      <c r="F53" s="16"/>
      <c r="G53" s="16"/>
      <c r="H53" s="16"/>
      <c r="I53" s="16"/>
      <c r="J53" s="16"/>
      <c r="K53" s="16"/>
      <c r="L53" s="16"/>
      <c r="M53" s="16"/>
      <c r="N53" s="16"/>
      <c r="O53" s="16"/>
      <c r="P53" s="16"/>
      <c r="Q53" s="16"/>
      <c r="R53" s="16"/>
      <c r="S53" s="17"/>
      <c r="W53" s="102"/>
      <c r="X53" s="102"/>
    </row>
    <row r="54" customFormat="false" ht="15" hidden="true" customHeight="false" outlineLevel="0" collapsed="false">
      <c r="A54" s="13"/>
      <c r="B54" s="13"/>
      <c r="C54" s="15"/>
      <c r="D54" s="16"/>
      <c r="E54" s="16"/>
      <c r="F54" s="16"/>
      <c r="G54" s="16"/>
      <c r="H54" s="16"/>
      <c r="I54" s="16"/>
      <c r="J54" s="16"/>
      <c r="K54" s="16"/>
      <c r="L54" s="16"/>
      <c r="M54" s="16"/>
      <c r="N54" s="16"/>
      <c r="O54" s="16"/>
      <c r="P54" s="16"/>
      <c r="Q54" s="16"/>
      <c r="R54" s="16"/>
      <c r="S54" s="17"/>
      <c r="W54" s="102"/>
      <c r="X54" s="102"/>
    </row>
    <row r="55" customFormat="false" ht="15" hidden="true" customHeight="false" outlineLevel="0" collapsed="false">
      <c r="A55" s="13"/>
      <c r="B55" s="13"/>
      <c r="C55" s="15"/>
      <c r="D55" s="16"/>
      <c r="E55" s="16"/>
      <c r="F55" s="16"/>
      <c r="G55" s="16"/>
      <c r="H55" s="16"/>
      <c r="I55" s="16"/>
      <c r="J55" s="16"/>
      <c r="K55" s="16"/>
      <c r="L55" s="16"/>
      <c r="M55" s="16"/>
      <c r="N55" s="16"/>
      <c r="O55" s="16"/>
      <c r="P55" s="16"/>
      <c r="Q55" s="16"/>
      <c r="R55" s="16"/>
      <c r="S55" s="17"/>
      <c r="W55" s="102"/>
      <c r="X55" s="102"/>
    </row>
    <row r="56" customFormat="false" ht="15" hidden="true" customHeight="false" outlineLevel="0" collapsed="false">
      <c r="A56" s="13"/>
      <c r="B56" s="13"/>
      <c r="C56" s="15"/>
      <c r="D56" s="16"/>
      <c r="E56" s="16"/>
      <c r="F56" s="16"/>
      <c r="G56" s="16"/>
      <c r="H56" s="16"/>
      <c r="I56" s="16"/>
      <c r="J56" s="16"/>
      <c r="K56" s="16"/>
      <c r="L56" s="16"/>
      <c r="M56" s="16"/>
      <c r="N56" s="16"/>
      <c r="O56" s="16"/>
      <c r="P56" s="16"/>
      <c r="Q56" s="16"/>
      <c r="R56" s="16"/>
      <c r="S56" s="17"/>
      <c r="W56" s="102"/>
      <c r="X56" s="102"/>
    </row>
    <row r="57" customFormat="false" ht="15" hidden="true" customHeight="false" outlineLevel="0" collapsed="false">
      <c r="A57" s="13"/>
      <c r="B57" s="13"/>
      <c r="C57" s="15"/>
      <c r="D57" s="16"/>
      <c r="E57" s="16"/>
      <c r="F57" s="16"/>
      <c r="G57" s="16"/>
      <c r="H57" s="16"/>
      <c r="I57" s="16"/>
      <c r="J57" s="16"/>
      <c r="K57" s="16"/>
      <c r="L57" s="16"/>
      <c r="M57" s="16"/>
      <c r="N57" s="16"/>
      <c r="O57" s="16"/>
      <c r="P57" s="16"/>
      <c r="Q57" s="16"/>
      <c r="R57" s="16"/>
      <c r="S57" s="17"/>
      <c r="W57" s="102"/>
      <c r="X57" s="102"/>
    </row>
    <row r="58" customFormat="false" ht="15" hidden="true" customHeight="false" outlineLevel="0" collapsed="false">
      <c r="A58" s="13"/>
      <c r="B58" s="13"/>
      <c r="C58" s="15"/>
      <c r="D58" s="16"/>
      <c r="E58" s="16"/>
      <c r="F58" s="16"/>
      <c r="G58" s="16"/>
      <c r="H58" s="16"/>
      <c r="I58" s="16"/>
      <c r="J58" s="16"/>
      <c r="K58" s="16"/>
      <c r="L58" s="16"/>
      <c r="M58" s="16"/>
      <c r="N58" s="16"/>
      <c r="O58" s="16"/>
      <c r="P58" s="16"/>
      <c r="Q58" s="16"/>
      <c r="R58" s="16"/>
      <c r="S58" s="17"/>
      <c r="W58" s="102"/>
      <c r="X58" s="102"/>
    </row>
    <row r="59" customFormat="false" ht="15" hidden="true" customHeight="false" outlineLevel="0" collapsed="false">
      <c r="A59" s="13"/>
      <c r="B59" s="13"/>
      <c r="C59" s="15"/>
      <c r="D59" s="16"/>
      <c r="E59" s="16"/>
      <c r="F59" s="16"/>
      <c r="G59" s="16"/>
      <c r="H59" s="16"/>
      <c r="I59" s="16"/>
      <c r="J59" s="16"/>
      <c r="K59" s="16"/>
      <c r="L59" s="16"/>
      <c r="M59" s="16"/>
      <c r="N59" s="16"/>
      <c r="O59" s="16"/>
      <c r="P59" s="16"/>
      <c r="Q59" s="16"/>
      <c r="R59" s="16"/>
      <c r="S59" s="17"/>
      <c r="W59" s="102"/>
      <c r="X59" s="102"/>
    </row>
    <row r="60" customFormat="false" ht="15" hidden="true" customHeight="false" outlineLevel="0" collapsed="false">
      <c r="A60" s="13"/>
      <c r="B60" s="13"/>
      <c r="C60" s="15"/>
      <c r="D60" s="16"/>
      <c r="E60" s="16"/>
      <c r="F60" s="16"/>
      <c r="G60" s="16"/>
      <c r="H60" s="16"/>
      <c r="I60" s="16"/>
      <c r="J60" s="16"/>
      <c r="K60" s="16"/>
      <c r="L60" s="16"/>
      <c r="M60" s="16"/>
      <c r="N60" s="16"/>
      <c r="O60" s="16"/>
      <c r="P60" s="16"/>
      <c r="Q60" s="16"/>
      <c r="R60" s="16"/>
      <c r="S60" s="17"/>
      <c r="W60" s="102"/>
      <c r="X60" s="102"/>
    </row>
    <row r="61" customFormat="false" ht="15" hidden="true" customHeight="false" outlineLevel="0" collapsed="false">
      <c r="A61" s="13"/>
      <c r="B61" s="13"/>
      <c r="C61" s="15"/>
      <c r="D61" s="16"/>
      <c r="E61" s="16"/>
      <c r="F61" s="16"/>
      <c r="G61" s="16"/>
      <c r="H61" s="16"/>
      <c r="I61" s="16"/>
      <c r="J61" s="16"/>
      <c r="K61" s="16"/>
      <c r="L61" s="16"/>
      <c r="M61" s="16"/>
      <c r="N61" s="16"/>
      <c r="O61" s="16"/>
      <c r="P61" s="16"/>
      <c r="Q61" s="16"/>
      <c r="R61" s="16"/>
      <c r="S61" s="17"/>
      <c r="W61" s="102"/>
      <c r="X61" s="102"/>
    </row>
    <row r="63" customFormat="false" ht="15" hidden="false" customHeight="false" outlineLevel="0" collapsed="false">
      <c r="C63" s="19" t="s">
        <v>50</v>
      </c>
      <c r="D63" s="19"/>
      <c r="E63" s="19"/>
      <c r="F63" s="19"/>
      <c r="G63" s="19"/>
      <c r="H63" s="19"/>
      <c r="I63" s="19"/>
      <c r="K63" s="20"/>
      <c r="L63" s="20"/>
      <c r="M63" s="20"/>
      <c r="N63" s="20"/>
      <c r="O63" s="19" t="s">
        <v>51</v>
      </c>
      <c r="P63" s="19"/>
      <c r="Q63" s="19"/>
      <c r="R63" s="19"/>
    </row>
    <row r="64" customFormat="false" ht="15" hidden="false" customHeight="false" outlineLevel="0" collapsed="false">
      <c r="E64" s="21"/>
      <c r="F64" s="21"/>
      <c r="G64" s="21"/>
      <c r="H64" s="21"/>
      <c r="K64" s="21"/>
      <c r="L64" s="21"/>
      <c r="M64" s="21"/>
      <c r="N64" s="21"/>
      <c r="O64" s="21"/>
      <c r="P64" s="21"/>
      <c r="Q64" s="21"/>
      <c r="R64" s="21"/>
    </row>
    <row r="65" customFormat="false" ht="15" hidden="false" customHeight="false" outlineLevel="0" collapsed="false">
      <c r="E65" s="21"/>
      <c r="F65" s="21"/>
      <c r="G65" s="21"/>
      <c r="H65" s="21"/>
      <c r="K65" s="21"/>
      <c r="L65" s="21"/>
      <c r="M65" s="21"/>
      <c r="N65" s="21"/>
      <c r="O65" s="21"/>
      <c r="P65" s="21"/>
      <c r="Q65" s="21"/>
      <c r="R65" s="21"/>
    </row>
    <row r="66" customFormat="false" ht="15" hidden="false" customHeight="false" outlineLevel="0" collapsed="false">
      <c r="E66" s="21"/>
      <c r="F66" s="21"/>
      <c r="G66" s="21"/>
      <c r="H66" s="21"/>
      <c r="K66" s="21"/>
      <c r="L66" s="21"/>
      <c r="M66" s="21"/>
      <c r="N66" s="21"/>
      <c r="O66" s="21"/>
      <c r="P66" s="21"/>
      <c r="Q66" s="21"/>
      <c r="R66" s="21"/>
    </row>
    <row r="67" customFormat="false" ht="15" hidden="false" customHeight="false" outlineLevel="0" collapsed="false">
      <c r="E67" s="21"/>
      <c r="F67" s="21"/>
      <c r="G67" s="21"/>
      <c r="H67" s="21"/>
      <c r="K67" s="21"/>
      <c r="L67" s="21"/>
      <c r="M67" s="21"/>
      <c r="N67" s="21"/>
      <c r="O67" s="21"/>
      <c r="P67" s="21"/>
      <c r="Q67" s="21"/>
      <c r="R67" s="21"/>
    </row>
    <row r="68" customFormat="false" ht="15" hidden="false" customHeight="false" outlineLevel="0" collapsed="false">
      <c r="C68" s="19" t="s">
        <v>52</v>
      </c>
      <c r="D68" s="19"/>
      <c r="E68" s="19"/>
      <c r="F68" s="19"/>
      <c r="G68" s="19"/>
      <c r="H68" s="19"/>
      <c r="I68" s="19"/>
      <c r="K68" s="20"/>
      <c r="L68" s="20"/>
      <c r="M68" s="20"/>
      <c r="N68" s="20"/>
      <c r="O68" s="19" t="s">
        <v>53</v>
      </c>
      <c r="P68" s="19"/>
      <c r="Q68" s="19"/>
      <c r="R68" s="19"/>
    </row>
  </sheetData>
  <mergeCells count="13">
    <mergeCell ref="A1:S1"/>
    <mergeCell ref="A2:S2"/>
    <mergeCell ref="A20:A21"/>
    <mergeCell ref="B20:B21"/>
    <mergeCell ref="C20:C21"/>
    <mergeCell ref="D20:I20"/>
    <mergeCell ref="J20:L20"/>
    <mergeCell ref="M20:R20"/>
    <mergeCell ref="S20:S21"/>
    <mergeCell ref="C63:I63"/>
    <mergeCell ref="O63:R63"/>
    <mergeCell ref="C68:I68"/>
    <mergeCell ref="O68:R68"/>
  </mergeCells>
  <printOptions headings="false" gridLines="false" gridLinesSet="true" horizontalCentered="true" verticalCentered="false"/>
  <pageMargins left="0.196527777777778" right="0.196527777777778" top="0.640277777777778" bottom="0.393055555555556" header="0.511811023622047" footer="0.196527777777778"/>
  <pageSetup paperSize="9" scale="100" fitToWidth="1" fitToHeight="2" pageOrder="downThenOver" orientation="landscape" blackAndWhite="false" draft="false" cellComments="none" horizontalDpi="300" verticalDpi="300" copies="1"/>
  <headerFooter differentFirst="false" differentOddEven="false">
    <oddHeader/>
    <oddFooter>&amp;C&amp;P</oddFooter>
  </headerFooter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HW136"/>
  <sheetViews>
    <sheetView showFormulas="false" showGridLines="true" showRowColHeaders="true" showZeros="true" rightToLeft="false" tabSelected="false" showOutlineSymbols="true" defaultGridColor="true" view="normal" topLeftCell="A1" colorId="64" zoomScale="85" zoomScaleNormal="85" zoomScalePageLayoutView="100" workbookViewId="0">
      <selection pane="topLeft" activeCell="D7" activeCellId="0" sqref="D7"/>
    </sheetView>
  </sheetViews>
  <sheetFormatPr defaultColWidth="9.2890625" defaultRowHeight="12.75" zeroHeight="false" outlineLevelRow="0" outlineLevelCol="0"/>
  <cols>
    <col collapsed="false" customWidth="true" hidden="false" outlineLevel="0" max="1" min="1" style="22" width="6.71"/>
    <col collapsed="false" customWidth="true" hidden="false" outlineLevel="0" max="2" min="2" style="22" width="12.29"/>
    <col collapsed="false" customWidth="true" hidden="false" outlineLevel="0" max="3" min="3" style="22" width="19.57"/>
    <col collapsed="false" customWidth="true" hidden="false" outlineLevel="0" max="4" min="4" style="23" width="12.71"/>
    <col collapsed="false" customWidth="true" hidden="true" outlineLevel="0" max="6" min="5" style="23" width="8.42"/>
    <col collapsed="false" customWidth="true" hidden="true" outlineLevel="0" max="7" min="7" style="23" width="11"/>
    <col collapsed="false" customWidth="true" hidden="true" outlineLevel="0" max="12" min="8" style="23" width="8.42"/>
    <col collapsed="false" customWidth="true" hidden="true" outlineLevel="0" max="14" min="13" style="23" width="14.29"/>
    <col collapsed="false" customWidth="true" hidden="false" outlineLevel="0" max="15" min="15" style="23" width="15.42"/>
    <col collapsed="false" customWidth="true" hidden="true" outlineLevel="0" max="22" min="16" style="23" width="14.29"/>
    <col collapsed="false" customWidth="true" hidden="false" outlineLevel="0" max="23" min="23" style="23" width="15.29"/>
    <col collapsed="false" customWidth="true" hidden="true" outlineLevel="0" max="25" min="24" style="23" width="14.29"/>
    <col collapsed="false" customWidth="true" hidden="true" outlineLevel="0" max="27" min="26" style="23" width="12.86"/>
    <col collapsed="false" customWidth="true" hidden="false" outlineLevel="0" max="28" min="28" style="23" width="10.29"/>
    <col collapsed="false" customWidth="false" hidden="true" outlineLevel="0" max="29" min="29" style="23" width="9.29"/>
    <col collapsed="false" customWidth="false" hidden="false" outlineLevel="0" max="30" min="30" style="22" width="9.29"/>
    <col collapsed="false" customWidth="true" hidden="false" outlineLevel="0" max="31" min="31" style="22" width="11.85"/>
    <col collapsed="false" customWidth="true" hidden="false" outlineLevel="0" max="32" min="32" style="22" width="24.57"/>
    <col collapsed="false" customWidth="false" hidden="false" outlineLevel="0" max="16384" min="33" style="22" width="9.29"/>
  </cols>
  <sheetData>
    <row r="1" s="26" customFormat="true" ht="16.5" hidden="false" customHeight="true" outlineLevel="0" collapsed="false">
      <c r="A1" s="25" t="s">
        <v>54</v>
      </c>
      <c r="B1" s="25"/>
      <c r="C1" s="25"/>
      <c r="D1" s="25"/>
      <c r="E1" s="25"/>
      <c r="F1" s="25"/>
      <c r="G1" s="25"/>
      <c r="H1" s="25"/>
      <c r="I1" s="25"/>
      <c r="J1" s="25"/>
      <c r="K1" s="25"/>
      <c r="L1" s="25"/>
      <c r="M1" s="25"/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</row>
    <row r="2" s="26" customFormat="true" ht="16.5" hidden="false" customHeight="true" outlineLevel="0" collapsed="false">
      <c r="A2" s="28" t="str">
        <f>"Kèm theo BBNT số: "&amp;VLOOKUP(AZ2,'[1]Tuyến XD8'!$A$2:$G$60,7,0)&amp;VLOOKUP(AZ2,'[1]Tuyến XD8'!$A$2:$G$60,4,0)</f>
        <v xml:space="preserve">Kèm theo BBNT số: 69.NĐXD8/CVXD ngày 19 tháng 09 năm 2026</v>
      </c>
      <c r="B2" s="28"/>
      <c r="C2" s="28"/>
      <c r="D2" s="28"/>
      <c r="E2" s="28"/>
      <c r="F2" s="28"/>
      <c r="G2" s="28"/>
      <c r="H2" s="28"/>
      <c r="I2" s="28"/>
      <c r="J2" s="28"/>
      <c r="K2" s="28"/>
      <c r="L2" s="28"/>
      <c r="M2" s="28"/>
      <c r="N2" s="28"/>
      <c r="O2" s="28"/>
      <c r="P2" s="28"/>
      <c r="Q2" s="28"/>
      <c r="R2" s="28"/>
      <c r="S2" s="28"/>
      <c r="T2" s="28"/>
      <c r="U2" s="28"/>
      <c r="V2" s="28"/>
      <c r="W2" s="28"/>
      <c r="X2" s="28"/>
      <c r="Y2" s="28"/>
      <c r="Z2" s="28"/>
      <c r="AA2" s="28"/>
      <c r="AB2" s="28"/>
      <c r="AZ2">
        <v>69</v>
      </c>
    </row>
    <row r="3" s="32" customFormat="true" ht="37.5" hidden="false" customHeight="true" outlineLevel="0" collapsed="false">
      <c r="A3" s="29" t="str">
        <f aca="false">'1.KTHH L1'!A3</f>
        <v>Dự án: Xây dựng HTKT Khu tái định cư phục vụ di dân xã Hải Hà, thị xã Nghi Sơn, tỉnh Thanh Hóa.</v>
      </c>
      <c r="B3" s="29"/>
      <c r="C3" s="29"/>
      <c r="D3" s="29"/>
      <c r="E3" s="29"/>
      <c r="F3" s="29"/>
      <c r="G3" s="29"/>
      <c r="H3" s="29"/>
      <c r="I3" s="29"/>
      <c r="J3" s="29"/>
      <c r="K3" s="29"/>
      <c r="L3" s="29"/>
      <c r="M3" s="29"/>
      <c r="N3" s="29"/>
      <c r="O3" s="29"/>
      <c r="P3" s="29"/>
      <c r="Q3" s="29"/>
      <c r="R3" s="29"/>
      <c r="S3" s="29"/>
      <c r="T3" s="29"/>
      <c r="U3" s="29"/>
      <c r="V3" s="29"/>
      <c r="W3" s="29"/>
      <c r="X3" s="29"/>
      <c r="Y3" s="29"/>
      <c r="Z3" s="29"/>
      <c r="AA3" s="29"/>
      <c r="AB3" s="29"/>
      <c r="AC3" s="30"/>
      <c r="AD3" s="30"/>
      <c r="AE3" s="30"/>
      <c r="AF3" s="30"/>
      <c r="AG3" s="30"/>
      <c r="AH3" s="30"/>
      <c r="AI3" s="30"/>
      <c r="AJ3" s="30"/>
      <c r="AK3" s="30"/>
      <c r="AL3" s="30"/>
      <c r="AM3" s="30"/>
      <c r="AN3" s="30"/>
      <c r="AO3" s="30"/>
      <c r="AP3" s="30"/>
      <c r="AQ3" s="30"/>
      <c r="AR3" s="30"/>
      <c r="AS3" s="30"/>
      <c r="AT3" s="30"/>
      <c r="AU3" s="30"/>
      <c r="AV3" s="30"/>
      <c r="AW3" s="30"/>
      <c r="AX3" s="30"/>
      <c r="AY3" s="30"/>
      <c r="AZ3" s="30"/>
      <c r="BA3" s="30"/>
      <c r="BB3" s="30"/>
      <c r="BC3" s="30"/>
      <c r="BD3" s="30"/>
      <c r="BE3" s="30"/>
      <c r="BF3" s="30"/>
      <c r="BG3" s="30"/>
      <c r="BH3" s="30"/>
      <c r="BI3" s="30"/>
      <c r="BJ3" s="30"/>
      <c r="BK3" s="30"/>
      <c r="BL3" s="30"/>
      <c r="BM3" s="30"/>
      <c r="BN3" s="30"/>
      <c r="BO3" s="30"/>
      <c r="BP3" s="30"/>
      <c r="BQ3" s="30"/>
      <c r="BR3" s="30"/>
      <c r="BS3" s="30"/>
      <c r="BT3" s="30"/>
      <c r="BU3" s="30"/>
      <c r="BV3" s="30"/>
      <c r="BW3" s="30"/>
      <c r="BX3" s="30"/>
      <c r="BY3" s="30"/>
      <c r="BZ3" s="30"/>
      <c r="CA3" s="30"/>
      <c r="CB3" s="30"/>
      <c r="CC3" s="30"/>
      <c r="CD3" s="30"/>
      <c r="CE3" s="30"/>
      <c r="CF3" s="30"/>
      <c r="CG3" s="30"/>
      <c r="CH3" s="30"/>
      <c r="CI3" s="30"/>
      <c r="CJ3" s="30"/>
      <c r="CK3" s="30"/>
      <c r="CL3" s="30"/>
      <c r="CM3" s="30"/>
      <c r="CN3" s="30"/>
      <c r="CO3" s="30"/>
      <c r="CP3" s="30"/>
      <c r="CQ3" s="30"/>
      <c r="CR3" s="30"/>
      <c r="CS3" s="30"/>
      <c r="CT3" s="30"/>
      <c r="CU3" s="30"/>
      <c r="CV3" s="30"/>
      <c r="CW3" s="30"/>
      <c r="CX3" s="30"/>
      <c r="CY3" s="30"/>
      <c r="CZ3" s="30"/>
      <c r="DA3" s="30"/>
      <c r="DB3" s="30"/>
      <c r="DC3" s="30"/>
      <c r="DD3" s="30"/>
      <c r="DE3" s="30"/>
      <c r="DF3" s="30"/>
      <c r="DG3" s="30"/>
      <c r="DH3" s="30"/>
      <c r="DI3" s="30"/>
      <c r="DJ3" s="30"/>
      <c r="DK3" s="30"/>
      <c r="DL3" s="30"/>
      <c r="DM3" s="30"/>
      <c r="DN3" s="30"/>
      <c r="DO3" s="30"/>
      <c r="DP3" s="30"/>
      <c r="DQ3" s="30"/>
      <c r="DR3" s="30"/>
      <c r="DS3" s="30"/>
      <c r="DT3" s="30"/>
      <c r="DU3" s="30"/>
      <c r="DV3" s="30"/>
      <c r="DW3" s="30"/>
      <c r="DX3" s="30"/>
      <c r="DY3" s="30"/>
      <c r="DZ3" s="30"/>
      <c r="EA3" s="30"/>
      <c r="EB3" s="30"/>
      <c r="EC3" s="30"/>
      <c r="ED3" s="30"/>
      <c r="EE3" s="30"/>
      <c r="EF3" s="30"/>
      <c r="EG3" s="30"/>
      <c r="EH3" s="30"/>
      <c r="EI3" s="30"/>
      <c r="EJ3" s="30"/>
      <c r="EK3" s="30"/>
      <c r="EL3" s="30"/>
      <c r="EM3" s="30"/>
      <c r="EN3" s="30"/>
      <c r="EO3" s="30"/>
      <c r="EP3" s="30"/>
      <c r="EQ3" s="30"/>
      <c r="ER3" s="30"/>
      <c r="ES3" s="30"/>
      <c r="ET3" s="30"/>
      <c r="EU3" s="30"/>
      <c r="EV3" s="30"/>
      <c r="EW3" s="30"/>
      <c r="EX3" s="30"/>
      <c r="EY3" s="30"/>
      <c r="EZ3" s="30"/>
      <c r="FA3" s="30"/>
      <c r="FB3" s="30"/>
      <c r="FC3" s="30"/>
      <c r="FD3" s="30"/>
      <c r="FE3" s="30"/>
      <c r="FF3" s="30"/>
      <c r="FG3" s="30"/>
      <c r="FH3" s="30"/>
      <c r="FI3" s="30"/>
      <c r="FJ3" s="30"/>
      <c r="FK3" s="30"/>
      <c r="FL3" s="30"/>
      <c r="FM3" s="30"/>
      <c r="FN3" s="30"/>
      <c r="FO3" s="30"/>
      <c r="FP3" s="30"/>
      <c r="FQ3" s="30"/>
      <c r="FR3" s="30"/>
      <c r="FS3" s="30"/>
      <c r="FT3" s="30"/>
      <c r="FU3" s="30"/>
      <c r="FV3" s="30"/>
      <c r="FW3" s="30"/>
      <c r="FX3" s="30"/>
      <c r="FY3" s="30"/>
      <c r="FZ3" s="30"/>
      <c r="GA3" s="30"/>
      <c r="GB3" s="30"/>
      <c r="GC3" s="30"/>
      <c r="GD3" s="30"/>
      <c r="GE3" s="30"/>
      <c r="GF3" s="30"/>
      <c r="GG3" s="30"/>
      <c r="GH3" s="30"/>
      <c r="GI3" s="30"/>
      <c r="GJ3" s="30"/>
      <c r="GK3" s="30"/>
      <c r="GL3" s="30"/>
      <c r="GM3" s="30"/>
      <c r="GN3" s="30"/>
      <c r="GO3" s="30"/>
      <c r="GP3" s="30"/>
      <c r="GQ3" s="30"/>
      <c r="GR3" s="30"/>
      <c r="GS3" s="30"/>
      <c r="GT3" s="30"/>
      <c r="GU3" s="30"/>
      <c r="GV3" s="30"/>
      <c r="GW3" s="30"/>
      <c r="GX3" s="30"/>
      <c r="GY3" s="30"/>
      <c r="GZ3" s="30"/>
      <c r="HA3" s="30"/>
      <c r="HB3" s="30"/>
      <c r="HC3" s="30"/>
      <c r="HD3" s="30"/>
      <c r="HE3" s="30"/>
      <c r="HF3" s="30"/>
      <c r="HG3" s="30"/>
      <c r="HH3" s="30"/>
      <c r="HI3" s="30"/>
      <c r="HJ3" s="30"/>
      <c r="HK3" s="30"/>
      <c r="HL3" s="30"/>
      <c r="HM3" s="30"/>
      <c r="HN3" s="30"/>
      <c r="HO3" s="30"/>
      <c r="HP3" s="30"/>
      <c r="HQ3" s="30"/>
      <c r="HR3" s="30"/>
      <c r="HS3" s="30"/>
      <c r="HT3" s="30"/>
      <c r="HU3" s="30"/>
      <c r="HV3" s="30"/>
      <c r="HW3" s="30"/>
    </row>
    <row r="4" s="32" customFormat="true" ht="37.5" hidden="false" customHeight="true" outlineLevel="0" collapsed="false">
      <c r="A4" s="29" t="str">
        <f aca="false">'1.KTHH L1'!A4</f>
        <v>Gói thầu số 12: Xây dựng HTKT khu vực Hải Bình và Xuân Lâm (bao gồm cả bảo hiểm xây dựng công trình)</v>
      </c>
      <c r="B4" s="29"/>
      <c r="C4" s="29"/>
      <c r="D4" s="29"/>
      <c r="E4" s="29"/>
      <c r="F4" s="29"/>
      <c r="G4" s="29"/>
      <c r="H4" s="29"/>
      <c r="I4" s="29"/>
      <c r="J4" s="29"/>
      <c r="K4" s="29"/>
      <c r="L4" s="29"/>
      <c r="M4" s="29"/>
      <c r="N4" s="29"/>
      <c r="O4" s="29"/>
      <c r="P4" s="29"/>
      <c r="Q4" s="29"/>
      <c r="R4" s="29"/>
      <c r="S4" s="29"/>
      <c r="T4" s="29"/>
      <c r="U4" s="29"/>
      <c r="V4" s="29"/>
      <c r="W4" s="29"/>
      <c r="X4" s="29"/>
      <c r="Y4" s="29"/>
      <c r="Z4" s="29"/>
      <c r="AA4" s="29"/>
      <c r="AB4" s="29"/>
      <c r="AC4" s="30"/>
      <c r="AD4" s="30"/>
      <c r="AE4" s="30"/>
      <c r="AF4" s="30"/>
      <c r="AG4" s="30"/>
      <c r="AH4" s="30"/>
      <c r="AI4" s="30"/>
      <c r="AJ4" s="30"/>
      <c r="AK4" s="30"/>
      <c r="AL4" s="30"/>
      <c r="AM4" s="30"/>
      <c r="AN4" s="30"/>
      <c r="AO4" s="30"/>
      <c r="AP4" s="30"/>
      <c r="AQ4" s="30"/>
      <c r="AR4" s="30"/>
      <c r="AS4" s="30"/>
      <c r="AT4" s="30"/>
      <c r="AU4" s="30"/>
      <c r="AV4" s="30"/>
      <c r="AW4" s="30"/>
      <c r="AX4" s="30"/>
      <c r="AY4" s="30"/>
      <c r="AZ4" s="30"/>
      <c r="BA4" s="30"/>
      <c r="BB4" s="30"/>
      <c r="BC4" s="30"/>
      <c r="BD4" s="30"/>
      <c r="BE4" s="30"/>
      <c r="BF4" s="30"/>
      <c r="BG4" s="30"/>
      <c r="BH4" s="30"/>
      <c r="BI4" s="30"/>
      <c r="BJ4" s="30"/>
      <c r="BK4" s="30"/>
      <c r="BL4" s="30"/>
      <c r="BM4" s="30"/>
      <c r="BN4" s="30"/>
      <c r="BO4" s="30"/>
      <c r="BP4" s="30"/>
      <c r="BQ4" s="30"/>
      <c r="BR4" s="30"/>
      <c r="BS4" s="30"/>
      <c r="BT4" s="30"/>
      <c r="BU4" s="30"/>
      <c r="BV4" s="30"/>
      <c r="BW4" s="30"/>
      <c r="BX4" s="30"/>
      <c r="BY4" s="30"/>
      <c r="BZ4" s="30"/>
      <c r="CA4" s="30"/>
      <c r="CB4" s="30"/>
      <c r="CC4" s="30"/>
      <c r="CD4" s="30"/>
      <c r="CE4" s="30"/>
      <c r="CF4" s="30"/>
      <c r="CG4" s="30"/>
      <c r="CH4" s="30"/>
      <c r="CI4" s="30"/>
      <c r="CJ4" s="30"/>
      <c r="CK4" s="30"/>
      <c r="CL4" s="30"/>
      <c r="CM4" s="30"/>
      <c r="CN4" s="30"/>
      <c r="CO4" s="30"/>
      <c r="CP4" s="30"/>
      <c r="CQ4" s="30"/>
      <c r="CR4" s="30"/>
      <c r="CS4" s="30"/>
      <c r="CT4" s="30"/>
      <c r="CU4" s="30"/>
      <c r="CV4" s="30"/>
      <c r="CW4" s="30"/>
      <c r="CX4" s="30"/>
      <c r="CY4" s="30"/>
      <c r="CZ4" s="30"/>
      <c r="DA4" s="30"/>
      <c r="DB4" s="30"/>
      <c r="DC4" s="30"/>
      <c r="DD4" s="30"/>
      <c r="DE4" s="30"/>
      <c r="DF4" s="30"/>
      <c r="DG4" s="30"/>
      <c r="DH4" s="30"/>
      <c r="DI4" s="30"/>
      <c r="DJ4" s="30"/>
      <c r="DK4" s="30"/>
      <c r="DL4" s="30"/>
      <c r="DM4" s="30"/>
      <c r="DN4" s="30"/>
      <c r="DO4" s="30"/>
      <c r="DP4" s="30"/>
      <c r="DQ4" s="30"/>
      <c r="DR4" s="30"/>
      <c r="DS4" s="30"/>
      <c r="DT4" s="30"/>
      <c r="DU4" s="30"/>
      <c r="DV4" s="30"/>
      <c r="DW4" s="30"/>
      <c r="DX4" s="30"/>
      <c r="DY4" s="30"/>
      <c r="DZ4" s="30"/>
      <c r="EA4" s="30"/>
      <c r="EB4" s="30"/>
      <c r="EC4" s="30"/>
      <c r="ED4" s="30"/>
      <c r="EE4" s="30"/>
      <c r="EF4" s="30"/>
      <c r="EG4" s="30"/>
      <c r="EH4" s="30"/>
      <c r="EI4" s="30"/>
      <c r="EJ4" s="30"/>
      <c r="EK4" s="30"/>
      <c r="EL4" s="30"/>
      <c r="EM4" s="30"/>
      <c r="EN4" s="30"/>
      <c r="EO4" s="30"/>
      <c r="EP4" s="30"/>
      <c r="EQ4" s="30"/>
      <c r="ER4" s="30"/>
      <c r="ES4" s="30"/>
      <c r="ET4" s="30"/>
      <c r="EU4" s="30"/>
      <c r="EV4" s="30"/>
      <c r="EW4" s="30"/>
      <c r="EX4" s="30"/>
      <c r="EY4" s="30"/>
      <c r="EZ4" s="30"/>
      <c r="FA4" s="30"/>
      <c r="FB4" s="30"/>
      <c r="FC4" s="30"/>
      <c r="FD4" s="30"/>
      <c r="FE4" s="30"/>
      <c r="FF4" s="30"/>
      <c r="FG4" s="30"/>
      <c r="FH4" s="30"/>
      <c r="FI4" s="30"/>
      <c r="FJ4" s="30"/>
      <c r="FK4" s="30"/>
      <c r="FL4" s="30"/>
      <c r="FM4" s="30"/>
      <c r="FN4" s="30"/>
      <c r="FO4" s="30"/>
      <c r="FP4" s="30"/>
      <c r="FQ4" s="30"/>
      <c r="FR4" s="30"/>
      <c r="FS4" s="30"/>
      <c r="FT4" s="30"/>
      <c r="FU4" s="30"/>
      <c r="FV4" s="30"/>
      <c r="FW4" s="30"/>
      <c r="FX4" s="30"/>
      <c r="FY4" s="30"/>
      <c r="FZ4" s="30"/>
      <c r="GA4" s="30"/>
      <c r="GB4" s="30"/>
      <c r="GC4" s="30"/>
      <c r="GD4" s="30"/>
      <c r="GE4" s="30"/>
      <c r="GF4" s="30"/>
      <c r="GG4" s="30"/>
      <c r="GH4" s="30"/>
      <c r="GI4" s="30"/>
      <c r="GJ4" s="30"/>
      <c r="GK4" s="30"/>
      <c r="GL4" s="30"/>
      <c r="GM4" s="30"/>
      <c r="GN4" s="30"/>
      <c r="GO4" s="30"/>
      <c r="GP4" s="30"/>
      <c r="GQ4" s="30"/>
      <c r="GR4" s="30"/>
      <c r="GS4" s="30"/>
      <c r="GT4" s="30"/>
      <c r="GU4" s="30"/>
      <c r="GV4" s="30"/>
      <c r="GW4" s="30"/>
      <c r="GX4" s="30"/>
      <c r="GY4" s="30"/>
      <c r="GZ4" s="30"/>
      <c r="HA4" s="30"/>
      <c r="HB4" s="30"/>
      <c r="HC4" s="30"/>
      <c r="HD4" s="30"/>
      <c r="HE4" s="30"/>
      <c r="HF4" s="30"/>
      <c r="HG4" s="30"/>
      <c r="HH4" s="30"/>
      <c r="HI4" s="30"/>
      <c r="HJ4" s="30"/>
      <c r="HK4" s="30"/>
      <c r="HL4" s="30"/>
      <c r="HM4" s="30"/>
      <c r="HN4" s="30"/>
      <c r="HO4" s="30"/>
      <c r="HP4" s="30"/>
      <c r="HQ4" s="30"/>
      <c r="HR4" s="30"/>
      <c r="HS4" s="30"/>
      <c r="HT4" s="30"/>
      <c r="HU4" s="30"/>
      <c r="HV4" s="30"/>
      <c r="HW4" s="30"/>
    </row>
    <row r="5" s="32" customFormat="true" ht="16.5" hidden="false" customHeight="true" outlineLevel="0" collapsed="false">
      <c r="A5" s="29" t="str">
        <f aca="false">'1.KTHH L1'!A5</f>
        <v>Nhà thầu thi công: Công ty TNHH Hoàng Tuấn</v>
      </c>
      <c r="B5" s="29"/>
      <c r="C5" s="29"/>
      <c r="D5" s="29"/>
      <c r="E5" s="29"/>
      <c r="F5" s="29"/>
      <c r="G5" s="29"/>
      <c r="H5" s="29"/>
      <c r="I5" s="29"/>
      <c r="J5" s="29"/>
      <c r="K5" s="29"/>
      <c r="L5" s="29"/>
      <c r="M5" s="29"/>
      <c r="N5" s="29"/>
      <c r="O5" s="29"/>
      <c r="P5" s="29"/>
      <c r="Q5" s="29"/>
      <c r="R5" s="29"/>
      <c r="S5" s="29"/>
      <c r="T5" s="29"/>
      <c r="U5" s="29"/>
      <c r="V5" s="29"/>
      <c r="W5" s="29"/>
      <c r="X5" s="29"/>
      <c r="Y5" s="29"/>
      <c r="Z5" s="29"/>
      <c r="AA5" s="29"/>
      <c r="AB5" s="29"/>
      <c r="AC5" s="30"/>
      <c r="AD5" s="30"/>
      <c r="AE5" s="30"/>
      <c r="AF5" s="30"/>
      <c r="AG5" s="30"/>
      <c r="AH5" s="30"/>
      <c r="AI5" s="30"/>
      <c r="AJ5" s="30"/>
      <c r="AK5" s="30"/>
      <c r="AL5" s="30"/>
      <c r="AM5" s="30"/>
      <c r="AN5" s="30"/>
      <c r="AO5" s="30"/>
      <c r="AP5" s="30"/>
      <c r="AQ5" s="30"/>
      <c r="AR5" s="30"/>
      <c r="AS5" s="30"/>
      <c r="AT5" s="30"/>
      <c r="AU5" s="30"/>
      <c r="AV5" s="30"/>
      <c r="AW5" s="30"/>
      <c r="AX5" s="30"/>
      <c r="AY5" s="30"/>
      <c r="AZ5" s="30"/>
      <c r="BA5" s="30"/>
      <c r="BB5" s="30"/>
      <c r="BC5" s="30"/>
      <c r="BD5" s="30"/>
      <c r="BE5" s="30"/>
      <c r="BF5" s="30"/>
      <c r="BG5" s="30"/>
      <c r="BH5" s="30"/>
      <c r="BI5" s="30"/>
      <c r="BJ5" s="30"/>
      <c r="BK5" s="30"/>
      <c r="BL5" s="30"/>
      <c r="BM5" s="30"/>
      <c r="BN5" s="30"/>
      <c r="BO5" s="30"/>
      <c r="BP5" s="30"/>
      <c r="BQ5" s="30"/>
      <c r="BR5" s="30"/>
      <c r="BS5" s="30"/>
      <c r="BT5" s="30"/>
      <c r="BU5" s="30"/>
      <c r="BV5" s="30"/>
      <c r="BW5" s="30"/>
      <c r="BX5" s="30"/>
      <c r="BY5" s="30"/>
      <c r="BZ5" s="30"/>
      <c r="CA5" s="30"/>
      <c r="CB5" s="30"/>
      <c r="CC5" s="30"/>
      <c r="CD5" s="30"/>
      <c r="CE5" s="30"/>
      <c r="CF5" s="30"/>
      <c r="CG5" s="30"/>
      <c r="CH5" s="30"/>
      <c r="CI5" s="30"/>
      <c r="CJ5" s="30"/>
      <c r="CK5" s="30"/>
      <c r="CL5" s="30"/>
      <c r="CM5" s="30"/>
      <c r="CN5" s="30"/>
      <c r="CO5" s="30"/>
      <c r="CP5" s="30"/>
      <c r="CQ5" s="30"/>
      <c r="CR5" s="30"/>
      <c r="CS5" s="30"/>
      <c r="CT5" s="30"/>
      <c r="CU5" s="30"/>
      <c r="CV5" s="30"/>
      <c r="CW5" s="30"/>
      <c r="CX5" s="30"/>
      <c r="CY5" s="30"/>
      <c r="CZ5" s="30"/>
      <c r="DA5" s="30"/>
      <c r="DB5" s="30"/>
      <c r="DC5" s="30"/>
      <c r="DD5" s="30"/>
      <c r="DE5" s="30"/>
      <c r="DF5" s="30"/>
      <c r="DG5" s="30"/>
      <c r="DH5" s="30"/>
      <c r="DI5" s="30"/>
      <c r="DJ5" s="30"/>
      <c r="DK5" s="30"/>
      <c r="DL5" s="30"/>
      <c r="DM5" s="30"/>
      <c r="DN5" s="30"/>
      <c r="DO5" s="30"/>
      <c r="DP5" s="30"/>
      <c r="DQ5" s="30"/>
      <c r="DR5" s="30"/>
      <c r="DS5" s="30"/>
      <c r="DT5" s="30"/>
      <c r="DU5" s="30"/>
      <c r="DV5" s="30"/>
      <c r="DW5" s="30"/>
      <c r="DX5" s="30"/>
      <c r="DY5" s="30"/>
      <c r="DZ5" s="30"/>
      <c r="EA5" s="30"/>
      <c r="EB5" s="30"/>
      <c r="EC5" s="30"/>
      <c r="ED5" s="30"/>
      <c r="EE5" s="30"/>
      <c r="EF5" s="30"/>
      <c r="EG5" s="30"/>
      <c r="EH5" s="30"/>
      <c r="EI5" s="30"/>
      <c r="EJ5" s="30"/>
      <c r="EK5" s="30"/>
      <c r="EL5" s="30"/>
      <c r="EM5" s="30"/>
      <c r="EN5" s="30"/>
      <c r="EO5" s="30"/>
      <c r="EP5" s="30"/>
      <c r="EQ5" s="30"/>
      <c r="ER5" s="30"/>
      <c r="ES5" s="30"/>
      <c r="ET5" s="30"/>
      <c r="EU5" s="30"/>
      <c r="EV5" s="30"/>
      <c r="EW5" s="30"/>
      <c r="EX5" s="30"/>
      <c r="EY5" s="30"/>
      <c r="EZ5" s="30"/>
      <c r="FA5" s="30"/>
      <c r="FB5" s="30"/>
      <c r="FC5" s="30"/>
      <c r="FD5" s="30"/>
      <c r="FE5" s="30"/>
      <c r="FF5" s="30"/>
      <c r="FG5" s="30"/>
      <c r="FH5" s="30"/>
      <c r="FI5" s="30"/>
      <c r="FJ5" s="30"/>
      <c r="FK5" s="30"/>
      <c r="FL5" s="30"/>
      <c r="FM5" s="30"/>
      <c r="FN5" s="30"/>
      <c r="FO5" s="30"/>
      <c r="FP5" s="30"/>
      <c r="FQ5" s="30"/>
      <c r="FR5" s="30"/>
      <c r="FS5" s="30"/>
      <c r="FT5" s="30"/>
      <c r="FU5" s="30"/>
      <c r="FV5" s="30"/>
      <c r="FW5" s="30"/>
      <c r="FX5" s="30"/>
      <c r="FY5" s="30"/>
      <c r="FZ5" s="30"/>
      <c r="GA5" s="30"/>
      <c r="GB5" s="30"/>
      <c r="GC5" s="30"/>
      <c r="GD5" s="30"/>
      <c r="GE5" s="30"/>
      <c r="GF5" s="30"/>
      <c r="GG5" s="30"/>
      <c r="GH5" s="30"/>
      <c r="GI5" s="30"/>
      <c r="GJ5" s="30"/>
      <c r="GK5" s="30"/>
      <c r="GL5" s="30"/>
      <c r="GM5" s="30"/>
      <c r="GN5" s="30"/>
      <c r="GO5" s="30"/>
      <c r="GP5" s="30"/>
      <c r="GQ5" s="30"/>
      <c r="GR5" s="30"/>
      <c r="GS5" s="30"/>
      <c r="GT5" s="30"/>
      <c r="GU5" s="30"/>
      <c r="GV5" s="30"/>
      <c r="GW5" s="30"/>
      <c r="GX5" s="30"/>
      <c r="GY5" s="30"/>
      <c r="GZ5" s="30"/>
      <c r="HA5" s="30"/>
      <c r="HB5" s="30"/>
      <c r="HC5" s="30"/>
      <c r="HD5" s="30"/>
      <c r="HE5" s="30"/>
      <c r="HF5" s="30"/>
      <c r="HG5" s="30"/>
      <c r="HH5" s="30"/>
      <c r="HI5" s="30"/>
      <c r="HJ5" s="30"/>
      <c r="HK5" s="30"/>
      <c r="HL5" s="30"/>
      <c r="HM5" s="30"/>
      <c r="HN5" s="30"/>
      <c r="HO5" s="30"/>
      <c r="HP5" s="30"/>
      <c r="HQ5" s="30"/>
      <c r="HR5" s="30"/>
      <c r="HS5" s="30"/>
      <c r="HT5" s="30"/>
      <c r="HU5" s="30"/>
      <c r="HV5" s="30"/>
      <c r="HW5" s="30"/>
    </row>
    <row r="6" s="32" customFormat="true" ht="16.5" hidden="false" customHeight="true" outlineLevel="0" collapsed="false">
      <c r="A6" s="29" t="s">
        <v>33</v>
      </c>
      <c r="B6" s="29"/>
      <c r="C6" s="29"/>
      <c r="D6" s="29"/>
      <c r="E6" s="29"/>
      <c r="F6" s="29"/>
      <c r="G6" s="29"/>
      <c r="H6" s="29"/>
      <c r="I6" s="29"/>
      <c r="J6" s="29"/>
      <c r="K6" s="29"/>
      <c r="L6" s="29"/>
      <c r="M6" s="29"/>
      <c r="N6" s="29"/>
      <c r="O6" s="29"/>
      <c r="P6" s="29"/>
      <c r="Q6" s="29"/>
      <c r="R6" s="29"/>
      <c r="S6" s="29"/>
      <c r="T6" s="29"/>
      <c r="U6" s="29"/>
      <c r="V6" s="29"/>
      <c r="W6" s="29"/>
      <c r="X6" s="29"/>
      <c r="Y6" s="29"/>
      <c r="Z6" s="29"/>
      <c r="AA6" s="29"/>
      <c r="AB6" s="29"/>
      <c r="AC6" s="30"/>
      <c r="AD6" s="30"/>
      <c r="AE6" s="30"/>
      <c r="AF6" s="30"/>
      <c r="AG6" s="30"/>
      <c r="AH6" s="30"/>
      <c r="AI6" s="30"/>
      <c r="AJ6" s="30"/>
      <c r="AK6" s="30"/>
      <c r="AL6" s="30"/>
      <c r="AM6" s="30"/>
      <c r="AN6" s="30"/>
      <c r="AO6" s="30"/>
      <c r="AP6" s="30"/>
      <c r="AQ6" s="30"/>
      <c r="AR6" s="30"/>
      <c r="AS6" s="30"/>
      <c r="AT6" s="30"/>
      <c r="AU6" s="30"/>
      <c r="AV6" s="30"/>
      <c r="AW6" s="30"/>
      <c r="AX6" s="30"/>
      <c r="AY6" s="30"/>
      <c r="AZ6" s="30"/>
      <c r="BA6" s="30"/>
      <c r="BB6" s="30"/>
      <c r="BC6" s="30"/>
      <c r="BD6" s="30"/>
      <c r="BE6" s="30"/>
      <c r="BF6" s="30"/>
      <c r="BG6" s="30"/>
      <c r="BH6" s="30"/>
      <c r="BI6" s="30"/>
      <c r="BJ6" s="30"/>
      <c r="BK6" s="30"/>
      <c r="BL6" s="30"/>
      <c r="BM6" s="30"/>
      <c r="BN6" s="30"/>
      <c r="BO6" s="30"/>
      <c r="BP6" s="30"/>
      <c r="BQ6" s="30"/>
      <c r="BR6" s="30"/>
      <c r="BS6" s="30"/>
      <c r="BT6" s="30"/>
      <c r="BU6" s="30"/>
      <c r="BV6" s="30"/>
      <c r="BW6" s="30"/>
      <c r="BX6" s="30"/>
      <c r="BY6" s="30"/>
      <c r="BZ6" s="30"/>
      <c r="CA6" s="30"/>
      <c r="CB6" s="30"/>
      <c r="CC6" s="30"/>
      <c r="CD6" s="30"/>
      <c r="CE6" s="30"/>
      <c r="CF6" s="30"/>
      <c r="CG6" s="30"/>
      <c r="CH6" s="30"/>
      <c r="CI6" s="30"/>
      <c r="CJ6" s="30"/>
      <c r="CK6" s="30"/>
      <c r="CL6" s="30"/>
      <c r="CM6" s="30"/>
      <c r="CN6" s="30"/>
      <c r="CO6" s="30"/>
      <c r="CP6" s="30"/>
      <c r="CQ6" s="30"/>
      <c r="CR6" s="30"/>
      <c r="CS6" s="30"/>
      <c r="CT6" s="30"/>
      <c r="CU6" s="30"/>
      <c r="CV6" s="30"/>
      <c r="CW6" s="30"/>
      <c r="CX6" s="30"/>
      <c r="CY6" s="30"/>
      <c r="CZ6" s="30"/>
      <c r="DA6" s="30"/>
      <c r="DB6" s="30"/>
      <c r="DC6" s="30"/>
      <c r="DD6" s="30"/>
      <c r="DE6" s="30"/>
      <c r="DF6" s="30"/>
      <c r="DG6" s="30"/>
      <c r="DH6" s="30"/>
      <c r="DI6" s="30"/>
      <c r="DJ6" s="30"/>
      <c r="DK6" s="30"/>
      <c r="DL6" s="30"/>
      <c r="DM6" s="30"/>
      <c r="DN6" s="30"/>
      <c r="DO6" s="30"/>
      <c r="DP6" s="30"/>
      <c r="DQ6" s="30"/>
      <c r="DR6" s="30"/>
      <c r="DS6" s="30"/>
      <c r="DT6" s="30"/>
      <c r="DU6" s="30"/>
      <c r="DV6" s="30"/>
      <c r="DW6" s="30"/>
      <c r="DX6" s="30"/>
      <c r="DY6" s="30"/>
      <c r="DZ6" s="30"/>
      <c r="EA6" s="30"/>
      <c r="EB6" s="30"/>
      <c r="EC6" s="30"/>
      <c r="ED6" s="30"/>
      <c r="EE6" s="30"/>
      <c r="EF6" s="30"/>
      <c r="EG6" s="30"/>
      <c r="EH6" s="30"/>
      <c r="EI6" s="30"/>
      <c r="EJ6" s="30"/>
      <c r="EK6" s="30"/>
      <c r="EL6" s="30"/>
      <c r="EM6" s="30"/>
      <c r="EN6" s="30"/>
      <c r="EO6" s="30"/>
      <c r="EP6" s="30"/>
      <c r="EQ6" s="30"/>
      <c r="ER6" s="30"/>
      <c r="ES6" s="30"/>
      <c r="ET6" s="30"/>
      <c r="EU6" s="30"/>
      <c r="EV6" s="30"/>
      <c r="EW6" s="30"/>
      <c r="EX6" s="30"/>
      <c r="EY6" s="30"/>
      <c r="EZ6" s="30"/>
      <c r="FA6" s="30"/>
      <c r="FB6" s="30"/>
      <c r="FC6" s="30"/>
      <c r="FD6" s="30"/>
      <c r="FE6" s="30"/>
      <c r="FF6" s="30"/>
      <c r="FG6" s="30"/>
      <c r="FH6" s="30"/>
      <c r="FI6" s="30"/>
      <c r="FJ6" s="30"/>
      <c r="FK6" s="30"/>
      <c r="FL6" s="30"/>
      <c r="FM6" s="30"/>
      <c r="FN6" s="30"/>
      <c r="FO6" s="30"/>
      <c r="FP6" s="30"/>
      <c r="FQ6" s="30"/>
      <c r="FR6" s="30"/>
      <c r="FS6" s="30"/>
      <c r="FT6" s="30"/>
      <c r="FU6" s="30"/>
      <c r="FV6" s="30"/>
      <c r="FW6" s="30"/>
      <c r="FX6" s="30"/>
      <c r="FY6" s="30"/>
      <c r="FZ6" s="30"/>
      <c r="GA6" s="30"/>
      <c r="GB6" s="30"/>
      <c r="GC6" s="30"/>
      <c r="GD6" s="30"/>
      <c r="GE6" s="30"/>
      <c r="GF6" s="30"/>
      <c r="GG6" s="30"/>
      <c r="GH6" s="30"/>
      <c r="GI6" s="30"/>
      <c r="GJ6" s="30"/>
      <c r="GK6" s="30"/>
      <c r="GL6" s="30"/>
      <c r="GM6" s="30"/>
      <c r="GN6" s="30"/>
      <c r="GO6" s="30"/>
      <c r="GP6" s="30"/>
      <c r="GQ6" s="30"/>
      <c r="GR6" s="30"/>
      <c r="GS6" s="30"/>
      <c r="GT6" s="30"/>
      <c r="GU6" s="30"/>
      <c r="GV6" s="30"/>
      <c r="GW6" s="30"/>
      <c r="GX6" s="30"/>
      <c r="GY6" s="30"/>
      <c r="GZ6" s="30"/>
      <c r="HA6" s="30"/>
      <c r="HB6" s="30"/>
      <c r="HC6" s="30"/>
      <c r="HD6" s="30"/>
      <c r="HE6" s="30"/>
      <c r="HF6" s="30"/>
      <c r="HG6" s="30"/>
      <c r="HH6" s="30"/>
      <c r="HI6" s="30"/>
      <c r="HJ6" s="30"/>
      <c r="HK6" s="30"/>
      <c r="HL6" s="30"/>
      <c r="HM6" s="30"/>
      <c r="HN6" s="30"/>
      <c r="HO6" s="30"/>
      <c r="HP6" s="30"/>
      <c r="HQ6" s="30"/>
      <c r="HR6" s="30"/>
      <c r="HS6" s="30"/>
      <c r="HT6" s="30"/>
      <c r="HU6" s="30"/>
      <c r="HV6" s="30"/>
      <c r="HW6" s="30"/>
    </row>
    <row r="7" s="32" customFormat="true" ht="30" hidden="false" customHeight="true" outlineLevel="0" collapsed="false">
      <c r="A7" s="33" t="s">
        <v>34</v>
      </c>
      <c r="B7" s="34"/>
      <c r="D7" s="35" t="str">
        <f>VLOOKUP(AZ2,'[1]Tuyến XD8'!$A$2:$B$60,2,0)</f>
        <v xml:space="preserve">Đắp đất nền đường lớp 6 đoạn từ Km0+489,19 - Km0+609,11, độ chặt K&gt;=0,95</v>
      </c>
      <c r="E7" s="35"/>
      <c r="F7" s="35"/>
      <c r="G7" s="35"/>
      <c r="H7" s="35"/>
      <c r="I7" s="35"/>
      <c r="J7" s="35"/>
      <c r="K7" s="35"/>
      <c r="L7" s="35"/>
      <c r="M7" s="35"/>
      <c r="N7" s="35"/>
      <c r="O7" s="35"/>
      <c r="P7" s="35"/>
      <c r="Q7" s="35"/>
      <c r="R7" s="35"/>
      <c r="S7" s="35"/>
      <c r="T7" s="35"/>
      <c r="U7" s="35"/>
      <c r="V7" s="35"/>
      <c r="W7" s="35"/>
      <c r="X7" s="35"/>
      <c r="Y7" s="35"/>
      <c r="Z7" s="35"/>
      <c r="AA7" s="35"/>
      <c r="AB7" s="35"/>
      <c r="AC7" s="30"/>
      <c r="AD7" s="30"/>
      <c r="AE7" s="30"/>
      <c r="AF7" s="30"/>
      <c r="AG7" s="30"/>
      <c r="AH7" s="30"/>
      <c r="AI7" s="30"/>
      <c r="AJ7" s="30"/>
      <c r="AK7" s="30"/>
      <c r="AL7" s="30"/>
      <c r="AM7" s="30"/>
      <c r="AN7" s="30"/>
      <c r="AO7" s="30"/>
      <c r="AP7" s="30"/>
      <c r="AQ7" s="30"/>
      <c r="AR7" s="30"/>
      <c r="AS7" s="30"/>
      <c r="AT7" s="30"/>
      <c r="AU7" s="30"/>
      <c r="AV7" s="30"/>
      <c r="AW7" s="30"/>
      <c r="AX7" s="30"/>
      <c r="AY7" s="30"/>
      <c r="AZ7" s="30"/>
      <c r="BA7" s="30"/>
      <c r="BB7" s="30"/>
      <c r="BC7" s="30"/>
      <c r="BD7" s="30"/>
      <c r="BE7" s="30"/>
      <c r="BF7" s="30"/>
      <c r="BG7" s="30"/>
      <c r="BH7" s="30"/>
      <c r="BI7" s="30"/>
      <c r="BJ7" s="30"/>
      <c r="BK7" s="30"/>
      <c r="BL7" s="30"/>
      <c r="BM7" s="30"/>
      <c r="BN7" s="30"/>
      <c r="BO7" s="30"/>
      <c r="BP7" s="30"/>
      <c r="BQ7" s="30"/>
      <c r="BR7" s="30"/>
      <c r="BS7" s="30"/>
      <c r="BT7" s="30"/>
      <c r="BU7" s="30"/>
      <c r="BV7" s="30"/>
      <c r="BW7" s="30"/>
      <c r="BX7" s="30"/>
      <c r="BY7" s="30"/>
      <c r="BZ7" s="30"/>
      <c r="CA7" s="30"/>
      <c r="CB7" s="30"/>
      <c r="CC7" s="30"/>
      <c r="CD7" s="30"/>
      <c r="CE7" s="30"/>
      <c r="CF7" s="30"/>
      <c r="CG7" s="30"/>
      <c r="CH7" s="30"/>
      <c r="CI7" s="30"/>
      <c r="CJ7" s="30"/>
      <c r="CK7" s="30"/>
      <c r="CL7" s="30"/>
      <c r="CM7" s="30"/>
      <c r="CN7" s="30"/>
      <c r="CO7" s="30"/>
      <c r="CP7" s="30"/>
      <c r="CQ7" s="30"/>
      <c r="CR7" s="30"/>
      <c r="CS7" s="30"/>
      <c r="CT7" s="30"/>
      <c r="CU7" s="30"/>
      <c r="CV7" s="30"/>
      <c r="CW7" s="30"/>
      <c r="CX7" s="30"/>
      <c r="CY7" s="30"/>
      <c r="CZ7" s="30"/>
      <c r="DA7" s="30"/>
      <c r="DB7" s="30"/>
      <c r="DC7" s="30"/>
      <c r="DD7" s="30"/>
      <c r="DE7" s="30"/>
      <c r="DF7" s="30"/>
      <c r="DG7" s="30"/>
      <c r="DH7" s="30"/>
      <c r="DI7" s="30"/>
      <c r="DJ7" s="30"/>
      <c r="DK7" s="30"/>
      <c r="DL7" s="30"/>
      <c r="DM7" s="30"/>
      <c r="DN7" s="30"/>
      <c r="DO7" s="30"/>
      <c r="DP7" s="30"/>
      <c r="DQ7" s="30"/>
      <c r="DR7" s="30"/>
      <c r="DS7" s="30"/>
      <c r="DT7" s="30"/>
      <c r="DU7" s="30"/>
      <c r="DV7" s="30"/>
      <c r="DW7" s="30"/>
      <c r="DX7" s="30"/>
      <c r="DY7" s="30"/>
      <c r="DZ7" s="30"/>
      <c r="EA7" s="30"/>
      <c r="EB7" s="30"/>
      <c r="EC7" s="30"/>
      <c r="ED7" s="30"/>
      <c r="EE7" s="30"/>
      <c r="EF7" s="30"/>
      <c r="EG7" s="30"/>
      <c r="EH7" s="30"/>
      <c r="EI7" s="30"/>
      <c r="EJ7" s="30"/>
      <c r="EK7" s="30"/>
      <c r="EL7" s="30"/>
      <c r="EM7" s="30"/>
      <c r="EN7" s="30"/>
      <c r="EO7" s="30"/>
      <c r="EP7" s="30"/>
      <c r="EQ7" s="30"/>
      <c r="ER7" s="30"/>
      <c r="ES7" s="30"/>
      <c r="ET7" s="30"/>
      <c r="EU7" s="30"/>
      <c r="EV7" s="30"/>
      <c r="EW7" s="30"/>
      <c r="EX7" s="30"/>
      <c r="EY7" s="30"/>
      <c r="EZ7" s="30"/>
      <c r="FA7" s="30"/>
      <c r="FB7" s="30"/>
      <c r="FC7" s="30"/>
      <c r="FD7" s="30"/>
      <c r="FE7" s="30"/>
      <c r="FF7" s="30"/>
      <c r="FG7" s="30"/>
      <c r="FH7" s="30"/>
      <c r="FI7" s="30"/>
      <c r="FJ7" s="30"/>
      <c r="FK7" s="30"/>
      <c r="FL7" s="30"/>
      <c r="FM7" s="30"/>
      <c r="FN7" s="30"/>
      <c r="FO7" s="30"/>
      <c r="FP7" s="30"/>
      <c r="FQ7" s="30"/>
      <c r="FR7" s="30"/>
      <c r="FS7" s="30"/>
      <c r="FT7" s="30"/>
      <c r="FU7" s="30"/>
      <c r="FV7" s="30"/>
      <c r="FW7" s="30"/>
      <c r="FX7" s="30"/>
      <c r="FY7" s="30"/>
      <c r="FZ7" s="30"/>
      <c r="GA7" s="30"/>
      <c r="GB7" s="30"/>
      <c r="GC7" s="30"/>
      <c r="GD7" s="30"/>
      <c r="GE7" s="30"/>
      <c r="GF7" s="30"/>
      <c r="GG7" s="30"/>
      <c r="GH7" s="30"/>
      <c r="GI7" s="30"/>
      <c r="GJ7" s="30"/>
      <c r="GK7" s="30"/>
      <c r="GL7" s="30"/>
      <c r="GM7" s="30"/>
      <c r="GN7" s="30"/>
      <c r="GO7" s="30"/>
      <c r="GP7" s="30"/>
      <c r="GQ7" s="30"/>
      <c r="GR7" s="30"/>
      <c r="GS7" s="30"/>
      <c r="GT7" s="30"/>
      <c r="GU7" s="30"/>
      <c r="GV7" s="30"/>
      <c r="GW7" s="30"/>
      <c r="GX7" s="30"/>
      <c r="GY7" s="30"/>
      <c r="GZ7" s="30"/>
      <c r="HA7" s="30"/>
      <c r="HB7" s="30"/>
      <c r="HC7" s="30"/>
      <c r="HD7" s="30"/>
      <c r="HE7" s="30"/>
      <c r="HF7" s="30"/>
      <c r="HG7" s="30"/>
      <c r="HH7" s="30"/>
      <c r="HI7" s="30"/>
      <c r="HJ7" s="30"/>
      <c r="HK7" s="30"/>
      <c r="HL7" s="30"/>
      <c r="HM7" s="30"/>
      <c r="HN7" s="30"/>
      <c r="HO7" s="30"/>
      <c r="HP7" s="30"/>
      <c r="HQ7" s="30"/>
      <c r="HR7" s="30"/>
      <c r="HS7" s="30"/>
      <c r="HT7" s="30"/>
      <c r="HU7" s="30"/>
      <c r="HV7" s="30"/>
      <c r="HW7" s="30"/>
    </row>
    <row r="8" s="30" customFormat="true" ht="13.5" hidden="false" customHeight="true" outlineLevel="0" collapsed="false">
      <c r="A8" s="36"/>
      <c r="B8" s="36"/>
      <c r="C8" s="36"/>
      <c r="D8" s="36"/>
      <c r="E8" s="36"/>
      <c r="F8" s="36"/>
      <c r="G8" s="36"/>
      <c r="H8" s="36"/>
      <c r="I8" s="36"/>
      <c r="J8" s="36"/>
      <c r="K8" s="36"/>
      <c r="L8" s="36"/>
      <c r="M8" s="36"/>
      <c r="N8" s="36"/>
      <c r="O8" s="36"/>
      <c r="P8" s="36"/>
      <c r="Q8" s="36"/>
      <c r="R8" s="36"/>
      <c r="S8" s="36"/>
      <c r="T8" s="36"/>
      <c r="U8" s="36"/>
      <c r="V8" s="36"/>
      <c r="W8" s="36"/>
      <c r="X8" s="36"/>
      <c r="Y8" s="36"/>
      <c r="Z8" s="36"/>
      <c r="AA8" s="36"/>
      <c r="AB8" s="36"/>
    </row>
    <row r="9" s="43" customFormat="true" ht="22.5" hidden="false" customHeight="true" outlineLevel="0" collapsed="false">
      <c r="A9" s="37" t="s">
        <v>0</v>
      </c>
      <c r="B9" s="37" t="s">
        <v>38</v>
      </c>
      <c r="C9" s="37" t="s">
        <v>39</v>
      </c>
      <c r="D9" s="38" t="s">
        <v>55</v>
      </c>
      <c r="E9" s="39"/>
      <c r="F9" s="39"/>
      <c r="G9" s="38"/>
      <c r="H9" s="39"/>
      <c r="I9" s="39"/>
      <c r="J9" s="39"/>
      <c r="K9" s="39"/>
      <c r="L9" s="39"/>
      <c r="M9" s="40" t="s">
        <v>56</v>
      </c>
      <c r="N9" s="40"/>
      <c r="O9" s="40"/>
      <c r="P9" s="40"/>
      <c r="Q9" s="40"/>
      <c r="R9" s="40"/>
      <c r="S9" s="40"/>
      <c r="T9" s="40"/>
      <c r="U9" s="40"/>
      <c r="V9" s="40"/>
      <c r="W9" s="40"/>
      <c r="X9" s="40"/>
      <c r="Y9" s="40"/>
      <c r="Z9" s="41"/>
      <c r="AA9" s="41"/>
      <c r="AB9" s="38" t="s">
        <v>43</v>
      </c>
      <c r="AC9" s="42"/>
    </row>
    <row r="10" s="49" customFormat="true" ht="28.5" hidden="false" customHeight="true" outlineLevel="0" collapsed="false">
      <c r="A10" s="37"/>
      <c r="B10" s="37"/>
      <c r="C10" s="37"/>
      <c r="D10" s="37"/>
      <c r="E10" s="40"/>
      <c r="F10" s="40"/>
      <c r="G10" s="40"/>
      <c r="H10" s="40"/>
      <c r="I10" s="40"/>
      <c r="J10" s="40"/>
      <c r="K10" s="40"/>
      <c r="L10" s="40"/>
      <c r="M10" s="40"/>
      <c r="N10" s="40" t="s">
        <v>57</v>
      </c>
      <c r="O10" s="40" t="s">
        <v>58</v>
      </c>
      <c r="P10" s="40" t="s">
        <v>57</v>
      </c>
      <c r="Q10" s="40" t="s">
        <v>57</v>
      </c>
      <c r="R10" s="40"/>
      <c r="S10" s="40"/>
      <c r="T10" s="40"/>
      <c r="U10" s="40" t="s">
        <v>59</v>
      </c>
      <c r="V10" s="40" t="s">
        <v>59</v>
      </c>
      <c r="W10" s="40" t="s">
        <v>60</v>
      </c>
      <c r="X10" s="40" t="s">
        <v>59</v>
      </c>
      <c r="Y10" s="40" t="s">
        <v>59</v>
      </c>
      <c r="Z10" s="45"/>
      <c r="AA10" s="45"/>
      <c r="AB10" s="38"/>
      <c r="AC10" s="46"/>
      <c r="AD10" s="47"/>
    </row>
    <row r="11" s="49" customFormat="true" ht="15" hidden="false" customHeight="true" outlineLevel="0" collapsed="false">
      <c r="A11" s="13" t="n">
        <v>1</v>
      </c>
      <c r="B11" s="13" t="str">
        <f aca="false">'6.KTHH L6'!B22</f>
        <v>25</v>
      </c>
      <c r="C11" s="51" t="n">
        <f aca="false">'6.KTHH L6'!C22</f>
        <v>489.19</v>
      </c>
      <c r="D11" s="13" t="n">
        <f aca="false">'6.KTHH L6'!T22</f>
        <v>13.17</v>
      </c>
      <c r="E11" s="52"/>
      <c r="F11" s="52"/>
      <c r="G11" s="52"/>
      <c r="H11" s="52"/>
      <c r="I11" s="52"/>
      <c r="J11" s="52"/>
      <c r="K11" s="53"/>
      <c r="L11" s="16"/>
      <c r="M11" s="17"/>
      <c r="N11" s="54"/>
      <c r="O11" s="53" t="n">
        <f aca="false">Chạy!E4</f>
        <v>7.02</v>
      </c>
      <c r="P11" s="53"/>
      <c r="Q11" s="53"/>
      <c r="R11" s="55"/>
      <c r="S11" s="55"/>
      <c r="T11" s="55"/>
      <c r="U11" s="55"/>
      <c r="V11" s="55"/>
      <c r="W11" s="55" t="n">
        <f aca="false">(O11+O12)*D11/2</f>
        <v>97.91895</v>
      </c>
      <c r="X11" s="55"/>
      <c r="Y11" s="55"/>
      <c r="Z11" s="55"/>
      <c r="AA11" s="55"/>
      <c r="AB11" s="56"/>
      <c r="AC11" s="57"/>
    </row>
    <row r="12" s="49" customFormat="true" ht="15" hidden="false" customHeight="true" outlineLevel="0" collapsed="false">
      <c r="A12" s="13" t="n">
        <v>2</v>
      </c>
      <c r="B12" s="13" t="str">
        <f aca="false">'6.KTHH L6'!B23</f>
        <v>D1</v>
      </c>
      <c r="C12" s="51" t="n">
        <f aca="false">'6.KTHH L6'!C23</f>
        <v>502.36</v>
      </c>
      <c r="D12" s="13" t="n">
        <f aca="false">'6.KTHH L6'!T23</f>
        <v>10.48</v>
      </c>
      <c r="E12" s="52"/>
      <c r="F12" s="52"/>
      <c r="G12" s="52"/>
      <c r="H12" s="52"/>
      <c r="I12" s="52"/>
      <c r="J12" s="52"/>
      <c r="K12" s="53"/>
      <c r="L12" s="16"/>
      <c r="M12" s="17"/>
      <c r="N12" s="54"/>
      <c r="O12" s="53" t="n">
        <f aca="false">Chạy!E12</f>
        <v>7.85</v>
      </c>
      <c r="P12" s="53"/>
      <c r="Q12" s="53"/>
      <c r="R12" s="55"/>
      <c r="S12" s="55"/>
      <c r="T12" s="55"/>
      <c r="U12" s="55"/>
      <c r="V12" s="55"/>
      <c r="W12" s="55" t="n">
        <f aca="false">(O12+O13)*D12/2</f>
        <v>82.268</v>
      </c>
      <c r="X12" s="55"/>
      <c r="Y12" s="55"/>
      <c r="Z12" s="55"/>
      <c r="AA12" s="55"/>
      <c r="AB12" s="56"/>
      <c r="AC12" s="57"/>
    </row>
    <row r="13" s="49" customFormat="true" ht="15" hidden="false" customHeight="true" outlineLevel="0" collapsed="false">
      <c r="A13" s="13" t="n">
        <v>3</v>
      </c>
      <c r="B13" s="13" t="str">
        <f aca="false">'6.KTHH L6'!B24</f>
        <v>26</v>
      </c>
      <c r="C13" s="51" t="n">
        <f aca="false">'6.KTHH L6'!C24</f>
        <v>512.84</v>
      </c>
      <c r="D13" s="13" t="n">
        <f aca="false">'6.KTHH L6'!T24</f>
        <v>16.78</v>
      </c>
      <c r="E13" s="52"/>
      <c r="F13" s="52"/>
      <c r="G13" s="52"/>
      <c r="H13" s="52"/>
      <c r="I13" s="52"/>
      <c r="J13" s="52"/>
      <c r="K13" s="53"/>
      <c r="L13" s="16"/>
      <c r="M13" s="17"/>
      <c r="N13" s="54"/>
      <c r="O13" s="53" t="n">
        <f aca="false">Chạy!E20</f>
        <v>7.85</v>
      </c>
      <c r="P13" s="53"/>
      <c r="Q13" s="53"/>
      <c r="R13" s="55"/>
      <c r="S13" s="55"/>
      <c r="T13" s="55"/>
      <c r="U13" s="55"/>
      <c r="V13" s="55"/>
      <c r="W13" s="55" t="n">
        <f aca="false">(O13+O14)*D13/2</f>
        <v>131.723</v>
      </c>
      <c r="X13" s="55"/>
      <c r="Y13" s="55"/>
      <c r="Z13" s="55"/>
      <c r="AA13" s="55"/>
      <c r="AB13" s="56"/>
      <c r="AC13" s="57"/>
    </row>
    <row r="14" s="49" customFormat="true" ht="15" hidden="false" customHeight="true" outlineLevel="0" collapsed="false">
      <c r="A14" s="13" t="n">
        <v>4</v>
      </c>
      <c r="B14" s="13" t="str">
        <f aca="false">'6.KTHH L6'!B25</f>
        <v>27</v>
      </c>
      <c r="C14" s="51" t="n">
        <f aca="false">'6.KTHH L6'!C25</f>
        <v>529.62</v>
      </c>
      <c r="D14" s="13" t="n">
        <f aca="false">'6.KTHH L6'!T25</f>
        <v>17.1</v>
      </c>
      <c r="E14" s="52"/>
      <c r="F14" s="52"/>
      <c r="G14" s="52"/>
      <c r="H14" s="52"/>
      <c r="I14" s="52"/>
      <c r="J14" s="52"/>
      <c r="K14" s="53"/>
      <c r="L14" s="16"/>
      <c r="M14" s="17"/>
      <c r="N14" s="54"/>
      <c r="O14" s="53" t="n">
        <f aca="false">Chạy!E28</f>
        <v>7.85</v>
      </c>
      <c r="P14" s="53"/>
      <c r="Q14" s="53"/>
      <c r="R14" s="55"/>
      <c r="S14" s="55"/>
      <c r="T14" s="55"/>
      <c r="U14" s="55"/>
      <c r="V14" s="55"/>
      <c r="W14" s="55" t="n">
        <f aca="false">(O14+O15)*D14/2</f>
        <v>126.369</v>
      </c>
      <c r="X14" s="55"/>
      <c r="Y14" s="55"/>
      <c r="Z14" s="55"/>
      <c r="AA14" s="55"/>
      <c r="AB14" s="56"/>
      <c r="AC14" s="57"/>
    </row>
    <row r="15" s="49" customFormat="true" ht="15" hidden="false" customHeight="true" outlineLevel="0" collapsed="false">
      <c r="A15" s="13" t="n">
        <v>5</v>
      </c>
      <c r="B15" s="13" t="str">
        <f aca="false">'6.KTHH L6'!B26</f>
        <v>28</v>
      </c>
      <c r="C15" s="51" t="n">
        <f aca="false">'6.KTHH L6'!C26</f>
        <v>546.72</v>
      </c>
      <c r="D15" s="13" t="n">
        <f aca="false">'6.KTHH L6'!T26</f>
        <v>15.15</v>
      </c>
      <c r="E15" s="52"/>
      <c r="F15" s="52"/>
      <c r="G15" s="52"/>
      <c r="H15" s="52"/>
      <c r="I15" s="52"/>
      <c r="J15" s="52"/>
      <c r="K15" s="53"/>
      <c r="L15" s="16"/>
      <c r="M15" s="17"/>
      <c r="N15" s="54"/>
      <c r="O15" s="53" t="n">
        <f aca="false">Chạy!E36</f>
        <v>6.93</v>
      </c>
      <c r="P15" s="53"/>
      <c r="Q15" s="53"/>
      <c r="R15" s="55"/>
      <c r="S15" s="55"/>
      <c r="T15" s="55"/>
      <c r="U15" s="55"/>
      <c r="V15" s="55"/>
      <c r="W15" s="55" t="n">
        <f aca="false">(O15+O16)*D15/2</f>
        <v>111.9585</v>
      </c>
      <c r="X15" s="55"/>
      <c r="Y15" s="55"/>
      <c r="Z15" s="55"/>
      <c r="AA15" s="55"/>
      <c r="AB15" s="56"/>
      <c r="AC15" s="57"/>
    </row>
    <row r="16" s="49" customFormat="true" ht="15" hidden="false" customHeight="true" outlineLevel="0" collapsed="false">
      <c r="A16" s="13" t="n">
        <v>6</v>
      </c>
      <c r="B16" s="13" t="str">
        <f aca="false">'6.KTHH L6'!B27</f>
        <v>E5</v>
      </c>
      <c r="C16" s="51" t="n">
        <f aca="false">'6.KTHH L6'!C27</f>
        <v>561.87</v>
      </c>
      <c r="D16" s="13" t="n">
        <f aca="false">'6.KTHH L6'!T27</f>
        <v>0.15</v>
      </c>
      <c r="E16" s="52"/>
      <c r="F16" s="52"/>
      <c r="G16" s="52"/>
      <c r="H16" s="52"/>
      <c r="I16" s="52"/>
      <c r="J16" s="52"/>
      <c r="K16" s="53"/>
      <c r="L16" s="16"/>
      <c r="M16" s="17"/>
      <c r="N16" s="54"/>
      <c r="O16" s="53" t="n">
        <f aca="false">Chạy!E44</f>
        <v>7.85</v>
      </c>
      <c r="P16" s="53"/>
      <c r="Q16" s="53"/>
      <c r="R16" s="55"/>
      <c r="S16" s="55"/>
      <c r="T16" s="55"/>
      <c r="U16" s="55"/>
      <c r="V16" s="55"/>
      <c r="W16" s="55" t="n">
        <f aca="false">(O16+O17)*D16/2</f>
        <v>1.1775</v>
      </c>
      <c r="X16" s="55"/>
      <c r="Y16" s="55"/>
      <c r="Z16" s="55"/>
      <c r="AA16" s="55"/>
      <c r="AB16" s="56"/>
      <c r="AC16" s="57"/>
    </row>
    <row r="17" s="49" customFormat="true" ht="15" hidden="false" customHeight="true" outlineLevel="0" collapsed="false">
      <c r="A17" s="13" t="n">
        <v>7</v>
      </c>
      <c r="B17" s="13" t="str">
        <f aca="false">'6.KTHH L6'!B28</f>
        <v>TD</v>
      </c>
      <c r="C17" s="51" t="n">
        <f aca="false">'6.KTHH L6'!C28</f>
        <v>562.02</v>
      </c>
      <c r="D17" s="13" t="n">
        <f aca="false">'6.KTHH L6'!T28</f>
        <v>6.55</v>
      </c>
      <c r="E17" s="52"/>
      <c r="F17" s="52"/>
      <c r="G17" s="52"/>
      <c r="H17" s="52"/>
      <c r="I17" s="52"/>
      <c r="J17" s="52"/>
      <c r="K17" s="53"/>
      <c r="L17" s="16"/>
      <c r="M17" s="17"/>
      <c r="N17" s="54"/>
      <c r="O17" s="53" t="n">
        <f aca="false">Chạy!E52</f>
        <v>7.85</v>
      </c>
      <c r="P17" s="53"/>
      <c r="Q17" s="53"/>
      <c r="R17" s="55"/>
      <c r="S17" s="55"/>
      <c r="T17" s="55"/>
      <c r="U17" s="55"/>
      <c r="V17" s="55"/>
      <c r="W17" s="55" t="n">
        <f aca="false">(O17+O18)*D17/2</f>
        <v>51.4175</v>
      </c>
      <c r="X17" s="55"/>
      <c r="Y17" s="55"/>
      <c r="Z17" s="55"/>
      <c r="AA17" s="55"/>
      <c r="AB17" s="56"/>
      <c r="AC17" s="57"/>
    </row>
    <row r="18" s="49" customFormat="true" ht="15" hidden="false" customHeight="true" outlineLevel="0" collapsed="false">
      <c r="A18" s="13" t="n">
        <v>8</v>
      </c>
      <c r="B18" s="13" t="str">
        <f aca="false">'6.KTHH L6'!B29</f>
        <v>P</v>
      </c>
      <c r="C18" s="51" t="n">
        <f aca="false">'6.KTHH L6'!C29</f>
        <v>568.57</v>
      </c>
      <c r="D18" s="13" t="n">
        <f aca="false">'6.KTHH L6'!T29</f>
        <v>6.55</v>
      </c>
      <c r="E18" s="52"/>
      <c r="F18" s="52"/>
      <c r="G18" s="52"/>
      <c r="H18" s="52"/>
      <c r="I18" s="52"/>
      <c r="J18" s="52"/>
      <c r="K18" s="53"/>
      <c r="L18" s="16"/>
      <c r="M18" s="17"/>
      <c r="N18" s="54"/>
      <c r="O18" s="53" t="n">
        <f aca="false">Chạy!E60</f>
        <v>7.85</v>
      </c>
      <c r="P18" s="53"/>
      <c r="Q18" s="53"/>
      <c r="R18" s="55"/>
      <c r="S18" s="55"/>
      <c r="T18" s="55"/>
      <c r="U18" s="55"/>
      <c r="V18" s="55"/>
      <c r="W18" s="55" t="n">
        <f aca="false">(O18+O19)*D18/2</f>
        <v>51.4175</v>
      </c>
      <c r="X18" s="55"/>
      <c r="Y18" s="55"/>
      <c r="Z18" s="55"/>
      <c r="AA18" s="55"/>
      <c r="AB18" s="56"/>
      <c r="AC18" s="57"/>
    </row>
    <row r="19" s="49" customFormat="true" ht="15" hidden="false" customHeight="true" outlineLevel="0" collapsed="false">
      <c r="A19" s="13" t="n">
        <v>9</v>
      </c>
      <c r="B19" s="13" t="str">
        <f aca="false">'6.KTHH L6'!B30</f>
        <v>TC</v>
      </c>
      <c r="C19" s="51" t="n">
        <f aca="false">'6.KTHH L6'!C30</f>
        <v>575.12</v>
      </c>
      <c r="D19" s="13" t="n">
        <f aca="false">'6.KTHH L6'!T30</f>
        <v>0.04</v>
      </c>
      <c r="E19" s="52"/>
      <c r="F19" s="52"/>
      <c r="G19" s="52"/>
      <c r="H19" s="52"/>
      <c r="I19" s="52"/>
      <c r="J19" s="52"/>
      <c r="K19" s="53"/>
      <c r="L19" s="16"/>
      <c r="M19" s="17"/>
      <c r="N19" s="54"/>
      <c r="O19" s="53" t="n">
        <f aca="false">Chạy!E68</f>
        <v>7.85</v>
      </c>
      <c r="P19" s="53"/>
      <c r="Q19" s="53"/>
      <c r="R19" s="55"/>
      <c r="S19" s="55"/>
      <c r="T19" s="55"/>
      <c r="U19" s="55"/>
      <c r="V19" s="55"/>
      <c r="W19" s="55" t="n">
        <f aca="false">(O19+O20)*D19/2</f>
        <v>0.314</v>
      </c>
      <c r="X19" s="55"/>
      <c r="Y19" s="55"/>
      <c r="Z19" s="55"/>
      <c r="AA19" s="55"/>
      <c r="AB19" s="56"/>
      <c r="AC19" s="57"/>
    </row>
    <row r="20" s="49" customFormat="true" ht="15" hidden="false" customHeight="true" outlineLevel="0" collapsed="false">
      <c r="A20" s="13" t="n">
        <v>10</v>
      </c>
      <c r="B20" s="13" t="str">
        <f aca="false">'6.KTHH L6'!B31</f>
        <v>29</v>
      </c>
      <c r="C20" s="51" t="n">
        <f aca="false">'6.KTHH L6'!C31</f>
        <v>575.16</v>
      </c>
      <c r="D20" s="13" t="n">
        <f aca="false">'6.KTHH L6'!T31</f>
        <v>16.95</v>
      </c>
      <c r="E20" s="52"/>
      <c r="F20" s="52"/>
      <c r="G20" s="52"/>
      <c r="H20" s="52"/>
      <c r="I20" s="52"/>
      <c r="J20" s="52"/>
      <c r="K20" s="53"/>
      <c r="L20" s="16"/>
      <c r="M20" s="17"/>
      <c r="N20" s="54"/>
      <c r="O20" s="53" t="n">
        <f aca="false">Chạy!E76</f>
        <v>7.85</v>
      </c>
      <c r="P20" s="53"/>
      <c r="Q20" s="53"/>
      <c r="R20" s="55"/>
      <c r="S20" s="55"/>
      <c r="T20" s="55"/>
      <c r="U20" s="55"/>
      <c r="V20" s="55"/>
      <c r="W20" s="55" t="n">
        <f aca="false">(O20+O21)*D20/2</f>
        <v>133.0575</v>
      </c>
      <c r="X20" s="55"/>
      <c r="Y20" s="55"/>
      <c r="Z20" s="55"/>
      <c r="AA20" s="55"/>
      <c r="AB20" s="56"/>
      <c r="AC20" s="57"/>
    </row>
    <row r="21" s="49" customFormat="true" ht="15" hidden="false" customHeight="true" outlineLevel="0" collapsed="false">
      <c r="A21" s="13" t="n">
        <v>11</v>
      </c>
      <c r="B21" s="13" t="str">
        <f aca="false">'6.KTHH L6'!B32</f>
        <v>30</v>
      </c>
      <c r="C21" s="51" t="n">
        <f aca="false">'6.KTHH L6'!C32</f>
        <v>592.11</v>
      </c>
      <c r="D21" s="13" t="n">
        <f aca="false">'6.KTHH L6'!T32</f>
        <v>17</v>
      </c>
      <c r="E21" s="52"/>
      <c r="F21" s="52"/>
      <c r="G21" s="52"/>
      <c r="H21" s="52"/>
      <c r="I21" s="52"/>
      <c r="J21" s="52"/>
      <c r="K21" s="53"/>
      <c r="L21" s="16"/>
      <c r="M21" s="17"/>
      <c r="N21" s="54"/>
      <c r="O21" s="53" t="n">
        <f aca="false">Chạy!E84</f>
        <v>7.85</v>
      </c>
      <c r="P21" s="53"/>
      <c r="Q21" s="53"/>
      <c r="R21" s="55"/>
      <c r="S21" s="55"/>
      <c r="T21" s="55"/>
      <c r="U21" s="55"/>
      <c r="V21" s="55"/>
      <c r="W21" s="55" t="n">
        <f aca="false">(O21+O22)*D21/2</f>
        <v>133.45</v>
      </c>
      <c r="X21" s="55"/>
      <c r="Y21" s="55"/>
      <c r="Z21" s="55"/>
      <c r="AA21" s="55"/>
      <c r="AB21" s="56"/>
      <c r="AC21" s="57"/>
    </row>
    <row r="22" s="49" customFormat="true" ht="15" hidden="false" customHeight="true" outlineLevel="0" collapsed="false">
      <c r="A22" s="13" t="n">
        <v>12</v>
      </c>
      <c r="B22" s="13" t="str">
        <f aca="false">'6.KTHH L6'!B33</f>
        <v>31</v>
      </c>
      <c r="C22" s="51" t="n">
        <f aca="false">'6.KTHH L6'!C33</f>
        <v>609.11</v>
      </c>
      <c r="D22" s="13"/>
      <c r="E22" s="52"/>
      <c r="F22" s="52"/>
      <c r="G22" s="52"/>
      <c r="H22" s="52"/>
      <c r="I22" s="52"/>
      <c r="J22" s="52"/>
      <c r="K22" s="53"/>
      <c r="L22" s="16"/>
      <c r="M22" s="17"/>
      <c r="N22" s="54"/>
      <c r="O22" s="53" t="n">
        <f aca="false">Chạy!E92</f>
        <v>7.85</v>
      </c>
      <c r="P22" s="53"/>
      <c r="Q22" s="53"/>
      <c r="R22" s="55"/>
      <c r="S22" s="55"/>
      <c r="T22" s="55"/>
      <c r="U22" s="55"/>
      <c r="V22" s="55"/>
      <c r="W22" s="55"/>
      <c r="X22" s="55"/>
      <c r="Y22" s="55"/>
      <c r="Z22" s="55"/>
      <c r="AA22" s="55"/>
      <c r="AB22" s="56"/>
      <c r="AC22" s="57"/>
    </row>
    <row r="23" s="49" customFormat="true" ht="15" hidden="true" customHeight="true" outlineLevel="0" collapsed="false">
      <c r="A23" s="13"/>
      <c r="B23" s="13"/>
      <c r="C23" s="51"/>
      <c r="D23" s="13"/>
      <c r="E23" s="52"/>
      <c r="F23" s="52"/>
      <c r="G23" s="52"/>
      <c r="H23" s="52"/>
      <c r="I23" s="52"/>
      <c r="J23" s="52"/>
      <c r="K23" s="53"/>
      <c r="L23" s="16"/>
      <c r="M23" s="17"/>
      <c r="N23" s="54"/>
      <c r="O23" s="53"/>
      <c r="P23" s="53"/>
      <c r="Q23" s="53"/>
      <c r="R23" s="55"/>
      <c r="S23" s="55"/>
      <c r="T23" s="55"/>
      <c r="U23" s="55"/>
      <c r="V23" s="55"/>
      <c r="W23" s="55"/>
      <c r="X23" s="55"/>
      <c r="Y23" s="55"/>
      <c r="Z23" s="55"/>
      <c r="AA23" s="55"/>
      <c r="AB23" s="56"/>
      <c r="AC23" s="57"/>
    </row>
    <row r="24" s="49" customFormat="true" ht="15" hidden="true" customHeight="true" outlineLevel="0" collapsed="false">
      <c r="A24" s="13"/>
      <c r="B24" s="13"/>
      <c r="C24" s="51"/>
      <c r="D24" s="13"/>
      <c r="E24" s="52"/>
      <c r="F24" s="52"/>
      <c r="G24" s="52"/>
      <c r="H24" s="52"/>
      <c r="I24" s="52"/>
      <c r="J24" s="52"/>
      <c r="K24" s="53"/>
      <c r="L24" s="16"/>
      <c r="M24" s="17"/>
      <c r="N24" s="54"/>
      <c r="O24" s="53"/>
      <c r="P24" s="53"/>
      <c r="Q24" s="53"/>
      <c r="R24" s="55"/>
      <c r="S24" s="55"/>
      <c r="T24" s="55"/>
      <c r="U24" s="55"/>
      <c r="V24" s="55"/>
      <c r="W24" s="55"/>
      <c r="X24" s="55"/>
      <c r="Y24" s="55"/>
      <c r="Z24" s="55"/>
      <c r="AA24" s="55"/>
      <c r="AB24" s="56"/>
      <c r="AC24" s="57"/>
    </row>
    <row r="25" s="49" customFormat="true" ht="15" hidden="true" customHeight="true" outlineLevel="0" collapsed="false">
      <c r="A25" s="13"/>
      <c r="B25" s="13"/>
      <c r="C25" s="51"/>
      <c r="D25" s="13"/>
      <c r="E25" s="52"/>
      <c r="F25" s="52"/>
      <c r="G25" s="52"/>
      <c r="H25" s="52"/>
      <c r="I25" s="52"/>
      <c r="J25" s="52"/>
      <c r="K25" s="53"/>
      <c r="L25" s="16"/>
      <c r="M25" s="17"/>
      <c r="N25" s="54"/>
      <c r="O25" s="53"/>
      <c r="P25" s="53"/>
      <c r="Q25" s="53"/>
      <c r="R25" s="55"/>
      <c r="S25" s="55"/>
      <c r="T25" s="55"/>
      <c r="U25" s="55"/>
      <c r="V25" s="55"/>
      <c r="W25" s="55"/>
      <c r="X25" s="55"/>
      <c r="Y25" s="55"/>
      <c r="Z25" s="55"/>
      <c r="AA25" s="55"/>
      <c r="AB25" s="56"/>
      <c r="AC25" s="57"/>
    </row>
    <row r="26" s="49" customFormat="true" ht="15" hidden="true" customHeight="true" outlineLevel="0" collapsed="false">
      <c r="A26" s="13"/>
      <c r="B26" s="13"/>
      <c r="C26" s="51"/>
      <c r="D26" s="13"/>
      <c r="E26" s="52"/>
      <c r="F26" s="52"/>
      <c r="G26" s="52"/>
      <c r="H26" s="52"/>
      <c r="I26" s="52"/>
      <c r="J26" s="52"/>
      <c r="K26" s="53"/>
      <c r="L26" s="16"/>
      <c r="M26" s="17"/>
      <c r="N26" s="54"/>
      <c r="O26" s="53"/>
      <c r="P26" s="53"/>
      <c r="Q26" s="53"/>
      <c r="R26" s="55"/>
      <c r="S26" s="55"/>
      <c r="T26" s="55"/>
      <c r="U26" s="55"/>
      <c r="V26" s="55"/>
      <c r="W26" s="55"/>
      <c r="X26" s="55"/>
      <c r="Y26" s="55"/>
      <c r="Z26" s="55"/>
      <c r="AA26" s="55"/>
      <c r="AB26" s="56"/>
      <c r="AC26" s="57"/>
    </row>
    <row r="27" s="49" customFormat="true" ht="15" hidden="true" customHeight="true" outlineLevel="0" collapsed="false">
      <c r="A27" s="13"/>
      <c r="B27" s="13"/>
      <c r="C27" s="51"/>
      <c r="D27" s="13"/>
      <c r="E27" s="52"/>
      <c r="F27" s="52"/>
      <c r="G27" s="52"/>
      <c r="H27" s="52"/>
      <c r="I27" s="52"/>
      <c r="J27" s="52"/>
      <c r="K27" s="53"/>
      <c r="L27" s="16"/>
      <c r="M27" s="17"/>
      <c r="N27" s="54"/>
      <c r="O27" s="53"/>
      <c r="P27" s="53"/>
      <c r="Q27" s="53"/>
      <c r="R27" s="55"/>
      <c r="S27" s="55"/>
      <c r="T27" s="55"/>
      <c r="U27" s="55"/>
      <c r="V27" s="55"/>
      <c r="W27" s="55"/>
      <c r="X27" s="55"/>
      <c r="Y27" s="55"/>
      <c r="Z27" s="55"/>
      <c r="AA27" s="55"/>
      <c r="AB27" s="56"/>
      <c r="AC27" s="57"/>
    </row>
    <row r="28" s="49" customFormat="true" ht="15" hidden="true" customHeight="true" outlineLevel="0" collapsed="false">
      <c r="A28" s="13"/>
      <c r="B28" s="13"/>
      <c r="C28" s="51"/>
      <c r="D28" s="13"/>
      <c r="E28" s="52"/>
      <c r="F28" s="52"/>
      <c r="G28" s="52"/>
      <c r="H28" s="52"/>
      <c r="I28" s="52"/>
      <c r="J28" s="52"/>
      <c r="K28" s="53"/>
      <c r="L28" s="16"/>
      <c r="M28" s="17"/>
      <c r="N28" s="54"/>
      <c r="O28" s="53"/>
      <c r="P28" s="53"/>
      <c r="Q28" s="53"/>
      <c r="R28" s="55"/>
      <c r="S28" s="55"/>
      <c r="T28" s="55"/>
      <c r="U28" s="55"/>
      <c r="V28" s="55"/>
      <c r="W28" s="55"/>
      <c r="X28" s="55"/>
      <c r="Y28" s="55"/>
      <c r="Z28" s="55"/>
      <c r="AA28" s="55"/>
      <c r="AB28" s="56"/>
      <c r="AC28" s="57"/>
    </row>
    <row r="29" s="49" customFormat="true" ht="15" hidden="true" customHeight="true" outlineLevel="0" collapsed="false">
      <c r="A29" s="13"/>
      <c r="B29" s="13"/>
      <c r="C29" s="51"/>
      <c r="D29" s="13"/>
      <c r="E29" s="52"/>
      <c r="F29" s="52"/>
      <c r="G29" s="52"/>
      <c r="H29" s="52"/>
      <c r="I29" s="52"/>
      <c r="J29" s="52"/>
      <c r="K29" s="53"/>
      <c r="L29" s="16"/>
      <c r="M29" s="17"/>
      <c r="N29" s="54"/>
      <c r="O29" s="53"/>
      <c r="P29" s="53"/>
      <c r="Q29" s="53"/>
      <c r="R29" s="55"/>
      <c r="S29" s="55"/>
      <c r="T29" s="55"/>
      <c r="U29" s="55"/>
      <c r="V29" s="55"/>
      <c r="W29" s="55"/>
      <c r="X29" s="55"/>
      <c r="Y29" s="55"/>
      <c r="Z29" s="55"/>
      <c r="AA29" s="55"/>
      <c r="AB29" s="56"/>
      <c r="AC29" s="57"/>
    </row>
    <row r="30" s="49" customFormat="true" ht="15" hidden="true" customHeight="true" outlineLevel="0" collapsed="false">
      <c r="A30" s="13"/>
      <c r="B30" s="13"/>
      <c r="C30" s="51"/>
      <c r="D30" s="13"/>
      <c r="E30" s="52"/>
      <c r="F30" s="52"/>
      <c r="G30" s="52"/>
      <c r="H30" s="52"/>
      <c r="I30" s="52"/>
      <c r="J30" s="52"/>
      <c r="K30" s="53"/>
      <c r="L30" s="16"/>
      <c r="M30" s="17"/>
      <c r="N30" s="54"/>
      <c r="O30" s="53"/>
      <c r="P30" s="53"/>
      <c r="Q30" s="53"/>
      <c r="R30" s="55"/>
      <c r="S30" s="55"/>
      <c r="T30" s="55"/>
      <c r="U30" s="55"/>
      <c r="V30" s="55"/>
      <c r="W30" s="55"/>
      <c r="X30" s="55"/>
      <c r="Y30" s="55"/>
      <c r="Z30" s="55"/>
      <c r="AA30" s="55"/>
      <c r="AB30" s="56"/>
      <c r="AC30" s="57"/>
    </row>
    <row r="31" s="49" customFormat="true" ht="15" hidden="true" customHeight="true" outlineLevel="0" collapsed="false">
      <c r="A31" s="13"/>
      <c r="B31" s="13"/>
      <c r="C31" s="51"/>
      <c r="D31" s="13"/>
      <c r="E31" s="52"/>
      <c r="F31" s="52"/>
      <c r="G31" s="52"/>
      <c r="H31" s="52"/>
      <c r="I31" s="52"/>
      <c r="J31" s="52"/>
      <c r="K31" s="53"/>
      <c r="L31" s="16"/>
      <c r="M31" s="17"/>
      <c r="N31" s="54"/>
      <c r="O31" s="53"/>
      <c r="P31" s="53"/>
      <c r="Q31" s="53"/>
      <c r="R31" s="55"/>
      <c r="S31" s="55"/>
      <c r="T31" s="55"/>
      <c r="U31" s="55"/>
      <c r="V31" s="55"/>
      <c r="W31" s="55"/>
      <c r="X31" s="55"/>
      <c r="Y31" s="55"/>
      <c r="Z31" s="55"/>
      <c r="AA31" s="55"/>
      <c r="AB31" s="56"/>
      <c r="AC31" s="57"/>
    </row>
    <row r="32" s="49" customFormat="true" ht="15" hidden="true" customHeight="true" outlineLevel="0" collapsed="false">
      <c r="A32" s="13"/>
      <c r="B32" s="13"/>
      <c r="C32" s="51"/>
      <c r="D32" s="13"/>
      <c r="E32" s="52"/>
      <c r="F32" s="52"/>
      <c r="G32" s="52"/>
      <c r="H32" s="52"/>
      <c r="I32" s="52"/>
      <c r="J32" s="52"/>
      <c r="K32" s="53"/>
      <c r="L32" s="16"/>
      <c r="M32" s="17"/>
      <c r="N32" s="54"/>
      <c r="O32" s="53"/>
      <c r="P32" s="53"/>
      <c r="Q32" s="53"/>
      <c r="R32" s="55"/>
      <c r="S32" s="55"/>
      <c r="T32" s="55"/>
      <c r="U32" s="55"/>
      <c r="V32" s="55"/>
      <c r="W32" s="55"/>
      <c r="X32" s="55"/>
      <c r="Y32" s="55"/>
      <c r="Z32" s="55"/>
      <c r="AA32" s="55"/>
      <c r="AB32" s="56"/>
      <c r="AC32" s="57"/>
    </row>
    <row r="33" s="49" customFormat="true" ht="15" hidden="true" customHeight="true" outlineLevel="0" collapsed="false">
      <c r="A33" s="13"/>
      <c r="B33" s="13"/>
      <c r="C33" s="51"/>
      <c r="D33" s="13"/>
      <c r="E33" s="52"/>
      <c r="F33" s="52"/>
      <c r="G33" s="52"/>
      <c r="H33" s="52"/>
      <c r="I33" s="52"/>
      <c r="J33" s="52"/>
      <c r="K33" s="53"/>
      <c r="L33" s="16"/>
      <c r="M33" s="17"/>
      <c r="N33" s="54"/>
      <c r="O33" s="53"/>
      <c r="P33" s="53"/>
      <c r="Q33" s="53"/>
      <c r="R33" s="55"/>
      <c r="S33" s="55"/>
      <c r="T33" s="55"/>
      <c r="U33" s="55"/>
      <c r="V33" s="55"/>
      <c r="W33" s="55"/>
      <c r="X33" s="55"/>
      <c r="Y33" s="55"/>
      <c r="Z33" s="55"/>
      <c r="AA33" s="55"/>
      <c r="AB33" s="56"/>
      <c r="AC33" s="57"/>
    </row>
    <row r="34" s="49" customFormat="true" ht="15" hidden="true" customHeight="true" outlineLevel="0" collapsed="false">
      <c r="A34" s="13"/>
      <c r="B34" s="13"/>
      <c r="C34" s="51"/>
      <c r="D34" s="13"/>
      <c r="E34" s="52"/>
      <c r="F34" s="52"/>
      <c r="G34" s="52"/>
      <c r="H34" s="52"/>
      <c r="I34" s="52"/>
      <c r="J34" s="52"/>
      <c r="K34" s="53"/>
      <c r="L34" s="16"/>
      <c r="M34" s="17"/>
      <c r="N34" s="54"/>
      <c r="O34" s="53"/>
      <c r="P34" s="53"/>
      <c r="Q34" s="53"/>
      <c r="R34" s="55"/>
      <c r="S34" s="55"/>
      <c r="T34" s="55"/>
      <c r="U34" s="55"/>
      <c r="V34" s="55"/>
      <c r="W34" s="55"/>
      <c r="X34" s="55"/>
      <c r="Y34" s="55"/>
      <c r="Z34" s="55"/>
      <c r="AA34" s="55"/>
      <c r="AB34" s="56"/>
      <c r="AC34" s="57"/>
    </row>
    <row r="35" s="49" customFormat="true" ht="15" hidden="true" customHeight="true" outlineLevel="0" collapsed="false">
      <c r="A35" s="13"/>
      <c r="B35" s="13"/>
      <c r="C35" s="51"/>
      <c r="D35" s="13"/>
      <c r="E35" s="52"/>
      <c r="F35" s="52"/>
      <c r="G35" s="52"/>
      <c r="H35" s="52"/>
      <c r="I35" s="52"/>
      <c r="J35" s="52"/>
      <c r="K35" s="53"/>
      <c r="L35" s="16"/>
      <c r="M35" s="17"/>
      <c r="N35" s="54"/>
      <c r="O35" s="53"/>
      <c r="P35" s="53"/>
      <c r="Q35" s="53"/>
      <c r="R35" s="55"/>
      <c r="S35" s="55"/>
      <c r="T35" s="55"/>
      <c r="U35" s="55"/>
      <c r="V35" s="55"/>
      <c r="W35" s="55"/>
      <c r="X35" s="55"/>
      <c r="Y35" s="55"/>
      <c r="Z35" s="55"/>
      <c r="AA35" s="55"/>
      <c r="AB35" s="56"/>
      <c r="AC35" s="57"/>
    </row>
    <row r="36" s="49" customFormat="true" ht="15" hidden="true" customHeight="true" outlineLevel="0" collapsed="false">
      <c r="A36" s="13"/>
      <c r="B36" s="13"/>
      <c r="C36" s="51"/>
      <c r="D36" s="13"/>
      <c r="E36" s="52"/>
      <c r="F36" s="52"/>
      <c r="G36" s="52"/>
      <c r="H36" s="52"/>
      <c r="I36" s="52"/>
      <c r="J36" s="52"/>
      <c r="K36" s="53"/>
      <c r="L36" s="16"/>
      <c r="M36" s="17"/>
      <c r="N36" s="54"/>
      <c r="O36" s="53"/>
      <c r="P36" s="53"/>
      <c r="Q36" s="53"/>
      <c r="R36" s="55"/>
      <c r="S36" s="55"/>
      <c r="T36" s="55"/>
      <c r="U36" s="55"/>
      <c r="V36" s="55"/>
      <c r="W36" s="55"/>
      <c r="X36" s="55"/>
      <c r="Y36" s="55"/>
      <c r="Z36" s="55"/>
      <c r="AA36" s="55"/>
      <c r="AB36" s="56"/>
      <c r="AC36" s="57"/>
    </row>
    <row r="37" s="49" customFormat="true" ht="15" hidden="true" customHeight="true" outlineLevel="0" collapsed="false">
      <c r="A37" s="13"/>
      <c r="B37" s="13"/>
      <c r="C37" s="51"/>
      <c r="D37" s="13"/>
      <c r="E37" s="52"/>
      <c r="F37" s="52"/>
      <c r="G37" s="52"/>
      <c r="H37" s="52"/>
      <c r="I37" s="52"/>
      <c r="J37" s="52"/>
      <c r="K37" s="53"/>
      <c r="L37" s="16"/>
      <c r="M37" s="17"/>
      <c r="N37" s="54"/>
      <c r="O37" s="53"/>
      <c r="P37" s="53"/>
      <c r="Q37" s="53"/>
      <c r="R37" s="55"/>
      <c r="S37" s="55"/>
      <c r="T37" s="55"/>
      <c r="U37" s="55"/>
      <c r="V37" s="55"/>
      <c r="W37" s="55"/>
      <c r="X37" s="55"/>
      <c r="Y37" s="55"/>
      <c r="Z37" s="55"/>
      <c r="AA37" s="55"/>
      <c r="AB37" s="56"/>
      <c r="AC37" s="57"/>
    </row>
    <row r="38" s="49" customFormat="true" ht="15" hidden="true" customHeight="true" outlineLevel="0" collapsed="false">
      <c r="A38" s="13"/>
      <c r="B38" s="13"/>
      <c r="C38" s="51"/>
      <c r="D38" s="13"/>
      <c r="E38" s="52"/>
      <c r="F38" s="52"/>
      <c r="G38" s="52"/>
      <c r="H38" s="52"/>
      <c r="I38" s="52"/>
      <c r="J38" s="52"/>
      <c r="K38" s="53"/>
      <c r="L38" s="16"/>
      <c r="M38" s="17"/>
      <c r="N38" s="54"/>
      <c r="O38" s="53"/>
      <c r="P38" s="53"/>
      <c r="Q38" s="53"/>
      <c r="R38" s="55"/>
      <c r="S38" s="55"/>
      <c r="T38" s="55"/>
      <c r="U38" s="55"/>
      <c r="V38" s="55"/>
      <c r="W38" s="55"/>
      <c r="X38" s="55"/>
      <c r="Y38" s="55"/>
      <c r="Z38" s="55"/>
      <c r="AA38" s="55"/>
      <c r="AB38" s="56"/>
      <c r="AC38" s="57"/>
    </row>
    <row r="39" s="49" customFormat="true" ht="15" hidden="true" customHeight="true" outlineLevel="0" collapsed="false">
      <c r="A39" s="13"/>
      <c r="B39" s="13"/>
      <c r="C39" s="51"/>
      <c r="D39" s="13"/>
      <c r="E39" s="52"/>
      <c r="F39" s="52"/>
      <c r="G39" s="52"/>
      <c r="H39" s="52"/>
      <c r="I39" s="52"/>
      <c r="J39" s="52"/>
      <c r="K39" s="53"/>
      <c r="L39" s="16"/>
      <c r="M39" s="17"/>
      <c r="N39" s="54"/>
      <c r="O39" s="53"/>
      <c r="P39" s="53"/>
      <c r="Q39" s="53"/>
      <c r="R39" s="55"/>
      <c r="S39" s="55"/>
      <c r="T39" s="55"/>
      <c r="U39" s="55"/>
      <c r="V39" s="55"/>
      <c r="W39" s="55"/>
      <c r="X39" s="55"/>
      <c r="Y39" s="55"/>
      <c r="Z39" s="55"/>
      <c r="AA39" s="55"/>
      <c r="AB39" s="56"/>
      <c r="AC39" s="57"/>
    </row>
    <row r="40" s="49" customFormat="true" ht="15" hidden="true" customHeight="true" outlineLevel="0" collapsed="false">
      <c r="A40" s="13"/>
      <c r="B40" s="13"/>
      <c r="C40" s="51"/>
      <c r="D40" s="13"/>
      <c r="E40" s="52"/>
      <c r="F40" s="52"/>
      <c r="G40" s="52"/>
      <c r="H40" s="52"/>
      <c r="I40" s="52"/>
      <c r="J40" s="52"/>
      <c r="K40" s="53"/>
      <c r="L40" s="16"/>
      <c r="M40" s="17"/>
      <c r="N40" s="54"/>
      <c r="O40" s="53"/>
      <c r="P40" s="53"/>
      <c r="Q40" s="53"/>
      <c r="R40" s="55"/>
      <c r="S40" s="55"/>
      <c r="T40" s="55"/>
      <c r="U40" s="55"/>
      <c r="V40" s="55"/>
      <c r="W40" s="55"/>
      <c r="X40" s="55"/>
      <c r="Y40" s="55"/>
      <c r="Z40" s="55"/>
      <c r="AA40" s="55"/>
      <c r="AB40" s="56"/>
      <c r="AC40" s="57"/>
    </row>
    <row r="41" s="49" customFormat="true" ht="15" hidden="true" customHeight="true" outlineLevel="0" collapsed="false">
      <c r="A41" s="13"/>
      <c r="B41" s="13"/>
      <c r="C41" s="51"/>
      <c r="D41" s="13"/>
      <c r="E41" s="52"/>
      <c r="F41" s="52"/>
      <c r="G41" s="52"/>
      <c r="H41" s="52"/>
      <c r="I41" s="52"/>
      <c r="J41" s="52"/>
      <c r="K41" s="53"/>
      <c r="L41" s="16"/>
      <c r="M41" s="17"/>
      <c r="N41" s="54"/>
      <c r="O41" s="53"/>
      <c r="P41" s="53"/>
      <c r="Q41" s="53"/>
      <c r="R41" s="55"/>
      <c r="S41" s="55"/>
      <c r="T41" s="55"/>
      <c r="U41" s="55"/>
      <c r="V41" s="55"/>
      <c r="W41" s="55"/>
      <c r="X41" s="55"/>
      <c r="Y41" s="55"/>
      <c r="Z41" s="55"/>
      <c r="AA41" s="55"/>
      <c r="AB41" s="56"/>
      <c r="AC41" s="57"/>
    </row>
    <row r="42" s="49" customFormat="true" ht="15" hidden="true" customHeight="true" outlineLevel="0" collapsed="false">
      <c r="A42" s="13"/>
      <c r="B42" s="13"/>
      <c r="C42" s="51"/>
      <c r="D42" s="13"/>
      <c r="E42" s="52"/>
      <c r="F42" s="52"/>
      <c r="G42" s="52"/>
      <c r="H42" s="52"/>
      <c r="I42" s="52"/>
      <c r="J42" s="52"/>
      <c r="K42" s="53"/>
      <c r="L42" s="16"/>
      <c r="M42" s="17"/>
      <c r="N42" s="54"/>
      <c r="O42" s="53"/>
      <c r="P42" s="53"/>
      <c r="Q42" s="53"/>
      <c r="R42" s="55"/>
      <c r="S42" s="55"/>
      <c r="T42" s="55"/>
      <c r="U42" s="55"/>
      <c r="V42" s="55"/>
      <c r="W42" s="55"/>
      <c r="X42" s="55"/>
      <c r="Y42" s="55"/>
      <c r="Z42" s="55"/>
      <c r="AA42" s="55"/>
      <c r="AB42" s="56"/>
      <c r="AC42" s="57"/>
    </row>
    <row r="43" s="49" customFormat="true" ht="15" hidden="true" customHeight="true" outlineLevel="0" collapsed="false">
      <c r="A43" s="13"/>
      <c r="B43" s="13"/>
      <c r="C43" s="51"/>
      <c r="D43" s="13"/>
      <c r="E43" s="52"/>
      <c r="F43" s="52"/>
      <c r="G43" s="52"/>
      <c r="H43" s="52"/>
      <c r="I43" s="52"/>
      <c r="J43" s="52"/>
      <c r="K43" s="53"/>
      <c r="L43" s="16"/>
      <c r="M43" s="17"/>
      <c r="N43" s="54"/>
      <c r="O43" s="53"/>
      <c r="P43" s="53"/>
      <c r="Q43" s="53"/>
      <c r="R43" s="55"/>
      <c r="S43" s="55"/>
      <c r="T43" s="55"/>
      <c r="U43" s="55"/>
      <c r="V43" s="55"/>
      <c r="W43" s="55"/>
      <c r="X43" s="55"/>
      <c r="Y43" s="55"/>
      <c r="Z43" s="55"/>
      <c r="AA43" s="55"/>
      <c r="AB43" s="56"/>
      <c r="AC43" s="57"/>
    </row>
    <row r="44" s="49" customFormat="true" ht="15" hidden="true" customHeight="true" outlineLevel="0" collapsed="false">
      <c r="A44" s="13"/>
      <c r="B44" s="13"/>
      <c r="C44" s="51"/>
      <c r="D44" s="13"/>
      <c r="E44" s="52"/>
      <c r="F44" s="52"/>
      <c r="G44" s="52"/>
      <c r="H44" s="52"/>
      <c r="I44" s="52"/>
      <c r="J44" s="52"/>
      <c r="K44" s="53"/>
      <c r="L44" s="16"/>
      <c r="M44" s="17"/>
      <c r="N44" s="54"/>
      <c r="O44" s="53"/>
      <c r="P44" s="53"/>
      <c r="Q44" s="53"/>
      <c r="R44" s="55"/>
      <c r="S44" s="55"/>
      <c r="T44" s="55"/>
      <c r="U44" s="55"/>
      <c r="V44" s="55"/>
      <c r="W44" s="55"/>
      <c r="X44" s="55"/>
      <c r="Y44" s="55"/>
      <c r="Z44" s="55"/>
      <c r="AA44" s="55"/>
      <c r="AB44" s="56"/>
      <c r="AC44" s="57"/>
    </row>
    <row r="45" s="49" customFormat="true" ht="15" hidden="true" customHeight="true" outlineLevel="0" collapsed="false">
      <c r="A45" s="13"/>
      <c r="B45" s="13"/>
      <c r="C45" s="51"/>
      <c r="D45" s="13"/>
      <c r="E45" s="52"/>
      <c r="F45" s="52"/>
      <c r="G45" s="52"/>
      <c r="H45" s="52"/>
      <c r="I45" s="52"/>
      <c r="J45" s="52"/>
      <c r="K45" s="53"/>
      <c r="L45" s="16"/>
      <c r="M45" s="17"/>
      <c r="N45" s="54"/>
      <c r="O45" s="53"/>
      <c r="P45" s="53"/>
      <c r="Q45" s="53"/>
      <c r="R45" s="55"/>
      <c r="S45" s="55"/>
      <c r="T45" s="55"/>
      <c r="U45" s="55"/>
      <c r="V45" s="55"/>
      <c r="W45" s="55"/>
      <c r="X45" s="55"/>
      <c r="Y45" s="55"/>
      <c r="Z45" s="55"/>
      <c r="AA45" s="55"/>
      <c r="AB45" s="56"/>
      <c r="AC45" s="57"/>
    </row>
    <row r="46" s="49" customFormat="true" ht="15" hidden="true" customHeight="true" outlineLevel="0" collapsed="false">
      <c r="A46" s="13"/>
      <c r="B46" s="13"/>
      <c r="C46" s="51"/>
      <c r="D46" s="13"/>
      <c r="E46" s="52"/>
      <c r="F46" s="52"/>
      <c r="G46" s="52"/>
      <c r="H46" s="52"/>
      <c r="I46" s="52"/>
      <c r="J46" s="52"/>
      <c r="K46" s="53"/>
      <c r="L46" s="16"/>
      <c r="M46" s="17"/>
      <c r="N46" s="54"/>
      <c r="O46" s="53"/>
      <c r="P46" s="53"/>
      <c r="Q46" s="53"/>
      <c r="R46" s="55"/>
      <c r="S46" s="55"/>
      <c r="T46" s="55"/>
      <c r="U46" s="55"/>
      <c r="V46" s="55"/>
      <c r="W46" s="55"/>
      <c r="X46" s="55"/>
      <c r="Y46" s="55"/>
      <c r="Z46" s="55"/>
      <c r="AA46" s="55"/>
      <c r="AB46" s="56"/>
      <c r="AC46" s="57"/>
    </row>
    <row r="47" s="49" customFormat="true" ht="15" hidden="true" customHeight="true" outlineLevel="0" collapsed="false">
      <c r="A47" s="13"/>
      <c r="B47" s="13"/>
      <c r="C47" s="51"/>
      <c r="D47" s="13"/>
      <c r="E47" s="52"/>
      <c r="F47" s="52"/>
      <c r="G47" s="52"/>
      <c r="H47" s="52"/>
      <c r="I47" s="52"/>
      <c r="J47" s="52"/>
      <c r="K47" s="53"/>
      <c r="L47" s="16"/>
      <c r="M47" s="17"/>
      <c r="N47" s="54"/>
      <c r="O47" s="53"/>
      <c r="P47" s="53"/>
      <c r="Q47" s="53"/>
      <c r="R47" s="55"/>
      <c r="S47" s="55"/>
      <c r="T47" s="55"/>
      <c r="U47" s="55"/>
      <c r="V47" s="55"/>
      <c r="W47" s="55"/>
      <c r="X47" s="55"/>
      <c r="Y47" s="55"/>
      <c r="Z47" s="55"/>
      <c r="AA47" s="55"/>
      <c r="AB47" s="56"/>
      <c r="AC47" s="57"/>
    </row>
    <row r="48" s="49" customFormat="true" ht="15" hidden="true" customHeight="true" outlineLevel="0" collapsed="false">
      <c r="A48" s="13"/>
      <c r="B48" s="13"/>
      <c r="C48" s="51"/>
      <c r="D48" s="13"/>
      <c r="E48" s="52"/>
      <c r="F48" s="52"/>
      <c r="G48" s="52"/>
      <c r="H48" s="52"/>
      <c r="I48" s="52"/>
      <c r="J48" s="52"/>
      <c r="K48" s="53"/>
      <c r="L48" s="16"/>
      <c r="M48" s="17"/>
      <c r="N48" s="54"/>
      <c r="O48" s="53"/>
      <c r="P48" s="53"/>
      <c r="Q48" s="53"/>
      <c r="R48" s="55"/>
      <c r="S48" s="55"/>
      <c r="T48" s="55"/>
      <c r="U48" s="55"/>
      <c r="V48" s="55"/>
      <c r="W48" s="55"/>
      <c r="X48" s="55"/>
      <c r="Y48" s="55"/>
      <c r="Z48" s="55"/>
      <c r="AA48" s="55"/>
      <c r="AB48" s="56"/>
      <c r="AC48" s="57"/>
    </row>
    <row r="49" s="49" customFormat="true" ht="15" hidden="true" customHeight="true" outlineLevel="0" collapsed="false">
      <c r="A49" s="13"/>
      <c r="B49" s="13"/>
      <c r="C49" s="51"/>
      <c r="D49" s="13"/>
      <c r="E49" s="52"/>
      <c r="F49" s="52"/>
      <c r="G49" s="52"/>
      <c r="H49" s="52"/>
      <c r="I49" s="52"/>
      <c r="J49" s="52"/>
      <c r="K49" s="53"/>
      <c r="L49" s="16"/>
      <c r="M49" s="17"/>
      <c r="N49" s="54"/>
      <c r="O49" s="53"/>
      <c r="P49" s="53"/>
      <c r="Q49" s="53"/>
      <c r="R49" s="55"/>
      <c r="S49" s="55"/>
      <c r="T49" s="55"/>
      <c r="U49" s="55"/>
      <c r="V49" s="55"/>
      <c r="W49" s="55"/>
      <c r="X49" s="55"/>
      <c r="Y49" s="55"/>
      <c r="Z49" s="55"/>
      <c r="AA49" s="55"/>
      <c r="AB49" s="56"/>
      <c r="AC49" s="57"/>
    </row>
    <row r="50" s="49" customFormat="true" ht="15" hidden="true" customHeight="true" outlineLevel="0" collapsed="false">
      <c r="A50" s="13"/>
      <c r="B50" s="13"/>
      <c r="C50" s="51"/>
      <c r="D50" s="13"/>
      <c r="E50" s="52"/>
      <c r="F50" s="52"/>
      <c r="G50" s="52"/>
      <c r="H50" s="52"/>
      <c r="I50" s="52"/>
      <c r="J50" s="52"/>
      <c r="K50" s="53"/>
      <c r="L50" s="16"/>
      <c r="M50" s="17"/>
      <c r="N50" s="54"/>
      <c r="O50" s="53"/>
      <c r="P50" s="53"/>
      <c r="Q50" s="53"/>
      <c r="R50" s="55"/>
      <c r="S50" s="55"/>
      <c r="T50" s="55"/>
      <c r="U50" s="55"/>
      <c r="V50" s="55"/>
      <c r="W50" s="55"/>
      <c r="X50" s="55"/>
      <c r="Y50" s="55"/>
      <c r="Z50" s="55"/>
      <c r="AA50" s="55"/>
      <c r="AB50" s="56"/>
      <c r="AC50" s="57"/>
    </row>
    <row r="51" s="32" customFormat="true" ht="16.5" hidden="false" customHeight="true" outlineLevel="0" collapsed="false">
      <c r="A51" s="61" t="s">
        <v>61</v>
      </c>
      <c r="B51" s="61"/>
      <c r="C51" s="61"/>
      <c r="D51" s="61"/>
      <c r="E51" s="62"/>
      <c r="F51" s="62"/>
      <c r="G51" s="62"/>
      <c r="H51" s="62"/>
      <c r="I51" s="62"/>
      <c r="J51" s="62"/>
      <c r="K51" s="62"/>
      <c r="L51" s="62"/>
      <c r="M51" s="63"/>
      <c r="N51" s="63"/>
      <c r="O51" s="63"/>
      <c r="P51" s="63"/>
      <c r="Q51" s="63"/>
      <c r="R51" s="64" t="n">
        <f aca="false">SUM(R11:R50)</f>
        <v>0</v>
      </c>
      <c r="S51" s="64" t="n">
        <f aca="false">SUM(S11:S50)</f>
        <v>0</v>
      </c>
      <c r="T51" s="64"/>
      <c r="U51" s="65" t="n">
        <f aca="false">SUM(U11:U50)</f>
        <v>0</v>
      </c>
      <c r="V51" s="65" t="n">
        <f aca="false">SUM(V11:V50)</f>
        <v>0</v>
      </c>
      <c r="W51" s="66" t="n">
        <f aca="false">SUM(W11:W22)</f>
        <v>921.07145</v>
      </c>
      <c r="X51" s="65" t="n">
        <f aca="false">SUM(X11:X50)</f>
        <v>0</v>
      </c>
      <c r="Y51" s="65" t="n">
        <f aca="false">SUM(Y11:Y50)</f>
        <v>0</v>
      </c>
      <c r="Z51" s="65" t="n">
        <f aca="false">SUM(Z11:Z50)</f>
        <v>0</v>
      </c>
      <c r="AA51" s="65" t="n">
        <f aca="false">SUM(AA11:AA50)</f>
        <v>0</v>
      </c>
      <c r="AB51" s="65"/>
      <c r="AE51" s="93"/>
    </row>
    <row r="52" s="72" customFormat="true" ht="15" hidden="false" customHeight="true" outlineLevel="0" collapsed="false">
      <c r="A52" s="68"/>
      <c r="B52" s="68"/>
      <c r="C52" s="68"/>
      <c r="D52" s="68"/>
      <c r="E52" s="69"/>
      <c r="F52" s="69"/>
      <c r="G52" s="69"/>
      <c r="H52" s="69"/>
      <c r="I52" s="69"/>
      <c r="J52" s="69"/>
      <c r="K52" s="69"/>
      <c r="L52" s="69"/>
      <c r="M52" s="69"/>
      <c r="N52" s="69"/>
      <c r="O52" s="69"/>
      <c r="P52" s="69"/>
      <c r="Q52" s="69"/>
      <c r="R52" s="70"/>
      <c r="S52" s="70"/>
      <c r="T52" s="70"/>
      <c r="U52" s="71"/>
      <c r="V52" s="71"/>
      <c r="W52" s="71"/>
      <c r="X52" s="71"/>
      <c r="Y52" s="71"/>
      <c r="Z52" s="71"/>
      <c r="AA52" s="71"/>
      <c r="AB52" s="71"/>
    </row>
    <row r="53" s="72" customFormat="true" ht="15" hidden="false" customHeight="true" outlineLevel="0" collapsed="false">
      <c r="A53" s="19" t="s">
        <v>50</v>
      </c>
      <c r="B53" s="19"/>
      <c r="C53" s="19"/>
      <c r="D53" s="77" t="s">
        <v>62</v>
      </c>
      <c r="E53" s="19" t="s">
        <v>51</v>
      </c>
      <c r="F53" s="19"/>
      <c r="G53" s="19"/>
      <c r="H53" s="19"/>
      <c r="I53" s="19"/>
      <c r="J53" s="19"/>
      <c r="K53" s="19"/>
      <c r="L53" s="19"/>
      <c r="M53" s="19"/>
      <c r="N53" s="19"/>
      <c r="O53" s="19"/>
      <c r="P53" s="19"/>
      <c r="Q53" s="19"/>
      <c r="R53" s="19"/>
      <c r="S53" s="19"/>
      <c r="T53" s="19"/>
      <c r="U53" s="19"/>
      <c r="V53" s="19"/>
      <c r="W53" s="19"/>
      <c r="X53" s="19"/>
      <c r="Y53" s="19"/>
      <c r="Z53" s="19"/>
      <c r="AA53" s="19"/>
      <c r="AB53" s="19"/>
    </row>
    <row r="54" s="72" customFormat="true" ht="15" hidden="false" customHeight="true" outlineLevel="0" collapsed="false">
      <c r="A54" s="78"/>
      <c r="B54" s="78"/>
      <c r="C54" s="78"/>
      <c r="D54" s="79"/>
      <c r="E54" s="79"/>
      <c r="F54" s="79"/>
      <c r="G54" s="79"/>
      <c r="H54" s="79"/>
      <c r="I54" s="79"/>
      <c r="J54" s="79"/>
      <c r="K54" s="79"/>
      <c r="L54" s="79"/>
      <c r="M54" s="79"/>
      <c r="N54" s="79"/>
      <c r="O54" s="79"/>
      <c r="P54" s="79"/>
      <c r="Q54" s="79"/>
      <c r="R54" s="79"/>
      <c r="S54" s="79"/>
      <c r="T54" s="79"/>
      <c r="U54" s="79"/>
      <c r="V54" s="79"/>
      <c r="W54" s="79"/>
      <c r="X54" s="69"/>
      <c r="Y54" s="69"/>
      <c r="Z54" s="69"/>
      <c r="AA54" s="69"/>
      <c r="AB54" s="69"/>
    </row>
    <row r="55" s="72" customFormat="true" ht="15.75" hidden="false" customHeight="true" outlineLevel="0" collapsed="false">
      <c r="A55" s="78"/>
      <c r="B55" s="78"/>
      <c r="C55" s="81"/>
      <c r="D55" s="81"/>
      <c r="E55" s="79"/>
      <c r="F55" s="79"/>
      <c r="G55" s="79"/>
      <c r="H55" s="79"/>
      <c r="I55" s="79"/>
      <c r="J55" s="79"/>
      <c r="K55" s="79"/>
      <c r="L55" s="79"/>
      <c r="M55" s="79"/>
      <c r="N55" s="79"/>
      <c r="O55" s="79"/>
      <c r="P55" s="79"/>
      <c r="Q55" s="79"/>
      <c r="R55" s="79"/>
      <c r="S55" s="79"/>
      <c r="T55" s="79"/>
      <c r="U55" s="79"/>
      <c r="V55" s="79"/>
      <c r="W55" s="79"/>
      <c r="X55" s="69"/>
      <c r="Y55" s="69"/>
      <c r="Z55" s="69"/>
      <c r="AA55" s="69"/>
      <c r="AB55" s="69"/>
      <c r="AF55" s="75"/>
    </row>
    <row r="56" s="72" customFormat="true" ht="15" hidden="false" customHeight="true" outlineLevel="0" collapsed="false">
      <c r="A56" s="78"/>
      <c r="B56" s="78"/>
      <c r="C56" s="78"/>
      <c r="D56" s="79"/>
      <c r="E56" s="79"/>
      <c r="F56" s="79"/>
      <c r="G56" s="79"/>
      <c r="H56" s="79"/>
      <c r="I56" s="79"/>
      <c r="J56" s="79"/>
      <c r="K56" s="79"/>
      <c r="L56" s="79"/>
      <c r="M56" s="79"/>
      <c r="N56" s="79"/>
      <c r="O56" s="79"/>
      <c r="P56" s="79"/>
      <c r="Q56" s="79"/>
      <c r="R56" s="79"/>
      <c r="S56" s="79"/>
      <c r="T56" s="79"/>
      <c r="U56" s="79"/>
      <c r="V56" s="79"/>
      <c r="W56" s="79"/>
      <c r="X56" s="69"/>
      <c r="Y56" s="69"/>
      <c r="Z56" s="69"/>
      <c r="AA56" s="69"/>
      <c r="AB56" s="69"/>
    </row>
    <row r="57" s="72" customFormat="true" ht="15" hidden="false" customHeight="true" outlineLevel="0" collapsed="false">
      <c r="A57" s="78"/>
      <c r="B57" s="78"/>
      <c r="C57" s="78"/>
      <c r="D57" s="79"/>
      <c r="E57" s="79"/>
      <c r="F57" s="79"/>
      <c r="G57" s="79"/>
      <c r="H57" s="79"/>
      <c r="I57" s="79"/>
      <c r="J57" s="79"/>
      <c r="K57" s="79"/>
      <c r="L57" s="79"/>
      <c r="M57" s="79"/>
      <c r="N57" s="79"/>
      <c r="O57" s="79"/>
      <c r="P57" s="79"/>
      <c r="Q57" s="79"/>
      <c r="R57" s="79"/>
      <c r="S57" s="79"/>
      <c r="T57" s="79"/>
      <c r="U57" s="79"/>
      <c r="V57" s="79"/>
      <c r="W57" s="79"/>
      <c r="X57" s="69"/>
      <c r="Y57" s="69"/>
      <c r="Z57" s="69"/>
      <c r="AA57" s="69"/>
      <c r="AB57" s="69"/>
    </row>
    <row r="58" s="72" customFormat="true" ht="15" hidden="false" customHeight="true" outlineLevel="0" collapsed="false">
      <c r="A58" s="78"/>
      <c r="B58" s="78"/>
      <c r="C58" s="78"/>
      <c r="D58" s="79"/>
      <c r="E58" s="79"/>
      <c r="F58" s="79"/>
      <c r="G58" s="79"/>
      <c r="H58" s="79"/>
      <c r="I58" s="79"/>
      <c r="J58" s="79"/>
      <c r="K58" s="79"/>
      <c r="L58" s="79"/>
      <c r="M58" s="79"/>
      <c r="N58" s="79"/>
      <c r="O58" s="79"/>
      <c r="P58" s="79"/>
      <c r="Q58" s="79"/>
      <c r="R58" s="79"/>
      <c r="S58" s="79"/>
      <c r="T58" s="79"/>
      <c r="U58" s="79"/>
      <c r="V58" s="79"/>
      <c r="W58" s="79"/>
      <c r="X58" s="69"/>
      <c r="Y58" s="69"/>
      <c r="Z58" s="69"/>
      <c r="AA58" s="69"/>
      <c r="AB58" s="69"/>
    </row>
    <row r="59" s="72" customFormat="true" ht="15" hidden="false" customHeight="true" outlineLevel="0" collapsed="false">
      <c r="A59" s="19" t="s">
        <v>52</v>
      </c>
      <c r="B59" s="19"/>
      <c r="C59" s="19"/>
      <c r="D59" s="20"/>
      <c r="E59" s="20"/>
      <c r="F59" s="20"/>
      <c r="G59" s="20"/>
      <c r="H59" s="20"/>
      <c r="I59" s="20"/>
      <c r="J59" s="20"/>
      <c r="K59" s="20"/>
      <c r="L59" s="20"/>
      <c r="M59" s="19" t="s">
        <v>53</v>
      </c>
      <c r="N59" s="19"/>
      <c r="O59" s="19"/>
      <c r="P59" s="19"/>
      <c r="Q59" s="19"/>
      <c r="R59" s="19"/>
      <c r="S59" s="19"/>
      <c r="T59" s="19"/>
      <c r="U59" s="19"/>
      <c r="V59" s="19"/>
      <c r="W59" s="19"/>
      <c r="X59" s="19"/>
      <c r="Y59" s="19"/>
      <c r="Z59" s="19"/>
      <c r="AA59" s="19"/>
      <c r="AB59" s="19"/>
    </row>
    <row r="60" customFormat="false" ht="16.5" hidden="false" customHeight="true" outlineLevel="0" collapsed="false">
      <c r="A60" s="112"/>
      <c r="B60" s="112"/>
      <c r="C60" s="112"/>
      <c r="D60" s="112"/>
      <c r="E60" s="112"/>
      <c r="F60" s="112"/>
      <c r="G60" s="112"/>
      <c r="H60" s="112"/>
      <c r="I60" s="112"/>
      <c r="J60" s="112"/>
      <c r="K60" s="112"/>
      <c r="L60" s="112"/>
      <c r="M60" s="112"/>
      <c r="N60" s="112"/>
      <c r="O60" s="112"/>
      <c r="P60" s="112"/>
      <c r="Q60" s="112"/>
      <c r="R60" s="112"/>
      <c r="S60" s="112"/>
      <c r="T60" s="112"/>
      <c r="U60" s="112"/>
      <c r="V60" s="112"/>
      <c r="W60" s="112"/>
      <c r="X60" s="112"/>
      <c r="Y60" s="112"/>
      <c r="Z60" s="112"/>
      <c r="AA60" s="112"/>
      <c r="AB60" s="112"/>
      <c r="AC60" s="85"/>
    </row>
    <row r="61" customFormat="false" ht="12.75" hidden="false" customHeight="false" outlineLevel="0" collapsed="false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customFormat="false" ht="12.75" hidden="false" customHeight="false" outlineLevel="0" collapsed="false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customFormat="false" ht="12.75" hidden="false" customHeight="false" outlineLevel="0" collapsed="false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customFormat="false" ht="12.75" hidden="false" customHeight="false" outlineLevel="0" collapsed="false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customFormat="false" ht="12.75" hidden="false" customHeight="false" outlineLevel="0" collapsed="false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customFormat="false" ht="12.75" hidden="false" customHeight="false" outlineLevel="0" collapsed="false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customFormat="false" ht="12.75" hidden="false" customHeight="false" outlineLevel="0" collapsed="false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customFormat="false" ht="12.75" hidden="false" customHeight="false" outlineLevel="0" collapsed="false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customFormat="false" ht="12.75" hidden="false" customHeight="false" outlineLevel="0" collapsed="false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customFormat="false" ht="12.75" hidden="false" customHeight="false" outlineLevel="0" collapsed="false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customFormat="false" ht="12.75" hidden="false" customHeight="false" outlineLevel="0" collapsed="false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customFormat="false" ht="12.75" hidden="false" customHeight="false" outlineLevel="0" collapsed="false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customFormat="false" ht="12.75" hidden="false" customHeight="false" outlineLevel="0" collapsed="false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customFormat="false" ht="12.75" hidden="false" customHeight="false" outlineLevel="0" collapsed="false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customFormat="false" ht="12.75" hidden="false" customHeight="false" outlineLevel="0" collapsed="false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customFormat="false" ht="12.75" hidden="false" customHeight="false" outlineLevel="0" collapsed="false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customFormat="false" ht="12.75" hidden="false" customHeight="false" outlineLevel="0" collapsed="false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customFormat="false" ht="12.75" hidden="false" customHeight="false" outlineLevel="0" collapsed="false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customFormat="false" ht="12.75" hidden="false" customHeight="false" outlineLevel="0" collapsed="false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customFormat="false" ht="12.75" hidden="false" customHeight="false" outlineLevel="0" collapsed="false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customFormat="false" ht="12.75" hidden="false" customHeight="false" outlineLevel="0" collapsed="false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customFormat="false" ht="12.75" hidden="false" customHeight="false" outlineLevel="0" collapsed="false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customFormat="false" ht="12.75" hidden="false" customHeight="false" outlineLevel="0" collapsed="false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customFormat="false" ht="12.75" hidden="false" customHeight="false" outlineLevel="0" collapsed="false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customFormat="false" ht="12.75" hidden="false" customHeight="false" outlineLevel="0" collapsed="false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customFormat="false" ht="12.75" hidden="false" customHeight="false" outlineLevel="0" collapsed="false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customFormat="false" ht="12.75" hidden="false" customHeight="false" outlineLevel="0" collapsed="false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customFormat="false" ht="12.75" hidden="false" customHeight="false" outlineLevel="0" collapsed="false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customFormat="false" ht="12.75" hidden="false" customHeight="false" outlineLevel="0" collapsed="false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customFormat="false" ht="12.75" hidden="false" customHeight="false" outlineLevel="0" collapsed="false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customFormat="false" ht="12.75" hidden="false" customHeight="false" outlineLevel="0" collapsed="false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customFormat="false" ht="12.75" hidden="false" customHeight="false" outlineLevel="0" collapsed="false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customFormat="false" ht="12.75" hidden="false" customHeight="false" outlineLevel="0" collapsed="false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customFormat="false" ht="12.75" hidden="false" customHeight="false" outlineLevel="0" collapsed="false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customFormat="false" ht="12.75" hidden="false" customHeight="false" outlineLevel="0" collapsed="false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customFormat="false" ht="12.75" hidden="false" customHeight="false" outlineLevel="0" collapsed="false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customFormat="false" ht="12.75" hidden="false" customHeight="false" outlineLevel="0" collapsed="false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customFormat="false" ht="12.75" hidden="false" customHeight="false" outlineLevel="0" collapsed="false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customFormat="false" ht="12.75" hidden="false" customHeight="false" outlineLevel="0" collapsed="false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customFormat="false" ht="12.75" hidden="false" customHeight="false" outlineLevel="0" collapsed="false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customFormat="false" ht="12.75" hidden="false" customHeight="false" outlineLevel="0" collapsed="false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customFormat="false" ht="12.75" hidden="false" customHeight="false" outlineLevel="0" collapsed="false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customFormat="false" ht="12.75" hidden="false" customHeight="false" outlineLevel="0" collapsed="false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customFormat="false" ht="12.75" hidden="false" customHeight="false" outlineLevel="0" collapsed="false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customFormat="false" ht="12.75" hidden="false" customHeight="false" outlineLevel="0" collapsed="false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customFormat="false" ht="12.75" hidden="false" customHeight="false" outlineLevel="0" collapsed="false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customFormat="false" ht="12.75" hidden="false" customHeight="false" outlineLevel="0" collapsed="false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customFormat="false" ht="12.75" hidden="false" customHeight="false" outlineLevel="0" collapsed="false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s="23" customFormat="true" ht="12.75" hidden="false" customHeight="false" outlineLevel="0" collapsed="false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  <c r="AD109" s="22"/>
      <c r="AE109" s="22"/>
      <c r="AF109" s="22"/>
      <c r="AG109" s="22"/>
    </row>
    <row r="110" s="23" customFormat="true" ht="12.75" hidden="false" customHeight="false" outlineLevel="0" collapsed="false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  <c r="AD110" s="22"/>
      <c r="AE110" s="22"/>
      <c r="AF110" s="22"/>
      <c r="AG110" s="22"/>
    </row>
    <row r="111" s="23" customFormat="true" ht="12.75" hidden="false" customHeight="false" outlineLevel="0" collapsed="false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  <c r="AD111" s="22"/>
      <c r="AE111" s="22"/>
      <c r="AF111" s="22"/>
      <c r="AG111" s="22"/>
    </row>
    <row r="112" s="23" customFormat="true" ht="12.75" hidden="false" customHeight="false" outlineLevel="0" collapsed="false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  <c r="AD112" s="22"/>
      <c r="AE112" s="22"/>
      <c r="AF112" s="22"/>
      <c r="AG112" s="22"/>
    </row>
    <row r="113" s="23" customFormat="true" ht="12.75" hidden="false" customHeight="false" outlineLevel="0" collapsed="false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  <c r="AD113" s="22"/>
      <c r="AE113" s="22"/>
      <c r="AF113" s="22"/>
      <c r="AG113" s="22"/>
    </row>
    <row r="114" s="23" customFormat="true" ht="12.75" hidden="false" customHeight="false" outlineLevel="0" collapsed="false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  <c r="AD114" s="22"/>
      <c r="AE114" s="22"/>
      <c r="AF114" s="22"/>
      <c r="AG114" s="22"/>
    </row>
    <row r="115" s="23" customFormat="true" ht="12.75" hidden="false" customHeight="false" outlineLevel="0" collapsed="false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  <c r="AD115" s="22"/>
      <c r="AE115" s="22"/>
      <c r="AF115" s="22"/>
      <c r="AG115" s="22"/>
    </row>
    <row r="116" s="23" customFormat="true" ht="12.75" hidden="false" customHeight="false" outlineLevel="0" collapsed="false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  <c r="AD116" s="22"/>
      <c r="AE116" s="22"/>
      <c r="AF116" s="22"/>
      <c r="AG116" s="22"/>
    </row>
    <row r="117" s="23" customFormat="true" ht="12.75" hidden="false" customHeight="false" outlineLevel="0" collapsed="false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  <c r="AD117" s="22"/>
      <c r="AE117" s="22"/>
      <c r="AF117" s="22"/>
      <c r="AG117" s="22"/>
    </row>
    <row r="118" s="23" customFormat="true" ht="12.75" hidden="false" customHeight="false" outlineLevel="0" collapsed="false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  <c r="AD118" s="22"/>
      <c r="AE118" s="22"/>
      <c r="AF118" s="22"/>
      <c r="AG118" s="22"/>
    </row>
    <row r="119" s="23" customFormat="true" ht="12.75" hidden="false" customHeight="false" outlineLevel="0" collapsed="false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  <c r="AD119" s="22"/>
      <c r="AE119" s="22"/>
      <c r="AF119" s="22"/>
      <c r="AG119" s="22"/>
    </row>
    <row r="120" s="23" customFormat="true" ht="12.75" hidden="false" customHeight="false" outlineLevel="0" collapsed="false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  <c r="AD120" s="22"/>
      <c r="AE120" s="22"/>
      <c r="AF120" s="22"/>
      <c r="AG120" s="22"/>
    </row>
    <row r="121" s="23" customFormat="true" ht="12.75" hidden="false" customHeight="false" outlineLevel="0" collapsed="false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  <c r="AD121" s="22"/>
      <c r="AE121" s="22"/>
      <c r="AF121" s="22"/>
      <c r="AG121" s="22"/>
    </row>
    <row r="122" s="23" customFormat="true" ht="12.75" hidden="false" customHeight="false" outlineLevel="0" collapsed="false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  <c r="AD122" s="22"/>
      <c r="AE122" s="22"/>
      <c r="AF122" s="22"/>
      <c r="AG122" s="22"/>
    </row>
    <row r="123" s="23" customFormat="true" ht="12.75" hidden="false" customHeight="false" outlineLevel="0" collapsed="false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  <c r="AD123" s="22"/>
      <c r="AE123" s="22"/>
      <c r="AF123" s="22"/>
      <c r="AG123" s="22"/>
    </row>
    <row r="124" s="23" customFormat="true" ht="12.75" hidden="false" customHeight="false" outlineLevel="0" collapsed="false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  <c r="AD124" s="22"/>
      <c r="AE124" s="22"/>
      <c r="AF124" s="22"/>
      <c r="AG124" s="22"/>
    </row>
    <row r="125" s="23" customFormat="true" ht="12.75" hidden="false" customHeight="false" outlineLevel="0" collapsed="false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  <c r="AD125" s="22"/>
      <c r="AE125" s="22"/>
      <c r="AF125" s="22"/>
      <c r="AG125" s="22"/>
    </row>
    <row r="126" s="23" customFormat="true" ht="12.75" hidden="false" customHeight="false" outlineLevel="0" collapsed="false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  <c r="AD126" s="22"/>
      <c r="AE126" s="22"/>
      <c r="AF126" s="22"/>
      <c r="AG126" s="22"/>
    </row>
    <row r="127" s="23" customFormat="true" ht="12.75" hidden="false" customHeight="false" outlineLevel="0" collapsed="false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  <c r="AD127" s="22"/>
      <c r="AE127" s="22"/>
      <c r="AF127" s="22"/>
      <c r="AG127" s="22"/>
    </row>
    <row r="128" s="23" customFormat="true" ht="12.75" hidden="false" customHeight="false" outlineLevel="0" collapsed="false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  <c r="AD128" s="22"/>
      <c r="AE128" s="22"/>
      <c r="AF128" s="22"/>
      <c r="AG128" s="22"/>
    </row>
    <row r="129" s="23" customFormat="true" ht="12.75" hidden="false" customHeight="false" outlineLevel="0" collapsed="false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  <c r="AD129" s="22"/>
      <c r="AE129" s="22"/>
      <c r="AF129" s="22"/>
      <c r="AG129" s="22"/>
    </row>
    <row r="130" s="23" customFormat="true" ht="12.75" hidden="false" customHeight="false" outlineLevel="0" collapsed="false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  <c r="AD130" s="22"/>
      <c r="AE130" s="22"/>
      <c r="AF130" s="22"/>
      <c r="AG130" s="22"/>
    </row>
    <row r="131" s="23" customFormat="true" ht="12.75" hidden="false" customHeight="false" outlineLevel="0" collapsed="false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  <c r="AD131" s="22"/>
      <c r="AE131" s="22"/>
      <c r="AF131" s="22"/>
      <c r="AG131" s="22"/>
    </row>
    <row r="132" s="23" customFormat="true" ht="12.75" hidden="false" customHeight="false" outlineLevel="0" collapsed="false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  <c r="AD132" s="22"/>
      <c r="AE132" s="22"/>
      <c r="AF132" s="22"/>
      <c r="AG132" s="22"/>
    </row>
    <row r="133" s="23" customFormat="true" ht="12.75" hidden="false" customHeight="false" outlineLevel="0" collapsed="false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  <c r="AD133" s="22"/>
      <c r="AE133" s="22"/>
      <c r="AF133" s="22"/>
      <c r="AG133" s="22"/>
    </row>
    <row r="134" s="23" customFormat="true" ht="12.75" hidden="false" customHeight="false" outlineLevel="0" collapsed="false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  <c r="AD134" s="22"/>
      <c r="AE134" s="22"/>
      <c r="AF134" s="22"/>
      <c r="AG134" s="22"/>
    </row>
    <row r="135" s="23" customFormat="true" ht="12.75" hidden="false" customHeight="false" outlineLevel="0" collapsed="false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  <c r="AD135" s="22"/>
      <c r="AE135" s="22"/>
      <c r="AF135" s="22"/>
      <c r="AG135" s="22"/>
    </row>
    <row r="136" s="23" customFormat="true" ht="12.75" hidden="false" customHeight="false" outlineLevel="0" collapsed="false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  <c r="AD136" s="22"/>
      <c r="AE136" s="22"/>
      <c r="AF136" s="22"/>
      <c r="AG136" s="22"/>
    </row>
  </sheetData>
  <mergeCells count="19">
    <mergeCell ref="A1:AB1"/>
    <mergeCell ref="A2:AB2"/>
    <mergeCell ref="A3:AB3"/>
    <mergeCell ref="A4:AB4"/>
    <mergeCell ref="A5:AB5"/>
    <mergeCell ref="A6:AB6"/>
    <mergeCell ref="D7:AB7"/>
    <mergeCell ref="A8:AB8"/>
    <mergeCell ref="A9:A10"/>
    <mergeCell ref="B9:B10"/>
    <mergeCell ref="C9:C10"/>
    <mergeCell ref="D9:D10"/>
    <mergeCell ref="M9:Y9"/>
    <mergeCell ref="AB9:AB10"/>
    <mergeCell ref="A51:D51"/>
    <mergeCell ref="A53:C53"/>
    <mergeCell ref="E53:AB53"/>
    <mergeCell ref="A59:C59"/>
    <mergeCell ref="M59:AB59"/>
  </mergeCells>
  <printOptions headings="false" gridLines="false" gridLinesSet="true" horizontalCentered="false" verticalCentered="false"/>
  <pageMargins left="0.7" right="0.229861111111111" top="0.570138888888889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Y68"/>
  <sheetViews>
    <sheetView showFormulas="false" showGridLines="true" showRowColHeaders="true" showZeros="true" rightToLeft="false" tabSelected="false" showOutlineSymbols="true" defaultGridColor="true" view="normal" topLeftCell="A16" colorId="64" zoomScale="85" zoomScaleNormal="85" zoomScalePageLayoutView="100" workbookViewId="0">
      <selection pane="topLeft" activeCell="V11" activeCellId="0" sqref="V1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6.43"/>
    <col collapsed="false" customWidth="true" hidden="false" outlineLevel="0" max="2" min="2" style="1" width="7.29"/>
    <col collapsed="false" customWidth="true" hidden="false" outlineLevel="0" max="3" min="3" style="1" width="17"/>
    <col collapsed="false" customWidth="true" hidden="true" outlineLevel="0" max="4" min="4" style="1" width="8.29"/>
    <col collapsed="false" customWidth="false" hidden="true" outlineLevel="0" max="5" min="5" style="1" width="8.71"/>
    <col collapsed="false" customWidth="true" hidden="true" outlineLevel="0" max="6" min="6" style="1" width="9.14"/>
    <col collapsed="false" customWidth="true" hidden="false" outlineLevel="0" max="12" min="7" style="1" width="11.57"/>
    <col collapsed="false" customWidth="true" hidden="true" outlineLevel="0" max="15" min="13" style="1" width="8.57"/>
    <col collapsed="false" customWidth="true" hidden="false" outlineLevel="0" max="18" min="16" style="1" width="11.57"/>
    <col collapsed="false" customWidth="true" hidden="false" outlineLevel="0" max="19" min="19" style="1" width="7"/>
    <col collapsed="false" customWidth="true" hidden="false" outlineLevel="0" max="23" min="23" style="113" width="9.14"/>
    <col collapsed="false" customWidth="true" hidden="false" outlineLevel="0" max="25" min="25" style="113" width="9.14"/>
  </cols>
  <sheetData>
    <row r="1" customFormat="false" ht="20.25" hidden="false" customHeight="true" outlineLevel="0" collapsed="false">
      <c r="A1" s="3" t="s">
        <v>28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3"/>
      <c r="T1" s="26"/>
      <c r="U1" s="26"/>
      <c r="V1" s="4"/>
      <c r="W1" s="4"/>
    </row>
    <row r="2" customFormat="false" ht="18.75" hidden="false" customHeight="true" outlineLevel="0" collapsed="false">
      <c r="A2" s="5" t="str">
        <f>"Kèm theo BBNT số: "&amp;VLOOKUP(AZ2,'[1]Tuyến XD8'!$A$2:$G$60,7,0)&amp;VLOOKUP(AZ2,'[1]Tuyến XD8'!$A$2:$G$60,4,0)</f>
        <v xml:space="preserve">Kèm theo BBNT số: 70.NĐXD8/CVXD ngày 19 tháng 09 năm 2026</v>
      </c>
      <c r="B2" s="5"/>
      <c r="C2" s="5"/>
      <c r="D2" s="5"/>
      <c r="E2" s="5"/>
      <c r="F2" s="5"/>
      <c r="G2" s="5"/>
      <c r="H2" s="5"/>
      <c r="I2" s="5"/>
      <c r="J2" s="5"/>
      <c r="K2" s="5"/>
      <c r="L2" s="5"/>
      <c r="M2" s="5"/>
      <c r="N2" s="5"/>
      <c r="O2" s="5"/>
      <c r="P2" s="5"/>
      <c r="Q2" s="5"/>
      <c r="R2" s="5"/>
      <c r="S2" s="5"/>
      <c r="U2" s="6"/>
      <c r="V2" s="6"/>
      <c r="W2" s="6"/>
      <c r="AZ2">
        <v>70</v>
      </c>
    </row>
    <row r="3" customFormat="false" ht="18.75" hidden="false" customHeight="true" outlineLevel="0" collapsed="false">
      <c r="A3" s="7" t="str">
        <f aca="false">+'1.KTHH L1'!A3</f>
        <v>Dự án: Xây dựng HTKT Khu tái định cư phục vụ di dân xã Hải Hà, thị xã Nghi Sơn, tỉnh Thanh Hóa.</v>
      </c>
      <c r="C3" s="7"/>
      <c r="D3" s="7"/>
      <c r="E3" s="7"/>
      <c r="F3" s="7"/>
      <c r="G3" s="7"/>
      <c r="H3" s="7"/>
      <c r="I3" s="7"/>
      <c r="J3" s="7"/>
      <c r="K3" s="7"/>
      <c r="L3" s="7"/>
      <c r="M3" s="7"/>
      <c r="N3" s="7"/>
      <c r="O3" s="7"/>
      <c r="P3" s="7"/>
      <c r="Q3" s="7"/>
      <c r="R3" s="7"/>
      <c r="S3" s="7"/>
      <c r="T3" s="7"/>
      <c r="U3" s="7"/>
      <c r="V3" s="7"/>
      <c r="W3" s="7"/>
    </row>
    <row r="4" customFormat="false" ht="18.75" hidden="false" customHeight="true" outlineLevel="0" collapsed="false">
      <c r="A4" s="7" t="str">
        <f aca="false">+'1.KTHH L1'!A4</f>
        <v>Gói thầu số 12: Xây dựng HTKT khu vực Hải Bình và Xuân Lâm (bao gồm cả bảo hiểm xây dựng công trình)</v>
      </c>
      <c r="C4" s="7"/>
      <c r="D4" s="7"/>
      <c r="E4" s="7"/>
      <c r="F4" s="7"/>
      <c r="G4" s="7"/>
      <c r="H4" s="7"/>
      <c r="I4" s="7"/>
      <c r="J4" s="7"/>
      <c r="K4" s="7"/>
      <c r="L4" s="7"/>
      <c r="M4" s="7"/>
      <c r="N4" s="7"/>
      <c r="O4" s="7"/>
      <c r="P4" s="7"/>
      <c r="Q4" s="7"/>
      <c r="R4" s="7"/>
      <c r="S4" s="7"/>
      <c r="T4" s="7"/>
      <c r="U4" s="7"/>
      <c r="V4" s="7"/>
      <c r="W4" s="7"/>
    </row>
    <row r="5" customFormat="false" ht="18.75" hidden="false" customHeight="true" outlineLevel="0" collapsed="false">
      <c r="A5" s="7" t="str">
        <f aca="false">+'1.KTHH L1'!A5</f>
        <v>Nhà thầu thi công: Công ty TNHH Hoàng Tuấn</v>
      </c>
      <c r="C5" s="7"/>
      <c r="D5" s="7"/>
      <c r="E5" s="7"/>
      <c r="F5" s="7"/>
      <c r="G5" s="7"/>
      <c r="H5" s="7"/>
      <c r="I5" s="7"/>
      <c r="J5" s="7"/>
      <c r="K5" s="7"/>
      <c r="L5" s="7"/>
      <c r="M5" s="7"/>
      <c r="N5" s="7"/>
      <c r="O5" s="7"/>
      <c r="P5" s="7"/>
      <c r="Q5" s="7"/>
      <c r="R5" s="7"/>
      <c r="S5" s="7"/>
      <c r="T5" s="7"/>
      <c r="U5" s="7"/>
      <c r="V5" s="7"/>
      <c r="W5" s="7"/>
    </row>
    <row r="6" customFormat="false" ht="18.75" hidden="false" customHeight="true" outlineLevel="0" collapsed="false">
      <c r="A6" s="7" t="s">
        <v>33</v>
      </c>
      <c r="C6" s="7"/>
      <c r="D6" s="7"/>
      <c r="E6" s="7"/>
      <c r="F6" s="7"/>
      <c r="G6" s="7"/>
      <c r="H6" s="7"/>
      <c r="I6" s="7"/>
      <c r="J6" s="7"/>
      <c r="K6" s="7"/>
      <c r="L6" s="7"/>
      <c r="M6" s="7"/>
      <c r="N6" s="7"/>
      <c r="O6" s="7"/>
      <c r="P6" s="7"/>
      <c r="Q6" s="7"/>
      <c r="R6" s="7"/>
      <c r="S6" s="7"/>
      <c r="T6" s="7"/>
      <c r="U6" s="7"/>
      <c r="V6" s="7"/>
      <c r="W6" s="7"/>
    </row>
    <row r="7" customFormat="false" ht="18.75" hidden="false" customHeight="true" outlineLevel="0" collapsed="false">
      <c r="A7" s="8" t="s">
        <v>34</v>
      </c>
      <c r="C7" s="7"/>
      <c r="D7" s="7"/>
      <c r="F7" s="7"/>
      <c r="G7" s="7" t="str">
        <f>VLOOKUP(AZ2,'[1]Tuyến XD8'!$A$2:$B$60,2,0)</f>
        <v xml:space="preserve">Đắp đất nền đường lớp 7 đoạn từ Km0+489,19 - Km0+609,11, độ chặt K&gt;=0,95</v>
      </c>
      <c r="I7" s="7"/>
      <c r="J7" s="7"/>
      <c r="K7" s="7"/>
      <c r="L7" s="7"/>
      <c r="M7" s="7"/>
      <c r="N7" s="7"/>
      <c r="O7" s="7"/>
      <c r="P7" s="7"/>
      <c r="Q7" s="7"/>
      <c r="R7" s="7"/>
      <c r="S7" s="7"/>
      <c r="T7" s="7"/>
      <c r="U7" s="7"/>
      <c r="V7" s="7"/>
      <c r="W7" s="7"/>
    </row>
    <row r="8" customFormat="false" ht="18.75" hidden="false" customHeight="true" outlineLevel="0" collapsed="false">
      <c r="A8" s="8" t="s">
        <v>36</v>
      </c>
      <c r="C8" s="7"/>
      <c r="D8" s="7"/>
      <c r="E8" s="7"/>
      <c r="F8" s="7"/>
      <c r="G8" s="7"/>
      <c r="H8" s="7"/>
      <c r="I8" s="7"/>
      <c r="J8" s="7"/>
      <c r="K8" s="7"/>
      <c r="L8" s="7"/>
      <c r="M8" s="7"/>
      <c r="N8" s="7"/>
      <c r="O8" s="7"/>
      <c r="P8" s="7"/>
      <c r="Q8" s="7"/>
      <c r="R8" s="7"/>
      <c r="S8" s="7"/>
      <c r="T8" s="7"/>
      <c r="U8" s="7"/>
      <c r="V8" s="7"/>
      <c r="W8" s="7"/>
    </row>
    <row r="20" customFormat="false" ht="17.25" hidden="false" customHeight="true" outlineLevel="0" collapsed="false">
      <c r="A20" s="9" t="s">
        <v>37</v>
      </c>
      <c r="B20" s="9" t="s">
        <v>38</v>
      </c>
      <c r="C20" s="9" t="s">
        <v>39</v>
      </c>
      <c r="D20" s="10" t="s">
        <v>40</v>
      </c>
      <c r="E20" s="10"/>
      <c r="F20" s="10"/>
      <c r="G20" s="10"/>
      <c r="H20" s="10"/>
      <c r="I20" s="10"/>
      <c r="J20" s="10" t="s">
        <v>41</v>
      </c>
      <c r="K20" s="10"/>
      <c r="L20" s="10"/>
      <c r="M20" s="10" t="s">
        <v>42</v>
      </c>
      <c r="N20" s="10"/>
      <c r="O20" s="10"/>
      <c r="P20" s="10"/>
      <c r="Q20" s="10"/>
      <c r="R20" s="10"/>
      <c r="S20" s="9" t="s">
        <v>43</v>
      </c>
    </row>
    <row r="21" customFormat="false" ht="30" hidden="false" customHeight="true" outlineLevel="0" collapsed="false">
      <c r="A21" s="9"/>
      <c r="B21" s="9"/>
      <c r="C21" s="9"/>
      <c r="D21" s="11" t="s">
        <v>44</v>
      </c>
      <c r="E21" s="11" t="s">
        <v>45</v>
      </c>
      <c r="F21" s="11" t="s">
        <v>46</v>
      </c>
      <c r="G21" s="11" t="s">
        <v>47</v>
      </c>
      <c r="H21" s="11" t="s">
        <v>48</v>
      </c>
      <c r="I21" s="11" t="s">
        <v>49</v>
      </c>
      <c r="J21" s="11" t="s">
        <v>47</v>
      </c>
      <c r="K21" s="11" t="s">
        <v>48</v>
      </c>
      <c r="L21" s="11" t="s">
        <v>49</v>
      </c>
      <c r="M21" s="11" t="s">
        <v>44</v>
      </c>
      <c r="N21" s="11" t="s">
        <v>45</v>
      </c>
      <c r="O21" s="11" t="s">
        <v>46</v>
      </c>
      <c r="P21" s="11" t="s">
        <v>47</v>
      </c>
      <c r="Q21" s="11" t="s">
        <v>48</v>
      </c>
      <c r="R21" s="11" t="s">
        <v>49</v>
      </c>
      <c r="S21" s="9"/>
      <c r="T21" s="12"/>
      <c r="W21" s="111"/>
      <c r="Y21" s="114"/>
    </row>
    <row r="22" customFormat="false" ht="15" hidden="false" customHeight="false" outlineLevel="0" collapsed="false">
      <c r="A22" s="13" t="n">
        <v>1</v>
      </c>
      <c r="B22" s="13" t="s">
        <v>17</v>
      </c>
      <c r="C22" s="15" t="n">
        <v>489.19</v>
      </c>
      <c r="D22" s="16" t="n">
        <f aca="false">+Chạy!F3</f>
        <v>-12.4</v>
      </c>
      <c r="E22" s="16" t="n">
        <f aca="false">+D22+F22</f>
        <v>-12.4072</v>
      </c>
      <c r="F22" s="16" t="n">
        <f aca="false">RANDBETWEEN(-105,115)/10000</f>
        <v>-0.0072</v>
      </c>
      <c r="G22" s="16" t="n">
        <f aca="false">+Chạy!G3</f>
        <v>1.57</v>
      </c>
      <c r="H22" s="16" t="n">
        <f aca="false">G22+I22</f>
        <v>1.586</v>
      </c>
      <c r="I22" s="16" t="n">
        <f aca="false">RANDBETWEEN(-30,90)/1000</f>
        <v>0.016</v>
      </c>
      <c r="J22" s="16" t="n">
        <f aca="false">+Chạy!K3</f>
        <v>1.69</v>
      </c>
      <c r="K22" s="16" t="n">
        <f aca="false">J22+L22</f>
        <v>1.683</v>
      </c>
      <c r="L22" s="16" t="n">
        <f aca="false">RANDBETWEEN(-30,90)/1000</f>
        <v>-0.007</v>
      </c>
      <c r="M22" s="16" t="n">
        <f aca="false">+Chạy!N3</f>
        <v>12.4</v>
      </c>
      <c r="N22" s="16" t="n">
        <f aca="false">+M22+O22</f>
        <v>12.4018</v>
      </c>
      <c r="O22" s="16" t="n">
        <f aca="false">RANDBETWEEN(-105,115)/10000</f>
        <v>0.0018</v>
      </c>
      <c r="P22" s="16" t="n">
        <f aca="false">+Chạy!O3</f>
        <v>1.57</v>
      </c>
      <c r="Q22" s="16" t="n">
        <f aca="false">P22+R22</f>
        <v>1.574</v>
      </c>
      <c r="R22" s="16" t="n">
        <f aca="false">RANDBETWEEN(-30,90)/1000</f>
        <v>0.004</v>
      </c>
      <c r="S22" s="17"/>
      <c r="T22" s="0" t="n">
        <v>13.17</v>
      </c>
      <c r="W22" s="115"/>
      <c r="X22" s="102"/>
    </row>
    <row r="23" customFormat="false" ht="15" hidden="false" customHeight="false" outlineLevel="0" collapsed="false">
      <c r="A23" s="13" t="n">
        <v>2</v>
      </c>
      <c r="B23" s="13" t="s">
        <v>18</v>
      </c>
      <c r="C23" s="15" t="n">
        <f aca="false">+C22+T22</f>
        <v>502.36</v>
      </c>
      <c r="D23" s="16" t="n">
        <f aca="false">+Chạy!F11</f>
        <v>-12.4</v>
      </c>
      <c r="E23" s="16" t="n">
        <f aca="false">+D23+F23</f>
        <v>-12.4097</v>
      </c>
      <c r="F23" s="16" t="n">
        <f aca="false">RANDBETWEEN(-105,115)/10000</f>
        <v>-0.0097</v>
      </c>
      <c r="G23" s="16" t="n">
        <f aca="false">+Chạy!G11</f>
        <v>1.56</v>
      </c>
      <c r="H23" s="16" t="n">
        <f aca="false">G23+I23</f>
        <v>1.552</v>
      </c>
      <c r="I23" s="16" t="n">
        <f aca="false">RANDBETWEEN(-30,90)/1000</f>
        <v>-0.008</v>
      </c>
      <c r="J23" s="16" t="n">
        <f aca="false">+Chạy!K11</f>
        <v>1.68</v>
      </c>
      <c r="K23" s="16" t="n">
        <f aca="false">J23+L23</f>
        <v>1.746</v>
      </c>
      <c r="L23" s="16" t="n">
        <f aca="false">RANDBETWEEN(-30,90)/1000</f>
        <v>0.066</v>
      </c>
      <c r="M23" s="16" t="n">
        <f aca="false">+Chạy!N11</f>
        <v>12.4</v>
      </c>
      <c r="N23" s="16" t="n">
        <f aca="false">+M23+O23</f>
        <v>12.4065</v>
      </c>
      <c r="O23" s="16" t="n">
        <f aca="false">RANDBETWEEN(-105,115)/10000</f>
        <v>0.0065</v>
      </c>
      <c r="P23" s="16" t="n">
        <f aca="false">+Chạy!O11</f>
        <v>1.56</v>
      </c>
      <c r="Q23" s="16" t="n">
        <f aca="false">P23+R23</f>
        <v>1.557</v>
      </c>
      <c r="R23" s="16" t="n">
        <f aca="false">RANDBETWEEN(-30,90)/1000</f>
        <v>-0.003</v>
      </c>
      <c r="S23" s="17"/>
      <c r="T23" s="0" t="n">
        <v>10.48</v>
      </c>
      <c r="W23" s="115"/>
      <c r="X23" s="102"/>
    </row>
    <row r="24" customFormat="false" ht="15" hidden="false" customHeight="false" outlineLevel="0" collapsed="false">
      <c r="A24" s="13" t="n">
        <v>3</v>
      </c>
      <c r="B24" s="13" t="s">
        <v>19</v>
      </c>
      <c r="C24" s="15" t="n">
        <f aca="false">+C23+T23</f>
        <v>512.84</v>
      </c>
      <c r="D24" s="16" t="n">
        <f aca="false">+Chạy!F19</f>
        <v>-12.4</v>
      </c>
      <c r="E24" s="16" t="n">
        <f aca="false">+D24+F24</f>
        <v>-12.4098</v>
      </c>
      <c r="F24" s="16" t="n">
        <f aca="false">RANDBETWEEN(-105,115)/10000</f>
        <v>-0.0098</v>
      </c>
      <c r="G24" s="16" t="n">
        <f aca="false">+Chạy!G19</f>
        <v>1.56</v>
      </c>
      <c r="H24" s="16" t="n">
        <f aca="false">G24+I24</f>
        <v>1.589</v>
      </c>
      <c r="I24" s="16" t="n">
        <f aca="false">RANDBETWEEN(-30,90)/1000</f>
        <v>0.029</v>
      </c>
      <c r="J24" s="16" t="n">
        <f aca="false">+Chạy!K19</f>
        <v>1.67</v>
      </c>
      <c r="K24" s="16" t="n">
        <f aca="false">J24+L24</f>
        <v>1.726</v>
      </c>
      <c r="L24" s="16" t="n">
        <f aca="false">RANDBETWEEN(-30,90)/1000</f>
        <v>0.056</v>
      </c>
      <c r="M24" s="16" t="n">
        <f aca="false">+Chạy!N19</f>
        <v>12.4</v>
      </c>
      <c r="N24" s="16" t="n">
        <f aca="false">+M24+O24</f>
        <v>12.3905</v>
      </c>
      <c r="O24" s="16" t="n">
        <f aca="false">RANDBETWEEN(-105,115)/10000</f>
        <v>-0.0095</v>
      </c>
      <c r="P24" s="16" t="n">
        <f aca="false">+Chạy!O19</f>
        <v>1.56</v>
      </c>
      <c r="Q24" s="16" t="n">
        <f aca="false">P24+R24</f>
        <v>1.581</v>
      </c>
      <c r="R24" s="16" t="n">
        <f aca="false">RANDBETWEEN(-30,90)/1000</f>
        <v>0.021</v>
      </c>
      <c r="S24" s="17"/>
      <c r="T24" s="0" t="n">
        <v>16.78</v>
      </c>
      <c r="W24" s="115"/>
      <c r="X24" s="102"/>
    </row>
    <row r="25" customFormat="false" ht="15" hidden="false" customHeight="false" outlineLevel="0" collapsed="false">
      <c r="A25" s="13" t="n">
        <v>4</v>
      </c>
      <c r="B25" s="13" t="s">
        <v>20</v>
      </c>
      <c r="C25" s="15" t="n">
        <f aca="false">+C24+T24</f>
        <v>529.62</v>
      </c>
      <c r="D25" s="16" t="n">
        <f aca="false">+Chạy!F27</f>
        <v>-12.4</v>
      </c>
      <c r="E25" s="16" t="n">
        <f aca="false">+D25+F25</f>
        <v>-12.4063</v>
      </c>
      <c r="F25" s="16" t="n">
        <f aca="false">RANDBETWEEN(-105,115)/10000</f>
        <v>-0.0063</v>
      </c>
      <c r="G25" s="16" t="n">
        <f aca="false">+Chạy!G27</f>
        <v>1.55</v>
      </c>
      <c r="H25" s="16" t="n">
        <f aca="false">G25+I25</f>
        <v>1.597</v>
      </c>
      <c r="I25" s="16" t="n">
        <f aca="false">RANDBETWEEN(-30,90)/1000</f>
        <v>0.047</v>
      </c>
      <c r="J25" s="16" t="n">
        <f aca="false">+Chạy!K27</f>
        <v>1.67</v>
      </c>
      <c r="K25" s="16" t="n">
        <f aca="false">J25+L25</f>
        <v>1.673</v>
      </c>
      <c r="L25" s="16" t="n">
        <f aca="false">RANDBETWEEN(-30,90)/1000</f>
        <v>0.003</v>
      </c>
      <c r="M25" s="16" t="n">
        <f aca="false">+Chạy!N27</f>
        <v>12.4</v>
      </c>
      <c r="N25" s="16" t="n">
        <f aca="false">+M25+O25</f>
        <v>12.4063</v>
      </c>
      <c r="O25" s="16" t="n">
        <f aca="false">RANDBETWEEN(-105,115)/10000</f>
        <v>0.0063</v>
      </c>
      <c r="P25" s="16" t="n">
        <f aca="false">+Chạy!O27</f>
        <v>1.55</v>
      </c>
      <c r="Q25" s="16" t="n">
        <f aca="false">P25+R25</f>
        <v>1.634</v>
      </c>
      <c r="R25" s="16" t="n">
        <f aca="false">RANDBETWEEN(-30,90)/1000</f>
        <v>0.084</v>
      </c>
      <c r="S25" s="17"/>
      <c r="T25" s="0" t="n">
        <v>17.1</v>
      </c>
      <c r="W25" s="115"/>
      <c r="X25" s="102"/>
    </row>
    <row r="26" customFormat="false" ht="15" hidden="false" customHeight="false" outlineLevel="0" collapsed="false">
      <c r="A26" s="13" t="n">
        <v>5</v>
      </c>
      <c r="B26" s="13" t="s">
        <v>21</v>
      </c>
      <c r="C26" s="15" t="n">
        <f aca="false">+C25+T25</f>
        <v>546.72</v>
      </c>
      <c r="D26" s="16" t="n">
        <f aca="false">+Chạy!F35</f>
        <v>-12.4</v>
      </c>
      <c r="E26" s="16" t="n">
        <f aca="false">+D26+F26</f>
        <v>-12.398</v>
      </c>
      <c r="F26" s="16" t="n">
        <f aca="false">RANDBETWEEN(-105,115)/10000</f>
        <v>0.002</v>
      </c>
      <c r="G26" s="16" t="n">
        <f aca="false">+Chạy!G35</f>
        <v>1.54</v>
      </c>
      <c r="H26" s="16" t="n">
        <f aca="false">G26+I26</f>
        <v>1.532</v>
      </c>
      <c r="I26" s="16" t="n">
        <f aca="false">RANDBETWEEN(-30,90)/1000</f>
        <v>-0.008</v>
      </c>
      <c r="J26" s="16" t="n">
        <f aca="false">+Chạy!K35</f>
        <v>1.66</v>
      </c>
      <c r="K26" s="16" t="n">
        <f aca="false">J26+L26</f>
        <v>1.678</v>
      </c>
      <c r="L26" s="16" t="n">
        <f aca="false">RANDBETWEEN(-30,90)/1000</f>
        <v>0.018</v>
      </c>
      <c r="M26" s="16" t="n">
        <f aca="false">+Chạy!N35</f>
        <v>12.4</v>
      </c>
      <c r="N26" s="16" t="n">
        <f aca="false">+M26+O26</f>
        <v>12.4077</v>
      </c>
      <c r="O26" s="16" t="n">
        <f aca="false">RANDBETWEEN(-105,115)/10000</f>
        <v>0.0077</v>
      </c>
      <c r="P26" s="16" t="n">
        <f aca="false">+Chạy!O35</f>
        <v>1.54</v>
      </c>
      <c r="Q26" s="16" t="n">
        <f aca="false">P26+R26</f>
        <v>1.581</v>
      </c>
      <c r="R26" s="16" t="n">
        <f aca="false">RANDBETWEEN(-30,90)/1000</f>
        <v>0.041</v>
      </c>
      <c r="S26" s="17"/>
      <c r="T26" s="0" t="n">
        <v>15.15</v>
      </c>
      <c r="W26" s="115"/>
      <c r="X26" s="102"/>
    </row>
    <row r="27" customFormat="false" ht="15" hidden="false" customHeight="false" outlineLevel="0" collapsed="false">
      <c r="A27" s="13" t="n">
        <v>6</v>
      </c>
      <c r="B27" s="13" t="s">
        <v>22</v>
      </c>
      <c r="C27" s="15" t="n">
        <f aca="false">+C26+T26</f>
        <v>561.87</v>
      </c>
      <c r="D27" s="16" t="n">
        <f aca="false">+Chạy!F43</f>
        <v>-12.4</v>
      </c>
      <c r="E27" s="16" t="n">
        <f aca="false">+D27+F27</f>
        <v>-12.3982</v>
      </c>
      <c r="F27" s="16" t="n">
        <f aca="false">RANDBETWEEN(-105,115)/10000</f>
        <v>0.0018</v>
      </c>
      <c r="G27" s="16" t="n">
        <f aca="false">+Chạy!G43</f>
        <v>1.54</v>
      </c>
      <c r="H27" s="16" t="n">
        <f aca="false">G27+I27</f>
        <v>1.607</v>
      </c>
      <c r="I27" s="16" t="n">
        <f aca="false">RANDBETWEEN(-30,90)/1000</f>
        <v>0.067</v>
      </c>
      <c r="J27" s="16" t="n">
        <f aca="false">+Chạy!K43</f>
        <v>1.65</v>
      </c>
      <c r="K27" s="16" t="n">
        <f aca="false">J27+L27</f>
        <v>1.736</v>
      </c>
      <c r="L27" s="16" t="n">
        <f aca="false">RANDBETWEEN(-30,90)/1000</f>
        <v>0.086</v>
      </c>
      <c r="M27" s="16" t="n">
        <f aca="false">+Chạy!N43</f>
        <v>12.4</v>
      </c>
      <c r="N27" s="16" t="n">
        <f aca="false">+M27+O27</f>
        <v>12.4087</v>
      </c>
      <c r="O27" s="16" t="n">
        <f aca="false">RANDBETWEEN(-105,115)/10000</f>
        <v>0.0087</v>
      </c>
      <c r="P27" s="16" t="n">
        <f aca="false">+Chạy!O43</f>
        <v>1.54</v>
      </c>
      <c r="Q27" s="16" t="n">
        <f aca="false">P27+R27</f>
        <v>1.596</v>
      </c>
      <c r="R27" s="16" t="n">
        <f aca="false">RANDBETWEEN(-30,90)/1000</f>
        <v>0.056</v>
      </c>
      <c r="S27" s="17"/>
      <c r="T27" s="0" t="n">
        <v>0.15</v>
      </c>
      <c r="W27" s="115"/>
      <c r="X27" s="102"/>
    </row>
    <row r="28" customFormat="false" ht="15" hidden="false" customHeight="false" outlineLevel="0" collapsed="false">
      <c r="A28" s="13" t="n">
        <v>7</v>
      </c>
      <c r="B28" s="13" t="s">
        <v>23</v>
      </c>
      <c r="C28" s="15" t="n">
        <f aca="false">+C27+T27</f>
        <v>562.02</v>
      </c>
      <c r="D28" s="16" t="n">
        <f aca="false">+Chạy!F51</f>
        <v>-12.4</v>
      </c>
      <c r="E28" s="16" t="n">
        <f aca="false">+D28+F28</f>
        <v>-12.3941</v>
      </c>
      <c r="F28" s="16" t="n">
        <f aca="false">RANDBETWEEN(-105,115)/10000</f>
        <v>0.0059</v>
      </c>
      <c r="G28" s="16" t="n">
        <f aca="false">+Chạy!G51</f>
        <v>1.54</v>
      </c>
      <c r="H28" s="16" t="n">
        <f aca="false">G28+I28</f>
        <v>1.537</v>
      </c>
      <c r="I28" s="16" t="n">
        <f aca="false">RANDBETWEEN(-30,90)/1000</f>
        <v>-0.003</v>
      </c>
      <c r="J28" s="16" t="n">
        <f aca="false">+Chạy!K51</f>
        <v>1.65</v>
      </c>
      <c r="K28" s="16" t="n">
        <f aca="false">J28+L28</f>
        <v>1.683</v>
      </c>
      <c r="L28" s="16" t="n">
        <f aca="false">RANDBETWEEN(-30,90)/1000</f>
        <v>0.033</v>
      </c>
      <c r="M28" s="16" t="n">
        <f aca="false">+Chạy!N51</f>
        <v>12.4</v>
      </c>
      <c r="N28" s="16" t="n">
        <f aca="false">+M28+O28</f>
        <v>12.3983</v>
      </c>
      <c r="O28" s="16" t="n">
        <f aca="false">RANDBETWEEN(-105,115)/10000</f>
        <v>-0.0017</v>
      </c>
      <c r="P28" s="16" t="n">
        <f aca="false">+Chạy!O51</f>
        <v>1.54</v>
      </c>
      <c r="Q28" s="16" t="n">
        <f aca="false">P28+R28</f>
        <v>1.618</v>
      </c>
      <c r="R28" s="16" t="n">
        <f aca="false">RANDBETWEEN(-30,90)/1000</f>
        <v>0.078</v>
      </c>
      <c r="S28" s="17"/>
      <c r="T28" s="0" t="n">
        <v>6.55</v>
      </c>
      <c r="W28" s="115"/>
      <c r="X28" s="102"/>
    </row>
    <row r="29" customFormat="false" ht="15" hidden="false" customHeight="false" outlineLevel="0" collapsed="false">
      <c r="A29" s="13" t="n">
        <v>8</v>
      </c>
      <c r="B29" s="13" t="s">
        <v>24</v>
      </c>
      <c r="C29" s="15" t="n">
        <f aca="false">+C28+T28</f>
        <v>568.57</v>
      </c>
      <c r="D29" s="16" t="n">
        <f aca="false">+Chạy!F59</f>
        <v>-12.4</v>
      </c>
      <c r="E29" s="16" t="n">
        <f aca="false">+D29+F29</f>
        <v>-12.3991</v>
      </c>
      <c r="F29" s="16" t="n">
        <f aca="false">RANDBETWEEN(-105,115)/10000</f>
        <v>0.0009</v>
      </c>
      <c r="G29" s="16" t="n">
        <f aca="false">+Chạy!G59</f>
        <v>1.54</v>
      </c>
      <c r="H29" s="16" t="n">
        <f aca="false">G29+I29</f>
        <v>1.578</v>
      </c>
      <c r="I29" s="16" t="n">
        <f aca="false">RANDBETWEEN(-30,90)/1000</f>
        <v>0.038</v>
      </c>
      <c r="J29" s="16" t="n">
        <f aca="false">+Chạy!K59</f>
        <v>1.65</v>
      </c>
      <c r="K29" s="16" t="n">
        <f aca="false">J29+L29</f>
        <v>1.717</v>
      </c>
      <c r="L29" s="16" t="n">
        <f aca="false">RANDBETWEEN(-30,90)/1000</f>
        <v>0.067</v>
      </c>
      <c r="M29" s="16" t="n">
        <f aca="false">+Chạy!N59</f>
        <v>12.4</v>
      </c>
      <c r="N29" s="16" t="n">
        <f aca="false">+M29+O29</f>
        <v>12.3965</v>
      </c>
      <c r="O29" s="16" t="n">
        <f aca="false">RANDBETWEEN(-105,115)/10000</f>
        <v>-0.0035</v>
      </c>
      <c r="P29" s="16" t="n">
        <f aca="false">+Chạy!O59</f>
        <v>1.54</v>
      </c>
      <c r="Q29" s="16" t="n">
        <f aca="false">P29+R29</f>
        <v>1.627</v>
      </c>
      <c r="R29" s="16" t="n">
        <f aca="false">RANDBETWEEN(-30,90)/1000</f>
        <v>0.087</v>
      </c>
      <c r="S29" s="17"/>
      <c r="T29" s="0" t="n">
        <v>6.55</v>
      </c>
      <c r="W29" s="115"/>
      <c r="X29" s="102"/>
    </row>
    <row r="30" customFormat="false" ht="15" hidden="false" customHeight="false" outlineLevel="0" collapsed="false">
      <c r="A30" s="13" t="n">
        <v>9</v>
      </c>
      <c r="B30" s="13" t="s">
        <v>1</v>
      </c>
      <c r="C30" s="15" t="n">
        <f aca="false">+C29+T29</f>
        <v>575.12</v>
      </c>
      <c r="D30" s="16" t="n">
        <f aca="false">+Chạy!F67</f>
        <v>-12.4</v>
      </c>
      <c r="E30" s="16" t="n">
        <f aca="false">+D30+F30</f>
        <v>-12.405</v>
      </c>
      <c r="F30" s="16" t="n">
        <f aca="false">RANDBETWEEN(-105,115)/10000</f>
        <v>-0.005</v>
      </c>
      <c r="G30" s="16" t="n">
        <f aca="false">+Chạy!G67</f>
        <v>1.54</v>
      </c>
      <c r="H30" s="16" t="n">
        <f aca="false">G30+I30</f>
        <v>1.594</v>
      </c>
      <c r="I30" s="16" t="n">
        <f aca="false">RANDBETWEEN(-30,90)/1000</f>
        <v>0.054</v>
      </c>
      <c r="J30" s="16" t="n">
        <f aca="false">+Chạy!K67</f>
        <v>1.65</v>
      </c>
      <c r="K30" s="16" t="n">
        <f aca="false">J30+L30</f>
        <v>1.649</v>
      </c>
      <c r="L30" s="16" t="n">
        <f aca="false">RANDBETWEEN(-30,90)/1000</f>
        <v>-0.001</v>
      </c>
      <c r="M30" s="16" t="n">
        <f aca="false">+Chạy!N67</f>
        <v>12.4</v>
      </c>
      <c r="N30" s="16" t="n">
        <f aca="false">+M30+O30</f>
        <v>12.4083</v>
      </c>
      <c r="O30" s="16" t="n">
        <f aca="false">RANDBETWEEN(-105,115)/10000</f>
        <v>0.0083</v>
      </c>
      <c r="P30" s="16" t="n">
        <f aca="false">+Chạy!O67</f>
        <v>1.54</v>
      </c>
      <c r="Q30" s="16" t="n">
        <f aca="false">P30+R30</f>
        <v>1.562</v>
      </c>
      <c r="R30" s="16" t="n">
        <f aca="false">RANDBETWEEN(-30,90)/1000</f>
        <v>0.022</v>
      </c>
      <c r="S30" s="17"/>
      <c r="T30" s="0" t="n">
        <v>0.04</v>
      </c>
      <c r="W30" s="115"/>
      <c r="X30" s="102"/>
    </row>
    <row r="31" customFormat="false" ht="15" hidden="false" customHeight="false" outlineLevel="0" collapsed="false">
      <c r="A31" s="13" t="n">
        <v>10</v>
      </c>
      <c r="B31" s="13" t="s">
        <v>25</v>
      </c>
      <c r="C31" s="15" t="n">
        <f aca="false">+C30+T30</f>
        <v>575.16</v>
      </c>
      <c r="D31" s="16" t="n">
        <f aca="false">+Chạy!F75</f>
        <v>-12.4</v>
      </c>
      <c r="E31" s="16" t="n">
        <f aca="false">+D31+F31</f>
        <v>-12.3896</v>
      </c>
      <c r="F31" s="16" t="n">
        <f aca="false">RANDBETWEEN(-105,115)/10000</f>
        <v>0.0104</v>
      </c>
      <c r="G31" s="16" t="n">
        <f aca="false">+Chạy!G75</f>
        <v>1.67</v>
      </c>
      <c r="H31" s="16" t="n">
        <f aca="false">G31+I31</f>
        <v>1.685</v>
      </c>
      <c r="I31" s="16" t="n">
        <f aca="false">RANDBETWEEN(-30,90)/1000</f>
        <v>0.015</v>
      </c>
      <c r="J31" s="16" t="n">
        <f aca="false">+Chạy!K75</f>
        <v>1.65</v>
      </c>
      <c r="K31" s="16" t="n">
        <f aca="false">J31+L31</f>
        <v>1.733</v>
      </c>
      <c r="L31" s="16" t="n">
        <f aca="false">RANDBETWEEN(-30,90)/1000</f>
        <v>0.083</v>
      </c>
      <c r="M31" s="16" t="n">
        <f aca="false">+Chạy!N75</f>
        <v>12.4</v>
      </c>
      <c r="N31" s="16" t="n">
        <f aca="false">+M31+O31</f>
        <v>12.3985</v>
      </c>
      <c r="O31" s="16" t="n">
        <f aca="false">RANDBETWEEN(-105,115)/10000</f>
        <v>-0.0015</v>
      </c>
      <c r="P31" s="16" t="n">
        <f aca="false">+Chạy!O75</f>
        <v>1.54</v>
      </c>
      <c r="Q31" s="16" t="n">
        <f aca="false">P31+R31</f>
        <v>1.611</v>
      </c>
      <c r="R31" s="16" t="n">
        <f aca="false">RANDBETWEEN(-30,90)/1000</f>
        <v>0.071</v>
      </c>
      <c r="S31" s="17"/>
      <c r="T31" s="0" t="n">
        <v>16.95</v>
      </c>
      <c r="W31" s="115"/>
      <c r="X31" s="102"/>
    </row>
    <row r="32" customFormat="false" ht="15" hidden="false" customHeight="false" outlineLevel="0" collapsed="false">
      <c r="A32" s="13" t="n">
        <v>11</v>
      </c>
      <c r="B32" s="13" t="s">
        <v>26</v>
      </c>
      <c r="C32" s="15" t="n">
        <f aca="false">+C31+T31</f>
        <v>592.11</v>
      </c>
      <c r="D32" s="16" t="n">
        <f aca="false">+Chạy!F83</f>
        <v>-12.4</v>
      </c>
      <c r="E32" s="16" t="n">
        <f aca="false">+D32+F32</f>
        <v>-12.3926</v>
      </c>
      <c r="F32" s="16" t="n">
        <f aca="false">RANDBETWEEN(-105,115)/10000</f>
        <v>0.0074</v>
      </c>
      <c r="G32" s="16" t="n">
        <f aca="false">+Chạy!G83</f>
        <v>1.54</v>
      </c>
      <c r="H32" s="16" t="n">
        <f aca="false">G32+I32</f>
        <v>1.595</v>
      </c>
      <c r="I32" s="16" t="n">
        <f aca="false">RANDBETWEEN(-30,90)/1000</f>
        <v>0.055</v>
      </c>
      <c r="J32" s="16" t="n">
        <f aca="false">+Chạy!K83</f>
        <v>1.66</v>
      </c>
      <c r="K32" s="16" t="n">
        <f aca="false">J32+L32</f>
        <v>1.649</v>
      </c>
      <c r="L32" s="16" t="n">
        <f aca="false">RANDBETWEEN(-30,90)/1000</f>
        <v>-0.011</v>
      </c>
      <c r="M32" s="16" t="n">
        <f aca="false">+Chạy!N83</f>
        <v>12.4</v>
      </c>
      <c r="N32" s="16" t="n">
        <f aca="false">+M32+O32</f>
        <v>12.4008</v>
      </c>
      <c r="O32" s="16" t="n">
        <f aca="false">RANDBETWEEN(-105,115)/10000</f>
        <v>0.0008</v>
      </c>
      <c r="P32" s="16" t="n">
        <f aca="false">+Chạy!O83</f>
        <v>1.54</v>
      </c>
      <c r="Q32" s="16" t="n">
        <f aca="false">P32+R32</f>
        <v>1.577</v>
      </c>
      <c r="R32" s="16" t="n">
        <f aca="false">RANDBETWEEN(-30,90)/1000</f>
        <v>0.037</v>
      </c>
      <c r="S32" s="17"/>
      <c r="T32" s="0" t="n">
        <v>17</v>
      </c>
      <c r="W32" s="115"/>
      <c r="X32" s="102"/>
    </row>
    <row r="33" customFormat="false" ht="15" hidden="false" customHeight="false" outlineLevel="0" collapsed="false">
      <c r="A33" s="13" t="n">
        <v>12</v>
      </c>
      <c r="B33" s="13" t="s">
        <v>27</v>
      </c>
      <c r="C33" s="15" t="n">
        <f aca="false">+C32+T32</f>
        <v>609.11</v>
      </c>
      <c r="D33" s="16" t="n">
        <f aca="false">+Chạy!F91</f>
        <v>-12.4</v>
      </c>
      <c r="E33" s="16" t="n">
        <f aca="false">+D33+F33</f>
        <v>-12.3934</v>
      </c>
      <c r="F33" s="16" t="n">
        <f aca="false">RANDBETWEEN(-105,115)/10000</f>
        <v>0.0066</v>
      </c>
      <c r="G33" s="16" t="n">
        <f aca="false">+Chạy!G91</f>
        <v>1.54</v>
      </c>
      <c r="H33" s="16" t="n">
        <f aca="false">G33+I33</f>
        <v>1.522</v>
      </c>
      <c r="I33" s="16" t="n">
        <f aca="false">RANDBETWEEN(-30,90)/1000</f>
        <v>-0.018</v>
      </c>
      <c r="J33" s="16" t="n">
        <f aca="false">+Chạy!K91</f>
        <v>1.66</v>
      </c>
      <c r="K33" s="16" t="n">
        <f aca="false">J33+L33</f>
        <v>1.656</v>
      </c>
      <c r="L33" s="16" t="n">
        <f aca="false">RANDBETWEEN(-30,90)/1000</f>
        <v>-0.004</v>
      </c>
      <c r="M33" s="16" t="n">
        <f aca="false">+Chạy!N91</f>
        <v>12.4</v>
      </c>
      <c r="N33" s="16" t="n">
        <f aca="false">+M33+O33</f>
        <v>12.4023</v>
      </c>
      <c r="O33" s="16" t="n">
        <f aca="false">RANDBETWEEN(-105,115)/10000</f>
        <v>0.0023</v>
      </c>
      <c r="P33" s="16" t="n">
        <f aca="false">+Chạy!O91</f>
        <v>1.54</v>
      </c>
      <c r="Q33" s="16" t="n">
        <f aca="false">P33+R33</f>
        <v>1.529</v>
      </c>
      <c r="R33" s="16" t="n">
        <f aca="false">RANDBETWEEN(-30,90)/1000</f>
        <v>-0.011</v>
      </c>
      <c r="S33" s="17"/>
      <c r="W33" s="115"/>
      <c r="X33" s="102"/>
    </row>
    <row r="34" customFormat="false" ht="15" hidden="true" customHeight="false" outlineLevel="0" collapsed="false">
      <c r="A34" s="13"/>
      <c r="B34" s="13"/>
      <c r="C34" s="15"/>
      <c r="D34" s="16"/>
      <c r="E34" s="16"/>
      <c r="F34" s="16"/>
      <c r="G34" s="16"/>
      <c r="H34" s="16"/>
      <c r="I34" s="16"/>
      <c r="J34" s="16"/>
      <c r="K34" s="16"/>
      <c r="L34" s="16"/>
      <c r="M34" s="16"/>
      <c r="N34" s="16"/>
      <c r="O34" s="16"/>
      <c r="P34" s="16"/>
      <c r="Q34" s="16"/>
      <c r="R34" s="16"/>
      <c r="S34" s="17"/>
      <c r="W34" s="115"/>
      <c r="X34" s="102"/>
    </row>
    <row r="35" customFormat="false" ht="15" hidden="true" customHeight="false" outlineLevel="0" collapsed="false">
      <c r="A35" s="13"/>
      <c r="B35" s="13"/>
      <c r="C35" s="15"/>
      <c r="D35" s="16"/>
      <c r="E35" s="16"/>
      <c r="F35" s="16"/>
      <c r="G35" s="16"/>
      <c r="H35" s="16"/>
      <c r="I35" s="16"/>
      <c r="J35" s="16"/>
      <c r="K35" s="16"/>
      <c r="L35" s="16"/>
      <c r="M35" s="16"/>
      <c r="N35" s="16"/>
      <c r="O35" s="16"/>
      <c r="P35" s="16"/>
      <c r="Q35" s="16"/>
      <c r="R35" s="16"/>
      <c r="S35" s="17"/>
      <c r="W35" s="115"/>
      <c r="X35" s="102"/>
    </row>
    <row r="36" customFormat="false" ht="15" hidden="true" customHeight="false" outlineLevel="0" collapsed="false">
      <c r="A36" s="13"/>
      <c r="B36" s="13"/>
      <c r="C36" s="15"/>
      <c r="D36" s="16"/>
      <c r="E36" s="16"/>
      <c r="F36" s="16"/>
      <c r="G36" s="16"/>
      <c r="H36" s="16"/>
      <c r="I36" s="16"/>
      <c r="J36" s="16"/>
      <c r="K36" s="16"/>
      <c r="L36" s="16"/>
      <c r="M36" s="16"/>
      <c r="N36" s="16"/>
      <c r="O36" s="16"/>
      <c r="P36" s="16"/>
      <c r="Q36" s="16"/>
      <c r="R36" s="16"/>
      <c r="S36" s="17"/>
      <c r="W36" s="115"/>
      <c r="X36" s="102"/>
    </row>
    <row r="37" customFormat="false" ht="15" hidden="true" customHeight="false" outlineLevel="0" collapsed="false">
      <c r="A37" s="13"/>
      <c r="B37" s="13"/>
      <c r="C37" s="15"/>
      <c r="D37" s="16"/>
      <c r="E37" s="16"/>
      <c r="F37" s="16"/>
      <c r="G37" s="16"/>
      <c r="H37" s="16"/>
      <c r="I37" s="16"/>
      <c r="J37" s="16"/>
      <c r="K37" s="16"/>
      <c r="L37" s="16"/>
      <c r="M37" s="16"/>
      <c r="N37" s="16"/>
      <c r="O37" s="16"/>
      <c r="P37" s="16"/>
      <c r="Q37" s="16"/>
      <c r="R37" s="16"/>
      <c r="S37" s="17"/>
      <c r="W37" s="115"/>
      <c r="X37" s="102"/>
    </row>
    <row r="38" customFormat="false" ht="15" hidden="true" customHeight="false" outlineLevel="0" collapsed="false">
      <c r="A38" s="13"/>
      <c r="B38" s="13"/>
      <c r="C38" s="15"/>
      <c r="D38" s="16"/>
      <c r="E38" s="16"/>
      <c r="F38" s="16"/>
      <c r="G38" s="16"/>
      <c r="H38" s="16"/>
      <c r="I38" s="16"/>
      <c r="J38" s="16"/>
      <c r="K38" s="16"/>
      <c r="L38" s="16"/>
      <c r="M38" s="16"/>
      <c r="N38" s="16"/>
      <c r="O38" s="16"/>
      <c r="P38" s="16"/>
      <c r="Q38" s="16"/>
      <c r="R38" s="16"/>
      <c r="S38" s="17"/>
      <c r="W38" s="115"/>
      <c r="X38" s="102"/>
    </row>
    <row r="39" customFormat="false" ht="15" hidden="true" customHeight="false" outlineLevel="0" collapsed="false">
      <c r="A39" s="13"/>
      <c r="B39" s="13"/>
      <c r="C39" s="15"/>
      <c r="D39" s="16"/>
      <c r="E39" s="16"/>
      <c r="F39" s="16"/>
      <c r="G39" s="16"/>
      <c r="H39" s="16"/>
      <c r="I39" s="16"/>
      <c r="J39" s="16"/>
      <c r="K39" s="16"/>
      <c r="L39" s="16"/>
      <c r="M39" s="16"/>
      <c r="N39" s="16"/>
      <c r="O39" s="16"/>
      <c r="P39" s="16"/>
      <c r="Q39" s="16"/>
      <c r="R39" s="16"/>
      <c r="S39" s="17"/>
      <c r="W39" s="115"/>
      <c r="X39" s="102"/>
    </row>
    <row r="40" customFormat="false" ht="15" hidden="true" customHeight="false" outlineLevel="0" collapsed="false">
      <c r="A40" s="13"/>
      <c r="B40" s="13"/>
      <c r="C40" s="15"/>
      <c r="D40" s="16"/>
      <c r="E40" s="16"/>
      <c r="F40" s="16"/>
      <c r="G40" s="16"/>
      <c r="H40" s="16"/>
      <c r="I40" s="16"/>
      <c r="J40" s="16"/>
      <c r="K40" s="16"/>
      <c r="L40" s="16"/>
      <c r="M40" s="16"/>
      <c r="N40" s="16"/>
      <c r="O40" s="16"/>
      <c r="P40" s="16"/>
      <c r="Q40" s="16"/>
      <c r="R40" s="16"/>
      <c r="S40" s="17"/>
      <c r="W40" s="115"/>
      <c r="X40" s="102"/>
    </row>
    <row r="41" customFormat="false" ht="15" hidden="true" customHeight="false" outlineLevel="0" collapsed="false">
      <c r="A41" s="13"/>
      <c r="B41" s="13"/>
      <c r="C41" s="15"/>
      <c r="D41" s="16"/>
      <c r="E41" s="16"/>
      <c r="F41" s="16"/>
      <c r="G41" s="16"/>
      <c r="H41" s="16"/>
      <c r="I41" s="16"/>
      <c r="J41" s="16"/>
      <c r="K41" s="16"/>
      <c r="L41" s="16"/>
      <c r="M41" s="16"/>
      <c r="N41" s="16"/>
      <c r="O41" s="16"/>
      <c r="P41" s="16"/>
      <c r="Q41" s="16"/>
      <c r="R41" s="16"/>
      <c r="S41" s="17"/>
      <c r="W41" s="115"/>
      <c r="X41" s="102"/>
    </row>
    <row r="42" customFormat="false" ht="15" hidden="true" customHeight="false" outlineLevel="0" collapsed="false">
      <c r="A42" s="13"/>
      <c r="B42" s="13"/>
      <c r="C42" s="15"/>
      <c r="D42" s="16"/>
      <c r="E42" s="16"/>
      <c r="F42" s="16"/>
      <c r="G42" s="16"/>
      <c r="H42" s="16"/>
      <c r="I42" s="16"/>
      <c r="J42" s="16"/>
      <c r="K42" s="16"/>
      <c r="L42" s="16"/>
      <c r="M42" s="16"/>
      <c r="N42" s="16"/>
      <c r="O42" s="16"/>
      <c r="P42" s="16"/>
      <c r="Q42" s="16"/>
      <c r="R42" s="16"/>
      <c r="S42" s="17"/>
      <c r="W42" s="115"/>
      <c r="X42" s="102"/>
    </row>
    <row r="43" customFormat="false" ht="15" hidden="true" customHeight="false" outlineLevel="0" collapsed="false">
      <c r="A43" s="13"/>
      <c r="B43" s="13"/>
      <c r="C43" s="15"/>
      <c r="D43" s="16"/>
      <c r="E43" s="16"/>
      <c r="F43" s="16"/>
      <c r="G43" s="16"/>
      <c r="H43" s="16"/>
      <c r="I43" s="16"/>
      <c r="J43" s="16"/>
      <c r="K43" s="16"/>
      <c r="L43" s="16"/>
      <c r="M43" s="16"/>
      <c r="N43" s="16"/>
      <c r="O43" s="16"/>
      <c r="P43" s="16"/>
      <c r="Q43" s="16"/>
      <c r="R43" s="16"/>
      <c r="S43" s="17"/>
      <c r="W43" s="115"/>
      <c r="X43" s="102"/>
    </row>
    <row r="44" customFormat="false" ht="15" hidden="true" customHeight="false" outlineLevel="0" collapsed="false">
      <c r="A44" s="13"/>
      <c r="B44" s="13"/>
      <c r="C44" s="15"/>
      <c r="D44" s="16"/>
      <c r="E44" s="16"/>
      <c r="F44" s="16"/>
      <c r="G44" s="16"/>
      <c r="H44" s="16"/>
      <c r="I44" s="16"/>
      <c r="J44" s="16"/>
      <c r="K44" s="16"/>
      <c r="L44" s="16"/>
      <c r="M44" s="16"/>
      <c r="N44" s="16"/>
      <c r="O44" s="16"/>
      <c r="P44" s="16"/>
      <c r="Q44" s="16"/>
      <c r="R44" s="16"/>
      <c r="S44" s="17"/>
      <c r="W44" s="115"/>
      <c r="X44" s="102"/>
    </row>
    <row r="45" customFormat="false" ht="15" hidden="true" customHeight="false" outlineLevel="0" collapsed="false">
      <c r="A45" s="13"/>
      <c r="B45" s="13"/>
      <c r="C45" s="15"/>
      <c r="D45" s="16"/>
      <c r="E45" s="16"/>
      <c r="F45" s="16"/>
      <c r="G45" s="16"/>
      <c r="H45" s="16"/>
      <c r="I45" s="16"/>
      <c r="J45" s="16"/>
      <c r="K45" s="16"/>
      <c r="L45" s="16"/>
      <c r="M45" s="16"/>
      <c r="N45" s="16"/>
      <c r="O45" s="16"/>
      <c r="P45" s="16"/>
      <c r="Q45" s="16"/>
      <c r="R45" s="16"/>
      <c r="S45" s="17"/>
      <c r="W45" s="115"/>
      <c r="X45" s="102"/>
    </row>
    <row r="46" customFormat="false" ht="15" hidden="true" customHeight="false" outlineLevel="0" collapsed="false">
      <c r="A46" s="13"/>
      <c r="B46" s="13"/>
      <c r="C46" s="15"/>
      <c r="D46" s="16"/>
      <c r="E46" s="16"/>
      <c r="F46" s="16"/>
      <c r="G46" s="16"/>
      <c r="H46" s="16"/>
      <c r="I46" s="16"/>
      <c r="J46" s="16"/>
      <c r="K46" s="16"/>
      <c r="L46" s="16"/>
      <c r="M46" s="16"/>
      <c r="N46" s="16"/>
      <c r="O46" s="16"/>
      <c r="P46" s="16"/>
      <c r="Q46" s="16"/>
      <c r="R46" s="16"/>
      <c r="S46" s="17"/>
      <c r="W46" s="115"/>
      <c r="X46" s="102"/>
    </row>
    <row r="47" customFormat="false" ht="15" hidden="true" customHeight="false" outlineLevel="0" collapsed="false">
      <c r="A47" s="13"/>
      <c r="B47" s="13"/>
      <c r="C47" s="15"/>
      <c r="D47" s="16"/>
      <c r="E47" s="16"/>
      <c r="F47" s="16"/>
      <c r="G47" s="16"/>
      <c r="H47" s="16"/>
      <c r="I47" s="16"/>
      <c r="J47" s="16"/>
      <c r="K47" s="16"/>
      <c r="L47" s="16"/>
      <c r="M47" s="16"/>
      <c r="N47" s="16"/>
      <c r="O47" s="16"/>
      <c r="P47" s="16"/>
      <c r="Q47" s="16"/>
      <c r="R47" s="16"/>
      <c r="S47" s="17"/>
      <c r="W47" s="115"/>
      <c r="X47" s="102"/>
    </row>
    <row r="48" customFormat="false" ht="15" hidden="true" customHeight="false" outlineLevel="0" collapsed="false">
      <c r="A48" s="13"/>
      <c r="B48" s="13"/>
      <c r="C48" s="15"/>
      <c r="D48" s="16"/>
      <c r="E48" s="16"/>
      <c r="F48" s="16"/>
      <c r="G48" s="16"/>
      <c r="H48" s="16"/>
      <c r="I48" s="16"/>
      <c r="J48" s="16"/>
      <c r="K48" s="16"/>
      <c r="L48" s="16"/>
      <c r="M48" s="16"/>
      <c r="N48" s="16"/>
      <c r="O48" s="16"/>
      <c r="P48" s="16"/>
      <c r="Q48" s="16"/>
      <c r="R48" s="16"/>
      <c r="S48" s="17"/>
      <c r="W48" s="115"/>
      <c r="X48" s="102"/>
    </row>
    <row r="49" customFormat="false" ht="15" hidden="true" customHeight="false" outlineLevel="0" collapsed="false">
      <c r="A49" s="13"/>
      <c r="B49" s="13"/>
      <c r="C49" s="15"/>
      <c r="D49" s="16"/>
      <c r="E49" s="16"/>
      <c r="F49" s="16"/>
      <c r="G49" s="16"/>
      <c r="H49" s="16"/>
      <c r="I49" s="16"/>
      <c r="J49" s="16"/>
      <c r="K49" s="16"/>
      <c r="L49" s="16"/>
      <c r="M49" s="16"/>
      <c r="N49" s="16"/>
      <c r="O49" s="16"/>
      <c r="P49" s="16"/>
      <c r="Q49" s="16"/>
      <c r="R49" s="16"/>
      <c r="S49" s="17"/>
      <c r="W49" s="115"/>
      <c r="X49" s="102"/>
    </row>
    <row r="50" customFormat="false" ht="15" hidden="true" customHeight="false" outlineLevel="0" collapsed="false">
      <c r="A50" s="13"/>
      <c r="B50" s="13"/>
      <c r="C50" s="15"/>
      <c r="D50" s="16"/>
      <c r="E50" s="16"/>
      <c r="F50" s="16"/>
      <c r="G50" s="16"/>
      <c r="H50" s="16"/>
      <c r="I50" s="16"/>
      <c r="J50" s="16"/>
      <c r="K50" s="16"/>
      <c r="L50" s="16"/>
      <c r="M50" s="16"/>
      <c r="N50" s="16"/>
      <c r="O50" s="16"/>
      <c r="P50" s="16"/>
      <c r="Q50" s="16"/>
      <c r="R50" s="16"/>
      <c r="S50" s="17"/>
      <c r="W50" s="115"/>
      <c r="X50" s="102"/>
    </row>
    <row r="51" customFormat="false" ht="15" hidden="true" customHeight="false" outlineLevel="0" collapsed="false">
      <c r="A51" s="13"/>
      <c r="B51" s="13"/>
      <c r="C51" s="15"/>
      <c r="D51" s="16"/>
      <c r="E51" s="16"/>
      <c r="F51" s="16"/>
      <c r="G51" s="16"/>
      <c r="H51" s="16"/>
      <c r="I51" s="16"/>
      <c r="J51" s="16"/>
      <c r="K51" s="16"/>
      <c r="L51" s="16"/>
      <c r="M51" s="16"/>
      <c r="N51" s="16"/>
      <c r="O51" s="16"/>
      <c r="P51" s="16"/>
      <c r="Q51" s="16"/>
      <c r="R51" s="16"/>
      <c r="S51" s="17"/>
      <c r="W51" s="115"/>
      <c r="X51" s="102"/>
    </row>
    <row r="52" customFormat="false" ht="15" hidden="true" customHeight="false" outlineLevel="0" collapsed="false">
      <c r="A52" s="13"/>
      <c r="B52" s="13"/>
      <c r="C52" s="15"/>
      <c r="D52" s="16"/>
      <c r="E52" s="16"/>
      <c r="F52" s="16"/>
      <c r="G52" s="16"/>
      <c r="H52" s="16"/>
      <c r="I52" s="16"/>
      <c r="J52" s="16"/>
      <c r="K52" s="16"/>
      <c r="L52" s="16"/>
      <c r="M52" s="16"/>
      <c r="N52" s="16"/>
      <c r="O52" s="16"/>
      <c r="P52" s="16"/>
      <c r="Q52" s="16"/>
      <c r="R52" s="16"/>
      <c r="S52" s="17"/>
      <c r="W52" s="115"/>
      <c r="X52" s="102"/>
    </row>
    <row r="53" customFormat="false" ht="15" hidden="true" customHeight="false" outlineLevel="0" collapsed="false">
      <c r="A53" s="13"/>
      <c r="B53" s="13"/>
      <c r="C53" s="15"/>
      <c r="D53" s="16"/>
      <c r="E53" s="16"/>
      <c r="F53" s="16"/>
      <c r="G53" s="16"/>
      <c r="H53" s="16"/>
      <c r="I53" s="16"/>
      <c r="J53" s="16"/>
      <c r="K53" s="16"/>
      <c r="L53" s="16"/>
      <c r="M53" s="16"/>
      <c r="N53" s="16"/>
      <c r="O53" s="16"/>
      <c r="P53" s="16"/>
      <c r="Q53" s="16"/>
      <c r="R53" s="16"/>
      <c r="S53" s="17"/>
      <c r="W53" s="115"/>
      <c r="X53" s="102"/>
    </row>
    <row r="54" customFormat="false" ht="15" hidden="true" customHeight="false" outlineLevel="0" collapsed="false">
      <c r="A54" s="13"/>
      <c r="B54" s="13"/>
      <c r="C54" s="15"/>
      <c r="D54" s="16"/>
      <c r="E54" s="16"/>
      <c r="F54" s="16"/>
      <c r="G54" s="16"/>
      <c r="H54" s="16"/>
      <c r="I54" s="16"/>
      <c r="J54" s="16"/>
      <c r="K54" s="16"/>
      <c r="L54" s="16"/>
      <c r="M54" s="16"/>
      <c r="N54" s="16"/>
      <c r="O54" s="16"/>
      <c r="P54" s="16"/>
      <c r="Q54" s="16"/>
      <c r="R54" s="16"/>
      <c r="S54" s="17"/>
      <c r="W54" s="115"/>
      <c r="X54" s="102"/>
    </row>
    <row r="55" customFormat="false" ht="15" hidden="true" customHeight="false" outlineLevel="0" collapsed="false">
      <c r="A55" s="13"/>
      <c r="B55" s="13"/>
      <c r="C55" s="15"/>
      <c r="D55" s="16"/>
      <c r="E55" s="16"/>
      <c r="F55" s="16"/>
      <c r="G55" s="16"/>
      <c r="H55" s="16"/>
      <c r="I55" s="16"/>
      <c r="J55" s="16"/>
      <c r="K55" s="16"/>
      <c r="L55" s="16"/>
      <c r="M55" s="16"/>
      <c r="N55" s="16"/>
      <c r="O55" s="16"/>
      <c r="P55" s="16"/>
      <c r="Q55" s="16"/>
      <c r="R55" s="16"/>
      <c r="S55" s="17"/>
      <c r="W55" s="115"/>
      <c r="X55" s="102"/>
    </row>
    <row r="56" customFormat="false" ht="15" hidden="true" customHeight="false" outlineLevel="0" collapsed="false">
      <c r="A56" s="13"/>
      <c r="B56" s="13"/>
      <c r="C56" s="15"/>
      <c r="D56" s="16"/>
      <c r="E56" s="16"/>
      <c r="F56" s="16"/>
      <c r="G56" s="16"/>
      <c r="H56" s="16"/>
      <c r="I56" s="16"/>
      <c r="J56" s="16"/>
      <c r="K56" s="16"/>
      <c r="L56" s="16"/>
      <c r="M56" s="16"/>
      <c r="N56" s="16"/>
      <c r="O56" s="16"/>
      <c r="P56" s="16"/>
      <c r="Q56" s="16"/>
      <c r="R56" s="16"/>
      <c r="S56" s="17"/>
      <c r="W56" s="115"/>
      <c r="X56" s="102"/>
    </row>
    <row r="57" customFormat="false" ht="15" hidden="true" customHeight="false" outlineLevel="0" collapsed="false">
      <c r="A57" s="13"/>
      <c r="B57" s="13"/>
      <c r="C57" s="15"/>
      <c r="D57" s="16"/>
      <c r="E57" s="16"/>
      <c r="F57" s="16"/>
      <c r="G57" s="16"/>
      <c r="H57" s="16"/>
      <c r="I57" s="16"/>
      <c r="J57" s="16"/>
      <c r="K57" s="16"/>
      <c r="L57" s="16"/>
      <c r="M57" s="16"/>
      <c r="N57" s="16"/>
      <c r="O57" s="16"/>
      <c r="P57" s="16"/>
      <c r="Q57" s="16"/>
      <c r="R57" s="16"/>
      <c r="S57" s="17"/>
      <c r="W57" s="115"/>
      <c r="X57" s="102"/>
    </row>
    <row r="58" customFormat="false" ht="15" hidden="true" customHeight="false" outlineLevel="0" collapsed="false">
      <c r="A58" s="13"/>
      <c r="B58" s="13"/>
      <c r="C58" s="15"/>
      <c r="D58" s="16"/>
      <c r="E58" s="16"/>
      <c r="F58" s="16"/>
      <c r="G58" s="16"/>
      <c r="H58" s="16"/>
      <c r="I58" s="16"/>
      <c r="J58" s="16"/>
      <c r="K58" s="16"/>
      <c r="L58" s="16"/>
      <c r="M58" s="16"/>
      <c r="N58" s="16"/>
      <c r="O58" s="16"/>
      <c r="P58" s="16"/>
      <c r="Q58" s="16"/>
      <c r="R58" s="16"/>
      <c r="S58" s="17"/>
      <c r="W58" s="115"/>
      <c r="X58" s="102"/>
    </row>
    <row r="59" customFormat="false" ht="15" hidden="true" customHeight="false" outlineLevel="0" collapsed="false">
      <c r="A59" s="13"/>
      <c r="B59" s="13"/>
      <c r="C59" s="15"/>
      <c r="D59" s="16"/>
      <c r="E59" s="16"/>
      <c r="F59" s="16"/>
      <c r="G59" s="16"/>
      <c r="H59" s="16"/>
      <c r="I59" s="16"/>
      <c r="J59" s="16"/>
      <c r="K59" s="16"/>
      <c r="L59" s="16"/>
      <c r="M59" s="16"/>
      <c r="N59" s="16"/>
      <c r="O59" s="16"/>
      <c r="P59" s="16"/>
      <c r="Q59" s="16"/>
      <c r="R59" s="16"/>
      <c r="S59" s="17"/>
      <c r="W59" s="115"/>
      <c r="X59" s="102"/>
    </row>
    <row r="60" customFormat="false" ht="15" hidden="true" customHeight="false" outlineLevel="0" collapsed="false">
      <c r="A60" s="13"/>
      <c r="B60" s="13"/>
      <c r="C60" s="15"/>
      <c r="D60" s="16"/>
      <c r="E60" s="16"/>
      <c r="F60" s="16"/>
      <c r="G60" s="16"/>
      <c r="H60" s="16"/>
      <c r="I60" s="16"/>
      <c r="J60" s="16"/>
      <c r="K60" s="16"/>
      <c r="L60" s="16"/>
      <c r="M60" s="16"/>
      <c r="N60" s="16"/>
      <c r="O60" s="16"/>
      <c r="P60" s="16"/>
      <c r="Q60" s="16"/>
      <c r="R60" s="16"/>
      <c r="S60" s="17"/>
      <c r="W60" s="115"/>
      <c r="X60" s="102"/>
    </row>
    <row r="61" customFormat="false" ht="15" hidden="true" customHeight="false" outlineLevel="0" collapsed="false">
      <c r="A61" s="13"/>
      <c r="B61" s="13"/>
      <c r="C61" s="15"/>
      <c r="D61" s="16"/>
      <c r="E61" s="16"/>
      <c r="F61" s="16"/>
      <c r="G61" s="16"/>
      <c r="H61" s="16"/>
      <c r="I61" s="16"/>
      <c r="J61" s="16"/>
      <c r="K61" s="16"/>
      <c r="L61" s="16"/>
      <c r="M61" s="16"/>
      <c r="N61" s="16"/>
      <c r="O61" s="16"/>
      <c r="P61" s="16"/>
      <c r="Q61" s="16"/>
      <c r="R61" s="16"/>
      <c r="S61" s="17"/>
      <c r="W61" s="115"/>
      <c r="X61" s="102"/>
    </row>
    <row r="63" customFormat="false" ht="15" hidden="false" customHeight="false" outlineLevel="0" collapsed="false">
      <c r="C63" s="19" t="s">
        <v>50</v>
      </c>
      <c r="D63" s="19"/>
      <c r="E63" s="19"/>
      <c r="F63" s="19"/>
      <c r="G63" s="19"/>
      <c r="H63" s="19"/>
      <c r="I63" s="19"/>
      <c r="K63" s="20"/>
      <c r="L63" s="20"/>
      <c r="M63" s="20"/>
      <c r="N63" s="20"/>
      <c r="O63" s="19" t="s">
        <v>51</v>
      </c>
      <c r="P63" s="19"/>
      <c r="Q63" s="19"/>
      <c r="R63" s="19"/>
    </row>
    <row r="64" customFormat="false" ht="15" hidden="false" customHeight="false" outlineLevel="0" collapsed="false">
      <c r="E64" s="21"/>
      <c r="F64" s="21"/>
      <c r="G64" s="21"/>
      <c r="H64" s="21"/>
      <c r="K64" s="21"/>
      <c r="L64" s="21"/>
      <c r="M64" s="21"/>
      <c r="N64" s="21"/>
      <c r="O64" s="21"/>
      <c r="P64" s="21"/>
      <c r="Q64" s="21"/>
      <c r="R64" s="21"/>
    </row>
    <row r="65" customFormat="false" ht="15" hidden="false" customHeight="false" outlineLevel="0" collapsed="false">
      <c r="E65" s="21"/>
      <c r="F65" s="21"/>
      <c r="G65" s="21"/>
      <c r="H65" s="21"/>
      <c r="K65" s="21"/>
      <c r="L65" s="21"/>
      <c r="M65" s="21"/>
      <c r="N65" s="21"/>
      <c r="O65" s="21"/>
      <c r="P65" s="21"/>
      <c r="Q65" s="21"/>
      <c r="R65" s="21"/>
    </row>
    <row r="66" customFormat="false" ht="15" hidden="false" customHeight="false" outlineLevel="0" collapsed="false">
      <c r="E66" s="21"/>
      <c r="F66" s="21"/>
      <c r="G66" s="21"/>
      <c r="H66" s="21"/>
      <c r="K66" s="21"/>
      <c r="L66" s="21"/>
      <c r="M66" s="21"/>
      <c r="N66" s="21"/>
      <c r="O66" s="21"/>
      <c r="P66" s="21"/>
      <c r="Q66" s="21"/>
      <c r="R66" s="21"/>
    </row>
    <row r="67" customFormat="false" ht="15" hidden="false" customHeight="false" outlineLevel="0" collapsed="false">
      <c r="E67" s="21"/>
      <c r="F67" s="21"/>
      <c r="G67" s="21"/>
      <c r="H67" s="21"/>
      <c r="K67" s="21"/>
      <c r="L67" s="21"/>
      <c r="M67" s="21"/>
      <c r="N67" s="21"/>
      <c r="O67" s="21"/>
      <c r="P67" s="21"/>
      <c r="Q67" s="21"/>
      <c r="R67" s="21"/>
    </row>
    <row r="68" customFormat="false" ht="15" hidden="false" customHeight="false" outlineLevel="0" collapsed="false">
      <c r="C68" s="19" t="s">
        <v>52</v>
      </c>
      <c r="D68" s="19"/>
      <c r="E68" s="19"/>
      <c r="F68" s="19"/>
      <c r="G68" s="19"/>
      <c r="H68" s="19"/>
      <c r="I68" s="19"/>
      <c r="K68" s="20"/>
      <c r="L68" s="20"/>
      <c r="M68" s="20"/>
      <c r="N68" s="20"/>
      <c r="O68" s="19" t="s">
        <v>53</v>
      </c>
      <c r="P68" s="19"/>
      <c r="Q68" s="19"/>
      <c r="R68" s="19"/>
    </row>
  </sheetData>
  <mergeCells count="13">
    <mergeCell ref="A1:S1"/>
    <mergeCell ref="A2:S2"/>
    <mergeCell ref="A20:A21"/>
    <mergeCell ref="B20:B21"/>
    <mergeCell ref="C20:C21"/>
    <mergeCell ref="D20:I20"/>
    <mergeCell ref="J20:L20"/>
    <mergeCell ref="M20:R20"/>
    <mergeCell ref="S20:S21"/>
    <mergeCell ref="C63:I63"/>
    <mergeCell ref="O63:R63"/>
    <mergeCell ref="C68:I68"/>
    <mergeCell ref="O68:R68"/>
  </mergeCells>
  <printOptions headings="false" gridLines="false" gridLinesSet="true" horizontalCentered="true" verticalCentered="false"/>
  <pageMargins left="0.196527777777778" right="0.196527777777778" top="0.640277777777778" bottom="0.393055555555556" header="0.511811023622047" footer="0.196527777777778"/>
  <pageSetup paperSize="9" scale="100" fitToWidth="1" fitToHeight="2" pageOrder="downThenOver" orientation="landscape" blackAndWhite="false" draft="false" cellComments="none" horizontalDpi="300" verticalDpi="300" copies="1"/>
  <headerFooter differentFirst="false" differentOddEven="false">
    <oddHeader/>
    <oddFooter>&amp;C&amp;P</oddFooter>
  </headerFooter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HW136"/>
  <sheetViews>
    <sheetView showFormulas="false" showGridLines="true" showRowColHeaders="true" showZeros="true" rightToLeft="false" tabSelected="false" showOutlineSymbols="true" defaultGridColor="true" view="normal" topLeftCell="A1" colorId="64" zoomScale="70" zoomScaleNormal="70" zoomScalePageLayoutView="100" workbookViewId="0">
      <selection pane="topLeft" activeCell="A8" activeCellId="0" sqref="A8"/>
    </sheetView>
  </sheetViews>
  <sheetFormatPr defaultColWidth="9.2890625" defaultRowHeight="12.75" zeroHeight="false" outlineLevelRow="0" outlineLevelCol="0"/>
  <cols>
    <col collapsed="false" customWidth="true" hidden="false" outlineLevel="0" max="1" min="1" style="22" width="6.71"/>
    <col collapsed="false" customWidth="true" hidden="false" outlineLevel="0" max="2" min="2" style="22" width="12.29"/>
    <col collapsed="false" customWidth="true" hidden="false" outlineLevel="0" max="3" min="3" style="22" width="19.57"/>
    <col collapsed="false" customWidth="true" hidden="false" outlineLevel="0" max="4" min="4" style="23" width="12.71"/>
    <col collapsed="false" customWidth="true" hidden="true" outlineLevel="0" max="6" min="5" style="23" width="8.42"/>
    <col collapsed="false" customWidth="true" hidden="true" outlineLevel="0" max="7" min="7" style="23" width="11"/>
    <col collapsed="false" customWidth="true" hidden="true" outlineLevel="0" max="12" min="8" style="23" width="8.42"/>
    <col collapsed="false" customWidth="true" hidden="true" outlineLevel="0" max="14" min="13" style="23" width="14.29"/>
    <col collapsed="false" customWidth="true" hidden="false" outlineLevel="0" max="15" min="15" style="23" width="15.42"/>
    <col collapsed="false" customWidth="true" hidden="true" outlineLevel="0" max="22" min="16" style="23" width="14.29"/>
    <col collapsed="false" customWidth="true" hidden="false" outlineLevel="0" max="23" min="23" style="23" width="15.29"/>
    <col collapsed="false" customWidth="true" hidden="true" outlineLevel="0" max="25" min="24" style="23" width="14.29"/>
    <col collapsed="false" customWidth="true" hidden="true" outlineLevel="0" max="27" min="26" style="23" width="12.86"/>
    <col collapsed="false" customWidth="true" hidden="false" outlineLevel="0" max="28" min="28" style="23" width="10.29"/>
    <col collapsed="false" customWidth="false" hidden="true" outlineLevel="0" max="29" min="29" style="23" width="9.29"/>
    <col collapsed="false" customWidth="false" hidden="false" outlineLevel="0" max="30" min="30" style="22" width="9.29"/>
    <col collapsed="false" customWidth="true" hidden="false" outlineLevel="0" max="31" min="31" style="22" width="11.85"/>
    <col collapsed="false" customWidth="true" hidden="false" outlineLevel="0" max="32" min="32" style="22" width="24.57"/>
    <col collapsed="false" customWidth="false" hidden="false" outlineLevel="0" max="16384" min="33" style="22" width="9.29"/>
  </cols>
  <sheetData>
    <row r="1" s="26" customFormat="true" ht="16.5" hidden="false" customHeight="true" outlineLevel="0" collapsed="false">
      <c r="A1" s="25" t="s">
        <v>54</v>
      </c>
      <c r="B1" s="25"/>
      <c r="C1" s="25"/>
      <c r="D1" s="25"/>
      <c r="E1" s="25"/>
      <c r="F1" s="25"/>
      <c r="G1" s="25"/>
      <c r="H1" s="25"/>
      <c r="I1" s="25"/>
      <c r="J1" s="25"/>
      <c r="K1" s="25"/>
      <c r="L1" s="25"/>
      <c r="M1" s="25"/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</row>
    <row r="2" s="26" customFormat="true" ht="16.5" hidden="false" customHeight="true" outlineLevel="0" collapsed="false">
      <c r="A2" s="28" t="str">
        <f>"Kèm theo BBNT số: "&amp;VLOOKUP(AZ2,'[1]Tuyến XD8'!$A$2:$G$60,7,0)&amp;VLOOKUP(AZ2,'[1]Tuyến XD8'!$A$2:$G$60,4,0)</f>
        <v xml:space="preserve">Kèm theo BBNT số: 70.NĐXD8/CVXD ngày 19 tháng 09 năm 2026</v>
      </c>
      <c r="B2" s="28"/>
      <c r="C2" s="28"/>
      <c r="D2" s="28"/>
      <c r="E2" s="28"/>
      <c r="F2" s="28"/>
      <c r="G2" s="28"/>
      <c r="H2" s="28"/>
      <c r="I2" s="28"/>
      <c r="J2" s="28"/>
      <c r="K2" s="28"/>
      <c r="L2" s="28"/>
      <c r="M2" s="28"/>
      <c r="N2" s="28"/>
      <c r="O2" s="28"/>
      <c r="P2" s="28"/>
      <c r="Q2" s="28"/>
      <c r="R2" s="28"/>
      <c r="S2" s="28"/>
      <c r="T2" s="28"/>
      <c r="U2" s="28"/>
      <c r="V2" s="28"/>
      <c r="W2" s="28"/>
      <c r="X2" s="28"/>
      <c r="Y2" s="28"/>
      <c r="Z2" s="28"/>
      <c r="AA2" s="28"/>
      <c r="AB2" s="28"/>
      <c r="AZ2">
        <v>70</v>
      </c>
    </row>
    <row r="3" s="32" customFormat="true" ht="37.5" hidden="false" customHeight="true" outlineLevel="0" collapsed="false">
      <c r="A3" s="29" t="str">
        <f aca="false">+'1.KTHH L1'!A3</f>
        <v>Dự án: Xây dựng HTKT Khu tái định cư phục vụ di dân xã Hải Hà, thị xã Nghi Sơn, tỉnh Thanh Hóa.</v>
      </c>
      <c r="B3" s="29"/>
      <c r="C3" s="29"/>
      <c r="D3" s="29"/>
      <c r="E3" s="29"/>
      <c r="F3" s="29"/>
      <c r="G3" s="29"/>
      <c r="H3" s="29"/>
      <c r="I3" s="29"/>
      <c r="J3" s="29"/>
      <c r="K3" s="29"/>
      <c r="L3" s="29"/>
      <c r="M3" s="29"/>
      <c r="N3" s="29"/>
      <c r="O3" s="29"/>
      <c r="P3" s="29"/>
      <c r="Q3" s="29"/>
      <c r="R3" s="29"/>
      <c r="S3" s="29"/>
      <c r="T3" s="29"/>
      <c r="U3" s="29"/>
      <c r="V3" s="29"/>
      <c r="W3" s="29"/>
      <c r="X3" s="29"/>
      <c r="Y3" s="29"/>
      <c r="Z3" s="29"/>
      <c r="AA3" s="29"/>
      <c r="AB3" s="29"/>
      <c r="AC3" s="30"/>
      <c r="AD3" s="30"/>
      <c r="AE3" s="30"/>
      <c r="AF3" s="30"/>
      <c r="AG3" s="30"/>
      <c r="AH3" s="30"/>
      <c r="AI3" s="30"/>
      <c r="AJ3" s="30"/>
      <c r="AK3" s="30"/>
      <c r="AL3" s="30"/>
      <c r="AM3" s="30"/>
      <c r="AN3" s="30"/>
      <c r="AO3" s="30"/>
      <c r="AP3" s="30"/>
      <c r="AQ3" s="30"/>
      <c r="AR3" s="30"/>
      <c r="AS3" s="30"/>
      <c r="AT3" s="30"/>
      <c r="AU3" s="30"/>
      <c r="AV3" s="30"/>
      <c r="AW3" s="30"/>
      <c r="AX3" s="30"/>
      <c r="AY3" s="30"/>
      <c r="AZ3" s="30"/>
      <c r="BA3" s="30"/>
      <c r="BB3" s="30"/>
      <c r="BC3" s="30"/>
      <c r="BD3" s="30"/>
      <c r="BE3" s="30"/>
      <c r="BF3" s="30"/>
      <c r="BG3" s="30"/>
      <c r="BH3" s="30"/>
      <c r="BI3" s="30"/>
      <c r="BJ3" s="30"/>
      <c r="BK3" s="30"/>
      <c r="BL3" s="30"/>
      <c r="BM3" s="30"/>
      <c r="BN3" s="30"/>
      <c r="BO3" s="30"/>
      <c r="BP3" s="30"/>
      <c r="BQ3" s="30"/>
      <c r="BR3" s="30"/>
      <c r="BS3" s="30"/>
      <c r="BT3" s="30"/>
      <c r="BU3" s="30"/>
      <c r="BV3" s="30"/>
      <c r="BW3" s="30"/>
      <c r="BX3" s="30"/>
      <c r="BY3" s="30"/>
      <c r="BZ3" s="30"/>
      <c r="CA3" s="30"/>
      <c r="CB3" s="30"/>
      <c r="CC3" s="30"/>
      <c r="CD3" s="30"/>
      <c r="CE3" s="30"/>
      <c r="CF3" s="30"/>
      <c r="CG3" s="30"/>
      <c r="CH3" s="30"/>
      <c r="CI3" s="30"/>
      <c r="CJ3" s="30"/>
      <c r="CK3" s="30"/>
      <c r="CL3" s="30"/>
      <c r="CM3" s="30"/>
      <c r="CN3" s="30"/>
      <c r="CO3" s="30"/>
      <c r="CP3" s="30"/>
      <c r="CQ3" s="30"/>
      <c r="CR3" s="30"/>
      <c r="CS3" s="30"/>
      <c r="CT3" s="30"/>
      <c r="CU3" s="30"/>
      <c r="CV3" s="30"/>
      <c r="CW3" s="30"/>
      <c r="CX3" s="30"/>
      <c r="CY3" s="30"/>
      <c r="CZ3" s="30"/>
      <c r="DA3" s="30"/>
      <c r="DB3" s="30"/>
      <c r="DC3" s="30"/>
      <c r="DD3" s="30"/>
      <c r="DE3" s="30"/>
      <c r="DF3" s="30"/>
      <c r="DG3" s="30"/>
      <c r="DH3" s="30"/>
      <c r="DI3" s="30"/>
      <c r="DJ3" s="30"/>
      <c r="DK3" s="30"/>
      <c r="DL3" s="30"/>
      <c r="DM3" s="30"/>
      <c r="DN3" s="30"/>
      <c r="DO3" s="30"/>
      <c r="DP3" s="30"/>
      <c r="DQ3" s="30"/>
      <c r="DR3" s="30"/>
      <c r="DS3" s="30"/>
      <c r="DT3" s="30"/>
      <c r="DU3" s="30"/>
      <c r="DV3" s="30"/>
      <c r="DW3" s="30"/>
      <c r="DX3" s="30"/>
      <c r="DY3" s="30"/>
      <c r="DZ3" s="30"/>
      <c r="EA3" s="30"/>
      <c r="EB3" s="30"/>
      <c r="EC3" s="30"/>
      <c r="ED3" s="30"/>
      <c r="EE3" s="30"/>
      <c r="EF3" s="30"/>
      <c r="EG3" s="30"/>
      <c r="EH3" s="30"/>
      <c r="EI3" s="30"/>
      <c r="EJ3" s="30"/>
      <c r="EK3" s="30"/>
      <c r="EL3" s="30"/>
      <c r="EM3" s="30"/>
      <c r="EN3" s="30"/>
      <c r="EO3" s="30"/>
      <c r="EP3" s="30"/>
      <c r="EQ3" s="30"/>
      <c r="ER3" s="30"/>
      <c r="ES3" s="30"/>
      <c r="ET3" s="30"/>
      <c r="EU3" s="30"/>
      <c r="EV3" s="30"/>
      <c r="EW3" s="30"/>
      <c r="EX3" s="30"/>
      <c r="EY3" s="30"/>
      <c r="EZ3" s="30"/>
      <c r="FA3" s="30"/>
      <c r="FB3" s="30"/>
      <c r="FC3" s="30"/>
      <c r="FD3" s="30"/>
      <c r="FE3" s="30"/>
      <c r="FF3" s="30"/>
      <c r="FG3" s="30"/>
      <c r="FH3" s="30"/>
      <c r="FI3" s="30"/>
      <c r="FJ3" s="30"/>
      <c r="FK3" s="30"/>
      <c r="FL3" s="30"/>
      <c r="FM3" s="30"/>
      <c r="FN3" s="30"/>
      <c r="FO3" s="30"/>
      <c r="FP3" s="30"/>
      <c r="FQ3" s="30"/>
      <c r="FR3" s="30"/>
      <c r="FS3" s="30"/>
      <c r="FT3" s="30"/>
      <c r="FU3" s="30"/>
      <c r="FV3" s="30"/>
      <c r="FW3" s="30"/>
      <c r="FX3" s="30"/>
      <c r="FY3" s="30"/>
      <c r="FZ3" s="30"/>
      <c r="GA3" s="30"/>
      <c r="GB3" s="30"/>
      <c r="GC3" s="30"/>
      <c r="GD3" s="30"/>
      <c r="GE3" s="30"/>
      <c r="GF3" s="30"/>
      <c r="GG3" s="30"/>
      <c r="GH3" s="30"/>
      <c r="GI3" s="30"/>
      <c r="GJ3" s="30"/>
      <c r="GK3" s="30"/>
      <c r="GL3" s="30"/>
      <c r="GM3" s="30"/>
      <c r="GN3" s="30"/>
      <c r="GO3" s="30"/>
      <c r="GP3" s="30"/>
      <c r="GQ3" s="30"/>
      <c r="GR3" s="30"/>
      <c r="GS3" s="30"/>
      <c r="GT3" s="30"/>
      <c r="GU3" s="30"/>
      <c r="GV3" s="30"/>
      <c r="GW3" s="30"/>
      <c r="GX3" s="30"/>
      <c r="GY3" s="30"/>
      <c r="GZ3" s="30"/>
      <c r="HA3" s="30"/>
      <c r="HB3" s="30"/>
      <c r="HC3" s="30"/>
      <c r="HD3" s="30"/>
      <c r="HE3" s="30"/>
      <c r="HF3" s="30"/>
      <c r="HG3" s="30"/>
      <c r="HH3" s="30"/>
      <c r="HI3" s="30"/>
      <c r="HJ3" s="30"/>
      <c r="HK3" s="30"/>
      <c r="HL3" s="30"/>
      <c r="HM3" s="30"/>
      <c r="HN3" s="30"/>
      <c r="HO3" s="30"/>
      <c r="HP3" s="30"/>
      <c r="HQ3" s="30"/>
      <c r="HR3" s="30"/>
      <c r="HS3" s="30"/>
      <c r="HT3" s="30"/>
      <c r="HU3" s="30"/>
      <c r="HV3" s="30"/>
      <c r="HW3" s="30"/>
    </row>
    <row r="4" s="32" customFormat="true" ht="37.5" hidden="false" customHeight="true" outlineLevel="0" collapsed="false">
      <c r="A4" s="29" t="str">
        <f aca="false">+'1.KTHH L1'!A4</f>
        <v>Gói thầu số 12: Xây dựng HTKT khu vực Hải Bình và Xuân Lâm (bao gồm cả bảo hiểm xây dựng công trình)</v>
      </c>
      <c r="B4" s="29"/>
      <c r="C4" s="29"/>
      <c r="D4" s="29"/>
      <c r="E4" s="29"/>
      <c r="F4" s="29"/>
      <c r="G4" s="29"/>
      <c r="H4" s="29"/>
      <c r="I4" s="29"/>
      <c r="J4" s="29"/>
      <c r="K4" s="29"/>
      <c r="L4" s="29"/>
      <c r="M4" s="29"/>
      <c r="N4" s="29"/>
      <c r="O4" s="29"/>
      <c r="P4" s="29"/>
      <c r="Q4" s="29"/>
      <c r="R4" s="29"/>
      <c r="S4" s="29"/>
      <c r="T4" s="29"/>
      <c r="U4" s="29"/>
      <c r="V4" s="29"/>
      <c r="W4" s="29"/>
      <c r="X4" s="29"/>
      <c r="Y4" s="29"/>
      <c r="Z4" s="29"/>
      <c r="AA4" s="29"/>
      <c r="AB4" s="29"/>
      <c r="AC4" s="30"/>
      <c r="AD4" s="30"/>
      <c r="AE4" s="30"/>
      <c r="AF4" s="30"/>
      <c r="AG4" s="30"/>
      <c r="AH4" s="30"/>
      <c r="AI4" s="30"/>
      <c r="AJ4" s="30"/>
      <c r="AK4" s="30"/>
      <c r="AL4" s="30"/>
      <c r="AM4" s="30"/>
      <c r="AN4" s="30"/>
      <c r="AO4" s="30"/>
      <c r="AP4" s="30"/>
      <c r="AQ4" s="30"/>
      <c r="AR4" s="30"/>
      <c r="AS4" s="30"/>
      <c r="AT4" s="30"/>
      <c r="AU4" s="30"/>
      <c r="AV4" s="30"/>
      <c r="AW4" s="30"/>
      <c r="AX4" s="30"/>
      <c r="AY4" s="30"/>
      <c r="AZ4" s="30"/>
      <c r="BA4" s="30"/>
      <c r="BB4" s="30"/>
      <c r="BC4" s="30"/>
      <c r="BD4" s="30"/>
      <c r="BE4" s="30"/>
      <c r="BF4" s="30"/>
      <c r="BG4" s="30"/>
      <c r="BH4" s="30"/>
      <c r="BI4" s="30"/>
      <c r="BJ4" s="30"/>
      <c r="BK4" s="30"/>
      <c r="BL4" s="30"/>
      <c r="BM4" s="30"/>
      <c r="BN4" s="30"/>
      <c r="BO4" s="30"/>
      <c r="BP4" s="30"/>
      <c r="BQ4" s="30"/>
      <c r="BR4" s="30"/>
      <c r="BS4" s="30"/>
      <c r="BT4" s="30"/>
      <c r="BU4" s="30"/>
      <c r="BV4" s="30"/>
      <c r="BW4" s="30"/>
      <c r="BX4" s="30"/>
      <c r="BY4" s="30"/>
      <c r="BZ4" s="30"/>
      <c r="CA4" s="30"/>
      <c r="CB4" s="30"/>
      <c r="CC4" s="30"/>
      <c r="CD4" s="30"/>
      <c r="CE4" s="30"/>
      <c r="CF4" s="30"/>
      <c r="CG4" s="30"/>
      <c r="CH4" s="30"/>
      <c r="CI4" s="30"/>
      <c r="CJ4" s="30"/>
      <c r="CK4" s="30"/>
      <c r="CL4" s="30"/>
      <c r="CM4" s="30"/>
      <c r="CN4" s="30"/>
      <c r="CO4" s="30"/>
      <c r="CP4" s="30"/>
      <c r="CQ4" s="30"/>
      <c r="CR4" s="30"/>
      <c r="CS4" s="30"/>
      <c r="CT4" s="30"/>
      <c r="CU4" s="30"/>
      <c r="CV4" s="30"/>
      <c r="CW4" s="30"/>
      <c r="CX4" s="30"/>
      <c r="CY4" s="30"/>
      <c r="CZ4" s="30"/>
      <c r="DA4" s="30"/>
      <c r="DB4" s="30"/>
      <c r="DC4" s="30"/>
      <c r="DD4" s="30"/>
      <c r="DE4" s="30"/>
      <c r="DF4" s="30"/>
      <c r="DG4" s="30"/>
      <c r="DH4" s="30"/>
      <c r="DI4" s="30"/>
      <c r="DJ4" s="30"/>
      <c r="DK4" s="30"/>
      <c r="DL4" s="30"/>
      <c r="DM4" s="30"/>
      <c r="DN4" s="30"/>
      <c r="DO4" s="30"/>
      <c r="DP4" s="30"/>
      <c r="DQ4" s="30"/>
      <c r="DR4" s="30"/>
      <c r="DS4" s="30"/>
      <c r="DT4" s="30"/>
      <c r="DU4" s="30"/>
      <c r="DV4" s="30"/>
      <c r="DW4" s="30"/>
      <c r="DX4" s="30"/>
      <c r="DY4" s="30"/>
      <c r="DZ4" s="30"/>
      <c r="EA4" s="30"/>
      <c r="EB4" s="30"/>
      <c r="EC4" s="30"/>
      <c r="ED4" s="30"/>
      <c r="EE4" s="30"/>
      <c r="EF4" s="30"/>
      <c r="EG4" s="30"/>
      <c r="EH4" s="30"/>
      <c r="EI4" s="30"/>
      <c r="EJ4" s="30"/>
      <c r="EK4" s="30"/>
      <c r="EL4" s="30"/>
      <c r="EM4" s="30"/>
      <c r="EN4" s="30"/>
      <c r="EO4" s="30"/>
      <c r="EP4" s="30"/>
      <c r="EQ4" s="30"/>
      <c r="ER4" s="30"/>
      <c r="ES4" s="30"/>
      <c r="ET4" s="30"/>
      <c r="EU4" s="30"/>
      <c r="EV4" s="30"/>
      <c r="EW4" s="30"/>
      <c r="EX4" s="30"/>
      <c r="EY4" s="30"/>
      <c r="EZ4" s="30"/>
      <c r="FA4" s="30"/>
      <c r="FB4" s="30"/>
      <c r="FC4" s="30"/>
      <c r="FD4" s="30"/>
      <c r="FE4" s="30"/>
      <c r="FF4" s="30"/>
      <c r="FG4" s="30"/>
      <c r="FH4" s="30"/>
      <c r="FI4" s="30"/>
      <c r="FJ4" s="30"/>
      <c r="FK4" s="30"/>
      <c r="FL4" s="30"/>
      <c r="FM4" s="30"/>
      <c r="FN4" s="30"/>
      <c r="FO4" s="30"/>
      <c r="FP4" s="30"/>
      <c r="FQ4" s="30"/>
      <c r="FR4" s="30"/>
      <c r="FS4" s="30"/>
      <c r="FT4" s="30"/>
      <c r="FU4" s="30"/>
      <c r="FV4" s="30"/>
      <c r="FW4" s="30"/>
      <c r="FX4" s="30"/>
      <c r="FY4" s="30"/>
      <c r="FZ4" s="30"/>
      <c r="GA4" s="30"/>
      <c r="GB4" s="30"/>
      <c r="GC4" s="30"/>
      <c r="GD4" s="30"/>
      <c r="GE4" s="30"/>
      <c r="GF4" s="30"/>
      <c r="GG4" s="30"/>
      <c r="GH4" s="30"/>
      <c r="GI4" s="30"/>
      <c r="GJ4" s="30"/>
      <c r="GK4" s="30"/>
      <c r="GL4" s="30"/>
      <c r="GM4" s="30"/>
      <c r="GN4" s="30"/>
      <c r="GO4" s="30"/>
      <c r="GP4" s="30"/>
      <c r="GQ4" s="30"/>
      <c r="GR4" s="30"/>
      <c r="GS4" s="30"/>
      <c r="GT4" s="30"/>
      <c r="GU4" s="30"/>
      <c r="GV4" s="30"/>
      <c r="GW4" s="30"/>
      <c r="GX4" s="30"/>
      <c r="GY4" s="30"/>
      <c r="GZ4" s="30"/>
      <c r="HA4" s="30"/>
      <c r="HB4" s="30"/>
      <c r="HC4" s="30"/>
      <c r="HD4" s="30"/>
      <c r="HE4" s="30"/>
      <c r="HF4" s="30"/>
      <c r="HG4" s="30"/>
      <c r="HH4" s="30"/>
      <c r="HI4" s="30"/>
      <c r="HJ4" s="30"/>
      <c r="HK4" s="30"/>
      <c r="HL4" s="30"/>
      <c r="HM4" s="30"/>
      <c r="HN4" s="30"/>
      <c r="HO4" s="30"/>
      <c r="HP4" s="30"/>
      <c r="HQ4" s="30"/>
      <c r="HR4" s="30"/>
      <c r="HS4" s="30"/>
      <c r="HT4" s="30"/>
      <c r="HU4" s="30"/>
      <c r="HV4" s="30"/>
      <c r="HW4" s="30"/>
    </row>
    <row r="5" s="32" customFormat="true" ht="16.5" hidden="false" customHeight="true" outlineLevel="0" collapsed="false">
      <c r="A5" s="29" t="str">
        <f aca="false">+'1.KTHH L1'!A5</f>
        <v>Nhà thầu thi công: Công ty TNHH Hoàng Tuấn</v>
      </c>
      <c r="B5" s="29"/>
      <c r="C5" s="29"/>
      <c r="D5" s="29"/>
      <c r="E5" s="29"/>
      <c r="F5" s="29"/>
      <c r="G5" s="29"/>
      <c r="H5" s="29"/>
      <c r="I5" s="29"/>
      <c r="J5" s="29"/>
      <c r="K5" s="29"/>
      <c r="L5" s="29"/>
      <c r="M5" s="29"/>
      <c r="N5" s="29"/>
      <c r="O5" s="29"/>
      <c r="P5" s="29"/>
      <c r="Q5" s="29"/>
      <c r="R5" s="29"/>
      <c r="S5" s="29"/>
      <c r="T5" s="29"/>
      <c r="U5" s="29"/>
      <c r="V5" s="29"/>
      <c r="W5" s="29"/>
      <c r="X5" s="29"/>
      <c r="Y5" s="29"/>
      <c r="Z5" s="29"/>
      <c r="AA5" s="29"/>
      <c r="AB5" s="29"/>
      <c r="AC5" s="30"/>
      <c r="AD5" s="30"/>
      <c r="AE5" s="30"/>
      <c r="AF5" s="30"/>
      <c r="AG5" s="30"/>
      <c r="AH5" s="30"/>
      <c r="AI5" s="30"/>
      <c r="AJ5" s="30"/>
      <c r="AK5" s="30"/>
      <c r="AL5" s="30"/>
      <c r="AM5" s="30"/>
      <c r="AN5" s="30"/>
      <c r="AO5" s="30"/>
      <c r="AP5" s="30"/>
      <c r="AQ5" s="30"/>
      <c r="AR5" s="30"/>
      <c r="AS5" s="30"/>
      <c r="AT5" s="30"/>
      <c r="AU5" s="30"/>
      <c r="AV5" s="30"/>
      <c r="AW5" s="30"/>
      <c r="AX5" s="30"/>
      <c r="AY5" s="30"/>
      <c r="AZ5" s="30"/>
      <c r="BA5" s="30"/>
      <c r="BB5" s="30"/>
      <c r="BC5" s="30"/>
      <c r="BD5" s="30"/>
      <c r="BE5" s="30"/>
      <c r="BF5" s="30"/>
      <c r="BG5" s="30"/>
      <c r="BH5" s="30"/>
      <c r="BI5" s="30"/>
      <c r="BJ5" s="30"/>
      <c r="BK5" s="30"/>
      <c r="BL5" s="30"/>
      <c r="BM5" s="30"/>
      <c r="BN5" s="30"/>
      <c r="BO5" s="30"/>
      <c r="BP5" s="30"/>
      <c r="BQ5" s="30"/>
      <c r="BR5" s="30"/>
      <c r="BS5" s="30"/>
      <c r="BT5" s="30"/>
      <c r="BU5" s="30"/>
      <c r="BV5" s="30"/>
      <c r="BW5" s="30"/>
      <c r="BX5" s="30"/>
      <c r="BY5" s="30"/>
      <c r="BZ5" s="30"/>
      <c r="CA5" s="30"/>
      <c r="CB5" s="30"/>
      <c r="CC5" s="30"/>
      <c r="CD5" s="30"/>
      <c r="CE5" s="30"/>
      <c r="CF5" s="30"/>
      <c r="CG5" s="30"/>
      <c r="CH5" s="30"/>
      <c r="CI5" s="30"/>
      <c r="CJ5" s="30"/>
      <c r="CK5" s="30"/>
      <c r="CL5" s="30"/>
      <c r="CM5" s="30"/>
      <c r="CN5" s="30"/>
      <c r="CO5" s="30"/>
      <c r="CP5" s="30"/>
      <c r="CQ5" s="30"/>
      <c r="CR5" s="30"/>
      <c r="CS5" s="30"/>
      <c r="CT5" s="30"/>
      <c r="CU5" s="30"/>
      <c r="CV5" s="30"/>
      <c r="CW5" s="30"/>
      <c r="CX5" s="30"/>
      <c r="CY5" s="30"/>
      <c r="CZ5" s="30"/>
      <c r="DA5" s="30"/>
      <c r="DB5" s="30"/>
      <c r="DC5" s="30"/>
      <c r="DD5" s="30"/>
      <c r="DE5" s="30"/>
      <c r="DF5" s="30"/>
      <c r="DG5" s="30"/>
      <c r="DH5" s="30"/>
      <c r="DI5" s="30"/>
      <c r="DJ5" s="30"/>
      <c r="DK5" s="30"/>
      <c r="DL5" s="30"/>
      <c r="DM5" s="30"/>
      <c r="DN5" s="30"/>
      <c r="DO5" s="30"/>
      <c r="DP5" s="30"/>
      <c r="DQ5" s="30"/>
      <c r="DR5" s="30"/>
      <c r="DS5" s="30"/>
      <c r="DT5" s="30"/>
      <c r="DU5" s="30"/>
      <c r="DV5" s="30"/>
      <c r="DW5" s="30"/>
      <c r="DX5" s="30"/>
      <c r="DY5" s="30"/>
      <c r="DZ5" s="30"/>
      <c r="EA5" s="30"/>
      <c r="EB5" s="30"/>
      <c r="EC5" s="30"/>
      <c r="ED5" s="30"/>
      <c r="EE5" s="30"/>
      <c r="EF5" s="30"/>
      <c r="EG5" s="30"/>
      <c r="EH5" s="30"/>
      <c r="EI5" s="30"/>
      <c r="EJ5" s="30"/>
      <c r="EK5" s="30"/>
      <c r="EL5" s="30"/>
      <c r="EM5" s="30"/>
      <c r="EN5" s="30"/>
      <c r="EO5" s="30"/>
      <c r="EP5" s="30"/>
      <c r="EQ5" s="30"/>
      <c r="ER5" s="30"/>
      <c r="ES5" s="30"/>
      <c r="ET5" s="30"/>
      <c r="EU5" s="30"/>
      <c r="EV5" s="30"/>
      <c r="EW5" s="30"/>
      <c r="EX5" s="30"/>
      <c r="EY5" s="30"/>
      <c r="EZ5" s="30"/>
      <c r="FA5" s="30"/>
      <c r="FB5" s="30"/>
      <c r="FC5" s="30"/>
      <c r="FD5" s="30"/>
      <c r="FE5" s="30"/>
      <c r="FF5" s="30"/>
      <c r="FG5" s="30"/>
      <c r="FH5" s="30"/>
      <c r="FI5" s="30"/>
      <c r="FJ5" s="30"/>
      <c r="FK5" s="30"/>
      <c r="FL5" s="30"/>
      <c r="FM5" s="30"/>
      <c r="FN5" s="30"/>
      <c r="FO5" s="30"/>
      <c r="FP5" s="30"/>
      <c r="FQ5" s="30"/>
      <c r="FR5" s="30"/>
      <c r="FS5" s="30"/>
      <c r="FT5" s="30"/>
      <c r="FU5" s="30"/>
      <c r="FV5" s="30"/>
      <c r="FW5" s="30"/>
      <c r="FX5" s="30"/>
      <c r="FY5" s="30"/>
      <c r="FZ5" s="30"/>
      <c r="GA5" s="30"/>
      <c r="GB5" s="30"/>
      <c r="GC5" s="30"/>
      <c r="GD5" s="30"/>
      <c r="GE5" s="30"/>
      <c r="GF5" s="30"/>
      <c r="GG5" s="30"/>
      <c r="GH5" s="30"/>
      <c r="GI5" s="30"/>
      <c r="GJ5" s="30"/>
      <c r="GK5" s="30"/>
      <c r="GL5" s="30"/>
      <c r="GM5" s="30"/>
      <c r="GN5" s="30"/>
      <c r="GO5" s="30"/>
      <c r="GP5" s="30"/>
      <c r="GQ5" s="30"/>
      <c r="GR5" s="30"/>
      <c r="GS5" s="30"/>
      <c r="GT5" s="30"/>
      <c r="GU5" s="30"/>
      <c r="GV5" s="30"/>
      <c r="GW5" s="30"/>
      <c r="GX5" s="30"/>
      <c r="GY5" s="30"/>
      <c r="GZ5" s="30"/>
      <c r="HA5" s="30"/>
      <c r="HB5" s="30"/>
      <c r="HC5" s="30"/>
      <c r="HD5" s="30"/>
      <c r="HE5" s="30"/>
      <c r="HF5" s="30"/>
      <c r="HG5" s="30"/>
      <c r="HH5" s="30"/>
      <c r="HI5" s="30"/>
      <c r="HJ5" s="30"/>
      <c r="HK5" s="30"/>
      <c r="HL5" s="30"/>
      <c r="HM5" s="30"/>
      <c r="HN5" s="30"/>
      <c r="HO5" s="30"/>
      <c r="HP5" s="30"/>
      <c r="HQ5" s="30"/>
      <c r="HR5" s="30"/>
      <c r="HS5" s="30"/>
      <c r="HT5" s="30"/>
      <c r="HU5" s="30"/>
      <c r="HV5" s="30"/>
      <c r="HW5" s="30"/>
    </row>
    <row r="6" s="32" customFormat="true" ht="16.5" hidden="false" customHeight="true" outlineLevel="0" collapsed="false">
      <c r="A6" s="29" t="s">
        <v>33</v>
      </c>
      <c r="B6" s="29"/>
      <c r="C6" s="29"/>
      <c r="D6" s="29"/>
      <c r="E6" s="29"/>
      <c r="F6" s="29"/>
      <c r="G6" s="29"/>
      <c r="H6" s="29"/>
      <c r="I6" s="29"/>
      <c r="J6" s="29"/>
      <c r="K6" s="29"/>
      <c r="L6" s="29"/>
      <c r="M6" s="29"/>
      <c r="N6" s="29"/>
      <c r="O6" s="29"/>
      <c r="P6" s="29"/>
      <c r="Q6" s="29"/>
      <c r="R6" s="29"/>
      <c r="S6" s="29"/>
      <c r="T6" s="29"/>
      <c r="U6" s="29"/>
      <c r="V6" s="29"/>
      <c r="W6" s="29"/>
      <c r="X6" s="29"/>
      <c r="Y6" s="29"/>
      <c r="Z6" s="29"/>
      <c r="AA6" s="29"/>
      <c r="AB6" s="29"/>
      <c r="AC6" s="30"/>
      <c r="AD6" s="30"/>
      <c r="AE6" s="30"/>
      <c r="AF6" s="30"/>
      <c r="AG6" s="30"/>
      <c r="AH6" s="30"/>
      <c r="AI6" s="30"/>
      <c r="AJ6" s="30"/>
      <c r="AK6" s="30"/>
      <c r="AL6" s="30"/>
      <c r="AM6" s="30"/>
      <c r="AN6" s="30"/>
      <c r="AO6" s="30"/>
      <c r="AP6" s="30"/>
      <c r="AQ6" s="30"/>
      <c r="AR6" s="30"/>
      <c r="AS6" s="30"/>
      <c r="AT6" s="30"/>
      <c r="AU6" s="30"/>
      <c r="AV6" s="30"/>
      <c r="AW6" s="30"/>
      <c r="AX6" s="30"/>
      <c r="AY6" s="30"/>
      <c r="AZ6" s="30"/>
      <c r="BA6" s="30"/>
      <c r="BB6" s="30"/>
      <c r="BC6" s="30"/>
      <c r="BD6" s="30"/>
      <c r="BE6" s="30"/>
      <c r="BF6" s="30"/>
      <c r="BG6" s="30"/>
      <c r="BH6" s="30"/>
      <c r="BI6" s="30"/>
      <c r="BJ6" s="30"/>
      <c r="BK6" s="30"/>
      <c r="BL6" s="30"/>
      <c r="BM6" s="30"/>
      <c r="BN6" s="30"/>
      <c r="BO6" s="30"/>
      <c r="BP6" s="30"/>
      <c r="BQ6" s="30"/>
      <c r="BR6" s="30"/>
      <c r="BS6" s="30"/>
      <c r="BT6" s="30"/>
      <c r="BU6" s="30"/>
      <c r="BV6" s="30"/>
      <c r="BW6" s="30"/>
      <c r="BX6" s="30"/>
      <c r="BY6" s="30"/>
      <c r="BZ6" s="30"/>
      <c r="CA6" s="30"/>
      <c r="CB6" s="30"/>
      <c r="CC6" s="30"/>
      <c r="CD6" s="30"/>
      <c r="CE6" s="30"/>
      <c r="CF6" s="30"/>
      <c r="CG6" s="30"/>
      <c r="CH6" s="30"/>
      <c r="CI6" s="30"/>
      <c r="CJ6" s="30"/>
      <c r="CK6" s="30"/>
      <c r="CL6" s="30"/>
      <c r="CM6" s="30"/>
      <c r="CN6" s="30"/>
      <c r="CO6" s="30"/>
      <c r="CP6" s="30"/>
      <c r="CQ6" s="30"/>
      <c r="CR6" s="30"/>
      <c r="CS6" s="30"/>
      <c r="CT6" s="30"/>
      <c r="CU6" s="30"/>
      <c r="CV6" s="30"/>
      <c r="CW6" s="30"/>
      <c r="CX6" s="30"/>
      <c r="CY6" s="30"/>
      <c r="CZ6" s="30"/>
      <c r="DA6" s="30"/>
      <c r="DB6" s="30"/>
      <c r="DC6" s="30"/>
      <c r="DD6" s="30"/>
      <c r="DE6" s="30"/>
      <c r="DF6" s="30"/>
      <c r="DG6" s="30"/>
      <c r="DH6" s="30"/>
      <c r="DI6" s="30"/>
      <c r="DJ6" s="30"/>
      <c r="DK6" s="30"/>
      <c r="DL6" s="30"/>
      <c r="DM6" s="30"/>
      <c r="DN6" s="30"/>
      <c r="DO6" s="30"/>
      <c r="DP6" s="30"/>
      <c r="DQ6" s="30"/>
      <c r="DR6" s="30"/>
      <c r="DS6" s="30"/>
      <c r="DT6" s="30"/>
      <c r="DU6" s="30"/>
      <c r="DV6" s="30"/>
      <c r="DW6" s="30"/>
      <c r="DX6" s="30"/>
      <c r="DY6" s="30"/>
      <c r="DZ6" s="30"/>
      <c r="EA6" s="30"/>
      <c r="EB6" s="30"/>
      <c r="EC6" s="30"/>
      <c r="ED6" s="30"/>
      <c r="EE6" s="30"/>
      <c r="EF6" s="30"/>
      <c r="EG6" s="30"/>
      <c r="EH6" s="30"/>
      <c r="EI6" s="30"/>
      <c r="EJ6" s="30"/>
      <c r="EK6" s="30"/>
      <c r="EL6" s="30"/>
      <c r="EM6" s="30"/>
      <c r="EN6" s="30"/>
      <c r="EO6" s="30"/>
      <c r="EP6" s="30"/>
      <c r="EQ6" s="30"/>
      <c r="ER6" s="30"/>
      <c r="ES6" s="30"/>
      <c r="ET6" s="30"/>
      <c r="EU6" s="30"/>
      <c r="EV6" s="30"/>
      <c r="EW6" s="30"/>
      <c r="EX6" s="30"/>
      <c r="EY6" s="30"/>
      <c r="EZ6" s="30"/>
      <c r="FA6" s="30"/>
      <c r="FB6" s="30"/>
      <c r="FC6" s="30"/>
      <c r="FD6" s="30"/>
      <c r="FE6" s="30"/>
      <c r="FF6" s="30"/>
      <c r="FG6" s="30"/>
      <c r="FH6" s="30"/>
      <c r="FI6" s="30"/>
      <c r="FJ6" s="30"/>
      <c r="FK6" s="30"/>
      <c r="FL6" s="30"/>
      <c r="FM6" s="30"/>
      <c r="FN6" s="30"/>
      <c r="FO6" s="30"/>
      <c r="FP6" s="30"/>
      <c r="FQ6" s="30"/>
      <c r="FR6" s="30"/>
      <c r="FS6" s="30"/>
      <c r="FT6" s="30"/>
      <c r="FU6" s="30"/>
      <c r="FV6" s="30"/>
      <c r="FW6" s="30"/>
      <c r="FX6" s="30"/>
      <c r="FY6" s="30"/>
      <c r="FZ6" s="30"/>
      <c r="GA6" s="30"/>
      <c r="GB6" s="30"/>
      <c r="GC6" s="30"/>
      <c r="GD6" s="30"/>
      <c r="GE6" s="30"/>
      <c r="GF6" s="30"/>
      <c r="GG6" s="30"/>
      <c r="GH6" s="30"/>
      <c r="GI6" s="30"/>
      <c r="GJ6" s="30"/>
      <c r="GK6" s="30"/>
      <c r="GL6" s="30"/>
      <c r="GM6" s="30"/>
      <c r="GN6" s="30"/>
      <c r="GO6" s="30"/>
      <c r="GP6" s="30"/>
      <c r="GQ6" s="30"/>
      <c r="GR6" s="30"/>
      <c r="GS6" s="30"/>
      <c r="GT6" s="30"/>
      <c r="GU6" s="30"/>
      <c r="GV6" s="30"/>
      <c r="GW6" s="30"/>
      <c r="GX6" s="30"/>
      <c r="GY6" s="30"/>
      <c r="GZ6" s="30"/>
      <c r="HA6" s="30"/>
      <c r="HB6" s="30"/>
      <c r="HC6" s="30"/>
      <c r="HD6" s="30"/>
      <c r="HE6" s="30"/>
      <c r="HF6" s="30"/>
      <c r="HG6" s="30"/>
      <c r="HH6" s="30"/>
      <c r="HI6" s="30"/>
      <c r="HJ6" s="30"/>
      <c r="HK6" s="30"/>
      <c r="HL6" s="30"/>
      <c r="HM6" s="30"/>
      <c r="HN6" s="30"/>
      <c r="HO6" s="30"/>
      <c r="HP6" s="30"/>
      <c r="HQ6" s="30"/>
      <c r="HR6" s="30"/>
      <c r="HS6" s="30"/>
      <c r="HT6" s="30"/>
      <c r="HU6" s="30"/>
      <c r="HV6" s="30"/>
      <c r="HW6" s="30"/>
    </row>
    <row r="7" s="32" customFormat="true" ht="31.5" hidden="false" customHeight="true" outlineLevel="0" collapsed="false">
      <c r="A7" s="33" t="s">
        <v>34</v>
      </c>
      <c r="B7" s="34"/>
      <c r="D7" s="35" t="str">
        <f>VLOOKUP(AZ2,'[1]Tuyến XD8'!$A$2:$B$60,2,0)</f>
        <v xml:space="preserve">Đắp đất nền đường lớp 7 đoạn từ Km0+489,19 - Km0+609,11, độ chặt K&gt;=0,95</v>
      </c>
      <c r="E7" s="35"/>
      <c r="F7" s="35"/>
      <c r="G7" s="35"/>
      <c r="H7" s="35"/>
      <c r="I7" s="35"/>
      <c r="J7" s="35"/>
      <c r="K7" s="35"/>
      <c r="L7" s="35"/>
      <c r="M7" s="35"/>
      <c r="N7" s="35"/>
      <c r="O7" s="35"/>
      <c r="P7" s="35"/>
      <c r="Q7" s="35"/>
      <c r="R7" s="35"/>
      <c r="S7" s="35"/>
      <c r="T7" s="35"/>
      <c r="U7" s="35"/>
      <c r="V7" s="35"/>
      <c r="W7" s="35"/>
      <c r="X7" s="35"/>
      <c r="Y7" s="35"/>
      <c r="Z7" s="35"/>
      <c r="AA7" s="35"/>
      <c r="AB7" s="35"/>
      <c r="AC7" s="30"/>
      <c r="AD7" s="30"/>
      <c r="AE7" s="30"/>
      <c r="AF7" s="30"/>
      <c r="AG7" s="30"/>
      <c r="AH7" s="30"/>
      <c r="AI7" s="30"/>
      <c r="AJ7" s="30"/>
      <c r="AK7" s="30"/>
      <c r="AL7" s="30"/>
      <c r="AM7" s="30"/>
      <c r="AN7" s="30"/>
      <c r="AO7" s="30"/>
      <c r="AP7" s="30"/>
      <c r="AQ7" s="30"/>
      <c r="AR7" s="30"/>
      <c r="AS7" s="30"/>
      <c r="AT7" s="30"/>
      <c r="AU7" s="30"/>
      <c r="AV7" s="30"/>
      <c r="AW7" s="30"/>
      <c r="AX7" s="30"/>
      <c r="AY7" s="30"/>
      <c r="AZ7" s="30"/>
      <c r="BA7" s="30"/>
      <c r="BB7" s="30"/>
      <c r="BC7" s="30"/>
      <c r="BD7" s="30"/>
      <c r="BE7" s="30"/>
      <c r="BF7" s="30"/>
      <c r="BG7" s="30"/>
      <c r="BH7" s="30"/>
      <c r="BI7" s="30"/>
      <c r="BJ7" s="30"/>
      <c r="BK7" s="30"/>
      <c r="BL7" s="30"/>
      <c r="BM7" s="30"/>
      <c r="BN7" s="30"/>
      <c r="BO7" s="30"/>
      <c r="BP7" s="30"/>
      <c r="BQ7" s="30"/>
      <c r="BR7" s="30"/>
      <c r="BS7" s="30"/>
      <c r="BT7" s="30"/>
      <c r="BU7" s="30"/>
      <c r="BV7" s="30"/>
      <c r="BW7" s="30"/>
      <c r="BX7" s="30"/>
      <c r="BY7" s="30"/>
      <c r="BZ7" s="30"/>
      <c r="CA7" s="30"/>
      <c r="CB7" s="30"/>
      <c r="CC7" s="30"/>
      <c r="CD7" s="30"/>
      <c r="CE7" s="30"/>
      <c r="CF7" s="30"/>
      <c r="CG7" s="30"/>
      <c r="CH7" s="30"/>
      <c r="CI7" s="30"/>
      <c r="CJ7" s="30"/>
      <c r="CK7" s="30"/>
      <c r="CL7" s="30"/>
      <c r="CM7" s="30"/>
      <c r="CN7" s="30"/>
      <c r="CO7" s="30"/>
      <c r="CP7" s="30"/>
      <c r="CQ7" s="30"/>
      <c r="CR7" s="30"/>
      <c r="CS7" s="30"/>
      <c r="CT7" s="30"/>
      <c r="CU7" s="30"/>
      <c r="CV7" s="30"/>
      <c r="CW7" s="30"/>
      <c r="CX7" s="30"/>
      <c r="CY7" s="30"/>
      <c r="CZ7" s="30"/>
      <c r="DA7" s="30"/>
      <c r="DB7" s="30"/>
      <c r="DC7" s="30"/>
      <c r="DD7" s="30"/>
      <c r="DE7" s="30"/>
      <c r="DF7" s="30"/>
      <c r="DG7" s="30"/>
      <c r="DH7" s="30"/>
      <c r="DI7" s="30"/>
      <c r="DJ7" s="30"/>
      <c r="DK7" s="30"/>
      <c r="DL7" s="30"/>
      <c r="DM7" s="30"/>
      <c r="DN7" s="30"/>
      <c r="DO7" s="30"/>
      <c r="DP7" s="30"/>
      <c r="DQ7" s="30"/>
      <c r="DR7" s="30"/>
      <c r="DS7" s="30"/>
      <c r="DT7" s="30"/>
      <c r="DU7" s="30"/>
      <c r="DV7" s="30"/>
      <c r="DW7" s="30"/>
      <c r="DX7" s="30"/>
      <c r="DY7" s="30"/>
      <c r="DZ7" s="30"/>
      <c r="EA7" s="30"/>
      <c r="EB7" s="30"/>
      <c r="EC7" s="30"/>
      <c r="ED7" s="30"/>
      <c r="EE7" s="30"/>
      <c r="EF7" s="30"/>
      <c r="EG7" s="30"/>
      <c r="EH7" s="30"/>
      <c r="EI7" s="30"/>
      <c r="EJ7" s="30"/>
      <c r="EK7" s="30"/>
      <c r="EL7" s="30"/>
      <c r="EM7" s="30"/>
      <c r="EN7" s="30"/>
      <c r="EO7" s="30"/>
      <c r="EP7" s="30"/>
      <c r="EQ7" s="30"/>
      <c r="ER7" s="30"/>
      <c r="ES7" s="30"/>
      <c r="ET7" s="30"/>
      <c r="EU7" s="30"/>
      <c r="EV7" s="30"/>
      <c r="EW7" s="30"/>
      <c r="EX7" s="30"/>
      <c r="EY7" s="30"/>
      <c r="EZ7" s="30"/>
      <c r="FA7" s="30"/>
      <c r="FB7" s="30"/>
      <c r="FC7" s="30"/>
      <c r="FD7" s="30"/>
      <c r="FE7" s="30"/>
      <c r="FF7" s="30"/>
      <c r="FG7" s="30"/>
      <c r="FH7" s="30"/>
      <c r="FI7" s="30"/>
      <c r="FJ7" s="30"/>
      <c r="FK7" s="30"/>
      <c r="FL7" s="30"/>
      <c r="FM7" s="30"/>
      <c r="FN7" s="30"/>
      <c r="FO7" s="30"/>
      <c r="FP7" s="30"/>
      <c r="FQ7" s="30"/>
      <c r="FR7" s="30"/>
      <c r="FS7" s="30"/>
      <c r="FT7" s="30"/>
      <c r="FU7" s="30"/>
      <c r="FV7" s="30"/>
      <c r="FW7" s="30"/>
      <c r="FX7" s="30"/>
      <c r="FY7" s="30"/>
      <c r="FZ7" s="30"/>
      <c r="GA7" s="30"/>
      <c r="GB7" s="30"/>
      <c r="GC7" s="30"/>
      <c r="GD7" s="30"/>
      <c r="GE7" s="30"/>
      <c r="GF7" s="30"/>
      <c r="GG7" s="30"/>
      <c r="GH7" s="30"/>
      <c r="GI7" s="30"/>
      <c r="GJ7" s="30"/>
      <c r="GK7" s="30"/>
      <c r="GL7" s="30"/>
      <c r="GM7" s="30"/>
      <c r="GN7" s="30"/>
      <c r="GO7" s="30"/>
      <c r="GP7" s="30"/>
      <c r="GQ7" s="30"/>
      <c r="GR7" s="30"/>
      <c r="GS7" s="30"/>
      <c r="GT7" s="30"/>
      <c r="GU7" s="30"/>
      <c r="GV7" s="30"/>
      <c r="GW7" s="30"/>
      <c r="GX7" s="30"/>
      <c r="GY7" s="30"/>
      <c r="GZ7" s="30"/>
      <c r="HA7" s="30"/>
      <c r="HB7" s="30"/>
      <c r="HC7" s="30"/>
      <c r="HD7" s="30"/>
      <c r="HE7" s="30"/>
      <c r="HF7" s="30"/>
      <c r="HG7" s="30"/>
      <c r="HH7" s="30"/>
      <c r="HI7" s="30"/>
      <c r="HJ7" s="30"/>
      <c r="HK7" s="30"/>
      <c r="HL7" s="30"/>
      <c r="HM7" s="30"/>
      <c r="HN7" s="30"/>
      <c r="HO7" s="30"/>
      <c r="HP7" s="30"/>
      <c r="HQ7" s="30"/>
      <c r="HR7" s="30"/>
      <c r="HS7" s="30"/>
      <c r="HT7" s="30"/>
      <c r="HU7" s="30"/>
      <c r="HV7" s="30"/>
      <c r="HW7" s="30"/>
    </row>
    <row r="8" s="30" customFormat="true" ht="13.5" hidden="false" customHeight="true" outlineLevel="0" collapsed="false">
      <c r="A8" s="36"/>
      <c r="B8" s="36"/>
      <c r="C8" s="36"/>
      <c r="D8" s="36"/>
      <c r="E8" s="36"/>
      <c r="F8" s="36"/>
      <c r="G8" s="36"/>
      <c r="H8" s="36"/>
      <c r="I8" s="36"/>
      <c r="J8" s="36"/>
      <c r="K8" s="36"/>
      <c r="L8" s="36"/>
      <c r="M8" s="36"/>
      <c r="N8" s="36"/>
      <c r="O8" s="36"/>
      <c r="P8" s="36"/>
      <c r="Q8" s="36"/>
      <c r="R8" s="36"/>
      <c r="S8" s="36"/>
      <c r="T8" s="36"/>
      <c r="U8" s="36"/>
      <c r="V8" s="36"/>
      <c r="W8" s="36"/>
      <c r="X8" s="36"/>
      <c r="Y8" s="36"/>
      <c r="Z8" s="36"/>
      <c r="AA8" s="36"/>
      <c r="AB8" s="36"/>
    </row>
    <row r="9" s="43" customFormat="true" ht="22.5" hidden="false" customHeight="true" outlineLevel="0" collapsed="false">
      <c r="A9" s="37" t="s">
        <v>0</v>
      </c>
      <c r="B9" s="37" t="s">
        <v>38</v>
      </c>
      <c r="C9" s="37" t="s">
        <v>39</v>
      </c>
      <c r="D9" s="38" t="s">
        <v>55</v>
      </c>
      <c r="E9" s="39"/>
      <c r="F9" s="39"/>
      <c r="G9" s="38"/>
      <c r="H9" s="39"/>
      <c r="I9" s="39"/>
      <c r="J9" s="39"/>
      <c r="K9" s="39"/>
      <c r="L9" s="39"/>
      <c r="M9" s="40" t="s">
        <v>56</v>
      </c>
      <c r="N9" s="40"/>
      <c r="O9" s="40"/>
      <c r="P9" s="40"/>
      <c r="Q9" s="40"/>
      <c r="R9" s="40"/>
      <c r="S9" s="40"/>
      <c r="T9" s="40"/>
      <c r="U9" s="40"/>
      <c r="V9" s="40"/>
      <c r="W9" s="40"/>
      <c r="X9" s="40"/>
      <c r="Y9" s="40"/>
      <c r="Z9" s="41"/>
      <c r="AA9" s="41"/>
      <c r="AB9" s="38" t="s">
        <v>43</v>
      </c>
      <c r="AC9" s="42"/>
    </row>
    <row r="10" s="49" customFormat="true" ht="28.5" hidden="false" customHeight="true" outlineLevel="0" collapsed="false">
      <c r="A10" s="37"/>
      <c r="B10" s="37"/>
      <c r="C10" s="37"/>
      <c r="D10" s="37"/>
      <c r="E10" s="40"/>
      <c r="F10" s="40"/>
      <c r="G10" s="40"/>
      <c r="H10" s="40"/>
      <c r="I10" s="40"/>
      <c r="J10" s="40"/>
      <c r="K10" s="40"/>
      <c r="L10" s="40"/>
      <c r="M10" s="40"/>
      <c r="N10" s="40" t="s">
        <v>57</v>
      </c>
      <c r="O10" s="40" t="s">
        <v>58</v>
      </c>
      <c r="P10" s="40" t="s">
        <v>57</v>
      </c>
      <c r="Q10" s="40" t="s">
        <v>57</v>
      </c>
      <c r="R10" s="40"/>
      <c r="S10" s="40"/>
      <c r="T10" s="40"/>
      <c r="U10" s="40" t="s">
        <v>59</v>
      </c>
      <c r="V10" s="40" t="s">
        <v>59</v>
      </c>
      <c r="W10" s="40" t="s">
        <v>60</v>
      </c>
      <c r="X10" s="40" t="s">
        <v>59</v>
      </c>
      <c r="Y10" s="40" t="s">
        <v>59</v>
      </c>
      <c r="Z10" s="45"/>
      <c r="AA10" s="45"/>
      <c r="AB10" s="38"/>
      <c r="AC10" s="46"/>
      <c r="AD10" s="47"/>
    </row>
    <row r="11" s="49" customFormat="true" ht="15" hidden="false" customHeight="true" outlineLevel="0" collapsed="false">
      <c r="A11" s="13" t="n">
        <v>1</v>
      </c>
      <c r="B11" s="13" t="str">
        <f aca="false">'7.KTHH L7'!B22</f>
        <v>25</v>
      </c>
      <c r="C11" s="51" t="n">
        <f aca="false">'7.KTHH L7'!C22</f>
        <v>489.19</v>
      </c>
      <c r="D11" s="13" t="n">
        <f aca="false">'7.KTHH L7'!T22</f>
        <v>13.17</v>
      </c>
      <c r="E11" s="52"/>
      <c r="F11" s="52"/>
      <c r="G11" s="52"/>
      <c r="H11" s="52"/>
      <c r="I11" s="52"/>
      <c r="J11" s="52"/>
      <c r="K11" s="53"/>
      <c r="L11" s="16"/>
      <c r="M11" s="17"/>
      <c r="N11" s="54"/>
      <c r="O11" s="53" t="n">
        <f aca="false">Chạy!E3</f>
        <v>7.01</v>
      </c>
      <c r="P11" s="53"/>
      <c r="Q11" s="53"/>
      <c r="R11" s="55"/>
      <c r="S11" s="55"/>
      <c r="T11" s="55"/>
      <c r="U11" s="55"/>
      <c r="V11" s="55"/>
      <c r="W11" s="55" t="n">
        <f aca="false">(O11+O12)*D11/2</f>
        <v>96.07515</v>
      </c>
      <c r="X11" s="55"/>
      <c r="Y11" s="55"/>
      <c r="Z11" s="55"/>
      <c r="AA11" s="55"/>
      <c r="AB11" s="56"/>
      <c r="AC11" s="57"/>
    </row>
    <row r="12" s="49" customFormat="true" ht="15" hidden="false" customHeight="true" outlineLevel="0" collapsed="false">
      <c r="A12" s="13" t="n">
        <v>2</v>
      </c>
      <c r="B12" s="13" t="str">
        <f aca="false">'7.KTHH L7'!B23</f>
        <v>D1</v>
      </c>
      <c r="C12" s="51" t="n">
        <f aca="false">'7.KTHH L7'!C23</f>
        <v>502.36</v>
      </c>
      <c r="D12" s="13" t="n">
        <f aca="false">'7.KTHH L7'!T23</f>
        <v>10.48</v>
      </c>
      <c r="E12" s="52"/>
      <c r="F12" s="52"/>
      <c r="G12" s="52"/>
      <c r="H12" s="52"/>
      <c r="I12" s="52"/>
      <c r="J12" s="52"/>
      <c r="K12" s="53"/>
      <c r="L12" s="16"/>
      <c r="M12" s="17"/>
      <c r="N12" s="54"/>
      <c r="O12" s="53" t="n">
        <f aca="false">Chạy!E11</f>
        <v>7.58</v>
      </c>
      <c r="P12" s="53"/>
      <c r="Q12" s="53"/>
      <c r="R12" s="55"/>
      <c r="S12" s="55"/>
      <c r="T12" s="55"/>
      <c r="U12" s="55"/>
      <c r="V12" s="55"/>
      <c r="W12" s="55" t="n">
        <f aca="false">(O12+O13)*D12/2</f>
        <v>79.4384</v>
      </c>
      <c r="X12" s="55"/>
      <c r="Y12" s="55"/>
      <c r="Z12" s="55"/>
      <c r="AA12" s="55"/>
      <c r="AB12" s="56"/>
      <c r="AC12" s="57"/>
    </row>
    <row r="13" s="49" customFormat="true" ht="15" hidden="false" customHeight="true" outlineLevel="0" collapsed="false">
      <c r="A13" s="13" t="n">
        <v>3</v>
      </c>
      <c r="B13" s="13" t="str">
        <f aca="false">'7.KTHH L7'!B24</f>
        <v>26</v>
      </c>
      <c r="C13" s="51" t="n">
        <f aca="false">'7.KTHH L7'!C24</f>
        <v>512.84</v>
      </c>
      <c r="D13" s="13" t="n">
        <f aca="false">'7.KTHH L7'!T24</f>
        <v>16.78</v>
      </c>
      <c r="E13" s="52"/>
      <c r="F13" s="52"/>
      <c r="G13" s="52"/>
      <c r="H13" s="52"/>
      <c r="I13" s="52"/>
      <c r="J13" s="52"/>
      <c r="K13" s="53"/>
      <c r="L13" s="16"/>
      <c r="M13" s="17"/>
      <c r="N13" s="54"/>
      <c r="O13" s="53" t="n">
        <f aca="false">Chạy!E19</f>
        <v>7.58</v>
      </c>
      <c r="P13" s="53"/>
      <c r="Q13" s="53"/>
      <c r="R13" s="55"/>
      <c r="S13" s="55"/>
      <c r="T13" s="55"/>
      <c r="U13" s="55"/>
      <c r="V13" s="55"/>
      <c r="W13" s="55" t="n">
        <f aca="false">(O13+O14)*D13/2</f>
        <v>127.1924</v>
      </c>
      <c r="X13" s="55"/>
      <c r="Y13" s="55"/>
      <c r="Z13" s="55"/>
      <c r="AA13" s="55"/>
      <c r="AB13" s="56"/>
      <c r="AC13" s="57"/>
    </row>
    <row r="14" s="49" customFormat="true" ht="15" hidden="false" customHeight="true" outlineLevel="0" collapsed="false">
      <c r="A14" s="13" t="n">
        <v>4</v>
      </c>
      <c r="B14" s="13" t="str">
        <f aca="false">'7.KTHH L7'!B25</f>
        <v>27</v>
      </c>
      <c r="C14" s="51" t="n">
        <f aca="false">'7.KTHH L7'!C25</f>
        <v>529.62</v>
      </c>
      <c r="D14" s="13" t="n">
        <f aca="false">'7.KTHH L7'!T25</f>
        <v>17.1</v>
      </c>
      <c r="E14" s="52"/>
      <c r="F14" s="52"/>
      <c r="G14" s="52"/>
      <c r="H14" s="52"/>
      <c r="I14" s="52"/>
      <c r="J14" s="52"/>
      <c r="K14" s="53"/>
      <c r="L14" s="16"/>
      <c r="M14" s="17"/>
      <c r="N14" s="54"/>
      <c r="O14" s="53" t="n">
        <f aca="false">Chạy!E27</f>
        <v>7.58</v>
      </c>
      <c r="P14" s="53"/>
      <c r="Q14" s="53"/>
      <c r="R14" s="55"/>
      <c r="S14" s="55"/>
      <c r="T14" s="55"/>
      <c r="U14" s="55"/>
      <c r="V14" s="55"/>
      <c r="W14" s="55" t="n">
        <f aca="false">(O14+O15)*D14/2</f>
        <v>124.7445</v>
      </c>
      <c r="X14" s="55"/>
      <c r="Y14" s="55"/>
      <c r="Z14" s="55"/>
      <c r="AA14" s="55"/>
      <c r="AB14" s="56"/>
      <c r="AC14" s="57"/>
    </row>
    <row r="15" s="49" customFormat="true" ht="15" hidden="false" customHeight="true" outlineLevel="0" collapsed="false">
      <c r="A15" s="13" t="n">
        <v>5</v>
      </c>
      <c r="B15" s="13" t="str">
        <f aca="false">'7.KTHH L7'!B26</f>
        <v>28</v>
      </c>
      <c r="C15" s="51" t="n">
        <f aca="false">'7.KTHH L7'!C26</f>
        <v>546.72</v>
      </c>
      <c r="D15" s="13" t="n">
        <f aca="false">'7.KTHH L7'!T26</f>
        <v>15.15</v>
      </c>
      <c r="E15" s="52"/>
      <c r="F15" s="52"/>
      <c r="G15" s="52"/>
      <c r="H15" s="52"/>
      <c r="I15" s="52"/>
      <c r="J15" s="52"/>
      <c r="K15" s="53"/>
      <c r="L15" s="16"/>
      <c r="M15" s="17"/>
      <c r="N15" s="54"/>
      <c r="O15" s="53" t="n">
        <f aca="false">Chạy!E35</f>
        <v>7.01</v>
      </c>
      <c r="P15" s="53"/>
      <c r="Q15" s="53"/>
      <c r="R15" s="55"/>
      <c r="S15" s="55"/>
      <c r="T15" s="55"/>
      <c r="U15" s="55"/>
      <c r="V15" s="55"/>
      <c r="W15" s="55" t="n">
        <f aca="false">(O15+O16)*D15/2</f>
        <v>110.51925</v>
      </c>
      <c r="X15" s="55"/>
      <c r="Y15" s="55"/>
      <c r="Z15" s="55"/>
      <c r="AA15" s="55"/>
      <c r="AB15" s="56"/>
      <c r="AC15" s="57"/>
    </row>
    <row r="16" s="49" customFormat="true" ht="15" hidden="false" customHeight="true" outlineLevel="0" collapsed="false">
      <c r="A16" s="13" t="n">
        <v>6</v>
      </c>
      <c r="B16" s="13" t="str">
        <f aca="false">'7.KTHH L7'!B27</f>
        <v>E5</v>
      </c>
      <c r="C16" s="51" t="n">
        <f aca="false">'7.KTHH L7'!C27</f>
        <v>561.87</v>
      </c>
      <c r="D16" s="13" t="n">
        <f aca="false">'7.KTHH L7'!T27</f>
        <v>0.15</v>
      </c>
      <c r="E16" s="52"/>
      <c r="F16" s="52"/>
      <c r="G16" s="52"/>
      <c r="H16" s="52"/>
      <c r="I16" s="52"/>
      <c r="J16" s="52"/>
      <c r="K16" s="53"/>
      <c r="L16" s="16"/>
      <c r="M16" s="17"/>
      <c r="N16" s="54"/>
      <c r="O16" s="53" t="n">
        <f aca="false">Chạy!E43</f>
        <v>7.58</v>
      </c>
      <c r="P16" s="53"/>
      <c r="Q16" s="53"/>
      <c r="R16" s="55"/>
      <c r="S16" s="55"/>
      <c r="T16" s="55"/>
      <c r="U16" s="55"/>
      <c r="V16" s="55"/>
      <c r="W16" s="55" t="n">
        <f aca="false">(O16+O17)*D16/2</f>
        <v>1.137</v>
      </c>
      <c r="X16" s="55"/>
      <c r="Y16" s="55"/>
      <c r="Z16" s="55"/>
      <c r="AA16" s="55"/>
      <c r="AB16" s="56"/>
      <c r="AC16" s="57"/>
    </row>
    <row r="17" s="49" customFormat="true" ht="15" hidden="false" customHeight="true" outlineLevel="0" collapsed="false">
      <c r="A17" s="13" t="n">
        <v>7</v>
      </c>
      <c r="B17" s="13" t="str">
        <f aca="false">'7.KTHH L7'!B28</f>
        <v>TD</v>
      </c>
      <c r="C17" s="51" t="n">
        <f aca="false">'7.KTHH L7'!C28</f>
        <v>562.02</v>
      </c>
      <c r="D17" s="13" t="n">
        <f aca="false">'7.KTHH L7'!T28</f>
        <v>6.55</v>
      </c>
      <c r="E17" s="52"/>
      <c r="F17" s="52"/>
      <c r="G17" s="52"/>
      <c r="H17" s="52"/>
      <c r="I17" s="52"/>
      <c r="J17" s="52"/>
      <c r="K17" s="53"/>
      <c r="L17" s="16"/>
      <c r="M17" s="17"/>
      <c r="N17" s="54"/>
      <c r="O17" s="53" t="n">
        <f aca="false">Chạy!E51</f>
        <v>7.58</v>
      </c>
      <c r="P17" s="53"/>
      <c r="Q17" s="53"/>
      <c r="R17" s="55"/>
      <c r="S17" s="55"/>
      <c r="T17" s="55"/>
      <c r="U17" s="55"/>
      <c r="V17" s="55"/>
      <c r="W17" s="55" t="n">
        <f aca="false">(O17+O18)*D17/2</f>
        <v>49.649</v>
      </c>
      <c r="X17" s="55"/>
      <c r="Y17" s="55"/>
      <c r="Z17" s="55"/>
      <c r="AA17" s="55"/>
      <c r="AB17" s="56"/>
      <c r="AC17" s="57"/>
    </row>
    <row r="18" s="49" customFormat="true" ht="15" hidden="false" customHeight="true" outlineLevel="0" collapsed="false">
      <c r="A18" s="13" t="n">
        <v>8</v>
      </c>
      <c r="B18" s="13" t="str">
        <f aca="false">'7.KTHH L7'!B29</f>
        <v>P</v>
      </c>
      <c r="C18" s="51" t="n">
        <f aca="false">'7.KTHH L7'!C29</f>
        <v>568.57</v>
      </c>
      <c r="D18" s="13" t="n">
        <f aca="false">'7.KTHH L7'!T29</f>
        <v>6.55</v>
      </c>
      <c r="E18" s="52"/>
      <c r="F18" s="52"/>
      <c r="G18" s="52"/>
      <c r="H18" s="52"/>
      <c r="I18" s="52"/>
      <c r="J18" s="52"/>
      <c r="K18" s="53"/>
      <c r="L18" s="16"/>
      <c r="M18" s="17"/>
      <c r="N18" s="54"/>
      <c r="O18" s="53" t="n">
        <f aca="false">Chạy!E59</f>
        <v>7.58</v>
      </c>
      <c r="P18" s="53"/>
      <c r="Q18" s="53"/>
      <c r="R18" s="55"/>
      <c r="S18" s="55"/>
      <c r="T18" s="55"/>
      <c r="U18" s="55"/>
      <c r="V18" s="55"/>
      <c r="W18" s="55" t="n">
        <f aca="false">(O18+O19)*D18/2</f>
        <v>49.649</v>
      </c>
      <c r="X18" s="55"/>
      <c r="Y18" s="55"/>
      <c r="Z18" s="55"/>
      <c r="AA18" s="55"/>
      <c r="AB18" s="56"/>
      <c r="AC18" s="57"/>
    </row>
    <row r="19" s="49" customFormat="true" ht="15" hidden="false" customHeight="true" outlineLevel="0" collapsed="false">
      <c r="A19" s="13" t="n">
        <v>9</v>
      </c>
      <c r="B19" s="13" t="str">
        <f aca="false">'7.KTHH L7'!B30</f>
        <v>TC</v>
      </c>
      <c r="C19" s="51" t="n">
        <f aca="false">'7.KTHH L7'!C30</f>
        <v>575.12</v>
      </c>
      <c r="D19" s="13" t="n">
        <f aca="false">'7.KTHH L7'!T30</f>
        <v>0.04</v>
      </c>
      <c r="E19" s="52"/>
      <c r="F19" s="52"/>
      <c r="G19" s="52"/>
      <c r="H19" s="52"/>
      <c r="I19" s="52"/>
      <c r="J19" s="52"/>
      <c r="K19" s="53"/>
      <c r="L19" s="16"/>
      <c r="M19" s="17"/>
      <c r="N19" s="54"/>
      <c r="O19" s="53" t="n">
        <f aca="false">Chạy!E67</f>
        <v>7.58</v>
      </c>
      <c r="P19" s="53"/>
      <c r="Q19" s="53"/>
      <c r="R19" s="55"/>
      <c r="S19" s="55"/>
      <c r="T19" s="55"/>
      <c r="U19" s="55"/>
      <c r="V19" s="55"/>
      <c r="W19" s="55" t="n">
        <f aca="false">(O19+O20)*D19/2</f>
        <v>0.3032</v>
      </c>
      <c r="X19" s="55"/>
      <c r="Y19" s="55"/>
      <c r="Z19" s="55"/>
      <c r="AA19" s="55"/>
      <c r="AB19" s="56"/>
      <c r="AC19" s="57"/>
    </row>
    <row r="20" s="49" customFormat="true" ht="15" hidden="false" customHeight="true" outlineLevel="0" collapsed="false">
      <c r="A20" s="13" t="n">
        <v>10</v>
      </c>
      <c r="B20" s="13" t="str">
        <f aca="false">'7.KTHH L7'!B31</f>
        <v>29</v>
      </c>
      <c r="C20" s="51" t="n">
        <f aca="false">'7.KTHH L7'!C31</f>
        <v>575.16</v>
      </c>
      <c r="D20" s="13" t="n">
        <f aca="false">'7.KTHH L7'!T31</f>
        <v>16.95</v>
      </c>
      <c r="E20" s="52"/>
      <c r="F20" s="52"/>
      <c r="G20" s="52"/>
      <c r="H20" s="52"/>
      <c r="I20" s="52"/>
      <c r="J20" s="52"/>
      <c r="K20" s="53"/>
      <c r="L20" s="16"/>
      <c r="M20" s="17"/>
      <c r="N20" s="54"/>
      <c r="O20" s="53" t="n">
        <f aca="false">Chạy!E75</f>
        <v>7.58</v>
      </c>
      <c r="P20" s="53"/>
      <c r="Q20" s="53"/>
      <c r="R20" s="55"/>
      <c r="S20" s="55"/>
      <c r="T20" s="55"/>
      <c r="U20" s="55"/>
      <c r="V20" s="55"/>
      <c r="W20" s="55" t="n">
        <f aca="false">(O20+O21)*D20/2</f>
        <v>128.481</v>
      </c>
      <c r="X20" s="55"/>
      <c r="Y20" s="55"/>
      <c r="Z20" s="55"/>
      <c r="AA20" s="55"/>
      <c r="AB20" s="56"/>
      <c r="AC20" s="57"/>
    </row>
    <row r="21" s="49" customFormat="true" ht="15" hidden="false" customHeight="true" outlineLevel="0" collapsed="false">
      <c r="A21" s="13" t="n">
        <v>11</v>
      </c>
      <c r="B21" s="13" t="str">
        <f aca="false">'7.KTHH L7'!B32</f>
        <v>30</v>
      </c>
      <c r="C21" s="51" t="n">
        <f aca="false">'7.KTHH L7'!C32</f>
        <v>592.11</v>
      </c>
      <c r="D21" s="13" t="n">
        <f aca="false">'7.KTHH L7'!T32</f>
        <v>17</v>
      </c>
      <c r="E21" s="52"/>
      <c r="F21" s="52"/>
      <c r="G21" s="52"/>
      <c r="H21" s="52"/>
      <c r="I21" s="52"/>
      <c r="J21" s="52"/>
      <c r="K21" s="53"/>
      <c r="L21" s="16"/>
      <c r="M21" s="17"/>
      <c r="N21" s="54"/>
      <c r="O21" s="53" t="n">
        <f aca="false">Chạy!E83</f>
        <v>7.58</v>
      </c>
      <c r="P21" s="53"/>
      <c r="Q21" s="53"/>
      <c r="R21" s="55"/>
      <c r="S21" s="55"/>
      <c r="T21" s="55"/>
      <c r="U21" s="55"/>
      <c r="V21" s="55"/>
      <c r="W21" s="55" t="n">
        <f aca="false">(O21+O22)*D21/2</f>
        <v>128.86</v>
      </c>
      <c r="X21" s="55"/>
      <c r="Y21" s="55"/>
      <c r="Z21" s="55"/>
      <c r="AA21" s="55"/>
      <c r="AB21" s="56"/>
      <c r="AC21" s="57"/>
    </row>
    <row r="22" s="49" customFormat="true" ht="15" hidden="false" customHeight="true" outlineLevel="0" collapsed="false">
      <c r="A22" s="13" t="n">
        <v>12</v>
      </c>
      <c r="B22" s="13" t="str">
        <f aca="false">'7.KTHH L7'!B33</f>
        <v>31</v>
      </c>
      <c r="C22" s="51" t="n">
        <f aca="false">'7.KTHH L7'!C33</f>
        <v>609.11</v>
      </c>
      <c r="D22" s="13"/>
      <c r="E22" s="52"/>
      <c r="F22" s="52"/>
      <c r="G22" s="52"/>
      <c r="H22" s="52"/>
      <c r="I22" s="52"/>
      <c r="J22" s="52"/>
      <c r="K22" s="53"/>
      <c r="L22" s="16"/>
      <c r="M22" s="17"/>
      <c r="N22" s="54"/>
      <c r="O22" s="53" t="n">
        <f aca="false">Chạy!E91</f>
        <v>7.58</v>
      </c>
      <c r="P22" s="53"/>
      <c r="Q22" s="53"/>
      <c r="R22" s="55"/>
      <c r="S22" s="55"/>
      <c r="T22" s="55"/>
      <c r="U22" s="55"/>
      <c r="V22" s="55"/>
      <c r="W22" s="55"/>
      <c r="X22" s="55"/>
      <c r="Y22" s="55"/>
      <c r="Z22" s="55"/>
      <c r="AA22" s="55"/>
      <c r="AB22" s="56"/>
      <c r="AC22" s="57"/>
    </row>
    <row r="23" s="49" customFormat="true" ht="15" hidden="true" customHeight="true" outlineLevel="0" collapsed="false">
      <c r="A23" s="13"/>
      <c r="B23" s="13"/>
      <c r="C23" s="51"/>
      <c r="D23" s="13"/>
      <c r="E23" s="52"/>
      <c r="F23" s="52"/>
      <c r="G23" s="52"/>
      <c r="H23" s="52"/>
      <c r="I23" s="52"/>
      <c r="J23" s="52"/>
      <c r="K23" s="53"/>
      <c r="L23" s="16"/>
      <c r="M23" s="17"/>
      <c r="N23" s="54"/>
      <c r="O23" s="53"/>
      <c r="P23" s="53"/>
      <c r="Q23" s="53"/>
      <c r="R23" s="55"/>
      <c r="S23" s="55"/>
      <c r="T23" s="55"/>
      <c r="U23" s="55"/>
      <c r="V23" s="55"/>
      <c r="W23" s="55"/>
      <c r="X23" s="55"/>
      <c r="Y23" s="55"/>
      <c r="Z23" s="55"/>
      <c r="AA23" s="55"/>
      <c r="AB23" s="56"/>
      <c r="AC23" s="57"/>
    </row>
    <row r="24" s="49" customFormat="true" ht="15" hidden="true" customHeight="true" outlineLevel="0" collapsed="false">
      <c r="A24" s="13"/>
      <c r="B24" s="13"/>
      <c r="C24" s="51"/>
      <c r="D24" s="13"/>
      <c r="E24" s="52"/>
      <c r="F24" s="52"/>
      <c r="G24" s="52"/>
      <c r="H24" s="52"/>
      <c r="I24" s="52"/>
      <c r="J24" s="52"/>
      <c r="K24" s="53"/>
      <c r="L24" s="16"/>
      <c r="M24" s="17"/>
      <c r="N24" s="54"/>
      <c r="O24" s="53"/>
      <c r="P24" s="53"/>
      <c r="Q24" s="53"/>
      <c r="R24" s="55"/>
      <c r="S24" s="55"/>
      <c r="T24" s="55"/>
      <c r="U24" s="55"/>
      <c r="V24" s="55"/>
      <c r="W24" s="55"/>
      <c r="X24" s="55"/>
      <c r="Y24" s="55"/>
      <c r="Z24" s="55"/>
      <c r="AA24" s="55"/>
      <c r="AB24" s="56"/>
      <c r="AC24" s="57"/>
    </row>
    <row r="25" s="49" customFormat="true" ht="15" hidden="true" customHeight="true" outlineLevel="0" collapsed="false">
      <c r="A25" s="13"/>
      <c r="B25" s="13"/>
      <c r="C25" s="51"/>
      <c r="D25" s="13"/>
      <c r="E25" s="52"/>
      <c r="F25" s="52"/>
      <c r="G25" s="52"/>
      <c r="H25" s="52"/>
      <c r="I25" s="52"/>
      <c r="J25" s="52"/>
      <c r="K25" s="53"/>
      <c r="L25" s="16"/>
      <c r="M25" s="17"/>
      <c r="N25" s="54"/>
      <c r="O25" s="53"/>
      <c r="P25" s="53"/>
      <c r="Q25" s="53"/>
      <c r="R25" s="55"/>
      <c r="S25" s="55"/>
      <c r="T25" s="55"/>
      <c r="U25" s="55"/>
      <c r="V25" s="55"/>
      <c r="W25" s="55"/>
      <c r="X25" s="55"/>
      <c r="Y25" s="55"/>
      <c r="Z25" s="55"/>
      <c r="AA25" s="55"/>
      <c r="AB25" s="56"/>
      <c r="AC25" s="57"/>
    </row>
    <row r="26" s="49" customFormat="true" ht="15" hidden="true" customHeight="true" outlineLevel="0" collapsed="false">
      <c r="A26" s="13"/>
      <c r="B26" s="13"/>
      <c r="C26" s="51"/>
      <c r="D26" s="13"/>
      <c r="E26" s="52"/>
      <c r="F26" s="52"/>
      <c r="G26" s="52"/>
      <c r="H26" s="52"/>
      <c r="I26" s="52"/>
      <c r="J26" s="52"/>
      <c r="K26" s="53"/>
      <c r="L26" s="16"/>
      <c r="M26" s="17"/>
      <c r="N26" s="54"/>
      <c r="O26" s="53"/>
      <c r="P26" s="53"/>
      <c r="Q26" s="53"/>
      <c r="R26" s="55"/>
      <c r="S26" s="55"/>
      <c r="T26" s="55"/>
      <c r="U26" s="55"/>
      <c r="V26" s="55"/>
      <c r="W26" s="55"/>
      <c r="X26" s="55"/>
      <c r="Y26" s="55"/>
      <c r="Z26" s="55"/>
      <c r="AA26" s="55"/>
      <c r="AB26" s="56"/>
      <c r="AC26" s="57"/>
    </row>
    <row r="27" s="49" customFormat="true" ht="15" hidden="true" customHeight="true" outlineLevel="0" collapsed="false">
      <c r="A27" s="13"/>
      <c r="B27" s="13"/>
      <c r="C27" s="51"/>
      <c r="D27" s="13"/>
      <c r="E27" s="52"/>
      <c r="F27" s="52"/>
      <c r="G27" s="52"/>
      <c r="H27" s="52"/>
      <c r="I27" s="52"/>
      <c r="J27" s="52"/>
      <c r="K27" s="53"/>
      <c r="L27" s="16"/>
      <c r="M27" s="17"/>
      <c r="N27" s="54"/>
      <c r="O27" s="53"/>
      <c r="P27" s="53"/>
      <c r="Q27" s="53"/>
      <c r="R27" s="55"/>
      <c r="S27" s="55"/>
      <c r="T27" s="55"/>
      <c r="U27" s="55"/>
      <c r="V27" s="55"/>
      <c r="W27" s="55"/>
      <c r="X27" s="55"/>
      <c r="Y27" s="55"/>
      <c r="Z27" s="55"/>
      <c r="AA27" s="55"/>
      <c r="AB27" s="56"/>
      <c r="AC27" s="57"/>
    </row>
    <row r="28" s="49" customFormat="true" ht="15" hidden="true" customHeight="true" outlineLevel="0" collapsed="false">
      <c r="A28" s="13"/>
      <c r="B28" s="13"/>
      <c r="C28" s="51"/>
      <c r="D28" s="13"/>
      <c r="E28" s="52"/>
      <c r="F28" s="52"/>
      <c r="G28" s="52"/>
      <c r="H28" s="52"/>
      <c r="I28" s="52"/>
      <c r="J28" s="52"/>
      <c r="K28" s="53"/>
      <c r="L28" s="16"/>
      <c r="M28" s="17"/>
      <c r="N28" s="54"/>
      <c r="O28" s="53"/>
      <c r="P28" s="53"/>
      <c r="Q28" s="53"/>
      <c r="R28" s="55"/>
      <c r="S28" s="55"/>
      <c r="T28" s="55"/>
      <c r="U28" s="55"/>
      <c r="V28" s="55"/>
      <c r="W28" s="55"/>
      <c r="X28" s="55"/>
      <c r="Y28" s="55"/>
      <c r="Z28" s="55"/>
      <c r="AA28" s="55"/>
      <c r="AB28" s="56"/>
      <c r="AC28" s="57"/>
    </row>
    <row r="29" s="49" customFormat="true" ht="15" hidden="true" customHeight="true" outlineLevel="0" collapsed="false">
      <c r="A29" s="13"/>
      <c r="B29" s="13"/>
      <c r="C29" s="51"/>
      <c r="D29" s="13"/>
      <c r="E29" s="52"/>
      <c r="F29" s="52"/>
      <c r="G29" s="52"/>
      <c r="H29" s="52"/>
      <c r="I29" s="52"/>
      <c r="J29" s="52"/>
      <c r="K29" s="53"/>
      <c r="L29" s="16"/>
      <c r="M29" s="17"/>
      <c r="N29" s="54"/>
      <c r="O29" s="53"/>
      <c r="P29" s="53"/>
      <c r="Q29" s="53"/>
      <c r="R29" s="55"/>
      <c r="S29" s="55"/>
      <c r="T29" s="55"/>
      <c r="U29" s="55"/>
      <c r="V29" s="55"/>
      <c r="W29" s="55"/>
      <c r="X29" s="55"/>
      <c r="Y29" s="55"/>
      <c r="Z29" s="55"/>
      <c r="AA29" s="55"/>
      <c r="AB29" s="56"/>
      <c r="AC29" s="57"/>
    </row>
    <row r="30" s="49" customFormat="true" ht="15" hidden="true" customHeight="true" outlineLevel="0" collapsed="false">
      <c r="A30" s="13"/>
      <c r="B30" s="13"/>
      <c r="C30" s="51"/>
      <c r="D30" s="13"/>
      <c r="E30" s="52"/>
      <c r="F30" s="52"/>
      <c r="G30" s="52"/>
      <c r="H30" s="52"/>
      <c r="I30" s="52"/>
      <c r="J30" s="52"/>
      <c r="K30" s="53"/>
      <c r="L30" s="16"/>
      <c r="M30" s="17"/>
      <c r="N30" s="54"/>
      <c r="O30" s="53"/>
      <c r="P30" s="53"/>
      <c r="Q30" s="53"/>
      <c r="R30" s="55"/>
      <c r="S30" s="55"/>
      <c r="T30" s="55"/>
      <c r="U30" s="55"/>
      <c r="V30" s="55"/>
      <c r="W30" s="55"/>
      <c r="X30" s="55"/>
      <c r="Y30" s="55"/>
      <c r="Z30" s="55"/>
      <c r="AA30" s="55"/>
      <c r="AB30" s="56"/>
      <c r="AC30" s="57"/>
    </row>
    <row r="31" s="49" customFormat="true" ht="15" hidden="true" customHeight="true" outlineLevel="0" collapsed="false">
      <c r="A31" s="13"/>
      <c r="B31" s="13"/>
      <c r="C31" s="51"/>
      <c r="D31" s="13"/>
      <c r="E31" s="52"/>
      <c r="F31" s="52"/>
      <c r="G31" s="52"/>
      <c r="H31" s="52"/>
      <c r="I31" s="52"/>
      <c r="J31" s="52"/>
      <c r="K31" s="53"/>
      <c r="L31" s="16"/>
      <c r="M31" s="17"/>
      <c r="N31" s="54"/>
      <c r="O31" s="53"/>
      <c r="P31" s="53"/>
      <c r="Q31" s="53"/>
      <c r="R31" s="55"/>
      <c r="S31" s="55"/>
      <c r="T31" s="55"/>
      <c r="U31" s="55"/>
      <c r="V31" s="55"/>
      <c r="W31" s="55"/>
      <c r="X31" s="55"/>
      <c r="Y31" s="55"/>
      <c r="Z31" s="55"/>
      <c r="AA31" s="55"/>
      <c r="AB31" s="56"/>
      <c r="AC31" s="57"/>
    </row>
    <row r="32" s="49" customFormat="true" ht="15" hidden="true" customHeight="true" outlineLevel="0" collapsed="false">
      <c r="A32" s="13"/>
      <c r="B32" s="13"/>
      <c r="C32" s="51"/>
      <c r="D32" s="13"/>
      <c r="E32" s="52"/>
      <c r="F32" s="52"/>
      <c r="G32" s="52"/>
      <c r="H32" s="52"/>
      <c r="I32" s="52"/>
      <c r="J32" s="52"/>
      <c r="K32" s="53"/>
      <c r="L32" s="16"/>
      <c r="M32" s="17"/>
      <c r="N32" s="54"/>
      <c r="O32" s="53"/>
      <c r="P32" s="53"/>
      <c r="Q32" s="53"/>
      <c r="R32" s="55"/>
      <c r="S32" s="55"/>
      <c r="T32" s="55"/>
      <c r="U32" s="55"/>
      <c r="V32" s="55"/>
      <c r="W32" s="55"/>
      <c r="X32" s="55"/>
      <c r="Y32" s="55"/>
      <c r="Z32" s="55"/>
      <c r="AA32" s="55"/>
      <c r="AB32" s="56"/>
      <c r="AC32" s="57"/>
    </row>
    <row r="33" s="49" customFormat="true" ht="15" hidden="true" customHeight="true" outlineLevel="0" collapsed="false">
      <c r="A33" s="13"/>
      <c r="B33" s="13"/>
      <c r="C33" s="51"/>
      <c r="D33" s="13"/>
      <c r="E33" s="52"/>
      <c r="F33" s="52"/>
      <c r="G33" s="52"/>
      <c r="H33" s="52"/>
      <c r="I33" s="52"/>
      <c r="J33" s="52"/>
      <c r="K33" s="53"/>
      <c r="L33" s="16"/>
      <c r="M33" s="17"/>
      <c r="N33" s="54"/>
      <c r="O33" s="53"/>
      <c r="P33" s="53"/>
      <c r="Q33" s="53"/>
      <c r="R33" s="55"/>
      <c r="S33" s="55"/>
      <c r="T33" s="55"/>
      <c r="U33" s="55"/>
      <c r="V33" s="55"/>
      <c r="W33" s="55"/>
      <c r="X33" s="55"/>
      <c r="Y33" s="55"/>
      <c r="Z33" s="55"/>
      <c r="AA33" s="55"/>
      <c r="AB33" s="56"/>
      <c r="AC33" s="57"/>
    </row>
    <row r="34" s="49" customFormat="true" ht="15" hidden="true" customHeight="true" outlineLevel="0" collapsed="false">
      <c r="A34" s="13"/>
      <c r="B34" s="13"/>
      <c r="C34" s="51"/>
      <c r="D34" s="13"/>
      <c r="E34" s="52"/>
      <c r="F34" s="52"/>
      <c r="G34" s="52"/>
      <c r="H34" s="52"/>
      <c r="I34" s="52"/>
      <c r="J34" s="52"/>
      <c r="K34" s="53"/>
      <c r="L34" s="16"/>
      <c r="M34" s="17"/>
      <c r="N34" s="54"/>
      <c r="O34" s="53"/>
      <c r="P34" s="53"/>
      <c r="Q34" s="53"/>
      <c r="R34" s="55"/>
      <c r="S34" s="55"/>
      <c r="T34" s="55"/>
      <c r="U34" s="55"/>
      <c r="V34" s="55"/>
      <c r="W34" s="55"/>
      <c r="X34" s="55"/>
      <c r="Y34" s="55"/>
      <c r="Z34" s="55"/>
      <c r="AA34" s="55"/>
      <c r="AB34" s="56"/>
      <c r="AC34" s="57"/>
    </row>
    <row r="35" s="49" customFormat="true" ht="15" hidden="true" customHeight="true" outlineLevel="0" collapsed="false">
      <c r="A35" s="13"/>
      <c r="B35" s="13"/>
      <c r="C35" s="51"/>
      <c r="D35" s="13"/>
      <c r="E35" s="52"/>
      <c r="F35" s="52"/>
      <c r="G35" s="52"/>
      <c r="H35" s="52"/>
      <c r="I35" s="52"/>
      <c r="J35" s="52"/>
      <c r="K35" s="53"/>
      <c r="L35" s="16"/>
      <c r="M35" s="17"/>
      <c r="N35" s="54"/>
      <c r="O35" s="53"/>
      <c r="P35" s="53"/>
      <c r="Q35" s="53"/>
      <c r="R35" s="55"/>
      <c r="S35" s="55"/>
      <c r="T35" s="55"/>
      <c r="U35" s="55"/>
      <c r="V35" s="55"/>
      <c r="W35" s="55"/>
      <c r="X35" s="55"/>
      <c r="Y35" s="55"/>
      <c r="Z35" s="55"/>
      <c r="AA35" s="55"/>
      <c r="AB35" s="56"/>
      <c r="AC35" s="57"/>
    </row>
    <row r="36" s="49" customFormat="true" ht="15" hidden="true" customHeight="true" outlineLevel="0" collapsed="false">
      <c r="A36" s="13"/>
      <c r="B36" s="13"/>
      <c r="C36" s="51"/>
      <c r="D36" s="13"/>
      <c r="E36" s="52"/>
      <c r="F36" s="52"/>
      <c r="G36" s="52"/>
      <c r="H36" s="52"/>
      <c r="I36" s="52"/>
      <c r="J36" s="52"/>
      <c r="K36" s="53"/>
      <c r="L36" s="16"/>
      <c r="M36" s="17"/>
      <c r="N36" s="54"/>
      <c r="O36" s="53"/>
      <c r="P36" s="53"/>
      <c r="Q36" s="53"/>
      <c r="R36" s="55"/>
      <c r="S36" s="55"/>
      <c r="T36" s="55"/>
      <c r="U36" s="55"/>
      <c r="V36" s="55"/>
      <c r="W36" s="55"/>
      <c r="X36" s="55"/>
      <c r="Y36" s="55"/>
      <c r="Z36" s="55"/>
      <c r="AA36" s="55"/>
      <c r="AB36" s="56"/>
      <c r="AC36" s="57"/>
    </row>
    <row r="37" s="49" customFormat="true" ht="15" hidden="true" customHeight="true" outlineLevel="0" collapsed="false">
      <c r="A37" s="13"/>
      <c r="B37" s="13"/>
      <c r="C37" s="51"/>
      <c r="D37" s="13"/>
      <c r="E37" s="52"/>
      <c r="F37" s="52"/>
      <c r="G37" s="52"/>
      <c r="H37" s="52"/>
      <c r="I37" s="52"/>
      <c r="J37" s="52"/>
      <c r="K37" s="53"/>
      <c r="L37" s="16"/>
      <c r="M37" s="17"/>
      <c r="N37" s="54"/>
      <c r="O37" s="53"/>
      <c r="P37" s="53"/>
      <c r="Q37" s="53"/>
      <c r="R37" s="55"/>
      <c r="S37" s="55"/>
      <c r="T37" s="55"/>
      <c r="U37" s="55"/>
      <c r="V37" s="55"/>
      <c r="W37" s="55"/>
      <c r="X37" s="55"/>
      <c r="Y37" s="55"/>
      <c r="Z37" s="55"/>
      <c r="AA37" s="55"/>
      <c r="AB37" s="56"/>
      <c r="AC37" s="57"/>
    </row>
    <row r="38" s="49" customFormat="true" ht="15" hidden="true" customHeight="true" outlineLevel="0" collapsed="false">
      <c r="A38" s="13"/>
      <c r="B38" s="13"/>
      <c r="C38" s="51"/>
      <c r="D38" s="13"/>
      <c r="E38" s="52"/>
      <c r="F38" s="52"/>
      <c r="G38" s="52"/>
      <c r="H38" s="52"/>
      <c r="I38" s="52"/>
      <c r="J38" s="52"/>
      <c r="K38" s="53"/>
      <c r="L38" s="16"/>
      <c r="M38" s="17"/>
      <c r="N38" s="54"/>
      <c r="O38" s="53"/>
      <c r="P38" s="53"/>
      <c r="Q38" s="53"/>
      <c r="R38" s="55"/>
      <c r="S38" s="55"/>
      <c r="T38" s="55"/>
      <c r="U38" s="55"/>
      <c r="V38" s="55"/>
      <c r="W38" s="55"/>
      <c r="X38" s="55"/>
      <c r="Y38" s="55"/>
      <c r="Z38" s="55"/>
      <c r="AA38" s="55"/>
      <c r="AB38" s="56"/>
      <c r="AC38" s="57"/>
    </row>
    <row r="39" s="49" customFormat="true" ht="15" hidden="true" customHeight="true" outlineLevel="0" collapsed="false">
      <c r="A39" s="13"/>
      <c r="B39" s="13"/>
      <c r="C39" s="51"/>
      <c r="D39" s="13"/>
      <c r="E39" s="52"/>
      <c r="F39" s="52"/>
      <c r="G39" s="52"/>
      <c r="H39" s="52"/>
      <c r="I39" s="52"/>
      <c r="J39" s="52"/>
      <c r="K39" s="53"/>
      <c r="L39" s="16"/>
      <c r="M39" s="17"/>
      <c r="N39" s="54"/>
      <c r="O39" s="53"/>
      <c r="P39" s="53"/>
      <c r="Q39" s="53"/>
      <c r="R39" s="55"/>
      <c r="S39" s="55"/>
      <c r="T39" s="55"/>
      <c r="U39" s="55"/>
      <c r="V39" s="55"/>
      <c r="W39" s="55"/>
      <c r="X39" s="55"/>
      <c r="Y39" s="55"/>
      <c r="Z39" s="55"/>
      <c r="AA39" s="55"/>
      <c r="AB39" s="56"/>
      <c r="AC39" s="57"/>
    </row>
    <row r="40" s="49" customFormat="true" ht="15" hidden="true" customHeight="true" outlineLevel="0" collapsed="false">
      <c r="A40" s="13"/>
      <c r="B40" s="13"/>
      <c r="C40" s="51"/>
      <c r="D40" s="13"/>
      <c r="E40" s="52"/>
      <c r="F40" s="52"/>
      <c r="G40" s="52"/>
      <c r="H40" s="52"/>
      <c r="I40" s="52"/>
      <c r="J40" s="52"/>
      <c r="K40" s="53"/>
      <c r="L40" s="16"/>
      <c r="M40" s="17"/>
      <c r="N40" s="54"/>
      <c r="O40" s="53"/>
      <c r="P40" s="53"/>
      <c r="Q40" s="53"/>
      <c r="R40" s="55"/>
      <c r="S40" s="55"/>
      <c r="T40" s="55"/>
      <c r="U40" s="55"/>
      <c r="V40" s="55"/>
      <c r="W40" s="55"/>
      <c r="X40" s="55"/>
      <c r="Y40" s="55"/>
      <c r="Z40" s="55"/>
      <c r="AA40" s="55"/>
      <c r="AB40" s="56"/>
      <c r="AC40" s="57"/>
    </row>
    <row r="41" s="49" customFormat="true" ht="15" hidden="true" customHeight="true" outlineLevel="0" collapsed="false">
      <c r="A41" s="13"/>
      <c r="B41" s="13"/>
      <c r="C41" s="51"/>
      <c r="D41" s="13"/>
      <c r="E41" s="52"/>
      <c r="F41" s="52"/>
      <c r="G41" s="52"/>
      <c r="H41" s="52"/>
      <c r="I41" s="52"/>
      <c r="J41" s="52"/>
      <c r="K41" s="53"/>
      <c r="L41" s="16"/>
      <c r="M41" s="17"/>
      <c r="N41" s="54"/>
      <c r="O41" s="53"/>
      <c r="P41" s="53"/>
      <c r="Q41" s="53"/>
      <c r="R41" s="55"/>
      <c r="S41" s="55"/>
      <c r="T41" s="55"/>
      <c r="U41" s="55"/>
      <c r="V41" s="55"/>
      <c r="W41" s="55"/>
      <c r="X41" s="55"/>
      <c r="Y41" s="55"/>
      <c r="Z41" s="55"/>
      <c r="AA41" s="55"/>
      <c r="AB41" s="56"/>
      <c r="AC41" s="57"/>
    </row>
    <row r="42" s="49" customFormat="true" ht="15" hidden="true" customHeight="true" outlineLevel="0" collapsed="false">
      <c r="A42" s="13"/>
      <c r="B42" s="13"/>
      <c r="C42" s="51"/>
      <c r="D42" s="13"/>
      <c r="E42" s="52"/>
      <c r="F42" s="52"/>
      <c r="G42" s="52"/>
      <c r="H42" s="52"/>
      <c r="I42" s="52"/>
      <c r="J42" s="52"/>
      <c r="K42" s="53"/>
      <c r="L42" s="16"/>
      <c r="M42" s="17"/>
      <c r="N42" s="54"/>
      <c r="O42" s="53"/>
      <c r="P42" s="53"/>
      <c r="Q42" s="53"/>
      <c r="R42" s="55"/>
      <c r="S42" s="55"/>
      <c r="T42" s="55"/>
      <c r="U42" s="55"/>
      <c r="V42" s="55"/>
      <c r="W42" s="55"/>
      <c r="X42" s="55"/>
      <c r="Y42" s="55"/>
      <c r="Z42" s="55"/>
      <c r="AA42" s="55"/>
      <c r="AB42" s="56"/>
      <c r="AC42" s="57"/>
    </row>
    <row r="43" s="49" customFormat="true" ht="15" hidden="true" customHeight="true" outlineLevel="0" collapsed="false">
      <c r="A43" s="13"/>
      <c r="B43" s="13"/>
      <c r="C43" s="51"/>
      <c r="D43" s="13"/>
      <c r="E43" s="52"/>
      <c r="F43" s="52"/>
      <c r="G43" s="52"/>
      <c r="H43" s="52"/>
      <c r="I43" s="52"/>
      <c r="J43" s="52"/>
      <c r="K43" s="53"/>
      <c r="L43" s="16"/>
      <c r="M43" s="17"/>
      <c r="N43" s="54"/>
      <c r="O43" s="53"/>
      <c r="P43" s="53"/>
      <c r="Q43" s="53"/>
      <c r="R43" s="55"/>
      <c r="S43" s="55"/>
      <c r="T43" s="55"/>
      <c r="U43" s="55"/>
      <c r="V43" s="55"/>
      <c r="W43" s="55"/>
      <c r="X43" s="55"/>
      <c r="Y43" s="55"/>
      <c r="Z43" s="55"/>
      <c r="AA43" s="55"/>
      <c r="AB43" s="56"/>
      <c r="AC43" s="57"/>
    </row>
    <row r="44" s="49" customFormat="true" ht="15" hidden="true" customHeight="true" outlineLevel="0" collapsed="false">
      <c r="A44" s="13"/>
      <c r="B44" s="13"/>
      <c r="C44" s="51"/>
      <c r="D44" s="13"/>
      <c r="E44" s="52"/>
      <c r="F44" s="52"/>
      <c r="G44" s="52"/>
      <c r="H44" s="52"/>
      <c r="I44" s="52"/>
      <c r="J44" s="52"/>
      <c r="K44" s="53"/>
      <c r="L44" s="16"/>
      <c r="M44" s="17"/>
      <c r="N44" s="54"/>
      <c r="O44" s="53"/>
      <c r="P44" s="53"/>
      <c r="Q44" s="53"/>
      <c r="R44" s="55"/>
      <c r="S44" s="55"/>
      <c r="T44" s="55"/>
      <c r="U44" s="55"/>
      <c r="V44" s="55"/>
      <c r="W44" s="55"/>
      <c r="X44" s="55"/>
      <c r="Y44" s="55"/>
      <c r="Z44" s="55"/>
      <c r="AA44" s="55"/>
      <c r="AB44" s="56"/>
      <c r="AC44" s="57"/>
    </row>
    <row r="45" s="49" customFormat="true" ht="15" hidden="true" customHeight="true" outlineLevel="0" collapsed="false">
      <c r="A45" s="13"/>
      <c r="B45" s="13"/>
      <c r="C45" s="51"/>
      <c r="D45" s="13"/>
      <c r="E45" s="52"/>
      <c r="F45" s="52"/>
      <c r="G45" s="52"/>
      <c r="H45" s="52"/>
      <c r="I45" s="52"/>
      <c r="J45" s="52"/>
      <c r="K45" s="53"/>
      <c r="L45" s="16"/>
      <c r="M45" s="17"/>
      <c r="N45" s="54"/>
      <c r="O45" s="53"/>
      <c r="P45" s="53"/>
      <c r="Q45" s="53"/>
      <c r="R45" s="55"/>
      <c r="S45" s="55"/>
      <c r="T45" s="55"/>
      <c r="U45" s="55"/>
      <c r="V45" s="55"/>
      <c r="W45" s="55"/>
      <c r="X45" s="55"/>
      <c r="Y45" s="55"/>
      <c r="Z45" s="55"/>
      <c r="AA45" s="55"/>
      <c r="AB45" s="56"/>
      <c r="AC45" s="57"/>
    </row>
    <row r="46" s="49" customFormat="true" ht="15" hidden="true" customHeight="true" outlineLevel="0" collapsed="false">
      <c r="A46" s="13"/>
      <c r="B46" s="13"/>
      <c r="C46" s="51"/>
      <c r="D46" s="13"/>
      <c r="E46" s="52"/>
      <c r="F46" s="52"/>
      <c r="G46" s="52"/>
      <c r="H46" s="52"/>
      <c r="I46" s="52"/>
      <c r="J46" s="52"/>
      <c r="K46" s="53"/>
      <c r="L46" s="16"/>
      <c r="M46" s="17"/>
      <c r="N46" s="54"/>
      <c r="O46" s="53"/>
      <c r="P46" s="53"/>
      <c r="Q46" s="53"/>
      <c r="R46" s="55"/>
      <c r="S46" s="55"/>
      <c r="T46" s="55"/>
      <c r="U46" s="55"/>
      <c r="V46" s="55"/>
      <c r="W46" s="55"/>
      <c r="X46" s="55"/>
      <c r="Y46" s="55"/>
      <c r="Z46" s="55"/>
      <c r="AA46" s="55"/>
      <c r="AB46" s="56"/>
      <c r="AC46" s="57"/>
    </row>
    <row r="47" s="49" customFormat="true" ht="15" hidden="true" customHeight="true" outlineLevel="0" collapsed="false">
      <c r="A47" s="13"/>
      <c r="B47" s="13"/>
      <c r="C47" s="51"/>
      <c r="D47" s="13"/>
      <c r="E47" s="52"/>
      <c r="F47" s="52"/>
      <c r="G47" s="52"/>
      <c r="H47" s="52"/>
      <c r="I47" s="52"/>
      <c r="J47" s="52"/>
      <c r="K47" s="53"/>
      <c r="L47" s="16"/>
      <c r="M47" s="17"/>
      <c r="N47" s="54"/>
      <c r="O47" s="53"/>
      <c r="P47" s="53"/>
      <c r="Q47" s="53"/>
      <c r="R47" s="55"/>
      <c r="S47" s="55"/>
      <c r="T47" s="55"/>
      <c r="U47" s="55"/>
      <c r="V47" s="55"/>
      <c r="W47" s="55"/>
      <c r="X47" s="55"/>
      <c r="Y47" s="55"/>
      <c r="Z47" s="55"/>
      <c r="AA47" s="55"/>
      <c r="AB47" s="56"/>
      <c r="AC47" s="57"/>
    </row>
    <row r="48" s="49" customFormat="true" ht="15" hidden="true" customHeight="true" outlineLevel="0" collapsed="false">
      <c r="A48" s="13"/>
      <c r="B48" s="13"/>
      <c r="C48" s="51"/>
      <c r="D48" s="13"/>
      <c r="E48" s="52"/>
      <c r="F48" s="52"/>
      <c r="G48" s="52"/>
      <c r="H48" s="52"/>
      <c r="I48" s="52"/>
      <c r="J48" s="52"/>
      <c r="K48" s="53"/>
      <c r="L48" s="16"/>
      <c r="M48" s="17"/>
      <c r="N48" s="54"/>
      <c r="O48" s="53"/>
      <c r="P48" s="53"/>
      <c r="Q48" s="53"/>
      <c r="R48" s="55"/>
      <c r="S48" s="55"/>
      <c r="T48" s="55"/>
      <c r="U48" s="55"/>
      <c r="V48" s="55"/>
      <c r="W48" s="55"/>
      <c r="X48" s="55"/>
      <c r="Y48" s="55"/>
      <c r="Z48" s="55"/>
      <c r="AA48" s="55"/>
      <c r="AB48" s="56"/>
      <c r="AC48" s="57"/>
    </row>
    <row r="49" s="49" customFormat="true" ht="15" hidden="true" customHeight="true" outlineLevel="0" collapsed="false">
      <c r="A49" s="13"/>
      <c r="B49" s="13"/>
      <c r="C49" s="51"/>
      <c r="D49" s="13"/>
      <c r="E49" s="52"/>
      <c r="F49" s="52"/>
      <c r="G49" s="52"/>
      <c r="H49" s="52"/>
      <c r="I49" s="52"/>
      <c r="J49" s="52"/>
      <c r="K49" s="53"/>
      <c r="L49" s="16"/>
      <c r="M49" s="17"/>
      <c r="N49" s="54"/>
      <c r="O49" s="53"/>
      <c r="P49" s="53"/>
      <c r="Q49" s="53"/>
      <c r="R49" s="55"/>
      <c r="S49" s="55"/>
      <c r="T49" s="55"/>
      <c r="U49" s="55"/>
      <c r="V49" s="55"/>
      <c r="W49" s="55"/>
      <c r="X49" s="55"/>
      <c r="Y49" s="55"/>
      <c r="Z49" s="55"/>
      <c r="AA49" s="55"/>
      <c r="AB49" s="56"/>
      <c r="AC49" s="57"/>
    </row>
    <row r="50" s="49" customFormat="true" ht="15" hidden="true" customHeight="true" outlineLevel="0" collapsed="false">
      <c r="A50" s="13"/>
      <c r="B50" s="13"/>
      <c r="C50" s="51"/>
      <c r="D50" s="13"/>
      <c r="E50" s="52"/>
      <c r="F50" s="52"/>
      <c r="G50" s="52"/>
      <c r="H50" s="52"/>
      <c r="I50" s="52"/>
      <c r="J50" s="52"/>
      <c r="K50" s="53"/>
      <c r="L50" s="16"/>
      <c r="M50" s="17"/>
      <c r="N50" s="54"/>
      <c r="O50" s="53"/>
      <c r="P50" s="53"/>
      <c r="Q50" s="53"/>
      <c r="R50" s="55"/>
      <c r="S50" s="55"/>
      <c r="T50" s="55"/>
      <c r="U50" s="55"/>
      <c r="V50" s="55"/>
      <c r="W50" s="55"/>
      <c r="X50" s="55"/>
      <c r="Y50" s="55"/>
      <c r="Z50" s="55"/>
      <c r="AA50" s="55"/>
      <c r="AB50" s="56"/>
      <c r="AC50" s="57"/>
    </row>
    <row r="51" s="32" customFormat="true" ht="16.5" hidden="false" customHeight="true" outlineLevel="0" collapsed="false">
      <c r="A51" s="61" t="s">
        <v>61</v>
      </c>
      <c r="B51" s="61"/>
      <c r="C51" s="61"/>
      <c r="D51" s="61"/>
      <c r="E51" s="62"/>
      <c r="F51" s="62"/>
      <c r="G51" s="62"/>
      <c r="H51" s="62"/>
      <c r="I51" s="62"/>
      <c r="J51" s="62"/>
      <c r="K51" s="62"/>
      <c r="L51" s="62"/>
      <c r="M51" s="63"/>
      <c r="N51" s="63"/>
      <c r="O51" s="63"/>
      <c r="P51" s="63"/>
      <c r="Q51" s="63"/>
      <c r="R51" s="64" t="n">
        <f aca="false">SUM(R11:R50)</f>
        <v>0</v>
      </c>
      <c r="S51" s="64" t="n">
        <f aca="false">SUM(S11:S50)</f>
        <v>0</v>
      </c>
      <c r="T51" s="64"/>
      <c r="U51" s="65" t="n">
        <f aca="false">SUM(U11:U50)</f>
        <v>0</v>
      </c>
      <c r="V51" s="65" t="n">
        <f aca="false">SUM(V11:V50)</f>
        <v>0</v>
      </c>
      <c r="W51" s="66" t="n">
        <f aca="false">SUM(W11:W22)</f>
        <v>896.0489</v>
      </c>
      <c r="X51" s="65" t="n">
        <f aca="false">SUM(X11:X50)</f>
        <v>0</v>
      </c>
      <c r="Y51" s="65" t="n">
        <f aca="false">SUM(Y11:Y50)</f>
        <v>0</v>
      </c>
      <c r="Z51" s="65" t="n">
        <f aca="false">SUM(Z11:Z50)</f>
        <v>0</v>
      </c>
      <c r="AA51" s="65" t="n">
        <f aca="false">SUM(AA11:AA50)</f>
        <v>0</v>
      </c>
      <c r="AB51" s="65"/>
      <c r="AE51" s="93"/>
    </row>
    <row r="52" s="72" customFormat="true" ht="15" hidden="false" customHeight="true" outlineLevel="0" collapsed="false">
      <c r="A52" s="68"/>
      <c r="B52" s="68"/>
      <c r="C52" s="68"/>
      <c r="D52" s="68"/>
      <c r="E52" s="69"/>
      <c r="F52" s="69"/>
      <c r="G52" s="69"/>
      <c r="H52" s="69"/>
      <c r="I52" s="69"/>
      <c r="J52" s="69"/>
      <c r="K52" s="69"/>
      <c r="L52" s="69"/>
      <c r="M52" s="69"/>
      <c r="N52" s="69"/>
      <c r="O52" s="69"/>
      <c r="P52" s="69"/>
      <c r="Q52" s="69"/>
      <c r="R52" s="70"/>
      <c r="S52" s="70"/>
      <c r="T52" s="70"/>
      <c r="U52" s="71"/>
      <c r="V52" s="71"/>
      <c r="W52" s="71"/>
      <c r="X52" s="71"/>
      <c r="Y52" s="71"/>
      <c r="Z52" s="71"/>
      <c r="AA52" s="71"/>
      <c r="AB52" s="71"/>
    </row>
    <row r="53" s="72" customFormat="true" ht="15" hidden="false" customHeight="true" outlineLevel="0" collapsed="false">
      <c r="A53" s="19" t="s">
        <v>50</v>
      </c>
      <c r="B53" s="19"/>
      <c r="C53" s="19"/>
      <c r="D53" s="77" t="s">
        <v>62</v>
      </c>
      <c r="E53" s="19" t="s">
        <v>51</v>
      </c>
      <c r="F53" s="19"/>
      <c r="G53" s="19"/>
      <c r="H53" s="19"/>
      <c r="I53" s="19"/>
      <c r="J53" s="19"/>
      <c r="K53" s="19"/>
      <c r="L53" s="19"/>
      <c r="M53" s="19"/>
      <c r="N53" s="19"/>
      <c r="O53" s="19"/>
      <c r="P53" s="19"/>
      <c r="Q53" s="19"/>
      <c r="R53" s="19"/>
      <c r="S53" s="19"/>
      <c r="T53" s="19"/>
      <c r="U53" s="19"/>
      <c r="V53" s="19"/>
      <c r="W53" s="19"/>
      <c r="X53" s="19"/>
      <c r="Y53" s="19"/>
      <c r="Z53" s="19"/>
      <c r="AA53" s="19"/>
      <c r="AB53" s="19"/>
    </row>
    <row r="54" s="72" customFormat="true" ht="15" hidden="false" customHeight="true" outlineLevel="0" collapsed="false">
      <c r="A54" s="78"/>
      <c r="B54" s="78"/>
      <c r="C54" s="78"/>
      <c r="D54" s="79"/>
      <c r="E54" s="79"/>
      <c r="F54" s="79"/>
      <c r="G54" s="79"/>
      <c r="H54" s="79"/>
      <c r="I54" s="79"/>
      <c r="J54" s="79"/>
      <c r="K54" s="79"/>
      <c r="L54" s="79"/>
      <c r="M54" s="79"/>
      <c r="N54" s="79"/>
      <c r="O54" s="79"/>
      <c r="P54" s="79"/>
      <c r="Q54" s="79"/>
      <c r="R54" s="79"/>
      <c r="S54" s="79"/>
      <c r="T54" s="79"/>
      <c r="U54" s="79"/>
      <c r="V54" s="79"/>
      <c r="W54" s="79"/>
      <c r="X54" s="69"/>
      <c r="Y54" s="69"/>
      <c r="Z54" s="69"/>
      <c r="AA54" s="69"/>
      <c r="AB54" s="69"/>
    </row>
    <row r="55" s="72" customFormat="true" ht="15.75" hidden="false" customHeight="true" outlineLevel="0" collapsed="false">
      <c r="A55" s="78"/>
      <c r="B55" s="78"/>
      <c r="C55" s="81"/>
      <c r="D55" s="81"/>
      <c r="E55" s="79"/>
      <c r="F55" s="79"/>
      <c r="G55" s="79"/>
      <c r="H55" s="79"/>
      <c r="I55" s="79"/>
      <c r="J55" s="79"/>
      <c r="K55" s="79"/>
      <c r="L55" s="79"/>
      <c r="M55" s="79"/>
      <c r="N55" s="79"/>
      <c r="O55" s="79"/>
      <c r="P55" s="79"/>
      <c r="Q55" s="79"/>
      <c r="R55" s="79"/>
      <c r="S55" s="79"/>
      <c r="T55" s="79"/>
      <c r="U55" s="79"/>
      <c r="V55" s="79"/>
      <c r="W55" s="79"/>
      <c r="X55" s="69"/>
      <c r="Y55" s="69"/>
      <c r="Z55" s="69"/>
      <c r="AA55" s="69"/>
      <c r="AB55" s="69"/>
      <c r="AF55" s="75"/>
    </row>
    <row r="56" s="72" customFormat="true" ht="15" hidden="false" customHeight="true" outlineLevel="0" collapsed="false">
      <c r="A56" s="78"/>
      <c r="B56" s="78"/>
      <c r="C56" s="78"/>
      <c r="D56" s="79"/>
      <c r="E56" s="79"/>
      <c r="F56" s="79"/>
      <c r="G56" s="79"/>
      <c r="H56" s="79"/>
      <c r="I56" s="79"/>
      <c r="J56" s="79"/>
      <c r="K56" s="79"/>
      <c r="L56" s="79"/>
      <c r="M56" s="79"/>
      <c r="N56" s="79"/>
      <c r="O56" s="79"/>
      <c r="P56" s="79"/>
      <c r="Q56" s="79"/>
      <c r="R56" s="79"/>
      <c r="S56" s="79"/>
      <c r="T56" s="79"/>
      <c r="U56" s="79"/>
      <c r="V56" s="79"/>
      <c r="W56" s="79"/>
      <c r="X56" s="69"/>
      <c r="Y56" s="69"/>
      <c r="Z56" s="69"/>
      <c r="AA56" s="69"/>
      <c r="AB56" s="69"/>
    </row>
    <row r="57" s="72" customFormat="true" ht="15" hidden="false" customHeight="true" outlineLevel="0" collapsed="false">
      <c r="A57" s="78"/>
      <c r="B57" s="78"/>
      <c r="C57" s="78"/>
      <c r="D57" s="79"/>
      <c r="E57" s="79"/>
      <c r="F57" s="79"/>
      <c r="G57" s="79"/>
      <c r="H57" s="79"/>
      <c r="I57" s="79"/>
      <c r="J57" s="79"/>
      <c r="K57" s="79"/>
      <c r="L57" s="79"/>
      <c r="M57" s="79"/>
      <c r="N57" s="79"/>
      <c r="O57" s="79"/>
      <c r="P57" s="79"/>
      <c r="Q57" s="79"/>
      <c r="R57" s="79"/>
      <c r="S57" s="79"/>
      <c r="T57" s="79"/>
      <c r="U57" s="79"/>
      <c r="V57" s="79"/>
      <c r="W57" s="79"/>
      <c r="X57" s="69"/>
      <c r="Y57" s="69"/>
      <c r="Z57" s="69"/>
      <c r="AA57" s="69"/>
      <c r="AB57" s="69"/>
    </row>
    <row r="58" s="72" customFormat="true" ht="15" hidden="false" customHeight="true" outlineLevel="0" collapsed="false">
      <c r="A58" s="78"/>
      <c r="B58" s="78"/>
      <c r="C58" s="78"/>
      <c r="D58" s="79"/>
      <c r="E58" s="79"/>
      <c r="F58" s="79"/>
      <c r="G58" s="79"/>
      <c r="H58" s="79"/>
      <c r="I58" s="79"/>
      <c r="J58" s="79"/>
      <c r="K58" s="79"/>
      <c r="L58" s="79"/>
      <c r="M58" s="79"/>
      <c r="N58" s="79"/>
      <c r="O58" s="79"/>
      <c r="P58" s="79"/>
      <c r="Q58" s="79"/>
      <c r="R58" s="79"/>
      <c r="S58" s="79"/>
      <c r="T58" s="79"/>
      <c r="U58" s="79"/>
      <c r="V58" s="79"/>
      <c r="W58" s="79"/>
      <c r="X58" s="69"/>
      <c r="Y58" s="69"/>
      <c r="Z58" s="69"/>
      <c r="AA58" s="69"/>
      <c r="AB58" s="69"/>
    </row>
    <row r="59" s="72" customFormat="true" ht="15" hidden="false" customHeight="true" outlineLevel="0" collapsed="false">
      <c r="A59" s="19" t="s">
        <v>52</v>
      </c>
      <c r="B59" s="19"/>
      <c r="C59" s="19"/>
      <c r="D59" s="20"/>
      <c r="E59" s="20"/>
      <c r="F59" s="20"/>
      <c r="G59" s="20"/>
      <c r="H59" s="20"/>
      <c r="I59" s="20"/>
      <c r="J59" s="20"/>
      <c r="K59" s="20"/>
      <c r="L59" s="20"/>
      <c r="M59" s="19" t="s">
        <v>53</v>
      </c>
      <c r="N59" s="19"/>
      <c r="O59" s="19"/>
      <c r="P59" s="19"/>
      <c r="Q59" s="19"/>
      <c r="R59" s="19"/>
      <c r="S59" s="19"/>
      <c r="T59" s="19"/>
      <c r="U59" s="19"/>
      <c r="V59" s="19"/>
      <c r="W59" s="19"/>
      <c r="X59" s="19"/>
      <c r="Y59" s="19"/>
      <c r="Z59" s="19"/>
      <c r="AA59" s="19"/>
      <c r="AB59" s="19"/>
    </row>
    <row r="60" customFormat="false" ht="15" hidden="false" customHeight="true" outlineLevel="0" collapsed="false">
      <c r="A60" s="84"/>
      <c r="B60" s="84"/>
      <c r="C60" s="84"/>
      <c r="D60" s="84"/>
      <c r="E60" s="84"/>
      <c r="F60" s="84"/>
      <c r="G60" s="84"/>
      <c r="H60" s="84"/>
      <c r="I60" s="84"/>
      <c r="J60" s="84"/>
      <c r="K60" s="84"/>
      <c r="L60" s="84"/>
      <c r="M60" s="84"/>
      <c r="N60" s="84"/>
      <c r="O60" s="84"/>
      <c r="P60" s="84"/>
      <c r="Q60" s="84"/>
      <c r="R60" s="84"/>
      <c r="S60" s="84"/>
      <c r="T60" s="84"/>
      <c r="U60" s="84"/>
      <c r="V60" s="84"/>
      <c r="W60" s="84"/>
      <c r="X60" s="84"/>
      <c r="Y60" s="84"/>
      <c r="Z60" s="84"/>
      <c r="AA60" s="84"/>
      <c r="AB60" s="84"/>
      <c r="AC60" s="85"/>
    </row>
    <row r="61" customFormat="false" ht="12.75" hidden="false" customHeight="false" outlineLevel="0" collapsed="false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customFormat="false" ht="12.75" hidden="false" customHeight="false" outlineLevel="0" collapsed="false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customFormat="false" ht="12.75" hidden="false" customHeight="false" outlineLevel="0" collapsed="false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customFormat="false" ht="12.75" hidden="false" customHeight="false" outlineLevel="0" collapsed="false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customFormat="false" ht="12.75" hidden="false" customHeight="false" outlineLevel="0" collapsed="false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customFormat="false" ht="12.75" hidden="false" customHeight="false" outlineLevel="0" collapsed="false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customFormat="false" ht="12.75" hidden="false" customHeight="false" outlineLevel="0" collapsed="false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customFormat="false" ht="12.75" hidden="false" customHeight="false" outlineLevel="0" collapsed="false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customFormat="false" ht="12.75" hidden="false" customHeight="false" outlineLevel="0" collapsed="false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customFormat="false" ht="12.75" hidden="false" customHeight="false" outlineLevel="0" collapsed="false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customFormat="false" ht="12.75" hidden="false" customHeight="false" outlineLevel="0" collapsed="false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customFormat="false" ht="12.75" hidden="false" customHeight="false" outlineLevel="0" collapsed="false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customFormat="false" ht="12.75" hidden="false" customHeight="false" outlineLevel="0" collapsed="false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customFormat="false" ht="12.75" hidden="false" customHeight="false" outlineLevel="0" collapsed="false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customFormat="false" ht="12.75" hidden="false" customHeight="false" outlineLevel="0" collapsed="false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customFormat="false" ht="12.75" hidden="false" customHeight="false" outlineLevel="0" collapsed="false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customFormat="false" ht="12.75" hidden="false" customHeight="false" outlineLevel="0" collapsed="false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customFormat="false" ht="12.75" hidden="false" customHeight="false" outlineLevel="0" collapsed="false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customFormat="false" ht="12.75" hidden="false" customHeight="false" outlineLevel="0" collapsed="false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customFormat="false" ht="12.75" hidden="false" customHeight="false" outlineLevel="0" collapsed="false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customFormat="false" ht="12.75" hidden="false" customHeight="false" outlineLevel="0" collapsed="false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customFormat="false" ht="12.75" hidden="false" customHeight="false" outlineLevel="0" collapsed="false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customFormat="false" ht="12.75" hidden="false" customHeight="false" outlineLevel="0" collapsed="false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customFormat="false" ht="12.75" hidden="false" customHeight="false" outlineLevel="0" collapsed="false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customFormat="false" ht="12.75" hidden="false" customHeight="false" outlineLevel="0" collapsed="false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customFormat="false" ht="12.75" hidden="false" customHeight="false" outlineLevel="0" collapsed="false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customFormat="false" ht="12.75" hidden="false" customHeight="false" outlineLevel="0" collapsed="false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customFormat="false" ht="12.75" hidden="false" customHeight="false" outlineLevel="0" collapsed="false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customFormat="false" ht="12.75" hidden="false" customHeight="false" outlineLevel="0" collapsed="false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customFormat="false" ht="12.75" hidden="false" customHeight="false" outlineLevel="0" collapsed="false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customFormat="false" ht="12.75" hidden="false" customHeight="false" outlineLevel="0" collapsed="false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customFormat="false" ht="12.75" hidden="false" customHeight="false" outlineLevel="0" collapsed="false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customFormat="false" ht="12.75" hidden="false" customHeight="false" outlineLevel="0" collapsed="false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customFormat="false" ht="12.75" hidden="false" customHeight="false" outlineLevel="0" collapsed="false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customFormat="false" ht="12.75" hidden="false" customHeight="false" outlineLevel="0" collapsed="false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customFormat="false" ht="12.75" hidden="false" customHeight="false" outlineLevel="0" collapsed="false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customFormat="false" ht="12.75" hidden="false" customHeight="false" outlineLevel="0" collapsed="false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customFormat="false" ht="12.75" hidden="false" customHeight="false" outlineLevel="0" collapsed="false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customFormat="false" ht="12.75" hidden="false" customHeight="false" outlineLevel="0" collapsed="false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customFormat="false" ht="12.75" hidden="false" customHeight="false" outlineLevel="0" collapsed="false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customFormat="false" ht="12.75" hidden="false" customHeight="false" outlineLevel="0" collapsed="false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customFormat="false" ht="12.75" hidden="false" customHeight="false" outlineLevel="0" collapsed="false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customFormat="false" ht="12.75" hidden="false" customHeight="false" outlineLevel="0" collapsed="false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customFormat="false" ht="12.75" hidden="false" customHeight="false" outlineLevel="0" collapsed="false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customFormat="false" ht="12.75" hidden="false" customHeight="false" outlineLevel="0" collapsed="false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customFormat="false" ht="12.75" hidden="false" customHeight="false" outlineLevel="0" collapsed="false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customFormat="false" ht="12.75" hidden="false" customHeight="false" outlineLevel="0" collapsed="false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customFormat="false" ht="12.75" hidden="false" customHeight="false" outlineLevel="0" collapsed="false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s="23" customFormat="true" ht="12.75" hidden="false" customHeight="false" outlineLevel="0" collapsed="false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  <c r="AD109" s="22"/>
      <c r="AE109" s="22"/>
      <c r="AF109" s="22"/>
      <c r="AG109" s="22"/>
    </row>
    <row r="110" s="23" customFormat="true" ht="12.75" hidden="false" customHeight="false" outlineLevel="0" collapsed="false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  <c r="AD110" s="22"/>
      <c r="AE110" s="22"/>
      <c r="AF110" s="22"/>
      <c r="AG110" s="22"/>
    </row>
    <row r="111" s="23" customFormat="true" ht="12.75" hidden="false" customHeight="false" outlineLevel="0" collapsed="false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  <c r="AD111" s="22"/>
      <c r="AE111" s="22"/>
      <c r="AF111" s="22"/>
      <c r="AG111" s="22"/>
    </row>
    <row r="112" s="23" customFormat="true" ht="12.75" hidden="false" customHeight="false" outlineLevel="0" collapsed="false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  <c r="AD112" s="22"/>
      <c r="AE112" s="22"/>
      <c r="AF112" s="22"/>
      <c r="AG112" s="22"/>
    </row>
    <row r="113" s="23" customFormat="true" ht="12.75" hidden="false" customHeight="false" outlineLevel="0" collapsed="false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  <c r="AD113" s="22"/>
      <c r="AE113" s="22"/>
      <c r="AF113" s="22"/>
      <c r="AG113" s="22"/>
    </row>
    <row r="114" s="23" customFormat="true" ht="12.75" hidden="false" customHeight="false" outlineLevel="0" collapsed="false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  <c r="AD114" s="22"/>
      <c r="AE114" s="22"/>
      <c r="AF114" s="22"/>
      <c r="AG114" s="22"/>
    </row>
    <row r="115" s="23" customFormat="true" ht="12.75" hidden="false" customHeight="false" outlineLevel="0" collapsed="false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  <c r="AD115" s="22"/>
      <c r="AE115" s="22"/>
      <c r="AF115" s="22"/>
      <c r="AG115" s="22"/>
    </row>
    <row r="116" s="23" customFormat="true" ht="12.75" hidden="false" customHeight="false" outlineLevel="0" collapsed="false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  <c r="AD116" s="22"/>
      <c r="AE116" s="22"/>
      <c r="AF116" s="22"/>
      <c r="AG116" s="22"/>
    </row>
    <row r="117" s="23" customFormat="true" ht="12.75" hidden="false" customHeight="false" outlineLevel="0" collapsed="false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  <c r="AD117" s="22"/>
      <c r="AE117" s="22"/>
      <c r="AF117" s="22"/>
      <c r="AG117" s="22"/>
    </row>
    <row r="118" s="23" customFormat="true" ht="12.75" hidden="false" customHeight="false" outlineLevel="0" collapsed="false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  <c r="AD118" s="22"/>
      <c r="AE118" s="22"/>
      <c r="AF118" s="22"/>
      <c r="AG118" s="22"/>
    </row>
    <row r="119" s="23" customFormat="true" ht="12.75" hidden="false" customHeight="false" outlineLevel="0" collapsed="false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  <c r="AD119" s="22"/>
      <c r="AE119" s="22"/>
      <c r="AF119" s="22"/>
      <c r="AG119" s="22"/>
    </row>
    <row r="120" s="23" customFormat="true" ht="12.75" hidden="false" customHeight="false" outlineLevel="0" collapsed="false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  <c r="AD120" s="22"/>
      <c r="AE120" s="22"/>
      <c r="AF120" s="22"/>
      <c r="AG120" s="22"/>
    </row>
    <row r="121" s="23" customFormat="true" ht="12.75" hidden="false" customHeight="false" outlineLevel="0" collapsed="false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  <c r="AD121" s="22"/>
      <c r="AE121" s="22"/>
      <c r="AF121" s="22"/>
      <c r="AG121" s="22"/>
    </row>
    <row r="122" s="23" customFormat="true" ht="12.75" hidden="false" customHeight="false" outlineLevel="0" collapsed="false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  <c r="AD122" s="22"/>
      <c r="AE122" s="22"/>
      <c r="AF122" s="22"/>
      <c r="AG122" s="22"/>
    </row>
    <row r="123" s="23" customFormat="true" ht="12.75" hidden="false" customHeight="false" outlineLevel="0" collapsed="false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  <c r="AD123" s="22"/>
      <c r="AE123" s="22"/>
      <c r="AF123" s="22"/>
      <c r="AG123" s="22"/>
    </row>
    <row r="124" s="23" customFormat="true" ht="12.75" hidden="false" customHeight="false" outlineLevel="0" collapsed="false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  <c r="AD124" s="22"/>
      <c r="AE124" s="22"/>
      <c r="AF124" s="22"/>
      <c r="AG124" s="22"/>
    </row>
    <row r="125" s="23" customFormat="true" ht="12.75" hidden="false" customHeight="false" outlineLevel="0" collapsed="false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  <c r="AD125" s="22"/>
      <c r="AE125" s="22"/>
      <c r="AF125" s="22"/>
      <c r="AG125" s="22"/>
    </row>
    <row r="126" s="23" customFormat="true" ht="12.75" hidden="false" customHeight="false" outlineLevel="0" collapsed="false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  <c r="AD126" s="22"/>
      <c r="AE126" s="22"/>
      <c r="AF126" s="22"/>
      <c r="AG126" s="22"/>
    </row>
    <row r="127" s="23" customFormat="true" ht="12.75" hidden="false" customHeight="false" outlineLevel="0" collapsed="false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  <c r="AD127" s="22"/>
      <c r="AE127" s="22"/>
      <c r="AF127" s="22"/>
      <c r="AG127" s="22"/>
    </row>
    <row r="128" s="23" customFormat="true" ht="12.75" hidden="false" customHeight="false" outlineLevel="0" collapsed="false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  <c r="AD128" s="22"/>
      <c r="AE128" s="22"/>
      <c r="AF128" s="22"/>
      <c r="AG128" s="22"/>
    </row>
    <row r="129" s="23" customFormat="true" ht="12.75" hidden="false" customHeight="false" outlineLevel="0" collapsed="false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  <c r="AD129" s="22"/>
      <c r="AE129" s="22"/>
      <c r="AF129" s="22"/>
      <c r="AG129" s="22"/>
    </row>
    <row r="130" s="23" customFormat="true" ht="12.75" hidden="false" customHeight="false" outlineLevel="0" collapsed="false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  <c r="AD130" s="22"/>
      <c r="AE130" s="22"/>
      <c r="AF130" s="22"/>
      <c r="AG130" s="22"/>
    </row>
    <row r="131" s="23" customFormat="true" ht="12.75" hidden="false" customHeight="false" outlineLevel="0" collapsed="false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  <c r="AD131" s="22"/>
      <c r="AE131" s="22"/>
      <c r="AF131" s="22"/>
      <c r="AG131" s="22"/>
    </row>
    <row r="132" s="23" customFormat="true" ht="12.75" hidden="false" customHeight="false" outlineLevel="0" collapsed="false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  <c r="AD132" s="22"/>
      <c r="AE132" s="22"/>
      <c r="AF132" s="22"/>
      <c r="AG132" s="22"/>
    </row>
    <row r="133" s="23" customFormat="true" ht="12.75" hidden="false" customHeight="false" outlineLevel="0" collapsed="false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  <c r="AD133" s="22"/>
      <c r="AE133" s="22"/>
      <c r="AF133" s="22"/>
      <c r="AG133" s="22"/>
    </row>
    <row r="134" s="23" customFormat="true" ht="12.75" hidden="false" customHeight="false" outlineLevel="0" collapsed="false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  <c r="AD134" s="22"/>
      <c r="AE134" s="22"/>
      <c r="AF134" s="22"/>
      <c r="AG134" s="22"/>
    </row>
    <row r="135" s="23" customFormat="true" ht="12.75" hidden="false" customHeight="false" outlineLevel="0" collapsed="false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  <c r="AD135" s="22"/>
      <c r="AE135" s="22"/>
      <c r="AF135" s="22"/>
      <c r="AG135" s="22"/>
    </row>
    <row r="136" s="23" customFormat="true" ht="12.75" hidden="false" customHeight="false" outlineLevel="0" collapsed="false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  <c r="AD136" s="22"/>
      <c r="AE136" s="22"/>
      <c r="AF136" s="22"/>
      <c r="AG136" s="22"/>
    </row>
  </sheetData>
  <mergeCells count="19">
    <mergeCell ref="A1:AB1"/>
    <mergeCell ref="A2:AB2"/>
    <mergeCell ref="A3:AB3"/>
    <mergeCell ref="A4:AB4"/>
    <mergeCell ref="A5:AB5"/>
    <mergeCell ref="A6:AB6"/>
    <mergeCell ref="D7:AB7"/>
    <mergeCell ref="A8:AB8"/>
    <mergeCell ref="A9:A10"/>
    <mergeCell ref="B9:B10"/>
    <mergeCell ref="C9:C10"/>
    <mergeCell ref="D9:D10"/>
    <mergeCell ref="M9:Y9"/>
    <mergeCell ref="AB9:AB10"/>
    <mergeCell ref="A51:D51"/>
    <mergeCell ref="A53:C53"/>
    <mergeCell ref="E53:AB53"/>
    <mergeCell ref="A59:C59"/>
    <mergeCell ref="M59:AB59"/>
  </mergeCells>
  <printOptions headings="false" gridLines="false" gridLinesSet="true" horizontalCentered="false" verticalCentered="false"/>
  <pageMargins left="0.7" right="0.209722222222222" top="0.420138888888889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AE68"/>
  <sheetViews>
    <sheetView showFormulas="false" showGridLines="true" showRowColHeaders="true" showZeros="true" rightToLeft="false" tabSelected="false" showOutlineSymbols="true" defaultGridColor="true" view="normal" topLeftCell="A10" colorId="64" zoomScale="70" zoomScaleNormal="70" zoomScalePageLayoutView="100" workbookViewId="0">
      <selection pane="topLeft" activeCell="K60" activeCellId="0" sqref="K60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6.43"/>
    <col collapsed="false" customWidth="true" hidden="false" outlineLevel="0" max="2" min="2" style="1" width="7.29"/>
    <col collapsed="false" customWidth="true" hidden="false" outlineLevel="0" max="3" min="3" style="1" width="17"/>
    <col collapsed="false" customWidth="true" hidden="true" outlineLevel="0" max="4" min="4" style="1" width="8.29"/>
    <col collapsed="false" customWidth="false" hidden="true" outlineLevel="0" max="5" min="5" style="1" width="8.71"/>
    <col collapsed="false" customWidth="true" hidden="true" outlineLevel="0" max="6" min="6" style="1" width="9.14"/>
    <col collapsed="false" customWidth="true" hidden="false" outlineLevel="0" max="12" min="7" style="1" width="11.57"/>
    <col collapsed="false" customWidth="true" hidden="true" outlineLevel="0" max="15" min="13" style="1" width="8.57"/>
    <col collapsed="false" customWidth="true" hidden="false" outlineLevel="0" max="18" min="16" style="1" width="11.57"/>
    <col collapsed="false" customWidth="true" hidden="false" outlineLevel="0" max="19" min="19" style="1" width="7"/>
    <col collapsed="false" customWidth="true" hidden="false" outlineLevel="0" max="27" min="26" style="1" width="5.14"/>
    <col collapsed="false" customWidth="true" hidden="false" outlineLevel="0" max="29" min="29" style="2" width="9.14"/>
    <col collapsed="false" customWidth="true" hidden="false" outlineLevel="0" max="31" min="31" style="2" width="9.14"/>
  </cols>
  <sheetData>
    <row r="1" customFormat="false" ht="20.25" hidden="false" customHeight="true" outlineLevel="0" collapsed="false">
      <c r="A1" s="3" t="s">
        <v>28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3"/>
      <c r="T1" s="26"/>
      <c r="U1" s="26"/>
      <c r="V1" s="4"/>
      <c r="W1" s="4"/>
    </row>
    <row r="2" customFormat="false" ht="18.75" hidden="false" customHeight="true" outlineLevel="0" collapsed="false">
      <c r="A2" s="5" t="str">
        <f>"Kèm theo BBNT số: "&amp;VLOOKUP(AZ2,'[1]Tuyến XD8'!$A$2:$G$60,7,0)&amp;VLOOKUP(AZ2,'[1]Tuyến XD8'!$A$2:$G$60,4,0)</f>
        <v xml:space="preserve">Kèm theo BBNT số: 71.NĐXD8/CVXD ngày 20 tháng 09 năm 2026</v>
      </c>
      <c r="B2" s="5"/>
      <c r="C2" s="5"/>
      <c r="D2" s="5"/>
      <c r="E2" s="5"/>
      <c r="F2" s="5"/>
      <c r="G2" s="5"/>
      <c r="H2" s="5"/>
      <c r="I2" s="5"/>
      <c r="J2" s="5"/>
      <c r="K2" s="5"/>
      <c r="L2" s="5"/>
      <c r="M2" s="5"/>
      <c r="N2" s="5"/>
      <c r="O2" s="5"/>
      <c r="P2" s="5"/>
      <c r="Q2" s="5"/>
      <c r="R2" s="5"/>
      <c r="S2" s="5"/>
      <c r="U2" s="6"/>
      <c r="V2" s="6"/>
      <c r="W2" s="6"/>
      <c r="AZ2">
        <v>71</v>
      </c>
    </row>
    <row r="3" customFormat="false" ht="18.75" hidden="false" customHeight="true" outlineLevel="0" collapsed="false">
      <c r="A3" s="7" t="str">
        <f aca="false">+'1.KTHH L1'!A3</f>
        <v>Dự án: Xây dựng HTKT Khu tái định cư phục vụ di dân xã Hải Hà, thị xã Nghi Sơn, tỉnh Thanh Hóa.</v>
      </c>
      <c r="C3" s="7"/>
      <c r="D3" s="7"/>
      <c r="E3" s="7"/>
      <c r="F3" s="7"/>
      <c r="G3" s="7"/>
      <c r="H3" s="7"/>
      <c r="I3" s="7"/>
      <c r="J3" s="7"/>
      <c r="K3" s="7"/>
      <c r="L3" s="7"/>
      <c r="M3" s="7"/>
      <c r="N3" s="7"/>
      <c r="O3" s="7"/>
      <c r="P3" s="7"/>
      <c r="Q3" s="7"/>
      <c r="R3" s="7"/>
      <c r="S3" s="7"/>
      <c r="T3" s="7"/>
      <c r="U3" s="7"/>
      <c r="V3" s="7"/>
      <c r="W3" s="7"/>
    </row>
    <row r="4" customFormat="false" ht="18.75" hidden="false" customHeight="true" outlineLevel="0" collapsed="false">
      <c r="A4" s="7" t="str">
        <f aca="false">+'1.KTHH L1'!A4</f>
        <v>Gói thầu số 12: Xây dựng HTKT khu vực Hải Bình và Xuân Lâm (bao gồm cả bảo hiểm xây dựng công trình)</v>
      </c>
      <c r="C4" s="7"/>
      <c r="D4" s="7"/>
      <c r="E4" s="7"/>
      <c r="F4" s="7"/>
      <c r="G4" s="7"/>
      <c r="H4" s="7"/>
      <c r="I4" s="7"/>
      <c r="J4" s="7"/>
      <c r="K4" s="7"/>
      <c r="L4" s="7"/>
      <c r="M4" s="7"/>
      <c r="N4" s="7"/>
      <c r="O4" s="7"/>
      <c r="P4" s="7"/>
      <c r="Q4" s="7"/>
      <c r="R4" s="7"/>
      <c r="S4" s="7"/>
      <c r="T4" s="7"/>
      <c r="U4" s="7"/>
      <c r="V4" s="7"/>
      <c r="W4" s="7"/>
    </row>
    <row r="5" customFormat="false" ht="18.75" hidden="false" customHeight="true" outlineLevel="0" collapsed="false">
      <c r="A5" s="7" t="str">
        <f aca="false">+'1.KTHH L1'!A5</f>
        <v>Nhà thầu thi công: Công ty TNHH Hoàng Tuấn</v>
      </c>
      <c r="C5" s="7"/>
      <c r="D5" s="7"/>
      <c r="E5" s="7"/>
      <c r="F5" s="7"/>
      <c r="G5" s="7"/>
      <c r="H5" s="7"/>
      <c r="I5" s="7"/>
      <c r="J5" s="7"/>
      <c r="K5" s="7"/>
      <c r="L5" s="7"/>
      <c r="M5" s="7"/>
      <c r="N5" s="7"/>
      <c r="O5" s="7"/>
      <c r="P5" s="7"/>
      <c r="Q5" s="7"/>
      <c r="R5" s="7"/>
      <c r="S5" s="7"/>
      <c r="T5" s="7"/>
      <c r="U5" s="7"/>
      <c r="V5" s="7"/>
      <c r="W5" s="7"/>
    </row>
    <row r="6" customFormat="false" ht="18.75" hidden="false" customHeight="true" outlineLevel="0" collapsed="false">
      <c r="A6" s="7" t="s">
        <v>33</v>
      </c>
      <c r="C6" s="7"/>
      <c r="D6" s="7"/>
      <c r="E6" s="7"/>
      <c r="F6" s="7"/>
      <c r="G6" s="7"/>
      <c r="H6" s="7"/>
      <c r="I6" s="7"/>
      <c r="J6" s="7"/>
      <c r="K6" s="7"/>
      <c r="L6" s="7"/>
      <c r="M6" s="7"/>
      <c r="N6" s="7"/>
      <c r="O6" s="7"/>
      <c r="P6" s="7"/>
      <c r="Q6" s="7"/>
      <c r="R6" s="7"/>
      <c r="S6" s="7"/>
      <c r="T6" s="7"/>
      <c r="U6" s="7"/>
      <c r="V6" s="7"/>
      <c r="W6" s="7"/>
    </row>
    <row r="7" customFormat="false" ht="18.75" hidden="false" customHeight="true" outlineLevel="0" collapsed="false">
      <c r="A7" s="8" t="s">
        <v>34</v>
      </c>
      <c r="C7" s="7"/>
      <c r="D7" s="7"/>
      <c r="F7" s="7"/>
      <c r="G7" s="7" t="str">
        <f>VLOOKUP(AZ2,'[1]Tuyến XD8'!$A$2:$B$60,2,0)</f>
        <v xml:space="preserve">Đắp đất nền đường lớp 8 đoạn từ Km0+489,19 - Km0+609,11, độ chặt K&gt;=0,95</v>
      </c>
      <c r="I7" s="7"/>
      <c r="J7" s="7"/>
      <c r="K7" s="7"/>
      <c r="L7" s="7"/>
      <c r="M7" s="7"/>
      <c r="N7" s="7"/>
      <c r="O7" s="7"/>
      <c r="P7" s="7"/>
      <c r="Q7" s="7"/>
      <c r="R7" s="7"/>
      <c r="S7" s="7"/>
      <c r="T7" s="7"/>
      <c r="U7" s="7"/>
      <c r="V7" s="7"/>
      <c r="W7" s="7"/>
    </row>
    <row r="8" customFormat="false" ht="18.75" hidden="false" customHeight="true" outlineLevel="0" collapsed="false">
      <c r="A8" s="8" t="s">
        <v>36</v>
      </c>
      <c r="C8" s="7"/>
      <c r="D8" s="7"/>
      <c r="E8" s="7"/>
      <c r="F8" s="7"/>
      <c r="G8" s="7"/>
      <c r="H8" s="7"/>
      <c r="I8" s="7"/>
      <c r="J8" s="7"/>
      <c r="K8" s="7"/>
      <c r="L8" s="7"/>
      <c r="M8" s="7"/>
      <c r="N8" s="7"/>
      <c r="O8" s="7"/>
      <c r="P8" s="7"/>
      <c r="Q8" s="7"/>
      <c r="R8" s="7"/>
      <c r="S8" s="7"/>
      <c r="T8" s="7"/>
      <c r="U8" s="7"/>
      <c r="V8" s="7"/>
      <c r="W8" s="7"/>
    </row>
    <row r="20" customFormat="false" ht="17.25" hidden="false" customHeight="true" outlineLevel="0" collapsed="false">
      <c r="A20" s="116" t="s">
        <v>37</v>
      </c>
      <c r="B20" s="9" t="s">
        <v>38</v>
      </c>
      <c r="C20" s="9" t="s">
        <v>39</v>
      </c>
      <c r="D20" s="10" t="s">
        <v>40</v>
      </c>
      <c r="E20" s="10"/>
      <c r="F20" s="10"/>
      <c r="G20" s="10"/>
      <c r="H20" s="10"/>
      <c r="I20" s="10"/>
      <c r="J20" s="10" t="s">
        <v>41</v>
      </c>
      <c r="K20" s="10"/>
      <c r="L20" s="10"/>
      <c r="M20" s="10" t="s">
        <v>42</v>
      </c>
      <c r="N20" s="10"/>
      <c r="O20" s="10"/>
      <c r="P20" s="10"/>
      <c r="Q20" s="10"/>
      <c r="R20" s="10"/>
      <c r="S20" s="9" t="s">
        <v>43</v>
      </c>
    </row>
    <row r="21" customFormat="false" ht="51.75" hidden="false" customHeight="true" outlineLevel="0" collapsed="false">
      <c r="A21" s="116"/>
      <c r="B21" s="116"/>
      <c r="C21" s="116"/>
      <c r="D21" s="11" t="s">
        <v>44</v>
      </c>
      <c r="E21" s="11" t="s">
        <v>45</v>
      </c>
      <c r="F21" s="11" t="s">
        <v>46</v>
      </c>
      <c r="G21" s="11" t="s">
        <v>47</v>
      </c>
      <c r="H21" s="11" t="s">
        <v>48</v>
      </c>
      <c r="I21" s="11" t="s">
        <v>49</v>
      </c>
      <c r="J21" s="11" t="s">
        <v>47</v>
      </c>
      <c r="K21" s="11" t="s">
        <v>48</v>
      </c>
      <c r="L21" s="11" t="s">
        <v>49</v>
      </c>
      <c r="M21" s="11" t="s">
        <v>44</v>
      </c>
      <c r="N21" s="11" t="s">
        <v>45</v>
      </c>
      <c r="O21" s="11" t="s">
        <v>46</v>
      </c>
      <c r="P21" s="11" t="s">
        <v>47</v>
      </c>
      <c r="Q21" s="11" t="s">
        <v>48</v>
      </c>
      <c r="R21" s="11" t="s">
        <v>49</v>
      </c>
      <c r="S21" s="9"/>
      <c r="T21" s="86"/>
      <c r="X21" s="117"/>
      <c r="AC21" s="101"/>
      <c r="AE21" s="101"/>
    </row>
    <row r="22" customFormat="false" ht="15.75" hidden="false" customHeight="true" outlineLevel="0" collapsed="false">
      <c r="A22" s="118" t="n">
        <v>1</v>
      </c>
      <c r="B22" s="13" t="s">
        <v>17</v>
      </c>
      <c r="C22" s="15" t="n">
        <v>489.19</v>
      </c>
      <c r="D22" s="16" t="n">
        <f aca="false">+Chạy!F2</f>
        <v>-11.95</v>
      </c>
      <c r="E22" s="16" t="n">
        <f aca="false">+D22+F22</f>
        <v>-11.9471</v>
      </c>
      <c r="F22" s="16" t="n">
        <f aca="false">RANDBETWEEN(-105,115)/10000</f>
        <v>0.0029</v>
      </c>
      <c r="G22" s="16" t="n">
        <f aca="false">+Chạy!G2</f>
        <v>1.87</v>
      </c>
      <c r="H22" s="16" t="n">
        <f aca="false">G22+I22</f>
        <v>1.902</v>
      </c>
      <c r="I22" s="16" t="n">
        <f aca="false">RANDBETWEEN(-30,90)/1000</f>
        <v>0.032</v>
      </c>
      <c r="J22" s="16" t="n">
        <f aca="false">+Chạy!K2</f>
        <v>1.99</v>
      </c>
      <c r="K22" s="16" t="n">
        <f aca="false">J22+L22</f>
        <v>1.963</v>
      </c>
      <c r="L22" s="16" t="n">
        <f aca="false">RANDBETWEEN(-30,90)/1000</f>
        <v>-0.027</v>
      </c>
      <c r="M22" s="16" t="n">
        <f aca="false">+Chạy!N2</f>
        <v>11.95</v>
      </c>
      <c r="N22" s="16" t="n">
        <f aca="false">+M22+O22</f>
        <v>11.9427</v>
      </c>
      <c r="O22" s="16" t="n">
        <f aca="false">RANDBETWEEN(-105,115)/10000</f>
        <v>-0.0073</v>
      </c>
      <c r="P22" s="16" t="n">
        <f aca="false">+Chạy!O2</f>
        <v>1.87</v>
      </c>
      <c r="Q22" s="16" t="n">
        <f aca="false">P22+R22</f>
        <v>1.883</v>
      </c>
      <c r="R22" s="16" t="n">
        <f aca="false">RANDBETWEEN(-30,90)/1000</f>
        <v>0.013</v>
      </c>
      <c r="S22" s="17"/>
      <c r="T22" s="0" t="n">
        <v>13.17</v>
      </c>
      <c r="X22" s="119"/>
      <c r="Y22" s="102"/>
      <c r="AA22" s="120"/>
      <c r="AB22" s="121"/>
      <c r="AC22" s="122"/>
      <c r="AE22" s="122"/>
    </row>
    <row r="23" customFormat="false" ht="15.75" hidden="false" customHeight="true" outlineLevel="0" collapsed="false">
      <c r="A23" s="118" t="n">
        <v>2</v>
      </c>
      <c r="B23" s="13" t="s">
        <v>18</v>
      </c>
      <c r="C23" s="15" t="n">
        <f aca="false">+C22+T22</f>
        <v>502.36</v>
      </c>
      <c r="D23" s="16" t="n">
        <f aca="false">+Chạy!F10</f>
        <v>-11.95</v>
      </c>
      <c r="E23" s="16" t="n">
        <f aca="false">+D23+F23</f>
        <v>-11.9463</v>
      </c>
      <c r="F23" s="16" t="n">
        <f aca="false">RANDBETWEEN(-105,115)/10000</f>
        <v>0.0037</v>
      </c>
      <c r="G23" s="16" t="n">
        <f aca="false">+Chạy!G10</f>
        <v>1.86</v>
      </c>
      <c r="H23" s="16" t="n">
        <f aca="false">G23+I23</f>
        <v>1.845</v>
      </c>
      <c r="I23" s="16" t="n">
        <f aca="false">RANDBETWEEN(-30,90)/1000</f>
        <v>-0.015</v>
      </c>
      <c r="J23" s="16" t="n">
        <f aca="false">+Chạy!K10</f>
        <v>1.98</v>
      </c>
      <c r="K23" s="16" t="n">
        <f aca="false">J23+L23</f>
        <v>2.069</v>
      </c>
      <c r="L23" s="16" t="n">
        <f aca="false">RANDBETWEEN(-30,90)/1000</f>
        <v>0.089</v>
      </c>
      <c r="M23" s="16" t="n">
        <f aca="false">+Chạy!N10</f>
        <v>11.95</v>
      </c>
      <c r="N23" s="16" t="n">
        <f aca="false">+M23+O23</f>
        <v>11.9544</v>
      </c>
      <c r="O23" s="16" t="n">
        <f aca="false">RANDBETWEEN(-105,115)/10000</f>
        <v>0.0044</v>
      </c>
      <c r="P23" s="16" t="n">
        <f aca="false">+Chạy!O10</f>
        <v>1.86</v>
      </c>
      <c r="Q23" s="16" t="n">
        <f aca="false">P23+R23</f>
        <v>1.855</v>
      </c>
      <c r="R23" s="16" t="n">
        <f aca="false">RANDBETWEEN(-30,90)/1000</f>
        <v>-0.005</v>
      </c>
      <c r="S23" s="17"/>
      <c r="T23" s="0" t="n">
        <v>10.48</v>
      </c>
      <c r="X23" s="119"/>
      <c r="Y23" s="102"/>
      <c r="AA23" s="120"/>
      <c r="AB23" s="121"/>
      <c r="AC23" s="122"/>
      <c r="AE23" s="122"/>
    </row>
    <row r="24" customFormat="false" ht="15.75" hidden="false" customHeight="true" outlineLevel="0" collapsed="false">
      <c r="A24" s="118" t="n">
        <v>3</v>
      </c>
      <c r="B24" s="13" t="s">
        <v>19</v>
      </c>
      <c r="C24" s="15" t="n">
        <f aca="false">+C23+T23</f>
        <v>512.84</v>
      </c>
      <c r="D24" s="16" t="n">
        <f aca="false">+Chạy!F18</f>
        <v>-11.95</v>
      </c>
      <c r="E24" s="16" t="n">
        <f aca="false">+D24+F24</f>
        <v>-11.9568</v>
      </c>
      <c r="F24" s="16" t="n">
        <f aca="false">RANDBETWEEN(-105,115)/10000</f>
        <v>-0.0068</v>
      </c>
      <c r="G24" s="16" t="n">
        <f aca="false">+Chạy!G18</f>
        <v>1.86</v>
      </c>
      <c r="H24" s="16" t="n">
        <f aca="false">G24+I24</f>
        <v>1.915</v>
      </c>
      <c r="I24" s="16" t="n">
        <f aca="false">RANDBETWEEN(-30,90)/1000</f>
        <v>0.055</v>
      </c>
      <c r="J24" s="16" t="n">
        <f aca="false">+Chạy!K18</f>
        <v>1.97</v>
      </c>
      <c r="K24" s="16" t="n">
        <f aca="false">J24+L24</f>
        <v>2.03</v>
      </c>
      <c r="L24" s="16" t="n">
        <f aca="false">RANDBETWEEN(-30,90)/1000</f>
        <v>0.06</v>
      </c>
      <c r="M24" s="16" t="n">
        <f aca="false">+Chạy!N18</f>
        <v>11.95</v>
      </c>
      <c r="N24" s="16" t="n">
        <f aca="false">+M24+O24</f>
        <v>11.9582</v>
      </c>
      <c r="O24" s="16" t="n">
        <f aca="false">RANDBETWEEN(-105,115)/10000</f>
        <v>0.0082</v>
      </c>
      <c r="P24" s="16" t="n">
        <f aca="false">+Chạy!O18</f>
        <v>1.86</v>
      </c>
      <c r="Q24" s="16" t="n">
        <f aca="false">P24+R24</f>
        <v>1.947</v>
      </c>
      <c r="R24" s="16" t="n">
        <f aca="false">RANDBETWEEN(-30,90)/1000</f>
        <v>0.087</v>
      </c>
      <c r="S24" s="17"/>
      <c r="T24" s="0" t="n">
        <v>16.78</v>
      </c>
      <c r="X24" s="119"/>
      <c r="Y24" s="102"/>
      <c r="AA24" s="120"/>
      <c r="AB24" s="121"/>
      <c r="AC24" s="122"/>
      <c r="AE24" s="122"/>
    </row>
    <row r="25" customFormat="false" ht="15.75" hidden="false" customHeight="true" outlineLevel="0" collapsed="false">
      <c r="A25" s="118" t="n">
        <v>4</v>
      </c>
      <c r="B25" s="13" t="s">
        <v>20</v>
      </c>
      <c r="C25" s="15" t="n">
        <f aca="false">+C24+T24</f>
        <v>529.62</v>
      </c>
      <c r="D25" s="16" t="n">
        <f aca="false">+Chạy!F26</f>
        <v>-11.95</v>
      </c>
      <c r="E25" s="16" t="n">
        <f aca="false">+D25+F25</f>
        <v>-11.951</v>
      </c>
      <c r="F25" s="16" t="n">
        <f aca="false">RANDBETWEEN(-105,115)/10000</f>
        <v>-0.001</v>
      </c>
      <c r="G25" s="16" t="n">
        <f aca="false">+Chạy!G26</f>
        <v>1.85</v>
      </c>
      <c r="H25" s="16" t="n">
        <f aca="false">G25+I25</f>
        <v>1.834</v>
      </c>
      <c r="I25" s="16" t="n">
        <f aca="false">RANDBETWEEN(-30,90)/1000</f>
        <v>-0.016</v>
      </c>
      <c r="J25" s="16" t="n">
        <f aca="false">+Chạy!K26</f>
        <v>1.97</v>
      </c>
      <c r="K25" s="16" t="n">
        <f aca="false">J25+L25</f>
        <v>1.95</v>
      </c>
      <c r="L25" s="16" t="n">
        <f aca="false">RANDBETWEEN(-30,90)/1000</f>
        <v>-0.02</v>
      </c>
      <c r="M25" s="16" t="n">
        <f aca="false">+Chạy!N26</f>
        <v>11.95</v>
      </c>
      <c r="N25" s="16" t="n">
        <f aca="false">+M25+O25</f>
        <v>11.9469</v>
      </c>
      <c r="O25" s="16" t="n">
        <f aca="false">RANDBETWEEN(-105,115)/10000</f>
        <v>-0.0031</v>
      </c>
      <c r="P25" s="16" t="n">
        <f aca="false">+Chạy!O26</f>
        <v>1.85</v>
      </c>
      <c r="Q25" s="16" t="n">
        <f aca="false">P25+R25</f>
        <v>1.853</v>
      </c>
      <c r="R25" s="16" t="n">
        <f aca="false">RANDBETWEEN(-30,90)/1000</f>
        <v>0.003</v>
      </c>
      <c r="S25" s="17"/>
      <c r="T25" s="0" t="n">
        <v>17.1</v>
      </c>
      <c r="X25" s="119"/>
      <c r="Y25" s="102"/>
      <c r="AA25" s="120"/>
      <c r="AB25" s="121"/>
      <c r="AC25" s="122"/>
      <c r="AE25" s="122"/>
    </row>
    <row r="26" customFormat="false" ht="15.75" hidden="false" customHeight="true" outlineLevel="0" collapsed="false">
      <c r="A26" s="118" t="n">
        <v>5</v>
      </c>
      <c r="B26" s="13" t="s">
        <v>21</v>
      </c>
      <c r="C26" s="15" t="n">
        <f aca="false">+C25+T25</f>
        <v>546.72</v>
      </c>
      <c r="D26" s="16" t="n">
        <f aca="false">+Chạy!F34</f>
        <v>-11.95</v>
      </c>
      <c r="E26" s="16" t="n">
        <f aca="false">+D26+F26</f>
        <v>-11.943</v>
      </c>
      <c r="F26" s="16" t="n">
        <f aca="false">RANDBETWEEN(-105,115)/10000</f>
        <v>0.007</v>
      </c>
      <c r="G26" s="16" t="n">
        <f aca="false">+Chạy!G34</f>
        <v>1.84</v>
      </c>
      <c r="H26" s="16" t="n">
        <f aca="false">G26+I26</f>
        <v>1.879</v>
      </c>
      <c r="I26" s="16" t="n">
        <f aca="false">RANDBETWEEN(-30,90)/1000</f>
        <v>0.039</v>
      </c>
      <c r="J26" s="16" t="n">
        <f aca="false">+Chạy!K34</f>
        <v>1.96</v>
      </c>
      <c r="K26" s="16" t="n">
        <f aca="false">J26+L26</f>
        <v>1.937</v>
      </c>
      <c r="L26" s="16" t="n">
        <f aca="false">RANDBETWEEN(-30,90)/1000</f>
        <v>-0.023</v>
      </c>
      <c r="M26" s="16" t="n">
        <f aca="false">+Chạy!N34</f>
        <v>11.95</v>
      </c>
      <c r="N26" s="16" t="n">
        <f aca="false">+M26+O26</f>
        <v>11.9598</v>
      </c>
      <c r="O26" s="16" t="n">
        <f aca="false">RANDBETWEEN(-105,115)/10000</f>
        <v>0.0098</v>
      </c>
      <c r="P26" s="16" t="n">
        <f aca="false">+Chạy!O34</f>
        <v>1.84</v>
      </c>
      <c r="Q26" s="16" t="n">
        <f aca="false">P26+R26</f>
        <v>1.92</v>
      </c>
      <c r="R26" s="16" t="n">
        <f aca="false">RANDBETWEEN(-30,90)/1000</f>
        <v>0.08</v>
      </c>
      <c r="S26" s="17"/>
      <c r="T26" s="0" t="n">
        <v>15.15</v>
      </c>
      <c r="X26" s="119"/>
      <c r="Y26" s="102"/>
      <c r="AA26" s="120"/>
      <c r="AB26" s="121"/>
      <c r="AC26" s="122"/>
      <c r="AE26" s="122"/>
    </row>
    <row r="27" customFormat="false" ht="15.75" hidden="false" customHeight="true" outlineLevel="0" collapsed="false">
      <c r="A27" s="118" t="n">
        <v>6</v>
      </c>
      <c r="B27" s="13" t="s">
        <v>22</v>
      </c>
      <c r="C27" s="15" t="n">
        <f aca="false">+C26+T26</f>
        <v>561.87</v>
      </c>
      <c r="D27" s="16" t="n">
        <f aca="false">+Chạy!F42</f>
        <v>-11.95</v>
      </c>
      <c r="E27" s="16" t="n">
        <f aca="false">+D27+F27</f>
        <v>-11.9522</v>
      </c>
      <c r="F27" s="16" t="n">
        <f aca="false">RANDBETWEEN(-105,115)/10000</f>
        <v>-0.0022</v>
      </c>
      <c r="G27" s="16" t="n">
        <f aca="false">+Chạy!G42</f>
        <v>1.84</v>
      </c>
      <c r="H27" s="16" t="n">
        <f aca="false">G27+I27</f>
        <v>1.844</v>
      </c>
      <c r="I27" s="16" t="n">
        <f aca="false">RANDBETWEEN(-30,90)/1000</f>
        <v>0.004</v>
      </c>
      <c r="J27" s="16" t="n">
        <f aca="false">+Chạy!K42</f>
        <v>1.95</v>
      </c>
      <c r="K27" s="16" t="n">
        <f aca="false">J27+L27</f>
        <v>1.95</v>
      </c>
      <c r="L27" s="16" t="n">
        <f aca="false">RANDBETWEEN(-30,90)/1000</f>
        <v>0</v>
      </c>
      <c r="M27" s="16" t="n">
        <f aca="false">+Chạy!N42</f>
        <v>11.95</v>
      </c>
      <c r="N27" s="16" t="n">
        <f aca="false">+M27+O27</f>
        <v>11.943</v>
      </c>
      <c r="O27" s="16" t="n">
        <f aca="false">RANDBETWEEN(-105,115)/10000</f>
        <v>-0.007</v>
      </c>
      <c r="P27" s="16" t="n">
        <f aca="false">+Chạy!O42</f>
        <v>1.84</v>
      </c>
      <c r="Q27" s="16" t="n">
        <f aca="false">P27+R27</f>
        <v>1.821</v>
      </c>
      <c r="R27" s="16" t="n">
        <f aca="false">RANDBETWEEN(-30,90)/1000</f>
        <v>-0.019</v>
      </c>
      <c r="S27" s="17"/>
      <c r="T27" s="0" t="n">
        <v>0.15</v>
      </c>
      <c r="X27" s="119"/>
      <c r="Y27" s="102"/>
      <c r="AA27" s="120"/>
      <c r="AB27" s="121"/>
      <c r="AC27" s="122"/>
      <c r="AE27" s="122"/>
    </row>
    <row r="28" customFormat="false" ht="15.75" hidden="false" customHeight="true" outlineLevel="0" collapsed="false">
      <c r="A28" s="118" t="n">
        <v>7</v>
      </c>
      <c r="B28" s="13" t="s">
        <v>23</v>
      </c>
      <c r="C28" s="15" t="n">
        <f aca="false">+C27+T27</f>
        <v>562.02</v>
      </c>
      <c r="D28" s="16" t="n">
        <f aca="false">+Chạy!F50</f>
        <v>-11.95</v>
      </c>
      <c r="E28" s="16" t="n">
        <f aca="false">+D28+F28</f>
        <v>-11.948</v>
      </c>
      <c r="F28" s="16" t="n">
        <f aca="false">RANDBETWEEN(-105,115)/10000</f>
        <v>0.002</v>
      </c>
      <c r="G28" s="16" t="n">
        <f aca="false">+Chạy!G50</f>
        <v>1.84</v>
      </c>
      <c r="H28" s="16" t="n">
        <f aca="false">G28+I28</f>
        <v>1.818</v>
      </c>
      <c r="I28" s="16" t="n">
        <f aca="false">RANDBETWEEN(-30,90)/1000</f>
        <v>-0.022</v>
      </c>
      <c r="J28" s="16" t="n">
        <f aca="false">+Chạy!K50</f>
        <v>1.95</v>
      </c>
      <c r="K28" s="16" t="n">
        <f aca="false">J28+L28</f>
        <v>2.037</v>
      </c>
      <c r="L28" s="16" t="n">
        <f aca="false">RANDBETWEEN(-30,90)/1000</f>
        <v>0.087</v>
      </c>
      <c r="M28" s="16" t="n">
        <f aca="false">+Chạy!N50</f>
        <v>11.95</v>
      </c>
      <c r="N28" s="16" t="n">
        <f aca="false">+M28+O28</f>
        <v>11.9512</v>
      </c>
      <c r="O28" s="16" t="n">
        <f aca="false">RANDBETWEEN(-105,115)/10000</f>
        <v>0.0012</v>
      </c>
      <c r="P28" s="16" t="n">
        <f aca="false">+Chạy!O50</f>
        <v>1.84</v>
      </c>
      <c r="Q28" s="16" t="n">
        <f aca="false">P28+R28</f>
        <v>1.847</v>
      </c>
      <c r="R28" s="16" t="n">
        <f aca="false">RANDBETWEEN(-30,90)/1000</f>
        <v>0.007</v>
      </c>
      <c r="S28" s="17"/>
      <c r="T28" s="0" t="n">
        <v>6.55</v>
      </c>
      <c r="X28" s="119"/>
      <c r="Y28" s="102"/>
      <c r="AA28" s="120"/>
      <c r="AB28" s="121"/>
      <c r="AC28" s="122"/>
      <c r="AE28" s="122"/>
    </row>
    <row r="29" customFormat="false" ht="15.75" hidden="false" customHeight="true" outlineLevel="0" collapsed="false">
      <c r="A29" s="118" t="n">
        <v>8</v>
      </c>
      <c r="B29" s="13" t="s">
        <v>24</v>
      </c>
      <c r="C29" s="15" t="n">
        <f aca="false">+C28+T28</f>
        <v>568.57</v>
      </c>
      <c r="D29" s="16" t="n">
        <f aca="false">+Chạy!F58</f>
        <v>-11.95</v>
      </c>
      <c r="E29" s="16" t="n">
        <f aca="false">+D29+F29</f>
        <v>-11.9559</v>
      </c>
      <c r="F29" s="16" t="n">
        <f aca="false">RANDBETWEEN(-105,115)/10000</f>
        <v>-0.0059</v>
      </c>
      <c r="G29" s="16" t="n">
        <f aca="false">+Chạy!G58</f>
        <v>1.84</v>
      </c>
      <c r="H29" s="16" t="n">
        <f aca="false">G29+I29</f>
        <v>1.902</v>
      </c>
      <c r="I29" s="16" t="n">
        <f aca="false">RANDBETWEEN(-30,90)/1000</f>
        <v>0.062</v>
      </c>
      <c r="J29" s="16" t="n">
        <f aca="false">+Chạy!K58</f>
        <v>1.95</v>
      </c>
      <c r="K29" s="16" t="n">
        <f aca="false">J29+L29</f>
        <v>1.958</v>
      </c>
      <c r="L29" s="16" t="n">
        <f aca="false">RANDBETWEEN(-30,90)/1000</f>
        <v>0.008</v>
      </c>
      <c r="M29" s="16" t="n">
        <f aca="false">+Chạy!N58</f>
        <v>11.95</v>
      </c>
      <c r="N29" s="16" t="n">
        <f aca="false">+M29+O29</f>
        <v>11.9508</v>
      </c>
      <c r="O29" s="16" t="n">
        <f aca="false">RANDBETWEEN(-105,115)/10000</f>
        <v>0.0008</v>
      </c>
      <c r="P29" s="16" t="n">
        <f aca="false">+Chạy!O58</f>
        <v>1.84</v>
      </c>
      <c r="Q29" s="16" t="n">
        <f aca="false">P29+R29</f>
        <v>1.903</v>
      </c>
      <c r="R29" s="16" t="n">
        <f aca="false">RANDBETWEEN(-30,90)/1000</f>
        <v>0.063</v>
      </c>
      <c r="S29" s="17"/>
      <c r="T29" s="0" t="n">
        <v>6.55</v>
      </c>
      <c r="X29" s="119"/>
      <c r="Y29" s="102"/>
      <c r="AA29" s="120"/>
      <c r="AB29" s="121"/>
      <c r="AC29" s="122"/>
      <c r="AE29" s="122"/>
    </row>
    <row r="30" customFormat="false" ht="15.75" hidden="false" customHeight="true" outlineLevel="0" collapsed="false">
      <c r="A30" s="118" t="n">
        <v>9</v>
      </c>
      <c r="B30" s="13" t="s">
        <v>1</v>
      </c>
      <c r="C30" s="15" t="n">
        <f aca="false">+C29+T29</f>
        <v>575.12</v>
      </c>
      <c r="D30" s="16" t="n">
        <f aca="false">+Chạy!F66</f>
        <v>-11.95</v>
      </c>
      <c r="E30" s="16" t="n">
        <f aca="false">+D30+F30</f>
        <v>-11.9414</v>
      </c>
      <c r="F30" s="16" t="n">
        <f aca="false">RANDBETWEEN(-105,115)/10000</f>
        <v>0.0086</v>
      </c>
      <c r="G30" s="16" t="n">
        <f aca="false">+Chạy!G66</f>
        <v>1.84</v>
      </c>
      <c r="H30" s="16" t="n">
        <f aca="false">G30+I30</f>
        <v>1.899</v>
      </c>
      <c r="I30" s="16" t="n">
        <f aca="false">RANDBETWEEN(-30,90)/1000</f>
        <v>0.059</v>
      </c>
      <c r="J30" s="16" t="n">
        <f aca="false">+Chạy!K66</f>
        <v>1.95</v>
      </c>
      <c r="K30" s="16" t="n">
        <f aca="false">J30+L30</f>
        <v>2</v>
      </c>
      <c r="L30" s="16" t="n">
        <f aca="false">RANDBETWEEN(-30,90)/1000</f>
        <v>0.05</v>
      </c>
      <c r="M30" s="16" t="n">
        <f aca="false">+Chạy!N66</f>
        <v>11.95</v>
      </c>
      <c r="N30" s="16" t="n">
        <f aca="false">+M30+O30</f>
        <v>11.9441</v>
      </c>
      <c r="O30" s="16" t="n">
        <f aca="false">RANDBETWEEN(-105,115)/10000</f>
        <v>-0.0059</v>
      </c>
      <c r="P30" s="16" t="n">
        <f aca="false">+Chạy!O66</f>
        <v>1.84</v>
      </c>
      <c r="Q30" s="16" t="n">
        <f aca="false">P30+R30</f>
        <v>1.845</v>
      </c>
      <c r="R30" s="16" t="n">
        <f aca="false">RANDBETWEEN(-30,90)/1000</f>
        <v>0.005</v>
      </c>
      <c r="S30" s="17"/>
      <c r="T30" s="0" t="n">
        <v>0.04</v>
      </c>
      <c r="X30" s="119"/>
      <c r="Y30" s="102"/>
      <c r="AA30" s="120"/>
      <c r="AB30" s="121"/>
      <c r="AC30" s="122"/>
      <c r="AE30" s="122"/>
    </row>
    <row r="31" customFormat="false" ht="15.75" hidden="false" customHeight="true" outlineLevel="0" collapsed="false">
      <c r="A31" s="118" t="n">
        <v>10</v>
      </c>
      <c r="B31" s="13" t="s">
        <v>25</v>
      </c>
      <c r="C31" s="15" t="n">
        <f aca="false">+C30+T30</f>
        <v>575.16</v>
      </c>
      <c r="D31" s="16" t="n">
        <f aca="false">+Chạy!F74</f>
        <v>-11.95</v>
      </c>
      <c r="E31" s="16" t="n">
        <f aca="false">+D31+F31</f>
        <v>-11.948</v>
      </c>
      <c r="F31" s="16" t="n">
        <f aca="false">RANDBETWEEN(-105,115)/10000</f>
        <v>0.002</v>
      </c>
      <c r="G31" s="16" t="n">
        <f aca="false">+Chạy!G74</f>
        <v>1.97</v>
      </c>
      <c r="H31" s="16" t="n">
        <f aca="false">G31+I31</f>
        <v>2.048</v>
      </c>
      <c r="I31" s="16" t="n">
        <f aca="false">RANDBETWEEN(-30,90)/1000</f>
        <v>0.078</v>
      </c>
      <c r="J31" s="16" t="n">
        <f aca="false">+Chạy!K74</f>
        <v>1.95</v>
      </c>
      <c r="K31" s="16" t="n">
        <f aca="false">J31+L31</f>
        <v>1.964</v>
      </c>
      <c r="L31" s="16" t="n">
        <f aca="false">RANDBETWEEN(-30,90)/1000</f>
        <v>0.014</v>
      </c>
      <c r="M31" s="16" t="n">
        <f aca="false">+Chạy!N74</f>
        <v>11.95</v>
      </c>
      <c r="N31" s="16" t="n">
        <f aca="false">+M31+O31</f>
        <v>11.9532</v>
      </c>
      <c r="O31" s="16" t="n">
        <f aca="false">RANDBETWEEN(-105,115)/10000</f>
        <v>0.0032</v>
      </c>
      <c r="P31" s="16" t="n">
        <f aca="false">+Chạy!O74</f>
        <v>1.84</v>
      </c>
      <c r="Q31" s="16" t="n">
        <f aca="false">P31+R31</f>
        <v>1.871</v>
      </c>
      <c r="R31" s="16" t="n">
        <f aca="false">RANDBETWEEN(-30,90)/1000</f>
        <v>0.031</v>
      </c>
      <c r="S31" s="17"/>
      <c r="T31" s="0" t="n">
        <v>16.95</v>
      </c>
      <c r="X31" s="119"/>
      <c r="Y31" s="102"/>
      <c r="AA31" s="120"/>
      <c r="AB31" s="121"/>
      <c r="AC31" s="122"/>
      <c r="AE31" s="122"/>
    </row>
    <row r="32" customFormat="false" ht="15.75" hidden="false" customHeight="true" outlineLevel="0" collapsed="false">
      <c r="A32" s="118" t="n">
        <v>11</v>
      </c>
      <c r="B32" s="13" t="s">
        <v>26</v>
      </c>
      <c r="C32" s="15" t="n">
        <f aca="false">+C31+T31</f>
        <v>592.11</v>
      </c>
      <c r="D32" s="16" t="n">
        <f aca="false">+Chạy!F82</f>
        <v>-11.95</v>
      </c>
      <c r="E32" s="16" t="n">
        <f aca="false">+D32+F32</f>
        <v>-11.9458</v>
      </c>
      <c r="F32" s="16" t="n">
        <f aca="false">RANDBETWEEN(-105,115)/10000</f>
        <v>0.0042</v>
      </c>
      <c r="G32" s="16" t="n">
        <f aca="false">+Chạy!G82</f>
        <v>1.84</v>
      </c>
      <c r="H32" s="16" t="n">
        <f aca="false">G32+I32</f>
        <v>1.859</v>
      </c>
      <c r="I32" s="16" t="n">
        <f aca="false">RANDBETWEEN(-30,90)/1000</f>
        <v>0.019</v>
      </c>
      <c r="J32" s="16" t="n">
        <f aca="false">+Chạy!K82</f>
        <v>1.96</v>
      </c>
      <c r="K32" s="16" t="n">
        <f aca="false">J32+L32</f>
        <v>1.951</v>
      </c>
      <c r="L32" s="16" t="n">
        <f aca="false">RANDBETWEEN(-30,90)/1000</f>
        <v>-0.009</v>
      </c>
      <c r="M32" s="16" t="n">
        <f aca="false">+Chạy!N82</f>
        <v>11.95</v>
      </c>
      <c r="N32" s="16" t="n">
        <f aca="false">+M32+O32</f>
        <v>11.9507</v>
      </c>
      <c r="O32" s="16" t="n">
        <f aca="false">RANDBETWEEN(-105,115)/10000</f>
        <v>0.0007</v>
      </c>
      <c r="P32" s="16" t="n">
        <f aca="false">+Chạy!O82</f>
        <v>1.84</v>
      </c>
      <c r="Q32" s="16" t="n">
        <f aca="false">P32+R32</f>
        <v>1.905</v>
      </c>
      <c r="R32" s="16" t="n">
        <f aca="false">RANDBETWEEN(-30,90)/1000</f>
        <v>0.065</v>
      </c>
      <c r="S32" s="17"/>
      <c r="T32" s="0" t="n">
        <v>17</v>
      </c>
      <c r="X32" s="119"/>
      <c r="Y32" s="102"/>
      <c r="AA32" s="120"/>
      <c r="AB32" s="121"/>
      <c r="AC32" s="122"/>
      <c r="AE32" s="122"/>
    </row>
    <row r="33" customFormat="false" ht="15.75" hidden="false" customHeight="true" outlineLevel="0" collapsed="false">
      <c r="A33" s="118" t="n">
        <v>12</v>
      </c>
      <c r="B33" s="13" t="s">
        <v>27</v>
      </c>
      <c r="C33" s="15" t="n">
        <f aca="false">+C32+T32</f>
        <v>609.11</v>
      </c>
      <c r="D33" s="16" t="n">
        <f aca="false">+Chạy!F90</f>
        <v>-11.95</v>
      </c>
      <c r="E33" s="16" t="n">
        <f aca="false">+D33+F33</f>
        <v>-11.9576</v>
      </c>
      <c r="F33" s="16" t="n">
        <f aca="false">RANDBETWEEN(-105,115)/10000</f>
        <v>-0.0076</v>
      </c>
      <c r="G33" s="16" t="n">
        <f aca="false">+Chạy!G90</f>
        <v>1.84</v>
      </c>
      <c r="H33" s="16" t="n">
        <f aca="false">G33+I33</f>
        <v>1.88</v>
      </c>
      <c r="I33" s="16" t="n">
        <f aca="false">RANDBETWEEN(-30,90)/1000</f>
        <v>0.04</v>
      </c>
      <c r="J33" s="16" t="n">
        <f aca="false">+Chạy!K90</f>
        <v>1.96</v>
      </c>
      <c r="K33" s="16" t="n">
        <f aca="false">J33+L33</f>
        <v>1.947</v>
      </c>
      <c r="L33" s="16" t="n">
        <f aca="false">RANDBETWEEN(-30,90)/1000</f>
        <v>-0.013</v>
      </c>
      <c r="M33" s="16" t="n">
        <f aca="false">+Chạy!N90</f>
        <v>11.95</v>
      </c>
      <c r="N33" s="16" t="n">
        <f aca="false">+M33+O33</f>
        <v>11.9411</v>
      </c>
      <c r="O33" s="16" t="n">
        <f aca="false">RANDBETWEEN(-105,115)/10000</f>
        <v>-0.0089</v>
      </c>
      <c r="P33" s="16" t="n">
        <f aca="false">+Chạy!O90</f>
        <v>1.84</v>
      </c>
      <c r="Q33" s="16" t="n">
        <f aca="false">P33+R33</f>
        <v>1.899</v>
      </c>
      <c r="R33" s="16" t="n">
        <f aca="false">RANDBETWEEN(-30,90)/1000</f>
        <v>0.059</v>
      </c>
      <c r="S33" s="17"/>
      <c r="X33" s="119"/>
      <c r="Y33" s="102"/>
      <c r="AA33" s="120"/>
      <c r="AB33" s="121"/>
      <c r="AC33" s="122"/>
      <c r="AE33" s="122"/>
    </row>
    <row r="34" customFormat="false" ht="15.75" hidden="true" customHeight="true" outlineLevel="0" collapsed="false">
      <c r="A34" s="118"/>
      <c r="B34" s="13"/>
      <c r="C34" s="15"/>
      <c r="D34" s="16"/>
      <c r="E34" s="16"/>
      <c r="F34" s="16"/>
      <c r="G34" s="16"/>
      <c r="H34" s="16"/>
      <c r="I34" s="16"/>
      <c r="J34" s="16"/>
      <c r="K34" s="16"/>
      <c r="L34" s="16"/>
      <c r="M34" s="16"/>
      <c r="N34" s="16"/>
      <c r="O34" s="16"/>
      <c r="P34" s="16"/>
      <c r="Q34" s="16"/>
      <c r="R34" s="16"/>
      <c r="S34" s="17"/>
      <c r="X34" s="119"/>
      <c r="Y34" s="102"/>
      <c r="AA34" s="120"/>
      <c r="AB34" s="121"/>
      <c r="AC34" s="122"/>
      <c r="AE34" s="122"/>
    </row>
    <row r="35" customFormat="false" ht="15.75" hidden="true" customHeight="true" outlineLevel="0" collapsed="false">
      <c r="A35" s="118"/>
      <c r="B35" s="13"/>
      <c r="C35" s="15"/>
      <c r="D35" s="16"/>
      <c r="E35" s="16"/>
      <c r="F35" s="16"/>
      <c r="G35" s="16"/>
      <c r="H35" s="16"/>
      <c r="I35" s="16"/>
      <c r="J35" s="16"/>
      <c r="K35" s="16"/>
      <c r="L35" s="16"/>
      <c r="M35" s="16"/>
      <c r="N35" s="16"/>
      <c r="O35" s="16"/>
      <c r="P35" s="16"/>
      <c r="Q35" s="16"/>
      <c r="R35" s="16"/>
      <c r="S35" s="17"/>
      <c r="X35" s="119"/>
      <c r="Y35" s="102"/>
      <c r="AA35" s="120"/>
      <c r="AB35" s="121"/>
      <c r="AC35" s="122"/>
      <c r="AE35" s="122"/>
    </row>
    <row r="36" customFormat="false" ht="15.75" hidden="true" customHeight="true" outlineLevel="0" collapsed="false">
      <c r="A36" s="118"/>
      <c r="B36" s="13"/>
      <c r="C36" s="15"/>
      <c r="D36" s="16"/>
      <c r="E36" s="16"/>
      <c r="F36" s="16"/>
      <c r="G36" s="16"/>
      <c r="H36" s="16"/>
      <c r="I36" s="16"/>
      <c r="J36" s="16"/>
      <c r="K36" s="16"/>
      <c r="L36" s="16"/>
      <c r="M36" s="16"/>
      <c r="N36" s="16"/>
      <c r="O36" s="16"/>
      <c r="P36" s="16"/>
      <c r="Q36" s="16"/>
      <c r="R36" s="16"/>
      <c r="S36" s="17"/>
      <c r="X36" s="119"/>
      <c r="Y36" s="102"/>
      <c r="AA36" s="120"/>
      <c r="AB36" s="121"/>
      <c r="AC36" s="122"/>
      <c r="AE36" s="122"/>
    </row>
    <row r="37" customFormat="false" ht="15.75" hidden="true" customHeight="true" outlineLevel="0" collapsed="false">
      <c r="A37" s="118"/>
      <c r="B37" s="13"/>
      <c r="C37" s="15"/>
      <c r="D37" s="16"/>
      <c r="E37" s="16"/>
      <c r="F37" s="16"/>
      <c r="G37" s="16"/>
      <c r="H37" s="16"/>
      <c r="I37" s="16"/>
      <c r="J37" s="16"/>
      <c r="K37" s="16"/>
      <c r="L37" s="16"/>
      <c r="M37" s="16"/>
      <c r="N37" s="16"/>
      <c r="O37" s="16"/>
      <c r="P37" s="16"/>
      <c r="Q37" s="16"/>
      <c r="R37" s="16"/>
      <c r="S37" s="17"/>
      <c r="X37" s="119"/>
      <c r="Y37" s="102"/>
      <c r="AA37" s="120"/>
      <c r="AB37" s="121"/>
      <c r="AC37" s="122"/>
      <c r="AE37" s="122"/>
    </row>
    <row r="38" customFormat="false" ht="15.75" hidden="true" customHeight="true" outlineLevel="0" collapsed="false">
      <c r="A38" s="118"/>
      <c r="B38" s="13"/>
      <c r="C38" s="15"/>
      <c r="D38" s="16"/>
      <c r="E38" s="16"/>
      <c r="F38" s="16"/>
      <c r="G38" s="16"/>
      <c r="H38" s="16"/>
      <c r="I38" s="16"/>
      <c r="J38" s="16"/>
      <c r="K38" s="16"/>
      <c r="L38" s="16"/>
      <c r="M38" s="16"/>
      <c r="N38" s="16"/>
      <c r="O38" s="16"/>
      <c r="P38" s="16"/>
      <c r="Q38" s="16"/>
      <c r="R38" s="16"/>
      <c r="S38" s="17"/>
      <c r="X38" s="119"/>
      <c r="Y38" s="102"/>
      <c r="AA38" s="120"/>
      <c r="AB38" s="121"/>
      <c r="AC38" s="122"/>
      <c r="AE38" s="122"/>
    </row>
    <row r="39" customFormat="false" ht="15.75" hidden="true" customHeight="true" outlineLevel="0" collapsed="false">
      <c r="A39" s="118"/>
      <c r="B39" s="13"/>
      <c r="C39" s="15"/>
      <c r="D39" s="16"/>
      <c r="E39" s="16"/>
      <c r="F39" s="16"/>
      <c r="G39" s="16"/>
      <c r="H39" s="16"/>
      <c r="I39" s="16"/>
      <c r="J39" s="16"/>
      <c r="K39" s="16"/>
      <c r="L39" s="16"/>
      <c r="M39" s="16"/>
      <c r="N39" s="16"/>
      <c r="O39" s="16"/>
      <c r="P39" s="16"/>
      <c r="Q39" s="16"/>
      <c r="R39" s="16"/>
      <c r="S39" s="17"/>
      <c r="X39" s="119"/>
      <c r="Y39" s="102"/>
      <c r="AA39" s="120"/>
      <c r="AB39" s="121"/>
      <c r="AC39" s="122"/>
      <c r="AE39" s="122"/>
    </row>
    <row r="40" customFormat="false" ht="15.75" hidden="true" customHeight="true" outlineLevel="0" collapsed="false">
      <c r="A40" s="118"/>
      <c r="B40" s="13"/>
      <c r="C40" s="15"/>
      <c r="D40" s="16"/>
      <c r="E40" s="16"/>
      <c r="F40" s="16"/>
      <c r="G40" s="16"/>
      <c r="H40" s="16"/>
      <c r="I40" s="16"/>
      <c r="J40" s="16"/>
      <c r="K40" s="16"/>
      <c r="L40" s="16"/>
      <c r="M40" s="16"/>
      <c r="N40" s="16"/>
      <c r="O40" s="16"/>
      <c r="P40" s="16"/>
      <c r="Q40" s="16"/>
      <c r="R40" s="16"/>
      <c r="S40" s="17"/>
      <c r="X40" s="119"/>
      <c r="Y40" s="102"/>
      <c r="AA40" s="120"/>
      <c r="AB40" s="121"/>
      <c r="AC40" s="122"/>
      <c r="AE40" s="122"/>
    </row>
    <row r="41" customFormat="false" ht="15.75" hidden="true" customHeight="true" outlineLevel="0" collapsed="false">
      <c r="A41" s="118"/>
      <c r="B41" s="13"/>
      <c r="C41" s="15"/>
      <c r="D41" s="16"/>
      <c r="E41" s="16"/>
      <c r="F41" s="16"/>
      <c r="G41" s="16"/>
      <c r="H41" s="16"/>
      <c r="I41" s="16"/>
      <c r="J41" s="16"/>
      <c r="K41" s="16"/>
      <c r="L41" s="16"/>
      <c r="M41" s="16"/>
      <c r="N41" s="16"/>
      <c r="O41" s="16"/>
      <c r="P41" s="16"/>
      <c r="Q41" s="16"/>
      <c r="R41" s="16"/>
      <c r="S41" s="17"/>
      <c r="X41" s="119"/>
      <c r="Y41" s="102"/>
      <c r="AA41" s="120"/>
      <c r="AB41" s="121"/>
      <c r="AC41" s="122"/>
      <c r="AE41" s="122"/>
    </row>
    <row r="42" customFormat="false" ht="15.75" hidden="true" customHeight="true" outlineLevel="0" collapsed="false">
      <c r="A42" s="118"/>
      <c r="B42" s="13"/>
      <c r="C42" s="15"/>
      <c r="D42" s="16"/>
      <c r="E42" s="16"/>
      <c r="F42" s="16"/>
      <c r="G42" s="16"/>
      <c r="H42" s="16"/>
      <c r="I42" s="16"/>
      <c r="J42" s="16"/>
      <c r="K42" s="16"/>
      <c r="L42" s="16"/>
      <c r="M42" s="16"/>
      <c r="N42" s="16"/>
      <c r="O42" s="16"/>
      <c r="P42" s="16"/>
      <c r="Q42" s="16"/>
      <c r="R42" s="16"/>
      <c r="S42" s="17"/>
      <c r="X42" s="119"/>
      <c r="Y42" s="102"/>
      <c r="AA42" s="120"/>
      <c r="AB42" s="121"/>
      <c r="AC42" s="122"/>
      <c r="AE42" s="122"/>
    </row>
    <row r="43" customFormat="false" ht="15.75" hidden="true" customHeight="true" outlineLevel="0" collapsed="false">
      <c r="A43" s="118"/>
      <c r="B43" s="13"/>
      <c r="C43" s="15"/>
      <c r="D43" s="16"/>
      <c r="E43" s="16"/>
      <c r="F43" s="16"/>
      <c r="G43" s="16"/>
      <c r="H43" s="16"/>
      <c r="I43" s="16"/>
      <c r="J43" s="16"/>
      <c r="K43" s="16"/>
      <c r="L43" s="16"/>
      <c r="M43" s="16"/>
      <c r="N43" s="16"/>
      <c r="O43" s="16"/>
      <c r="P43" s="16"/>
      <c r="Q43" s="16"/>
      <c r="R43" s="16"/>
      <c r="S43" s="17"/>
      <c r="X43" s="119"/>
      <c r="Y43" s="102"/>
      <c r="AA43" s="120"/>
      <c r="AB43" s="121"/>
      <c r="AC43" s="122"/>
      <c r="AE43" s="122"/>
    </row>
    <row r="44" customFormat="false" ht="15.75" hidden="true" customHeight="true" outlineLevel="0" collapsed="false">
      <c r="A44" s="118"/>
      <c r="B44" s="13"/>
      <c r="C44" s="15"/>
      <c r="D44" s="16"/>
      <c r="E44" s="16"/>
      <c r="F44" s="16"/>
      <c r="G44" s="16"/>
      <c r="H44" s="16"/>
      <c r="I44" s="16"/>
      <c r="J44" s="16"/>
      <c r="K44" s="16"/>
      <c r="L44" s="16"/>
      <c r="M44" s="16"/>
      <c r="N44" s="16"/>
      <c r="O44" s="16"/>
      <c r="P44" s="16"/>
      <c r="Q44" s="16"/>
      <c r="R44" s="16"/>
      <c r="S44" s="17"/>
      <c r="X44" s="119"/>
      <c r="Y44" s="102"/>
      <c r="AA44" s="120"/>
      <c r="AB44" s="121"/>
      <c r="AC44" s="122"/>
      <c r="AE44" s="122"/>
    </row>
    <row r="45" customFormat="false" ht="15.75" hidden="true" customHeight="true" outlineLevel="0" collapsed="false">
      <c r="A45" s="118"/>
      <c r="B45" s="13"/>
      <c r="C45" s="15"/>
      <c r="D45" s="16"/>
      <c r="E45" s="16"/>
      <c r="F45" s="16"/>
      <c r="G45" s="16"/>
      <c r="H45" s="16"/>
      <c r="I45" s="16"/>
      <c r="J45" s="16"/>
      <c r="K45" s="16"/>
      <c r="L45" s="16"/>
      <c r="M45" s="16"/>
      <c r="N45" s="16"/>
      <c r="O45" s="16"/>
      <c r="P45" s="16"/>
      <c r="Q45" s="16"/>
      <c r="R45" s="16"/>
      <c r="S45" s="17"/>
      <c r="X45" s="119"/>
      <c r="Y45" s="102"/>
      <c r="AA45" s="120"/>
      <c r="AB45" s="121"/>
      <c r="AC45" s="122"/>
      <c r="AE45" s="122"/>
    </row>
    <row r="46" customFormat="false" ht="15.75" hidden="true" customHeight="true" outlineLevel="0" collapsed="false">
      <c r="A46" s="118"/>
      <c r="B46" s="13"/>
      <c r="C46" s="15"/>
      <c r="D46" s="16"/>
      <c r="E46" s="16"/>
      <c r="F46" s="16"/>
      <c r="G46" s="16"/>
      <c r="H46" s="16"/>
      <c r="I46" s="16"/>
      <c r="J46" s="16"/>
      <c r="K46" s="16"/>
      <c r="L46" s="16"/>
      <c r="M46" s="16"/>
      <c r="N46" s="16"/>
      <c r="O46" s="16"/>
      <c r="P46" s="16"/>
      <c r="Q46" s="16"/>
      <c r="R46" s="16"/>
      <c r="S46" s="17"/>
      <c r="X46" s="119"/>
      <c r="Y46" s="102"/>
      <c r="AA46" s="120"/>
      <c r="AB46" s="121"/>
      <c r="AC46" s="122"/>
      <c r="AE46" s="122"/>
    </row>
    <row r="47" customFormat="false" ht="15.75" hidden="true" customHeight="true" outlineLevel="0" collapsed="false">
      <c r="A47" s="118"/>
      <c r="B47" s="13"/>
      <c r="C47" s="15"/>
      <c r="D47" s="16"/>
      <c r="E47" s="16"/>
      <c r="F47" s="16"/>
      <c r="G47" s="16"/>
      <c r="H47" s="16"/>
      <c r="I47" s="16"/>
      <c r="J47" s="16"/>
      <c r="K47" s="16"/>
      <c r="L47" s="16"/>
      <c r="M47" s="16"/>
      <c r="N47" s="16"/>
      <c r="O47" s="16"/>
      <c r="P47" s="16"/>
      <c r="Q47" s="16"/>
      <c r="R47" s="16"/>
      <c r="S47" s="17"/>
      <c r="X47" s="119"/>
      <c r="Y47" s="102"/>
      <c r="AA47" s="120"/>
      <c r="AB47" s="121"/>
      <c r="AC47" s="122"/>
      <c r="AE47" s="122"/>
    </row>
    <row r="48" customFormat="false" ht="15.75" hidden="true" customHeight="true" outlineLevel="0" collapsed="false">
      <c r="A48" s="118"/>
      <c r="B48" s="13"/>
      <c r="C48" s="15"/>
      <c r="D48" s="16"/>
      <c r="E48" s="16"/>
      <c r="F48" s="16"/>
      <c r="G48" s="16"/>
      <c r="H48" s="16"/>
      <c r="I48" s="16"/>
      <c r="J48" s="16"/>
      <c r="K48" s="16"/>
      <c r="L48" s="16"/>
      <c r="M48" s="16"/>
      <c r="N48" s="16"/>
      <c r="O48" s="16"/>
      <c r="P48" s="16"/>
      <c r="Q48" s="16"/>
      <c r="R48" s="16"/>
      <c r="S48" s="17"/>
      <c r="X48" s="119"/>
      <c r="Y48" s="102"/>
      <c r="AA48" s="120"/>
      <c r="AB48" s="121"/>
      <c r="AC48" s="122"/>
      <c r="AE48" s="122"/>
    </row>
    <row r="49" customFormat="false" ht="15.75" hidden="true" customHeight="true" outlineLevel="0" collapsed="false">
      <c r="A49" s="118"/>
      <c r="B49" s="13"/>
      <c r="C49" s="15"/>
      <c r="D49" s="16"/>
      <c r="E49" s="16"/>
      <c r="F49" s="16"/>
      <c r="G49" s="16"/>
      <c r="H49" s="16"/>
      <c r="I49" s="16"/>
      <c r="J49" s="16"/>
      <c r="K49" s="16"/>
      <c r="L49" s="16"/>
      <c r="M49" s="16"/>
      <c r="N49" s="16"/>
      <c r="O49" s="16"/>
      <c r="P49" s="16"/>
      <c r="Q49" s="16"/>
      <c r="R49" s="16"/>
      <c r="S49" s="17"/>
      <c r="X49" s="119"/>
      <c r="Y49" s="102"/>
      <c r="AA49" s="120"/>
      <c r="AB49" s="121"/>
      <c r="AC49" s="122"/>
      <c r="AE49" s="122"/>
    </row>
    <row r="50" customFormat="false" ht="15.75" hidden="true" customHeight="true" outlineLevel="0" collapsed="false">
      <c r="A50" s="118"/>
      <c r="B50" s="13"/>
      <c r="C50" s="15"/>
      <c r="D50" s="16"/>
      <c r="E50" s="16"/>
      <c r="F50" s="16"/>
      <c r="G50" s="16"/>
      <c r="H50" s="16"/>
      <c r="I50" s="16"/>
      <c r="J50" s="16"/>
      <c r="K50" s="16"/>
      <c r="L50" s="16"/>
      <c r="M50" s="16"/>
      <c r="N50" s="16"/>
      <c r="O50" s="16"/>
      <c r="P50" s="16"/>
      <c r="Q50" s="16"/>
      <c r="R50" s="16"/>
      <c r="S50" s="17"/>
      <c r="X50" s="119"/>
      <c r="Y50" s="102"/>
      <c r="AA50" s="120"/>
      <c r="AB50" s="121"/>
      <c r="AC50" s="122"/>
      <c r="AE50" s="122"/>
    </row>
    <row r="51" customFormat="false" ht="15.75" hidden="true" customHeight="true" outlineLevel="0" collapsed="false">
      <c r="A51" s="118"/>
      <c r="B51" s="13"/>
      <c r="C51" s="15"/>
      <c r="D51" s="16"/>
      <c r="E51" s="16"/>
      <c r="F51" s="16"/>
      <c r="G51" s="16"/>
      <c r="H51" s="16"/>
      <c r="I51" s="16"/>
      <c r="J51" s="16"/>
      <c r="K51" s="16"/>
      <c r="L51" s="16"/>
      <c r="M51" s="16"/>
      <c r="N51" s="16"/>
      <c r="O51" s="16"/>
      <c r="P51" s="16"/>
      <c r="Q51" s="16"/>
      <c r="R51" s="16"/>
      <c r="S51" s="17"/>
      <c r="X51" s="119"/>
      <c r="Y51" s="102"/>
      <c r="AA51" s="120"/>
      <c r="AB51" s="121"/>
      <c r="AC51" s="122"/>
      <c r="AE51" s="122"/>
    </row>
    <row r="52" customFormat="false" ht="15.75" hidden="true" customHeight="true" outlineLevel="0" collapsed="false">
      <c r="A52" s="118"/>
      <c r="B52" s="13"/>
      <c r="C52" s="15"/>
      <c r="D52" s="16"/>
      <c r="E52" s="16"/>
      <c r="F52" s="16"/>
      <c r="G52" s="16"/>
      <c r="H52" s="16"/>
      <c r="I52" s="16"/>
      <c r="J52" s="16"/>
      <c r="K52" s="16"/>
      <c r="L52" s="16"/>
      <c r="M52" s="16"/>
      <c r="N52" s="16"/>
      <c r="O52" s="16"/>
      <c r="P52" s="16"/>
      <c r="Q52" s="16"/>
      <c r="R52" s="16"/>
      <c r="S52" s="17"/>
      <c r="X52" s="119"/>
      <c r="Y52" s="102"/>
      <c r="AA52" s="120"/>
      <c r="AB52" s="121"/>
      <c r="AC52" s="122"/>
      <c r="AE52" s="122"/>
    </row>
    <row r="53" customFormat="false" ht="15.75" hidden="true" customHeight="true" outlineLevel="0" collapsed="false">
      <c r="A53" s="118"/>
      <c r="B53" s="13"/>
      <c r="C53" s="15"/>
      <c r="D53" s="16"/>
      <c r="E53" s="16"/>
      <c r="F53" s="16"/>
      <c r="G53" s="16"/>
      <c r="H53" s="16"/>
      <c r="I53" s="16"/>
      <c r="J53" s="16"/>
      <c r="K53" s="16"/>
      <c r="L53" s="16"/>
      <c r="M53" s="16"/>
      <c r="N53" s="16"/>
      <c r="O53" s="16"/>
      <c r="P53" s="16"/>
      <c r="Q53" s="16"/>
      <c r="R53" s="16"/>
      <c r="S53" s="17"/>
      <c r="X53" s="119"/>
      <c r="Y53" s="102"/>
      <c r="AA53" s="120"/>
      <c r="AB53" s="121"/>
      <c r="AC53" s="122"/>
      <c r="AE53" s="122"/>
    </row>
    <row r="54" customFormat="false" ht="15.75" hidden="true" customHeight="true" outlineLevel="0" collapsed="false">
      <c r="A54" s="118"/>
      <c r="B54" s="13"/>
      <c r="C54" s="15"/>
      <c r="D54" s="16"/>
      <c r="E54" s="16"/>
      <c r="F54" s="16"/>
      <c r="G54" s="16"/>
      <c r="H54" s="16"/>
      <c r="I54" s="16"/>
      <c r="J54" s="16"/>
      <c r="K54" s="16"/>
      <c r="L54" s="16"/>
      <c r="M54" s="16"/>
      <c r="N54" s="16"/>
      <c r="O54" s="16"/>
      <c r="P54" s="16"/>
      <c r="Q54" s="16"/>
      <c r="R54" s="16"/>
      <c r="S54" s="17"/>
      <c r="X54" s="119"/>
      <c r="Y54" s="102"/>
      <c r="AA54" s="120"/>
      <c r="AB54" s="121"/>
      <c r="AC54" s="122"/>
      <c r="AE54" s="122"/>
    </row>
    <row r="55" customFormat="false" ht="15.75" hidden="true" customHeight="true" outlineLevel="0" collapsed="false">
      <c r="A55" s="118"/>
      <c r="B55" s="13"/>
      <c r="C55" s="15"/>
      <c r="D55" s="16"/>
      <c r="E55" s="16"/>
      <c r="F55" s="16"/>
      <c r="G55" s="16"/>
      <c r="H55" s="16"/>
      <c r="I55" s="16"/>
      <c r="J55" s="16"/>
      <c r="K55" s="16"/>
      <c r="L55" s="16"/>
      <c r="M55" s="16"/>
      <c r="N55" s="16"/>
      <c r="O55" s="16"/>
      <c r="P55" s="16"/>
      <c r="Q55" s="16"/>
      <c r="R55" s="16"/>
      <c r="S55" s="17"/>
      <c r="X55" s="119"/>
      <c r="Y55" s="102"/>
      <c r="AA55" s="120"/>
      <c r="AB55" s="121"/>
      <c r="AC55" s="122"/>
      <c r="AE55" s="122"/>
    </row>
    <row r="56" customFormat="false" ht="15.75" hidden="true" customHeight="true" outlineLevel="0" collapsed="false">
      <c r="A56" s="118"/>
      <c r="B56" s="13"/>
      <c r="C56" s="15"/>
      <c r="D56" s="16"/>
      <c r="E56" s="16"/>
      <c r="F56" s="16"/>
      <c r="G56" s="16"/>
      <c r="H56" s="16"/>
      <c r="I56" s="16"/>
      <c r="J56" s="16"/>
      <c r="K56" s="16"/>
      <c r="L56" s="16"/>
      <c r="M56" s="16"/>
      <c r="N56" s="16"/>
      <c r="O56" s="16"/>
      <c r="P56" s="16"/>
      <c r="Q56" s="16"/>
      <c r="R56" s="16"/>
      <c r="S56" s="17"/>
      <c r="X56" s="119"/>
      <c r="Y56" s="102"/>
      <c r="AA56" s="120"/>
      <c r="AB56" s="121"/>
      <c r="AC56" s="122"/>
      <c r="AE56" s="122"/>
    </row>
    <row r="57" customFormat="false" ht="15.75" hidden="true" customHeight="true" outlineLevel="0" collapsed="false">
      <c r="A57" s="118"/>
      <c r="B57" s="13"/>
      <c r="C57" s="15"/>
      <c r="D57" s="16"/>
      <c r="E57" s="16"/>
      <c r="F57" s="16"/>
      <c r="G57" s="16"/>
      <c r="H57" s="16"/>
      <c r="I57" s="16"/>
      <c r="J57" s="16"/>
      <c r="K57" s="16"/>
      <c r="L57" s="16"/>
      <c r="M57" s="16"/>
      <c r="N57" s="16"/>
      <c r="O57" s="16"/>
      <c r="P57" s="16"/>
      <c r="Q57" s="16"/>
      <c r="R57" s="16"/>
      <c r="S57" s="17"/>
      <c r="X57" s="119"/>
      <c r="Y57" s="102"/>
      <c r="AA57" s="120"/>
      <c r="AB57" s="121"/>
      <c r="AC57" s="122"/>
      <c r="AE57" s="122"/>
    </row>
    <row r="58" customFormat="false" ht="15.75" hidden="true" customHeight="true" outlineLevel="0" collapsed="false">
      <c r="A58" s="118"/>
      <c r="B58" s="13"/>
      <c r="C58" s="15"/>
      <c r="D58" s="16"/>
      <c r="E58" s="16"/>
      <c r="F58" s="16"/>
      <c r="G58" s="16"/>
      <c r="H58" s="16"/>
      <c r="I58" s="16"/>
      <c r="J58" s="16"/>
      <c r="K58" s="16"/>
      <c r="L58" s="16"/>
      <c r="M58" s="16"/>
      <c r="N58" s="16"/>
      <c r="O58" s="16"/>
      <c r="P58" s="16"/>
      <c r="Q58" s="16"/>
      <c r="R58" s="16"/>
      <c r="S58" s="17"/>
      <c r="X58" s="119"/>
      <c r="Y58" s="102"/>
      <c r="AA58" s="120"/>
      <c r="AB58" s="121"/>
      <c r="AC58" s="122"/>
      <c r="AE58" s="122"/>
    </row>
    <row r="59" customFormat="false" ht="15.75" hidden="true" customHeight="true" outlineLevel="0" collapsed="false">
      <c r="A59" s="118"/>
      <c r="B59" s="13"/>
      <c r="C59" s="15"/>
      <c r="D59" s="16"/>
      <c r="E59" s="16"/>
      <c r="F59" s="16"/>
      <c r="G59" s="16"/>
      <c r="H59" s="16"/>
      <c r="I59" s="16"/>
      <c r="J59" s="16"/>
      <c r="K59" s="16"/>
      <c r="L59" s="16"/>
      <c r="M59" s="16"/>
      <c r="N59" s="16"/>
      <c r="O59" s="16"/>
      <c r="P59" s="16"/>
      <c r="Q59" s="16"/>
      <c r="R59" s="16"/>
      <c r="S59" s="17"/>
      <c r="X59" s="119"/>
      <c r="Y59" s="102"/>
      <c r="AA59" s="120"/>
      <c r="AB59" s="121"/>
      <c r="AC59" s="122"/>
      <c r="AE59" s="122"/>
    </row>
    <row r="60" customFormat="false" ht="15.75" hidden="true" customHeight="true" outlineLevel="0" collapsed="false">
      <c r="A60" s="118"/>
      <c r="B60" s="13"/>
      <c r="C60" s="15"/>
      <c r="D60" s="16"/>
      <c r="E60" s="16"/>
      <c r="F60" s="16"/>
      <c r="G60" s="16"/>
      <c r="H60" s="16"/>
      <c r="I60" s="16"/>
      <c r="J60" s="16"/>
      <c r="K60" s="16"/>
      <c r="L60" s="16"/>
      <c r="M60" s="16"/>
      <c r="N60" s="16"/>
      <c r="O60" s="16"/>
      <c r="P60" s="16"/>
      <c r="Q60" s="16"/>
      <c r="R60" s="16"/>
      <c r="S60" s="17"/>
      <c r="X60" s="119"/>
      <c r="Y60" s="102"/>
      <c r="AA60" s="120"/>
      <c r="AB60" s="121"/>
      <c r="AC60" s="122"/>
      <c r="AE60" s="122"/>
    </row>
    <row r="61" customFormat="false" ht="15.75" hidden="true" customHeight="true" outlineLevel="0" collapsed="false">
      <c r="A61" s="118"/>
      <c r="B61" s="13"/>
      <c r="C61" s="15"/>
      <c r="D61" s="16"/>
      <c r="E61" s="16"/>
      <c r="F61" s="16"/>
      <c r="G61" s="16"/>
      <c r="H61" s="16"/>
      <c r="I61" s="16"/>
      <c r="J61" s="16"/>
      <c r="K61" s="16"/>
      <c r="L61" s="16"/>
      <c r="M61" s="16"/>
      <c r="N61" s="16"/>
      <c r="O61" s="16"/>
      <c r="P61" s="16"/>
      <c r="Q61" s="16"/>
      <c r="R61" s="16"/>
      <c r="S61" s="17"/>
      <c r="X61" s="119"/>
      <c r="Y61" s="102"/>
      <c r="AA61" s="120"/>
      <c r="AB61" s="121"/>
      <c r="AC61" s="122"/>
      <c r="AE61" s="122"/>
    </row>
    <row r="62" customFormat="false" ht="15.75" hidden="false" customHeight="true" outlineLevel="0" collapsed="false">
      <c r="A62" s="88"/>
    </row>
    <row r="63" customFormat="false" ht="15.75" hidden="false" customHeight="true" outlineLevel="0" collapsed="false">
      <c r="A63" s="88"/>
      <c r="C63" s="19" t="s">
        <v>50</v>
      </c>
      <c r="D63" s="19"/>
      <c r="E63" s="19"/>
      <c r="F63" s="19"/>
      <c r="G63" s="19"/>
      <c r="H63" s="19"/>
      <c r="I63" s="19"/>
      <c r="K63" s="20"/>
      <c r="L63" s="20"/>
      <c r="M63" s="20"/>
      <c r="N63" s="20"/>
      <c r="O63" s="19" t="s">
        <v>51</v>
      </c>
      <c r="P63" s="19"/>
      <c r="Q63" s="19"/>
      <c r="R63" s="19"/>
    </row>
    <row r="64" customFormat="false" ht="15.75" hidden="false" customHeight="true" outlineLevel="0" collapsed="false">
      <c r="A64" s="88"/>
      <c r="E64" s="21"/>
      <c r="F64" s="21"/>
      <c r="G64" s="21"/>
      <c r="H64" s="21"/>
      <c r="K64" s="21"/>
      <c r="L64" s="21"/>
      <c r="M64" s="21"/>
      <c r="N64" s="21"/>
      <c r="O64" s="21"/>
      <c r="P64" s="21"/>
      <c r="Q64" s="21"/>
      <c r="R64" s="21"/>
    </row>
    <row r="65" customFormat="false" ht="15.75" hidden="false" customHeight="true" outlineLevel="0" collapsed="false">
      <c r="A65" s="88"/>
      <c r="E65" s="21"/>
      <c r="F65" s="21"/>
      <c r="G65" s="21"/>
      <c r="H65" s="21"/>
      <c r="K65" s="21"/>
      <c r="L65" s="21"/>
      <c r="M65" s="21"/>
      <c r="N65" s="21"/>
      <c r="O65" s="21"/>
      <c r="P65" s="21"/>
      <c r="Q65" s="21"/>
      <c r="R65" s="21"/>
    </row>
    <row r="66" customFormat="false" ht="15.75" hidden="false" customHeight="true" outlineLevel="0" collapsed="false">
      <c r="A66" s="88"/>
      <c r="E66" s="21"/>
      <c r="F66" s="21"/>
      <c r="G66" s="21"/>
      <c r="H66" s="21"/>
      <c r="K66" s="21"/>
      <c r="L66" s="21"/>
      <c r="M66" s="21"/>
      <c r="N66" s="21"/>
      <c r="O66" s="21"/>
      <c r="P66" s="21"/>
      <c r="Q66" s="21"/>
      <c r="R66" s="21"/>
    </row>
    <row r="67" customFormat="false" ht="15.75" hidden="false" customHeight="true" outlineLevel="0" collapsed="false">
      <c r="A67" s="88"/>
      <c r="E67" s="21"/>
      <c r="F67" s="21"/>
      <c r="G67" s="21"/>
      <c r="H67" s="21"/>
      <c r="K67" s="21"/>
      <c r="L67" s="21"/>
      <c r="M67" s="21"/>
      <c r="N67" s="21"/>
      <c r="O67" s="21"/>
      <c r="P67" s="21"/>
      <c r="Q67" s="21"/>
      <c r="R67" s="21"/>
    </row>
    <row r="68" customFormat="false" ht="15.75" hidden="false" customHeight="true" outlineLevel="0" collapsed="false">
      <c r="A68" s="88"/>
      <c r="C68" s="19" t="s">
        <v>52</v>
      </c>
      <c r="D68" s="19"/>
      <c r="E68" s="19"/>
      <c r="F68" s="19"/>
      <c r="G68" s="19"/>
      <c r="H68" s="19"/>
      <c r="I68" s="19"/>
      <c r="K68" s="20"/>
      <c r="L68" s="20"/>
      <c r="M68" s="20"/>
      <c r="N68" s="20"/>
      <c r="O68" s="19" t="str">
        <f aca="false">+'1.KTHH L1'!O67:R67</f>
        <v>Trần Mạnh Tùng</v>
      </c>
      <c r="P68" s="19"/>
      <c r="Q68" s="19"/>
      <c r="R68" s="19"/>
    </row>
  </sheetData>
  <mergeCells count="13">
    <mergeCell ref="A1:S1"/>
    <mergeCell ref="A2:S2"/>
    <mergeCell ref="A20:A21"/>
    <mergeCell ref="B20:B21"/>
    <mergeCell ref="C20:C21"/>
    <mergeCell ref="D20:I20"/>
    <mergeCell ref="J20:L20"/>
    <mergeCell ref="M20:R20"/>
    <mergeCell ref="S20:S21"/>
    <mergeCell ref="C63:I63"/>
    <mergeCell ref="O63:R63"/>
    <mergeCell ref="C68:I68"/>
    <mergeCell ref="O68:R68"/>
  </mergeCells>
  <printOptions headings="false" gridLines="false" gridLinesSet="true" horizontalCentered="true" verticalCentered="false"/>
  <pageMargins left="0.196527777777778" right="0.196527777777778" top="0.640277777777778" bottom="0.393055555555556" header="0.511811023622047" footer="0.196527777777778"/>
  <pageSetup paperSize="9" scale="100" fitToWidth="1" fitToHeight="2" pageOrder="downThenOver" orientation="landscape" blackAndWhite="false" draft="false" cellComments="none" horizontalDpi="300" verticalDpi="300" copies="1"/>
  <headerFooter differentFirst="false" differentOddEven="false">
    <oddHeader/>
    <oddFooter>&amp;C&amp;P</oddFooter>
  </headerFooter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HW136"/>
  <sheetViews>
    <sheetView showFormulas="false" showGridLines="true" showRowColHeaders="true" showZeros="true" rightToLeft="false" tabSelected="false" showOutlineSymbols="true" defaultGridColor="true" view="normal" topLeftCell="A16" colorId="64" zoomScale="70" zoomScaleNormal="70" zoomScalePageLayoutView="100" workbookViewId="0">
      <selection pane="topLeft" activeCell="AK26" activeCellId="0" sqref="AK26"/>
    </sheetView>
  </sheetViews>
  <sheetFormatPr defaultColWidth="9.2890625" defaultRowHeight="12.75" zeroHeight="false" outlineLevelRow="0" outlineLevelCol="0"/>
  <cols>
    <col collapsed="false" customWidth="true" hidden="false" outlineLevel="0" max="1" min="1" style="22" width="6.71"/>
    <col collapsed="false" customWidth="true" hidden="false" outlineLevel="0" max="2" min="2" style="22" width="12.29"/>
    <col collapsed="false" customWidth="true" hidden="false" outlineLevel="0" max="3" min="3" style="22" width="19.57"/>
    <col collapsed="false" customWidth="true" hidden="false" outlineLevel="0" max="4" min="4" style="23" width="12.71"/>
    <col collapsed="false" customWidth="true" hidden="true" outlineLevel="0" max="6" min="5" style="23" width="8.42"/>
    <col collapsed="false" customWidth="true" hidden="true" outlineLevel="0" max="7" min="7" style="23" width="11"/>
    <col collapsed="false" customWidth="true" hidden="true" outlineLevel="0" max="12" min="8" style="23" width="8.42"/>
    <col collapsed="false" customWidth="true" hidden="true" outlineLevel="0" max="14" min="13" style="23" width="14.29"/>
    <col collapsed="false" customWidth="true" hidden="false" outlineLevel="0" max="15" min="15" style="23" width="15.42"/>
    <col collapsed="false" customWidth="true" hidden="true" outlineLevel="0" max="22" min="16" style="23" width="14.29"/>
    <col collapsed="false" customWidth="true" hidden="false" outlineLevel="0" max="23" min="23" style="23" width="15.29"/>
    <col collapsed="false" customWidth="true" hidden="true" outlineLevel="0" max="25" min="24" style="23" width="14.29"/>
    <col collapsed="false" customWidth="true" hidden="true" outlineLevel="0" max="27" min="26" style="23" width="12.86"/>
    <col collapsed="false" customWidth="true" hidden="false" outlineLevel="0" max="28" min="28" style="23" width="10.29"/>
    <col collapsed="false" customWidth="false" hidden="true" outlineLevel="0" max="29" min="29" style="23" width="9.29"/>
    <col collapsed="false" customWidth="false" hidden="false" outlineLevel="0" max="30" min="30" style="22" width="9.29"/>
    <col collapsed="false" customWidth="true" hidden="false" outlineLevel="0" max="31" min="31" style="22" width="11.85"/>
    <col collapsed="false" customWidth="true" hidden="false" outlineLevel="0" max="32" min="32" style="22" width="24.57"/>
    <col collapsed="false" customWidth="false" hidden="false" outlineLevel="0" max="16384" min="33" style="22" width="9.29"/>
  </cols>
  <sheetData>
    <row r="1" s="26" customFormat="true" ht="16.5" hidden="false" customHeight="true" outlineLevel="0" collapsed="false">
      <c r="A1" s="25" t="s">
        <v>54</v>
      </c>
      <c r="B1" s="25"/>
      <c r="C1" s="25"/>
      <c r="D1" s="25"/>
      <c r="E1" s="25"/>
      <c r="F1" s="25"/>
      <c r="G1" s="25"/>
      <c r="H1" s="25"/>
      <c r="I1" s="25"/>
      <c r="J1" s="25"/>
      <c r="K1" s="25"/>
      <c r="L1" s="25"/>
      <c r="M1" s="25"/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</row>
    <row r="2" s="26" customFormat="true" ht="16.5" hidden="false" customHeight="true" outlineLevel="0" collapsed="false">
      <c r="A2" s="28" t="str">
        <f>"Kèm theo BBNT số: "&amp;VLOOKUP(AZ2,'[1]Tuyến XD8'!$A$2:$G$60,7,0)&amp;VLOOKUP(AZ2,'[1]Tuyến XD8'!$A$2:$G$60,4,0)</f>
        <v xml:space="preserve">Kèm theo BBNT số: 71.NĐXD8/CVXD ngày 20 tháng 09 năm 2026</v>
      </c>
      <c r="B2" s="28"/>
      <c r="C2" s="28"/>
      <c r="D2" s="28"/>
      <c r="E2" s="28"/>
      <c r="F2" s="28"/>
      <c r="G2" s="28"/>
      <c r="H2" s="28"/>
      <c r="I2" s="28"/>
      <c r="J2" s="28"/>
      <c r="K2" s="28"/>
      <c r="L2" s="28"/>
      <c r="M2" s="28"/>
      <c r="N2" s="28"/>
      <c r="O2" s="28"/>
      <c r="P2" s="28"/>
      <c r="Q2" s="28"/>
      <c r="R2" s="28"/>
      <c r="S2" s="28"/>
      <c r="T2" s="28"/>
      <c r="U2" s="28"/>
      <c r="V2" s="28"/>
      <c r="W2" s="28"/>
      <c r="X2" s="28"/>
      <c r="Y2" s="28"/>
      <c r="Z2" s="28"/>
      <c r="AA2" s="28"/>
      <c r="AB2" s="28"/>
      <c r="AZ2">
        <v>71</v>
      </c>
    </row>
    <row r="3" s="32" customFormat="true" ht="37.5" hidden="false" customHeight="true" outlineLevel="0" collapsed="false">
      <c r="A3" s="29" t="str">
        <f aca="false">+'1.KTHH L1'!A3</f>
        <v>Dự án: Xây dựng HTKT Khu tái định cư phục vụ di dân xã Hải Hà, thị xã Nghi Sơn, tỉnh Thanh Hóa.</v>
      </c>
      <c r="B3" s="29"/>
      <c r="C3" s="29"/>
      <c r="D3" s="29"/>
      <c r="E3" s="29"/>
      <c r="F3" s="29"/>
      <c r="G3" s="29"/>
      <c r="H3" s="29"/>
      <c r="I3" s="29"/>
      <c r="J3" s="29"/>
      <c r="K3" s="29"/>
      <c r="L3" s="29"/>
      <c r="M3" s="29"/>
      <c r="N3" s="29"/>
      <c r="O3" s="29"/>
      <c r="P3" s="29"/>
      <c r="Q3" s="29"/>
      <c r="R3" s="29"/>
      <c r="S3" s="29"/>
      <c r="T3" s="29"/>
      <c r="U3" s="29"/>
      <c r="V3" s="29"/>
      <c r="W3" s="29"/>
      <c r="X3" s="29"/>
      <c r="Y3" s="29"/>
      <c r="Z3" s="29"/>
      <c r="AA3" s="29"/>
      <c r="AB3" s="29"/>
      <c r="AC3" s="30"/>
      <c r="AD3" s="30"/>
      <c r="AE3" s="30"/>
      <c r="AF3" s="30"/>
      <c r="AG3" s="30"/>
      <c r="AH3" s="30"/>
      <c r="AI3" s="30"/>
      <c r="AJ3" s="30"/>
      <c r="AK3" s="30"/>
      <c r="AL3" s="30"/>
      <c r="AM3" s="30"/>
      <c r="AN3" s="30"/>
      <c r="AO3" s="30"/>
      <c r="AP3" s="30"/>
      <c r="AQ3" s="30"/>
      <c r="AR3" s="30"/>
      <c r="AS3" s="30"/>
      <c r="AT3" s="30"/>
      <c r="AU3" s="30"/>
      <c r="AV3" s="30"/>
      <c r="AW3" s="30"/>
      <c r="AX3" s="30"/>
      <c r="AY3" s="30"/>
      <c r="AZ3" s="30"/>
      <c r="BA3" s="30"/>
      <c r="BB3" s="30"/>
      <c r="BC3" s="30"/>
      <c r="BD3" s="30"/>
      <c r="BE3" s="30"/>
      <c r="BF3" s="30"/>
      <c r="BG3" s="30"/>
      <c r="BH3" s="30"/>
      <c r="BI3" s="30"/>
      <c r="BJ3" s="30"/>
      <c r="BK3" s="30"/>
      <c r="BL3" s="30"/>
      <c r="BM3" s="30"/>
      <c r="BN3" s="30"/>
      <c r="BO3" s="30"/>
      <c r="BP3" s="30"/>
      <c r="BQ3" s="30"/>
      <c r="BR3" s="30"/>
      <c r="BS3" s="30"/>
      <c r="BT3" s="30"/>
      <c r="BU3" s="30"/>
      <c r="BV3" s="30"/>
      <c r="BW3" s="30"/>
      <c r="BX3" s="30"/>
      <c r="BY3" s="30"/>
      <c r="BZ3" s="30"/>
      <c r="CA3" s="30"/>
      <c r="CB3" s="30"/>
      <c r="CC3" s="30"/>
      <c r="CD3" s="30"/>
      <c r="CE3" s="30"/>
      <c r="CF3" s="30"/>
      <c r="CG3" s="30"/>
      <c r="CH3" s="30"/>
      <c r="CI3" s="30"/>
      <c r="CJ3" s="30"/>
      <c r="CK3" s="30"/>
      <c r="CL3" s="30"/>
      <c r="CM3" s="30"/>
      <c r="CN3" s="30"/>
      <c r="CO3" s="30"/>
      <c r="CP3" s="30"/>
      <c r="CQ3" s="30"/>
      <c r="CR3" s="30"/>
      <c r="CS3" s="30"/>
      <c r="CT3" s="30"/>
      <c r="CU3" s="30"/>
      <c r="CV3" s="30"/>
      <c r="CW3" s="30"/>
      <c r="CX3" s="30"/>
      <c r="CY3" s="30"/>
      <c r="CZ3" s="30"/>
      <c r="DA3" s="30"/>
      <c r="DB3" s="30"/>
      <c r="DC3" s="30"/>
      <c r="DD3" s="30"/>
      <c r="DE3" s="30"/>
      <c r="DF3" s="30"/>
      <c r="DG3" s="30"/>
      <c r="DH3" s="30"/>
      <c r="DI3" s="30"/>
      <c r="DJ3" s="30"/>
      <c r="DK3" s="30"/>
      <c r="DL3" s="30"/>
      <c r="DM3" s="30"/>
      <c r="DN3" s="30"/>
      <c r="DO3" s="30"/>
      <c r="DP3" s="30"/>
      <c r="DQ3" s="30"/>
      <c r="DR3" s="30"/>
      <c r="DS3" s="30"/>
      <c r="DT3" s="30"/>
      <c r="DU3" s="30"/>
      <c r="DV3" s="30"/>
      <c r="DW3" s="30"/>
      <c r="DX3" s="30"/>
      <c r="DY3" s="30"/>
      <c r="DZ3" s="30"/>
      <c r="EA3" s="30"/>
      <c r="EB3" s="30"/>
      <c r="EC3" s="30"/>
      <c r="ED3" s="30"/>
      <c r="EE3" s="30"/>
      <c r="EF3" s="30"/>
      <c r="EG3" s="30"/>
      <c r="EH3" s="30"/>
      <c r="EI3" s="30"/>
      <c r="EJ3" s="30"/>
      <c r="EK3" s="30"/>
      <c r="EL3" s="30"/>
      <c r="EM3" s="30"/>
      <c r="EN3" s="30"/>
      <c r="EO3" s="30"/>
      <c r="EP3" s="30"/>
      <c r="EQ3" s="30"/>
      <c r="ER3" s="30"/>
      <c r="ES3" s="30"/>
      <c r="ET3" s="30"/>
      <c r="EU3" s="30"/>
      <c r="EV3" s="30"/>
      <c r="EW3" s="30"/>
      <c r="EX3" s="30"/>
      <c r="EY3" s="30"/>
      <c r="EZ3" s="30"/>
      <c r="FA3" s="30"/>
      <c r="FB3" s="30"/>
      <c r="FC3" s="30"/>
      <c r="FD3" s="30"/>
      <c r="FE3" s="30"/>
      <c r="FF3" s="30"/>
      <c r="FG3" s="30"/>
      <c r="FH3" s="30"/>
      <c r="FI3" s="30"/>
      <c r="FJ3" s="30"/>
      <c r="FK3" s="30"/>
      <c r="FL3" s="30"/>
      <c r="FM3" s="30"/>
      <c r="FN3" s="30"/>
      <c r="FO3" s="30"/>
      <c r="FP3" s="30"/>
      <c r="FQ3" s="30"/>
      <c r="FR3" s="30"/>
      <c r="FS3" s="30"/>
      <c r="FT3" s="30"/>
      <c r="FU3" s="30"/>
      <c r="FV3" s="30"/>
      <c r="FW3" s="30"/>
      <c r="FX3" s="30"/>
      <c r="FY3" s="30"/>
      <c r="FZ3" s="30"/>
      <c r="GA3" s="30"/>
      <c r="GB3" s="30"/>
      <c r="GC3" s="30"/>
      <c r="GD3" s="30"/>
      <c r="GE3" s="30"/>
      <c r="GF3" s="30"/>
      <c r="GG3" s="30"/>
      <c r="GH3" s="30"/>
      <c r="GI3" s="30"/>
      <c r="GJ3" s="30"/>
      <c r="GK3" s="30"/>
      <c r="GL3" s="30"/>
      <c r="GM3" s="30"/>
      <c r="GN3" s="30"/>
      <c r="GO3" s="30"/>
      <c r="GP3" s="30"/>
      <c r="GQ3" s="30"/>
      <c r="GR3" s="30"/>
      <c r="GS3" s="30"/>
      <c r="GT3" s="30"/>
      <c r="GU3" s="30"/>
      <c r="GV3" s="30"/>
      <c r="GW3" s="30"/>
      <c r="GX3" s="30"/>
      <c r="GY3" s="30"/>
      <c r="GZ3" s="30"/>
      <c r="HA3" s="30"/>
      <c r="HB3" s="30"/>
      <c r="HC3" s="30"/>
      <c r="HD3" s="30"/>
      <c r="HE3" s="30"/>
      <c r="HF3" s="30"/>
      <c r="HG3" s="30"/>
      <c r="HH3" s="30"/>
      <c r="HI3" s="30"/>
      <c r="HJ3" s="30"/>
      <c r="HK3" s="30"/>
      <c r="HL3" s="30"/>
      <c r="HM3" s="30"/>
      <c r="HN3" s="30"/>
      <c r="HO3" s="30"/>
      <c r="HP3" s="30"/>
      <c r="HQ3" s="30"/>
      <c r="HR3" s="30"/>
      <c r="HS3" s="30"/>
      <c r="HT3" s="30"/>
      <c r="HU3" s="30"/>
      <c r="HV3" s="30"/>
      <c r="HW3" s="30"/>
    </row>
    <row r="4" s="32" customFormat="true" ht="37.5" hidden="false" customHeight="true" outlineLevel="0" collapsed="false">
      <c r="A4" s="29" t="str">
        <f aca="false">+'1.KTHH L1'!A4</f>
        <v>Gói thầu số 12: Xây dựng HTKT khu vực Hải Bình và Xuân Lâm (bao gồm cả bảo hiểm xây dựng công trình)</v>
      </c>
      <c r="B4" s="29"/>
      <c r="C4" s="29"/>
      <c r="D4" s="29"/>
      <c r="E4" s="29"/>
      <c r="F4" s="29"/>
      <c r="G4" s="29"/>
      <c r="H4" s="29"/>
      <c r="I4" s="29"/>
      <c r="J4" s="29"/>
      <c r="K4" s="29"/>
      <c r="L4" s="29"/>
      <c r="M4" s="29"/>
      <c r="N4" s="29"/>
      <c r="O4" s="29"/>
      <c r="P4" s="29"/>
      <c r="Q4" s="29"/>
      <c r="R4" s="29"/>
      <c r="S4" s="29"/>
      <c r="T4" s="29"/>
      <c r="U4" s="29"/>
      <c r="V4" s="29"/>
      <c r="W4" s="29"/>
      <c r="X4" s="29"/>
      <c r="Y4" s="29"/>
      <c r="Z4" s="29"/>
      <c r="AA4" s="29"/>
      <c r="AB4" s="29"/>
      <c r="AC4" s="30"/>
      <c r="AD4" s="30"/>
      <c r="AE4" s="30"/>
      <c r="AF4" s="30"/>
      <c r="AG4" s="30"/>
      <c r="AH4" s="30"/>
      <c r="AI4" s="30"/>
      <c r="AJ4" s="30"/>
      <c r="AK4" s="30"/>
      <c r="AL4" s="30"/>
      <c r="AM4" s="30"/>
      <c r="AN4" s="30"/>
      <c r="AO4" s="30"/>
      <c r="AP4" s="30"/>
      <c r="AQ4" s="30"/>
      <c r="AR4" s="30"/>
      <c r="AS4" s="30"/>
      <c r="AT4" s="30"/>
      <c r="AU4" s="30"/>
      <c r="AV4" s="30"/>
      <c r="AW4" s="30"/>
      <c r="AX4" s="30"/>
      <c r="AY4" s="30"/>
      <c r="AZ4" s="30"/>
      <c r="BA4" s="30"/>
      <c r="BB4" s="30"/>
      <c r="BC4" s="30"/>
      <c r="BD4" s="30"/>
      <c r="BE4" s="30"/>
      <c r="BF4" s="30"/>
      <c r="BG4" s="30"/>
      <c r="BH4" s="30"/>
      <c r="BI4" s="30"/>
      <c r="BJ4" s="30"/>
      <c r="BK4" s="30"/>
      <c r="BL4" s="30"/>
      <c r="BM4" s="30"/>
      <c r="BN4" s="30"/>
      <c r="BO4" s="30"/>
      <c r="BP4" s="30"/>
      <c r="BQ4" s="30"/>
      <c r="BR4" s="30"/>
      <c r="BS4" s="30"/>
      <c r="BT4" s="30"/>
      <c r="BU4" s="30"/>
      <c r="BV4" s="30"/>
      <c r="BW4" s="30"/>
      <c r="BX4" s="30"/>
      <c r="BY4" s="30"/>
      <c r="BZ4" s="30"/>
      <c r="CA4" s="30"/>
      <c r="CB4" s="30"/>
      <c r="CC4" s="30"/>
      <c r="CD4" s="30"/>
      <c r="CE4" s="30"/>
      <c r="CF4" s="30"/>
      <c r="CG4" s="30"/>
      <c r="CH4" s="30"/>
      <c r="CI4" s="30"/>
      <c r="CJ4" s="30"/>
      <c r="CK4" s="30"/>
      <c r="CL4" s="30"/>
      <c r="CM4" s="30"/>
      <c r="CN4" s="30"/>
      <c r="CO4" s="30"/>
      <c r="CP4" s="30"/>
      <c r="CQ4" s="30"/>
      <c r="CR4" s="30"/>
      <c r="CS4" s="30"/>
      <c r="CT4" s="30"/>
      <c r="CU4" s="30"/>
      <c r="CV4" s="30"/>
      <c r="CW4" s="30"/>
      <c r="CX4" s="30"/>
      <c r="CY4" s="30"/>
      <c r="CZ4" s="30"/>
      <c r="DA4" s="30"/>
      <c r="DB4" s="30"/>
      <c r="DC4" s="30"/>
      <c r="DD4" s="30"/>
      <c r="DE4" s="30"/>
      <c r="DF4" s="30"/>
      <c r="DG4" s="30"/>
      <c r="DH4" s="30"/>
      <c r="DI4" s="30"/>
      <c r="DJ4" s="30"/>
      <c r="DK4" s="30"/>
      <c r="DL4" s="30"/>
      <c r="DM4" s="30"/>
      <c r="DN4" s="30"/>
      <c r="DO4" s="30"/>
      <c r="DP4" s="30"/>
      <c r="DQ4" s="30"/>
      <c r="DR4" s="30"/>
      <c r="DS4" s="30"/>
      <c r="DT4" s="30"/>
      <c r="DU4" s="30"/>
      <c r="DV4" s="30"/>
      <c r="DW4" s="30"/>
      <c r="DX4" s="30"/>
      <c r="DY4" s="30"/>
      <c r="DZ4" s="30"/>
      <c r="EA4" s="30"/>
      <c r="EB4" s="30"/>
      <c r="EC4" s="30"/>
      <c r="ED4" s="30"/>
      <c r="EE4" s="30"/>
      <c r="EF4" s="30"/>
      <c r="EG4" s="30"/>
      <c r="EH4" s="30"/>
      <c r="EI4" s="30"/>
      <c r="EJ4" s="30"/>
      <c r="EK4" s="30"/>
      <c r="EL4" s="30"/>
      <c r="EM4" s="30"/>
      <c r="EN4" s="30"/>
      <c r="EO4" s="30"/>
      <c r="EP4" s="30"/>
      <c r="EQ4" s="30"/>
      <c r="ER4" s="30"/>
      <c r="ES4" s="30"/>
      <c r="ET4" s="30"/>
      <c r="EU4" s="30"/>
      <c r="EV4" s="30"/>
      <c r="EW4" s="30"/>
      <c r="EX4" s="30"/>
      <c r="EY4" s="30"/>
      <c r="EZ4" s="30"/>
      <c r="FA4" s="30"/>
      <c r="FB4" s="30"/>
      <c r="FC4" s="30"/>
      <c r="FD4" s="30"/>
      <c r="FE4" s="30"/>
      <c r="FF4" s="30"/>
      <c r="FG4" s="30"/>
      <c r="FH4" s="30"/>
      <c r="FI4" s="30"/>
      <c r="FJ4" s="30"/>
      <c r="FK4" s="30"/>
      <c r="FL4" s="30"/>
      <c r="FM4" s="30"/>
      <c r="FN4" s="30"/>
      <c r="FO4" s="30"/>
      <c r="FP4" s="30"/>
      <c r="FQ4" s="30"/>
      <c r="FR4" s="30"/>
      <c r="FS4" s="30"/>
      <c r="FT4" s="30"/>
      <c r="FU4" s="30"/>
      <c r="FV4" s="30"/>
      <c r="FW4" s="30"/>
      <c r="FX4" s="30"/>
      <c r="FY4" s="30"/>
      <c r="FZ4" s="30"/>
      <c r="GA4" s="30"/>
      <c r="GB4" s="30"/>
      <c r="GC4" s="30"/>
      <c r="GD4" s="30"/>
      <c r="GE4" s="30"/>
      <c r="GF4" s="30"/>
      <c r="GG4" s="30"/>
      <c r="GH4" s="30"/>
      <c r="GI4" s="30"/>
      <c r="GJ4" s="30"/>
      <c r="GK4" s="30"/>
      <c r="GL4" s="30"/>
      <c r="GM4" s="30"/>
      <c r="GN4" s="30"/>
      <c r="GO4" s="30"/>
      <c r="GP4" s="30"/>
      <c r="GQ4" s="30"/>
      <c r="GR4" s="30"/>
      <c r="GS4" s="30"/>
      <c r="GT4" s="30"/>
      <c r="GU4" s="30"/>
      <c r="GV4" s="30"/>
      <c r="GW4" s="30"/>
      <c r="GX4" s="30"/>
      <c r="GY4" s="30"/>
      <c r="GZ4" s="30"/>
      <c r="HA4" s="30"/>
      <c r="HB4" s="30"/>
      <c r="HC4" s="30"/>
      <c r="HD4" s="30"/>
      <c r="HE4" s="30"/>
      <c r="HF4" s="30"/>
      <c r="HG4" s="30"/>
      <c r="HH4" s="30"/>
      <c r="HI4" s="30"/>
      <c r="HJ4" s="30"/>
      <c r="HK4" s="30"/>
      <c r="HL4" s="30"/>
      <c r="HM4" s="30"/>
      <c r="HN4" s="30"/>
      <c r="HO4" s="30"/>
      <c r="HP4" s="30"/>
      <c r="HQ4" s="30"/>
      <c r="HR4" s="30"/>
      <c r="HS4" s="30"/>
      <c r="HT4" s="30"/>
      <c r="HU4" s="30"/>
      <c r="HV4" s="30"/>
      <c r="HW4" s="30"/>
    </row>
    <row r="5" s="32" customFormat="true" ht="16.5" hidden="false" customHeight="true" outlineLevel="0" collapsed="false">
      <c r="A5" s="29" t="str">
        <f aca="false">+'1.KTHH L1'!A5</f>
        <v>Nhà thầu thi công: Công ty TNHH Hoàng Tuấn</v>
      </c>
      <c r="B5" s="29"/>
      <c r="C5" s="29"/>
      <c r="D5" s="29"/>
      <c r="E5" s="29"/>
      <c r="F5" s="29"/>
      <c r="G5" s="29"/>
      <c r="H5" s="29"/>
      <c r="I5" s="29"/>
      <c r="J5" s="29"/>
      <c r="K5" s="29"/>
      <c r="L5" s="29"/>
      <c r="M5" s="29"/>
      <c r="N5" s="29"/>
      <c r="O5" s="29"/>
      <c r="P5" s="29"/>
      <c r="Q5" s="29"/>
      <c r="R5" s="29"/>
      <c r="S5" s="29"/>
      <c r="T5" s="29"/>
      <c r="U5" s="29"/>
      <c r="V5" s="29"/>
      <c r="W5" s="29"/>
      <c r="X5" s="29"/>
      <c r="Y5" s="29"/>
      <c r="Z5" s="29"/>
      <c r="AA5" s="29"/>
      <c r="AB5" s="29"/>
      <c r="AC5" s="30"/>
      <c r="AD5" s="30"/>
      <c r="AE5" s="30"/>
      <c r="AF5" s="30"/>
      <c r="AG5" s="30"/>
      <c r="AH5" s="30"/>
      <c r="AI5" s="30"/>
      <c r="AJ5" s="30"/>
      <c r="AK5" s="30"/>
      <c r="AL5" s="30"/>
      <c r="AM5" s="30"/>
      <c r="AN5" s="30"/>
      <c r="AO5" s="30"/>
      <c r="AP5" s="30"/>
      <c r="AQ5" s="30"/>
      <c r="AR5" s="30"/>
      <c r="AS5" s="30"/>
      <c r="AT5" s="30"/>
      <c r="AU5" s="30"/>
      <c r="AV5" s="30"/>
      <c r="AW5" s="30"/>
      <c r="AX5" s="30"/>
      <c r="AY5" s="30"/>
      <c r="AZ5" s="30"/>
      <c r="BA5" s="30"/>
      <c r="BB5" s="30"/>
      <c r="BC5" s="30"/>
      <c r="BD5" s="30"/>
      <c r="BE5" s="30"/>
      <c r="BF5" s="30"/>
      <c r="BG5" s="30"/>
      <c r="BH5" s="30"/>
      <c r="BI5" s="30"/>
      <c r="BJ5" s="30"/>
      <c r="BK5" s="30"/>
      <c r="BL5" s="30"/>
      <c r="BM5" s="30"/>
      <c r="BN5" s="30"/>
      <c r="BO5" s="30"/>
      <c r="BP5" s="30"/>
      <c r="BQ5" s="30"/>
      <c r="BR5" s="30"/>
      <c r="BS5" s="30"/>
      <c r="BT5" s="30"/>
      <c r="BU5" s="30"/>
      <c r="BV5" s="30"/>
      <c r="BW5" s="30"/>
      <c r="BX5" s="30"/>
      <c r="BY5" s="30"/>
      <c r="BZ5" s="30"/>
      <c r="CA5" s="30"/>
      <c r="CB5" s="30"/>
      <c r="CC5" s="30"/>
      <c r="CD5" s="30"/>
      <c r="CE5" s="30"/>
      <c r="CF5" s="30"/>
      <c r="CG5" s="30"/>
      <c r="CH5" s="30"/>
      <c r="CI5" s="30"/>
      <c r="CJ5" s="30"/>
      <c r="CK5" s="30"/>
      <c r="CL5" s="30"/>
      <c r="CM5" s="30"/>
      <c r="CN5" s="30"/>
      <c r="CO5" s="30"/>
      <c r="CP5" s="30"/>
      <c r="CQ5" s="30"/>
      <c r="CR5" s="30"/>
      <c r="CS5" s="30"/>
      <c r="CT5" s="30"/>
      <c r="CU5" s="30"/>
      <c r="CV5" s="30"/>
      <c r="CW5" s="30"/>
      <c r="CX5" s="30"/>
      <c r="CY5" s="30"/>
      <c r="CZ5" s="30"/>
      <c r="DA5" s="30"/>
      <c r="DB5" s="30"/>
      <c r="DC5" s="30"/>
      <c r="DD5" s="30"/>
      <c r="DE5" s="30"/>
      <c r="DF5" s="30"/>
      <c r="DG5" s="30"/>
      <c r="DH5" s="30"/>
      <c r="DI5" s="30"/>
      <c r="DJ5" s="30"/>
      <c r="DK5" s="30"/>
      <c r="DL5" s="30"/>
      <c r="DM5" s="30"/>
      <c r="DN5" s="30"/>
      <c r="DO5" s="30"/>
      <c r="DP5" s="30"/>
      <c r="DQ5" s="30"/>
      <c r="DR5" s="30"/>
      <c r="DS5" s="30"/>
      <c r="DT5" s="30"/>
      <c r="DU5" s="30"/>
      <c r="DV5" s="30"/>
      <c r="DW5" s="30"/>
      <c r="DX5" s="30"/>
      <c r="DY5" s="30"/>
      <c r="DZ5" s="30"/>
      <c r="EA5" s="30"/>
      <c r="EB5" s="30"/>
      <c r="EC5" s="30"/>
      <c r="ED5" s="30"/>
      <c r="EE5" s="30"/>
      <c r="EF5" s="30"/>
      <c r="EG5" s="30"/>
      <c r="EH5" s="30"/>
      <c r="EI5" s="30"/>
      <c r="EJ5" s="30"/>
      <c r="EK5" s="30"/>
      <c r="EL5" s="30"/>
      <c r="EM5" s="30"/>
      <c r="EN5" s="30"/>
      <c r="EO5" s="30"/>
      <c r="EP5" s="30"/>
      <c r="EQ5" s="30"/>
      <c r="ER5" s="30"/>
      <c r="ES5" s="30"/>
      <c r="ET5" s="30"/>
      <c r="EU5" s="30"/>
      <c r="EV5" s="30"/>
      <c r="EW5" s="30"/>
      <c r="EX5" s="30"/>
      <c r="EY5" s="30"/>
      <c r="EZ5" s="30"/>
      <c r="FA5" s="30"/>
      <c r="FB5" s="30"/>
      <c r="FC5" s="30"/>
      <c r="FD5" s="30"/>
      <c r="FE5" s="30"/>
      <c r="FF5" s="30"/>
      <c r="FG5" s="30"/>
      <c r="FH5" s="30"/>
      <c r="FI5" s="30"/>
      <c r="FJ5" s="30"/>
      <c r="FK5" s="30"/>
      <c r="FL5" s="30"/>
      <c r="FM5" s="30"/>
      <c r="FN5" s="30"/>
      <c r="FO5" s="30"/>
      <c r="FP5" s="30"/>
      <c r="FQ5" s="30"/>
      <c r="FR5" s="30"/>
      <c r="FS5" s="30"/>
      <c r="FT5" s="30"/>
      <c r="FU5" s="30"/>
      <c r="FV5" s="30"/>
      <c r="FW5" s="30"/>
      <c r="FX5" s="30"/>
      <c r="FY5" s="30"/>
      <c r="FZ5" s="30"/>
      <c r="GA5" s="30"/>
      <c r="GB5" s="30"/>
      <c r="GC5" s="30"/>
      <c r="GD5" s="30"/>
      <c r="GE5" s="30"/>
      <c r="GF5" s="30"/>
      <c r="GG5" s="30"/>
      <c r="GH5" s="30"/>
      <c r="GI5" s="30"/>
      <c r="GJ5" s="30"/>
      <c r="GK5" s="30"/>
      <c r="GL5" s="30"/>
      <c r="GM5" s="30"/>
      <c r="GN5" s="30"/>
      <c r="GO5" s="30"/>
      <c r="GP5" s="30"/>
      <c r="GQ5" s="30"/>
      <c r="GR5" s="30"/>
      <c r="GS5" s="30"/>
      <c r="GT5" s="30"/>
      <c r="GU5" s="30"/>
      <c r="GV5" s="30"/>
      <c r="GW5" s="30"/>
      <c r="GX5" s="30"/>
      <c r="GY5" s="30"/>
      <c r="GZ5" s="30"/>
      <c r="HA5" s="30"/>
      <c r="HB5" s="30"/>
      <c r="HC5" s="30"/>
      <c r="HD5" s="30"/>
      <c r="HE5" s="30"/>
      <c r="HF5" s="30"/>
      <c r="HG5" s="30"/>
      <c r="HH5" s="30"/>
      <c r="HI5" s="30"/>
      <c r="HJ5" s="30"/>
      <c r="HK5" s="30"/>
      <c r="HL5" s="30"/>
      <c r="HM5" s="30"/>
      <c r="HN5" s="30"/>
      <c r="HO5" s="30"/>
      <c r="HP5" s="30"/>
      <c r="HQ5" s="30"/>
      <c r="HR5" s="30"/>
      <c r="HS5" s="30"/>
      <c r="HT5" s="30"/>
      <c r="HU5" s="30"/>
      <c r="HV5" s="30"/>
      <c r="HW5" s="30"/>
    </row>
    <row r="6" s="32" customFormat="true" ht="16.5" hidden="false" customHeight="true" outlineLevel="0" collapsed="false">
      <c r="A6" s="29" t="s">
        <v>33</v>
      </c>
      <c r="B6" s="29"/>
      <c r="C6" s="29"/>
      <c r="D6" s="29"/>
      <c r="E6" s="29"/>
      <c r="F6" s="29"/>
      <c r="G6" s="29"/>
      <c r="H6" s="29"/>
      <c r="I6" s="29"/>
      <c r="J6" s="29"/>
      <c r="K6" s="29"/>
      <c r="L6" s="29"/>
      <c r="M6" s="29"/>
      <c r="N6" s="29"/>
      <c r="O6" s="29"/>
      <c r="P6" s="29"/>
      <c r="Q6" s="29"/>
      <c r="R6" s="29"/>
      <c r="S6" s="29"/>
      <c r="T6" s="29"/>
      <c r="U6" s="29"/>
      <c r="V6" s="29"/>
      <c r="W6" s="29"/>
      <c r="X6" s="29"/>
      <c r="Y6" s="29"/>
      <c r="Z6" s="29"/>
      <c r="AA6" s="29"/>
      <c r="AB6" s="29"/>
      <c r="AC6" s="30"/>
      <c r="AD6" s="30"/>
      <c r="AE6" s="30"/>
      <c r="AF6" s="30"/>
      <c r="AG6" s="30"/>
      <c r="AH6" s="30"/>
      <c r="AI6" s="30"/>
      <c r="AJ6" s="30"/>
      <c r="AK6" s="30"/>
      <c r="AL6" s="30"/>
      <c r="AM6" s="30"/>
      <c r="AN6" s="30"/>
      <c r="AO6" s="30"/>
      <c r="AP6" s="30"/>
      <c r="AQ6" s="30"/>
      <c r="AR6" s="30"/>
      <c r="AS6" s="30"/>
      <c r="AT6" s="30"/>
      <c r="AU6" s="30"/>
      <c r="AV6" s="30"/>
      <c r="AW6" s="30"/>
      <c r="AX6" s="30"/>
      <c r="AY6" s="30"/>
      <c r="AZ6" s="30"/>
      <c r="BA6" s="30"/>
      <c r="BB6" s="30"/>
      <c r="BC6" s="30"/>
      <c r="BD6" s="30"/>
      <c r="BE6" s="30"/>
      <c r="BF6" s="30"/>
      <c r="BG6" s="30"/>
      <c r="BH6" s="30"/>
      <c r="BI6" s="30"/>
      <c r="BJ6" s="30"/>
      <c r="BK6" s="30"/>
      <c r="BL6" s="30"/>
      <c r="BM6" s="30"/>
      <c r="BN6" s="30"/>
      <c r="BO6" s="30"/>
      <c r="BP6" s="30"/>
      <c r="BQ6" s="30"/>
      <c r="BR6" s="30"/>
      <c r="BS6" s="30"/>
      <c r="BT6" s="30"/>
      <c r="BU6" s="30"/>
      <c r="BV6" s="30"/>
      <c r="BW6" s="30"/>
      <c r="BX6" s="30"/>
      <c r="BY6" s="30"/>
      <c r="BZ6" s="30"/>
      <c r="CA6" s="30"/>
      <c r="CB6" s="30"/>
      <c r="CC6" s="30"/>
      <c r="CD6" s="30"/>
      <c r="CE6" s="30"/>
      <c r="CF6" s="30"/>
      <c r="CG6" s="30"/>
      <c r="CH6" s="30"/>
      <c r="CI6" s="30"/>
      <c r="CJ6" s="30"/>
      <c r="CK6" s="30"/>
      <c r="CL6" s="30"/>
      <c r="CM6" s="30"/>
      <c r="CN6" s="30"/>
      <c r="CO6" s="30"/>
      <c r="CP6" s="30"/>
      <c r="CQ6" s="30"/>
      <c r="CR6" s="30"/>
      <c r="CS6" s="30"/>
      <c r="CT6" s="30"/>
      <c r="CU6" s="30"/>
      <c r="CV6" s="30"/>
      <c r="CW6" s="30"/>
      <c r="CX6" s="30"/>
      <c r="CY6" s="30"/>
      <c r="CZ6" s="30"/>
      <c r="DA6" s="30"/>
      <c r="DB6" s="30"/>
      <c r="DC6" s="30"/>
      <c r="DD6" s="30"/>
      <c r="DE6" s="30"/>
      <c r="DF6" s="30"/>
      <c r="DG6" s="30"/>
      <c r="DH6" s="30"/>
      <c r="DI6" s="30"/>
      <c r="DJ6" s="30"/>
      <c r="DK6" s="30"/>
      <c r="DL6" s="30"/>
      <c r="DM6" s="30"/>
      <c r="DN6" s="30"/>
      <c r="DO6" s="30"/>
      <c r="DP6" s="30"/>
      <c r="DQ6" s="30"/>
      <c r="DR6" s="30"/>
      <c r="DS6" s="30"/>
      <c r="DT6" s="30"/>
      <c r="DU6" s="30"/>
      <c r="DV6" s="30"/>
      <c r="DW6" s="30"/>
      <c r="DX6" s="30"/>
      <c r="DY6" s="30"/>
      <c r="DZ6" s="30"/>
      <c r="EA6" s="30"/>
      <c r="EB6" s="30"/>
      <c r="EC6" s="30"/>
      <c r="ED6" s="30"/>
      <c r="EE6" s="30"/>
      <c r="EF6" s="30"/>
      <c r="EG6" s="30"/>
      <c r="EH6" s="30"/>
      <c r="EI6" s="30"/>
      <c r="EJ6" s="30"/>
      <c r="EK6" s="30"/>
      <c r="EL6" s="30"/>
      <c r="EM6" s="30"/>
      <c r="EN6" s="30"/>
      <c r="EO6" s="30"/>
      <c r="EP6" s="30"/>
      <c r="EQ6" s="30"/>
      <c r="ER6" s="30"/>
      <c r="ES6" s="30"/>
      <c r="ET6" s="30"/>
      <c r="EU6" s="30"/>
      <c r="EV6" s="30"/>
      <c r="EW6" s="30"/>
      <c r="EX6" s="30"/>
      <c r="EY6" s="30"/>
      <c r="EZ6" s="30"/>
      <c r="FA6" s="30"/>
      <c r="FB6" s="30"/>
      <c r="FC6" s="30"/>
      <c r="FD6" s="30"/>
      <c r="FE6" s="30"/>
      <c r="FF6" s="30"/>
      <c r="FG6" s="30"/>
      <c r="FH6" s="30"/>
      <c r="FI6" s="30"/>
      <c r="FJ6" s="30"/>
      <c r="FK6" s="30"/>
      <c r="FL6" s="30"/>
      <c r="FM6" s="30"/>
      <c r="FN6" s="30"/>
      <c r="FO6" s="30"/>
      <c r="FP6" s="30"/>
      <c r="FQ6" s="30"/>
      <c r="FR6" s="30"/>
      <c r="FS6" s="30"/>
      <c r="FT6" s="30"/>
      <c r="FU6" s="30"/>
      <c r="FV6" s="30"/>
      <c r="FW6" s="30"/>
      <c r="FX6" s="30"/>
      <c r="FY6" s="30"/>
      <c r="FZ6" s="30"/>
      <c r="GA6" s="30"/>
      <c r="GB6" s="30"/>
      <c r="GC6" s="30"/>
      <c r="GD6" s="30"/>
      <c r="GE6" s="30"/>
      <c r="GF6" s="30"/>
      <c r="GG6" s="30"/>
      <c r="GH6" s="30"/>
      <c r="GI6" s="30"/>
      <c r="GJ6" s="30"/>
      <c r="GK6" s="30"/>
      <c r="GL6" s="30"/>
      <c r="GM6" s="30"/>
      <c r="GN6" s="30"/>
      <c r="GO6" s="30"/>
      <c r="GP6" s="30"/>
      <c r="GQ6" s="30"/>
      <c r="GR6" s="30"/>
      <c r="GS6" s="30"/>
      <c r="GT6" s="30"/>
      <c r="GU6" s="30"/>
      <c r="GV6" s="30"/>
      <c r="GW6" s="30"/>
      <c r="GX6" s="30"/>
      <c r="GY6" s="30"/>
      <c r="GZ6" s="30"/>
      <c r="HA6" s="30"/>
      <c r="HB6" s="30"/>
      <c r="HC6" s="30"/>
      <c r="HD6" s="30"/>
      <c r="HE6" s="30"/>
      <c r="HF6" s="30"/>
      <c r="HG6" s="30"/>
      <c r="HH6" s="30"/>
      <c r="HI6" s="30"/>
      <c r="HJ6" s="30"/>
      <c r="HK6" s="30"/>
      <c r="HL6" s="30"/>
      <c r="HM6" s="30"/>
      <c r="HN6" s="30"/>
      <c r="HO6" s="30"/>
      <c r="HP6" s="30"/>
      <c r="HQ6" s="30"/>
      <c r="HR6" s="30"/>
      <c r="HS6" s="30"/>
      <c r="HT6" s="30"/>
      <c r="HU6" s="30"/>
      <c r="HV6" s="30"/>
      <c r="HW6" s="30"/>
    </row>
    <row r="7" s="32" customFormat="true" ht="27.75" hidden="false" customHeight="true" outlineLevel="0" collapsed="false">
      <c r="A7" s="33" t="s">
        <v>34</v>
      </c>
      <c r="B7" s="34"/>
      <c r="D7" s="35" t="str">
        <f>VLOOKUP(AZ2,'[1]Tuyến XD8'!$A$2:$B$60,2,0)</f>
        <v xml:space="preserve">Đắp đất nền đường lớp 8 đoạn từ Km0+489,19 - Km0+609,11, độ chặt K&gt;=0,95</v>
      </c>
      <c r="E7" s="35"/>
      <c r="F7" s="35"/>
      <c r="G7" s="35"/>
      <c r="H7" s="35"/>
      <c r="I7" s="35"/>
      <c r="J7" s="35"/>
      <c r="K7" s="35"/>
      <c r="L7" s="35"/>
      <c r="M7" s="35"/>
      <c r="N7" s="35"/>
      <c r="O7" s="35"/>
      <c r="P7" s="35"/>
      <c r="Q7" s="35"/>
      <c r="R7" s="35"/>
      <c r="S7" s="35"/>
      <c r="T7" s="35"/>
      <c r="U7" s="35"/>
      <c r="V7" s="35"/>
      <c r="W7" s="35"/>
      <c r="X7" s="35"/>
      <c r="Y7" s="35"/>
      <c r="Z7" s="35"/>
      <c r="AA7" s="35"/>
      <c r="AB7" s="35"/>
      <c r="AC7" s="30"/>
      <c r="AD7" s="30"/>
      <c r="AE7" s="30"/>
      <c r="AF7" s="30"/>
      <c r="AG7" s="30"/>
      <c r="AH7" s="30"/>
      <c r="AI7" s="30"/>
      <c r="AJ7" s="30"/>
      <c r="AK7" s="30"/>
      <c r="AL7" s="30"/>
      <c r="AM7" s="30"/>
      <c r="AN7" s="30"/>
      <c r="AO7" s="30"/>
      <c r="AP7" s="30"/>
      <c r="AQ7" s="30"/>
      <c r="AR7" s="30"/>
      <c r="AS7" s="30"/>
      <c r="AT7" s="30"/>
      <c r="AU7" s="30"/>
      <c r="AV7" s="30"/>
      <c r="AW7" s="30"/>
      <c r="AX7" s="30"/>
      <c r="AY7" s="30"/>
      <c r="AZ7" s="30"/>
      <c r="BA7" s="30"/>
      <c r="BB7" s="30"/>
      <c r="BC7" s="30"/>
      <c r="BD7" s="30"/>
      <c r="BE7" s="30"/>
      <c r="BF7" s="30"/>
      <c r="BG7" s="30"/>
      <c r="BH7" s="30"/>
      <c r="BI7" s="30"/>
      <c r="BJ7" s="30"/>
      <c r="BK7" s="30"/>
      <c r="BL7" s="30"/>
      <c r="BM7" s="30"/>
      <c r="BN7" s="30"/>
      <c r="BO7" s="30"/>
      <c r="BP7" s="30"/>
      <c r="BQ7" s="30"/>
      <c r="BR7" s="30"/>
      <c r="BS7" s="30"/>
      <c r="BT7" s="30"/>
      <c r="BU7" s="30"/>
      <c r="BV7" s="30"/>
      <c r="BW7" s="30"/>
      <c r="BX7" s="30"/>
      <c r="BY7" s="30"/>
      <c r="BZ7" s="30"/>
      <c r="CA7" s="30"/>
      <c r="CB7" s="30"/>
      <c r="CC7" s="30"/>
      <c r="CD7" s="30"/>
      <c r="CE7" s="30"/>
      <c r="CF7" s="30"/>
      <c r="CG7" s="30"/>
      <c r="CH7" s="30"/>
      <c r="CI7" s="30"/>
      <c r="CJ7" s="30"/>
      <c r="CK7" s="30"/>
      <c r="CL7" s="30"/>
      <c r="CM7" s="30"/>
      <c r="CN7" s="30"/>
      <c r="CO7" s="30"/>
      <c r="CP7" s="30"/>
      <c r="CQ7" s="30"/>
      <c r="CR7" s="30"/>
      <c r="CS7" s="30"/>
      <c r="CT7" s="30"/>
      <c r="CU7" s="30"/>
      <c r="CV7" s="30"/>
      <c r="CW7" s="30"/>
      <c r="CX7" s="30"/>
      <c r="CY7" s="30"/>
      <c r="CZ7" s="30"/>
      <c r="DA7" s="30"/>
      <c r="DB7" s="30"/>
      <c r="DC7" s="30"/>
      <c r="DD7" s="30"/>
      <c r="DE7" s="30"/>
      <c r="DF7" s="30"/>
      <c r="DG7" s="30"/>
      <c r="DH7" s="30"/>
      <c r="DI7" s="30"/>
      <c r="DJ7" s="30"/>
      <c r="DK7" s="30"/>
      <c r="DL7" s="30"/>
      <c r="DM7" s="30"/>
      <c r="DN7" s="30"/>
      <c r="DO7" s="30"/>
      <c r="DP7" s="30"/>
      <c r="DQ7" s="30"/>
      <c r="DR7" s="30"/>
      <c r="DS7" s="30"/>
      <c r="DT7" s="30"/>
      <c r="DU7" s="30"/>
      <c r="DV7" s="30"/>
      <c r="DW7" s="30"/>
      <c r="DX7" s="30"/>
      <c r="DY7" s="30"/>
      <c r="DZ7" s="30"/>
      <c r="EA7" s="30"/>
      <c r="EB7" s="30"/>
      <c r="EC7" s="30"/>
      <c r="ED7" s="30"/>
      <c r="EE7" s="30"/>
      <c r="EF7" s="30"/>
      <c r="EG7" s="30"/>
      <c r="EH7" s="30"/>
      <c r="EI7" s="30"/>
      <c r="EJ7" s="30"/>
      <c r="EK7" s="30"/>
      <c r="EL7" s="30"/>
      <c r="EM7" s="30"/>
      <c r="EN7" s="30"/>
      <c r="EO7" s="30"/>
      <c r="EP7" s="30"/>
      <c r="EQ7" s="30"/>
      <c r="ER7" s="30"/>
      <c r="ES7" s="30"/>
      <c r="ET7" s="30"/>
      <c r="EU7" s="30"/>
      <c r="EV7" s="30"/>
      <c r="EW7" s="30"/>
      <c r="EX7" s="30"/>
      <c r="EY7" s="30"/>
      <c r="EZ7" s="30"/>
      <c r="FA7" s="30"/>
      <c r="FB7" s="30"/>
      <c r="FC7" s="30"/>
      <c r="FD7" s="30"/>
      <c r="FE7" s="30"/>
      <c r="FF7" s="30"/>
      <c r="FG7" s="30"/>
      <c r="FH7" s="30"/>
      <c r="FI7" s="30"/>
      <c r="FJ7" s="30"/>
      <c r="FK7" s="30"/>
      <c r="FL7" s="30"/>
      <c r="FM7" s="30"/>
      <c r="FN7" s="30"/>
      <c r="FO7" s="30"/>
      <c r="FP7" s="30"/>
      <c r="FQ7" s="30"/>
      <c r="FR7" s="30"/>
      <c r="FS7" s="30"/>
      <c r="FT7" s="30"/>
      <c r="FU7" s="30"/>
      <c r="FV7" s="30"/>
      <c r="FW7" s="30"/>
      <c r="FX7" s="30"/>
      <c r="FY7" s="30"/>
      <c r="FZ7" s="30"/>
      <c r="GA7" s="30"/>
      <c r="GB7" s="30"/>
      <c r="GC7" s="30"/>
      <c r="GD7" s="30"/>
      <c r="GE7" s="30"/>
      <c r="GF7" s="30"/>
      <c r="GG7" s="30"/>
      <c r="GH7" s="30"/>
      <c r="GI7" s="30"/>
      <c r="GJ7" s="30"/>
      <c r="GK7" s="30"/>
      <c r="GL7" s="30"/>
      <c r="GM7" s="30"/>
      <c r="GN7" s="30"/>
      <c r="GO7" s="30"/>
      <c r="GP7" s="30"/>
      <c r="GQ7" s="30"/>
      <c r="GR7" s="30"/>
      <c r="GS7" s="30"/>
      <c r="GT7" s="30"/>
      <c r="GU7" s="30"/>
      <c r="GV7" s="30"/>
      <c r="GW7" s="30"/>
      <c r="GX7" s="30"/>
      <c r="GY7" s="30"/>
      <c r="GZ7" s="30"/>
      <c r="HA7" s="30"/>
      <c r="HB7" s="30"/>
      <c r="HC7" s="30"/>
      <c r="HD7" s="30"/>
      <c r="HE7" s="30"/>
      <c r="HF7" s="30"/>
      <c r="HG7" s="30"/>
      <c r="HH7" s="30"/>
      <c r="HI7" s="30"/>
      <c r="HJ7" s="30"/>
      <c r="HK7" s="30"/>
      <c r="HL7" s="30"/>
      <c r="HM7" s="30"/>
      <c r="HN7" s="30"/>
      <c r="HO7" s="30"/>
      <c r="HP7" s="30"/>
      <c r="HQ7" s="30"/>
      <c r="HR7" s="30"/>
      <c r="HS7" s="30"/>
      <c r="HT7" s="30"/>
      <c r="HU7" s="30"/>
      <c r="HV7" s="30"/>
      <c r="HW7" s="30"/>
    </row>
    <row r="8" s="30" customFormat="true" ht="13.5" hidden="false" customHeight="true" outlineLevel="0" collapsed="false">
      <c r="A8" s="36"/>
      <c r="B8" s="36"/>
      <c r="C8" s="36"/>
      <c r="D8" s="36"/>
      <c r="E8" s="36"/>
      <c r="F8" s="36"/>
      <c r="G8" s="36"/>
      <c r="H8" s="36"/>
      <c r="I8" s="36"/>
      <c r="J8" s="36"/>
      <c r="K8" s="36"/>
      <c r="L8" s="36"/>
      <c r="M8" s="36"/>
      <c r="N8" s="36"/>
      <c r="O8" s="36"/>
      <c r="P8" s="36"/>
      <c r="Q8" s="36"/>
      <c r="R8" s="36"/>
      <c r="S8" s="36"/>
      <c r="T8" s="36"/>
      <c r="U8" s="36"/>
      <c r="V8" s="36"/>
      <c r="W8" s="36"/>
      <c r="X8" s="36"/>
      <c r="Y8" s="36"/>
      <c r="Z8" s="36"/>
      <c r="AA8" s="36"/>
      <c r="AB8" s="36"/>
    </row>
    <row r="9" s="43" customFormat="true" ht="22.5" hidden="false" customHeight="true" outlineLevel="0" collapsed="false">
      <c r="A9" s="37" t="s">
        <v>0</v>
      </c>
      <c r="B9" s="37" t="s">
        <v>38</v>
      </c>
      <c r="C9" s="37" t="s">
        <v>39</v>
      </c>
      <c r="D9" s="38" t="s">
        <v>55</v>
      </c>
      <c r="E9" s="39"/>
      <c r="F9" s="39"/>
      <c r="G9" s="38"/>
      <c r="H9" s="39"/>
      <c r="I9" s="39"/>
      <c r="J9" s="39"/>
      <c r="K9" s="39"/>
      <c r="L9" s="39"/>
      <c r="M9" s="40" t="s">
        <v>56</v>
      </c>
      <c r="N9" s="40"/>
      <c r="O9" s="40"/>
      <c r="P9" s="40"/>
      <c r="Q9" s="40"/>
      <c r="R9" s="40"/>
      <c r="S9" s="40"/>
      <c r="T9" s="40"/>
      <c r="U9" s="40"/>
      <c r="V9" s="40"/>
      <c r="W9" s="40"/>
      <c r="X9" s="40"/>
      <c r="Y9" s="40"/>
      <c r="Z9" s="41"/>
      <c r="AA9" s="41"/>
      <c r="AB9" s="38" t="s">
        <v>43</v>
      </c>
      <c r="AC9" s="42"/>
    </row>
    <row r="10" s="49" customFormat="true" ht="28.5" hidden="false" customHeight="true" outlineLevel="0" collapsed="false">
      <c r="A10" s="37"/>
      <c r="B10" s="37"/>
      <c r="C10" s="37"/>
      <c r="D10" s="37"/>
      <c r="E10" s="40"/>
      <c r="F10" s="40"/>
      <c r="G10" s="40"/>
      <c r="H10" s="40"/>
      <c r="I10" s="40"/>
      <c r="J10" s="40"/>
      <c r="K10" s="40"/>
      <c r="L10" s="40"/>
      <c r="M10" s="40"/>
      <c r="N10" s="40" t="s">
        <v>57</v>
      </c>
      <c r="O10" s="40" t="s">
        <v>58</v>
      </c>
      <c r="P10" s="40" t="s">
        <v>57</v>
      </c>
      <c r="Q10" s="40" t="s">
        <v>57</v>
      </c>
      <c r="R10" s="40"/>
      <c r="S10" s="40"/>
      <c r="T10" s="40"/>
      <c r="U10" s="40" t="s">
        <v>59</v>
      </c>
      <c r="V10" s="40" t="s">
        <v>59</v>
      </c>
      <c r="W10" s="40" t="s">
        <v>60</v>
      </c>
      <c r="X10" s="40" t="s">
        <v>59</v>
      </c>
      <c r="Y10" s="40" t="s">
        <v>59</v>
      </c>
      <c r="Z10" s="45"/>
      <c r="AA10" s="45"/>
      <c r="AB10" s="38"/>
      <c r="AC10" s="46"/>
      <c r="AD10" s="47"/>
    </row>
    <row r="11" s="49" customFormat="true" ht="15" hidden="false" customHeight="true" outlineLevel="0" collapsed="false">
      <c r="A11" s="13" t="n">
        <v>1</v>
      </c>
      <c r="B11" s="13" t="str">
        <f aca="false">'8.KTHH L8'!B22</f>
        <v>25</v>
      </c>
      <c r="C11" s="51" t="n">
        <f aca="false">'8.KTHH L8'!C22</f>
        <v>489.19</v>
      </c>
      <c r="D11" s="13" t="n">
        <f aca="false">'8.KTHH L8'!T22</f>
        <v>13.17</v>
      </c>
      <c r="E11" s="52"/>
      <c r="F11" s="52"/>
      <c r="G11" s="52"/>
      <c r="H11" s="52"/>
      <c r="I11" s="52"/>
      <c r="J11" s="52"/>
      <c r="K11" s="53"/>
      <c r="L11" s="16"/>
      <c r="M11" s="17"/>
      <c r="N11" s="54"/>
      <c r="O11" s="53" t="n">
        <f aca="false">Chạy!E2</f>
        <v>7.31</v>
      </c>
      <c r="P11" s="53"/>
      <c r="Q11" s="53"/>
      <c r="R11" s="55"/>
      <c r="S11" s="55"/>
      <c r="T11" s="55"/>
      <c r="U11" s="55"/>
      <c r="V11" s="55"/>
      <c r="W11" s="55" t="n">
        <f aca="false">(O11+O12)*D11/2</f>
        <v>96.2727</v>
      </c>
      <c r="X11" s="55"/>
      <c r="Y11" s="55"/>
      <c r="Z11" s="55"/>
      <c r="AA11" s="55"/>
      <c r="AB11" s="56"/>
      <c r="AC11" s="57"/>
    </row>
    <row r="12" s="49" customFormat="true" ht="15" hidden="false" customHeight="true" outlineLevel="0" collapsed="false">
      <c r="A12" s="13" t="n">
        <v>2</v>
      </c>
      <c r="B12" s="13" t="str">
        <f aca="false">'8.KTHH L8'!B23</f>
        <v>D1</v>
      </c>
      <c r="C12" s="51" t="n">
        <f aca="false">'8.KTHH L8'!C23</f>
        <v>502.36</v>
      </c>
      <c r="D12" s="13" t="n">
        <f aca="false">'8.KTHH L8'!T23</f>
        <v>10.48</v>
      </c>
      <c r="E12" s="52"/>
      <c r="F12" s="52"/>
      <c r="G12" s="52"/>
      <c r="H12" s="52"/>
      <c r="I12" s="52"/>
      <c r="J12" s="52"/>
      <c r="K12" s="53"/>
      <c r="L12" s="16"/>
      <c r="M12" s="17"/>
      <c r="N12" s="54"/>
      <c r="O12" s="53" t="n">
        <f aca="false">Chạy!E10</f>
        <v>7.31</v>
      </c>
      <c r="P12" s="53"/>
      <c r="Q12" s="53"/>
      <c r="R12" s="55"/>
      <c r="S12" s="55"/>
      <c r="T12" s="55"/>
      <c r="U12" s="55"/>
      <c r="V12" s="55"/>
      <c r="W12" s="55" t="n">
        <f aca="false">(O12+O13)*D12/2</f>
        <v>76.6088</v>
      </c>
      <c r="X12" s="55"/>
      <c r="Y12" s="55"/>
      <c r="Z12" s="55"/>
      <c r="AA12" s="55"/>
      <c r="AB12" s="56"/>
      <c r="AC12" s="57"/>
    </row>
    <row r="13" s="49" customFormat="true" ht="15" hidden="false" customHeight="true" outlineLevel="0" collapsed="false">
      <c r="A13" s="13" t="n">
        <v>3</v>
      </c>
      <c r="B13" s="13" t="str">
        <f aca="false">'8.KTHH L8'!B24</f>
        <v>26</v>
      </c>
      <c r="C13" s="51" t="n">
        <f aca="false">'8.KTHH L8'!C24</f>
        <v>512.84</v>
      </c>
      <c r="D13" s="13" t="n">
        <f aca="false">'8.KTHH L8'!T24</f>
        <v>16.78</v>
      </c>
      <c r="E13" s="52"/>
      <c r="F13" s="52"/>
      <c r="G13" s="52"/>
      <c r="H13" s="52"/>
      <c r="I13" s="52"/>
      <c r="J13" s="52"/>
      <c r="K13" s="53"/>
      <c r="L13" s="16"/>
      <c r="M13" s="17"/>
      <c r="N13" s="54"/>
      <c r="O13" s="53" t="n">
        <f aca="false">Chạy!E18</f>
        <v>7.31</v>
      </c>
      <c r="P13" s="53"/>
      <c r="Q13" s="53"/>
      <c r="R13" s="55"/>
      <c r="S13" s="55"/>
      <c r="T13" s="55"/>
      <c r="U13" s="55"/>
      <c r="V13" s="55"/>
      <c r="W13" s="55" t="n">
        <f aca="false">(O13+O14)*D13/2</f>
        <v>122.6618</v>
      </c>
      <c r="X13" s="55"/>
      <c r="Y13" s="55"/>
      <c r="Z13" s="55"/>
      <c r="AA13" s="55"/>
      <c r="AB13" s="56"/>
      <c r="AC13" s="57"/>
    </row>
    <row r="14" s="49" customFormat="true" ht="15" hidden="false" customHeight="true" outlineLevel="0" collapsed="false">
      <c r="A14" s="13" t="n">
        <v>4</v>
      </c>
      <c r="B14" s="13" t="str">
        <f aca="false">'8.KTHH L8'!B25</f>
        <v>27</v>
      </c>
      <c r="C14" s="51" t="n">
        <f aca="false">'8.KTHH L8'!C25</f>
        <v>529.62</v>
      </c>
      <c r="D14" s="13" t="n">
        <f aca="false">'8.KTHH L8'!T25</f>
        <v>17.1</v>
      </c>
      <c r="E14" s="52"/>
      <c r="F14" s="52"/>
      <c r="G14" s="52"/>
      <c r="H14" s="52"/>
      <c r="I14" s="52"/>
      <c r="J14" s="52"/>
      <c r="K14" s="53"/>
      <c r="L14" s="16"/>
      <c r="M14" s="17"/>
      <c r="N14" s="54"/>
      <c r="O14" s="53" t="n">
        <f aca="false">Chạy!E26</f>
        <v>7.31</v>
      </c>
      <c r="P14" s="53"/>
      <c r="Q14" s="53"/>
      <c r="R14" s="55"/>
      <c r="S14" s="55"/>
      <c r="T14" s="55"/>
      <c r="U14" s="55"/>
      <c r="V14" s="55"/>
      <c r="W14" s="55" t="n">
        <f aca="false">(O14+O15)*D14/2</f>
        <v>125.001</v>
      </c>
      <c r="X14" s="55"/>
      <c r="Y14" s="55"/>
      <c r="Z14" s="55"/>
      <c r="AA14" s="55"/>
      <c r="AB14" s="56"/>
      <c r="AC14" s="57"/>
    </row>
    <row r="15" s="49" customFormat="true" ht="15" hidden="false" customHeight="true" outlineLevel="0" collapsed="false">
      <c r="A15" s="13" t="n">
        <v>5</v>
      </c>
      <c r="B15" s="13" t="str">
        <f aca="false">'8.KTHH L8'!B26</f>
        <v>28</v>
      </c>
      <c r="C15" s="51" t="n">
        <f aca="false">'8.KTHH L8'!C26</f>
        <v>546.72</v>
      </c>
      <c r="D15" s="13" t="n">
        <f aca="false">'8.KTHH L8'!T26</f>
        <v>15.15</v>
      </c>
      <c r="E15" s="52"/>
      <c r="F15" s="52"/>
      <c r="G15" s="52"/>
      <c r="H15" s="52"/>
      <c r="I15" s="52"/>
      <c r="J15" s="52"/>
      <c r="K15" s="53"/>
      <c r="L15" s="16"/>
      <c r="M15" s="17"/>
      <c r="N15" s="54"/>
      <c r="O15" s="53" t="n">
        <f aca="false">Chạy!E34</f>
        <v>7.31</v>
      </c>
      <c r="P15" s="53"/>
      <c r="Q15" s="53"/>
      <c r="R15" s="55"/>
      <c r="S15" s="55"/>
      <c r="T15" s="55"/>
      <c r="U15" s="55"/>
      <c r="V15" s="55"/>
      <c r="W15" s="55" t="n">
        <f aca="false">(O15+O16)*D15/2</f>
        <v>110.7465</v>
      </c>
      <c r="X15" s="55"/>
      <c r="Y15" s="55"/>
      <c r="Z15" s="55"/>
      <c r="AA15" s="55"/>
      <c r="AB15" s="56"/>
      <c r="AC15" s="57"/>
    </row>
    <row r="16" s="49" customFormat="true" ht="15" hidden="false" customHeight="true" outlineLevel="0" collapsed="false">
      <c r="A16" s="13" t="n">
        <v>6</v>
      </c>
      <c r="B16" s="13" t="str">
        <f aca="false">'8.KTHH L8'!B27</f>
        <v>E5</v>
      </c>
      <c r="C16" s="51" t="n">
        <f aca="false">'8.KTHH L8'!C27</f>
        <v>561.87</v>
      </c>
      <c r="D16" s="13" t="n">
        <f aca="false">'8.KTHH L8'!T27</f>
        <v>0.15</v>
      </c>
      <c r="E16" s="52"/>
      <c r="F16" s="52"/>
      <c r="G16" s="52"/>
      <c r="H16" s="52"/>
      <c r="I16" s="52"/>
      <c r="J16" s="52"/>
      <c r="K16" s="53"/>
      <c r="L16" s="16"/>
      <c r="M16" s="17"/>
      <c r="N16" s="54"/>
      <c r="O16" s="53" t="n">
        <f aca="false">Chạy!E42</f>
        <v>7.31</v>
      </c>
      <c r="P16" s="53"/>
      <c r="Q16" s="53"/>
      <c r="R16" s="55"/>
      <c r="S16" s="55"/>
      <c r="T16" s="55"/>
      <c r="U16" s="55"/>
      <c r="V16" s="55"/>
      <c r="W16" s="55" t="n">
        <f aca="false">(O16+O17)*D16/2</f>
        <v>1.0965</v>
      </c>
      <c r="X16" s="55"/>
      <c r="Y16" s="55"/>
      <c r="Z16" s="55"/>
      <c r="AA16" s="55"/>
      <c r="AB16" s="56"/>
      <c r="AC16" s="57"/>
    </row>
    <row r="17" s="49" customFormat="true" ht="15" hidden="false" customHeight="true" outlineLevel="0" collapsed="false">
      <c r="A17" s="13" t="n">
        <v>7</v>
      </c>
      <c r="B17" s="13" t="str">
        <f aca="false">'8.KTHH L8'!B28</f>
        <v>TD</v>
      </c>
      <c r="C17" s="51" t="n">
        <f aca="false">'8.KTHH L8'!C28</f>
        <v>562.02</v>
      </c>
      <c r="D17" s="13" t="n">
        <f aca="false">'8.KTHH L8'!T28</f>
        <v>6.55</v>
      </c>
      <c r="E17" s="52"/>
      <c r="F17" s="52"/>
      <c r="G17" s="52"/>
      <c r="H17" s="52"/>
      <c r="I17" s="52"/>
      <c r="J17" s="52"/>
      <c r="K17" s="53"/>
      <c r="L17" s="16"/>
      <c r="M17" s="17"/>
      <c r="N17" s="54"/>
      <c r="O17" s="53" t="n">
        <f aca="false">Chạy!E50</f>
        <v>7.31</v>
      </c>
      <c r="P17" s="53"/>
      <c r="Q17" s="53"/>
      <c r="R17" s="55"/>
      <c r="S17" s="55"/>
      <c r="T17" s="55"/>
      <c r="U17" s="55"/>
      <c r="V17" s="55"/>
      <c r="W17" s="55" t="n">
        <f aca="false">(O17+O18)*D17/2</f>
        <v>47.8805</v>
      </c>
      <c r="X17" s="55"/>
      <c r="Y17" s="55"/>
      <c r="Z17" s="55"/>
      <c r="AA17" s="55"/>
      <c r="AB17" s="56"/>
      <c r="AC17" s="57"/>
    </row>
    <row r="18" s="49" customFormat="true" ht="15" hidden="false" customHeight="true" outlineLevel="0" collapsed="false">
      <c r="A18" s="13" t="n">
        <v>8</v>
      </c>
      <c r="B18" s="13" t="str">
        <f aca="false">'8.KTHH L8'!B29</f>
        <v>P</v>
      </c>
      <c r="C18" s="51" t="n">
        <f aca="false">'8.KTHH L8'!C29</f>
        <v>568.57</v>
      </c>
      <c r="D18" s="13" t="n">
        <f aca="false">'8.KTHH L8'!T29</f>
        <v>6.55</v>
      </c>
      <c r="E18" s="52"/>
      <c r="F18" s="52"/>
      <c r="G18" s="52"/>
      <c r="H18" s="52"/>
      <c r="I18" s="52"/>
      <c r="J18" s="52"/>
      <c r="K18" s="53"/>
      <c r="L18" s="16"/>
      <c r="M18" s="17"/>
      <c r="N18" s="54"/>
      <c r="O18" s="53" t="n">
        <f aca="false">Chạy!E58</f>
        <v>7.31</v>
      </c>
      <c r="P18" s="53"/>
      <c r="Q18" s="53"/>
      <c r="R18" s="55"/>
      <c r="S18" s="55"/>
      <c r="T18" s="55"/>
      <c r="U18" s="55"/>
      <c r="V18" s="55"/>
      <c r="W18" s="55" t="n">
        <f aca="false">(O18+O19)*D18/2</f>
        <v>47.8805</v>
      </c>
      <c r="X18" s="55"/>
      <c r="Y18" s="55"/>
      <c r="Z18" s="55"/>
      <c r="AA18" s="55"/>
      <c r="AB18" s="56"/>
      <c r="AC18" s="57"/>
    </row>
    <row r="19" s="49" customFormat="true" ht="15" hidden="false" customHeight="true" outlineLevel="0" collapsed="false">
      <c r="A19" s="13" t="n">
        <v>9</v>
      </c>
      <c r="B19" s="13" t="str">
        <f aca="false">'8.KTHH L8'!B30</f>
        <v>TC</v>
      </c>
      <c r="C19" s="51" t="n">
        <f aca="false">'8.KTHH L8'!C30</f>
        <v>575.12</v>
      </c>
      <c r="D19" s="13" t="n">
        <f aca="false">'8.KTHH L8'!T30</f>
        <v>0.04</v>
      </c>
      <c r="E19" s="52"/>
      <c r="F19" s="52"/>
      <c r="G19" s="52"/>
      <c r="H19" s="52"/>
      <c r="I19" s="52"/>
      <c r="J19" s="52"/>
      <c r="K19" s="53"/>
      <c r="L19" s="16"/>
      <c r="M19" s="17"/>
      <c r="N19" s="54"/>
      <c r="O19" s="53" t="n">
        <f aca="false">Chạy!E66</f>
        <v>7.31</v>
      </c>
      <c r="P19" s="53"/>
      <c r="Q19" s="53"/>
      <c r="R19" s="55"/>
      <c r="S19" s="55"/>
      <c r="T19" s="55"/>
      <c r="U19" s="55"/>
      <c r="V19" s="55"/>
      <c r="W19" s="55" t="n">
        <f aca="false">(O19+O20)*D19/2</f>
        <v>0.2924</v>
      </c>
      <c r="X19" s="55"/>
      <c r="Y19" s="55"/>
      <c r="Z19" s="55"/>
      <c r="AA19" s="55"/>
      <c r="AB19" s="56"/>
      <c r="AC19" s="57"/>
    </row>
    <row r="20" s="49" customFormat="true" ht="15" hidden="false" customHeight="true" outlineLevel="0" collapsed="false">
      <c r="A20" s="13" t="n">
        <v>10</v>
      </c>
      <c r="B20" s="13" t="str">
        <f aca="false">'8.KTHH L8'!B31</f>
        <v>29</v>
      </c>
      <c r="C20" s="51" t="n">
        <f aca="false">'8.KTHH L8'!C31</f>
        <v>575.16</v>
      </c>
      <c r="D20" s="13" t="n">
        <f aca="false">'8.KTHH L8'!T31</f>
        <v>16.95</v>
      </c>
      <c r="E20" s="52"/>
      <c r="F20" s="52"/>
      <c r="G20" s="52"/>
      <c r="H20" s="52"/>
      <c r="I20" s="52"/>
      <c r="J20" s="52"/>
      <c r="K20" s="53"/>
      <c r="L20" s="16"/>
      <c r="M20" s="17"/>
      <c r="N20" s="54"/>
      <c r="O20" s="53" t="n">
        <f aca="false">Chạy!E74</f>
        <v>7.31</v>
      </c>
      <c r="P20" s="53"/>
      <c r="Q20" s="53"/>
      <c r="R20" s="55"/>
      <c r="S20" s="55"/>
      <c r="T20" s="55"/>
      <c r="U20" s="55"/>
      <c r="V20" s="55"/>
      <c r="W20" s="55" t="n">
        <f aca="false">(O20+O21)*D20/2</f>
        <v>123.9045</v>
      </c>
      <c r="X20" s="55"/>
      <c r="Y20" s="55"/>
      <c r="Z20" s="55"/>
      <c r="AA20" s="55"/>
      <c r="AB20" s="56"/>
      <c r="AC20" s="57"/>
    </row>
    <row r="21" s="49" customFormat="true" ht="15" hidden="false" customHeight="true" outlineLevel="0" collapsed="false">
      <c r="A21" s="13" t="n">
        <v>11</v>
      </c>
      <c r="B21" s="13" t="str">
        <f aca="false">'8.KTHH L8'!B32</f>
        <v>30</v>
      </c>
      <c r="C21" s="51" t="n">
        <f aca="false">'8.KTHH L8'!C32</f>
        <v>592.11</v>
      </c>
      <c r="D21" s="13" t="n">
        <f aca="false">'8.KTHH L8'!T32</f>
        <v>17</v>
      </c>
      <c r="E21" s="52"/>
      <c r="F21" s="52"/>
      <c r="G21" s="52"/>
      <c r="H21" s="52"/>
      <c r="I21" s="52"/>
      <c r="J21" s="52"/>
      <c r="K21" s="53"/>
      <c r="L21" s="16"/>
      <c r="M21" s="17"/>
      <c r="N21" s="54"/>
      <c r="O21" s="53" t="n">
        <f aca="false">Chạy!E82</f>
        <v>7.31</v>
      </c>
      <c r="P21" s="53"/>
      <c r="Q21" s="53"/>
      <c r="R21" s="55"/>
      <c r="S21" s="55"/>
      <c r="T21" s="55"/>
      <c r="U21" s="55"/>
      <c r="V21" s="55"/>
      <c r="W21" s="55" t="n">
        <f aca="false">(O21+O22)*D21/2</f>
        <v>124.27</v>
      </c>
      <c r="X21" s="55"/>
      <c r="Y21" s="55"/>
      <c r="Z21" s="55"/>
      <c r="AA21" s="55"/>
      <c r="AB21" s="56"/>
      <c r="AC21" s="57"/>
    </row>
    <row r="22" s="49" customFormat="true" ht="15" hidden="false" customHeight="true" outlineLevel="0" collapsed="false">
      <c r="A22" s="13" t="n">
        <v>12</v>
      </c>
      <c r="B22" s="13" t="str">
        <f aca="false">'8.KTHH L8'!B33</f>
        <v>31</v>
      </c>
      <c r="C22" s="51" t="n">
        <f aca="false">'8.KTHH L8'!C33</f>
        <v>609.11</v>
      </c>
      <c r="D22" s="13"/>
      <c r="E22" s="52"/>
      <c r="F22" s="52"/>
      <c r="G22" s="52"/>
      <c r="H22" s="52"/>
      <c r="I22" s="52"/>
      <c r="J22" s="52"/>
      <c r="K22" s="53"/>
      <c r="L22" s="16"/>
      <c r="M22" s="17"/>
      <c r="N22" s="54"/>
      <c r="O22" s="53" t="n">
        <f aca="false">Chạy!E90</f>
        <v>7.31</v>
      </c>
      <c r="P22" s="53"/>
      <c r="Q22" s="53"/>
      <c r="R22" s="55"/>
      <c r="S22" s="55"/>
      <c r="T22" s="55"/>
      <c r="U22" s="55"/>
      <c r="V22" s="55"/>
      <c r="W22" s="55"/>
      <c r="X22" s="55"/>
      <c r="Y22" s="55"/>
      <c r="Z22" s="55"/>
      <c r="AA22" s="55"/>
      <c r="AB22" s="56"/>
      <c r="AC22" s="57"/>
    </row>
    <row r="23" s="49" customFormat="true" ht="15" hidden="true" customHeight="true" outlineLevel="0" collapsed="false">
      <c r="A23" s="13"/>
      <c r="B23" s="13"/>
      <c r="C23" s="51"/>
      <c r="D23" s="13"/>
      <c r="E23" s="52"/>
      <c r="F23" s="52"/>
      <c r="G23" s="52"/>
      <c r="H23" s="52"/>
      <c r="I23" s="52"/>
      <c r="J23" s="52"/>
      <c r="K23" s="53"/>
      <c r="L23" s="16"/>
      <c r="M23" s="17"/>
      <c r="N23" s="54"/>
      <c r="O23" s="53"/>
      <c r="P23" s="53"/>
      <c r="Q23" s="53"/>
      <c r="R23" s="55"/>
      <c r="S23" s="55"/>
      <c r="T23" s="55"/>
      <c r="U23" s="55"/>
      <c r="V23" s="55"/>
      <c r="W23" s="55"/>
      <c r="X23" s="55"/>
      <c r="Y23" s="55"/>
      <c r="Z23" s="55"/>
      <c r="AA23" s="55"/>
      <c r="AB23" s="56"/>
      <c r="AC23" s="57"/>
    </row>
    <row r="24" s="49" customFormat="true" ht="15" hidden="true" customHeight="true" outlineLevel="0" collapsed="false">
      <c r="A24" s="13"/>
      <c r="B24" s="13"/>
      <c r="C24" s="51"/>
      <c r="D24" s="13"/>
      <c r="E24" s="52"/>
      <c r="F24" s="52"/>
      <c r="G24" s="52"/>
      <c r="H24" s="52"/>
      <c r="I24" s="52"/>
      <c r="J24" s="52"/>
      <c r="K24" s="53"/>
      <c r="L24" s="16"/>
      <c r="M24" s="17"/>
      <c r="N24" s="54"/>
      <c r="O24" s="53"/>
      <c r="P24" s="53"/>
      <c r="Q24" s="53"/>
      <c r="R24" s="55"/>
      <c r="S24" s="55"/>
      <c r="T24" s="55"/>
      <c r="U24" s="55"/>
      <c r="V24" s="55"/>
      <c r="W24" s="55"/>
      <c r="X24" s="55"/>
      <c r="Y24" s="55"/>
      <c r="Z24" s="55"/>
      <c r="AA24" s="55"/>
      <c r="AB24" s="56"/>
      <c r="AC24" s="57"/>
    </row>
    <row r="25" s="49" customFormat="true" ht="15" hidden="true" customHeight="true" outlineLevel="0" collapsed="false">
      <c r="A25" s="13"/>
      <c r="B25" s="13"/>
      <c r="C25" s="51"/>
      <c r="D25" s="13"/>
      <c r="E25" s="52"/>
      <c r="F25" s="52"/>
      <c r="G25" s="52"/>
      <c r="H25" s="52"/>
      <c r="I25" s="52"/>
      <c r="J25" s="52"/>
      <c r="K25" s="53"/>
      <c r="L25" s="16"/>
      <c r="M25" s="17"/>
      <c r="N25" s="54"/>
      <c r="O25" s="53"/>
      <c r="P25" s="53"/>
      <c r="Q25" s="53"/>
      <c r="R25" s="55"/>
      <c r="S25" s="55"/>
      <c r="T25" s="55"/>
      <c r="U25" s="55"/>
      <c r="V25" s="55"/>
      <c r="W25" s="55"/>
      <c r="X25" s="55"/>
      <c r="Y25" s="55"/>
      <c r="Z25" s="55"/>
      <c r="AA25" s="55"/>
      <c r="AB25" s="56"/>
      <c r="AC25" s="57"/>
    </row>
    <row r="26" s="49" customFormat="true" ht="15" hidden="true" customHeight="true" outlineLevel="0" collapsed="false">
      <c r="A26" s="13"/>
      <c r="B26" s="13"/>
      <c r="C26" s="51"/>
      <c r="D26" s="13"/>
      <c r="E26" s="52"/>
      <c r="F26" s="52"/>
      <c r="G26" s="52"/>
      <c r="H26" s="52"/>
      <c r="I26" s="52"/>
      <c r="J26" s="52"/>
      <c r="K26" s="53"/>
      <c r="L26" s="16"/>
      <c r="M26" s="17"/>
      <c r="N26" s="54"/>
      <c r="O26" s="53"/>
      <c r="P26" s="53"/>
      <c r="Q26" s="53"/>
      <c r="R26" s="55"/>
      <c r="S26" s="55"/>
      <c r="T26" s="55"/>
      <c r="U26" s="55"/>
      <c r="V26" s="55"/>
      <c r="W26" s="55"/>
      <c r="X26" s="55"/>
      <c r="Y26" s="55"/>
      <c r="Z26" s="55"/>
      <c r="AA26" s="55"/>
      <c r="AB26" s="56"/>
      <c r="AC26" s="57"/>
    </row>
    <row r="27" s="49" customFormat="true" ht="15" hidden="true" customHeight="true" outlineLevel="0" collapsed="false">
      <c r="A27" s="13"/>
      <c r="B27" s="13"/>
      <c r="C27" s="51"/>
      <c r="D27" s="13"/>
      <c r="E27" s="52"/>
      <c r="F27" s="52"/>
      <c r="G27" s="52"/>
      <c r="H27" s="52"/>
      <c r="I27" s="52"/>
      <c r="J27" s="52"/>
      <c r="K27" s="53"/>
      <c r="L27" s="16"/>
      <c r="M27" s="17"/>
      <c r="N27" s="54"/>
      <c r="O27" s="53"/>
      <c r="P27" s="53"/>
      <c r="Q27" s="53"/>
      <c r="R27" s="55"/>
      <c r="S27" s="55"/>
      <c r="T27" s="55"/>
      <c r="U27" s="55"/>
      <c r="V27" s="55"/>
      <c r="W27" s="55"/>
      <c r="X27" s="55"/>
      <c r="Y27" s="55"/>
      <c r="Z27" s="55"/>
      <c r="AA27" s="55"/>
      <c r="AB27" s="56"/>
      <c r="AC27" s="57"/>
    </row>
    <row r="28" s="49" customFormat="true" ht="15" hidden="true" customHeight="true" outlineLevel="0" collapsed="false">
      <c r="A28" s="13"/>
      <c r="B28" s="13"/>
      <c r="C28" s="51"/>
      <c r="D28" s="13"/>
      <c r="E28" s="52"/>
      <c r="F28" s="52"/>
      <c r="G28" s="52"/>
      <c r="H28" s="52"/>
      <c r="I28" s="52"/>
      <c r="J28" s="52"/>
      <c r="K28" s="53"/>
      <c r="L28" s="16"/>
      <c r="M28" s="17"/>
      <c r="N28" s="54"/>
      <c r="O28" s="53"/>
      <c r="P28" s="53"/>
      <c r="Q28" s="53"/>
      <c r="R28" s="55"/>
      <c r="S28" s="55"/>
      <c r="T28" s="55"/>
      <c r="U28" s="55"/>
      <c r="V28" s="55"/>
      <c r="W28" s="55"/>
      <c r="X28" s="55"/>
      <c r="Y28" s="55"/>
      <c r="Z28" s="55"/>
      <c r="AA28" s="55"/>
      <c r="AB28" s="56"/>
      <c r="AC28" s="57"/>
    </row>
    <row r="29" s="49" customFormat="true" ht="15" hidden="true" customHeight="true" outlineLevel="0" collapsed="false">
      <c r="A29" s="13"/>
      <c r="B29" s="13"/>
      <c r="C29" s="51"/>
      <c r="D29" s="13"/>
      <c r="E29" s="52"/>
      <c r="F29" s="52"/>
      <c r="G29" s="52"/>
      <c r="H29" s="52"/>
      <c r="I29" s="52"/>
      <c r="J29" s="52"/>
      <c r="K29" s="53"/>
      <c r="L29" s="16"/>
      <c r="M29" s="17"/>
      <c r="N29" s="54"/>
      <c r="O29" s="53"/>
      <c r="P29" s="53"/>
      <c r="Q29" s="53"/>
      <c r="R29" s="55"/>
      <c r="S29" s="55"/>
      <c r="T29" s="55"/>
      <c r="U29" s="55"/>
      <c r="V29" s="55"/>
      <c r="W29" s="55"/>
      <c r="X29" s="55"/>
      <c r="Y29" s="55"/>
      <c r="Z29" s="55"/>
      <c r="AA29" s="55"/>
      <c r="AB29" s="56"/>
      <c r="AC29" s="57"/>
    </row>
    <row r="30" s="49" customFormat="true" ht="15" hidden="true" customHeight="true" outlineLevel="0" collapsed="false">
      <c r="A30" s="13"/>
      <c r="B30" s="13"/>
      <c r="C30" s="51"/>
      <c r="D30" s="13"/>
      <c r="E30" s="52"/>
      <c r="F30" s="52"/>
      <c r="G30" s="52"/>
      <c r="H30" s="52"/>
      <c r="I30" s="52"/>
      <c r="J30" s="52"/>
      <c r="K30" s="53"/>
      <c r="L30" s="16"/>
      <c r="M30" s="17"/>
      <c r="N30" s="54"/>
      <c r="O30" s="53"/>
      <c r="P30" s="53"/>
      <c r="Q30" s="53"/>
      <c r="R30" s="55"/>
      <c r="S30" s="55"/>
      <c r="T30" s="55"/>
      <c r="U30" s="55"/>
      <c r="V30" s="55"/>
      <c r="W30" s="55"/>
      <c r="X30" s="55"/>
      <c r="Y30" s="55"/>
      <c r="Z30" s="55"/>
      <c r="AA30" s="55"/>
      <c r="AB30" s="56"/>
      <c r="AC30" s="57"/>
    </row>
    <row r="31" s="49" customFormat="true" ht="15" hidden="true" customHeight="true" outlineLevel="0" collapsed="false">
      <c r="A31" s="13"/>
      <c r="B31" s="13"/>
      <c r="C31" s="51"/>
      <c r="D31" s="13"/>
      <c r="E31" s="52"/>
      <c r="F31" s="52"/>
      <c r="G31" s="52"/>
      <c r="H31" s="52"/>
      <c r="I31" s="52"/>
      <c r="J31" s="52"/>
      <c r="K31" s="53"/>
      <c r="L31" s="16"/>
      <c r="M31" s="17"/>
      <c r="N31" s="54"/>
      <c r="O31" s="53"/>
      <c r="P31" s="53"/>
      <c r="Q31" s="53"/>
      <c r="R31" s="55"/>
      <c r="S31" s="55"/>
      <c r="T31" s="55"/>
      <c r="U31" s="55"/>
      <c r="V31" s="55"/>
      <c r="W31" s="55"/>
      <c r="X31" s="55"/>
      <c r="Y31" s="55"/>
      <c r="Z31" s="55"/>
      <c r="AA31" s="55"/>
      <c r="AB31" s="56"/>
      <c r="AC31" s="57"/>
    </row>
    <row r="32" s="49" customFormat="true" ht="15" hidden="true" customHeight="true" outlineLevel="0" collapsed="false">
      <c r="A32" s="13"/>
      <c r="B32" s="13"/>
      <c r="C32" s="51"/>
      <c r="D32" s="13"/>
      <c r="E32" s="52"/>
      <c r="F32" s="52"/>
      <c r="G32" s="52"/>
      <c r="H32" s="52"/>
      <c r="I32" s="52"/>
      <c r="J32" s="52"/>
      <c r="K32" s="53"/>
      <c r="L32" s="16"/>
      <c r="M32" s="17"/>
      <c r="N32" s="54"/>
      <c r="O32" s="53"/>
      <c r="P32" s="53"/>
      <c r="Q32" s="53"/>
      <c r="R32" s="55"/>
      <c r="S32" s="55"/>
      <c r="T32" s="55"/>
      <c r="U32" s="55"/>
      <c r="V32" s="55"/>
      <c r="W32" s="55"/>
      <c r="X32" s="55"/>
      <c r="Y32" s="55"/>
      <c r="Z32" s="55"/>
      <c r="AA32" s="55"/>
      <c r="AB32" s="56"/>
      <c r="AC32" s="57"/>
    </row>
    <row r="33" s="49" customFormat="true" ht="15" hidden="true" customHeight="true" outlineLevel="0" collapsed="false">
      <c r="A33" s="13"/>
      <c r="B33" s="13"/>
      <c r="C33" s="51"/>
      <c r="D33" s="13"/>
      <c r="E33" s="52"/>
      <c r="F33" s="52"/>
      <c r="G33" s="52"/>
      <c r="H33" s="52"/>
      <c r="I33" s="52"/>
      <c r="J33" s="52"/>
      <c r="K33" s="53"/>
      <c r="L33" s="16"/>
      <c r="M33" s="17"/>
      <c r="N33" s="54"/>
      <c r="O33" s="53"/>
      <c r="P33" s="53"/>
      <c r="Q33" s="53"/>
      <c r="R33" s="55"/>
      <c r="S33" s="55"/>
      <c r="T33" s="55"/>
      <c r="U33" s="55"/>
      <c r="V33" s="55"/>
      <c r="W33" s="55"/>
      <c r="X33" s="55"/>
      <c r="Y33" s="55"/>
      <c r="Z33" s="55"/>
      <c r="AA33" s="55"/>
      <c r="AB33" s="56"/>
      <c r="AC33" s="57"/>
    </row>
    <row r="34" s="49" customFormat="true" ht="15" hidden="true" customHeight="true" outlineLevel="0" collapsed="false">
      <c r="A34" s="13"/>
      <c r="B34" s="13"/>
      <c r="C34" s="51"/>
      <c r="D34" s="13"/>
      <c r="E34" s="52"/>
      <c r="F34" s="52"/>
      <c r="G34" s="52"/>
      <c r="H34" s="52"/>
      <c r="I34" s="52"/>
      <c r="J34" s="52"/>
      <c r="K34" s="53"/>
      <c r="L34" s="16"/>
      <c r="M34" s="17"/>
      <c r="N34" s="54"/>
      <c r="O34" s="53"/>
      <c r="P34" s="53"/>
      <c r="Q34" s="53"/>
      <c r="R34" s="55"/>
      <c r="S34" s="55"/>
      <c r="T34" s="55"/>
      <c r="U34" s="55"/>
      <c r="V34" s="55"/>
      <c r="W34" s="55"/>
      <c r="X34" s="55"/>
      <c r="Y34" s="55"/>
      <c r="Z34" s="55"/>
      <c r="AA34" s="55"/>
      <c r="AB34" s="56"/>
      <c r="AC34" s="57"/>
    </row>
    <row r="35" s="49" customFormat="true" ht="15" hidden="true" customHeight="true" outlineLevel="0" collapsed="false">
      <c r="A35" s="13"/>
      <c r="B35" s="13"/>
      <c r="C35" s="51"/>
      <c r="D35" s="13"/>
      <c r="E35" s="52"/>
      <c r="F35" s="52"/>
      <c r="G35" s="52"/>
      <c r="H35" s="52"/>
      <c r="I35" s="52"/>
      <c r="J35" s="52"/>
      <c r="K35" s="53"/>
      <c r="L35" s="16"/>
      <c r="M35" s="17"/>
      <c r="N35" s="54"/>
      <c r="O35" s="53"/>
      <c r="P35" s="53"/>
      <c r="Q35" s="53"/>
      <c r="R35" s="55"/>
      <c r="S35" s="55"/>
      <c r="T35" s="55"/>
      <c r="U35" s="55"/>
      <c r="V35" s="55"/>
      <c r="W35" s="55"/>
      <c r="X35" s="55"/>
      <c r="Y35" s="55"/>
      <c r="Z35" s="55"/>
      <c r="AA35" s="55"/>
      <c r="AB35" s="56"/>
      <c r="AC35" s="57"/>
    </row>
    <row r="36" s="49" customFormat="true" ht="15" hidden="true" customHeight="true" outlineLevel="0" collapsed="false">
      <c r="A36" s="13"/>
      <c r="B36" s="13"/>
      <c r="C36" s="51"/>
      <c r="D36" s="13"/>
      <c r="E36" s="52"/>
      <c r="F36" s="52"/>
      <c r="G36" s="52"/>
      <c r="H36" s="52"/>
      <c r="I36" s="52"/>
      <c r="J36" s="52"/>
      <c r="K36" s="53"/>
      <c r="L36" s="16"/>
      <c r="M36" s="17"/>
      <c r="N36" s="54"/>
      <c r="O36" s="53"/>
      <c r="P36" s="53"/>
      <c r="Q36" s="53"/>
      <c r="R36" s="55"/>
      <c r="S36" s="55"/>
      <c r="T36" s="55"/>
      <c r="U36" s="55"/>
      <c r="V36" s="55"/>
      <c r="W36" s="55"/>
      <c r="X36" s="55"/>
      <c r="Y36" s="55"/>
      <c r="Z36" s="55"/>
      <c r="AA36" s="55"/>
      <c r="AB36" s="56"/>
      <c r="AC36" s="57"/>
    </row>
    <row r="37" s="49" customFormat="true" ht="15" hidden="true" customHeight="true" outlineLevel="0" collapsed="false">
      <c r="A37" s="13"/>
      <c r="B37" s="13"/>
      <c r="C37" s="51"/>
      <c r="D37" s="13"/>
      <c r="E37" s="52"/>
      <c r="F37" s="52"/>
      <c r="G37" s="52"/>
      <c r="H37" s="52"/>
      <c r="I37" s="52"/>
      <c r="J37" s="52"/>
      <c r="K37" s="53"/>
      <c r="L37" s="16"/>
      <c r="M37" s="17"/>
      <c r="N37" s="54"/>
      <c r="O37" s="53"/>
      <c r="P37" s="53"/>
      <c r="Q37" s="53"/>
      <c r="R37" s="55"/>
      <c r="S37" s="55"/>
      <c r="T37" s="55"/>
      <c r="U37" s="55"/>
      <c r="V37" s="55"/>
      <c r="W37" s="55"/>
      <c r="X37" s="55"/>
      <c r="Y37" s="55"/>
      <c r="Z37" s="55"/>
      <c r="AA37" s="55"/>
      <c r="AB37" s="56"/>
      <c r="AC37" s="57"/>
    </row>
    <row r="38" s="49" customFormat="true" ht="15" hidden="true" customHeight="true" outlineLevel="0" collapsed="false">
      <c r="A38" s="13"/>
      <c r="B38" s="13"/>
      <c r="C38" s="51"/>
      <c r="D38" s="13"/>
      <c r="E38" s="52"/>
      <c r="F38" s="52"/>
      <c r="G38" s="52"/>
      <c r="H38" s="52"/>
      <c r="I38" s="52"/>
      <c r="J38" s="52"/>
      <c r="K38" s="53"/>
      <c r="L38" s="16"/>
      <c r="M38" s="17"/>
      <c r="N38" s="54"/>
      <c r="O38" s="53"/>
      <c r="P38" s="53"/>
      <c r="Q38" s="53"/>
      <c r="R38" s="55"/>
      <c r="S38" s="55"/>
      <c r="T38" s="55"/>
      <c r="U38" s="55"/>
      <c r="V38" s="55"/>
      <c r="W38" s="55"/>
      <c r="X38" s="55"/>
      <c r="Y38" s="55"/>
      <c r="Z38" s="55"/>
      <c r="AA38" s="55"/>
      <c r="AB38" s="56"/>
      <c r="AC38" s="57"/>
    </row>
    <row r="39" s="49" customFormat="true" ht="15" hidden="true" customHeight="true" outlineLevel="0" collapsed="false">
      <c r="A39" s="13"/>
      <c r="B39" s="13"/>
      <c r="C39" s="51"/>
      <c r="D39" s="13"/>
      <c r="E39" s="52"/>
      <c r="F39" s="52"/>
      <c r="G39" s="52"/>
      <c r="H39" s="52"/>
      <c r="I39" s="52"/>
      <c r="J39" s="52"/>
      <c r="K39" s="53"/>
      <c r="L39" s="16"/>
      <c r="M39" s="17"/>
      <c r="N39" s="54"/>
      <c r="O39" s="53"/>
      <c r="P39" s="53"/>
      <c r="Q39" s="53"/>
      <c r="R39" s="55"/>
      <c r="S39" s="55"/>
      <c r="T39" s="55"/>
      <c r="U39" s="55"/>
      <c r="V39" s="55"/>
      <c r="W39" s="55"/>
      <c r="X39" s="55"/>
      <c r="Y39" s="55"/>
      <c r="Z39" s="55"/>
      <c r="AA39" s="55"/>
      <c r="AB39" s="56"/>
      <c r="AC39" s="57"/>
    </row>
    <row r="40" s="49" customFormat="true" ht="15" hidden="true" customHeight="true" outlineLevel="0" collapsed="false">
      <c r="A40" s="13"/>
      <c r="B40" s="13"/>
      <c r="C40" s="51"/>
      <c r="D40" s="13"/>
      <c r="E40" s="52"/>
      <c r="F40" s="52"/>
      <c r="G40" s="52"/>
      <c r="H40" s="52"/>
      <c r="I40" s="52"/>
      <c r="J40" s="52"/>
      <c r="K40" s="53"/>
      <c r="L40" s="16"/>
      <c r="M40" s="17"/>
      <c r="N40" s="54"/>
      <c r="O40" s="53"/>
      <c r="P40" s="53"/>
      <c r="Q40" s="53"/>
      <c r="R40" s="55"/>
      <c r="S40" s="55"/>
      <c r="T40" s="55"/>
      <c r="U40" s="55"/>
      <c r="V40" s="55"/>
      <c r="W40" s="55"/>
      <c r="X40" s="55"/>
      <c r="Y40" s="55"/>
      <c r="Z40" s="55"/>
      <c r="AA40" s="55"/>
      <c r="AB40" s="56"/>
      <c r="AC40" s="57"/>
    </row>
    <row r="41" s="49" customFormat="true" ht="15" hidden="true" customHeight="true" outlineLevel="0" collapsed="false">
      <c r="A41" s="13"/>
      <c r="B41" s="13"/>
      <c r="C41" s="51"/>
      <c r="D41" s="13"/>
      <c r="E41" s="52"/>
      <c r="F41" s="52"/>
      <c r="G41" s="52"/>
      <c r="H41" s="52"/>
      <c r="I41" s="52"/>
      <c r="J41" s="52"/>
      <c r="K41" s="53"/>
      <c r="L41" s="16"/>
      <c r="M41" s="17"/>
      <c r="N41" s="54"/>
      <c r="O41" s="53"/>
      <c r="P41" s="53"/>
      <c r="Q41" s="53"/>
      <c r="R41" s="55"/>
      <c r="S41" s="55"/>
      <c r="T41" s="55"/>
      <c r="U41" s="55"/>
      <c r="V41" s="55"/>
      <c r="W41" s="55"/>
      <c r="X41" s="55"/>
      <c r="Y41" s="55"/>
      <c r="Z41" s="55"/>
      <c r="AA41" s="55"/>
      <c r="AB41" s="56"/>
      <c r="AC41" s="57"/>
    </row>
    <row r="42" s="49" customFormat="true" ht="15" hidden="true" customHeight="true" outlineLevel="0" collapsed="false">
      <c r="A42" s="13"/>
      <c r="B42" s="13"/>
      <c r="C42" s="51"/>
      <c r="D42" s="13"/>
      <c r="E42" s="52"/>
      <c r="F42" s="52"/>
      <c r="G42" s="52"/>
      <c r="H42" s="52"/>
      <c r="I42" s="52"/>
      <c r="J42" s="52"/>
      <c r="K42" s="53"/>
      <c r="L42" s="16"/>
      <c r="M42" s="17"/>
      <c r="N42" s="54"/>
      <c r="O42" s="53"/>
      <c r="P42" s="53"/>
      <c r="Q42" s="53"/>
      <c r="R42" s="55"/>
      <c r="S42" s="55"/>
      <c r="T42" s="55"/>
      <c r="U42" s="55"/>
      <c r="V42" s="55"/>
      <c r="W42" s="55"/>
      <c r="X42" s="55"/>
      <c r="Y42" s="55"/>
      <c r="Z42" s="55"/>
      <c r="AA42" s="55"/>
      <c r="AB42" s="56"/>
      <c r="AC42" s="57"/>
    </row>
    <row r="43" s="49" customFormat="true" ht="15" hidden="true" customHeight="true" outlineLevel="0" collapsed="false">
      <c r="A43" s="13"/>
      <c r="B43" s="13"/>
      <c r="C43" s="51"/>
      <c r="D43" s="13"/>
      <c r="E43" s="52"/>
      <c r="F43" s="52"/>
      <c r="G43" s="52"/>
      <c r="H43" s="52"/>
      <c r="I43" s="52"/>
      <c r="J43" s="52"/>
      <c r="K43" s="53"/>
      <c r="L43" s="16"/>
      <c r="M43" s="17"/>
      <c r="N43" s="54"/>
      <c r="O43" s="53"/>
      <c r="P43" s="53"/>
      <c r="Q43" s="53"/>
      <c r="R43" s="55"/>
      <c r="S43" s="55"/>
      <c r="T43" s="55"/>
      <c r="U43" s="55"/>
      <c r="V43" s="55"/>
      <c r="W43" s="55"/>
      <c r="X43" s="55"/>
      <c r="Y43" s="55"/>
      <c r="Z43" s="55"/>
      <c r="AA43" s="55"/>
      <c r="AB43" s="56"/>
      <c r="AC43" s="57"/>
    </row>
    <row r="44" s="49" customFormat="true" ht="15" hidden="true" customHeight="true" outlineLevel="0" collapsed="false">
      <c r="A44" s="13"/>
      <c r="B44" s="13"/>
      <c r="C44" s="51"/>
      <c r="D44" s="13"/>
      <c r="E44" s="52"/>
      <c r="F44" s="52"/>
      <c r="G44" s="52"/>
      <c r="H44" s="52"/>
      <c r="I44" s="52"/>
      <c r="J44" s="52"/>
      <c r="K44" s="53"/>
      <c r="L44" s="16"/>
      <c r="M44" s="17"/>
      <c r="N44" s="54"/>
      <c r="O44" s="53"/>
      <c r="P44" s="53"/>
      <c r="Q44" s="53"/>
      <c r="R44" s="55"/>
      <c r="S44" s="55"/>
      <c r="T44" s="55"/>
      <c r="U44" s="55"/>
      <c r="V44" s="55"/>
      <c r="W44" s="55"/>
      <c r="X44" s="55"/>
      <c r="Y44" s="55"/>
      <c r="Z44" s="55"/>
      <c r="AA44" s="55"/>
      <c r="AB44" s="56"/>
      <c r="AC44" s="57"/>
    </row>
    <row r="45" s="49" customFormat="true" ht="15" hidden="true" customHeight="true" outlineLevel="0" collapsed="false">
      <c r="A45" s="13"/>
      <c r="B45" s="13"/>
      <c r="C45" s="51"/>
      <c r="D45" s="13"/>
      <c r="E45" s="52"/>
      <c r="F45" s="52"/>
      <c r="G45" s="52"/>
      <c r="H45" s="52"/>
      <c r="I45" s="52"/>
      <c r="J45" s="52"/>
      <c r="K45" s="53"/>
      <c r="L45" s="16"/>
      <c r="M45" s="17"/>
      <c r="N45" s="54"/>
      <c r="O45" s="53"/>
      <c r="P45" s="53"/>
      <c r="Q45" s="53"/>
      <c r="R45" s="55"/>
      <c r="S45" s="55"/>
      <c r="T45" s="55"/>
      <c r="U45" s="55"/>
      <c r="V45" s="55"/>
      <c r="W45" s="55"/>
      <c r="X45" s="55"/>
      <c r="Y45" s="55"/>
      <c r="Z45" s="55"/>
      <c r="AA45" s="55"/>
      <c r="AB45" s="56"/>
      <c r="AC45" s="57"/>
    </row>
    <row r="46" s="49" customFormat="true" ht="15" hidden="true" customHeight="true" outlineLevel="0" collapsed="false">
      <c r="A46" s="13"/>
      <c r="B46" s="13"/>
      <c r="C46" s="51"/>
      <c r="D46" s="13"/>
      <c r="E46" s="52"/>
      <c r="F46" s="52"/>
      <c r="G46" s="52"/>
      <c r="H46" s="52"/>
      <c r="I46" s="52"/>
      <c r="J46" s="52"/>
      <c r="K46" s="53"/>
      <c r="L46" s="16"/>
      <c r="M46" s="17"/>
      <c r="N46" s="54"/>
      <c r="O46" s="53"/>
      <c r="P46" s="53"/>
      <c r="Q46" s="53"/>
      <c r="R46" s="55"/>
      <c r="S46" s="55"/>
      <c r="T46" s="55"/>
      <c r="U46" s="55"/>
      <c r="V46" s="55"/>
      <c r="W46" s="55"/>
      <c r="X46" s="55"/>
      <c r="Y46" s="55"/>
      <c r="Z46" s="55"/>
      <c r="AA46" s="55"/>
      <c r="AB46" s="56"/>
      <c r="AC46" s="57"/>
    </row>
    <row r="47" s="49" customFormat="true" ht="15" hidden="true" customHeight="true" outlineLevel="0" collapsed="false">
      <c r="A47" s="13"/>
      <c r="B47" s="13"/>
      <c r="C47" s="51"/>
      <c r="D47" s="13"/>
      <c r="E47" s="52"/>
      <c r="F47" s="52"/>
      <c r="G47" s="52"/>
      <c r="H47" s="52"/>
      <c r="I47" s="52"/>
      <c r="J47" s="52"/>
      <c r="K47" s="53"/>
      <c r="L47" s="16"/>
      <c r="M47" s="17"/>
      <c r="N47" s="54"/>
      <c r="O47" s="53"/>
      <c r="P47" s="53"/>
      <c r="Q47" s="53"/>
      <c r="R47" s="55"/>
      <c r="S47" s="55"/>
      <c r="T47" s="55"/>
      <c r="U47" s="55"/>
      <c r="V47" s="55"/>
      <c r="W47" s="55"/>
      <c r="X47" s="55"/>
      <c r="Y47" s="55"/>
      <c r="Z47" s="55"/>
      <c r="AA47" s="55"/>
      <c r="AB47" s="56"/>
      <c r="AC47" s="57"/>
    </row>
    <row r="48" s="49" customFormat="true" ht="15" hidden="true" customHeight="true" outlineLevel="0" collapsed="false">
      <c r="A48" s="13"/>
      <c r="B48" s="13"/>
      <c r="C48" s="51"/>
      <c r="D48" s="13"/>
      <c r="E48" s="52"/>
      <c r="F48" s="52"/>
      <c r="G48" s="52"/>
      <c r="H48" s="52"/>
      <c r="I48" s="52"/>
      <c r="J48" s="52"/>
      <c r="K48" s="53"/>
      <c r="L48" s="16"/>
      <c r="M48" s="17"/>
      <c r="N48" s="54"/>
      <c r="O48" s="53"/>
      <c r="P48" s="53"/>
      <c r="Q48" s="53"/>
      <c r="R48" s="55"/>
      <c r="S48" s="55"/>
      <c r="T48" s="55"/>
      <c r="U48" s="55"/>
      <c r="V48" s="55"/>
      <c r="W48" s="55"/>
      <c r="X48" s="55"/>
      <c r="Y48" s="55"/>
      <c r="Z48" s="55"/>
      <c r="AA48" s="55"/>
      <c r="AB48" s="56"/>
      <c r="AC48" s="57"/>
    </row>
    <row r="49" s="49" customFormat="true" ht="15" hidden="true" customHeight="true" outlineLevel="0" collapsed="false">
      <c r="A49" s="13"/>
      <c r="B49" s="13"/>
      <c r="C49" s="51"/>
      <c r="D49" s="13"/>
      <c r="E49" s="52"/>
      <c r="F49" s="52"/>
      <c r="G49" s="52"/>
      <c r="H49" s="52"/>
      <c r="I49" s="52"/>
      <c r="J49" s="52"/>
      <c r="K49" s="53"/>
      <c r="L49" s="16"/>
      <c r="M49" s="17"/>
      <c r="N49" s="54"/>
      <c r="O49" s="53"/>
      <c r="P49" s="53"/>
      <c r="Q49" s="53"/>
      <c r="R49" s="55"/>
      <c r="S49" s="55"/>
      <c r="T49" s="55"/>
      <c r="U49" s="55"/>
      <c r="V49" s="55"/>
      <c r="W49" s="55"/>
      <c r="X49" s="55"/>
      <c r="Y49" s="55"/>
      <c r="Z49" s="55"/>
      <c r="AA49" s="55"/>
      <c r="AB49" s="56"/>
      <c r="AC49" s="57"/>
    </row>
    <row r="50" s="49" customFormat="true" ht="15" hidden="true" customHeight="true" outlineLevel="0" collapsed="false">
      <c r="A50" s="13"/>
      <c r="B50" s="13"/>
      <c r="C50" s="51"/>
      <c r="D50" s="13"/>
      <c r="E50" s="52"/>
      <c r="F50" s="52"/>
      <c r="G50" s="52"/>
      <c r="H50" s="52"/>
      <c r="I50" s="52"/>
      <c r="J50" s="52"/>
      <c r="K50" s="53"/>
      <c r="L50" s="16"/>
      <c r="M50" s="17"/>
      <c r="N50" s="54"/>
      <c r="O50" s="53"/>
      <c r="P50" s="53"/>
      <c r="Q50" s="53"/>
      <c r="R50" s="55"/>
      <c r="S50" s="55"/>
      <c r="T50" s="55"/>
      <c r="U50" s="55"/>
      <c r="V50" s="55"/>
      <c r="W50" s="55"/>
      <c r="X50" s="55"/>
      <c r="Y50" s="55"/>
      <c r="Z50" s="55"/>
      <c r="AA50" s="55"/>
      <c r="AB50" s="56"/>
      <c r="AC50" s="57"/>
    </row>
    <row r="51" s="32" customFormat="true" ht="16.5" hidden="false" customHeight="true" outlineLevel="0" collapsed="false">
      <c r="A51" s="61" t="s">
        <v>61</v>
      </c>
      <c r="B51" s="61"/>
      <c r="C51" s="61"/>
      <c r="D51" s="61"/>
      <c r="E51" s="62"/>
      <c r="F51" s="62"/>
      <c r="G51" s="62"/>
      <c r="H51" s="62"/>
      <c r="I51" s="62"/>
      <c r="J51" s="62"/>
      <c r="K51" s="62"/>
      <c r="L51" s="62"/>
      <c r="M51" s="63"/>
      <c r="N51" s="63"/>
      <c r="O51" s="63"/>
      <c r="P51" s="63"/>
      <c r="Q51" s="63"/>
      <c r="R51" s="64" t="n">
        <f aca="false">SUM(R11:R50)</f>
        <v>0</v>
      </c>
      <c r="S51" s="64" t="n">
        <f aca="false">SUM(S11:S50)</f>
        <v>0</v>
      </c>
      <c r="T51" s="64"/>
      <c r="U51" s="65" t="n">
        <f aca="false">SUM(U11:U50)</f>
        <v>0</v>
      </c>
      <c r="V51" s="65" t="n">
        <f aca="false">SUM(V11:V50)</f>
        <v>0</v>
      </c>
      <c r="W51" s="66" t="n">
        <f aca="false">SUM(W11:W22)</f>
        <v>876.6152</v>
      </c>
      <c r="X51" s="65" t="n">
        <f aca="false">SUM(X11:X50)</f>
        <v>0</v>
      </c>
      <c r="Y51" s="65" t="n">
        <f aca="false">SUM(Y11:Y50)</f>
        <v>0</v>
      </c>
      <c r="Z51" s="65" t="n">
        <f aca="false">SUM(Z11:Z50)</f>
        <v>0</v>
      </c>
      <c r="AA51" s="65" t="n">
        <f aca="false">SUM(AA11:AA50)</f>
        <v>0</v>
      </c>
      <c r="AB51" s="65"/>
      <c r="AE51" s="93"/>
    </row>
    <row r="52" s="72" customFormat="true" ht="15" hidden="false" customHeight="true" outlineLevel="0" collapsed="false">
      <c r="A52" s="68"/>
      <c r="B52" s="68"/>
      <c r="C52" s="68"/>
      <c r="D52" s="68"/>
      <c r="E52" s="69"/>
      <c r="F52" s="69"/>
      <c r="G52" s="69"/>
      <c r="H52" s="69"/>
      <c r="I52" s="69"/>
      <c r="J52" s="69"/>
      <c r="K52" s="69"/>
      <c r="L52" s="69"/>
      <c r="M52" s="69"/>
      <c r="N52" s="69"/>
      <c r="O52" s="69"/>
      <c r="P52" s="69"/>
      <c r="Q52" s="69"/>
      <c r="R52" s="70"/>
      <c r="S52" s="70"/>
      <c r="T52" s="70"/>
      <c r="U52" s="71"/>
      <c r="V52" s="71"/>
      <c r="W52" s="71"/>
      <c r="X52" s="71"/>
      <c r="Y52" s="71"/>
      <c r="Z52" s="71"/>
      <c r="AA52" s="71"/>
      <c r="AB52" s="71"/>
    </row>
    <row r="53" s="72" customFormat="true" ht="15" hidden="false" customHeight="true" outlineLevel="0" collapsed="false">
      <c r="A53" s="19" t="s">
        <v>50</v>
      </c>
      <c r="B53" s="19"/>
      <c r="C53" s="19"/>
      <c r="D53" s="77" t="s">
        <v>62</v>
      </c>
      <c r="E53" s="19" t="s">
        <v>51</v>
      </c>
      <c r="F53" s="19"/>
      <c r="G53" s="19"/>
      <c r="H53" s="19"/>
      <c r="I53" s="19"/>
      <c r="J53" s="19"/>
      <c r="K53" s="19"/>
      <c r="L53" s="19"/>
      <c r="M53" s="19"/>
      <c r="N53" s="19"/>
      <c r="O53" s="19"/>
      <c r="P53" s="19"/>
      <c r="Q53" s="19"/>
      <c r="R53" s="19"/>
      <c r="S53" s="19"/>
      <c r="T53" s="19"/>
      <c r="U53" s="19"/>
      <c r="V53" s="19"/>
      <c r="W53" s="19"/>
      <c r="X53" s="19"/>
      <c r="Y53" s="19"/>
      <c r="Z53" s="19"/>
      <c r="AA53" s="19"/>
      <c r="AB53" s="19"/>
    </row>
    <row r="54" s="72" customFormat="true" ht="15" hidden="false" customHeight="true" outlineLevel="0" collapsed="false">
      <c r="A54" s="78"/>
      <c r="B54" s="78"/>
      <c r="C54" s="78"/>
      <c r="D54" s="79"/>
      <c r="E54" s="79"/>
      <c r="F54" s="79"/>
      <c r="G54" s="79"/>
      <c r="H54" s="79"/>
      <c r="I54" s="79"/>
      <c r="J54" s="79"/>
      <c r="K54" s="79"/>
      <c r="L54" s="79"/>
      <c r="M54" s="79"/>
      <c r="N54" s="79"/>
      <c r="O54" s="79"/>
      <c r="P54" s="79"/>
      <c r="Q54" s="79"/>
      <c r="R54" s="79"/>
      <c r="S54" s="79"/>
      <c r="T54" s="79"/>
      <c r="U54" s="79"/>
      <c r="V54" s="79"/>
      <c r="W54" s="79"/>
      <c r="X54" s="69"/>
      <c r="Y54" s="69"/>
      <c r="Z54" s="69"/>
      <c r="AA54" s="69"/>
      <c r="AB54" s="69"/>
    </row>
    <row r="55" s="72" customFormat="true" ht="15.75" hidden="false" customHeight="true" outlineLevel="0" collapsed="false">
      <c r="A55" s="78"/>
      <c r="B55" s="78"/>
      <c r="C55" s="81"/>
      <c r="D55" s="81"/>
      <c r="E55" s="79"/>
      <c r="F55" s="79"/>
      <c r="G55" s="79"/>
      <c r="H55" s="79"/>
      <c r="I55" s="79"/>
      <c r="J55" s="79"/>
      <c r="K55" s="79"/>
      <c r="L55" s="79"/>
      <c r="M55" s="79"/>
      <c r="N55" s="79"/>
      <c r="O55" s="79"/>
      <c r="P55" s="79"/>
      <c r="Q55" s="79"/>
      <c r="R55" s="79"/>
      <c r="S55" s="79"/>
      <c r="T55" s="79"/>
      <c r="U55" s="79"/>
      <c r="V55" s="79"/>
      <c r="W55" s="79"/>
      <c r="X55" s="69"/>
      <c r="Y55" s="69"/>
      <c r="Z55" s="69"/>
      <c r="AA55" s="69"/>
      <c r="AB55" s="69"/>
      <c r="AF55" s="75"/>
    </row>
    <row r="56" s="72" customFormat="true" ht="15" hidden="false" customHeight="true" outlineLevel="0" collapsed="false">
      <c r="A56" s="78"/>
      <c r="B56" s="78"/>
      <c r="C56" s="78"/>
      <c r="D56" s="79"/>
      <c r="E56" s="79"/>
      <c r="F56" s="79"/>
      <c r="G56" s="79"/>
      <c r="H56" s="79"/>
      <c r="I56" s="79"/>
      <c r="J56" s="79"/>
      <c r="K56" s="79"/>
      <c r="L56" s="79"/>
      <c r="M56" s="79"/>
      <c r="N56" s="79"/>
      <c r="O56" s="79"/>
      <c r="P56" s="79"/>
      <c r="Q56" s="79"/>
      <c r="R56" s="79"/>
      <c r="S56" s="79"/>
      <c r="T56" s="79"/>
      <c r="U56" s="79"/>
      <c r="V56" s="79"/>
      <c r="W56" s="79"/>
      <c r="X56" s="69"/>
      <c r="Y56" s="69"/>
      <c r="Z56" s="69"/>
      <c r="AA56" s="69"/>
      <c r="AB56" s="69"/>
    </row>
    <row r="57" s="72" customFormat="true" ht="15" hidden="false" customHeight="true" outlineLevel="0" collapsed="false">
      <c r="A57" s="78"/>
      <c r="B57" s="78"/>
      <c r="C57" s="78"/>
      <c r="D57" s="79"/>
      <c r="E57" s="79"/>
      <c r="F57" s="79"/>
      <c r="G57" s="79"/>
      <c r="H57" s="79"/>
      <c r="I57" s="79"/>
      <c r="J57" s="79"/>
      <c r="K57" s="79"/>
      <c r="L57" s="79"/>
      <c r="M57" s="79"/>
      <c r="N57" s="79"/>
      <c r="O57" s="79"/>
      <c r="P57" s="79"/>
      <c r="Q57" s="79"/>
      <c r="R57" s="79"/>
      <c r="S57" s="79"/>
      <c r="T57" s="79"/>
      <c r="U57" s="79"/>
      <c r="V57" s="79"/>
      <c r="W57" s="79"/>
      <c r="X57" s="69"/>
      <c r="Y57" s="69"/>
      <c r="Z57" s="69"/>
      <c r="AA57" s="69"/>
      <c r="AB57" s="69"/>
    </row>
    <row r="58" s="72" customFormat="true" ht="15" hidden="false" customHeight="true" outlineLevel="0" collapsed="false">
      <c r="A58" s="78"/>
      <c r="B58" s="78"/>
      <c r="C58" s="78"/>
      <c r="D58" s="79"/>
      <c r="E58" s="79"/>
      <c r="F58" s="79"/>
      <c r="G58" s="79"/>
      <c r="H58" s="79"/>
      <c r="I58" s="79"/>
      <c r="J58" s="79"/>
      <c r="K58" s="79"/>
      <c r="L58" s="79"/>
      <c r="M58" s="79"/>
      <c r="N58" s="79"/>
      <c r="O58" s="79"/>
      <c r="P58" s="79"/>
      <c r="Q58" s="79"/>
      <c r="R58" s="79"/>
      <c r="S58" s="79"/>
      <c r="T58" s="79"/>
      <c r="U58" s="79"/>
      <c r="V58" s="79"/>
      <c r="W58" s="79"/>
      <c r="X58" s="69"/>
      <c r="Y58" s="69"/>
      <c r="Z58" s="69"/>
      <c r="AA58" s="69"/>
      <c r="AB58" s="69"/>
    </row>
    <row r="59" s="72" customFormat="true" ht="15" hidden="false" customHeight="true" outlineLevel="0" collapsed="false">
      <c r="A59" s="19" t="s">
        <v>52</v>
      </c>
      <c r="B59" s="19"/>
      <c r="C59" s="19"/>
      <c r="D59" s="20"/>
      <c r="E59" s="20"/>
      <c r="F59" s="20"/>
      <c r="G59" s="20"/>
      <c r="H59" s="20"/>
      <c r="I59" s="20"/>
      <c r="J59" s="20"/>
      <c r="K59" s="20"/>
      <c r="L59" s="20"/>
      <c r="M59" s="19" t="s">
        <v>53</v>
      </c>
      <c r="N59" s="19"/>
      <c r="O59" s="19"/>
      <c r="P59" s="19"/>
      <c r="Q59" s="19"/>
      <c r="R59" s="19"/>
      <c r="S59" s="19"/>
      <c r="T59" s="19"/>
      <c r="U59" s="19"/>
      <c r="V59" s="19"/>
      <c r="W59" s="19"/>
      <c r="X59" s="19"/>
      <c r="Y59" s="19"/>
      <c r="Z59" s="19"/>
      <c r="AA59" s="19"/>
      <c r="AB59" s="19"/>
    </row>
    <row r="60" customFormat="false" ht="15" hidden="false" customHeight="true" outlineLevel="0" collapsed="false">
      <c r="A60" s="84"/>
      <c r="B60" s="84"/>
      <c r="C60" s="84"/>
      <c r="D60" s="84"/>
      <c r="E60" s="84"/>
      <c r="F60" s="84"/>
      <c r="G60" s="84"/>
      <c r="H60" s="84"/>
      <c r="I60" s="84"/>
      <c r="J60" s="84"/>
      <c r="K60" s="84"/>
      <c r="L60" s="84"/>
      <c r="M60" s="84"/>
      <c r="N60" s="84"/>
      <c r="O60" s="84"/>
      <c r="P60" s="84"/>
      <c r="Q60" s="84"/>
      <c r="R60" s="84"/>
      <c r="S60" s="84"/>
      <c r="T60" s="84"/>
      <c r="U60" s="84"/>
      <c r="V60" s="84"/>
      <c r="W60" s="84"/>
      <c r="X60" s="84"/>
      <c r="Y60" s="84"/>
      <c r="Z60" s="84"/>
      <c r="AA60" s="84"/>
      <c r="AB60" s="84"/>
      <c r="AC60" s="85"/>
    </row>
    <row r="61" customFormat="false" ht="12.75" hidden="false" customHeight="false" outlineLevel="0" collapsed="false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customFormat="false" ht="12.75" hidden="false" customHeight="false" outlineLevel="0" collapsed="false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customFormat="false" ht="12.75" hidden="false" customHeight="false" outlineLevel="0" collapsed="false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customFormat="false" ht="12.75" hidden="false" customHeight="false" outlineLevel="0" collapsed="false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customFormat="false" ht="12.75" hidden="false" customHeight="false" outlineLevel="0" collapsed="false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customFormat="false" ht="12.75" hidden="false" customHeight="false" outlineLevel="0" collapsed="false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customFormat="false" ht="12.75" hidden="false" customHeight="false" outlineLevel="0" collapsed="false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customFormat="false" ht="12.75" hidden="false" customHeight="false" outlineLevel="0" collapsed="false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customFormat="false" ht="12.75" hidden="false" customHeight="false" outlineLevel="0" collapsed="false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customFormat="false" ht="12.75" hidden="false" customHeight="false" outlineLevel="0" collapsed="false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customFormat="false" ht="12.75" hidden="false" customHeight="false" outlineLevel="0" collapsed="false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customFormat="false" ht="12.75" hidden="false" customHeight="false" outlineLevel="0" collapsed="false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customFormat="false" ht="12.75" hidden="false" customHeight="false" outlineLevel="0" collapsed="false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customFormat="false" ht="12.75" hidden="false" customHeight="false" outlineLevel="0" collapsed="false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customFormat="false" ht="12.75" hidden="false" customHeight="false" outlineLevel="0" collapsed="false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customFormat="false" ht="12.75" hidden="false" customHeight="false" outlineLevel="0" collapsed="false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customFormat="false" ht="12.75" hidden="false" customHeight="false" outlineLevel="0" collapsed="false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customFormat="false" ht="12.75" hidden="false" customHeight="false" outlineLevel="0" collapsed="false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customFormat="false" ht="12.75" hidden="false" customHeight="false" outlineLevel="0" collapsed="false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customFormat="false" ht="12.75" hidden="false" customHeight="false" outlineLevel="0" collapsed="false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customFormat="false" ht="12.75" hidden="false" customHeight="false" outlineLevel="0" collapsed="false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customFormat="false" ht="12.75" hidden="false" customHeight="false" outlineLevel="0" collapsed="false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customFormat="false" ht="12.75" hidden="false" customHeight="false" outlineLevel="0" collapsed="false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customFormat="false" ht="12.75" hidden="false" customHeight="false" outlineLevel="0" collapsed="false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customFormat="false" ht="12.75" hidden="false" customHeight="false" outlineLevel="0" collapsed="false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customFormat="false" ht="12.75" hidden="false" customHeight="false" outlineLevel="0" collapsed="false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customFormat="false" ht="12.75" hidden="false" customHeight="false" outlineLevel="0" collapsed="false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customFormat="false" ht="12.75" hidden="false" customHeight="false" outlineLevel="0" collapsed="false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customFormat="false" ht="12.75" hidden="false" customHeight="false" outlineLevel="0" collapsed="false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customFormat="false" ht="12.75" hidden="false" customHeight="false" outlineLevel="0" collapsed="false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customFormat="false" ht="12.75" hidden="false" customHeight="false" outlineLevel="0" collapsed="false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customFormat="false" ht="12.75" hidden="false" customHeight="false" outlineLevel="0" collapsed="false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customFormat="false" ht="12.75" hidden="false" customHeight="false" outlineLevel="0" collapsed="false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customFormat="false" ht="12.75" hidden="false" customHeight="false" outlineLevel="0" collapsed="false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customFormat="false" ht="12.75" hidden="false" customHeight="false" outlineLevel="0" collapsed="false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customFormat="false" ht="12.75" hidden="false" customHeight="false" outlineLevel="0" collapsed="false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customFormat="false" ht="12.75" hidden="false" customHeight="false" outlineLevel="0" collapsed="false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customFormat="false" ht="12.75" hidden="false" customHeight="false" outlineLevel="0" collapsed="false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customFormat="false" ht="12.75" hidden="false" customHeight="false" outlineLevel="0" collapsed="false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customFormat="false" ht="12.75" hidden="false" customHeight="false" outlineLevel="0" collapsed="false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customFormat="false" ht="12.75" hidden="false" customHeight="false" outlineLevel="0" collapsed="false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customFormat="false" ht="12.75" hidden="false" customHeight="false" outlineLevel="0" collapsed="false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customFormat="false" ht="12.75" hidden="false" customHeight="false" outlineLevel="0" collapsed="false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customFormat="false" ht="12.75" hidden="false" customHeight="false" outlineLevel="0" collapsed="false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customFormat="false" ht="12.75" hidden="false" customHeight="false" outlineLevel="0" collapsed="false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customFormat="false" ht="12.75" hidden="false" customHeight="false" outlineLevel="0" collapsed="false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customFormat="false" ht="12.75" hidden="false" customHeight="false" outlineLevel="0" collapsed="false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customFormat="false" ht="12.75" hidden="false" customHeight="false" outlineLevel="0" collapsed="false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s="23" customFormat="true" ht="12.75" hidden="false" customHeight="false" outlineLevel="0" collapsed="false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  <c r="AD109" s="22"/>
      <c r="AE109" s="22"/>
      <c r="AF109" s="22"/>
      <c r="AG109" s="22"/>
    </row>
    <row r="110" s="23" customFormat="true" ht="12.75" hidden="false" customHeight="false" outlineLevel="0" collapsed="false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  <c r="AD110" s="22"/>
      <c r="AE110" s="22"/>
      <c r="AF110" s="22"/>
      <c r="AG110" s="22"/>
    </row>
    <row r="111" s="23" customFormat="true" ht="12.75" hidden="false" customHeight="false" outlineLevel="0" collapsed="false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  <c r="AD111" s="22"/>
      <c r="AE111" s="22"/>
      <c r="AF111" s="22"/>
      <c r="AG111" s="22"/>
    </row>
    <row r="112" s="23" customFormat="true" ht="12.75" hidden="false" customHeight="false" outlineLevel="0" collapsed="false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  <c r="AD112" s="22"/>
      <c r="AE112" s="22"/>
      <c r="AF112" s="22"/>
      <c r="AG112" s="22"/>
    </row>
    <row r="113" s="23" customFormat="true" ht="12.75" hidden="false" customHeight="false" outlineLevel="0" collapsed="false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  <c r="AD113" s="22"/>
      <c r="AE113" s="22"/>
      <c r="AF113" s="22"/>
      <c r="AG113" s="22"/>
    </row>
    <row r="114" s="23" customFormat="true" ht="12.75" hidden="false" customHeight="false" outlineLevel="0" collapsed="false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  <c r="AD114" s="22"/>
      <c r="AE114" s="22"/>
      <c r="AF114" s="22"/>
      <c r="AG114" s="22"/>
    </row>
    <row r="115" s="23" customFormat="true" ht="12.75" hidden="false" customHeight="false" outlineLevel="0" collapsed="false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  <c r="AD115" s="22"/>
      <c r="AE115" s="22"/>
      <c r="AF115" s="22"/>
      <c r="AG115" s="22"/>
    </row>
    <row r="116" s="23" customFormat="true" ht="12.75" hidden="false" customHeight="false" outlineLevel="0" collapsed="false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  <c r="AD116" s="22"/>
      <c r="AE116" s="22"/>
      <c r="AF116" s="22"/>
      <c r="AG116" s="22"/>
    </row>
    <row r="117" s="23" customFormat="true" ht="12.75" hidden="false" customHeight="false" outlineLevel="0" collapsed="false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  <c r="AD117" s="22"/>
      <c r="AE117" s="22"/>
      <c r="AF117" s="22"/>
      <c r="AG117" s="22"/>
    </row>
    <row r="118" s="23" customFormat="true" ht="12.75" hidden="false" customHeight="false" outlineLevel="0" collapsed="false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  <c r="AD118" s="22"/>
      <c r="AE118" s="22"/>
      <c r="AF118" s="22"/>
      <c r="AG118" s="22"/>
    </row>
    <row r="119" s="23" customFormat="true" ht="12.75" hidden="false" customHeight="false" outlineLevel="0" collapsed="false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  <c r="AD119" s="22"/>
      <c r="AE119" s="22"/>
      <c r="AF119" s="22"/>
      <c r="AG119" s="22"/>
    </row>
    <row r="120" s="23" customFormat="true" ht="12.75" hidden="false" customHeight="false" outlineLevel="0" collapsed="false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  <c r="AD120" s="22"/>
      <c r="AE120" s="22"/>
      <c r="AF120" s="22"/>
      <c r="AG120" s="22"/>
    </row>
    <row r="121" s="23" customFormat="true" ht="12.75" hidden="false" customHeight="false" outlineLevel="0" collapsed="false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  <c r="AD121" s="22"/>
      <c r="AE121" s="22"/>
      <c r="AF121" s="22"/>
      <c r="AG121" s="22"/>
    </row>
    <row r="122" s="23" customFormat="true" ht="12.75" hidden="false" customHeight="false" outlineLevel="0" collapsed="false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  <c r="AD122" s="22"/>
      <c r="AE122" s="22"/>
      <c r="AF122" s="22"/>
      <c r="AG122" s="22"/>
    </row>
    <row r="123" s="23" customFormat="true" ht="12.75" hidden="false" customHeight="false" outlineLevel="0" collapsed="false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  <c r="AD123" s="22"/>
      <c r="AE123" s="22"/>
      <c r="AF123" s="22"/>
      <c r="AG123" s="22"/>
    </row>
    <row r="124" s="23" customFormat="true" ht="12.75" hidden="false" customHeight="false" outlineLevel="0" collapsed="false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  <c r="AD124" s="22"/>
      <c r="AE124" s="22"/>
      <c r="AF124" s="22"/>
      <c r="AG124" s="22"/>
    </row>
    <row r="125" s="23" customFormat="true" ht="12.75" hidden="false" customHeight="false" outlineLevel="0" collapsed="false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  <c r="AD125" s="22"/>
      <c r="AE125" s="22"/>
      <c r="AF125" s="22"/>
      <c r="AG125" s="22"/>
    </row>
    <row r="126" s="23" customFormat="true" ht="12.75" hidden="false" customHeight="false" outlineLevel="0" collapsed="false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  <c r="AD126" s="22"/>
      <c r="AE126" s="22"/>
      <c r="AF126" s="22"/>
      <c r="AG126" s="22"/>
    </row>
    <row r="127" s="23" customFormat="true" ht="12.75" hidden="false" customHeight="false" outlineLevel="0" collapsed="false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  <c r="AD127" s="22"/>
      <c r="AE127" s="22"/>
      <c r="AF127" s="22"/>
      <c r="AG127" s="22"/>
    </row>
    <row r="128" s="23" customFormat="true" ht="12.75" hidden="false" customHeight="false" outlineLevel="0" collapsed="false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  <c r="AD128" s="22"/>
      <c r="AE128" s="22"/>
      <c r="AF128" s="22"/>
      <c r="AG128" s="22"/>
    </row>
    <row r="129" s="23" customFormat="true" ht="12.75" hidden="false" customHeight="false" outlineLevel="0" collapsed="false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  <c r="AD129" s="22"/>
      <c r="AE129" s="22"/>
      <c r="AF129" s="22"/>
      <c r="AG129" s="22"/>
    </row>
    <row r="130" s="23" customFormat="true" ht="12.75" hidden="false" customHeight="false" outlineLevel="0" collapsed="false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  <c r="AD130" s="22"/>
      <c r="AE130" s="22"/>
      <c r="AF130" s="22"/>
      <c r="AG130" s="22"/>
    </row>
    <row r="131" s="23" customFormat="true" ht="12.75" hidden="false" customHeight="false" outlineLevel="0" collapsed="false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  <c r="AD131" s="22"/>
      <c r="AE131" s="22"/>
      <c r="AF131" s="22"/>
      <c r="AG131" s="22"/>
    </row>
    <row r="132" s="23" customFormat="true" ht="12.75" hidden="false" customHeight="false" outlineLevel="0" collapsed="false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  <c r="AD132" s="22"/>
      <c r="AE132" s="22"/>
      <c r="AF132" s="22"/>
      <c r="AG132" s="22"/>
    </row>
    <row r="133" s="23" customFormat="true" ht="12.75" hidden="false" customHeight="false" outlineLevel="0" collapsed="false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  <c r="AD133" s="22"/>
      <c r="AE133" s="22"/>
      <c r="AF133" s="22"/>
      <c r="AG133" s="22"/>
    </row>
    <row r="134" s="23" customFormat="true" ht="12.75" hidden="false" customHeight="false" outlineLevel="0" collapsed="false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  <c r="AD134" s="22"/>
      <c r="AE134" s="22"/>
      <c r="AF134" s="22"/>
      <c r="AG134" s="22"/>
    </row>
    <row r="135" s="23" customFormat="true" ht="12.75" hidden="false" customHeight="false" outlineLevel="0" collapsed="false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  <c r="AD135" s="22"/>
      <c r="AE135" s="22"/>
      <c r="AF135" s="22"/>
      <c r="AG135" s="22"/>
    </row>
    <row r="136" s="23" customFormat="true" ht="12.75" hidden="false" customHeight="false" outlineLevel="0" collapsed="false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  <c r="AD136" s="22"/>
      <c r="AE136" s="22"/>
      <c r="AF136" s="22"/>
      <c r="AG136" s="22"/>
    </row>
  </sheetData>
  <mergeCells count="19">
    <mergeCell ref="A1:AB1"/>
    <mergeCell ref="A2:AB2"/>
    <mergeCell ref="A3:AB3"/>
    <mergeCell ref="A4:AB4"/>
    <mergeCell ref="A5:AB5"/>
    <mergeCell ref="A6:AB6"/>
    <mergeCell ref="D7:AB7"/>
    <mergeCell ref="A8:AB8"/>
    <mergeCell ref="A9:A10"/>
    <mergeCell ref="B9:B10"/>
    <mergeCell ref="C9:C10"/>
    <mergeCell ref="D9:D10"/>
    <mergeCell ref="M9:Y9"/>
    <mergeCell ref="AB9:AB10"/>
    <mergeCell ref="A51:D51"/>
    <mergeCell ref="A53:C53"/>
    <mergeCell ref="E53:AB53"/>
    <mergeCell ref="A59:C59"/>
    <mergeCell ref="M59:AB59"/>
  </mergeCells>
  <printOptions headings="false" gridLines="false" gridLinesSet="true" horizontalCentered="false" verticalCentered="false"/>
  <pageMargins left="0.7" right="0.159722222222222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2024-09-12T09:32:34Z</dcterms:created>
  <dc:creator>Microsoft Cop.</dc:creator>
  <dc:description/>
  <dc:language>en-US</dc:language>
  <cp:lastModifiedBy>Microsoft Cop.</cp:lastModifiedBy>
  <cp:lastPrinted>2025-04-27T11:04:16Z</cp:lastPrinted>
  <dcterms:modified xsi:type="dcterms:W3CDTF">2026-10-13T07:38:14Z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