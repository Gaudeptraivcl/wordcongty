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<sst xmlns="http://schemas.openxmlformats.org/spreadsheetml/2006/main" count="304" uniqueCount="54">
  <si>
    <t xml:space="preserve">PHỤ LỤC KIỂM TRA CAO ĐỘ, KÍCH THƯỚC HÌNH HỌC</t>
  </si>
  <si>
    <t xml:space="preserve">Kèm theo BBNT số: 72.NĐXD8/CVXD ngày 21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</si>
  <si>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</si>
  <si>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</si>
  <si>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</si>
  <si>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XD8</t>
  </si>
  <si>
    <t xml:space="preserve">- Đối tượng nghiệm thu:</t>
  </si>
  <si>
    <t xml:space="preserve">Đắp đất nền đường lớp 1, độ chặt K&gt;=0,98 đoạn từ Km0+489,19 - Km0+609,11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</si>
  <si>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</si>
  <si>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</si>
  <si>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</si>
  <si>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</si>
  <si>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</si>
  <si>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</si>
  <si>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</si>
  <si>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</si>
  <si>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</si>
  <si>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</si>
  <si>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</si>
  <si>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</si>
  <si>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</si>
  <si>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</si>
  <si>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</si>
  <si>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</si>
  <si>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</si>
  <si>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</si>
  <si>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</si>
  <si>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</si>
  <si>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</si>
  <si>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</si>
  <si>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</si>
  <si>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TC</t>
  </si>
  <si>
    <t xml:space="preserve">29</t>
  </si>
  <si>
    <t xml:space="preserve">30</t>
  </si>
  <si>
    <t xml:space="preserve">31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</si>
  <si>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</si>
  <si>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</si>
  <si>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</si>
  <si>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</si>
  <si>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</si>
  <si>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</si>
  <si>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</si>
  <si>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</si>
  <si>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</si>
  <si>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</si>
  <si>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</si>
  <si>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</si>
  <si>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74.NĐXD8/CVXD ngày 22 tháng 09 năm 2026</t>
  </si>
  <si>
    <t xml:space="preserve">Đắp đất nền đường lớp 2, độ chặt K&gt;=0,98 đoạn từ Km0+489,19 - Km0+609,11</t>
  </si>
  <si>
    <t xml:space="preserve">Kèm theo BBNT số: 76.NĐXD8/CVXD ngày 23 tháng 09 năm 2026</t>
  </si>
  <si>
    <t xml:space="preserve">Đắp cấp phối đá dăm loại 2 đoạn từ Km0+489,19 - Km0+609,11</t>
  </si>
  <si>
    <t xml:space="preserve">Kèm theo BBNT số: 79.NĐXD8/CVXD ngày 24 tháng 09 năm 2026</t>
  </si>
  <si>
    <t xml:space="preserve">Đắp cấp phối đá dăm loại 1 đoạn từ Km0+489,19 - Km0+609,11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</si>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</sst>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489.19</v>
      </c>
      <c r="D23" s="16" t="n">
        <v>-5.25</v>
      </c>
      <c r="E23" s="16" t="n">
        <f aca="false">+D23+F23</f>
        <v>-5.2552</v>
      </c>
      <c r="F23" s="16" t="n">
        <f aca="false">RANDBETWEEN(-105,115)/10000</f>
        <v>-0.0052</v>
      </c>
      <c r="G23" s="16" t="n">
        <f aca="false">J23-4.95*2%-0.3*6%</f>
        <v>2.122</v>
      </c>
      <c r="H23" s="16" t="n">
        <f aca="false">G23+I23</f>
        <v>2.123</v>
      </c>
      <c r="I23" s="16" t="n">
        <f aca="false">RANDBETWEEN(-20,70)/1000</f>
        <v>0.001</v>
      </c>
      <c r="J23" s="16" t="n">
        <f aca="false">W23+0.25</f>
        <v>2.239</v>
      </c>
      <c r="K23" s="16" t="n">
        <f aca="false">J23+L23</f>
        <v>2.253</v>
      </c>
      <c r="L23" s="16" t="n">
        <f aca="false">RANDBETWEEN(-20,70)/1000</f>
        <v>0.014</v>
      </c>
      <c r="M23" s="16" t="n">
        <v>5.25</v>
      </c>
      <c r="N23" s="16" t="n">
        <f aca="false">+M23+O23</f>
        <v>5.2553</v>
      </c>
      <c r="O23" s="16" t="n">
        <f aca="false">RANDBETWEEN(-105,115)/10000</f>
        <v>0.0053</v>
      </c>
      <c r="P23" s="16" t="n">
        <f aca="false">G23</f>
        <v>2.122</v>
      </c>
      <c r="Q23" s="16" t="n">
        <f aca="false">P23+R23</f>
        <v>2.181</v>
      </c>
      <c r="R23" s="16" t="n">
        <f aca="false">RANDBETWEEN(-20,70)/1000</f>
        <v>0.059</v>
      </c>
      <c r="S23" s="17"/>
      <c r="T23" s="18" t="n">
        <v>13.17</v>
      </c>
      <c r="V23" s="19"/>
      <c r="W23" s="20" t="n">
        <v>1.989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502.36</v>
      </c>
      <c r="D24" s="16" t="n">
        <v>-5.25</v>
      </c>
      <c r="E24" s="16" t="n">
        <f aca="false">+D24+F24</f>
        <v>-5.2449</v>
      </c>
      <c r="F24" s="16" t="n">
        <f aca="false">RANDBETWEEN(-105,115)/10000</f>
        <v>0.0051</v>
      </c>
      <c r="G24" s="16" t="n">
        <f aca="false">J24-4.95*2%-0.3*6%</f>
        <v>2.114</v>
      </c>
      <c r="H24" s="16" t="n">
        <f aca="false">G24+I24</f>
        <v>2.145</v>
      </c>
      <c r="I24" s="16" t="n">
        <f aca="false">RANDBETWEEN(-20,70)/1000</f>
        <v>0.031</v>
      </c>
      <c r="J24" s="16" t="n">
        <f aca="false">W24+0.25</f>
        <v>2.231</v>
      </c>
      <c r="K24" s="16" t="n">
        <f aca="false">J24+L24</f>
        <v>2.241</v>
      </c>
      <c r="L24" s="16" t="n">
        <f aca="false">RANDBETWEEN(-20,70)/1000</f>
        <v>0.01</v>
      </c>
      <c r="M24" s="16" t="n">
        <v>5.25</v>
      </c>
      <c r="N24" s="16" t="n">
        <f aca="false">+M24+O24</f>
        <v>5.2431</v>
      </c>
      <c r="O24" s="16" t="n">
        <f aca="false">RANDBETWEEN(-105,115)/10000</f>
        <v>-0.0069</v>
      </c>
      <c r="P24" s="16" t="n">
        <f aca="false">G24</f>
        <v>2.114</v>
      </c>
      <c r="Q24" s="16" t="n">
        <f aca="false">P24+R24</f>
        <v>2.173</v>
      </c>
      <c r="R24" s="16" t="n">
        <f aca="false">RANDBETWEEN(-20,70)/1000</f>
        <v>0.059</v>
      </c>
      <c r="S24" s="17"/>
      <c r="T24" s="18" t="n">
        <v>10.48</v>
      </c>
      <c r="V24" s="19"/>
      <c r="W24" s="20" t="n">
        <v>1.981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512.84</v>
      </c>
      <c r="D25" s="16" t="n">
        <v>-5.25</v>
      </c>
      <c r="E25" s="16" t="n">
        <f aca="false">+D25+F25</f>
        <v>-5.2508</v>
      </c>
      <c r="F25" s="16" t="n">
        <f aca="false">RANDBETWEEN(-105,115)/10000</f>
        <v>-0.0008</v>
      </c>
      <c r="G25" s="16" t="n">
        <f aca="false">J25-4.95*2%-0.3*6%</f>
        <v>2.108</v>
      </c>
      <c r="H25" s="16" t="n">
        <f aca="false">G25+I25</f>
        <v>2.174</v>
      </c>
      <c r="I25" s="16" t="n">
        <f aca="false">RANDBETWEEN(-20,70)/1000</f>
        <v>0.066</v>
      </c>
      <c r="J25" s="16" t="n">
        <f aca="false">W25+0.25</f>
        <v>2.225</v>
      </c>
      <c r="K25" s="16" t="n">
        <f aca="false">J25+L25</f>
        <v>2.255</v>
      </c>
      <c r="L25" s="16" t="n">
        <f aca="false">RANDBETWEEN(-20,70)/1000</f>
        <v>0.03</v>
      </c>
      <c r="M25" s="16" t="n">
        <v>5.25</v>
      </c>
      <c r="N25" s="16" t="n">
        <f aca="false">+M25+O25</f>
        <v>5.2434</v>
      </c>
      <c r="O25" s="16" t="n">
        <f aca="false">RANDBETWEEN(-105,115)/10000</f>
        <v>-0.0066</v>
      </c>
      <c r="P25" s="16" t="n">
        <f aca="false">G25</f>
        <v>2.108</v>
      </c>
      <c r="Q25" s="16" t="n">
        <f aca="false">P25+R25</f>
        <v>2.15</v>
      </c>
      <c r="R25" s="16" t="n">
        <f aca="false">RANDBETWEEN(-20,70)/1000</f>
        <v>0.042</v>
      </c>
      <c r="S25" s="17"/>
      <c r="T25" s="18" t="n">
        <v>16.78</v>
      </c>
      <c r="V25" s="19"/>
      <c r="W25" s="20" t="n">
        <v>1.975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529.62</v>
      </c>
      <c r="D26" s="16" t="n">
        <v>-5.25</v>
      </c>
      <c r="E26" s="16" t="n">
        <f aca="false">+D26+F26</f>
        <v>-5.2508</v>
      </c>
      <c r="F26" s="16" t="n">
        <f aca="false">RANDBETWEEN(-105,115)/10000</f>
        <v>-0.0008</v>
      </c>
      <c r="G26" s="16" t="n">
        <f aca="false">J26-4.95*2%-0.3*6%</f>
        <v>2.099</v>
      </c>
      <c r="H26" s="16" t="n">
        <f aca="false">G26+I26</f>
        <v>2.105</v>
      </c>
      <c r="I26" s="16" t="n">
        <f aca="false">RANDBETWEEN(-20,70)/1000</f>
        <v>0.006</v>
      </c>
      <c r="J26" s="16" t="n">
        <f aca="false">W26+0.25</f>
        <v>2.216</v>
      </c>
      <c r="K26" s="16" t="n">
        <f aca="false">J26+L26</f>
        <v>2.213</v>
      </c>
      <c r="L26" s="16" t="n">
        <f aca="false">RANDBETWEEN(-20,70)/1000</f>
        <v>-0.003</v>
      </c>
      <c r="M26" s="16" t="n">
        <v>5.25</v>
      </c>
      <c r="N26" s="16" t="n">
        <f aca="false">+M26+O26</f>
        <v>5.246</v>
      </c>
      <c r="O26" s="16" t="n">
        <f aca="false">RANDBETWEEN(-105,115)/10000</f>
        <v>-0.004</v>
      </c>
      <c r="P26" s="16" t="n">
        <f aca="false">G26</f>
        <v>2.099</v>
      </c>
      <c r="Q26" s="16" t="n">
        <f aca="false">P26+R26</f>
        <v>2.086</v>
      </c>
      <c r="R26" s="16" t="n">
        <f aca="false">RANDBETWEEN(-20,70)/1000</f>
        <v>-0.013</v>
      </c>
      <c r="S26" s="17"/>
      <c r="T26" s="18" t="n">
        <v>17.1</v>
      </c>
      <c r="V26" s="19"/>
      <c r="W26" s="20" t="n">
        <v>1.966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546.72</v>
      </c>
      <c r="D27" s="16" t="n">
        <v>-5.25</v>
      </c>
      <c r="E27" s="16" t="n">
        <f aca="false">+D27+F27</f>
        <v>-5.259</v>
      </c>
      <c r="F27" s="16" t="n">
        <f aca="false">RANDBETWEEN(-105,115)/10000</f>
        <v>-0.009</v>
      </c>
      <c r="G27" s="16" t="n">
        <f aca="false">J27-4.95*2%-0.3*6%</f>
        <v>2.091</v>
      </c>
      <c r="H27" s="16" t="n">
        <f aca="false">G27+I27</f>
        <v>2.137</v>
      </c>
      <c r="I27" s="16" t="n">
        <f aca="false">RANDBETWEEN(-20,70)/1000</f>
        <v>0.046</v>
      </c>
      <c r="J27" s="16" t="n">
        <f aca="false">W27+0.25</f>
        <v>2.208</v>
      </c>
      <c r="K27" s="16" t="n">
        <f aca="false">J27+L27</f>
        <v>2.225</v>
      </c>
      <c r="L27" s="16" t="n">
        <f aca="false">RANDBETWEEN(-20,70)/1000</f>
        <v>0.017</v>
      </c>
      <c r="M27" s="16" t="n">
        <v>5.25</v>
      </c>
      <c r="N27" s="16" t="n">
        <f aca="false">+M27+O27</f>
        <v>5.2583</v>
      </c>
      <c r="O27" s="16" t="n">
        <f aca="false">RANDBETWEEN(-105,115)/10000</f>
        <v>0.0083</v>
      </c>
      <c r="P27" s="16" t="n">
        <f aca="false">G27</f>
        <v>2.091</v>
      </c>
      <c r="Q27" s="16" t="n">
        <f aca="false">P27+R27</f>
        <v>2.125</v>
      </c>
      <c r="R27" s="16" t="n">
        <f aca="false">RANDBETWEEN(-20,70)/1000</f>
        <v>0.034</v>
      </c>
      <c r="S27" s="17"/>
      <c r="T27" s="18" t="n">
        <v>15.15</v>
      </c>
      <c r="V27" s="19"/>
      <c r="W27" s="20" t="n">
        <v>1.958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561.87</v>
      </c>
      <c r="D28" s="16" t="n">
        <v>-5.25</v>
      </c>
      <c r="E28" s="16" t="n">
        <f aca="false">+D28+F28</f>
        <v>-5.2511</v>
      </c>
      <c r="F28" s="16" t="n">
        <f aca="false">RANDBETWEEN(-105,115)/10000</f>
        <v>-0.0011</v>
      </c>
      <c r="G28" s="16" t="n">
        <f aca="false">J28-4.95*2%-0.3*6%</f>
        <v>2.088</v>
      </c>
      <c r="H28" s="16" t="n">
        <f aca="false">G28+I28</f>
        <v>2.095</v>
      </c>
      <c r="I28" s="16" t="n">
        <f aca="false">RANDBETWEEN(-20,70)/1000</f>
        <v>0.007</v>
      </c>
      <c r="J28" s="16" t="n">
        <f aca="false">W28+0.25</f>
        <v>2.205</v>
      </c>
      <c r="K28" s="16" t="n">
        <f aca="false">J28+L28</f>
        <v>2.23</v>
      </c>
      <c r="L28" s="16" t="n">
        <f aca="false">RANDBETWEEN(-20,70)/1000</f>
        <v>0.025</v>
      </c>
      <c r="M28" s="16" t="n">
        <v>5.25</v>
      </c>
      <c r="N28" s="16" t="n">
        <f aca="false">+M28+O28</f>
        <v>5.2473</v>
      </c>
      <c r="O28" s="16" t="n">
        <f aca="false">RANDBETWEEN(-105,115)/10000</f>
        <v>-0.0027</v>
      </c>
      <c r="P28" s="16" t="n">
        <f aca="false">G28</f>
        <v>2.088</v>
      </c>
      <c r="Q28" s="16" t="n">
        <f aca="false">P28+R28</f>
        <v>2.121</v>
      </c>
      <c r="R28" s="16" t="n">
        <f aca="false">RANDBETWEEN(-20,70)/1000</f>
        <v>0.033</v>
      </c>
      <c r="S28" s="17"/>
      <c r="T28" s="18" t="n">
        <v>0.15</v>
      </c>
      <c r="V28" s="19"/>
      <c r="W28" s="20" t="n">
        <v>1.955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562.02</v>
      </c>
      <c r="D29" s="16" t="n">
        <v>-5.25</v>
      </c>
      <c r="E29" s="16" t="n">
        <f aca="false">+D29+F29</f>
        <v>-5.2536</v>
      </c>
      <c r="F29" s="16" t="n">
        <f aca="false">RANDBETWEEN(-105,115)/10000</f>
        <v>-0.0036</v>
      </c>
      <c r="G29" s="16" t="n">
        <f aca="false">J29-4.95*2%-0.3*6%</f>
        <v>2.088</v>
      </c>
      <c r="H29" s="16" t="n">
        <f aca="false">G29+I29</f>
        <v>2.12</v>
      </c>
      <c r="I29" s="16" t="n">
        <f aca="false">RANDBETWEEN(-20,70)/1000</f>
        <v>0.032</v>
      </c>
      <c r="J29" s="16" t="n">
        <f aca="false">W29+0.25</f>
        <v>2.205</v>
      </c>
      <c r="K29" s="16" t="n">
        <f aca="false">J29+L29</f>
        <v>2.214</v>
      </c>
      <c r="L29" s="16" t="n">
        <f aca="false">RANDBETWEEN(-20,70)/1000</f>
        <v>0.009</v>
      </c>
      <c r="M29" s="16" t="n">
        <v>5.25</v>
      </c>
      <c r="N29" s="16" t="n">
        <f aca="false">+M29+O29</f>
        <v>5.2428</v>
      </c>
      <c r="O29" s="16" t="n">
        <f aca="false">RANDBETWEEN(-105,115)/10000</f>
        <v>-0.0072</v>
      </c>
      <c r="P29" s="16" t="n">
        <f aca="false">G29</f>
        <v>2.088</v>
      </c>
      <c r="Q29" s="16" t="n">
        <f aca="false">P29+R29</f>
        <v>2.148</v>
      </c>
      <c r="R29" s="16" t="n">
        <f aca="false">RANDBETWEEN(-20,70)/1000</f>
        <v>0.06</v>
      </c>
      <c r="S29" s="17"/>
      <c r="T29" s="18" t="n">
        <v>6.55</v>
      </c>
      <c r="V29" s="19"/>
      <c r="W29" s="20" t="n">
        <v>1.955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568.57</v>
      </c>
      <c r="D30" s="16" t="n">
        <v>-5.25</v>
      </c>
      <c r="E30" s="16" t="n">
        <f aca="false">+D30+F30</f>
        <v>-5.2596</v>
      </c>
      <c r="F30" s="16" t="n">
        <f aca="false">RANDBETWEEN(-105,115)/10000</f>
        <v>-0.0096</v>
      </c>
      <c r="G30" s="16" t="n">
        <f aca="false">J30-4.95*2%-0.3*6%</f>
        <v>2.087</v>
      </c>
      <c r="H30" s="16" t="n">
        <f aca="false">G30+I30</f>
        <v>2.117</v>
      </c>
      <c r="I30" s="16" t="n">
        <f aca="false">RANDBETWEEN(-20,70)/1000</f>
        <v>0.03</v>
      </c>
      <c r="J30" s="16" t="n">
        <f aca="false">W30+0.25</f>
        <v>2.204</v>
      </c>
      <c r="K30" s="16" t="n">
        <f aca="false">J30+L30</f>
        <v>2.206</v>
      </c>
      <c r="L30" s="16" t="n">
        <f aca="false">RANDBETWEEN(-20,70)/1000</f>
        <v>0.002</v>
      </c>
      <c r="M30" s="16" t="n">
        <v>5.25</v>
      </c>
      <c r="N30" s="16" t="n">
        <f aca="false">+M30+O30</f>
        <v>5.2553</v>
      </c>
      <c r="O30" s="16" t="n">
        <f aca="false">RANDBETWEEN(-105,115)/10000</f>
        <v>0.0053</v>
      </c>
      <c r="P30" s="16" t="n">
        <f aca="false">G30</f>
        <v>2.087</v>
      </c>
      <c r="Q30" s="16" t="n">
        <f aca="false">P30+R30</f>
        <v>2.125</v>
      </c>
      <c r="R30" s="16" t="n">
        <f aca="false">RANDBETWEEN(-20,70)/1000</f>
        <v>0.038</v>
      </c>
      <c r="S30" s="17"/>
      <c r="T30" s="18" t="n">
        <v>6.55</v>
      </c>
      <c r="V30" s="19"/>
      <c r="W30" s="20" t="n">
        <v>1.954</v>
      </c>
    </row>
    <row r="31" s="10" customFormat="true" ht="18" hidden="false" customHeight="true" outlineLevel="0" collapsed="false">
      <c r="A31" s="13" t="n">
        <v>9</v>
      </c>
      <c r="B31" s="14" t="s">
        <v>31</v>
      </c>
      <c r="C31" s="15" t="n">
        <f aca="false">+C30+T30</f>
        <v>575.12</v>
      </c>
      <c r="D31" s="16" t="n">
        <v>-5.25</v>
      </c>
      <c r="E31" s="16" t="n">
        <f aca="false">+D31+F31</f>
        <v>-5.2453</v>
      </c>
      <c r="F31" s="16" t="n">
        <f aca="false">RANDBETWEEN(-105,115)/10000</f>
        <v>0.0047</v>
      </c>
      <c r="G31" s="16" t="n">
        <f aca="false">J31-4.95*2%-0.3*6%</f>
        <v>2.085</v>
      </c>
      <c r="H31" s="16" t="n">
        <f aca="false">G31+I31</f>
        <v>2.138</v>
      </c>
      <c r="I31" s="16" t="n">
        <f aca="false">RANDBETWEEN(-20,70)/1000</f>
        <v>0.053</v>
      </c>
      <c r="J31" s="16" t="n">
        <f aca="false">W31+0.25</f>
        <v>2.202</v>
      </c>
      <c r="K31" s="16" t="n">
        <f aca="false">J31+L31</f>
        <v>2.271</v>
      </c>
      <c r="L31" s="16" t="n">
        <f aca="false">RANDBETWEEN(-20,70)/1000</f>
        <v>0.069</v>
      </c>
      <c r="M31" s="16" t="n">
        <v>5.25</v>
      </c>
      <c r="N31" s="16" t="n">
        <f aca="false">+M31+O31</f>
        <v>5.2448</v>
      </c>
      <c r="O31" s="16" t="n">
        <f aca="false">RANDBETWEEN(-105,115)/10000</f>
        <v>-0.0052</v>
      </c>
      <c r="P31" s="16" t="n">
        <f aca="false">G31</f>
        <v>2.085</v>
      </c>
      <c r="Q31" s="16" t="n">
        <f aca="false">P31+R31</f>
        <v>2.135</v>
      </c>
      <c r="R31" s="16" t="n">
        <f aca="false">RANDBETWEEN(-20,70)/1000</f>
        <v>0.05</v>
      </c>
      <c r="S31" s="17"/>
      <c r="T31" s="18" t="n">
        <v>0.04</v>
      </c>
      <c r="V31" s="19"/>
      <c r="W31" s="20" t="n">
        <v>1.952</v>
      </c>
    </row>
    <row r="32" s="10" customFormat="true" ht="18" hidden="false" customHeight="true" outlineLevel="0" collapsed="false">
      <c r="A32" s="13" t="n">
        <v>10</v>
      </c>
      <c r="B32" s="14" t="s">
        <v>32</v>
      </c>
      <c r="C32" s="15" t="n">
        <f aca="false">+C31+T31</f>
        <v>575.16</v>
      </c>
      <c r="D32" s="16" t="n">
        <v>-5.25</v>
      </c>
      <c r="E32" s="16" t="n">
        <f aca="false">+D32+F32</f>
        <v>-5.2425</v>
      </c>
      <c r="F32" s="16" t="n">
        <f aca="false">RANDBETWEEN(-105,115)/10000</f>
        <v>0.0075</v>
      </c>
      <c r="G32" s="16" t="n">
        <f aca="false">J32-4.95*2%-0.3*6%</f>
        <v>2.085</v>
      </c>
      <c r="H32" s="16" t="n">
        <f aca="false">G32+I32</f>
        <v>2.153</v>
      </c>
      <c r="I32" s="16" t="n">
        <f aca="false">RANDBETWEEN(-20,70)/1000</f>
        <v>0.068</v>
      </c>
      <c r="J32" s="16" t="n">
        <f aca="false">W32+0.25</f>
        <v>2.202</v>
      </c>
      <c r="K32" s="16" t="n">
        <f aca="false">J32+L32</f>
        <v>2.267</v>
      </c>
      <c r="L32" s="16" t="n">
        <f aca="false">RANDBETWEEN(-20,70)/1000</f>
        <v>0.065</v>
      </c>
      <c r="M32" s="16" t="n">
        <v>5.25</v>
      </c>
      <c r="N32" s="16" t="n">
        <f aca="false">+M32+O32</f>
        <v>5.2471</v>
      </c>
      <c r="O32" s="16" t="n">
        <f aca="false">RANDBETWEEN(-105,115)/10000</f>
        <v>-0.0029</v>
      </c>
      <c r="P32" s="16" t="n">
        <f aca="false">G32</f>
        <v>2.085</v>
      </c>
      <c r="Q32" s="16" t="n">
        <f aca="false">P32+R32</f>
        <v>2.12</v>
      </c>
      <c r="R32" s="16" t="n">
        <f aca="false">RANDBETWEEN(-20,70)/1000</f>
        <v>0.035</v>
      </c>
      <c r="S32" s="17"/>
      <c r="T32" s="18" t="n">
        <v>16.95</v>
      </c>
      <c r="V32" s="19"/>
      <c r="W32" s="20" t="n">
        <v>1.952</v>
      </c>
    </row>
    <row r="33" s="10" customFormat="true" ht="18" hidden="false" customHeight="true" outlineLevel="0" collapsed="false">
      <c r="A33" s="13" t="n">
        <v>11</v>
      </c>
      <c r="B33" s="14" t="s">
        <v>33</v>
      </c>
      <c r="C33" s="15" t="n">
        <f aca="false">+C32+T32</f>
        <v>592.11</v>
      </c>
      <c r="D33" s="16" t="n">
        <v>-5.25</v>
      </c>
      <c r="E33" s="16" t="n">
        <f aca="false">+D33+F33</f>
        <v>-5.2529</v>
      </c>
      <c r="F33" s="16" t="n">
        <f aca="false">RANDBETWEEN(-105,115)/10000</f>
        <v>-0.0029</v>
      </c>
      <c r="G33" s="16" t="n">
        <f aca="false">J33-4.95*2%-0.3*6%</f>
        <v>2.088</v>
      </c>
      <c r="H33" s="16" t="n">
        <f aca="false">G33+I33</f>
        <v>2.153</v>
      </c>
      <c r="I33" s="16" t="n">
        <f aca="false">RANDBETWEEN(-20,70)/1000</f>
        <v>0.065</v>
      </c>
      <c r="J33" s="16" t="n">
        <f aca="false">W33+0.25</f>
        <v>2.205</v>
      </c>
      <c r="K33" s="16" t="n">
        <f aca="false">J33+L33</f>
        <v>2.274</v>
      </c>
      <c r="L33" s="16" t="n">
        <f aca="false">RANDBETWEEN(-20,70)/1000</f>
        <v>0.069</v>
      </c>
      <c r="M33" s="16" t="n">
        <v>5.25</v>
      </c>
      <c r="N33" s="16" t="n">
        <f aca="false">+M33+O33</f>
        <v>5.2439</v>
      </c>
      <c r="O33" s="16" t="n">
        <f aca="false">RANDBETWEEN(-105,115)/10000</f>
        <v>-0.0061</v>
      </c>
      <c r="P33" s="16" t="n">
        <f aca="false">G33</f>
        <v>2.088</v>
      </c>
      <c r="Q33" s="16" t="n">
        <f aca="false">P33+R33</f>
        <v>2.114</v>
      </c>
      <c r="R33" s="16" t="n">
        <f aca="false">RANDBETWEEN(-20,70)/1000</f>
        <v>0.026</v>
      </c>
      <c r="S33" s="17"/>
      <c r="T33" s="18" t="n">
        <v>17</v>
      </c>
      <c r="V33" s="19"/>
      <c r="W33" s="20" t="n">
        <v>1.955</v>
      </c>
    </row>
    <row r="34" s="10" customFormat="true" ht="18" hidden="false" customHeight="true" outlineLevel="0" collapsed="false">
      <c r="A34" s="13" t="n">
        <v>12</v>
      </c>
      <c r="B34" s="14" t="s">
        <v>34</v>
      </c>
      <c r="C34" s="15" t="n">
        <f aca="false">+C33+T33</f>
        <v>609.11</v>
      </c>
      <c r="D34" s="16" t="n">
        <v>-5.25</v>
      </c>
      <c r="E34" s="16" t="n">
        <f aca="false">+D34+F34</f>
        <v>-5.2475</v>
      </c>
      <c r="F34" s="16" t="n">
        <f aca="false">RANDBETWEEN(-105,115)/10000</f>
        <v>0.0025</v>
      </c>
      <c r="G34" s="16" t="n">
        <f aca="false">J34-4.95*2%-0.3*6%</f>
        <v>2.091</v>
      </c>
      <c r="H34" s="16" t="n">
        <f aca="false">G34+I34</f>
        <v>2.116</v>
      </c>
      <c r="I34" s="16" t="n">
        <f aca="false">RANDBETWEEN(-20,70)/1000</f>
        <v>0.025</v>
      </c>
      <c r="J34" s="16" t="n">
        <f aca="false">W34+0.25</f>
        <v>2.208</v>
      </c>
      <c r="K34" s="16" t="n">
        <f aca="false">J34+L34</f>
        <v>2.23</v>
      </c>
      <c r="L34" s="16" t="n">
        <f aca="false">RANDBETWEEN(-20,70)/1000</f>
        <v>0.022</v>
      </c>
      <c r="M34" s="16" t="n">
        <v>5.25</v>
      </c>
      <c r="N34" s="16" t="n">
        <f aca="false">+M34+O34</f>
        <v>5.2597</v>
      </c>
      <c r="O34" s="16" t="n">
        <f aca="false">RANDBETWEEN(-105,115)/10000</f>
        <v>0.0097</v>
      </c>
      <c r="P34" s="16" t="n">
        <f aca="false">G34</f>
        <v>2.091</v>
      </c>
      <c r="Q34" s="16" t="n">
        <f aca="false">P34+R34</f>
        <v>2.084</v>
      </c>
      <c r="R34" s="16" t="n">
        <f aca="false">RANDBETWEEN(-20,70)/1000</f>
        <v>-0.007</v>
      </c>
      <c r="S34" s="17"/>
      <c r="T34" s="18"/>
      <c r="V34" s="19"/>
      <c r="W34" s="20" t="n">
        <v>1.958</v>
      </c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38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7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40</v>
      </c>
      <c r="B9" s="36" t="s">
        <v>10</v>
      </c>
      <c r="C9" s="36" t="s">
        <v>11</v>
      </c>
      <c r="D9" s="37" t="s">
        <v>41</v>
      </c>
      <c r="E9" s="38"/>
      <c r="F9" s="38"/>
      <c r="G9" s="37"/>
      <c r="H9" s="38"/>
      <c r="I9" s="38"/>
      <c r="J9" s="38"/>
      <c r="K9" s="38"/>
      <c r="L9" s="38"/>
      <c r="M9" s="39" t="s">
        <v>42</v>
      </c>
      <c r="N9" s="40"/>
      <c r="O9" s="41" t="s">
        <v>43</v>
      </c>
      <c r="P9" s="42"/>
      <c r="Q9" s="42"/>
      <c r="R9" s="42"/>
      <c r="S9" s="42"/>
      <c r="T9" s="42"/>
      <c r="U9" s="42"/>
      <c r="V9" s="42"/>
      <c r="W9" s="41" t="s">
        <v>44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43</v>
      </c>
      <c r="O10" s="41"/>
      <c r="P10" s="41" t="s">
        <v>43</v>
      </c>
      <c r="Q10" s="41" t="s">
        <v>43</v>
      </c>
      <c r="R10" s="41"/>
      <c r="S10" s="41"/>
      <c r="T10" s="41"/>
      <c r="U10" s="41" t="s">
        <v>44</v>
      </c>
      <c r="V10" s="41" t="s">
        <v>44</v>
      </c>
      <c r="W10" s="41"/>
      <c r="X10" s="41" t="s">
        <v>44</v>
      </c>
      <c r="Y10" s="41" t="s">
        <v>44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25</v>
      </c>
      <c r="C11" s="15" t="n">
        <f aca="false">'KTHH Lớp 1'!C23</f>
        <v>489.19</v>
      </c>
      <c r="D11" s="13" t="n">
        <f aca="false">'KTHH Lớp 1'!T23</f>
        <v>13.17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34.57125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D1</v>
      </c>
      <c r="C12" s="15" t="n">
        <f aca="false">'KTHH Lớp 1'!C24</f>
        <v>502.36</v>
      </c>
      <c r="D12" s="13" t="n">
        <f aca="false">'KTHH Lớp 1'!T24</f>
        <v>10.48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27.51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26</v>
      </c>
      <c r="C13" s="15" t="n">
        <f aca="false">'KTHH Lớp 1'!C25</f>
        <v>512.84</v>
      </c>
      <c r="D13" s="13" t="n">
        <f aca="false">'KTHH Lớp 1'!T25</f>
        <v>16.78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44.0475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27</v>
      </c>
      <c r="C14" s="15" t="n">
        <f aca="false">'KTHH Lớp 1'!C26</f>
        <v>529.62</v>
      </c>
      <c r="D14" s="13" t="n">
        <f aca="false">'KTHH Lớp 1'!T26</f>
        <v>17.1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44.8875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28</v>
      </c>
      <c r="C15" s="15" t="n">
        <f aca="false">'KTHH Lớp 1'!C27</f>
        <v>546.72</v>
      </c>
      <c r="D15" s="13" t="n">
        <f aca="false">'KTHH Lớp 1'!T27</f>
        <v>15.15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39.76875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E5</v>
      </c>
      <c r="C16" s="15" t="n">
        <f aca="false">'KTHH Lớp 1'!C28</f>
        <v>561.87</v>
      </c>
      <c r="D16" s="13" t="n">
        <f aca="false">'KTHH Lớp 1'!T28</f>
        <v>0.15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0.39375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TD</v>
      </c>
      <c r="C17" s="15" t="n">
        <f aca="false">'KTHH Lớp 1'!C29</f>
        <v>562.02</v>
      </c>
      <c r="D17" s="13" t="n">
        <f aca="false">'KTHH Lớp 1'!T29</f>
        <v>6.55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10.5*0.25</f>
        <v>2.625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17.19375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P</v>
      </c>
      <c r="C18" s="15" t="n">
        <f aca="false">'KTHH Lớp 1'!C30</f>
        <v>568.57</v>
      </c>
      <c r="D18" s="13" t="n">
        <f aca="false">'KTHH Lớp 1'!T30</f>
        <v>6.55</v>
      </c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10.5*0.25</f>
        <v>2.625</v>
      </c>
      <c r="P18" s="52"/>
      <c r="Q18" s="52"/>
      <c r="R18" s="54"/>
      <c r="S18" s="54"/>
      <c r="T18" s="54"/>
      <c r="U18" s="54"/>
      <c r="V18" s="54"/>
      <c r="W18" s="54" t="n">
        <f aca="false">(O18+O19)*D18/2</f>
        <v>17.19375</v>
      </c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false" customHeight="true" outlineLevel="0" collapsed="false">
      <c r="A19" s="13" t="n">
        <v>9</v>
      </c>
      <c r="B19" s="13" t="str">
        <f aca="false">'KTHH Lớp 1'!B31</f>
        <v>TC</v>
      </c>
      <c r="C19" s="15" t="n">
        <f aca="false">'KTHH Lớp 1'!C31</f>
        <v>575.12</v>
      </c>
      <c r="D19" s="13" t="n">
        <f aca="false">'KTHH Lớp 1'!T31</f>
        <v>0.04</v>
      </c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 t="n">
        <f aca="false">10.5*0.25</f>
        <v>2.625</v>
      </c>
      <c r="P19" s="52"/>
      <c r="Q19" s="52"/>
      <c r="R19" s="54"/>
      <c r="S19" s="54"/>
      <c r="T19" s="54"/>
      <c r="U19" s="54"/>
      <c r="V19" s="54"/>
      <c r="W19" s="54" t="n">
        <f aca="false">(O19+O20)*D19/2</f>
        <v>0.105</v>
      </c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false" customHeight="true" outlineLevel="0" collapsed="false">
      <c r="A20" s="13" t="n">
        <v>10</v>
      </c>
      <c r="B20" s="13" t="str">
        <f aca="false">'KTHH Lớp 1'!B32</f>
        <v>29</v>
      </c>
      <c r="C20" s="15" t="n">
        <f aca="false">'KTHH Lớp 1'!C32</f>
        <v>575.16</v>
      </c>
      <c r="D20" s="13" t="n">
        <f aca="false">'KTHH Lớp 1'!T32</f>
        <v>16.95</v>
      </c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 t="n">
        <f aca="false">10.5*0.25</f>
        <v>2.625</v>
      </c>
      <c r="P20" s="52"/>
      <c r="Q20" s="52"/>
      <c r="R20" s="54"/>
      <c r="S20" s="54"/>
      <c r="T20" s="54"/>
      <c r="U20" s="54"/>
      <c r="V20" s="54"/>
      <c r="W20" s="54" t="n">
        <f aca="false">(O20+O21)*D20/2</f>
        <v>44.49375</v>
      </c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false" customHeight="true" outlineLevel="0" collapsed="false">
      <c r="A21" s="13" t="n">
        <v>11</v>
      </c>
      <c r="B21" s="13" t="str">
        <f aca="false">'KTHH Lớp 1'!B33</f>
        <v>30</v>
      </c>
      <c r="C21" s="15" t="n">
        <f aca="false">'KTHH Lớp 1'!C33</f>
        <v>592.11</v>
      </c>
      <c r="D21" s="13" t="n">
        <f aca="false">'KTHH Lớp 1'!T33</f>
        <v>17</v>
      </c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 t="n">
        <f aca="false">10.5*0.25</f>
        <v>2.625</v>
      </c>
      <c r="P21" s="52"/>
      <c r="Q21" s="52"/>
      <c r="R21" s="54"/>
      <c r="S21" s="54"/>
      <c r="T21" s="54"/>
      <c r="U21" s="54"/>
      <c r="V21" s="54"/>
      <c r="W21" s="54" t="n">
        <f aca="false">(O21+O22)*D21/2</f>
        <v>44.625</v>
      </c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false" customHeight="true" outlineLevel="0" collapsed="false">
      <c r="A22" s="13" t="n">
        <v>12</v>
      </c>
      <c r="B22" s="13" t="str">
        <f aca="false">'KTHH Lớp 1'!B34</f>
        <v>31</v>
      </c>
      <c r="C22" s="15" t="n">
        <f aca="false">'KTHH Lớp 1'!C34</f>
        <v>609.11</v>
      </c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 t="n">
        <f aca="false">10.5*0.25</f>
        <v>2.625</v>
      </c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45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SUM(W11:W22)</f>
        <v>314.79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35</v>
      </c>
      <c r="B51" s="21"/>
      <c r="C51" s="21"/>
      <c r="D51" s="75" t="s">
        <v>46</v>
      </c>
      <c r="E51" s="21" t="s">
        <v>36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37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38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48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489.19</v>
      </c>
      <c r="D23" s="16" t="n">
        <v>-5.25</v>
      </c>
      <c r="E23" s="16" t="n">
        <f aca="false">+D23+F23</f>
        <v>-5.2601</v>
      </c>
      <c r="F23" s="16" t="n">
        <f aca="false">RANDBETWEEN(-105,115)/10000</f>
        <v>-0.0101</v>
      </c>
      <c r="G23" s="16" t="n">
        <f aca="false">W23+0.25</f>
        <v>2.372</v>
      </c>
      <c r="H23" s="16" t="n">
        <f aca="false">G23+I23</f>
        <v>2.427</v>
      </c>
      <c r="I23" s="16" t="n">
        <f aca="false">RANDBETWEEN(-20,70)/1000</f>
        <v>0.055</v>
      </c>
      <c r="J23" s="16" t="n">
        <f aca="false">X23+0.25</f>
        <v>2.489</v>
      </c>
      <c r="K23" s="16" t="n">
        <f aca="false">J23+L23</f>
        <v>2.473</v>
      </c>
      <c r="L23" s="16" t="n">
        <f aca="false">RANDBETWEEN(-20,70)/1000</f>
        <v>-0.016</v>
      </c>
      <c r="M23" s="16" t="n">
        <v>5.25</v>
      </c>
      <c r="N23" s="16" t="n">
        <f aca="false">+M23+O23</f>
        <v>5.2415</v>
      </c>
      <c r="O23" s="16" t="n">
        <f aca="false">RANDBETWEEN(-105,115)/10000</f>
        <v>-0.0085</v>
      </c>
      <c r="P23" s="16" t="n">
        <f aca="false">Y23+0.25</f>
        <v>2.372</v>
      </c>
      <c r="Q23" s="16" t="n">
        <f aca="false">P23+R23</f>
        <v>2.369</v>
      </c>
      <c r="R23" s="16" t="n">
        <f aca="false">RANDBETWEEN(-20,70)/1000</f>
        <v>-0.003</v>
      </c>
      <c r="S23" s="17"/>
      <c r="T23" s="18" t="n">
        <v>13.17</v>
      </c>
      <c r="V23" s="19"/>
      <c r="W23" s="19" t="n">
        <f aca="false">'KTHH Lớp 1'!G23</f>
        <v>2.122</v>
      </c>
      <c r="X23" s="19" t="n">
        <f aca="false">'KTHH Lớp 1'!J23</f>
        <v>2.239</v>
      </c>
      <c r="Y23" s="19" t="n">
        <f aca="false">'KTHH Lớp 1'!P23</f>
        <v>2.122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502.36</v>
      </c>
      <c r="D24" s="16" t="n">
        <v>-5.25</v>
      </c>
      <c r="E24" s="16" t="n">
        <f aca="false">+D24+F24</f>
        <v>-5.2461</v>
      </c>
      <c r="F24" s="16" t="n">
        <f aca="false">RANDBETWEEN(-105,115)/10000</f>
        <v>0.0039</v>
      </c>
      <c r="G24" s="16" t="n">
        <f aca="false">W24+0.25</f>
        <v>2.364</v>
      </c>
      <c r="H24" s="16" t="n">
        <f aca="false">G24+I24</f>
        <v>2.371</v>
      </c>
      <c r="I24" s="16" t="n">
        <f aca="false">RANDBETWEEN(-20,70)/1000</f>
        <v>0.007</v>
      </c>
      <c r="J24" s="16" t="n">
        <f aca="false">X24+0.25</f>
        <v>2.481</v>
      </c>
      <c r="K24" s="16" t="n">
        <f aca="false">J24+L24</f>
        <v>2.501</v>
      </c>
      <c r="L24" s="16" t="n">
        <f aca="false">RANDBETWEEN(-20,70)/1000</f>
        <v>0.02</v>
      </c>
      <c r="M24" s="16" t="n">
        <v>5.25</v>
      </c>
      <c r="N24" s="16" t="n">
        <f aca="false">+M24+O24</f>
        <v>5.2516</v>
      </c>
      <c r="O24" s="16" t="n">
        <f aca="false">RANDBETWEEN(-105,115)/10000</f>
        <v>0.0016</v>
      </c>
      <c r="P24" s="16" t="n">
        <f aca="false">Y24+0.25</f>
        <v>2.364</v>
      </c>
      <c r="Q24" s="16" t="n">
        <f aca="false">P24+R24</f>
        <v>2.374</v>
      </c>
      <c r="R24" s="16" t="n">
        <f aca="false">RANDBETWEEN(-20,70)/1000</f>
        <v>0.01</v>
      </c>
      <c r="S24" s="17"/>
      <c r="T24" s="18" t="n">
        <v>10.48</v>
      </c>
      <c r="V24" s="19"/>
      <c r="W24" s="19" t="n">
        <f aca="false">'KTHH Lớp 1'!G24</f>
        <v>2.114</v>
      </c>
      <c r="X24" s="19" t="n">
        <f aca="false">'KTHH Lớp 1'!J24</f>
        <v>2.231</v>
      </c>
      <c r="Y24" s="19" t="n">
        <f aca="false">'KTHH Lớp 1'!P24</f>
        <v>2.114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512.84</v>
      </c>
      <c r="D25" s="16" t="n">
        <v>-5.25</v>
      </c>
      <c r="E25" s="16" t="n">
        <f aca="false">+D25+F25</f>
        <v>-5.2528</v>
      </c>
      <c r="F25" s="16" t="n">
        <f aca="false">RANDBETWEEN(-105,115)/10000</f>
        <v>-0.0028</v>
      </c>
      <c r="G25" s="16" t="n">
        <f aca="false">W25+0.25</f>
        <v>2.358</v>
      </c>
      <c r="H25" s="16" t="n">
        <f aca="false">G25+I25</f>
        <v>2.395</v>
      </c>
      <c r="I25" s="16" t="n">
        <f aca="false">RANDBETWEEN(-20,70)/1000</f>
        <v>0.037</v>
      </c>
      <c r="J25" s="16" t="n">
        <f aca="false">X25+0.25</f>
        <v>2.475</v>
      </c>
      <c r="K25" s="16" t="n">
        <f aca="false">J25+L25</f>
        <v>2.508</v>
      </c>
      <c r="L25" s="16" t="n">
        <f aca="false">RANDBETWEEN(-20,70)/1000</f>
        <v>0.033</v>
      </c>
      <c r="M25" s="16" t="n">
        <v>5.25</v>
      </c>
      <c r="N25" s="16" t="n">
        <f aca="false">+M25+O25</f>
        <v>5.2485</v>
      </c>
      <c r="O25" s="16" t="n">
        <f aca="false">RANDBETWEEN(-105,115)/10000</f>
        <v>-0.0015</v>
      </c>
      <c r="P25" s="16" t="n">
        <f aca="false">Y25+0.25</f>
        <v>2.358</v>
      </c>
      <c r="Q25" s="16" t="n">
        <f aca="false">P25+R25</f>
        <v>2.41</v>
      </c>
      <c r="R25" s="16" t="n">
        <f aca="false">RANDBETWEEN(-20,70)/1000</f>
        <v>0.052</v>
      </c>
      <c r="S25" s="17"/>
      <c r="T25" s="18" t="n">
        <v>16.78</v>
      </c>
      <c r="V25" s="19"/>
      <c r="W25" s="19" t="n">
        <f aca="false">'KTHH Lớp 1'!G25</f>
        <v>2.108</v>
      </c>
      <c r="X25" s="19" t="n">
        <f aca="false">'KTHH Lớp 1'!J25</f>
        <v>2.225</v>
      </c>
      <c r="Y25" s="19" t="n">
        <f aca="false">'KTHH Lớp 1'!P25</f>
        <v>2.108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529.62</v>
      </c>
      <c r="D26" s="16" t="n">
        <v>-5.25</v>
      </c>
      <c r="E26" s="16" t="n">
        <f aca="false">+D26+F26</f>
        <v>-5.2478</v>
      </c>
      <c r="F26" s="16" t="n">
        <f aca="false">RANDBETWEEN(-105,115)/10000</f>
        <v>0.0022</v>
      </c>
      <c r="G26" s="16" t="n">
        <f aca="false">W26+0.25</f>
        <v>2.349</v>
      </c>
      <c r="H26" s="16" t="n">
        <f aca="false">G26+I26</f>
        <v>2.398</v>
      </c>
      <c r="I26" s="16" t="n">
        <f aca="false">RANDBETWEEN(-20,70)/1000</f>
        <v>0.049</v>
      </c>
      <c r="J26" s="16" t="n">
        <f aca="false">X26+0.25</f>
        <v>2.466</v>
      </c>
      <c r="K26" s="16" t="n">
        <f aca="false">J26+L26</f>
        <v>2.452</v>
      </c>
      <c r="L26" s="16" t="n">
        <f aca="false">RANDBETWEEN(-20,70)/1000</f>
        <v>-0.014</v>
      </c>
      <c r="M26" s="16" t="n">
        <v>5.25</v>
      </c>
      <c r="N26" s="16" t="n">
        <f aca="false">+M26+O26</f>
        <v>5.2489</v>
      </c>
      <c r="O26" s="16" t="n">
        <f aca="false">RANDBETWEEN(-105,115)/10000</f>
        <v>-0.0011</v>
      </c>
      <c r="P26" s="16" t="n">
        <f aca="false">Y26+0.25</f>
        <v>2.349</v>
      </c>
      <c r="Q26" s="16" t="n">
        <f aca="false">P26+R26</f>
        <v>2.408</v>
      </c>
      <c r="R26" s="16" t="n">
        <f aca="false">RANDBETWEEN(-20,70)/1000</f>
        <v>0.059</v>
      </c>
      <c r="S26" s="17"/>
      <c r="T26" s="18" t="n">
        <v>17.1</v>
      </c>
      <c r="V26" s="19"/>
      <c r="W26" s="19" t="n">
        <f aca="false">'KTHH Lớp 1'!G26</f>
        <v>2.099</v>
      </c>
      <c r="X26" s="19" t="n">
        <f aca="false">'KTHH Lớp 1'!J26</f>
        <v>2.216</v>
      </c>
      <c r="Y26" s="19" t="n">
        <f aca="false">'KTHH Lớp 1'!P26</f>
        <v>2.099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546.72</v>
      </c>
      <c r="D27" s="16" t="n">
        <v>-5.25</v>
      </c>
      <c r="E27" s="16" t="n">
        <f aca="false">+D27+F27</f>
        <v>-5.2552</v>
      </c>
      <c r="F27" s="16" t="n">
        <f aca="false">RANDBETWEEN(-105,115)/10000</f>
        <v>-0.0052</v>
      </c>
      <c r="G27" s="16" t="n">
        <f aca="false">W27+0.25</f>
        <v>2.341</v>
      </c>
      <c r="H27" s="16" t="n">
        <f aca="false">G27+I27</f>
        <v>2.346</v>
      </c>
      <c r="I27" s="16" t="n">
        <f aca="false">RANDBETWEEN(-20,70)/1000</f>
        <v>0.005</v>
      </c>
      <c r="J27" s="16" t="n">
        <f aca="false">X27+0.25</f>
        <v>2.458</v>
      </c>
      <c r="K27" s="16" t="n">
        <f aca="false">J27+L27</f>
        <v>2.49</v>
      </c>
      <c r="L27" s="16" t="n">
        <f aca="false">RANDBETWEEN(-20,70)/1000</f>
        <v>0.032</v>
      </c>
      <c r="M27" s="16" t="n">
        <v>5.25</v>
      </c>
      <c r="N27" s="16" t="n">
        <f aca="false">+M27+O27</f>
        <v>5.2564</v>
      </c>
      <c r="O27" s="16" t="n">
        <f aca="false">RANDBETWEEN(-105,115)/10000</f>
        <v>0.0064</v>
      </c>
      <c r="P27" s="16" t="n">
        <f aca="false">Y27+0.25</f>
        <v>2.341</v>
      </c>
      <c r="Q27" s="16" t="n">
        <f aca="false">P27+R27</f>
        <v>2.403</v>
      </c>
      <c r="R27" s="16" t="n">
        <f aca="false">RANDBETWEEN(-20,70)/1000</f>
        <v>0.062</v>
      </c>
      <c r="S27" s="17"/>
      <c r="T27" s="18" t="n">
        <v>15.15</v>
      </c>
      <c r="V27" s="19"/>
      <c r="W27" s="19" t="n">
        <f aca="false">'KTHH Lớp 1'!G27</f>
        <v>2.091</v>
      </c>
      <c r="X27" s="19" t="n">
        <f aca="false">'KTHH Lớp 1'!J27</f>
        <v>2.208</v>
      </c>
      <c r="Y27" s="19" t="n">
        <f aca="false">'KTHH Lớp 1'!P27</f>
        <v>2.091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561.87</v>
      </c>
      <c r="D28" s="16" t="n">
        <v>-5.25</v>
      </c>
      <c r="E28" s="16" t="n">
        <f aca="false">+D28+F28</f>
        <v>-5.2486</v>
      </c>
      <c r="F28" s="16" t="n">
        <f aca="false">RANDBETWEEN(-105,115)/10000</f>
        <v>0.0014</v>
      </c>
      <c r="G28" s="16" t="n">
        <f aca="false">W28+0.25</f>
        <v>2.338</v>
      </c>
      <c r="H28" s="16" t="n">
        <f aca="false">G28+I28</f>
        <v>2.346</v>
      </c>
      <c r="I28" s="16" t="n">
        <f aca="false">RANDBETWEEN(-20,70)/1000</f>
        <v>0.008</v>
      </c>
      <c r="J28" s="16" t="n">
        <f aca="false">X28+0.25</f>
        <v>2.455</v>
      </c>
      <c r="K28" s="16" t="n">
        <f aca="false">J28+L28</f>
        <v>2.472</v>
      </c>
      <c r="L28" s="16" t="n">
        <f aca="false">RANDBETWEEN(-20,70)/1000</f>
        <v>0.017</v>
      </c>
      <c r="M28" s="16" t="n">
        <v>5.25</v>
      </c>
      <c r="N28" s="16" t="n">
        <f aca="false">+M28+O28</f>
        <v>5.2418</v>
      </c>
      <c r="O28" s="16" t="n">
        <f aca="false">RANDBETWEEN(-105,115)/10000</f>
        <v>-0.0082</v>
      </c>
      <c r="P28" s="16" t="n">
        <f aca="false">Y28+0.25</f>
        <v>2.338</v>
      </c>
      <c r="Q28" s="16" t="n">
        <f aca="false">P28+R28</f>
        <v>2.355</v>
      </c>
      <c r="R28" s="16" t="n">
        <f aca="false">RANDBETWEEN(-20,70)/1000</f>
        <v>0.017</v>
      </c>
      <c r="S28" s="17"/>
      <c r="T28" s="18" t="n">
        <v>0.15</v>
      </c>
      <c r="V28" s="19"/>
      <c r="W28" s="19" t="n">
        <f aca="false">'KTHH Lớp 1'!G28</f>
        <v>2.088</v>
      </c>
      <c r="X28" s="19" t="n">
        <f aca="false">'KTHH Lớp 1'!J28</f>
        <v>2.205</v>
      </c>
      <c r="Y28" s="19" t="n">
        <f aca="false">'KTHH Lớp 1'!P28</f>
        <v>2.088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562.02</v>
      </c>
      <c r="D29" s="16" t="n">
        <v>-5.25</v>
      </c>
      <c r="E29" s="16" t="n">
        <f aca="false">+D29+F29</f>
        <v>-5.2421</v>
      </c>
      <c r="F29" s="16" t="n">
        <f aca="false">RANDBETWEEN(-105,115)/10000</f>
        <v>0.0079</v>
      </c>
      <c r="G29" s="16" t="n">
        <f aca="false">W29+0.25</f>
        <v>2.338</v>
      </c>
      <c r="H29" s="16" t="n">
        <f aca="false">G29+I29</f>
        <v>2.387</v>
      </c>
      <c r="I29" s="16" t="n">
        <f aca="false">RANDBETWEEN(-20,70)/1000</f>
        <v>0.049</v>
      </c>
      <c r="J29" s="16" t="n">
        <f aca="false">X29+0.25</f>
        <v>2.455</v>
      </c>
      <c r="K29" s="16" t="n">
        <f aca="false">J29+L29</f>
        <v>2.506</v>
      </c>
      <c r="L29" s="16" t="n">
        <f aca="false">RANDBETWEEN(-20,70)/1000</f>
        <v>0.051</v>
      </c>
      <c r="M29" s="16" t="n">
        <v>5.25</v>
      </c>
      <c r="N29" s="16" t="n">
        <f aca="false">+M29+O29</f>
        <v>5.2589</v>
      </c>
      <c r="O29" s="16" t="n">
        <f aca="false">RANDBETWEEN(-105,115)/10000</f>
        <v>0.0089</v>
      </c>
      <c r="P29" s="16" t="n">
        <f aca="false">Y29+0.25</f>
        <v>2.338</v>
      </c>
      <c r="Q29" s="16" t="n">
        <f aca="false">P29+R29</f>
        <v>2.408</v>
      </c>
      <c r="R29" s="16" t="n">
        <f aca="false">RANDBETWEEN(-20,70)/1000</f>
        <v>0.07</v>
      </c>
      <c r="S29" s="17"/>
      <c r="T29" s="18" t="n">
        <v>6.55</v>
      </c>
      <c r="V29" s="19"/>
      <c r="W29" s="19" t="n">
        <f aca="false">'KTHH Lớp 1'!G29</f>
        <v>2.088</v>
      </c>
      <c r="X29" s="19" t="n">
        <f aca="false">'KTHH Lớp 1'!J29</f>
        <v>2.205</v>
      </c>
      <c r="Y29" s="19" t="n">
        <f aca="false">'KTHH Lớp 1'!P29</f>
        <v>2.088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568.57</v>
      </c>
      <c r="D30" s="16" t="n">
        <v>-5.25</v>
      </c>
      <c r="E30" s="16" t="n">
        <f aca="false">+D30+F30</f>
        <v>-5.2403</v>
      </c>
      <c r="F30" s="16" t="n">
        <f aca="false">RANDBETWEEN(-105,115)/10000</f>
        <v>0.0097</v>
      </c>
      <c r="G30" s="16" t="n">
        <f aca="false">W30+0.25</f>
        <v>2.337</v>
      </c>
      <c r="H30" s="16" t="n">
        <f aca="false">G30+I30</f>
        <v>2.343</v>
      </c>
      <c r="I30" s="16" t="n">
        <f aca="false">RANDBETWEEN(-20,70)/1000</f>
        <v>0.006</v>
      </c>
      <c r="J30" s="16" t="n">
        <f aca="false">X30+0.25</f>
        <v>2.454</v>
      </c>
      <c r="K30" s="16" t="n">
        <f aca="false">J30+L30</f>
        <v>2.466</v>
      </c>
      <c r="L30" s="16" t="n">
        <f aca="false">RANDBETWEEN(-20,70)/1000</f>
        <v>0.012</v>
      </c>
      <c r="M30" s="16" t="n">
        <v>5.25</v>
      </c>
      <c r="N30" s="16" t="n">
        <f aca="false">+M30+O30</f>
        <v>5.2419</v>
      </c>
      <c r="O30" s="16" t="n">
        <f aca="false">RANDBETWEEN(-105,115)/10000</f>
        <v>-0.0081</v>
      </c>
      <c r="P30" s="16" t="n">
        <f aca="false">Y30+0.25</f>
        <v>2.337</v>
      </c>
      <c r="Q30" s="16" t="n">
        <f aca="false">P30+R30</f>
        <v>2.382</v>
      </c>
      <c r="R30" s="16" t="n">
        <f aca="false">RANDBETWEEN(-20,70)/1000</f>
        <v>0.045</v>
      </c>
      <c r="S30" s="17"/>
      <c r="T30" s="18" t="n">
        <v>6.55</v>
      </c>
      <c r="V30" s="19"/>
      <c r="W30" s="19" t="n">
        <f aca="false">'KTHH Lớp 1'!G30</f>
        <v>2.087</v>
      </c>
      <c r="X30" s="19" t="n">
        <f aca="false">'KTHH Lớp 1'!J30</f>
        <v>2.204</v>
      </c>
      <c r="Y30" s="19" t="n">
        <f aca="false">'KTHH Lớp 1'!P30</f>
        <v>2.087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575.12</v>
      </c>
      <c r="D31" s="16" t="n">
        <v>-5.25</v>
      </c>
      <c r="E31" s="16" t="n">
        <f aca="false">+D31+F31</f>
        <v>-5.2517</v>
      </c>
      <c r="F31" s="16" t="n">
        <f aca="false">RANDBETWEEN(-105,115)/10000</f>
        <v>-0.0017</v>
      </c>
      <c r="G31" s="16" t="n">
        <f aca="false">W31+0.25</f>
        <v>2.335</v>
      </c>
      <c r="H31" s="16" t="n">
        <f aca="false">G31+I31</f>
        <v>2.345</v>
      </c>
      <c r="I31" s="16" t="n">
        <f aca="false">RANDBETWEEN(-20,70)/1000</f>
        <v>0.01</v>
      </c>
      <c r="J31" s="16" t="n">
        <f aca="false">X31+0.25</f>
        <v>2.452</v>
      </c>
      <c r="K31" s="16" t="n">
        <f aca="false">J31+L31</f>
        <v>2.52</v>
      </c>
      <c r="L31" s="16" t="n">
        <f aca="false">RANDBETWEEN(-20,70)/1000</f>
        <v>0.068</v>
      </c>
      <c r="M31" s="16" t="n">
        <v>5.25</v>
      </c>
      <c r="N31" s="16" t="n">
        <f aca="false">+M31+O31</f>
        <v>5.2511</v>
      </c>
      <c r="O31" s="16" t="n">
        <f aca="false">RANDBETWEEN(-105,115)/10000</f>
        <v>0.0011</v>
      </c>
      <c r="P31" s="16" t="n">
        <f aca="false">Y31+0.25</f>
        <v>2.335</v>
      </c>
      <c r="Q31" s="16" t="n">
        <f aca="false">P31+R31</f>
        <v>2.374</v>
      </c>
      <c r="R31" s="16" t="n">
        <f aca="false">RANDBETWEEN(-20,70)/1000</f>
        <v>0.039</v>
      </c>
      <c r="S31" s="17"/>
      <c r="T31" s="18" t="n">
        <v>0.04</v>
      </c>
      <c r="V31" s="19"/>
      <c r="W31" s="19" t="n">
        <f aca="false">'KTHH Lớp 1'!G31</f>
        <v>2.085</v>
      </c>
      <c r="X31" s="19" t="n">
        <f aca="false">'KTHH Lớp 1'!J31</f>
        <v>2.202</v>
      </c>
      <c r="Y31" s="19" t="n">
        <f aca="false">'KTHH Lớp 1'!P31</f>
        <v>2.085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575.16</v>
      </c>
      <c r="D32" s="16" t="n">
        <v>-5.25</v>
      </c>
      <c r="E32" s="16" t="n">
        <f aca="false">+D32+F32</f>
        <v>-5.2469</v>
      </c>
      <c r="F32" s="16" t="n">
        <f aca="false">RANDBETWEEN(-105,115)/10000</f>
        <v>0.0031</v>
      </c>
      <c r="G32" s="16" t="n">
        <f aca="false">W32+0.25</f>
        <v>2.335</v>
      </c>
      <c r="H32" s="16" t="n">
        <f aca="false">G32+I32</f>
        <v>2.382</v>
      </c>
      <c r="I32" s="16" t="n">
        <f aca="false">RANDBETWEEN(-20,70)/1000</f>
        <v>0.047</v>
      </c>
      <c r="J32" s="16" t="n">
        <f aca="false">X32+0.25</f>
        <v>2.452</v>
      </c>
      <c r="K32" s="16" t="n">
        <f aca="false">J32+L32</f>
        <v>2.498</v>
      </c>
      <c r="L32" s="16" t="n">
        <f aca="false">RANDBETWEEN(-20,70)/1000</f>
        <v>0.046</v>
      </c>
      <c r="M32" s="16" t="n">
        <v>5.25</v>
      </c>
      <c r="N32" s="16" t="n">
        <f aca="false">+M32+O32</f>
        <v>5.2573</v>
      </c>
      <c r="O32" s="16" t="n">
        <f aca="false">RANDBETWEEN(-105,115)/10000</f>
        <v>0.0073</v>
      </c>
      <c r="P32" s="16" t="n">
        <f aca="false">Y32+0.25</f>
        <v>2.335</v>
      </c>
      <c r="Q32" s="16" t="n">
        <f aca="false">P32+R32</f>
        <v>2.332</v>
      </c>
      <c r="R32" s="16" t="n">
        <f aca="false">RANDBETWEEN(-20,70)/1000</f>
        <v>-0.003</v>
      </c>
      <c r="S32" s="17"/>
      <c r="T32" s="18" t="n">
        <v>16.95</v>
      </c>
      <c r="V32" s="19"/>
      <c r="W32" s="19" t="n">
        <f aca="false">'KTHH Lớp 1'!G32</f>
        <v>2.085</v>
      </c>
      <c r="X32" s="19" t="n">
        <f aca="false">'KTHH Lớp 1'!J32</f>
        <v>2.202</v>
      </c>
      <c r="Y32" s="19" t="n">
        <f aca="false">'KTHH Lớp 1'!P32</f>
        <v>2.085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592.11</v>
      </c>
      <c r="D33" s="16" t="n">
        <v>-5.25</v>
      </c>
      <c r="E33" s="16" t="n">
        <f aca="false">+D33+F33</f>
        <v>-5.2395</v>
      </c>
      <c r="F33" s="16" t="n">
        <f aca="false">RANDBETWEEN(-105,115)/10000</f>
        <v>0.0105</v>
      </c>
      <c r="G33" s="16" t="n">
        <f aca="false">W33+0.25</f>
        <v>2.338</v>
      </c>
      <c r="H33" s="16" t="n">
        <f aca="false">G33+I33</f>
        <v>2.323</v>
      </c>
      <c r="I33" s="16" t="n">
        <f aca="false">RANDBETWEEN(-20,70)/1000</f>
        <v>-0.015</v>
      </c>
      <c r="J33" s="16" t="n">
        <f aca="false">X33+0.25</f>
        <v>2.455</v>
      </c>
      <c r="K33" s="16" t="n">
        <f aca="false">J33+L33</f>
        <v>2.502</v>
      </c>
      <c r="L33" s="16" t="n">
        <f aca="false">RANDBETWEEN(-20,70)/1000</f>
        <v>0.047</v>
      </c>
      <c r="M33" s="16" t="n">
        <v>5.25</v>
      </c>
      <c r="N33" s="16" t="n">
        <f aca="false">+M33+O33</f>
        <v>5.2614</v>
      </c>
      <c r="O33" s="16" t="n">
        <f aca="false">RANDBETWEEN(-105,115)/10000</f>
        <v>0.0114</v>
      </c>
      <c r="P33" s="16" t="n">
        <f aca="false">Y33+0.25</f>
        <v>2.338</v>
      </c>
      <c r="Q33" s="16" t="n">
        <f aca="false">P33+R33</f>
        <v>2.378</v>
      </c>
      <c r="R33" s="16" t="n">
        <f aca="false">RANDBETWEEN(-20,70)/1000</f>
        <v>0.04</v>
      </c>
      <c r="S33" s="17"/>
      <c r="T33" s="18" t="n">
        <v>17</v>
      </c>
      <c r="V33" s="19"/>
      <c r="W33" s="19" t="n">
        <f aca="false">'KTHH Lớp 1'!G33</f>
        <v>2.088</v>
      </c>
      <c r="X33" s="19" t="n">
        <f aca="false">'KTHH Lớp 1'!J33</f>
        <v>2.205</v>
      </c>
      <c r="Y33" s="19" t="n">
        <f aca="false">'KTHH Lớp 1'!P33</f>
        <v>2.088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609.11</v>
      </c>
      <c r="D34" s="16" t="n">
        <v>-5.25</v>
      </c>
      <c r="E34" s="16" t="n">
        <f aca="false">+D34+F34</f>
        <v>-5.2547</v>
      </c>
      <c r="F34" s="16" t="n">
        <f aca="false">RANDBETWEEN(-105,115)/10000</f>
        <v>-0.0047</v>
      </c>
      <c r="G34" s="16" t="n">
        <f aca="false">W34+0.25</f>
        <v>2.341</v>
      </c>
      <c r="H34" s="16" t="n">
        <f aca="false">G34+I34</f>
        <v>2.348</v>
      </c>
      <c r="I34" s="16" t="n">
        <f aca="false">RANDBETWEEN(-20,70)/1000</f>
        <v>0.007</v>
      </c>
      <c r="J34" s="16" t="n">
        <f aca="false">X34+0.25</f>
        <v>2.458</v>
      </c>
      <c r="K34" s="16" t="n">
        <f aca="false">J34+L34</f>
        <v>2.462</v>
      </c>
      <c r="L34" s="16" t="n">
        <f aca="false">RANDBETWEEN(-20,70)/1000</f>
        <v>0.004</v>
      </c>
      <c r="M34" s="16" t="n">
        <v>5.25</v>
      </c>
      <c r="N34" s="16" t="n">
        <f aca="false">+M34+O34</f>
        <v>5.2475</v>
      </c>
      <c r="O34" s="16" t="n">
        <f aca="false">RANDBETWEEN(-105,115)/10000</f>
        <v>-0.0025</v>
      </c>
      <c r="P34" s="16" t="n">
        <f aca="false">Y34+0.25</f>
        <v>2.341</v>
      </c>
      <c r="Q34" s="16" t="n">
        <f aca="false">P34+R34</f>
        <v>2.374</v>
      </c>
      <c r="R34" s="16" t="n">
        <f aca="false">RANDBETWEEN(-20,70)/1000</f>
        <v>0.033</v>
      </c>
      <c r="S34" s="17"/>
      <c r="T34" s="18"/>
      <c r="V34" s="19"/>
      <c r="W34" s="19" t="n">
        <f aca="false">'KTHH Lớp 1'!G34</f>
        <v>2.091</v>
      </c>
      <c r="X34" s="19" t="n">
        <f aca="false">'KTHH Lớp 1'!J34</f>
        <v>2.208</v>
      </c>
      <c r="Y34" s="19" t="n">
        <f aca="false">'KTHH Lớp 1'!P34</f>
        <v>2.091</v>
      </c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38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47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48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40</v>
      </c>
      <c r="B9" s="83" t="s">
        <v>10</v>
      </c>
      <c r="C9" s="83" t="s">
        <v>11</v>
      </c>
      <c r="D9" s="84" t="s">
        <v>41</v>
      </c>
      <c r="E9" s="85"/>
      <c r="F9" s="85"/>
      <c r="G9" s="84"/>
      <c r="H9" s="85"/>
      <c r="I9" s="85"/>
      <c r="J9" s="85"/>
      <c r="K9" s="85"/>
      <c r="L9" s="85"/>
      <c r="M9" s="86" t="s">
        <v>42</v>
      </c>
      <c r="N9" s="87"/>
      <c r="O9" s="88" t="s">
        <v>43</v>
      </c>
      <c r="P9" s="89"/>
      <c r="Q9" s="89"/>
      <c r="R9" s="89"/>
      <c r="S9" s="89"/>
      <c r="T9" s="89"/>
      <c r="U9" s="89"/>
      <c r="V9" s="89"/>
      <c r="W9" s="88" t="s">
        <v>44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43</v>
      </c>
      <c r="O10" s="88"/>
      <c r="P10" s="88" t="s">
        <v>43</v>
      </c>
      <c r="Q10" s="88" t="s">
        <v>43</v>
      </c>
      <c r="R10" s="88"/>
      <c r="S10" s="88"/>
      <c r="T10" s="88"/>
      <c r="U10" s="88" t="s">
        <v>44</v>
      </c>
      <c r="V10" s="88" t="s">
        <v>44</v>
      </c>
      <c r="W10" s="88"/>
      <c r="X10" s="88" t="s">
        <v>44</v>
      </c>
      <c r="Y10" s="88" t="s">
        <v>44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25</v>
      </c>
      <c r="C11" s="94" t="n">
        <f aca="false">'KTHH Lớp 2'!C23</f>
        <v>489.19</v>
      </c>
      <c r="D11" s="93" t="n">
        <f aca="false">'KTHH Lớp 2'!T23</f>
        <v>13.17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34.57125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D1</v>
      </c>
      <c r="C12" s="94" t="n">
        <f aca="false">'KTHH Lớp 2'!C24</f>
        <v>502.36</v>
      </c>
      <c r="D12" s="93" t="n">
        <f aca="false">'KTHH Lớp 2'!T24</f>
        <v>10.48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27.51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26</v>
      </c>
      <c r="C13" s="94" t="n">
        <f aca="false">'KTHH Lớp 2'!C25</f>
        <v>512.84</v>
      </c>
      <c r="D13" s="93" t="n">
        <f aca="false">'KTHH Lớp 2'!T25</f>
        <v>16.78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44.0475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27</v>
      </c>
      <c r="C14" s="94" t="n">
        <f aca="false">'KTHH Lớp 2'!C26</f>
        <v>529.62</v>
      </c>
      <c r="D14" s="93" t="n">
        <f aca="false">'KTHH Lớp 2'!T26</f>
        <v>17.1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44.8875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28</v>
      </c>
      <c r="C15" s="94" t="n">
        <f aca="false">'KTHH Lớp 2'!C27</f>
        <v>546.72</v>
      </c>
      <c r="D15" s="93" t="n">
        <f aca="false">'KTHH Lớp 2'!T27</f>
        <v>15.15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39.76875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E5</v>
      </c>
      <c r="C16" s="94" t="n">
        <f aca="false">'KTHH Lớp 2'!C28</f>
        <v>561.87</v>
      </c>
      <c r="D16" s="93" t="n">
        <f aca="false">'KTHH Lớp 2'!T28</f>
        <v>0.15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0.39375</v>
      </c>
      <c r="X16" s="56"/>
      <c r="Y16" s="56"/>
      <c r="Z16" s="56"/>
      <c r="AA16" s="56"/>
      <c r="AB16" s="100"/>
      <c r="AC16" s="56"/>
      <c r="AE16" s="73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TD</v>
      </c>
      <c r="C17" s="94" t="n">
        <f aca="false">'KTHH Lớp 2'!C29</f>
        <v>562.02</v>
      </c>
      <c r="D17" s="93" t="n">
        <f aca="false">'KTHH Lớp 2'!T29</f>
        <v>6.55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10.5*0.25</f>
        <v>2.625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17.19375</v>
      </c>
      <c r="X17" s="56"/>
      <c r="Y17" s="56"/>
      <c r="Z17" s="56"/>
      <c r="AA17" s="56"/>
      <c r="AB17" s="100"/>
      <c r="AC17" s="56"/>
      <c r="AE17" s="73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P</v>
      </c>
      <c r="C18" s="94" t="n">
        <f aca="false">'KTHH Lớp 2'!C30</f>
        <v>568.57</v>
      </c>
      <c r="D18" s="93" t="n">
        <f aca="false">'KTHH Lớp 2'!T30</f>
        <v>6.55</v>
      </c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10.5*0.25</f>
        <v>2.625</v>
      </c>
      <c r="P18" s="96"/>
      <c r="Q18" s="96"/>
      <c r="R18" s="56"/>
      <c r="S18" s="56"/>
      <c r="T18" s="56"/>
      <c r="U18" s="56"/>
      <c r="V18" s="56"/>
      <c r="W18" s="56" t="n">
        <f aca="false">(O18+O19)*D18/2</f>
        <v>17.19375</v>
      </c>
      <c r="X18" s="56"/>
      <c r="Y18" s="56"/>
      <c r="Z18" s="56"/>
      <c r="AA18" s="56"/>
      <c r="AB18" s="100"/>
      <c r="AC18" s="56"/>
      <c r="AE18" s="73"/>
    </row>
    <row r="19" s="50" customFormat="true" ht="15" hidden="false" customHeight="true" outlineLevel="0" collapsed="false">
      <c r="A19" s="93" t="n">
        <v>9</v>
      </c>
      <c r="B19" s="93" t="str">
        <f aca="false">'KTHH Lớp 2'!B31</f>
        <v>TC</v>
      </c>
      <c r="C19" s="94" t="n">
        <f aca="false">'KTHH Lớp 2'!C31</f>
        <v>575.12</v>
      </c>
      <c r="D19" s="93" t="n">
        <f aca="false">'KTHH Lớp 2'!T31</f>
        <v>0.04</v>
      </c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 t="n">
        <f aca="false">10.5*0.25</f>
        <v>2.625</v>
      </c>
      <c r="P19" s="96"/>
      <c r="Q19" s="96"/>
      <c r="R19" s="56"/>
      <c r="S19" s="56"/>
      <c r="T19" s="56"/>
      <c r="U19" s="56"/>
      <c r="V19" s="56"/>
      <c r="W19" s="56" t="n">
        <f aca="false">(O19+O20)*D19/2</f>
        <v>0.105</v>
      </c>
      <c r="X19" s="56"/>
      <c r="Y19" s="56"/>
      <c r="Z19" s="56"/>
      <c r="AA19" s="56"/>
      <c r="AB19" s="100"/>
      <c r="AC19" s="56"/>
      <c r="AE19" s="73"/>
    </row>
    <row r="20" s="50" customFormat="true" ht="15" hidden="false" customHeight="true" outlineLevel="0" collapsed="false">
      <c r="A20" s="93" t="n">
        <v>10</v>
      </c>
      <c r="B20" s="93" t="str">
        <f aca="false">'KTHH Lớp 2'!B32</f>
        <v>29</v>
      </c>
      <c r="C20" s="94" t="n">
        <f aca="false">'KTHH Lớp 2'!C32</f>
        <v>575.16</v>
      </c>
      <c r="D20" s="93" t="n">
        <f aca="false">'KTHH Lớp 2'!T32</f>
        <v>16.95</v>
      </c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 t="n">
        <f aca="false">10.5*0.25</f>
        <v>2.625</v>
      </c>
      <c r="P20" s="96"/>
      <c r="Q20" s="96"/>
      <c r="R20" s="56"/>
      <c r="S20" s="56"/>
      <c r="T20" s="56"/>
      <c r="U20" s="56"/>
      <c r="V20" s="56"/>
      <c r="W20" s="56" t="n">
        <f aca="false">(O20+O21)*D20/2</f>
        <v>44.49375</v>
      </c>
      <c r="X20" s="56"/>
      <c r="Y20" s="56"/>
      <c r="Z20" s="56"/>
      <c r="AA20" s="56"/>
      <c r="AB20" s="100"/>
      <c r="AC20" s="56"/>
      <c r="AE20" s="73"/>
    </row>
    <row r="21" s="50" customFormat="true" ht="15" hidden="false" customHeight="true" outlineLevel="0" collapsed="false">
      <c r="A21" s="93" t="n">
        <v>11</v>
      </c>
      <c r="B21" s="93" t="str">
        <f aca="false">'KTHH Lớp 2'!B33</f>
        <v>30</v>
      </c>
      <c r="C21" s="94" t="n">
        <f aca="false">'KTHH Lớp 2'!C33</f>
        <v>592.11</v>
      </c>
      <c r="D21" s="93" t="n">
        <f aca="false">'KTHH Lớp 2'!T33</f>
        <v>17</v>
      </c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 t="n">
        <f aca="false">10.5*0.25</f>
        <v>2.625</v>
      </c>
      <c r="P21" s="96"/>
      <c r="Q21" s="96"/>
      <c r="R21" s="56"/>
      <c r="S21" s="56"/>
      <c r="T21" s="56"/>
      <c r="U21" s="56"/>
      <c r="V21" s="56"/>
      <c r="W21" s="56" t="n">
        <f aca="false">(O21+O22)*D21/2</f>
        <v>44.625</v>
      </c>
      <c r="X21" s="56"/>
      <c r="Y21" s="56"/>
      <c r="Z21" s="56"/>
      <c r="AA21" s="56"/>
      <c r="AB21" s="100"/>
      <c r="AC21" s="56"/>
      <c r="AE21" s="73"/>
    </row>
    <row r="22" s="50" customFormat="true" ht="15" hidden="false" customHeight="true" outlineLevel="0" collapsed="false">
      <c r="A22" s="93" t="n">
        <v>12</v>
      </c>
      <c r="B22" s="93" t="str">
        <f aca="false">'KTHH Lớp 2'!B34</f>
        <v>31</v>
      </c>
      <c r="C22" s="94" t="n">
        <f aca="false">'KTHH Lớp 2'!C34</f>
        <v>609.11</v>
      </c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 t="n">
        <f aca="false">10.5*0.25</f>
        <v>2.625</v>
      </c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45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SUM(W11:W22)</f>
        <v>314.79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35</v>
      </c>
      <c r="B51" s="111"/>
      <c r="C51" s="111"/>
      <c r="D51" s="112" t="s">
        <v>46</v>
      </c>
      <c r="E51" s="111" t="s">
        <v>36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37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38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50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489.19</v>
      </c>
      <c r="D23" s="16" t="n">
        <v>-5.25</v>
      </c>
      <c r="E23" s="16" t="n">
        <f aca="false">+D23+F23</f>
        <v>-5.2482</v>
      </c>
      <c r="F23" s="16" t="n">
        <f aca="false">RANDBETWEEN(-105,115)/10000</f>
        <v>0.0018</v>
      </c>
      <c r="G23" s="16" t="n">
        <f aca="false">W23+0.18</f>
        <v>2.552</v>
      </c>
      <c r="H23" s="16" t="n">
        <f aca="false">G23+I23</f>
        <v>2.578</v>
      </c>
      <c r="I23" s="16" t="n">
        <f aca="false">RANDBETWEEN(-20,70)/1000</f>
        <v>0.026</v>
      </c>
      <c r="J23" s="16" t="n">
        <f aca="false">X23+0.18</f>
        <v>2.669</v>
      </c>
      <c r="K23" s="16" t="n">
        <f aca="false">J23+L23</f>
        <v>2.705</v>
      </c>
      <c r="L23" s="16" t="n">
        <f aca="false">RANDBETWEEN(-20,70)/1000</f>
        <v>0.036</v>
      </c>
      <c r="M23" s="16" t="n">
        <v>5.25</v>
      </c>
      <c r="N23" s="16" t="n">
        <f aca="false">+M23+O23</f>
        <v>5.2594</v>
      </c>
      <c r="O23" s="16" t="n">
        <f aca="false">RANDBETWEEN(-105,115)/10000</f>
        <v>0.0094</v>
      </c>
      <c r="P23" s="16" t="n">
        <f aca="false">Y23+0.18</f>
        <v>2.552</v>
      </c>
      <c r="Q23" s="16" t="n">
        <f aca="false">P23+R23</f>
        <v>2.582</v>
      </c>
      <c r="R23" s="16" t="n">
        <f aca="false">RANDBETWEEN(-20,70)/1000</f>
        <v>0.03</v>
      </c>
      <c r="S23" s="17"/>
      <c r="T23" s="18" t="n">
        <v>13.17</v>
      </c>
      <c r="V23" s="19"/>
      <c r="W23" s="19" t="n">
        <f aca="false">'KTHH Lớp 2'!G23</f>
        <v>2.372</v>
      </c>
      <c r="X23" s="19" t="n">
        <f aca="false">'KTHH Lớp 2'!J23</f>
        <v>2.489</v>
      </c>
      <c r="Y23" s="19" t="n">
        <f aca="false">'KTHH Lớp 2'!P23</f>
        <v>2.372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502.36</v>
      </c>
      <c r="D24" s="16" t="n">
        <v>-5.25</v>
      </c>
      <c r="E24" s="16" t="n">
        <f aca="false">+D24+F24</f>
        <v>-5.2434</v>
      </c>
      <c r="F24" s="16" t="n">
        <f aca="false">RANDBETWEEN(-105,115)/10000</f>
        <v>0.0066</v>
      </c>
      <c r="G24" s="16" t="n">
        <f aca="false">W24+0.18</f>
        <v>2.544</v>
      </c>
      <c r="H24" s="16" t="n">
        <f aca="false">G24+I24</f>
        <v>2.564</v>
      </c>
      <c r="I24" s="16" t="n">
        <f aca="false">RANDBETWEEN(-20,70)/1000</f>
        <v>0.02</v>
      </c>
      <c r="J24" s="16" t="n">
        <f aca="false">X24+0.18</f>
        <v>2.661</v>
      </c>
      <c r="K24" s="16" t="n">
        <f aca="false">J24+L24</f>
        <v>2.7</v>
      </c>
      <c r="L24" s="16" t="n">
        <f aca="false">RANDBETWEEN(-20,70)/1000</f>
        <v>0.039</v>
      </c>
      <c r="M24" s="16" t="n">
        <v>5.25</v>
      </c>
      <c r="N24" s="16" t="n">
        <f aca="false">+M24+O24</f>
        <v>5.2573</v>
      </c>
      <c r="O24" s="16" t="n">
        <f aca="false">RANDBETWEEN(-105,115)/10000</f>
        <v>0.0073</v>
      </c>
      <c r="P24" s="16" t="n">
        <f aca="false">Y24+0.18</f>
        <v>2.544</v>
      </c>
      <c r="Q24" s="16" t="n">
        <f aca="false">P24+R24</f>
        <v>2.536</v>
      </c>
      <c r="R24" s="16" t="n">
        <f aca="false">RANDBETWEEN(-20,70)/1000</f>
        <v>-0.008</v>
      </c>
      <c r="S24" s="17"/>
      <c r="T24" s="18" t="n">
        <v>10.48</v>
      </c>
      <c r="V24" s="19"/>
      <c r="W24" s="19" t="n">
        <f aca="false">'KTHH Lớp 2'!G24</f>
        <v>2.364</v>
      </c>
      <c r="X24" s="19" t="n">
        <f aca="false">'KTHH Lớp 2'!J24</f>
        <v>2.481</v>
      </c>
      <c r="Y24" s="19" t="n">
        <f aca="false">'KTHH Lớp 2'!P24</f>
        <v>2.364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512.84</v>
      </c>
      <c r="D25" s="16" t="n">
        <v>-5.25</v>
      </c>
      <c r="E25" s="16" t="n">
        <f aca="false">+D25+F25</f>
        <v>-5.2422</v>
      </c>
      <c r="F25" s="16" t="n">
        <f aca="false">RANDBETWEEN(-105,115)/10000</f>
        <v>0.0078</v>
      </c>
      <c r="G25" s="16" t="n">
        <f aca="false">W25+0.18</f>
        <v>2.538</v>
      </c>
      <c r="H25" s="16" t="n">
        <f aca="false">G25+I25</f>
        <v>2.604</v>
      </c>
      <c r="I25" s="16" t="n">
        <f aca="false">RANDBETWEEN(-20,70)/1000</f>
        <v>0.066</v>
      </c>
      <c r="J25" s="16" t="n">
        <f aca="false">X25+0.18</f>
        <v>2.655</v>
      </c>
      <c r="K25" s="16" t="n">
        <f aca="false">J25+L25</f>
        <v>2.666</v>
      </c>
      <c r="L25" s="16" t="n">
        <f aca="false">RANDBETWEEN(-20,70)/1000</f>
        <v>0.011</v>
      </c>
      <c r="M25" s="16" t="n">
        <v>5.25</v>
      </c>
      <c r="N25" s="16" t="n">
        <f aca="false">+M25+O25</f>
        <v>5.2448</v>
      </c>
      <c r="O25" s="16" t="n">
        <f aca="false">RANDBETWEEN(-105,115)/10000</f>
        <v>-0.0052</v>
      </c>
      <c r="P25" s="16" t="n">
        <f aca="false">Y25+0.18</f>
        <v>2.538</v>
      </c>
      <c r="Q25" s="16" t="n">
        <f aca="false">P25+R25</f>
        <v>2.603</v>
      </c>
      <c r="R25" s="16" t="n">
        <f aca="false">RANDBETWEEN(-20,70)/1000</f>
        <v>0.065</v>
      </c>
      <c r="S25" s="17"/>
      <c r="T25" s="18" t="n">
        <v>16.78</v>
      </c>
      <c r="V25" s="19"/>
      <c r="W25" s="19" t="n">
        <f aca="false">'KTHH Lớp 2'!G25</f>
        <v>2.358</v>
      </c>
      <c r="X25" s="19" t="n">
        <f aca="false">'KTHH Lớp 2'!J25</f>
        <v>2.475</v>
      </c>
      <c r="Y25" s="19" t="n">
        <f aca="false">'KTHH Lớp 2'!P25</f>
        <v>2.358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529.62</v>
      </c>
      <c r="D26" s="16" t="n">
        <v>-5.25</v>
      </c>
      <c r="E26" s="16" t="n">
        <f aca="false">+D26+F26</f>
        <v>-5.242</v>
      </c>
      <c r="F26" s="16" t="n">
        <f aca="false">RANDBETWEEN(-105,115)/10000</f>
        <v>0.008</v>
      </c>
      <c r="G26" s="16" t="n">
        <f aca="false">W26+0.18</f>
        <v>2.529</v>
      </c>
      <c r="H26" s="16" t="n">
        <f aca="false">G26+I26</f>
        <v>2.597</v>
      </c>
      <c r="I26" s="16" t="n">
        <f aca="false">RANDBETWEEN(-20,70)/1000</f>
        <v>0.068</v>
      </c>
      <c r="J26" s="16" t="n">
        <f aca="false">X26+0.18</f>
        <v>2.646</v>
      </c>
      <c r="K26" s="16" t="n">
        <f aca="false">J26+L26</f>
        <v>2.643</v>
      </c>
      <c r="L26" s="16" t="n">
        <f aca="false">RANDBETWEEN(-20,70)/1000</f>
        <v>-0.003</v>
      </c>
      <c r="M26" s="16" t="n">
        <v>5.25</v>
      </c>
      <c r="N26" s="16" t="n">
        <f aca="false">+M26+O26</f>
        <v>5.2544</v>
      </c>
      <c r="O26" s="16" t="n">
        <f aca="false">RANDBETWEEN(-105,115)/10000</f>
        <v>0.0044</v>
      </c>
      <c r="P26" s="16" t="n">
        <f aca="false">Y26+0.18</f>
        <v>2.529</v>
      </c>
      <c r="Q26" s="16" t="n">
        <f aca="false">P26+R26</f>
        <v>2.537</v>
      </c>
      <c r="R26" s="16" t="n">
        <f aca="false">RANDBETWEEN(-20,70)/1000</f>
        <v>0.008</v>
      </c>
      <c r="S26" s="17"/>
      <c r="T26" s="18" t="n">
        <v>17.1</v>
      </c>
      <c r="V26" s="19"/>
      <c r="W26" s="19" t="n">
        <f aca="false">'KTHH Lớp 2'!G26</f>
        <v>2.349</v>
      </c>
      <c r="X26" s="19" t="n">
        <f aca="false">'KTHH Lớp 2'!J26</f>
        <v>2.466</v>
      </c>
      <c r="Y26" s="19" t="n">
        <f aca="false">'KTHH Lớp 2'!P26</f>
        <v>2.349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546.72</v>
      </c>
      <c r="D27" s="16" t="n">
        <v>-5.25</v>
      </c>
      <c r="E27" s="16" t="n">
        <f aca="false">+D27+F27</f>
        <v>-5.2469</v>
      </c>
      <c r="F27" s="16" t="n">
        <f aca="false">RANDBETWEEN(-105,115)/10000</f>
        <v>0.0031</v>
      </c>
      <c r="G27" s="16" t="n">
        <f aca="false">W27+0.18</f>
        <v>2.521</v>
      </c>
      <c r="H27" s="16" t="n">
        <f aca="false">G27+I27</f>
        <v>2.549</v>
      </c>
      <c r="I27" s="16" t="n">
        <f aca="false">RANDBETWEEN(-20,70)/1000</f>
        <v>0.028</v>
      </c>
      <c r="J27" s="16" t="n">
        <f aca="false">X27+0.18</f>
        <v>2.638</v>
      </c>
      <c r="K27" s="16" t="n">
        <f aca="false">J27+L27</f>
        <v>2.708</v>
      </c>
      <c r="L27" s="16" t="n">
        <f aca="false">RANDBETWEEN(-20,70)/1000</f>
        <v>0.07</v>
      </c>
      <c r="M27" s="16" t="n">
        <v>5.25</v>
      </c>
      <c r="N27" s="16" t="n">
        <f aca="false">+M27+O27</f>
        <v>5.2454</v>
      </c>
      <c r="O27" s="16" t="n">
        <f aca="false">RANDBETWEEN(-105,115)/10000</f>
        <v>-0.0046</v>
      </c>
      <c r="P27" s="16" t="n">
        <f aca="false">Y27+0.18</f>
        <v>2.521</v>
      </c>
      <c r="Q27" s="16" t="n">
        <f aca="false">P27+R27</f>
        <v>2.554</v>
      </c>
      <c r="R27" s="16" t="n">
        <f aca="false">RANDBETWEEN(-20,70)/1000</f>
        <v>0.033</v>
      </c>
      <c r="S27" s="17"/>
      <c r="T27" s="18" t="n">
        <v>15.15</v>
      </c>
      <c r="V27" s="19"/>
      <c r="W27" s="19" t="n">
        <f aca="false">'KTHH Lớp 2'!G27</f>
        <v>2.341</v>
      </c>
      <c r="X27" s="19" t="n">
        <f aca="false">'KTHH Lớp 2'!J27</f>
        <v>2.458</v>
      </c>
      <c r="Y27" s="19" t="n">
        <f aca="false">'KTHH Lớp 2'!P27</f>
        <v>2.341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561.87</v>
      </c>
      <c r="D28" s="16" t="n">
        <v>-5.25</v>
      </c>
      <c r="E28" s="16" t="n">
        <f aca="false">+D28+F28</f>
        <v>-5.2555</v>
      </c>
      <c r="F28" s="16" t="n">
        <f aca="false">RANDBETWEEN(-105,115)/10000</f>
        <v>-0.0055</v>
      </c>
      <c r="G28" s="16" t="n">
        <f aca="false">W28+0.18</f>
        <v>2.518</v>
      </c>
      <c r="H28" s="16" t="n">
        <f aca="false">G28+I28</f>
        <v>2.522</v>
      </c>
      <c r="I28" s="16" t="n">
        <f aca="false">RANDBETWEEN(-20,70)/1000</f>
        <v>0.004</v>
      </c>
      <c r="J28" s="16" t="n">
        <f aca="false">X28+0.18</f>
        <v>2.635</v>
      </c>
      <c r="K28" s="16" t="n">
        <f aca="false">J28+L28</f>
        <v>2.618</v>
      </c>
      <c r="L28" s="16" t="n">
        <f aca="false">RANDBETWEEN(-20,70)/1000</f>
        <v>-0.017</v>
      </c>
      <c r="M28" s="16" t="n">
        <v>5.25</v>
      </c>
      <c r="N28" s="16" t="n">
        <f aca="false">+M28+O28</f>
        <v>5.2448</v>
      </c>
      <c r="O28" s="16" t="n">
        <f aca="false">RANDBETWEEN(-105,115)/10000</f>
        <v>-0.0052</v>
      </c>
      <c r="P28" s="16" t="n">
        <f aca="false">Y28+0.18</f>
        <v>2.518</v>
      </c>
      <c r="Q28" s="16" t="n">
        <f aca="false">P28+R28</f>
        <v>2.567</v>
      </c>
      <c r="R28" s="16" t="n">
        <f aca="false">RANDBETWEEN(-20,70)/1000</f>
        <v>0.049</v>
      </c>
      <c r="S28" s="17"/>
      <c r="T28" s="18" t="n">
        <v>0.15</v>
      </c>
      <c r="V28" s="19"/>
      <c r="W28" s="19" t="n">
        <f aca="false">'KTHH Lớp 2'!G28</f>
        <v>2.338</v>
      </c>
      <c r="X28" s="19" t="n">
        <f aca="false">'KTHH Lớp 2'!J28</f>
        <v>2.455</v>
      </c>
      <c r="Y28" s="19" t="n">
        <f aca="false">'KTHH Lớp 2'!P28</f>
        <v>2.338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562.02</v>
      </c>
      <c r="D29" s="16" t="n">
        <v>-5.25</v>
      </c>
      <c r="E29" s="16" t="n">
        <f aca="false">+D29+F29</f>
        <v>-5.2546</v>
      </c>
      <c r="F29" s="16" t="n">
        <f aca="false">RANDBETWEEN(-105,115)/10000</f>
        <v>-0.0046</v>
      </c>
      <c r="G29" s="16" t="n">
        <f aca="false">W29+0.18</f>
        <v>2.518</v>
      </c>
      <c r="H29" s="16" t="n">
        <f aca="false">G29+I29</f>
        <v>2.499</v>
      </c>
      <c r="I29" s="16" t="n">
        <f aca="false">RANDBETWEEN(-20,70)/1000</f>
        <v>-0.019</v>
      </c>
      <c r="J29" s="16" t="n">
        <f aca="false">X29+0.18</f>
        <v>2.635</v>
      </c>
      <c r="K29" s="16" t="n">
        <f aca="false">J29+L29</f>
        <v>2.705</v>
      </c>
      <c r="L29" s="16" t="n">
        <f aca="false">RANDBETWEEN(-20,70)/1000</f>
        <v>0.07</v>
      </c>
      <c r="M29" s="16" t="n">
        <v>5.25</v>
      </c>
      <c r="N29" s="16" t="n">
        <f aca="false">+M29+O29</f>
        <v>5.2565</v>
      </c>
      <c r="O29" s="16" t="n">
        <f aca="false">RANDBETWEEN(-105,115)/10000</f>
        <v>0.0065</v>
      </c>
      <c r="P29" s="16" t="n">
        <f aca="false">Y29+0.18</f>
        <v>2.518</v>
      </c>
      <c r="Q29" s="16" t="n">
        <f aca="false">P29+R29</f>
        <v>2.504</v>
      </c>
      <c r="R29" s="16" t="n">
        <f aca="false">RANDBETWEEN(-20,70)/1000</f>
        <v>-0.014</v>
      </c>
      <c r="S29" s="17"/>
      <c r="T29" s="18" t="n">
        <v>6.55</v>
      </c>
      <c r="V29" s="19"/>
      <c r="W29" s="19" t="n">
        <f aca="false">'KTHH Lớp 2'!G29</f>
        <v>2.338</v>
      </c>
      <c r="X29" s="19" t="n">
        <f aca="false">'KTHH Lớp 2'!J29</f>
        <v>2.455</v>
      </c>
      <c r="Y29" s="19" t="n">
        <f aca="false">'KTHH Lớp 2'!P29</f>
        <v>2.338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568.57</v>
      </c>
      <c r="D30" s="16" t="n">
        <v>-5.25</v>
      </c>
      <c r="E30" s="16" t="n">
        <f aca="false">+D30+F30</f>
        <v>-5.249</v>
      </c>
      <c r="F30" s="16" t="n">
        <f aca="false">RANDBETWEEN(-105,115)/10000</f>
        <v>0.001</v>
      </c>
      <c r="G30" s="16" t="n">
        <f aca="false">W30+0.18</f>
        <v>2.517</v>
      </c>
      <c r="H30" s="16" t="n">
        <f aca="false">G30+I30</f>
        <v>2.514</v>
      </c>
      <c r="I30" s="16" t="n">
        <f aca="false">RANDBETWEEN(-20,70)/1000</f>
        <v>-0.003</v>
      </c>
      <c r="J30" s="16" t="n">
        <f aca="false">X30+0.18</f>
        <v>2.634</v>
      </c>
      <c r="K30" s="16" t="n">
        <f aca="false">J30+L30</f>
        <v>2.703</v>
      </c>
      <c r="L30" s="16" t="n">
        <f aca="false">RANDBETWEEN(-20,70)/1000</f>
        <v>0.069</v>
      </c>
      <c r="M30" s="16" t="n">
        <v>5.25</v>
      </c>
      <c r="N30" s="16" t="n">
        <f aca="false">+M30+O30</f>
        <v>5.2527</v>
      </c>
      <c r="O30" s="16" t="n">
        <f aca="false">RANDBETWEEN(-105,115)/10000</f>
        <v>0.0027</v>
      </c>
      <c r="P30" s="16" t="n">
        <f aca="false">Y30+0.18</f>
        <v>2.517</v>
      </c>
      <c r="Q30" s="16" t="n">
        <f aca="false">P30+R30</f>
        <v>2.497</v>
      </c>
      <c r="R30" s="16" t="n">
        <f aca="false">RANDBETWEEN(-20,70)/1000</f>
        <v>-0.02</v>
      </c>
      <c r="S30" s="17"/>
      <c r="T30" s="18" t="n">
        <v>6.55</v>
      </c>
      <c r="V30" s="19"/>
      <c r="W30" s="19" t="n">
        <f aca="false">'KTHH Lớp 2'!G30</f>
        <v>2.337</v>
      </c>
      <c r="X30" s="19" t="n">
        <f aca="false">'KTHH Lớp 2'!J30</f>
        <v>2.454</v>
      </c>
      <c r="Y30" s="19" t="n">
        <f aca="false">'KTHH Lớp 2'!P30</f>
        <v>2.337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575.12</v>
      </c>
      <c r="D31" s="16" t="n">
        <v>-5.25</v>
      </c>
      <c r="E31" s="16" t="n">
        <f aca="false">+D31+F31</f>
        <v>-5.2455</v>
      </c>
      <c r="F31" s="16" t="n">
        <f aca="false">RANDBETWEEN(-105,115)/10000</f>
        <v>0.0045</v>
      </c>
      <c r="G31" s="16" t="n">
        <f aca="false">W31+0.18</f>
        <v>2.515</v>
      </c>
      <c r="H31" s="16" t="n">
        <f aca="false">G31+I31</f>
        <v>2.575</v>
      </c>
      <c r="I31" s="16" t="n">
        <f aca="false">RANDBETWEEN(-20,70)/1000</f>
        <v>0.06</v>
      </c>
      <c r="J31" s="16" t="n">
        <f aca="false">X31+0.18</f>
        <v>2.632</v>
      </c>
      <c r="K31" s="16" t="n">
        <f aca="false">J31+L31</f>
        <v>2.615</v>
      </c>
      <c r="L31" s="16" t="n">
        <f aca="false">RANDBETWEEN(-20,70)/1000</f>
        <v>-0.017</v>
      </c>
      <c r="M31" s="16" t="n">
        <v>5.25</v>
      </c>
      <c r="N31" s="16" t="n">
        <f aca="false">+M31+O31</f>
        <v>5.2582</v>
      </c>
      <c r="O31" s="16" t="n">
        <f aca="false">RANDBETWEEN(-105,115)/10000</f>
        <v>0.0082</v>
      </c>
      <c r="P31" s="16" t="n">
        <f aca="false">Y31+0.18</f>
        <v>2.515</v>
      </c>
      <c r="Q31" s="16" t="n">
        <f aca="false">P31+R31</f>
        <v>2.529</v>
      </c>
      <c r="R31" s="16" t="n">
        <f aca="false">RANDBETWEEN(-20,70)/1000</f>
        <v>0.014</v>
      </c>
      <c r="S31" s="17"/>
      <c r="T31" s="18" t="n">
        <v>0.04</v>
      </c>
      <c r="V31" s="19"/>
      <c r="W31" s="19" t="n">
        <f aca="false">'KTHH Lớp 2'!G31</f>
        <v>2.335</v>
      </c>
      <c r="X31" s="19" t="n">
        <f aca="false">'KTHH Lớp 2'!J31</f>
        <v>2.452</v>
      </c>
      <c r="Y31" s="19" t="n">
        <f aca="false">'KTHH Lớp 2'!P31</f>
        <v>2.335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575.16</v>
      </c>
      <c r="D32" s="16" t="n">
        <v>-5.25</v>
      </c>
      <c r="E32" s="16" t="n">
        <f aca="false">+D32+F32</f>
        <v>-5.258</v>
      </c>
      <c r="F32" s="16" t="n">
        <f aca="false">RANDBETWEEN(-105,115)/10000</f>
        <v>-0.008</v>
      </c>
      <c r="G32" s="16" t="n">
        <f aca="false">W32+0.18</f>
        <v>2.515</v>
      </c>
      <c r="H32" s="16" t="n">
        <f aca="false">G32+I32</f>
        <v>2.52</v>
      </c>
      <c r="I32" s="16" t="n">
        <f aca="false">RANDBETWEEN(-20,70)/1000</f>
        <v>0.005</v>
      </c>
      <c r="J32" s="16" t="n">
        <f aca="false">X32+0.18</f>
        <v>2.632</v>
      </c>
      <c r="K32" s="16" t="n">
        <f aca="false">J32+L32</f>
        <v>2.623</v>
      </c>
      <c r="L32" s="16" t="n">
        <f aca="false">RANDBETWEEN(-20,70)/1000</f>
        <v>-0.009</v>
      </c>
      <c r="M32" s="16" t="n">
        <v>5.25</v>
      </c>
      <c r="N32" s="16" t="n">
        <f aca="false">+M32+O32</f>
        <v>5.2514</v>
      </c>
      <c r="O32" s="16" t="n">
        <f aca="false">RANDBETWEEN(-105,115)/10000</f>
        <v>0.0014</v>
      </c>
      <c r="P32" s="16" t="n">
        <f aca="false">Y32+0.18</f>
        <v>2.515</v>
      </c>
      <c r="Q32" s="16" t="n">
        <f aca="false">P32+R32</f>
        <v>2.553</v>
      </c>
      <c r="R32" s="16" t="n">
        <f aca="false">RANDBETWEEN(-20,70)/1000</f>
        <v>0.038</v>
      </c>
      <c r="S32" s="17"/>
      <c r="T32" s="18" t="n">
        <v>16.95</v>
      </c>
      <c r="V32" s="19"/>
      <c r="W32" s="19" t="n">
        <f aca="false">'KTHH Lớp 2'!G32</f>
        <v>2.335</v>
      </c>
      <c r="X32" s="19" t="n">
        <f aca="false">'KTHH Lớp 2'!J32</f>
        <v>2.452</v>
      </c>
      <c r="Y32" s="19" t="n">
        <f aca="false">'KTHH Lớp 2'!P32</f>
        <v>2.335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592.11</v>
      </c>
      <c r="D33" s="16" t="n">
        <v>-5.25</v>
      </c>
      <c r="E33" s="16" t="n">
        <f aca="false">+D33+F33</f>
        <v>-5.2598</v>
      </c>
      <c r="F33" s="16" t="n">
        <f aca="false">RANDBETWEEN(-105,115)/10000</f>
        <v>-0.0098</v>
      </c>
      <c r="G33" s="16" t="n">
        <f aca="false">W33+0.18</f>
        <v>2.518</v>
      </c>
      <c r="H33" s="16" t="n">
        <f aca="false">G33+I33</f>
        <v>2.588</v>
      </c>
      <c r="I33" s="16" t="n">
        <f aca="false">RANDBETWEEN(-20,70)/1000</f>
        <v>0.07</v>
      </c>
      <c r="J33" s="16" t="n">
        <f aca="false">X33+0.18</f>
        <v>2.635</v>
      </c>
      <c r="K33" s="16" t="n">
        <f aca="false">J33+L33</f>
        <v>2.625</v>
      </c>
      <c r="L33" s="16" t="n">
        <f aca="false">RANDBETWEEN(-20,70)/1000</f>
        <v>-0.01</v>
      </c>
      <c r="M33" s="16" t="n">
        <v>5.25</v>
      </c>
      <c r="N33" s="16" t="n">
        <f aca="false">+M33+O33</f>
        <v>5.2474</v>
      </c>
      <c r="O33" s="16" t="n">
        <f aca="false">RANDBETWEEN(-105,115)/10000</f>
        <v>-0.0026</v>
      </c>
      <c r="P33" s="16" t="n">
        <f aca="false">Y33+0.18</f>
        <v>2.518</v>
      </c>
      <c r="Q33" s="16" t="n">
        <f aca="false">P33+R33</f>
        <v>2.572</v>
      </c>
      <c r="R33" s="16" t="n">
        <f aca="false">RANDBETWEEN(-20,70)/1000</f>
        <v>0.054</v>
      </c>
      <c r="S33" s="17"/>
      <c r="T33" s="18" t="n">
        <v>17</v>
      </c>
      <c r="V33" s="19"/>
      <c r="W33" s="19" t="n">
        <f aca="false">'KTHH Lớp 2'!G33</f>
        <v>2.338</v>
      </c>
      <c r="X33" s="19" t="n">
        <f aca="false">'KTHH Lớp 2'!J33</f>
        <v>2.455</v>
      </c>
      <c r="Y33" s="19" t="n">
        <f aca="false">'KTHH Lớp 2'!P33</f>
        <v>2.338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609.11</v>
      </c>
      <c r="D34" s="16" t="n">
        <v>-5.25</v>
      </c>
      <c r="E34" s="16" t="n">
        <f aca="false">+D34+F34</f>
        <v>-5.2434</v>
      </c>
      <c r="F34" s="16" t="n">
        <f aca="false">RANDBETWEEN(-105,115)/10000</f>
        <v>0.0066</v>
      </c>
      <c r="G34" s="16" t="n">
        <f aca="false">W34+0.18</f>
        <v>2.521</v>
      </c>
      <c r="H34" s="16" t="n">
        <f aca="false">G34+I34</f>
        <v>2.579</v>
      </c>
      <c r="I34" s="16" t="n">
        <f aca="false">RANDBETWEEN(-20,70)/1000</f>
        <v>0.058</v>
      </c>
      <c r="J34" s="16" t="n">
        <f aca="false">X34+0.18</f>
        <v>2.638</v>
      </c>
      <c r="K34" s="16" t="n">
        <f aca="false">J34+L34</f>
        <v>2.671</v>
      </c>
      <c r="L34" s="16" t="n">
        <f aca="false">RANDBETWEEN(-20,70)/1000</f>
        <v>0.033</v>
      </c>
      <c r="M34" s="16" t="n">
        <v>5.25</v>
      </c>
      <c r="N34" s="16" t="n">
        <f aca="false">+M34+O34</f>
        <v>5.2423</v>
      </c>
      <c r="O34" s="16" t="n">
        <f aca="false">RANDBETWEEN(-105,115)/10000</f>
        <v>-0.0077</v>
      </c>
      <c r="P34" s="16" t="n">
        <f aca="false">Y34+0.18</f>
        <v>2.521</v>
      </c>
      <c r="Q34" s="16" t="n">
        <f aca="false">P34+R34</f>
        <v>2.55</v>
      </c>
      <c r="R34" s="16" t="n">
        <f aca="false">RANDBETWEEN(-20,70)/1000</f>
        <v>0.029</v>
      </c>
      <c r="S34" s="17"/>
      <c r="T34" s="18"/>
      <c r="V34" s="19"/>
      <c r="W34" s="19" t="n">
        <f aca="false">'KTHH Lớp 2'!G34</f>
        <v>2.341</v>
      </c>
      <c r="X34" s="19" t="n">
        <f aca="false">'KTHH Lớp 2'!J34</f>
        <v>2.458</v>
      </c>
      <c r="Y34" s="19" t="n">
        <f aca="false">'KTHH Lớp 2'!P34</f>
        <v>2.341</v>
      </c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38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49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50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40</v>
      </c>
      <c r="B9" s="117" t="s">
        <v>10</v>
      </c>
      <c r="C9" s="117" t="s">
        <v>11</v>
      </c>
      <c r="D9" s="118" t="s">
        <v>41</v>
      </c>
      <c r="E9" s="119"/>
      <c r="F9" s="119"/>
      <c r="G9" s="118"/>
      <c r="H9" s="119"/>
      <c r="I9" s="119"/>
      <c r="J9" s="119"/>
      <c r="K9" s="119"/>
      <c r="L9" s="119"/>
      <c r="M9" s="120" t="s">
        <v>42</v>
      </c>
      <c r="N9" s="121"/>
      <c r="O9" s="122" t="s">
        <v>43</v>
      </c>
      <c r="P9" s="123"/>
      <c r="Q9" s="123"/>
      <c r="R9" s="123"/>
      <c r="S9" s="123"/>
      <c r="T9" s="123"/>
      <c r="U9" s="123"/>
      <c r="V9" s="123"/>
      <c r="W9" s="122" t="s">
        <v>44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43</v>
      </c>
      <c r="O10" s="122"/>
      <c r="P10" s="122" t="s">
        <v>43</v>
      </c>
      <c r="Q10" s="122" t="s">
        <v>43</v>
      </c>
      <c r="R10" s="122"/>
      <c r="S10" s="122"/>
      <c r="T10" s="122"/>
      <c r="U10" s="122" t="s">
        <v>44</v>
      </c>
      <c r="V10" s="122" t="s">
        <v>44</v>
      </c>
      <c r="W10" s="122"/>
      <c r="X10" s="122" t="s">
        <v>44</v>
      </c>
      <c r="Y10" s="122" t="s">
        <v>44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25</v>
      </c>
      <c r="C11" s="133" t="n">
        <f aca="false">'Base A'!C23</f>
        <v>489.19</v>
      </c>
      <c r="D11" s="132" t="n">
        <f aca="false">'Base A'!T23</f>
        <v>13.17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24.8913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D1</v>
      </c>
      <c r="C12" s="133" t="n">
        <f aca="false">'Base A'!C24</f>
        <v>502.36</v>
      </c>
      <c r="D12" s="132" t="n">
        <f aca="false">'Base A'!T24</f>
        <v>10.48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19.8072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26</v>
      </c>
      <c r="C13" s="133" t="n">
        <f aca="false">'Base A'!C25</f>
        <v>512.84</v>
      </c>
      <c r="D13" s="132" t="n">
        <f aca="false">'Base A'!T25</f>
        <v>16.78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31.7142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27</v>
      </c>
      <c r="C14" s="133" t="n">
        <f aca="false">'Base A'!C26</f>
        <v>529.62</v>
      </c>
      <c r="D14" s="132" t="n">
        <f aca="false">'Base A'!T26</f>
        <v>17.1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32.319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28</v>
      </c>
      <c r="C15" s="133" t="n">
        <f aca="false">'Base A'!C27</f>
        <v>546.72</v>
      </c>
      <c r="D15" s="132" t="n">
        <f aca="false">'Base A'!T27</f>
        <v>15.15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28.6335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E5</v>
      </c>
      <c r="C16" s="133" t="n">
        <f aca="false">'Base A'!C28</f>
        <v>561.87</v>
      </c>
      <c r="D16" s="132" t="n">
        <f aca="false">'Base A'!T28</f>
        <v>0.15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0.2835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TD</v>
      </c>
      <c r="C17" s="133" t="n">
        <f aca="false">'Base A'!C29</f>
        <v>562.02</v>
      </c>
      <c r="D17" s="132" t="n">
        <f aca="false">'Base A'!T29</f>
        <v>6.55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10.5*0.18</f>
        <v>1.89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12.3795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P</v>
      </c>
      <c r="C18" s="133" t="n">
        <f aca="false">'Base A'!C30</f>
        <v>568.57</v>
      </c>
      <c r="D18" s="132" t="n">
        <f aca="false">'Base A'!T30</f>
        <v>6.55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10.5*0.18</f>
        <v>1.89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12.3795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A'!B31</f>
        <v>TC</v>
      </c>
      <c r="C19" s="133" t="n">
        <f aca="false">'Base A'!C31</f>
        <v>575.12</v>
      </c>
      <c r="D19" s="132" t="n">
        <f aca="false">'Base A'!T31</f>
        <v>0.04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10.5*0.18</f>
        <v>1.89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0.0756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A'!B32</f>
        <v>29</v>
      </c>
      <c r="C20" s="133" t="n">
        <f aca="false">'Base A'!C32</f>
        <v>575.16</v>
      </c>
      <c r="D20" s="132" t="n">
        <f aca="false">'Base A'!T32</f>
        <v>16.95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10.5*0.18</f>
        <v>1.89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32.0355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A'!B33</f>
        <v>30</v>
      </c>
      <c r="C21" s="133" t="n">
        <f aca="false">'Base A'!C33</f>
        <v>592.11</v>
      </c>
      <c r="D21" s="132" t="n">
        <f aca="false">'Base A'!T33</f>
        <v>17</v>
      </c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10.5*0.18</f>
        <v>1.89</v>
      </c>
      <c r="P21" s="135"/>
      <c r="Q21" s="135"/>
      <c r="R21" s="139"/>
      <c r="S21" s="139"/>
      <c r="T21" s="139"/>
      <c r="U21" s="139"/>
      <c r="V21" s="139"/>
      <c r="W21" s="139" t="n">
        <f aca="false">(O21+O22)*D21/2</f>
        <v>32.13</v>
      </c>
      <c r="X21" s="139"/>
      <c r="Y21" s="139"/>
      <c r="Z21" s="139"/>
      <c r="AA21" s="139"/>
      <c r="AB21" s="140"/>
      <c r="AC21" s="139"/>
      <c r="AE21" s="141"/>
    </row>
    <row r="22" s="131" customFormat="true" ht="15" hidden="false" customHeight="true" outlineLevel="0" collapsed="false">
      <c r="A22" s="132" t="n">
        <v>12</v>
      </c>
      <c r="B22" s="132" t="str">
        <f aca="false">'Base A'!B34</f>
        <v>31</v>
      </c>
      <c r="C22" s="133" t="n">
        <f aca="false">'Base A'!C34</f>
        <v>609.11</v>
      </c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 t="n">
        <f aca="false">10.5*0.18</f>
        <v>1.89</v>
      </c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45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SUM(W11:W22)</f>
        <v>226.6488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35</v>
      </c>
      <c r="B51" s="153"/>
      <c r="C51" s="153"/>
      <c r="D51" s="154" t="s">
        <v>46</v>
      </c>
      <c r="E51" s="153" t="s">
        <v>36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37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38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51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52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489.19</v>
      </c>
      <c r="D23" s="16" t="n">
        <v>-5.25</v>
      </c>
      <c r="E23" s="16" t="n">
        <f aca="false">+D23+F23</f>
        <v>-5.2392</v>
      </c>
      <c r="F23" s="16" t="n">
        <f aca="false">RANDBETWEEN(-105,115)/10000</f>
        <v>0.0108</v>
      </c>
      <c r="G23" s="16" t="n">
        <f aca="false">W23+0.15</f>
        <v>2.702</v>
      </c>
      <c r="H23" s="16" t="n">
        <f aca="false">G23+I23</f>
        <v>2.749</v>
      </c>
      <c r="I23" s="16" t="n">
        <f aca="false">RANDBETWEEN(-20,70)/1000</f>
        <v>0.047</v>
      </c>
      <c r="J23" s="16" t="n">
        <f aca="false">X23+0.15</f>
        <v>2.819</v>
      </c>
      <c r="K23" s="16" t="n">
        <f aca="false">J23+L23</f>
        <v>2.799</v>
      </c>
      <c r="L23" s="16" t="n">
        <f aca="false">RANDBETWEEN(-20,70)/1000</f>
        <v>-0.02</v>
      </c>
      <c r="M23" s="16" t="n">
        <v>5.25</v>
      </c>
      <c r="N23" s="16" t="n">
        <f aca="false">+M23+O23</f>
        <v>5.2585</v>
      </c>
      <c r="O23" s="16" t="n">
        <f aca="false">RANDBETWEEN(-105,115)/10000</f>
        <v>0.0085</v>
      </c>
      <c r="P23" s="16" t="n">
        <f aca="false">Y23+0.15</f>
        <v>2.702</v>
      </c>
      <c r="Q23" s="16" t="n">
        <f aca="false">P23+R23</f>
        <v>2.73</v>
      </c>
      <c r="R23" s="16" t="n">
        <f aca="false">RANDBETWEEN(-20,70)/1000</f>
        <v>0.028</v>
      </c>
      <c r="S23" s="17"/>
      <c r="T23" s="18" t="n">
        <v>13.17</v>
      </c>
      <c r="V23" s="19"/>
      <c r="W23" s="19" t="n">
        <f aca="false">'Base A'!G23</f>
        <v>2.552</v>
      </c>
      <c r="X23" s="19" t="n">
        <f aca="false">'Base A'!J23</f>
        <v>2.669</v>
      </c>
      <c r="Y23" s="19" t="n">
        <f aca="false">'Base A'!P23</f>
        <v>2.552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502.36</v>
      </c>
      <c r="D24" s="16" t="n">
        <v>-5.25</v>
      </c>
      <c r="E24" s="16" t="n">
        <f aca="false">+D24+F24</f>
        <v>-5.2424</v>
      </c>
      <c r="F24" s="16" t="n">
        <f aca="false">RANDBETWEEN(-105,115)/10000</f>
        <v>0.0076</v>
      </c>
      <c r="G24" s="16" t="n">
        <f aca="false">W24+0.15</f>
        <v>2.694</v>
      </c>
      <c r="H24" s="16" t="n">
        <f aca="false">G24+I24</f>
        <v>2.75</v>
      </c>
      <c r="I24" s="16" t="n">
        <f aca="false">RANDBETWEEN(-20,70)/1000</f>
        <v>0.056</v>
      </c>
      <c r="J24" s="16" t="n">
        <f aca="false">X24+0.15</f>
        <v>2.811</v>
      </c>
      <c r="K24" s="16" t="n">
        <f aca="false">J24+L24</f>
        <v>2.793</v>
      </c>
      <c r="L24" s="16" t="n">
        <f aca="false">RANDBETWEEN(-20,70)/1000</f>
        <v>-0.018</v>
      </c>
      <c r="M24" s="16" t="n">
        <v>5.25</v>
      </c>
      <c r="N24" s="16" t="n">
        <f aca="false">+M24+O24</f>
        <v>5.2414</v>
      </c>
      <c r="O24" s="16" t="n">
        <f aca="false">RANDBETWEEN(-105,115)/10000</f>
        <v>-0.0086</v>
      </c>
      <c r="P24" s="16" t="n">
        <f aca="false">Y24+0.15</f>
        <v>2.694</v>
      </c>
      <c r="Q24" s="16" t="n">
        <f aca="false">P24+R24</f>
        <v>2.757</v>
      </c>
      <c r="R24" s="16" t="n">
        <f aca="false">RANDBETWEEN(-20,70)/1000</f>
        <v>0.063</v>
      </c>
      <c r="S24" s="17"/>
      <c r="T24" s="18" t="n">
        <v>10.48</v>
      </c>
      <c r="V24" s="19"/>
      <c r="W24" s="19" t="n">
        <f aca="false">'Base A'!G24</f>
        <v>2.544</v>
      </c>
      <c r="X24" s="19" t="n">
        <f aca="false">'Base A'!J24</f>
        <v>2.661</v>
      </c>
      <c r="Y24" s="19" t="n">
        <f aca="false">'Base A'!P24</f>
        <v>2.544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512.84</v>
      </c>
      <c r="D25" s="16" t="n">
        <v>-5.25</v>
      </c>
      <c r="E25" s="16" t="n">
        <f aca="false">+D25+F25</f>
        <v>-5.2541</v>
      </c>
      <c r="F25" s="16" t="n">
        <f aca="false">RANDBETWEEN(-105,115)/10000</f>
        <v>-0.0041</v>
      </c>
      <c r="G25" s="16" t="n">
        <f aca="false">W25+0.15</f>
        <v>2.688</v>
      </c>
      <c r="H25" s="16" t="n">
        <f aca="false">G25+I25</f>
        <v>2.712</v>
      </c>
      <c r="I25" s="16" t="n">
        <f aca="false">RANDBETWEEN(-20,70)/1000</f>
        <v>0.024</v>
      </c>
      <c r="J25" s="16" t="n">
        <f aca="false">X25+0.15</f>
        <v>2.805</v>
      </c>
      <c r="K25" s="16" t="n">
        <f aca="false">J25+L25</f>
        <v>2.785</v>
      </c>
      <c r="L25" s="16" t="n">
        <f aca="false">RANDBETWEEN(-20,70)/1000</f>
        <v>-0.02</v>
      </c>
      <c r="M25" s="16" t="n">
        <v>5.25</v>
      </c>
      <c r="N25" s="16" t="n">
        <f aca="false">+M25+O25</f>
        <v>5.2503</v>
      </c>
      <c r="O25" s="16" t="n">
        <f aca="false">RANDBETWEEN(-105,115)/10000</f>
        <v>0.0003</v>
      </c>
      <c r="P25" s="16" t="n">
        <f aca="false">Y25+0.15</f>
        <v>2.688</v>
      </c>
      <c r="Q25" s="16" t="n">
        <f aca="false">P25+R25</f>
        <v>2.748</v>
      </c>
      <c r="R25" s="16" t="n">
        <f aca="false">RANDBETWEEN(-20,70)/1000</f>
        <v>0.06</v>
      </c>
      <c r="S25" s="17"/>
      <c r="T25" s="18" t="n">
        <v>16.78</v>
      </c>
      <c r="V25" s="19"/>
      <c r="W25" s="19" t="n">
        <f aca="false">'Base A'!G25</f>
        <v>2.538</v>
      </c>
      <c r="X25" s="19" t="n">
        <f aca="false">'Base A'!J25</f>
        <v>2.655</v>
      </c>
      <c r="Y25" s="19" t="n">
        <f aca="false">'Base A'!P25</f>
        <v>2.538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529.62</v>
      </c>
      <c r="D26" s="16" t="n">
        <v>-5.25</v>
      </c>
      <c r="E26" s="16" t="n">
        <f aca="false">+D26+F26</f>
        <v>-5.2447</v>
      </c>
      <c r="F26" s="16" t="n">
        <f aca="false">RANDBETWEEN(-105,115)/10000</f>
        <v>0.0053</v>
      </c>
      <c r="G26" s="16" t="n">
        <f aca="false">W26+0.15</f>
        <v>2.679</v>
      </c>
      <c r="H26" s="16" t="n">
        <f aca="false">G26+I26</f>
        <v>2.719</v>
      </c>
      <c r="I26" s="16" t="n">
        <f aca="false">RANDBETWEEN(-20,70)/1000</f>
        <v>0.04</v>
      </c>
      <c r="J26" s="16" t="n">
        <f aca="false">X26+0.15</f>
        <v>2.796</v>
      </c>
      <c r="K26" s="16" t="n">
        <f aca="false">J26+L26</f>
        <v>2.801</v>
      </c>
      <c r="L26" s="16" t="n">
        <f aca="false">RANDBETWEEN(-20,70)/1000</f>
        <v>0.005</v>
      </c>
      <c r="M26" s="16" t="n">
        <v>5.25</v>
      </c>
      <c r="N26" s="16" t="n">
        <f aca="false">+M26+O26</f>
        <v>5.2462</v>
      </c>
      <c r="O26" s="16" t="n">
        <f aca="false">RANDBETWEEN(-105,115)/10000</f>
        <v>-0.0038</v>
      </c>
      <c r="P26" s="16" t="n">
        <f aca="false">Y26+0.15</f>
        <v>2.679</v>
      </c>
      <c r="Q26" s="16" t="n">
        <f aca="false">P26+R26</f>
        <v>2.688</v>
      </c>
      <c r="R26" s="16" t="n">
        <f aca="false">RANDBETWEEN(-20,70)/1000</f>
        <v>0.009</v>
      </c>
      <c r="S26" s="17"/>
      <c r="T26" s="18" t="n">
        <v>17.1</v>
      </c>
      <c r="V26" s="19"/>
      <c r="W26" s="19" t="n">
        <f aca="false">'Base A'!G26</f>
        <v>2.529</v>
      </c>
      <c r="X26" s="19" t="n">
        <f aca="false">'Base A'!J26</f>
        <v>2.646</v>
      </c>
      <c r="Y26" s="19" t="n">
        <f aca="false">'Base A'!P26</f>
        <v>2.529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546.72</v>
      </c>
      <c r="D27" s="16" t="n">
        <v>-5.25</v>
      </c>
      <c r="E27" s="16" t="n">
        <f aca="false">+D27+F27</f>
        <v>-5.241</v>
      </c>
      <c r="F27" s="16" t="n">
        <f aca="false">RANDBETWEEN(-105,115)/10000</f>
        <v>0.009</v>
      </c>
      <c r="G27" s="16" t="n">
        <f aca="false">W27+0.15</f>
        <v>2.671</v>
      </c>
      <c r="H27" s="16" t="n">
        <f aca="false">G27+I27</f>
        <v>2.664</v>
      </c>
      <c r="I27" s="16" t="n">
        <f aca="false">RANDBETWEEN(-20,70)/1000</f>
        <v>-0.007</v>
      </c>
      <c r="J27" s="16" t="n">
        <f aca="false">X27+0.15</f>
        <v>2.788</v>
      </c>
      <c r="K27" s="16" t="n">
        <f aca="false">J27+L27</f>
        <v>2.78</v>
      </c>
      <c r="L27" s="16" t="n">
        <f aca="false">RANDBETWEEN(-20,70)/1000</f>
        <v>-0.008</v>
      </c>
      <c r="M27" s="16" t="n">
        <v>5.25</v>
      </c>
      <c r="N27" s="16" t="n">
        <f aca="false">+M27+O27</f>
        <v>5.2422</v>
      </c>
      <c r="O27" s="16" t="n">
        <f aca="false">RANDBETWEEN(-105,115)/10000</f>
        <v>-0.0078</v>
      </c>
      <c r="P27" s="16" t="n">
        <f aca="false">Y27+0.15</f>
        <v>2.671</v>
      </c>
      <c r="Q27" s="16" t="n">
        <f aca="false">P27+R27</f>
        <v>2.709</v>
      </c>
      <c r="R27" s="16" t="n">
        <f aca="false">RANDBETWEEN(-20,70)/1000</f>
        <v>0.038</v>
      </c>
      <c r="S27" s="17"/>
      <c r="T27" s="18" t="n">
        <v>15.15</v>
      </c>
      <c r="V27" s="19"/>
      <c r="W27" s="19" t="n">
        <f aca="false">'Base A'!G27</f>
        <v>2.521</v>
      </c>
      <c r="X27" s="19" t="n">
        <f aca="false">'Base A'!J27</f>
        <v>2.638</v>
      </c>
      <c r="Y27" s="19" t="n">
        <f aca="false">'Base A'!P27</f>
        <v>2.521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561.87</v>
      </c>
      <c r="D28" s="16" t="n">
        <v>-5.25</v>
      </c>
      <c r="E28" s="16" t="n">
        <f aca="false">+D28+F28</f>
        <v>-5.2594</v>
      </c>
      <c r="F28" s="16" t="n">
        <f aca="false">RANDBETWEEN(-105,115)/10000</f>
        <v>-0.0094</v>
      </c>
      <c r="G28" s="16" t="n">
        <f aca="false">W28+0.15</f>
        <v>2.668</v>
      </c>
      <c r="H28" s="16" t="n">
        <f aca="false">G28+I28</f>
        <v>2.652</v>
      </c>
      <c r="I28" s="16" t="n">
        <f aca="false">RANDBETWEEN(-20,70)/1000</f>
        <v>-0.016</v>
      </c>
      <c r="J28" s="16" t="n">
        <f aca="false">X28+0.15</f>
        <v>2.785</v>
      </c>
      <c r="K28" s="16" t="n">
        <f aca="false">J28+L28</f>
        <v>2.812</v>
      </c>
      <c r="L28" s="16" t="n">
        <f aca="false">RANDBETWEEN(-20,70)/1000</f>
        <v>0.027</v>
      </c>
      <c r="M28" s="16" t="n">
        <v>5.25</v>
      </c>
      <c r="N28" s="16" t="n">
        <f aca="false">+M28+O28</f>
        <v>5.2458</v>
      </c>
      <c r="O28" s="16" t="n">
        <f aca="false">RANDBETWEEN(-105,115)/10000</f>
        <v>-0.0042</v>
      </c>
      <c r="P28" s="16" t="n">
        <f aca="false">Y28+0.15</f>
        <v>2.668</v>
      </c>
      <c r="Q28" s="16" t="n">
        <f aca="false">P28+R28</f>
        <v>2.692</v>
      </c>
      <c r="R28" s="16" t="n">
        <f aca="false">RANDBETWEEN(-20,70)/1000</f>
        <v>0.024</v>
      </c>
      <c r="S28" s="17"/>
      <c r="T28" s="18" t="n">
        <v>0.15</v>
      </c>
      <c r="V28" s="19"/>
      <c r="W28" s="19" t="n">
        <f aca="false">'Base A'!G28</f>
        <v>2.518</v>
      </c>
      <c r="X28" s="19" t="n">
        <f aca="false">'Base A'!J28</f>
        <v>2.635</v>
      </c>
      <c r="Y28" s="19" t="n">
        <f aca="false">'Base A'!P28</f>
        <v>2.518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562.02</v>
      </c>
      <c r="D29" s="16" t="n">
        <v>-5.25</v>
      </c>
      <c r="E29" s="16" t="n">
        <f aca="false">+D29+F29</f>
        <v>-5.2534</v>
      </c>
      <c r="F29" s="16" t="n">
        <f aca="false">RANDBETWEEN(-105,115)/10000</f>
        <v>-0.0034</v>
      </c>
      <c r="G29" s="16" t="n">
        <f aca="false">W29+0.15</f>
        <v>2.668</v>
      </c>
      <c r="H29" s="16" t="n">
        <f aca="false">G29+I29</f>
        <v>2.732</v>
      </c>
      <c r="I29" s="16" t="n">
        <f aca="false">RANDBETWEEN(-20,70)/1000</f>
        <v>0.064</v>
      </c>
      <c r="J29" s="16" t="n">
        <f aca="false">X29+0.15</f>
        <v>2.785</v>
      </c>
      <c r="K29" s="16" t="n">
        <f aca="false">J29+L29</f>
        <v>2.793</v>
      </c>
      <c r="L29" s="16" t="n">
        <f aca="false">RANDBETWEEN(-20,70)/1000</f>
        <v>0.008</v>
      </c>
      <c r="M29" s="16" t="n">
        <v>5.25</v>
      </c>
      <c r="N29" s="16" t="n">
        <f aca="false">+M29+O29</f>
        <v>5.2464</v>
      </c>
      <c r="O29" s="16" t="n">
        <f aca="false">RANDBETWEEN(-105,115)/10000</f>
        <v>-0.0036</v>
      </c>
      <c r="P29" s="16" t="n">
        <f aca="false">Y29+0.15</f>
        <v>2.668</v>
      </c>
      <c r="Q29" s="16" t="n">
        <f aca="false">P29+R29</f>
        <v>2.663</v>
      </c>
      <c r="R29" s="16" t="n">
        <f aca="false">RANDBETWEEN(-20,70)/1000</f>
        <v>-0.005</v>
      </c>
      <c r="S29" s="17"/>
      <c r="T29" s="18" t="n">
        <v>6.55</v>
      </c>
      <c r="V29" s="19"/>
      <c r="W29" s="19" t="n">
        <f aca="false">'Base A'!G29</f>
        <v>2.518</v>
      </c>
      <c r="X29" s="19" t="n">
        <f aca="false">'Base A'!J29</f>
        <v>2.635</v>
      </c>
      <c r="Y29" s="19" t="n">
        <f aca="false">'Base A'!P29</f>
        <v>2.518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568.57</v>
      </c>
      <c r="D30" s="16" t="n">
        <v>-5.25</v>
      </c>
      <c r="E30" s="16" t="n">
        <f aca="false">+D30+F30</f>
        <v>-5.2499</v>
      </c>
      <c r="F30" s="16" t="n">
        <f aca="false">RANDBETWEEN(-105,115)/10000</f>
        <v>0.0001</v>
      </c>
      <c r="G30" s="16" t="n">
        <f aca="false">W30+0.15</f>
        <v>2.667</v>
      </c>
      <c r="H30" s="16" t="n">
        <f aca="false">G30+I30</f>
        <v>2.653</v>
      </c>
      <c r="I30" s="16" t="n">
        <f aca="false">RANDBETWEEN(-20,70)/1000</f>
        <v>-0.014</v>
      </c>
      <c r="J30" s="16" t="n">
        <f aca="false">X30+0.15</f>
        <v>2.784</v>
      </c>
      <c r="K30" s="16" t="n">
        <f aca="false">J30+L30</f>
        <v>2.77</v>
      </c>
      <c r="L30" s="16" t="n">
        <f aca="false">RANDBETWEEN(-20,70)/1000</f>
        <v>-0.014</v>
      </c>
      <c r="M30" s="16" t="n">
        <v>5.25</v>
      </c>
      <c r="N30" s="16" t="n">
        <f aca="false">+M30+O30</f>
        <v>5.2408</v>
      </c>
      <c r="O30" s="16" t="n">
        <f aca="false">RANDBETWEEN(-105,115)/10000</f>
        <v>-0.0092</v>
      </c>
      <c r="P30" s="16" t="n">
        <f aca="false">Y30+0.15</f>
        <v>2.667</v>
      </c>
      <c r="Q30" s="16" t="n">
        <f aca="false">P30+R30</f>
        <v>2.659</v>
      </c>
      <c r="R30" s="16" t="n">
        <f aca="false">RANDBETWEEN(-20,70)/1000</f>
        <v>-0.008</v>
      </c>
      <c r="S30" s="17"/>
      <c r="T30" s="18" t="n">
        <v>6.55</v>
      </c>
      <c r="V30" s="19"/>
      <c r="W30" s="19" t="n">
        <f aca="false">'Base A'!G30</f>
        <v>2.517</v>
      </c>
      <c r="X30" s="19" t="n">
        <f aca="false">'Base A'!J30</f>
        <v>2.634</v>
      </c>
      <c r="Y30" s="19" t="n">
        <f aca="false">'Base A'!P30</f>
        <v>2.517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575.12</v>
      </c>
      <c r="D31" s="16" t="n">
        <v>-5.25</v>
      </c>
      <c r="E31" s="16" t="n">
        <f aca="false">+D31+F31</f>
        <v>-5.2509</v>
      </c>
      <c r="F31" s="16" t="n">
        <f aca="false">RANDBETWEEN(-105,115)/10000</f>
        <v>-0.0009</v>
      </c>
      <c r="G31" s="16" t="n">
        <f aca="false">W31+0.15</f>
        <v>2.665</v>
      </c>
      <c r="H31" s="16" t="n">
        <f aca="false">G31+I31</f>
        <v>2.693</v>
      </c>
      <c r="I31" s="16" t="n">
        <f aca="false">RANDBETWEEN(-20,70)/1000</f>
        <v>0.028</v>
      </c>
      <c r="J31" s="16" t="n">
        <f aca="false">X31+0.15</f>
        <v>2.782</v>
      </c>
      <c r="K31" s="16" t="n">
        <f aca="false">J31+L31</f>
        <v>2.775</v>
      </c>
      <c r="L31" s="16" t="n">
        <f aca="false">RANDBETWEEN(-20,70)/1000</f>
        <v>-0.007</v>
      </c>
      <c r="M31" s="16" t="n">
        <v>5.25</v>
      </c>
      <c r="N31" s="16" t="n">
        <f aca="false">+M31+O31</f>
        <v>5.2468</v>
      </c>
      <c r="O31" s="16" t="n">
        <f aca="false">RANDBETWEEN(-105,115)/10000</f>
        <v>-0.0032</v>
      </c>
      <c r="P31" s="16" t="n">
        <f aca="false">Y31+0.15</f>
        <v>2.665</v>
      </c>
      <c r="Q31" s="16" t="n">
        <f aca="false">P31+R31</f>
        <v>2.718</v>
      </c>
      <c r="R31" s="16" t="n">
        <f aca="false">RANDBETWEEN(-20,70)/1000</f>
        <v>0.053</v>
      </c>
      <c r="S31" s="17"/>
      <c r="T31" s="18" t="n">
        <v>0.04</v>
      </c>
      <c r="V31" s="19"/>
      <c r="W31" s="19" t="n">
        <f aca="false">'Base A'!G31</f>
        <v>2.515</v>
      </c>
      <c r="X31" s="19" t="n">
        <f aca="false">'Base A'!J31</f>
        <v>2.632</v>
      </c>
      <c r="Y31" s="19" t="n">
        <f aca="false">'Base A'!P31</f>
        <v>2.515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575.16</v>
      </c>
      <c r="D32" s="16" t="n">
        <v>-5.25</v>
      </c>
      <c r="E32" s="16" t="n">
        <f aca="false">+D32+F32</f>
        <v>-5.2473</v>
      </c>
      <c r="F32" s="16" t="n">
        <f aca="false">RANDBETWEEN(-105,115)/10000</f>
        <v>0.0027</v>
      </c>
      <c r="G32" s="16" t="n">
        <f aca="false">W32+0.15</f>
        <v>2.665</v>
      </c>
      <c r="H32" s="16" t="n">
        <f aca="false">G32+I32</f>
        <v>2.69</v>
      </c>
      <c r="I32" s="16" t="n">
        <f aca="false">RANDBETWEEN(-20,70)/1000</f>
        <v>0.025</v>
      </c>
      <c r="J32" s="16" t="n">
        <f aca="false">X32+0.15</f>
        <v>2.782</v>
      </c>
      <c r="K32" s="16" t="n">
        <f aca="false">J32+L32</f>
        <v>2.828</v>
      </c>
      <c r="L32" s="16" t="n">
        <f aca="false">RANDBETWEEN(-20,70)/1000</f>
        <v>0.046</v>
      </c>
      <c r="M32" s="16" t="n">
        <v>5.25</v>
      </c>
      <c r="N32" s="16" t="n">
        <f aca="false">+M32+O32</f>
        <v>5.2551</v>
      </c>
      <c r="O32" s="16" t="n">
        <f aca="false">RANDBETWEEN(-105,115)/10000</f>
        <v>0.0051</v>
      </c>
      <c r="P32" s="16" t="n">
        <f aca="false">Y32+0.15</f>
        <v>2.665</v>
      </c>
      <c r="Q32" s="16" t="n">
        <f aca="false">P32+R32</f>
        <v>2.682</v>
      </c>
      <c r="R32" s="16" t="n">
        <f aca="false">RANDBETWEEN(-20,70)/1000</f>
        <v>0.017</v>
      </c>
      <c r="S32" s="17"/>
      <c r="T32" s="18" t="n">
        <v>16.95</v>
      </c>
      <c r="V32" s="19"/>
      <c r="W32" s="19" t="n">
        <f aca="false">'Base A'!G32</f>
        <v>2.515</v>
      </c>
      <c r="X32" s="19" t="n">
        <f aca="false">'Base A'!J32</f>
        <v>2.632</v>
      </c>
      <c r="Y32" s="19" t="n">
        <f aca="false">'Base A'!P32</f>
        <v>2.515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592.11</v>
      </c>
      <c r="D33" s="16" t="n">
        <v>-5.25</v>
      </c>
      <c r="E33" s="16" t="n">
        <f aca="false">+D33+F33</f>
        <v>-5.249</v>
      </c>
      <c r="F33" s="16" t="n">
        <f aca="false">RANDBETWEEN(-105,115)/10000</f>
        <v>0.001</v>
      </c>
      <c r="G33" s="16" t="n">
        <f aca="false">W33+0.15</f>
        <v>2.668</v>
      </c>
      <c r="H33" s="16" t="n">
        <f aca="false">G33+I33</f>
        <v>2.686</v>
      </c>
      <c r="I33" s="16" t="n">
        <f aca="false">RANDBETWEEN(-20,70)/1000</f>
        <v>0.018</v>
      </c>
      <c r="J33" s="16" t="n">
        <f aca="false">X33+0.15</f>
        <v>2.785</v>
      </c>
      <c r="K33" s="16" t="n">
        <f aca="false">J33+L33</f>
        <v>2.789</v>
      </c>
      <c r="L33" s="16" t="n">
        <f aca="false">RANDBETWEEN(-20,70)/1000</f>
        <v>0.004</v>
      </c>
      <c r="M33" s="16" t="n">
        <v>5.25</v>
      </c>
      <c r="N33" s="16" t="n">
        <f aca="false">+M33+O33</f>
        <v>5.2424</v>
      </c>
      <c r="O33" s="16" t="n">
        <f aca="false">RANDBETWEEN(-105,115)/10000</f>
        <v>-0.0076</v>
      </c>
      <c r="P33" s="16" t="n">
        <f aca="false">Y33+0.15</f>
        <v>2.668</v>
      </c>
      <c r="Q33" s="16" t="n">
        <f aca="false">P33+R33</f>
        <v>2.728</v>
      </c>
      <c r="R33" s="16" t="n">
        <f aca="false">RANDBETWEEN(-20,70)/1000</f>
        <v>0.06</v>
      </c>
      <c r="S33" s="17"/>
      <c r="T33" s="18" t="n">
        <v>17</v>
      </c>
      <c r="V33" s="19"/>
      <c r="W33" s="19" t="n">
        <f aca="false">'Base A'!G33</f>
        <v>2.518</v>
      </c>
      <c r="X33" s="19" t="n">
        <f aca="false">'Base A'!J33</f>
        <v>2.635</v>
      </c>
      <c r="Y33" s="19" t="n">
        <f aca="false">'Base A'!P33</f>
        <v>2.518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609.11</v>
      </c>
      <c r="D34" s="16" t="n">
        <v>-5.25</v>
      </c>
      <c r="E34" s="16" t="n">
        <f aca="false">+D34+F34</f>
        <v>-5.2457</v>
      </c>
      <c r="F34" s="16" t="n">
        <f aca="false">RANDBETWEEN(-105,115)/10000</f>
        <v>0.0043</v>
      </c>
      <c r="G34" s="16" t="n">
        <f aca="false">W34+0.15</f>
        <v>2.671</v>
      </c>
      <c r="H34" s="16" t="n">
        <f aca="false">G34+I34</f>
        <v>2.7</v>
      </c>
      <c r="I34" s="16" t="n">
        <f aca="false">RANDBETWEEN(-20,70)/1000</f>
        <v>0.029</v>
      </c>
      <c r="J34" s="16" t="n">
        <f aca="false">X34+0.15</f>
        <v>2.788</v>
      </c>
      <c r="K34" s="16" t="n">
        <f aca="false">J34+L34</f>
        <v>2.822</v>
      </c>
      <c r="L34" s="16" t="n">
        <f aca="false">RANDBETWEEN(-20,70)/1000</f>
        <v>0.034</v>
      </c>
      <c r="M34" s="16" t="n">
        <v>5.25</v>
      </c>
      <c r="N34" s="16" t="n">
        <f aca="false">+M34+O34</f>
        <v>5.2487</v>
      </c>
      <c r="O34" s="16" t="n">
        <f aca="false">RANDBETWEEN(-105,115)/10000</f>
        <v>-0.0013</v>
      </c>
      <c r="P34" s="16" t="n">
        <f aca="false">Y34+0.15</f>
        <v>2.671</v>
      </c>
      <c r="Q34" s="16" t="n">
        <f aca="false">P34+R34</f>
        <v>2.724</v>
      </c>
      <c r="R34" s="16" t="n">
        <f aca="false">RANDBETWEEN(-20,70)/1000</f>
        <v>0.053</v>
      </c>
      <c r="S34" s="17"/>
      <c r="T34" s="18"/>
      <c r="V34" s="19"/>
      <c r="W34" s="19" t="n">
        <f aca="false">'Base A'!G34</f>
        <v>2.521</v>
      </c>
      <c r="X34" s="19" t="n">
        <f aca="false">'Base A'!J34</f>
        <v>2.638</v>
      </c>
      <c r="Y34" s="19" t="n">
        <f aca="false">'Base A'!P34</f>
        <v>2.521</v>
      </c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53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51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52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40</v>
      </c>
      <c r="B9" s="117" t="s">
        <v>10</v>
      </c>
      <c r="C9" s="117" t="s">
        <v>11</v>
      </c>
      <c r="D9" s="118" t="s">
        <v>41</v>
      </c>
      <c r="E9" s="119"/>
      <c r="F9" s="119"/>
      <c r="G9" s="118"/>
      <c r="H9" s="119"/>
      <c r="I9" s="119"/>
      <c r="J9" s="119"/>
      <c r="K9" s="119"/>
      <c r="L9" s="119"/>
      <c r="M9" s="120" t="s">
        <v>42</v>
      </c>
      <c r="N9" s="121"/>
      <c r="O9" s="122" t="s">
        <v>43</v>
      </c>
      <c r="P9" s="123"/>
      <c r="Q9" s="123"/>
      <c r="R9" s="123"/>
      <c r="S9" s="123"/>
      <c r="T9" s="123"/>
      <c r="U9" s="123"/>
      <c r="V9" s="123"/>
      <c r="W9" s="122" t="s">
        <v>44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43</v>
      </c>
      <c r="O10" s="122"/>
      <c r="P10" s="122" t="s">
        <v>43</v>
      </c>
      <c r="Q10" s="122" t="s">
        <v>43</v>
      </c>
      <c r="R10" s="122"/>
      <c r="S10" s="122"/>
      <c r="T10" s="122"/>
      <c r="U10" s="122" t="s">
        <v>44</v>
      </c>
      <c r="V10" s="122" t="s">
        <v>44</v>
      </c>
      <c r="W10" s="122"/>
      <c r="X10" s="122" t="s">
        <v>44</v>
      </c>
      <c r="Y10" s="122" t="s">
        <v>44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25</v>
      </c>
      <c r="C11" s="133" t="n">
        <f aca="false">'Base B'!C23</f>
        <v>489.19</v>
      </c>
      <c r="D11" s="132" t="n">
        <f aca="false">'Base B'!T23</f>
        <v>13.17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20.74275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D1</v>
      </c>
      <c r="C12" s="133" t="n">
        <f aca="false">'Base B'!C24</f>
        <v>502.36</v>
      </c>
      <c r="D12" s="132" t="n">
        <f aca="false">'Base B'!T24</f>
        <v>10.48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16.506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26</v>
      </c>
      <c r="C13" s="133" t="n">
        <f aca="false">'Base B'!C25</f>
        <v>512.84</v>
      </c>
      <c r="D13" s="132" t="n">
        <f aca="false">'Base B'!T25</f>
        <v>16.78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26.4285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27</v>
      </c>
      <c r="C14" s="133" t="n">
        <f aca="false">'Base B'!C26</f>
        <v>529.62</v>
      </c>
      <c r="D14" s="132" t="n">
        <f aca="false">'Base B'!T26</f>
        <v>17.1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26.9325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28</v>
      </c>
      <c r="C15" s="133" t="n">
        <f aca="false">'Base B'!C27</f>
        <v>546.72</v>
      </c>
      <c r="D15" s="132" t="n">
        <f aca="false">'Base B'!T27</f>
        <v>15.15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23.86125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E5</v>
      </c>
      <c r="C16" s="133" t="n">
        <f aca="false">'Base B'!C28</f>
        <v>561.87</v>
      </c>
      <c r="D16" s="132" t="n">
        <f aca="false">'Base B'!T28</f>
        <v>0.15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0.23625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TD</v>
      </c>
      <c r="C17" s="133" t="n">
        <f aca="false">'Base B'!C29</f>
        <v>562.02</v>
      </c>
      <c r="D17" s="132" t="n">
        <f aca="false">'Base B'!T29</f>
        <v>6.55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10.5*0.15</f>
        <v>1.575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10.31625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P</v>
      </c>
      <c r="C18" s="133" t="n">
        <f aca="false">'Base B'!C30</f>
        <v>568.57</v>
      </c>
      <c r="D18" s="132" t="n">
        <f aca="false">'Base B'!T30</f>
        <v>6.55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10.5*0.15</f>
        <v>1.575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10.31625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B'!B31</f>
        <v>TC</v>
      </c>
      <c r="C19" s="133" t="n">
        <f aca="false">'Base B'!C31</f>
        <v>575.12</v>
      </c>
      <c r="D19" s="132" t="n">
        <f aca="false">'Base B'!T31</f>
        <v>0.04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10.5*0.15</f>
        <v>1.575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0.063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B'!B32</f>
        <v>29</v>
      </c>
      <c r="C20" s="133" t="n">
        <f aca="false">'Base B'!C32</f>
        <v>575.16</v>
      </c>
      <c r="D20" s="132" t="n">
        <f aca="false">'Base B'!T32</f>
        <v>16.95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10.5*0.15</f>
        <v>1.575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26.69625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B'!B33</f>
        <v>30</v>
      </c>
      <c r="C21" s="133" t="n">
        <f aca="false">'Base B'!C33</f>
        <v>592.11</v>
      </c>
      <c r="D21" s="132" t="n">
        <f aca="false">'Base B'!T33</f>
        <v>17</v>
      </c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10.5*0.15</f>
        <v>1.575</v>
      </c>
      <c r="P21" s="135"/>
      <c r="Q21" s="135"/>
      <c r="R21" s="139"/>
      <c r="S21" s="139"/>
      <c r="T21" s="139"/>
      <c r="U21" s="139"/>
      <c r="V21" s="139"/>
      <c r="W21" s="139" t="n">
        <f aca="false">(O21+O22)*D21/2</f>
        <v>26.775</v>
      </c>
      <c r="X21" s="139"/>
      <c r="Y21" s="139"/>
      <c r="Z21" s="139"/>
      <c r="AA21" s="139"/>
      <c r="AB21" s="140"/>
      <c r="AC21" s="139"/>
      <c r="AE21" s="141"/>
    </row>
    <row r="22" s="131" customFormat="true" ht="15" hidden="false" customHeight="true" outlineLevel="0" collapsed="false">
      <c r="A22" s="132" t="n">
        <v>12</v>
      </c>
      <c r="B22" s="132" t="str">
        <f aca="false">'Base B'!B34</f>
        <v>31</v>
      </c>
      <c r="C22" s="133" t="n">
        <f aca="false">'Base B'!C34</f>
        <v>609.11</v>
      </c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 t="n">
        <f aca="false">10.5*0.15</f>
        <v>1.575</v>
      </c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45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SUM(W11:W22)</f>
        <v>188.874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35</v>
      </c>
      <c r="B51" s="153"/>
      <c r="C51" s="153"/>
      <c r="D51" s="154" t="s">
        <v>46</v>
      </c>
      <c r="E51" s="153" t="s">
        <v>36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37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2026-10-13T07:38:16Z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