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 KTHH L1" sheetId="2" state="visible" r:id="rId4"/>
    <sheet name="KL L1" sheetId="3" state="visible" r:id="rId5"/>
    <sheet name="1. KTHH L2" sheetId="4" state="visible" r:id="rId6"/>
    <sheet name="KL L2" sheetId="5" state="visible" r:id="rId7"/>
    <sheet name="1. KTHH L3" sheetId="6" state="visible" r:id="rId8"/>
    <sheet name="KL L3" sheetId="7" state="visible" r:id="rId9"/>
    <sheet name="1. KTHH L4" sheetId="8" state="visible" r:id="rId10"/>
    <sheet name="KL L4" sheetId="9" state="visible" r:id="rId11"/>
  </sheets>
  <externalReferences>
    <externalReference r:id="rIdExt1"/>
  </externalReferences>
  <definedNames>
    <definedName function="false" hidden="false" localSheetId="1" name="_xlnm.Print_Area" vbProcedure="false">'1. KTHH L1'!$A$1:$P$67</definedName>
    <definedName function="false" hidden="false" localSheetId="1" name="_xlnm.Print_Titles" vbProcedure="false">'1. KTHH L1'!$19:$20</definedName>
    <definedName function="false" hidden="false" localSheetId="3" name="_xlnm.Print_Area" vbProcedure="false">'1. KTHH L2'!$A$1:$P$67</definedName>
    <definedName function="false" hidden="false" localSheetId="3" name="_xlnm.Print_Titles" vbProcedure="false">'1. KTHH L2'!$19:$20</definedName>
    <definedName function="false" hidden="false" localSheetId="5" name="_xlnm.Print_Area" vbProcedure="false">'1. KTHH L3'!$A$1:$P$67</definedName>
    <definedName function="false" hidden="false" localSheetId="5" name="_xlnm.Print_Titles" vbProcedure="false">'1. KTHH L3'!$19:$20</definedName>
    <definedName function="false" hidden="false" localSheetId="7" name="_xlnm.Print_Area" vbProcedure="false">'1. KTHH L4'!$A$1:$P$66</definedName>
    <definedName function="false" hidden="false" localSheetId="7" name="_xlnm.Print_Titles" vbProcedure="false">'1. KTHH L4'!$18:$19</definedName>
    <definedName function="false" hidden="false" localSheetId="2" name="_xlnm.Print_Area" vbProcedure="false">'KL L1'!$A$1:$G$58</definedName>
    <definedName function="false" hidden="false" localSheetId="4" name="_xlnm.Print_Area" vbProcedure="false">'KL L2'!$A$1:$G$58</definedName>
    <definedName function="false" hidden="false" localSheetId="6" name="_xlnm.Print_Area" vbProcedure="false">'KL L3'!$A$1:$G$58</definedName>
    <definedName function="false" hidden="false" localSheetId="8" name="_xlnm.Print_Area" vbProcedure="false">'KL L4'!$A$1:$G$58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<sst xmlns="http://schemas.openxmlformats.org/spreadsheetml/2006/main" count="880" uniqueCount="66">
  <si>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</si>
  <si>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</si>
  <si>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</si>
  <si>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</si>
  <si>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</si>
  <si>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</si>
  <si>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</si>
  <si>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</si>
  <si>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</si>
  <si>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</si>
  <si>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</si>
  <si>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</si>
  <si>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</si>
  <si>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</si>
  <si>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</si>
  <si>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</si>
  <si>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</si>
  <si>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25</t>
  </si>
  <si>
    <t xml:space="preserve">-</t>
  </si>
  <si>
    <t xml:space="preserve">D1</t>
  </si>
  <si>
    <t xml:space="preserve">26</t>
  </si>
  <si>
    <t xml:space="preserve">27</t>
  </si>
  <si>
    <t xml:space="preserve">28</t>
  </si>
  <si>
    <t xml:space="preserve">E5</t>
  </si>
  <si>
    <t xml:space="preserve">TD</t>
  </si>
  <si>
    <t xml:space="preserve">P</t>
  </si>
  <si>
    <t xml:space="preserve">29</t>
  </si>
  <si>
    <t xml:space="preserve">30</t>
  </si>
  <si>
    <t xml:space="preserve">31</t>
  </si>
  <si>
    <t xml:space="preserve">PHỤ LỤC KIỂM TRA CAO ĐỘ, KÍCH THƯỚC HÌNH HỌC</t>
  </si>
  <si>
    <t xml:space="preserve">Kèm theo BBNT số: 73.NĐXD8/CVXD ngày 21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</si>
  <si>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</si>
  <si>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</si>
  <si>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</si>
  <si>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</si>
  <si>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</si>
  <si>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đất lề đường lớp 1, độ chặt K&gt;=0,95 đoạn từ Km0+489,19 - Km0+609,11</t>
  </si>
  <si>
    <t xml:space="preserve">Sơ họa:</t>
  </si>
  <si>
    <t xml:space="preserve">TT</t>
  </si>
  <si>
    <t xml:space="preserve">Tên cọc</t>
  </si>
  <si>
    <t xml:space="preserve">Lý trình</t>
  </si>
  <si>
    <t xml:space="preserve">Lề trái (H1)</t>
  </si>
  <si>
    <t xml:space="preserve">Lề trái (H2)</t>
  </si>
  <si>
    <t xml:space="preserve">Lề phải (H3)</t>
  </si>
  <si>
    <t xml:space="preserve">Lề phải (H4)</t>
  </si>
  <si>
    <t xml:space="preserve">Ghi chú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</si>
  <si>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</si>
  <si>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</si>
  <si>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</si>
  <si>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</si>
  <si>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</si>
  <si>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</si>
  <si>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</si>
  <si>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</si>
  <si>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</si>
  <si>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</si>
  <si>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</si>
  <si>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</si>
  <si>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</si>
  <si>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75.NĐXD8/CVXD ngày 22 tháng 09 năm 2026</t>
  </si>
  <si>
    <t xml:space="preserve">Đắp đất lề đường lớp 2, độ chặt K&gt;=0,95 đoạn từ Km0+489,19 - Km0+609,11</t>
  </si>
  <si>
    <t xml:space="preserve">Kèm theo BBNT số: 77.NĐXD8/CVXD ngày 23 tháng 09 năm 2026</t>
  </si>
  <si>
    <t xml:space="preserve">Đắp đất lề đường lớp 3, độ chặt K&gt;=0,95 đoạn từ Km0+489,19 - Km0+609,11</t>
  </si>
  <si>
    <t xml:space="preserve">Kèm theo BBNT số: 78.NĐXD8/CVXD ngày 24 tháng 09 năm 2026</t>
  </si>
  <si>
    <t xml:space="preserve">Đắp đất lề đường lớp 4, độ chặt K&gt;=0,95 đoạn từ Km0+489,19 - Km0+609,11</t>
  </si>
  <si>
    <t xml:space="preserve">Lê Minh Hải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</si>
</sst>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(* #,##0.000_);_(* \(#,##0.000\);_(* \-??_);_(@_)"/>
    <numFmt numFmtId="171" formatCode="_-* #,##0\ _₫_-;\-* #,##0\ _₫_-;_-* \-??\ _₫_-;_-@_-"/>
    <numFmt numFmtId="172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Calibri"/>
      <family val="2"/>
      <charset val="163"/>
    </font>
    <font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2"/>
      <name val=".VnTime"/>
      <family val="2"/>
      <charset val="1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1"/>
      <name val="Times New Roman"/>
      <family val="2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2"/>
      <charset val="163"/>
    </font>
    <font>
      <i val="true"/>
      <sz val="1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.VnTimeH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347400</xdr:colOff>
      <xdr:row>7</xdr:row>
      <xdr:rowOff>78480</xdr:rowOff>
    </xdr:from>
    <xdr:to>
      <xdr:col>15</xdr:col>
      <xdr:colOff>356760</xdr:colOff>
      <xdr:row>17</xdr:row>
      <xdr:rowOff>14040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29720" y="1726200"/>
          <a:ext cx="9834840" cy="188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414720</xdr:colOff>
      <xdr:row>7</xdr:row>
      <xdr:rowOff>179280</xdr:rowOff>
    </xdr:from>
    <xdr:to>
      <xdr:col>14</xdr:col>
      <xdr:colOff>425520</xdr:colOff>
      <xdr:row>16</xdr:row>
      <xdr:rowOff>140040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797040" y="1827000"/>
          <a:ext cx="9224640" cy="172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493200</xdr:colOff>
      <xdr:row>7</xdr:row>
      <xdr:rowOff>111960</xdr:rowOff>
    </xdr:from>
    <xdr:to>
      <xdr:col>13</xdr:col>
      <xdr:colOff>436680</xdr:colOff>
      <xdr:row>15</xdr:row>
      <xdr:rowOff>139680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75520" y="1521720"/>
          <a:ext cx="8545680" cy="155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425880</xdr:colOff>
      <xdr:row>7</xdr:row>
      <xdr:rowOff>78480</xdr:rowOff>
    </xdr:from>
    <xdr:to>
      <xdr:col>14</xdr:col>
      <xdr:colOff>106560</xdr:colOff>
      <xdr:row>16</xdr:row>
      <xdr:rowOff>21960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808200" y="1478520"/>
          <a:ext cx="8834040" cy="1658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57</v>
          </cell>
          <cell r="B3" t="str">
            <v xml:space="preserve">Kiểm tra cao độ đường đen đoạn từ Km0+489,19 -:- Km0+609,11</v>
          </cell>
          <cell r="D3" t="str">
            <v xml:space="preserve">ngày 12 tháng 09 năm 2026</v>
          </cell>
          <cell r="G3" t="str">
            <v xml:space="preserve">57.NĐXD8/CVXD </v>
          </cell>
        </row>
        <row r="4">
          <cell r="A4">
            <v>58</v>
          </cell>
          <cell r="B4" t="str">
            <v xml:space="preserve">Đào đất xử lý nền đường đoạn từ Km0+489,19 - Km0+609,11</v>
          </cell>
          <cell r="D4" t="str">
            <v xml:space="preserve">ngày 13 tháng 09 năm 2026</v>
          </cell>
          <cell r="G4" t="str">
            <v xml:space="preserve">58.NĐXD8/CVXD </v>
          </cell>
        </row>
        <row r="5">
          <cell r="A5">
            <v>59</v>
          </cell>
          <cell r="B5" t="str">
            <v xml:space="preserve">Rải vải địa kỹ thuật đoạn từ Km0+489,19 - Km0+609,11</v>
          </cell>
          <cell r="D5" t="str">
            <v xml:space="preserve">ngày 14 tháng 09 năm 2026</v>
          </cell>
          <cell r="G5" t="str">
            <v xml:space="preserve">59.NĐXD8/CVXD </v>
          </cell>
        </row>
        <row r="6">
          <cell r="A6">
            <v>60</v>
          </cell>
          <cell r="B6" t="str">
            <v xml:space="preserve">Đắp cát nền đường lớp 1 đoạn từ Km0+489,19 - Km0+609,11, độ chặt K&gt;=0,95</v>
          </cell>
          <cell r="D6" t="str">
            <v xml:space="preserve">ngày 14 tháng 09 năm 2026</v>
          </cell>
          <cell r="G6" t="str">
            <v xml:space="preserve">60.NĐXD8/CVXD </v>
          </cell>
        </row>
        <row r="7">
          <cell r="A7">
            <v>61</v>
          </cell>
          <cell r="B7" t="str">
            <v xml:space="preserve">Đắp cát nền đường lớp 2 đoạn từ Km0+489,19 - Km0+609,11, độ chặt K&gt;=0,95</v>
          </cell>
          <cell r="D7" t="str">
            <v xml:space="preserve">ngày 15 tháng 09 năm 2026</v>
          </cell>
          <cell r="G7" t="str">
            <v xml:space="preserve">61.NĐXD8/CVXD </v>
          </cell>
        </row>
        <row r="8">
          <cell r="A8">
            <v>62</v>
          </cell>
          <cell r="B8" t="str">
            <v xml:space="preserve">Đắp cát nền đường lớp 3 đoạn từ Km0+489,19 - Km0+609,11, độ chặt K&gt;=0,95</v>
          </cell>
          <cell r="D8" t="str">
            <v xml:space="preserve">ngày 15 tháng 09 năm 2026</v>
          </cell>
          <cell r="G8" t="str">
            <v xml:space="preserve">62.NĐXD8/CVXD </v>
          </cell>
        </row>
        <row r="9">
          <cell r="A9">
            <v>63</v>
          </cell>
          <cell r="B9" t="str">
            <v xml:space="preserve">Đắp cát nền đường lớp 4 đoạn từ Km0+489,19 - Km0+609,11, độ chặt K&gt;=0,95</v>
          </cell>
          <cell r="D9" t="str">
            <v xml:space="preserve">ngày 16 tháng 09 năm 2026</v>
          </cell>
          <cell r="G9" t="str">
            <v xml:space="preserve">63.NĐXD8/CVXD </v>
          </cell>
        </row>
        <row r="10">
          <cell r="A10">
            <v>64</v>
          </cell>
          <cell r="B10" t="str">
            <v xml:space="preserve">Đắp đất nền đường lớp 1 đoạn từ Km0+489,19 - Km0+609,11, độ chặt K&gt;=0,95</v>
          </cell>
          <cell r="D10" t="str">
            <v xml:space="preserve">ngày 16 tháng 09 năm 2026</v>
          </cell>
          <cell r="G10" t="str">
            <v xml:space="preserve">64.NĐXD8/CVXD </v>
          </cell>
        </row>
        <row r="11">
          <cell r="A11">
            <v>65</v>
          </cell>
          <cell r="B11" t="str">
            <v xml:space="preserve">Đắp đất nền đường lớp 2 đoạn từ Km0+489,19 - Km0+609,11, độ chặt K&gt;=0,95</v>
          </cell>
          <cell r="D11" t="str">
            <v xml:space="preserve">ngày 17 tháng 09 năm 2026</v>
          </cell>
          <cell r="G11" t="str">
            <v xml:space="preserve">65.NĐXD8/CVXD </v>
          </cell>
        </row>
        <row r="12">
          <cell r="A12">
            <v>66</v>
          </cell>
          <cell r="B12" t="str">
            <v xml:space="preserve">Đắp đất nền đường lớp 3 đoạn từ Km0+489,19 - Km0+609,11, độ chặt K&gt;=0,95</v>
          </cell>
          <cell r="D12" t="str">
            <v xml:space="preserve">ngày 17 tháng 09 năm 2026</v>
          </cell>
          <cell r="G12" t="str">
            <v xml:space="preserve">66.NĐXD8/CVXD </v>
          </cell>
        </row>
        <row r="13">
          <cell r="A13">
            <v>67</v>
          </cell>
          <cell r="B13" t="str">
            <v xml:space="preserve">Đắp đất nền đường lớp 4 đoạn từ Km0+489,19 - Km0+609,11, độ chặt K&gt;=0,95</v>
          </cell>
          <cell r="D13" t="str">
            <v xml:space="preserve">ngày 18 tháng 09 năm 2026</v>
          </cell>
          <cell r="G13" t="str">
            <v xml:space="preserve">67.NĐXD8/CVXD </v>
          </cell>
        </row>
        <row r="14">
          <cell r="A14">
            <v>68</v>
          </cell>
          <cell r="B14" t="str">
            <v xml:space="preserve">Đắp đất nền đường lớp 5 đoạn từ Km0+489,19 - Km0+609,11, độ chặt K&gt;=0,95</v>
          </cell>
          <cell r="D14" t="str">
            <v xml:space="preserve">ngày 18 tháng 09 năm 2026</v>
          </cell>
          <cell r="G14" t="str">
            <v xml:space="preserve">68.NĐXD8/CVXD </v>
          </cell>
        </row>
        <row r="15">
          <cell r="A15">
            <v>69</v>
          </cell>
          <cell r="B15" t="str">
            <v xml:space="preserve">Đắp đất nền đường lớp 6 đoạn từ Km0+489,19 - Km0+609,11, độ chặt K&gt;=0,95</v>
          </cell>
          <cell r="D15" t="str">
            <v xml:space="preserve">ngày 19 tháng 09 năm 2026</v>
          </cell>
          <cell r="G15" t="str">
            <v xml:space="preserve">69.NĐXD8/CVXD </v>
          </cell>
        </row>
        <row r="16">
          <cell r="A16">
            <v>70</v>
          </cell>
          <cell r="B16" t="str">
            <v xml:space="preserve">Đắp đất nền đường lớp 7 đoạn từ Km0+489,19 - Km0+609,11, độ chặt K&gt;=0,95</v>
          </cell>
          <cell r="D16" t="str">
            <v xml:space="preserve">ngày 19 tháng 09 năm 2026</v>
          </cell>
          <cell r="G16" t="str">
            <v xml:space="preserve">70.NĐXD8/CVXD </v>
          </cell>
        </row>
        <row r="17">
          <cell r="A17">
            <v>71</v>
          </cell>
          <cell r="B17" t="str">
            <v xml:space="preserve">Đắp đất nền đường lớp 8 đoạn từ Km0+489,19 - Km0+609,11, độ chặt K&gt;=0,95</v>
          </cell>
          <cell r="D17" t="str">
            <v xml:space="preserve">ngày 20 tháng 09 năm 2026</v>
          </cell>
          <cell r="G17" t="str">
            <v xml:space="preserve">71.NĐXD8/CVXD </v>
          </cell>
        </row>
        <row r="18">
          <cell r="A18">
            <v>72</v>
          </cell>
          <cell r="B18" t="str">
            <v xml:space="preserve">Đắp đất nền đường lớp 1, độ chặt K&gt;=0,98 đoạn từ Km0+489,19 - Km0+609,11</v>
          </cell>
          <cell r="D18" t="str">
            <v xml:space="preserve">ngày 21 tháng 09 năm 2026</v>
          </cell>
          <cell r="G18" t="str">
            <v xml:space="preserve">72.NĐXD8/CVXD </v>
          </cell>
        </row>
        <row r="19">
          <cell r="A19">
            <v>73</v>
          </cell>
          <cell r="B19" t="str">
            <v xml:space="preserve">Đắp đất lề đường lớp 1, độ chặt K&gt;=0,95 đoạn từ Km0+489,19 - Km0+609,11</v>
          </cell>
          <cell r="D19" t="str">
            <v xml:space="preserve">ngày 21 tháng 09 năm 2026</v>
          </cell>
          <cell r="G19" t="str">
            <v xml:space="preserve">73.NĐXD8/CVXD </v>
          </cell>
        </row>
        <row r="20">
          <cell r="A20">
            <v>74</v>
          </cell>
          <cell r="B20" t="str">
            <v xml:space="preserve">Đắp đất nền đường lớp 2, độ chặt K&gt;=0,98 đoạn từ Km0+489,19 - Km0+609,11</v>
          </cell>
          <cell r="D20" t="str">
            <v xml:space="preserve">ngày 22 tháng 09 năm 2026</v>
          </cell>
          <cell r="G20" t="str">
            <v xml:space="preserve">74.NĐXD8/CVXD </v>
          </cell>
        </row>
        <row r="21">
          <cell r="A21">
            <v>75</v>
          </cell>
          <cell r="B21" t="str">
            <v xml:space="preserve">Đắp đất lề đường lớp 2, độ chặt K&gt;=0,95 đoạn từ Km0+489,19 - Km0+609,11</v>
          </cell>
          <cell r="D21" t="str">
            <v xml:space="preserve">ngày 22 tháng 09 năm 2026</v>
          </cell>
          <cell r="G21" t="str">
            <v xml:space="preserve">75.NĐXD8/CVXD </v>
          </cell>
        </row>
        <row r="22">
          <cell r="A22">
            <v>76</v>
          </cell>
          <cell r="B22" t="str">
            <v xml:space="preserve">Đắp cấp phối đá dăm loại 2 đoạn từ Km0+489,19 - Km0+609,11</v>
          </cell>
          <cell r="D22" t="str">
            <v xml:space="preserve">ngày 23 tháng 09 năm 2026</v>
          </cell>
          <cell r="G22" t="str">
            <v xml:space="preserve">76.NĐXD8/CVXD </v>
          </cell>
        </row>
        <row r="23">
          <cell r="A23">
            <v>77</v>
          </cell>
          <cell r="B23" t="str">
            <v xml:space="preserve">Đắp đất lề đường lớp 3, độ chặt K&gt;=0,95 đoạn từ Km0+489,19 - Km0+609,11</v>
          </cell>
          <cell r="D23" t="str">
            <v xml:space="preserve">ngày 23 tháng 09 năm 2026</v>
          </cell>
          <cell r="G23" t="str">
            <v xml:space="preserve">77.NĐXD8/CVXD </v>
          </cell>
        </row>
        <row r="24">
          <cell r="A24">
            <v>78</v>
          </cell>
          <cell r="B24" t="str">
            <v xml:space="preserve">Đắp đất lề đường lớp 4, độ chặt K&gt;=0,95 đoạn từ Km0+489,19 - Km0+609,11</v>
          </cell>
          <cell r="D24" t="str">
            <v xml:space="preserve">ngày 24 tháng 09 năm 2026</v>
          </cell>
          <cell r="G24" t="str">
            <v xml:space="preserve">78.NĐXD8/CVXD </v>
          </cell>
        </row>
        <row r="25">
          <cell r="A25">
            <v>79</v>
          </cell>
          <cell r="B25" t="str">
            <v xml:space="preserve">Đắp cấp phối đá dăm loại 1 đoạn từ Km0+489,19 - Km0+609,11</v>
          </cell>
          <cell r="D25" t="str">
            <v xml:space="preserve">ngày 24 tháng 09 năm 2026</v>
          </cell>
          <cell r="G25" t="str">
            <v xml:space="preserve">79.NĐXD8/CVXD </v>
          </cell>
        </row>
        <row r="26">
          <cell r="A26">
            <v>80</v>
          </cell>
          <cell r="B26" t="str">
            <v xml:space="preserve">Vệ sinh, thổi bụi mặt đường </v>
          </cell>
          <cell r="D26" t="str">
            <v xml:space="preserve">ngày 26 tháng 09 năm 2026</v>
          </cell>
          <cell r="G26" t="str">
            <v xml:space="preserve">80.NĐXD8/CVXD </v>
          </cell>
        </row>
        <row r="27">
          <cell r="A27">
            <v>81</v>
          </cell>
          <cell r="B27" t="str">
            <v xml:space="preserve">Tưới lớp thấm bám mặt đường, nhựa MC70, lượng nhựa 1kg/m2</v>
          </cell>
          <cell r="D27" t="str">
            <v xml:space="preserve">ngày 28 tháng 09 năm 2026</v>
          </cell>
          <cell r="G27" t="str">
            <v xml:space="preserve">81.NĐXD8/CVXD </v>
          </cell>
        </row>
        <row r="28">
          <cell r="A28">
            <v>82</v>
          </cell>
          <cell r="B28" t="str">
            <v xml:space="preserve">Rải thảm mặt đường bê tông nhựa C16 - Chiều dày mặt đường đã lèn ép 6cm</v>
          </cell>
          <cell r="D28" t="str">
            <v xml:space="preserve">ngày 01 tháng 10 năm 2026</v>
          </cell>
          <cell r="G28" t="str">
            <v xml:space="preserve">82.NĐXD8/CVXD </v>
          </cell>
        </row>
        <row r="29">
          <cell r="A29">
            <v>83</v>
          </cell>
          <cell r="B29" t="str">
            <v xml:space="preserve">Bê tông nhựa C16 - Chiều dày mặt đường đã lèn ép 6cm</v>
          </cell>
          <cell r="D29" t="str">
            <v xml:space="preserve">ngày 03 tháng 10 năm 2026</v>
          </cell>
          <cell r="G29" t="str">
            <v xml:space="preserve">83.NĐXD8/CVXD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S33" activeCellId="0" sqref="S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3.42"/>
    <col collapsed="false" customWidth="true" hidden="false" outlineLevel="0" max="7" min="7" style="2" width="9.14"/>
    <col collapsed="false" customWidth="true" hidden="false" outlineLevel="0" max="9" min="9" style="2" width="9.14"/>
    <col collapsed="false" customWidth="true" hidden="false" outlineLevel="0" max="13" min="13" style="2" width="9.14"/>
    <col collapsed="false" customWidth="true" hidden="false" outlineLevel="0" max="15" min="15" style="2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489.19</v>
      </c>
      <c r="D2" s="0" t="n">
        <v>4</v>
      </c>
      <c r="E2" s="0" t="n">
        <v>1.56</v>
      </c>
      <c r="F2" s="0" t="n">
        <v>-10.12</v>
      </c>
      <c r="G2" s="2" t="n">
        <v>2.89</v>
      </c>
      <c r="H2" s="0" t="n">
        <v>-5.51</v>
      </c>
      <c r="I2" s="2" t="n">
        <v>2.61</v>
      </c>
      <c r="J2" s="1" t="s">
        <v>18</v>
      </c>
      <c r="K2" s="1" t="s">
        <v>18</v>
      </c>
      <c r="L2" s="1" t="s">
        <v>18</v>
      </c>
      <c r="M2" s="2" t="s">
        <v>18</v>
      </c>
      <c r="N2" s="1" t="s">
        <v>18</v>
      </c>
      <c r="O2" s="2" t="s">
        <v>18</v>
      </c>
      <c r="P2" s="0" t="n">
        <v>5.77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1.05</v>
      </c>
      <c r="F3" s="0" t="n">
        <v>-10.93</v>
      </c>
      <c r="G3" s="2" t="n">
        <v>2.55</v>
      </c>
      <c r="H3" s="0" t="n">
        <v>-5.25</v>
      </c>
      <c r="I3" s="2" t="n">
        <v>2.55</v>
      </c>
      <c r="J3" s="1" t="s">
        <v>18</v>
      </c>
      <c r="K3" s="1" t="s">
        <v>18</v>
      </c>
      <c r="L3" s="1" t="s">
        <v>18</v>
      </c>
      <c r="M3" s="2" t="s">
        <v>18</v>
      </c>
      <c r="N3" s="1" t="s">
        <v>18</v>
      </c>
      <c r="O3" s="2" t="s">
        <v>18</v>
      </c>
    </row>
    <row r="4" customFormat="false" ht="15" hidden="false" customHeight="false" outlineLevel="0" collapsed="false">
      <c r="D4" s="0" t="n">
        <v>2</v>
      </c>
      <c r="E4" s="0" t="n">
        <v>1.53</v>
      </c>
      <c r="F4" s="0" t="n">
        <v>-11.2</v>
      </c>
      <c r="G4" s="2" t="n">
        <v>2.37</v>
      </c>
      <c r="H4" s="0" t="n">
        <v>-5.25</v>
      </c>
      <c r="I4" s="2" t="n">
        <v>2.37</v>
      </c>
      <c r="J4" s="1" t="s">
        <v>18</v>
      </c>
      <c r="K4" s="1" t="s">
        <v>18</v>
      </c>
      <c r="L4" s="1" t="s">
        <v>18</v>
      </c>
      <c r="M4" s="2" t="s">
        <v>18</v>
      </c>
      <c r="N4" s="1" t="s">
        <v>18</v>
      </c>
      <c r="O4" s="2" t="s">
        <v>18</v>
      </c>
    </row>
    <row r="5" customFormat="false" ht="15" hidden="false" customHeight="false" outlineLevel="0" collapsed="false">
      <c r="D5" s="0" t="n">
        <v>1</v>
      </c>
      <c r="E5" s="0" t="n">
        <v>1.63</v>
      </c>
      <c r="F5" s="0" t="n">
        <v>-11.58</v>
      </c>
      <c r="G5" s="2" t="n">
        <v>2.12</v>
      </c>
      <c r="H5" s="0" t="n">
        <v>-5.25</v>
      </c>
      <c r="I5" s="2" t="n">
        <v>2.12</v>
      </c>
      <c r="J5" s="1" t="s">
        <v>18</v>
      </c>
      <c r="K5" s="1" t="s">
        <v>18</v>
      </c>
      <c r="L5" s="1" t="s">
        <v>18</v>
      </c>
      <c r="M5" s="2" t="s">
        <v>18</v>
      </c>
      <c r="N5" s="1" t="s">
        <v>18</v>
      </c>
      <c r="O5" s="2" t="s">
        <v>18</v>
      </c>
    </row>
    <row r="6" customFormat="false" ht="15" hidden="false" customHeight="false" outlineLevel="0" collapsed="false">
      <c r="A6" s="1" t="n">
        <v>1</v>
      </c>
      <c r="B6" s="2" t="s">
        <v>17</v>
      </c>
      <c r="C6" s="0" t="n">
        <v>489.19</v>
      </c>
      <c r="D6" s="0" t="n">
        <v>4</v>
      </c>
      <c r="E6" s="0" t="n">
        <v>1.56</v>
      </c>
      <c r="F6" s="1" t="s">
        <v>18</v>
      </c>
      <c r="G6" s="2" t="s">
        <v>18</v>
      </c>
      <c r="H6" s="1" t="s">
        <v>18</v>
      </c>
      <c r="I6" s="2" t="s">
        <v>18</v>
      </c>
      <c r="J6" s="1" t="s">
        <v>18</v>
      </c>
      <c r="K6" s="1" t="s">
        <v>18</v>
      </c>
      <c r="L6" s="0" t="n">
        <v>5.51</v>
      </c>
      <c r="M6" s="2" t="n">
        <v>2.8</v>
      </c>
      <c r="N6" s="0" t="n">
        <v>10.12</v>
      </c>
      <c r="O6" s="2" t="n">
        <v>2.8</v>
      </c>
      <c r="P6" s="0" t="n">
        <v>5.77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1.05</v>
      </c>
      <c r="F7" s="1" t="s">
        <v>18</v>
      </c>
      <c r="G7" s="2" t="s">
        <v>18</v>
      </c>
      <c r="H7" s="1" t="s">
        <v>18</v>
      </c>
      <c r="I7" s="2" t="s">
        <v>18</v>
      </c>
      <c r="J7" s="1" t="s">
        <v>18</v>
      </c>
      <c r="K7" s="1" t="s">
        <v>18</v>
      </c>
      <c r="L7" s="0" t="n">
        <v>5.25</v>
      </c>
      <c r="M7" s="2" t="n">
        <v>2.55</v>
      </c>
      <c r="N7" s="0" t="n">
        <v>10.93</v>
      </c>
      <c r="O7" s="2" t="n">
        <v>2.55</v>
      </c>
    </row>
    <row r="8" customFormat="false" ht="15" hidden="false" customHeight="false" outlineLevel="0" collapsed="false">
      <c r="D8" s="0" t="n">
        <v>2</v>
      </c>
      <c r="E8" s="0" t="n">
        <v>1.53</v>
      </c>
      <c r="F8" s="1" t="s">
        <v>18</v>
      </c>
      <c r="G8" s="2" t="s">
        <v>18</v>
      </c>
      <c r="H8" s="1" t="s">
        <v>18</v>
      </c>
      <c r="I8" s="2" t="s">
        <v>18</v>
      </c>
      <c r="J8" s="1" t="s">
        <v>18</v>
      </c>
      <c r="K8" s="1" t="s">
        <v>18</v>
      </c>
      <c r="L8" s="0" t="n">
        <v>5.25</v>
      </c>
      <c r="M8" s="2" t="n">
        <v>2.37</v>
      </c>
      <c r="N8" s="0" t="n">
        <v>11.2</v>
      </c>
      <c r="O8" s="2" t="n">
        <v>2.37</v>
      </c>
    </row>
    <row r="9" customFormat="false" ht="15" hidden="false" customHeight="false" outlineLevel="0" collapsed="false">
      <c r="D9" s="0" t="n">
        <v>1</v>
      </c>
      <c r="E9" s="0" t="n">
        <v>1.63</v>
      </c>
      <c r="F9" s="1" t="s">
        <v>18</v>
      </c>
      <c r="G9" s="2" t="s">
        <v>18</v>
      </c>
      <c r="H9" s="1" t="s">
        <v>18</v>
      </c>
      <c r="I9" s="2" t="s">
        <v>18</v>
      </c>
      <c r="J9" s="1" t="s">
        <v>18</v>
      </c>
      <c r="K9" s="1" t="s">
        <v>18</v>
      </c>
      <c r="L9" s="0" t="n">
        <v>5.25</v>
      </c>
      <c r="M9" s="2" t="n">
        <v>2.12</v>
      </c>
      <c r="N9" s="0" t="n">
        <v>11.58</v>
      </c>
      <c r="O9" s="2" t="n">
        <v>2.12</v>
      </c>
    </row>
    <row r="10" customFormat="false" ht="15" hidden="false" customHeight="false" outlineLevel="0" collapsed="false">
      <c r="A10" s="1" t="n">
        <v>2</v>
      </c>
      <c r="B10" s="2" t="s">
        <v>19</v>
      </c>
      <c r="C10" s="0" t="n">
        <v>502.36</v>
      </c>
      <c r="D10" s="0" t="n">
        <v>4</v>
      </c>
      <c r="E10" s="0" t="n">
        <v>1.56</v>
      </c>
      <c r="F10" s="0" t="n">
        <v>-10.12</v>
      </c>
      <c r="G10" s="2" t="n">
        <v>2.89</v>
      </c>
      <c r="H10" s="0" t="n">
        <v>-5.51</v>
      </c>
      <c r="I10" s="2" t="n">
        <v>2.6</v>
      </c>
      <c r="J10" s="1" t="s">
        <v>18</v>
      </c>
      <c r="K10" s="1" t="s">
        <v>18</v>
      </c>
      <c r="L10" s="1" t="s">
        <v>18</v>
      </c>
      <c r="M10" s="2" t="s">
        <v>18</v>
      </c>
      <c r="N10" s="1" t="s">
        <v>18</v>
      </c>
      <c r="O10" s="2" t="s">
        <v>18</v>
      </c>
      <c r="P10" s="0" t="n">
        <v>5.77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1.05</v>
      </c>
      <c r="F11" s="0" t="n">
        <v>-10.93</v>
      </c>
      <c r="G11" s="2" t="n">
        <v>2.54</v>
      </c>
      <c r="H11" s="0" t="n">
        <v>-5.25</v>
      </c>
      <c r="I11" s="2" t="n">
        <v>2.54</v>
      </c>
      <c r="J11" s="1" t="s">
        <v>18</v>
      </c>
      <c r="K11" s="1" t="s">
        <v>18</v>
      </c>
      <c r="L11" s="1" t="s">
        <v>18</v>
      </c>
      <c r="M11" s="2" t="s">
        <v>18</v>
      </c>
      <c r="N11" s="1" t="s">
        <v>18</v>
      </c>
      <c r="O11" s="2" t="s">
        <v>18</v>
      </c>
    </row>
    <row r="12" customFormat="false" ht="15" hidden="false" customHeight="false" outlineLevel="0" collapsed="false">
      <c r="D12" s="0" t="n">
        <v>2</v>
      </c>
      <c r="E12" s="0" t="n">
        <v>1.53</v>
      </c>
      <c r="F12" s="0" t="n">
        <v>-11.2</v>
      </c>
      <c r="G12" s="2" t="n">
        <v>2.36</v>
      </c>
      <c r="H12" s="0" t="n">
        <v>-5.25</v>
      </c>
      <c r="I12" s="2" t="n">
        <v>2.36</v>
      </c>
      <c r="J12" s="1" t="s">
        <v>18</v>
      </c>
      <c r="K12" s="1" t="s">
        <v>18</v>
      </c>
      <c r="L12" s="1" t="s">
        <v>18</v>
      </c>
      <c r="M12" s="2" t="s">
        <v>18</v>
      </c>
      <c r="N12" s="1" t="s">
        <v>18</v>
      </c>
      <c r="O12" s="2" t="s">
        <v>18</v>
      </c>
    </row>
    <row r="13" customFormat="false" ht="15" hidden="false" customHeight="false" outlineLevel="0" collapsed="false">
      <c r="D13" s="0" t="n">
        <v>1</v>
      </c>
      <c r="E13" s="0" t="n">
        <v>1.63</v>
      </c>
      <c r="F13" s="0" t="n">
        <v>-11.58</v>
      </c>
      <c r="G13" s="2" t="n">
        <v>2.11</v>
      </c>
      <c r="H13" s="0" t="n">
        <v>-5.25</v>
      </c>
      <c r="I13" s="2" t="n">
        <v>2.11</v>
      </c>
      <c r="J13" s="1" t="s">
        <v>18</v>
      </c>
      <c r="K13" s="1" t="s">
        <v>18</v>
      </c>
      <c r="L13" s="1" t="s">
        <v>18</v>
      </c>
      <c r="M13" s="2" t="s">
        <v>18</v>
      </c>
      <c r="N13" s="1" t="s">
        <v>18</v>
      </c>
      <c r="O13" s="2" t="s">
        <v>18</v>
      </c>
    </row>
    <row r="14" customFormat="false" ht="15" hidden="false" customHeight="false" outlineLevel="0" collapsed="false">
      <c r="A14" s="1" t="n">
        <v>2</v>
      </c>
      <c r="B14" s="2" t="s">
        <v>19</v>
      </c>
      <c r="C14" s="0" t="n">
        <v>502.36</v>
      </c>
      <c r="D14" s="0" t="n">
        <v>4</v>
      </c>
      <c r="E14" s="0" t="n">
        <v>1.56</v>
      </c>
      <c r="F14" s="1" t="s">
        <v>18</v>
      </c>
      <c r="G14" s="2" t="s">
        <v>18</v>
      </c>
      <c r="H14" s="1" t="s">
        <v>18</v>
      </c>
      <c r="I14" s="2" t="s">
        <v>18</v>
      </c>
      <c r="J14" s="1" t="s">
        <v>18</v>
      </c>
      <c r="K14" s="1" t="s">
        <v>18</v>
      </c>
      <c r="L14" s="0" t="n">
        <v>5.51</v>
      </c>
      <c r="M14" s="2" t="n">
        <v>2.79</v>
      </c>
      <c r="N14" s="0" t="n">
        <v>10.12</v>
      </c>
      <c r="O14" s="2" t="n">
        <v>2.79</v>
      </c>
      <c r="P14" s="0" t="n">
        <v>5.77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1.05</v>
      </c>
      <c r="F15" s="1" t="s">
        <v>18</v>
      </c>
      <c r="G15" s="2" t="s">
        <v>18</v>
      </c>
      <c r="H15" s="1" t="s">
        <v>18</v>
      </c>
      <c r="I15" s="2" t="s">
        <v>18</v>
      </c>
      <c r="J15" s="1" t="s">
        <v>18</v>
      </c>
      <c r="K15" s="1" t="s">
        <v>18</v>
      </c>
      <c r="L15" s="0" t="n">
        <v>5.25</v>
      </c>
      <c r="M15" s="2" t="n">
        <v>2.54</v>
      </c>
      <c r="N15" s="0" t="n">
        <v>10.93</v>
      </c>
      <c r="O15" s="2" t="n">
        <v>2.54</v>
      </c>
    </row>
    <row r="16" customFormat="false" ht="15" hidden="false" customHeight="false" outlineLevel="0" collapsed="false">
      <c r="D16" s="0" t="n">
        <v>2</v>
      </c>
      <c r="E16" s="0" t="n">
        <v>1.53</v>
      </c>
      <c r="F16" s="1" t="s">
        <v>18</v>
      </c>
      <c r="G16" s="2" t="s">
        <v>18</v>
      </c>
      <c r="H16" s="1" t="s">
        <v>18</v>
      </c>
      <c r="I16" s="2" t="s">
        <v>18</v>
      </c>
      <c r="J16" s="1" t="s">
        <v>18</v>
      </c>
      <c r="K16" s="1" t="s">
        <v>18</v>
      </c>
      <c r="L16" s="0" t="n">
        <v>5.25</v>
      </c>
      <c r="M16" s="2" t="n">
        <v>2.36</v>
      </c>
      <c r="N16" s="0" t="n">
        <v>11.2</v>
      </c>
      <c r="O16" s="2" t="n">
        <v>2.36</v>
      </c>
    </row>
    <row r="17" customFormat="false" ht="15" hidden="false" customHeight="false" outlineLevel="0" collapsed="false">
      <c r="D17" s="0" t="n">
        <v>1</v>
      </c>
      <c r="E17" s="0" t="n">
        <v>1.63</v>
      </c>
      <c r="F17" s="1" t="s">
        <v>18</v>
      </c>
      <c r="G17" s="2" t="s">
        <v>18</v>
      </c>
      <c r="H17" s="1" t="s">
        <v>18</v>
      </c>
      <c r="I17" s="2" t="s">
        <v>18</v>
      </c>
      <c r="J17" s="1" t="s">
        <v>18</v>
      </c>
      <c r="K17" s="1" t="s">
        <v>18</v>
      </c>
      <c r="L17" s="0" t="n">
        <v>5.25</v>
      </c>
      <c r="M17" s="2" t="n">
        <v>2.11</v>
      </c>
      <c r="N17" s="0" t="n">
        <v>11.58</v>
      </c>
      <c r="O17" s="2" t="n">
        <v>2.11</v>
      </c>
    </row>
    <row r="18" customFormat="false" ht="15" hidden="false" customHeight="false" outlineLevel="0" collapsed="false">
      <c r="A18" s="1" t="n">
        <v>3</v>
      </c>
      <c r="B18" s="2" t="s">
        <v>20</v>
      </c>
      <c r="C18" s="0" t="n">
        <v>512.84</v>
      </c>
      <c r="D18" s="0" t="n">
        <v>4</v>
      </c>
      <c r="E18" s="0" t="n">
        <v>1.56</v>
      </c>
      <c r="F18" s="0" t="n">
        <v>-10.12</v>
      </c>
      <c r="G18" s="2" t="n">
        <v>2.88</v>
      </c>
      <c r="H18" s="0" t="n">
        <v>-5.51</v>
      </c>
      <c r="I18" s="2" t="n">
        <v>2.6</v>
      </c>
      <c r="J18" s="1" t="s">
        <v>18</v>
      </c>
      <c r="K18" s="1" t="s">
        <v>18</v>
      </c>
      <c r="L18" s="1" t="s">
        <v>18</v>
      </c>
      <c r="M18" s="2" t="s">
        <v>18</v>
      </c>
      <c r="N18" s="1" t="s">
        <v>18</v>
      </c>
      <c r="O18" s="2" t="s">
        <v>18</v>
      </c>
      <c r="P18" s="0" t="n">
        <v>5.77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1.05</v>
      </c>
      <c r="F19" s="0" t="n">
        <v>-10.93</v>
      </c>
      <c r="G19" s="2" t="n">
        <v>2.54</v>
      </c>
      <c r="H19" s="0" t="n">
        <v>-5.25</v>
      </c>
      <c r="I19" s="2" t="n">
        <v>2.54</v>
      </c>
      <c r="J19" s="1" t="s">
        <v>18</v>
      </c>
      <c r="K19" s="1" t="s">
        <v>18</v>
      </c>
      <c r="L19" s="1" t="s">
        <v>18</v>
      </c>
      <c r="M19" s="2" t="s">
        <v>18</v>
      </c>
      <c r="N19" s="1" t="s">
        <v>18</v>
      </c>
      <c r="O19" s="2" t="s">
        <v>18</v>
      </c>
    </row>
    <row r="20" customFormat="false" ht="15" hidden="false" customHeight="false" outlineLevel="0" collapsed="false">
      <c r="D20" s="0" t="n">
        <v>2</v>
      </c>
      <c r="E20" s="0" t="n">
        <v>1.53</v>
      </c>
      <c r="F20" s="0" t="n">
        <v>-11.2</v>
      </c>
      <c r="G20" s="2" t="n">
        <v>2.36</v>
      </c>
      <c r="H20" s="0" t="n">
        <v>-5.25</v>
      </c>
      <c r="I20" s="2" t="n">
        <v>2.36</v>
      </c>
      <c r="J20" s="1" t="s">
        <v>18</v>
      </c>
      <c r="K20" s="1" t="s">
        <v>18</v>
      </c>
      <c r="L20" s="1" t="s">
        <v>18</v>
      </c>
      <c r="M20" s="2" t="s">
        <v>18</v>
      </c>
      <c r="N20" s="1" t="s">
        <v>18</v>
      </c>
      <c r="O20" s="2" t="s">
        <v>18</v>
      </c>
    </row>
    <row r="21" customFormat="false" ht="15" hidden="false" customHeight="false" outlineLevel="0" collapsed="false">
      <c r="D21" s="0" t="n">
        <v>1</v>
      </c>
      <c r="E21" s="0" t="n">
        <v>1.63</v>
      </c>
      <c r="F21" s="0" t="n">
        <v>-11.58</v>
      </c>
      <c r="G21" s="2" t="n">
        <v>2.11</v>
      </c>
      <c r="H21" s="0" t="n">
        <v>-5.25</v>
      </c>
      <c r="I21" s="2" t="n">
        <v>2.11</v>
      </c>
      <c r="J21" s="1" t="s">
        <v>18</v>
      </c>
      <c r="K21" s="1" t="s">
        <v>18</v>
      </c>
      <c r="L21" s="1" t="s">
        <v>18</v>
      </c>
      <c r="M21" s="2" t="s">
        <v>18</v>
      </c>
      <c r="N21" s="1" t="s">
        <v>18</v>
      </c>
      <c r="O21" s="2" t="s">
        <v>18</v>
      </c>
    </row>
    <row r="22" customFormat="false" ht="15" hidden="false" customHeight="false" outlineLevel="0" collapsed="false">
      <c r="A22" s="1" t="n">
        <v>3</v>
      </c>
      <c r="B22" s="2" t="s">
        <v>20</v>
      </c>
      <c r="C22" s="0" t="n">
        <v>512.84</v>
      </c>
      <c r="D22" s="0" t="n">
        <v>4</v>
      </c>
      <c r="E22" s="0" t="n">
        <v>1.56</v>
      </c>
      <c r="F22" s="1" t="s">
        <v>18</v>
      </c>
      <c r="G22" s="2" t="s">
        <v>18</v>
      </c>
      <c r="H22" s="1" t="s">
        <v>18</v>
      </c>
      <c r="I22" s="2" t="s">
        <v>18</v>
      </c>
      <c r="J22" s="1" t="s">
        <v>18</v>
      </c>
      <c r="K22" s="1" t="s">
        <v>18</v>
      </c>
      <c r="L22" s="0" t="n">
        <v>5.51</v>
      </c>
      <c r="M22" s="2" t="n">
        <v>2.79</v>
      </c>
      <c r="N22" s="0" t="n">
        <v>10.12</v>
      </c>
      <c r="O22" s="2" t="n">
        <v>2.78</v>
      </c>
      <c r="P22" s="0" t="n">
        <v>5.77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1.05</v>
      </c>
      <c r="F23" s="1" t="s">
        <v>18</v>
      </c>
      <c r="G23" s="2" t="s">
        <v>18</v>
      </c>
      <c r="H23" s="1" t="s">
        <v>18</v>
      </c>
      <c r="I23" s="2" t="s">
        <v>18</v>
      </c>
      <c r="J23" s="1" t="s">
        <v>18</v>
      </c>
      <c r="K23" s="1" t="s">
        <v>18</v>
      </c>
      <c r="L23" s="0" t="n">
        <v>5.25</v>
      </c>
      <c r="M23" s="2" t="n">
        <v>2.54</v>
      </c>
      <c r="N23" s="0" t="n">
        <v>10.93</v>
      </c>
      <c r="O23" s="2" t="n">
        <v>2.54</v>
      </c>
    </row>
    <row r="24" customFormat="false" ht="15" hidden="false" customHeight="false" outlineLevel="0" collapsed="false">
      <c r="D24" s="0" t="n">
        <v>2</v>
      </c>
      <c r="E24" s="0" t="n">
        <v>1.53</v>
      </c>
      <c r="F24" s="1" t="s">
        <v>18</v>
      </c>
      <c r="G24" s="2" t="s">
        <v>18</v>
      </c>
      <c r="H24" s="1" t="s">
        <v>18</v>
      </c>
      <c r="I24" s="2" t="s">
        <v>18</v>
      </c>
      <c r="J24" s="1" t="s">
        <v>18</v>
      </c>
      <c r="K24" s="1" t="s">
        <v>18</v>
      </c>
      <c r="L24" s="0" t="n">
        <v>5.25</v>
      </c>
      <c r="M24" s="2" t="n">
        <v>2.36</v>
      </c>
      <c r="N24" s="0" t="n">
        <v>11.2</v>
      </c>
      <c r="O24" s="2" t="n">
        <v>2.36</v>
      </c>
    </row>
    <row r="25" customFormat="false" ht="15" hidden="false" customHeight="false" outlineLevel="0" collapsed="false">
      <c r="D25" s="0" t="n">
        <v>1</v>
      </c>
      <c r="E25" s="0" t="n">
        <v>1.63</v>
      </c>
      <c r="F25" s="1" t="s">
        <v>18</v>
      </c>
      <c r="G25" s="2" t="s">
        <v>18</v>
      </c>
      <c r="H25" s="1" t="s">
        <v>18</v>
      </c>
      <c r="I25" s="2" t="s">
        <v>18</v>
      </c>
      <c r="J25" s="1" t="s">
        <v>18</v>
      </c>
      <c r="K25" s="1" t="s">
        <v>18</v>
      </c>
      <c r="L25" s="0" t="n">
        <v>5.25</v>
      </c>
      <c r="M25" s="2" t="n">
        <v>2.11</v>
      </c>
      <c r="N25" s="0" t="n">
        <v>11.58</v>
      </c>
      <c r="O25" s="2" t="n">
        <v>2.11</v>
      </c>
    </row>
    <row r="26" customFormat="false" ht="15" hidden="false" customHeight="false" outlineLevel="0" collapsed="false">
      <c r="A26" s="1" t="n">
        <v>4</v>
      </c>
      <c r="B26" s="2" t="s">
        <v>21</v>
      </c>
      <c r="C26" s="0" t="n">
        <v>529.62</v>
      </c>
      <c r="D26" s="0" t="n">
        <v>4</v>
      </c>
      <c r="E26" s="0" t="n">
        <v>1.56</v>
      </c>
      <c r="F26" s="0" t="n">
        <v>-10.12</v>
      </c>
      <c r="G26" s="2" t="n">
        <v>2.87</v>
      </c>
      <c r="H26" s="0" t="n">
        <v>-5.51</v>
      </c>
      <c r="I26" s="2" t="n">
        <v>2.59</v>
      </c>
      <c r="J26" s="1" t="s">
        <v>18</v>
      </c>
      <c r="K26" s="1" t="s">
        <v>18</v>
      </c>
      <c r="L26" s="1" t="s">
        <v>18</v>
      </c>
      <c r="M26" s="2" t="s">
        <v>18</v>
      </c>
      <c r="N26" s="1" t="s">
        <v>18</v>
      </c>
      <c r="O26" s="2" t="s">
        <v>18</v>
      </c>
      <c r="P26" s="0" t="n">
        <v>5.77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1.05</v>
      </c>
      <c r="F27" s="0" t="n">
        <v>-10.93</v>
      </c>
      <c r="G27" s="2" t="n">
        <v>2.53</v>
      </c>
      <c r="H27" s="0" t="n">
        <v>-5.25</v>
      </c>
      <c r="I27" s="2" t="n">
        <v>2.53</v>
      </c>
      <c r="J27" s="1" t="s">
        <v>18</v>
      </c>
      <c r="K27" s="1" t="s">
        <v>18</v>
      </c>
      <c r="L27" s="1" t="s">
        <v>18</v>
      </c>
      <c r="M27" s="2" t="s">
        <v>18</v>
      </c>
      <c r="N27" s="1" t="s">
        <v>18</v>
      </c>
      <c r="O27" s="2" t="s">
        <v>18</v>
      </c>
    </row>
    <row r="28" customFormat="false" ht="15" hidden="false" customHeight="false" outlineLevel="0" collapsed="false">
      <c r="D28" s="0" t="n">
        <v>2</v>
      </c>
      <c r="E28" s="0" t="n">
        <v>1.53</v>
      </c>
      <c r="F28" s="0" t="n">
        <v>-11.2</v>
      </c>
      <c r="G28" s="2" t="n">
        <v>2.35</v>
      </c>
      <c r="H28" s="0" t="n">
        <v>-5.25</v>
      </c>
      <c r="I28" s="2" t="n">
        <v>2.35</v>
      </c>
      <c r="J28" s="1" t="s">
        <v>18</v>
      </c>
      <c r="K28" s="1" t="s">
        <v>18</v>
      </c>
      <c r="L28" s="1" t="s">
        <v>18</v>
      </c>
      <c r="M28" s="2" t="s">
        <v>18</v>
      </c>
      <c r="N28" s="1" t="s">
        <v>18</v>
      </c>
      <c r="O28" s="2" t="s">
        <v>18</v>
      </c>
    </row>
    <row r="29" customFormat="false" ht="15" hidden="false" customHeight="false" outlineLevel="0" collapsed="false">
      <c r="D29" s="0" t="n">
        <v>1</v>
      </c>
      <c r="E29" s="0" t="n">
        <v>1.63</v>
      </c>
      <c r="F29" s="0" t="n">
        <v>-11.58</v>
      </c>
      <c r="G29" s="2" t="n">
        <v>2.1</v>
      </c>
      <c r="H29" s="0" t="n">
        <v>-5.25</v>
      </c>
      <c r="I29" s="2" t="n">
        <v>2.1</v>
      </c>
      <c r="J29" s="1" t="s">
        <v>18</v>
      </c>
      <c r="K29" s="1" t="s">
        <v>18</v>
      </c>
      <c r="L29" s="1" t="s">
        <v>18</v>
      </c>
      <c r="M29" s="2" t="s">
        <v>18</v>
      </c>
      <c r="N29" s="1" t="s">
        <v>18</v>
      </c>
      <c r="O29" s="2" t="s">
        <v>18</v>
      </c>
    </row>
    <row r="30" customFormat="false" ht="15" hidden="false" customHeight="false" outlineLevel="0" collapsed="false">
      <c r="A30" s="1" t="n">
        <v>4</v>
      </c>
      <c r="B30" s="2" t="s">
        <v>21</v>
      </c>
      <c r="C30" s="0" t="n">
        <v>529.62</v>
      </c>
      <c r="D30" s="0" t="n">
        <v>4</v>
      </c>
      <c r="E30" s="0" t="n">
        <v>1.56</v>
      </c>
      <c r="F30" s="1" t="s">
        <v>18</v>
      </c>
      <c r="G30" s="2" t="s">
        <v>18</v>
      </c>
      <c r="H30" s="1" t="s">
        <v>18</v>
      </c>
      <c r="I30" s="2" t="s">
        <v>18</v>
      </c>
      <c r="J30" s="1" t="s">
        <v>18</v>
      </c>
      <c r="K30" s="1" t="s">
        <v>18</v>
      </c>
      <c r="L30" s="0" t="n">
        <v>5.51</v>
      </c>
      <c r="M30" s="2" t="n">
        <v>2.78</v>
      </c>
      <c r="N30" s="0" t="n">
        <v>10.12</v>
      </c>
      <c r="O30" s="2" t="n">
        <v>2.77</v>
      </c>
      <c r="P30" s="0" t="n">
        <v>5.77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1.05</v>
      </c>
      <c r="F31" s="1" t="s">
        <v>18</v>
      </c>
      <c r="G31" s="2" t="s">
        <v>18</v>
      </c>
      <c r="H31" s="1" t="s">
        <v>18</v>
      </c>
      <c r="I31" s="2" t="s">
        <v>18</v>
      </c>
      <c r="J31" s="1" t="s">
        <v>18</v>
      </c>
      <c r="K31" s="1" t="s">
        <v>18</v>
      </c>
      <c r="L31" s="0" t="n">
        <v>5.25</v>
      </c>
      <c r="M31" s="2" t="n">
        <v>2.53</v>
      </c>
      <c r="N31" s="0" t="n">
        <v>10.93</v>
      </c>
      <c r="O31" s="2" t="n">
        <v>2.53</v>
      </c>
    </row>
    <row r="32" customFormat="false" ht="15" hidden="false" customHeight="false" outlineLevel="0" collapsed="false">
      <c r="D32" s="0" t="n">
        <v>2</v>
      </c>
      <c r="E32" s="0" t="n">
        <v>1.53</v>
      </c>
      <c r="F32" s="1" t="s">
        <v>18</v>
      </c>
      <c r="G32" s="2" t="s">
        <v>18</v>
      </c>
      <c r="H32" s="1" t="s">
        <v>18</v>
      </c>
      <c r="I32" s="2" t="s">
        <v>18</v>
      </c>
      <c r="J32" s="1" t="s">
        <v>18</v>
      </c>
      <c r="K32" s="1" t="s">
        <v>18</v>
      </c>
      <c r="L32" s="0" t="n">
        <v>5.25</v>
      </c>
      <c r="M32" s="2" t="n">
        <v>2.35</v>
      </c>
      <c r="N32" s="0" t="n">
        <v>11.2</v>
      </c>
      <c r="O32" s="2" t="n">
        <v>2.35</v>
      </c>
    </row>
    <row r="33" customFormat="false" ht="15" hidden="false" customHeight="false" outlineLevel="0" collapsed="false">
      <c r="D33" s="0" t="n">
        <v>1</v>
      </c>
      <c r="E33" s="0" t="n">
        <v>1.63</v>
      </c>
      <c r="F33" s="1" t="s">
        <v>18</v>
      </c>
      <c r="G33" s="2" t="s">
        <v>18</v>
      </c>
      <c r="H33" s="1" t="s">
        <v>18</v>
      </c>
      <c r="I33" s="2" t="s">
        <v>18</v>
      </c>
      <c r="J33" s="1" t="s">
        <v>18</v>
      </c>
      <c r="K33" s="1" t="s">
        <v>18</v>
      </c>
      <c r="L33" s="0" t="n">
        <v>5.25</v>
      </c>
      <c r="M33" s="2" t="n">
        <v>2.1</v>
      </c>
      <c r="N33" s="0" t="n">
        <v>11.58</v>
      </c>
      <c r="O33" s="2" t="n">
        <v>2.1</v>
      </c>
    </row>
    <row r="34" customFormat="false" ht="15" hidden="false" customHeight="false" outlineLevel="0" collapsed="false">
      <c r="A34" s="1" t="n">
        <v>5</v>
      </c>
      <c r="B34" s="2" t="s">
        <v>22</v>
      </c>
      <c r="C34" s="0" t="n">
        <v>546.72</v>
      </c>
      <c r="D34" s="0" t="n">
        <v>4</v>
      </c>
      <c r="E34" s="0" t="n">
        <v>1.56</v>
      </c>
      <c r="F34" s="0" t="n">
        <v>-10.12</v>
      </c>
      <c r="G34" s="2" t="n">
        <v>2.86</v>
      </c>
      <c r="H34" s="0" t="n">
        <v>-5.51</v>
      </c>
      <c r="I34" s="2" t="n">
        <v>2.58</v>
      </c>
      <c r="J34" s="1" t="s">
        <v>18</v>
      </c>
      <c r="K34" s="1" t="s">
        <v>18</v>
      </c>
      <c r="L34" s="1" t="s">
        <v>18</v>
      </c>
      <c r="M34" s="2" t="s">
        <v>18</v>
      </c>
      <c r="N34" s="1" t="s">
        <v>18</v>
      </c>
      <c r="O34" s="2" t="s">
        <v>18</v>
      </c>
      <c r="P34" s="0" t="n">
        <v>5.77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1.05</v>
      </c>
      <c r="F35" s="0" t="n">
        <v>-10.93</v>
      </c>
      <c r="G35" s="2" t="n">
        <v>2.52</v>
      </c>
      <c r="H35" s="0" t="n">
        <v>-5.25</v>
      </c>
      <c r="I35" s="2" t="n">
        <v>2.52</v>
      </c>
      <c r="J35" s="1" t="s">
        <v>18</v>
      </c>
      <c r="K35" s="1" t="s">
        <v>18</v>
      </c>
      <c r="L35" s="1" t="s">
        <v>18</v>
      </c>
      <c r="M35" s="2" t="s">
        <v>18</v>
      </c>
      <c r="N35" s="1" t="s">
        <v>18</v>
      </c>
      <c r="O35" s="2" t="s">
        <v>18</v>
      </c>
    </row>
    <row r="36" customFormat="false" ht="15" hidden="false" customHeight="false" outlineLevel="0" collapsed="false">
      <c r="D36" s="0" t="n">
        <v>2</v>
      </c>
      <c r="E36" s="0" t="n">
        <v>1.53</v>
      </c>
      <c r="F36" s="0" t="n">
        <v>-11.2</v>
      </c>
      <c r="G36" s="2" t="n">
        <v>2.34</v>
      </c>
      <c r="H36" s="0" t="n">
        <v>-5.25</v>
      </c>
      <c r="I36" s="2" t="n">
        <v>2.34</v>
      </c>
      <c r="J36" s="1" t="s">
        <v>18</v>
      </c>
      <c r="K36" s="1" t="s">
        <v>18</v>
      </c>
      <c r="L36" s="1" t="s">
        <v>18</v>
      </c>
      <c r="M36" s="2" t="s">
        <v>18</v>
      </c>
      <c r="N36" s="1" t="s">
        <v>18</v>
      </c>
      <c r="O36" s="2" t="s">
        <v>18</v>
      </c>
    </row>
    <row r="37" customFormat="false" ht="15" hidden="false" customHeight="false" outlineLevel="0" collapsed="false">
      <c r="D37" s="0" t="n">
        <v>1</v>
      </c>
      <c r="E37" s="0" t="n">
        <v>1.63</v>
      </c>
      <c r="F37" s="0" t="n">
        <v>-11.58</v>
      </c>
      <c r="G37" s="2" t="n">
        <v>2.09</v>
      </c>
      <c r="H37" s="0" t="n">
        <v>-5.25</v>
      </c>
      <c r="I37" s="2" t="n">
        <v>2.09</v>
      </c>
      <c r="J37" s="1" t="s">
        <v>18</v>
      </c>
      <c r="K37" s="1" t="s">
        <v>18</v>
      </c>
      <c r="L37" s="1" t="s">
        <v>18</v>
      </c>
      <c r="M37" s="2" t="s">
        <v>18</v>
      </c>
      <c r="N37" s="1" t="s">
        <v>18</v>
      </c>
      <c r="O37" s="2" t="s">
        <v>18</v>
      </c>
    </row>
    <row r="38" customFormat="false" ht="15" hidden="false" customHeight="false" outlineLevel="0" collapsed="false">
      <c r="A38" s="1" t="n">
        <v>5</v>
      </c>
      <c r="B38" s="2" t="s">
        <v>22</v>
      </c>
      <c r="C38" s="0" t="n">
        <v>546.72</v>
      </c>
      <c r="D38" s="0" t="n">
        <v>4</v>
      </c>
      <c r="E38" s="0" t="n">
        <v>1.56</v>
      </c>
      <c r="F38" s="1" t="s">
        <v>18</v>
      </c>
      <c r="G38" s="2" t="s">
        <v>18</v>
      </c>
      <c r="H38" s="1" t="s">
        <v>18</v>
      </c>
      <c r="I38" s="2" t="s">
        <v>18</v>
      </c>
      <c r="J38" s="1" t="s">
        <v>18</v>
      </c>
      <c r="K38" s="1" t="s">
        <v>18</v>
      </c>
      <c r="L38" s="0" t="n">
        <v>5.51</v>
      </c>
      <c r="M38" s="2" t="n">
        <v>2.77</v>
      </c>
      <c r="N38" s="0" t="n">
        <v>10.12</v>
      </c>
      <c r="O38" s="2" t="n">
        <v>2.76</v>
      </c>
      <c r="P38" s="0" t="n">
        <v>5.77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1.05</v>
      </c>
      <c r="F39" s="1" t="s">
        <v>18</v>
      </c>
      <c r="G39" s="2" t="s">
        <v>18</v>
      </c>
      <c r="H39" s="1" t="s">
        <v>18</v>
      </c>
      <c r="I39" s="2" t="s">
        <v>18</v>
      </c>
      <c r="J39" s="1" t="s">
        <v>18</v>
      </c>
      <c r="K39" s="1" t="s">
        <v>18</v>
      </c>
      <c r="L39" s="0" t="n">
        <v>5.25</v>
      </c>
      <c r="M39" s="2" t="n">
        <v>2.52</v>
      </c>
      <c r="N39" s="0" t="n">
        <v>10.93</v>
      </c>
      <c r="O39" s="2" t="n">
        <v>2.52</v>
      </c>
    </row>
    <row r="40" customFormat="false" ht="15" hidden="false" customHeight="false" outlineLevel="0" collapsed="false">
      <c r="D40" s="0" t="n">
        <v>2</v>
      </c>
      <c r="E40" s="0" t="n">
        <v>1.53</v>
      </c>
      <c r="F40" s="1" t="s">
        <v>18</v>
      </c>
      <c r="G40" s="2" t="s">
        <v>18</v>
      </c>
      <c r="H40" s="1" t="s">
        <v>18</v>
      </c>
      <c r="I40" s="2" t="s">
        <v>18</v>
      </c>
      <c r="J40" s="1" t="s">
        <v>18</v>
      </c>
      <c r="K40" s="1" t="s">
        <v>18</v>
      </c>
      <c r="L40" s="0" t="n">
        <v>5.25</v>
      </c>
      <c r="M40" s="2" t="n">
        <v>2.34</v>
      </c>
      <c r="N40" s="0" t="n">
        <v>11.2</v>
      </c>
      <c r="O40" s="2" t="n">
        <v>2.34</v>
      </c>
    </row>
    <row r="41" customFormat="false" ht="15" hidden="false" customHeight="false" outlineLevel="0" collapsed="false">
      <c r="D41" s="0" t="n">
        <v>1</v>
      </c>
      <c r="E41" s="0" t="n">
        <v>1.63</v>
      </c>
      <c r="F41" s="1" t="s">
        <v>18</v>
      </c>
      <c r="G41" s="2" t="s">
        <v>18</v>
      </c>
      <c r="H41" s="1" t="s">
        <v>18</v>
      </c>
      <c r="I41" s="2" t="s">
        <v>18</v>
      </c>
      <c r="J41" s="1" t="s">
        <v>18</v>
      </c>
      <c r="K41" s="1" t="s">
        <v>18</v>
      </c>
      <c r="L41" s="0" t="n">
        <v>5.25</v>
      </c>
      <c r="M41" s="2" t="n">
        <v>2.09</v>
      </c>
      <c r="N41" s="0" t="n">
        <v>11.58</v>
      </c>
      <c r="O41" s="2" t="n">
        <v>2.09</v>
      </c>
    </row>
    <row r="42" customFormat="false" ht="15" hidden="false" customHeight="false" outlineLevel="0" collapsed="false">
      <c r="A42" s="1" t="n">
        <v>6</v>
      </c>
      <c r="B42" s="2" t="s">
        <v>23</v>
      </c>
      <c r="C42" s="0" t="n">
        <v>561.87</v>
      </c>
      <c r="D42" s="0" t="n">
        <v>4</v>
      </c>
      <c r="E42" s="0" t="n">
        <v>1.56</v>
      </c>
      <c r="F42" s="0" t="n">
        <v>-10.12</v>
      </c>
      <c r="G42" s="2" t="n">
        <v>2.86</v>
      </c>
      <c r="H42" s="0" t="n">
        <v>-5.51</v>
      </c>
      <c r="I42" s="2" t="n">
        <v>2.58</v>
      </c>
      <c r="J42" s="1" t="s">
        <v>18</v>
      </c>
      <c r="K42" s="1" t="s">
        <v>18</v>
      </c>
      <c r="L42" s="1" t="s">
        <v>18</v>
      </c>
      <c r="M42" s="2" t="s">
        <v>18</v>
      </c>
      <c r="N42" s="1" t="s">
        <v>18</v>
      </c>
      <c r="O42" s="2" t="s">
        <v>18</v>
      </c>
      <c r="P42" s="0" t="n">
        <v>5.77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1.05</v>
      </c>
      <c r="F43" s="0" t="n">
        <v>-10.93</v>
      </c>
      <c r="G43" s="2" t="n">
        <v>2.52</v>
      </c>
      <c r="H43" s="0" t="n">
        <v>-5.25</v>
      </c>
      <c r="I43" s="2" t="n">
        <v>2.52</v>
      </c>
      <c r="J43" s="1" t="s">
        <v>18</v>
      </c>
      <c r="K43" s="1" t="s">
        <v>18</v>
      </c>
      <c r="L43" s="1" t="s">
        <v>18</v>
      </c>
      <c r="M43" s="2" t="s">
        <v>18</v>
      </c>
      <c r="N43" s="1" t="s">
        <v>18</v>
      </c>
      <c r="O43" s="2" t="s">
        <v>18</v>
      </c>
    </row>
    <row r="44" customFormat="false" ht="15" hidden="false" customHeight="false" outlineLevel="0" collapsed="false">
      <c r="D44" s="0" t="n">
        <v>2</v>
      </c>
      <c r="E44" s="0" t="n">
        <v>1.53</v>
      </c>
      <c r="F44" s="0" t="n">
        <v>-11.2</v>
      </c>
      <c r="G44" s="2" t="n">
        <v>2.34</v>
      </c>
      <c r="H44" s="0" t="n">
        <v>-5.25</v>
      </c>
      <c r="I44" s="2" t="n">
        <v>2.34</v>
      </c>
      <c r="J44" s="1" t="s">
        <v>18</v>
      </c>
      <c r="K44" s="1" t="s">
        <v>18</v>
      </c>
      <c r="L44" s="1" t="s">
        <v>18</v>
      </c>
      <c r="M44" s="2" t="s">
        <v>18</v>
      </c>
      <c r="N44" s="1" t="s">
        <v>18</v>
      </c>
      <c r="O44" s="2" t="s">
        <v>18</v>
      </c>
    </row>
    <row r="45" customFormat="false" ht="15" hidden="false" customHeight="false" outlineLevel="0" collapsed="false">
      <c r="D45" s="0" t="n">
        <v>1</v>
      </c>
      <c r="E45" s="0" t="n">
        <v>1.63</v>
      </c>
      <c r="F45" s="0" t="n">
        <v>-11.58</v>
      </c>
      <c r="G45" s="2" t="n">
        <v>2.09</v>
      </c>
      <c r="H45" s="0" t="n">
        <v>-5.25</v>
      </c>
      <c r="I45" s="2" t="n">
        <v>2.09</v>
      </c>
      <c r="J45" s="1" t="s">
        <v>18</v>
      </c>
      <c r="K45" s="1" t="s">
        <v>18</v>
      </c>
      <c r="L45" s="1" t="s">
        <v>18</v>
      </c>
      <c r="M45" s="2" t="s">
        <v>18</v>
      </c>
      <c r="N45" s="1" t="s">
        <v>18</v>
      </c>
      <c r="O45" s="2" t="s">
        <v>18</v>
      </c>
    </row>
    <row r="46" customFormat="false" ht="15" hidden="false" customHeight="false" outlineLevel="0" collapsed="false">
      <c r="A46" s="1" t="n">
        <v>6</v>
      </c>
      <c r="B46" s="2" t="s">
        <v>23</v>
      </c>
      <c r="C46" s="0" t="n">
        <v>561.87</v>
      </c>
      <c r="D46" s="0" t="n">
        <v>4</v>
      </c>
      <c r="E46" s="0" t="n">
        <v>1.56</v>
      </c>
      <c r="F46" s="1" t="s">
        <v>18</v>
      </c>
      <c r="G46" s="2" t="s">
        <v>18</v>
      </c>
      <c r="H46" s="1" t="s">
        <v>18</v>
      </c>
      <c r="I46" s="2" t="s">
        <v>18</v>
      </c>
      <c r="J46" s="1" t="s">
        <v>18</v>
      </c>
      <c r="K46" s="1" t="s">
        <v>18</v>
      </c>
      <c r="L46" s="0" t="n">
        <v>5.51</v>
      </c>
      <c r="M46" s="2" t="n">
        <v>2.77</v>
      </c>
      <c r="N46" s="0" t="n">
        <v>10.12</v>
      </c>
      <c r="O46" s="2" t="n">
        <v>2.76</v>
      </c>
      <c r="P46" s="0" t="n">
        <v>5.77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1.05</v>
      </c>
      <c r="F47" s="1" t="s">
        <v>18</v>
      </c>
      <c r="G47" s="2" t="s">
        <v>18</v>
      </c>
      <c r="H47" s="1" t="s">
        <v>18</v>
      </c>
      <c r="I47" s="2" t="s">
        <v>18</v>
      </c>
      <c r="J47" s="1" t="s">
        <v>18</v>
      </c>
      <c r="K47" s="1" t="s">
        <v>18</v>
      </c>
      <c r="L47" s="0" t="n">
        <v>5.25</v>
      </c>
      <c r="M47" s="2" t="n">
        <v>2.52</v>
      </c>
      <c r="N47" s="0" t="n">
        <v>10.93</v>
      </c>
      <c r="O47" s="2" t="n">
        <v>2.52</v>
      </c>
    </row>
    <row r="48" customFormat="false" ht="15" hidden="false" customHeight="false" outlineLevel="0" collapsed="false">
      <c r="D48" s="0" t="n">
        <v>2</v>
      </c>
      <c r="E48" s="0" t="n">
        <v>1.53</v>
      </c>
      <c r="F48" s="1" t="s">
        <v>18</v>
      </c>
      <c r="G48" s="2" t="s">
        <v>18</v>
      </c>
      <c r="H48" s="1" t="s">
        <v>18</v>
      </c>
      <c r="I48" s="2" t="s">
        <v>18</v>
      </c>
      <c r="J48" s="1" t="s">
        <v>18</v>
      </c>
      <c r="K48" s="1" t="s">
        <v>18</v>
      </c>
      <c r="L48" s="0" t="n">
        <v>5.25</v>
      </c>
      <c r="M48" s="2" t="n">
        <v>2.34</v>
      </c>
      <c r="N48" s="0" t="n">
        <v>11.2</v>
      </c>
      <c r="O48" s="2" t="n">
        <v>2.34</v>
      </c>
    </row>
    <row r="49" customFormat="false" ht="15" hidden="false" customHeight="false" outlineLevel="0" collapsed="false">
      <c r="D49" s="0" t="n">
        <v>1</v>
      </c>
      <c r="E49" s="0" t="n">
        <v>1.63</v>
      </c>
      <c r="F49" s="1" t="s">
        <v>18</v>
      </c>
      <c r="G49" s="2" t="s">
        <v>18</v>
      </c>
      <c r="H49" s="1" t="s">
        <v>18</v>
      </c>
      <c r="I49" s="2" t="s">
        <v>18</v>
      </c>
      <c r="J49" s="1" t="s">
        <v>18</v>
      </c>
      <c r="K49" s="1" t="s">
        <v>18</v>
      </c>
      <c r="L49" s="0" t="n">
        <v>5.25</v>
      </c>
      <c r="M49" s="2" t="n">
        <v>2.09</v>
      </c>
      <c r="N49" s="0" t="n">
        <v>11.58</v>
      </c>
      <c r="O49" s="2" t="n">
        <v>2.09</v>
      </c>
    </row>
    <row r="50" customFormat="false" ht="15" hidden="false" customHeight="false" outlineLevel="0" collapsed="false">
      <c r="A50" s="1" t="n">
        <v>7</v>
      </c>
      <c r="B50" s="2" t="s">
        <v>24</v>
      </c>
      <c r="C50" s="0" t="n">
        <v>562.02</v>
      </c>
      <c r="D50" s="0" t="n">
        <v>4</v>
      </c>
      <c r="E50" s="0" t="n">
        <v>1.56</v>
      </c>
      <c r="F50" s="0" t="n">
        <v>-10.12</v>
      </c>
      <c r="G50" s="2" t="n">
        <v>2.86</v>
      </c>
      <c r="H50" s="0" t="n">
        <v>-5.51</v>
      </c>
      <c r="I50" s="2" t="n">
        <v>2.58</v>
      </c>
      <c r="J50" s="1" t="s">
        <v>18</v>
      </c>
      <c r="K50" s="1" t="s">
        <v>18</v>
      </c>
      <c r="L50" s="1" t="s">
        <v>18</v>
      </c>
      <c r="M50" s="2" t="s">
        <v>18</v>
      </c>
      <c r="N50" s="1" t="s">
        <v>18</v>
      </c>
      <c r="O50" s="2" t="s">
        <v>18</v>
      </c>
      <c r="P50" s="0" t="n">
        <v>5.77</v>
      </c>
      <c r="Q50" s="0" t="n">
        <v>0</v>
      </c>
    </row>
    <row r="51" customFormat="false" ht="15" hidden="false" customHeight="false" outlineLevel="0" collapsed="false">
      <c r="D51" s="0" t="n">
        <v>3</v>
      </c>
      <c r="E51" s="0" t="n">
        <v>1.05</v>
      </c>
      <c r="F51" s="0" t="n">
        <v>-10.93</v>
      </c>
      <c r="G51" s="2" t="n">
        <v>2.52</v>
      </c>
      <c r="H51" s="0" t="n">
        <v>-5.25</v>
      </c>
      <c r="I51" s="2" t="n">
        <v>2.52</v>
      </c>
      <c r="J51" s="1" t="s">
        <v>18</v>
      </c>
      <c r="K51" s="1" t="s">
        <v>18</v>
      </c>
      <c r="L51" s="1" t="s">
        <v>18</v>
      </c>
      <c r="M51" s="2" t="s">
        <v>18</v>
      </c>
      <c r="N51" s="1" t="s">
        <v>18</v>
      </c>
      <c r="O51" s="2" t="s">
        <v>18</v>
      </c>
    </row>
    <row r="52" customFormat="false" ht="15" hidden="false" customHeight="false" outlineLevel="0" collapsed="false">
      <c r="D52" s="0" t="n">
        <v>2</v>
      </c>
      <c r="E52" s="0" t="n">
        <v>1.53</v>
      </c>
      <c r="F52" s="0" t="n">
        <v>-11.2</v>
      </c>
      <c r="G52" s="2" t="n">
        <v>2.34</v>
      </c>
      <c r="H52" s="0" t="n">
        <v>-5.25</v>
      </c>
      <c r="I52" s="2" t="n">
        <v>2.34</v>
      </c>
      <c r="J52" s="1" t="s">
        <v>18</v>
      </c>
      <c r="K52" s="1" t="s">
        <v>18</v>
      </c>
      <c r="L52" s="1" t="s">
        <v>18</v>
      </c>
      <c r="M52" s="2" t="s">
        <v>18</v>
      </c>
      <c r="N52" s="1" t="s">
        <v>18</v>
      </c>
      <c r="O52" s="2" t="s">
        <v>18</v>
      </c>
    </row>
    <row r="53" customFormat="false" ht="15" hidden="false" customHeight="false" outlineLevel="0" collapsed="false">
      <c r="D53" s="0" t="n">
        <v>1</v>
      </c>
      <c r="E53" s="0" t="n">
        <v>1.63</v>
      </c>
      <c r="F53" s="0" t="n">
        <v>-11.58</v>
      </c>
      <c r="G53" s="2" t="n">
        <v>2.09</v>
      </c>
      <c r="H53" s="0" t="n">
        <v>-5.25</v>
      </c>
      <c r="I53" s="2" t="n">
        <v>2.09</v>
      </c>
      <c r="J53" s="1" t="s">
        <v>18</v>
      </c>
      <c r="K53" s="1" t="s">
        <v>18</v>
      </c>
      <c r="L53" s="1" t="s">
        <v>18</v>
      </c>
      <c r="M53" s="2" t="s">
        <v>18</v>
      </c>
      <c r="N53" s="1" t="s">
        <v>18</v>
      </c>
      <c r="O53" s="2" t="s">
        <v>18</v>
      </c>
    </row>
    <row r="54" customFormat="false" ht="15" hidden="false" customHeight="false" outlineLevel="0" collapsed="false">
      <c r="A54" s="1" t="n">
        <v>7</v>
      </c>
      <c r="B54" s="2" t="s">
        <v>24</v>
      </c>
      <c r="C54" s="0" t="n">
        <v>562.02</v>
      </c>
      <c r="D54" s="0" t="n">
        <v>4</v>
      </c>
      <c r="E54" s="0" t="n">
        <v>1.56</v>
      </c>
      <c r="F54" s="1" t="s">
        <v>18</v>
      </c>
      <c r="G54" s="2" t="s">
        <v>18</v>
      </c>
      <c r="H54" s="1" t="s">
        <v>18</v>
      </c>
      <c r="I54" s="2" t="s">
        <v>18</v>
      </c>
      <c r="J54" s="1" t="s">
        <v>18</v>
      </c>
      <c r="K54" s="1" t="s">
        <v>18</v>
      </c>
      <c r="L54" s="0" t="n">
        <v>5.51</v>
      </c>
      <c r="M54" s="2" t="n">
        <v>2.77</v>
      </c>
      <c r="N54" s="0" t="n">
        <v>10.12</v>
      </c>
      <c r="O54" s="2" t="n">
        <v>2.76</v>
      </c>
      <c r="P54" s="0" t="n">
        <v>5.77</v>
      </c>
      <c r="Q54" s="0" t="n">
        <v>0</v>
      </c>
    </row>
    <row r="55" customFormat="false" ht="15" hidden="false" customHeight="false" outlineLevel="0" collapsed="false">
      <c r="D55" s="0" t="n">
        <v>3</v>
      </c>
      <c r="E55" s="0" t="n">
        <v>1.05</v>
      </c>
      <c r="F55" s="1" t="s">
        <v>18</v>
      </c>
      <c r="G55" s="2" t="s">
        <v>18</v>
      </c>
      <c r="H55" s="1" t="s">
        <v>18</v>
      </c>
      <c r="I55" s="2" t="s">
        <v>18</v>
      </c>
      <c r="J55" s="1" t="s">
        <v>18</v>
      </c>
      <c r="K55" s="1" t="s">
        <v>18</v>
      </c>
      <c r="L55" s="0" t="n">
        <v>5.25</v>
      </c>
      <c r="M55" s="2" t="n">
        <v>2.52</v>
      </c>
      <c r="N55" s="0" t="n">
        <v>10.93</v>
      </c>
      <c r="O55" s="2" t="n">
        <v>2.52</v>
      </c>
    </row>
    <row r="56" customFormat="false" ht="15" hidden="false" customHeight="false" outlineLevel="0" collapsed="false">
      <c r="D56" s="0" t="n">
        <v>2</v>
      </c>
      <c r="E56" s="0" t="n">
        <v>1.53</v>
      </c>
      <c r="F56" s="1" t="s">
        <v>18</v>
      </c>
      <c r="G56" s="2" t="s">
        <v>18</v>
      </c>
      <c r="H56" s="1" t="s">
        <v>18</v>
      </c>
      <c r="I56" s="2" t="s">
        <v>18</v>
      </c>
      <c r="J56" s="1" t="s">
        <v>18</v>
      </c>
      <c r="K56" s="1" t="s">
        <v>18</v>
      </c>
      <c r="L56" s="0" t="n">
        <v>5.25</v>
      </c>
      <c r="M56" s="2" t="n">
        <v>2.34</v>
      </c>
      <c r="N56" s="0" t="n">
        <v>11.2</v>
      </c>
      <c r="O56" s="2" t="n">
        <v>2.34</v>
      </c>
    </row>
    <row r="57" customFormat="false" ht="15" hidden="false" customHeight="false" outlineLevel="0" collapsed="false">
      <c r="D57" s="0" t="n">
        <v>1</v>
      </c>
      <c r="E57" s="0" t="n">
        <v>1.63</v>
      </c>
      <c r="F57" s="1" t="s">
        <v>18</v>
      </c>
      <c r="G57" s="2" t="s">
        <v>18</v>
      </c>
      <c r="H57" s="1" t="s">
        <v>18</v>
      </c>
      <c r="I57" s="2" t="s">
        <v>18</v>
      </c>
      <c r="J57" s="1" t="s">
        <v>18</v>
      </c>
      <c r="K57" s="1" t="s">
        <v>18</v>
      </c>
      <c r="L57" s="0" t="n">
        <v>5.25</v>
      </c>
      <c r="M57" s="2" t="n">
        <v>2.09</v>
      </c>
      <c r="N57" s="0" t="n">
        <v>11.58</v>
      </c>
      <c r="O57" s="2" t="n">
        <v>2.09</v>
      </c>
    </row>
    <row r="58" customFormat="false" ht="15" hidden="false" customHeight="false" outlineLevel="0" collapsed="false">
      <c r="A58" s="1" t="n">
        <v>8</v>
      </c>
      <c r="B58" s="2" t="s">
        <v>25</v>
      </c>
      <c r="C58" s="0" t="n">
        <v>568.57</v>
      </c>
      <c r="D58" s="0" t="n">
        <v>4</v>
      </c>
      <c r="E58" s="0" t="n">
        <v>1.56</v>
      </c>
      <c r="F58" s="0" t="n">
        <v>-10.12</v>
      </c>
      <c r="G58" s="2" t="n">
        <v>2.86</v>
      </c>
      <c r="H58" s="0" t="n">
        <v>-5.51</v>
      </c>
      <c r="I58" s="2" t="n">
        <v>2.58</v>
      </c>
      <c r="J58" s="1" t="s">
        <v>18</v>
      </c>
      <c r="K58" s="1" t="s">
        <v>18</v>
      </c>
      <c r="L58" s="1" t="s">
        <v>18</v>
      </c>
      <c r="M58" s="2" t="s">
        <v>18</v>
      </c>
      <c r="N58" s="1" t="s">
        <v>18</v>
      </c>
      <c r="O58" s="2" t="s">
        <v>18</v>
      </c>
      <c r="P58" s="0" t="n">
        <v>5.77</v>
      </c>
      <c r="Q58" s="0" t="n">
        <v>0</v>
      </c>
    </row>
    <row r="59" customFormat="false" ht="15" hidden="false" customHeight="false" outlineLevel="0" collapsed="false">
      <c r="D59" s="0" t="n">
        <v>3</v>
      </c>
      <c r="E59" s="0" t="n">
        <v>1.05</v>
      </c>
      <c r="F59" s="0" t="n">
        <v>-10.93</v>
      </c>
      <c r="G59" s="2" t="n">
        <v>2.52</v>
      </c>
      <c r="H59" s="0" t="n">
        <v>-5.25</v>
      </c>
      <c r="I59" s="2" t="n">
        <v>2.52</v>
      </c>
      <c r="J59" s="1" t="s">
        <v>18</v>
      </c>
      <c r="K59" s="1" t="s">
        <v>18</v>
      </c>
      <c r="L59" s="1" t="s">
        <v>18</v>
      </c>
      <c r="M59" s="2" t="s">
        <v>18</v>
      </c>
      <c r="N59" s="1" t="s">
        <v>18</v>
      </c>
      <c r="O59" s="2" t="s">
        <v>18</v>
      </c>
    </row>
    <row r="60" customFormat="false" ht="15" hidden="false" customHeight="false" outlineLevel="0" collapsed="false">
      <c r="D60" s="0" t="n">
        <v>2</v>
      </c>
      <c r="E60" s="0" t="n">
        <v>1.53</v>
      </c>
      <c r="F60" s="0" t="n">
        <v>-11.2</v>
      </c>
      <c r="G60" s="2" t="n">
        <v>2.34</v>
      </c>
      <c r="H60" s="0" t="n">
        <v>-5.25</v>
      </c>
      <c r="I60" s="2" t="n">
        <v>2.34</v>
      </c>
      <c r="J60" s="1" t="s">
        <v>18</v>
      </c>
      <c r="K60" s="1" t="s">
        <v>18</v>
      </c>
      <c r="L60" s="1" t="s">
        <v>18</v>
      </c>
      <c r="M60" s="2" t="s">
        <v>18</v>
      </c>
      <c r="N60" s="1" t="s">
        <v>18</v>
      </c>
      <c r="O60" s="2" t="s">
        <v>18</v>
      </c>
    </row>
    <row r="61" customFormat="false" ht="15" hidden="false" customHeight="false" outlineLevel="0" collapsed="false">
      <c r="D61" s="0" t="n">
        <v>1</v>
      </c>
      <c r="E61" s="0" t="n">
        <v>1.63</v>
      </c>
      <c r="F61" s="0" t="n">
        <v>-11.58</v>
      </c>
      <c r="G61" s="2" t="n">
        <v>2.09</v>
      </c>
      <c r="H61" s="0" t="n">
        <v>-5.25</v>
      </c>
      <c r="I61" s="2" t="n">
        <v>2.09</v>
      </c>
      <c r="J61" s="1" t="s">
        <v>18</v>
      </c>
      <c r="K61" s="1" t="s">
        <v>18</v>
      </c>
      <c r="L61" s="1" t="s">
        <v>18</v>
      </c>
      <c r="M61" s="2" t="s">
        <v>18</v>
      </c>
      <c r="N61" s="1" t="s">
        <v>18</v>
      </c>
      <c r="O61" s="2" t="s">
        <v>18</v>
      </c>
    </row>
    <row r="62" customFormat="false" ht="15" hidden="false" customHeight="false" outlineLevel="0" collapsed="false">
      <c r="A62" s="1" t="n">
        <v>8</v>
      </c>
      <c r="B62" s="2" t="s">
        <v>25</v>
      </c>
      <c r="C62" s="0" t="n">
        <v>568.57</v>
      </c>
      <c r="D62" s="0" t="n">
        <v>4</v>
      </c>
      <c r="E62" s="0" t="n">
        <v>1.56</v>
      </c>
      <c r="F62" s="1" t="s">
        <v>18</v>
      </c>
      <c r="G62" s="2" t="s">
        <v>18</v>
      </c>
      <c r="H62" s="1" t="s">
        <v>18</v>
      </c>
      <c r="I62" s="2" t="s">
        <v>18</v>
      </c>
      <c r="J62" s="1" t="s">
        <v>18</v>
      </c>
      <c r="K62" s="1" t="s">
        <v>18</v>
      </c>
      <c r="L62" s="0" t="n">
        <v>5.51</v>
      </c>
      <c r="M62" s="2" t="n">
        <v>2.77</v>
      </c>
      <c r="N62" s="0" t="n">
        <v>10.12</v>
      </c>
      <c r="O62" s="2" t="n">
        <v>2.76</v>
      </c>
      <c r="P62" s="0" t="n">
        <v>5.77</v>
      </c>
      <c r="Q62" s="0" t="n">
        <v>0</v>
      </c>
    </row>
    <row r="63" customFormat="false" ht="15" hidden="false" customHeight="false" outlineLevel="0" collapsed="false">
      <c r="D63" s="0" t="n">
        <v>3</v>
      </c>
      <c r="E63" s="0" t="n">
        <v>1.05</v>
      </c>
      <c r="F63" s="1" t="s">
        <v>18</v>
      </c>
      <c r="G63" s="2" t="s">
        <v>18</v>
      </c>
      <c r="H63" s="1" t="s">
        <v>18</v>
      </c>
      <c r="I63" s="2" t="s">
        <v>18</v>
      </c>
      <c r="J63" s="1" t="s">
        <v>18</v>
      </c>
      <c r="K63" s="1" t="s">
        <v>18</v>
      </c>
      <c r="L63" s="0" t="n">
        <v>5.25</v>
      </c>
      <c r="M63" s="2" t="n">
        <v>2.52</v>
      </c>
      <c r="N63" s="0" t="n">
        <v>10.93</v>
      </c>
      <c r="O63" s="2" t="n">
        <v>2.52</v>
      </c>
    </row>
    <row r="64" customFormat="false" ht="15" hidden="false" customHeight="false" outlineLevel="0" collapsed="false">
      <c r="D64" s="0" t="n">
        <v>2</v>
      </c>
      <c r="E64" s="0" t="n">
        <v>1.53</v>
      </c>
      <c r="F64" s="1" t="s">
        <v>18</v>
      </c>
      <c r="G64" s="2" t="s">
        <v>18</v>
      </c>
      <c r="H64" s="1" t="s">
        <v>18</v>
      </c>
      <c r="I64" s="2" t="s">
        <v>18</v>
      </c>
      <c r="J64" s="1" t="s">
        <v>18</v>
      </c>
      <c r="K64" s="1" t="s">
        <v>18</v>
      </c>
      <c r="L64" s="0" t="n">
        <v>5.25</v>
      </c>
      <c r="M64" s="2" t="n">
        <v>2.34</v>
      </c>
      <c r="N64" s="0" t="n">
        <v>11.2</v>
      </c>
      <c r="O64" s="2" t="n">
        <v>2.34</v>
      </c>
    </row>
    <row r="65" customFormat="false" ht="15" hidden="false" customHeight="false" outlineLevel="0" collapsed="false">
      <c r="D65" s="0" t="n">
        <v>1</v>
      </c>
      <c r="E65" s="0" t="n">
        <v>1.63</v>
      </c>
      <c r="F65" s="1" t="s">
        <v>18</v>
      </c>
      <c r="G65" s="2" t="s">
        <v>18</v>
      </c>
      <c r="H65" s="1" t="s">
        <v>18</v>
      </c>
      <c r="I65" s="2" t="s">
        <v>18</v>
      </c>
      <c r="J65" s="1" t="s">
        <v>18</v>
      </c>
      <c r="K65" s="1" t="s">
        <v>18</v>
      </c>
      <c r="L65" s="0" t="n">
        <v>5.25</v>
      </c>
      <c r="M65" s="2" t="n">
        <v>2.09</v>
      </c>
      <c r="N65" s="0" t="n">
        <v>11.58</v>
      </c>
      <c r="O65" s="2" t="n">
        <v>2.09</v>
      </c>
    </row>
    <row r="66" customFormat="false" ht="15" hidden="false" customHeight="false" outlineLevel="0" collapsed="false">
      <c r="A66" s="1" t="n">
        <v>9</v>
      </c>
      <c r="B66" s="2" t="s">
        <v>1</v>
      </c>
      <c r="C66" s="0" t="n">
        <v>575.12</v>
      </c>
      <c r="D66" s="0" t="n">
        <v>4</v>
      </c>
      <c r="E66" s="0" t="n">
        <v>1.56</v>
      </c>
      <c r="F66" s="0" t="n">
        <v>-10.12</v>
      </c>
      <c r="G66" s="2" t="n">
        <v>2.86</v>
      </c>
      <c r="H66" s="0" t="n">
        <v>-5.51</v>
      </c>
      <c r="I66" s="2" t="n">
        <v>2.57</v>
      </c>
      <c r="J66" s="1" t="s">
        <v>18</v>
      </c>
      <c r="K66" s="1" t="s">
        <v>18</v>
      </c>
      <c r="L66" s="1" t="s">
        <v>18</v>
      </c>
      <c r="M66" s="2" t="s">
        <v>18</v>
      </c>
      <c r="N66" s="1" t="s">
        <v>18</v>
      </c>
      <c r="O66" s="2" t="s">
        <v>18</v>
      </c>
      <c r="P66" s="0" t="n">
        <v>5.77</v>
      </c>
      <c r="Q66" s="0" t="n">
        <v>0</v>
      </c>
    </row>
    <row r="67" customFormat="false" ht="15" hidden="false" customHeight="false" outlineLevel="0" collapsed="false">
      <c r="D67" s="0" t="n">
        <v>3</v>
      </c>
      <c r="E67" s="0" t="n">
        <v>1.05</v>
      </c>
      <c r="F67" s="0" t="n">
        <v>-10.93</v>
      </c>
      <c r="G67" s="2" t="n">
        <v>2.52</v>
      </c>
      <c r="H67" s="0" t="n">
        <v>-5.25</v>
      </c>
      <c r="I67" s="2" t="n">
        <v>2.52</v>
      </c>
      <c r="J67" s="1" t="s">
        <v>18</v>
      </c>
      <c r="K67" s="1" t="s">
        <v>18</v>
      </c>
      <c r="L67" s="1" t="s">
        <v>18</v>
      </c>
      <c r="M67" s="2" t="s">
        <v>18</v>
      </c>
      <c r="N67" s="1" t="s">
        <v>18</v>
      </c>
      <c r="O67" s="2" t="s">
        <v>18</v>
      </c>
    </row>
    <row r="68" customFormat="false" ht="15" hidden="false" customHeight="false" outlineLevel="0" collapsed="false">
      <c r="D68" s="0" t="n">
        <v>2</v>
      </c>
      <c r="E68" s="0" t="n">
        <v>1.53</v>
      </c>
      <c r="F68" s="0" t="n">
        <v>-11.2</v>
      </c>
      <c r="G68" s="2" t="n">
        <v>2.34</v>
      </c>
      <c r="H68" s="0" t="n">
        <v>-5.25</v>
      </c>
      <c r="I68" s="2" t="n">
        <v>2.34</v>
      </c>
      <c r="J68" s="1" t="s">
        <v>18</v>
      </c>
      <c r="K68" s="1" t="s">
        <v>18</v>
      </c>
      <c r="L68" s="1" t="s">
        <v>18</v>
      </c>
      <c r="M68" s="2" t="s">
        <v>18</v>
      </c>
      <c r="N68" s="1" t="s">
        <v>18</v>
      </c>
      <c r="O68" s="2" t="s">
        <v>18</v>
      </c>
    </row>
    <row r="69" customFormat="false" ht="15" hidden="false" customHeight="false" outlineLevel="0" collapsed="false">
      <c r="D69" s="0" t="n">
        <v>1</v>
      </c>
      <c r="E69" s="0" t="n">
        <v>1.63</v>
      </c>
      <c r="F69" s="0" t="n">
        <v>-11.58</v>
      </c>
      <c r="G69" s="2" t="n">
        <v>2.09</v>
      </c>
      <c r="H69" s="0" t="n">
        <v>-5.25</v>
      </c>
      <c r="I69" s="2" t="n">
        <v>2.09</v>
      </c>
      <c r="J69" s="1" t="s">
        <v>18</v>
      </c>
      <c r="K69" s="1" t="s">
        <v>18</v>
      </c>
      <c r="L69" s="1" t="s">
        <v>18</v>
      </c>
      <c r="M69" s="2" t="s">
        <v>18</v>
      </c>
      <c r="N69" s="1" t="s">
        <v>18</v>
      </c>
      <c r="O69" s="2" t="s">
        <v>18</v>
      </c>
    </row>
    <row r="70" customFormat="false" ht="15" hidden="false" customHeight="false" outlineLevel="0" collapsed="false">
      <c r="A70" s="1" t="n">
        <v>9</v>
      </c>
      <c r="B70" s="2" t="s">
        <v>1</v>
      </c>
      <c r="C70" s="0" t="n">
        <v>575.12</v>
      </c>
      <c r="D70" s="0" t="n">
        <v>4</v>
      </c>
      <c r="E70" s="0" t="n">
        <v>1.56</v>
      </c>
      <c r="F70" s="1" t="s">
        <v>18</v>
      </c>
      <c r="G70" s="2" t="s">
        <v>18</v>
      </c>
      <c r="H70" s="1" t="s">
        <v>18</v>
      </c>
      <c r="I70" s="2" t="s">
        <v>18</v>
      </c>
      <c r="J70" s="1" t="s">
        <v>18</v>
      </c>
      <c r="K70" s="1" t="s">
        <v>18</v>
      </c>
      <c r="L70" s="0" t="n">
        <v>5.51</v>
      </c>
      <c r="M70" s="2" t="n">
        <v>2.76</v>
      </c>
      <c r="N70" s="0" t="n">
        <v>10.12</v>
      </c>
      <c r="O70" s="2" t="n">
        <v>2.76</v>
      </c>
      <c r="P70" s="0" t="n">
        <v>5.77</v>
      </c>
      <c r="Q70" s="0" t="n">
        <v>0</v>
      </c>
    </row>
    <row r="71" customFormat="false" ht="15" hidden="false" customHeight="false" outlineLevel="0" collapsed="false">
      <c r="D71" s="0" t="n">
        <v>3</v>
      </c>
      <c r="E71" s="0" t="n">
        <v>1.05</v>
      </c>
      <c r="F71" s="1" t="s">
        <v>18</v>
      </c>
      <c r="G71" s="2" t="s">
        <v>18</v>
      </c>
      <c r="H71" s="1" t="s">
        <v>18</v>
      </c>
      <c r="I71" s="2" t="s">
        <v>18</v>
      </c>
      <c r="J71" s="1" t="s">
        <v>18</v>
      </c>
      <c r="K71" s="1" t="s">
        <v>18</v>
      </c>
      <c r="L71" s="0" t="n">
        <v>5.25</v>
      </c>
      <c r="M71" s="2" t="n">
        <v>2.52</v>
      </c>
      <c r="N71" s="0" t="n">
        <v>10.93</v>
      </c>
      <c r="O71" s="2" t="n">
        <v>2.52</v>
      </c>
    </row>
    <row r="72" customFormat="false" ht="15" hidden="false" customHeight="false" outlineLevel="0" collapsed="false">
      <c r="D72" s="0" t="n">
        <v>2</v>
      </c>
      <c r="E72" s="0" t="n">
        <v>1.53</v>
      </c>
      <c r="F72" s="1" t="s">
        <v>18</v>
      </c>
      <c r="G72" s="2" t="s">
        <v>18</v>
      </c>
      <c r="H72" s="1" t="s">
        <v>18</v>
      </c>
      <c r="I72" s="2" t="s">
        <v>18</v>
      </c>
      <c r="J72" s="1" t="s">
        <v>18</v>
      </c>
      <c r="K72" s="1" t="s">
        <v>18</v>
      </c>
      <c r="L72" s="0" t="n">
        <v>5.25</v>
      </c>
      <c r="M72" s="2" t="n">
        <v>2.34</v>
      </c>
      <c r="N72" s="0" t="n">
        <v>11.2</v>
      </c>
      <c r="O72" s="2" t="n">
        <v>2.34</v>
      </c>
    </row>
    <row r="73" customFormat="false" ht="15" hidden="false" customHeight="false" outlineLevel="0" collapsed="false">
      <c r="D73" s="0" t="n">
        <v>1</v>
      </c>
      <c r="E73" s="0" t="n">
        <v>1.63</v>
      </c>
      <c r="F73" s="1" t="s">
        <v>18</v>
      </c>
      <c r="G73" s="2" t="s">
        <v>18</v>
      </c>
      <c r="H73" s="1" t="s">
        <v>18</v>
      </c>
      <c r="I73" s="2" t="s">
        <v>18</v>
      </c>
      <c r="J73" s="1" t="s">
        <v>18</v>
      </c>
      <c r="K73" s="1" t="s">
        <v>18</v>
      </c>
      <c r="L73" s="0" t="n">
        <v>5.25</v>
      </c>
      <c r="M73" s="2" t="n">
        <v>2.09</v>
      </c>
      <c r="N73" s="0" t="n">
        <v>11.58</v>
      </c>
      <c r="O73" s="2" t="n">
        <v>2.09</v>
      </c>
    </row>
    <row r="74" customFormat="false" ht="15" hidden="false" customHeight="false" outlineLevel="0" collapsed="false">
      <c r="A74" s="1" t="n">
        <v>10</v>
      </c>
      <c r="B74" s="2" t="s">
        <v>26</v>
      </c>
      <c r="C74" s="0" t="n">
        <v>575.16</v>
      </c>
      <c r="D74" s="0" t="n">
        <v>4</v>
      </c>
      <c r="E74" s="0" t="n">
        <v>1.56</v>
      </c>
      <c r="F74" s="0" t="n">
        <v>-10.12</v>
      </c>
      <c r="G74" s="2" t="n">
        <v>2.99</v>
      </c>
      <c r="H74" s="0" t="n">
        <v>-5.51</v>
      </c>
      <c r="I74" s="2" t="n">
        <v>2.7</v>
      </c>
      <c r="J74" s="1" t="s">
        <v>18</v>
      </c>
      <c r="K74" s="1" t="s">
        <v>18</v>
      </c>
      <c r="L74" s="1" t="s">
        <v>18</v>
      </c>
      <c r="M74" s="2" t="s">
        <v>18</v>
      </c>
      <c r="N74" s="1" t="s">
        <v>18</v>
      </c>
      <c r="O74" s="2" t="s">
        <v>18</v>
      </c>
      <c r="P74" s="0" t="n">
        <v>5.77</v>
      </c>
      <c r="Q74" s="0" t="n">
        <v>0</v>
      </c>
    </row>
    <row r="75" customFormat="false" ht="15" hidden="false" customHeight="false" outlineLevel="0" collapsed="false">
      <c r="D75" s="0" t="n">
        <v>3</v>
      </c>
      <c r="E75" s="0" t="n">
        <v>1.05</v>
      </c>
      <c r="F75" s="0" t="n">
        <v>-10.93</v>
      </c>
      <c r="G75" s="2" t="n">
        <v>2.65</v>
      </c>
      <c r="H75" s="0" t="n">
        <v>-5.25</v>
      </c>
      <c r="I75" s="2" t="n">
        <v>2.65</v>
      </c>
      <c r="J75" s="1" t="s">
        <v>18</v>
      </c>
      <c r="K75" s="1" t="s">
        <v>18</v>
      </c>
      <c r="L75" s="1" t="s">
        <v>18</v>
      </c>
      <c r="M75" s="2" t="s">
        <v>18</v>
      </c>
      <c r="N75" s="1" t="s">
        <v>18</v>
      </c>
      <c r="O75" s="2" t="s">
        <v>18</v>
      </c>
    </row>
    <row r="76" customFormat="false" ht="15" hidden="false" customHeight="false" outlineLevel="0" collapsed="false">
      <c r="D76" s="0" t="n">
        <v>2</v>
      </c>
      <c r="E76" s="0" t="n">
        <v>1.53</v>
      </c>
      <c r="F76" s="0" t="n">
        <v>-11.2</v>
      </c>
      <c r="G76" s="2" t="n">
        <v>2.47</v>
      </c>
      <c r="H76" s="0" t="n">
        <v>-5.25</v>
      </c>
      <c r="I76" s="2" t="n">
        <v>2.47</v>
      </c>
      <c r="J76" s="1" t="s">
        <v>18</v>
      </c>
      <c r="K76" s="1" t="s">
        <v>18</v>
      </c>
      <c r="L76" s="1" t="s">
        <v>18</v>
      </c>
      <c r="M76" s="2" t="s">
        <v>18</v>
      </c>
      <c r="N76" s="1" t="s">
        <v>18</v>
      </c>
      <c r="O76" s="2" t="s">
        <v>18</v>
      </c>
    </row>
    <row r="77" customFormat="false" ht="15" hidden="false" customHeight="false" outlineLevel="0" collapsed="false">
      <c r="D77" s="0" t="n">
        <v>1</v>
      </c>
      <c r="E77" s="0" t="n">
        <v>1.63</v>
      </c>
      <c r="F77" s="0" t="n">
        <v>-11.58</v>
      </c>
      <c r="G77" s="2" t="n">
        <v>2.22</v>
      </c>
      <c r="H77" s="0" t="n">
        <v>-5.25</v>
      </c>
      <c r="I77" s="2" t="n">
        <v>2.22</v>
      </c>
      <c r="J77" s="1" t="s">
        <v>18</v>
      </c>
      <c r="K77" s="1" t="s">
        <v>18</v>
      </c>
      <c r="L77" s="1" t="s">
        <v>18</v>
      </c>
      <c r="M77" s="2" t="s">
        <v>18</v>
      </c>
      <c r="N77" s="1" t="s">
        <v>18</v>
      </c>
      <c r="O77" s="2" t="s">
        <v>18</v>
      </c>
    </row>
    <row r="78" customFormat="false" ht="15" hidden="false" customHeight="false" outlineLevel="0" collapsed="false">
      <c r="A78" s="1" t="n">
        <v>10</v>
      </c>
      <c r="B78" s="2" t="s">
        <v>26</v>
      </c>
      <c r="C78" s="0" t="n">
        <v>575.16</v>
      </c>
      <c r="D78" s="0" t="n">
        <v>4</v>
      </c>
      <c r="E78" s="0" t="n">
        <v>1.56</v>
      </c>
      <c r="F78" s="1" t="s">
        <v>18</v>
      </c>
      <c r="G78" s="2" t="s">
        <v>18</v>
      </c>
      <c r="H78" s="1" t="s">
        <v>18</v>
      </c>
      <c r="I78" s="2" t="s">
        <v>18</v>
      </c>
      <c r="J78" s="1" t="s">
        <v>18</v>
      </c>
      <c r="K78" s="1" t="s">
        <v>18</v>
      </c>
      <c r="L78" s="0" t="n">
        <v>5.51</v>
      </c>
      <c r="M78" s="2" t="n">
        <v>2.76</v>
      </c>
      <c r="N78" s="0" t="n">
        <v>10.12</v>
      </c>
      <c r="O78" s="2" t="n">
        <v>2.76</v>
      </c>
      <c r="P78" s="0" t="n">
        <v>5.77</v>
      </c>
      <c r="Q78" s="0" t="n">
        <v>0</v>
      </c>
    </row>
    <row r="79" customFormat="false" ht="15" hidden="false" customHeight="false" outlineLevel="0" collapsed="false">
      <c r="D79" s="0" t="n">
        <v>3</v>
      </c>
      <c r="E79" s="0" t="n">
        <v>1.05</v>
      </c>
      <c r="F79" s="1" t="s">
        <v>18</v>
      </c>
      <c r="G79" s="2" t="s">
        <v>18</v>
      </c>
      <c r="H79" s="1" t="s">
        <v>18</v>
      </c>
      <c r="I79" s="2" t="s">
        <v>18</v>
      </c>
      <c r="J79" s="1" t="s">
        <v>18</v>
      </c>
      <c r="K79" s="1" t="s">
        <v>18</v>
      </c>
      <c r="L79" s="0" t="n">
        <v>5.25</v>
      </c>
      <c r="M79" s="2" t="n">
        <v>2.52</v>
      </c>
      <c r="N79" s="0" t="n">
        <v>10.93</v>
      </c>
      <c r="O79" s="2" t="n">
        <v>2.52</v>
      </c>
    </row>
    <row r="80" customFormat="false" ht="15" hidden="false" customHeight="false" outlineLevel="0" collapsed="false">
      <c r="D80" s="0" t="n">
        <v>2</v>
      </c>
      <c r="E80" s="0" t="n">
        <v>1.53</v>
      </c>
      <c r="F80" s="1" t="s">
        <v>18</v>
      </c>
      <c r="G80" s="2" t="s">
        <v>18</v>
      </c>
      <c r="H80" s="1" t="s">
        <v>18</v>
      </c>
      <c r="I80" s="2" t="s">
        <v>18</v>
      </c>
      <c r="J80" s="1" t="s">
        <v>18</v>
      </c>
      <c r="K80" s="1" t="s">
        <v>18</v>
      </c>
      <c r="L80" s="0" t="n">
        <v>5.25</v>
      </c>
      <c r="M80" s="2" t="n">
        <v>2.34</v>
      </c>
      <c r="N80" s="0" t="n">
        <v>11.2</v>
      </c>
      <c r="O80" s="2" t="n">
        <v>2.34</v>
      </c>
    </row>
    <row r="81" customFormat="false" ht="15" hidden="false" customHeight="false" outlineLevel="0" collapsed="false">
      <c r="D81" s="0" t="n">
        <v>1</v>
      </c>
      <c r="E81" s="0" t="n">
        <v>1.63</v>
      </c>
      <c r="F81" s="1" t="s">
        <v>18</v>
      </c>
      <c r="G81" s="2" t="s">
        <v>18</v>
      </c>
      <c r="H81" s="1" t="s">
        <v>18</v>
      </c>
      <c r="I81" s="2" t="s">
        <v>18</v>
      </c>
      <c r="J81" s="1" t="s">
        <v>18</v>
      </c>
      <c r="K81" s="1" t="s">
        <v>18</v>
      </c>
      <c r="L81" s="0" t="n">
        <v>5.25</v>
      </c>
      <c r="M81" s="2" t="n">
        <v>2.09</v>
      </c>
      <c r="N81" s="0" t="n">
        <v>11.58</v>
      </c>
      <c r="O81" s="2" t="n">
        <v>2.09</v>
      </c>
    </row>
    <row r="82" customFormat="false" ht="15" hidden="false" customHeight="false" outlineLevel="0" collapsed="false">
      <c r="A82" s="1" t="n">
        <v>11</v>
      </c>
      <c r="B82" s="2" t="s">
        <v>27</v>
      </c>
      <c r="C82" s="0" t="n">
        <v>592.11</v>
      </c>
      <c r="D82" s="0" t="n">
        <v>4</v>
      </c>
      <c r="E82" s="0" t="n">
        <v>1.56</v>
      </c>
      <c r="F82" s="0" t="n">
        <v>-10.12</v>
      </c>
      <c r="G82" s="2" t="n">
        <v>2.86</v>
      </c>
      <c r="H82" s="0" t="n">
        <v>-5.51</v>
      </c>
      <c r="I82" s="2" t="n">
        <v>2.58</v>
      </c>
      <c r="J82" s="1" t="s">
        <v>18</v>
      </c>
      <c r="K82" s="1" t="s">
        <v>18</v>
      </c>
      <c r="L82" s="1" t="s">
        <v>18</v>
      </c>
      <c r="M82" s="2" t="s">
        <v>18</v>
      </c>
      <c r="N82" s="1" t="s">
        <v>18</v>
      </c>
      <c r="O82" s="2" t="s">
        <v>18</v>
      </c>
      <c r="P82" s="0" t="n">
        <v>5.77</v>
      </c>
      <c r="Q82" s="0" t="n">
        <v>0</v>
      </c>
    </row>
    <row r="83" customFormat="false" ht="15" hidden="false" customHeight="false" outlineLevel="0" collapsed="false">
      <c r="D83" s="0" t="n">
        <v>3</v>
      </c>
      <c r="E83" s="0" t="n">
        <v>1.05</v>
      </c>
      <c r="F83" s="0" t="n">
        <v>-10.93</v>
      </c>
      <c r="G83" s="2" t="n">
        <v>2.52</v>
      </c>
      <c r="H83" s="0" t="n">
        <v>-5.25</v>
      </c>
      <c r="I83" s="2" t="n">
        <v>2.52</v>
      </c>
      <c r="J83" s="1" t="s">
        <v>18</v>
      </c>
      <c r="K83" s="1" t="s">
        <v>18</v>
      </c>
      <c r="L83" s="1" t="s">
        <v>18</v>
      </c>
      <c r="M83" s="2" t="s">
        <v>18</v>
      </c>
      <c r="N83" s="1" t="s">
        <v>18</v>
      </c>
      <c r="O83" s="2" t="s">
        <v>18</v>
      </c>
    </row>
    <row r="84" customFormat="false" ht="15" hidden="false" customHeight="false" outlineLevel="0" collapsed="false">
      <c r="D84" s="0" t="n">
        <v>2</v>
      </c>
      <c r="E84" s="0" t="n">
        <v>1.53</v>
      </c>
      <c r="F84" s="0" t="n">
        <v>-11.2</v>
      </c>
      <c r="G84" s="2" t="n">
        <v>2.34</v>
      </c>
      <c r="H84" s="0" t="n">
        <v>-5.25</v>
      </c>
      <c r="I84" s="2" t="n">
        <v>2.34</v>
      </c>
      <c r="J84" s="1" t="s">
        <v>18</v>
      </c>
      <c r="K84" s="1" t="s">
        <v>18</v>
      </c>
      <c r="L84" s="1" t="s">
        <v>18</v>
      </c>
      <c r="M84" s="2" t="s">
        <v>18</v>
      </c>
      <c r="N84" s="1" t="s">
        <v>18</v>
      </c>
      <c r="O84" s="2" t="s">
        <v>18</v>
      </c>
    </row>
    <row r="85" customFormat="false" ht="15" hidden="false" customHeight="false" outlineLevel="0" collapsed="false">
      <c r="D85" s="0" t="n">
        <v>1</v>
      </c>
      <c r="E85" s="0" t="n">
        <v>1.63</v>
      </c>
      <c r="F85" s="0" t="n">
        <v>-11.58</v>
      </c>
      <c r="G85" s="2" t="n">
        <v>2.09</v>
      </c>
      <c r="H85" s="0" t="n">
        <v>-5.25</v>
      </c>
      <c r="I85" s="2" t="n">
        <v>2.09</v>
      </c>
      <c r="J85" s="1" t="s">
        <v>18</v>
      </c>
      <c r="K85" s="1" t="s">
        <v>18</v>
      </c>
      <c r="L85" s="1" t="s">
        <v>18</v>
      </c>
      <c r="M85" s="2" t="s">
        <v>18</v>
      </c>
      <c r="N85" s="1" t="s">
        <v>18</v>
      </c>
      <c r="O85" s="2" t="s">
        <v>18</v>
      </c>
    </row>
    <row r="86" customFormat="false" ht="15" hidden="false" customHeight="false" outlineLevel="0" collapsed="false">
      <c r="A86" s="1" t="n">
        <v>11</v>
      </c>
      <c r="B86" s="2" t="s">
        <v>27</v>
      </c>
      <c r="C86" s="0" t="n">
        <v>592.11</v>
      </c>
      <c r="D86" s="0" t="n">
        <v>4</v>
      </c>
      <c r="E86" s="0" t="n">
        <v>1.56</v>
      </c>
      <c r="F86" s="1" t="s">
        <v>18</v>
      </c>
      <c r="G86" s="2" t="s">
        <v>18</v>
      </c>
      <c r="H86" s="1" t="s">
        <v>18</v>
      </c>
      <c r="I86" s="2" t="s">
        <v>18</v>
      </c>
      <c r="J86" s="1" t="s">
        <v>18</v>
      </c>
      <c r="K86" s="1" t="s">
        <v>18</v>
      </c>
      <c r="L86" s="0" t="n">
        <v>5.51</v>
      </c>
      <c r="M86" s="2" t="n">
        <v>2.77</v>
      </c>
      <c r="N86" s="0" t="n">
        <v>10.12</v>
      </c>
      <c r="O86" s="2" t="n">
        <v>2.76</v>
      </c>
      <c r="P86" s="0" t="n">
        <v>5.77</v>
      </c>
      <c r="Q86" s="0" t="n">
        <v>0</v>
      </c>
    </row>
    <row r="87" customFormat="false" ht="15" hidden="false" customHeight="false" outlineLevel="0" collapsed="false">
      <c r="D87" s="0" t="n">
        <v>3</v>
      </c>
      <c r="E87" s="0" t="n">
        <v>1.05</v>
      </c>
      <c r="F87" s="1" t="s">
        <v>18</v>
      </c>
      <c r="G87" s="2" t="s">
        <v>18</v>
      </c>
      <c r="H87" s="1" t="s">
        <v>18</v>
      </c>
      <c r="I87" s="2" t="s">
        <v>18</v>
      </c>
      <c r="J87" s="1" t="s">
        <v>18</v>
      </c>
      <c r="K87" s="1" t="s">
        <v>18</v>
      </c>
      <c r="L87" s="0" t="n">
        <v>5.25</v>
      </c>
      <c r="M87" s="2" t="n">
        <v>2.52</v>
      </c>
      <c r="N87" s="0" t="n">
        <v>10.93</v>
      </c>
      <c r="O87" s="2" t="n">
        <v>2.52</v>
      </c>
    </row>
    <row r="88" customFormat="false" ht="15" hidden="false" customHeight="false" outlineLevel="0" collapsed="false">
      <c r="D88" s="0" t="n">
        <v>2</v>
      </c>
      <c r="E88" s="0" t="n">
        <v>1.53</v>
      </c>
      <c r="F88" s="1" t="s">
        <v>18</v>
      </c>
      <c r="G88" s="2" t="s">
        <v>18</v>
      </c>
      <c r="H88" s="1" t="s">
        <v>18</v>
      </c>
      <c r="I88" s="2" t="s">
        <v>18</v>
      </c>
      <c r="J88" s="1" t="s">
        <v>18</v>
      </c>
      <c r="K88" s="1" t="s">
        <v>18</v>
      </c>
      <c r="L88" s="0" t="n">
        <v>5.25</v>
      </c>
      <c r="M88" s="2" t="n">
        <v>2.34</v>
      </c>
      <c r="N88" s="0" t="n">
        <v>11.2</v>
      </c>
      <c r="O88" s="2" t="n">
        <v>2.34</v>
      </c>
    </row>
    <row r="89" customFormat="false" ht="15" hidden="false" customHeight="false" outlineLevel="0" collapsed="false">
      <c r="D89" s="0" t="n">
        <v>1</v>
      </c>
      <c r="E89" s="0" t="n">
        <v>1.63</v>
      </c>
      <c r="F89" s="1" t="s">
        <v>18</v>
      </c>
      <c r="G89" s="2" t="s">
        <v>18</v>
      </c>
      <c r="H89" s="1" t="s">
        <v>18</v>
      </c>
      <c r="I89" s="2" t="s">
        <v>18</v>
      </c>
      <c r="J89" s="1" t="s">
        <v>18</v>
      </c>
      <c r="K89" s="1" t="s">
        <v>18</v>
      </c>
      <c r="L89" s="0" t="n">
        <v>5.25</v>
      </c>
      <c r="M89" s="2" t="n">
        <v>2.09</v>
      </c>
      <c r="N89" s="0" t="n">
        <v>11.58</v>
      </c>
      <c r="O89" s="2" t="n">
        <v>2.09</v>
      </c>
    </row>
    <row r="90" customFormat="false" ht="15" hidden="false" customHeight="false" outlineLevel="0" collapsed="false">
      <c r="A90" s="1" t="n">
        <v>12</v>
      </c>
      <c r="B90" s="2" t="s">
        <v>28</v>
      </c>
      <c r="C90" s="0" t="n">
        <v>609.11</v>
      </c>
      <c r="D90" s="0" t="n">
        <v>4</v>
      </c>
      <c r="E90" s="0" t="n">
        <v>1.56</v>
      </c>
      <c r="F90" s="0" t="n">
        <v>-10.12</v>
      </c>
      <c r="G90" s="2" t="n">
        <v>2.86</v>
      </c>
      <c r="H90" s="0" t="n">
        <v>-5.51</v>
      </c>
      <c r="I90" s="2" t="n">
        <v>2.58</v>
      </c>
      <c r="J90" s="1" t="s">
        <v>18</v>
      </c>
      <c r="K90" s="1" t="s">
        <v>18</v>
      </c>
      <c r="L90" s="1" t="s">
        <v>18</v>
      </c>
      <c r="M90" s="2" t="s">
        <v>18</v>
      </c>
      <c r="N90" s="1" t="s">
        <v>18</v>
      </c>
      <c r="O90" s="2" t="s">
        <v>18</v>
      </c>
      <c r="P90" s="0" t="n">
        <v>5.77</v>
      </c>
      <c r="Q90" s="0" t="n">
        <v>0</v>
      </c>
    </row>
    <row r="91" customFormat="false" ht="15" hidden="false" customHeight="false" outlineLevel="0" collapsed="false">
      <c r="D91" s="0" t="n">
        <v>3</v>
      </c>
      <c r="E91" s="0" t="n">
        <v>1.05</v>
      </c>
      <c r="F91" s="0" t="n">
        <v>-10.93</v>
      </c>
      <c r="G91" s="2" t="n">
        <v>2.52</v>
      </c>
      <c r="H91" s="0" t="n">
        <v>-5.25</v>
      </c>
      <c r="I91" s="2" t="n">
        <v>2.52</v>
      </c>
      <c r="J91" s="1" t="s">
        <v>18</v>
      </c>
      <c r="K91" s="1" t="s">
        <v>18</v>
      </c>
      <c r="L91" s="1" t="s">
        <v>18</v>
      </c>
      <c r="M91" s="2" t="s">
        <v>18</v>
      </c>
      <c r="N91" s="1" t="s">
        <v>18</v>
      </c>
      <c r="O91" s="2" t="s">
        <v>18</v>
      </c>
    </row>
    <row r="92" customFormat="false" ht="15" hidden="false" customHeight="false" outlineLevel="0" collapsed="false">
      <c r="D92" s="0" t="n">
        <v>2</v>
      </c>
      <c r="E92" s="0" t="n">
        <v>1.53</v>
      </c>
      <c r="F92" s="0" t="n">
        <v>-11.2</v>
      </c>
      <c r="G92" s="2" t="n">
        <v>2.34</v>
      </c>
      <c r="H92" s="0" t="n">
        <v>-5.25</v>
      </c>
      <c r="I92" s="2" t="n">
        <v>2.34</v>
      </c>
      <c r="J92" s="1" t="s">
        <v>18</v>
      </c>
      <c r="K92" s="1" t="s">
        <v>18</v>
      </c>
      <c r="L92" s="1" t="s">
        <v>18</v>
      </c>
      <c r="M92" s="2" t="s">
        <v>18</v>
      </c>
      <c r="N92" s="1" t="s">
        <v>18</v>
      </c>
      <c r="O92" s="2" t="s">
        <v>18</v>
      </c>
    </row>
    <row r="93" customFormat="false" ht="15" hidden="false" customHeight="false" outlineLevel="0" collapsed="false">
      <c r="D93" s="0" t="n">
        <v>1</v>
      </c>
      <c r="E93" s="0" t="n">
        <v>1.63</v>
      </c>
      <c r="F93" s="0" t="n">
        <v>-11.58</v>
      </c>
      <c r="G93" s="2" t="n">
        <v>2.09</v>
      </c>
      <c r="H93" s="0" t="n">
        <v>-5.25</v>
      </c>
      <c r="I93" s="2" t="n">
        <v>2.09</v>
      </c>
      <c r="J93" s="1" t="s">
        <v>18</v>
      </c>
      <c r="K93" s="1" t="s">
        <v>18</v>
      </c>
      <c r="L93" s="1" t="s">
        <v>18</v>
      </c>
      <c r="M93" s="2" t="s">
        <v>18</v>
      </c>
      <c r="N93" s="1" t="s">
        <v>18</v>
      </c>
      <c r="O93" s="2" t="s">
        <v>18</v>
      </c>
    </row>
    <row r="94" customFormat="false" ht="15" hidden="false" customHeight="false" outlineLevel="0" collapsed="false">
      <c r="A94" s="1" t="n">
        <v>12</v>
      </c>
      <c r="B94" s="2" t="s">
        <v>28</v>
      </c>
      <c r="C94" s="0" t="n">
        <v>609.11</v>
      </c>
      <c r="D94" s="0" t="n">
        <v>4</v>
      </c>
      <c r="E94" s="0" t="n">
        <v>1.56</v>
      </c>
      <c r="F94" s="1" t="s">
        <v>18</v>
      </c>
      <c r="G94" s="2" t="s">
        <v>18</v>
      </c>
      <c r="H94" s="1" t="s">
        <v>18</v>
      </c>
      <c r="I94" s="2" t="s">
        <v>18</v>
      </c>
      <c r="J94" s="1" t="s">
        <v>18</v>
      </c>
      <c r="K94" s="1" t="s">
        <v>18</v>
      </c>
      <c r="L94" s="0" t="n">
        <v>5.51</v>
      </c>
      <c r="M94" s="2" t="n">
        <v>2.77</v>
      </c>
      <c r="N94" s="0" t="n">
        <v>10.12</v>
      </c>
      <c r="O94" s="2" t="n">
        <v>2.77</v>
      </c>
      <c r="P94" s="0" t="n">
        <v>5.77</v>
      </c>
      <c r="Q94" s="0" t="n">
        <v>0</v>
      </c>
    </row>
    <row r="95" customFormat="false" ht="15" hidden="false" customHeight="false" outlineLevel="0" collapsed="false">
      <c r="D95" s="0" t="n">
        <v>3</v>
      </c>
      <c r="E95" s="0" t="n">
        <v>1.05</v>
      </c>
      <c r="F95" s="1" t="s">
        <v>18</v>
      </c>
      <c r="G95" s="2" t="s">
        <v>18</v>
      </c>
      <c r="H95" s="1" t="s">
        <v>18</v>
      </c>
      <c r="I95" s="2" t="s">
        <v>18</v>
      </c>
      <c r="J95" s="1" t="s">
        <v>18</v>
      </c>
      <c r="K95" s="1" t="s">
        <v>18</v>
      </c>
      <c r="L95" s="0" t="n">
        <v>5.25</v>
      </c>
      <c r="M95" s="2" t="n">
        <v>2.52</v>
      </c>
      <c r="N95" s="0" t="n">
        <v>10.93</v>
      </c>
      <c r="O95" s="2" t="n">
        <v>2.52</v>
      </c>
    </row>
    <row r="96" customFormat="false" ht="15" hidden="false" customHeight="false" outlineLevel="0" collapsed="false">
      <c r="D96" s="0" t="n">
        <v>2</v>
      </c>
      <c r="E96" s="0" t="n">
        <v>1.53</v>
      </c>
      <c r="F96" s="1" t="s">
        <v>18</v>
      </c>
      <c r="G96" s="2" t="s">
        <v>18</v>
      </c>
      <c r="H96" s="1" t="s">
        <v>18</v>
      </c>
      <c r="I96" s="2" t="s">
        <v>18</v>
      </c>
      <c r="J96" s="1" t="s">
        <v>18</v>
      </c>
      <c r="K96" s="1" t="s">
        <v>18</v>
      </c>
      <c r="L96" s="0" t="n">
        <v>5.25</v>
      </c>
      <c r="M96" s="2" t="n">
        <v>2.34</v>
      </c>
      <c r="N96" s="0" t="n">
        <v>11.2</v>
      </c>
      <c r="O96" s="2" t="n">
        <v>2.34</v>
      </c>
    </row>
    <row r="97" customFormat="false" ht="15" hidden="false" customHeight="false" outlineLevel="0" collapsed="false">
      <c r="D97" s="0" t="n">
        <v>1</v>
      </c>
      <c r="E97" s="0" t="n">
        <v>1.63</v>
      </c>
      <c r="F97" s="1" t="s">
        <v>18</v>
      </c>
      <c r="G97" s="2" t="s">
        <v>18</v>
      </c>
      <c r="H97" s="1" t="s">
        <v>18</v>
      </c>
      <c r="I97" s="2" t="s">
        <v>18</v>
      </c>
      <c r="J97" s="1" t="s">
        <v>18</v>
      </c>
      <c r="K97" s="1" t="s">
        <v>18</v>
      </c>
      <c r="L97" s="0" t="n">
        <v>5.25</v>
      </c>
      <c r="M97" s="2" t="n">
        <v>2.09</v>
      </c>
      <c r="N97" s="0" t="n">
        <v>11.58</v>
      </c>
      <c r="O97" s="2" t="n">
        <v>2.09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5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G33" activeCellId="0" sqref="G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73.NĐXD8/CVXD ngày 21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73</v>
      </c>
    </row>
    <row r="3" customFormat="false" ht="18.75" hidden="false" customHeight="true" outlineLevel="0" collapsed="false">
      <c r="A3" s="6" t="s">
        <v>31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32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33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34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35</v>
      </c>
      <c r="B7" s="7"/>
      <c r="C7" s="6"/>
      <c r="D7" s="6" t="str">
        <f>VLOOKUP(AZ2,'[1]Tuyến XD8'!$A$2:$B$60,2,0)</f>
        <v xml:space="preserve">Đắp đất lề đường lớp 1, độ chặt K&gt;=0,95 đoạn từ Km0+489,19 - Km0+609,11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37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3" hidden="false" customHeight="true" outlineLevel="0" collapsed="false"/>
    <row r="19" customFormat="false" ht="15.75" hidden="false" customHeight="true" outlineLevel="0" collapsed="false">
      <c r="A19" s="10" t="s">
        <v>38</v>
      </c>
      <c r="B19" s="10" t="s">
        <v>39</v>
      </c>
      <c r="C19" s="10" t="s">
        <v>40</v>
      </c>
      <c r="D19" s="11" t="s">
        <v>41</v>
      </c>
      <c r="E19" s="11"/>
      <c r="F19" s="11"/>
      <c r="G19" s="11" t="s">
        <v>42</v>
      </c>
      <c r="H19" s="11"/>
      <c r="I19" s="11"/>
      <c r="J19" s="11" t="s">
        <v>43</v>
      </c>
      <c r="K19" s="11"/>
      <c r="L19" s="11"/>
      <c r="M19" s="11" t="s">
        <v>44</v>
      </c>
      <c r="N19" s="11"/>
      <c r="O19" s="11"/>
      <c r="P19" s="10" t="s">
        <v>45</v>
      </c>
    </row>
    <row r="20" customFormat="false" ht="30" hidden="false" customHeight="true" outlineLevel="0" collapsed="false">
      <c r="A20" s="10"/>
      <c r="B20" s="10"/>
      <c r="C20" s="10"/>
      <c r="D20" s="11" t="s">
        <v>46</v>
      </c>
      <c r="E20" s="11" t="s">
        <v>47</v>
      </c>
      <c r="F20" s="11" t="s">
        <v>48</v>
      </c>
      <c r="G20" s="11" t="s">
        <v>46</v>
      </c>
      <c r="H20" s="11" t="s">
        <v>47</v>
      </c>
      <c r="I20" s="11" t="s">
        <v>48</v>
      </c>
      <c r="J20" s="11" t="s">
        <v>46</v>
      </c>
      <c r="K20" s="11" t="s">
        <v>47</v>
      </c>
      <c r="L20" s="11" t="s">
        <v>48</v>
      </c>
      <c r="M20" s="11" t="s">
        <v>46</v>
      </c>
      <c r="N20" s="11" t="s">
        <v>47</v>
      </c>
      <c r="O20" s="11" t="s">
        <v>48</v>
      </c>
      <c r="P20" s="10"/>
      <c r="S20" s="12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489.19</v>
      </c>
      <c r="D21" s="16" t="n">
        <f aca="false">Chạy!G5</f>
        <v>2.12</v>
      </c>
      <c r="E21" s="16" t="n">
        <f aca="false">D21+F21</f>
        <v>2.171</v>
      </c>
      <c r="F21" s="16" t="n">
        <f aca="false">RANDBETWEEN(-30,100)/1000</f>
        <v>0.051</v>
      </c>
      <c r="G21" s="16" t="n">
        <f aca="false">Chạy!I5</f>
        <v>2.12</v>
      </c>
      <c r="H21" s="16" t="n">
        <f aca="false">G21+I21</f>
        <v>2.101</v>
      </c>
      <c r="I21" s="16" t="n">
        <f aca="false">RANDBETWEEN(-30,100)/1000</f>
        <v>-0.019</v>
      </c>
      <c r="J21" s="16" t="n">
        <f aca="false">Chạy!M9</f>
        <v>2.12</v>
      </c>
      <c r="K21" s="16" t="n">
        <f aca="false">J21+L21</f>
        <v>2.218</v>
      </c>
      <c r="L21" s="16" t="n">
        <f aca="false">RANDBETWEEN(-30,100)/1000</f>
        <v>0.098</v>
      </c>
      <c r="M21" s="16" t="n">
        <f aca="false">Chạy!O9</f>
        <v>2.12</v>
      </c>
      <c r="N21" s="16" t="n">
        <f aca="false">M21+O21</f>
        <v>2.183</v>
      </c>
      <c r="O21" s="16" t="n">
        <f aca="false">RANDBETWEEN(-30,100)/1000</f>
        <v>0.063</v>
      </c>
      <c r="P21" s="17"/>
      <c r="Q21" s="18" t="n">
        <v>13.17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502.36</v>
      </c>
      <c r="D22" s="16" t="n">
        <f aca="false">Chạy!G13</f>
        <v>2.11</v>
      </c>
      <c r="E22" s="16" t="n">
        <f aca="false">D22+F22</f>
        <v>2.08</v>
      </c>
      <c r="F22" s="16" t="n">
        <f aca="false">RANDBETWEEN(-30,100)/1000</f>
        <v>-0.03</v>
      </c>
      <c r="G22" s="16" t="n">
        <f aca="false">Chạy!I13</f>
        <v>2.11</v>
      </c>
      <c r="H22" s="16" t="n">
        <f aca="false">G22+I22</f>
        <v>2.148</v>
      </c>
      <c r="I22" s="16" t="n">
        <f aca="false">RANDBETWEEN(-30,100)/1000</f>
        <v>0.038</v>
      </c>
      <c r="J22" s="16" t="n">
        <f aca="false">Chạy!M17</f>
        <v>2.11</v>
      </c>
      <c r="K22" s="16" t="n">
        <f aca="false">J22+L22</f>
        <v>2.186</v>
      </c>
      <c r="L22" s="16" t="n">
        <f aca="false">RANDBETWEEN(-30,100)/1000</f>
        <v>0.076</v>
      </c>
      <c r="M22" s="16" t="n">
        <f aca="false">Chạy!O17</f>
        <v>2.11</v>
      </c>
      <c r="N22" s="16" t="n">
        <f aca="false">M22+O22</f>
        <v>2.193</v>
      </c>
      <c r="O22" s="16" t="n">
        <f aca="false">RANDBETWEEN(-30,100)/1000</f>
        <v>0.083</v>
      </c>
      <c r="P22" s="17"/>
      <c r="Q22" s="18" t="n">
        <v>10.48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512.84</v>
      </c>
      <c r="D23" s="16" t="n">
        <f aca="false">Chạy!G21</f>
        <v>2.11</v>
      </c>
      <c r="E23" s="16" t="n">
        <f aca="false">D23+F23</f>
        <v>2.139</v>
      </c>
      <c r="F23" s="16" t="n">
        <f aca="false">RANDBETWEEN(-30,100)/1000</f>
        <v>0.029</v>
      </c>
      <c r="G23" s="16" t="n">
        <f aca="false">Chạy!I21</f>
        <v>2.11</v>
      </c>
      <c r="H23" s="16" t="n">
        <f aca="false">G23+I23</f>
        <v>2.11</v>
      </c>
      <c r="I23" s="16" t="n">
        <f aca="false">RANDBETWEEN(-30,100)/1000</f>
        <v>0</v>
      </c>
      <c r="J23" s="16" t="n">
        <f aca="false">Chạy!M25</f>
        <v>2.11</v>
      </c>
      <c r="K23" s="16" t="n">
        <f aca="false">J23+L23</f>
        <v>2.124</v>
      </c>
      <c r="L23" s="16" t="n">
        <f aca="false">RANDBETWEEN(-30,100)/1000</f>
        <v>0.014</v>
      </c>
      <c r="M23" s="16" t="n">
        <f aca="false">Chạy!O25</f>
        <v>2.11</v>
      </c>
      <c r="N23" s="16" t="n">
        <f aca="false">M23+O23</f>
        <v>2.095</v>
      </c>
      <c r="O23" s="16" t="n">
        <f aca="false">RANDBETWEEN(-30,100)/1000</f>
        <v>-0.015</v>
      </c>
      <c r="P23" s="17"/>
      <c r="Q23" s="18" t="n">
        <v>16.78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529.62</v>
      </c>
      <c r="D24" s="16" t="n">
        <f aca="false">Chạy!G29</f>
        <v>2.1</v>
      </c>
      <c r="E24" s="16" t="n">
        <f aca="false">D24+F24</f>
        <v>2.08</v>
      </c>
      <c r="F24" s="16" t="n">
        <f aca="false">RANDBETWEEN(-30,100)/1000</f>
        <v>-0.02</v>
      </c>
      <c r="G24" s="16" t="n">
        <f aca="false">Chạy!I29</f>
        <v>2.1</v>
      </c>
      <c r="H24" s="16" t="n">
        <f aca="false">G24+I24</f>
        <v>2.128</v>
      </c>
      <c r="I24" s="16" t="n">
        <f aca="false">RANDBETWEEN(-30,100)/1000</f>
        <v>0.028</v>
      </c>
      <c r="J24" s="16" t="n">
        <f aca="false">Chạy!M33</f>
        <v>2.1</v>
      </c>
      <c r="K24" s="16" t="n">
        <f aca="false">J24+L24</f>
        <v>2.128</v>
      </c>
      <c r="L24" s="16" t="n">
        <f aca="false">RANDBETWEEN(-30,100)/1000</f>
        <v>0.028</v>
      </c>
      <c r="M24" s="16" t="n">
        <f aca="false">Chạy!O33</f>
        <v>2.1</v>
      </c>
      <c r="N24" s="16" t="n">
        <f aca="false">M24+O24</f>
        <v>2.088</v>
      </c>
      <c r="O24" s="16" t="n">
        <f aca="false">RANDBETWEEN(-30,100)/1000</f>
        <v>-0.012</v>
      </c>
      <c r="P24" s="17"/>
      <c r="Q24" s="18" t="n">
        <v>17.1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546.72</v>
      </c>
      <c r="D25" s="16" t="n">
        <f aca="false">Chạy!G37</f>
        <v>2.09</v>
      </c>
      <c r="E25" s="16" t="n">
        <f aca="false">D25+F25</f>
        <v>2.146</v>
      </c>
      <c r="F25" s="16" t="n">
        <f aca="false">RANDBETWEEN(-30,100)/1000</f>
        <v>0.056</v>
      </c>
      <c r="G25" s="16" t="n">
        <f aca="false">Chạy!I37</f>
        <v>2.09</v>
      </c>
      <c r="H25" s="16" t="n">
        <f aca="false">G25+I25</f>
        <v>2.179</v>
      </c>
      <c r="I25" s="16" t="n">
        <f aca="false">RANDBETWEEN(-30,100)/1000</f>
        <v>0.089</v>
      </c>
      <c r="J25" s="16" t="n">
        <f aca="false">Chạy!M41</f>
        <v>2.09</v>
      </c>
      <c r="K25" s="16" t="n">
        <f aca="false">J25+L25</f>
        <v>2.173</v>
      </c>
      <c r="L25" s="16" t="n">
        <f aca="false">RANDBETWEEN(-30,100)/1000</f>
        <v>0.083</v>
      </c>
      <c r="M25" s="16" t="n">
        <f aca="false">Chạy!O41</f>
        <v>2.09</v>
      </c>
      <c r="N25" s="16" t="n">
        <f aca="false">M25+O25</f>
        <v>2.171</v>
      </c>
      <c r="O25" s="16" t="n">
        <f aca="false">RANDBETWEEN(-30,100)/1000</f>
        <v>0.081</v>
      </c>
      <c r="P25" s="17"/>
      <c r="Q25" s="18" t="n">
        <v>15.15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561.87</v>
      </c>
      <c r="D26" s="16" t="n">
        <f aca="false">Chạy!G45</f>
        <v>2.09</v>
      </c>
      <c r="E26" s="16" t="n">
        <f aca="false">D26+F26</f>
        <v>2.161</v>
      </c>
      <c r="F26" s="16" t="n">
        <f aca="false">RANDBETWEEN(-30,100)/1000</f>
        <v>0.071</v>
      </c>
      <c r="G26" s="16" t="n">
        <f aca="false">Chạy!I45</f>
        <v>2.09</v>
      </c>
      <c r="H26" s="16" t="n">
        <f aca="false">G26+I26</f>
        <v>2.174</v>
      </c>
      <c r="I26" s="16" t="n">
        <f aca="false">RANDBETWEEN(-30,100)/1000</f>
        <v>0.084</v>
      </c>
      <c r="J26" s="16" t="n">
        <f aca="false">Chạy!M49</f>
        <v>2.09</v>
      </c>
      <c r="K26" s="16" t="n">
        <f aca="false">J26+L26</f>
        <v>2.112</v>
      </c>
      <c r="L26" s="16" t="n">
        <f aca="false">RANDBETWEEN(-30,100)/1000</f>
        <v>0.022</v>
      </c>
      <c r="M26" s="16" t="n">
        <f aca="false">Chạy!O49</f>
        <v>2.09</v>
      </c>
      <c r="N26" s="16" t="n">
        <f aca="false">M26+O26</f>
        <v>2.083</v>
      </c>
      <c r="O26" s="16" t="n">
        <f aca="false">RANDBETWEEN(-30,100)/1000</f>
        <v>-0.007</v>
      </c>
      <c r="P26" s="17"/>
      <c r="Q26" s="18" t="n">
        <v>0.15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562.02</v>
      </c>
      <c r="D27" s="16" t="n">
        <f aca="false">Chạy!G53</f>
        <v>2.09</v>
      </c>
      <c r="E27" s="16" t="n">
        <f aca="false">D27+F27</f>
        <v>2.075</v>
      </c>
      <c r="F27" s="16" t="n">
        <f aca="false">RANDBETWEEN(-30,100)/1000</f>
        <v>-0.015</v>
      </c>
      <c r="G27" s="16" t="n">
        <f aca="false">Chạy!I53</f>
        <v>2.09</v>
      </c>
      <c r="H27" s="16" t="n">
        <f aca="false">G27+I27</f>
        <v>2.083</v>
      </c>
      <c r="I27" s="16" t="n">
        <f aca="false">RANDBETWEEN(-30,100)/1000</f>
        <v>-0.007</v>
      </c>
      <c r="J27" s="16" t="n">
        <f aca="false">Chạy!M57</f>
        <v>2.09</v>
      </c>
      <c r="K27" s="16" t="n">
        <f aca="false">J27+L27</f>
        <v>2.154</v>
      </c>
      <c r="L27" s="16" t="n">
        <f aca="false">RANDBETWEEN(-30,100)/1000</f>
        <v>0.064</v>
      </c>
      <c r="M27" s="16" t="n">
        <f aca="false">Chạy!O57</f>
        <v>2.09</v>
      </c>
      <c r="N27" s="16" t="n">
        <f aca="false">M27+O27</f>
        <v>2.088</v>
      </c>
      <c r="O27" s="16" t="n">
        <f aca="false">RANDBETWEEN(-30,100)/1000</f>
        <v>-0.002</v>
      </c>
      <c r="P27" s="17"/>
      <c r="Q27" s="18" t="n">
        <v>6.55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568.57</v>
      </c>
      <c r="D28" s="16" t="n">
        <f aca="false">Chạy!G61</f>
        <v>2.09</v>
      </c>
      <c r="E28" s="16" t="n">
        <f aca="false">D28+F28</f>
        <v>2.084</v>
      </c>
      <c r="F28" s="16" t="n">
        <f aca="false">RANDBETWEEN(-30,100)/1000</f>
        <v>-0.006</v>
      </c>
      <c r="G28" s="16" t="n">
        <f aca="false">Chạy!I61</f>
        <v>2.09</v>
      </c>
      <c r="H28" s="16" t="n">
        <f aca="false">G28+I28</f>
        <v>2.125</v>
      </c>
      <c r="I28" s="16" t="n">
        <f aca="false">RANDBETWEEN(-30,100)/1000</f>
        <v>0.035</v>
      </c>
      <c r="J28" s="16" t="n">
        <f aca="false">Chạy!M65</f>
        <v>2.09</v>
      </c>
      <c r="K28" s="16" t="n">
        <f aca="false">J28+L28</f>
        <v>2.134</v>
      </c>
      <c r="L28" s="16" t="n">
        <f aca="false">RANDBETWEEN(-30,100)/1000</f>
        <v>0.044</v>
      </c>
      <c r="M28" s="16" t="n">
        <f aca="false">Chạy!O65</f>
        <v>2.09</v>
      </c>
      <c r="N28" s="16" t="n">
        <f aca="false">M28+O28</f>
        <v>2.148</v>
      </c>
      <c r="O28" s="16" t="n">
        <f aca="false">RANDBETWEEN(-30,100)/1000</f>
        <v>0.058</v>
      </c>
      <c r="P28" s="17"/>
      <c r="Q28" s="18" t="n">
        <v>6.55</v>
      </c>
    </row>
    <row r="29" customFormat="false" ht="15" hidden="false" customHeight="false" outlineLevel="0" collapsed="false">
      <c r="A29" s="13" t="n">
        <v>9</v>
      </c>
      <c r="B29" s="14" t="s">
        <v>1</v>
      </c>
      <c r="C29" s="15" t="n">
        <f aca="false">C28+Q28</f>
        <v>575.12</v>
      </c>
      <c r="D29" s="16" t="n">
        <f aca="false">Chạy!G69</f>
        <v>2.09</v>
      </c>
      <c r="E29" s="16" t="n">
        <f aca="false">D29+F29</f>
        <v>2.088</v>
      </c>
      <c r="F29" s="16" t="n">
        <f aca="false">RANDBETWEEN(-30,100)/1000</f>
        <v>-0.002</v>
      </c>
      <c r="G29" s="16" t="n">
        <f aca="false">Chạy!I69</f>
        <v>2.09</v>
      </c>
      <c r="H29" s="16" t="n">
        <f aca="false">G29+I29</f>
        <v>2.152</v>
      </c>
      <c r="I29" s="16" t="n">
        <f aca="false">RANDBETWEEN(-30,100)/1000</f>
        <v>0.062</v>
      </c>
      <c r="J29" s="16" t="n">
        <f aca="false">Chạy!M73</f>
        <v>2.09</v>
      </c>
      <c r="K29" s="16" t="n">
        <f aca="false">J29+L29</f>
        <v>2.063</v>
      </c>
      <c r="L29" s="16" t="n">
        <f aca="false">RANDBETWEEN(-30,100)/1000</f>
        <v>-0.027</v>
      </c>
      <c r="M29" s="16" t="n">
        <f aca="false">Chạy!O73</f>
        <v>2.09</v>
      </c>
      <c r="N29" s="16" t="n">
        <f aca="false">M29+O29</f>
        <v>2.13</v>
      </c>
      <c r="O29" s="16" t="n">
        <f aca="false">RANDBETWEEN(-30,100)/1000</f>
        <v>0.04</v>
      </c>
      <c r="P29" s="17"/>
      <c r="Q29" s="18" t="n">
        <v>0.04</v>
      </c>
    </row>
    <row r="30" customFormat="false" ht="15" hidden="false" customHeight="false" outlineLevel="0" collapsed="false">
      <c r="A30" s="13" t="n">
        <v>10</v>
      </c>
      <c r="B30" s="14" t="s">
        <v>26</v>
      </c>
      <c r="C30" s="15" t="n">
        <f aca="false">C29+Q29</f>
        <v>575.16</v>
      </c>
      <c r="D30" s="16" t="n">
        <f aca="false">Chạy!G77</f>
        <v>2.22</v>
      </c>
      <c r="E30" s="16" t="n">
        <f aca="false">D30+F30</f>
        <v>2.222</v>
      </c>
      <c r="F30" s="16" t="n">
        <f aca="false">RANDBETWEEN(-30,100)/1000</f>
        <v>0.002</v>
      </c>
      <c r="G30" s="16" t="n">
        <f aca="false">Chạy!I77</f>
        <v>2.22</v>
      </c>
      <c r="H30" s="16" t="n">
        <f aca="false">G30+I30</f>
        <v>2.255</v>
      </c>
      <c r="I30" s="16" t="n">
        <f aca="false">RANDBETWEEN(-30,100)/1000</f>
        <v>0.035</v>
      </c>
      <c r="J30" s="16" t="n">
        <f aca="false">Chạy!M81</f>
        <v>2.09</v>
      </c>
      <c r="K30" s="16" t="n">
        <f aca="false">J30+L30</f>
        <v>2.119</v>
      </c>
      <c r="L30" s="16" t="n">
        <f aca="false">RANDBETWEEN(-30,100)/1000</f>
        <v>0.029</v>
      </c>
      <c r="M30" s="16" t="n">
        <f aca="false">Chạy!O81</f>
        <v>2.09</v>
      </c>
      <c r="N30" s="16" t="n">
        <f aca="false">M30+O30</f>
        <v>2.131</v>
      </c>
      <c r="O30" s="16" t="n">
        <f aca="false">RANDBETWEEN(-30,100)/1000</f>
        <v>0.041</v>
      </c>
      <c r="P30" s="17"/>
      <c r="Q30" s="18" t="n">
        <v>16.95</v>
      </c>
    </row>
    <row r="31" customFormat="false" ht="15" hidden="false" customHeight="false" outlineLevel="0" collapsed="false">
      <c r="A31" s="13" t="n">
        <v>11</v>
      </c>
      <c r="B31" s="14" t="s">
        <v>27</v>
      </c>
      <c r="C31" s="15" t="n">
        <f aca="false">C30+Q30</f>
        <v>592.11</v>
      </c>
      <c r="D31" s="16" t="n">
        <f aca="false">Chạy!G85</f>
        <v>2.09</v>
      </c>
      <c r="E31" s="16" t="n">
        <f aca="false">D31+F31</f>
        <v>2.068</v>
      </c>
      <c r="F31" s="16" t="n">
        <f aca="false">RANDBETWEEN(-30,100)/1000</f>
        <v>-0.022</v>
      </c>
      <c r="G31" s="16" t="n">
        <f aca="false">Chạy!I85</f>
        <v>2.09</v>
      </c>
      <c r="H31" s="16" t="n">
        <f aca="false">G31+I31</f>
        <v>2.183</v>
      </c>
      <c r="I31" s="16" t="n">
        <f aca="false">RANDBETWEEN(-30,100)/1000</f>
        <v>0.093</v>
      </c>
      <c r="J31" s="16" t="n">
        <f aca="false">Chạy!M89</f>
        <v>2.09</v>
      </c>
      <c r="K31" s="16" t="n">
        <f aca="false">J31+L31</f>
        <v>2.066</v>
      </c>
      <c r="L31" s="16" t="n">
        <f aca="false">RANDBETWEEN(-30,100)/1000</f>
        <v>-0.024</v>
      </c>
      <c r="M31" s="16" t="n">
        <f aca="false">Chạy!O89</f>
        <v>2.09</v>
      </c>
      <c r="N31" s="16" t="n">
        <f aca="false">M31+O31</f>
        <v>2.088</v>
      </c>
      <c r="O31" s="16" t="n">
        <f aca="false">RANDBETWEEN(-30,100)/1000</f>
        <v>-0.002</v>
      </c>
      <c r="P31" s="17"/>
      <c r="Q31" s="18" t="n">
        <v>17</v>
      </c>
    </row>
    <row r="32" customFormat="false" ht="15" hidden="false" customHeight="false" outlineLevel="0" collapsed="false">
      <c r="A32" s="13" t="n">
        <v>12</v>
      </c>
      <c r="B32" s="14" t="s">
        <v>28</v>
      </c>
      <c r="C32" s="15" t="n">
        <f aca="false">C31+Q31</f>
        <v>609.11</v>
      </c>
      <c r="D32" s="16" t="n">
        <f aca="false">Chạy!G93</f>
        <v>2.09</v>
      </c>
      <c r="E32" s="16" t="n">
        <f aca="false">D32+F32</f>
        <v>2.091</v>
      </c>
      <c r="F32" s="16" t="n">
        <f aca="false">RANDBETWEEN(-30,100)/1000</f>
        <v>0.001</v>
      </c>
      <c r="G32" s="16" t="n">
        <f aca="false">Chạy!I93</f>
        <v>2.09</v>
      </c>
      <c r="H32" s="16" t="n">
        <f aca="false">G32+I32</f>
        <v>2.111</v>
      </c>
      <c r="I32" s="16" t="n">
        <f aca="false">RANDBETWEEN(-30,100)/1000</f>
        <v>0.021</v>
      </c>
      <c r="J32" s="16" t="n">
        <f aca="false">Chạy!M97</f>
        <v>2.09</v>
      </c>
      <c r="K32" s="16" t="n">
        <f aca="false">J32+L32</f>
        <v>2.147</v>
      </c>
      <c r="L32" s="16" t="n">
        <f aca="false">RANDBETWEEN(-30,100)/1000</f>
        <v>0.057</v>
      </c>
      <c r="M32" s="16" t="n">
        <f aca="false">Chạy!O97</f>
        <v>2.09</v>
      </c>
      <c r="N32" s="16" t="n">
        <f aca="false">M32+O32</f>
        <v>2.078</v>
      </c>
      <c r="O32" s="16" t="n">
        <f aca="false">RANDBETWEEN(-30,100)/1000</f>
        <v>-0.012</v>
      </c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49</v>
      </c>
      <c r="D60" s="19"/>
      <c r="E60" s="19"/>
      <c r="F60" s="19"/>
      <c r="G60" s="20"/>
      <c r="H60" s="20"/>
      <c r="I60" s="20"/>
      <c r="K60" s="19" t="s">
        <v>50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51</v>
      </c>
      <c r="D65" s="19"/>
      <c r="E65" s="19"/>
      <c r="F65" s="19"/>
      <c r="G65" s="20"/>
      <c r="H65" s="20"/>
      <c r="I65" s="20"/>
      <c r="J65" s="21"/>
      <c r="K65" s="19" t="s">
        <v>52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315277777777778" right="0.157638888888889" top="0.511805555555556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51" activeCellId="0" sqref="P5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9" min="8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73.NĐXD8/CVXD ngày 21 tháng 09 năm 2026</v>
      </c>
      <c r="B2" s="27"/>
      <c r="C2" s="27"/>
      <c r="D2" s="27"/>
      <c r="E2" s="27"/>
      <c r="F2" s="27"/>
      <c r="G2" s="27"/>
      <c r="AZ2">
        <v>73</v>
      </c>
    </row>
    <row r="3" s="30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7.5" hidden="false" customHeight="true" outlineLevel="0" collapsed="false">
      <c r="A7" s="31" t="s">
        <v>35</v>
      </c>
      <c r="B7" s="32"/>
      <c r="C7" s="33"/>
      <c r="D7" s="34" t="str">
        <f>VLOOKUP(AZ2,'[1]Tuyến XD8'!$A$2:$B$60,2,0)</f>
        <v xml:space="preserve">Đắp đất lề đường lớp 1, độ chặt K&gt;=0,95 đoạn từ Km0+489,19 - Km0+609,11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29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</row>
    <row r="9" s="39" customFormat="true" ht="22.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</row>
    <row r="10" s="41" customFormat="true" ht="22.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H10" s="40"/>
    </row>
    <row r="11" s="41" customFormat="true" ht="15" hidden="false" customHeight="true" outlineLevel="0" collapsed="false">
      <c r="A11" s="13" t="n">
        <v>1</v>
      </c>
      <c r="B11" s="14" t="str">
        <f aca="false">'1. KTHH L1'!B21</f>
        <v>25</v>
      </c>
      <c r="C11" s="15" t="n">
        <f aca="false">'1. KTHH L1'!C21</f>
        <v>489.19</v>
      </c>
      <c r="D11" s="13" t="n">
        <f aca="false">'1. KTHH L1'!Q21</f>
        <v>13.17</v>
      </c>
      <c r="E11" s="42" t="n">
        <f aca="false">Chạy!E5+Chạy!E9</f>
        <v>3.26</v>
      </c>
      <c r="F11" s="43" t="n">
        <f aca="false">(E11+E12)*D11/2</f>
        <v>42.9342</v>
      </c>
      <c r="G11" s="44"/>
      <c r="I11" s="45"/>
      <c r="J11" s="45"/>
    </row>
    <row r="12" s="41" customFormat="true" ht="15" hidden="false" customHeight="true" outlineLevel="0" collapsed="false">
      <c r="A12" s="13" t="n">
        <v>2</v>
      </c>
      <c r="B12" s="14" t="str">
        <f aca="false">'1. KTHH L1'!B22</f>
        <v>D1</v>
      </c>
      <c r="C12" s="15" t="n">
        <f aca="false">'1. KTHH L1'!C22</f>
        <v>502.36</v>
      </c>
      <c r="D12" s="13" t="n">
        <f aca="false">'1. KTHH L1'!Q22</f>
        <v>10.48</v>
      </c>
      <c r="E12" s="42" t="n">
        <f aca="false">Chạy!E13+Chạy!E17</f>
        <v>3.26</v>
      </c>
      <c r="F12" s="43" t="n">
        <f aca="false">(E12+E13)*D12/2</f>
        <v>34.1648</v>
      </c>
      <c r="G12" s="44"/>
      <c r="I12" s="45"/>
      <c r="J12" s="45"/>
    </row>
    <row r="13" s="41" customFormat="true" ht="15" hidden="false" customHeight="true" outlineLevel="0" collapsed="false">
      <c r="A13" s="13" t="n">
        <v>3</v>
      </c>
      <c r="B13" s="14" t="str">
        <f aca="false">'1. KTHH L1'!B23</f>
        <v>26</v>
      </c>
      <c r="C13" s="15" t="n">
        <f aca="false">'1. KTHH L1'!C23</f>
        <v>512.84</v>
      </c>
      <c r="D13" s="13" t="n">
        <f aca="false">'1. KTHH L1'!Q23</f>
        <v>16.78</v>
      </c>
      <c r="E13" s="42" t="n">
        <f aca="false">Chạy!E21+Chạy!E25</f>
        <v>3.26</v>
      </c>
      <c r="F13" s="43" t="n">
        <f aca="false">(E13+E14)*D13/2</f>
        <v>54.7028</v>
      </c>
      <c r="G13" s="44"/>
      <c r="I13" s="45"/>
      <c r="J13" s="45"/>
    </row>
    <row r="14" s="41" customFormat="true" ht="15" hidden="false" customHeight="true" outlineLevel="0" collapsed="false">
      <c r="A14" s="13" t="n">
        <v>4</v>
      </c>
      <c r="B14" s="14" t="str">
        <f aca="false">'1. KTHH L1'!B24</f>
        <v>27</v>
      </c>
      <c r="C14" s="15" t="n">
        <f aca="false">'1. KTHH L1'!C24</f>
        <v>529.62</v>
      </c>
      <c r="D14" s="13" t="n">
        <f aca="false">'1. KTHH L1'!Q24</f>
        <v>17.1</v>
      </c>
      <c r="E14" s="42" t="n">
        <f aca="false">Chạy!E29+Chạy!E33</f>
        <v>3.26</v>
      </c>
      <c r="F14" s="43" t="n">
        <f aca="false">(E14+E15)*D14/2</f>
        <v>55.746</v>
      </c>
      <c r="G14" s="44"/>
      <c r="I14" s="45"/>
      <c r="J14" s="45"/>
    </row>
    <row r="15" s="41" customFormat="true" ht="15" hidden="false" customHeight="true" outlineLevel="0" collapsed="false">
      <c r="A15" s="13" t="n">
        <v>5</v>
      </c>
      <c r="B15" s="14" t="str">
        <f aca="false">'1. KTHH L1'!B25</f>
        <v>28</v>
      </c>
      <c r="C15" s="15" t="n">
        <f aca="false">'1. KTHH L1'!C25</f>
        <v>546.72</v>
      </c>
      <c r="D15" s="13" t="n">
        <f aca="false">'1. KTHH L1'!Q25</f>
        <v>15.15</v>
      </c>
      <c r="E15" s="42" t="n">
        <f aca="false">Chạy!E37+Chạy!E41</f>
        <v>3.26</v>
      </c>
      <c r="F15" s="43" t="n">
        <f aca="false">(E15+E16)*D15/2</f>
        <v>49.389</v>
      </c>
      <c r="G15" s="44"/>
      <c r="I15" s="45"/>
      <c r="J15" s="45"/>
    </row>
    <row r="16" s="41" customFormat="true" ht="15" hidden="false" customHeight="true" outlineLevel="0" collapsed="false">
      <c r="A16" s="13" t="n">
        <v>6</v>
      </c>
      <c r="B16" s="14" t="str">
        <f aca="false">'1. KTHH L1'!B26</f>
        <v>E5</v>
      </c>
      <c r="C16" s="15" t="n">
        <f aca="false">'1. KTHH L1'!C26</f>
        <v>561.87</v>
      </c>
      <c r="D16" s="13" t="n">
        <f aca="false">'1. KTHH L1'!Q26</f>
        <v>0.15</v>
      </c>
      <c r="E16" s="42" t="n">
        <f aca="false">Chạy!E45+Chạy!E49</f>
        <v>3.26</v>
      </c>
      <c r="F16" s="43" t="n">
        <f aca="false">(E16+E17)*D16/2</f>
        <v>0.489</v>
      </c>
      <c r="G16" s="44"/>
      <c r="I16" s="45"/>
      <c r="J16" s="45"/>
    </row>
    <row r="17" s="41" customFormat="true" ht="15" hidden="false" customHeight="true" outlineLevel="0" collapsed="false">
      <c r="A17" s="13" t="n">
        <v>7</v>
      </c>
      <c r="B17" s="14" t="str">
        <f aca="false">'1. KTHH L1'!B27</f>
        <v>TD</v>
      </c>
      <c r="C17" s="15" t="n">
        <f aca="false">'1. KTHH L1'!C27</f>
        <v>562.02</v>
      </c>
      <c r="D17" s="13" t="n">
        <f aca="false">'1. KTHH L1'!Q27</f>
        <v>6.55</v>
      </c>
      <c r="E17" s="42" t="n">
        <f aca="false">Chạy!E53+Chạy!E57</f>
        <v>3.26</v>
      </c>
      <c r="F17" s="43" t="n">
        <f aca="false">(E17+E18)*D17/2</f>
        <v>21.353</v>
      </c>
      <c r="G17" s="44"/>
      <c r="I17" s="45"/>
      <c r="J17" s="45"/>
    </row>
    <row r="18" s="41" customFormat="true" ht="15" hidden="false" customHeight="true" outlineLevel="0" collapsed="false">
      <c r="A18" s="13" t="n">
        <v>8</v>
      </c>
      <c r="B18" s="14" t="str">
        <f aca="false">'1. KTHH L1'!B28</f>
        <v>P</v>
      </c>
      <c r="C18" s="15" t="n">
        <f aca="false">'1. KTHH L1'!C28</f>
        <v>568.57</v>
      </c>
      <c r="D18" s="13" t="n">
        <f aca="false">'1. KTHH L1'!Q28</f>
        <v>6.55</v>
      </c>
      <c r="E18" s="42" t="n">
        <f aca="false">Chạy!E61+Chạy!E65</f>
        <v>3.26</v>
      </c>
      <c r="F18" s="43" t="n">
        <f aca="false">(E18+E19)*D18/2</f>
        <v>21.353</v>
      </c>
      <c r="G18" s="44"/>
      <c r="I18" s="45"/>
      <c r="J18" s="45"/>
    </row>
    <row r="19" s="41" customFormat="true" ht="15" hidden="false" customHeight="true" outlineLevel="0" collapsed="false">
      <c r="A19" s="13" t="n">
        <v>9</v>
      </c>
      <c r="B19" s="14" t="str">
        <f aca="false">'1. KTHH L1'!B29</f>
        <v>TC</v>
      </c>
      <c r="C19" s="15" t="n">
        <f aca="false">'1. KTHH L1'!C29</f>
        <v>575.12</v>
      </c>
      <c r="D19" s="13" t="n">
        <f aca="false">'1. KTHH L1'!Q29</f>
        <v>0.04</v>
      </c>
      <c r="E19" s="42" t="n">
        <f aca="false">Chạy!E69+Chạy!E73</f>
        <v>3.26</v>
      </c>
      <c r="F19" s="43" t="n">
        <f aca="false">(E19+E20)*D19/2</f>
        <v>0.1304</v>
      </c>
      <c r="G19" s="44"/>
      <c r="I19" s="45"/>
      <c r="J19" s="45"/>
    </row>
    <row r="20" s="41" customFormat="true" ht="15" hidden="false" customHeight="true" outlineLevel="0" collapsed="false">
      <c r="A20" s="13" t="n">
        <v>10</v>
      </c>
      <c r="B20" s="14" t="str">
        <f aca="false">'1. KTHH L1'!B30</f>
        <v>29</v>
      </c>
      <c r="C20" s="15" t="n">
        <f aca="false">'1. KTHH L1'!C30</f>
        <v>575.16</v>
      </c>
      <c r="D20" s="13" t="n">
        <f aca="false">'1. KTHH L1'!Q30</f>
        <v>16.95</v>
      </c>
      <c r="E20" s="42" t="n">
        <f aca="false">Chạy!E77+Chạy!E81</f>
        <v>3.26</v>
      </c>
      <c r="F20" s="43" t="n">
        <f aca="false">(E20+E21)*D20/2</f>
        <v>55.257</v>
      </c>
      <c r="G20" s="44"/>
      <c r="I20" s="45"/>
      <c r="J20" s="45"/>
    </row>
    <row r="21" s="41" customFormat="true" ht="15" hidden="false" customHeight="true" outlineLevel="0" collapsed="false">
      <c r="A21" s="13" t="n">
        <v>11</v>
      </c>
      <c r="B21" s="14" t="str">
        <f aca="false">'1. KTHH L1'!B31</f>
        <v>30</v>
      </c>
      <c r="C21" s="15" t="n">
        <f aca="false">'1. KTHH L1'!C31</f>
        <v>592.11</v>
      </c>
      <c r="D21" s="13" t="n">
        <f aca="false">'1. KTHH L1'!Q31</f>
        <v>17</v>
      </c>
      <c r="E21" s="42" t="n">
        <f aca="false">Chạy!E85+Chạy!E89</f>
        <v>3.26</v>
      </c>
      <c r="F21" s="43" t="n">
        <f aca="false">(E21+E22)*D21/2</f>
        <v>55.42</v>
      </c>
      <c r="G21" s="44"/>
      <c r="I21" s="45"/>
      <c r="J21" s="45"/>
    </row>
    <row r="22" s="41" customFormat="true" ht="15" hidden="false" customHeight="true" outlineLevel="0" collapsed="false">
      <c r="A22" s="13" t="n">
        <v>12</v>
      </c>
      <c r="B22" s="14" t="str">
        <f aca="false">'1. KTHH L1'!B32</f>
        <v>31</v>
      </c>
      <c r="C22" s="15" t="n">
        <f aca="false">'1. KTHH L1'!C32</f>
        <v>609.11</v>
      </c>
      <c r="D22" s="13"/>
      <c r="E22" s="42" t="n">
        <f aca="false">Chạy!E93+Chạy!E97</f>
        <v>3.26</v>
      </c>
      <c r="F22" s="43"/>
      <c r="G22" s="44"/>
      <c r="I22" s="45"/>
      <c r="J22" s="45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I23" s="45"/>
      <c r="J23" s="45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I24" s="45"/>
      <c r="J24" s="45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I25" s="45"/>
      <c r="J25" s="45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I26" s="45"/>
      <c r="J26" s="45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I27" s="45"/>
      <c r="J27" s="45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I28" s="45"/>
      <c r="J28" s="45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I29" s="45"/>
      <c r="J29" s="45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I30" s="45"/>
      <c r="J30" s="45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I31" s="45"/>
      <c r="J31" s="45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I32" s="45"/>
      <c r="J32" s="45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I33" s="45"/>
      <c r="J33" s="45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I34" s="45"/>
      <c r="J34" s="45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I35" s="45"/>
      <c r="J35" s="45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I36" s="45"/>
      <c r="J36" s="45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I37" s="45"/>
      <c r="J37" s="45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I38" s="45"/>
      <c r="J38" s="45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I39" s="45"/>
      <c r="J39" s="45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I40" s="45"/>
      <c r="J40" s="45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I41" s="45"/>
      <c r="J41" s="45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I42" s="45"/>
      <c r="J42" s="45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I43" s="45"/>
      <c r="J43" s="45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I44" s="45"/>
      <c r="J44" s="45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I45" s="45"/>
      <c r="J45" s="45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I46" s="45"/>
      <c r="J46" s="45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I47" s="45"/>
      <c r="J47" s="45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I48" s="45"/>
      <c r="J48" s="45"/>
    </row>
    <row r="49" s="50" customFormat="true" ht="15" hidden="false" customHeight="true" outlineLevel="0" collapsed="false">
      <c r="A49" s="46" t="s">
        <v>57</v>
      </c>
      <c r="B49" s="46"/>
      <c r="C49" s="46"/>
      <c r="D49" s="46"/>
      <c r="E49" s="47"/>
      <c r="F49" s="48" t="n">
        <f aca="false">SUM(F11:F22)</f>
        <v>390.9392</v>
      </c>
      <c r="G49" s="49"/>
      <c r="I49" s="51"/>
      <c r="J49" s="52"/>
      <c r="K49" s="52"/>
      <c r="L49" s="52"/>
      <c r="M49" s="53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  <c r="H50" s="55"/>
      <c r="J50" s="56"/>
      <c r="K50" s="56"/>
      <c r="L50" s="56"/>
    </row>
    <row r="51" s="50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51</v>
      </c>
      <c r="B57" s="19"/>
      <c r="C57" s="19"/>
      <c r="D57" s="21"/>
      <c r="E57" s="19" t="s">
        <v>52</v>
      </c>
      <c r="F57" s="19"/>
      <c r="G57" s="19"/>
    </row>
    <row r="58" s="39" customFormat="true" ht="15" hidden="false" customHeight="true" outlineLevel="0" collapsed="false">
      <c r="A58" s="41"/>
      <c r="B58" s="41"/>
      <c r="C58" s="41"/>
      <c r="D58" s="41"/>
      <c r="E58" s="41"/>
      <c r="F58" s="41"/>
      <c r="G58" s="41"/>
    </row>
    <row r="59" s="39" customFormat="true" ht="15" hidden="false" customHeight="true" outlineLevel="0" collapsed="false">
      <c r="A59" s="41"/>
      <c r="B59" s="41"/>
      <c r="C59" s="41"/>
      <c r="D59" s="41"/>
      <c r="E59" s="41"/>
      <c r="F59" s="41"/>
      <c r="G59" s="41"/>
    </row>
    <row r="60" s="39" customFormat="true" ht="15" hidden="false" customHeight="true" outlineLevel="0" collapsed="false">
      <c r="A60" s="41"/>
      <c r="B60" s="41"/>
      <c r="C60" s="41"/>
      <c r="D60" s="41"/>
      <c r="E60" s="41"/>
      <c r="F60" s="41"/>
      <c r="G60" s="41"/>
    </row>
    <row r="61" s="39" customFormat="true" ht="15" hidden="false" customHeight="true" outlineLevel="0" collapsed="false">
      <c r="A61" s="41"/>
      <c r="B61" s="41"/>
      <c r="C61" s="41"/>
      <c r="D61" s="41"/>
      <c r="E61" s="41"/>
      <c r="F61" s="41"/>
      <c r="G61" s="41"/>
    </row>
    <row r="62" s="39" customFormat="true" ht="15" hidden="false" customHeight="true" outlineLevel="0" collapsed="false">
      <c r="A62" s="41"/>
      <c r="B62" s="41"/>
      <c r="C62" s="41"/>
      <c r="D62" s="41"/>
      <c r="E62" s="41"/>
      <c r="F62" s="41"/>
      <c r="G62" s="41"/>
    </row>
    <row r="63" s="39" customFormat="true" ht="15" hidden="false" customHeight="true" outlineLevel="0" collapsed="false">
      <c r="A63" s="41"/>
      <c r="B63" s="41"/>
      <c r="C63" s="41"/>
      <c r="D63" s="41"/>
      <c r="E63" s="41"/>
      <c r="F63" s="41"/>
      <c r="G63" s="41"/>
    </row>
    <row r="64" s="39" customFormat="true" ht="15" hidden="false" customHeight="true" outlineLevel="0" collapsed="false">
      <c r="A64" s="41"/>
      <c r="B64" s="41"/>
      <c r="C64" s="41"/>
      <c r="D64" s="41"/>
      <c r="E64" s="41"/>
      <c r="F64" s="41"/>
      <c r="G64" s="41"/>
    </row>
    <row r="65" s="39" customFormat="true" ht="15" hidden="false" customHeight="true" outlineLevel="0" collapsed="false">
      <c r="A65" s="41"/>
      <c r="B65" s="41"/>
      <c r="C65" s="41"/>
      <c r="D65" s="41"/>
      <c r="E65" s="41"/>
      <c r="F65" s="41"/>
      <c r="G65" s="41"/>
    </row>
    <row r="66" s="39" customFormat="true" ht="15" hidden="false" customHeight="true" outlineLevel="0" collapsed="false">
      <c r="A66" s="41"/>
      <c r="B66" s="41"/>
      <c r="C66" s="41"/>
      <c r="D66" s="41"/>
      <c r="E66" s="41"/>
      <c r="F66" s="41"/>
      <c r="G66" s="41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5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75.NĐXD8/CVXD ngày 22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75</v>
      </c>
    </row>
    <row r="3" customFormat="false" ht="18.75" hidden="false" customHeight="true" outlineLevel="0" collapsed="false">
      <c r="A3" s="6" t="s">
        <v>31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32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33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34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35</v>
      </c>
      <c r="B7" s="7"/>
      <c r="C7" s="6"/>
      <c r="D7" s="6" t="str">
        <f>VLOOKUP(AZ2,'[1]Tuyến XD8'!$A$2:$B$60,2,0)</f>
        <v xml:space="preserve">Đắp đất lề đường lớp 2, độ chặt K&gt;=0,95 đoạn từ Km0+489,19 - Km0+609,11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37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9" hidden="false" customHeight="true" outlineLevel="0" collapsed="false"/>
    <row r="19" customFormat="false" ht="15" hidden="false" customHeight="true" outlineLevel="0" collapsed="false">
      <c r="A19" s="10" t="s">
        <v>38</v>
      </c>
      <c r="B19" s="10" t="s">
        <v>39</v>
      </c>
      <c r="C19" s="10" t="s">
        <v>40</v>
      </c>
      <c r="D19" s="11" t="s">
        <v>41</v>
      </c>
      <c r="E19" s="11"/>
      <c r="F19" s="11"/>
      <c r="G19" s="11" t="s">
        <v>42</v>
      </c>
      <c r="H19" s="11"/>
      <c r="I19" s="11"/>
      <c r="J19" s="11" t="s">
        <v>43</v>
      </c>
      <c r="K19" s="11"/>
      <c r="L19" s="11"/>
      <c r="M19" s="11" t="s">
        <v>44</v>
      </c>
      <c r="N19" s="11"/>
      <c r="O19" s="11"/>
      <c r="P19" s="10" t="s">
        <v>45</v>
      </c>
    </row>
    <row r="20" customFormat="false" ht="33" hidden="false" customHeight="true" outlineLevel="0" collapsed="false">
      <c r="A20" s="10"/>
      <c r="B20" s="10"/>
      <c r="C20" s="10"/>
      <c r="D20" s="11" t="s">
        <v>46</v>
      </c>
      <c r="E20" s="11" t="s">
        <v>47</v>
      </c>
      <c r="F20" s="11" t="s">
        <v>48</v>
      </c>
      <c r="G20" s="11" t="s">
        <v>46</v>
      </c>
      <c r="H20" s="11" t="s">
        <v>47</v>
      </c>
      <c r="I20" s="11" t="s">
        <v>48</v>
      </c>
      <c r="J20" s="11" t="s">
        <v>46</v>
      </c>
      <c r="K20" s="11" t="s">
        <v>47</v>
      </c>
      <c r="L20" s="11" t="s">
        <v>48</v>
      </c>
      <c r="M20" s="11" t="s">
        <v>46</v>
      </c>
      <c r="N20" s="11" t="s">
        <v>47</v>
      </c>
      <c r="O20" s="11" t="s">
        <v>48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489.19</v>
      </c>
      <c r="D21" s="16" t="n">
        <f aca="false">Chạy!G4</f>
        <v>2.37</v>
      </c>
      <c r="E21" s="16" t="n">
        <f aca="false">D21+F21</f>
        <v>2.39</v>
      </c>
      <c r="F21" s="16" t="n">
        <f aca="false">RANDBETWEEN(-30,100)/1000</f>
        <v>0.02</v>
      </c>
      <c r="G21" s="16" t="n">
        <f aca="false">Chạy!I4</f>
        <v>2.37</v>
      </c>
      <c r="H21" s="16" t="n">
        <f aca="false">G21+I21</f>
        <v>2.357</v>
      </c>
      <c r="I21" s="16" t="n">
        <f aca="false">RANDBETWEEN(-30,100)/1000</f>
        <v>-0.013</v>
      </c>
      <c r="J21" s="16" t="n">
        <f aca="false">Chạy!M8</f>
        <v>2.37</v>
      </c>
      <c r="K21" s="16" t="n">
        <f aca="false">J21+L21</f>
        <v>2.345</v>
      </c>
      <c r="L21" s="16" t="n">
        <f aca="false">RANDBETWEEN(-30,100)/1000</f>
        <v>-0.025</v>
      </c>
      <c r="M21" s="16" t="n">
        <f aca="false">Chạy!O8</f>
        <v>2.37</v>
      </c>
      <c r="N21" s="16" t="n">
        <f aca="false">M21+O21</f>
        <v>2.351</v>
      </c>
      <c r="O21" s="16" t="n">
        <f aca="false">RANDBETWEEN(-30,100)/1000</f>
        <v>-0.019</v>
      </c>
      <c r="P21" s="17"/>
      <c r="Q21" s="18" t="n">
        <v>13.17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502.36</v>
      </c>
      <c r="D22" s="16" t="n">
        <f aca="false">Chạy!G12</f>
        <v>2.36</v>
      </c>
      <c r="E22" s="16" t="n">
        <f aca="false">D22+F22</f>
        <v>2.35</v>
      </c>
      <c r="F22" s="16" t="n">
        <f aca="false">RANDBETWEEN(-30,100)/1000</f>
        <v>-0.01</v>
      </c>
      <c r="G22" s="16" t="n">
        <f aca="false">Chạy!I12</f>
        <v>2.36</v>
      </c>
      <c r="H22" s="16" t="n">
        <f aca="false">G22+I22</f>
        <v>2.403</v>
      </c>
      <c r="I22" s="16" t="n">
        <f aca="false">RANDBETWEEN(-30,100)/1000</f>
        <v>0.043</v>
      </c>
      <c r="J22" s="16" t="n">
        <f aca="false">Chạy!M16</f>
        <v>2.36</v>
      </c>
      <c r="K22" s="16" t="n">
        <f aca="false">J22+L22</f>
        <v>2.423</v>
      </c>
      <c r="L22" s="16" t="n">
        <f aca="false">RANDBETWEEN(-30,100)/1000</f>
        <v>0.063</v>
      </c>
      <c r="M22" s="16" t="n">
        <f aca="false">Chạy!O16</f>
        <v>2.36</v>
      </c>
      <c r="N22" s="16" t="n">
        <f aca="false">M22+O22</f>
        <v>2.377</v>
      </c>
      <c r="O22" s="16" t="n">
        <f aca="false">RANDBETWEEN(-30,100)/1000</f>
        <v>0.017</v>
      </c>
      <c r="P22" s="17"/>
      <c r="Q22" s="18" t="n">
        <v>10.48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512.84</v>
      </c>
      <c r="D23" s="16" t="n">
        <f aca="false">Chạy!G20</f>
        <v>2.36</v>
      </c>
      <c r="E23" s="16" t="n">
        <f aca="false">D23+F23</f>
        <v>2.365</v>
      </c>
      <c r="F23" s="16" t="n">
        <f aca="false">RANDBETWEEN(-30,100)/1000</f>
        <v>0.005</v>
      </c>
      <c r="G23" s="16" t="n">
        <f aca="false">Chạy!I20</f>
        <v>2.36</v>
      </c>
      <c r="H23" s="16" t="n">
        <f aca="false">G23+I23</f>
        <v>2.355</v>
      </c>
      <c r="I23" s="16" t="n">
        <f aca="false">RANDBETWEEN(-30,100)/1000</f>
        <v>-0.005</v>
      </c>
      <c r="J23" s="16" t="n">
        <f aca="false">Chạy!M24</f>
        <v>2.36</v>
      </c>
      <c r="K23" s="16" t="n">
        <f aca="false">J23+L23</f>
        <v>2.454</v>
      </c>
      <c r="L23" s="16" t="n">
        <f aca="false">RANDBETWEEN(-30,100)/1000</f>
        <v>0.094</v>
      </c>
      <c r="M23" s="16" t="n">
        <f aca="false">Chạy!O24</f>
        <v>2.36</v>
      </c>
      <c r="N23" s="16" t="n">
        <f aca="false">M23+O23</f>
        <v>2.348</v>
      </c>
      <c r="O23" s="16" t="n">
        <f aca="false">RANDBETWEEN(-30,100)/1000</f>
        <v>-0.012</v>
      </c>
      <c r="P23" s="17"/>
      <c r="Q23" s="18" t="n">
        <v>16.78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529.62</v>
      </c>
      <c r="D24" s="16" t="n">
        <f aca="false">Chạy!G28</f>
        <v>2.35</v>
      </c>
      <c r="E24" s="16" t="n">
        <f aca="false">D24+F24</f>
        <v>2.348</v>
      </c>
      <c r="F24" s="16" t="n">
        <f aca="false">RANDBETWEEN(-30,100)/1000</f>
        <v>-0.002</v>
      </c>
      <c r="G24" s="16" t="n">
        <f aca="false">Chạy!I28</f>
        <v>2.35</v>
      </c>
      <c r="H24" s="16" t="n">
        <f aca="false">G24+I24</f>
        <v>2.423</v>
      </c>
      <c r="I24" s="16" t="n">
        <f aca="false">RANDBETWEEN(-30,100)/1000</f>
        <v>0.073</v>
      </c>
      <c r="J24" s="16" t="n">
        <f aca="false">Chạy!M32</f>
        <v>2.35</v>
      </c>
      <c r="K24" s="16" t="n">
        <f aca="false">J24+L24</f>
        <v>2.371</v>
      </c>
      <c r="L24" s="16" t="n">
        <f aca="false">RANDBETWEEN(-30,100)/1000</f>
        <v>0.021</v>
      </c>
      <c r="M24" s="16" t="n">
        <f aca="false">Chạy!O32</f>
        <v>2.35</v>
      </c>
      <c r="N24" s="16" t="n">
        <f aca="false">M24+O24</f>
        <v>2.432</v>
      </c>
      <c r="O24" s="16" t="n">
        <f aca="false">RANDBETWEEN(-30,100)/1000</f>
        <v>0.082</v>
      </c>
      <c r="P24" s="17"/>
      <c r="Q24" s="18" t="n">
        <v>17.1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546.72</v>
      </c>
      <c r="D25" s="16" t="n">
        <f aca="false">Chạy!G36</f>
        <v>2.34</v>
      </c>
      <c r="E25" s="16" t="n">
        <f aca="false">D25+F25</f>
        <v>2.433</v>
      </c>
      <c r="F25" s="16" t="n">
        <f aca="false">RANDBETWEEN(-30,100)/1000</f>
        <v>0.093</v>
      </c>
      <c r="G25" s="16" t="n">
        <f aca="false">Chạy!I36</f>
        <v>2.34</v>
      </c>
      <c r="H25" s="16" t="n">
        <f aca="false">G25+I25</f>
        <v>2.333</v>
      </c>
      <c r="I25" s="16" t="n">
        <f aca="false">RANDBETWEEN(-30,100)/1000</f>
        <v>-0.007</v>
      </c>
      <c r="J25" s="16" t="n">
        <f aca="false">Chạy!M40</f>
        <v>2.34</v>
      </c>
      <c r="K25" s="16" t="n">
        <f aca="false">J25+L25</f>
        <v>2.378</v>
      </c>
      <c r="L25" s="16" t="n">
        <f aca="false">RANDBETWEEN(-30,100)/1000</f>
        <v>0.038</v>
      </c>
      <c r="M25" s="16" t="n">
        <f aca="false">Chạy!O40</f>
        <v>2.34</v>
      </c>
      <c r="N25" s="16" t="n">
        <f aca="false">M25+O25</f>
        <v>2.333</v>
      </c>
      <c r="O25" s="16" t="n">
        <f aca="false">RANDBETWEEN(-30,100)/1000</f>
        <v>-0.007</v>
      </c>
      <c r="P25" s="17"/>
      <c r="Q25" s="18" t="n">
        <v>15.15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561.87</v>
      </c>
      <c r="D26" s="16" t="n">
        <f aca="false">Chạy!G44</f>
        <v>2.34</v>
      </c>
      <c r="E26" s="16" t="n">
        <f aca="false">D26+F26</f>
        <v>2.409</v>
      </c>
      <c r="F26" s="16" t="n">
        <f aca="false">RANDBETWEEN(-30,100)/1000</f>
        <v>0.069</v>
      </c>
      <c r="G26" s="16" t="n">
        <f aca="false">Chạy!I44</f>
        <v>2.34</v>
      </c>
      <c r="H26" s="16" t="n">
        <f aca="false">G26+I26</f>
        <v>2.328</v>
      </c>
      <c r="I26" s="16" t="n">
        <f aca="false">RANDBETWEEN(-30,100)/1000</f>
        <v>-0.012</v>
      </c>
      <c r="J26" s="16" t="n">
        <f aca="false">Chạy!M48</f>
        <v>2.34</v>
      </c>
      <c r="K26" s="16" t="n">
        <f aca="false">J26+L26</f>
        <v>2.318</v>
      </c>
      <c r="L26" s="16" t="n">
        <f aca="false">RANDBETWEEN(-30,100)/1000</f>
        <v>-0.022</v>
      </c>
      <c r="M26" s="16" t="n">
        <f aca="false">Chạy!O48</f>
        <v>2.34</v>
      </c>
      <c r="N26" s="16" t="n">
        <f aca="false">M26+O26</f>
        <v>2.411</v>
      </c>
      <c r="O26" s="16" t="n">
        <f aca="false">RANDBETWEEN(-30,100)/1000</f>
        <v>0.071</v>
      </c>
      <c r="P26" s="17"/>
      <c r="Q26" s="18" t="n">
        <v>0.15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562.02</v>
      </c>
      <c r="D27" s="16" t="n">
        <f aca="false">Chạy!G52</f>
        <v>2.34</v>
      </c>
      <c r="E27" s="16" t="n">
        <f aca="false">D27+F27</f>
        <v>2.412</v>
      </c>
      <c r="F27" s="16" t="n">
        <f aca="false">RANDBETWEEN(-30,100)/1000</f>
        <v>0.072</v>
      </c>
      <c r="G27" s="16" t="n">
        <f aca="false">Chạy!I52</f>
        <v>2.34</v>
      </c>
      <c r="H27" s="16" t="n">
        <f aca="false">G27+I27</f>
        <v>2.417</v>
      </c>
      <c r="I27" s="16" t="n">
        <f aca="false">RANDBETWEEN(-30,100)/1000</f>
        <v>0.077</v>
      </c>
      <c r="J27" s="16" t="n">
        <f aca="false">Chạy!M56</f>
        <v>2.34</v>
      </c>
      <c r="K27" s="16" t="n">
        <f aca="false">J27+L27</f>
        <v>2.387</v>
      </c>
      <c r="L27" s="16" t="n">
        <f aca="false">RANDBETWEEN(-30,100)/1000</f>
        <v>0.047</v>
      </c>
      <c r="M27" s="16" t="n">
        <f aca="false">Chạy!O56</f>
        <v>2.34</v>
      </c>
      <c r="N27" s="16" t="n">
        <f aca="false">M27+O27</f>
        <v>2.432</v>
      </c>
      <c r="O27" s="16" t="n">
        <f aca="false">RANDBETWEEN(-30,100)/1000</f>
        <v>0.092</v>
      </c>
      <c r="P27" s="17"/>
      <c r="Q27" s="18" t="n">
        <v>6.55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568.57</v>
      </c>
      <c r="D28" s="16" t="n">
        <f aca="false">Chạy!G60</f>
        <v>2.34</v>
      </c>
      <c r="E28" s="16" t="n">
        <f aca="false">D28+F28</f>
        <v>2.4</v>
      </c>
      <c r="F28" s="16" t="n">
        <f aca="false">RANDBETWEEN(-30,100)/1000</f>
        <v>0.06</v>
      </c>
      <c r="G28" s="16" t="n">
        <f aca="false">Chạy!I60</f>
        <v>2.34</v>
      </c>
      <c r="H28" s="16" t="n">
        <f aca="false">G28+I28</f>
        <v>2.404</v>
      </c>
      <c r="I28" s="16" t="n">
        <f aca="false">RANDBETWEEN(-30,100)/1000</f>
        <v>0.064</v>
      </c>
      <c r="J28" s="16" t="n">
        <f aca="false">Chạy!M64</f>
        <v>2.34</v>
      </c>
      <c r="K28" s="16" t="n">
        <f aca="false">J28+L28</f>
        <v>2.386</v>
      </c>
      <c r="L28" s="16" t="n">
        <f aca="false">RANDBETWEEN(-30,100)/1000</f>
        <v>0.046</v>
      </c>
      <c r="M28" s="16" t="n">
        <f aca="false">Chạy!O64</f>
        <v>2.34</v>
      </c>
      <c r="N28" s="16" t="n">
        <f aca="false">M28+O28</f>
        <v>2.353</v>
      </c>
      <c r="O28" s="16" t="n">
        <f aca="false">RANDBETWEEN(-30,100)/1000</f>
        <v>0.013</v>
      </c>
      <c r="P28" s="17"/>
      <c r="Q28" s="18" t="n">
        <v>6.55</v>
      </c>
    </row>
    <row r="29" customFormat="false" ht="15" hidden="false" customHeight="false" outlineLevel="0" collapsed="false">
      <c r="A29" s="13" t="n">
        <v>9</v>
      </c>
      <c r="B29" s="14" t="s">
        <v>1</v>
      </c>
      <c r="C29" s="15" t="n">
        <f aca="false">C28+Q28</f>
        <v>575.12</v>
      </c>
      <c r="D29" s="16" t="n">
        <f aca="false">Chạy!G68</f>
        <v>2.34</v>
      </c>
      <c r="E29" s="16" t="n">
        <f aca="false">D29+F29</f>
        <v>2.34</v>
      </c>
      <c r="F29" s="16" t="n">
        <f aca="false">RANDBETWEEN(-30,100)/1000</f>
        <v>0</v>
      </c>
      <c r="G29" s="16" t="n">
        <f aca="false">Chạy!I68</f>
        <v>2.34</v>
      </c>
      <c r="H29" s="16" t="n">
        <f aca="false">G29+I29</f>
        <v>2.414</v>
      </c>
      <c r="I29" s="16" t="n">
        <f aca="false">RANDBETWEEN(-30,100)/1000</f>
        <v>0.074</v>
      </c>
      <c r="J29" s="16" t="n">
        <f aca="false">Chạy!M72</f>
        <v>2.34</v>
      </c>
      <c r="K29" s="16" t="n">
        <f aca="false">J29+L29</f>
        <v>2.348</v>
      </c>
      <c r="L29" s="16" t="n">
        <f aca="false">RANDBETWEEN(-30,100)/1000</f>
        <v>0.008</v>
      </c>
      <c r="M29" s="16" t="n">
        <f aca="false">Chạy!O72</f>
        <v>2.34</v>
      </c>
      <c r="N29" s="16" t="n">
        <f aca="false">M29+O29</f>
        <v>2.346</v>
      </c>
      <c r="O29" s="16" t="n">
        <f aca="false">RANDBETWEEN(-30,100)/1000</f>
        <v>0.006</v>
      </c>
      <c r="P29" s="17"/>
      <c r="Q29" s="18" t="n">
        <v>0.04</v>
      </c>
    </row>
    <row r="30" customFormat="false" ht="15" hidden="false" customHeight="false" outlineLevel="0" collapsed="false">
      <c r="A30" s="13" t="n">
        <v>10</v>
      </c>
      <c r="B30" s="14" t="s">
        <v>26</v>
      </c>
      <c r="C30" s="15" t="n">
        <f aca="false">C29+Q29</f>
        <v>575.16</v>
      </c>
      <c r="D30" s="16" t="n">
        <f aca="false">Chạy!G76</f>
        <v>2.47</v>
      </c>
      <c r="E30" s="16" t="n">
        <f aca="false">D30+F30</f>
        <v>2.471</v>
      </c>
      <c r="F30" s="16" t="n">
        <f aca="false">RANDBETWEEN(-30,100)/1000</f>
        <v>0.001</v>
      </c>
      <c r="G30" s="16" t="n">
        <f aca="false">Chạy!I76</f>
        <v>2.47</v>
      </c>
      <c r="H30" s="16" t="n">
        <f aca="false">G30+I30</f>
        <v>2.461</v>
      </c>
      <c r="I30" s="16" t="n">
        <f aca="false">RANDBETWEEN(-30,100)/1000</f>
        <v>-0.009</v>
      </c>
      <c r="J30" s="16" t="n">
        <f aca="false">Chạy!M80</f>
        <v>2.34</v>
      </c>
      <c r="K30" s="16" t="n">
        <f aca="false">J30+L30</f>
        <v>2.435</v>
      </c>
      <c r="L30" s="16" t="n">
        <f aca="false">RANDBETWEEN(-30,100)/1000</f>
        <v>0.095</v>
      </c>
      <c r="M30" s="16" t="n">
        <f aca="false">Chạy!O80</f>
        <v>2.34</v>
      </c>
      <c r="N30" s="16" t="n">
        <f aca="false">M30+O30</f>
        <v>2.339</v>
      </c>
      <c r="O30" s="16" t="n">
        <f aca="false">RANDBETWEEN(-30,100)/1000</f>
        <v>-0.001</v>
      </c>
      <c r="P30" s="17"/>
      <c r="Q30" s="18" t="n">
        <v>16.95</v>
      </c>
    </row>
    <row r="31" customFormat="false" ht="15" hidden="false" customHeight="false" outlineLevel="0" collapsed="false">
      <c r="A31" s="13" t="n">
        <v>11</v>
      </c>
      <c r="B31" s="14" t="s">
        <v>27</v>
      </c>
      <c r="C31" s="15" t="n">
        <f aca="false">C30+Q30</f>
        <v>592.11</v>
      </c>
      <c r="D31" s="16" t="n">
        <f aca="false">Chạy!G84</f>
        <v>2.34</v>
      </c>
      <c r="E31" s="16" t="n">
        <f aca="false">D31+F31</f>
        <v>2.37</v>
      </c>
      <c r="F31" s="16" t="n">
        <f aca="false">RANDBETWEEN(-30,100)/1000</f>
        <v>0.03</v>
      </c>
      <c r="G31" s="16" t="n">
        <f aca="false">Chạy!I84</f>
        <v>2.34</v>
      </c>
      <c r="H31" s="16" t="n">
        <f aca="false">G31+I31</f>
        <v>2.405</v>
      </c>
      <c r="I31" s="16" t="n">
        <f aca="false">RANDBETWEEN(-30,100)/1000</f>
        <v>0.065</v>
      </c>
      <c r="J31" s="16" t="n">
        <f aca="false">Chạy!M88</f>
        <v>2.34</v>
      </c>
      <c r="K31" s="16" t="n">
        <f aca="false">J31+L31</f>
        <v>2.394</v>
      </c>
      <c r="L31" s="16" t="n">
        <f aca="false">RANDBETWEEN(-30,100)/1000</f>
        <v>0.054</v>
      </c>
      <c r="M31" s="16" t="n">
        <f aca="false">Chạy!O88</f>
        <v>2.34</v>
      </c>
      <c r="N31" s="16" t="n">
        <f aca="false">M31+O31</f>
        <v>2.399</v>
      </c>
      <c r="O31" s="16" t="n">
        <f aca="false">RANDBETWEEN(-30,100)/1000</f>
        <v>0.059</v>
      </c>
      <c r="P31" s="17"/>
      <c r="Q31" s="18" t="n">
        <v>17</v>
      </c>
    </row>
    <row r="32" customFormat="false" ht="15" hidden="false" customHeight="false" outlineLevel="0" collapsed="false">
      <c r="A32" s="13" t="n">
        <v>12</v>
      </c>
      <c r="B32" s="14" t="s">
        <v>28</v>
      </c>
      <c r="C32" s="15" t="n">
        <f aca="false">C31+Q31</f>
        <v>609.11</v>
      </c>
      <c r="D32" s="16" t="n">
        <f aca="false">Chạy!G92</f>
        <v>2.34</v>
      </c>
      <c r="E32" s="16" t="n">
        <f aca="false">D32+F32</f>
        <v>2.404</v>
      </c>
      <c r="F32" s="16" t="n">
        <f aca="false">RANDBETWEEN(-30,100)/1000</f>
        <v>0.064</v>
      </c>
      <c r="G32" s="16" t="n">
        <f aca="false">Chạy!I92</f>
        <v>2.34</v>
      </c>
      <c r="H32" s="16" t="n">
        <f aca="false">G32+I32</f>
        <v>2.371</v>
      </c>
      <c r="I32" s="16" t="n">
        <f aca="false">RANDBETWEEN(-30,100)/1000</f>
        <v>0.031</v>
      </c>
      <c r="J32" s="16" t="n">
        <f aca="false">Chạy!M96</f>
        <v>2.34</v>
      </c>
      <c r="K32" s="16" t="n">
        <f aca="false">J32+L32</f>
        <v>2.341</v>
      </c>
      <c r="L32" s="16" t="n">
        <f aca="false">RANDBETWEEN(-30,100)/1000</f>
        <v>0.001</v>
      </c>
      <c r="M32" s="16" t="n">
        <f aca="false">Chạy!O96</f>
        <v>2.34</v>
      </c>
      <c r="N32" s="16" t="n">
        <f aca="false">M32+O32</f>
        <v>2.338</v>
      </c>
      <c r="O32" s="16" t="n">
        <f aca="false">RANDBETWEEN(-30,100)/1000</f>
        <v>-0.002</v>
      </c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49</v>
      </c>
      <c r="D60" s="19"/>
      <c r="E60" s="19"/>
      <c r="F60" s="19"/>
      <c r="G60" s="20"/>
      <c r="H60" s="20"/>
      <c r="I60" s="20"/>
      <c r="K60" s="19" t="s">
        <v>50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51</v>
      </c>
      <c r="D65" s="19"/>
      <c r="E65" s="19"/>
      <c r="F65" s="19"/>
      <c r="G65" s="20"/>
      <c r="H65" s="20"/>
      <c r="I65" s="20"/>
      <c r="J65" s="21"/>
      <c r="K65" s="19" t="s">
        <v>52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true" verticalCentered="false"/>
  <pageMargins left="0.39375" right="0.157638888888889" top="0.747916666666667" bottom="0.55138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20" activeCellId="0" sqref="F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75.NĐXD8/CVXD ngày 22 tháng 09 năm 2026</v>
      </c>
      <c r="B2" s="27"/>
      <c r="C2" s="27"/>
      <c r="D2" s="27"/>
      <c r="E2" s="27"/>
      <c r="F2" s="27"/>
      <c r="G2" s="27"/>
      <c r="AZ2">
        <v>75</v>
      </c>
    </row>
    <row r="3" s="30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4.5" hidden="false" customHeight="true" outlineLevel="0" collapsed="false">
      <c r="A7" s="31" t="s">
        <v>35</v>
      </c>
      <c r="B7" s="32"/>
      <c r="C7" s="33"/>
      <c r="D7" s="34" t="str">
        <f>VLOOKUP(AZ2,'[1]Tuyến XD8'!$A$2:$B$60,2,0)</f>
        <v xml:space="preserve">Đắp đất lề đường lớp 2, độ chặt K&gt;=0,95 đoạn từ Km0+489,19 - Km0+609,11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30" customFormat="true" ht="16.5" hidden="false" customHeight="true" outlineLevel="0" collapsed="false">
      <c r="A8" s="31"/>
      <c r="B8" s="32"/>
      <c r="C8" s="33"/>
      <c r="D8" s="64"/>
      <c r="E8" s="64"/>
      <c r="F8" s="64"/>
      <c r="G8" s="6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</row>
    <row r="9" s="50" customFormat="true" ht="14.2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65" customFormat="true" ht="15" hidden="false" customHeight="true" outlineLevel="0" collapsed="false">
      <c r="A11" s="13" t="n">
        <v>1</v>
      </c>
      <c r="B11" s="14" t="str">
        <f aca="false">'1. KTHH L2'!B21</f>
        <v>25</v>
      </c>
      <c r="C11" s="15" t="n">
        <f aca="false">'1. KTHH L2'!C21</f>
        <v>489.19</v>
      </c>
      <c r="D11" s="13" t="n">
        <f aca="false">'1. KTHH L2'!Q21</f>
        <v>13.17</v>
      </c>
      <c r="E11" s="42" t="n">
        <f aca="false">Chạy!E4+Chạy!E8</f>
        <v>3.06</v>
      </c>
      <c r="F11" s="43" t="n">
        <f aca="false">(E11+E12)*D11/2</f>
        <v>40.3002</v>
      </c>
      <c r="G11" s="44"/>
      <c r="H11" s="40"/>
      <c r="I11" s="40"/>
    </row>
    <row r="12" s="39" customFormat="true" ht="15" hidden="false" customHeight="true" outlineLevel="0" collapsed="false">
      <c r="A12" s="13" t="n">
        <v>2</v>
      </c>
      <c r="B12" s="14" t="str">
        <f aca="false">'1. KTHH L2'!B22</f>
        <v>D1</v>
      </c>
      <c r="C12" s="15" t="n">
        <f aca="false">'1. KTHH L2'!C22</f>
        <v>502.36</v>
      </c>
      <c r="D12" s="13" t="n">
        <f aca="false">'1. KTHH L2'!Q22</f>
        <v>10.48</v>
      </c>
      <c r="E12" s="42" t="n">
        <f aca="false">Chạy!E12+Chạy!E16</f>
        <v>3.06</v>
      </c>
      <c r="F12" s="43" t="n">
        <f aca="false">(E12+E13)*D12/2</f>
        <v>32.0688</v>
      </c>
      <c r="G12" s="44"/>
      <c r="H12" s="40"/>
      <c r="I12" s="40"/>
    </row>
    <row r="13" s="41" customFormat="true" ht="15" hidden="false" customHeight="true" outlineLevel="0" collapsed="false">
      <c r="A13" s="13" t="n">
        <v>3</v>
      </c>
      <c r="B13" s="14" t="str">
        <f aca="false">'1. KTHH L2'!B23</f>
        <v>26</v>
      </c>
      <c r="C13" s="15" t="n">
        <f aca="false">'1. KTHH L2'!C23</f>
        <v>512.84</v>
      </c>
      <c r="D13" s="13" t="n">
        <f aca="false">'1. KTHH L2'!Q23</f>
        <v>16.78</v>
      </c>
      <c r="E13" s="42" t="n">
        <f aca="false">Chạy!E20+Chạy!E24</f>
        <v>3.06</v>
      </c>
      <c r="F13" s="43" t="n">
        <f aca="false">(E13+E14)*D13/2</f>
        <v>51.3468</v>
      </c>
      <c r="G13" s="44"/>
      <c r="H13" s="40"/>
      <c r="I13" s="40"/>
    </row>
    <row r="14" s="41" customFormat="true" ht="15" hidden="false" customHeight="true" outlineLevel="0" collapsed="false">
      <c r="A14" s="13" t="n">
        <v>4</v>
      </c>
      <c r="B14" s="14" t="str">
        <f aca="false">'1. KTHH L2'!B24</f>
        <v>27</v>
      </c>
      <c r="C14" s="15" t="n">
        <f aca="false">'1. KTHH L2'!C24</f>
        <v>529.62</v>
      </c>
      <c r="D14" s="13" t="n">
        <f aca="false">'1. KTHH L2'!Q24</f>
        <v>17.1</v>
      </c>
      <c r="E14" s="42" t="n">
        <f aca="false">Chạy!E28+Chạy!E32</f>
        <v>3.06</v>
      </c>
      <c r="F14" s="43" t="n">
        <f aca="false">(E14+E15)*D14/2</f>
        <v>52.326</v>
      </c>
      <c r="G14" s="44"/>
      <c r="H14" s="40"/>
      <c r="I14" s="40"/>
    </row>
    <row r="15" s="41" customFormat="true" ht="15" hidden="false" customHeight="true" outlineLevel="0" collapsed="false">
      <c r="A15" s="13" t="n">
        <v>5</v>
      </c>
      <c r="B15" s="14" t="str">
        <f aca="false">'1. KTHH L2'!B25</f>
        <v>28</v>
      </c>
      <c r="C15" s="15" t="n">
        <f aca="false">'1. KTHH L2'!C25</f>
        <v>546.72</v>
      </c>
      <c r="D15" s="13" t="n">
        <f aca="false">'1. KTHH L2'!Q25</f>
        <v>15.15</v>
      </c>
      <c r="E15" s="42" t="n">
        <f aca="false">Chạy!E36+Chạy!E40</f>
        <v>3.06</v>
      </c>
      <c r="F15" s="43" t="n">
        <f aca="false">(E15+E16)*D15/2</f>
        <v>46.359</v>
      </c>
      <c r="G15" s="44"/>
      <c r="H15" s="40"/>
      <c r="I15" s="40"/>
    </row>
    <row r="16" s="41" customFormat="true" ht="15" hidden="false" customHeight="true" outlineLevel="0" collapsed="false">
      <c r="A16" s="13" t="n">
        <v>6</v>
      </c>
      <c r="B16" s="14" t="str">
        <f aca="false">'1. KTHH L2'!B26</f>
        <v>E5</v>
      </c>
      <c r="C16" s="15" t="n">
        <f aca="false">'1. KTHH L2'!C26</f>
        <v>561.87</v>
      </c>
      <c r="D16" s="13" t="n">
        <f aca="false">'1. KTHH L2'!Q26</f>
        <v>0.15</v>
      </c>
      <c r="E16" s="42" t="n">
        <f aca="false">Chạy!E44+Chạy!E48</f>
        <v>3.06</v>
      </c>
      <c r="F16" s="43" t="n">
        <f aca="false">(E16+E17)*D16/2</f>
        <v>0.459</v>
      </c>
      <c r="G16" s="44"/>
      <c r="H16" s="40"/>
      <c r="I16" s="40"/>
    </row>
    <row r="17" s="41" customFormat="true" ht="15" hidden="false" customHeight="true" outlineLevel="0" collapsed="false">
      <c r="A17" s="13" t="n">
        <v>7</v>
      </c>
      <c r="B17" s="14" t="str">
        <f aca="false">'1. KTHH L2'!B27</f>
        <v>TD</v>
      </c>
      <c r="C17" s="15" t="n">
        <f aca="false">'1. KTHH L2'!C27</f>
        <v>562.02</v>
      </c>
      <c r="D17" s="13" t="n">
        <f aca="false">'1. KTHH L2'!Q27</f>
        <v>6.55</v>
      </c>
      <c r="E17" s="42" t="n">
        <f aca="false">Chạy!E52+Chạy!E56</f>
        <v>3.06</v>
      </c>
      <c r="F17" s="43" t="n">
        <f aca="false">(E17+E18)*D17/2</f>
        <v>20.043</v>
      </c>
      <c r="G17" s="44"/>
      <c r="H17" s="40"/>
      <c r="I17" s="40"/>
    </row>
    <row r="18" s="41" customFormat="true" ht="15" hidden="false" customHeight="true" outlineLevel="0" collapsed="false">
      <c r="A18" s="13" t="n">
        <v>8</v>
      </c>
      <c r="B18" s="14" t="str">
        <f aca="false">'1. KTHH L2'!B28</f>
        <v>P</v>
      </c>
      <c r="C18" s="15" t="n">
        <f aca="false">'1. KTHH L2'!C28</f>
        <v>568.57</v>
      </c>
      <c r="D18" s="13" t="n">
        <f aca="false">'1. KTHH L2'!Q28</f>
        <v>6.55</v>
      </c>
      <c r="E18" s="42" t="n">
        <f aca="false">Chạy!E60+Chạy!E64</f>
        <v>3.06</v>
      </c>
      <c r="F18" s="43" t="n">
        <f aca="false">(E18+E19)*D18/2</f>
        <v>20.043</v>
      </c>
      <c r="G18" s="44"/>
      <c r="H18" s="40"/>
      <c r="I18" s="40"/>
    </row>
    <row r="19" s="41" customFormat="true" ht="15" hidden="false" customHeight="true" outlineLevel="0" collapsed="false">
      <c r="A19" s="13" t="n">
        <v>9</v>
      </c>
      <c r="B19" s="14" t="str">
        <f aca="false">'1. KTHH L2'!B29</f>
        <v>TC</v>
      </c>
      <c r="C19" s="15" t="n">
        <f aca="false">'1. KTHH L2'!C29</f>
        <v>575.12</v>
      </c>
      <c r="D19" s="13" t="n">
        <f aca="false">'1. KTHH L2'!Q29</f>
        <v>0.04</v>
      </c>
      <c r="E19" s="42" t="n">
        <f aca="false">Chạy!E68+Chạy!E72</f>
        <v>3.06</v>
      </c>
      <c r="F19" s="43" t="n">
        <f aca="false">(E19+E20)*D19/2</f>
        <v>0.1224</v>
      </c>
      <c r="G19" s="44"/>
      <c r="H19" s="40"/>
      <c r="I19" s="40"/>
    </row>
    <row r="20" s="41" customFormat="true" ht="15" hidden="false" customHeight="true" outlineLevel="0" collapsed="false">
      <c r="A20" s="13" t="n">
        <v>10</v>
      </c>
      <c r="B20" s="14" t="str">
        <f aca="false">'1. KTHH L2'!B30</f>
        <v>29</v>
      </c>
      <c r="C20" s="15" t="n">
        <f aca="false">'1. KTHH L2'!C30</f>
        <v>575.16</v>
      </c>
      <c r="D20" s="13" t="n">
        <f aca="false">'1. KTHH L2'!Q30</f>
        <v>16.95</v>
      </c>
      <c r="E20" s="42" t="n">
        <f aca="false">Chạy!E76+Chạy!E80</f>
        <v>3.06</v>
      </c>
      <c r="F20" s="43" t="n">
        <f aca="false">(E20+E21)*D20/2</f>
        <v>51.867</v>
      </c>
      <c r="G20" s="44"/>
      <c r="H20" s="40"/>
      <c r="I20" s="40"/>
    </row>
    <row r="21" s="41" customFormat="true" ht="15" hidden="false" customHeight="true" outlineLevel="0" collapsed="false">
      <c r="A21" s="13" t="n">
        <v>11</v>
      </c>
      <c r="B21" s="14" t="str">
        <f aca="false">'1. KTHH L2'!B31</f>
        <v>30</v>
      </c>
      <c r="C21" s="15" t="n">
        <f aca="false">'1. KTHH L2'!C31</f>
        <v>592.11</v>
      </c>
      <c r="D21" s="13" t="n">
        <f aca="false">'1. KTHH L2'!Q31</f>
        <v>17</v>
      </c>
      <c r="E21" s="42" t="n">
        <f aca="false">Chạy!E84+Chạy!E88</f>
        <v>3.06</v>
      </c>
      <c r="F21" s="43" t="n">
        <f aca="false">(E21+E22)*D21/2</f>
        <v>52.02</v>
      </c>
      <c r="G21" s="44"/>
      <c r="H21" s="40"/>
      <c r="I21" s="40"/>
    </row>
    <row r="22" s="41" customFormat="true" ht="15" hidden="false" customHeight="true" outlineLevel="0" collapsed="false">
      <c r="A22" s="13" t="n">
        <v>12</v>
      </c>
      <c r="B22" s="14" t="str">
        <f aca="false">'1. KTHH L2'!B32</f>
        <v>31</v>
      </c>
      <c r="C22" s="15" t="n">
        <f aca="false">'1. KTHH L2'!C32</f>
        <v>609.11</v>
      </c>
      <c r="D22" s="13"/>
      <c r="E22" s="42" t="n">
        <f aca="false">Chạy!E92+Chạy!E96</f>
        <v>3.06</v>
      </c>
      <c r="F22" s="43"/>
      <c r="G22" s="44"/>
      <c r="H22" s="40"/>
      <c r="I22" s="40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40"/>
      <c r="I23" s="40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40"/>
      <c r="I24" s="40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40"/>
      <c r="I25" s="40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40"/>
      <c r="I26" s="40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40"/>
      <c r="I27" s="40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40"/>
      <c r="I28" s="40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40"/>
      <c r="I29" s="40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40"/>
      <c r="I30" s="40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40"/>
      <c r="I31" s="40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40"/>
      <c r="I32" s="40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40"/>
      <c r="I33" s="40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40"/>
      <c r="I34" s="40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40"/>
      <c r="I35" s="40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40"/>
      <c r="I36" s="40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40"/>
      <c r="I37" s="40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40"/>
      <c r="I38" s="40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40"/>
      <c r="I39" s="40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40"/>
      <c r="I40" s="40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40"/>
      <c r="I41" s="40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40"/>
      <c r="I42" s="40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40"/>
      <c r="I43" s="40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40"/>
      <c r="I44" s="40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40"/>
      <c r="I45" s="40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40"/>
      <c r="I46" s="40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40"/>
      <c r="I47" s="40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40"/>
      <c r="I48" s="40"/>
    </row>
    <row r="49" s="50" customFormat="true" ht="15" hidden="false" customHeight="true" outlineLevel="0" collapsed="false">
      <c r="A49" s="46" t="s">
        <v>57</v>
      </c>
      <c r="B49" s="46"/>
      <c r="C49" s="46"/>
      <c r="D49" s="46"/>
      <c r="E49" s="66"/>
      <c r="F49" s="67" t="n">
        <f aca="false">SUM(F11:F22)</f>
        <v>366.9552</v>
      </c>
      <c r="G49" s="68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51</v>
      </c>
      <c r="B57" s="19"/>
      <c r="C57" s="19"/>
      <c r="D57" s="21"/>
      <c r="E57" s="19" t="s">
        <v>52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77.NĐXD8/CVXD ngày 23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77</v>
      </c>
    </row>
    <row r="3" customFormat="false" ht="15" hidden="false" customHeight="false" outlineLevel="0" collapsed="false">
      <c r="A3" s="22" t="s">
        <v>31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32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34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35</v>
      </c>
      <c r="C7" s="22"/>
      <c r="D7" s="22" t="str">
        <f>VLOOKUP(AZ2,'[1]Tuyến XD8'!$A$2:$B$60,2,0)</f>
        <v xml:space="preserve">Đắp đất lề đường lớp 3, độ chặt K&gt;=0,95 đoạn từ Km0+489,19 - Km0+609,11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9" customFormat="false" ht="15" hidden="false" customHeight="true" outlineLevel="0" collapsed="false">
      <c r="A19" s="10" t="s">
        <v>38</v>
      </c>
      <c r="B19" s="10" t="s">
        <v>39</v>
      </c>
      <c r="C19" s="10" t="s">
        <v>40</v>
      </c>
      <c r="D19" s="11" t="s">
        <v>41</v>
      </c>
      <c r="E19" s="11"/>
      <c r="F19" s="11"/>
      <c r="G19" s="11" t="s">
        <v>42</v>
      </c>
      <c r="H19" s="11"/>
      <c r="I19" s="11"/>
      <c r="J19" s="11" t="s">
        <v>43</v>
      </c>
      <c r="K19" s="11"/>
      <c r="L19" s="11"/>
      <c r="M19" s="11" t="s">
        <v>44</v>
      </c>
      <c r="N19" s="11"/>
      <c r="O19" s="11"/>
      <c r="P19" s="10" t="s">
        <v>45</v>
      </c>
    </row>
    <row r="20" customFormat="false" ht="30" hidden="false" customHeight="true" outlineLevel="0" collapsed="false">
      <c r="A20" s="10"/>
      <c r="B20" s="10"/>
      <c r="C20" s="10"/>
      <c r="D20" s="11" t="s">
        <v>46</v>
      </c>
      <c r="E20" s="11" t="s">
        <v>47</v>
      </c>
      <c r="F20" s="11" t="s">
        <v>48</v>
      </c>
      <c r="G20" s="11" t="s">
        <v>46</v>
      </c>
      <c r="H20" s="11" t="s">
        <v>47</v>
      </c>
      <c r="I20" s="11" t="s">
        <v>48</v>
      </c>
      <c r="J20" s="11" t="s">
        <v>46</v>
      </c>
      <c r="K20" s="11" t="s">
        <v>47</v>
      </c>
      <c r="L20" s="11" t="s">
        <v>48</v>
      </c>
      <c r="M20" s="11" t="s">
        <v>46</v>
      </c>
      <c r="N20" s="11" t="s">
        <v>47</v>
      </c>
      <c r="O20" s="11" t="s">
        <v>48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489.19</v>
      </c>
      <c r="D21" s="16" t="n">
        <f aca="false">Chạy!G3</f>
        <v>2.55</v>
      </c>
      <c r="E21" s="16" t="n">
        <f aca="false">D21+F21</f>
        <v>2.617</v>
      </c>
      <c r="F21" s="16" t="n">
        <f aca="false">RANDBETWEEN(-30,100)/1000</f>
        <v>0.067</v>
      </c>
      <c r="G21" s="16" t="n">
        <f aca="false">Chạy!I3</f>
        <v>2.55</v>
      </c>
      <c r="H21" s="16" t="n">
        <f aca="false">G21+I21</f>
        <v>2.574</v>
      </c>
      <c r="I21" s="16" t="n">
        <f aca="false">RANDBETWEEN(-30,100)/1000</f>
        <v>0.024</v>
      </c>
      <c r="J21" s="16" t="n">
        <f aca="false">Chạy!M7</f>
        <v>2.55</v>
      </c>
      <c r="K21" s="16" t="n">
        <f aca="false">J21+L21</f>
        <v>2.638</v>
      </c>
      <c r="L21" s="16" t="n">
        <f aca="false">RANDBETWEEN(-30,100)/1000</f>
        <v>0.088</v>
      </c>
      <c r="M21" s="16" t="n">
        <f aca="false">Chạy!O7</f>
        <v>2.55</v>
      </c>
      <c r="N21" s="16" t="n">
        <f aca="false">M21+O21</f>
        <v>2.564</v>
      </c>
      <c r="O21" s="16" t="n">
        <f aca="false">RANDBETWEEN(-30,100)/1000</f>
        <v>0.014</v>
      </c>
      <c r="P21" s="17"/>
      <c r="Q21" s="18" t="n">
        <v>13.17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502.36</v>
      </c>
      <c r="D22" s="16" t="n">
        <f aca="false">Chạy!G11</f>
        <v>2.54</v>
      </c>
      <c r="E22" s="16" t="n">
        <f aca="false">D22+F22</f>
        <v>2.563</v>
      </c>
      <c r="F22" s="16" t="n">
        <f aca="false">RANDBETWEEN(-30,100)/1000</f>
        <v>0.023</v>
      </c>
      <c r="G22" s="16" t="n">
        <f aca="false">Chạy!I11</f>
        <v>2.54</v>
      </c>
      <c r="H22" s="16" t="n">
        <f aca="false">G22+I22</f>
        <v>2.561</v>
      </c>
      <c r="I22" s="16" t="n">
        <f aca="false">RANDBETWEEN(-30,100)/1000</f>
        <v>0.021</v>
      </c>
      <c r="J22" s="16" t="n">
        <f aca="false">Chạy!M15</f>
        <v>2.54</v>
      </c>
      <c r="K22" s="16" t="n">
        <f aca="false">J22+L22</f>
        <v>2.591</v>
      </c>
      <c r="L22" s="16" t="n">
        <f aca="false">RANDBETWEEN(-30,100)/1000</f>
        <v>0.051</v>
      </c>
      <c r="M22" s="16" t="n">
        <f aca="false">Chạy!O15</f>
        <v>2.54</v>
      </c>
      <c r="N22" s="16" t="n">
        <f aca="false">M22+O22</f>
        <v>2.64</v>
      </c>
      <c r="O22" s="16" t="n">
        <f aca="false">RANDBETWEEN(-30,100)/1000</f>
        <v>0.1</v>
      </c>
      <c r="P22" s="17"/>
      <c r="Q22" s="18" t="n">
        <v>10.48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512.84</v>
      </c>
      <c r="D23" s="16" t="n">
        <f aca="false">Chạy!G19</f>
        <v>2.54</v>
      </c>
      <c r="E23" s="16" t="n">
        <f aca="false">D23+F23</f>
        <v>2.591</v>
      </c>
      <c r="F23" s="16" t="n">
        <f aca="false">RANDBETWEEN(-30,100)/1000</f>
        <v>0.051</v>
      </c>
      <c r="G23" s="16" t="n">
        <f aca="false">Chạy!I19</f>
        <v>2.54</v>
      </c>
      <c r="H23" s="16" t="n">
        <f aca="false">G23+I23</f>
        <v>2.639</v>
      </c>
      <c r="I23" s="16" t="n">
        <f aca="false">RANDBETWEEN(-30,100)/1000</f>
        <v>0.099</v>
      </c>
      <c r="J23" s="16" t="n">
        <f aca="false">Chạy!M23</f>
        <v>2.54</v>
      </c>
      <c r="K23" s="16" t="n">
        <f aca="false">J23+L23</f>
        <v>2.596</v>
      </c>
      <c r="L23" s="16" t="n">
        <f aca="false">RANDBETWEEN(-30,100)/1000</f>
        <v>0.056</v>
      </c>
      <c r="M23" s="16" t="n">
        <f aca="false">Chạy!O23</f>
        <v>2.54</v>
      </c>
      <c r="N23" s="16" t="n">
        <f aca="false">M23+O23</f>
        <v>2.602</v>
      </c>
      <c r="O23" s="16" t="n">
        <f aca="false">RANDBETWEEN(-30,100)/1000</f>
        <v>0.062</v>
      </c>
      <c r="P23" s="17"/>
      <c r="Q23" s="18" t="n">
        <v>16.78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529.62</v>
      </c>
      <c r="D24" s="16" t="n">
        <f aca="false">Chạy!G27</f>
        <v>2.53</v>
      </c>
      <c r="E24" s="16" t="n">
        <f aca="false">D24+F24</f>
        <v>2.568</v>
      </c>
      <c r="F24" s="16" t="n">
        <f aca="false">RANDBETWEEN(-30,100)/1000</f>
        <v>0.038</v>
      </c>
      <c r="G24" s="16" t="n">
        <f aca="false">Chạy!I27</f>
        <v>2.53</v>
      </c>
      <c r="H24" s="16" t="n">
        <f aca="false">G24+I24</f>
        <v>2.52</v>
      </c>
      <c r="I24" s="16" t="n">
        <f aca="false">RANDBETWEEN(-30,100)/1000</f>
        <v>-0.01</v>
      </c>
      <c r="J24" s="16" t="n">
        <f aca="false">Chạy!M31</f>
        <v>2.53</v>
      </c>
      <c r="K24" s="16" t="n">
        <f aca="false">J24+L24</f>
        <v>2.523</v>
      </c>
      <c r="L24" s="16" t="n">
        <f aca="false">RANDBETWEEN(-30,100)/1000</f>
        <v>-0.007</v>
      </c>
      <c r="M24" s="16" t="n">
        <f aca="false">Chạy!O31</f>
        <v>2.53</v>
      </c>
      <c r="N24" s="16" t="n">
        <f aca="false">M24+O24</f>
        <v>2.546</v>
      </c>
      <c r="O24" s="16" t="n">
        <f aca="false">RANDBETWEEN(-30,100)/1000</f>
        <v>0.016</v>
      </c>
      <c r="P24" s="17"/>
      <c r="Q24" s="18" t="n">
        <v>17.1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546.72</v>
      </c>
      <c r="D25" s="16" t="n">
        <f aca="false">Chạy!G35</f>
        <v>2.52</v>
      </c>
      <c r="E25" s="16" t="n">
        <f aca="false">D25+F25</f>
        <v>2.495</v>
      </c>
      <c r="F25" s="16" t="n">
        <f aca="false">RANDBETWEEN(-30,100)/1000</f>
        <v>-0.025</v>
      </c>
      <c r="G25" s="16" t="n">
        <f aca="false">Chạy!I35</f>
        <v>2.52</v>
      </c>
      <c r="H25" s="16" t="n">
        <f aca="false">G25+I25</f>
        <v>2.554</v>
      </c>
      <c r="I25" s="16" t="n">
        <f aca="false">RANDBETWEEN(-30,100)/1000</f>
        <v>0.034</v>
      </c>
      <c r="J25" s="16" t="n">
        <f aca="false">Chạy!M39</f>
        <v>2.52</v>
      </c>
      <c r="K25" s="16" t="n">
        <f aca="false">J25+L25</f>
        <v>2.591</v>
      </c>
      <c r="L25" s="16" t="n">
        <f aca="false">RANDBETWEEN(-30,100)/1000</f>
        <v>0.071</v>
      </c>
      <c r="M25" s="16" t="n">
        <f aca="false">Chạy!O39</f>
        <v>2.52</v>
      </c>
      <c r="N25" s="16" t="n">
        <f aca="false">M25+O25</f>
        <v>2.515</v>
      </c>
      <c r="O25" s="16" t="n">
        <f aca="false">RANDBETWEEN(-30,100)/1000</f>
        <v>-0.005</v>
      </c>
      <c r="P25" s="17"/>
      <c r="Q25" s="18" t="n">
        <v>15.15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561.87</v>
      </c>
      <c r="D26" s="16" t="n">
        <f aca="false">Chạy!G43</f>
        <v>2.52</v>
      </c>
      <c r="E26" s="16" t="n">
        <f aca="false">D26+F26</f>
        <v>2.553</v>
      </c>
      <c r="F26" s="16" t="n">
        <f aca="false">RANDBETWEEN(-30,100)/1000</f>
        <v>0.033</v>
      </c>
      <c r="G26" s="16" t="n">
        <f aca="false">Chạy!I43</f>
        <v>2.52</v>
      </c>
      <c r="H26" s="16" t="n">
        <f aca="false">G26+I26</f>
        <v>2.612</v>
      </c>
      <c r="I26" s="16" t="n">
        <f aca="false">RANDBETWEEN(-30,100)/1000</f>
        <v>0.092</v>
      </c>
      <c r="J26" s="16" t="n">
        <f aca="false">Chạy!M47</f>
        <v>2.52</v>
      </c>
      <c r="K26" s="16" t="n">
        <f aca="false">J26+L26</f>
        <v>2.523</v>
      </c>
      <c r="L26" s="16" t="n">
        <f aca="false">RANDBETWEEN(-30,100)/1000</f>
        <v>0.003</v>
      </c>
      <c r="M26" s="16" t="n">
        <f aca="false">Chạy!O47</f>
        <v>2.52</v>
      </c>
      <c r="N26" s="16" t="n">
        <f aca="false">M26+O26</f>
        <v>2.501</v>
      </c>
      <c r="O26" s="16" t="n">
        <f aca="false">RANDBETWEEN(-30,100)/1000</f>
        <v>-0.019</v>
      </c>
      <c r="P26" s="17"/>
      <c r="Q26" s="18" t="n">
        <v>0.15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562.02</v>
      </c>
      <c r="D27" s="16" t="n">
        <f aca="false">Chạy!G51</f>
        <v>2.52</v>
      </c>
      <c r="E27" s="16" t="n">
        <f aca="false">D27+F27</f>
        <v>2.49</v>
      </c>
      <c r="F27" s="16" t="n">
        <f aca="false">RANDBETWEEN(-30,100)/1000</f>
        <v>-0.03</v>
      </c>
      <c r="G27" s="16" t="n">
        <f aca="false">Chạy!I51</f>
        <v>2.52</v>
      </c>
      <c r="H27" s="16" t="n">
        <f aca="false">G27+I27</f>
        <v>2.6</v>
      </c>
      <c r="I27" s="16" t="n">
        <f aca="false">RANDBETWEEN(-30,100)/1000</f>
        <v>0.08</v>
      </c>
      <c r="J27" s="16" t="n">
        <f aca="false">Chạy!M55</f>
        <v>2.52</v>
      </c>
      <c r="K27" s="16" t="n">
        <f aca="false">J27+L27</f>
        <v>2.599</v>
      </c>
      <c r="L27" s="16" t="n">
        <f aca="false">RANDBETWEEN(-30,100)/1000</f>
        <v>0.079</v>
      </c>
      <c r="M27" s="16" t="n">
        <f aca="false">Chạy!O55</f>
        <v>2.52</v>
      </c>
      <c r="N27" s="16" t="n">
        <f aca="false">M27+O27</f>
        <v>2.499</v>
      </c>
      <c r="O27" s="16" t="n">
        <f aca="false">RANDBETWEEN(-30,100)/1000</f>
        <v>-0.021</v>
      </c>
      <c r="P27" s="17"/>
      <c r="Q27" s="18" t="n">
        <v>6.55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568.57</v>
      </c>
      <c r="D28" s="16" t="n">
        <f aca="false">Chạy!G59</f>
        <v>2.52</v>
      </c>
      <c r="E28" s="16" t="n">
        <f aca="false">D28+F28</f>
        <v>2.54</v>
      </c>
      <c r="F28" s="16" t="n">
        <f aca="false">RANDBETWEEN(-30,100)/1000</f>
        <v>0.02</v>
      </c>
      <c r="G28" s="16" t="n">
        <f aca="false">Chạy!I59</f>
        <v>2.52</v>
      </c>
      <c r="H28" s="16" t="n">
        <f aca="false">G28+I28</f>
        <v>2.599</v>
      </c>
      <c r="I28" s="16" t="n">
        <f aca="false">RANDBETWEEN(-30,100)/1000</f>
        <v>0.079</v>
      </c>
      <c r="J28" s="16" t="n">
        <f aca="false">Chạy!M63</f>
        <v>2.52</v>
      </c>
      <c r="K28" s="16" t="n">
        <f aca="false">J28+L28</f>
        <v>2.605</v>
      </c>
      <c r="L28" s="16" t="n">
        <f aca="false">RANDBETWEEN(-30,100)/1000</f>
        <v>0.085</v>
      </c>
      <c r="M28" s="16" t="n">
        <f aca="false">Chạy!O63</f>
        <v>2.52</v>
      </c>
      <c r="N28" s="16" t="n">
        <f aca="false">M28+O28</f>
        <v>2.579</v>
      </c>
      <c r="O28" s="16" t="n">
        <f aca="false">RANDBETWEEN(-30,100)/1000</f>
        <v>0.059</v>
      </c>
      <c r="P28" s="17"/>
      <c r="Q28" s="18" t="n">
        <v>6.55</v>
      </c>
    </row>
    <row r="29" customFormat="false" ht="15" hidden="false" customHeight="false" outlineLevel="0" collapsed="false">
      <c r="A29" s="13" t="n">
        <v>9</v>
      </c>
      <c r="B29" s="14" t="s">
        <v>1</v>
      </c>
      <c r="C29" s="15" t="n">
        <f aca="false">C28+Q28</f>
        <v>575.12</v>
      </c>
      <c r="D29" s="16" t="n">
        <f aca="false">Chạy!G67</f>
        <v>2.52</v>
      </c>
      <c r="E29" s="16" t="n">
        <f aca="false">D29+F29</f>
        <v>2.589</v>
      </c>
      <c r="F29" s="16" t="n">
        <f aca="false">RANDBETWEEN(-30,100)/1000</f>
        <v>0.069</v>
      </c>
      <c r="G29" s="16" t="n">
        <f aca="false">Chạy!I67</f>
        <v>2.52</v>
      </c>
      <c r="H29" s="16" t="n">
        <f aca="false">G29+I29</f>
        <v>2.502</v>
      </c>
      <c r="I29" s="16" t="n">
        <f aca="false">RANDBETWEEN(-30,100)/1000</f>
        <v>-0.018</v>
      </c>
      <c r="J29" s="16" t="n">
        <f aca="false">Chạy!M71</f>
        <v>2.52</v>
      </c>
      <c r="K29" s="16" t="n">
        <f aca="false">J29+L29</f>
        <v>2.552</v>
      </c>
      <c r="L29" s="16" t="n">
        <f aca="false">RANDBETWEEN(-30,100)/1000</f>
        <v>0.032</v>
      </c>
      <c r="M29" s="16" t="n">
        <f aca="false">Chạy!O71</f>
        <v>2.52</v>
      </c>
      <c r="N29" s="16" t="n">
        <f aca="false">M29+O29</f>
        <v>2.505</v>
      </c>
      <c r="O29" s="16" t="n">
        <f aca="false">RANDBETWEEN(-30,100)/1000</f>
        <v>-0.015</v>
      </c>
      <c r="P29" s="17"/>
      <c r="Q29" s="18" t="n">
        <v>0.04</v>
      </c>
    </row>
    <row r="30" customFormat="false" ht="15" hidden="false" customHeight="false" outlineLevel="0" collapsed="false">
      <c r="A30" s="13" t="n">
        <v>10</v>
      </c>
      <c r="B30" s="14" t="s">
        <v>26</v>
      </c>
      <c r="C30" s="15" t="n">
        <f aca="false">C29+Q29</f>
        <v>575.16</v>
      </c>
      <c r="D30" s="16" t="n">
        <f aca="false">Chạy!G75</f>
        <v>2.65</v>
      </c>
      <c r="E30" s="16" t="n">
        <f aca="false">D30+F30</f>
        <v>2.738</v>
      </c>
      <c r="F30" s="16" t="n">
        <f aca="false">RANDBETWEEN(-30,100)/1000</f>
        <v>0.088</v>
      </c>
      <c r="G30" s="16" t="n">
        <f aca="false">Chạy!I75</f>
        <v>2.65</v>
      </c>
      <c r="H30" s="16" t="n">
        <f aca="false">G30+I30</f>
        <v>2.654</v>
      </c>
      <c r="I30" s="16" t="n">
        <f aca="false">RANDBETWEEN(-30,100)/1000</f>
        <v>0.004</v>
      </c>
      <c r="J30" s="16" t="n">
        <f aca="false">Chạy!M79</f>
        <v>2.52</v>
      </c>
      <c r="K30" s="16" t="n">
        <f aca="false">J30+L30</f>
        <v>2.536</v>
      </c>
      <c r="L30" s="16" t="n">
        <f aca="false">RANDBETWEEN(-30,100)/1000</f>
        <v>0.016</v>
      </c>
      <c r="M30" s="16" t="n">
        <f aca="false">Chạy!O79</f>
        <v>2.52</v>
      </c>
      <c r="N30" s="16" t="n">
        <f aca="false">M30+O30</f>
        <v>2.559</v>
      </c>
      <c r="O30" s="16" t="n">
        <f aca="false">RANDBETWEEN(-30,100)/1000</f>
        <v>0.039</v>
      </c>
      <c r="P30" s="17"/>
      <c r="Q30" s="18" t="n">
        <v>16.95</v>
      </c>
    </row>
    <row r="31" customFormat="false" ht="15" hidden="false" customHeight="false" outlineLevel="0" collapsed="false">
      <c r="A31" s="13" t="n">
        <v>11</v>
      </c>
      <c r="B31" s="14" t="s">
        <v>27</v>
      </c>
      <c r="C31" s="15" t="n">
        <f aca="false">C30+Q30</f>
        <v>592.11</v>
      </c>
      <c r="D31" s="16" t="n">
        <f aca="false">Chạy!G83</f>
        <v>2.52</v>
      </c>
      <c r="E31" s="16" t="n">
        <f aca="false">D31+F31</f>
        <v>2.541</v>
      </c>
      <c r="F31" s="16" t="n">
        <f aca="false">RANDBETWEEN(-30,100)/1000</f>
        <v>0.021</v>
      </c>
      <c r="G31" s="16" t="n">
        <f aca="false">Chạy!I83</f>
        <v>2.52</v>
      </c>
      <c r="H31" s="16" t="n">
        <f aca="false">G31+I31</f>
        <v>2.512</v>
      </c>
      <c r="I31" s="16" t="n">
        <f aca="false">RANDBETWEEN(-30,100)/1000</f>
        <v>-0.008</v>
      </c>
      <c r="J31" s="16" t="n">
        <f aca="false">Chạy!M87</f>
        <v>2.52</v>
      </c>
      <c r="K31" s="16" t="n">
        <f aca="false">J31+L31</f>
        <v>2.59</v>
      </c>
      <c r="L31" s="16" t="n">
        <f aca="false">RANDBETWEEN(-30,100)/1000</f>
        <v>0.07</v>
      </c>
      <c r="M31" s="16" t="n">
        <f aca="false">Chạy!O87</f>
        <v>2.52</v>
      </c>
      <c r="N31" s="16" t="n">
        <f aca="false">M31+O31</f>
        <v>2.573</v>
      </c>
      <c r="O31" s="16" t="n">
        <f aca="false">RANDBETWEEN(-30,100)/1000</f>
        <v>0.053</v>
      </c>
      <c r="P31" s="17"/>
      <c r="Q31" s="18" t="n">
        <v>17</v>
      </c>
    </row>
    <row r="32" customFormat="false" ht="15" hidden="false" customHeight="false" outlineLevel="0" collapsed="false">
      <c r="A32" s="13" t="n">
        <v>12</v>
      </c>
      <c r="B32" s="14" t="s">
        <v>28</v>
      </c>
      <c r="C32" s="15" t="n">
        <f aca="false">C31+Q31</f>
        <v>609.11</v>
      </c>
      <c r="D32" s="16" t="n">
        <f aca="false">Chạy!G91</f>
        <v>2.52</v>
      </c>
      <c r="E32" s="16" t="n">
        <f aca="false">D32+F32</f>
        <v>2.556</v>
      </c>
      <c r="F32" s="16" t="n">
        <f aca="false">RANDBETWEEN(-30,100)/1000</f>
        <v>0.036</v>
      </c>
      <c r="G32" s="16" t="n">
        <f aca="false">Chạy!I91</f>
        <v>2.52</v>
      </c>
      <c r="H32" s="16" t="n">
        <f aca="false">G32+I32</f>
        <v>2.519</v>
      </c>
      <c r="I32" s="16" t="n">
        <f aca="false">RANDBETWEEN(-30,100)/1000</f>
        <v>-0.001</v>
      </c>
      <c r="J32" s="16" t="n">
        <f aca="false">Chạy!M95</f>
        <v>2.52</v>
      </c>
      <c r="K32" s="16" t="n">
        <f aca="false">J32+L32</f>
        <v>2.495</v>
      </c>
      <c r="L32" s="16" t="n">
        <f aca="false">RANDBETWEEN(-30,100)/1000</f>
        <v>-0.025</v>
      </c>
      <c r="M32" s="16" t="n">
        <f aca="false">Chạy!O95</f>
        <v>2.52</v>
      </c>
      <c r="N32" s="16" t="n">
        <f aca="false">M32+O32</f>
        <v>2.49</v>
      </c>
      <c r="O32" s="16" t="n">
        <f aca="false">RANDBETWEEN(-30,100)/1000</f>
        <v>-0.03</v>
      </c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49</v>
      </c>
      <c r="D60" s="19"/>
      <c r="E60" s="19"/>
      <c r="F60" s="19"/>
      <c r="G60" s="20"/>
      <c r="H60" s="20"/>
      <c r="I60" s="20"/>
      <c r="K60" s="19" t="s">
        <v>50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51</v>
      </c>
      <c r="D65" s="19"/>
      <c r="E65" s="19"/>
      <c r="F65" s="19"/>
      <c r="G65" s="20"/>
      <c r="H65" s="20"/>
      <c r="I65" s="20"/>
      <c r="J65" s="21"/>
      <c r="K65" s="19" t="s">
        <v>52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708333333333333" right="0.157638888888889" top="0.747916666666667" bottom="0.511805555555556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4" activeCellId="0" sqref="I24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7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70" customFormat="true" ht="15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77.NĐXD8/CVXD ngày 23 tháng 09 năm 2026</v>
      </c>
      <c r="B2" s="27"/>
      <c r="C2" s="27"/>
      <c r="D2" s="27"/>
      <c r="E2" s="27"/>
      <c r="F2" s="27"/>
      <c r="G2" s="27"/>
      <c r="AZ2">
        <v>77</v>
      </c>
    </row>
    <row r="3" s="50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</row>
    <row r="4" s="50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</row>
    <row r="5" s="50" customFormat="true" ht="15.7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</row>
    <row r="6" s="50" customFormat="true" ht="15.7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</row>
    <row r="7" s="50" customFormat="true" ht="30" hidden="false" customHeight="true" outlineLevel="0" collapsed="false">
      <c r="A7" s="31" t="s">
        <v>35</v>
      </c>
      <c r="B7" s="32"/>
      <c r="C7" s="33"/>
      <c r="D7" s="34" t="str">
        <f>VLOOKUP(AZ2,'[1]Tuyến XD8'!$A$2:$B$60,2,0)</f>
        <v xml:space="preserve">Đắp đất lề đường lớp 3, độ chặt K&gt;=0,95 đoạn từ Km0+489,19 - Km0+609,11</v>
      </c>
      <c r="E7" s="34"/>
      <c r="F7" s="34"/>
      <c r="G7" s="34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</row>
    <row r="8" s="50" customFormat="true" ht="27" hidden="false" customHeight="true" outlineLevel="0" collapsed="false">
      <c r="A8" s="71"/>
      <c r="B8" s="72"/>
      <c r="D8" s="73"/>
      <c r="E8" s="73"/>
      <c r="F8" s="73"/>
      <c r="G8" s="73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</row>
    <row r="9" s="50" customFormat="true" ht="14.2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50" customFormat="true" ht="22.5" hidden="false" customHeight="true" outlineLevel="0" collapsed="false">
      <c r="A11" s="13" t="n">
        <v>1</v>
      </c>
      <c r="B11" s="14" t="str">
        <f aca="false">'1. KTHH L3'!B21</f>
        <v>25</v>
      </c>
      <c r="C11" s="15" t="n">
        <f aca="false">'1. KTHH L3'!C21</f>
        <v>489.19</v>
      </c>
      <c r="D11" s="13" t="n">
        <f aca="false">'1. KTHH L3'!Q21</f>
        <v>13.17</v>
      </c>
      <c r="E11" s="42" t="n">
        <f aca="false">Chạy!E3+Chạy!E7</f>
        <v>2.1</v>
      </c>
      <c r="F11" s="43" t="n">
        <f aca="false">(E11+E12)*D11/2</f>
        <v>27.657</v>
      </c>
      <c r="G11" s="44"/>
      <c r="H11" s="39"/>
      <c r="I11" s="39"/>
      <c r="K11" s="39"/>
      <c r="L11" s="65"/>
    </row>
    <row r="12" s="65" customFormat="true" ht="22.5" hidden="false" customHeight="true" outlineLevel="0" collapsed="false">
      <c r="A12" s="13" t="n">
        <v>2</v>
      </c>
      <c r="B12" s="14" t="str">
        <f aca="false">'1. KTHH L3'!B22</f>
        <v>D1</v>
      </c>
      <c r="C12" s="15" t="n">
        <f aca="false">'1. KTHH L3'!C22</f>
        <v>502.36</v>
      </c>
      <c r="D12" s="13" t="n">
        <f aca="false">'1. KTHH L3'!Q22</f>
        <v>10.48</v>
      </c>
      <c r="E12" s="42" t="n">
        <f aca="false">Chạy!E11+Chạy!E15</f>
        <v>2.1</v>
      </c>
      <c r="F12" s="43" t="n">
        <f aca="false">(E12+E13)*D12/2</f>
        <v>22.008</v>
      </c>
      <c r="G12" s="44"/>
      <c r="H12" s="39"/>
      <c r="I12" s="39"/>
      <c r="K12" s="39"/>
    </row>
    <row r="13" s="39" customFormat="true" ht="22.5" hidden="false" customHeight="true" outlineLevel="0" collapsed="false">
      <c r="A13" s="13" t="n">
        <v>3</v>
      </c>
      <c r="B13" s="14" t="str">
        <f aca="false">'1. KTHH L3'!B23</f>
        <v>26</v>
      </c>
      <c r="C13" s="15" t="n">
        <f aca="false">'1. KTHH L3'!C23</f>
        <v>512.84</v>
      </c>
      <c r="D13" s="13" t="n">
        <f aca="false">'1. KTHH L3'!Q23</f>
        <v>16.78</v>
      </c>
      <c r="E13" s="42" t="n">
        <f aca="false">Chạy!E19+Chạy!E23</f>
        <v>2.1</v>
      </c>
      <c r="F13" s="43" t="n">
        <f aca="false">(E13+E14)*D13/2</f>
        <v>35.238</v>
      </c>
      <c r="G13" s="44"/>
      <c r="L13" s="65"/>
    </row>
    <row r="14" s="41" customFormat="true" ht="22.5" hidden="false" customHeight="true" outlineLevel="0" collapsed="false">
      <c r="A14" s="13" t="n">
        <v>4</v>
      </c>
      <c r="B14" s="14" t="str">
        <f aca="false">'1. KTHH L3'!B24</f>
        <v>27</v>
      </c>
      <c r="C14" s="15" t="n">
        <f aca="false">'1. KTHH L3'!C24</f>
        <v>529.62</v>
      </c>
      <c r="D14" s="13" t="n">
        <f aca="false">'1. KTHH L3'!Q24</f>
        <v>17.1</v>
      </c>
      <c r="E14" s="42" t="n">
        <f aca="false">Chạy!E27+Chạy!E31</f>
        <v>2.1</v>
      </c>
      <c r="F14" s="43" t="n">
        <f aca="false">(E14+E15)*D14/2</f>
        <v>35.91</v>
      </c>
      <c r="G14" s="44"/>
      <c r="H14" s="39"/>
      <c r="I14" s="39"/>
      <c r="K14" s="39"/>
      <c r="L14" s="65"/>
    </row>
    <row r="15" s="41" customFormat="true" ht="22.5" hidden="false" customHeight="true" outlineLevel="0" collapsed="false">
      <c r="A15" s="13" t="n">
        <v>5</v>
      </c>
      <c r="B15" s="14" t="str">
        <f aca="false">'1. KTHH L3'!B25</f>
        <v>28</v>
      </c>
      <c r="C15" s="15" t="n">
        <f aca="false">'1. KTHH L3'!C25</f>
        <v>546.72</v>
      </c>
      <c r="D15" s="13" t="n">
        <f aca="false">'1. KTHH L3'!Q25</f>
        <v>15.15</v>
      </c>
      <c r="E15" s="42" t="n">
        <f aca="false">Chạy!E35+Chạy!E39</f>
        <v>2.1</v>
      </c>
      <c r="F15" s="43" t="n">
        <f aca="false">(E15+E16)*D15/2</f>
        <v>31.815</v>
      </c>
      <c r="G15" s="44"/>
      <c r="H15" s="39"/>
      <c r="I15" s="39"/>
      <c r="K15" s="39"/>
      <c r="L15" s="65"/>
    </row>
    <row r="16" s="41" customFormat="true" ht="22.5" hidden="false" customHeight="true" outlineLevel="0" collapsed="false">
      <c r="A16" s="13" t="n">
        <v>6</v>
      </c>
      <c r="B16" s="14" t="str">
        <f aca="false">'1. KTHH L3'!B26</f>
        <v>E5</v>
      </c>
      <c r="C16" s="15" t="n">
        <f aca="false">'1. KTHH L3'!C26</f>
        <v>561.87</v>
      </c>
      <c r="D16" s="13" t="n">
        <f aca="false">'1. KTHH L3'!Q26</f>
        <v>0.15</v>
      </c>
      <c r="E16" s="42" t="n">
        <f aca="false">Chạy!E43+Chạy!E47</f>
        <v>2.1</v>
      </c>
      <c r="F16" s="43" t="n">
        <f aca="false">(E16+E17)*D16/2</f>
        <v>0.315</v>
      </c>
      <c r="G16" s="44"/>
      <c r="H16" s="39"/>
      <c r="I16" s="39"/>
      <c r="K16" s="39"/>
      <c r="L16" s="65"/>
    </row>
    <row r="17" s="41" customFormat="true" ht="22.5" hidden="false" customHeight="true" outlineLevel="0" collapsed="false">
      <c r="A17" s="13" t="n">
        <v>7</v>
      </c>
      <c r="B17" s="14" t="str">
        <f aca="false">'1. KTHH L3'!B27</f>
        <v>TD</v>
      </c>
      <c r="C17" s="15" t="n">
        <f aca="false">'1. KTHH L3'!C27</f>
        <v>562.02</v>
      </c>
      <c r="D17" s="13" t="n">
        <f aca="false">'1. KTHH L3'!Q27</f>
        <v>6.55</v>
      </c>
      <c r="E17" s="42" t="n">
        <f aca="false">Chạy!E51+Chạy!E55</f>
        <v>2.1</v>
      </c>
      <c r="F17" s="43" t="n">
        <f aca="false">(E17+E18)*D17/2</f>
        <v>13.755</v>
      </c>
      <c r="G17" s="44"/>
      <c r="H17" s="39"/>
      <c r="I17" s="39"/>
      <c r="K17" s="39"/>
      <c r="L17" s="65"/>
    </row>
    <row r="18" s="41" customFormat="true" ht="22.5" hidden="false" customHeight="true" outlineLevel="0" collapsed="false">
      <c r="A18" s="13" t="n">
        <v>8</v>
      </c>
      <c r="B18" s="14" t="str">
        <f aca="false">'1. KTHH L3'!B28</f>
        <v>P</v>
      </c>
      <c r="C18" s="15" t="n">
        <f aca="false">'1. KTHH L3'!C28</f>
        <v>568.57</v>
      </c>
      <c r="D18" s="13" t="n">
        <f aca="false">'1. KTHH L3'!Q28</f>
        <v>6.55</v>
      </c>
      <c r="E18" s="42" t="n">
        <f aca="false">Chạy!E59+Chạy!E63</f>
        <v>2.1</v>
      </c>
      <c r="F18" s="43" t="n">
        <f aca="false">(E18+E19)*D18/2</f>
        <v>13.755</v>
      </c>
      <c r="G18" s="44"/>
      <c r="H18" s="39"/>
      <c r="I18" s="39"/>
      <c r="K18" s="39"/>
      <c r="L18" s="65"/>
    </row>
    <row r="19" s="41" customFormat="true" ht="22.5" hidden="false" customHeight="true" outlineLevel="0" collapsed="false">
      <c r="A19" s="13" t="n">
        <v>9</v>
      </c>
      <c r="B19" s="14" t="str">
        <f aca="false">'1. KTHH L3'!B29</f>
        <v>TC</v>
      </c>
      <c r="C19" s="15" t="n">
        <f aca="false">'1. KTHH L3'!C29</f>
        <v>575.12</v>
      </c>
      <c r="D19" s="13" t="n">
        <f aca="false">'1. KTHH L3'!Q29</f>
        <v>0.04</v>
      </c>
      <c r="E19" s="42" t="n">
        <f aca="false">Chạy!E67+Chạy!E71</f>
        <v>2.1</v>
      </c>
      <c r="F19" s="43" t="n">
        <f aca="false">(E19+E20)*D19/2</f>
        <v>0.084</v>
      </c>
      <c r="G19" s="44"/>
      <c r="H19" s="39"/>
      <c r="I19" s="39"/>
      <c r="K19" s="39"/>
      <c r="L19" s="65"/>
    </row>
    <row r="20" s="41" customFormat="true" ht="22.5" hidden="false" customHeight="true" outlineLevel="0" collapsed="false">
      <c r="A20" s="13" t="n">
        <v>10</v>
      </c>
      <c r="B20" s="14" t="str">
        <f aca="false">'1. KTHH L3'!B30</f>
        <v>29</v>
      </c>
      <c r="C20" s="15" t="n">
        <f aca="false">'1. KTHH L3'!C30</f>
        <v>575.16</v>
      </c>
      <c r="D20" s="13" t="n">
        <f aca="false">'1. KTHH L3'!Q30</f>
        <v>16.95</v>
      </c>
      <c r="E20" s="42" t="n">
        <f aca="false">Chạy!E75+Chạy!E79</f>
        <v>2.1</v>
      </c>
      <c r="F20" s="43" t="n">
        <f aca="false">(E20+E21)*D20/2</f>
        <v>35.595</v>
      </c>
      <c r="G20" s="44"/>
      <c r="H20" s="39"/>
      <c r="I20" s="39"/>
      <c r="K20" s="39"/>
      <c r="L20" s="65"/>
    </row>
    <row r="21" s="41" customFormat="true" ht="22.5" hidden="false" customHeight="true" outlineLevel="0" collapsed="false">
      <c r="A21" s="13" t="n">
        <v>11</v>
      </c>
      <c r="B21" s="14" t="str">
        <f aca="false">'1. KTHH L3'!B31</f>
        <v>30</v>
      </c>
      <c r="C21" s="15" t="n">
        <f aca="false">'1. KTHH L3'!C31</f>
        <v>592.11</v>
      </c>
      <c r="D21" s="13" t="n">
        <f aca="false">'1. KTHH L3'!Q31</f>
        <v>17</v>
      </c>
      <c r="E21" s="42" t="n">
        <f aca="false">Chạy!E83+Chạy!E87</f>
        <v>2.1</v>
      </c>
      <c r="F21" s="43" t="n">
        <f aca="false">(E21+E22)*D21/2</f>
        <v>35.7</v>
      </c>
      <c r="G21" s="44"/>
      <c r="H21" s="39"/>
      <c r="I21" s="39"/>
      <c r="K21" s="39"/>
      <c r="L21" s="65"/>
    </row>
    <row r="22" s="41" customFormat="true" ht="22.5" hidden="false" customHeight="true" outlineLevel="0" collapsed="false">
      <c r="A22" s="13" t="n">
        <v>12</v>
      </c>
      <c r="B22" s="14" t="str">
        <f aca="false">'1. KTHH L3'!B32</f>
        <v>31</v>
      </c>
      <c r="C22" s="15" t="n">
        <f aca="false">'1. KTHH L3'!C32</f>
        <v>609.11</v>
      </c>
      <c r="D22" s="13"/>
      <c r="E22" s="42" t="n">
        <f aca="false">Chạy!E91+Chạy!E95</f>
        <v>2.1</v>
      </c>
      <c r="F22" s="43"/>
      <c r="G22" s="44"/>
      <c r="H22" s="39"/>
      <c r="I22" s="39"/>
      <c r="K22" s="39"/>
      <c r="L22" s="65"/>
    </row>
    <row r="23" s="41" customFormat="true" ht="22.5" hidden="true" customHeight="true" outlineLevel="0" collapsed="false">
      <c r="A23" s="13"/>
      <c r="B23" s="14"/>
      <c r="C23" s="15"/>
      <c r="D23" s="13"/>
      <c r="E23" s="42"/>
      <c r="F23" s="43"/>
      <c r="G23" s="44"/>
      <c r="H23" s="39"/>
      <c r="I23" s="39"/>
      <c r="K23" s="39"/>
      <c r="L23" s="65"/>
    </row>
    <row r="24" s="41" customFormat="true" ht="22.5" hidden="true" customHeight="true" outlineLevel="0" collapsed="false">
      <c r="A24" s="13"/>
      <c r="B24" s="14"/>
      <c r="C24" s="15"/>
      <c r="D24" s="13"/>
      <c r="E24" s="42"/>
      <c r="F24" s="43"/>
      <c r="G24" s="44"/>
      <c r="H24" s="39"/>
      <c r="I24" s="39"/>
      <c r="K24" s="39"/>
      <c r="L24" s="65"/>
    </row>
    <row r="25" s="41" customFormat="true" ht="22.5" hidden="true" customHeight="true" outlineLevel="0" collapsed="false">
      <c r="A25" s="13"/>
      <c r="B25" s="14"/>
      <c r="C25" s="15"/>
      <c r="D25" s="13"/>
      <c r="E25" s="42"/>
      <c r="F25" s="43"/>
      <c r="G25" s="44"/>
      <c r="H25" s="39"/>
      <c r="I25" s="39"/>
      <c r="K25" s="39"/>
      <c r="L25" s="65"/>
    </row>
    <row r="26" s="41" customFormat="true" ht="22.5" hidden="true" customHeight="true" outlineLevel="0" collapsed="false">
      <c r="A26" s="13"/>
      <c r="B26" s="14"/>
      <c r="C26" s="15"/>
      <c r="D26" s="13"/>
      <c r="E26" s="42"/>
      <c r="F26" s="43"/>
      <c r="G26" s="44"/>
      <c r="H26" s="39"/>
      <c r="I26" s="39"/>
      <c r="K26" s="39"/>
      <c r="L26" s="65"/>
    </row>
    <row r="27" s="41" customFormat="true" ht="22.5" hidden="true" customHeight="true" outlineLevel="0" collapsed="false">
      <c r="A27" s="13"/>
      <c r="B27" s="14"/>
      <c r="C27" s="15"/>
      <c r="D27" s="13"/>
      <c r="E27" s="42"/>
      <c r="F27" s="43"/>
      <c r="G27" s="44"/>
      <c r="H27" s="39"/>
      <c r="I27" s="39"/>
      <c r="K27" s="39"/>
      <c r="L27" s="65"/>
    </row>
    <row r="28" s="41" customFormat="true" ht="22.5" hidden="true" customHeight="true" outlineLevel="0" collapsed="false">
      <c r="A28" s="13"/>
      <c r="B28" s="14"/>
      <c r="C28" s="15"/>
      <c r="D28" s="13"/>
      <c r="E28" s="42"/>
      <c r="F28" s="43"/>
      <c r="G28" s="44"/>
      <c r="H28" s="39"/>
      <c r="I28" s="39"/>
      <c r="K28" s="39"/>
      <c r="L28" s="65"/>
    </row>
    <row r="29" s="41" customFormat="true" ht="22.5" hidden="true" customHeight="true" outlineLevel="0" collapsed="false">
      <c r="A29" s="13"/>
      <c r="B29" s="14"/>
      <c r="C29" s="15"/>
      <c r="D29" s="13"/>
      <c r="E29" s="42"/>
      <c r="F29" s="43"/>
      <c r="G29" s="44"/>
      <c r="H29" s="39"/>
      <c r="I29" s="39"/>
      <c r="K29" s="39"/>
      <c r="L29" s="65"/>
    </row>
    <row r="30" s="41" customFormat="true" ht="22.5" hidden="true" customHeight="true" outlineLevel="0" collapsed="false">
      <c r="A30" s="13"/>
      <c r="B30" s="14"/>
      <c r="C30" s="15"/>
      <c r="D30" s="13"/>
      <c r="E30" s="42"/>
      <c r="F30" s="43"/>
      <c r="G30" s="44"/>
      <c r="H30" s="39"/>
      <c r="I30" s="39"/>
      <c r="K30" s="39"/>
      <c r="L30" s="65"/>
    </row>
    <row r="31" s="41" customFormat="true" ht="22.5" hidden="true" customHeight="true" outlineLevel="0" collapsed="false">
      <c r="A31" s="13"/>
      <c r="B31" s="14"/>
      <c r="C31" s="15"/>
      <c r="D31" s="13"/>
      <c r="E31" s="42"/>
      <c r="F31" s="43"/>
      <c r="G31" s="44"/>
      <c r="H31" s="39"/>
      <c r="I31" s="39"/>
      <c r="K31" s="39"/>
      <c r="L31" s="65"/>
    </row>
    <row r="32" s="41" customFormat="true" ht="22.5" hidden="true" customHeight="true" outlineLevel="0" collapsed="false">
      <c r="A32" s="13"/>
      <c r="B32" s="14"/>
      <c r="C32" s="15"/>
      <c r="D32" s="13"/>
      <c r="E32" s="42"/>
      <c r="F32" s="43"/>
      <c r="G32" s="44"/>
      <c r="H32" s="39"/>
      <c r="I32" s="39"/>
      <c r="K32" s="39"/>
      <c r="L32" s="65"/>
    </row>
    <row r="33" s="41" customFormat="true" ht="22.5" hidden="true" customHeight="true" outlineLevel="0" collapsed="false">
      <c r="A33" s="13"/>
      <c r="B33" s="14"/>
      <c r="C33" s="15"/>
      <c r="D33" s="13"/>
      <c r="E33" s="42"/>
      <c r="F33" s="43"/>
      <c r="G33" s="44"/>
      <c r="H33" s="39"/>
      <c r="I33" s="39"/>
      <c r="K33" s="39"/>
      <c r="L33" s="65"/>
    </row>
    <row r="34" s="41" customFormat="true" ht="22.5" hidden="true" customHeight="true" outlineLevel="0" collapsed="false">
      <c r="A34" s="13"/>
      <c r="B34" s="14"/>
      <c r="C34" s="15"/>
      <c r="D34" s="13"/>
      <c r="E34" s="42"/>
      <c r="F34" s="43"/>
      <c r="G34" s="44"/>
      <c r="H34" s="39"/>
      <c r="I34" s="39"/>
      <c r="K34" s="39"/>
      <c r="L34" s="65"/>
    </row>
    <row r="35" s="41" customFormat="true" ht="22.5" hidden="true" customHeight="true" outlineLevel="0" collapsed="false">
      <c r="A35" s="13"/>
      <c r="B35" s="14"/>
      <c r="C35" s="15"/>
      <c r="D35" s="13"/>
      <c r="E35" s="42"/>
      <c r="F35" s="43"/>
      <c r="G35" s="44"/>
      <c r="H35" s="39"/>
      <c r="I35" s="39"/>
      <c r="K35" s="39"/>
      <c r="L35" s="65"/>
    </row>
    <row r="36" s="41" customFormat="true" ht="22.5" hidden="true" customHeight="true" outlineLevel="0" collapsed="false">
      <c r="A36" s="13"/>
      <c r="B36" s="14"/>
      <c r="C36" s="15"/>
      <c r="D36" s="13"/>
      <c r="E36" s="42"/>
      <c r="F36" s="43"/>
      <c r="G36" s="44"/>
      <c r="H36" s="39"/>
      <c r="I36" s="39"/>
      <c r="K36" s="39"/>
      <c r="L36" s="65"/>
    </row>
    <row r="37" s="41" customFormat="true" ht="22.5" hidden="true" customHeight="true" outlineLevel="0" collapsed="false">
      <c r="A37" s="13"/>
      <c r="B37" s="14"/>
      <c r="C37" s="15"/>
      <c r="D37" s="13"/>
      <c r="E37" s="42"/>
      <c r="F37" s="43"/>
      <c r="G37" s="44"/>
      <c r="H37" s="39"/>
      <c r="I37" s="39"/>
      <c r="K37" s="39"/>
      <c r="L37" s="65"/>
    </row>
    <row r="38" s="41" customFormat="true" ht="22.5" hidden="true" customHeight="true" outlineLevel="0" collapsed="false">
      <c r="A38" s="13"/>
      <c r="B38" s="14"/>
      <c r="C38" s="15"/>
      <c r="D38" s="13"/>
      <c r="E38" s="42"/>
      <c r="F38" s="43"/>
      <c r="G38" s="44"/>
      <c r="H38" s="39"/>
      <c r="I38" s="39"/>
      <c r="K38" s="39"/>
      <c r="L38" s="65"/>
    </row>
    <row r="39" s="41" customFormat="true" ht="22.5" hidden="true" customHeight="true" outlineLevel="0" collapsed="false">
      <c r="A39" s="13"/>
      <c r="B39" s="14"/>
      <c r="C39" s="15"/>
      <c r="D39" s="13"/>
      <c r="E39" s="42"/>
      <c r="F39" s="43"/>
      <c r="G39" s="44"/>
      <c r="H39" s="39"/>
      <c r="I39" s="39"/>
      <c r="K39" s="39"/>
      <c r="L39" s="65"/>
    </row>
    <row r="40" s="41" customFormat="true" ht="22.5" hidden="true" customHeight="true" outlineLevel="0" collapsed="false">
      <c r="A40" s="13"/>
      <c r="B40" s="14"/>
      <c r="C40" s="15"/>
      <c r="D40" s="13"/>
      <c r="E40" s="42"/>
      <c r="F40" s="43"/>
      <c r="G40" s="44"/>
      <c r="H40" s="39"/>
      <c r="I40" s="39"/>
      <c r="K40" s="39"/>
      <c r="L40" s="65"/>
    </row>
    <row r="41" s="41" customFormat="true" ht="22.5" hidden="true" customHeight="true" outlineLevel="0" collapsed="false">
      <c r="A41" s="13"/>
      <c r="B41" s="14"/>
      <c r="C41" s="15"/>
      <c r="D41" s="13"/>
      <c r="E41" s="42"/>
      <c r="F41" s="43"/>
      <c r="G41" s="44"/>
      <c r="H41" s="39"/>
      <c r="I41" s="39"/>
      <c r="K41" s="39"/>
      <c r="L41" s="65"/>
    </row>
    <row r="42" s="41" customFormat="true" ht="22.5" hidden="true" customHeight="true" outlineLevel="0" collapsed="false">
      <c r="A42" s="13"/>
      <c r="B42" s="14"/>
      <c r="C42" s="15"/>
      <c r="D42" s="13"/>
      <c r="E42" s="42"/>
      <c r="F42" s="43"/>
      <c r="G42" s="44"/>
      <c r="H42" s="39"/>
      <c r="I42" s="39"/>
      <c r="K42" s="39"/>
      <c r="L42" s="65"/>
    </row>
    <row r="43" s="41" customFormat="true" ht="22.5" hidden="true" customHeight="true" outlineLevel="0" collapsed="false">
      <c r="A43" s="13"/>
      <c r="B43" s="14"/>
      <c r="C43" s="15"/>
      <c r="D43" s="13"/>
      <c r="E43" s="42"/>
      <c r="F43" s="43"/>
      <c r="G43" s="44"/>
      <c r="H43" s="39"/>
      <c r="I43" s="39"/>
      <c r="K43" s="39"/>
      <c r="L43" s="65"/>
    </row>
    <row r="44" s="41" customFormat="true" ht="22.5" hidden="true" customHeight="true" outlineLevel="0" collapsed="false">
      <c r="A44" s="13"/>
      <c r="B44" s="14"/>
      <c r="C44" s="15"/>
      <c r="D44" s="13"/>
      <c r="E44" s="42"/>
      <c r="F44" s="43"/>
      <c r="G44" s="44"/>
      <c r="H44" s="39"/>
      <c r="I44" s="39"/>
      <c r="K44" s="39"/>
      <c r="L44" s="65"/>
    </row>
    <row r="45" s="41" customFormat="true" ht="22.5" hidden="true" customHeight="true" outlineLevel="0" collapsed="false">
      <c r="A45" s="13"/>
      <c r="B45" s="14"/>
      <c r="C45" s="15"/>
      <c r="D45" s="13"/>
      <c r="E45" s="42"/>
      <c r="F45" s="43"/>
      <c r="G45" s="44"/>
      <c r="H45" s="39"/>
      <c r="I45" s="39"/>
      <c r="K45" s="39"/>
      <c r="L45" s="65"/>
    </row>
    <row r="46" s="41" customFormat="true" ht="22.5" hidden="true" customHeight="true" outlineLevel="0" collapsed="false">
      <c r="A46" s="13"/>
      <c r="B46" s="14"/>
      <c r="C46" s="15"/>
      <c r="D46" s="13"/>
      <c r="E46" s="42"/>
      <c r="F46" s="43"/>
      <c r="G46" s="44"/>
      <c r="H46" s="39"/>
      <c r="I46" s="39"/>
      <c r="K46" s="39"/>
      <c r="L46" s="65"/>
    </row>
    <row r="47" s="41" customFormat="true" ht="22.5" hidden="true" customHeight="true" outlineLevel="0" collapsed="false">
      <c r="A47" s="13"/>
      <c r="B47" s="14"/>
      <c r="C47" s="15"/>
      <c r="D47" s="13"/>
      <c r="E47" s="42"/>
      <c r="F47" s="43"/>
      <c r="G47" s="44"/>
      <c r="H47" s="39"/>
      <c r="I47" s="39"/>
      <c r="K47" s="39"/>
      <c r="L47" s="65"/>
    </row>
    <row r="48" s="41" customFormat="true" ht="22.5" hidden="true" customHeight="true" outlineLevel="0" collapsed="false">
      <c r="A48" s="13"/>
      <c r="B48" s="14"/>
      <c r="C48" s="15"/>
      <c r="D48" s="13"/>
      <c r="E48" s="42"/>
      <c r="F48" s="43"/>
      <c r="G48" s="44"/>
      <c r="H48" s="39"/>
      <c r="I48" s="39"/>
      <c r="K48" s="39"/>
      <c r="L48" s="65"/>
    </row>
    <row r="49" s="41" customFormat="true" ht="15" hidden="false" customHeight="true" outlineLevel="0" collapsed="false">
      <c r="A49" s="36" t="s">
        <v>57</v>
      </c>
      <c r="B49" s="36"/>
      <c r="C49" s="36"/>
      <c r="D49" s="36"/>
      <c r="E49" s="47"/>
      <c r="F49" s="48" t="n">
        <f aca="false">SUM(F11:F22)</f>
        <v>251.832</v>
      </c>
      <c r="G49" s="49"/>
      <c r="I49" s="69"/>
    </row>
    <row r="50" s="41" customFormat="true" ht="15" hidden="false" customHeight="true" outlineLevel="0" collapsed="false">
      <c r="A50" s="20"/>
      <c r="B50" s="20"/>
      <c r="C50" s="20"/>
      <c r="D50" s="20"/>
      <c r="E50" s="50"/>
      <c r="F50" s="55"/>
      <c r="G50" s="55"/>
      <c r="I50" s="69"/>
    </row>
    <row r="51" s="41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</row>
    <row r="52" s="41" customFormat="true" ht="1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41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</row>
    <row r="54" s="41" customFormat="true" ht="1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41" customFormat="true" ht="1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41" customFormat="true" ht="1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41" customFormat="true" ht="15" hidden="false" customHeight="true" outlineLevel="0" collapsed="false">
      <c r="A57" s="19" t="s">
        <v>51</v>
      </c>
      <c r="B57" s="19"/>
      <c r="C57" s="19"/>
      <c r="D57" s="21"/>
      <c r="E57" s="19" t="s">
        <v>52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979861111111111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4"/>
  <sheetViews>
    <sheetView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O19" activeCellId="0" sqref="O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  <col collapsed="false" customWidth="true" hidden="false" outlineLevel="0" max="16" min="16" style="1" width="7.57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" hidden="false" customHeight="false" outlineLevel="0" collapsed="false">
      <c r="A2" s="74" t="str">
        <f>"Kèm theo BBNT số: "&amp;VLOOKUP(AZ2,'[1]Tuyến XD8'!$A$2:$G$60,7,0)&amp;VLOOKUP(AZ2,'[1]Tuyến XD8'!$A$2:$G$60,4,0)</f>
        <v xml:space="preserve">Kèm theo BBNT số: 78.NĐXD8/CVXD ngày 24 tháng 09 năm 2026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AZ2">
        <v>78</v>
      </c>
    </row>
    <row r="3" customFormat="false" ht="15" hidden="false" customHeight="false" outlineLevel="0" collapsed="false">
      <c r="A3" s="22" t="s">
        <v>31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32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34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35</v>
      </c>
      <c r="C7" s="22"/>
      <c r="D7" s="22" t="str">
        <f>VLOOKUP(AZ2,'[1]Tuyến XD8'!$A$2:$B$60,2,0)</f>
        <v xml:space="preserve">Đắp đất lề đường lớp 4, độ chặt K&gt;=0,95 đoạn từ Km0+489,19 - Km0+609,11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8" customFormat="false" ht="15" hidden="false" customHeight="true" outlineLevel="0" collapsed="false">
      <c r="A18" s="10" t="s">
        <v>38</v>
      </c>
      <c r="B18" s="10" t="s">
        <v>39</v>
      </c>
      <c r="C18" s="10" t="s">
        <v>40</v>
      </c>
      <c r="D18" s="11" t="s">
        <v>41</v>
      </c>
      <c r="E18" s="11"/>
      <c r="F18" s="11"/>
      <c r="G18" s="11" t="s">
        <v>42</v>
      </c>
      <c r="H18" s="11"/>
      <c r="I18" s="11"/>
      <c r="J18" s="11" t="s">
        <v>43</v>
      </c>
      <c r="K18" s="11"/>
      <c r="L18" s="11"/>
      <c r="M18" s="11" t="s">
        <v>44</v>
      </c>
      <c r="N18" s="11"/>
      <c r="O18" s="11"/>
      <c r="P18" s="10" t="s">
        <v>45</v>
      </c>
    </row>
    <row r="19" customFormat="false" ht="30" hidden="false" customHeight="true" outlineLevel="0" collapsed="false">
      <c r="A19" s="10"/>
      <c r="B19" s="10"/>
      <c r="C19" s="10"/>
      <c r="D19" s="11" t="s">
        <v>46</v>
      </c>
      <c r="E19" s="11" t="s">
        <v>47</v>
      </c>
      <c r="F19" s="11" t="s">
        <v>48</v>
      </c>
      <c r="G19" s="11" t="s">
        <v>46</v>
      </c>
      <c r="H19" s="11" t="s">
        <v>47</v>
      </c>
      <c r="I19" s="11" t="s">
        <v>48</v>
      </c>
      <c r="J19" s="11" t="s">
        <v>46</v>
      </c>
      <c r="K19" s="11" t="s">
        <v>47</v>
      </c>
      <c r="L19" s="11" t="s">
        <v>48</v>
      </c>
      <c r="M19" s="11" t="s">
        <v>46</v>
      </c>
      <c r="N19" s="11" t="s">
        <v>47</v>
      </c>
      <c r="O19" s="11" t="s">
        <v>48</v>
      </c>
      <c r="P19" s="10"/>
    </row>
    <row r="20" customFormat="false" ht="15" hidden="false" customHeight="false" outlineLevel="0" collapsed="false">
      <c r="A20" s="13" t="n">
        <v>1</v>
      </c>
      <c r="B20" s="14" t="s">
        <v>17</v>
      </c>
      <c r="C20" s="15" t="n">
        <v>489.19</v>
      </c>
      <c r="D20" s="16" t="n">
        <f aca="false">Chạy!G2</f>
        <v>2.89</v>
      </c>
      <c r="E20" s="16" t="n">
        <f aca="false">D20+F20</f>
        <v>2.936</v>
      </c>
      <c r="F20" s="16" t="n">
        <f aca="false">RANDBETWEEN(-30,100)/1000</f>
        <v>0.046</v>
      </c>
      <c r="G20" s="16" t="n">
        <f aca="false">Chạy!I2</f>
        <v>2.61</v>
      </c>
      <c r="H20" s="16" t="n">
        <f aca="false">G20+I20</f>
        <v>2.594</v>
      </c>
      <c r="I20" s="16" t="n">
        <f aca="false">RANDBETWEEN(-30,100)/1000</f>
        <v>-0.016</v>
      </c>
      <c r="J20" s="16" t="n">
        <f aca="false">Chạy!M6</f>
        <v>2.8</v>
      </c>
      <c r="K20" s="16" t="n">
        <f aca="false">J20+L20</f>
        <v>2.849</v>
      </c>
      <c r="L20" s="16" t="n">
        <f aca="false">RANDBETWEEN(-30,100)/1000</f>
        <v>0.049</v>
      </c>
      <c r="M20" s="16" t="n">
        <f aca="false">Chạy!O6</f>
        <v>2.8</v>
      </c>
      <c r="N20" s="16" t="n">
        <f aca="false">M20+O20</f>
        <v>2.873</v>
      </c>
      <c r="O20" s="16" t="n">
        <f aca="false">RANDBETWEEN(-30,100)/1000</f>
        <v>0.073</v>
      </c>
      <c r="P20" s="17"/>
      <c r="Q20" s="18" t="n">
        <v>13.17</v>
      </c>
    </row>
    <row r="21" customFormat="false" ht="15" hidden="false" customHeight="false" outlineLevel="0" collapsed="false">
      <c r="A21" s="13" t="n">
        <v>2</v>
      </c>
      <c r="B21" s="14" t="s">
        <v>19</v>
      </c>
      <c r="C21" s="15" t="n">
        <f aca="false">C20+Q20</f>
        <v>502.36</v>
      </c>
      <c r="D21" s="16" t="n">
        <f aca="false">Chạy!G10</f>
        <v>2.89</v>
      </c>
      <c r="E21" s="16" t="n">
        <f aca="false">D21+F21</f>
        <v>2.974</v>
      </c>
      <c r="F21" s="16" t="n">
        <f aca="false">RANDBETWEEN(-30,100)/1000</f>
        <v>0.084</v>
      </c>
      <c r="G21" s="16" t="n">
        <f aca="false">Chạy!I10</f>
        <v>2.6</v>
      </c>
      <c r="H21" s="16" t="n">
        <f aca="false">G21+I21</f>
        <v>2.592</v>
      </c>
      <c r="I21" s="16" t="n">
        <f aca="false">RANDBETWEEN(-30,100)/1000</f>
        <v>-0.008</v>
      </c>
      <c r="J21" s="16" t="n">
        <f aca="false">Chạy!M14</f>
        <v>2.79</v>
      </c>
      <c r="K21" s="16" t="n">
        <f aca="false">J21+L21</f>
        <v>2.882</v>
      </c>
      <c r="L21" s="16" t="n">
        <f aca="false">RANDBETWEEN(-30,100)/1000</f>
        <v>0.092</v>
      </c>
      <c r="M21" s="16" t="n">
        <f aca="false">Chạy!O14</f>
        <v>2.79</v>
      </c>
      <c r="N21" s="16" t="n">
        <f aca="false">M21+O21</f>
        <v>2.866</v>
      </c>
      <c r="O21" s="16" t="n">
        <f aca="false">RANDBETWEEN(-30,100)/1000</f>
        <v>0.076</v>
      </c>
      <c r="P21" s="17"/>
      <c r="Q21" s="18" t="n">
        <v>10.48</v>
      </c>
    </row>
    <row r="22" customFormat="false" ht="15" hidden="false" customHeight="false" outlineLevel="0" collapsed="false">
      <c r="A22" s="13" t="n">
        <v>3</v>
      </c>
      <c r="B22" s="14" t="s">
        <v>20</v>
      </c>
      <c r="C22" s="15" t="n">
        <f aca="false">C21+Q21</f>
        <v>512.84</v>
      </c>
      <c r="D22" s="16" t="n">
        <f aca="false">Chạy!G18</f>
        <v>2.88</v>
      </c>
      <c r="E22" s="16" t="n">
        <f aca="false">D22+F22</f>
        <v>2.853</v>
      </c>
      <c r="F22" s="16" t="n">
        <f aca="false">RANDBETWEEN(-30,100)/1000</f>
        <v>-0.027</v>
      </c>
      <c r="G22" s="16" t="n">
        <f aca="false">Chạy!I18</f>
        <v>2.6</v>
      </c>
      <c r="H22" s="16" t="n">
        <f aca="false">G22+I22</f>
        <v>2.63</v>
      </c>
      <c r="I22" s="16" t="n">
        <f aca="false">RANDBETWEEN(-30,100)/1000</f>
        <v>0.03</v>
      </c>
      <c r="J22" s="16" t="n">
        <f aca="false">Chạy!M22</f>
        <v>2.79</v>
      </c>
      <c r="K22" s="16" t="n">
        <f aca="false">J22+L22</f>
        <v>2.787</v>
      </c>
      <c r="L22" s="16" t="n">
        <f aca="false">RANDBETWEEN(-30,100)/1000</f>
        <v>-0.003</v>
      </c>
      <c r="M22" s="16" t="n">
        <f aca="false">Chạy!O22</f>
        <v>2.78</v>
      </c>
      <c r="N22" s="16" t="n">
        <f aca="false">M22+O22</f>
        <v>2.803</v>
      </c>
      <c r="O22" s="16" t="n">
        <f aca="false">RANDBETWEEN(-30,100)/1000</f>
        <v>0.023</v>
      </c>
      <c r="P22" s="17"/>
      <c r="Q22" s="18" t="n">
        <v>16.78</v>
      </c>
    </row>
    <row r="23" customFormat="false" ht="15" hidden="false" customHeight="false" outlineLevel="0" collapsed="false">
      <c r="A23" s="13" t="n">
        <v>4</v>
      </c>
      <c r="B23" s="14" t="s">
        <v>21</v>
      </c>
      <c r="C23" s="15" t="n">
        <f aca="false">C22+Q22</f>
        <v>529.62</v>
      </c>
      <c r="D23" s="16" t="n">
        <f aca="false">Chạy!G26</f>
        <v>2.87</v>
      </c>
      <c r="E23" s="16" t="n">
        <f aca="false">D23+F23</f>
        <v>2.914</v>
      </c>
      <c r="F23" s="16" t="n">
        <f aca="false">RANDBETWEEN(-30,100)/1000</f>
        <v>0.044</v>
      </c>
      <c r="G23" s="16" t="n">
        <f aca="false">Chạy!I26</f>
        <v>2.59</v>
      </c>
      <c r="H23" s="16" t="n">
        <f aca="false">G23+I23</f>
        <v>2.613</v>
      </c>
      <c r="I23" s="16" t="n">
        <f aca="false">RANDBETWEEN(-30,100)/1000</f>
        <v>0.023</v>
      </c>
      <c r="J23" s="16" t="n">
        <f aca="false">Chạy!M30</f>
        <v>2.78</v>
      </c>
      <c r="K23" s="16" t="n">
        <f aca="false">J23+L23</f>
        <v>2.758</v>
      </c>
      <c r="L23" s="16" t="n">
        <f aca="false">RANDBETWEEN(-30,100)/1000</f>
        <v>-0.022</v>
      </c>
      <c r="M23" s="16" t="n">
        <f aca="false">Chạy!O30</f>
        <v>2.77</v>
      </c>
      <c r="N23" s="16" t="n">
        <f aca="false">M23+O23</f>
        <v>2.754</v>
      </c>
      <c r="O23" s="16" t="n">
        <f aca="false">RANDBETWEEN(-30,100)/1000</f>
        <v>-0.016</v>
      </c>
      <c r="P23" s="17"/>
      <c r="Q23" s="18" t="n">
        <v>17.1</v>
      </c>
    </row>
    <row r="24" customFormat="false" ht="15" hidden="false" customHeight="false" outlineLevel="0" collapsed="false">
      <c r="A24" s="13" t="n">
        <v>5</v>
      </c>
      <c r="B24" s="14" t="s">
        <v>22</v>
      </c>
      <c r="C24" s="15" t="n">
        <f aca="false">C23+Q23</f>
        <v>546.72</v>
      </c>
      <c r="D24" s="16" t="n">
        <f aca="false">Chạy!G34</f>
        <v>2.86</v>
      </c>
      <c r="E24" s="16" t="n">
        <f aca="false">D24+F24</f>
        <v>2.949</v>
      </c>
      <c r="F24" s="16" t="n">
        <f aca="false">RANDBETWEEN(-30,100)/1000</f>
        <v>0.089</v>
      </c>
      <c r="G24" s="16" t="n">
        <f aca="false">Chạy!I34</f>
        <v>2.58</v>
      </c>
      <c r="H24" s="16" t="n">
        <f aca="false">G24+I24</f>
        <v>2.583</v>
      </c>
      <c r="I24" s="16" t="n">
        <f aca="false">RANDBETWEEN(-30,100)/1000</f>
        <v>0.003</v>
      </c>
      <c r="J24" s="16" t="n">
        <f aca="false">Chạy!M38</f>
        <v>2.77</v>
      </c>
      <c r="K24" s="16" t="n">
        <f aca="false">J24+L24</f>
        <v>2.851</v>
      </c>
      <c r="L24" s="16" t="n">
        <f aca="false">RANDBETWEEN(-30,100)/1000</f>
        <v>0.081</v>
      </c>
      <c r="M24" s="16" t="n">
        <f aca="false">Chạy!O38</f>
        <v>2.76</v>
      </c>
      <c r="N24" s="16" t="n">
        <f aca="false">M24+O24</f>
        <v>2.731</v>
      </c>
      <c r="O24" s="16" t="n">
        <f aca="false">RANDBETWEEN(-30,100)/1000</f>
        <v>-0.029</v>
      </c>
      <c r="P24" s="17"/>
      <c r="Q24" s="18" t="n">
        <v>15.15</v>
      </c>
    </row>
    <row r="25" customFormat="false" ht="15" hidden="false" customHeight="false" outlineLevel="0" collapsed="false">
      <c r="A25" s="13" t="n">
        <v>6</v>
      </c>
      <c r="B25" s="14" t="s">
        <v>23</v>
      </c>
      <c r="C25" s="15" t="n">
        <f aca="false">C24+Q24</f>
        <v>561.87</v>
      </c>
      <c r="D25" s="16" t="n">
        <f aca="false">Chạy!G42</f>
        <v>2.86</v>
      </c>
      <c r="E25" s="16" t="n">
        <f aca="false">D25+F25</f>
        <v>2.911</v>
      </c>
      <c r="F25" s="16" t="n">
        <f aca="false">RANDBETWEEN(-30,100)/1000</f>
        <v>0.051</v>
      </c>
      <c r="G25" s="16" t="n">
        <f aca="false">Chạy!I42</f>
        <v>2.58</v>
      </c>
      <c r="H25" s="16" t="n">
        <f aca="false">G25+I25</f>
        <v>2.658</v>
      </c>
      <c r="I25" s="16" t="n">
        <f aca="false">RANDBETWEEN(-30,100)/1000</f>
        <v>0.078</v>
      </c>
      <c r="J25" s="16" t="n">
        <f aca="false">Chạy!M46</f>
        <v>2.77</v>
      </c>
      <c r="K25" s="16" t="n">
        <f aca="false">J25+L25</f>
        <v>2.829</v>
      </c>
      <c r="L25" s="16" t="n">
        <f aca="false">RANDBETWEEN(-30,100)/1000</f>
        <v>0.059</v>
      </c>
      <c r="M25" s="16" t="n">
        <f aca="false">Chạy!O46</f>
        <v>2.76</v>
      </c>
      <c r="N25" s="16" t="n">
        <f aca="false">M25+O25</f>
        <v>2.81</v>
      </c>
      <c r="O25" s="16" t="n">
        <f aca="false">RANDBETWEEN(-30,100)/1000</f>
        <v>0.05</v>
      </c>
      <c r="P25" s="17"/>
      <c r="Q25" s="18" t="n">
        <v>0.15</v>
      </c>
    </row>
    <row r="26" customFormat="false" ht="15" hidden="false" customHeight="false" outlineLevel="0" collapsed="false">
      <c r="A26" s="13" t="n">
        <v>7</v>
      </c>
      <c r="B26" s="14" t="s">
        <v>24</v>
      </c>
      <c r="C26" s="15" t="n">
        <f aca="false">C25+Q25</f>
        <v>562.02</v>
      </c>
      <c r="D26" s="16" t="n">
        <f aca="false">Chạy!G50</f>
        <v>2.86</v>
      </c>
      <c r="E26" s="16" t="n">
        <f aca="false">D26+F26</f>
        <v>2.925</v>
      </c>
      <c r="F26" s="16" t="n">
        <f aca="false">RANDBETWEEN(-30,100)/1000</f>
        <v>0.065</v>
      </c>
      <c r="G26" s="16" t="n">
        <f aca="false">Chạy!I50</f>
        <v>2.58</v>
      </c>
      <c r="H26" s="16" t="n">
        <f aca="false">G26+I26</f>
        <v>2.672</v>
      </c>
      <c r="I26" s="16" t="n">
        <f aca="false">RANDBETWEEN(-30,100)/1000</f>
        <v>0.092</v>
      </c>
      <c r="J26" s="16" t="n">
        <f aca="false">Chạy!M54</f>
        <v>2.77</v>
      </c>
      <c r="K26" s="16" t="n">
        <f aca="false">J26+L26</f>
        <v>2.754</v>
      </c>
      <c r="L26" s="16" t="n">
        <f aca="false">RANDBETWEEN(-30,100)/1000</f>
        <v>-0.016</v>
      </c>
      <c r="M26" s="16" t="n">
        <f aca="false">Chạy!O54</f>
        <v>2.76</v>
      </c>
      <c r="N26" s="16" t="n">
        <f aca="false">M26+O26</f>
        <v>2.743</v>
      </c>
      <c r="O26" s="16" t="n">
        <f aca="false">RANDBETWEEN(-30,100)/1000</f>
        <v>-0.017</v>
      </c>
      <c r="P26" s="17"/>
      <c r="Q26" s="18" t="n">
        <v>6.55</v>
      </c>
    </row>
    <row r="27" customFormat="false" ht="15" hidden="false" customHeight="false" outlineLevel="0" collapsed="false">
      <c r="A27" s="13" t="n">
        <v>8</v>
      </c>
      <c r="B27" s="14" t="s">
        <v>25</v>
      </c>
      <c r="C27" s="15" t="n">
        <f aca="false">C26+Q26</f>
        <v>568.57</v>
      </c>
      <c r="D27" s="16" t="n">
        <f aca="false">Chạy!G58</f>
        <v>2.86</v>
      </c>
      <c r="E27" s="16" t="n">
        <f aca="false">D27+F27</f>
        <v>2.909</v>
      </c>
      <c r="F27" s="16" t="n">
        <f aca="false">RANDBETWEEN(-30,100)/1000</f>
        <v>0.049</v>
      </c>
      <c r="G27" s="16" t="n">
        <f aca="false">Chạy!I58</f>
        <v>2.58</v>
      </c>
      <c r="H27" s="16" t="n">
        <f aca="false">G27+I27</f>
        <v>2.675</v>
      </c>
      <c r="I27" s="16" t="n">
        <f aca="false">RANDBETWEEN(-30,100)/1000</f>
        <v>0.095</v>
      </c>
      <c r="J27" s="16" t="n">
        <f aca="false">Chạy!M62</f>
        <v>2.77</v>
      </c>
      <c r="K27" s="16" t="n">
        <f aca="false">J27+L27</f>
        <v>2.761</v>
      </c>
      <c r="L27" s="16" t="n">
        <f aca="false">RANDBETWEEN(-30,100)/1000</f>
        <v>-0.009</v>
      </c>
      <c r="M27" s="16" t="n">
        <f aca="false">Chạy!O62</f>
        <v>2.76</v>
      </c>
      <c r="N27" s="16" t="n">
        <f aca="false">M27+O27</f>
        <v>2.767</v>
      </c>
      <c r="O27" s="16" t="n">
        <f aca="false">RANDBETWEEN(-30,100)/1000</f>
        <v>0.007</v>
      </c>
      <c r="P27" s="17"/>
      <c r="Q27" s="18" t="n">
        <v>6.55</v>
      </c>
    </row>
    <row r="28" customFormat="false" ht="15" hidden="false" customHeight="false" outlineLevel="0" collapsed="false">
      <c r="A28" s="13" t="n">
        <v>9</v>
      </c>
      <c r="B28" s="14" t="s">
        <v>1</v>
      </c>
      <c r="C28" s="15" t="n">
        <f aca="false">C27+Q27</f>
        <v>575.12</v>
      </c>
      <c r="D28" s="16" t="n">
        <f aca="false">Chạy!G66</f>
        <v>2.86</v>
      </c>
      <c r="E28" s="16" t="n">
        <f aca="false">D28+F28</f>
        <v>2.84</v>
      </c>
      <c r="F28" s="16" t="n">
        <f aca="false">RANDBETWEEN(-30,100)/1000</f>
        <v>-0.02</v>
      </c>
      <c r="G28" s="16" t="n">
        <f aca="false">Chạy!I66</f>
        <v>2.57</v>
      </c>
      <c r="H28" s="16" t="n">
        <f aca="false">G28+I28</f>
        <v>2.554</v>
      </c>
      <c r="I28" s="16" t="n">
        <f aca="false">RANDBETWEEN(-30,100)/1000</f>
        <v>-0.016</v>
      </c>
      <c r="J28" s="16" t="n">
        <f aca="false">Chạy!M70</f>
        <v>2.76</v>
      </c>
      <c r="K28" s="16" t="n">
        <f aca="false">J28+L28</f>
        <v>2.754</v>
      </c>
      <c r="L28" s="16" t="n">
        <f aca="false">RANDBETWEEN(-30,100)/1000</f>
        <v>-0.006</v>
      </c>
      <c r="M28" s="16" t="n">
        <f aca="false">Chạy!O70</f>
        <v>2.76</v>
      </c>
      <c r="N28" s="16" t="n">
        <f aca="false">M28+O28</f>
        <v>2.827</v>
      </c>
      <c r="O28" s="16" t="n">
        <f aca="false">RANDBETWEEN(-30,100)/1000</f>
        <v>0.067</v>
      </c>
      <c r="P28" s="17"/>
      <c r="Q28" s="18" t="n">
        <v>0.04</v>
      </c>
    </row>
    <row r="29" customFormat="false" ht="15" hidden="false" customHeight="false" outlineLevel="0" collapsed="false">
      <c r="A29" s="13" t="n">
        <v>10</v>
      </c>
      <c r="B29" s="14" t="s">
        <v>26</v>
      </c>
      <c r="C29" s="15" t="n">
        <f aca="false">C28+Q28</f>
        <v>575.16</v>
      </c>
      <c r="D29" s="16" t="n">
        <f aca="false">Chạy!G74</f>
        <v>2.99</v>
      </c>
      <c r="E29" s="16" t="n">
        <f aca="false">D29+F29</f>
        <v>3.047</v>
      </c>
      <c r="F29" s="16" t="n">
        <f aca="false">RANDBETWEEN(-30,100)/1000</f>
        <v>0.057</v>
      </c>
      <c r="G29" s="16" t="n">
        <f aca="false">Chạy!I74</f>
        <v>2.7</v>
      </c>
      <c r="H29" s="16" t="n">
        <f aca="false">G29+I29</f>
        <v>2.677</v>
      </c>
      <c r="I29" s="16" t="n">
        <f aca="false">RANDBETWEEN(-30,100)/1000</f>
        <v>-0.023</v>
      </c>
      <c r="J29" s="16" t="n">
        <f aca="false">Chạy!M78</f>
        <v>2.76</v>
      </c>
      <c r="K29" s="16" t="n">
        <f aca="false">J29+L29</f>
        <v>2.774</v>
      </c>
      <c r="L29" s="16" t="n">
        <f aca="false">RANDBETWEEN(-30,100)/1000</f>
        <v>0.014</v>
      </c>
      <c r="M29" s="16" t="n">
        <f aca="false">Chạy!O78</f>
        <v>2.76</v>
      </c>
      <c r="N29" s="16" t="n">
        <f aca="false">M29+O29</f>
        <v>2.775</v>
      </c>
      <c r="O29" s="16" t="n">
        <f aca="false">RANDBETWEEN(-30,100)/1000</f>
        <v>0.015</v>
      </c>
      <c r="P29" s="17"/>
      <c r="Q29" s="18" t="n">
        <v>16.95</v>
      </c>
    </row>
    <row r="30" customFormat="false" ht="15" hidden="false" customHeight="false" outlineLevel="0" collapsed="false">
      <c r="A30" s="13" t="n">
        <v>11</v>
      </c>
      <c r="B30" s="14" t="s">
        <v>27</v>
      </c>
      <c r="C30" s="15" t="n">
        <f aca="false">C29+Q29</f>
        <v>592.11</v>
      </c>
      <c r="D30" s="16" t="n">
        <f aca="false">Chạy!G82</f>
        <v>2.86</v>
      </c>
      <c r="E30" s="16" t="n">
        <f aca="false">D30+F30</f>
        <v>2.869</v>
      </c>
      <c r="F30" s="16" t="n">
        <f aca="false">RANDBETWEEN(-30,100)/1000</f>
        <v>0.009</v>
      </c>
      <c r="G30" s="16" t="n">
        <f aca="false">Chạy!I82</f>
        <v>2.58</v>
      </c>
      <c r="H30" s="16" t="n">
        <f aca="false">G30+I30</f>
        <v>2.629</v>
      </c>
      <c r="I30" s="16" t="n">
        <f aca="false">RANDBETWEEN(-30,100)/1000</f>
        <v>0.049</v>
      </c>
      <c r="J30" s="16" t="n">
        <f aca="false">Chạy!M86</f>
        <v>2.77</v>
      </c>
      <c r="K30" s="16" t="n">
        <f aca="false">J30+L30</f>
        <v>2.835</v>
      </c>
      <c r="L30" s="16" t="n">
        <f aca="false">RANDBETWEEN(-30,100)/1000</f>
        <v>0.065</v>
      </c>
      <c r="M30" s="16" t="n">
        <f aca="false">Chạy!O86</f>
        <v>2.76</v>
      </c>
      <c r="N30" s="16" t="n">
        <f aca="false">M30+O30</f>
        <v>2.811</v>
      </c>
      <c r="O30" s="16" t="n">
        <f aca="false">RANDBETWEEN(-30,100)/1000</f>
        <v>0.051</v>
      </c>
      <c r="P30" s="17"/>
      <c r="Q30" s="18" t="n">
        <v>17</v>
      </c>
    </row>
    <row r="31" customFormat="false" ht="15" hidden="false" customHeight="false" outlineLevel="0" collapsed="false">
      <c r="A31" s="13" t="n">
        <v>12</v>
      </c>
      <c r="B31" s="14" t="s">
        <v>28</v>
      </c>
      <c r="C31" s="15" t="n">
        <f aca="false">C30+Q30</f>
        <v>609.11</v>
      </c>
      <c r="D31" s="16" t="n">
        <f aca="false">Chạy!G90</f>
        <v>2.86</v>
      </c>
      <c r="E31" s="16" t="n">
        <f aca="false">D31+F31</f>
        <v>2.951</v>
      </c>
      <c r="F31" s="16" t="n">
        <f aca="false">RANDBETWEEN(-30,100)/1000</f>
        <v>0.091</v>
      </c>
      <c r="G31" s="16" t="n">
        <f aca="false">Chạy!I90</f>
        <v>2.58</v>
      </c>
      <c r="H31" s="16" t="n">
        <f aca="false">G31+I31</f>
        <v>2.553</v>
      </c>
      <c r="I31" s="16" t="n">
        <f aca="false">RANDBETWEEN(-30,100)/1000</f>
        <v>-0.027</v>
      </c>
      <c r="J31" s="16" t="n">
        <f aca="false">Chạy!M94</f>
        <v>2.77</v>
      </c>
      <c r="K31" s="16" t="n">
        <f aca="false">J31+L31</f>
        <v>2.822</v>
      </c>
      <c r="L31" s="16" t="n">
        <f aca="false">RANDBETWEEN(-30,100)/1000</f>
        <v>0.052</v>
      </c>
      <c r="M31" s="16" t="n">
        <f aca="false">Chạy!O94</f>
        <v>2.77</v>
      </c>
      <c r="N31" s="16" t="n">
        <f aca="false">M31+O31</f>
        <v>2.78</v>
      </c>
      <c r="O31" s="16" t="n">
        <f aca="false">RANDBETWEEN(-30,100)/1000</f>
        <v>0.01</v>
      </c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9" customFormat="false" ht="15" hidden="false" customHeight="false" outlineLevel="0" collapsed="false">
      <c r="C59" s="19" t="s">
        <v>49</v>
      </c>
      <c r="D59" s="19"/>
      <c r="E59" s="19"/>
      <c r="F59" s="19"/>
      <c r="G59" s="20"/>
      <c r="H59" s="20"/>
      <c r="I59" s="20"/>
      <c r="K59" s="19" t="s">
        <v>50</v>
      </c>
      <c r="L59" s="19"/>
      <c r="M59" s="19"/>
      <c r="N59" s="19"/>
      <c r="O59" s="21"/>
    </row>
    <row r="60" customFormat="false" ht="15" hidden="false" customHeight="false" outlineLevel="0" collapsed="false">
      <c r="D60" s="22"/>
      <c r="E60" s="22"/>
      <c r="G60" s="22"/>
      <c r="H60" s="22"/>
      <c r="J60" s="22"/>
      <c r="K60" s="22"/>
      <c r="L60" s="22"/>
      <c r="M60" s="22"/>
      <c r="N60" s="22"/>
      <c r="O60" s="22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C64" s="19" t="s">
        <v>51</v>
      </c>
      <c r="D64" s="19"/>
      <c r="E64" s="19"/>
      <c r="F64" s="19"/>
      <c r="G64" s="20"/>
      <c r="H64" s="20"/>
      <c r="I64" s="20"/>
      <c r="J64" s="21"/>
      <c r="K64" s="19" t="s">
        <v>65</v>
      </c>
      <c r="L64" s="19"/>
      <c r="M64" s="19"/>
      <c r="N64" s="19"/>
      <c r="O64" s="21"/>
    </row>
  </sheetData>
  <mergeCells count="14">
    <mergeCell ref="A1:P1"/>
    <mergeCell ref="A2:P2"/>
    <mergeCell ref="A18:A19"/>
    <mergeCell ref="B18:B19"/>
    <mergeCell ref="C18:C19"/>
    <mergeCell ref="D18:F18"/>
    <mergeCell ref="G18:I18"/>
    <mergeCell ref="J18:L18"/>
    <mergeCell ref="M18:O18"/>
    <mergeCell ref="P18:P19"/>
    <mergeCell ref="C59:F59"/>
    <mergeCell ref="K59:N59"/>
    <mergeCell ref="C64:F64"/>
    <mergeCell ref="K64:N64"/>
  </mergeCells>
  <printOptions headings="false" gridLines="false" gridLinesSet="true" horizontalCentered="false" verticalCentered="false"/>
  <pageMargins left="0.354166666666667" right="0.196527777777778" top="0.747916666666667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1" activeCellId="0" sqref="M2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1.43"/>
    <col collapsed="false" customWidth="true" hidden="false" outlineLevel="0" max="3" min="3" style="23" width="17.86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8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21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75" customFormat="true" ht="15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78.NĐXD8/CVXD ngày 24 tháng 09 năm 2026</v>
      </c>
      <c r="B2" s="27"/>
      <c r="C2" s="27"/>
      <c r="D2" s="27"/>
      <c r="E2" s="27"/>
      <c r="F2" s="27"/>
      <c r="G2" s="27"/>
      <c r="AZ2">
        <v>78</v>
      </c>
    </row>
    <row r="3" s="33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</row>
    <row r="4" s="33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</row>
    <row r="5" s="33" customFormat="true" ht="15.7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</row>
    <row r="6" s="33" customFormat="true" ht="15.7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</row>
    <row r="7" s="33" customFormat="true" ht="33" hidden="false" customHeight="true" outlineLevel="0" collapsed="false">
      <c r="A7" s="31" t="s">
        <v>35</v>
      </c>
      <c r="B7" s="32"/>
      <c r="D7" s="34" t="str">
        <f>VLOOKUP(AZ2,'[1]Tuyến XD8'!$A$2:$B$60,2,0)</f>
        <v xml:space="preserve">Đắp đất lề đường lớp 4, độ chặt K&gt;=0,95 đoạn từ Km0+489,19 - Km0+609,11</v>
      </c>
      <c r="E7" s="34"/>
      <c r="F7" s="34"/>
      <c r="G7" s="34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</row>
    <row r="8" s="65" customFormat="true" ht="13.5" hidden="false" customHeight="true" outlineLevel="0" collapsed="false">
      <c r="A8" s="77"/>
      <c r="B8" s="77"/>
      <c r="C8" s="77"/>
      <c r="D8" s="77"/>
      <c r="E8" s="77"/>
      <c r="F8" s="77"/>
      <c r="G8" s="77"/>
    </row>
    <row r="9" s="41" customFormat="true" ht="1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  <c r="H9" s="54"/>
      <c r="I9" s="69"/>
    </row>
    <row r="10" s="41" customFormat="true" ht="1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I10" s="69"/>
    </row>
    <row r="11" s="41" customFormat="true" ht="15" hidden="false" customHeight="true" outlineLevel="0" collapsed="false">
      <c r="A11" s="13" t="n">
        <v>1</v>
      </c>
      <c r="B11" s="14" t="str">
        <f aca="false">'1. KTHH L4'!B20</f>
        <v>25</v>
      </c>
      <c r="C11" s="15" t="n">
        <f aca="false">'1. KTHH L4'!C20</f>
        <v>489.19</v>
      </c>
      <c r="D11" s="13" t="n">
        <f aca="false">'1. KTHH L4'!Q20</f>
        <v>13.17</v>
      </c>
      <c r="E11" s="42" t="n">
        <f aca="false">Chạy!E2+Chạy!E6</f>
        <v>3.12</v>
      </c>
      <c r="F11" s="43" t="n">
        <f aca="false">(E11+E12)*D11/2</f>
        <v>41.0904</v>
      </c>
      <c r="G11" s="44"/>
      <c r="H11" s="54"/>
      <c r="I11" s="69"/>
    </row>
    <row r="12" s="41" customFormat="true" ht="15" hidden="false" customHeight="true" outlineLevel="0" collapsed="false">
      <c r="A12" s="13" t="n">
        <v>2</v>
      </c>
      <c r="B12" s="14" t="str">
        <f aca="false">'1. KTHH L4'!B21</f>
        <v>D1</v>
      </c>
      <c r="C12" s="15" t="n">
        <f aca="false">'1. KTHH L4'!C21</f>
        <v>502.36</v>
      </c>
      <c r="D12" s="13" t="n">
        <f aca="false">'1. KTHH L4'!Q21</f>
        <v>10.48</v>
      </c>
      <c r="E12" s="42" t="n">
        <f aca="false">Chạy!E10+Chạy!E14</f>
        <v>3.12</v>
      </c>
      <c r="F12" s="43" t="n">
        <f aca="false">(E12+E13)*D12/2</f>
        <v>32.6976</v>
      </c>
      <c r="G12" s="44"/>
      <c r="H12" s="54"/>
      <c r="I12" s="69"/>
    </row>
    <row r="13" s="41" customFormat="true" ht="15" hidden="false" customHeight="true" outlineLevel="0" collapsed="false">
      <c r="A13" s="13" t="n">
        <v>3</v>
      </c>
      <c r="B13" s="14" t="str">
        <f aca="false">'1. KTHH L4'!B22</f>
        <v>26</v>
      </c>
      <c r="C13" s="15" t="n">
        <f aca="false">'1. KTHH L4'!C22</f>
        <v>512.84</v>
      </c>
      <c r="D13" s="13" t="n">
        <f aca="false">'1. KTHH L4'!Q22</f>
        <v>16.78</v>
      </c>
      <c r="E13" s="42" t="n">
        <f aca="false">Chạy!E18+Chạy!E22</f>
        <v>3.12</v>
      </c>
      <c r="F13" s="43" t="n">
        <f aca="false">(E13+E14)*D13/2</f>
        <v>52.3536</v>
      </c>
      <c r="G13" s="44"/>
      <c r="H13" s="54"/>
      <c r="I13" s="69"/>
    </row>
    <row r="14" s="41" customFormat="true" ht="15" hidden="false" customHeight="true" outlineLevel="0" collapsed="false">
      <c r="A14" s="13" t="n">
        <v>4</v>
      </c>
      <c r="B14" s="14" t="str">
        <f aca="false">'1. KTHH L4'!B23</f>
        <v>27</v>
      </c>
      <c r="C14" s="15" t="n">
        <f aca="false">'1. KTHH L4'!C23</f>
        <v>529.62</v>
      </c>
      <c r="D14" s="13" t="n">
        <f aca="false">'1. KTHH L4'!Q23</f>
        <v>17.1</v>
      </c>
      <c r="E14" s="42" t="n">
        <f aca="false">Chạy!E26+Chạy!E30</f>
        <v>3.12</v>
      </c>
      <c r="F14" s="43" t="n">
        <f aca="false">(E14+E15)*D14/2</f>
        <v>53.352</v>
      </c>
      <c r="G14" s="44"/>
      <c r="H14" s="54"/>
      <c r="I14" s="69"/>
    </row>
    <row r="15" s="41" customFormat="true" ht="15" hidden="false" customHeight="true" outlineLevel="0" collapsed="false">
      <c r="A15" s="13" t="n">
        <v>5</v>
      </c>
      <c r="B15" s="14" t="str">
        <f aca="false">'1. KTHH L4'!B24</f>
        <v>28</v>
      </c>
      <c r="C15" s="15" t="n">
        <f aca="false">'1. KTHH L4'!C24</f>
        <v>546.72</v>
      </c>
      <c r="D15" s="13" t="n">
        <f aca="false">'1. KTHH L4'!Q24</f>
        <v>15.15</v>
      </c>
      <c r="E15" s="42" t="n">
        <f aca="false">Chạy!E34+Chạy!E38</f>
        <v>3.12</v>
      </c>
      <c r="F15" s="43" t="n">
        <f aca="false">(E15+E16)*D15/2</f>
        <v>47.268</v>
      </c>
      <c r="G15" s="44"/>
      <c r="H15" s="54"/>
      <c r="I15" s="69"/>
    </row>
    <row r="16" s="41" customFormat="true" ht="15" hidden="false" customHeight="true" outlineLevel="0" collapsed="false">
      <c r="A16" s="13" t="n">
        <v>6</v>
      </c>
      <c r="B16" s="14" t="str">
        <f aca="false">'1. KTHH L4'!B25</f>
        <v>E5</v>
      </c>
      <c r="C16" s="15" t="n">
        <f aca="false">'1. KTHH L4'!C25</f>
        <v>561.87</v>
      </c>
      <c r="D16" s="13" t="n">
        <f aca="false">'1. KTHH L4'!Q25</f>
        <v>0.15</v>
      </c>
      <c r="E16" s="42" t="n">
        <f aca="false">Chạy!E42+Chạy!E46</f>
        <v>3.12</v>
      </c>
      <c r="F16" s="43" t="n">
        <f aca="false">(E16+E17)*D16/2</f>
        <v>0.468</v>
      </c>
      <c r="G16" s="44"/>
      <c r="H16" s="54"/>
      <c r="I16" s="69"/>
    </row>
    <row r="17" s="41" customFormat="true" ht="15" hidden="false" customHeight="true" outlineLevel="0" collapsed="false">
      <c r="A17" s="13" t="n">
        <v>7</v>
      </c>
      <c r="B17" s="14" t="str">
        <f aca="false">'1. KTHH L4'!B26</f>
        <v>TD</v>
      </c>
      <c r="C17" s="15" t="n">
        <f aca="false">'1. KTHH L4'!C26</f>
        <v>562.02</v>
      </c>
      <c r="D17" s="13" t="n">
        <f aca="false">'1. KTHH L4'!Q26</f>
        <v>6.55</v>
      </c>
      <c r="E17" s="42" t="n">
        <f aca="false">Chạy!E50+Chạy!E54</f>
        <v>3.12</v>
      </c>
      <c r="F17" s="43" t="n">
        <f aca="false">(E17+E18)*D17/2</f>
        <v>20.436</v>
      </c>
      <c r="G17" s="44"/>
      <c r="H17" s="54"/>
      <c r="I17" s="69"/>
    </row>
    <row r="18" s="41" customFormat="true" ht="15" hidden="false" customHeight="true" outlineLevel="0" collapsed="false">
      <c r="A18" s="13" t="n">
        <v>8</v>
      </c>
      <c r="B18" s="14" t="str">
        <f aca="false">'1. KTHH L4'!B27</f>
        <v>P</v>
      </c>
      <c r="C18" s="15" t="n">
        <f aca="false">'1. KTHH L4'!C27</f>
        <v>568.57</v>
      </c>
      <c r="D18" s="13" t="n">
        <f aca="false">'1. KTHH L4'!Q27</f>
        <v>6.55</v>
      </c>
      <c r="E18" s="42" t="n">
        <f aca="false">Chạy!E58+Chạy!E62</f>
        <v>3.12</v>
      </c>
      <c r="F18" s="43" t="n">
        <f aca="false">(E18+E19)*D18/2</f>
        <v>20.436</v>
      </c>
      <c r="G18" s="44"/>
      <c r="H18" s="54"/>
      <c r="I18" s="69"/>
    </row>
    <row r="19" s="41" customFormat="true" ht="15" hidden="false" customHeight="true" outlineLevel="0" collapsed="false">
      <c r="A19" s="13" t="n">
        <v>9</v>
      </c>
      <c r="B19" s="14" t="str">
        <f aca="false">'1. KTHH L4'!B28</f>
        <v>TC</v>
      </c>
      <c r="C19" s="15" t="n">
        <f aca="false">'1. KTHH L4'!C28</f>
        <v>575.12</v>
      </c>
      <c r="D19" s="13" t="n">
        <f aca="false">'1. KTHH L4'!Q28</f>
        <v>0.04</v>
      </c>
      <c r="E19" s="42" t="n">
        <f aca="false">Chạy!E66+Chạy!E70</f>
        <v>3.12</v>
      </c>
      <c r="F19" s="43" t="n">
        <f aca="false">(E19+E20)*D19/2</f>
        <v>0.1248</v>
      </c>
      <c r="G19" s="44"/>
      <c r="H19" s="54"/>
      <c r="I19" s="69"/>
    </row>
    <row r="20" s="41" customFormat="true" ht="15" hidden="false" customHeight="true" outlineLevel="0" collapsed="false">
      <c r="A20" s="13" t="n">
        <v>10</v>
      </c>
      <c r="B20" s="14" t="str">
        <f aca="false">'1. KTHH L4'!B29</f>
        <v>29</v>
      </c>
      <c r="C20" s="15" t="n">
        <f aca="false">'1. KTHH L4'!C29</f>
        <v>575.16</v>
      </c>
      <c r="D20" s="13" t="n">
        <f aca="false">'1. KTHH L4'!Q29</f>
        <v>16.95</v>
      </c>
      <c r="E20" s="42" t="n">
        <f aca="false">Chạy!E74+Chạy!E78</f>
        <v>3.12</v>
      </c>
      <c r="F20" s="43" t="n">
        <f aca="false">(E20+E21)*D20/2</f>
        <v>52.884</v>
      </c>
      <c r="G20" s="44"/>
      <c r="H20" s="54"/>
      <c r="I20" s="69"/>
    </row>
    <row r="21" s="41" customFormat="true" ht="15" hidden="false" customHeight="true" outlineLevel="0" collapsed="false">
      <c r="A21" s="13" t="n">
        <v>11</v>
      </c>
      <c r="B21" s="14" t="str">
        <f aca="false">'1. KTHH L4'!B30</f>
        <v>30</v>
      </c>
      <c r="C21" s="15" t="n">
        <f aca="false">'1. KTHH L4'!C30</f>
        <v>592.11</v>
      </c>
      <c r="D21" s="13" t="n">
        <f aca="false">'1. KTHH L4'!Q30</f>
        <v>17</v>
      </c>
      <c r="E21" s="42" t="n">
        <f aca="false">Chạy!E82+Chạy!E86</f>
        <v>3.12</v>
      </c>
      <c r="F21" s="43" t="n">
        <f aca="false">(E21+E22)*D21/2</f>
        <v>53.04</v>
      </c>
      <c r="G21" s="44"/>
      <c r="H21" s="54"/>
      <c r="I21" s="69"/>
    </row>
    <row r="22" s="41" customFormat="true" ht="15" hidden="false" customHeight="true" outlineLevel="0" collapsed="false">
      <c r="A22" s="13" t="n">
        <v>12</v>
      </c>
      <c r="B22" s="14" t="str">
        <f aca="false">'1. KTHH L4'!B31</f>
        <v>31</v>
      </c>
      <c r="C22" s="15" t="n">
        <f aca="false">'1. KTHH L4'!C31</f>
        <v>609.11</v>
      </c>
      <c r="D22" s="13"/>
      <c r="E22" s="42" t="n">
        <f aca="false">Chạy!E90+Chạy!E94</f>
        <v>3.12</v>
      </c>
      <c r="F22" s="43"/>
      <c r="G22" s="44"/>
      <c r="H22" s="54"/>
      <c r="I22" s="69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54"/>
      <c r="I23" s="69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54"/>
      <c r="I24" s="69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54"/>
      <c r="I25" s="69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54"/>
      <c r="I26" s="69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54"/>
      <c r="I27" s="69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54"/>
      <c r="I28" s="69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54"/>
      <c r="I29" s="69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54"/>
      <c r="I30" s="69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54"/>
      <c r="I31" s="69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54"/>
      <c r="I32" s="69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54"/>
      <c r="I33" s="69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54"/>
      <c r="I34" s="69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54"/>
      <c r="I35" s="69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54"/>
      <c r="I36" s="69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54"/>
      <c r="I37" s="69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54"/>
      <c r="I38" s="69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54"/>
      <c r="I39" s="69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54"/>
      <c r="I40" s="69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54"/>
      <c r="I41" s="69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54"/>
      <c r="I42" s="69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54"/>
      <c r="I43" s="69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54"/>
      <c r="I44" s="69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54"/>
      <c r="I45" s="69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54"/>
      <c r="I46" s="69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54"/>
      <c r="I47" s="69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54"/>
      <c r="I48" s="69"/>
    </row>
    <row r="49" s="50" customFormat="true" ht="15" hidden="false" customHeight="true" outlineLevel="0" collapsed="false">
      <c r="A49" s="36" t="s">
        <v>57</v>
      </c>
      <c r="B49" s="36"/>
      <c r="C49" s="36"/>
      <c r="D49" s="36"/>
      <c r="E49" s="47"/>
      <c r="F49" s="48" t="n">
        <f aca="false">SUM(F11:F22)</f>
        <v>374.1504</v>
      </c>
      <c r="G49" s="49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51</v>
      </c>
      <c r="B57" s="19"/>
      <c r="C57" s="19"/>
      <c r="D57" s="21"/>
      <c r="E57" s="19" t="str">
        <f aca="false">'1. KTHH L4'!K64</f>
        <v>Lê Minh Hải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1.19027777777778" right="0.159722222222222" top="0.5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2024-10-17T09:21:54Z</dcterms:created>
  <dc:creator>Microsoft Cop.</dc:creator>
  <dc:description/>
  <dc:language>en-US</dc:language>
  <cp:lastModifiedBy>Microsoft Cop.</cp:lastModifiedBy>
  <cp:lastPrinted>2025-10-21T07:14:05Z</cp:lastPrinted>
  <dcterms:modified xsi:type="dcterms:W3CDTF">2026-10-13T07:38:18Z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