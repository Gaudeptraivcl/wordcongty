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hạy" sheetId="1" state="visible" r:id="rId3"/>
    <sheet name="1.KTHH L1" sheetId="2" state="visible" r:id="rId4"/>
    <sheet name="1.KL L1" sheetId="3" state="visible" r:id="rId5"/>
    <sheet name="2.KTHH L2" sheetId="4" state="visible" r:id="rId6"/>
    <sheet name="2.KL L2" sheetId="5" state="visible" r:id="rId7"/>
    <sheet name="3.KTHH L3" sheetId="6" state="visible" r:id="rId8"/>
    <sheet name="3.KL L3" sheetId="7" state="visible" r:id="rId9"/>
    <sheet name="4.KTHH L4" sheetId="8" state="visible" r:id="rId10"/>
    <sheet name="4.KL L4" sheetId="9" state="visible" r:id="rId11"/>
    <sheet name="5.KTHH L5" sheetId="10" state="visible" r:id="rId12"/>
    <sheet name="5.KL L5" sheetId="11" state="visible" r:id="rId13"/>
    <sheet name="6.KTHH L6" sheetId="12" state="visible" r:id="rId14"/>
    <sheet name="6.KL L6" sheetId="13" state="visible" r:id="rId15"/>
    <sheet name="7.KTHH L7" sheetId="14" state="visible" r:id="rId16"/>
    <sheet name="7.KL L7" sheetId="15" state="visible" r:id="rId17"/>
    <sheet name="8.KTHH L8" sheetId="16" state="visible" r:id="rId18"/>
    <sheet name="8.KL L8" sheetId="17" state="visible" r:id="rId19"/>
    <sheet name="9.KTHH L9" sheetId="18" state="visible" r:id="rId20"/>
    <sheet name="9.KL L9" sheetId="19" state="visible" r:id="rId21"/>
  </sheets>
  <definedNames>
    <definedName function="false" hidden="false" localSheetId="2" name="_xlnm.Print_Area" vbProcedure="false">'1.KL L1'!$A$1:$AB$60</definedName>
    <definedName function="false" hidden="false" localSheetId="1" name="_xlnm.Print_Area" vbProcedure="false">'1.KTHH L1'!$A$1:$S$69</definedName>
    <definedName function="false" hidden="false" localSheetId="1" name="_xlnm.Print_Titles" vbProcedure="false">'1.KTHH L1'!$19:$20</definedName>
    <definedName function="false" hidden="false" localSheetId="4" name="_xlnm.Print_Area" vbProcedure="false">'2.KL L2'!$A$1:$AB$60</definedName>
    <definedName function="false" hidden="false" localSheetId="3" name="_xlnm.Print_Area" vbProcedure="false">'2.KTHH L2'!$A$1:$S$69</definedName>
    <definedName function="false" hidden="false" localSheetId="3" name="_xlnm.Print_Titles" vbProcedure="false">'2.KTHH L2'!$19:$20</definedName>
    <definedName function="false" hidden="false" localSheetId="6" name="_xlnm.Print_Area" vbProcedure="false">'3.KL L3'!$A$1:$AB$60</definedName>
    <definedName function="false" hidden="false" localSheetId="5" name="_xlnm.Print_Area" vbProcedure="false">'3.KTHH L3'!$A$1:$S$70</definedName>
    <definedName function="false" hidden="false" localSheetId="5" name="_xlnm.Print_Titles" vbProcedure="false">'3.KTHH L3'!$20:$21</definedName>
    <definedName function="false" hidden="false" localSheetId="8" name="_xlnm.Print_Area" vbProcedure="false">'4.KL L4'!$A$1:$AB$60</definedName>
    <definedName function="false" hidden="false" localSheetId="7" name="_xlnm.Print_Area" vbProcedure="false">'4.KTHH L4'!$A$1:$S$70</definedName>
    <definedName function="false" hidden="false" localSheetId="7" name="_xlnm.Print_Titles" vbProcedure="false">'4.KTHH L4'!$20:$21</definedName>
    <definedName function="false" hidden="false" localSheetId="10" name="_xlnm.Print_Area" vbProcedure="false">'5.KL L5'!$A$1:$AB$60</definedName>
    <definedName function="false" hidden="false" localSheetId="9" name="_xlnm.Print_Area" vbProcedure="false">'5.KTHH L5'!$A$1:$S$70</definedName>
    <definedName function="false" hidden="false" localSheetId="9" name="_xlnm.Print_Titles" vbProcedure="false">'5.KTHH L5'!$20:$21</definedName>
    <definedName function="false" hidden="false" localSheetId="12" name="_xlnm.Print_Area" vbProcedure="false">'6.KL L6'!$A$1:$AB$60</definedName>
    <definedName function="false" hidden="false" localSheetId="11" name="_xlnm.Print_Area" vbProcedure="false">'6.KTHH L6'!$A$1:$S$70</definedName>
    <definedName function="false" hidden="false" localSheetId="11" name="_xlnm.Print_Titles" vbProcedure="false">'6.KTHH L6'!$20:$21</definedName>
    <definedName function="false" hidden="false" localSheetId="14" name="_xlnm.Print_Area" vbProcedure="false">'7.KL L7'!$A$1:$AB$60</definedName>
    <definedName function="false" hidden="false" localSheetId="13" name="_xlnm.Print_Area" vbProcedure="false">'7.KTHH L7'!$A$1:$S$70</definedName>
    <definedName function="false" hidden="false" localSheetId="13" name="_xlnm.Print_Titles" vbProcedure="false">'7.KTHH L7'!$20:$21</definedName>
    <definedName function="false" hidden="false" localSheetId="16" name="_xlnm.Print_Area" vbProcedure="false">'8.KL L8'!$A$1:$AB$60</definedName>
    <definedName function="false" hidden="false" localSheetId="15" name="_xlnm.Print_Area" vbProcedure="false">'8.KTHH L8'!$A$1:$S$70</definedName>
    <definedName function="false" hidden="false" localSheetId="15" name="_xlnm.Print_Titles" vbProcedure="false">'8.KTHH L8'!$20:$21</definedName>
    <definedName function="false" hidden="false" localSheetId="18" name="_xlnm.Print_Area" vbProcedure="false">'9.KL L9'!$A$1:$AB$60</definedName>
    <definedName function="false" hidden="false" localSheetId="17" name="_xlnm.Print_Area" vbProcedure="false">'9.KTHH L9'!$A$1:$S$70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<sst xmlns="http://schemas.openxmlformats.org/spreadsheetml/2006/main" count="903" uniqueCount="103">
  <si>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</si>
  <si>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</si>
  <si>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</si>
  <si>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</si>
  <si>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</si>
  <si>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</si>
  <si>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</si>
  <si>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</si>
  <si>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</si>
  <si>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</si>
  <si>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</si>
  <si>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</si>
  <si>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</si>
  <si>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</si>
  <si>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</si>
  <si>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</si>
  <si>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</si>
  <si>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B4</t>
  </si>
  <si>
    <t xml:space="preserve">12</t>
  </si>
  <si>
    <t xml:space="preserve">13</t>
  </si>
  <si>
    <t xml:space="preserve">B5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</si>
  <si>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</si>
  <si>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</si>
  <si>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</si>
  <si>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</si>
  <si>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</si>
  <si>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</si>
  <si>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C2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</si>
  <si>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</si>
  <si>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</si>
  <si>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</si>
  <si>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</si>
  <si>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</si>
  <si>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</si>
  <si>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D1</t>
  </si>
  <si>
    <t xml:space="preserve">26</t>
  </si>
  <si>
    <t xml:space="preserve">27</t>
  </si>
  <si>
    <t xml:space="preserve">28</t>
  </si>
  <si>
    <t xml:space="preserve">E5</t>
  </si>
  <si>
    <t xml:space="preserve">TD</t>
  </si>
  <si>
    <t xml:space="preserve">P</t>
  </si>
  <si>
    <t xml:space="preserve">29</t>
  </si>
  <si>
    <t xml:space="preserve">30</t>
  </si>
  <si>
    <t xml:space="preserve">31</t>
  </si>
  <si>
    <t xml:space="preserve">E10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</si>
  <si>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</si>
  <si>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</si>
  <si>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</si>
  <si>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</si>
  <si>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</si>
  <si>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</si>
  <si>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G6</t>
  </si>
  <si>
    <t xml:space="preserve">PHỤ LỤC KIỂM TRA CAO ĐỘ, KÍCH THƯỚC HÌNH HỌC</t>
  </si>
  <si>
    <t xml:space="preserve">Kèm theo BBNT số: 08.NĐXD8/CVXD ngày 19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</si>
  <si>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</si>
  <si>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</si>
  <si>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</si>
  <si>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</si>
  <si>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</si>
  <si>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đất nền đường lớp 1 đoạn từ Km0+211,00 - Km0+737,36,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</si>
  <si>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</si>
  <si>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</si>
  <si>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</si>
  <si>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</si>
  <si>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</si>
  <si>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</si>
  <si>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</si>
  <si>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</si>
  <si>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</si>
  <si>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</si>
  <si>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</si>
  <si>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</si>
  <si>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</si>
  <si>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</si>
  <si>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</si>
  <si>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</si>
  <si>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</si>
  <si>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</si>
  <si>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</si>
  <si>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</si>
  <si>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Khối lượng đắp đất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</si>
  <si>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</si>
  <si>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</si>
  <si>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</si>
  <si>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</si>
  <si>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</si>
  <si>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</si>
  <si>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09.NĐXD8/CVXD ngày 20 tháng 08 năm 2026</t>
  </si>
  <si>
    <t xml:space="preserve">Đắp đất nền đường lớp 2 đoạn từ Km0+211,00 - Km0+737,36, độ chặt K&gt;=0,95</t>
  </si>
  <si>
    <t xml:space="preserve">Kèm theo BBNT số: 10.NĐXD8/CVXD ngày 20 tháng 08 năm 2026</t>
  </si>
  <si>
    <t xml:space="preserve">Đắp đất nền đường lớp 3 đoạn từ Km0+211,00 - Km0+737,36, độ chặt K&gt;=0,95</t>
  </si>
  <si>
    <t xml:space="preserve">Kèm theo BBNT số: 11.NĐXD8/CVXD ngày 21 tháng 08 năm 2026</t>
  </si>
  <si>
    <t xml:space="preserve">Đắp đất nền đường lớp 4 đoạn từ Km0+211,00 - Km0+737,36, độ chặt K&gt;=0,95</t>
  </si>
  <si>
    <t xml:space="preserve">Kèm theo BBNT số: 12.NĐXD8/CVXD ngày 21 tháng 08 năm 2026</t>
  </si>
  <si>
    <t xml:space="preserve">Đắp đất nền đường lớp 5 đoạn từ Km0+211,00 - Km0+737,36, độ chặt K&gt;=0,95</t>
  </si>
  <si>
    <t xml:space="preserve">Kèm theo BBNT số: 13.NĐXD8/CVXD ngày 22 tháng 08 năm 2026</t>
  </si>
  <si>
    <t xml:space="preserve">Đắp đất nền đường lớp 6 đoạn từ Km0+211,00 - Km0+737,36, độ chặt K&gt;=0,95</t>
  </si>
  <si>
    <t xml:space="preserve">Kèm theo BBNT số: 14.NĐXD8/CVXD ngày 22 tháng 08 năm 2026</t>
  </si>
  <si>
    <t xml:space="preserve">Đắp đất nền đường lớp 7 đoạn từ Km0+211,00 - Km0+737,36, độ chặt K&gt;=0,95</t>
  </si>
  <si>
    <t xml:space="preserve">Kèm theo BBNT số: 15.NĐXD8/CVXD ngày 23 tháng 08 năm 2026</t>
  </si>
  <si>
    <t xml:space="preserve">Đắp đất nền đường lớp 8 đoạn từ Km0+211,00 - Km0+737,36, độ chặt K&gt;=0,95</t>
  </si>
  <si>
    <t xml:space="preserve">Kèm theo BBNT số: 16.NĐXD8/CVXD ngày 23 tháng 08 năm 2026</t>
  </si>
  <si>
    <t xml:space="preserve">Đắp đất nền đường lớp 9 đoạn từ Km0+211,00 - Km0+737,36, độ chặt K&gt;=0,95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</si>
</sst>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-* #,##0.00\ _₫_-;\-* #,##0.00\ _₫_-;_-* \-??\ _₫_-;_-@_-"/>
    <numFmt numFmtId="171" formatCode="0.00_);\(0.00\)"/>
    <numFmt numFmtId="172" formatCode="_(* #,##0.000_);_(* \(#,##0.000\);_(* \-??_);_(@_)"/>
    <numFmt numFmtId="173" formatCode="_-* #,##0\ _₫_-;\-* #,##0\ _₫_-;_-* \-??\ _₫_-;_-@_-"/>
    <numFmt numFmtId="174" formatCode="_-* #,##0.0\ _₫_-;\-* #,##0.0\ _₫_-;_-* \-??\ _₫_-;_-@_-"/>
    <numFmt numFmtId="175" formatCode="0"/>
    <numFmt numFmtId="176" formatCode="0.000"/>
    <numFmt numFmtId="177" formatCode="_-* #,##0.000\ _₫_-;\-* #,##0.000\ _₫_-;_-* \-??\ _₫_-;_-@_-"/>
  </numFmts>
  <fonts count="38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b val="true"/>
      <sz val="13"/>
      <name val=".vntime"/>
      <family val="2"/>
      <charset val="1"/>
    </font>
    <font>
      <sz val="12"/>
      <name val=".VnTime"/>
      <family val="2"/>
      <charset val="1"/>
    </font>
    <font>
      <b val="true"/>
      <sz val="12"/>
      <name val=".VnTime"/>
      <family val="2"/>
      <charset val="1"/>
    </font>
    <font>
      <b val="true"/>
      <sz val="11"/>
      <name val=".VnTime"/>
      <family val="2"/>
      <charset val="1"/>
    </font>
    <font>
      <sz val="13.5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63"/>
    </font>
    <font>
      <sz val="12.5"/>
      <color theme="1"/>
      <name val="Calibri"/>
      <family val="2"/>
      <charset val="163"/>
    </font>
    <font>
      <b val="true"/>
      <sz val="11"/>
      <color rgb="FFFF0000"/>
      <name val="Calibri"/>
      <family val="2"/>
      <charset val="163"/>
    </font>
    <font>
      <sz val="12.5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63"/>
    </font>
    <font>
      <sz val="12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398160</xdr:colOff>
      <xdr:row>7</xdr:row>
      <xdr:rowOff>225000</xdr:rowOff>
    </xdr:from>
    <xdr:to>
      <xdr:col>17</xdr:col>
      <xdr:colOff>284040</xdr:colOff>
      <xdr:row>17</xdr:row>
      <xdr:rowOff>49320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871200" y="1910880"/>
          <a:ext cx="8170920" cy="177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336240</xdr:colOff>
      <xdr:row>7</xdr:row>
      <xdr:rowOff>100800</xdr:rowOff>
    </xdr:from>
    <xdr:to>
      <xdr:col>17</xdr:col>
      <xdr:colOff>542160</xdr:colOff>
      <xdr:row>17</xdr:row>
      <xdr:rowOff>10800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779400" y="1786680"/>
          <a:ext cx="8161200" cy="186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403560</xdr:colOff>
      <xdr:row>7</xdr:row>
      <xdr:rowOff>212760</xdr:rowOff>
    </xdr:from>
    <xdr:to>
      <xdr:col>17</xdr:col>
      <xdr:colOff>406800</xdr:colOff>
      <xdr:row>17</xdr:row>
      <xdr:rowOff>21960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866520" y="1898640"/>
          <a:ext cx="8166600" cy="176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95400</xdr:colOff>
      <xdr:row>7</xdr:row>
      <xdr:rowOff>136080</xdr:rowOff>
    </xdr:from>
    <xdr:to>
      <xdr:col>18</xdr:col>
      <xdr:colOff>104400</xdr:colOff>
      <xdr:row>17</xdr:row>
      <xdr:rowOff>5760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011600" y="1821960"/>
          <a:ext cx="7921080" cy="182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470520</xdr:colOff>
      <xdr:row>7</xdr:row>
      <xdr:rowOff>156960</xdr:rowOff>
    </xdr:from>
    <xdr:to>
      <xdr:col>17</xdr:col>
      <xdr:colOff>446040</xdr:colOff>
      <xdr:row>16</xdr:row>
      <xdr:rowOff>111600</xdr:rowOff>
    </xdr:to>
    <xdr:pic>
      <xdr:nvPicPr>
        <xdr:cNvPr id="4" name="Picture 3" descr=""/>
        <xdr:cNvPicPr/>
      </xdr:nvPicPr>
      <xdr:blipFill>
        <a:blip r:embed="rId1"/>
        <a:stretch/>
      </xdr:blipFill>
      <xdr:spPr>
        <a:xfrm>
          <a:off x="923400" y="1842840"/>
          <a:ext cx="7808760" cy="1716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380880</xdr:colOff>
      <xdr:row>7</xdr:row>
      <xdr:rowOff>134640</xdr:rowOff>
    </xdr:from>
    <xdr:to>
      <xdr:col>18</xdr:col>
      <xdr:colOff>19440</xdr:colOff>
      <xdr:row>17</xdr:row>
      <xdr:rowOff>47520</xdr:rowOff>
    </xdr:to>
    <xdr:pic>
      <xdr:nvPicPr>
        <xdr:cNvPr id="5" name="Picture 2" descr=""/>
        <xdr:cNvPicPr/>
      </xdr:nvPicPr>
      <xdr:blipFill>
        <a:blip r:embed="rId1"/>
        <a:stretch/>
      </xdr:blipFill>
      <xdr:spPr>
        <a:xfrm>
          <a:off x="833760" y="1820520"/>
          <a:ext cx="8236800" cy="186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11160</xdr:colOff>
      <xdr:row>7</xdr:row>
      <xdr:rowOff>145800</xdr:rowOff>
    </xdr:from>
    <xdr:to>
      <xdr:col>17</xdr:col>
      <xdr:colOff>596160</xdr:colOff>
      <xdr:row>16</xdr:row>
      <xdr:rowOff>183240</xdr:rowOff>
    </xdr:to>
    <xdr:pic>
      <xdr:nvPicPr>
        <xdr:cNvPr id="6" name="Picture 2" descr=""/>
        <xdr:cNvPicPr/>
      </xdr:nvPicPr>
      <xdr:blipFill>
        <a:blip r:embed="rId1"/>
        <a:stretch/>
      </xdr:blipFill>
      <xdr:spPr>
        <a:xfrm>
          <a:off x="977760" y="1831680"/>
          <a:ext cx="8305920" cy="179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13680</xdr:colOff>
      <xdr:row>7</xdr:row>
      <xdr:rowOff>176760</xdr:rowOff>
    </xdr:from>
    <xdr:to>
      <xdr:col>17</xdr:col>
      <xdr:colOff>642600</xdr:colOff>
      <xdr:row>17</xdr:row>
      <xdr:rowOff>166680</xdr:rowOff>
    </xdr:to>
    <xdr:pic>
      <xdr:nvPicPr>
        <xdr:cNvPr id="8" name="Picture 2" descr=""/>
        <xdr:cNvPicPr/>
      </xdr:nvPicPr>
      <xdr:blipFill>
        <a:blip r:embed="rId1"/>
        <a:stretch/>
      </xdr:blipFill>
      <xdr:spPr>
        <a:xfrm>
          <a:off x="980280" y="1862640"/>
          <a:ext cx="8349840" cy="1942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5"/>
  <sheetViews>
    <sheetView showFormulas="false" showGridLines="true" showRowColHeaders="true" showZeros="true" rightToLeft="false" tabSelected="false" showOutlineSymbols="true" defaultGridColor="true" view="normal" topLeftCell="B216" colorId="64" zoomScale="100" zoomScaleNormal="100" zoomScalePageLayoutView="100" workbookViewId="0">
      <selection pane="topLeft" activeCell="T228" activeCellId="0" sqref="T228"/>
    </sheetView>
  </sheetViews>
  <sheetFormatPr defaultColWidth="7.00390625" defaultRowHeight="15" zeroHeight="false" outlineLevelRow="0" outlineLevelCol="0"/>
  <cols>
    <col collapsed="false" customWidth="true" hidden="true" outlineLevel="0" max="1" min="1" style="1" width="11.53"/>
    <col collapsed="false" customWidth="false" hidden="false" outlineLevel="0" max="2" min="2" style="2" width="7"/>
    <col collapsed="false" customWidth="false" hidden="false" outlineLevel="0" max="7" min="7" style="2" width="7"/>
    <col collapsed="false" customWidth="true" hidden="true" outlineLevel="0" max="9" min="8" style="1" width="11.53"/>
    <col collapsed="false" customWidth="false" hidden="false" outlineLevel="0" max="11" min="11" style="2" width="7"/>
    <col collapsed="false" customWidth="false" hidden="false" outlineLevel="0" max="13" min="13" style="2" width="7"/>
    <col collapsed="false" customWidth="false" hidden="false" outlineLevel="0" max="15" min="14" style="1" width="7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211</v>
      </c>
      <c r="D2" s="0" t="n">
        <v>9</v>
      </c>
      <c r="E2" s="0" t="n">
        <v>7.15</v>
      </c>
      <c r="F2" s="0" t="n">
        <v>-11.95</v>
      </c>
      <c r="G2" s="2" t="n">
        <v>2.05</v>
      </c>
      <c r="H2" s="1" t="n">
        <v>-5.25</v>
      </c>
      <c r="I2" s="1" t="n">
        <v>2.05</v>
      </c>
      <c r="J2" s="0" t="n">
        <v>0</v>
      </c>
      <c r="K2" s="2" t="n">
        <v>2.17</v>
      </c>
      <c r="L2" s="0" t="n">
        <v>5.25</v>
      </c>
      <c r="M2" s="2" t="n">
        <v>2.05</v>
      </c>
      <c r="N2" s="1" t="n">
        <v>11.95</v>
      </c>
      <c r="O2" s="1" t="n">
        <v>2.05</v>
      </c>
      <c r="P2" s="0" t="n">
        <v>65.9</v>
      </c>
      <c r="Q2" s="0" t="n">
        <v>11.55</v>
      </c>
    </row>
    <row r="3" customFormat="false" ht="15" hidden="false" customHeight="false" outlineLevel="0" collapsed="false">
      <c r="D3" s="0" t="n">
        <v>8</v>
      </c>
      <c r="E3" s="0" t="n">
        <v>6.71</v>
      </c>
      <c r="F3" s="0" t="n">
        <v>-12.4</v>
      </c>
      <c r="G3" s="2" t="n">
        <v>1.75</v>
      </c>
      <c r="H3" s="1" t="n">
        <v>-5.25</v>
      </c>
      <c r="I3" s="1" t="n">
        <v>1.75</v>
      </c>
      <c r="J3" s="0" t="n">
        <v>0</v>
      </c>
      <c r="K3" s="2" t="n">
        <v>1.87</v>
      </c>
      <c r="L3" s="0" t="n">
        <v>5.25</v>
      </c>
      <c r="M3" s="2" t="n">
        <v>1.75</v>
      </c>
      <c r="N3" s="1" t="n">
        <v>12.4</v>
      </c>
      <c r="O3" s="1" t="n">
        <v>1.75</v>
      </c>
    </row>
    <row r="4" customFormat="false" ht="15" hidden="false" customHeight="false" outlineLevel="0" collapsed="false">
      <c r="D4" s="0" t="n">
        <v>7</v>
      </c>
      <c r="E4" s="0" t="n">
        <v>6.81</v>
      </c>
      <c r="F4" s="0" t="n">
        <v>-12.85</v>
      </c>
      <c r="G4" s="2" t="n">
        <v>1.45</v>
      </c>
      <c r="H4" s="1" t="n">
        <v>-5.25</v>
      </c>
      <c r="I4" s="1" t="n">
        <v>1.45</v>
      </c>
      <c r="J4" s="0" t="n">
        <v>0</v>
      </c>
      <c r="K4" s="2" t="n">
        <v>1.57</v>
      </c>
      <c r="L4" s="0" t="n">
        <v>5.25</v>
      </c>
      <c r="M4" s="2" t="n">
        <v>1.45</v>
      </c>
      <c r="N4" s="1" t="n">
        <v>12.85</v>
      </c>
      <c r="O4" s="1" t="n">
        <v>1.45</v>
      </c>
    </row>
    <row r="5" customFormat="false" ht="15" hidden="false" customHeight="false" outlineLevel="0" collapsed="false">
      <c r="D5" s="0" t="n">
        <v>6</v>
      </c>
      <c r="E5" s="0" t="n">
        <v>6.9</v>
      </c>
      <c r="F5" s="0" t="n">
        <v>-13.3</v>
      </c>
      <c r="G5" s="2" t="n">
        <v>1.15</v>
      </c>
      <c r="H5" s="1" t="n">
        <v>-5.25</v>
      </c>
      <c r="I5" s="1" t="n">
        <v>1.15</v>
      </c>
      <c r="J5" s="0" t="n">
        <v>0</v>
      </c>
      <c r="K5" s="2" t="n">
        <v>1.27</v>
      </c>
      <c r="L5" s="0" t="n">
        <v>5.25</v>
      </c>
      <c r="M5" s="2" t="n">
        <v>1.15</v>
      </c>
      <c r="N5" s="1" t="n">
        <v>13.3</v>
      </c>
      <c r="O5" s="1" t="n">
        <v>1.15</v>
      </c>
    </row>
    <row r="6" customFormat="false" ht="15" hidden="false" customHeight="false" outlineLevel="0" collapsed="false">
      <c r="D6" s="0" t="n">
        <v>5</v>
      </c>
      <c r="E6" s="0" t="n">
        <v>7</v>
      </c>
      <c r="F6" s="0" t="n">
        <v>-13.75</v>
      </c>
      <c r="G6" s="2" t="n">
        <v>0.85</v>
      </c>
      <c r="H6" s="1" t="n">
        <v>-5.25</v>
      </c>
      <c r="I6" s="1" t="n">
        <v>0.85</v>
      </c>
      <c r="J6" s="0" t="n">
        <v>0</v>
      </c>
      <c r="K6" s="2" t="n">
        <v>0.97</v>
      </c>
      <c r="L6" s="0" t="n">
        <v>5.25</v>
      </c>
      <c r="M6" s="2" t="n">
        <v>0.85</v>
      </c>
      <c r="N6" s="1" t="n">
        <v>13.75</v>
      </c>
      <c r="O6" s="1" t="n">
        <v>0.85</v>
      </c>
    </row>
    <row r="7" customFormat="false" ht="15" hidden="false" customHeight="false" outlineLevel="0" collapsed="false">
      <c r="D7" s="0" t="n">
        <v>4</v>
      </c>
      <c r="E7" s="0" t="n">
        <v>6.91</v>
      </c>
      <c r="F7" s="0" t="n">
        <v>-14.2</v>
      </c>
      <c r="G7" s="2" t="n">
        <v>0.55</v>
      </c>
      <c r="H7" s="1" t="n">
        <v>-5.25</v>
      </c>
      <c r="I7" s="1" t="n">
        <v>0.55</v>
      </c>
      <c r="J7" s="0" t="n">
        <v>0</v>
      </c>
      <c r="K7" s="2" t="n">
        <v>0.67</v>
      </c>
      <c r="L7" s="0" t="n">
        <v>5.25</v>
      </c>
      <c r="M7" s="2" t="n">
        <v>0.55</v>
      </c>
      <c r="N7" s="1" t="n">
        <v>14.2</v>
      </c>
      <c r="O7" s="1" t="n">
        <v>0.55</v>
      </c>
    </row>
    <row r="8" customFormat="false" ht="15" hidden="false" customHeight="false" outlineLevel="0" collapsed="false">
      <c r="D8" s="0" t="n">
        <v>3</v>
      </c>
      <c r="E8" s="0" t="n">
        <v>5.51</v>
      </c>
      <c r="F8" s="0" t="n">
        <v>-14.65</v>
      </c>
      <c r="G8" s="2" t="n">
        <v>0.25</v>
      </c>
      <c r="H8" s="1" t="n">
        <v>-5.25</v>
      </c>
      <c r="I8" s="1" t="n">
        <v>0.25</v>
      </c>
      <c r="J8" s="0" t="n">
        <v>0</v>
      </c>
      <c r="K8" s="2" t="n">
        <v>0.37</v>
      </c>
      <c r="L8" s="0" t="n">
        <v>5.25</v>
      </c>
      <c r="M8" s="2" t="n">
        <v>0.25</v>
      </c>
      <c r="N8" s="1" t="n">
        <v>14.65</v>
      </c>
      <c r="O8" s="1" t="n">
        <v>0.25</v>
      </c>
    </row>
    <row r="9" customFormat="false" ht="15" hidden="false" customHeight="false" outlineLevel="0" collapsed="false">
      <c r="D9" s="0" t="n">
        <v>2</v>
      </c>
      <c r="E9" s="0" t="n">
        <v>5.05</v>
      </c>
      <c r="F9" s="0" t="n">
        <v>-10.5</v>
      </c>
      <c r="G9" s="2" t="n">
        <v>-0.05</v>
      </c>
      <c r="H9" s="1" t="n">
        <v>-5.25</v>
      </c>
      <c r="I9" s="1" t="n">
        <v>-0.05</v>
      </c>
      <c r="J9" s="0" t="n">
        <v>0</v>
      </c>
      <c r="K9" s="2" t="n">
        <v>0.07</v>
      </c>
      <c r="L9" s="0" t="n">
        <v>5.25</v>
      </c>
      <c r="M9" s="2" t="n">
        <v>-0.05</v>
      </c>
      <c r="N9" s="1" t="n">
        <v>6.65</v>
      </c>
      <c r="O9" s="1" t="n">
        <v>-0.05</v>
      </c>
    </row>
    <row r="10" customFormat="false" ht="15" hidden="false" customHeight="false" outlineLevel="0" collapsed="false">
      <c r="D10" s="0" t="n">
        <v>1</v>
      </c>
      <c r="E10" s="0" t="n">
        <v>2.31</v>
      </c>
      <c r="F10" s="0" t="n">
        <v>-10.2</v>
      </c>
      <c r="G10" s="2" t="n">
        <v>-0.35</v>
      </c>
      <c r="H10" s="1" t="n">
        <v>-5.25</v>
      </c>
      <c r="I10" s="1" t="n">
        <v>-0.35</v>
      </c>
      <c r="J10" s="0" t="n">
        <v>0</v>
      </c>
      <c r="K10" s="2" t="n">
        <v>-0.23</v>
      </c>
      <c r="L10" s="0" t="n">
        <v>5.25</v>
      </c>
      <c r="M10" s="2" t="n">
        <v>-0.35</v>
      </c>
      <c r="N10" s="1" t="n">
        <v>6.35</v>
      </c>
      <c r="O10" s="1" t="n">
        <v>-0.35</v>
      </c>
    </row>
    <row r="11" customFormat="false" ht="15" hidden="false" customHeight="false" outlineLevel="0" collapsed="false">
      <c r="A11" s="1" t="n">
        <v>2</v>
      </c>
      <c r="B11" s="2" t="s">
        <v>18</v>
      </c>
      <c r="C11" s="0" t="n">
        <v>224.25</v>
      </c>
      <c r="D11" s="0" t="n">
        <v>9</v>
      </c>
      <c r="E11" s="0" t="n">
        <v>7.31</v>
      </c>
      <c r="F11" s="0" t="n">
        <v>-11.95</v>
      </c>
      <c r="G11" s="2" t="n">
        <v>2.04</v>
      </c>
      <c r="H11" s="1" t="n">
        <v>-5.25</v>
      </c>
      <c r="I11" s="1" t="n">
        <v>2.04</v>
      </c>
      <c r="J11" s="0" t="n">
        <v>0</v>
      </c>
      <c r="K11" s="2" t="n">
        <v>2.16</v>
      </c>
      <c r="L11" s="0" t="n">
        <v>5.25</v>
      </c>
      <c r="M11" s="2" t="n">
        <v>2.04</v>
      </c>
      <c r="N11" s="1" t="n">
        <v>11.95</v>
      </c>
      <c r="O11" s="1" t="n">
        <v>2.04</v>
      </c>
      <c r="P11" s="0" t="n">
        <v>65.68</v>
      </c>
      <c r="Q11" s="0" t="n">
        <v>11.55</v>
      </c>
    </row>
    <row r="12" customFormat="false" ht="15" hidden="false" customHeight="false" outlineLevel="0" collapsed="false">
      <c r="D12" s="0" t="n">
        <v>8</v>
      </c>
      <c r="E12" s="0" t="n">
        <v>6.98</v>
      </c>
      <c r="F12" s="0" t="n">
        <v>-12.4</v>
      </c>
      <c r="G12" s="2" t="n">
        <v>1.74</v>
      </c>
      <c r="H12" s="1" t="n">
        <v>-5.25</v>
      </c>
      <c r="I12" s="1" t="n">
        <v>1.74</v>
      </c>
      <c r="J12" s="0" t="n">
        <v>0</v>
      </c>
      <c r="K12" s="2" t="n">
        <v>1.86</v>
      </c>
      <c r="L12" s="0" t="n">
        <v>5.25</v>
      </c>
      <c r="M12" s="2" t="n">
        <v>1.74</v>
      </c>
      <c r="N12" s="1" t="n">
        <v>12.4</v>
      </c>
      <c r="O12" s="1" t="n">
        <v>1.74</v>
      </c>
    </row>
    <row r="13" customFormat="false" ht="15" hidden="false" customHeight="false" outlineLevel="0" collapsed="false">
      <c r="D13" s="0" t="n">
        <v>7</v>
      </c>
      <c r="E13" s="0" t="n">
        <v>6.4</v>
      </c>
      <c r="F13" s="0" t="n">
        <v>-12.85</v>
      </c>
      <c r="G13" s="2" t="n">
        <v>1.44</v>
      </c>
      <c r="H13" s="1" t="n">
        <v>-5.25</v>
      </c>
      <c r="I13" s="1" t="n">
        <v>1.44</v>
      </c>
      <c r="J13" s="0" t="n">
        <v>0</v>
      </c>
      <c r="K13" s="2" t="n">
        <v>1.56</v>
      </c>
      <c r="L13" s="0" t="n">
        <v>5.25</v>
      </c>
      <c r="M13" s="2" t="n">
        <v>1.44</v>
      </c>
      <c r="N13" s="1" t="n">
        <v>8.39</v>
      </c>
      <c r="O13" s="1" t="n">
        <v>1.44</v>
      </c>
    </row>
    <row r="14" customFormat="false" ht="15" hidden="false" customHeight="false" outlineLevel="0" collapsed="false">
      <c r="D14" s="0" t="n">
        <v>6</v>
      </c>
      <c r="E14" s="0" t="n">
        <v>6.44</v>
      </c>
      <c r="F14" s="0" t="n">
        <v>-13.3</v>
      </c>
      <c r="G14" s="2" t="n">
        <v>1.14</v>
      </c>
      <c r="H14" s="1" t="n">
        <v>-5.25</v>
      </c>
      <c r="I14" s="1" t="n">
        <v>1.14</v>
      </c>
      <c r="J14" s="0" t="n">
        <v>0</v>
      </c>
      <c r="K14" s="2" t="n">
        <v>1.26</v>
      </c>
      <c r="L14" s="0" t="n">
        <v>5.25</v>
      </c>
      <c r="M14" s="2" t="n">
        <v>1.14</v>
      </c>
      <c r="N14" s="1" t="n">
        <v>8.09</v>
      </c>
      <c r="O14" s="1" t="n">
        <v>1.14</v>
      </c>
    </row>
    <row r="15" customFormat="false" ht="15" hidden="false" customHeight="false" outlineLevel="0" collapsed="false">
      <c r="D15" s="0" t="n">
        <v>5</v>
      </c>
      <c r="E15" s="0" t="n">
        <v>6.49</v>
      </c>
      <c r="F15" s="0" t="n">
        <v>-13.75</v>
      </c>
      <c r="G15" s="2" t="n">
        <v>0.84</v>
      </c>
      <c r="H15" s="1" t="n">
        <v>-5.25</v>
      </c>
      <c r="I15" s="1" t="n">
        <v>0.84</v>
      </c>
      <c r="J15" s="0" t="n">
        <v>0</v>
      </c>
      <c r="K15" s="2" t="n">
        <v>0.96</v>
      </c>
      <c r="L15" s="0" t="n">
        <v>5.25</v>
      </c>
      <c r="M15" s="2" t="n">
        <v>0.84</v>
      </c>
      <c r="N15" s="1" t="n">
        <v>7.79</v>
      </c>
      <c r="O15" s="1" t="n">
        <v>0.84</v>
      </c>
    </row>
    <row r="16" customFormat="false" ht="15" hidden="false" customHeight="false" outlineLevel="0" collapsed="false">
      <c r="D16" s="0" t="n">
        <v>4</v>
      </c>
      <c r="E16" s="0" t="n">
        <v>6.53</v>
      </c>
      <c r="F16" s="0" t="n">
        <v>-14.2</v>
      </c>
      <c r="G16" s="2" t="n">
        <v>0.54</v>
      </c>
      <c r="H16" s="1" t="n">
        <v>-5.25</v>
      </c>
      <c r="I16" s="1" t="n">
        <v>0.54</v>
      </c>
      <c r="J16" s="0" t="n">
        <v>0</v>
      </c>
      <c r="K16" s="2" t="n">
        <v>0.66</v>
      </c>
      <c r="L16" s="0" t="n">
        <v>5.25</v>
      </c>
      <c r="M16" s="2" t="n">
        <v>0.54</v>
      </c>
      <c r="N16" s="1" t="n">
        <v>7.49</v>
      </c>
      <c r="O16" s="1" t="n">
        <v>0.54</v>
      </c>
    </row>
    <row r="17" customFormat="false" ht="15" hidden="false" customHeight="false" outlineLevel="0" collapsed="false">
      <c r="D17" s="0" t="n">
        <v>3</v>
      </c>
      <c r="E17" s="0" t="n">
        <v>6.58</v>
      </c>
      <c r="F17" s="0" t="n">
        <v>-14.65</v>
      </c>
      <c r="G17" s="2" t="n">
        <v>0.24</v>
      </c>
      <c r="H17" s="1" t="n">
        <v>-5.25</v>
      </c>
      <c r="I17" s="1" t="n">
        <v>0.24</v>
      </c>
      <c r="J17" s="0" t="n">
        <v>0</v>
      </c>
      <c r="K17" s="2" t="n">
        <v>0.36</v>
      </c>
      <c r="L17" s="0" t="n">
        <v>5.25</v>
      </c>
      <c r="M17" s="2" t="n">
        <v>0.24</v>
      </c>
      <c r="N17" s="1" t="n">
        <v>7.19</v>
      </c>
      <c r="O17" s="1" t="n">
        <v>0.24</v>
      </c>
    </row>
    <row r="18" customFormat="false" ht="15" hidden="false" customHeight="false" outlineLevel="0" collapsed="false">
      <c r="D18" s="0" t="n">
        <v>2</v>
      </c>
      <c r="E18" s="0" t="n">
        <v>5.22</v>
      </c>
      <c r="F18" s="0" t="n">
        <v>-15.1</v>
      </c>
      <c r="G18" s="2" t="n">
        <v>-0.06</v>
      </c>
      <c r="H18" s="1" t="n">
        <v>-5.25</v>
      </c>
      <c r="I18" s="1" t="n">
        <v>-0.06</v>
      </c>
      <c r="J18" s="0" t="n">
        <v>0</v>
      </c>
      <c r="K18" s="2" t="n">
        <v>0.06</v>
      </c>
      <c r="L18" s="0" t="n">
        <v>5.25</v>
      </c>
      <c r="M18" s="2" t="n">
        <v>-0.06</v>
      </c>
      <c r="N18" s="1" t="n">
        <v>6.89</v>
      </c>
      <c r="O18" s="1" t="n">
        <v>-0.06</v>
      </c>
    </row>
    <row r="19" customFormat="false" ht="15" hidden="false" customHeight="false" outlineLevel="0" collapsed="false">
      <c r="D19" s="0" t="n">
        <v>1</v>
      </c>
      <c r="E19" s="0" t="n">
        <v>2.21</v>
      </c>
      <c r="F19" s="0" t="n">
        <v>-10.24</v>
      </c>
      <c r="G19" s="2" t="n">
        <v>-0.36</v>
      </c>
      <c r="H19" s="1" t="n">
        <v>-5.25</v>
      </c>
      <c r="I19" s="1" t="n">
        <v>-0.36</v>
      </c>
      <c r="J19" s="0" t="n">
        <v>0</v>
      </c>
      <c r="K19" s="2" t="n">
        <v>-0.24</v>
      </c>
      <c r="L19" s="0" t="n">
        <v>5.25</v>
      </c>
      <c r="M19" s="2" t="n">
        <v>-0.36</v>
      </c>
      <c r="N19" s="1" t="n">
        <v>6.59</v>
      </c>
      <c r="O19" s="1" t="n">
        <v>-0.36</v>
      </c>
    </row>
    <row r="20" customFormat="false" ht="15" hidden="false" customHeight="false" outlineLevel="0" collapsed="false">
      <c r="A20" s="1" t="n">
        <v>3</v>
      </c>
      <c r="B20" s="2" t="s">
        <v>19</v>
      </c>
      <c r="C20" s="0" t="n">
        <v>245.75</v>
      </c>
      <c r="D20" s="0" t="n">
        <v>9</v>
      </c>
      <c r="E20" s="0" t="n">
        <v>7.3</v>
      </c>
      <c r="F20" s="0" t="n">
        <v>-11.95</v>
      </c>
      <c r="G20" s="2" t="n">
        <v>2.02</v>
      </c>
      <c r="H20" s="1" t="n">
        <v>-5.25</v>
      </c>
      <c r="I20" s="1" t="n">
        <v>2.02</v>
      </c>
      <c r="J20" s="0" t="n">
        <v>0</v>
      </c>
      <c r="K20" s="2" t="n">
        <v>2.14</v>
      </c>
      <c r="L20" s="0" t="n">
        <v>5.25</v>
      </c>
      <c r="M20" s="2" t="n">
        <v>2.02</v>
      </c>
      <c r="N20" s="1" t="n">
        <v>11.95</v>
      </c>
      <c r="O20" s="1" t="n">
        <v>2.02</v>
      </c>
      <c r="P20" s="0" t="n">
        <v>58.32</v>
      </c>
      <c r="Q20" s="0" t="n">
        <v>11.55</v>
      </c>
    </row>
    <row r="21" customFormat="false" ht="15" hidden="false" customHeight="false" outlineLevel="0" collapsed="false">
      <c r="D21" s="0" t="n">
        <v>8</v>
      </c>
      <c r="E21" s="0" t="n">
        <v>6.1</v>
      </c>
      <c r="F21" s="0" t="n">
        <v>-12.4</v>
      </c>
      <c r="G21" s="2" t="n">
        <v>1.72</v>
      </c>
      <c r="H21" s="1" t="n">
        <v>-5.25</v>
      </c>
      <c r="I21" s="1" t="n">
        <v>1.72</v>
      </c>
      <c r="J21" s="0" t="n">
        <v>0</v>
      </c>
      <c r="K21" s="2" t="n">
        <v>1.84</v>
      </c>
      <c r="L21" s="0" t="n">
        <v>5.25</v>
      </c>
      <c r="M21" s="2" t="n">
        <v>1.72</v>
      </c>
      <c r="N21" s="1" t="n">
        <v>11.15</v>
      </c>
      <c r="O21" s="1" t="n">
        <v>1.72</v>
      </c>
    </row>
    <row r="22" customFormat="false" ht="15" hidden="false" customHeight="false" outlineLevel="0" collapsed="false">
      <c r="D22" s="0" t="n">
        <v>7</v>
      </c>
      <c r="E22" s="0" t="n">
        <v>5.88</v>
      </c>
      <c r="F22" s="0" t="n">
        <v>-12.85</v>
      </c>
      <c r="G22" s="2" t="n">
        <v>1.42</v>
      </c>
      <c r="H22" s="1" t="n">
        <v>-5.25</v>
      </c>
      <c r="I22" s="1" t="n">
        <v>1.42</v>
      </c>
      <c r="J22" s="0" t="n">
        <v>0</v>
      </c>
      <c r="K22" s="2" t="n">
        <v>1.54</v>
      </c>
      <c r="L22" s="0" t="n">
        <v>5.25</v>
      </c>
      <c r="M22" s="2" t="n">
        <v>1.42</v>
      </c>
      <c r="N22" s="1" t="n">
        <v>8.12</v>
      </c>
      <c r="O22" s="1" t="n">
        <v>1.42</v>
      </c>
    </row>
    <row r="23" customFormat="false" ht="15" hidden="false" customHeight="false" outlineLevel="0" collapsed="false">
      <c r="D23" s="0" t="n">
        <v>6</v>
      </c>
      <c r="E23" s="0" t="n">
        <v>5.78</v>
      </c>
      <c r="F23" s="0" t="n">
        <v>-13.3</v>
      </c>
      <c r="G23" s="2" t="n">
        <v>1.12</v>
      </c>
      <c r="H23" s="1" t="n">
        <v>-5.25</v>
      </c>
      <c r="I23" s="1" t="n">
        <v>1.12</v>
      </c>
      <c r="J23" s="0" t="n">
        <v>0</v>
      </c>
      <c r="K23" s="2" t="n">
        <v>1.24</v>
      </c>
      <c r="L23" s="0" t="n">
        <v>5.25</v>
      </c>
      <c r="M23" s="2" t="n">
        <v>1.12</v>
      </c>
      <c r="N23" s="1" t="n">
        <v>7.82</v>
      </c>
      <c r="O23" s="1" t="n">
        <v>1.12</v>
      </c>
    </row>
    <row r="24" customFormat="false" ht="15" hidden="false" customHeight="false" outlineLevel="0" collapsed="false">
      <c r="D24" s="0" t="n">
        <v>5</v>
      </c>
      <c r="E24" s="0" t="n">
        <v>5.68</v>
      </c>
      <c r="F24" s="0" t="n">
        <v>-13.75</v>
      </c>
      <c r="G24" s="2" t="n">
        <v>0.82</v>
      </c>
      <c r="H24" s="1" t="n">
        <v>-5.25</v>
      </c>
      <c r="I24" s="1" t="n">
        <v>0.82</v>
      </c>
      <c r="J24" s="0" t="n">
        <v>0</v>
      </c>
      <c r="K24" s="2" t="n">
        <v>0.94</v>
      </c>
      <c r="L24" s="0" t="n">
        <v>5.25</v>
      </c>
      <c r="M24" s="2" t="n">
        <v>0.82</v>
      </c>
      <c r="N24" s="1" t="n">
        <v>7.52</v>
      </c>
      <c r="O24" s="1" t="n">
        <v>0.82</v>
      </c>
    </row>
    <row r="25" customFormat="false" ht="15" hidden="false" customHeight="false" outlineLevel="0" collapsed="false">
      <c r="D25" s="0" t="n">
        <v>4</v>
      </c>
      <c r="E25" s="0" t="n">
        <v>5.58</v>
      </c>
      <c r="F25" s="0" t="n">
        <v>-14.2</v>
      </c>
      <c r="G25" s="2" t="n">
        <v>0.52</v>
      </c>
      <c r="H25" s="1" t="n">
        <v>-5.25</v>
      </c>
      <c r="I25" s="1" t="n">
        <v>0.52</v>
      </c>
      <c r="J25" s="0" t="n">
        <v>0</v>
      </c>
      <c r="K25" s="2" t="n">
        <v>0.64</v>
      </c>
      <c r="L25" s="0" t="n">
        <v>5.25</v>
      </c>
      <c r="M25" s="2" t="n">
        <v>0.52</v>
      </c>
      <c r="N25" s="1" t="n">
        <v>7.22</v>
      </c>
      <c r="O25" s="1" t="n">
        <v>0.52</v>
      </c>
    </row>
    <row r="26" customFormat="false" ht="15" hidden="false" customHeight="false" outlineLevel="0" collapsed="false">
      <c r="D26" s="0" t="n">
        <v>3</v>
      </c>
      <c r="E26" s="0" t="n">
        <v>4.93</v>
      </c>
      <c r="F26" s="0" t="n">
        <v>-14.65</v>
      </c>
      <c r="G26" s="2" t="n">
        <v>0.22</v>
      </c>
      <c r="H26" s="1" t="n">
        <v>-5.25</v>
      </c>
      <c r="I26" s="1" t="n">
        <v>0.22</v>
      </c>
      <c r="J26" s="0" t="n">
        <v>0</v>
      </c>
      <c r="K26" s="2" t="n">
        <v>0.34</v>
      </c>
      <c r="L26" s="0" t="n">
        <v>5.25</v>
      </c>
      <c r="M26" s="2" t="n">
        <v>0.22</v>
      </c>
      <c r="N26" s="1" t="n">
        <v>6.92</v>
      </c>
      <c r="O26" s="1" t="n">
        <v>0.22</v>
      </c>
    </row>
    <row r="27" customFormat="false" ht="15" hidden="false" customHeight="false" outlineLevel="0" collapsed="false">
      <c r="D27" s="0" t="n">
        <v>2</v>
      </c>
      <c r="E27" s="0" t="n">
        <v>3.93</v>
      </c>
      <c r="F27" s="0" t="n">
        <v>-15.1</v>
      </c>
      <c r="G27" s="2" t="n">
        <v>-0.08</v>
      </c>
      <c r="H27" s="1" t="n">
        <v>-5.25</v>
      </c>
      <c r="I27" s="1" t="n">
        <v>-0.08</v>
      </c>
      <c r="J27" s="0" t="n">
        <v>0</v>
      </c>
      <c r="K27" s="2" t="n">
        <v>0.04</v>
      </c>
      <c r="L27" s="0" t="n">
        <v>5.25</v>
      </c>
      <c r="M27" s="2" t="n">
        <v>-0.08</v>
      </c>
      <c r="N27" s="1" t="n">
        <v>6.62</v>
      </c>
      <c r="O27" s="1" t="n">
        <v>-0.08</v>
      </c>
    </row>
    <row r="28" customFormat="false" ht="15" hidden="false" customHeight="false" outlineLevel="0" collapsed="false">
      <c r="D28" s="0" t="n">
        <v>1</v>
      </c>
      <c r="E28" s="0" t="n">
        <v>1.59</v>
      </c>
      <c r="F28" s="0" t="n">
        <v>-6.32</v>
      </c>
      <c r="G28" s="2" t="n">
        <v>-0.38</v>
      </c>
      <c r="H28" s="1" t="n">
        <v>-5.25</v>
      </c>
      <c r="I28" s="1" t="n">
        <v>-0.38</v>
      </c>
      <c r="J28" s="0" t="n">
        <v>0</v>
      </c>
      <c r="K28" s="2" t="n">
        <v>-0.26</v>
      </c>
      <c r="L28" s="0" t="n">
        <v>5.25</v>
      </c>
      <c r="M28" s="2" t="n">
        <v>-0.38</v>
      </c>
      <c r="N28" s="1" t="n">
        <v>6.32</v>
      </c>
      <c r="O28" s="1" t="n">
        <v>-0.38</v>
      </c>
    </row>
    <row r="29" customFormat="false" ht="15" hidden="false" customHeight="false" outlineLevel="0" collapsed="false">
      <c r="A29" s="1" t="n">
        <v>4</v>
      </c>
      <c r="B29" s="2" t="s">
        <v>20</v>
      </c>
      <c r="C29" s="0" t="n">
        <v>257.5</v>
      </c>
      <c r="D29" s="0" t="n">
        <v>9</v>
      </c>
      <c r="E29" s="0" t="n">
        <v>7.31</v>
      </c>
      <c r="F29" s="0" t="n">
        <v>-11.95</v>
      </c>
      <c r="G29" s="2" t="n">
        <v>2.01</v>
      </c>
      <c r="H29" s="1" t="n">
        <v>-5.25</v>
      </c>
      <c r="I29" s="1" t="n">
        <v>2.01</v>
      </c>
      <c r="J29" s="0" t="n">
        <v>0</v>
      </c>
      <c r="K29" s="2" t="n">
        <v>2.13</v>
      </c>
      <c r="L29" s="0" t="n">
        <v>5.25</v>
      </c>
      <c r="M29" s="2" t="n">
        <v>2.01</v>
      </c>
      <c r="N29" s="1" t="n">
        <v>11.95</v>
      </c>
      <c r="O29" s="1" t="n">
        <v>2.01</v>
      </c>
      <c r="P29" s="0" t="n">
        <v>51.91</v>
      </c>
      <c r="Q29" s="0" t="n">
        <v>11.55</v>
      </c>
    </row>
    <row r="30" customFormat="false" ht="15" hidden="false" customHeight="false" outlineLevel="0" collapsed="false">
      <c r="D30" s="0" t="n">
        <v>8</v>
      </c>
      <c r="E30" s="0" t="n">
        <v>5.59</v>
      </c>
      <c r="F30" s="0" t="n">
        <v>-12.4</v>
      </c>
      <c r="G30" s="2" t="n">
        <v>1.71</v>
      </c>
      <c r="H30" s="1" t="n">
        <v>-5.25</v>
      </c>
      <c r="I30" s="1" t="n">
        <v>1.71</v>
      </c>
      <c r="J30" s="0" t="n">
        <v>0</v>
      </c>
      <c r="K30" s="2" t="n">
        <v>1.83</v>
      </c>
      <c r="L30" s="0" t="n">
        <v>5.25</v>
      </c>
      <c r="M30" s="2" t="n">
        <v>1.71</v>
      </c>
      <c r="N30" s="1" t="n">
        <v>12.4</v>
      </c>
      <c r="O30" s="1" t="n">
        <v>1.71</v>
      </c>
    </row>
    <row r="31" customFormat="false" ht="15" hidden="false" customHeight="false" outlineLevel="0" collapsed="false">
      <c r="D31" s="0" t="n">
        <v>7</v>
      </c>
      <c r="E31" s="0" t="n">
        <v>4.78</v>
      </c>
      <c r="F31" s="0" t="n">
        <v>-8.11</v>
      </c>
      <c r="G31" s="2" t="n">
        <v>1.41</v>
      </c>
      <c r="H31" s="1" t="n">
        <v>-5.25</v>
      </c>
      <c r="I31" s="1" t="n">
        <v>1.41</v>
      </c>
      <c r="J31" s="0" t="n">
        <v>0</v>
      </c>
      <c r="K31" s="2" t="n">
        <v>1.53</v>
      </c>
      <c r="L31" s="0" t="n">
        <v>5.25</v>
      </c>
      <c r="M31" s="2" t="n">
        <v>1.41</v>
      </c>
      <c r="N31" s="1" t="n">
        <v>8.12</v>
      </c>
      <c r="O31" s="1" t="n">
        <v>1.41</v>
      </c>
    </row>
    <row r="32" customFormat="false" ht="15" hidden="false" customHeight="false" outlineLevel="0" collapsed="false">
      <c r="D32" s="0" t="n">
        <v>6</v>
      </c>
      <c r="E32" s="0" t="n">
        <v>4.6</v>
      </c>
      <c r="F32" s="0" t="n">
        <v>-7.81</v>
      </c>
      <c r="G32" s="2" t="n">
        <v>1.11</v>
      </c>
      <c r="H32" s="1" t="n">
        <v>-5.25</v>
      </c>
      <c r="I32" s="1" t="n">
        <v>1.11</v>
      </c>
      <c r="J32" s="0" t="n">
        <v>0</v>
      </c>
      <c r="K32" s="2" t="n">
        <v>1.23</v>
      </c>
      <c r="L32" s="0" t="n">
        <v>5.25</v>
      </c>
      <c r="M32" s="2" t="n">
        <v>1.11</v>
      </c>
      <c r="N32" s="1" t="n">
        <v>7.82</v>
      </c>
      <c r="O32" s="1" t="n">
        <v>1.11</v>
      </c>
    </row>
    <row r="33" customFormat="false" ht="15" hidden="false" customHeight="false" outlineLevel="0" collapsed="false">
      <c r="D33" s="0" t="n">
        <v>5</v>
      </c>
      <c r="E33" s="0" t="n">
        <v>4.42</v>
      </c>
      <c r="F33" s="0" t="n">
        <v>-7.51</v>
      </c>
      <c r="G33" s="2" t="n">
        <v>0.81</v>
      </c>
      <c r="H33" s="1" t="n">
        <v>-5.25</v>
      </c>
      <c r="I33" s="1" t="n">
        <v>0.81</v>
      </c>
      <c r="J33" s="0" t="n">
        <v>0</v>
      </c>
      <c r="K33" s="2" t="n">
        <v>0.93</v>
      </c>
      <c r="L33" s="0" t="n">
        <v>5.25</v>
      </c>
      <c r="M33" s="2" t="n">
        <v>0.81</v>
      </c>
      <c r="N33" s="1" t="n">
        <v>7.52</v>
      </c>
      <c r="O33" s="1" t="n">
        <v>0.81</v>
      </c>
    </row>
    <row r="34" customFormat="false" ht="15" hidden="false" customHeight="false" outlineLevel="0" collapsed="false">
      <c r="D34" s="0" t="n">
        <v>4</v>
      </c>
      <c r="E34" s="0" t="n">
        <v>4.24</v>
      </c>
      <c r="F34" s="0" t="n">
        <v>-7.21</v>
      </c>
      <c r="G34" s="2" t="n">
        <v>0.51</v>
      </c>
      <c r="H34" s="1" t="n">
        <v>-5.25</v>
      </c>
      <c r="I34" s="1" t="n">
        <v>0.51</v>
      </c>
      <c r="J34" s="0" t="n">
        <v>0</v>
      </c>
      <c r="K34" s="2" t="n">
        <v>0.63</v>
      </c>
      <c r="L34" s="0" t="n">
        <v>5.25</v>
      </c>
      <c r="M34" s="2" t="n">
        <v>0.51</v>
      </c>
      <c r="N34" s="1" t="n">
        <v>7.22</v>
      </c>
      <c r="O34" s="1" t="n">
        <v>0.51</v>
      </c>
    </row>
    <row r="35" customFormat="false" ht="15" hidden="false" customHeight="false" outlineLevel="0" collapsed="false">
      <c r="D35" s="0" t="n">
        <v>3</v>
      </c>
      <c r="E35" s="0" t="n">
        <v>4.06</v>
      </c>
      <c r="F35" s="0" t="n">
        <v>-6.91</v>
      </c>
      <c r="G35" s="2" t="n">
        <v>0.21</v>
      </c>
      <c r="H35" s="1" t="n">
        <v>-5.25</v>
      </c>
      <c r="I35" s="1" t="n">
        <v>0.21</v>
      </c>
      <c r="J35" s="0" t="n">
        <v>0</v>
      </c>
      <c r="K35" s="2" t="n">
        <v>0.33</v>
      </c>
      <c r="L35" s="0" t="n">
        <v>5.25</v>
      </c>
      <c r="M35" s="2" t="n">
        <v>0.21</v>
      </c>
      <c r="N35" s="1" t="n">
        <v>6.92</v>
      </c>
      <c r="O35" s="1" t="n">
        <v>0.21</v>
      </c>
    </row>
    <row r="36" customFormat="false" ht="15" hidden="false" customHeight="false" outlineLevel="0" collapsed="false">
      <c r="D36" s="0" t="n">
        <v>2</v>
      </c>
      <c r="E36" s="0" t="n">
        <v>3.88</v>
      </c>
      <c r="F36" s="0" t="n">
        <v>-6.61</v>
      </c>
      <c r="G36" s="2" t="n">
        <v>-0.09</v>
      </c>
      <c r="H36" s="1" t="n">
        <v>-5.25</v>
      </c>
      <c r="I36" s="1" t="n">
        <v>-0.09</v>
      </c>
      <c r="J36" s="0" t="n">
        <v>0</v>
      </c>
      <c r="K36" s="2" t="n">
        <v>0.03</v>
      </c>
      <c r="L36" s="0" t="n">
        <v>5.25</v>
      </c>
      <c r="M36" s="2" t="n">
        <v>-0.09</v>
      </c>
      <c r="N36" s="1" t="n">
        <v>6.62</v>
      </c>
      <c r="O36" s="1" t="n">
        <v>-0.09</v>
      </c>
    </row>
    <row r="37" customFormat="false" ht="15" hidden="false" customHeight="false" outlineLevel="0" collapsed="false">
      <c r="D37" s="0" t="n">
        <v>1</v>
      </c>
      <c r="E37" s="0" t="n">
        <v>1.49</v>
      </c>
      <c r="F37" s="0" t="n">
        <v>-6.31</v>
      </c>
      <c r="G37" s="2" t="n">
        <v>-0.39</v>
      </c>
      <c r="H37" s="1" t="n">
        <v>-5.25</v>
      </c>
      <c r="I37" s="1" t="n">
        <v>-0.39</v>
      </c>
      <c r="J37" s="0" t="n">
        <v>0</v>
      </c>
      <c r="K37" s="2" t="n">
        <v>-0.27</v>
      </c>
      <c r="L37" s="0" t="n">
        <v>5.25</v>
      </c>
      <c r="M37" s="2" t="n">
        <v>-0.39</v>
      </c>
      <c r="N37" s="1" t="n">
        <v>6.32</v>
      </c>
      <c r="O37" s="1" t="n">
        <v>-0.39</v>
      </c>
    </row>
    <row r="38" customFormat="false" ht="15" hidden="false" customHeight="false" outlineLevel="0" collapsed="false">
      <c r="A38" s="1" t="n">
        <v>5</v>
      </c>
      <c r="B38" s="2" t="s">
        <v>21</v>
      </c>
      <c r="C38" s="0" t="n">
        <v>269.25</v>
      </c>
      <c r="D38" s="0" t="n">
        <v>9</v>
      </c>
      <c r="E38" s="0" t="n">
        <v>7.03</v>
      </c>
      <c r="F38" s="0" t="n">
        <v>-11.95</v>
      </c>
      <c r="G38" s="2" t="n">
        <v>2.01</v>
      </c>
      <c r="H38" s="1" t="n">
        <v>-5.25</v>
      </c>
      <c r="I38" s="1" t="n">
        <v>2.01</v>
      </c>
      <c r="J38" s="0" t="n">
        <v>0</v>
      </c>
      <c r="K38" s="2" t="n">
        <v>2.12</v>
      </c>
      <c r="L38" s="0" t="n">
        <v>5.25</v>
      </c>
      <c r="M38" s="2" t="n">
        <v>2.01</v>
      </c>
      <c r="N38" s="1" t="n">
        <v>11.95</v>
      </c>
      <c r="O38" s="1" t="n">
        <v>2.01</v>
      </c>
      <c r="P38" s="0" t="n">
        <v>50.87</v>
      </c>
      <c r="Q38" s="0" t="n">
        <v>11.55</v>
      </c>
    </row>
    <row r="39" customFormat="false" ht="15" hidden="false" customHeight="false" outlineLevel="0" collapsed="false">
      <c r="D39" s="0" t="n">
        <v>8</v>
      </c>
      <c r="E39" s="0" t="n">
        <v>4.97</v>
      </c>
      <c r="F39" s="0" t="n">
        <v>-8.41</v>
      </c>
      <c r="G39" s="2" t="n">
        <v>1.71</v>
      </c>
      <c r="H39" s="1" t="n">
        <v>-5.25</v>
      </c>
      <c r="I39" s="1" t="n">
        <v>1.71</v>
      </c>
      <c r="J39" s="0" t="n">
        <v>0</v>
      </c>
      <c r="K39" s="2" t="n">
        <v>1.82</v>
      </c>
      <c r="L39" s="0" t="n">
        <v>5.25</v>
      </c>
      <c r="M39" s="2" t="n">
        <v>1.71</v>
      </c>
      <c r="N39" s="1" t="n">
        <v>10.5</v>
      </c>
      <c r="O39" s="1" t="n">
        <v>1.71</v>
      </c>
    </row>
    <row r="40" customFormat="false" ht="15" hidden="false" customHeight="false" outlineLevel="0" collapsed="false">
      <c r="D40" s="0" t="n">
        <v>7</v>
      </c>
      <c r="E40" s="0" t="n">
        <v>4.77</v>
      </c>
      <c r="F40" s="0" t="n">
        <v>-8.11</v>
      </c>
      <c r="G40" s="2" t="n">
        <v>1.41</v>
      </c>
      <c r="H40" s="1" t="n">
        <v>-5.25</v>
      </c>
      <c r="I40" s="1" t="n">
        <v>1.41</v>
      </c>
      <c r="J40" s="0" t="n">
        <v>0</v>
      </c>
      <c r="K40" s="2" t="n">
        <v>1.52</v>
      </c>
      <c r="L40" s="0" t="n">
        <v>5.25</v>
      </c>
      <c r="M40" s="2" t="n">
        <v>1.41</v>
      </c>
      <c r="N40" s="1" t="n">
        <v>8.11</v>
      </c>
      <c r="O40" s="1" t="n">
        <v>1.41</v>
      </c>
    </row>
    <row r="41" customFormat="false" ht="15" hidden="false" customHeight="false" outlineLevel="0" collapsed="false">
      <c r="D41" s="0" t="n">
        <v>6</v>
      </c>
      <c r="E41" s="0" t="n">
        <v>4.59</v>
      </c>
      <c r="F41" s="0" t="n">
        <v>-7.81</v>
      </c>
      <c r="G41" s="2" t="n">
        <v>1.11</v>
      </c>
      <c r="H41" s="1" t="n">
        <v>-5.25</v>
      </c>
      <c r="I41" s="1" t="n">
        <v>1.11</v>
      </c>
      <c r="J41" s="0" t="n">
        <v>0</v>
      </c>
      <c r="K41" s="2" t="n">
        <v>1.22</v>
      </c>
      <c r="L41" s="0" t="n">
        <v>5.25</v>
      </c>
      <c r="M41" s="2" t="n">
        <v>1.11</v>
      </c>
      <c r="N41" s="1" t="n">
        <v>7.81</v>
      </c>
      <c r="O41" s="1" t="n">
        <v>1.11</v>
      </c>
    </row>
    <row r="42" customFormat="false" ht="15" hidden="false" customHeight="false" outlineLevel="0" collapsed="false">
      <c r="D42" s="0" t="n">
        <v>5</v>
      </c>
      <c r="E42" s="0" t="n">
        <v>4.41</v>
      </c>
      <c r="F42" s="0" t="n">
        <v>-7.51</v>
      </c>
      <c r="G42" s="2" t="n">
        <v>0.81</v>
      </c>
      <c r="H42" s="1" t="n">
        <v>-5.25</v>
      </c>
      <c r="I42" s="1" t="n">
        <v>0.81</v>
      </c>
      <c r="J42" s="0" t="n">
        <v>0</v>
      </c>
      <c r="K42" s="2" t="n">
        <v>0.92</v>
      </c>
      <c r="L42" s="0" t="n">
        <v>5.25</v>
      </c>
      <c r="M42" s="2" t="n">
        <v>0.81</v>
      </c>
      <c r="N42" s="1" t="n">
        <v>7.51</v>
      </c>
      <c r="O42" s="1" t="n">
        <v>0.81</v>
      </c>
    </row>
    <row r="43" customFormat="false" ht="15" hidden="false" customHeight="false" outlineLevel="0" collapsed="false">
      <c r="D43" s="0" t="n">
        <v>4</v>
      </c>
      <c r="E43" s="0" t="n">
        <v>4.23</v>
      </c>
      <c r="F43" s="0" t="n">
        <v>-7.21</v>
      </c>
      <c r="G43" s="2" t="n">
        <v>0.51</v>
      </c>
      <c r="H43" s="1" t="n">
        <v>-5.25</v>
      </c>
      <c r="I43" s="1" t="n">
        <v>0.51</v>
      </c>
      <c r="J43" s="0" t="n">
        <v>0</v>
      </c>
      <c r="K43" s="2" t="n">
        <v>0.62</v>
      </c>
      <c r="L43" s="0" t="n">
        <v>5.25</v>
      </c>
      <c r="M43" s="2" t="n">
        <v>0.51</v>
      </c>
      <c r="N43" s="1" t="n">
        <v>7.21</v>
      </c>
      <c r="O43" s="1" t="n">
        <v>0.51</v>
      </c>
    </row>
    <row r="44" customFormat="false" ht="15" hidden="false" customHeight="false" outlineLevel="0" collapsed="false">
      <c r="D44" s="0" t="n">
        <v>3</v>
      </c>
      <c r="E44" s="0" t="n">
        <v>4.05</v>
      </c>
      <c r="F44" s="0" t="n">
        <v>-6.91</v>
      </c>
      <c r="G44" s="2" t="n">
        <v>0.21</v>
      </c>
      <c r="H44" s="1" t="n">
        <v>-5.25</v>
      </c>
      <c r="I44" s="1" t="n">
        <v>0.21</v>
      </c>
      <c r="J44" s="0" t="n">
        <v>0</v>
      </c>
      <c r="K44" s="2" t="n">
        <v>0.32</v>
      </c>
      <c r="L44" s="0" t="n">
        <v>5.25</v>
      </c>
      <c r="M44" s="2" t="n">
        <v>0.21</v>
      </c>
      <c r="N44" s="1" t="n">
        <v>6.91</v>
      </c>
      <c r="O44" s="1" t="n">
        <v>0.21</v>
      </c>
    </row>
    <row r="45" customFormat="false" ht="15" hidden="false" customHeight="false" outlineLevel="0" collapsed="false">
      <c r="D45" s="0" t="n">
        <v>2</v>
      </c>
      <c r="E45" s="0" t="n">
        <v>3.87</v>
      </c>
      <c r="F45" s="0" t="n">
        <v>-6.61</v>
      </c>
      <c r="G45" s="2" t="n">
        <v>-0.09</v>
      </c>
      <c r="H45" s="1" t="n">
        <v>-5.25</v>
      </c>
      <c r="I45" s="1" t="n">
        <v>-0.09</v>
      </c>
      <c r="J45" s="0" t="n">
        <v>0</v>
      </c>
      <c r="K45" s="2" t="n">
        <v>0.02</v>
      </c>
      <c r="L45" s="0" t="n">
        <v>5.25</v>
      </c>
      <c r="M45" s="2" t="n">
        <v>-0.09</v>
      </c>
      <c r="N45" s="1" t="n">
        <v>6.61</v>
      </c>
      <c r="O45" s="1" t="n">
        <v>-0.09</v>
      </c>
    </row>
    <row r="46" customFormat="false" ht="15" hidden="false" customHeight="false" outlineLevel="0" collapsed="false">
      <c r="D46" s="0" t="n">
        <v>1</v>
      </c>
      <c r="E46" s="0" t="n">
        <v>1.38</v>
      </c>
      <c r="F46" s="0" t="n">
        <v>-6.31</v>
      </c>
      <c r="G46" s="2" t="n">
        <v>-0.39</v>
      </c>
      <c r="H46" s="1" t="n">
        <v>-5.25</v>
      </c>
      <c r="I46" s="1" t="n">
        <v>-0.39</v>
      </c>
      <c r="J46" s="0" t="n">
        <v>0</v>
      </c>
      <c r="K46" s="2" t="n">
        <v>-0.28</v>
      </c>
      <c r="L46" s="0" t="n">
        <v>5.25</v>
      </c>
      <c r="M46" s="2" t="n">
        <v>-0.39</v>
      </c>
      <c r="N46" s="1" t="n">
        <v>6.31</v>
      </c>
      <c r="O46" s="1" t="n">
        <v>-0.39</v>
      </c>
    </row>
    <row r="47" customFormat="false" ht="15" hidden="false" customHeight="false" outlineLevel="0" collapsed="false">
      <c r="A47" s="1" t="n">
        <v>6</v>
      </c>
      <c r="B47" s="2" t="s">
        <v>22</v>
      </c>
      <c r="C47" s="0" t="n">
        <v>289.25</v>
      </c>
      <c r="D47" s="0" t="n">
        <v>9</v>
      </c>
      <c r="E47" s="0" t="n">
        <v>6.21</v>
      </c>
      <c r="F47" s="0" t="n">
        <v>-11.95</v>
      </c>
      <c r="G47" s="2" t="n">
        <v>2</v>
      </c>
      <c r="H47" s="1" t="n">
        <v>-5.25</v>
      </c>
      <c r="I47" s="1" t="n">
        <v>2</v>
      </c>
      <c r="J47" s="0" t="n">
        <v>0</v>
      </c>
      <c r="K47" s="2" t="n">
        <v>2.11</v>
      </c>
      <c r="L47" s="0" t="n">
        <v>5.25</v>
      </c>
      <c r="M47" s="2" t="n">
        <v>2</v>
      </c>
      <c r="N47" s="1" t="n">
        <v>8.7</v>
      </c>
      <c r="O47" s="1" t="n">
        <v>2</v>
      </c>
      <c r="P47" s="0" t="n">
        <v>49.71</v>
      </c>
      <c r="Q47" s="0" t="n">
        <v>11.24</v>
      </c>
    </row>
    <row r="48" customFormat="false" ht="15" hidden="false" customHeight="false" outlineLevel="0" collapsed="false">
      <c r="D48" s="0" t="n">
        <v>8</v>
      </c>
      <c r="E48" s="0" t="n">
        <v>5.12</v>
      </c>
      <c r="F48" s="0" t="n">
        <v>-12.4</v>
      </c>
      <c r="G48" s="2" t="n">
        <v>1.7</v>
      </c>
      <c r="H48" s="1" t="n">
        <v>-5.25</v>
      </c>
      <c r="I48" s="1" t="n">
        <v>1.7</v>
      </c>
      <c r="J48" s="0" t="n">
        <v>0</v>
      </c>
      <c r="K48" s="2" t="n">
        <v>1.81</v>
      </c>
      <c r="L48" s="0" t="n">
        <v>5.25</v>
      </c>
      <c r="M48" s="2" t="n">
        <v>1.7</v>
      </c>
      <c r="N48" s="1" t="n">
        <v>8.4</v>
      </c>
      <c r="O48" s="1" t="n">
        <v>1.7</v>
      </c>
    </row>
    <row r="49" customFormat="false" ht="15" hidden="false" customHeight="false" outlineLevel="0" collapsed="false">
      <c r="D49" s="0" t="n">
        <v>7</v>
      </c>
      <c r="E49" s="0" t="n">
        <v>4.77</v>
      </c>
      <c r="F49" s="0" t="n">
        <v>-8.1</v>
      </c>
      <c r="G49" s="2" t="n">
        <v>1.4</v>
      </c>
      <c r="H49" s="1" t="n">
        <v>-5.25</v>
      </c>
      <c r="I49" s="1" t="n">
        <v>1.4</v>
      </c>
      <c r="J49" s="0" t="n">
        <v>0</v>
      </c>
      <c r="K49" s="2" t="n">
        <v>1.51</v>
      </c>
      <c r="L49" s="0" t="n">
        <v>5.25</v>
      </c>
      <c r="M49" s="2" t="n">
        <v>1.4</v>
      </c>
      <c r="N49" s="1" t="n">
        <v>8.1</v>
      </c>
      <c r="O49" s="1" t="n">
        <v>1.4</v>
      </c>
    </row>
    <row r="50" customFormat="false" ht="15" hidden="false" customHeight="false" outlineLevel="0" collapsed="false">
      <c r="D50" s="0" t="n">
        <v>6</v>
      </c>
      <c r="E50" s="0" t="n">
        <v>4.59</v>
      </c>
      <c r="F50" s="0" t="n">
        <v>-7.8</v>
      </c>
      <c r="G50" s="2" t="n">
        <v>1.1</v>
      </c>
      <c r="H50" s="1" t="n">
        <v>-5.25</v>
      </c>
      <c r="I50" s="1" t="n">
        <v>1.1</v>
      </c>
      <c r="J50" s="0" t="n">
        <v>0</v>
      </c>
      <c r="K50" s="2" t="n">
        <v>1.21</v>
      </c>
      <c r="L50" s="0" t="n">
        <v>5.25</v>
      </c>
      <c r="M50" s="2" t="n">
        <v>1.1</v>
      </c>
      <c r="N50" s="1" t="n">
        <v>7.8</v>
      </c>
      <c r="O50" s="1" t="n">
        <v>1.1</v>
      </c>
    </row>
    <row r="51" customFormat="false" ht="15" hidden="false" customHeight="false" outlineLevel="0" collapsed="false">
      <c r="D51" s="0" t="n">
        <v>5</v>
      </c>
      <c r="E51" s="0" t="n">
        <v>4.41</v>
      </c>
      <c r="F51" s="0" t="n">
        <v>-7.5</v>
      </c>
      <c r="G51" s="2" t="n">
        <v>0.8</v>
      </c>
      <c r="H51" s="1" t="n">
        <v>-5.25</v>
      </c>
      <c r="I51" s="1" t="n">
        <v>0.8</v>
      </c>
      <c r="J51" s="0" t="n">
        <v>0</v>
      </c>
      <c r="K51" s="2" t="n">
        <v>0.91</v>
      </c>
      <c r="L51" s="0" t="n">
        <v>5.25</v>
      </c>
      <c r="M51" s="2" t="n">
        <v>0.8</v>
      </c>
      <c r="N51" s="1" t="n">
        <v>7.5</v>
      </c>
      <c r="O51" s="1" t="n">
        <v>0.8</v>
      </c>
    </row>
    <row r="52" customFormat="false" ht="15" hidden="false" customHeight="false" outlineLevel="0" collapsed="false">
      <c r="D52" s="0" t="n">
        <v>4</v>
      </c>
      <c r="E52" s="0" t="n">
        <v>4.23</v>
      </c>
      <c r="F52" s="0" t="n">
        <v>-7.2</v>
      </c>
      <c r="G52" s="2" t="n">
        <v>0.5</v>
      </c>
      <c r="H52" s="1" t="n">
        <v>-5.25</v>
      </c>
      <c r="I52" s="1" t="n">
        <v>0.5</v>
      </c>
      <c r="J52" s="0" t="n">
        <v>0</v>
      </c>
      <c r="K52" s="2" t="n">
        <v>0.61</v>
      </c>
      <c r="L52" s="0" t="n">
        <v>5.25</v>
      </c>
      <c r="M52" s="2" t="n">
        <v>0.5</v>
      </c>
      <c r="N52" s="1" t="n">
        <v>7.2</v>
      </c>
      <c r="O52" s="1" t="n">
        <v>0.5</v>
      </c>
    </row>
    <row r="53" customFormat="false" ht="15" hidden="false" customHeight="false" outlineLevel="0" collapsed="false">
      <c r="D53" s="0" t="n">
        <v>3</v>
      </c>
      <c r="E53" s="0" t="n">
        <v>4.05</v>
      </c>
      <c r="F53" s="0" t="n">
        <v>-6.9</v>
      </c>
      <c r="G53" s="2" t="n">
        <v>0.2</v>
      </c>
      <c r="H53" s="1" t="n">
        <v>-5.25</v>
      </c>
      <c r="I53" s="1" t="n">
        <v>0.2</v>
      </c>
      <c r="J53" s="0" t="n">
        <v>0</v>
      </c>
      <c r="K53" s="2" t="n">
        <v>0.31</v>
      </c>
      <c r="L53" s="0" t="n">
        <v>5.25</v>
      </c>
      <c r="M53" s="2" t="n">
        <v>0.2</v>
      </c>
      <c r="N53" s="1" t="n">
        <v>6.9</v>
      </c>
      <c r="O53" s="1" t="n">
        <v>0.2</v>
      </c>
    </row>
    <row r="54" customFormat="false" ht="15" hidden="false" customHeight="false" outlineLevel="0" collapsed="false">
      <c r="D54" s="0" t="n">
        <v>2</v>
      </c>
      <c r="E54" s="0" t="n">
        <v>3.87</v>
      </c>
      <c r="F54" s="0" t="n">
        <v>-6.6</v>
      </c>
      <c r="G54" s="2" t="n">
        <v>-0.1</v>
      </c>
      <c r="H54" s="1" t="n">
        <v>-5.25</v>
      </c>
      <c r="I54" s="1" t="n">
        <v>-0.1</v>
      </c>
      <c r="J54" s="0" t="n">
        <v>0</v>
      </c>
      <c r="K54" s="2" t="n">
        <v>0.01</v>
      </c>
      <c r="L54" s="0" t="n">
        <v>5.25</v>
      </c>
      <c r="M54" s="2" t="n">
        <v>-0.1</v>
      </c>
      <c r="N54" s="1" t="n">
        <v>6.6</v>
      </c>
      <c r="O54" s="1" t="n">
        <v>-0.1</v>
      </c>
    </row>
    <row r="55" customFormat="false" ht="15" hidden="false" customHeight="false" outlineLevel="0" collapsed="false">
      <c r="D55" s="0" t="n">
        <v>1</v>
      </c>
      <c r="E55" s="0" t="n">
        <v>1.24</v>
      </c>
      <c r="F55" s="0" t="n">
        <v>-6.3</v>
      </c>
      <c r="G55" s="2" t="n">
        <v>-0.4</v>
      </c>
      <c r="H55" s="1" t="n">
        <v>-5.25</v>
      </c>
      <c r="I55" s="1" t="n">
        <v>-0.4</v>
      </c>
      <c r="J55" s="0" t="n">
        <v>0</v>
      </c>
      <c r="K55" s="2" t="n">
        <v>-0.29</v>
      </c>
      <c r="L55" s="0" t="n">
        <v>5.25</v>
      </c>
      <c r="M55" s="2" t="n">
        <v>-0.4</v>
      </c>
      <c r="N55" s="1" t="n">
        <v>6.3</v>
      </c>
      <c r="O55" s="1" t="n">
        <v>-0.4</v>
      </c>
    </row>
    <row r="56" customFormat="false" ht="15" hidden="false" customHeight="false" outlineLevel="0" collapsed="false">
      <c r="A56" s="1" t="n">
        <v>7</v>
      </c>
      <c r="B56" s="2" t="s">
        <v>23</v>
      </c>
      <c r="C56" s="0" t="n">
        <v>309.25</v>
      </c>
      <c r="D56" s="0" t="n">
        <v>9</v>
      </c>
      <c r="E56" s="0" t="n">
        <v>5.14</v>
      </c>
      <c r="F56" s="0" t="n">
        <v>-11.95</v>
      </c>
      <c r="G56" s="2" t="n">
        <v>1.98</v>
      </c>
      <c r="H56" s="1" t="n">
        <v>-5.25</v>
      </c>
      <c r="I56" s="1" t="n">
        <v>1.98</v>
      </c>
      <c r="J56" s="0" t="n">
        <v>0</v>
      </c>
      <c r="K56" s="2" t="n">
        <v>2.1</v>
      </c>
      <c r="L56" s="0" t="n">
        <v>5.25</v>
      </c>
      <c r="M56" s="2" t="n">
        <v>1.98</v>
      </c>
      <c r="N56" s="1" t="n">
        <v>8.68</v>
      </c>
      <c r="O56" s="1" t="n">
        <v>1.98</v>
      </c>
      <c r="P56" s="0" t="n">
        <v>47.05</v>
      </c>
      <c r="Q56" s="0" t="n">
        <v>10.01</v>
      </c>
    </row>
    <row r="57" customFormat="false" ht="15" hidden="false" customHeight="false" outlineLevel="0" collapsed="false">
      <c r="D57" s="0" t="n">
        <v>8</v>
      </c>
      <c r="E57" s="0" t="n">
        <v>4.94</v>
      </c>
      <c r="F57" s="0" t="n">
        <v>-8.38</v>
      </c>
      <c r="G57" s="2" t="n">
        <v>1.68</v>
      </c>
      <c r="H57" s="1" t="n">
        <v>-5.25</v>
      </c>
      <c r="I57" s="1" t="n">
        <v>1.68</v>
      </c>
      <c r="J57" s="0" t="n">
        <v>0</v>
      </c>
      <c r="K57" s="2" t="n">
        <v>1.8</v>
      </c>
      <c r="L57" s="0" t="n">
        <v>5.25</v>
      </c>
      <c r="M57" s="2" t="n">
        <v>1.68</v>
      </c>
      <c r="N57" s="1" t="n">
        <v>8.38</v>
      </c>
      <c r="O57" s="1" t="n">
        <v>1.68</v>
      </c>
    </row>
    <row r="58" customFormat="false" ht="15" hidden="false" customHeight="false" outlineLevel="0" collapsed="false">
      <c r="D58" s="0" t="n">
        <v>7</v>
      </c>
      <c r="E58" s="0" t="n">
        <v>4.76</v>
      </c>
      <c r="F58" s="0" t="n">
        <v>-8.08</v>
      </c>
      <c r="G58" s="2" t="n">
        <v>1.38</v>
      </c>
      <c r="H58" s="1" t="n">
        <v>-5.25</v>
      </c>
      <c r="I58" s="1" t="n">
        <v>1.38</v>
      </c>
      <c r="J58" s="0" t="n">
        <v>0</v>
      </c>
      <c r="K58" s="2" t="n">
        <v>1.5</v>
      </c>
      <c r="L58" s="0" t="n">
        <v>5.25</v>
      </c>
      <c r="M58" s="2" t="n">
        <v>1.38</v>
      </c>
      <c r="N58" s="1" t="n">
        <v>8.08</v>
      </c>
      <c r="O58" s="1" t="n">
        <v>1.38</v>
      </c>
    </row>
    <row r="59" customFormat="false" ht="15" hidden="false" customHeight="false" outlineLevel="0" collapsed="false">
      <c r="D59" s="0" t="n">
        <v>6</v>
      </c>
      <c r="E59" s="0" t="n">
        <v>4.58</v>
      </c>
      <c r="F59" s="0" t="n">
        <v>-7.78</v>
      </c>
      <c r="G59" s="2" t="n">
        <v>1.08</v>
      </c>
      <c r="H59" s="1" t="n">
        <v>-5.25</v>
      </c>
      <c r="I59" s="1" t="n">
        <v>1.08</v>
      </c>
      <c r="J59" s="0" t="n">
        <v>0</v>
      </c>
      <c r="K59" s="2" t="n">
        <v>1.2</v>
      </c>
      <c r="L59" s="0" t="n">
        <v>5.25</v>
      </c>
      <c r="M59" s="2" t="n">
        <v>1.08</v>
      </c>
      <c r="N59" s="1" t="n">
        <v>7.78</v>
      </c>
      <c r="O59" s="1" t="n">
        <v>1.08</v>
      </c>
    </row>
    <row r="60" customFormat="false" ht="15" hidden="false" customHeight="false" outlineLevel="0" collapsed="false">
      <c r="D60" s="0" t="n">
        <v>5</v>
      </c>
      <c r="E60" s="0" t="n">
        <v>4.4</v>
      </c>
      <c r="F60" s="0" t="n">
        <v>-7.48</v>
      </c>
      <c r="G60" s="2" t="n">
        <v>0.78</v>
      </c>
      <c r="H60" s="1" t="n">
        <v>-5.25</v>
      </c>
      <c r="I60" s="1" t="n">
        <v>0.78</v>
      </c>
      <c r="J60" s="0" t="n">
        <v>0</v>
      </c>
      <c r="K60" s="2" t="n">
        <v>0.9</v>
      </c>
      <c r="L60" s="0" t="n">
        <v>5.25</v>
      </c>
      <c r="M60" s="2" t="n">
        <v>0.78</v>
      </c>
      <c r="N60" s="1" t="n">
        <v>7.48</v>
      </c>
      <c r="O60" s="1" t="n">
        <v>0.78</v>
      </c>
    </row>
    <row r="61" customFormat="false" ht="15" hidden="false" customHeight="false" outlineLevel="0" collapsed="false">
      <c r="D61" s="0" t="n">
        <v>4</v>
      </c>
      <c r="E61" s="0" t="n">
        <v>4.22</v>
      </c>
      <c r="F61" s="0" t="n">
        <v>-7.18</v>
      </c>
      <c r="G61" s="2" t="n">
        <v>0.48</v>
      </c>
      <c r="H61" s="1" t="n">
        <v>-5.25</v>
      </c>
      <c r="I61" s="1" t="n">
        <v>0.48</v>
      </c>
      <c r="J61" s="0" t="n">
        <v>0</v>
      </c>
      <c r="K61" s="2" t="n">
        <v>0.6</v>
      </c>
      <c r="L61" s="0" t="n">
        <v>5.25</v>
      </c>
      <c r="M61" s="2" t="n">
        <v>0.48</v>
      </c>
      <c r="N61" s="1" t="n">
        <v>7.18</v>
      </c>
      <c r="O61" s="1" t="n">
        <v>0.48</v>
      </c>
    </row>
    <row r="62" customFormat="false" ht="15" hidden="false" customHeight="false" outlineLevel="0" collapsed="false">
      <c r="D62" s="0" t="n">
        <v>3</v>
      </c>
      <c r="E62" s="0" t="n">
        <v>4.04</v>
      </c>
      <c r="F62" s="0" t="n">
        <v>-6.88</v>
      </c>
      <c r="G62" s="2" t="n">
        <v>0.18</v>
      </c>
      <c r="H62" s="1" t="n">
        <v>-5.25</v>
      </c>
      <c r="I62" s="1" t="n">
        <v>0.18</v>
      </c>
      <c r="J62" s="0" t="n">
        <v>0</v>
      </c>
      <c r="K62" s="2" t="n">
        <v>0.3</v>
      </c>
      <c r="L62" s="0" t="n">
        <v>5.25</v>
      </c>
      <c r="M62" s="2" t="n">
        <v>0.18</v>
      </c>
      <c r="N62" s="1" t="n">
        <v>6.88</v>
      </c>
      <c r="O62" s="1" t="n">
        <v>0.18</v>
      </c>
    </row>
    <row r="63" customFormat="false" ht="15" hidden="false" customHeight="false" outlineLevel="0" collapsed="false">
      <c r="D63" s="0" t="n">
        <v>2</v>
      </c>
      <c r="E63" s="0" t="n">
        <v>3.86</v>
      </c>
      <c r="F63" s="0" t="n">
        <v>-6.58</v>
      </c>
      <c r="G63" s="2" t="n">
        <v>-0.12</v>
      </c>
      <c r="H63" s="1" t="n">
        <v>-5.25</v>
      </c>
      <c r="I63" s="1" t="n">
        <v>-0.12</v>
      </c>
      <c r="J63" s="0" t="n">
        <v>0</v>
      </c>
      <c r="K63" s="2" t="n">
        <v>0</v>
      </c>
      <c r="L63" s="0" t="n">
        <v>5.25</v>
      </c>
      <c r="M63" s="2" t="n">
        <v>-0.12</v>
      </c>
      <c r="N63" s="1" t="n">
        <v>6.58</v>
      </c>
      <c r="O63" s="1" t="n">
        <v>-0.12</v>
      </c>
    </row>
    <row r="64" customFormat="false" ht="15" hidden="false" customHeight="false" outlineLevel="0" collapsed="false">
      <c r="D64" s="0" t="n">
        <v>1</v>
      </c>
      <c r="E64" s="0" t="n">
        <v>1.1</v>
      </c>
      <c r="F64" s="0" t="n">
        <v>-6.28</v>
      </c>
      <c r="G64" s="2" t="n">
        <v>-0.42</v>
      </c>
      <c r="H64" s="1" t="n">
        <v>-5.25</v>
      </c>
      <c r="I64" s="1" t="n">
        <v>-0.42</v>
      </c>
      <c r="J64" s="0" t="n">
        <v>0</v>
      </c>
      <c r="K64" s="2" t="n">
        <v>-0.3</v>
      </c>
      <c r="L64" s="0" t="n">
        <v>5.25</v>
      </c>
      <c r="M64" s="2" t="n">
        <v>-0.42</v>
      </c>
      <c r="N64" s="1" t="n">
        <v>6.28</v>
      </c>
      <c r="O64" s="1" t="n">
        <v>-0.42</v>
      </c>
    </row>
    <row r="65" customFormat="false" ht="15" hidden="false" customHeight="false" outlineLevel="0" collapsed="false">
      <c r="A65" s="1" t="n">
        <v>8</v>
      </c>
      <c r="B65" s="2" t="s">
        <v>24</v>
      </c>
      <c r="C65" s="0" t="n">
        <v>329.25</v>
      </c>
      <c r="D65" s="0" t="n">
        <v>9</v>
      </c>
      <c r="E65" s="0" t="n">
        <v>5.23</v>
      </c>
      <c r="F65" s="0" t="n">
        <v>-11.95</v>
      </c>
      <c r="G65" s="2" t="n">
        <v>1.97</v>
      </c>
      <c r="H65" s="1" t="n">
        <v>-5.25</v>
      </c>
      <c r="I65" s="1" t="n">
        <v>1.97</v>
      </c>
      <c r="J65" s="0" t="n">
        <v>0</v>
      </c>
      <c r="K65" s="2" t="n">
        <v>2.09</v>
      </c>
      <c r="L65" s="0" t="n">
        <v>5.25</v>
      </c>
      <c r="M65" s="2" t="n">
        <v>1.97</v>
      </c>
      <c r="N65" s="1" t="n">
        <v>8.67</v>
      </c>
      <c r="O65" s="1" t="n">
        <v>1.97</v>
      </c>
      <c r="P65" s="0" t="n">
        <v>47.35</v>
      </c>
      <c r="Q65" s="0" t="n">
        <v>10.4</v>
      </c>
    </row>
    <row r="66" customFormat="false" ht="15" hidden="false" customHeight="false" outlineLevel="0" collapsed="false">
      <c r="D66" s="0" t="n">
        <v>8</v>
      </c>
      <c r="E66" s="0" t="n">
        <v>4.93</v>
      </c>
      <c r="F66" s="0" t="n">
        <v>-8.37</v>
      </c>
      <c r="G66" s="2" t="n">
        <v>1.67</v>
      </c>
      <c r="H66" s="1" t="n">
        <v>-5.25</v>
      </c>
      <c r="I66" s="1" t="n">
        <v>1.67</v>
      </c>
      <c r="J66" s="0" t="n">
        <v>0</v>
      </c>
      <c r="K66" s="2" t="n">
        <v>1.79</v>
      </c>
      <c r="L66" s="0" t="n">
        <v>5.25</v>
      </c>
      <c r="M66" s="2" t="n">
        <v>1.67</v>
      </c>
      <c r="N66" s="1" t="n">
        <v>8.37</v>
      </c>
      <c r="O66" s="1" t="n">
        <v>1.67</v>
      </c>
    </row>
    <row r="67" customFormat="false" ht="15" hidden="false" customHeight="false" outlineLevel="0" collapsed="false">
      <c r="D67" s="0" t="n">
        <v>7</v>
      </c>
      <c r="E67" s="0" t="n">
        <v>4.75</v>
      </c>
      <c r="F67" s="0" t="n">
        <v>-8.07</v>
      </c>
      <c r="G67" s="2" t="n">
        <v>1.37</v>
      </c>
      <c r="H67" s="1" t="n">
        <v>-5.25</v>
      </c>
      <c r="I67" s="1" t="n">
        <v>1.37</v>
      </c>
      <c r="J67" s="0" t="n">
        <v>0</v>
      </c>
      <c r="K67" s="2" t="n">
        <v>1.49</v>
      </c>
      <c r="L67" s="0" t="n">
        <v>5.25</v>
      </c>
      <c r="M67" s="2" t="n">
        <v>1.37</v>
      </c>
      <c r="N67" s="1" t="n">
        <v>8.07</v>
      </c>
      <c r="O67" s="1" t="n">
        <v>1.37</v>
      </c>
    </row>
    <row r="68" customFormat="false" ht="15" hidden="false" customHeight="false" outlineLevel="0" collapsed="false">
      <c r="D68" s="0" t="n">
        <v>6</v>
      </c>
      <c r="E68" s="0" t="n">
        <v>4.57</v>
      </c>
      <c r="F68" s="0" t="n">
        <v>-7.77</v>
      </c>
      <c r="G68" s="2" t="n">
        <v>1.07</v>
      </c>
      <c r="H68" s="1" t="n">
        <v>-5.25</v>
      </c>
      <c r="I68" s="1" t="n">
        <v>1.07</v>
      </c>
      <c r="J68" s="0" t="n">
        <v>0</v>
      </c>
      <c r="K68" s="2" t="n">
        <v>1.19</v>
      </c>
      <c r="L68" s="0" t="n">
        <v>5.25</v>
      </c>
      <c r="M68" s="2" t="n">
        <v>1.07</v>
      </c>
      <c r="N68" s="1" t="n">
        <v>7.77</v>
      </c>
      <c r="O68" s="1" t="n">
        <v>1.07</v>
      </c>
    </row>
    <row r="69" customFormat="false" ht="15" hidden="false" customHeight="false" outlineLevel="0" collapsed="false">
      <c r="D69" s="0" t="n">
        <v>5</v>
      </c>
      <c r="E69" s="0" t="n">
        <v>4.39</v>
      </c>
      <c r="F69" s="0" t="n">
        <v>-7.47</v>
      </c>
      <c r="G69" s="2" t="n">
        <v>0.77</v>
      </c>
      <c r="H69" s="1" t="n">
        <v>-5.25</v>
      </c>
      <c r="I69" s="1" t="n">
        <v>0.77</v>
      </c>
      <c r="J69" s="0" t="n">
        <v>0</v>
      </c>
      <c r="K69" s="2" t="n">
        <v>0.89</v>
      </c>
      <c r="L69" s="0" t="n">
        <v>5.25</v>
      </c>
      <c r="M69" s="2" t="n">
        <v>0.77</v>
      </c>
      <c r="N69" s="1" t="n">
        <v>7.47</v>
      </c>
      <c r="O69" s="1" t="n">
        <v>0.77</v>
      </c>
    </row>
    <row r="70" customFormat="false" ht="15" hidden="false" customHeight="false" outlineLevel="0" collapsed="false">
      <c r="D70" s="0" t="n">
        <v>4</v>
      </c>
      <c r="E70" s="0" t="n">
        <v>4.21</v>
      </c>
      <c r="F70" s="0" t="n">
        <v>-7.17</v>
      </c>
      <c r="G70" s="2" t="n">
        <v>0.47</v>
      </c>
      <c r="H70" s="1" t="n">
        <v>-5.25</v>
      </c>
      <c r="I70" s="1" t="n">
        <v>0.47</v>
      </c>
      <c r="J70" s="0" t="n">
        <v>0</v>
      </c>
      <c r="K70" s="2" t="n">
        <v>0.59</v>
      </c>
      <c r="L70" s="0" t="n">
        <v>5.25</v>
      </c>
      <c r="M70" s="2" t="n">
        <v>0.47</v>
      </c>
      <c r="N70" s="1" t="n">
        <v>7.17</v>
      </c>
      <c r="O70" s="1" t="n">
        <v>0.47</v>
      </c>
    </row>
    <row r="71" customFormat="false" ht="15" hidden="false" customHeight="false" outlineLevel="0" collapsed="false">
      <c r="D71" s="0" t="n">
        <v>3</v>
      </c>
      <c r="E71" s="0" t="n">
        <v>4.03</v>
      </c>
      <c r="F71" s="0" t="n">
        <v>-6.87</v>
      </c>
      <c r="G71" s="2" t="n">
        <v>0.17</v>
      </c>
      <c r="H71" s="1" t="n">
        <v>-5.25</v>
      </c>
      <c r="I71" s="1" t="n">
        <v>0.17</v>
      </c>
      <c r="J71" s="0" t="n">
        <v>0</v>
      </c>
      <c r="K71" s="2" t="n">
        <v>0.29</v>
      </c>
      <c r="L71" s="0" t="n">
        <v>5.25</v>
      </c>
      <c r="M71" s="2" t="n">
        <v>0.17</v>
      </c>
      <c r="N71" s="1" t="n">
        <v>6.87</v>
      </c>
      <c r="O71" s="1" t="n">
        <v>0.17</v>
      </c>
    </row>
    <row r="72" customFormat="false" ht="15" hidden="false" customHeight="false" outlineLevel="0" collapsed="false">
      <c r="D72" s="0" t="n">
        <v>2</v>
      </c>
      <c r="E72" s="0" t="n">
        <v>3.85</v>
      </c>
      <c r="F72" s="0" t="n">
        <v>-6.57</v>
      </c>
      <c r="G72" s="2" t="n">
        <v>-0.13</v>
      </c>
      <c r="H72" s="1" t="n">
        <v>-5.25</v>
      </c>
      <c r="I72" s="1" t="n">
        <v>-0.13</v>
      </c>
      <c r="J72" s="0" t="n">
        <v>0</v>
      </c>
      <c r="K72" s="2" t="n">
        <v>-0.01</v>
      </c>
      <c r="L72" s="0" t="n">
        <v>5.25</v>
      </c>
      <c r="M72" s="2" t="n">
        <v>-0.13</v>
      </c>
      <c r="N72" s="1" t="n">
        <v>6.57</v>
      </c>
      <c r="O72" s="1" t="n">
        <v>-0.13</v>
      </c>
    </row>
    <row r="73" customFormat="false" ht="15" hidden="false" customHeight="false" outlineLevel="0" collapsed="false">
      <c r="D73" s="0" t="n">
        <v>1</v>
      </c>
      <c r="E73" s="0" t="n">
        <v>0.96</v>
      </c>
      <c r="F73" s="0" t="n">
        <v>-6.27</v>
      </c>
      <c r="G73" s="2" t="n">
        <v>-0.43</v>
      </c>
      <c r="H73" s="1" t="n">
        <v>-5.25</v>
      </c>
      <c r="I73" s="1" t="n">
        <v>-0.43</v>
      </c>
      <c r="J73" s="0" t="n">
        <v>0</v>
      </c>
      <c r="K73" s="2" t="n">
        <v>-0.31</v>
      </c>
      <c r="L73" s="0" t="n">
        <v>5.25</v>
      </c>
      <c r="M73" s="2" t="n">
        <v>-0.43</v>
      </c>
      <c r="N73" s="1" t="n">
        <v>6.27</v>
      </c>
      <c r="O73" s="1" t="n">
        <v>-0.43</v>
      </c>
    </row>
    <row r="74" customFormat="false" ht="15" hidden="false" customHeight="false" outlineLevel="0" collapsed="false">
      <c r="A74" s="1" t="n">
        <v>9</v>
      </c>
      <c r="B74" s="2" t="s">
        <v>25</v>
      </c>
      <c r="C74" s="0" t="n">
        <v>349.25</v>
      </c>
      <c r="D74" s="0" t="n">
        <v>9</v>
      </c>
      <c r="E74" s="0" t="n">
        <v>6.21</v>
      </c>
      <c r="F74" s="0" t="n">
        <v>-11.95</v>
      </c>
      <c r="G74" s="2" t="n">
        <v>1.96</v>
      </c>
      <c r="H74" s="1" t="n">
        <v>-5.25</v>
      </c>
      <c r="I74" s="1" t="n">
        <v>1.96</v>
      </c>
      <c r="J74" s="0" t="n">
        <v>0</v>
      </c>
      <c r="K74" s="2" t="n">
        <v>2.08</v>
      </c>
      <c r="L74" s="0" t="n">
        <v>5.25</v>
      </c>
      <c r="M74" s="2" t="n">
        <v>1.96</v>
      </c>
      <c r="N74" s="1" t="n">
        <v>8.66</v>
      </c>
      <c r="O74" s="1" t="n">
        <v>1.96</v>
      </c>
      <c r="P74" s="0" t="n">
        <v>55.1</v>
      </c>
      <c r="Q74" s="0" t="n">
        <v>11.24</v>
      </c>
    </row>
    <row r="75" customFormat="false" ht="15" hidden="false" customHeight="false" outlineLevel="0" collapsed="false">
      <c r="D75" s="0" t="n">
        <v>8</v>
      </c>
      <c r="E75" s="0" t="n">
        <v>6.2</v>
      </c>
      <c r="F75" s="0" t="n">
        <v>-12.4</v>
      </c>
      <c r="G75" s="2" t="n">
        <v>1.66</v>
      </c>
      <c r="H75" s="1" t="n">
        <v>-5.25</v>
      </c>
      <c r="I75" s="1" t="n">
        <v>1.66</v>
      </c>
      <c r="J75" s="0" t="n">
        <v>0</v>
      </c>
      <c r="K75" s="2" t="n">
        <v>1.78</v>
      </c>
      <c r="L75" s="0" t="n">
        <v>5.25</v>
      </c>
      <c r="M75" s="2" t="n">
        <v>1.66</v>
      </c>
      <c r="N75" s="1" t="n">
        <v>8.36</v>
      </c>
      <c r="O75" s="1" t="n">
        <v>1.66</v>
      </c>
    </row>
    <row r="76" customFormat="false" ht="15" hidden="false" customHeight="false" outlineLevel="0" collapsed="false">
      <c r="D76" s="0" t="n">
        <v>7</v>
      </c>
      <c r="E76" s="0" t="n">
        <v>6.1</v>
      </c>
      <c r="F76" s="0" t="n">
        <v>-12.85</v>
      </c>
      <c r="G76" s="2" t="n">
        <v>1.36</v>
      </c>
      <c r="H76" s="1" t="n">
        <v>-5.25</v>
      </c>
      <c r="I76" s="1" t="n">
        <v>1.36</v>
      </c>
      <c r="J76" s="0" t="n">
        <v>0</v>
      </c>
      <c r="K76" s="2" t="n">
        <v>1.48</v>
      </c>
      <c r="L76" s="0" t="n">
        <v>5.25</v>
      </c>
      <c r="M76" s="2" t="n">
        <v>1.36</v>
      </c>
      <c r="N76" s="1" t="n">
        <v>8.06</v>
      </c>
      <c r="O76" s="1" t="n">
        <v>1.36</v>
      </c>
    </row>
    <row r="77" customFormat="false" ht="15" hidden="false" customHeight="false" outlineLevel="0" collapsed="false">
      <c r="D77" s="0" t="n">
        <v>6</v>
      </c>
      <c r="E77" s="0" t="n">
        <v>5.99</v>
      </c>
      <c r="F77" s="0" t="n">
        <v>-13.3</v>
      </c>
      <c r="G77" s="2" t="n">
        <v>1.06</v>
      </c>
      <c r="H77" s="1" t="n">
        <v>-5.25</v>
      </c>
      <c r="I77" s="1" t="n">
        <v>1.06</v>
      </c>
      <c r="J77" s="0" t="n">
        <v>0</v>
      </c>
      <c r="K77" s="2" t="n">
        <v>1.18</v>
      </c>
      <c r="L77" s="0" t="n">
        <v>5.25</v>
      </c>
      <c r="M77" s="2" t="n">
        <v>1.06</v>
      </c>
      <c r="N77" s="1" t="n">
        <v>7.76</v>
      </c>
      <c r="O77" s="1" t="n">
        <v>1.06</v>
      </c>
    </row>
    <row r="78" customFormat="false" ht="15" hidden="false" customHeight="false" outlineLevel="0" collapsed="false">
      <c r="D78" s="0" t="n">
        <v>5</v>
      </c>
      <c r="E78" s="0" t="n">
        <v>5.87</v>
      </c>
      <c r="F78" s="0" t="n">
        <v>-13.75</v>
      </c>
      <c r="G78" s="2" t="n">
        <v>0.76</v>
      </c>
      <c r="H78" s="1" t="n">
        <v>-5.25</v>
      </c>
      <c r="I78" s="1" t="n">
        <v>0.76</v>
      </c>
      <c r="J78" s="0" t="n">
        <v>0</v>
      </c>
      <c r="K78" s="2" t="n">
        <v>0.88</v>
      </c>
      <c r="L78" s="0" t="n">
        <v>5.25</v>
      </c>
      <c r="M78" s="2" t="n">
        <v>0.76</v>
      </c>
      <c r="N78" s="1" t="n">
        <v>7.46</v>
      </c>
      <c r="O78" s="1" t="n">
        <v>0.76</v>
      </c>
    </row>
    <row r="79" customFormat="false" ht="15" hidden="false" customHeight="false" outlineLevel="0" collapsed="false">
      <c r="D79" s="0" t="n">
        <v>4</v>
      </c>
      <c r="E79" s="0" t="n">
        <v>4.8</v>
      </c>
      <c r="F79" s="0" t="n">
        <v>-14.2</v>
      </c>
      <c r="G79" s="2" t="n">
        <v>0.46</v>
      </c>
      <c r="H79" s="1" t="n">
        <v>-5.25</v>
      </c>
      <c r="I79" s="1" t="n">
        <v>0.46</v>
      </c>
      <c r="J79" s="0" t="n">
        <v>0</v>
      </c>
      <c r="K79" s="2" t="n">
        <v>0.58</v>
      </c>
      <c r="L79" s="0" t="n">
        <v>5.25</v>
      </c>
      <c r="M79" s="2" t="n">
        <v>0.46</v>
      </c>
      <c r="N79" s="1" t="n">
        <v>7.16</v>
      </c>
      <c r="O79" s="1" t="n">
        <v>0.46</v>
      </c>
    </row>
    <row r="80" customFormat="false" ht="15" hidden="false" customHeight="false" outlineLevel="0" collapsed="false">
      <c r="D80" s="0" t="n">
        <v>3</v>
      </c>
      <c r="E80" s="0" t="n">
        <v>4.03</v>
      </c>
      <c r="F80" s="0" t="n">
        <v>-6.86</v>
      </c>
      <c r="G80" s="2" t="n">
        <v>0.16</v>
      </c>
      <c r="H80" s="1" t="n">
        <v>-5.25</v>
      </c>
      <c r="I80" s="1" t="n">
        <v>0.16</v>
      </c>
      <c r="J80" s="0" t="n">
        <v>0</v>
      </c>
      <c r="K80" s="2" t="n">
        <v>0.28</v>
      </c>
      <c r="L80" s="0" t="n">
        <v>5.25</v>
      </c>
      <c r="M80" s="2" t="n">
        <v>0.16</v>
      </c>
      <c r="N80" s="1" t="n">
        <v>6.86</v>
      </c>
      <c r="O80" s="1" t="n">
        <v>0.16</v>
      </c>
    </row>
    <row r="81" customFormat="false" ht="15" hidden="false" customHeight="false" outlineLevel="0" collapsed="false">
      <c r="D81" s="0" t="n">
        <v>2</v>
      </c>
      <c r="E81" s="0" t="n">
        <v>3.85</v>
      </c>
      <c r="F81" s="0" t="n">
        <v>-6.56</v>
      </c>
      <c r="G81" s="2" t="n">
        <v>-0.14</v>
      </c>
      <c r="H81" s="1" t="n">
        <v>-5.25</v>
      </c>
      <c r="I81" s="1" t="n">
        <v>-0.14</v>
      </c>
      <c r="J81" s="0" t="n">
        <v>0</v>
      </c>
      <c r="K81" s="2" t="n">
        <v>-0.02</v>
      </c>
      <c r="L81" s="0" t="n">
        <v>5.25</v>
      </c>
      <c r="M81" s="2" t="n">
        <v>-0.14</v>
      </c>
      <c r="N81" s="1" t="n">
        <v>6.56</v>
      </c>
      <c r="O81" s="1" t="n">
        <v>-0.14</v>
      </c>
    </row>
    <row r="82" customFormat="false" ht="15" hidden="false" customHeight="false" outlineLevel="0" collapsed="false">
      <c r="D82" s="0" t="n">
        <v>1</v>
      </c>
      <c r="E82" s="0" t="n">
        <v>0.81</v>
      </c>
      <c r="F82" s="0" t="n">
        <v>-6.26</v>
      </c>
      <c r="G82" s="2" t="n">
        <v>-0.44</v>
      </c>
      <c r="H82" s="1" t="n">
        <v>-5.25</v>
      </c>
      <c r="I82" s="1" t="n">
        <v>-0.44</v>
      </c>
      <c r="J82" s="0" t="n">
        <v>0</v>
      </c>
      <c r="K82" s="2" t="n">
        <v>-0.32</v>
      </c>
      <c r="L82" s="0" t="n">
        <v>5.25</v>
      </c>
      <c r="M82" s="2" t="n">
        <v>-0.44</v>
      </c>
      <c r="N82" s="1" t="n">
        <v>6.26</v>
      </c>
      <c r="O82" s="1" t="n">
        <v>-0.44</v>
      </c>
    </row>
    <row r="83" customFormat="false" ht="15" hidden="false" customHeight="false" outlineLevel="0" collapsed="false">
      <c r="A83" s="1" t="n">
        <v>10</v>
      </c>
      <c r="B83" s="2" t="s">
        <v>26</v>
      </c>
      <c r="C83" s="0" t="n">
        <v>368.25</v>
      </c>
      <c r="D83" s="0" t="n">
        <v>9</v>
      </c>
      <c r="E83" s="0" t="n">
        <v>6.95</v>
      </c>
      <c r="F83" s="0" t="n">
        <v>-11.95</v>
      </c>
      <c r="G83" s="2" t="n">
        <v>1.95</v>
      </c>
      <c r="H83" s="1" t="n">
        <v>-5.25</v>
      </c>
      <c r="I83" s="1" t="n">
        <v>1.95</v>
      </c>
      <c r="J83" s="0" t="n">
        <v>0</v>
      </c>
      <c r="K83" s="2" t="n">
        <v>2.07</v>
      </c>
      <c r="L83" s="0" t="n">
        <v>5.25</v>
      </c>
      <c r="M83" s="2" t="n">
        <v>1.95</v>
      </c>
      <c r="N83" s="1" t="n">
        <v>11.95</v>
      </c>
      <c r="O83" s="1" t="n">
        <v>1.95</v>
      </c>
      <c r="P83" s="0" t="n">
        <v>61.86</v>
      </c>
      <c r="Q83" s="0" t="n">
        <v>11.55</v>
      </c>
    </row>
    <row r="84" customFormat="false" ht="15" hidden="false" customHeight="false" outlineLevel="0" collapsed="false">
      <c r="D84" s="0" t="n">
        <v>8</v>
      </c>
      <c r="E84" s="0" t="n">
        <v>6.25</v>
      </c>
      <c r="F84" s="0" t="n">
        <v>-12.4</v>
      </c>
      <c r="G84" s="2" t="n">
        <v>1.65</v>
      </c>
      <c r="H84" s="1" t="n">
        <v>-5.25</v>
      </c>
      <c r="I84" s="1" t="n">
        <v>1.65</v>
      </c>
      <c r="J84" s="0" t="n">
        <v>0</v>
      </c>
      <c r="K84" s="2" t="n">
        <v>1.77</v>
      </c>
      <c r="L84" s="0" t="n">
        <v>5.25</v>
      </c>
      <c r="M84" s="2" t="n">
        <v>1.65</v>
      </c>
      <c r="N84" s="1" t="n">
        <v>8.35</v>
      </c>
      <c r="O84" s="1" t="n">
        <v>1.65</v>
      </c>
    </row>
    <row r="85" customFormat="false" ht="15" hidden="false" customHeight="false" outlineLevel="0" collapsed="false">
      <c r="D85" s="0" t="n">
        <v>7</v>
      </c>
      <c r="E85" s="0" t="n">
        <v>6.29</v>
      </c>
      <c r="F85" s="0" t="n">
        <v>-12.85</v>
      </c>
      <c r="G85" s="2" t="n">
        <v>1.35</v>
      </c>
      <c r="H85" s="1" t="n">
        <v>-5.25</v>
      </c>
      <c r="I85" s="1" t="n">
        <v>1.35</v>
      </c>
      <c r="J85" s="0" t="n">
        <v>0</v>
      </c>
      <c r="K85" s="2" t="n">
        <v>1.47</v>
      </c>
      <c r="L85" s="0" t="n">
        <v>5.25</v>
      </c>
      <c r="M85" s="2" t="n">
        <v>1.35</v>
      </c>
      <c r="N85" s="1" t="n">
        <v>8.05</v>
      </c>
      <c r="O85" s="1" t="n">
        <v>1.35</v>
      </c>
    </row>
    <row r="86" customFormat="false" ht="15" hidden="false" customHeight="false" outlineLevel="0" collapsed="false">
      <c r="D86" s="0" t="n">
        <v>6</v>
      </c>
      <c r="E86" s="0" t="n">
        <v>6.34</v>
      </c>
      <c r="F86" s="0" t="n">
        <v>-13.3</v>
      </c>
      <c r="G86" s="2" t="n">
        <v>1.05</v>
      </c>
      <c r="H86" s="1" t="n">
        <v>-5.25</v>
      </c>
      <c r="I86" s="1" t="n">
        <v>1.05</v>
      </c>
      <c r="J86" s="0" t="n">
        <v>0</v>
      </c>
      <c r="K86" s="2" t="n">
        <v>1.17</v>
      </c>
      <c r="L86" s="0" t="n">
        <v>5.25</v>
      </c>
      <c r="M86" s="2" t="n">
        <v>1.05</v>
      </c>
      <c r="N86" s="1" t="n">
        <v>7.75</v>
      </c>
      <c r="O86" s="1" t="n">
        <v>1.05</v>
      </c>
    </row>
    <row r="87" customFormat="false" ht="15" hidden="false" customHeight="false" outlineLevel="0" collapsed="false">
      <c r="D87" s="0" t="n">
        <v>5</v>
      </c>
      <c r="E87" s="0" t="n">
        <v>6.38</v>
      </c>
      <c r="F87" s="0" t="n">
        <v>-13.75</v>
      </c>
      <c r="G87" s="2" t="n">
        <v>0.75</v>
      </c>
      <c r="H87" s="1" t="n">
        <v>-5.25</v>
      </c>
      <c r="I87" s="1" t="n">
        <v>0.75</v>
      </c>
      <c r="J87" s="0" t="n">
        <v>0</v>
      </c>
      <c r="K87" s="2" t="n">
        <v>0.87</v>
      </c>
      <c r="L87" s="0" t="n">
        <v>5.25</v>
      </c>
      <c r="M87" s="2" t="n">
        <v>0.75</v>
      </c>
      <c r="N87" s="1" t="n">
        <v>7.45</v>
      </c>
      <c r="O87" s="1" t="n">
        <v>0.75</v>
      </c>
    </row>
    <row r="88" customFormat="false" ht="15" hidden="false" customHeight="false" outlineLevel="0" collapsed="false">
      <c r="D88" s="0" t="n">
        <v>4</v>
      </c>
      <c r="E88" s="0" t="n">
        <v>6.43</v>
      </c>
      <c r="F88" s="0" t="n">
        <v>-14.2</v>
      </c>
      <c r="G88" s="2" t="n">
        <v>0.45</v>
      </c>
      <c r="H88" s="1" t="n">
        <v>-5.25</v>
      </c>
      <c r="I88" s="1" t="n">
        <v>0.45</v>
      </c>
      <c r="J88" s="0" t="n">
        <v>0</v>
      </c>
      <c r="K88" s="2" t="n">
        <v>0.57</v>
      </c>
      <c r="L88" s="0" t="n">
        <v>5.25</v>
      </c>
      <c r="M88" s="2" t="n">
        <v>0.45</v>
      </c>
      <c r="N88" s="1" t="n">
        <v>7.15</v>
      </c>
      <c r="O88" s="1" t="n">
        <v>0.45</v>
      </c>
    </row>
    <row r="89" customFormat="false" ht="15" hidden="false" customHeight="false" outlineLevel="0" collapsed="false">
      <c r="D89" s="0" t="n">
        <v>3</v>
      </c>
      <c r="E89" s="0" t="n">
        <v>6.07</v>
      </c>
      <c r="F89" s="0" t="n">
        <v>-14.65</v>
      </c>
      <c r="G89" s="2" t="n">
        <v>0.15</v>
      </c>
      <c r="H89" s="1" t="n">
        <v>-5.25</v>
      </c>
      <c r="I89" s="1" t="n">
        <v>0.15</v>
      </c>
      <c r="J89" s="0" t="n">
        <v>0</v>
      </c>
      <c r="K89" s="2" t="n">
        <v>0.27</v>
      </c>
      <c r="L89" s="0" t="n">
        <v>5.25</v>
      </c>
      <c r="M89" s="2" t="n">
        <v>0.15</v>
      </c>
      <c r="N89" s="1" t="n">
        <v>6.85</v>
      </c>
      <c r="O89" s="1" t="n">
        <v>0.15</v>
      </c>
    </row>
    <row r="90" customFormat="false" ht="15" hidden="false" customHeight="false" outlineLevel="0" collapsed="false">
      <c r="D90" s="0" t="n">
        <v>2</v>
      </c>
      <c r="E90" s="0" t="n">
        <v>4.92</v>
      </c>
      <c r="F90" s="0" t="n">
        <v>-10.13</v>
      </c>
      <c r="G90" s="2" t="n">
        <v>-0.15</v>
      </c>
      <c r="H90" s="1" t="n">
        <v>-5.25</v>
      </c>
      <c r="I90" s="1" t="n">
        <v>-0.15</v>
      </c>
      <c r="J90" s="0" t="n">
        <v>0</v>
      </c>
      <c r="K90" s="2" t="n">
        <v>-0.03</v>
      </c>
      <c r="L90" s="0" t="n">
        <v>5.25</v>
      </c>
      <c r="M90" s="2" t="n">
        <v>-0.15</v>
      </c>
      <c r="N90" s="1" t="n">
        <v>6.55</v>
      </c>
      <c r="O90" s="1" t="n">
        <v>-0.15</v>
      </c>
    </row>
    <row r="91" customFormat="false" ht="15" hidden="false" customHeight="false" outlineLevel="0" collapsed="false">
      <c r="D91" s="0" t="n">
        <v>1</v>
      </c>
      <c r="E91" s="0" t="n">
        <v>0.68</v>
      </c>
      <c r="F91" s="0" t="n">
        <v>-9.86</v>
      </c>
      <c r="G91" s="2" t="n">
        <v>-0.45</v>
      </c>
      <c r="H91" s="1" t="n">
        <v>-5.25</v>
      </c>
      <c r="I91" s="1" t="n">
        <v>-0.45</v>
      </c>
      <c r="J91" s="0" t="n">
        <v>0</v>
      </c>
      <c r="K91" s="2" t="n">
        <v>-0.33</v>
      </c>
      <c r="L91" s="0" t="n">
        <v>5.25</v>
      </c>
      <c r="M91" s="2" t="n">
        <v>-0.45</v>
      </c>
      <c r="N91" s="1" t="n">
        <v>6.25</v>
      </c>
      <c r="O91" s="1" t="n">
        <v>-0.45</v>
      </c>
    </row>
    <row r="92" customFormat="false" ht="15" hidden="false" customHeight="false" outlineLevel="0" collapsed="false">
      <c r="A92" s="1" t="n">
        <v>11</v>
      </c>
      <c r="B92" s="2" t="s">
        <v>27</v>
      </c>
      <c r="C92" s="0" t="n">
        <v>381.5</v>
      </c>
      <c r="D92" s="0" t="n">
        <v>9</v>
      </c>
      <c r="E92" s="0" t="n">
        <v>7.31</v>
      </c>
      <c r="F92" s="0" t="n">
        <v>-11.95</v>
      </c>
      <c r="G92" s="2" t="n">
        <v>1.94</v>
      </c>
      <c r="H92" s="1" t="n">
        <v>-5.25</v>
      </c>
      <c r="I92" s="1" t="n">
        <v>1.94</v>
      </c>
      <c r="J92" s="0" t="n">
        <v>0</v>
      </c>
      <c r="K92" s="2" t="n">
        <v>2.06</v>
      </c>
      <c r="L92" s="0" t="n">
        <v>5.25</v>
      </c>
      <c r="M92" s="2" t="n">
        <v>1.94</v>
      </c>
      <c r="N92" s="1" t="n">
        <v>11.95</v>
      </c>
      <c r="O92" s="1" t="n">
        <v>1.94</v>
      </c>
      <c r="P92" s="0" t="n">
        <v>74.15</v>
      </c>
      <c r="Q92" s="0" t="n">
        <v>11.55</v>
      </c>
    </row>
    <row r="93" customFormat="false" ht="15" hidden="false" customHeight="false" outlineLevel="0" collapsed="false">
      <c r="D93" s="0" t="n">
        <v>8</v>
      </c>
      <c r="E93" s="0" t="n">
        <v>7.58</v>
      </c>
      <c r="F93" s="0" t="n">
        <v>-12.4</v>
      </c>
      <c r="G93" s="2" t="n">
        <v>1.64</v>
      </c>
      <c r="H93" s="1" t="n">
        <v>-5.25</v>
      </c>
      <c r="I93" s="1" t="n">
        <v>1.64</v>
      </c>
      <c r="J93" s="0" t="n">
        <v>0</v>
      </c>
      <c r="K93" s="2" t="n">
        <v>1.76</v>
      </c>
      <c r="L93" s="0" t="n">
        <v>5.25</v>
      </c>
      <c r="M93" s="2" t="n">
        <v>1.64</v>
      </c>
      <c r="N93" s="1" t="n">
        <v>12.4</v>
      </c>
      <c r="O93" s="1" t="n">
        <v>1.64</v>
      </c>
    </row>
    <row r="94" customFormat="false" ht="15" hidden="false" customHeight="false" outlineLevel="0" collapsed="false">
      <c r="D94" s="0" t="n">
        <v>7</v>
      </c>
      <c r="E94" s="0" t="n">
        <v>7.85</v>
      </c>
      <c r="F94" s="0" t="n">
        <v>-12.85</v>
      </c>
      <c r="G94" s="2" t="n">
        <v>1.34</v>
      </c>
      <c r="H94" s="1" t="n">
        <v>-5.25</v>
      </c>
      <c r="I94" s="1" t="n">
        <v>1.34</v>
      </c>
      <c r="J94" s="0" t="n">
        <v>0</v>
      </c>
      <c r="K94" s="2" t="n">
        <v>1.46</v>
      </c>
      <c r="L94" s="0" t="n">
        <v>5.25</v>
      </c>
      <c r="M94" s="2" t="n">
        <v>1.34</v>
      </c>
      <c r="N94" s="1" t="n">
        <v>12.85</v>
      </c>
      <c r="O94" s="1" t="n">
        <v>1.34</v>
      </c>
    </row>
    <row r="95" customFormat="false" ht="15" hidden="false" customHeight="false" outlineLevel="0" collapsed="false">
      <c r="D95" s="0" t="n">
        <v>6</v>
      </c>
      <c r="E95" s="0" t="n">
        <v>8.12</v>
      </c>
      <c r="F95" s="0" t="n">
        <v>-13.3</v>
      </c>
      <c r="G95" s="2" t="n">
        <v>1.04</v>
      </c>
      <c r="H95" s="1" t="n">
        <v>-5.25</v>
      </c>
      <c r="I95" s="1" t="n">
        <v>1.04</v>
      </c>
      <c r="J95" s="0" t="n">
        <v>0</v>
      </c>
      <c r="K95" s="2" t="n">
        <v>1.16</v>
      </c>
      <c r="L95" s="0" t="n">
        <v>5.25</v>
      </c>
      <c r="M95" s="2" t="n">
        <v>1.04</v>
      </c>
      <c r="N95" s="1" t="n">
        <v>13.3</v>
      </c>
      <c r="O95" s="1" t="n">
        <v>1.04</v>
      </c>
    </row>
    <row r="96" customFormat="false" ht="15" hidden="false" customHeight="false" outlineLevel="0" collapsed="false">
      <c r="D96" s="0" t="n">
        <v>5</v>
      </c>
      <c r="E96" s="0" t="n">
        <v>8.39</v>
      </c>
      <c r="F96" s="0" t="n">
        <v>-13.75</v>
      </c>
      <c r="G96" s="2" t="n">
        <v>0.74</v>
      </c>
      <c r="H96" s="1" t="n">
        <v>-5.25</v>
      </c>
      <c r="I96" s="1" t="n">
        <v>0.74</v>
      </c>
      <c r="J96" s="0" t="n">
        <v>0</v>
      </c>
      <c r="K96" s="2" t="n">
        <v>0.86</v>
      </c>
      <c r="L96" s="0" t="n">
        <v>5.25</v>
      </c>
      <c r="M96" s="2" t="n">
        <v>0.74</v>
      </c>
      <c r="N96" s="1" t="n">
        <v>13.75</v>
      </c>
      <c r="O96" s="1" t="n">
        <v>0.74</v>
      </c>
    </row>
    <row r="97" customFormat="false" ht="15" hidden="false" customHeight="false" outlineLevel="0" collapsed="false">
      <c r="D97" s="0" t="n">
        <v>4</v>
      </c>
      <c r="E97" s="0" t="n">
        <v>8.66</v>
      </c>
      <c r="F97" s="0" t="n">
        <v>-14.2</v>
      </c>
      <c r="G97" s="2" t="n">
        <v>0.44</v>
      </c>
      <c r="H97" s="1" t="n">
        <v>-5.25</v>
      </c>
      <c r="I97" s="1" t="n">
        <v>0.44</v>
      </c>
      <c r="J97" s="0" t="n">
        <v>0</v>
      </c>
      <c r="K97" s="2" t="n">
        <v>0.56</v>
      </c>
      <c r="L97" s="0" t="n">
        <v>5.25</v>
      </c>
      <c r="M97" s="2" t="n">
        <v>0.44</v>
      </c>
      <c r="N97" s="1" t="n">
        <v>14.2</v>
      </c>
      <c r="O97" s="1" t="n">
        <v>0.44</v>
      </c>
    </row>
    <row r="98" customFormat="false" ht="15" hidden="false" customHeight="false" outlineLevel="0" collapsed="false">
      <c r="D98" s="0" t="n">
        <v>3</v>
      </c>
      <c r="E98" s="0" t="n">
        <v>8.05</v>
      </c>
      <c r="F98" s="0" t="n">
        <v>-14.65</v>
      </c>
      <c r="G98" s="2" t="n">
        <v>0.14</v>
      </c>
      <c r="H98" s="1" t="n">
        <v>-5.25</v>
      </c>
      <c r="I98" s="1" t="n">
        <v>0.14</v>
      </c>
      <c r="J98" s="0" t="n">
        <v>0</v>
      </c>
      <c r="K98" s="2" t="n">
        <v>0.26</v>
      </c>
      <c r="L98" s="0" t="n">
        <v>5.25</v>
      </c>
      <c r="M98" s="2" t="n">
        <v>0.14</v>
      </c>
      <c r="N98" s="1" t="n">
        <v>14.65</v>
      </c>
      <c r="O98" s="1" t="n">
        <v>0.14</v>
      </c>
    </row>
    <row r="99" customFormat="false" ht="15" hidden="false" customHeight="false" outlineLevel="0" collapsed="false">
      <c r="D99" s="0" t="n">
        <v>2</v>
      </c>
      <c r="E99" s="0" t="n">
        <v>6.07</v>
      </c>
      <c r="F99" s="0" t="n">
        <v>-10.48</v>
      </c>
      <c r="G99" s="2" t="n">
        <v>-0.16</v>
      </c>
      <c r="H99" s="1" t="n">
        <v>-5.25</v>
      </c>
      <c r="I99" s="1" t="n">
        <v>-0.16</v>
      </c>
      <c r="J99" s="0" t="n">
        <v>0</v>
      </c>
      <c r="K99" s="2" t="n">
        <v>-0.04</v>
      </c>
      <c r="L99" s="0" t="n">
        <v>5.25</v>
      </c>
      <c r="M99" s="2" t="n">
        <v>-0.16</v>
      </c>
      <c r="N99" s="1" t="n">
        <v>10.32</v>
      </c>
      <c r="O99" s="1" t="n">
        <v>-0.16</v>
      </c>
    </row>
    <row r="100" customFormat="false" ht="15" hidden="false" customHeight="false" outlineLevel="0" collapsed="false">
      <c r="D100" s="0" t="n">
        <v>1</v>
      </c>
      <c r="E100" s="0" t="n">
        <v>0.59</v>
      </c>
      <c r="F100" s="0" t="n">
        <v>-5.12</v>
      </c>
      <c r="G100" s="2" t="n">
        <v>-0.45</v>
      </c>
      <c r="H100" s="1" t="n">
        <v>-5.25</v>
      </c>
      <c r="I100" s="1" t="n">
        <v>-0.46</v>
      </c>
      <c r="J100" s="0" t="n">
        <v>0</v>
      </c>
      <c r="K100" s="2" t="n">
        <v>-0.34</v>
      </c>
      <c r="L100" s="0" t="n">
        <v>5.25</v>
      </c>
      <c r="M100" s="2" t="n">
        <v>-0.46</v>
      </c>
      <c r="N100" s="1" t="n">
        <v>5.12</v>
      </c>
      <c r="O100" s="1" t="n">
        <v>-0.45</v>
      </c>
    </row>
    <row r="101" customFormat="false" ht="15" hidden="false" customHeight="false" outlineLevel="0" collapsed="false">
      <c r="A101" s="1" t="n">
        <v>12</v>
      </c>
      <c r="B101" s="2" t="s">
        <v>28</v>
      </c>
      <c r="C101" s="0" t="n">
        <v>394.75</v>
      </c>
      <c r="D101" s="0" t="n">
        <v>9</v>
      </c>
      <c r="E101" s="0" t="n">
        <v>7.31</v>
      </c>
      <c r="F101" s="0" t="n">
        <v>-11.95</v>
      </c>
      <c r="G101" s="2" t="n">
        <v>1.93</v>
      </c>
      <c r="H101" s="1" t="n">
        <v>-5.25</v>
      </c>
      <c r="I101" s="1" t="n">
        <v>1.93</v>
      </c>
      <c r="J101" s="0" t="n">
        <v>0</v>
      </c>
      <c r="K101" s="2" t="n">
        <v>2.05</v>
      </c>
      <c r="L101" s="0" t="n">
        <v>5.25</v>
      </c>
      <c r="M101" s="2" t="n">
        <v>1.93</v>
      </c>
      <c r="N101" s="1" t="n">
        <v>11.95</v>
      </c>
      <c r="O101" s="1" t="n">
        <v>1.93</v>
      </c>
      <c r="P101" s="0" t="n">
        <v>73.77</v>
      </c>
      <c r="Q101" s="0" t="n">
        <v>11.55</v>
      </c>
    </row>
    <row r="102" customFormat="false" ht="15" hidden="false" customHeight="false" outlineLevel="0" collapsed="false">
      <c r="D102" s="0" t="n">
        <v>8</v>
      </c>
      <c r="E102" s="0" t="n">
        <v>7.58</v>
      </c>
      <c r="F102" s="0" t="n">
        <v>-12.4</v>
      </c>
      <c r="G102" s="2" t="n">
        <v>1.63</v>
      </c>
      <c r="H102" s="1" t="n">
        <v>-5.25</v>
      </c>
      <c r="I102" s="1" t="n">
        <v>1.63</v>
      </c>
      <c r="J102" s="0" t="n">
        <v>0</v>
      </c>
      <c r="K102" s="2" t="n">
        <v>1.75</v>
      </c>
      <c r="L102" s="0" t="n">
        <v>5.25</v>
      </c>
      <c r="M102" s="2" t="n">
        <v>1.63</v>
      </c>
      <c r="N102" s="1" t="n">
        <v>12.4</v>
      </c>
      <c r="O102" s="1" t="n">
        <v>1.63</v>
      </c>
    </row>
    <row r="103" customFormat="false" ht="15" hidden="false" customHeight="false" outlineLevel="0" collapsed="false">
      <c r="D103" s="0" t="n">
        <v>7</v>
      </c>
      <c r="E103" s="0" t="n">
        <v>7.85</v>
      </c>
      <c r="F103" s="0" t="n">
        <v>-12.85</v>
      </c>
      <c r="G103" s="2" t="n">
        <v>1.33</v>
      </c>
      <c r="H103" s="1" t="n">
        <v>-5.25</v>
      </c>
      <c r="I103" s="1" t="n">
        <v>1.33</v>
      </c>
      <c r="J103" s="0" t="n">
        <v>0</v>
      </c>
      <c r="K103" s="2" t="n">
        <v>1.45</v>
      </c>
      <c r="L103" s="0" t="n">
        <v>5.25</v>
      </c>
      <c r="M103" s="2" t="n">
        <v>1.33</v>
      </c>
      <c r="N103" s="1" t="n">
        <v>12.85</v>
      </c>
      <c r="O103" s="1" t="n">
        <v>1.33</v>
      </c>
    </row>
    <row r="104" customFormat="false" ht="15" hidden="false" customHeight="false" outlineLevel="0" collapsed="false">
      <c r="D104" s="0" t="n">
        <v>6</v>
      </c>
      <c r="E104" s="0" t="n">
        <v>8.12</v>
      </c>
      <c r="F104" s="0" t="n">
        <v>-13.3</v>
      </c>
      <c r="G104" s="2" t="n">
        <v>1.03</v>
      </c>
      <c r="H104" s="1" t="n">
        <v>-5.25</v>
      </c>
      <c r="I104" s="1" t="n">
        <v>1.03</v>
      </c>
      <c r="J104" s="0" t="n">
        <v>0</v>
      </c>
      <c r="K104" s="2" t="n">
        <v>1.15</v>
      </c>
      <c r="L104" s="0" t="n">
        <v>5.25</v>
      </c>
      <c r="M104" s="2" t="n">
        <v>1.03</v>
      </c>
      <c r="N104" s="1" t="n">
        <v>13.3</v>
      </c>
      <c r="O104" s="1" t="n">
        <v>1.03</v>
      </c>
    </row>
    <row r="105" customFormat="false" ht="15" hidden="false" customHeight="false" outlineLevel="0" collapsed="false">
      <c r="D105" s="0" t="n">
        <v>5</v>
      </c>
      <c r="E105" s="0" t="n">
        <v>8.39</v>
      </c>
      <c r="F105" s="0" t="n">
        <v>-13.75</v>
      </c>
      <c r="G105" s="2" t="n">
        <v>0.73</v>
      </c>
      <c r="H105" s="1" t="n">
        <v>-5.25</v>
      </c>
      <c r="I105" s="1" t="n">
        <v>0.73</v>
      </c>
      <c r="J105" s="0" t="n">
        <v>0</v>
      </c>
      <c r="K105" s="2" t="n">
        <v>0.85</v>
      </c>
      <c r="L105" s="0" t="n">
        <v>5.25</v>
      </c>
      <c r="M105" s="2" t="n">
        <v>0.73</v>
      </c>
      <c r="N105" s="1" t="n">
        <v>13.75</v>
      </c>
      <c r="O105" s="1" t="n">
        <v>0.73</v>
      </c>
    </row>
    <row r="106" customFormat="false" ht="15" hidden="false" customHeight="false" outlineLevel="0" collapsed="false">
      <c r="D106" s="0" t="n">
        <v>4</v>
      </c>
      <c r="E106" s="0" t="n">
        <v>8.66</v>
      </c>
      <c r="F106" s="0" t="n">
        <v>-14.2</v>
      </c>
      <c r="G106" s="2" t="n">
        <v>0.43</v>
      </c>
      <c r="H106" s="1" t="n">
        <v>-5.25</v>
      </c>
      <c r="I106" s="1" t="n">
        <v>0.43</v>
      </c>
      <c r="J106" s="0" t="n">
        <v>0</v>
      </c>
      <c r="K106" s="2" t="n">
        <v>0.55</v>
      </c>
      <c r="L106" s="0" t="n">
        <v>5.25</v>
      </c>
      <c r="M106" s="2" t="n">
        <v>0.43</v>
      </c>
      <c r="N106" s="1" t="n">
        <v>14.2</v>
      </c>
      <c r="O106" s="1" t="n">
        <v>0.43</v>
      </c>
    </row>
    <row r="107" customFormat="false" ht="15" hidden="false" customHeight="false" outlineLevel="0" collapsed="false">
      <c r="D107" s="0" t="n">
        <v>3</v>
      </c>
      <c r="E107" s="0" t="n">
        <v>7.94</v>
      </c>
      <c r="F107" s="0" t="n">
        <v>-14.65</v>
      </c>
      <c r="G107" s="2" t="n">
        <v>0.13</v>
      </c>
      <c r="H107" s="1" t="n">
        <v>-5.25</v>
      </c>
      <c r="I107" s="1" t="n">
        <v>0.13</v>
      </c>
      <c r="J107" s="0" t="n">
        <v>0</v>
      </c>
      <c r="K107" s="2" t="n">
        <v>0.25</v>
      </c>
      <c r="L107" s="0" t="n">
        <v>5.25</v>
      </c>
      <c r="M107" s="2" t="n">
        <v>0.13</v>
      </c>
      <c r="N107" s="1" t="n">
        <v>14.65</v>
      </c>
      <c r="O107" s="1" t="n">
        <v>0.13</v>
      </c>
    </row>
    <row r="108" customFormat="false" ht="15" hidden="false" customHeight="false" outlineLevel="0" collapsed="false">
      <c r="D108" s="0" t="n">
        <v>2</v>
      </c>
      <c r="E108" s="0" t="n">
        <v>5.89</v>
      </c>
      <c r="F108" s="0" t="n">
        <v>-10.15</v>
      </c>
      <c r="G108" s="2" t="n">
        <v>-0.17</v>
      </c>
      <c r="H108" s="1" t="n">
        <v>-5.25</v>
      </c>
      <c r="I108" s="1" t="n">
        <v>-0.17</v>
      </c>
      <c r="J108" s="0" t="n">
        <v>0</v>
      </c>
      <c r="K108" s="2" t="n">
        <v>-0.05</v>
      </c>
      <c r="L108" s="0" t="n">
        <v>5.25</v>
      </c>
      <c r="M108" s="2" t="n">
        <v>-0.17</v>
      </c>
      <c r="N108" s="1" t="n">
        <v>10.28</v>
      </c>
      <c r="O108" s="1" t="n">
        <v>-0.17</v>
      </c>
    </row>
    <row r="109" customFormat="false" ht="15" hidden="false" customHeight="false" outlineLevel="0" collapsed="false">
      <c r="D109" s="0" t="n">
        <v>1</v>
      </c>
      <c r="E109" s="0" t="n">
        <v>0.51</v>
      </c>
      <c r="F109" s="0" t="n">
        <v>-4.99</v>
      </c>
      <c r="G109" s="2" t="n">
        <v>-0.45</v>
      </c>
      <c r="H109" s="1" t="n">
        <v>-5.25</v>
      </c>
      <c r="I109" s="1" t="n">
        <v>-0.47</v>
      </c>
      <c r="J109" s="0" t="n">
        <v>0</v>
      </c>
      <c r="K109" s="2" t="n">
        <v>-0.35</v>
      </c>
      <c r="L109" s="0" t="n">
        <v>5.25</v>
      </c>
      <c r="M109" s="2" t="n">
        <v>-0.47</v>
      </c>
      <c r="N109" s="1" t="n">
        <v>4.99</v>
      </c>
      <c r="O109" s="1" t="n">
        <v>-0.45</v>
      </c>
    </row>
    <row r="110" customFormat="false" ht="15" hidden="false" customHeight="false" outlineLevel="0" collapsed="false">
      <c r="A110" s="1" t="n">
        <v>13</v>
      </c>
      <c r="B110" s="2" t="s">
        <v>29</v>
      </c>
      <c r="C110" s="0" t="n">
        <v>414.75</v>
      </c>
      <c r="D110" s="0" t="n">
        <v>9</v>
      </c>
      <c r="E110" s="0" t="n">
        <v>7.31</v>
      </c>
      <c r="F110" s="0" t="n">
        <v>-11.95</v>
      </c>
      <c r="G110" s="2" t="n">
        <v>1.92</v>
      </c>
      <c r="H110" s="1" t="n">
        <v>-5.25</v>
      </c>
      <c r="I110" s="1" t="n">
        <v>1.92</v>
      </c>
      <c r="J110" s="0" t="n">
        <v>0</v>
      </c>
      <c r="K110" s="2" t="n">
        <v>2.04</v>
      </c>
      <c r="L110" s="0" t="n">
        <v>5.25</v>
      </c>
      <c r="M110" s="2" t="n">
        <v>1.92</v>
      </c>
      <c r="N110" s="1" t="n">
        <v>11.95</v>
      </c>
      <c r="O110" s="1" t="n">
        <v>1.92</v>
      </c>
      <c r="P110" s="0" t="n">
        <v>73.72</v>
      </c>
      <c r="Q110" s="0" t="n">
        <v>11.55</v>
      </c>
    </row>
    <row r="111" customFormat="false" ht="15" hidden="false" customHeight="false" outlineLevel="0" collapsed="false">
      <c r="D111" s="0" t="n">
        <v>8</v>
      </c>
      <c r="E111" s="0" t="n">
        <v>7.58</v>
      </c>
      <c r="F111" s="0" t="n">
        <v>-12.4</v>
      </c>
      <c r="G111" s="2" t="n">
        <v>1.62</v>
      </c>
      <c r="H111" s="1" t="n">
        <v>-5.25</v>
      </c>
      <c r="I111" s="1" t="n">
        <v>1.62</v>
      </c>
      <c r="J111" s="0" t="n">
        <v>0</v>
      </c>
      <c r="K111" s="2" t="n">
        <v>1.74</v>
      </c>
      <c r="L111" s="0" t="n">
        <v>5.25</v>
      </c>
      <c r="M111" s="2" t="n">
        <v>1.62</v>
      </c>
      <c r="N111" s="1" t="n">
        <v>12.4</v>
      </c>
      <c r="O111" s="1" t="n">
        <v>1.62</v>
      </c>
    </row>
    <row r="112" customFormat="false" ht="15" hidden="false" customHeight="false" outlineLevel="0" collapsed="false">
      <c r="D112" s="0" t="n">
        <v>7</v>
      </c>
      <c r="E112" s="0" t="n">
        <v>7.85</v>
      </c>
      <c r="F112" s="0" t="n">
        <v>-12.85</v>
      </c>
      <c r="G112" s="2" t="n">
        <v>1.32</v>
      </c>
      <c r="H112" s="1" t="n">
        <v>-5.25</v>
      </c>
      <c r="I112" s="1" t="n">
        <v>1.32</v>
      </c>
      <c r="J112" s="0" t="n">
        <v>0</v>
      </c>
      <c r="K112" s="2" t="n">
        <v>1.44</v>
      </c>
      <c r="L112" s="0" t="n">
        <v>5.25</v>
      </c>
      <c r="M112" s="2" t="n">
        <v>1.32</v>
      </c>
      <c r="N112" s="1" t="n">
        <v>12.85</v>
      </c>
      <c r="O112" s="1" t="n">
        <v>1.32</v>
      </c>
    </row>
    <row r="113" customFormat="false" ht="15" hidden="false" customHeight="false" outlineLevel="0" collapsed="false">
      <c r="D113" s="0" t="n">
        <v>6</v>
      </c>
      <c r="E113" s="0" t="n">
        <v>8.12</v>
      </c>
      <c r="F113" s="0" t="n">
        <v>-13.3</v>
      </c>
      <c r="G113" s="2" t="n">
        <v>1.02</v>
      </c>
      <c r="H113" s="1" t="n">
        <v>-5.25</v>
      </c>
      <c r="I113" s="1" t="n">
        <v>1.02</v>
      </c>
      <c r="J113" s="0" t="n">
        <v>0</v>
      </c>
      <c r="K113" s="2" t="n">
        <v>1.14</v>
      </c>
      <c r="L113" s="0" t="n">
        <v>5.25</v>
      </c>
      <c r="M113" s="2" t="n">
        <v>1.02</v>
      </c>
      <c r="N113" s="1" t="n">
        <v>13.3</v>
      </c>
      <c r="O113" s="1" t="n">
        <v>1.02</v>
      </c>
    </row>
    <row r="114" customFormat="false" ht="15" hidden="false" customHeight="false" outlineLevel="0" collapsed="false">
      <c r="D114" s="0" t="n">
        <v>5</v>
      </c>
      <c r="E114" s="0" t="n">
        <v>8.39</v>
      </c>
      <c r="F114" s="0" t="n">
        <v>-13.75</v>
      </c>
      <c r="G114" s="2" t="n">
        <v>0.72</v>
      </c>
      <c r="H114" s="1" t="n">
        <v>-5.25</v>
      </c>
      <c r="I114" s="1" t="n">
        <v>0.72</v>
      </c>
      <c r="J114" s="0" t="n">
        <v>0</v>
      </c>
      <c r="K114" s="2" t="n">
        <v>0.84</v>
      </c>
      <c r="L114" s="0" t="n">
        <v>5.25</v>
      </c>
      <c r="M114" s="2" t="n">
        <v>0.72</v>
      </c>
      <c r="N114" s="1" t="n">
        <v>13.75</v>
      </c>
      <c r="O114" s="1" t="n">
        <v>0.72</v>
      </c>
    </row>
    <row r="115" customFormat="false" ht="15" hidden="false" customHeight="false" outlineLevel="0" collapsed="false">
      <c r="D115" s="0" t="n">
        <v>4</v>
      </c>
      <c r="E115" s="0" t="n">
        <v>8.66</v>
      </c>
      <c r="F115" s="0" t="n">
        <v>-14.2</v>
      </c>
      <c r="G115" s="2" t="n">
        <v>0.42</v>
      </c>
      <c r="H115" s="1" t="n">
        <v>-5.25</v>
      </c>
      <c r="I115" s="1" t="n">
        <v>0.42</v>
      </c>
      <c r="J115" s="0" t="n">
        <v>0</v>
      </c>
      <c r="K115" s="2" t="n">
        <v>0.54</v>
      </c>
      <c r="L115" s="0" t="n">
        <v>5.25</v>
      </c>
      <c r="M115" s="2" t="n">
        <v>0.42</v>
      </c>
      <c r="N115" s="1" t="n">
        <v>14.2</v>
      </c>
      <c r="O115" s="1" t="n">
        <v>0.42</v>
      </c>
    </row>
    <row r="116" customFormat="false" ht="15" hidden="false" customHeight="false" outlineLevel="0" collapsed="false">
      <c r="D116" s="0" t="n">
        <v>3</v>
      </c>
      <c r="E116" s="0" t="n">
        <v>8.13</v>
      </c>
      <c r="F116" s="0" t="n">
        <v>-14.65</v>
      </c>
      <c r="G116" s="2" t="n">
        <v>0.12</v>
      </c>
      <c r="H116" s="1" t="n">
        <v>-5.25</v>
      </c>
      <c r="I116" s="1" t="n">
        <v>0.12</v>
      </c>
      <c r="J116" s="0" t="n">
        <v>0</v>
      </c>
      <c r="K116" s="2" t="n">
        <v>0.24</v>
      </c>
      <c r="L116" s="0" t="n">
        <v>5.25</v>
      </c>
      <c r="M116" s="2" t="n">
        <v>0.12</v>
      </c>
      <c r="N116" s="1" t="n">
        <v>14.65</v>
      </c>
      <c r="O116" s="1" t="n">
        <v>0.12</v>
      </c>
    </row>
    <row r="117" customFormat="false" ht="15" hidden="false" customHeight="false" outlineLevel="0" collapsed="false">
      <c r="D117" s="0" t="n">
        <v>2</v>
      </c>
      <c r="E117" s="0" t="n">
        <v>5.77</v>
      </c>
      <c r="F117" s="0" t="n">
        <v>-10.19</v>
      </c>
      <c r="G117" s="2" t="n">
        <v>-0.18</v>
      </c>
      <c r="H117" s="1" t="n">
        <v>-5.25</v>
      </c>
      <c r="I117" s="1" t="n">
        <v>-0.18</v>
      </c>
      <c r="J117" s="0" t="n">
        <v>0</v>
      </c>
      <c r="K117" s="2" t="n">
        <v>-0.06</v>
      </c>
      <c r="L117" s="0" t="n">
        <v>5.25</v>
      </c>
      <c r="M117" s="2" t="n">
        <v>-0.18</v>
      </c>
      <c r="N117" s="1" t="n">
        <v>10.32</v>
      </c>
      <c r="O117" s="1" t="n">
        <v>-0.18</v>
      </c>
    </row>
    <row r="118" customFormat="false" ht="15" hidden="false" customHeight="false" outlineLevel="0" collapsed="false">
      <c r="D118" s="0" t="n">
        <v>1</v>
      </c>
      <c r="E118" s="0" t="n">
        <v>0.39</v>
      </c>
      <c r="F118" s="0" t="n">
        <v>-4.4</v>
      </c>
      <c r="G118" s="2" t="n">
        <v>-0.45</v>
      </c>
      <c r="H118" s="1" t="n">
        <v>-5.25</v>
      </c>
      <c r="I118" s="1" t="n">
        <v>-0.48</v>
      </c>
      <c r="J118" s="0" t="n">
        <v>0</v>
      </c>
      <c r="K118" s="2" t="n">
        <v>-0.36</v>
      </c>
      <c r="L118" s="0" t="n">
        <v>5.25</v>
      </c>
      <c r="M118" s="2" t="n">
        <v>-0.48</v>
      </c>
      <c r="N118" s="1" t="n">
        <v>4.4</v>
      </c>
      <c r="O118" s="1" t="n">
        <v>-0.45</v>
      </c>
    </row>
    <row r="119" customFormat="false" ht="15" hidden="false" customHeight="false" outlineLevel="0" collapsed="false">
      <c r="A119" s="1" t="n">
        <v>14</v>
      </c>
      <c r="B119" s="2" t="s">
        <v>30</v>
      </c>
      <c r="C119" s="0" t="n">
        <v>434.75</v>
      </c>
      <c r="D119" s="0" t="n">
        <v>9</v>
      </c>
      <c r="E119" s="0" t="n">
        <v>7.31</v>
      </c>
      <c r="F119" s="0" t="n">
        <v>-11.95</v>
      </c>
      <c r="G119" s="2" t="n">
        <v>1.91</v>
      </c>
      <c r="H119" s="1" t="n">
        <v>-5.25</v>
      </c>
      <c r="I119" s="1" t="n">
        <v>1.91</v>
      </c>
      <c r="J119" s="0" t="n">
        <v>0</v>
      </c>
      <c r="K119" s="2" t="n">
        <v>2.02</v>
      </c>
      <c r="L119" s="0" t="n">
        <v>5.25</v>
      </c>
      <c r="M119" s="2" t="n">
        <v>1.91</v>
      </c>
      <c r="N119" s="1" t="n">
        <v>11.95</v>
      </c>
      <c r="O119" s="1" t="n">
        <v>1.91</v>
      </c>
      <c r="P119" s="0" t="n">
        <v>72.58</v>
      </c>
      <c r="Q119" s="0" t="n">
        <v>11.55</v>
      </c>
    </row>
    <row r="120" customFormat="false" ht="15" hidden="false" customHeight="false" outlineLevel="0" collapsed="false">
      <c r="D120" s="0" t="n">
        <v>8</v>
      </c>
      <c r="E120" s="0" t="n">
        <v>7.58</v>
      </c>
      <c r="F120" s="0" t="n">
        <v>-12.4</v>
      </c>
      <c r="G120" s="2" t="n">
        <v>1.61</v>
      </c>
      <c r="H120" s="1" t="n">
        <v>-5.25</v>
      </c>
      <c r="I120" s="1" t="n">
        <v>1.61</v>
      </c>
      <c r="J120" s="0" t="n">
        <v>0</v>
      </c>
      <c r="K120" s="2" t="n">
        <v>1.72</v>
      </c>
      <c r="L120" s="0" t="n">
        <v>5.25</v>
      </c>
      <c r="M120" s="2" t="n">
        <v>1.61</v>
      </c>
      <c r="N120" s="1" t="n">
        <v>12.4</v>
      </c>
      <c r="O120" s="1" t="n">
        <v>1.61</v>
      </c>
    </row>
    <row r="121" customFormat="false" ht="15" hidden="false" customHeight="false" outlineLevel="0" collapsed="false">
      <c r="D121" s="0" t="n">
        <v>7</v>
      </c>
      <c r="E121" s="0" t="n">
        <v>7.85</v>
      </c>
      <c r="F121" s="0" t="n">
        <v>-12.85</v>
      </c>
      <c r="G121" s="2" t="n">
        <v>1.31</v>
      </c>
      <c r="H121" s="1" t="n">
        <v>-5.25</v>
      </c>
      <c r="I121" s="1" t="n">
        <v>1.31</v>
      </c>
      <c r="J121" s="0" t="n">
        <v>0</v>
      </c>
      <c r="K121" s="2" t="n">
        <v>1.42</v>
      </c>
      <c r="L121" s="0" t="n">
        <v>5.25</v>
      </c>
      <c r="M121" s="2" t="n">
        <v>1.31</v>
      </c>
      <c r="N121" s="1" t="n">
        <v>12.85</v>
      </c>
      <c r="O121" s="1" t="n">
        <v>1.31</v>
      </c>
    </row>
    <row r="122" customFormat="false" ht="15" hidden="false" customHeight="false" outlineLevel="0" collapsed="false">
      <c r="D122" s="0" t="n">
        <v>6</v>
      </c>
      <c r="E122" s="0" t="n">
        <v>8.12</v>
      </c>
      <c r="F122" s="0" t="n">
        <v>-13.3</v>
      </c>
      <c r="G122" s="2" t="n">
        <v>1.01</v>
      </c>
      <c r="H122" s="1" t="n">
        <v>-5.25</v>
      </c>
      <c r="I122" s="1" t="n">
        <v>1.01</v>
      </c>
      <c r="J122" s="0" t="n">
        <v>0</v>
      </c>
      <c r="K122" s="2" t="n">
        <v>1.12</v>
      </c>
      <c r="L122" s="0" t="n">
        <v>5.25</v>
      </c>
      <c r="M122" s="2" t="n">
        <v>1.01</v>
      </c>
      <c r="N122" s="1" t="n">
        <v>13.3</v>
      </c>
      <c r="O122" s="1" t="n">
        <v>1.01</v>
      </c>
    </row>
    <row r="123" customFormat="false" ht="15" hidden="false" customHeight="false" outlineLevel="0" collapsed="false">
      <c r="D123" s="0" t="n">
        <v>5</v>
      </c>
      <c r="E123" s="0" t="n">
        <v>8.39</v>
      </c>
      <c r="F123" s="0" t="n">
        <v>-13.75</v>
      </c>
      <c r="G123" s="2" t="n">
        <v>0.71</v>
      </c>
      <c r="H123" s="1" t="n">
        <v>-5.25</v>
      </c>
      <c r="I123" s="1" t="n">
        <v>0.71</v>
      </c>
      <c r="J123" s="0" t="n">
        <v>0</v>
      </c>
      <c r="K123" s="2" t="n">
        <v>0.82</v>
      </c>
      <c r="L123" s="0" t="n">
        <v>5.25</v>
      </c>
      <c r="M123" s="2" t="n">
        <v>0.71</v>
      </c>
      <c r="N123" s="1" t="n">
        <v>13.75</v>
      </c>
      <c r="O123" s="1" t="n">
        <v>0.71</v>
      </c>
    </row>
    <row r="124" customFormat="false" ht="15" hidden="false" customHeight="false" outlineLevel="0" collapsed="false">
      <c r="D124" s="0" t="n">
        <v>4</v>
      </c>
      <c r="E124" s="0" t="n">
        <v>8.66</v>
      </c>
      <c r="F124" s="0" t="n">
        <v>-14.2</v>
      </c>
      <c r="G124" s="2" t="n">
        <v>0.41</v>
      </c>
      <c r="H124" s="1" t="n">
        <v>-5.25</v>
      </c>
      <c r="I124" s="1" t="n">
        <v>0.41</v>
      </c>
      <c r="J124" s="0" t="n">
        <v>0</v>
      </c>
      <c r="K124" s="2" t="n">
        <v>0.52</v>
      </c>
      <c r="L124" s="0" t="n">
        <v>5.25</v>
      </c>
      <c r="M124" s="2" t="n">
        <v>0.41</v>
      </c>
      <c r="N124" s="1" t="n">
        <v>14.2</v>
      </c>
      <c r="O124" s="1" t="n">
        <v>0.41</v>
      </c>
    </row>
    <row r="125" customFormat="false" ht="15" hidden="false" customHeight="false" outlineLevel="0" collapsed="false">
      <c r="D125" s="0" t="n">
        <v>3</v>
      </c>
      <c r="E125" s="0" t="n">
        <v>7.35</v>
      </c>
      <c r="F125" s="0" t="n">
        <v>-14.65</v>
      </c>
      <c r="G125" s="2" t="n">
        <v>0.11</v>
      </c>
      <c r="H125" s="1" t="n">
        <v>-5.25</v>
      </c>
      <c r="I125" s="1" t="n">
        <v>0.11</v>
      </c>
      <c r="J125" s="0" t="n">
        <v>0</v>
      </c>
      <c r="K125" s="2" t="n">
        <v>0.22</v>
      </c>
      <c r="L125" s="0" t="n">
        <v>5.25</v>
      </c>
      <c r="M125" s="2" t="n">
        <v>0.11</v>
      </c>
      <c r="N125" s="1" t="n">
        <v>14.65</v>
      </c>
      <c r="O125" s="1" t="n">
        <v>0.11</v>
      </c>
    </row>
    <row r="126" customFormat="false" ht="15" hidden="false" customHeight="false" outlineLevel="0" collapsed="false">
      <c r="D126" s="0" t="n">
        <v>2</v>
      </c>
      <c r="E126" s="0" t="n">
        <v>5.51</v>
      </c>
      <c r="F126" s="0" t="n">
        <v>-10.09</v>
      </c>
      <c r="G126" s="2" t="n">
        <v>-0.19</v>
      </c>
      <c r="H126" s="1" t="n">
        <v>-5.25</v>
      </c>
      <c r="I126" s="1" t="n">
        <v>-0.19</v>
      </c>
      <c r="J126" s="0" t="n">
        <v>0</v>
      </c>
      <c r="K126" s="2" t="n">
        <v>-0.08</v>
      </c>
      <c r="L126" s="0" t="n">
        <v>5.25</v>
      </c>
      <c r="M126" s="2" t="n">
        <v>-0.19</v>
      </c>
      <c r="N126" s="1" t="n">
        <v>10.02</v>
      </c>
      <c r="O126" s="1" t="n">
        <v>-0.19</v>
      </c>
    </row>
    <row r="127" customFormat="false" ht="15" hidden="false" customHeight="false" outlineLevel="0" collapsed="false">
      <c r="D127" s="0" t="n">
        <v>1</v>
      </c>
      <c r="E127" s="0" t="n">
        <v>0.28</v>
      </c>
      <c r="F127" s="0" t="n">
        <v>-3.74</v>
      </c>
      <c r="G127" s="2" t="n">
        <v>-0.45</v>
      </c>
      <c r="H127" s="1" t="n">
        <v>-5.25</v>
      </c>
      <c r="I127" s="1" t="n">
        <v>-0.49</v>
      </c>
      <c r="J127" s="0" t="n">
        <v>0</v>
      </c>
      <c r="K127" s="2" t="n">
        <v>-0.38</v>
      </c>
      <c r="L127" s="0" t="n">
        <v>5.25</v>
      </c>
      <c r="M127" s="2" t="n">
        <v>-0.49</v>
      </c>
      <c r="N127" s="1" t="n">
        <v>3.74</v>
      </c>
      <c r="O127" s="1" t="n">
        <v>-0.45</v>
      </c>
    </row>
    <row r="128" customFormat="false" ht="15" hidden="false" customHeight="false" outlineLevel="0" collapsed="false">
      <c r="A128" s="1" t="n">
        <v>15</v>
      </c>
      <c r="B128" s="2" t="s">
        <v>31</v>
      </c>
      <c r="C128" s="0" t="n">
        <v>454.75</v>
      </c>
      <c r="D128" s="0" t="n">
        <v>9</v>
      </c>
      <c r="E128" s="0" t="n">
        <v>7.31</v>
      </c>
      <c r="F128" s="0" t="n">
        <v>-11.95</v>
      </c>
      <c r="G128" s="2" t="n">
        <v>1.89</v>
      </c>
      <c r="H128" s="1" t="n">
        <v>-5.25</v>
      </c>
      <c r="I128" s="1" t="n">
        <v>1.89</v>
      </c>
      <c r="J128" s="0" t="n">
        <v>0</v>
      </c>
      <c r="K128" s="2" t="n">
        <v>2.01</v>
      </c>
      <c r="L128" s="0" t="n">
        <v>5.25</v>
      </c>
      <c r="M128" s="2" t="n">
        <v>1.89</v>
      </c>
      <c r="N128" s="1" t="n">
        <v>11.95</v>
      </c>
      <c r="O128" s="1" t="n">
        <v>1.89</v>
      </c>
      <c r="P128" s="0" t="n">
        <v>69.42</v>
      </c>
      <c r="Q128" s="0" t="n">
        <v>11.55</v>
      </c>
    </row>
    <row r="129" customFormat="false" ht="15" hidden="false" customHeight="false" outlineLevel="0" collapsed="false">
      <c r="D129" s="0" t="n">
        <v>8</v>
      </c>
      <c r="E129" s="0" t="n">
        <v>7.58</v>
      </c>
      <c r="F129" s="0" t="n">
        <v>-12.4</v>
      </c>
      <c r="G129" s="2" t="n">
        <v>1.59</v>
      </c>
      <c r="H129" s="1" t="n">
        <v>-5.25</v>
      </c>
      <c r="I129" s="1" t="n">
        <v>1.59</v>
      </c>
      <c r="J129" s="0" t="n">
        <v>0</v>
      </c>
      <c r="K129" s="2" t="n">
        <v>1.71</v>
      </c>
      <c r="L129" s="0" t="n">
        <v>5.25</v>
      </c>
      <c r="M129" s="2" t="n">
        <v>1.59</v>
      </c>
      <c r="N129" s="1" t="n">
        <v>12.4</v>
      </c>
      <c r="O129" s="1" t="n">
        <v>1.59</v>
      </c>
    </row>
    <row r="130" customFormat="false" ht="15" hidden="false" customHeight="false" outlineLevel="0" collapsed="false">
      <c r="D130" s="0" t="n">
        <v>7</v>
      </c>
      <c r="E130" s="0" t="n">
        <v>7.85</v>
      </c>
      <c r="F130" s="0" t="n">
        <v>-12.85</v>
      </c>
      <c r="G130" s="2" t="n">
        <v>1.29</v>
      </c>
      <c r="H130" s="1" t="n">
        <v>-5.25</v>
      </c>
      <c r="I130" s="1" t="n">
        <v>1.29</v>
      </c>
      <c r="J130" s="0" t="n">
        <v>0</v>
      </c>
      <c r="K130" s="2" t="n">
        <v>1.41</v>
      </c>
      <c r="L130" s="0" t="n">
        <v>5.25</v>
      </c>
      <c r="M130" s="2" t="n">
        <v>1.29</v>
      </c>
      <c r="N130" s="1" t="n">
        <v>12.85</v>
      </c>
      <c r="O130" s="1" t="n">
        <v>1.29</v>
      </c>
    </row>
    <row r="131" customFormat="false" ht="15" hidden="false" customHeight="false" outlineLevel="0" collapsed="false">
      <c r="D131" s="0" t="n">
        <v>6</v>
      </c>
      <c r="E131" s="0" t="n">
        <v>8.12</v>
      </c>
      <c r="F131" s="0" t="n">
        <v>-13.3</v>
      </c>
      <c r="G131" s="2" t="n">
        <v>0.99</v>
      </c>
      <c r="H131" s="1" t="n">
        <v>-5.25</v>
      </c>
      <c r="I131" s="1" t="n">
        <v>0.99</v>
      </c>
      <c r="J131" s="0" t="n">
        <v>0</v>
      </c>
      <c r="K131" s="2" t="n">
        <v>1.11</v>
      </c>
      <c r="L131" s="0" t="n">
        <v>5.25</v>
      </c>
      <c r="M131" s="2" t="n">
        <v>0.99</v>
      </c>
      <c r="N131" s="1" t="n">
        <v>13.3</v>
      </c>
      <c r="O131" s="1" t="n">
        <v>0.99</v>
      </c>
    </row>
    <row r="132" customFormat="false" ht="15" hidden="false" customHeight="false" outlineLevel="0" collapsed="false">
      <c r="D132" s="0" t="n">
        <v>5</v>
      </c>
      <c r="E132" s="0" t="n">
        <v>8.39</v>
      </c>
      <c r="F132" s="0" t="n">
        <v>-13.75</v>
      </c>
      <c r="G132" s="2" t="n">
        <v>0.69</v>
      </c>
      <c r="H132" s="1" t="n">
        <v>-5.25</v>
      </c>
      <c r="I132" s="1" t="n">
        <v>0.69</v>
      </c>
      <c r="J132" s="0" t="n">
        <v>0</v>
      </c>
      <c r="K132" s="2" t="n">
        <v>0.81</v>
      </c>
      <c r="L132" s="0" t="n">
        <v>5.25</v>
      </c>
      <c r="M132" s="2" t="n">
        <v>0.69</v>
      </c>
      <c r="N132" s="1" t="n">
        <v>13.75</v>
      </c>
      <c r="O132" s="1" t="n">
        <v>0.69</v>
      </c>
    </row>
    <row r="133" customFormat="false" ht="15" hidden="false" customHeight="false" outlineLevel="0" collapsed="false">
      <c r="D133" s="0" t="n">
        <v>4</v>
      </c>
      <c r="E133" s="0" t="n">
        <v>7.63</v>
      </c>
      <c r="F133" s="0" t="n">
        <v>-14.2</v>
      </c>
      <c r="G133" s="2" t="n">
        <v>0.39</v>
      </c>
      <c r="H133" s="1" t="n">
        <v>-5.25</v>
      </c>
      <c r="I133" s="1" t="n">
        <v>0.39</v>
      </c>
      <c r="J133" s="0" t="n">
        <v>0</v>
      </c>
      <c r="K133" s="2" t="n">
        <v>0.51</v>
      </c>
      <c r="L133" s="0" t="n">
        <v>5.25</v>
      </c>
      <c r="M133" s="2" t="n">
        <v>0.39</v>
      </c>
      <c r="N133" s="1" t="n">
        <v>14.2</v>
      </c>
      <c r="O133" s="1" t="n">
        <v>0.39</v>
      </c>
    </row>
    <row r="134" customFormat="false" ht="15" hidden="false" customHeight="false" outlineLevel="0" collapsed="false">
      <c r="D134" s="0" t="n">
        <v>3</v>
      </c>
      <c r="E134" s="0" t="n">
        <v>5.77</v>
      </c>
      <c r="F134" s="0" t="n">
        <v>-9.59</v>
      </c>
      <c r="G134" s="2" t="n">
        <v>0.09</v>
      </c>
      <c r="H134" s="1" t="n">
        <v>-5.25</v>
      </c>
      <c r="I134" s="1" t="n">
        <v>0.09</v>
      </c>
      <c r="J134" s="0" t="n">
        <v>0</v>
      </c>
      <c r="K134" s="2" t="n">
        <v>0.21</v>
      </c>
      <c r="L134" s="0" t="n">
        <v>5.25</v>
      </c>
      <c r="M134" s="2" t="n">
        <v>0.09</v>
      </c>
      <c r="N134" s="1" t="n">
        <v>9.94</v>
      </c>
      <c r="O134" s="1" t="n">
        <v>0.09</v>
      </c>
    </row>
    <row r="135" customFormat="false" ht="15" hidden="false" customHeight="false" outlineLevel="0" collapsed="false">
      <c r="D135" s="0" t="n">
        <v>2</v>
      </c>
      <c r="E135" s="0" t="n">
        <v>5.05</v>
      </c>
      <c r="F135" s="0" t="n">
        <v>-9.29</v>
      </c>
      <c r="G135" s="2" t="n">
        <v>-0.21</v>
      </c>
      <c r="H135" s="1" t="n">
        <v>-5.25</v>
      </c>
      <c r="I135" s="1" t="n">
        <v>-0.21</v>
      </c>
      <c r="J135" s="0" t="n">
        <v>0</v>
      </c>
      <c r="K135" s="2" t="n">
        <v>-0.09</v>
      </c>
      <c r="L135" s="0" t="n">
        <v>5.25</v>
      </c>
      <c r="M135" s="2" t="n">
        <v>-0.21</v>
      </c>
      <c r="N135" s="1" t="n">
        <v>9.64</v>
      </c>
      <c r="O135" s="1" t="n">
        <v>-0.21</v>
      </c>
    </row>
    <row r="136" customFormat="false" ht="15" hidden="false" customHeight="false" outlineLevel="0" collapsed="false">
      <c r="D136" s="0" t="n">
        <v>1</v>
      </c>
      <c r="E136" s="0" t="n">
        <v>0.19</v>
      </c>
      <c r="F136" s="0" t="n">
        <v>-3.08</v>
      </c>
      <c r="G136" s="2" t="n">
        <v>-0.45</v>
      </c>
      <c r="H136" s="1" t="n">
        <v>-5.25</v>
      </c>
      <c r="I136" s="1" t="n">
        <v>-0.51</v>
      </c>
      <c r="J136" s="0" t="n">
        <v>0</v>
      </c>
      <c r="K136" s="2" t="n">
        <v>-0.39</v>
      </c>
      <c r="L136" s="0" t="n">
        <v>5.25</v>
      </c>
      <c r="M136" s="2" t="n">
        <v>-0.51</v>
      </c>
      <c r="N136" s="1" t="n">
        <v>3.08</v>
      </c>
      <c r="O136" s="1" t="n">
        <v>-0.45</v>
      </c>
    </row>
    <row r="137" customFormat="false" ht="15" hidden="false" customHeight="false" outlineLevel="0" collapsed="false">
      <c r="A137" s="1" t="n">
        <v>16</v>
      </c>
      <c r="B137" s="2" t="s">
        <v>32</v>
      </c>
      <c r="C137" s="0" t="n">
        <v>474.75</v>
      </c>
      <c r="D137" s="0" t="n">
        <v>9</v>
      </c>
      <c r="E137" s="0" t="n">
        <v>7.31</v>
      </c>
      <c r="F137" s="0" t="n">
        <v>-11.95</v>
      </c>
      <c r="G137" s="2" t="n">
        <v>1.88</v>
      </c>
      <c r="H137" s="1" t="n">
        <v>-5.25</v>
      </c>
      <c r="I137" s="1" t="n">
        <v>1.88</v>
      </c>
      <c r="J137" s="0" t="n">
        <v>0</v>
      </c>
      <c r="K137" s="2" t="n">
        <v>2</v>
      </c>
      <c r="L137" s="0" t="n">
        <v>5.25</v>
      </c>
      <c r="M137" s="2" t="n">
        <v>1.88</v>
      </c>
      <c r="N137" s="1" t="n">
        <v>11.95</v>
      </c>
      <c r="O137" s="1" t="n">
        <v>1.88</v>
      </c>
      <c r="P137" s="0" t="n">
        <v>70.85</v>
      </c>
      <c r="Q137" s="0" t="n">
        <v>11.55</v>
      </c>
    </row>
    <row r="138" customFormat="false" ht="15" hidden="false" customHeight="false" outlineLevel="0" collapsed="false">
      <c r="D138" s="0" t="n">
        <v>8</v>
      </c>
      <c r="E138" s="0" t="n">
        <v>7.58</v>
      </c>
      <c r="F138" s="0" t="n">
        <v>-12.4</v>
      </c>
      <c r="G138" s="2" t="n">
        <v>1.58</v>
      </c>
      <c r="H138" s="1" t="n">
        <v>-5.25</v>
      </c>
      <c r="I138" s="1" t="n">
        <v>1.58</v>
      </c>
      <c r="J138" s="0" t="n">
        <v>0</v>
      </c>
      <c r="K138" s="2" t="n">
        <v>1.7</v>
      </c>
      <c r="L138" s="0" t="n">
        <v>5.25</v>
      </c>
      <c r="M138" s="2" t="n">
        <v>1.58</v>
      </c>
      <c r="N138" s="1" t="n">
        <v>12.4</v>
      </c>
      <c r="O138" s="1" t="n">
        <v>1.58</v>
      </c>
    </row>
    <row r="139" customFormat="false" ht="15" hidden="false" customHeight="false" outlineLevel="0" collapsed="false">
      <c r="D139" s="0" t="n">
        <v>7</v>
      </c>
      <c r="E139" s="0" t="n">
        <v>7.85</v>
      </c>
      <c r="F139" s="0" t="n">
        <v>-12.85</v>
      </c>
      <c r="G139" s="2" t="n">
        <v>1.28</v>
      </c>
      <c r="H139" s="1" t="n">
        <v>-5.25</v>
      </c>
      <c r="I139" s="1" t="n">
        <v>1.28</v>
      </c>
      <c r="J139" s="0" t="n">
        <v>0</v>
      </c>
      <c r="K139" s="2" t="n">
        <v>1.4</v>
      </c>
      <c r="L139" s="0" t="n">
        <v>5.25</v>
      </c>
      <c r="M139" s="2" t="n">
        <v>1.28</v>
      </c>
      <c r="N139" s="1" t="n">
        <v>12.85</v>
      </c>
      <c r="O139" s="1" t="n">
        <v>1.28</v>
      </c>
    </row>
    <row r="140" customFormat="false" ht="15" hidden="false" customHeight="false" outlineLevel="0" collapsed="false">
      <c r="D140" s="0" t="n">
        <v>6</v>
      </c>
      <c r="E140" s="0" t="n">
        <v>8.12</v>
      </c>
      <c r="F140" s="0" t="n">
        <v>-13.3</v>
      </c>
      <c r="G140" s="2" t="n">
        <v>0.98</v>
      </c>
      <c r="H140" s="1" t="n">
        <v>-5.25</v>
      </c>
      <c r="I140" s="1" t="n">
        <v>0.98</v>
      </c>
      <c r="J140" s="0" t="n">
        <v>0</v>
      </c>
      <c r="K140" s="2" t="n">
        <v>1.1</v>
      </c>
      <c r="L140" s="0" t="n">
        <v>5.25</v>
      </c>
      <c r="M140" s="2" t="n">
        <v>0.98</v>
      </c>
      <c r="N140" s="1" t="n">
        <v>13.3</v>
      </c>
      <c r="O140" s="1" t="n">
        <v>0.98</v>
      </c>
    </row>
    <row r="141" customFormat="false" ht="15" hidden="false" customHeight="false" outlineLevel="0" collapsed="false">
      <c r="D141" s="0" t="n">
        <v>5</v>
      </c>
      <c r="E141" s="0" t="n">
        <v>8.39</v>
      </c>
      <c r="F141" s="0" t="n">
        <v>-13.75</v>
      </c>
      <c r="G141" s="2" t="n">
        <v>0.68</v>
      </c>
      <c r="H141" s="1" t="n">
        <v>-5.25</v>
      </c>
      <c r="I141" s="1" t="n">
        <v>0.68</v>
      </c>
      <c r="J141" s="0" t="n">
        <v>0</v>
      </c>
      <c r="K141" s="2" t="n">
        <v>0.8</v>
      </c>
      <c r="L141" s="0" t="n">
        <v>5.25</v>
      </c>
      <c r="M141" s="2" t="n">
        <v>0.68</v>
      </c>
      <c r="N141" s="1" t="n">
        <v>13.75</v>
      </c>
      <c r="O141" s="1" t="n">
        <v>0.68</v>
      </c>
    </row>
    <row r="142" customFormat="false" ht="15" hidden="false" customHeight="false" outlineLevel="0" collapsed="false">
      <c r="D142" s="0" t="n">
        <v>4</v>
      </c>
      <c r="E142" s="0" t="n">
        <v>8.66</v>
      </c>
      <c r="F142" s="0" t="n">
        <v>-14.2</v>
      </c>
      <c r="G142" s="2" t="n">
        <v>0.38</v>
      </c>
      <c r="H142" s="1" t="n">
        <v>-5.25</v>
      </c>
      <c r="I142" s="1" t="n">
        <v>0.38</v>
      </c>
      <c r="J142" s="0" t="n">
        <v>0</v>
      </c>
      <c r="K142" s="2" t="n">
        <v>0.5</v>
      </c>
      <c r="L142" s="0" t="n">
        <v>5.25</v>
      </c>
      <c r="M142" s="2" t="n">
        <v>0.38</v>
      </c>
      <c r="N142" s="1" t="n">
        <v>14.2</v>
      </c>
      <c r="O142" s="1" t="n">
        <v>0.38</v>
      </c>
    </row>
    <row r="143" customFormat="false" ht="15" hidden="false" customHeight="false" outlineLevel="0" collapsed="false">
      <c r="D143" s="0" t="n">
        <v>3</v>
      </c>
      <c r="E143" s="0" t="n">
        <v>6.28</v>
      </c>
      <c r="F143" s="0" t="n">
        <v>-14.65</v>
      </c>
      <c r="G143" s="2" t="n">
        <v>0.08</v>
      </c>
      <c r="H143" s="1" t="n">
        <v>-5.25</v>
      </c>
      <c r="I143" s="1" t="n">
        <v>0.08</v>
      </c>
      <c r="J143" s="0" t="n">
        <v>0</v>
      </c>
      <c r="K143" s="2" t="n">
        <v>0.2</v>
      </c>
      <c r="L143" s="0" t="n">
        <v>5.25</v>
      </c>
      <c r="M143" s="2" t="n">
        <v>0.08</v>
      </c>
      <c r="N143" s="1" t="n">
        <v>14.65</v>
      </c>
      <c r="O143" s="1" t="n">
        <v>0.08</v>
      </c>
    </row>
    <row r="144" customFormat="false" ht="15" hidden="false" customHeight="false" outlineLevel="0" collapsed="false">
      <c r="D144" s="0" t="n">
        <v>2</v>
      </c>
      <c r="E144" s="0" t="n">
        <v>5.02</v>
      </c>
      <c r="F144" s="0" t="n">
        <v>-9.8</v>
      </c>
      <c r="G144" s="2" t="n">
        <v>-0.22</v>
      </c>
      <c r="H144" s="1" t="n">
        <v>-5.25</v>
      </c>
      <c r="I144" s="1" t="n">
        <v>-0.22</v>
      </c>
      <c r="J144" s="0" t="n">
        <v>0</v>
      </c>
      <c r="K144" s="2" t="n">
        <v>-0.1</v>
      </c>
      <c r="L144" s="0" t="n">
        <v>5.25</v>
      </c>
      <c r="M144" s="2" t="n">
        <v>-0.22</v>
      </c>
      <c r="N144" s="1" t="n">
        <v>9.75</v>
      </c>
      <c r="O144" s="1" t="n">
        <v>-0.22</v>
      </c>
    </row>
    <row r="145" customFormat="false" ht="15" hidden="false" customHeight="false" outlineLevel="0" collapsed="false">
      <c r="D145" s="0" t="n">
        <v>1</v>
      </c>
      <c r="E145" s="0" t="n">
        <v>0.12</v>
      </c>
      <c r="F145" s="0" t="n">
        <v>-2.42</v>
      </c>
      <c r="G145" s="2" t="n">
        <v>-0.45</v>
      </c>
      <c r="H145" s="1" t="n">
        <v>-5.25</v>
      </c>
      <c r="I145" s="1" t="n">
        <v>-0.52</v>
      </c>
      <c r="J145" s="0" t="n">
        <v>0</v>
      </c>
      <c r="K145" s="2" t="n">
        <v>-0.4</v>
      </c>
      <c r="L145" s="0" t="n">
        <v>5.25</v>
      </c>
      <c r="M145" s="2" t="n">
        <v>-0.52</v>
      </c>
      <c r="N145" s="1" t="n">
        <v>2.42</v>
      </c>
      <c r="O145" s="1" t="n">
        <v>-0.45</v>
      </c>
    </row>
    <row r="146" customFormat="false" ht="15" hidden="false" customHeight="false" outlineLevel="0" collapsed="false">
      <c r="A146" s="1" t="n">
        <v>17</v>
      </c>
      <c r="B146" s="2" t="s">
        <v>33</v>
      </c>
      <c r="C146" s="0" t="n">
        <v>489.19</v>
      </c>
      <c r="D146" s="0" t="n">
        <v>9</v>
      </c>
      <c r="E146" s="0" t="n">
        <v>7.31</v>
      </c>
      <c r="F146" s="0" t="n">
        <v>-11.95</v>
      </c>
      <c r="G146" s="2" t="n">
        <v>1.87</v>
      </c>
      <c r="H146" s="1" t="n">
        <v>-5.25</v>
      </c>
      <c r="I146" s="1" t="n">
        <v>1.87</v>
      </c>
      <c r="J146" s="0" t="n">
        <v>0</v>
      </c>
      <c r="K146" s="2" t="n">
        <v>1.99</v>
      </c>
      <c r="L146" s="0" t="n">
        <v>5.25</v>
      </c>
      <c r="M146" s="2" t="n">
        <v>1.87</v>
      </c>
      <c r="N146" s="1" t="n">
        <v>11.95</v>
      </c>
      <c r="O146" s="1" t="n">
        <v>1.87</v>
      </c>
      <c r="P146" s="0" t="n">
        <v>63.94</v>
      </c>
      <c r="Q146" s="0" t="n">
        <v>11.55</v>
      </c>
    </row>
    <row r="147" customFormat="false" ht="15" hidden="false" customHeight="false" outlineLevel="0" collapsed="false">
      <c r="D147" s="0" t="n">
        <v>8</v>
      </c>
      <c r="E147" s="0" t="n">
        <v>7.01</v>
      </c>
      <c r="F147" s="0" t="n">
        <v>-12.4</v>
      </c>
      <c r="G147" s="2" t="n">
        <v>1.57</v>
      </c>
      <c r="H147" s="1" t="n">
        <v>-5.25</v>
      </c>
      <c r="I147" s="1" t="n">
        <v>1.57</v>
      </c>
      <c r="J147" s="0" t="n">
        <v>0</v>
      </c>
      <c r="K147" s="2" t="n">
        <v>1.69</v>
      </c>
      <c r="L147" s="0" t="n">
        <v>5.25</v>
      </c>
      <c r="M147" s="2" t="n">
        <v>1.57</v>
      </c>
      <c r="N147" s="1" t="n">
        <v>12.4</v>
      </c>
      <c r="O147" s="1" t="n">
        <v>1.57</v>
      </c>
    </row>
    <row r="148" customFormat="false" ht="15" hidden="false" customHeight="false" outlineLevel="0" collapsed="false">
      <c r="D148" s="0" t="n">
        <v>7</v>
      </c>
      <c r="E148" s="0" t="n">
        <v>7.02</v>
      </c>
      <c r="F148" s="0" t="n">
        <v>-12.85</v>
      </c>
      <c r="G148" s="2" t="n">
        <v>1.27</v>
      </c>
      <c r="H148" s="1" t="n">
        <v>-5.25</v>
      </c>
      <c r="I148" s="1" t="n">
        <v>1.27</v>
      </c>
      <c r="J148" s="0" t="n">
        <v>0</v>
      </c>
      <c r="K148" s="2" t="n">
        <v>1.39</v>
      </c>
      <c r="L148" s="0" t="n">
        <v>5.25</v>
      </c>
      <c r="M148" s="2" t="n">
        <v>1.27</v>
      </c>
      <c r="N148" s="1" t="n">
        <v>12.85</v>
      </c>
      <c r="O148" s="1" t="n">
        <v>1.27</v>
      </c>
    </row>
    <row r="149" customFormat="false" ht="15" hidden="false" customHeight="false" outlineLevel="0" collapsed="false">
      <c r="D149" s="0" t="n">
        <v>6</v>
      </c>
      <c r="E149" s="0" t="n">
        <v>7.12</v>
      </c>
      <c r="F149" s="0" t="n">
        <v>-13.3</v>
      </c>
      <c r="G149" s="2" t="n">
        <v>0.97</v>
      </c>
      <c r="H149" s="1" t="n">
        <v>-5.25</v>
      </c>
      <c r="I149" s="1" t="n">
        <v>0.97</v>
      </c>
      <c r="J149" s="0" t="n">
        <v>0</v>
      </c>
      <c r="K149" s="2" t="n">
        <v>1.09</v>
      </c>
      <c r="L149" s="0" t="n">
        <v>5.25</v>
      </c>
      <c r="M149" s="2" t="n">
        <v>0.97</v>
      </c>
      <c r="N149" s="1" t="n">
        <v>13.3</v>
      </c>
      <c r="O149" s="1" t="n">
        <v>0.97</v>
      </c>
    </row>
    <row r="150" customFormat="false" ht="15" hidden="false" customHeight="false" outlineLevel="0" collapsed="false">
      <c r="D150" s="0" t="n">
        <v>5</v>
      </c>
      <c r="E150" s="0" t="n">
        <v>7.22</v>
      </c>
      <c r="F150" s="0" t="n">
        <v>-13.75</v>
      </c>
      <c r="G150" s="2" t="n">
        <v>0.67</v>
      </c>
      <c r="H150" s="1" t="n">
        <v>-5.25</v>
      </c>
      <c r="I150" s="1" t="n">
        <v>0.67</v>
      </c>
      <c r="J150" s="0" t="n">
        <v>0</v>
      </c>
      <c r="K150" s="2" t="n">
        <v>0.79</v>
      </c>
      <c r="L150" s="0" t="n">
        <v>5.25</v>
      </c>
      <c r="M150" s="2" t="n">
        <v>0.67</v>
      </c>
      <c r="N150" s="1" t="n">
        <v>13.75</v>
      </c>
      <c r="O150" s="1" t="n">
        <v>0.67</v>
      </c>
    </row>
    <row r="151" customFormat="false" ht="15" hidden="false" customHeight="false" outlineLevel="0" collapsed="false">
      <c r="D151" s="0" t="n">
        <v>4</v>
      </c>
      <c r="E151" s="0" t="n">
        <v>7.12</v>
      </c>
      <c r="F151" s="0" t="n">
        <v>-14.2</v>
      </c>
      <c r="G151" s="2" t="n">
        <v>0.37</v>
      </c>
      <c r="H151" s="1" t="n">
        <v>-5.25</v>
      </c>
      <c r="I151" s="1" t="n">
        <v>0.37</v>
      </c>
      <c r="J151" s="0" t="n">
        <v>0</v>
      </c>
      <c r="K151" s="2" t="n">
        <v>0.49</v>
      </c>
      <c r="L151" s="0" t="n">
        <v>5.25</v>
      </c>
      <c r="M151" s="2" t="n">
        <v>0.37</v>
      </c>
      <c r="N151" s="1" t="n">
        <v>14.2</v>
      </c>
      <c r="O151" s="1" t="n">
        <v>0.37</v>
      </c>
    </row>
    <row r="152" customFormat="false" ht="15" hidden="false" customHeight="false" outlineLevel="0" collapsed="false">
      <c r="D152" s="0" t="n">
        <v>3</v>
      </c>
      <c r="E152" s="0" t="n">
        <v>5.39</v>
      </c>
      <c r="F152" s="0" t="n">
        <v>-14.65</v>
      </c>
      <c r="G152" s="2" t="n">
        <v>0.07</v>
      </c>
      <c r="H152" s="1" t="n">
        <v>-5.25</v>
      </c>
      <c r="I152" s="1" t="n">
        <v>0.07</v>
      </c>
      <c r="J152" s="0" t="n">
        <v>0</v>
      </c>
      <c r="K152" s="2" t="n">
        <v>0.19</v>
      </c>
      <c r="L152" s="0" t="n">
        <v>5.25</v>
      </c>
      <c r="M152" s="2" t="n">
        <v>0.07</v>
      </c>
      <c r="N152" s="1" t="n">
        <v>14.65</v>
      </c>
      <c r="O152" s="1" t="n">
        <v>0.07</v>
      </c>
    </row>
    <row r="153" customFormat="false" ht="15" hidden="false" customHeight="false" outlineLevel="0" collapsed="false">
      <c r="D153" s="0" t="n">
        <v>2</v>
      </c>
      <c r="E153" s="0" t="n">
        <v>4.13</v>
      </c>
      <c r="F153" s="0" t="n">
        <v>-9.67</v>
      </c>
      <c r="G153" s="2" t="n">
        <v>-0.23</v>
      </c>
      <c r="H153" s="1" t="n">
        <v>-5.25</v>
      </c>
      <c r="I153" s="1" t="n">
        <v>-0.23</v>
      </c>
      <c r="J153" s="0" t="n">
        <v>0</v>
      </c>
      <c r="K153" s="2" t="n">
        <v>-0.11</v>
      </c>
      <c r="L153" s="0" t="n">
        <v>5.25</v>
      </c>
      <c r="M153" s="2" t="n">
        <v>-0.23</v>
      </c>
      <c r="N153" s="1" t="n">
        <v>15.1</v>
      </c>
      <c r="O153" s="1" t="n">
        <v>-0.23</v>
      </c>
    </row>
    <row r="154" customFormat="false" ht="15" hidden="false" customHeight="false" outlineLevel="0" collapsed="false">
      <c r="D154" s="0" t="n">
        <v>1</v>
      </c>
      <c r="E154" s="0" t="n">
        <v>0</v>
      </c>
    </row>
    <row r="155" customFormat="false" ht="15" hidden="false" customHeight="false" outlineLevel="0" collapsed="false">
      <c r="A155" s="1" t="n">
        <v>18</v>
      </c>
      <c r="B155" s="2" t="s">
        <v>34</v>
      </c>
      <c r="C155" s="0" t="n">
        <v>502.36</v>
      </c>
      <c r="D155" s="0" t="n">
        <v>9</v>
      </c>
      <c r="E155" s="0" t="n">
        <v>7.31</v>
      </c>
      <c r="F155" s="0" t="n">
        <v>-11.95</v>
      </c>
      <c r="G155" s="2" t="n">
        <v>1.86</v>
      </c>
      <c r="H155" s="1" t="n">
        <v>-5.25</v>
      </c>
      <c r="I155" s="1" t="n">
        <v>1.86</v>
      </c>
      <c r="J155" s="0" t="n">
        <v>0</v>
      </c>
      <c r="K155" s="2" t="n">
        <v>1.98</v>
      </c>
      <c r="L155" s="0" t="n">
        <v>5.25</v>
      </c>
      <c r="M155" s="2" t="n">
        <v>1.86</v>
      </c>
      <c r="N155" s="1" t="n">
        <v>11.95</v>
      </c>
      <c r="O155" s="1" t="n">
        <v>1.86</v>
      </c>
      <c r="P155" s="0" t="n">
        <v>72.73</v>
      </c>
      <c r="Q155" s="0" t="n">
        <v>11.55</v>
      </c>
    </row>
    <row r="156" customFormat="false" ht="15" hidden="false" customHeight="false" outlineLevel="0" collapsed="false">
      <c r="D156" s="0" t="n">
        <v>8</v>
      </c>
      <c r="E156" s="0" t="n">
        <v>7.58</v>
      </c>
      <c r="F156" s="0" t="n">
        <v>-12.4</v>
      </c>
      <c r="G156" s="2" t="n">
        <v>1.56</v>
      </c>
      <c r="H156" s="1" t="n">
        <v>-5.25</v>
      </c>
      <c r="I156" s="1" t="n">
        <v>1.56</v>
      </c>
      <c r="J156" s="0" t="n">
        <v>0</v>
      </c>
      <c r="K156" s="2" t="n">
        <v>1.68</v>
      </c>
      <c r="L156" s="0" t="n">
        <v>5.25</v>
      </c>
      <c r="M156" s="2" t="n">
        <v>1.56</v>
      </c>
      <c r="N156" s="1" t="n">
        <v>12.4</v>
      </c>
      <c r="O156" s="1" t="n">
        <v>1.56</v>
      </c>
    </row>
    <row r="157" customFormat="false" ht="15" hidden="false" customHeight="false" outlineLevel="0" collapsed="false">
      <c r="D157" s="0" t="n">
        <v>7</v>
      </c>
      <c r="E157" s="0" t="n">
        <v>7.85</v>
      </c>
      <c r="F157" s="0" t="n">
        <v>-12.85</v>
      </c>
      <c r="G157" s="2" t="n">
        <v>1.26</v>
      </c>
      <c r="H157" s="1" t="n">
        <v>-5.25</v>
      </c>
      <c r="I157" s="1" t="n">
        <v>1.26</v>
      </c>
      <c r="J157" s="0" t="n">
        <v>0</v>
      </c>
      <c r="K157" s="2" t="n">
        <v>1.38</v>
      </c>
      <c r="L157" s="0" t="n">
        <v>5.25</v>
      </c>
      <c r="M157" s="2" t="n">
        <v>1.26</v>
      </c>
      <c r="N157" s="1" t="n">
        <v>12.85</v>
      </c>
      <c r="O157" s="1" t="n">
        <v>1.26</v>
      </c>
    </row>
    <row r="158" customFormat="false" ht="15" hidden="false" customHeight="false" outlineLevel="0" collapsed="false">
      <c r="D158" s="0" t="n">
        <v>6</v>
      </c>
      <c r="E158" s="0" t="n">
        <v>8.12</v>
      </c>
      <c r="F158" s="0" t="n">
        <v>-13.3</v>
      </c>
      <c r="G158" s="2" t="n">
        <v>0.96</v>
      </c>
      <c r="H158" s="1" t="n">
        <v>-5.25</v>
      </c>
      <c r="I158" s="1" t="n">
        <v>0.96</v>
      </c>
      <c r="J158" s="0" t="n">
        <v>0</v>
      </c>
      <c r="K158" s="2" t="n">
        <v>1.08</v>
      </c>
      <c r="L158" s="0" t="n">
        <v>5.25</v>
      </c>
      <c r="M158" s="2" t="n">
        <v>0.96</v>
      </c>
      <c r="N158" s="1" t="n">
        <v>13.3</v>
      </c>
      <c r="O158" s="1" t="n">
        <v>0.96</v>
      </c>
    </row>
    <row r="159" customFormat="false" ht="15" hidden="false" customHeight="false" outlineLevel="0" collapsed="false">
      <c r="D159" s="0" t="n">
        <v>5</v>
      </c>
      <c r="E159" s="0" t="n">
        <v>8.39</v>
      </c>
      <c r="F159" s="0" t="n">
        <v>-13.75</v>
      </c>
      <c r="G159" s="2" t="n">
        <v>0.66</v>
      </c>
      <c r="H159" s="1" t="n">
        <v>-5.25</v>
      </c>
      <c r="I159" s="1" t="n">
        <v>0.66</v>
      </c>
      <c r="J159" s="0" t="n">
        <v>0</v>
      </c>
      <c r="K159" s="2" t="n">
        <v>0.78</v>
      </c>
      <c r="L159" s="0" t="n">
        <v>5.25</v>
      </c>
      <c r="M159" s="2" t="n">
        <v>0.66</v>
      </c>
      <c r="N159" s="1" t="n">
        <v>13.75</v>
      </c>
      <c r="O159" s="1" t="n">
        <v>0.66</v>
      </c>
    </row>
    <row r="160" customFormat="false" ht="15" hidden="false" customHeight="false" outlineLevel="0" collapsed="false">
      <c r="D160" s="0" t="n">
        <v>4</v>
      </c>
      <c r="E160" s="0" t="n">
        <v>8.66</v>
      </c>
      <c r="F160" s="0" t="n">
        <v>-14.2</v>
      </c>
      <c r="G160" s="2" t="n">
        <v>0.36</v>
      </c>
      <c r="H160" s="1" t="n">
        <v>-5.25</v>
      </c>
      <c r="I160" s="1" t="n">
        <v>0.36</v>
      </c>
      <c r="J160" s="0" t="n">
        <v>0</v>
      </c>
      <c r="K160" s="2" t="n">
        <v>0.48</v>
      </c>
      <c r="L160" s="0" t="n">
        <v>5.25</v>
      </c>
      <c r="M160" s="2" t="n">
        <v>0.36</v>
      </c>
      <c r="N160" s="1" t="n">
        <v>14.2</v>
      </c>
      <c r="O160" s="1" t="n">
        <v>0.36</v>
      </c>
    </row>
    <row r="161" customFormat="false" ht="15" hidden="false" customHeight="false" outlineLevel="0" collapsed="false">
      <c r="D161" s="0" t="n">
        <v>3</v>
      </c>
      <c r="E161" s="0" t="n">
        <v>8.13</v>
      </c>
      <c r="F161" s="0" t="n">
        <v>-14.65</v>
      </c>
      <c r="G161" s="2" t="n">
        <v>0.06</v>
      </c>
      <c r="H161" s="1" t="n">
        <v>-5.25</v>
      </c>
      <c r="I161" s="1" t="n">
        <v>0.06</v>
      </c>
      <c r="J161" s="0" t="n">
        <v>0</v>
      </c>
      <c r="K161" s="2" t="n">
        <v>0.18</v>
      </c>
      <c r="L161" s="0" t="n">
        <v>5.25</v>
      </c>
      <c r="M161" s="2" t="n">
        <v>0.06</v>
      </c>
      <c r="N161" s="1" t="n">
        <v>14.65</v>
      </c>
      <c r="O161" s="1" t="n">
        <v>0.06</v>
      </c>
    </row>
    <row r="162" customFormat="false" ht="15" hidden="false" customHeight="false" outlineLevel="0" collapsed="false">
      <c r="D162" s="0" t="n">
        <v>2</v>
      </c>
      <c r="E162" s="0" t="n">
        <v>5.13</v>
      </c>
      <c r="F162" s="0" t="n">
        <v>-10.68</v>
      </c>
      <c r="G162" s="2" t="n">
        <v>-0.24</v>
      </c>
      <c r="H162" s="1" t="n">
        <v>-5.25</v>
      </c>
      <c r="I162" s="1" t="n">
        <v>-0.24</v>
      </c>
      <c r="J162" s="0" t="n">
        <v>0</v>
      </c>
      <c r="K162" s="2" t="n">
        <v>-0.12</v>
      </c>
      <c r="L162" s="0" t="n">
        <v>5.25</v>
      </c>
      <c r="M162" s="2" t="n">
        <v>-0.24</v>
      </c>
      <c r="N162" s="1" t="n">
        <v>10.58</v>
      </c>
      <c r="O162" s="1" t="n">
        <v>-0.24</v>
      </c>
    </row>
    <row r="163" customFormat="false" ht="15" hidden="false" customHeight="false" outlineLevel="0" collapsed="false">
      <c r="D163" s="0" t="n">
        <v>1</v>
      </c>
      <c r="E163" s="0" t="n">
        <v>0</v>
      </c>
    </row>
    <row r="164" customFormat="false" ht="15" hidden="false" customHeight="false" outlineLevel="0" collapsed="false">
      <c r="A164" s="1" t="n">
        <v>19</v>
      </c>
      <c r="B164" s="2" t="s">
        <v>35</v>
      </c>
      <c r="C164" s="0" t="n">
        <v>512.84</v>
      </c>
      <c r="D164" s="0" t="n">
        <v>9</v>
      </c>
      <c r="E164" s="0" t="n">
        <v>7.31</v>
      </c>
      <c r="F164" s="0" t="n">
        <v>-11.95</v>
      </c>
      <c r="G164" s="2" t="n">
        <v>1.86</v>
      </c>
      <c r="H164" s="1" t="n">
        <v>-5.25</v>
      </c>
      <c r="I164" s="1" t="n">
        <v>1.86</v>
      </c>
      <c r="J164" s="0" t="n">
        <v>0</v>
      </c>
      <c r="K164" s="2" t="n">
        <v>1.97</v>
      </c>
      <c r="L164" s="0" t="n">
        <v>5.25</v>
      </c>
      <c r="M164" s="2" t="n">
        <v>1.86</v>
      </c>
      <c r="N164" s="1" t="n">
        <v>11.95</v>
      </c>
      <c r="O164" s="1" t="n">
        <v>1.86</v>
      </c>
      <c r="P164" s="0" t="n">
        <v>72.39</v>
      </c>
      <c r="Q164" s="0" t="n">
        <v>11.55</v>
      </c>
    </row>
    <row r="165" customFormat="false" ht="15" hidden="false" customHeight="false" outlineLevel="0" collapsed="false">
      <c r="D165" s="0" t="n">
        <v>8</v>
      </c>
      <c r="E165" s="0" t="n">
        <v>7.58</v>
      </c>
      <c r="F165" s="0" t="n">
        <v>-12.4</v>
      </c>
      <c r="G165" s="2" t="n">
        <v>1.56</v>
      </c>
      <c r="H165" s="1" t="n">
        <v>-5.25</v>
      </c>
      <c r="I165" s="1" t="n">
        <v>1.56</v>
      </c>
      <c r="J165" s="0" t="n">
        <v>0</v>
      </c>
      <c r="K165" s="2" t="n">
        <v>1.67</v>
      </c>
      <c r="L165" s="0" t="n">
        <v>5.25</v>
      </c>
      <c r="M165" s="2" t="n">
        <v>1.56</v>
      </c>
      <c r="N165" s="1" t="n">
        <v>12.4</v>
      </c>
      <c r="O165" s="1" t="n">
        <v>1.56</v>
      </c>
    </row>
    <row r="166" customFormat="false" ht="15" hidden="false" customHeight="false" outlineLevel="0" collapsed="false">
      <c r="D166" s="0" t="n">
        <v>7</v>
      </c>
      <c r="E166" s="0" t="n">
        <v>7.85</v>
      </c>
      <c r="F166" s="0" t="n">
        <v>-12.85</v>
      </c>
      <c r="G166" s="2" t="n">
        <v>1.26</v>
      </c>
      <c r="H166" s="1" t="n">
        <v>-5.25</v>
      </c>
      <c r="I166" s="1" t="n">
        <v>1.26</v>
      </c>
      <c r="J166" s="0" t="n">
        <v>0</v>
      </c>
      <c r="K166" s="2" t="n">
        <v>1.37</v>
      </c>
      <c r="L166" s="0" t="n">
        <v>5.25</v>
      </c>
      <c r="M166" s="2" t="n">
        <v>1.26</v>
      </c>
      <c r="N166" s="1" t="n">
        <v>12.85</v>
      </c>
      <c r="O166" s="1" t="n">
        <v>1.26</v>
      </c>
    </row>
    <row r="167" customFormat="false" ht="15" hidden="false" customHeight="false" outlineLevel="0" collapsed="false">
      <c r="D167" s="0" t="n">
        <v>6</v>
      </c>
      <c r="E167" s="0" t="n">
        <v>8.12</v>
      </c>
      <c r="F167" s="0" t="n">
        <v>-13.3</v>
      </c>
      <c r="G167" s="2" t="n">
        <v>0.96</v>
      </c>
      <c r="H167" s="1" t="n">
        <v>-5.25</v>
      </c>
      <c r="I167" s="1" t="n">
        <v>0.96</v>
      </c>
      <c r="J167" s="0" t="n">
        <v>0</v>
      </c>
      <c r="K167" s="2" t="n">
        <v>1.07</v>
      </c>
      <c r="L167" s="0" t="n">
        <v>5.25</v>
      </c>
      <c r="M167" s="2" t="n">
        <v>0.96</v>
      </c>
      <c r="N167" s="1" t="n">
        <v>13.3</v>
      </c>
      <c r="O167" s="1" t="n">
        <v>0.96</v>
      </c>
    </row>
    <row r="168" customFormat="false" ht="15" hidden="false" customHeight="false" outlineLevel="0" collapsed="false">
      <c r="D168" s="0" t="n">
        <v>5</v>
      </c>
      <c r="E168" s="0" t="n">
        <v>8.39</v>
      </c>
      <c r="F168" s="0" t="n">
        <v>-13.75</v>
      </c>
      <c r="G168" s="2" t="n">
        <v>0.66</v>
      </c>
      <c r="H168" s="1" t="n">
        <v>-5.25</v>
      </c>
      <c r="I168" s="1" t="n">
        <v>0.66</v>
      </c>
      <c r="J168" s="0" t="n">
        <v>0</v>
      </c>
      <c r="K168" s="2" t="n">
        <v>0.77</v>
      </c>
      <c r="L168" s="0" t="n">
        <v>5.25</v>
      </c>
      <c r="M168" s="2" t="n">
        <v>0.66</v>
      </c>
      <c r="N168" s="1" t="n">
        <v>13.75</v>
      </c>
      <c r="O168" s="1" t="n">
        <v>0.66</v>
      </c>
    </row>
    <row r="169" customFormat="false" ht="15" hidden="false" customHeight="false" outlineLevel="0" collapsed="false">
      <c r="D169" s="0" t="n">
        <v>4</v>
      </c>
      <c r="E169" s="0" t="n">
        <v>8.66</v>
      </c>
      <c r="F169" s="0" t="n">
        <v>-14.2</v>
      </c>
      <c r="G169" s="2" t="n">
        <v>0.36</v>
      </c>
      <c r="H169" s="1" t="n">
        <v>-5.25</v>
      </c>
      <c r="I169" s="1" t="n">
        <v>0.36</v>
      </c>
      <c r="J169" s="0" t="n">
        <v>0</v>
      </c>
      <c r="K169" s="2" t="n">
        <v>0.47</v>
      </c>
      <c r="L169" s="0" t="n">
        <v>5.25</v>
      </c>
      <c r="M169" s="2" t="n">
        <v>0.36</v>
      </c>
      <c r="N169" s="1" t="n">
        <v>14.2</v>
      </c>
      <c r="O169" s="1" t="n">
        <v>0.36</v>
      </c>
    </row>
    <row r="170" customFormat="false" ht="15" hidden="false" customHeight="false" outlineLevel="0" collapsed="false">
      <c r="D170" s="0" t="n">
        <v>3</v>
      </c>
      <c r="E170" s="0" t="n">
        <v>8.05</v>
      </c>
      <c r="F170" s="0" t="n">
        <v>-14.65</v>
      </c>
      <c r="G170" s="2" t="n">
        <v>0.06</v>
      </c>
      <c r="H170" s="1" t="n">
        <v>-5.25</v>
      </c>
      <c r="I170" s="1" t="n">
        <v>0.06</v>
      </c>
      <c r="J170" s="0" t="n">
        <v>0</v>
      </c>
      <c r="K170" s="2" t="n">
        <v>0.17</v>
      </c>
      <c r="L170" s="0" t="n">
        <v>5.25</v>
      </c>
      <c r="M170" s="2" t="n">
        <v>0.06</v>
      </c>
      <c r="N170" s="1" t="n">
        <v>14.65</v>
      </c>
      <c r="O170" s="1" t="n">
        <v>0.06</v>
      </c>
    </row>
    <row r="171" customFormat="false" ht="15" hidden="false" customHeight="false" outlineLevel="0" collapsed="false">
      <c r="D171" s="0" t="n">
        <v>2</v>
      </c>
      <c r="E171" s="0" t="n">
        <v>4.88</v>
      </c>
      <c r="F171" s="0" t="n">
        <v>-10.11</v>
      </c>
      <c r="G171" s="2" t="n">
        <v>-0.24</v>
      </c>
      <c r="H171" s="1" t="n">
        <v>-5.25</v>
      </c>
      <c r="I171" s="1" t="n">
        <v>-0.24</v>
      </c>
      <c r="J171" s="0" t="n">
        <v>0</v>
      </c>
      <c r="K171" s="2" t="n">
        <v>-0.13</v>
      </c>
      <c r="L171" s="0" t="n">
        <v>5.25</v>
      </c>
      <c r="M171" s="2" t="n">
        <v>-0.24</v>
      </c>
      <c r="N171" s="1" t="n">
        <v>10.49</v>
      </c>
      <c r="O171" s="1" t="n">
        <v>-0.24</v>
      </c>
    </row>
    <row r="172" customFormat="false" ht="15" hidden="false" customHeight="false" outlineLevel="0" collapsed="false">
      <c r="D172" s="0" t="n">
        <v>1</v>
      </c>
      <c r="E172" s="0" t="n">
        <v>0</v>
      </c>
    </row>
    <row r="173" customFormat="false" ht="15" hidden="false" customHeight="false" outlineLevel="0" collapsed="false">
      <c r="A173" s="1" t="n">
        <v>20</v>
      </c>
      <c r="B173" s="2" t="s">
        <v>36</v>
      </c>
      <c r="C173" s="0" t="n">
        <v>529.62</v>
      </c>
      <c r="D173" s="0" t="n">
        <v>9</v>
      </c>
      <c r="E173" s="0" t="n">
        <v>7.31</v>
      </c>
      <c r="F173" s="0" t="n">
        <v>-11.95</v>
      </c>
      <c r="G173" s="2" t="n">
        <v>1.85</v>
      </c>
      <c r="H173" s="1" t="n">
        <v>-5.25</v>
      </c>
      <c r="I173" s="1" t="n">
        <v>1.85</v>
      </c>
      <c r="J173" s="0" t="n">
        <v>0</v>
      </c>
      <c r="K173" s="2" t="n">
        <v>1.97</v>
      </c>
      <c r="L173" s="0" t="n">
        <v>5.25</v>
      </c>
      <c r="M173" s="2" t="n">
        <v>1.85</v>
      </c>
      <c r="N173" s="1" t="n">
        <v>11.95</v>
      </c>
      <c r="O173" s="1" t="n">
        <v>1.85</v>
      </c>
      <c r="P173" s="0" t="n">
        <v>73.43</v>
      </c>
      <c r="Q173" s="0" t="n">
        <v>11.55</v>
      </c>
    </row>
    <row r="174" customFormat="false" ht="15" hidden="false" customHeight="false" outlineLevel="0" collapsed="false">
      <c r="D174" s="0" t="n">
        <v>8</v>
      </c>
      <c r="E174" s="0" t="n">
        <v>7.58</v>
      </c>
      <c r="F174" s="0" t="n">
        <v>-12.4</v>
      </c>
      <c r="G174" s="2" t="n">
        <v>1.55</v>
      </c>
      <c r="H174" s="1" t="n">
        <v>-5.25</v>
      </c>
      <c r="I174" s="1" t="n">
        <v>1.55</v>
      </c>
      <c r="J174" s="0" t="n">
        <v>0</v>
      </c>
      <c r="K174" s="2" t="n">
        <v>1.67</v>
      </c>
      <c r="L174" s="0" t="n">
        <v>5.25</v>
      </c>
      <c r="M174" s="2" t="n">
        <v>1.55</v>
      </c>
      <c r="N174" s="1" t="n">
        <v>12.4</v>
      </c>
      <c r="O174" s="1" t="n">
        <v>1.55</v>
      </c>
    </row>
    <row r="175" customFormat="false" ht="15" hidden="false" customHeight="false" outlineLevel="0" collapsed="false">
      <c r="D175" s="0" t="n">
        <v>7</v>
      </c>
      <c r="E175" s="0" t="n">
        <v>7.85</v>
      </c>
      <c r="F175" s="0" t="n">
        <v>-12.85</v>
      </c>
      <c r="G175" s="2" t="n">
        <v>1.25</v>
      </c>
      <c r="H175" s="1" t="n">
        <v>-5.25</v>
      </c>
      <c r="I175" s="1" t="n">
        <v>1.25</v>
      </c>
      <c r="J175" s="0" t="n">
        <v>0</v>
      </c>
      <c r="K175" s="2" t="n">
        <v>1.37</v>
      </c>
      <c r="L175" s="0" t="n">
        <v>5.25</v>
      </c>
      <c r="M175" s="2" t="n">
        <v>1.25</v>
      </c>
      <c r="N175" s="1" t="n">
        <v>12.85</v>
      </c>
      <c r="O175" s="1" t="n">
        <v>1.25</v>
      </c>
    </row>
    <row r="176" customFormat="false" ht="15" hidden="false" customHeight="false" outlineLevel="0" collapsed="false">
      <c r="D176" s="0" t="n">
        <v>6</v>
      </c>
      <c r="E176" s="0" t="n">
        <v>8.12</v>
      </c>
      <c r="F176" s="0" t="n">
        <v>-13.3</v>
      </c>
      <c r="G176" s="2" t="n">
        <v>0.95</v>
      </c>
      <c r="H176" s="1" t="n">
        <v>-5.25</v>
      </c>
      <c r="I176" s="1" t="n">
        <v>0.95</v>
      </c>
      <c r="J176" s="0" t="n">
        <v>0</v>
      </c>
      <c r="K176" s="2" t="n">
        <v>1.07</v>
      </c>
      <c r="L176" s="0" t="n">
        <v>5.25</v>
      </c>
      <c r="M176" s="2" t="n">
        <v>0.95</v>
      </c>
      <c r="N176" s="1" t="n">
        <v>13.3</v>
      </c>
      <c r="O176" s="1" t="n">
        <v>0.95</v>
      </c>
    </row>
    <row r="177" customFormat="false" ht="15" hidden="false" customHeight="false" outlineLevel="0" collapsed="false">
      <c r="D177" s="0" t="n">
        <v>5</v>
      </c>
      <c r="E177" s="0" t="n">
        <v>8.39</v>
      </c>
      <c r="F177" s="0" t="n">
        <v>-13.75</v>
      </c>
      <c r="G177" s="2" t="n">
        <v>0.65</v>
      </c>
      <c r="H177" s="1" t="n">
        <v>-5.25</v>
      </c>
      <c r="I177" s="1" t="n">
        <v>0.65</v>
      </c>
      <c r="J177" s="0" t="n">
        <v>0</v>
      </c>
      <c r="K177" s="2" t="n">
        <v>0.77</v>
      </c>
      <c r="L177" s="0" t="n">
        <v>5.25</v>
      </c>
      <c r="M177" s="2" t="n">
        <v>0.65</v>
      </c>
      <c r="N177" s="1" t="n">
        <v>13.75</v>
      </c>
      <c r="O177" s="1" t="n">
        <v>0.65</v>
      </c>
    </row>
    <row r="178" customFormat="false" ht="15" hidden="false" customHeight="false" outlineLevel="0" collapsed="false">
      <c r="D178" s="0" t="n">
        <v>4</v>
      </c>
      <c r="E178" s="0" t="n">
        <v>8.66</v>
      </c>
      <c r="F178" s="0" t="n">
        <v>-14.2</v>
      </c>
      <c r="G178" s="2" t="n">
        <v>0.35</v>
      </c>
      <c r="H178" s="1" t="n">
        <v>-5.25</v>
      </c>
      <c r="I178" s="1" t="n">
        <v>0.35</v>
      </c>
      <c r="J178" s="0" t="n">
        <v>0</v>
      </c>
      <c r="K178" s="2" t="n">
        <v>0.47</v>
      </c>
      <c r="L178" s="0" t="n">
        <v>5.25</v>
      </c>
      <c r="M178" s="2" t="n">
        <v>0.35</v>
      </c>
      <c r="N178" s="1" t="n">
        <v>14.2</v>
      </c>
      <c r="O178" s="1" t="n">
        <v>0.35</v>
      </c>
    </row>
    <row r="179" customFormat="false" ht="15" hidden="false" customHeight="false" outlineLevel="0" collapsed="false">
      <c r="D179" s="0" t="n">
        <v>3</v>
      </c>
      <c r="E179" s="0" t="n">
        <v>8.93</v>
      </c>
      <c r="F179" s="0" t="n">
        <v>-14.65</v>
      </c>
      <c r="G179" s="2" t="n">
        <v>0.05</v>
      </c>
      <c r="H179" s="1" t="n">
        <v>-5.25</v>
      </c>
      <c r="I179" s="1" t="n">
        <v>0.05</v>
      </c>
      <c r="J179" s="0" t="n">
        <v>0</v>
      </c>
      <c r="K179" s="2" t="n">
        <v>0.17</v>
      </c>
      <c r="L179" s="0" t="n">
        <v>5.25</v>
      </c>
      <c r="M179" s="2" t="n">
        <v>0.05</v>
      </c>
      <c r="N179" s="1" t="n">
        <v>14.65</v>
      </c>
      <c r="O179" s="1" t="n">
        <v>0.05</v>
      </c>
    </row>
    <row r="180" customFormat="false" ht="15" hidden="false" customHeight="false" outlineLevel="0" collapsed="false">
      <c r="D180" s="0" t="n">
        <v>2</v>
      </c>
      <c r="E180" s="0" t="n">
        <v>5.06</v>
      </c>
      <c r="F180" s="0" t="n">
        <v>-15.04</v>
      </c>
      <c r="G180" s="2" t="n">
        <v>-0.25</v>
      </c>
      <c r="H180" s="1" t="n">
        <v>-5.25</v>
      </c>
      <c r="I180" s="1" t="n">
        <v>-0.25</v>
      </c>
      <c r="J180" s="0" t="n">
        <v>0</v>
      </c>
      <c r="K180" s="2" t="n">
        <v>-0.13</v>
      </c>
      <c r="L180" s="0" t="n">
        <v>5.25</v>
      </c>
      <c r="M180" s="2" t="n">
        <v>-0.25</v>
      </c>
      <c r="N180" s="1" t="n">
        <v>15.1</v>
      </c>
      <c r="O180" s="1" t="n">
        <v>-0.25</v>
      </c>
    </row>
    <row r="181" customFormat="false" ht="15" hidden="false" customHeight="false" outlineLevel="0" collapsed="false">
      <c r="D181" s="0" t="n">
        <v>1</v>
      </c>
      <c r="E181" s="0" t="n">
        <v>0</v>
      </c>
    </row>
    <row r="182" customFormat="false" ht="15" hidden="false" customHeight="false" outlineLevel="0" collapsed="false">
      <c r="A182" s="1" t="n">
        <v>21</v>
      </c>
      <c r="B182" s="2" t="s">
        <v>37</v>
      </c>
      <c r="C182" s="0" t="n">
        <v>546.72</v>
      </c>
      <c r="D182" s="0" t="n">
        <v>9</v>
      </c>
      <c r="E182" s="0" t="n">
        <v>7.31</v>
      </c>
      <c r="F182" s="0" t="n">
        <v>-11.95</v>
      </c>
      <c r="G182" s="2" t="n">
        <v>1.84</v>
      </c>
      <c r="H182" s="1" t="n">
        <v>-5.25</v>
      </c>
      <c r="I182" s="1" t="n">
        <v>1.84</v>
      </c>
      <c r="J182" s="0" t="n">
        <v>0</v>
      </c>
      <c r="K182" s="2" t="n">
        <v>1.96</v>
      </c>
      <c r="L182" s="0" t="n">
        <v>5.25</v>
      </c>
      <c r="M182" s="2" t="n">
        <v>1.84</v>
      </c>
      <c r="N182" s="1" t="n">
        <v>11.95</v>
      </c>
      <c r="O182" s="1" t="n">
        <v>1.84</v>
      </c>
      <c r="P182" s="0" t="n">
        <v>62.93</v>
      </c>
      <c r="Q182" s="0" t="n">
        <v>11.55</v>
      </c>
    </row>
    <row r="183" customFormat="false" ht="15" hidden="false" customHeight="false" outlineLevel="0" collapsed="false">
      <c r="D183" s="0" t="n">
        <v>8</v>
      </c>
      <c r="E183" s="0" t="n">
        <v>7.01</v>
      </c>
      <c r="F183" s="0" t="n">
        <v>-12.4</v>
      </c>
      <c r="G183" s="2" t="n">
        <v>1.54</v>
      </c>
      <c r="H183" s="1" t="n">
        <v>-5.25</v>
      </c>
      <c r="I183" s="1" t="n">
        <v>1.54</v>
      </c>
      <c r="J183" s="0" t="n">
        <v>0</v>
      </c>
      <c r="K183" s="2" t="n">
        <v>1.66</v>
      </c>
      <c r="L183" s="0" t="n">
        <v>5.25</v>
      </c>
      <c r="M183" s="2" t="n">
        <v>1.54</v>
      </c>
      <c r="N183" s="1" t="n">
        <v>12.4</v>
      </c>
      <c r="O183" s="1" t="n">
        <v>1.54</v>
      </c>
    </row>
    <row r="184" customFormat="false" ht="15" hidden="false" customHeight="false" outlineLevel="0" collapsed="false">
      <c r="D184" s="0" t="n">
        <v>7</v>
      </c>
      <c r="E184" s="0" t="n">
        <v>6.93</v>
      </c>
      <c r="F184" s="0" t="n">
        <v>-12.85</v>
      </c>
      <c r="G184" s="2" t="n">
        <v>1.24</v>
      </c>
      <c r="H184" s="1" t="n">
        <v>-5.25</v>
      </c>
      <c r="I184" s="1" t="n">
        <v>1.24</v>
      </c>
      <c r="J184" s="0" t="n">
        <v>0</v>
      </c>
      <c r="K184" s="2" t="n">
        <v>1.36</v>
      </c>
      <c r="L184" s="0" t="n">
        <v>5.25</v>
      </c>
      <c r="M184" s="2" t="n">
        <v>1.24</v>
      </c>
      <c r="N184" s="1" t="n">
        <v>12.85</v>
      </c>
      <c r="O184" s="1" t="n">
        <v>1.24</v>
      </c>
    </row>
    <row r="185" customFormat="false" ht="15" hidden="false" customHeight="false" outlineLevel="0" collapsed="false">
      <c r="D185" s="0" t="n">
        <v>6</v>
      </c>
      <c r="E185" s="0" t="n">
        <v>6.98</v>
      </c>
      <c r="F185" s="0" t="n">
        <v>-13.3</v>
      </c>
      <c r="G185" s="2" t="n">
        <v>0.94</v>
      </c>
      <c r="H185" s="1" t="n">
        <v>-5.25</v>
      </c>
      <c r="I185" s="1" t="n">
        <v>0.94</v>
      </c>
      <c r="J185" s="0" t="n">
        <v>0</v>
      </c>
      <c r="K185" s="2" t="n">
        <v>1.06</v>
      </c>
      <c r="L185" s="0" t="n">
        <v>5.25</v>
      </c>
      <c r="M185" s="2" t="n">
        <v>0.94</v>
      </c>
      <c r="N185" s="1" t="n">
        <v>13.3</v>
      </c>
      <c r="O185" s="1" t="n">
        <v>0.94</v>
      </c>
    </row>
    <row r="186" customFormat="false" ht="15" hidden="false" customHeight="false" outlineLevel="0" collapsed="false">
      <c r="D186" s="0" t="n">
        <v>5</v>
      </c>
      <c r="E186" s="0" t="n">
        <v>7.03</v>
      </c>
      <c r="F186" s="0" t="n">
        <v>-13.75</v>
      </c>
      <c r="G186" s="2" t="n">
        <v>0.64</v>
      </c>
      <c r="H186" s="1" t="n">
        <v>-5.25</v>
      </c>
      <c r="I186" s="1" t="n">
        <v>0.64</v>
      </c>
      <c r="J186" s="0" t="n">
        <v>0</v>
      </c>
      <c r="K186" s="2" t="n">
        <v>0.76</v>
      </c>
      <c r="L186" s="0" t="n">
        <v>5.25</v>
      </c>
      <c r="M186" s="2" t="n">
        <v>0.64</v>
      </c>
      <c r="N186" s="1" t="n">
        <v>13.75</v>
      </c>
      <c r="O186" s="1" t="n">
        <v>0.64</v>
      </c>
    </row>
    <row r="187" customFormat="false" ht="15" hidden="false" customHeight="false" outlineLevel="0" collapsed="false">
      <c r="D187" s="0" t="n">
        <v>4</v>
      </c>
      <c r="E187" s="0" t="n">
        <v>7.05</v>
      </c>
      <c r="F187" s="0" t="n">
        <v>-14.2</v>
      </c>
      <c r="G187" s="2" t="n">
        <v>0.34</v>
      </c>
      <c r="H187" s="1" t="n">
        <v>-5.25</v>
      </c>
      <c r="I187" s="1" t="n">
        <v>0.34</v>
      </c>
      <c r="J187" s="0" t="n">
        <v>0</v>
      </c>
      <c r="K187" s="2" t="n">
        <v>0.46</v>
      </c>
      <c r="L187" s="0" t="n">
        <v>5.25</v>
      </c>
      <c r="M187" s="2" t="n">
        <v>0.34</v>
      </c>
      <c r="N187" s="1" t="n">
        <v>14.2</v>
      </c>
      <c r="O187" s="1" t="n">
        <v>0.34</v>
      </c>
    </row>
    <row r="188" customFormat="false" ht="15" hidden="false" customHeight="false" outlineLevel="0" collapsed="false">
      <c r="D188" s="0" t="n">
        <v>3</v>
      </c>
      <c r="E188" s="0" t="n">
        <v>5.37</v>
      </c>
      <c r="F188" s="0" t="n">
        <v>-14.65</v>
      </c>
      <c r="G188" s="2" t="n">
        <v>0.04</v>
      </c>
      <c r="H188" s="1" t="n">
        <v>-5.25</v>
      </c>
      <c r="I188" s="1" t="n">
        <v>0.04</v>
      </c>
      <c r="J188" s="0" t="n">
        <v>0</v>
      </c>
      <c r="K188" s="2" t="n">
        <v>0.16</v>
      </c>
      <c r="L188" s="0" t="n">
        <v>5.25</v>
      </c>
      <c r="M188" s="2" t="n">
        <v>0.04</v>
      </c>
      <c r="N188" s="1" t="n">
        <v>14.65</v>
      </c>
      <c r="O188" s="1" t="n">
        <v>0.04</v>
      </c>
    </row>
    <row r="189" customFormat="false" ht="15" hidden="false" customHeight="false" outlineLevel="0" collapsed="false">
      <c r="D189" s="0" t="n">
        <v>2</v>
      </c>
      <c r="E189" s="0" t="n">
        <v>3.71</v>
      </c>
      <c r="F189" s="0" t="n">
        <v>-6.44</v>
      </c>
      <c r="G189" s="2" t="n">
        <v>-0.26</v>
      </c>
      <c r="H189" s="1" t="n">
        <v>-5.25</v>
      </c>
      <c r="I189" s="1" t="n">
        <v>-0.26</v>
      </c>
      <c r="J189" s="0" t="n">
        <v>0</v>
      </c>
      <c r="K189" s="2" t="n">
        <v>-0.14</v>
      </c>
      <c r="L189" s="0" t="n">
        <v>5.25</v>
      </c>
      <c r="M189" s="2" t="n">
        <v>-0.26</v>
      </c>
      <c r="N189" s="1" t="n">
        <v>9.68</v>
      </c>
      <c r="O189" s="1" t="n">
        <v>-0.26</v>
      </c>
    </row>
    <row r="190" customFormat="false" ht="15" hidden="false" customHeight="false" outlineLevel="0" collapsed="false">
      <c r="D190" s="0" t="n">
        <v>1</v>
      </c>
      <c r="E190" s="0" t="n">
        <v>0</v>
      </c>
    </row>
    <row r="191" customFormat="false" ht="15" hidden="false" customHeight="false" outlineLevel="0" collapsed="false">
      <c r="A191" s="1" t="n">
        <v>22</v>
      </c>
      <c r="B191" s="2" t="s">
        <v>38</v>
      </c>
      <c r="C191" s="0" t="n">
        <v>561.87</v>
      </c>
      <c r="D191" s="0" t="n">
        <v>9</v>
      </c>
      <c r="E191" s="0" t="n">
        <v>7.31</v>
      </c>
      <c r="F191" s="0" t="n">
        <v>-11.95</v>
      </c>
      <c r="G191" s="2" t="n">
        <v>1.84</v>
      </c>
      <c r="H191" s="1" t="n">
        <v>-5.25</v>
      </c>
      <c r="I191" s="1" t="n">
        <v>1.84</v>
      </c>
      <c r="J191" s="0" t="n">
        <v>0</v>
      </c>
      <c r="K191" s="2" t="n">
        <v>1.95</v>
      </c>
      <c r="L191" s="0" t="n">
        <v>5.25</v>
      </c>
      <c r="M191" s="2" t="n">
        <v>1.84</v>
      </c>
      <c r="N191" s="1" t="n">
        <v>11.95</v>
      </c>
      <c r="O191" s="1" t="n">
        <v>1.84</v>
      </c>
      <c r="P191" s="0" t="n">
        <v>71.38</v>
      </c>
      <c r="Q191" s="0" t="n">
        <v>11.55</v>
      </c>
    </row>
    <row r="192" customFormat="false" ht="15" hidden="false" customHeight="false" outlineLevel="0" collapsed="false">
      <c r="D192" s="0" t="n">
        <v>8</v>
      </c>
      <c r="E192" s="0" t="n">
        <v>7.58</v>
      </c>
      <c r="F192" s="0" t="n">
        <v>-12.4</v>
      </c>
      <c r="G192" s="2" t="n">
        <v>1.54</v>
      </c>
      <c r="H192" s="1" t="n">
        <v>-5.25</v>
      </c>
      <c r="I192" s="1" t="n">
        <v>1.54</v>
      </c>
      <c r="J192" s="0" t="n">
        <v>0</v>
      </c>
      <c r="K192" s="2" t="n">
        <v>1.65</v>
      </c>
      <c r="L192" s="0" t="n">
        <v>5.25</v>
      </c>
      <c r="M192" s="2" t="n">
        <v>1.54</v>
      </c>
      <c r="N192" s="1" t="n">
        <v>12.4</v>
      </c>
      <c r="O192" s="1" t="n">
        <v>1.54</v>
      </c>
    </row>
    <row r="193" customFormat="false" ht="15" hidden="false" customHeight="false" outlineLevel="0" collapsed="false">
      <c r="D193" s="0" t="n">
        <v>7</v>
      </c>
      <c r="E193" s="0" t="n">
        <v>7.85</v>
      </c>
      <c r="F193" s="0" t="n">
        <v>-12.85</v>
      </c>
      <c r="G193" s="2" t="n">
        <v>1.24</v>
      </c>
      <c r="H193" s="1" t="n">
        <v>-5.25</v>
      </c>
      <c r="I193" s="1" t="n">
        <v>1.24</v>
      </c>
      <c r="J193" s="0" t="n">
        <v>0</v>
      </c>
      <c r="K193" s="2" t="n">
        <v>1.35</v>
      </c>
      <c r="L193" s="0" t="n">
        <v>5.25</v>
      </c>
      <c r="M193" s="2" t="n">
        <v>1.24</v>
      </c>
      <c r="N193" s="1" t="n">
        <v>12.85</v>
      </c>
      <c r="O193" s="1" t="n">
        <v>1.24</v>
      </c>
    </row>
    <row r="194" customFormat="false" ht="15" hidden="false" customHeight="false" outlineLevel="0" collapsed="false">
      <c r="D194" s="0" t="n">
        <v>6</v>
      </c>
      <c r="E194" s="0" t="n">
        <v>8.12</v>
      </c>
      <c r="F194" s="0" t="n">
        <v>-13.3</v>
      </c>
      <c r="G194" s="2" t="n">
        <v>0.94</v>
      </c>
      <c r="H194" s="1" t="n">
        <v>-5.25</v>
      </c>
      <c r="I194" s="1" t="n">
        <v>0.94</v>
      </c>
      <c r="J194" s="0" t="n">
        <v>0</v>
      </c>
      <c r="K194" s="2" t="n">
        <v>1.05</v>
      </c>
      <c r="L194" s="0" t="n">
        <v>5.25</v>
      </c>
      <c r="M194" s="2" t="n">
        <v>0.94</v>
      </c>
      <c r="N194" s="1" t="n">
        <v>13.3</v>
      </c>
      <c r="O194" s="1" t="n">
        <v>0.94</v>
      </c>
    </row>
    <row r="195" customFormat="false" ht="15" hidden="false" customHeight="false" outlineLevel="0" collapsed="false">
      <c r="D195" s="0" t="n">
        <v>5</v>
      </c>
      <c r="E195" s="0" t="n">
        <v>8.39</v>
      </c>
      <c r="F195" s="0" t="n">
        <v>-13.75</v>
      </c>
      <c r="G195" s="2" t="n">
        <v>0.64</v>
      </c>
      <c r="H195" s="1" t="n">
        <v>-5.25</v>
      </c>
      <c r="I195" s="1" t="n">
        <v>0.64</v>
      </c>
      <c r="J195" s="0" t="n">
        <v>0</v>
      </c>
      <c r="K195" s="2" t="n">
        <v>0.75</v>
      </c>
      <c r="L195" s="0" t="n">
        <v>5.25</v>
      </c>
      <c r="M195" s="2" t="n">
        <v>0.64</v>
      </c>
      <c r="N195" s="1" t="n">
        <v>13.75</v>
      </c>
      <c r="O195" s="1" t="n">
        <v>0.64</v>
      </c>
    </row>
    <row r="196" customFormat="false" ht="15" hidden="false" customHeight="false" outlineLevel="0" collapsed="false">
      <c r="D196" s="0" t="n">
        <v>4</v>
      </c>
      <c r="E196" s="0" t="n">
        <v>8.66</v>
      </c>
      <c r="F196" s="0" t="n">
        <v>-14.2</v>
      </c>
      <c r="G196" s="2" t="n">
        <v>0.34</v>
      </c>
      <c r="H196" s="1" t="n">
        <v>-5.25</v>
      </c>
      <c r="I196" s="1" t="n">
        <v>0.34</v>
      </c>
      <c r="J196" s="0" t="n">
        <v>0</v>
      </c>
      <c r="K196" s="2" t="n">
        <v>0.45</v>
      </c>
      <c r="L196" s="0" t="n">
        <v>5.25</v>
      </c>
      <c r="M196" s="2" t="n">
        <v>0.34</v>
      </c>
      <c r="N196" s="1" t="n">
        <v>14.2</v>
      </c>
      <c r="O196" s="1" t="n">
        <v>0.34</v>
      </c>
    </row>
    <row r="197" customFormat="false" ht="15" hidden="false" customHeight="false" outlineLevel="0" collapsed="false">
      <c r="D197" s="0" t="n">
        <v>3</v>
      </c>
      <c r="E197" s="0" t="n">
        <v>7.46</v>
      </c>
      <c r="F197" s="0" t="n">
        <v>-14.65</v>
      </c>
      <c r="G197" s="2" t="n">
        <v>0.04</v>
      </c>
      <c r="H197" s="1" t="n">
        <v>-5.25</v>
      </c>
      <c r="I197" s="1" t="n">
        <v>0.04</v>
      </c>
      <c r="J197" s="0" t="n">
        <v>0</v>
      </c>
      <c r="K197" s="2" t="n">
        <v>0.15</v>
      </c>
      <c r="L197" s="0" t="n">
        <v>5.25</v>
      </c>
      <c r="M197" s="2" t="n">
        <v>0.04</v>
      </c>
      <c r="N197" s="1" t="n">
        <v>14.65</v>
      </c>
      <c r="O197" s="1" t="n">
        <v>0.04</v>
      </c>
    </row>
    <row r="198" customFormat="false" ht="15" hidden="false" customHeight="false" outlineLevel="0" collapsed="false">
      <c r="D198" s="0" t="n">
        <v>2</v>
      </c>
      <c r="E198" s="0" t="n">
        <v>4.48</v>
      </c>
      <c r="F198" s="0" t="n">
        <v>-10.17</v>
      </c>
      <c r="G198" s="2" t="n">
        <v>-0.26</v>
      </c>
      <c r="H198" s="1" t="n">
        <v>-5.25</v>
      </c>
      <c r="I198" s="1" t="n">
        <v>-0.26</v>
      </c>
      <c r="J198" s="0" t="n">
        <v>0</v>
      </c>
      <c r="K198" s="2" t="n">
        <v>-0.15</v>
      </c>
      <c r="L198" s="0" t="n">
        <v>5.25</v>
      </c>
      <c r="M198" s="2" t="n">
        <v>-0.26</v>
      </c>
      <c r="N198" s="1" t="n">
        <v>10.31</v>
      </c>
      <c r="O198" s="1" t="n">
        <v>-0.26</v>
      </c>
    </row>
    <row r="199" customFormat="false" ht="15" hidden="false" customHeight="false" outlineLevel="0" collapsed="false">
      <c r="D199" s="0" t="n">
        <v>1</v>
      </c>
      <c r="E199" s="0" t="n">
        <v>0</v>
      </c>
    </row>
    <row r="200" customFormat="false" ht="15" hidden="false" customHeight="false" outlineLevel="0" collapsed="false">
      <c r="A200" s="1" t="n">
        <v>23</v>
      </c>
      <c r="B200" s="2" t="s">
        <v>39</v>
      </c>
      <c r="C200" s="0" t="n">
        <v>562.02</v>
      </c>
      <c r="D200" s="0" t="n">
        <v>9</v>
      </c>
      <c r="E200" s="0" t="n">
        <v>7.31</v>
      </c>
      <c r="F200" s="0" t="n">
        <v>-11.95</v>
      </c>
      <c r="G200" s="2" t="n">
        <v>1.84</v>
      </c>
      <c r="H200" s="1" t="n">
        <v>-5.25</v>
      </c>
      <c r="I200" s="1" t="n">
        <v>1.84</v>
      </c>
      <c r="J200" s="0" t="n">
        <v>0</v>
      </c>
      <c r="K200" s="2" t="n">
        <v>1.95</v>
      </c>
      <c r="L200" s="0" t="n">
        <v>5.25</v>
      </c>
      <c r="M200" s="2" t="n">
        <v>1.84</v>
      </c>
      <c r="N200" s="1" t="n">
        <v>11.95</v>
      </c>
      <c r="O200" s="1" t="n">
        <v>1.84</v>
      </c>
      <c r="P200" s="0" t="n">
        <v>70.43</v>
      </c>
      <c r="Q200" s="0" t="n">
        <v>11.55</v>
      </c>
    </row>
    <row r="201" customFormat="false" ht="15" hidden="false" customHeight="false" outlineLevel="0" collapsed="false">
      <c r="D201" s="0" t="n">
        <v>8</v>
      </c>
      <c r="E201" s="0" t="n">
        <v>7.58</v>
      </c>
      <c r="F201" s="0" t="n">
        <v>-12.4</v>
      </c>
      <c r="G201" s="2" t="n">
        <v>1.54</v>
      </c>
      <c r="H201" s="1" t="n">
        <v>-5.25</v>
      </c>
      <c r="I201" s="1" t="n">
        <v>1.54</v>
      </c>
      <c r="J201" s="0" t="n">
        <v>0</v>
      </c>
      <c r="K201" s="2" t="n">
        <v>1.65</v>
      </c>
      <c r="L201" s="0" t="n">
        <v>5.25</v>
      </c>
      <c r="M201" s="2" t="n">
        <v>1.54</v>
      </c>
      <c r="N201" s="1" t="n">
        <v>12.4</v>
      </c>
      <c r="O201" s="1" t="n">
        <v>1.54</v>
      </c>
    </row>
    <row r="202" customFormat="false" ht="15" hidden="false" customHeight="false" outlineLevel="0" collapsed="false">
      <c r="D202" s="0" t="n">
        <v>7</v>
      </c>
      <c r="E202" s="0" t="n">
        <v>7.85</v>
      </c>
      <c r="F202" s="0" t="n">
        <v>-12.85</v>
      </c>
      <c r="G202" s="2" t="n">
        <v>1.24</v>
      </c>
      <c r="H202" s="1" t="n">
        <v>-5.25</v>
      </c>
      <c r="I202" s="1" t="n">
        <v>1.24</v>
      </c>
      <c r="J202" s="0" t="n">
        <v>0</v>
      </c>
      <c r="K202" s="2" t="n">
        <v>1.35</v>
      </c>
      <c r="L202" s="0" t="n">
        <v>5.25</v>
      </c>
      <c r="M202" s="2" t="n">
        <v>1.24</v>
      </c>
      <c r="N202" s="1" t="n">
        <v>12.85</v>
      </c>
      <c r="O202" s="1" t="n">
        <v>1.24</v>
      </c>
    </row>
    <row r="203" customFormat="false" ht="15" hidden="false" customHeight="false" outlineLevel="0" collapsed="false">
      <c r="D203" s="0" t="n">
        <v>6</v>
      </c>
      <c r="E203" s="0" t="n">
        <v>8.12</v>
      </c>
      <c r="F203" s="0" t="n">
        <v>-13.3</v>
      </c>
      <c r="G203" s="2" t="n">
        <v>0.94</v>
      </c>
      <c r="H203" s="1" t="n">
        <v>-5.25</v>
      </c>
      <c r="I203" s="1" t="n">
        <v>0.94</v>
      </c>
      <c r="J203" s="0" t="n">
        <v>0</v>
      </c>
      <c r="K203" s="2" t="n">
        <v>1.05</v>
      </c>
      <c r="L203" s="0" t="n">
        <v>5.25</v>
      </c>
      <c r="M203" s="2" t="n">
        <v>0.94</v>
      </c>
      <c r="N203" s="1" t="n">
        <v>13.3</v>
      </c>
      <c r="O203" s="1" t="n">
        <v>0.94</v>
      </c>
    </row>
    <row r="204" customFormat="false" ht="15" hidden="false" customHeight="false" outlineLevel="0" collapsed="false">
      <c r="D204" s="0" t="n">
        <v>5</v>
      </c>
      <c r="E204" s="0" t="n">
        <v>8.39</v>
      </c>
      <c r="F204" s="0" t="n">
        <v>-13.75</v>
      </c>
      <c r="G204" s="2" t="n">
        <v>0.64</v>
      </c>
      <c r="H204" s="1" t="n">
        <v>-5.25</v>
      </c>
      <c r="I204" s="1" t="n">
        <v>0.64</v>
      </c>
      <c r="J204" s="0" t="n">
        <v>0</v>
      </c>
      <c r="K204" s="2" t="n">
        <v>0.75</v>
      </c>
      <c r="L204" s="0" t="n">
        <v>5.25</v>
      </c>
      <c r="M204" s="2" t="n">
        <v>0.64</v>
      </c>
      <c r="N204" s="1" t="n">
        <v>13.75</v>
      </c>
      <c r="O204" s="1" t="n">
        <v>0.64</v>
      </c>
    </row>
    <row r="205" customFormat="false" ht="15" hidden="false" customHeight="false" outlineLevel="0" collapsed="false">
      <c r="D205" s="0" t="n">
        <v>4</v>
      </c>
      <c r="E205" s="0" t="n">
        <v>8.65</v>
      </c>
      <c r="F205" s="0" t="n">
        <v>-14.2</v>
      </c>
      <c r="G205" s="2" t="n">
        <v>0.34</v>
      </c>
      <c r="H205" s="1" t="n">
        <v>-5.25</v>
      </c>
      <c r="I205" s="1" t="n">
        <v>0.34</v>
      </c>
      <c r="J205" s="0" t="n">
        <v>0</v>
      </c>
      <c r="K205" s="2" t="n">
        <v>0.45</v>
      </c>
      <c r="L205" s="0" t="n">
        <v>5.25</v>
      </c>
      <c r="M205" s="2" t="n">
        <v>0.34</v>
      </c>
      <c r="N205" s="1" t="n">
        <v>14.2</v>
      </c>
      <c r="O205" s="1" t="n">
        <v>0.34</v>
      </c>
    </row>
    <row r="206" customFormat="false" ht="15" hidden="false" customHeight="false" outlineLevel="0" collapsed="false">
      <c r="D206" s="0" t="n">
        <v>3</v>
      </c>
      <c r="E206" s="0" t="n">
        <v>6.51</v>
      </c>
      <c r="F206" s="0" t="n">
        <v>-14.65</v>
      </c>
      <c r="G206" s="2" t="n">
        <v>0.04</v>
      </c>
      <c r="H206" s="1" t="n">
        <v>-5.25</v>
      </c>
      <c r="I206" s="1" t="n">
        <v>0.04</v>
      </c>
      <c r="J206" s="0" t="n">
        <v>0</v>
      </c>
      <c r="K206" s="2" t="n">
        <v>0.15</v>
      </c>
      <c r="L206" s="0" t="n">
        <v>5.25</v>
      </c>
      <c r="M206" s="2" t="n">
        <v>0.04</v>
      </c>
      <c r="N206" s="1" t="n">
        <v>14.65</v>
      </c>
      <c r="O206" s="1" t="n">
        <v>0.04</v>
      </c>
    </row>
    <row r="207" customFormat="false" ht="15" hidden="false" customHeight="false" outlineLevel="0" collapsed="false">
      <c r="D207" s="0" t="n">
        <v>2</v>
      </c>
      <c r="E207" s="0" t="n">
        <v>4.48</v>
      </c>
      <c r="F207" s="0" t="n">
        <v>-10.18</v>
      </c>
      <c r="G207" s="2" t="n">
        <v>-0.26</v>
      </c>
      <c r="H207" s="1" t="n">
        <v>-5.25</v>
      </c>
      <c r="I207" s="1" t="n">
        <v>-0.26</v>
      </c>
      <c r="J207" s="0" t="n">
        <v>0</v>
      </c>
      <c r="K207" s="2" t="n">
        <v>-0.15</v>
      </c>
      <c r="L207" s="0" t="n">
        <v>5.25</v>
      </c>
      <c r="M207" s="2" t="n">
        <v>-0.26</v>
      </c>
      <c r="N207" s="1" t="n">
        <v>10.31</v>
      </c>
      <c r="O207" s="1" t="n">
        <v>-0.26</v>
      </c>
    </row>
    <row r="208" customFormat="false" ht="15" hidden="false" customHeight="false" outlineLevel="0" collapsed="false">
      <c r="D208" s="0" t="n">
        <v>1</v>
      </c>
      <c r="E208" s="0" t="n">
        <v>0</v>
      </c>
    </row>
    <row r="209" customFormat="false" ht="15" hidden="false" customHeight="false" outlineLevel="0" collapsed="false">
      <c r="A209" s="1" t="n">
        <v>24</v>
      </c>
      <c r="B209" s="2" t="s">
        <v>40</v>
      </c>
      <c r="C209" s="0" t="n">
        <v>568.57</v>
      </c>
      <c r="D209" s="0" t="n">
        <v>9</v>
      </c>
      <c r="E209" s="0" t="n">
        <v>7.31</v>
      </c>
      <c r="F209" s="0" t="n">
        <v>-11.95</v>
      </c>
      <c r="G209" s="2" t="n">
        <v>1.84</v>
      </c>
      <c r="H209" s="1" t="n">
        <v>-5.25</v>
      </c>
      <c r="I209" s="1" t="n">
        <v>1.84</v>
      </c>
      <c r="J209" s="0" t="n">
        <v>0</v>
      </c>
      <c r="K209" s="2" t="n">
        <v>1.95</v>
      </c>
      <c r="L209" s="0" t="n">
        <v>5.25</v>
      </c>
      <c r="M209" s="2" t="n">
        <v>1.84</v>
      </c>
      <c r="N209" s="1" t="n">
        <v>11.95</v>
      </c>
      <c r="O209" s="1" t="n">
        <v>1.84</v>
      </c>
      <c r="P209" s="0" t="n">
        <v>71.51</v>
      </c>
      <c r="Q209" s="0" t="n">
        <v>11.55</v>
      </c>
    </row>
    <row r="210" customFormat="false" ht="15" hidden="false" customHeight="false" outlineLevel="0" collapsed="false">
      <c r="D210" s="0" t="n">
        <v>8</v>
      </c>
      <c r="E210" s="0" t="n">
        <v>7.58</v>
      </c>
      <c r="F210" s="0" t="n">
        <v>-12.4</v>
      </c>
      <c r="G210" s="2" t="n">
        <v>1.54</v>
      </c>
      <c r="H210" s="1" t="n">
        <v>-5.25</v>
      </c>
      <c r="I210" s="1" t="n">
        <v>1.54</v>
      </c>
      <c r="J210" s="0" t="n">
        <v>0</v>
      </c>
      <c r="K210" s="2" t="n">
        <v>1.65</v>
      </c>
      <c r="L210" s="0" t="n">
        <v>5.25</v>
      </c>
      <c r="M210" s="2" t="n">
        <v>1.54</v>
      </c>
      <c r="N210" s="1" t="n">
        <v>12.4</v>
      </c>
      <c r="O210" s="1" t="n">
        <v>1.54</v>
      </c>
    </row>
    <row r="211" customFormat="false" ht="15" hidden="false" customHeight="false" outlineLevel="0" collapsed="false">
      <c r="D211" s="0" t="n">
        <v>7</v>
      </c>
      <c r="E211" s="0" t="n">
        <v>7.85</v>
      </c>
      <c r="F211" s="0" t="n">
        <v>-12.85</v>
      </c>
      <c r="G211" s="2" t="n">
        <v>1.24</v>
      </c>
      <c r="H211" s="1" t="n">
        <v>-5.25</v>
      </c>
      <c r="I211" s="1" t="n">
        <v>1.24</v>
      </c>
      <c r="J211" s="0" t="n">
        <v>0</v>
      </c>
      <c r="K211" s="2" t="n">
        <v>1.35</v>
      </c>
      <c r="L211" s="0" t="n">
        <v>5.25</v>
      </c>
      <c r="M211" s="2" t="n">
        <v>1.24</v>
      </c>
      <c r="N211" s="1" t="n">
        <v>12.85</v>
      </c>
      <c r="O211" s="1" t="n">
        <v>1.24</v>
      </c>
    </row>
    <row r="212" customFormat="false" ht="15" hidden="false" customHeight="false" outlineLevel="0" collapsed="false">
      <c r="D212" s="0" t="n">
        <v>6</v>
      </c>
      <c r="E212" s="0" t="n">
        <v>8.12</v>
      </c>
      <c r="F212" s="0" t="n">
        <v>-13.3</v>
      </c>
      <c r="G212" s="2" t="n">
        <v>0.94</v>
      </c>
      <c r="H212" s="1" t="n">
        <v>-5.25</v>
      </c>
      <c r="I212" s="1" t="n">
        <v>0.94</v>
      </c>
      <c r="J212" s="0" t="n">
        <v>0</v>
      </c>
      <c r="K212" s="2" t="n">
        <v>1.05</v>
      </c>
      <c r="L212" s="0" t="n">
        <v>5.25</v>
      </c>
      <c r="M212" s="2" t="n">
        <v>0.94</v>
      </c>
      <c r="N212" s="1" t="n">
        <v>13.3</v>
      </c>
      <c r="O212" s="1" t="n">
        <v>0.94</v>
      </c>
    </row>
    <row r="213" customFormat="false" ht="15" hidden="false" customHeight="false" outlineLevel="0" collapsed="false">
      <c r="D213" s="0" t="n">
        <v>5</v>
      </c>
      <c r="E213" s="0" t="n">
        <v>8.39</v>
      </c>
      <c r="F213" s="0" t="n">
        <v>-13.75</v>
      </c>
      <c r="G213" s="2" t="n">
        <v>0.64</v>
      </c>
      <c r="H213" s="1" t="n">
        <v>-5.25</v>
      </c>
      <c r="I213" s="1" t="n">
        <v>0.64</v>
      </c>
      <c r="J213" s="0" t="n">
        <v>0</v>
      </c>
      <c r="K213" s="2" t="n">
        <v>0.75</v>
      </c>
      <c r="L213" s="0" t="n">
        <v>5.25</v>
      </c>
      <c r="M213" s="2" t="n">
        <v>0.64</v>
      </c>
      <c r="N213" s="1" t="n">
        <v>13.75</v>
      </c>
      <c r="O213" s="1" t="n">
        <v>0.64</v>
      </c>
    </row>
    <row r="214" customFormat="false" ht="15" hidden="false" customHeight="false" outlineLevel="0" collapsed="false">
      <c r="D214" s="0" t="n">
        <v>4</v>
      </c>
      <c r="E214" s="0" t="n">
        <v>8.66</v>
      </c>
      <c r="F214" s="0" t="n">
        <v>-14.2</v>
      </c>
      <c r="G214" s="2" t="n">
        <v>0.34</v>
      </c>
      <c r="H214" s="1" t="n">
        <v>-5.25</v>
      </c>
      <c r="I214" s="1" t="n">
        <v>0.34</v>
      </c>
      <c r="J214" s="0" t="n">
        <v>0</v>
      </c>
      <c r="K214" s="2" t="n">
        <v>0.45</v>
      </c>
      <c r="L214" s="0" t="n">
        <v>5.25</v>
      </c>
      <c r="M214" s="2" t="n">
        <v>0.34</v>
      </c>
      <c r="N214" s="1" t="n">
        <v>14.2</v>
      </c>
      <c r="O214" s="1" t="n">
        <v>0.34</v>
      </c>
    </row>
    <row r="215" customFormat="false" ht="15" hidden="false" customHeight="false" outlineLevel="0" collapsed="false">
      <c r="D215" s="0" t="n">
        <v>3</v>
      </c>
      <c r="E215" s="0" t="n">
        <v>7.52</v>
      </c>
      <c r="F215" s="0" t="n">
        <v>-14.65</v>
      </c>
      <c r="G215" s="2" t="n">
        <v>0.04</v>
      </c>
      <c r="H215" s="1" t="n">
        <v>-5.25</v>
      </c>
      <c r="I215" s="1" t="n">
        <v>0.04</v>
      </c>
      <c r="J215" s="0" t="n">
        <v>0</v>
      </c>
      <c r="K215" s="2" t="n">
        <v>0.15</v>
      </c>
      <c r="L215" s="0" t="n">
        <v>5.25</v>
      </c>
      <c r="M215" s="2" t="n">
        <v>0.04</v>
      </c>
      <c r="N215" s="1" t="n">
        <v>14.65</v>
      </c>
      <c r="O215" s="1" t="n">
        <v>0.04</v>
      </c>
    </row>
    <row r="216" customFormat="false" ht="15" hidden="false" customHeight="false" outlineLevel="0" collapsed="false">
      <c r="D216" s="0" t="n">
        <v>2</v>
      </c>
      <c r="E216" s="0" t="n">
        <v>4.56</v>
      </c>
      <c r="F216" s="0" t="n">
        <v>-10.35</v>
      </c>
      <c r="G216" s="2" t="n">
        <v>-0.26</v>
      </c>
      <c r="H216" s="1" t="n">
        <v>-5.25</v>
      </c>
      <c r="I216" s="1" t="n">
        <v>-0.26</v>
      </c>
      <c r="J216" s="0" t="n">
        <v>0</v>
      </c>
      <c r="K216" s="2" t="n">
        <v>-0.15</v>
      </c>
      <c r="L216" s="0" t="n">
        <v>5.25</v>
      </c>
      <c r="M216" s="2" t="n">
        <v>-0.26</v>
      </c>
      <c r="N216" s="1" t="n">
        <v>10.66</v>
      </c>
      <c r="O216" s="1" t="n">
        <v>-0.26</v>
      </c>
    </row>
    <row r="217" customFormat="false" ht="15" hidden="false" customHeight="false" outlineLevel="0" collapsed="false">
      <c r="D217" s="0" t="n">
        <v>1</v>
      </c>
      <c r="E217" s="0" t="n">
        <v>0</v>
      </c>
    </row>
    <row r="218" customFormat="false" ht="15" hidden="false" customHeight="false" outlineLevel="0" collapsed="false">
      <c r="A218" s="1" t="n">
        <v>25</v>
      </c>
      <c r="B218" s="2" t="s">
        <v>1</v>
      </c>
      <c r="C218" s="0" t="n">
        <v>575.12</v>
      </c>
      <c r="D218" s="0" t="n">
        <v>9</v>
      </c>
      <c r="E218" s="0" t="n">
        <v>7.31</v>
      </c>
      <c r="F218" s="0" t="n">
        <v>-11.95</v>
      </c>
      <c r="G218" s="2" t="n">
        <v>1.84</v>
      </c>
      <c r="H218" s="1" t="n">
        <v>-5.25</v>
      </c>
      <c r="I218" s="1" t="n">
        <v>1.84</v>
      </c>
      <c r="J218" s="0" t="n">
        <v>0</v>
      </c>
      <c r="K218" s="2" t="n">
        <v>1.95</v>
      </c>
      <c r="L218" s="0" t="n">
        <v>5.25</v>
      </c>
      <c r="M218" s="2" t="n">
        <v>1.84</v>
      </c>
      <c r="N218" s="1" t="n">
        <v>11.95</v>
      </c>
      <c r="O218" s="1" t="n">
        <v>1.84</v>
      </c>
      <c r="P218" s="0" t="n">
        <v>69.66</v>
      </c>
      <c r="Q218" s="0" t="n">
        <v>11.55</v>
      </c>
    </row>
    <row r="219" customFormat="false" ht="15" hidden="false" customHeight="false" outlineLevel="0" collapsed="false">
      <c r="D219" s="0" t="n">
        <v>8</v>
      </c>
      <c r="E219" s="0" t="n">
        <v>7.58</v>
      </c>
      <c r="F219" s="0" t="n">
        <v>-12.4</v>
      </c>
      <c r="G219" s="2" t="n">
        <v>1.54</v>
      </c>
      <c r="H219" s="1" t="n">
        <v>-5.25</v>
      </c>
      <c r="I219" s="1" t="n">
        <v>1.54</v>
      </c>
      <c r="J219" s="0" t="n">
        <v>0</v>
      </c>
      <c r="K219" s="2" t="n">
        <v>1.65</v>
      </c>
      <c r="L219" s="0" t="n">
        <v>5.25</v>
      </c>
      <c r="M219" s="2" t="n">
        <v>1.54</v>
      </c>
      <c r="N219" s="1" t="n">
        <v>12.4</v>
      </c>
      <c r="O219" s="1" t="n">
        <v>1.54</v>
      </c>
    </row>
    <row r="220" customFormat="false" ht="15" hidden="false" customHeight="false" outlineLevel="0" collapsed="false">
      <c r="D220" s="0" t="n">
        <v>7</v>
      </c>
      <c r="E220" s="0" t="n">
        <v>7.85</v>
      </c>
      <c r="F220" s="0" t="n">
        <v>-12.85</v>
      </c>
      <c r="G220" s="2" t="n">
        <v>1.24</v>
      </c>
      <c r="H220" s="1" t="n">
        <v>-5.25</v>
      </c>
      <c r="I220" s="1" t="n">
        <v>1.24</v>
      </c>
      <c r="J220" s="0" t="n">
        <v>0</v>
      </c>
      <c r="K220" s="2" t="n">
        <v>1.35</v>
      </c>
      <c r="L220" s="0" t="n">
        <v>5.25</v>
      </c>
      <c r="M220" s="2" t="n">
        <v>1.24</v>
      </c>
      <c r="N220" s="1" t="n">
        <v>12.85</v>
      </c>
      <c r="O220" s="1" t="n">
        <v>1.24</v>
      </c>
    </row>
    <row r="221" customFormat="false" ht="15" hidden="false" customHeight="false" outlineLevel="0" collapsed="false">
      <c r="D221" s="0" t="n">
        <v>6</v>
      </c>
      <c r="E221" s="0" t="n">
        <v>8.12</v>
      </c>
      <c r="F221" s="0" t="n">
        <v>-13.3</v>
      </c>
      <c r="G221" s="2" t="n">
        <v>0.94</v>
      </c>
      <c r="H221" s="1" t="n">
        <v>-5.25</v>
      </c>
      <c r="I221" s="1" t="n">
        <v>0.94</v>
      </c>
      <c r="J221" s="0" t="n">
        <v>0</v>
      </c>
      <c r="K221" s="2" t="n">
        <v>1.05</v>
      </c>
      <c r="L221" s="0" t="n">
        <v>5.25</v>
      </c>
      <c r="M221" s="2" t="n">
        <v>0.94</v>
      </c>
      <c r="N221" s="1" t="n">
        <v>13.3</v>
      </c>
      <c r="O221" s="1" t="n">
        <v>0.94</v>
      </c>
    </row>
    <row r="222" customFormat="false" ht="15" hidden="false" customHeight="false" outlineLevel="0" collapsed="false">
      <c r="D222" s="0" t="n">
        <v>5</v>
      </c>
      <c r="E222" s="0" t="n">
        <v>8.39</v>
      </c>
      <c r="F222" s="0" t="n">
        <v>-13.75</v>
      </c>
      <c r="G222" s="2" t="n">
        <v>0.64</v>
      </c>
      <c r="H222" s="1" t="n">
        <v>-5.25</v>
      </c>
      <c r="I222" s="1" t="n">
        <v>0.64</v>
      </c>
      <c r="J222" s="0" t="n">
        <v>0</v>
      </c>
      <c r="K222" s="2" t="n">
        <v>0.75</v>
      </c>
      <c r="L222" s="0" t="n">
        <v>5.25</v>
      </c>
      <c r="M222" s="2" t="n">
        <v>0.64</v>
      </c>
      <c r="N222" s="1" t="n">
        <v>13.75</v>
      </c>
      <c r="O222" s="1" t="n">
        <v>0.64</v>
      </c>
    </row>
    <row r="223" customFormat="false" ht="15" hidden="false" customHeight="false" outlineLevel="0" collapsed="false">
      <c r="D223" s="0" t="n">
        <v>4</v>
      </c>
      <c r="E223" s="0" t="n">
        <v>8.28</v>
      </c>
      <c r="F223" s="0" t="n">
        <v>-14.2</v>
      </c>
      <c r="G223" s="2" t="n">
        <v>0.34</v>
      </c>
      <c r="H223" s="1" t="n">
        <v>-5.25</v>
      </c>
      <c r="I223" s="1" t="n">
        <v>0.34</v>
      </c>
      <c r="J223" s="0" t="n">
        <v>0</v>
      </c>
      <c r="K223" s="2" t="n">
        <v>0.45</v>
      </c>
      <c r="L223" s="0" t="n">
        <v>5.25</v>
      </c>
      <c r="M223" s="2" t="n">
        <v>0.34</v>
      </c>
      <c r="N223" s="1" t="n">
        <v>14.2</v>
      </c>
      <c r="O223" s="1" t="n">
        <v>0.34</v>
      </c>
    </row>
    <row r="224" customFormat="false" ht="15" hidden="false" customHeight="false" outlineLevel="0" collapsed="false">
      <c r="D224" s="0" t="n">
        <v>3</v>
      </c>
      <c r="E224" s="0" t="n">
        <v>6.3</v>
      </c>
      <c r="F224" s="0" t="n">
        <v>-14.65</v>
      </c>
      <c r="G224" s="2" t="n">
        <v>0.04</v>
      </c>
      <c r="H224" s="1" t="n">
        <v>-5.25</v>
      </c>
      <c r="I224" s="1" t="n">
        <v>0.04</v>
      </c>
      <c r="J224" s="0" t="n">
        <v>0</v>
      </c>
      <c r="K224" s="2" t="n">
        <v>0.15</v>
      </c>
      <c r="L224" s="0" t="n">
        <v>5.25</v>
      </c>
      <c r="M224" s="2" t="n">
        <v>0.04</v>
      </c>
      <c r="N224" s="1" t="n">
        <v>10.04</v>
      </c>
      <c r="O224" s="1" t="n">
        <v>0.04</v>
      </c>
    </row>
    <row r="225" customFormat="false" ht="15" hidden="false" customHeight="false" outlineLevel="0" collapsed="false">
      <c r="D225" s="0" t="n">
        <v>2</v>
      </c>
      <c r="E225" s="0" t="n">
        <v>4.31</v>
      </c>
      <c r="F225" s="0" t="n">
        <v>-10.07</v>
      </c>
      <c r="G225" s="2" t="n">
        <v>-0.26</v>
      </c>
      <c r="H225" s="1" t="n">
        <v>-5.25</v>
      </c>
      <c r="I225" s="1" t="n">
        <v>-0.26</v>
      </c>
      <c r="J225" s="0" t="n">
        <v>0</v>
      </c>
      <c r="K225" s="2" t="n">
        <v>-0.15</v>
      </c>
      <c r="L225" s="0" t="n">
        <v>5.25</v>
      </c>
      <c r="M225" s="2" t="n">
        <v>-0.26</v>
      </c>
      <c r="N225" s="1" t="n">
        <v>9.74</v>
      </c>
      <c r="O225" s="1" t="n">
        <v>-0.26</v>
      </c>
    </row>
    <row r="226" customFormat="false" ht="15" hidden="false" customHeight="false" outlineLevel="0" collapsed="false">
      <c r="D226" s="0" t="n">
        <v>1</v>
      </c>
      <c r="E226" s="0" t="n">
        <v>0</v>
      </c>
    </row>
    <row r="227" customFormat="false" ht="15" hidden="false" customHeight="false" outlineLevel="0" collapsed="false">
      <c r="A227" s="1" t="n">
        <v>26</v>
      </c>
      <c r="B227" s="2" t="s">
        <v>41</v>
      </c>
      <c r="C227" s="0" t="n">
        <v>575.16</v>
      </c>
      <c r="D227" s="0" t="n">
        <v>9</v>
      </c>
      <c r="E227" s="0" t="n">
        <v>7.31</v>
      </c>
      <c r="F227" s="0" t="n">
        <v>-11.95</v>
      </c>
      <c r="G227" s="2" t="n">
        <v>1.97</v>
      </c>
      <c r="H227" s="1" t="n">
        <v>-5.25</v>
      </c>
      <c r="I227" s="1" t="n">
        <v>1.97</v>
      </c>
      <c r="J227" s="0" t="n">
        <v>0</v>
      </c>
      <c r="K227" s="2" t="n">
        <v>1.95</v>
      </c>
      <c r="L227" s="0" t="n">
        <v>5.25</v>
      </c>
      <c r="M227" s="2" t="n">
        <v>1.84</v>
      </c>
      <c r="N227" s="1" t="n">
        <v>11.95</v>
      </c>
      <c r="O227" s="1" t="n">
        <v>1.84</v>
      </c>
      <c r="P227" s="0" t="n">
        <v>71.13</v>
      </c>
      <c r="Q227" s="0" t="n">
        <v>11.55</v>
      </c>
    </row>
    <row r="228" customFormat="false" ht="15" hidden="false" customHeight="false" outlineLevel="0" collapsed="false">
      <c r="D228" s="0" t="n">
        <v>8</v>
      </c>
      <c r="E228" s="0" t="n">
        <v>7.58</v>
      </c>
      <c r="F228" s="0" t="n">
        <v>-12.4</v>
      </c>
      <c r="G228" s="2" t="n">
        <v>1.67</v>
      </c>
      <c r="H228" s="1" t="n">
        <v>-5.25</v>
      </c>
      <c r="I228" s="1" t="n">
        <v>1.67</v>
      </c>
      <c r="J228" s="0" t="n">
        <v>0</v>
      </c>
      <c r="K228" s="2" t="n">
        <v>1.65</v>
      </c>
      <c r="L228" s="0" t="n">
        <v>5.25</v>
      </c>
      <c r="M228" s="2" t="n">
        <v>1.54</v>
      </c>
      <c r="N228" s="1" t="n">
        <v>12.4</v>
      </c>
      <c r="O228" s="1" t="n">
        <v>1.54</v>
      </c>
    </row>
    <row r="229" customFormat="false" ht="15" hidden="false" customHeight="false" outlineLevel="0" collapsed="false">
      <c r="D229" s="0" t="n">
        <v>7</v>
      </c>
      <c r="E229" s="0" t="n">
        <v>7.85</v>
      </c>
      <c r="F229" s="0" t="n">
        <v>-12.85</v>
      </c>
      <c r="G229" s="2" t="n">
        <v>1.37</v>
      </c>
      <c r="H229" s="1" t="n">
        <v>-5.25</v>
      </c>
      <c r="I229" s="1" t="n">
        <v>1.37</v>
      </c>
      <c r="J229" s="0" t="n">
        <v>0</v>
      </c>
      <c r="K229" s="2" t="n">
        <v>1.35</v>
      </c>
      <c r="L229" s="0" t="n">
        <v>5.25</v>
      </c>
      <c r="M229" s="2" t="n">
        <v>1.24</v>
      </c>
      <c r="N229" s="1" t="n">
        <v>12.85</v>
      </c>
      <c r="O229" s="1" t="n">
        <v>1.24</v>
      </c>
    </row>
    <row r="230" customFormat="false" ht="15" hidden="false" customHeight="false" outlineLevel="0" collapsed="false">
      <c r="D230" s="0" t="n">
        <v>6</v>
      </c>
      <c r="E230" s="0" t="n">
        <v>8.12</v>
      </c>
      <c r="F230" s="0" t="n">
        <v>-13.3</v>
      </c>
      <c r="G230" s="2" t="n">
        <v>1.07</v>
      </c>
      <c r="H230" s="1" t="n">
        <v>-5.25</v>
      </c>
      <c r="I230" s="1" t="n">
        <v>1.07</v>
      </c>
      <c r="J230" s="0" t="n">
        <v>0</v>
      </c>
      <c r="K230" s="2" t="n">
        <v>1.05</v>
      </c>
      <c r="L230" s="0" t="n">
        <v>5.25</v>
      </c>
      <c r="M230" s="2" t="n">
        <v>0.94</v>
      </c>
      <c r="N230" s="1" t="n">
        <v>13.3</v>
      </c>
      <c r="O230" s="1" t="n">
        <v>0.94</v>
      </c>
    </row>
    <row r="231" customFormat="false" ht="15" hidden="false" customHeight="false" outlineLevel="0" collapsed="false">
      <c r="D231" s="0" t="n">
        <v>5</v>
      </c>
      <c r="E231" s="0" t="n">
        <v>8.39</v>
      </c>
      <c r="F231" s="0" t="n">
        <v>-13.75</v>
      </c>
      <c r="G231" s="2" t="n">
        <v>0.77</v>
      </c>
      <c r="H231" s="1" t="n">
        <v>-5.25</v>
      </c>
      <c r="I231" s="1" t="n">
        <v>0.77</v>
      </c>
      <c r="J231" s="0" t="n">
        <v>0</v>
      </c>
      <c r="K231" s="2" t="n">
        <v>0.75</v>
      </c>
      <c r="L231" s="0" t="n">
        <v>5.25</v>
      </c>
      <c r="M231" s="2" t="n">
        <v>0.64</v>
      </c>
      <c r="N231" s="1" t="n">
        <v>13.75</v>
      </c>
      <c r="O231" s="1" t="n">
        <v>0.64</v>
      </c>
    </row>
    <row r="232" customFormat="false" ht="15" hidden="false" customHeight="false" outlineLevel="0" collapsed="false">
      <c r="D232" s="0" t="n">
        <v>4</v>
      </c>
      <c r="E232" s="0" t="n">
        <v>8.26</v>
      </c>
      <c r="F232" s="0" t="n">
        <v>-14.2</v>
      </c>
      <c r="G232" s="2" t="n">
        <v>0.47</v>
      </c>
      <c r="H232" s="1" t="n">
        <v>-5.25</v>
      </c>
      <c r="I232" s="1" t="n">
        <v>0.47</v>
      </c>
      <c r="J232" s="0" t="n">
        <v>0</v>
      </c>
      <c r="K232" s="2" t="n">
        <v>0.45</v>
      </c>
      <c r="L232" s="0" t="n">
        <v>5.25</v>
      </c>
      <c r="M232" s="2" t="n">
        <v>0.34</v>
      </c>
      <c r="N232" s="1" t="n">
        <v>14.2</v>
      </c>
      <c r="O232" s="1" t="n">
        <v>0.34</v>
      </c>
    </row>
    <row r="233" customFormat="false" ht="15" hidden="false" customHeight="false" outlineLevel="0" collapsed="false">
      <c r="D233" s="0" t="n">
        <v>3</v>
      </c>
      <c r="E233" s="0" t="n">
        <v>6.85</v>
      </c>
      <c r="F233" s="0" t="n">
        <v>-14.65</v>
      </c>
      <c r="G233" s="2" t="n">
        <v>0.17</v>
      </c>
      <c r="H233" s="1" t="n">
        <v>-5.25</v>
      </c>
      <c r="I233" s="1" t="n">
        <v>0.17</v>
      </c>
      <c r="J233" s="0" t="n">
        <v>0</v>
      </c>
      <c r="K233" s="2" t="n">
        <v>0.15</v>
      </c>
      <c r="L233" s="0" t="n">
        <v>5.25</v>
      </c>
      <c r="M233" s="2" t="n">
        <v>0.04</v>
      </c>
      <c r="N233" s="1" t="n">
        <v>9.82</v>
      </c>
      <c r="O233" s="1" t="n">
        <v>0.04</v>
      </c>
    </row>
    <row r="234" customFormat="false" ht="15" hidden="false" customHeight="false" outlineLevel="0" collapsed="false">
      <c r="D234" s="0" t="n">
        <v>2</v>
      </c>
      <c r="E234" s="0" t="n">
        <v>5.1</v>
      </c>
      <c r="F234" s="0" t="n">
        <v>-10.2</v>
      </c>
      <c r="G234" s="2" t="n">
        <v>-0.13</v>
      </c>
      <c r="H234" s="1" t="n">
        <v>-5.25</v>
      </c>
      <c r="I234" s="1" t="n">
        <v>-0.13</v>
      </c>
      <c r="J234" s="0" t="n">
        <v>0</v>
      </c>
      <c r="K234" s="2" t="n">
        <v>-0.15</v>
      </c>
      <c r="L234" s="0" t="n">
        <v>5.25</v>
      </c>
      <c r="M234" s="2" t="n">
        <v>-0.26</v>
      </c>
      <c r="N234" s="1" t="n">
        <v>9.52</v>
      </c>
      <c r="O234" s="1" t="n">
        <v>-0.26</v>
      </c>
    </row>
    <row r="235" customFormat="false" ht="15" hidden="false" customHeight="false" outlineLevel="0" collapsed="false">
      <c r="D235" s="0" t="n">
        <v>1</v>
      </c>
      <c r="E235" s="0" t="n">
        <v>0.15</v>
      </c>
      <c r="F235" s="0" t="n">
        <v>-9.9</v>
      </c>
      <c r="G235" s="2" t="n">
        <v>-0.43</v>
      </c>
      <c r="H235" s="1" t="n">
        <v>-5.25</v>
      </c>
      <c r="I235" s="1" t="n">
        <v>-0.43</v>
      </c>
      <c r="J235" s="0" t="n">
        <v>0</v>
      </c>
      <c r="K235" s="2" t="n">
        <v>-0.45</v>
      </c>
      <c r="L235" s="0" t="n">
        <v>5.25</v>
      </c>
      <c r="M235" s="2" t="n">
        <v>-0.56</v>
      </c>
      <c r="N235" s="1" t="n">
        <v>0.12</v>
      </c>
      <c r="O235" s="1" t="n">
        <v>-0.45</v>
      </c>
    </row>
    <row r="236" customFormat="false" ht="15" hidden="false" customHeight="false" outlineLevel="0" collapsed="false">
      <c r="A236" s="1" t="n">
        <v>27</v>
      </c>
      <c r="B236" s="2" t="s">
        <v>42</v>
      </c>
      <c r="C236" s="0" t="n">
        <v>592.11</v>
      </c>
      <c r="D236" s="0" t="n">
        <v>9</v>
      </c>
      <c r="E236" s="0" t="n">
        <v>7.31</v>
      </c>
      <c r="F236" s="0" t="n">
        <v>-11.95</v>
      </c>
      <c r="G236" s="2" t="n">
        <v>1.84</v>
      </c>
      <c r="H236" s="1" t="n">
        <v>-5.25</v>
      </c>
      <c r="I236" s="1" t="n">
        <v>1.84</v>
      </c>
      <c r="J236" s="0" t="n">
        <v>0</v>
      </c>
      <c r="K236" s="2" t="n">
        <v>1.96</v>
      </c>
      <c r="L236" s="0" t="n">
        <v>5.25</v>
      </c>
      <c r="M236" s="2" t="n">
        <v>1.84</v>
      </c>
      <c r="N236" s="1" t="n">
        <v>11.95</v>
      </c>
      <c r="O236" s="1" t="n">
        <v>1.84</v>
      </c>
      <c r="P236" s="0" t="n">
        <v>72.18</v>
      </c>
      <c r="Q236" s="0" t="n">
        <v>11.55</v>
      </c>
    </row>
    <row r="237" customFormat="false" ht="15" hidden="false" customHeight="false" outlineLevel="0" collapsed="false">
      <c r="D237" s="0" t="n">
        <v>8</v>
      </c>
      <c r="E237" s="0" t="n">
        <v>7.58</v>
      </c>
      <c r="F237" s="0" t="n">
        <v>-12.4</v>
      </c>
      <c r="G237" s="2" t="n">
        <v>1.54</v>
      </c>
      <c r="H237" s="1" t="n">
        <v>-5.25</v>
      </c>
      <c r="I237" s="1" t="n">
        <v>1.54</v>
      </c>
      <c r="J237" s="0" t="n">
        <v>0</v>
      </c>
      <c r="K237" s="2" t="n">
        <v>1.66</v>
      </c>
      <c r="L237" s="0" t="n">
        <v>5.25</v>
      </c>
      <c r="M237" s="2" t="n">
        <v>1.54</v>
      </c>
      <c r="N237" s="1" t="n">
        <v>12.4</v>
      </c>
      <c r="O237" s="1" t="n">
        <v>1.54</v>
      </c>
    </row>
    <row r="238" customFormat="false" ht="15" hidden="false" customHeight="false" outlineLevel="0" collapsed="false">
      <c r="D238" s="0" t="n">
        <v>7</v>
      </c>
      <c r="E238" s="0" t="n">
        <v>7.85</v>
      </c>
      <c r="F238" s="0" t="n">
        <v>-12.85</v>
      </c>
      <c r="G238" s="2" t="n">
        <v>1.24</v>
      </c>
      <c r="H238" s="1" t="n">
        <v>-5.25</v>
      </c>
      <c r="I238" s="1" t="n">
        <v>1.24</v>
      </c>
      <c r="J238" s="0" t="n">
        <v>0</v>
      </c>
      <c r="K238" s="2" t="n">
        <v>1.36</v>
      </c>
      <c r="L238" s="0" t="n">
        <v>5.25</v>
      </c>
      <c r="M238" s="2" t="n">
        <v>1.24</v>
      </c>
      <c r="N238" s="1" t="n">
        <v>12.85</v>
      </c>
      <c r="O238" s="1" t="n">
        <v>1.24</v>
      </c>
    </row>
    <row r="239" customFormat="false" ht="15" hidden="false" customHeight="false" outlineLevel="0" collapsed="false">
      <c r="D239" s="0" t="n">
        <v>6</v>
      </c>
      <c r="E239" s="0" t="n">
        <v>8.12</v>
      </c>
      <c r="F239" s="0" t="n">
        <v>-13.3</v>
      </c>
      <c r="G239" s="2" t="n">
        <v>0.94</v>
      </c>
      <c r="H239" s="1" t="n">
        <v>-5.25</v>
      </c>
      <c r="I239" s="1" t="n">
        <v>0.94</v>
      </c>
      <c r="J239" s="0" t="n">
        <v>0</v>
      </c>
      <c r="K239" s="2" t="n">
        <v>1.06</v>
      </c>
      <c r="L239" s="0" t="n">
        <v>5.25</v>
      </c>
      <c r="M239" s="2" t="n">
        <v>0.94</v>
      </c>
      <c r="N239" s="1" t="n">
        <v>13.3</v>
      </c>
      <c r="O239" s="1" t="n">
        <v>0.94</v>
      </c>
    </row>
    <row r="240" customFormat="false" ht="15" hidden="false" customHeight="false" outlineLevel="0" collapsed="false">
      <c r="D240" s="0" t="n">
        <v>5</v>
      </c>
      <c r="E240" s="0" t="n">
        <v>8.39</v>
      </c>
      <c r="F240" s="0" t="n">
        <v>-13.75</v>
      </c>
      <c r="G240" s="2" t="n">
        <v>0.64</v>
      </c>
      <c r="H240" s="1" t="n">
        <v>-5.25</v>
      </c>
      <c r="I240" s="1" t="n">
        <v>0.64</v>
      </c>
      <c r="J240" s="0" t="n">
        <v>0</v>
      </c>
      <c r="K240" s="2" t="n">
        <v>0.76</v>
      </c>
      <c r="L240" s="0" t="n">
        <v>5.25</v>
      </c>
      <c r="M240" s="2" t="n">
        <v>0.64</v>
      </c>
      <c r="N240" s="1" t="n">
        <v>13.75</v>
      </c>
      <c r="O240" s="1" t="n">
        <v>0.64</v>
      </c>
    </row>
    <row r="241" customFormat="false" ht="15" hidden="false" customHeight="false" outlineLevel="0" collapsed="false">
      <c r="D241" s="0" t="n">
        <v>4</v>
      </c>
      <c r="E241" s="0" t="n">
        <v>8.66</v>
      </c>
      <c r="F241" s="0" t="n">
        <v>-14.2</v>
      </c>
      <c r="G241" s="2" t="n">
        <v>0.34</v>
      </c>
      <c r="H241" s="1" t="n">
        <v>-5.25</v>
      </c>
      <c r="I241" s="1" t="n">
        <v>0.34</v>
      </c>
      <c r="J241" s="0" t="n">
        <v>0</v>
      </c>
      <c r="K241" s="2" t="n">
        <v>0.46</v>
      </c>
      <c r="L241" s="0" t="n">
        <v>5.25</v>
      </c>
      <c r="M241" s="2" t="n">
        <v>0.34</v>
      </c>
      <c r="N241" s="1" t="n">
        <v>14.2</v>
      </c>
      <c r="O241" s="1" t="n">
        <v>0.34</v>
      </c>
    </row>
    <row r="242" customFormat="false" ht="15" hidden="false" customHeight="false" outlineLevel="0" collapsed="false">
      <c r="D242" s="0" t="n">
        <v>3</v>
      </c>
      <c r="E242" s="0" t="n">
        <v>8.25</v>
      </c>
      <c r="F242" s="0" t="n">
        <v>-14.65</v>
      </c>
      <c r="G242" s="2" t="n">
        <v>0.04</v>
      </c>
      <c r="H242" s="1" t="n">
        <v>-5.25</v>
      </c>
      <c r="I242" s="1" t="n">
        <v>0.04</v>
      </c>
      <c r="J242" s="0" t="n">
        <v>0</v>
      </c>
      <c r="K242" s="2" t="n">
        <v>0.16</v>
      </c>
      <c r="L242" s="0" t="n">
        <v>5.25</v>
      </c>
      <c r="M242" s="2" t="n">
        <v>0.04</v>
      </c>
      <c r="N242" s="1" t="n">
        <v>14.65</v>
      </c>
      <c r="O242" s="1" t="n">
        <v>0.04</v>
      </c>
    </row>
    <row r="243" customFormat="false" ht="15" hidden="false" customHeight="false" outlineLevel="0" collapsed="false">
      <c r="D243" s="0" t="n">
        <v>2</v>
      </c>
      <c r="E243" s="0" t="n">
        <v>4.5</v>
      </c>
      <c r="F243" s="0" t="n">
        <v>-10.24</v>
      </c>
      <c r="G243" s="2" t="n">
        <v>-0.26</v>
      </c>
      <c r="H243" s="1" t="n">
        <v>-5.25</v>
      </c>
      <c r="I243" s="1" t="n">
        <v>-0.26</v>
      </c>
      <c r="J243" s="0" t="n">
        <v>0</v>
      </c>
      <c r="K243" s="2" t="n">
        <v>-0.14</v>
      </c>
      <c r="L243" s="0" t="n">
        <v>5.25</v>
      </c>
      <c r="M243" s="2" t="n">
        <v>-0.26</v>
      </c>
      <c r="N243" s="1" t="n">
        <v>10.3</v>
      </c>
      <c r="O243" s="1" t="n">
        <v>-0.26</v>
      </c>
    </row>
    <row r="244" customFormat="false" ht="15" hidden="false" customHeight="false" outlineLevel="0" collapsed="false">
      <c r="D244" s="0" t="n">
        <v>1</v>
      </c>
      <c r="E244" s="0" t="n">
        <v>0</v>
      </c>
    </row>
    <row r="245" customFormat="false" ht="15" hidden="false" customHeight="false" outlineLevel="0" collapsed="false">
      <c r="A245" s="1" t="n">
        <v>28</v>
      </c>
      <c r="B245" s="2" t="s">
        <v>43</v>
      </c>
      <c r="C245" s="0" t="n">
        <v>609.11</v>
      </c>
      <c r="D245" s="0" t="n">
        <v>9</v>
      </c>
      <c r="E245" s="0" t="n">
        <v>7.31</v>
      </c>
      <c r="F245" s="0" t="n">
        <v>-11.95</v>
      </c>
      <c r="G245" s="2" t="n">
        <v>1.84</v>
      </c>
      <c r="H245" s="1" t="n">
        <v>-5.25</v>
      </c>
      <c r="I245" s="1" t="n">
        <v>1.84</v>
      </c>
      <c r="J245" s="0" t="n">
        <v>0</v>
      </c>
      <c r="K245" s="2" t="n">
        <v>1.96</v>
      </c>
      <c r="L245" s="0" t="n">
        <v>5.25</v>
      </c>
      <c r="M245" s="2" t="n">
        <v>1.84</v>
      </c>
      <c r="N245" s="1" t="n">
        <v>11.95</v>
      </c>
      <c r="O245" s="1" t="n">
        <v>1.84</v>
      </c>
      <c r="P245" s="0" t="n">
        <v>68.14</v>
      </c>
      <c r="Q245" s="0" t="n">
        <v>11.55</v>
      </c>
    </row>
    <row r="246" customFormat="false" ht="15" hidden="false" customHeight="false" outlineLevel="0" collapsed="false">
      <c r="D246" s="0" t="n">
        <v>8</v>
      </c>
      <c r="E246" s="0" t="n">
        <v>7.58</v>
      </c>
      <c r="F246" s="0" t="n">
        <v>-12.4</v>
      </c>
      <c r="G246" s="2" t="n">
        <v>1.54</v>
      </c>
      <c r="H246" s="1" t="n">
        <v>-5.25</v>
      </c>
      <c r="I246" s="1" t="n">
        <v>1.54</v>
      </c>
      <c r="J246" s="0" t="n">
        <v>0</v>
      </c>
      <c r="K246" s="2" t="n">
        <v>1.66</v>
      </c>
      <c r="L246" s="0" t="n">
        <v>5.25</v>
      </c>
      <c r="M246" s="2" t="n">
        <v>1.54</v>
      </c>
      <c r="N246" s="1" t="n">
        <v>12.4</v>
      </c>
      <c r="O246" s="1" t="n">
        <v>1.54</v>
      </c>
    </row>
    <row r="247" customFormat="false" ht="15" hidden="false" customHeight="false" outlineLevel="0" collapsed="false">
      <c r="D247" s="0" t="n">
        <v>7</v>
      </c>
      <c r="E247" s="0" t="n">
        <v>7.85</v>
      </c>
      <c r="F247" s="0" t="n">
        <v>-12.85</v>
      </c>
      <c r="G247" s="2" t="n">
        <v>1.24</v>
      </c>
      <c r="H247" s="1" t="n">
        <v>-5.25</v>
      </c>
      <c r="I247" s="1" t="n">
        <v>1.24</v>
      </c>
      <c r="J247" s="0" t="n">
        <v>0</v>
      </c>
      <c r="K247" s="2" t="n">
        <v>1.36</v>
      </c>
      <c r="L247" s="0" t="n">
        <v>5.25</v>
      </c>
      <c r="M247" s="2" t="n">
        <v>1.24</v>
      </c>
      <c r="N247" s="1" t="n">
        <v>12.85</v>
      </c>
      <c r="O247" s="1" t="n">
        <v>1.24</v>
      </c>
    </row>
    <row r="248" customFormat="false" ht="15" hidden="false" customHeight="false" outlineLevel="0" collapsed="false">
      <c r="D248" s="0" t="n">
        <v>6</v>
      </c>
      <c r="E248" s="0" t="n">
        <v>8.12</v>
      </c>
      <c r="F248" s="0" t="n">
        <v>-13.3</v>
      </c>
      <c r="G248" s="2" t="n">
        <v>0.94</v>
      </c>
      <c r="H248" s="1" t="n">
        <v>-5.25</v>
      </c>
      <c r="I248" s="1" t="n">
        <v>0.94</v>
      </c>
      <c r="J248" s="0" t="n">
        <v>0</v>
      </c>
      <c r="K248" s="2" t="n">
        <v>1.06</v>
      </c>
      <c r="L248" s="0" t="n">
        <v>5.25</v>
      </c>
      <c r="M248" s="2" t="n">
        <v>0.94</v>
      </c>
      <c r="N248" s="1" t="n">
        <v>13.3</v>
      </c>
      <c r="O248" s="1" t="n">
        <v>0.94</v>
      </c>
    </row>
    <row r="249" customFormat="false" ht="15" hidden="false" customHeight="false" outlineLevel="0" collapsed="false">
      <c r="D249" s="0" t="n">
        <v>5</v>
      </c>
      <c r="E249" s="0" t="n">
        <v>8.39</v>
      </c>
      <c r="F249" s="0" t="n">
        <v>-13.75</v>
      </c>
      <c r="G249" s="2" t="n">
        <v>0.64</v>
      </c>
      <c r="H249" s="1" t="n">
        <v>-5.25</v>
      </c>
      <c r="I249" s="1" t="n">
        <v>0.64</v>
      </c>
      <c r="J249" s="0" t="n">
        <v>0</v>
      </c>
      <c r="K249" s="2" t="n">
        <v>0.76</v>
      </c>
      <c r="L249" s="0" t="n">
        <v>5.25</v>
      </c>
      <c r="M249" s="2" t="n">
        <v>0.64</v>
      </c>
      <c r="N249" s="1" t="n">
        <v>13.75</v>
      </c>
      <c r="O249" s="1" t="n">
        <v>0.64</v>
      </c>
    </row>
    <row r="250" customFormat="false" ht="15" hidden="false" customHeight="false" outlineLevel="0" collapsed="false">
      <c r="D250" s="0" t="n">
        <v>4</v>
      </c>
      <c r="E250" s="0" t="n">
        <v>7.42</v>
      </c>
      <c r="F250" s="0" t="n">
        <v>-14.2</v>
      </c>
      <c r="G250" s="2" t="n">
        <v>0.34</v>
      </c>
      <c r="H250" s="1" t="n">
        <v>-5.25</v>
      </c>
      <c r="I250" s="1" t="n">
        <v>0.34</v>
      </c>
      <c r="J250" s="0" t="n">
        <v>0</v>
      </c>
      <c r="K250" s="2" t="n">
        <v>0.46</v>
      </c>
      <c r="L250" s="0" t="n">
        <v>5.25</v>
      </c>
      <c r="M250" s="2" t="n">
        <v>0.34</v>
      </c>
      <c r="N250" s="1" t="n">
        <v>14.2</v>
      </c>
      <c r="O250" s="1" t="n">
        <v>0.34</v>
      </c>
    </row>
    <row r="251" customFormat="false" ht="15" hidden="false" customHeight="false" outlineLevel="0" collapsed="false">
      <c r="D251" s="0" t="n">
        <v>3</v>
      </c>
      <c r="E251" s="0" t="n">
        <v>5.72</v>
      </c>
      <c r="F251" s="0" t="n">
        <v>-9.76</v>
      </c>
      <c r="G251" s="2" t="n">
        <v>0.04</v>
      </c>
      <c r="H251" s="1" t="n">
        <v>-5.25</v>
      </c>
      <c r="I251" s="1" t="n">
        <v>0.04</v>
      </c>
      <c r="J251" s="0" t="n">
        <v>0</v>
      </c>
      <c r="K251" s="2" t="n">
        <v>0.16</v>
      </c>
      <c r="L251" s="0" t="n">
        <v>5.25</v>
      </c>
      <c r="M251" s="2" t="n">
        <v>0.04</v>
      </c>
      <c r="N251" s="1" t="n">
        <v>9.62</v>
      </c>
      <c r="O251" s="1" t="n">
        <v>0.04</v>
      </c>
    </row>
    <row r="252" customFormat="false" ht="15" hidden="false" customHeight="false" outlineLevel="0" collapsed="false">
      <c r="D252" s="0" t="n">
        <v>2</v>
      </c>
      <c r="E252" s="0" t="n">
        <v>4.22</v>
      </c>
      <c r="F252" s="0" t="n">
        <v>-9.46</v>
      </c>
      <c r="G252" s="2" t="n">
        <v>-0.26</v>
      </c>
      <c r="H252" s="1" t="n">
        <v>-5.25</v>
      </c>
      <c r="I252" s="1" t="n">
        <v>-0.26</v>
      </c>
      <c r="J252" s="0" t="n">
        <v>0</v>
      </c>
      <c r="K252" s="2" t="n">
        <v>-0.14</v>
      </c>
      <c r="L252" s="0" t="n">
        <v>5.25</v>
      </c>
      <c r="M252" s="2" t="n">
        <v>-0.26</v>
      </c>
      <c r="N252" s="1" t="n">
        <v>9.32</v>
      </c>
      <c r="O252" s="1" t="n">
        <v>-0.26</v>
      </c>
    </row>
    <row r="253" customFormat="false" ht="15" hidden="false" customHeight="false" outlineLevel="0" collapsed="false">
      <c r="D253" s="0" t="n">
        <v>1</v>
      </c>
      <c r="E253" s="0" t="n">
        <v>0</v>
      </c>
    </row>
    <row r="254" customFormat="false" ht="15" hidden="false" customHeight="false" outlineLevel="0" collapsed="false">
      <c r="A254" s="1" t="n">
        <v>29</v>
      </c>
      <c r="B254" s="2" t="s">
        <v>44</v>
      </c>
      <c r="C254" s="0" t="n">
        <v>620.86</v>
      </c>
      <c r="D254" s="0" t="n">
        <v>9</v>
      </c>
      <c r="E254" s="0" t="n">
        <v>7.31</v>
      </c>
      <c r="F254" s="0" t="n">
        <v>-11.95</v>
      </c>
      <c r="G254" s="2" t="n">
        <v>1.84</v>
      </c>
      <c r="H254" s="1" t="n">
        <v>-5.25</v>
      </c>
      <c r="I254" s="1" t="n">
        <v>1.84</v>
      </c>
      <c r="J254" s="0" t="n">
        <v>0</v>
      </c>
      <c r="K254" s="2" t="n">
        <v>1.96</v>
      </c>
      <c r="L254" s="0" t="n">
        <v>5.25</v>
      </c>
      <c r="M254" s="2" t="n">
        <v>1.84</v>
      </c>
      <c r="N254" s="1" t="n">
        <v>11.95</v>
      </c>
      <c r="O254" s="1" t="n">
        <v>1.84</v>
      </c>
      <c r="P254" s="0" t="n">
        <v>66.71</v>
      </c>
      <c r="Q254" s="0" t="n">
        <v>11.55</v>
      </c>
    </row>
    <row r="255" customFormat="false" ht="15" hidden="false" customHeight="false" outlineLevel="0" collapsed="false">
      <c r="D255" s="0" t="n">
        <v>8</v>
      </c>
      <c r="E255" s="0" t="n">
        <v>7.58</v>
      </c>
      <c r="F255" s="0" t="n">
        <v>-12.4</v>
      </c>
      <c r="G255" s="2" t="n">
        <v>1.54</v>
      </c>
      <c r="H255" s="1" t="n">
        <v>-5.25</v>
      </c>
      <c r="I255" s="1" t="n">
        <v>1.54</v>
      </c>
      <c r="J255" s="0" t="n">
        <v>0</v>
      </c>
      <c r="K255" s="2" t="n">
        <v>1.66</v>
      </c>
      <c r="L255" s="0" t="n">
        <v>5.25</v>
      </c>
      <c r="M255" s="2" t="n">
        <v>1.54</v>
      </c>
      <c r="N255" s="1" t="n">
        <v>12.4</v>
      </c>
      <c r="O255" s="1" t="n">
        <v>1.54</v>
      </c>
    </row>
    <row r="256" customFormat="false" ht="15" hidden="false" customHeight="false" outlineLevel="0" collapsed="false">
      <c r="D256" s="0" t="n">
        <v>7</v>
      </c>
      <c r="E256" s="0" t="n">
        <v>7.85</v>
      </c>
      <c r="F256" s="0" t="n">
        <v>-12.85</v>
      </c>
      <c r="G256" s="2" t="n">
        <v>1.24</v>
      </c>
      <c r="H256" s="1" t="n">
        <v>-5.25</v>
      </c>
      <c r="I256" s="1" t="n">
        <v>1.24</v>
      </c>
      <c r="J256" s="0" t="n">
        <v>0</v>
      </c>
      <c r="K256" s="2" t="n">
        <v>1.36</v>
      </c>
      <c r="L256" s="0" t="n">
        <v>5.25</v>
      </c>
      <c r="M256" s="2" t="n">
        <v>1.24</v>
      </c>
      <c r="N256" s="1" t="n">
        <v>12.85</v>
      </c>
      <c r="O256" s="1" t="n">
        <v>1.24</v>
      </c>
    </row>
    <row r="257" customFormat="false" ht="15" hidden="false" customHeight="false" outlineLevel="0" collapsed="false">
      <c r="D257" s="0" t="n">
        <v>6</v>
      </c>
      <c r="E257" s="0" t="n">
        <v>8.12</v>
      </c>
      <c r="F257" s="0" t="n">
        <v>-13.3</v>
      </c>
      <c r="G257" s="2" t="n">
        <v>0.94</v>
      </c>
      <c r="H257" s="1" t="n">
        <v>-5.25</v>
      </c>
      <c r="I257" s="1" t="n">
        <v>0.94</v>
      </c>
      <c r="J257" s="0" t="n">
        <v>0</v>
      </c>
      <c r="K257" s="2" t="n">
        <v>1.06</v>
      </c>
      <c r="L257" s="0" t="n">
        <v>5.25</v>
      </c>
      <c r="M257" s="2" t="n">
        <v>0.94</v>
      </c>
      <c r="N257" s="1" t="n">
        <v>13.3</v>
      </c>
      <c r="O257" s="1" t="n">
        <v>0.94</v>
      </c>
    </row>
    <row r="258" customFormat="false" ht="15" hidden="false" customHeight="false" outlineLevel="0" collapsed="false">
      <c r="D258" s="0" t="n">
        <v>5</v>
      </c>
      <c r="E258" s="0" t="n">
        <v>8.34</v>
      </c>
      <c r="F258" s="0" t="n">
        <v>-13.75</v>
      </c>
      <c r="G258" s="2" t="n">
        <v>0.64</v>
      </c>
      <c r="H258" s="1" t="n">
        <v>-5.25</v>
      </c>
      <c r="I258" s="1" t="n">
        <v>0.64</v>
      </c>
      <c r="J258" s="0" t="n">
        <v>0</v>
      </c>
      <c r="K258" s="2" t="n">
        <v>0.76</v>
      </c>
      <c r="L258" s="0" t="n">
        <v>5.25</v>
      </c>
      <c r="M258" s="2" t="n">
        <v>0.64</v>
      </c>
      <c r="N258" s="1" t="n">
        <v>13.75</v>
      </c>
      <c r="O258" s="1" t="n">
        <v>0.64</v>
      </c>
    </row>
    <row r="259" customFormat="false" ht="15" hidden="false" customHeight="false" outlineLevel="0" collapsed="false">
      <c r="D259" s="0" t="n">
        <v>4</v>
      </c>
      <c r="E259" s="0" t="n">
        <v>6.08</v>
      </c>
      <c r="F259" s="0" t="n">
        <v>-10.01</v>
      </c>
      <c r="G259" s="2" t="n">
        <v>0.34</v>
      </c>
      <c r="H259" s="1" t="n">
        <v>-5.25</v>
      </c>
      <c r="I259" s="1" t="n">
        <v>0.34</v>
      </c>
      <c r="J259" s="0" t="n">
        <v>0</v>
      </c>
      <c r="K259" s="2" t="n">
        <v>0.46</v>
      </c>
      <c r="L259" s="0" t="n">
        <v>5.25</v>
      </c>
      <c r="M259" s="2" t="n">
        <v>0.34</v>
      </c>
      <c r="N259" s="1" t="n">
        <v>14.2</v>
      </c>
      <c r="O259" s="1" t="n">
        <v>0.34</v>
      </c>
    </row>
    <row r="260" customFormat="false" ht="15" hidden="false" customHeight="false" outlineLevel="0" collapsed="false">
      <c r="D260" s="0" t="n">
        <v>3</v>
      </c>
      <c r="E260" s="0" t="n">
        <v>5.68</v>
      </c>
      <c r="F260" s="0" t="n">
        <v>-9.54</v>
      </c>
      <c r="G260" s="2" t="n">
        <v>0.04</v>
      </c>
      <c r="H260" s="1" t="n">
        <v>-5.25</v>
      </c>
      <c r="I260" s="1" t="n">
        <v>0.04</v>
      </c>
      <c r="J260" s="0" t="n">
        <v>0</v>
      </c>
      <c r="K260" s="2" t="n">
        <v>0.16</v>
      </c>
      <c r="L260" s="0" t="n">
        <v>5.25</v>
      </c>
      <c r="M260" s="2" t="n">
        <v>0.04</v>
      </c>
      <c r="N260" s="1" t="n">
        <v>9.68</v>
      </c>
      <c r="O260" s="1" t="n">
        <v>0.04</v>
      </c>
    </row>
    <row r="261" customFormat="false" ht="15" hidden="false" customHeight="false" outlineLevel="0" collapsed="false">
      <c r="D261" s="0" t="n">
        <v>2</v>
      </c>
      <c r="E261" s="0" t="n">
        <v>4.22</v>
      </c>
      <c r="F261" s="0" t="n">
        <v>-9.24</v>
      </c>
      <c r="G261" s="2" t="n">
        <v>-0.26</v>
      </c>
      <c r="H261" s="1" t="n">
        <v>-5.25</v>
      </c>
      <c r="I261" s="1" t="n">
        <v>-0.26</v>
      </c>
      <c r="J261" s="0" t="n">
        <v>0</v>
      </c>
      <c r="K261" s="2" t="n">
        <v>-0.14</v>
      </c>
      <c r="L261" s="0" t="n">
        <v>5.25</v>
      </c>
      <c r="M261" s="2" t="n">
        <v>-0.26</v>
      </c>
      <c r="N261" s="1" t="n">
        <v>9.38</v>
      </c>
      <c r="O261" s="1" t="n">
        <v>-0.26</v>
      </c>
    </row>
    <row r="262" customFormat="false" ht="15" hidden="false" customHeight="false" outlineLevel="0" collapsed="false">
      <c r="D262" s="0" t="n">
        <v>1</v>
      </c>
      <c r="E262" s="0" t="n">
        <v>0</v>
      </c>
    </row>
    <row r="263" customFormat="false" ht="15" hidden="false" customHeight="false" outlineLevel="0" collapsed="false">
      <c r="A263" s="1" t="n">
        <v>30</v>
      </c>
      <c r="B263" s="2" t="s">
        <v>45</v>
      </c>
      <c r="C263" s="0" t="n">
        <v>632.61</v>
      </c>
      <c r="D263" s="0" t="n">
        <v>9</v>
      </c>
      <c r="E263" s="0" t="n">
        <v>7.31</v>
      </c>
      <c r="F263" s="0" t="n">
        <v>-11.95</v>
      </c>
      <c r="G263" s="2" t="n">
        <v>1.84</v>
      </c>
      <c r="H263" s="1" t="n">
        <v>-5.25</v>
      </c>
      <c r="I263" s="1" t="n">
        <v>1.84</v>
      </c>
      <c r="J263" s="0" t="n">
        <v>0</v>
      </c>
      <c r="K263" s="2" t="n">
        <v>1.96</v>
      </c>
      <c r="L263" s="0" t="n">
        <v>5.25</v>
      </c>
      <c r="M263" s="2" t="n">
        <v>1.84</v>
      </c>
      <c r="N263" s="1" t="n">
        <v>11.95</v>
      </c>
      <c r="O263" s="1" t="n">
        <v>1.84</v>
      </c>
      <c r="P263" s="0" t="n">
        <v>70.95</v>
      </c>
      <c r="Q263" s="0" t="n">
        <v>11.55</v>
      </c>
    </row>
    <row r="264" customFormat="false" ht="15" hidden="false" customHeight="false" outlineLevel="0" collapsed="false">
      <c r="D264" s="0" t="n">
        <v>8</v>
      </c>
      <c r="E264" s="0" t="n">
        <v>7.58</v>
      </c>
      <c r="F264" s="0" t="n">
        <v>-12.4</v>
      </c>
      <c r="G264" s="2" t="n">
        <v>1.54</v>
      </c>
      <c r="H264" s="1" t="n">
        <v>-5.25</v>
      </c>
      <c r="I264" s="1" t="n">
        <v>1.54</v>
      </c>
      <c r="J264" s="0" t="n">
        <v>0</v>
      </c>
      <c r="K264" s="2" t="n">
        <v>1.66</v>
      </c>
      <c r="L264" s="0" t="n">
        <v>5.25</v>
      </c>
      <c r="M264" s="2" t="n">
        <v>1.54</v>
      </c>
      <c r="N264" s="1" t="n">
        <v>12.4</v>
      </c>
      <c r="O264" s="1" t="n">
        <v>1.54</v>
      </c>
    </row>
    <row r="265" customFormat="false" ht="15" hidden="false" customHeight="false" outlineLevel="0" collapsed="false">
      <c r="D265" s="0" t="n">
        <v>7</v>
      </c>
      <c r="E265" s="0" t="n">
        <v>7.85</v>
      </c>
      <c r="F265" s="0" t="n">
        <v>-12.85</v>
      </c>
      <c r="G265" s="2" t="n">
        <v>1.24</v>
      </c>
      <c r="H265" s="1" t="n">
        <v>-5.25</v>
      </c>
      <c r="I265" s="1" t="n">
        <v>1.24</v>
      </c>
      <c r="J265" s="0" t="n">
        <v>0</v>
      </c>
      <c r="K265" s="2" t="n">
        <v>1.36</v>
      </c>
      <c r="L265" s="0" t="n">
        <v>5.25</v>
      </c>
      <c r="M265" s="2" t="n">
        <v>1.24</v>
      </c>
      <c r="N265" s="1" t="n">
        <v>12.85</v>
      </c>
      <c r="O265" s="1" t="n">
        <v>1.24</v>
      </c>
    </row>
    <row r="266" customFormat="false" ht="15" hidden="false" customHeight="false" outlineLevel="0" collapsed="false">
      <c r="D266" s="0" t="n">
        <v>6</v>
      </c>
      <c r="E266" s="0" t="n">
        <v>8.12</v>
      </c>
      <c r="F266" s="0" t="n">
        <v>-13.3</v>
      </c>
      <c r="G266" s="2" t="n">
        <v>0.94</v>
      </c>
      <c r="H266" s="1" t="n">
        <v>-5.25</v>
      </c>
      <c r="I266" s="1" t="n">
        <v>0.94</v>
      </c>
      <c r="J266" s="0" t="n">
        <v>0</v>
      </c>
      <c r="K266" s="2" t="n">
        <v>1.06</v>
      </c>
      <c r="L266" s="0" t="n">
        <v>5.25</v>
      </c>
      <c r="M266" s="2" t="n">
        <v>0.94</v>
      </c>
      <c r="N266" s="1" t="n">
        <v>13.3</v>
      </c>
      <c r="O266" s="1" t="n">
        <v>0.94</v>
      </c>
    </row>
    <row r="267" customFormat="false" ht="15" hidden="false" customHeight="false" outlineLevel="0" collapsed="false">
      <c r="D267" s="0" t="n">
        <v>5</v>
      </c>
      <c r="E267" s="0" t="n">
        <v>8.39</v>
      </c>
      <c r="F267" s="0" t="n">
        <v>-13.75</v>
      </c>
      <c r="G267" s="2" t="n">
        <v>0.64</v>
      </c>
      <c r="H267" s="1" t="n">
        <v>-5.25</v>
      </c>
      <c r="I267" s="1" t="n">
        <v>0.64</v>
      </c>
      <c r="J267" s="0" t="n">
        <v>0</v>
      </c>
      <c r="K267" s="2" t="n">
        <v>0.76</v>
      </c>
      <c r="L267" s="0" t="n">
        <v>5.25</v>
      </c>
      <c r="M267" s="2" t="n">
        <v>0.64</v>
      </c>
      <c r="N267" s="1" t="n">
        <v>13.75</v>
      </c>
      <c r="O267" s="1" t="n">
        <v>0.64</v>
      </c>
    </row>
    <row r="268" customFormat="false" ht="15" hidden="false" customHeight="false" outlineLevel="0" collapsed="false">
      <c r="D268" s="0" t="n">
        <v>4</v>
      </c>
      <c r="E268" s="0" t="n">
        <v>8.66</v>
      </c>
      <c r="F268" s="0" t="n">
        <v>-14.2</v>
      </c>
      <c r="G268" s="2" t="n">
        <v>0.34</v>
      </c>
      <c r="H268" s="1" t="n">
        <v>-5.25</v>
      </c>
      <c r="I268" s="1" t="n">
        <v>0.34</v>
      </c>
      <c r="J268" s="0" t="n">
        <v>0</v>
      </c>
      <c r="K268" s="2" t="n">
        <v>0.46</v>
      </c>
      <c r="L268" s="0" t="n">
        <v>5.25</v>
      </c>
      <c r="M268" s="2" t="n">
        <v>0.34</v>
      </c>
      <c r="N268" s="1" t="n">
        <v>14.2</v>
      </c>
      <c r="O268" s="1" t="n">
        <v>0.34</v>
      </c>
    </row>
    <row r="269" customFormat="false" ht="15" hidden="false" customHeight="false" outlineLevel="0" collapsed="false">
      <c r="D269" s="0" t="n">
        <v>3</v>
      </c>
      <c r="E269" s="0" t="n">
        <v>6.98</v>
      </c>
      <c r="F269" s="0" t="n">
        <v>-14.65</v>
      </c>
      <c r="G269" s="2" t="n">
        <v>0.04</v>
      </c>
      <c r="H269" s="1" t="n">
        <v>-5.25</v>
      </c>
      <c r="I269" s="1" t="n">
        <v>0.04</v>
      </c>
      <c r="J269" s="0" t="n">
        <v>0</v>
      </c>
      <c r="K269" s="2" t="n">
        <v>0.16</v>
      </c>
      <c r="L269" s="0" t="n">
        <v>5.25</v>
      </c>
      <c r="M269" s="2" t="n">
        <v>0.04</v>
      </c>
      <c r="N269" s="1" t="n">
        <v>14.65</v>
      </c>
      <c r="O269" s="1" t="n">
        <v>0.04</v>
      </c>
    </row>
    <row r="270" customFormat="false" ht="15" hidden="false" customHeight="false" outlineLevel="0" collapsed="false">
      <c r="D270" s="0" t="n">
        <v>2</v>
      </c>
      <c r="E270" s="0" t="n">
        <v>4.53</v>
      </c>
      <c r="F270" s="0" t="n">
        <v>-9.97</v>
      </c>
      <c r="G270" s="2" t="n">
        <v>-0.26</v>
      </c>
      <c r="H270" s="1" t="n">
        <v>-5.25</v>
      </c>
      <c r="I270" s="1" t="n">
        <v>-0.26</v>
      </c>
      <c r="J270" s="0" t="n">
        <v>0</v>
      </c>
      <c r="K270" s="2" t="n">
        <v>-0.14</v>
      </c>
      <c r="L270" s="0" t="n">
        <v>5.25</v>
      </c>
      <c r="M270" s="2" t="n">
        <v>-0.26</v>
      </c>
      <c r="N270" s="1" t="n">
        <v>10.13</v>
      </c>
      <c r="O270" s="1" t="n">
        <v>-0.26</v>
      </c>
    </row>
    <row r="271" customFormat="false" ht="15" hidden="false" customHeight="false" outlineLevel="0" collapsed="false">
      <c r="D271" s="0" t="n">
        <v>1</v>
      </c>
      <c r="E271" s="0" t="n">
        <v>0</v>
      </c>
    </row>
    <row r="272" customFormat="false" ht="15" hidden="false" customHeight="false" outlineLevel="0" collapsed="false">
      <c r="A272" s="1" t="n">
        <v>31</v>
      </c>
      <c r="B272" s="2" t="s">
        <v>46</v>
      </c>
      <c r="C272" s="0" t="n">
        <v>652.61</v>
      </c>
      <c r="D272" s="0" t="n">
        <v>9</v>
      </c>
      <c r="E272" s="0" t="n">
        <v>7.31</v>
      </c>
      <c r="F272" s="0" t="n">
        <v>-11.95</v>
      </c>
      <c r="G272" s="2" t="n">
        <v>1.85</v>
      </c>
      <c r="H272" s="1" t="n">
        <v>-5.25</v>
      </c>
      <c r="I272" s="1" t="n">
        <v>1.85</v>
      </c>
      <c r="J272" s="0" t="n">
        <v>0</v>
      </c>
      <c r="K272" s="2" t="n">
        <v>1.96</v>
      </c>
      <c r="L272" s="0" t="n">
        <v>5.25</v>
      </c>
      <c r="M272" s="2" t="n">
        <v>1.85</v>
      </c>
      <c r="N272" s="1" t="n">
        <v>11.95</v>
      </c>
      <c r="O272" s="1" t="n">
        <v>1.85</v>
      </c>
      <c r="P272" s="0" t="n">
        <v>73.81</v>
      </c>
      <c r="Q272" s="0" t="n">
        <v>11.55</v>
      </c>
    </row>
    <row r="273" customFormat="false" ht="15" hidden="false" customHeight="false" outlineLevel="0" collapsed="false">
      <c r="D273" s="0" t="n">
        <v>8</v>
      </c>
      <c r="E273" s="0" t="n">
        <v>7.58</v>
      </c>
      <c r="F273" s="0" t="n">
        <v>-12.4</v>
      </c>
      <c r="G273" s="2" t="n">
        <v>1.55</v>
      </c>
      <c r="H273" s="1" t="n">
        <v>-5.25</v>
      </c>
      <c r="I273" s="1" t="n">
        <v>1.55</v>
      </c>
      <c r="J273" s="0" t="n">
        <v>0</v>
      </c>
      <c r="K273" s="2" t="n">
        <v>1.66</v>
      </c>
      <c r="L273" s="0" t="n">
        <v>5.25</v>
      </c>
      <c r="M273" s="2" t="n">
        <v>1.55</v>
      </c>
      <c r="N273" s="1" t="n">
        <v>12.4</v>
      </c>
      <c r="O273" s="1" t="n">
        <v>1.55</v>
      </c>
    </row>
    <row r="274" customFormat="false" ht="15" hidden="false" customHeight="false" outlineLevel="0" collapsed="false">
      <c r="D274" s="0" t="n">
        <v>7</v>
      </c>
      <c r="E274" s="0" t="n">
        <v>7.85</v>
      </c>
      <c r="F274" s="0" t="n">
        <v>-12.85</v>
      </c>
      <c r="G274" s="2" t="n">
        <v>1.25</v>
      </c>
      <c r="H274" s="1" t="n">
        <v>-5.25</v>
      </c>
      <c r="I274" s="1" t="n">
        <v>1.25</v>
      </c>
      <c r="J274" s="0" t="n">
        <v>0</v>
      </c>
      <c r="K274" s="2" t="n">
        <v>1.36</v>
      </c>
      <c r="L274" s="0" t="n">
        <v>5.25</v>
      </c>
      <c r="M274" s="2" t="n">
        <v>1.25</v>
      </c>
      <c r="N274" s="1" t="n">
        <v>12.85</v>
      </c>
      <c r="O274" s="1" t="n">
        <v>1.25</v>
      </c>
    </row>
    <row r="275" customFormat="false" ht="15" hidden="false" customHeight="false" outlineLevel="0" collapsed="false">
      <c r="D275" s="0" t="n">
        <v>6</v>
      </c>
      <c r="E275" s="0" t="n">
        <v>8.12</v>
      </c>
      <c r="F275" s="0" t="n">
        <v>-13.3</v>
      </c>
      <c r="G275" s="2" t="n">
        <v>0.95</v>
      </c>
      <c r="H275" s="1" t="n">
        <v>-5.25</v>
      </c>
      <c r="I275" s="1" t="n">
        <v>0.95</v>
      </c>
      <c r="J275" s="0" t="n">
        <v>0</v>
      </c>
      <c r="K275" s="2" t="n">
        <v>1.06</v>
      </c>
      <c r="L275" s="0" t="n">
        <v>5.25</v>
      </c>
      <c r="M275" s="2" t="n">
        <v>0.95</v>
      </c>
      <c r="N275" s="1" t="n">
        <v>13.3</v>
      </c>
      <c r="O275" s="1" t="n">
        <v>0.95</v>
      </c>
    </row>
    <row r="276" customFormat="false" ht="15" hidden="false" customHeight="false" outlineLevel="0" collapsed="false">
      <c r="D276" s="0" t="n">
        <v>5</v>
      </c>
      <c r="E276" s="0" t="n">
        <v>8.39</v>
      </c>
      <c r="F276" s="0" t="n">
        <v>-13.75</v>
      </c>
      <c r="G276" s="2" t="n">
        <v>0.65</v>
      </c>
      <c r="H276" s="1" t="n">
        <v>-5.25</v>
      </c>
      <c r="I276" s="1" t="n">
        <v>0.65</v>
      </c>
      <c r="J276" s="0" t="n">
        <v>0</v>
      </c>
      <c r="K276" s="2" t="n">
        <v>0.76</v>
      </c>
      <c r="L276" s="0" t="n">
        <v>5.25</v>
      </c>
      <c r="M276" s="2" t="n">
        <v>0.65</v>
      </c>
      <c r="N276" s="1" t="n">
        <v>13.75</v>
      </c>
      <c r="O276" s="1" t="n">
        <v>0.65</v>
      </c>
    </row>
    <row r="277" customFormat="false" ht="15" hidden="false" customHeight="false" outlineLevel="0" collapsed="false">
      <c r="D277" s="0" t="n">
        <v>4</v>
      </c>
      <c r="E277" s="0" t="n">
        <v>8.66</v>
      </c>
      <c r="F277" s="0" t="n">
        <v>-14.2</v>
      </c>
      <c r="G277" s="2" t="n">
        <v>0.35</v>
      </c>
      <c r="H277" s="1" t="n">
        <v>-5.25</v>
      </c>
      <c r="I277" s="1" t="n">
        <v>0.35</v>
      </c>
      <c r="J277" s="0" t="n">
        <v>0</v>
      </c>
      <c r="K277" s="2" t="n">
        <v>0.46</v>
      </c>
      <c r="L277" s="0" t="n">
        <v>5.25</v>
      </c>
      <c r="M277" s="2" t="n">
        <v>0.35</v>
      </c>
      <c r="N277" s="1" t="n">
        <v>14.2</v>
      </c>
      <c r="O277" s="1" t="n">
        <v>0.35</v>
      </c>
    </row>
    <row r="278" customFormat="false" ht="15" hidden="false" customHeight="false" outlineLevel="0" collapsed="false">
      <c r="D278" s="0" t="n">
        <v>3</v>
      </c>
      <c r="E278" s="0" t="n">
        <v>8.93</v>
      </c>
      <c r="F278" s="0" t="n">
        <v>-14.65</v>
      </c>
      <c r="G278" s="2" t="n">
        <v>0.05</v>
      </c>
      <c r="H278" s="1" t="n">
        <v>-5.25</v>
      </c>
      <c r="I278" s="1" t="n">
        <v>0.05</v>
      </c>
      <c r="J278" s="0" t="n">
        <v>0</v>
      </c>
      <c r="K278" s="2" t="n">
        <v>0.16</v>
      </c>
      <c r="L278" s="0" t="n">
        <v>5.25</v>
      </c>
      <c r="M278" s="2" t="n">
        <v>0.05</v>
      </c>
      <c r="N278" s="1" t="n">
        <v>14.65</v>
      </c>
      <c r="O278" s="1" t="n">
        <v>0.05</v>
      </c>
    </row>
    <row r="279" customFormat="false" ht="15" hidden="false" customHeight="false" outlineLevel="0" collapsed="false">
      <c r="D279" s="0" t="n">
        <v>2</v>
      </c>
      <c r="E279" s="0" t="n">
        <v>5.44</v>
      </c>
      <c r="F279" s="0" t="n">
        <v>-15.1</v>
      </c>
      <c r="G279" s="2" t="n">
        <v>-0.25</v>
      </c>
      <c r="H279" s="1" t="n">
        <v>-5.25</v>
      </c>
      <c r="I279" s="1" t="n">
        <v>-0.25</v>
      </c>
      <c r="J279" s="0" t="n">
        <v>0</v>
      </c>
      <c r="K279" s="2" t="n">
        <v>-0.14</v>
      </c>
      <c r="L279" s="0" t="n">
        <v>5.25</v>
      </c>
      <c r="M279" s="2" t="n">
        <v>-0.25</v>
      </c>
      <c r="N279" s="1" t="n">
        <v>15.1</v>
      </c>
      <c r="O279" s="1" t="n">
        <v>-0.25</v>
      </c>
    </row>
    <row r="280" customFormat="false" ht="15" hidden="false" customHeight="false" outlineLevel="0" collapsed="false">
      <c r="D280" s="0" t="n">
        <v>1</v>
      </c>
      <c r="E280" s="0" t="n">
        <v>0</v>
      </c>
    </row>
    <row r="281" customFormat="false" ht="15" hidden="false" customHeight="false" outlineLevel="0" collapsed="false">
      <c r="A281" s="1" t="n">
        <v>32</v>
      </c>
      <c r="B281" s="2" t="s">
        <v>47</v>
      </c>
      <c r="C281" s="0" t="n">
        <v>672.61</v>
      </c>
      <c r="D281" s="0" t="n">
        <v>9</v>
      </c>
      <c r="E281" s="0" t="n">
        <v>7.31</v>
      </c>
      <c r="F281" s="0" t="n">
        <v>-11.95</v>
      </c>
      <c r="G281" s="2" t="n">
        <v>1.85</v>
      </c>
      <c r="H281" s="1" t="n">
        <v>-5.25</v>
      </c>
      <c r="I281" s="1" t="n">
        <v>1.85</v>
      </c>
      <c r="J281" s="0" t="n">
        <v>0</v>
      </c>
      <c r="K281" s="2" t="n">
        <v>1.96</v>
      </c>
      <c r="L281" s="0" t="n">
        <v>5.25</v>
      </c>
      <c r="M281" s="2" t="n">
        <v>1.85</v>
      </c>
      <c r="N281" s="1" t="n">
        <v>11.95</v>
      </c>
      <c r="O281" s="1" t="n">
        <v>1.85</v>
      </c>
      <c r="P281" s="0" t="n">
        <v>70.29</v>
      </c>
      <c r="Q281" s="0" t="n">
        <v>11.55</v>
      </c>
    </row>
    <row r="282" customFormat="false" ht="15" hidden="false" customHeight="false" outlineLevel="0" collapsed="false">
      <c r="D282" s="0" t="n">
        <v>8</v>
      </c>
      <c r="E282" s="0" t="n">
        <v>7.58</v>
      </c>
      <c r="F282" s="0" t="n">
        <v>-12.4</v>
      </c>
      <c r="G282" s="2" t="n">
        <v>1.55</v>
      </c>
      <c r="H282" s="1" t="n">
        <v>-5.25</v>
      </c>
      <c r="I282" s="1" t="n">
        <v>1.55</v>
      </c>
      <c r="J282" s="0" t="n">
        <v>0</v>
      </c>
      <c r="K282" s="2" t="n">
        <v>1.66</v>
      </c>
      <c r="L282" s="0" t="n">
        <v>5.25</v>
      </c>
      <c r="M282" s="2" t="n">
        <v>1.55</v>
      </c>
      <c r="N282" s="1" t="n">
        <v>12.4</v>
      </c>
      <c r="O282" s="1" t="n">
        <v>1.55</v>
      </c>
    </row>
    <row r="283" customFormat="false" ht="15" hidden="false" customHeight="false" outlineLevel="0" collapsed="false">
      <c r="D283" s="0" t="n">
        <v>7</v>
      </c>
      <c r="E283" s="0" t="n">
        <v>7.85</v>
      </c>
      <c r="F283" s="0" t="n">
        <v>-12.85</v>
      </c>
      <c r="G283" s="2" t="n">
        <v>1.25</v>
      </c>
      <c r="H283" s="1" t="n">
        <v>-5.25</v>
      </c>
      <c r="I283" s="1" t="n">
        <v>1.25</v>
      </c>
      <c r="J283" s="0" t="n">
        <v>0</v>
      </c>
      <c r="K283" s="2" t="n">
        <v>1.36</v>
      </c>
      <c r="L283" s="0" t="n">
        <v>5.25</v>
      </c>
      <c r="M283" s="2" t="n">
        <v>1.25</v>
      </c>
      <c r="N283" s="1" t="n">
        <v>12.85</v>
      </c>
      <c r="O283" s="1" t="n">
        <v>1.25</v>
      </c>
    </row>
    <row r="284" customFormat="false" ht="15" hidden="false" customHeight="false" outlineLevel="0" collapsed="false">
      <c r="D284" s="0" t="n">
        <v>6</v>
      </c>
      <c r="E284" s="0" t="n">
        <v>8.12</v>
      </c>
      <c r="F284" s="0" t="n">
        <v>-13.3</v>
      </c>
      <c r="G284" s="2" t="n">
        <v>0.95</v>
      </c>
      <c r="H284" s="1" t="n">
        <v>-5.25</v>
      </c>
      <c r="I284" s="1" t="n">
        <v>0.95</v>
      </c>
      <c r="J284" s="0" t="n">
        <v>0</v>
      </c>
      <c r="K284" s="2" t="n">
        <v>1.06</v>
      </c>
      <c r="L284" s="0" t="n">
        <v>5.25</v>
      </c>
      <c r="M284" s="2" t="n">
        <v>0.95</v>
      </c>
      <c r="N284" s="1" t="n">
        <v>13.3</v>
      </c>
      <c r="O284" s="1" t="n">
        <v>0.95</v>
      </c>
    </row>
    <row r="285" customFormat="false" ht="15" hidden="false" customHeight="false" outlineLevel="0" collapsed="false">
      <c r="D285" s="0" t="n">
        <v>5</v>
      </c>
      <c r="E285" s="0" t="n">
        <v>8.39</v>
      </c>
      <c r="F285" s="0" t="n">
        <v>-13.75</v>
      </c>
      <c r="G285" s="2" t="n">
        <v>0.65</v>
      </c>
      <c r="H285" s="1" t="n">
        <v>-5.25</v>
      </c>
      <c r="I285" s="1" t="n">
        <v>0.65</v>
      </c>
      <c r="J285" s="0" t="n">
        <v>0</v>
      </c>
      <c r="K285" s="2" t="n">
        <v>0.76</v>
      </c>
      <c r="L285" s="0" t="n">
        <v>5.25</v>
      </c>
      <c r="M285" s="2" t="n">
        <v>0.65</v>
      </c>
      <c r="N285" s="1" t="n">
        <v>13.75</v>
      </c>
      <c r="O285" s="1" t="n">
        <v>0.65</v>
      </c>
    </row>
    <row r="286" customFormat="false" ht="15" hidden="false" customHeight="false" outlineLevel="0" collapsed="false">
      <c r="D286" s="0" t="n">
        <v>4</v>
      </c>
      <c r="E286" s="0" t="n">
        <v>8.66</v>
      </c>
      <c r="F286" s="0" t="n">
        <v>-14.2</v>
      </c>
      <c r="G286" s="2" t="n">
        <v>0.35</v>
      </c>
      <c r="H286" s="1" t="n">
        <v>-5.25</v>
      </c>
      <c r="I286" s="1" t="n">
        <v>0.35</v>
      </c>
      <c r="J286" s="0" t="n">
        <v>0</v>
      </c>
      <c r="K286" s="2" t="n">
        <v>0.46</v>
      </c>
      <c r="L286" s="0" t="n">
        <v>5.25</v>
      </c>
      <c r="M286" s="2" t="n">
        <v>0.35</v>
      </c>
      <c r="N286" s="1" t="n">
        <v>14.2</v>
      </c>
      <c r="O286" s="1" t="n">
        <v>0.35</v>
      </c>
    </row>
    <row r="287" customFormat="false" ht="15" hidden="false" customHeight="false" outlineLevel="0" collapsed="false">
      <c r="D287" s="0" t="n">
        <v>3</v>
      </c>
      <c r="E287" s="0" t="n">
        <v>6.34</v>
      </c>
      <c r="F287" s="0" t="n">
        <v>-14.65</v>
      </c>
      <c r="G287" s="2" t="n">
        <v>0.05</v>
      </c>
      <c r="H287" s="1" t="n">
        <v>-5.25</v>
      </c>
      <c r="I287" s="1" t="n">
        <v>0.05</v>
      </c>
      <c r="J287" s="0" t="n">
        <v>0</v>
      </c>
      <c r="K287" s="2" t="n">
        <v>0.16</v>
      </c>
      <c r="L287" s="0" t="n">
        <v>5.25</v>
      </c>
      <c r="M287" s="2" t="n">
        <v>0.05</v>
      </c>
      <c r="N287" s="1" t="n">
        <v>14.65</v>
      </c>
      <c r="O287" s="1" t="n">
        <v>0.05</v>
      </c>
    </row>
    <row r="288" customFormat="false" ht="15" hidden="false" customHeight="false" outlineLevel="0" collapsed="false">
      <c r="D288" s="0" t="n">
        <v>2</v>
      </c>
      <c r="E288" s="0" t="n">
        <v>4.51</v>
      </c>
      <c r="F288" s="0" t="n">
        <v>-9.83</v>
      </c>
      <c r="G288" s="2" t="n">
        <v>-0.25</v>
      </c>
      <c r="H288" s="1" t="n">
        <v>-5.25</v>
      </c>
      <c r="I288" s="1" t="n">
        <v>-0.25</v>
      </c>
      <c r="J288" s="0" t="n">
        <v>0</v>
      </c>
      <c r="K288" s="2" t="n">
        <v>-0.14</v>
      </c>
      <c r="L288" s="0" t="n">
        <v>5.25</v>
      </c>
      <c r="M288" s="2" t="n">
        <v>-0.25</v>
      </c>
      <c r="N288" s="1" t="n">
        <v>9.87</v>
      </c>
      <c r="O288" s="1" t="n">
        <v>-0.25</v>
      </c>
    </row>
    <row r="289" customFormat="false" ht="15" hidden="false" customHeight="false" outlineLevel="0" collapsed="false">
      <c r="D289" s="0" t="n">
        <v>1</v>
      </c>
      <c r="E289" s="0" t="n">
        <v>0</v>
      </c>
    </row>
    <row r="290" customFormat="false" ht="15" hidden="false" customHeight="false" outlineLevel="0" collapsed="false">
      <c r="A290" s="1" t="n">
        <v>33</v>
      </c>
      <c r="B290" s="2" t="s">
        <v>48</v>
      </c>
      <c r="C290" s="0" t="n">
        <v>692.61</v>
      </c>
      <c r="D290" s="0" t="n">
        <v>9</v>
      </c>
      <c r="E290" s="0" t="n">
        <v>7.31</v>
      </c>
      <c r="F290" s="0" t="n">
        <v>-11.95</v>
      </c>
      <c r="G290" s="2" t="n">
        <v>1.85</v>
      </c>
      <c r="H290" s="1" t="n">
        <v>-5.25</v>
      </c>
      <c r="I290" s="1" t="n">
        <v>1.85</v>
      </c>
      <c r="J290" s="0" t="n">
        <v>0</v>
      </c>
      <c r="K290" s="2" t="n">
        <v>1.97</v>
      </c>
      <c r="L290" s="0" t="n">
        <v>5.25</v>
      </c>
      <c r="M290" s="2" t="n">
        <v>1.85</v>
      </c>
      <c r="N290" s="1" t="n">
        <v>11.95</v>
      </c>
      <c r="O290" s="1" t="n">
        <v>1.85</v>
      </c>
      <c r="P290" s="0" t="n">
        <v>73.98</v>
      </c>
      <c r="Q290" s="0" t="n">
        <v>11.55</v>
      </c>
    </row>
    <row r="291" customFormat="false" ht="15" hidden="false" customHeight="false" outlineLevel="0" collapsed="false">
      <c r="D291" s="0" t="n">
        <v>8</v>
      </c>
      <c r="E291" s="0" t="n">
        <v>7.58</v>
      </c>
      <c r="F291" s="0" t="n">
        <v>-12.4</v>
      </c>
      <c r="G291" s="2" t="n">
        <v>1.55</v>
      </c>
      <c r="H291" s="1" t="n">
        <v>-5.25</v>
      </c>
      <c r="I291" s="1" t="n">
        <v>1.55</v>
      </c>
      <c r="J291" s="0" t="n">
        <v>0</v>
      </c>
      <c r="K291" s="2" t="n">
        <v>1.67</v>
      </c>
      <c r="L291" s="0" t="n">
        <v>5.25</v>
      </c>
      <c r="M291" s="2" t="n">
        <v>1.55</v>
      </c>
      <c r="N291" s="1" t="n">
        <v>12.4</v>
      </c>
      <c r="O291" s="1" t="n">
        <v>1.55</v>
      </c>
    </row>
    <row r="292" customFormat="false" ht="15" hidden="false" customHeight="false" outlineLevel="0" collapsed="false">
      <c r="D292" s="0" t="n">
        <v>7</v>
      </c>
      <c r="E292" s="0" t="n">
        <v>7.85</v>
      </c>
      <c r="F292" s="0" t="n">
        <v>-12.85</v>
      </c>
      <c r="G292" s="2" t="n">
        <v>1.25</v>
      </c>
      <c r="H292" s="1" t="n">
        <v>-5.25</v>
      </c>
      <c r="I292" s="1" t="n">
        <v>1.25</v>
      </c>
      <c r="J292" s="0" t="n">
        <v>0</v>
      </c>
      <c r="K292" s="2" t="n">
        <v>1.37</v>
      </c>
      <c r="L292" s="0" t="n">
        <v>5.25</v>
      </c>
      <c r="M292" s="2" t="n">
        <v>1.25</v>
      </c>
      <c r="N292" s="1" t="n">
        <v>12.85</v>
      </c>
      <c r="O292" s="1" t="n">
        <v>1.25</v>
      </c>
    </row>
    <row r="293" customFormat="false" ht="15" hidden="false" customHeight="false" outlineLevel="0" collapsed="false">
      <c r="D293" s="0" t="n">
        <v>6</v>
      </c>
      <c r="E293" s="0" t="n">
        <v>8.12</v>
      </c>
      <c r="F293" s="0" t="n">
        <v>-13.3</v>
      </c>
      <c r="G293" s="2" t="n">
        <v>0.95</v>
      </c>
      <c r="H293" s="1" t="n">
        <v>-5.25</v>
      </c>
      <c r="I293" s="1" t="n">
        <v>0.95</v>
      </c>
      <c r="J293" s="0" t="n">
        <v>0</v>
      </c>
      <c r="K293" s="2" t="n">
        <v>1.07</v>
      </c>
      <c r="L293" s="0" t="n">
        <v>5.25</v>
      </c>
      <c r="M293" s="2" t="n">
        <v>0.95</v>
      </c>
      <c r="N293" s="1" t="n">
        <v>13.3</v>
      </c>
      <c r="O293" s="1" t="n">
        <v>0.95</v>
      </c>
    </row>
    <row r="294" customFormat="false" ht="15" hidden="false" customHeight="false" outlineLevel="0" collapsed="false">
      <c r="D294" s="0" t="n">
        <v>5</v>
      </c>
      <c r="E294" s="0" t="n">
        <v>8.39</v>
      </c>
      <c r="F294" s="0" t="n">
        <v>-13.75</v>
      </c>
      <c r="G294" s="2" t="n">
        <v>0.65</v>
      </c>
      <c r="H294" s="1" t="n">
        <v>-5.25</v>
      </c>
      <c r="I294" s="1" t="n">
        <v>0.65</v>
      </c>
      <c r="J294" s="0" t="n">
        <v>0</v>
      </c>
      <c r="K294" s="2" t="n">
        <v>0.77</v>
      </c>
      <c r="L294" s="0" t="n">
        <v>5.25</v>
      </c>
      <c r="M294" s="2" t="n">
        <v>0.65</v>
      </c>
      <c r="N294" s="1" t="n">
        <v>13.75</v>
      </c>
      <c r="O294" s="1" t="n">
        <v>0.65</v>
      </c>
    </row>
    <row r="295" customFormat="false" ht="15" hidden="false" customHeight="false" outlineLevel="0" collapsed="false">
      <c r="D295" s="0" t="n">
        <v>4</v>
      </c>
      <c r="E295" s="0" t="n">
        <v>8.66</v>
      </c>
      <c r="F295" s="0" t="n">
        <v>-14.2</v>
      </c>
      <c r="G295" s="2" t="n">
        <v>0.35</v>
      </c>
      <c r="H295" s="1" t="n">
        <v>-5.25</v>
      </c>
      <c r="I295" s="1" t="n">
        <v>0.35</v>
      </c>
      <c r="J295" s="0" t="n">
        <v>0</v>
      </c>
      <c r="K295" s="2" t="n">
        <v>0.47</v>
      </c>
      <c r="L295" s="0" t="n">
        <v>5.25</v>
      </c>
      <c r="M295" s="2" t="n">
        <v>0.35</v>
      </c>
      <c r="N295" s="1" t="n">
        <v>14.2</v>
      </c>
      <c r="O295" s="1" t="n">
        <v>0.35</v>
      </c>
    </row>
    <row r="296" customFormat="false" ht="15" hidden="false" customHeight="false" outlineLevel="0" collapsed="false">
      <c r="D296" s="0" t="n">
        <v>3</v>
      </c>
      <c r="E296" s="0" t="n">
        <v>8.93</v>
      </c>
      <c r="F296" s="0" t="n">
        <v>-14.65</v>
      </c>
      <c r="G296" s="2" t="n">
        <v>0.05</v>
      </c>
      <c r="H296" s="1" t="n">
        <v>-5.25</v>
      </c>
      <c r="I296" s="1" t="n">
        <v>0.05</v>
      </c>
      <c r="J296" s="0" t="n">
        <v>0</v>
      </c>
      <c r="K296" s="2" t="n">
        <v>0.17</v>
      </c>
      <c r="L296" s="0" t="n">
        <v>5.25</v>
      </c>
      <c r="M296" s="2" t="n">
        <v>0.05</v>
      </c>
      <c r="N296" s="1" t="n">
        <v>14.65</v>
      </c>
      <c r="O296" s="1" t="n">
        <v>0.05</v>
      </c>
    </row>
    <row r="297" customFormat="false" ht="15" hidden="false" customHeight="false" outlineLevel="0" collapsed="false">
      <c r="D297" s="0" t="n">
        <v>2</v>
      </c>
      <c r="E297" s="0" t="n">
        <v>5.61</v>
      </c>
      <c r="F297" s="0" t="n">
        <v>-15.1</v>
      </c>
      <c r="G297" s="2" t="n">
        <v>-0.25</v>
      </c>
      <c r="H297" s="1" t="n">
        <v>-5.25</v>
      </c>
      <c r="I297" s="1" t="n">
        <v>-0.25</v>
      </c>
      <c r="J297" s="0" t="n">
        <v>0</v>
      </c>
      <c r="K297" s="2" t="n">
        <v>-0.13</v>
      </c>
      <c r="L297" s="0" t="n">
        <v>5.25</v>
      </c>
      <c r="M297" s="2" t="n">
        <v>-0.25</v>
      </c>
      <c r="N297" s="1" t="n">
        <v>15.1</v>
      </c>
      <c r="O297" s="1" t="n">
        <v>-0.25</v>
      </c>
    </row>
    <row r="298" customFormat="false" ht="15" hidden="false" customHeight="false" outlineLevel="0" collapsed="false">
      <c r="D298" s="0" t="n">
        <v>1</v>
      </c>
      <c r="E298" s="0" t="n">
        <v>0</v>
      </c>
    </row>
    <row r="299" customFormat="false" ht="15" hidden="false" customHeight="false" outlineLevel="0" collapsed="false">
      <c r="A299" s="1" t="n">
        <v>34</v>
      </c>
      <c r="B299" s="2" t="s">
        <v>49</v>
      </c>
      <c r="C299" s="0" t="n">
        <v>712.61</v>
      </c>
      <c r="D299" s="0" t="n">
        <v>9</v>
      </c>
      <c r="E299" s="0" t="n">
        <v>7.31</v>
      </c>
      <c r="F299" s="0" t="n">
        <v>-11.95</v>
      </c>
      <c r="G299" s="2" t="n">
        <v>1.85</v>
      </c>
      <c r="H299" s="1" t="n">
        <v>-5.25</v>
      </c>
      <c r="I299" s="1" t="n">
        <v>1.85</v>
      </c>
      <c r="J299" s="0" t="n">
        <v>0</v>
      </c>
      <c r="K299" s="2" t="n">
        <v>1.97</v>
      </c>
      <c r="L299" s="0" t="n">
        <v>5.25</v>
      </c>
      <c r="M299" s="2" t="n">
        <v>1.85</v>
      </c>
      <c r="N299" s="1" t="n">
        <v>11.95</v>
      </c>
      <c r="O299" s="1" t="n">
        <v>1.85</v>
      </c>
      <c r="P299" s="0" t="n">
        <v>61.41</v>
      </c>
      <c r="Q299" s="0" t="n">
        <v>11.55</v>
      </c>
    </row>
    <row r="300" customFormat="false" ht="15" hidden="false" customHeight="false" outlineLevel="0" collapsed="false">
      <c r="D300" s="0" t="n">
        <v>8</v>
      </c>
      <c r="E300" s="0" t="n">
        <v>6.76</v>
      </c>
      <c r="F300" s="0" t="n">
        <v>-12.4</v>
      </c>
      <c r="G300" s="2" t="n">
        <v>1.55</v>
      </c>
      <c r="H300" s="1" t="n">
        <v>-5.25</v>
      </c>
      <c r="I300" s="1" t="n">
        <v>1.55</v>
      </c>
      <c r="J300" s="0" t="n">
        <v>0</v>
      </c>
      <c r="K300" s="2" t="n">
        <v>1.67</v>
      </c>
      <c r="L300" s="0" t="n">
        <v>5.25</v>
      </c>
      <c r="M300" s="2" t="n">
        <v>1.55</v>
      </c>
      <c r="N300" s="1" t="n">
        <v>12.4</v>
      </c>
      <c r="O300" s="1" t="n">
        <v>1.55</v>
      </c>
    </row>
    <row r="301" customFormat="false" ht="15" hidden="false" customHeight="false" outlineLevel="0" collapsed="false">
      <c r="D301" s="0" t="n">
        <v>7</v>
      </c>
      <c r="E301" s="0" t="n">
        <v>6.26</v>
      </c>
      <c r="F301" s="0" t="n">
        <v>-7.95</v>
      </c>
      <c r="G301" s="2" t="n">
        <v>1.25</v>
      </c>
      <c r="H301" s="1" t="n">
        <v>-5.25</v>
      </c>
      <c r="I301" s="1" t="n">
        <v>1.25</v>
      </c>
      <c r="J301" s="0" t="n">
        <v>0</v>
      </c>
      <c r="K301" s="2" t="n">
        <v>1.37</v>
      </c>
      <c r="L301" s="0" t="n">
        <v>5.25</v>
      </c>
      <c r="M301" s="2" t="n">
        <v>1.25</v>
      </c>
      <c r="N301" s="1" t="n">
        <v>12.85</v>
      </c>
      <c r="O301" s="1" t="n">
        <v>1.25</v>
      </c>
    </row>
    <row r="302" customFormat="false" ht="15" hidden="false" customHeight="false" outlineLevel="0" collapsed="false">
      <c r="D302" s="0" t="n">
        <v>6</v>
      </c>
      <c r="E302" s="0" t="n">
        <v>6.31</v>
      </c>
      <c r="F302" s="0" t="n">
        <v>-7.65</v>
      </c>
      <c r="G302" s="2" t="n">
        <v>0.95</v>
      </c>
      <c r="H302" s="1" t="n">
        <v>-5.25</v>
      </c>
      <c r="I302" s="1" t="n">
        <v>0.95</v>
      </c>
      <c r="J302" s="0" t="n">
        <v>0</v>
      </c>
      <c r="K302" s="2" t="n">
        <v>1.07</v>
      </c>
      <c r="L302" s="0" t="n">
        <v>5.25</v>
      </c>
      <c r="M302" s="2" t="n">
        <v>0.95</v>
      </c>
      <c r="N302" s="1" t="n">
        <v>13.3</v>
      </c>
      <c r="O302" s="1" t="n">
        <v>0.95</v>
      </c>
    </row>
    <row r="303" customFormat="false" ht="15" hidden="false" customHeight="false" outlineLevel="0" collapsed="false">
      <c r="D303" s="0" t="n">
        <v>5</v>
      </c>
      <c r="E303" s="0" t="n">
        <v>6.35</v>
      </c>
      <c r="F303" s="0" t="n">
        <v>-7.35</v>
      </c>
      <c r="G303" s="2" t="n">
        <v>0.65</v>
      </c>
      <c r="H303" s="1" t="n">
        <v>-5.25</v>
      </c>
      <c r="I303" s="1" t="n">
        <v>0.65</v>
      </c>
      <c r="J303" s="0" t="n">
        <v>0</v>
      </c>
      <c r="K303" s="2" t="n">
        <v>0.77</v>
      </c>
      <c r="L303" s="0" t="n">
        <v>5.25</v>
      </c>
      <c r="M303" s="2" t="n">
        <v>0.65</v>
      </c>
      <c r="N303" s="1" t="n">
        <v>13.75</v>
      </c>
      <c r="O303" s="1" t="n">
        <v>0.65</v>
      </c>
    </row>
    <row r="304" customFormat="false" ht="15" hidden="false" customHeight="false" outlineLevel="0" collapsed="false">
      <c r="D304" s="0" t="n">
        <v>4</v>
      </c>
      <c r="E304" s="0" t="n">
        <v>6.4</v>
      </c>
      <c r="F304" s="0" t="n">
        <v>-7.05</v>
      </c>
      <c r="G304" s="2" t="n">
        <v>0.35</v>
      </c>
      <c r="H304" s="1" t="n">
        <v>-5.25</v>
      </c>
      <c r="I304" s="1" t="n">
        <v>0.35</v>
      </c>
      <c r="J304" s="0" t="n">
        <v>0</v>
      </c>
      <c r="K304" s="2" t="n">
        <v>0.47</v>
      </c>
      <c r="L304" s="0" t="n">
        <v>5.25</v>
      </c>
      <c r="M304" s="2" t="n">
        <v>0.35</v>
      </c>
      <c r="N304" s="1" t="n">
        <v>14.2</v>
      </c>
      <c r="O304" s="1" t="n">
        <v>0.35</v>
      </c>
    </row>
    <row r="305" customFormat="false" ht="15" hidden="false" customHeight="false" outlineLevel="0" collapsed="false">
      <c r="D305" s="0" t="n">
        <v>3</v>
      </c>
      <c r="E305" s="0" t="n">
        <v>6.29</v>
      </c>
      <c r="F305" s="0" t="n">
        <v>-6.75</v>
      </c>
      <c r="G305" s="2" t="n">
        <v>0.05</v>
      </c>
      <c r="H305" s="1" t="n">
        <v>-5.25</v>
      </c>
      <c r="I305" s="1" t="n">
        <v>0.05</v>
      </c>
      <c r="J305" s="0" t="n">
        <v>0</v>
      </c>
      <c r="K305" s="2" t="n">
        <v>0.17</v>
      </c>
      <c r="L305" s="0" t="n">
        <v>5.25</v>
      </c>
      <c r="M305" s="2" t="n">
        <v>0.05</v>
      </c>
      <c r="N305" s="1" t="n">
        <v>14.65</v>
      </c>
      <c r="O305" s="1" t="n">
        <v>0.05</v>
      </c>
    </row>
    <row r="306" customFormat="false" ht="15" hidden="false" customHeight="false" outlineLevel="0" collapsed="false">
      <c r="D306" s="0" t="n">
        <v>2</v>
      </c>
      <c r="E306" s="0" t="n">
        <v>4.17</v>
      </c>
      <c r="F306" s="0" t="n">
        <v>-6.45</v>
      </c>
      <c r="G306" s="2" t="n">
        <v>-0.25</v>
      </c>
      <c r="H306" s="1" t="n">
        <v>-5.25</v>
      </c>
      <c r="I306" s="1" t="n">
        <v>-0.25</v>
      </c>
      <c r="J306" s="0" t="n">
        <v>0</v>
      </c>
      <c r="K306" s="2" t="n">
        <v>-0.13</v>
      </c>
      <c r="L306" s="0" t="n">
        <v>5.25</v>
      </c>
      <c r="M306" s="2" t="n">
        <v>-0.25</v>
      </c>
      <c r="N306" s="1" t="n">
        <v>15.1</v>
      </c>
      <c r="O306" s="1" t="n">
        <v>-0.25</v>
      </c>
    </row>
    <row r="307" customFormat="false" ht="15" hidden="false" customHeight="false" outlineLevel="0" collapsed="false">
      <c r="D307" s="0" t="n">
        <v>1</v>
      </c>
      <c r="E307" s="0" t="n">
        <v>0</v>
      </c>
    </row>
    <row r="308" customFormat="false" ht="15" hidden="false" customHeight="false" outlineLevel="0" collapsed="false">
      <c r="A308" s="1" t="n">
        <v>35</v>
      </c>
      <c r="B308" s="2" t="s">
        <v>50</v>
      </c>
      <c r="C308" s="0" t="n">
        <v>724.11</v>
      </c>
      <c r="D308" s="0" t="n">
        <v>9</v>
      </c>
      <c r="E308" s="0" t="n">
        <v>7.31</v>
      </c>
      <c r="F308" s="0" t="n">
        <v>-11.95</v>
      </c>
      <c r="G308" s="2" t="n">
        <v>1.85</v>
      </c>
      <c r="H308" s="1" t="n">
        <v>-5.25</v>
      </c>
      <c r="I308" s="1" t="n">
        <v>1.85</v>
      </c>
      <c r="J308" s="0" t="n">
        <v>0</v>
      </c>
      <c r="K308" s="2" t="n">
        <v>1.97</v>
      </c>
      <c r="L308" s="0" t="n">
        <v>5.25</v>
      </c>
      <c r="M308" s="2" t="n">
        <v>1.85</v>
      </c>
      <c r="N308" s="1" t="n">
        <v>11.95</v>
      </c>
      <c r="O308" s="1" t="n">
        <v>1.85</v>
      </c>
      <c r="P308" s="0" t="n">
        <v>71.33</v>
      </c>
      <c r="Q308" s="0" t="n">
        <v>11.55</v>
      </c>
    </row>
    <row r="309" customFormat="false" ht="15" hidden="false" customHeight="false" outlineLevel="0" collapsed="false">
      <c r="D309" s="0" t="n">
        <v>8</v>
      </c>
      <c r="E309" s="0" t="n">
        <v>7.58</v>
      </c>
      <c r="F309" s="0" t="n">
        <v>-12.4</v>
      </c>
      <c r="G309" s="2" t="n">
        <v>1.55</v>
      </c>
      <c r="H309" s="1" t="n">
        <v>-5.25</v>
      </c>
      <c r="I309" s="1" t="n">
        <v>1.55</v>
      </c>
      <c r="J309" s="0" t="n">
        <v>0</v>
      </c>
      <c r="K309" s="2" t="n">
        <v>1.67</v>
      </c>
      <c r="L309" s="0" t="n">
        <v>5.25</v>
      </c>
      <c r="M309" s="2" t="n">
        <v>1.55</v>
      </c>
      <c r="N309" s="1" t="n">
        <v>12.4</v>
      </c>
      <c r="O309" s="1" t="n">
        <v>1.55</v>
      </c>
    </row>
    <row r="310" customFormat="false" ht="15" hidden="false" customHeight="false" outlineLevel="0" collapsed="false">
      <c r="D310" s="0" t="n">
        <v>7</v>
      </c>
      <c r="E310" s="0" t="n">
        <v>7.85</v>
      </c>
      <c r="F310" s="0" t="n">
        <v>-12.85</v>
      </c>
      <c r="G310" s="2" t="n">
        <v>1.25</v>
      </c>
      <c r="H310" s="1" t="n">
        <v>-5.25</v>
      </c>
      <c r="I310" s="1" t="n">
        <v>1.25</v>
      </c>
      <c r="J310" s="0" t="n">
        <v>0</v>
      </c>
      <c r="K310" s="2" t="n">
        <v>1.37</v>
      </c>
      <c r="L310" s="0" t="n">
        <v>5.25</v>
      </c>
      <c r="M310" s="2" t="n">
        <v>1.25</v>
      </c>
      <c r="N310" s="1" t="n">
        <v>12.85</v>
      </c>
      <c r="O310" s="1" t="n">
        <v>1.25</v>
      </c>
    </row>
    <row r="311" customFormat="false" ht="15" hidden="false" customHeight="false" outlineLevel="0" collapsed="false">
      <c r="D311" s="0" t="n">
        <v>6</v>
      </c>
      <c r="E311" s="0" t="n">
        <v>8.12</v>
      </c>
      <c r="F311" s="0" t="n">
        <v>-13.3</v>
      </c>
      <c r="G311" s="2" t="n">
        <v>0.95</v>
      </c>
      <c r="H311" s="1" t="n">
        <v>-5.25</v>
      </c>
      <c r="I311" s="1" t="n">
        <v>0.95</v>
      </c>
      <c r="J311" s="0" t="n">
        <v>0</v>
      </c>
      <c r="K311" s="2" t="n">
        <v>1.07</v>
      </c>
      <c r="L311" s="0" t="n">
        <v>5.25</v>
      </c>
      <c r="M311" s="2" t="n">
        <v>0.95</v>
      </c>
      <c r="N311" s="1" t="n">
        <v>13.3</v>
      </c>
      <c r="O311" s="1" t="n">
        <v>0.95</v>
      </c>
    </row>
    <row r="312" customFormat="false" ht="15" hidden="false" customHeight="false" outlineLevel="0" collapsed="false">
      <c r="D312" s="0" t="n">
        <v>5</v>
      </c>
      <c r="E312" s="0" t="n">
        <v>8.34</v>
      </c>
      <c r="F312" s="0" t="n">
        <v>-13.75</v>
      </c>
      <c r="G312" s="2" t="n">
        <v>0.65</v>
      </c>
      <c r="H312" s="1" t="n">
        <v>-5.25</v>
      </c>
      <c r="I312" s="1" t="n">
        <v>0.65</v>
      </c>
      <c r="J312" s="0" t="n">
        <v>0</v>
      </c>
      <c r="K312" s="2" t="n">
        <v>0.77</v>
      </c>
      <c r="L312" s="0" t="n">
        <v>5.25</v>
      </c>
      <c r="M312" s="2" t="n">
        <v>0.65</v>
      </c>
      <c r="N312" s="1" t="n">
        <v>13.75</v>
      </c>
      <c r="O312" s="1" t="n">
        <v>0.65</v>
      </c>
    </row>
    <row r="313" customFormat="false" ht="15" hidden="false" customHeight="false" outlineLevel="0" collapsed="false">
      <c r="D313" s="0" t="n">
        <v>4</v>
      </c>
      <c r="E313" s="0" t="n">
        <v>7.62</v>
      </c>
      <c r="F313" s="0" t="n">
        <v>-14.2</v>
      </c>
      <c r="G313" s="2" t="n">
        <v>0.35</v>
      </c>
      <c r="H313" s="1" t="n">
        <v>-5.25</v>
      </c>
      <c r="I313" s="1" t="n">
        <v>0.35</v>
      </c>
      <c r="J313" s="0" t="n">
        <v>0</v>
      </c>
      <c r="K313" s="2" t="n">
        <v>0.47</v>
      </c>
      <c r="L313" s="0" t="n">
        <v>5.25</v>
      </c>
      <c r="M313" s="2" t="n">
        <v>0.35</v>
      </c>
      <c r="N313" s="1" t="n">
        <v>13.04</v>
      </c>
      <c r="O313" s="1" t="n">
        <v>0.35</v>
      </c>
    </row>
    <row r="314" customFormat="false" ht="15" hidden="false" customHeight="false" outlineLevel="0" collapsed="false">
      <c r="D314" s="0" t="n">
        <v>3</v>
      </c>
      <c r="E314" s="0" t="n">
        <v>7.34</v>
      </c>
      <c r="F314" s="0" t="n">
        <v>-14.65</v>
      </c>
      <c r="G314" s="2" t="n">
        <v>0.05</v>
      </c>
      <c r="H314" s="1" t="n">
        <v>-5.25</v>
      </c>
      <c r="I314" s="1" t="n">
        <v>0.05</v>
      </c>
      <c r="J314" s="0" t="n">
        <v>0</v>
      </c>
      <c r="K314" s="2" t="n">
        <v>0.17</v>
      </c>
      <c r="L314" s="0" t="n">
        <v>5.25</v>
      </c>
      <c r="M314" s="2" t="n">
        <v>0.05</v>
      </c>
      <c r="N314" s="1" t="n">
        <v>9.74</v>
      </c>
      <c r="O314" s="1" t="n">
        <v>0.05</v>
      </c>
    </row>
    <row r="315" customFormat="false" ht="15" hidden="false" customHeight="false" outlineLevel="0" collapsed="false">
      <c r="D315" s="0" t="n">
        <v>2</v>
      </c>
      <c r="E315" s="0" t="n">
        <v>5.62</v>
      </c>
      <c r="F315" s="0" t="n">
        <v>-15.1</v>
      </c>
      <c r="G315" s="2" t="n">
        <v>-0.25</v>
      </c>
      <c r="H315" s="1" t="n">
        <v>-5.25</v>
      </c>
      <c r="I315" s="1" t="n">
        <v>-0.25</v>
      </c>
      <c r="J315" s="0" t="n">
        <v>0</v>
      </c>
      <c r="K315" s="2" t="n">
        <v>-0.13</v>
      </c>
      <c r="L315" s="0" t="n">
        <v>5.25</v>
      </c>
      <c r="M315" s="2" t="n">
        <v>-0.25</v>
      </c>
      <c r="N315" s="1" t="n">
        <v>9.44</v>
      </c>
      <c r="O315" s="1" t="n">
        <v>-0.25</v>
      </c>
    </row>
    <row r="316" customFormat="false" ht="15" hidden="false" customHeight="false" outlineLevel="0" collapsed="false">
      <c r="D316" s="0" t="n">
        <v>1</v>
      </c>
      <c r="E316" s="0" t="n">
        <v>0</v>
      </c>
    </row>
    <row r="317" customFormat="false" ht="15" hidden="false" customHeight="false" outlineLevel="0" collapsed="false">
      <c r="A317" s="1" t="n">
        <v>36</v>
      </c>
      <c r="B317" s="2" t="s">
        <v>51</v>
      </c>
      <c r="C317" s="0" t="n">
        <v>737.36</v>
      </c>
      <c r="D317" s="0" t="n">
        <v>9</v>
      </c>
      <c r="E317" s="0" t="n">
        <v>7.31</v>
      </c>
      <c r="F317" s="0" t="n">
        <v>-11.95</v>
      </c>
      <c r="G317" s="2" t="n">
        <v>1.86</v>
      </c>
      <c r="H317" s="1" t="n">
        <v>-5.25</v>
      </c>
      <c r="I317" s="1" t="n">
        <v>1.86</v>
      </c>
      <c r="J317" s="0" t="n">
        <v>0</v>
      </c>
      <c r="K317" s="2" t="n">
        <v>1.97</v>
      </c>
      <c r="L317" s="0" t="n">
        <v>5.25</v>
      </c>
      <c r="M317" s="2" t="n">
        <v>1.86</v>
      </c>
      <c r="N317" s="1" t="n">
        <v>11.95</v>
      </c>
      <c r="O317" s="1" t="n">
        <v>1.86</v>
      </c>
      <c r="P317" s="0" t="n">
        <v>69.68</v>
      </c>
      <c r="Q317" s="0" t="n">
        <v>11.55</v>
      </c>
    </row>
    <row r="318" customFormat="false" ht="15" hidden="false" customHeight="false" outlineLevel="0" collapsed="false">
      <c r="D318" s="0" t="n">
        <v>8</v>
      </c>
      <c r="E318" s="0" t="n">
        <v>7.58</v>
      </c>
      <c r="F318" s="0" t="n">
        <v>-12.4</v>
      </c>
      <c r="G318" s="2" t="n">
        <v>1.56</v>
      </c>
      <c r="H318" s="1" t="n">
        <v>-5.25</v>
      </c>
      <c r="I318" s="1" t="n">
        <v>1.56</v>
      </c>
      <c r="J318" s="0" t="n">
        <v>0</v>
      </c>
      <c r="K318" s="2" t="n">
        <v>1.67</v>
      </c>
      <c r="L318" s="0" t="n">
        <v>5.25</v>
      </c>
      <c r="M318" s="2" t="n">
        <v>1.56</v>
      </c>
      <c r="N318" s="1" t="n">
        <v>12.4</v>
      </c>
      <c r="O318" s="1" t="n">
        <v>1.56</v>
      </c>
    </row>
    <row r="319" customFormat="false" ht="15" hidden="false" customHeight="false" outlineLevel="0" collapsed="false">
      <c r="D319" s="0" t="n">
        <v>7</v>
      </c>
      <c r="E319" s="0" t="n">
        <v>7.85</v>
      </c>
      <c r="F319" s="0" t="n">
        <v>-12.85</v>
      </c>
      <c r="G319" s="2" t="n">
        <v>1.26</v>
      </c>
      <c r="H319" s="1" t="n">
        <v>-5.25</v>
      </c>
      <c r="I319" s="1" t="n">
        <v>1.26</v>
      </c>
      <c r="J319" s="0" t="n">
        <v>0</v>
      </c>
      <c r="K319" s="2" t="n">
        <v>1.37</v>
      </c>
      <c r="L319" s="0" t="n">
        <v>5.25</v>
      </c>
      <c r="M319" s="2" t="n">
        <v>1.26</v>
      </c>
      <c r="N319" s="1" t="n">
        <v>12.85</v>
      </c>
      <c r="O319" s="1" t="n">
        <v>1.26</v>
      </c>
    </row>
    <row r="320" customFormat="false" ht="15" hidden="false" customHeight="false" outlineLevel="0" collapsed="false">
      <c r="D320" s="0" t="n">
        <v>6</v>
      </c>
      <c r="E320" s="0" t="n">
        <v>8.12</v>
      </c>
      <c r="F320" s="0" t="n">
        <v>-13.3</v>
      </c>
      <c r="G320" s="2" t="n">
        <v>0.96</v>
      </c>
      <c r="H320" s="1" t="n">
        <v>-5.25</v>
      </c>
      <c r="I320" s="1" t="n">
        <v>0.96</v>
      </c>
      <c r="J320" s="0" t="n">
        <v>0</v>
      </c>
      <c r="K320" s="2" t="n">
        <v>1.07</v>
      </c>
      <c r="L320" s="0" t="n">
        <v>5.25</v>
      </c>
      <c r="M320" s="2" t="n">
        <v>0.96</v>
      </c>
      <c r="N320" s="1" t="n">
        <v>13.3</v>
      </c>
      <c r="O320" s="1" t="n">
        <v>0.96</v>
      </c>
    </row>
    <row r="321" customFormat="false" ht="15" hidden="false" customHeight="false" outlineLevel="0" collapsed="false">
      <c r="D321" s="0" t="n">
        <v>5</v>
      </c>
      <c r="E321" s="0" t="n">
        <v>8.39</v>
      </c>
      <c r="F321" s="0" t="n">
        <v>-13.75</v>
      </c>
      <c r="G321" s="2" t="n">
        <v>0.66</v>
      </c>
      <c r="H321" s="1" t="n">
        <v>-5.25</v>
      </c>
      <c r="I321" s="1" t="n">
        <v>0.66</v>
      </c>
      <c r="J321" s="0" t="n">
        <v>0</v>
      </c>
      <c r="K321" s="2" t="n">
        <v>0.77</v>
      </c>
      <c r="L321" s="0" t="n">
        <v>5.25</v>
      </c>
      <c r="M321" s="2" t="n">
        <v>0.66</v>
      </c>
      <c r="N321" s="1" t="n">
        <v>13.75</v>
      </c>
      <c r="O321" s="1" t="n">
        <v>0.66</v>
      </c>
    </row>
    <row r="322" customFormat="false" ht="15" hidden="false" customHeight="false" outlineLevel="0" collapsed="false">
      <c r="D322" s="0" t="n">
        <v>4</v>
      </c>
      <c r="E322" s="0" t="n">
        <v>8.23</v>
      </c>
      <c r="F322" s="0" t="n">
        <v>-14.2</v>
      </c>
      <c r="G322" s="2" t="n">
        <v>0.36</v>
      </c>
      <c r="H322" s="1" t="n">
        <v>-5.25</v>
      </c>
      <c r="I322" s="1" t="n">
        <v>0.36</v>
      </c>
      <c r="J322" s="0" t="n">
        <v>0</v>
      </c>
      <c r="K322" s="2" t="n">
        <v>0.47</v>
      </c>
      <c r="L322" s="0" t="n">
        <v>5.25</v>
      </c>
      <c r="M322" s="2" t="n">
        <v>0.36</v>
      </c>
      <c r="N322" s="1" t="n">
        <v>14.2</v>
      </c>
      <c r="O322" s="1" t="n">
        <v>0.36</v>
      </c>
    </row>
    <row r="323" customFormat="false" ht="15" hidden="false" customHeight="false" outlineLevel="0" collapsed="false">
      <c r="D323" s="0" t="n">
        <v>3</v>
      </c>
      <c r="E323" s="0" t="n">
        <v>6</v>
      </c>
      <c r="F323" s="0" t="n">
        <v>-10.08</v>
      </c>
      <c r="G323" s="2" t="n">
        <v>0.06</v>
      </c>
      <c r="H323" s="1" t="n">
        <v>-5.25</v>
      </c>
      <c r="I323" s="1" t="n">
        <v>0.06</v>
      </c>
      <c r="J323" s="0" t="n">
        <v>0</v>
      </c>
      <c r="K323" s="2" t="n">
        <v>0.17</v>
      </c>
      <c r="L323" s="0" t="n">
        <v>5.25</v>
      </c>
      <c r="M323" s="2" t="n">
        <v>0.06</v>
      </c>
      <c r="N323" s="1" t="n">
        <v>10.21</v>
      </c>
      <c r="O323" s="1" t="n">
        <v>0.06</v>
      </c>
    </row>
    <row r="324" customFormat="false" ht="15" hidden="false" customHeight="false" outlineLevel="0" collapsed="false">
      <c r="D324" s="0" t="n">
        <v>2</v>
      </c>
      <c r="E324" s="0" t="n">
        <v>4.66</v>
      </c>
      <c r="F324" s="0" t="n">
        <v>-9.78</v>
      </c>
      <c r="G324" s="2" t="n">
        <v>-0.24</v>
      </c>
      <c r="H324" s="1" t="n">
        <v>-5.25</v>
      </c>
      <c r="I324" s="1" t="n">
        <v>-0.24</v>
      </c>
      <c r="J324" s="0" t="n">
        <v>0</v>
      </c>
      <c r="K324" s="2" t="n">
        <v>-0.13</v>
      </c>
      <c r="L324" s="0" t="n">
        <v>5.25</v>
      </c>
      <c r="M324" s="2" t="n">
        <v>-0.24</v>
      </c>
      <c r="N324" s="1" t="n">
        <v>9.91</v>
      </c>
      <c r="O324" s="1" t="n">
        <v>-0.24</v>
      </c>
    </row>
    <row r="325" customFormat="false" ht="15" hidden="false" customHeight="false" outlineLevel="0" collapsed="false">
      <c r="D325" s="0" t="n">
        <v>1</v>
      </c>
      <c r="E32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U66" activeCellId="0" sqref="U6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7.42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">
        <v>53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">
        <v>54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">
        <v>55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">
        <v>56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57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58</v>
      </c>
      <c r="C7" s="7"/>
      <c r="D7" s="7"/>
      <c r="F7" s="7"/>
      <c r="G7" s="7" t="s">
        <v>59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60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61</v>
      </c>
      <c r="B19" s="9" t="s">
        <v>62</v>
      </c>
      <c r="C19" s="9" t="s">
        <v>63</v>
      </c>
      <c r="D19" s="10" t="s">
        <v>64</v>
      </c>
      <c r="E19" s="10"/>
      <c r="F19" s="10"/>
      <c r="G19" s="10"/>
      <c r="H19" s="10"/>
      <c r="I19" s="10"/>
      <c r="J19" s="10" t="s">
        <v>65</v>
      </c>
      <c r="K19" s="10"/>
      <c r="L19" s="10"/>
      <c r="M19" s="10" t="s">
        <v>66</v>
      </c>
      <c r="N19" s="10"/>
      <c r="O19" s="10"/>
      <c r="P19" s="10"/>
      <c r="Q19" s="10"/>
      <c r="R19" s="10"/>
      <c r="S19" s="9" t="s">
        <v>67</v>
      </c>
    </row>
    <row r="20" customFormat="false" ht="30" hidden="false" customHeight="true" outlineLevel="0" collapsed="false">
      <c r="A20" s="9"/>
      <c r="B20" s="9"/>
      <c r="C20" s="9"/>
      <c r="D20" s="11" t="s">
        <v>68</v>
      </c>
      <c r="E20" s="11" t="s">
        <v>69</v>
      </c>
      <c r="F20" s="11" t="s">
        <v>70</v>
      </c>
      <c r="G20" s="11" t="s">
        <v>71</v>
      </c>
      <c r="H20" s="11" t="s">
        <v>72</v>
      </c>
      <c r="I20" s="11" t="s">
        <v>73</v>
      </c>
      <c r="J20" s="11" t="s">
        <v>71</v>
      </c>
      <c r="K20" s="11" t="s">
        <v>72</v>
      </c>
      <c r="L20" s="11" t="s">
        <v>73</v>
      </c>
      <c r="M20" s="11" t="s">
        <v>68</v>
      </c>
      <c r="N20" s="11" t="s">
        <v>69</v>
      </c>
      <c r="O20" s="11" t="s">
        <v>70</v>
      </c>
      <c r="P20" s="11" t="s">
        <v>71</v>
      </c>
      <c r="Q20" s="11" t="s">
        <v>72</v>
      </c>
      <c r="R20" s="11" t="s">
        <v>73</v>
      </c>
      <c r="S20" s="9"/>
      <c r="T20" s="12"/>
    </row>
    <row r="21" customFormat="false" ht="17.25" hidden="false" customHeight="true" outlineLevel="0" collapsed="false">
      <c r="A21" s="13" t="n">
        <v>1</v>
      </c>
      <c r="B21" s="14" t="s">
        <v>17</v>
      </c>
      <c r="C21" s="15" t="n">
        <v>211</v>
      </c>
      <c r="D21" s="16" t="n">
        <f aca="false">+Chạy!F10</f>
        <v>-10.2</v>
      </c>
      <c r="E21" s="16" t="n">
        <f aca="false">+D21+F21</f>
        <v>-10.1957</v>
      </c>
      <c r="F21" s="16" t="n">
        <f aca="false">RANDBETWEEN(-105,115)/10000</f>
        <v>0.0043</v>
      </c>
      <c r="G21" s="16" t="n">
        <f aca="false">+Chạy!G10</f>
        <v>-0.35</v>
      </c>
      <c r="H21" s="16" t="n">
        <f aca="false">G21+I21</f>
        <v>-0.334</v>
      </c>
      <c r="I21" s="16" t="n">
        <f aca="false">RANDBETWEEN(-30,90)/1000</f>
        <v>0.016</v>
      </c>
      <c r="J21" s="16" t="n">
        <f aca="false">+Chạy!K10</f>
        <v>-0.23</v>
      </c>
      <c r="K21" s="16" t="n">
        <f aca="false">J21+L21</f>
        <v>-0.171</v>
      </c>
      <c r="L21" s="16" t="n">
        <f aca="false">RANDBETWEEN(-30,90)/1000</f>
        <v>0.059</v>
      </c>
      <c r="M21" s="16" t="n">
        <f aca="false">+Chạy!N10</f>
        <v>6.35</v>
      </c>
      <c r="N21" s="16" t="n">
        <f aca="false">+M21+O21</f>
        <v>6.3489</v>
      </c>
      <c r="O21" s="16" t="n">
        <f aca="false">RANDBETWEEN(-105,115)/10000</f>
        <v>-0.0011</v>
      </c>
      <c r="P21" s="16" t="n">
        <f aca="false">+Chạy!O10</f>
        <v>-0.35</v>
      </c>
      <c r="Q21" s="16" t="n">
        <f aca="false">P21+R21</f>
        <v>-0.331</v>
      </c>
      <c r="R21" s="16" t="n">
        <f aca="false">RANDBETWEEN(-30,90)/1000</f>
        <v>0.019</v>
      </c>
      <c r="S21" s="17"/>
      <c r="T21" s="18" t="n">
        <v>13.25</v>
      </c>
    </row>
    <row r="22" customFormat="false" ht="17.25" hidden="false" customHeight="true" outlineLevel="0" collapsed="false">
      <c r="A22" s="13" t="n">
        <v>2</v>
      </c>
      <c r="B22" s="14" t="s">
        <v>18</v>
      </c>
      <c r="C22" s="15" t="n">
        <f aca="false">+C21+T21</f>
        <v>224.25</v>
      </c>
      <c r="D22" s="16" t="n">
        <f aca="false">+Chạy!F19</f>
        <v>-10.24</v>
      </c>
      <c r="E22" s="16" t="n">
        <f aca="false">+D22+F22</f>
        <v>-10.243</v>
      </c>
      <c r="F22" s="16" t="n">
        <f aca="false">RANDBETWEEN(-105,115)/10000</f>
        <v>-0.003</v>
      </c>
      <c r="G22" s="16" t="n">
        <f aca="false">+Chạy!G19</f>
        <v>-0.36</v>
      </c>
      <c r="H22" s="16" t="n">
        <f aca="false">G22+I22</f>
        <v>-0.311</v>
      </c>
      <c r="I22" s="16" t="n">
        <f aca="false">RANDBETWEEN(-30,90)/1000</f>
        <v>0.049</v>
      </c>
      <c r="J22" s="16" t="n">
        <f aca="false">+Chạy!K19</f>
        <v>-0.24</v>
      </c>
      <c r="K22" s="16" t="n">
        <f aca="false">J22+L22</f>
        <v>-0.176</v>
      </c>
      <c r="L22" s="16" t="n">
        <f aca="false">RANDBETWEEN(-30,90)/1000</f>
        <v>0.064</v>
      </c>
      <c r="M22" s="16" t="n">
        <f aca="false">+Chạy!N19</f>
        <v>6.59</v>
      </c>
      <c r="N22" s="16" t="n">
        <f aca="false">+M22+O22</f>
        <v>6.5923</v>
      </c>
      <c r="O22" s="16" t="n">
        <f aca="false">RANDBETWEEN(-105,115)/10000</f>
        <v>0.0023</v>
      </c>
      <c r="P22" s="16" t="n">
        <f aca="false">+Chạy!O19</f>
        <v>-0.36</v>
      </c>
      <c r="Q22" s="16" t="n">
        <f aca="false">P22+R22</f>
        <v>-0.37</v>
      </c>
      <c r="R22" s="16" t="n">
        <f aca="false">RANDBETWEEN(-30,90)/1000</f>
        <v>-0.01</v>
      </c>
      <c r="S22" s="17"/>
      <c r="T22" s="18" t="n">
        <v>21.5</v>
      </c>
    </row>
    <row r="23" customFormat="false" ht="17.25" hidden="false" customHeight="true" outlineLevel="0" collapsed="false">
      <c r="A23" s="13" t="n">
        <v>3</v>
      </c>
      <c r="B23" s="14" t="s">
        <v>19</v>
      </c>
      <c r="C23" s="15" t="n">
        <f aca="false">+C22+T22</f>
        <v>245.75</v>
      </c>
      <c r="D23" s="16" t="n">
        <f aca="false">+Chạy!F28</f>
        <v>-6.32</v>
      </c>
      <c r="E23" s="16" t="n">
        <f aca="false">+D23+F23</f>
        <v>-6.3276</v>
      </c>
      <c r="F23" s="16" t="n">
        <f aca="false">RANDBETWEEN(-105,115)/10000</f>
        <v>-0.0076</v>
      </c>
      <c r="G23" s="16" t="n">
        <f aca="false">+Chạy!G28</f>
        <v>-0.38</v>
      </c>
      <c r="H23" s="16" t="n">
        <f aca="false">G23+I23</f>
        <v>-0.377</v>
      </c>
      <c r="I23" s="16" t="n">
        <f aca="false">RANDBETWEEN(-30,90)/1000</f>
        <v>0.003</v>
      </c>
      <c r="J23" s="16" t="n">
        <f aca="false">+Chạy!K28</f>
        <v>-0.26</v>
      </c>
      <c r="K23" s="16" t="n">
        <f aca="false">J23+L23</f>
        <v>-0.186</v>
      </c>
      <c r="L23" s="16" t="n">
        <f aca="false">RANDBETWEEN(-30,90)/1000</f>
        <v>0.074</v>
      </c>
      <c r="M23" s="16" t="n">
        <f aca="false">+Chạy!N28</f>
        <v>6.32</v>
      </c>
      <c r="N23" s="16" t="n">
        <f aca="false">+M23+O23</f>
        <v>6.3301</v>
      </c>
      <c r="O23" s="16" t="n">
        <f aca="false">RANDBETWEEN(-105,115)/10000</f>
        <v>0.0101</v>
      </c>
      <c r="P23" s="16" t="n">
        <f aca="false">+Chạy!O28</f>
        <v>-0.38</v>
      </c>
      <c r="Q23" s="16" t="n">
        <f aca="false">P23+R23</f>
        <v>-0.339</v>
      </c>
      <c r="R23" s="16" t="n">
        <f aca="false">RANDBETWEEN(-30,90)/1000</f>
        <v>0.041</v>
      </c>
      <c r="S23" s="17"/>
      <c r="T23" s="18" t="n">
        <v>11.75</v>
      </c>
    </row>
    <row r="24" customFormat="false" ht="17.25" hidden="false" customHeight="true" outlineLevel="0" collapsed="false">
      <c r="A24" s="13" t="n">
        <v>4</v>
      </c>
      <c r="B24" s="14" t="s">
        <v>20</v>
      </c>
      <c r="C24" s="15" t="n">
        <f aca="false">+C23+T23</f>
        <v>257.5</v>
      </c>
      <c r="D24" s="16" t="n">
        <f aca="false">+Chạy!F37</f>
        <v>-6.31</v>
      </c>
      <c r="E24" s="16" t="n">
        <f aca="false">+D24+F24</f>
        <v>-6.3194</v>
      </c>
      <c r="F24" s="16" t="n">
        <f aca="false">RANDBETWEEN(-105,115)/10000</f>
        <v>-0.0094</v>
      </c>
      <c r="G24" s="16" t="n">
        <f aca="false">+Chạy!G37</f>
        <v>-0.39</v>
      </c>
      <c r="H24" s="16" t="n">
        <f aca="false">G24+I24</f>
        <v>-0.304</v>
      </c>
      <c r="I24" s="16" t="n">
        <f aca="false">RANDBETWEEN(-30,90)/1000</f>
        <v>0.086</v>
      </c>
      <c r="J24" s="16" t="n">
        <f aca="false">+Chạy!K37</f>
        <v>-0.27</v>
      </c>
      <c r="K24" s="16" t="n">
        <f aca="false">J24+L24</f>
        <v>-0.243</v>
      </c>
      <c r="L24" s="16" t="n">
        <f aca="false">RANDBETWEEN(-30,90)/1000</f>
        <v>0.027</v>
      </c>
      <c r="M24" s="16" t="n">
        <f aca="false">+Chạy!N37</f>
        <v>6.32</v>
      </c>
      <c r="N24" s="16" t="n">
        <f aca="false">+M24+O24</f>
        <v>6.326</v>
      </c>
      <c r="O24" s="16" t="n">
        <f aca="false">RANDBETWEEN(-105,115)/10000</f>
        <v>0.006</v>
      </c>
      <c r="P24" s="16" t="n">
        <f aca="false">+Chạy!O37</f>
        <v>-0.39</v>
      </c>
      <c r="Q24" s="16" t="n">
        <f aca="false">P24+R24</f>
        <v>-0.338</v>
      </c>
      <c r="R24" s="16" t="n">
        <f aca="false">RANDBETWEEN(-30,90)/1000</f>
        <v>0.052</v>
      </c>
      <c r="S24" s="17"/>
      <c r="T24" s="18" t="n">
        <v>11.75</v>
      </c>
    </row>
    <row r="25" customFormat="false" ht="17.25" hidden="false" customHeight="true" outlineLevel="0" collapsed="false">
      <c r="A25" s="13" t="n">
        <v>5</v>
      </c>
      <c r="B25" s="14" t="s">
        <v>21</v>
      </c>
      <c r="C25" s="15" t="n">
        <f aca="false">+C24+T24</f>
        <v>269.25</v>
      </c>
      <c r="D25" s="16" t="n">
        <f aca="false">+Chạy!F46</f>
        <v>-6.31</v>
      </c>
      <c r="E25" s="16" t="n">
        <f aca="false">+D25+F25</f>
        <v>-6.307</v>
      </c>
      <c r="F25" s="16" t="n">
        <f aca="false">RANDBETWEEN(-105,115)/10000</f>
        <v>0.003</v>
      </c>
      <c r="G25" s="16" t="n">
        <f aca="false">+Chạy!G46</f>
        <v>-0.39</v>
      </c>
      <c r="H25" s="16" t="n">
        <f aca="false">G25+I25</f>
        <v>-0.388</v>
      </c>
      <c r="I25" s="16" t="n">
        <f aca="false">RANDBETWEEN(-30,90)/1000</f>
        <v>0.002</v>
      </c>
      <c r="J25" s="16" t="n">
        <f aca="false">+Chạy!K46</f>
        <v>-0.28</v>
      </c>
      <c r="K25" s="16" t="n">
        <f aca="false">J25+L25</f>
        <v>-0.192</v>
      </c>
      <c r="L25" s="16" t="n">
        <f aca="false">RANDBETWEEN(-30,90)/1000</f>
        <v>0.088</v>
      </c>
      <c r="M25" s="16" t="n">
        <f aca="false">+Chạy!N46</f>
        <v>6.31</v>
      </c>
      <c r="N25" s="16" t="n">
        <f aca="false">+M25+O25</f>
        <v>6.3182</v>
      </c>
      <c r="O25" s="16" t="n">
        <f aca="false">RANDBETWEEN(-105,115)/10000</f>
        <v>0.0082</v>
      </c>
      <c r="P25" s="16" t="n">
        <f aca="false">+Chạy!O46</f>
        <v>-0.39</v>
      </c>
      <c r="Q25" s="16" t="n">
        <f aca="false">P25+R25</f>
        <v>-0.406</v>
      </c>
      <c r="R25" s="16" t="n">
        <f aca="false">RANDBETWEEN(-30,90)/1000</f>
        <v>-0.016</v>
      </c>
      <c r="S25" s="17"/>
      <c r="T25" s="18" t="n">
        <v>20</v>
      </c>
    </row>
    <row r="26" customFormat="false" ht="17.25" hidden="false" customHeight="true" outlineLevel="0" collapsed="false">
      <c r="A26" s="13" t="n">
        <v>6</v>
      </c>
      <c r="B26" s="14" t="s">
        <v>22</v>
      </c>
      <c r="C26" s="15" t="n">
        <f aca="false">+C25+T25</f>
        <v>289.25</v>
      </c>
      <c r="D26" s="16" t="n">
        <f aca="false">+Chạy!F55</f>
        <v>-6.3</v>
      </c>
      <c r="E26" s="16" t="n">
        <f aca="false">+D26+F26</f>
        <v>-6.2983</v>
      </c>
      <c r="F26" s="16" t="n">
        <f aca="false">RANDBETWEEN(-105,115)/10000</f>
        <v>0.0017</v>
      </c>
      <c r="G26" s="16" t="n">
        <f aca="false">+Chạy!G55</f>
        <v>-0.4</v>
      </c>
      <c r="H26" s="16" t="n">
        <f aca="false">G26+I26</f>
        <v>-0.427</v>
      </c>
      <c r="I26" s="16" t="n">
        <f aca="false">RANDBETWEEN(-30,90)/1000</f>
        <v>-0.027</v>
      </c>
      <c r="J26" s="16" t="n">
        <f aca="false">+Chạy!K55</f>
        <v>-0.29</v>
      </c>
      <c r="K26" s="16" t="n">
        <f aca="false">J26+L26</f>
        <v>-0.212</v>
      </c>
      <c r="L26" s="16" t="n">
        <f aca="false">RANDBETWEEN(-30,90)/1000</f>
        <v>0.078</v>
      </c>
      <c r="M26" s="16" t="n">
        <f aca="false">+Chạy!N55</f>
        <v>6.3</v>
      </c>
      <c r="N26" s="16" t="n">
        <f aca="false">+M26+O26</f>
        <v>6.3083</v>
      </c>
      <c r="O26" s="16" t="n">
        <f aca="false">RANDBETWEEN(-105,115)/10000</f>
        <v>0.0083</v>
      </c>
      <c r="P26" s="16" t="n">
        <f aca="false">+Chạy!O55</f>
        <v>-0.4</v>
      </c>
      <c r="Q26" s="16" t="n">
        <f aca="false">P26+R26</f>
        <v>-0.366</v>
      </c>
      <c r="R26" s="16" t="n">
        <f aca="false">RANDBETWEEN(-30,90)/1000</f>
        <v>0.034</v>
      </c>
      <c r="S26" s="17"/>
      <c r="T26" s="18" t="n">
        <v>20</v>
      </c>
    </row>
    <row r="27" customFormat="false" ht="17.25" hidden="false" customHeight="true" outlineLevel="0" collapsed="false">
      <c r="A27" s="13" t="n">
        <v>7</v>
      </c>
      <c r="B27" s="14" t="s">
        <v>23</v>
      </c>
      <c r="C27" s="15" t="n">
        <f aca="false">+C26+T26</f>
        <v>309.25</v>
      </c>
      <c r="D27" s="16" t="n">
        <f aca="false">+Chạy!F64</f>
        <v>-6.28</v>
      </c>
      <c r="E27" s="16" t="n">
        <f aca="false">+D27+F27</f>
        <v>-6.2788</v>
      </c>
      <c r="F27" s="16" t="n">
        <f aca="false">RANDBETWEEN(-105,115)/10000</f>
        <v>0.0012</v>
      </c>
      <c r="G27" s="16" t="n">
        <f aca="false">+Chạy!G64</f>
        <v>-0.42</v>
      </c>
      <c r="H27" s="16" t="n">
        <f aca="false">G27+I27</f>
        <v>-0.376</v>
      </c>
      <c r="I27" s="16" t="n">
        <f aca="false">RANDBETWEEN(-30,90)/1000</f>
        <v>0.044</v>
      </c>
      <c r="J27" s="16" t="n">
        <f aca="false">+Chạy!K64</f>
        <v>-0.3</v>
      </c>
      <c r="K27" s="16" t="n">
        <f aca="false">J27+L27</f>
        <v>-0.273</v>
      </c>
      <c r="L27" s="16" t="n">
        <f aca="false">RANDBETWEEN(-30,90)/1000</f>
        <v>0.027</v>
      </c>
      <c r="M27" s="16" t="n">
        <f aca="false">+Chạy!N64</f>
        <v>6.28</v>
      </c>
      <c r="N27" s="16" t="n">
        <f aca="false">+M27+O27</f>
        <v>6.2732</v>
      </c>
      <c r="O27" s="16" t="n">
        <f aca="false">RANDBETWEEN(-105,115)/10000</f>
        <v>-0.0068</v>
      </c>
      <c r="P27" s="16" t="n">
        <f aca="false">+Chạy!O64</f>
        <v>-0.42</v>
      </c>
      <c r="Q27" s="16" t="n">
        <f aca="false">P27+R27</f>
        <v>-0.35</v>
      </c>
      <c r="R27" s="16" t="n">
        <f aca="false">RANDBETWEEN(-30,90)/1000</f>
        <v>0.07</v>
      </c>
      <c r="S27" s="17"/>
      <c r="T27" s="18" t="n">
        <v>20</v>
      </c>
    </row>
    <row r="28" customFormat="false" ht="17.25" hidden="false" customHeight="true" outlineLevel="0" collapsed="false">
      <c r="A28" s="13" t="n">
        <v>8</v>
      </c>
      <c r="B28" s="14" t="s">
        <v>24</v>
      </c>
      <c r="C28" s="15" t="n">
        <f aca="false">+C27+T27</f>
        <v>329.25</v>
      </c>
      <c r="D28" s="16" t="n">
        <f aca="false">+Chạy!F73</f>
        <v>-6.27</v>
      </c>
      <c r="E28" s="16" t="n">
        <f aca="false">+D28+F28</f>
        <v>-6.2681</v>
      </c>
      <c r="F28" s="16" t="n">
        <f aca="false">RANDBETWEEN(-105,115)/10000</f>
        <v>0.0019</v>
      </c>
      <c r="G28" s="16" t="n">
        <f aca="false">+Chạy!G73</f>
        <v>-0.43</v>
      </c>
      <c r="H28" s="16" t="n">
        <f aca="false">G28+I28</f>
        <v>-0.42</v>
      </c>
      <c r="I28" s="16" t="n">
        <f aca="false">RANDBETWEEN(-30,90)/1000</f>
        <v>0.01</v>
      </c>
      <c r="J28" s="16" t="n">
        <f aca="false">+Chạy!K73</f>
        <v>-0.31</v>
      </c>
      <c r="K28" s="16" t="n">
        <f aca="false">J28+L28</f>
        <v>-0.315</v>
      </c>
      <c r="L28" s="16" t="n">
        <f aca="false">RANDBETWEEN(-30,90)/1000</f>
        <v>-0.005</v>
      </c>
      <c r="M28" s="16" t="n">
        <f aca="false">+Chạy!N73</f>
        <v>6.27</v>
      </c>
      <c r="N28" s="16" t="n">
        <f aca="false">+M28+O28</f>
        <v>6.2709</v>
      </c>
      <c r="O28" s="16" t="n">
        <f aca="false">RANDBETWEEN(-105,115)/10000</f>
        <v>0.0009</v>
      </c>
      <c r="P28" s="16" t="n">
        <f aca="false">+Chạy!O73</f>
        <v>-0.43</v>
      </c>
      <c r="Q28" s="16" t="n">
        <f aca="false">P28+R28</f>
        <v>-0.393</v>
      </c>
      <c r="R28" s="16" t="n">
        <f aca="false">RANDBETWEEN(-30,90)/1000</f>
        <v>0.037</v>
      </c>
      <c r="S28" s="17"/>
      <c r="T28" s="18" t="n">
        <v>20</v>
      </c>
    </row>
    <row r="29" customFormat="false" ht="17.25" hidden="false" customHeight="true" outlineLevel="0" collapsed="false">
      <c r="A29" s="13" t="n">
        <v>9</v>
      </c>
      <c r="B29" s="14" t="s">
        <v>25</v>
      </c>
      <c r="C29" s="15" t="n">
        <f aca="false">+C28+T28</f>
        <v>349.25</v>
      </c>
      <c r="D29" s="16" t="n">
        <f aca="false">+Chạy!F82</f>
        <v>-6.26</v>
      </c>
      <c r="E29" s="16" t="n">
        <f aca="false">+D29+F29</f>
        <v>-6.2584</v>
      </c>
      <c r="F29" s="16" t="n">
        <f aca="false">RANDBETWEEN(-105,115)/10000</f>
        <v>0.0016</v>
      </c>
      <c r="G29" s="16" t="n">
        <f aca="false">+Chạy!G82</f>
        <v>-0.44</v>
      </c>
      <c r="H29" s="16" t="n">
        <f aca="false">G29+I29</f>
        <v>-0.415</v>
      </c>
      <c r="I29" s="16" t="n">
        <f aca="false">RANDBETWEEN(-30,90)/1000</f>
        <v>0.025</v>
      </c>
      <c r="J29" s="16" t="n">
        <f aca="false">+Chạy!K82</f>
        <v>-0.32</v>
      </c>
      <c r="K29" s="16" t="n">
        <f aca="false">J29+L29</f>
        <v>-0.314</v>
      </c>
      <c r="L29" s="16" t="n">
        <f aca="false">RANDBETWEEN(-30,90)/1000</f>
        <v>0.006</v>
      </c>
      <c r="M29" s="16" t="n">
        <f aca="false">+Chạy!N82</f>
        <v>6.26</v>
      </c>
      <c r="N29" s="16" t="n">
        <f aca="false">+M29+O29</f>
        <v>6.2708</v>
      </c>
      <c r="O29" s="16" t="n">
        <f aca="false">RANDBETWEEN(-105,115)/10000</f>
        <v>0.0108</v>
      </c>
      <c r="P29" s="16" t="n">
        <f aca="false">+Chạy!O82</f>
        <v>-0.44</v>
      </c>
      <c r="Q29" s="16" t="n">
        <f aca="false">P29+R29</f>
        <v>-0.369</v>
      </c>
      <c r="R29" s="16" t="n">
        <f aca="false">RANDBETWEEN(-30,90)/1000</f>
        <v>0.071</v>
      </c>
      <c r="S29" s="17"/>
      <c r="T29" s="18" t="n">
        <v>19</v>
      </c>
    </row>
    <row r="30" customFormat="false" ht="17.25" hidden="false" customHeight="true" outlineLevel="0" collapsed="false">
      <c r="A30" s="13" t="n">
        <v>10</v>
      </c>
      <c r="B30" s="14" t="s">
        <v>26</v>
      </c>
      <c r="C30" s="15" t="n">
        <f aca="false">+C29+T29</f>
        <v>368.25</v>
      </c>
      <c r="D30" s="16" t="n">
        <f aca="false">+Chạy!F91</f>
        <v>-9.86</v>
      </c>
      <c r="E30" s="16" t="n">
        <f aca="false">+D30+F30</f>
        <v>-9.8692</v>
      </c>
      <c r="F30" s="16" t="n">
        <f aca="false">RANDBETWEEN(-105,115)/10000</f>
        <v>-0.0092</v>
      </c>
      <c r="G30" s="16" t="n">
        <f aca="false">+Chạy!G91</f>
        <v>-0.45</v>
      </c>
      <c r="H30" s="16" t="n">
        <f aca="false">G30+I30</f>
        <v>-0.45</v>
      </c>
      <c r="I30" s="16" t="n">
        <f aca="false">RANDBETWEEN(-30,90)/1000</f>
        <v>0</v>
      </c>
      <c r="J30" s="16" t="n">
        <f aca="false">+Chạy!K91</f>
        <v>-0.33</v>
      </c>
      <c r="K30" s="16" t="n">
        <f aca="false">J30+L30</f>
        <v>-0.315</v>
      </c>
      <c r="L30" s="16" t="n">
        <f aca="false">RANDBETWEEN(-30,90)/1000</f>
        <v>0.015</v>
      </c>
      <c r="M30" s="16" t="n">
        <f aca="false">+Chạy!N91</f>
        <v>6.25</v>
      </c>
      <c r="N30" s="16" t="n">
        <f aca="false">+M30+O30</f>
        <v>6.2484</v>
      </c>
      <c r="O30" s="16" t="n">
        <f aca="false">RANDBETWEEN(-105,115)/10000</f>
        <v>-0.0016</v>
      </c>
      <c r="P30" s="16" t="n">
        <f aca="false">+Chạy!O91</f>
        <v>-0.45</v>
      </c>
      <c r="Q30" s="16" t="n">
        <f aca="false">P30+R30</f>
        <v>-0.405</v>
      </c>
      <c r="R30" s="16" t="n">
        <f aca="false">RANDBETWEEN(-30,90)/1000</f>
        <v>0.045</v>
      </c>
      <c r="S30" s="17"/>
      <c r="T30" s="18" t="n">
        <v>13.25</v>
      </c>
    </row>
    <row r="31" customFormat="false" ht="17.25" hidden="false" customHeight="true" outlineLevel="0" collapsed="false">
      <c r="A31" s="13" t="n">
        <v>11</v>
      </c>
      <c r="B31" s="14" t="s">
        <v>27</v>
      </c>
      <c r="C31" s="15" t="n">
        <f aca="false">+C30+T30</f>
        <v>381.5</v>
      </c>
      <c r="D31" s="16" t="n">
        <f aca="false">+Chạy!F100</f>
        <v>-5.12</v>
      </c>
      <c r="E31" s="16" t="n">
        <f aca="false">+D31+F31</f>
        <v>-5.1158</v>
      </c>
      <c r="F31" s="16" t="n">
        <f aca="false">RANDBETWEEN(-105,115)/10000</f>
        <v>0.0042</v>
      </c>
      <c r="G31" s="16" t="n">
        <f aca="false">+Chạy!G100</f>
        <v>-0.45</v>
      </c>
      <c r="H31" s="16" t="n">
        <f aca="false">G31+I31</f>
        <v>-0.375</v>
      </c>
      <c r="I31" s="16" t="n">
        <f aca="false">RANDBETWEEN(-30,90)/1000</f>
        <v>0.075</v>
      </c>
      <c r="J31" s="16" t="n">
        <f aca="false">+Chạy!K100</f>
        <v>-0.34</v>
      </c>
      <c r="K31" s="16" t="n">
        <f aca="false">J31+L31</f>
        <v>-0.278</v>
      </c>
      <c r="L31" s="16" t="n">
        <f aca="false">RANDBETWEEN(-30,90)/1000</f>
        <v>0.062</v>
      </c>
      <c r="M31" s="16" t="n">
        <f aca="false">+Chạy!N100</f>
        <v>5.12</v>
      </c>
      <c r="N31" s="16" t="n">
        <f aca="false">+M31+O31</f>
        <v>5.1113</v>
      </c>
      <c r="O31" s="16" t="n">
        <f aca="false">RANDBETWEEN(-105,115)/10000</f>
        <v>-0.0087</v>
      </c>
      <c r="P31" s="16" t="n">
        <f aca="false">+Chạy!O100</f>
        <v>-0.45</v>
      </c>
      <c r="Q31" s="16" t="n">
        <f aca="false">P31+R31</f>
        <v>-0.404</v>
      </c>
      <c r="R31" s="16" t="n">
        <f aca="false">RANDBETWEEN(-30,90)/1000</f>
        <v>0.046</v>
      </c>
      <c r="S31" s="17"/>
      <c r="T31" s="18" t="n">
        <v>13.25</v>
      </c>
    </row>
    <row r="32" customFormat="false" ht="17.25" hidden="false" customHeight="true" outlineLevel="0" collapsed="false">
      <c r="A32" s="13" t="n">
        <v>12</v>
      </c>
      <c r="B32" s="14" t="s">
        <v>28</v>
      </c>
      <c r="C32" s="15" t="n">
        <f aca="false">+C31+T31</f>
        <v>394.75</v>
      </c>
      <c r="D32" s="16" t="n">
        <f aca="false">+Chạy!F109</f>
        <v>-4.99</v>
      </c>
      <c r="E32" s="16" t="n">
        <f aca="false">+D32+F32</f>
        <v>-4.9845</v>
      </c>
      <c r="F32" s="16" t="n">
        <f aca="false">RANDBETWEEN(-105,115)/10000</f>
        <v>0.0055</v>
      </c>
      <c r="G32" s="16" t="n">
        <f aca="false">+Chạy!G109</f>
        <v>-0.45</v>
      </c>
      <c r="H32" s="16" t="n">
        <f aca="false">G32+I32</f>
        <v>-0.464</v>
      </c>
      <c r="I32" s="16" t="n">
        <f aca="false">RANDBETWEEN(-30,90)/1000</f>
        <v>-0.014</v>
      </c>
      <c r="J32" s="16" t="n">
        <f aca="false">+Chạy!K109</f>
        <v>-0.35</v>
      </c>
      <c r="K32" s="16" t="n">
        <f aca="false">J32+L32</f>
        <v>-0.325</v>
      </c>
      <c r="L32" s="16" t="n">
        <f aca="false">RANDBETWEEN(-30,90)/1000</f>
        <v>0.025</v>
      </c>
      <c r="M32" s="16" t="n">
        <f aca="false">+Chạy!N109</f>
        <v>4.99</v>
      </c>
      <c r="N32" s="16" t="n">
        <f aca="false">+M32+O32</f>
        <v>4.9931</v>
      </c>
      <c r="O32" s="16" t="n">
        <f aca="false">RANDBETWEEN(-105,115)/10000</f>
        <v>0.0031</v>
      </c>
      <c r="P32" s="16" t="n">
        <f aca="false">+Chạy!O109</f>
        <v>-0.45</v>
      </c>
      <c r="Q32" s="16" t="n">
        <f aca="false">P32+R32</f>
        <v>-0.432</v>
      </c>
      <c r="R32" s="16" t="n">
        <f aca="false">RANDBETWEEN(-30,90)/1000</f>
        <v>0.018</v>
      </c>
      <c r="S32" s="17"/>
      <c r="T32" s="18" t="n">
        <v>20</v>
      </c>
    </row>
    <row r="33" customFormat="false" ht="17.25" hidden="false" customHeight="true" outlineLevel="0" collapsed="false">
      <c r="A33" s="13" t="n">
        <v>13</v>
      </c>
      <c r="B33" s="14" t="s">
        <v>29</v>
      </c>
      <c r="C33" s="15" t="n">
        <f aca="false">+C32+T32</f>
        <v>414.75</v>
      </c>
      <c r="D33" s="16" t="n">
        <f aca="false">+Chạy!F118</f>
        <v>-4.4</v>
      </c>
      <c r="E33" s="16" t="n">
        <f aca="false">+D33+F33</f>
        <v>-4.4079</v>
      </c>
      <c r="F33" s="16" t="n">
        <f aca="false">RANDBETWEEN(-105,115)/10000</f>
        <v>-0.0079</v>
      </c>
      <c r="G33" s="16" t="n">
        <f aca="false">+Chạy!G118</f>
        <v>-0.45</v>
      </c>
      <c r="H33" s="16" t="n">
        <f aca="false">G33+I33</f>
        <v>-0.455</v>
      </c>
      <c r="I33" s="16" t="n">
        <f aca="false">RANDBETWEEN(-30,90)/1000</f>
        <v>-0.005</v>
      </c>
      <c r="J33" s="16" t="n">
        <f aca="false">+Chạy!K118</f>
        <v>-0.36</v>
      </c>
      <c r="K33" s="16" t="n">
        <f aca="false">J33+L33</f>
        <v>-0.37</v>
      </c>
      <c r="L33" s="16" t="n">
        <f aca="false">RANDBETWEEN(-30,90)/1000</f>
        <v>-0.01</v>
      </c>
      <c r="M33" s="16" t="n">
        <f aca="false">+Chạy!N118</f>
        <v>4.4</v>
      </c>
      <c r="N33" s="16" t="n">
        <f aca="false">+M33+O33</f>
        <v>4.4061</v>
      </c>
      <c r="O33" s="16" t="n">
        <f aca="false">RANDBETWEEN(-105,115)/10000</f>
        <v>0.0061</v>
      </c>
      <c r="P33" s="16" t="n">
        <f aca="false">+Chạy!O118</f>
        <v>-0.45</v>
      </c>
      <c r="Q33" s="16" t="n">
        <f aca="false">P33+R33</f>
        <v>-0.405</v>
      </c>
      <c r="R33" s="16" t="n">
        <f aca="false">RANDBETWEEN(-30,90)/1000</f>
        <v>0.045</v>
      </c>
      <c r="S33" s="17"/>
      <c r="T33" s="18" t="n">
        <v>20</v>
      </c>
    </row>
    <row r="34" customFormat="false" ht="17.25" hidden="false" customHeight="true" outlineLevel="0" collapsed="false">
      <c r="A34" s="13" t="n">
        <v>14</v>
      </c>
      <c r="B34" s="14" t="s">
        <v>30</v>
      </c>
      <c r="C34" s="15" t="n">
        <f aca="false">+C33+T33</f>
        <v>434.75</v>
      </c>
      <c r="D34" s="16" t="n">
        <f aca="false">+Chạy!F127</f>
        <v>-3.74</v>
      </c>
      <c r="E34" s="16" t="n">
        <f aca="false">+D34+F34</f>
        <v>-3.7466</v>
      </c>
      <c r="F34" s="16" t="n">
        <f aca="false">RANDBETWEEN(-105,115)/10000</f>
        <v>-0.0066</v>
      </c>
      <c r="G34" s="16" t="n">
        <f aca="false">+Chạy!G127</f>
        <v>-0.45</v>
      </c>
      <c r="H34" s="16" t="n">
        <f aca="false">G34+I34</f>
        <v>-0.435</v>
      </c>
      <c r="I34" s="16" t="n">
        <f aca="false">RANDBETWEEN(-30,90)/1000</f>
        <v>0.015</v>
      </c>
      <c r="J34" s="16" t="n">
        <f aca="false">+Chạy!K127</f>
        <v>-0.38</v>
      </c>
      <c r="K34" s="16" t="n">
        <f aca="false">J34+L34</f>
        <v>-0.397</v>
      </c>
      <c r="L34" s="16" t="n">
        <f aca="false">RANDBETWEEN(-30,90)/1000</f>
        <v>-0.017</v>
      </c>
      <c r="M34" s="16" t="n">
        <f aca="false">+Chạy!N127</f>
        <v>3.74</v>
      </c>
      <c r="N34" s="16" t="n">
        <f aca="false">+M34+O34</f>
        <v>3.7364</v>
      </c>
      <c r="O34" s="16" t="n">
        <f aca="false">RANDBETWEEN(-105,115)/10000</f>
        <v>-0.0036</v>
      </c>
      <c r="P34" s="16" t="n">
        <f aca="false">+Chạy!O127</f>
        <v>-0.45</v>
      </c>
      <c r="Q34" s="16" t="n">
        <f aca="false">P34+R34</f>
        <v>-0.393</v>
      </c>
      <c r="R34" s="16" t="n">
        <f aca="false">RANDBETWEEN(-30,90)/1000</f>
        <v>0.057</v>
      </c>
      <c r="S34" s="17"/>
      <c r="T34" s="18" t="n">
        <v>20</v>
      </c>
    </row>
    <row r="35" customFormat="false" ht="17.25" hidden="false" customHeight="true" outlineLevel="0" collapsed="false">
      <c r="A35" s="13" t="n">
        <v>15</v>
      </c>
      <c r="B35" s="14" t="s">
        <v>31</v>
      </c>
      <c r="C35" s="15" t="n">
        <f aca="false">+C34+T34</f>
        <v>454.75</v>
      </c>
      <c r="D35" s="16" t="n">
        <f aca="false">+Chạy!F136</f>
        <v>-3.08</v>
      </c>
      <c r="E35" s="16" t="n">
        <f aca="false">+D35+F35</f>
        <v>-3.0763</v>
      </c>
      <c r="F35" s="16" t="n">
        <f aca="false">RANDBETWEEN(-105,115)/10000</f>
        <v>0.0037</v>
      </c>
      <c r="G35" s="16" t="n">
        <f aca="false">+Chạy!G136</f>
        <v>-0.45</v>
      </c>
      <c r="H35" s="16" t="n">
        <f aca="false">G35+I35</f>
        <v>-0.386</v>
      </c>
      <c r="I35" s="16" t="n">
        <f aca="false">RANDBETWEEN(-30,90)/1000</f>
        <v>0.064</v>
      </c>
      <c r="J35" s="16" t="n">
        <f aca="false">+Chạy!K136</f>
        <v>-0.39</v>
      </c>
      <c r="K35" s="16" t="n">
        <f aca="false">J35+L35</f>
        <v>-0.362</v>
      </c>
      <c r="L35" s="16" t="n">
        <f aca="false">RANDBETWEEN(-30,90)/1000</f>
        <v>0.028</v>
      </c>
      <c r="M35" s="16" t="n">
        <f aca="false">+Chạy!N136</f>
        <v>3.08</v>
      </c>
      <c r="N35" s="16" t="n">
        <f aca="false">+M35+O35</f>
        <v>3.0825</v>
      </c>
      <c r="O35" s="16" t="n">
        <f aca="false">RANDBETWEEN(-105,115)/10000</f>
        <v>0.0025</v>
      </c>
      <c r="P35" s="16" t="n">
        <f aca="false">+Chạy!O136</f>
        <v>-0.45</v>
      </c>
      <c r="Q35" s="16" t="n">
        <f aca="false">P35+R35</f>
        <v>-0.476</v>
      </c>
      <c r="R35" s="16" t="n">
        <f aca="false">RANDBETWEEN(-30,90)/1000</f>
        <v>-0.026</v>
      </c>
      <c r="S35" s="17"/>
      <c r="T35" s="18" t="n">
        <v>20</v>
      </c>
    </row>
    <row r="36" customFormat="false" ht="17.25" hidden="false" customHeight="true" outlineLevel="0" collapsed="false">
      <c r="A36" s="13" t="n">
        <v>16</v>
      </c>
      <c r="B36" s="14" t="s">
        <v>32</v>
      </c>
      <c r="C36" s="15" t="n">
        <f aca="false">+C35+T35</f>
        <v>474.75</v>
      </c>
      <c r="D36" s="16" t="n">
        <f aca="false">+Chạy!F145</f>
        <v>-2.42</v>
      </c>
      <c r="E36" s="16" t="n">
        <f aca="false">+D36+F36</f>
        <v>-2.4123</v>
      </c>
      <c r="F36" s="16" t="n">
        <f aca="false">RANDBETWEEN(-105,115)/10000</f>
        <v>0.0077</v>
      </c>
      <c r="G36" s="16" t="n">
        <f aca="false">+Chạy!G145</f>
        <v>-0.45</v>
      </c>
      <c r="H36" s="16" t="n">
        <f aca="false">G36+I36</f>
        <v>-0.473</v>
      </c>
      <c r="I36" s="16" t="n">
        <f aca="false">RANDBETWEEN(-30,90)/1000</f>
        <v>-0.023</v>
      </c>
      <c r="J36" s="16" t="n">
        <f aca="false">+Chạy!K145</f>
        <v>-0.4</v>
      </c>
      <c r="K36" s="16" t="n">
        <f aca="false">J36+L36</f>
        <v>-0.423</v>
      </c>
      <c r="L36" s="16" t="n">
        <f aca="false">RANDBETWEEN(-30,90)/1000</f>
        <v>-0.023</v>
      </c>
      <c r="M36" s="16" t="n">
        <f aca="false">+Chạy!N145</f>
        <v>2.42</v>
      </c>
      <c r="N36" s="16" t="n">
        <f aca="false">+M36+O36</f>
        <v>2.4206</v>
      </c>
      <c r="O36" s="16" t="n">
        <f aca="false">RANDBETWEEN(-105,115)/10000</f>
        <v>0.0006</v>
      </c>
      <c r="P36" s="16" t="n">
        <f aca="false">+Chạy!O145</f>
        <v>-0.45</v>
      </c>
      <c r="Q36" s="16" t="n">
        <f aca="false">P36+R36</f>
        <v>-0.377</v>
      </c>
      <c r="R36" s="16" t="n">
        <f aca="false">RANDBETWEEN(-30,90)/1000</f>
        <v>0.073</v>
      </c>
      <c r="S36" s="17"/>
      <c r="T36" s="18" t="n">
        <v>14.44</v>
      </c>
    </row>
    <row r="37" customFormat="false" ht="17.25" hidden="false" customHeight="true" outlineLevel="0" collapsed="false">
      <c r="A37" s="13" t="n">
        <v>17</v>
      </c>
      <c r="B37" s="14" t="s">
        <v>33</v>
      </c>
      <c r="C37" s="15" t="n">
        <f aca="false">+C36+T36</f>
        <v>489.19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 t="n">
        <v>13.17</v>
      </c>
    </row>
    <row r="38" customFormat="false" ht="17.25" hidden="false" customHeight="true" outlineLevel="0" collapsed="false">
      <c r="A38" s="13" t="n">
        <v>18</v>
      </c>
      <c r="B38" s="14" t="s">
        <v>34</v>
      </c>
      <c r="C38" s="15" t="n">
        <f aca="false">+C37+T37</f>
        <v>502.36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 t="n">
        <v>10.48</v>
      </c>
    </row>
    <row r="39" customFormat="false" ht="17.25" hidden="false" customHeight="true" outlineLevel="0" collapsed="false">
      <c r="A39" s="13" t="n">
        <v>19</v>
      </c>
      <c r="B39" s="14" t="s">
        <v>35</v>
      </c>
      <c r="C39" s="15" t="n">
        <f aca="false">+C38+T38</f>
        <v>512.84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 t="n">
        <v>16.78</v>
      </c>
    </row>
    <row r="40" customFormat="false" ht="17.25" hidden="false" customHeight="true" outlineLevel="0" collapsed="false">
      <c r="A40" s="13" t="n">
        <v>20</v>
      </c>
      <c r="B40" s="14" t="s">
        <v>36</v>
      </c>
      <c r="C40" s="15" t="n">
        <f aca="false">+C39+T39</f>
        <v>529.62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 t="n">
        <v>17.1</v>
      </c>
    </row>
    <row r="41" customFormat="false" ht="17.25" hidden="false" customHeight="true" outlineLevel="0" collapsed="false">
      <c r="A41" s="13" t="n">
        <v>21</v>
      </c>
      <c r="B41" s="14" t="s">
        <v>37</v>
      </c>
      <c r="C41" s="15" t="n">
        <f aca="false">+C40+T40</f>
        <v>546.72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 t="n">
        <v>15.15</v>
      </c>
    </row>
    <row r="42" customFormat="false" ht="17.25" hidden="false" customHeight="true" outlineLevel="0" collapsed="false">
      <c r="A42" s="13" t="n">
        <v>22</v>
      </c>
      <c r="B42" s="14" t="s">
        <v>38</v>
      </c>
      <c r="C42" s="15" t="n">
        <f aca="false">+C41+T41</f>
        <v>561.87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 t="n">
        <v>0.15</v>
      </c>
    </row>
    <row r="43" customFormat="false" ht="17.25" hidden="false" customHeight="true" outlineLevel="0" collapsed="false">
      <c r="A43" s="13" t="n">
        <v>23</v>
      </c>
      <c r="B43" s="14" t="s">
        <v>39</v>
      </c>
      <c r="C43" s="15" t="n">
        <f aca="false">+C42+T42</f>
        <v>562.02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 t="n">
        <v>6.55</v>
      </c>
    </row>
    <row r="44" customFormat="false" ht="17.25" hidden="false" customHeight="true" outlineLevel="0" collapsed="false">
      <c r="A44" s="13" t="n">
        <v>24</v>
      </c>
      <c r="B44" s="14" t="s">
        <v>40</v>
      </c>
      <c r="C44" s="15" t="n">
        <f aca="false">+C43+T43</f>
        <v>568.57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 t="n">
        <v>6.55</v>
      </c>
    </row>
    <row r="45" customFormat="false" ht="17.25" hidden="false" customHeight="true" outlineLevel="0" collapsed="false">
      <c r="A45" s="13" t="n">
        <v>25</v>
      </c>
      <c r="B45" s="14" t="s">
        <v>1</v>
      </c>
      <c r="C45" s="15" t="n">
        <f aca="false">+C44+T44</f>
        <v>575.12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 t="n">
        <v>0.04</v>
      </c>
    </row>
    <row r="46" customFormat="false" ht="17.25" hidden="false" customHeight="true" outlineLevel="0" collapsed="false">
      <c r="A46" s="13" t="n">
        <v>26</v>
      </c>
      <c r="B46" s="14" t="s">
        <v>41</v>
      </c>
      <c r="C46" s="15" t="n">
        <f aca="false">+C45+T45</f>
        <v>575.16</v>
      </c>
      <c r="D46" s="16" t="n">
        <f aca="false">+Chạy!F235</f>
        <v>-9.9</v>
      </c>
      <c r="E46" s="16" t="n">
        <f aca="false">+D46+F46</f>
        <v>-9.8985</v>
      </c>
      <c r="F46" s="16" t="n">
        <f aca="false">RANDBETWEEN(-105,115)/10000</f>
        <v>0.0015</v>
      </c>
      <c r="G46" s="16" t="n">
        <f aca="false">+Chạy!G235</f>
        <v>-0.43</v>
      </c>
      <c r="H46" s="16" t="n">
        <f aca="false">G46+I46</f>
        <v>-0.4</v>
      </c>
      <c r="I46" s="16" t="n">
        <f aca="false">RANDBETWEEN(-30,90)/1000</f>
        <v>0.03</v>
      </c>
      <c r="J46" s="16" t="n">
        <f aca="false">+Chạy!K235</f>
        <v>-0.45</v>
      </c>
      <c r="K46" s="16" t="n">
        <f aca="false">J46+L46</f>
        <v>-0.392</v>
      </c>
      <c r="L46" s="16" t="n">
        <f aca="false">RANDBETWEEN(-30,90)/1000</f>
        <v>0.058</v>
      </c>
      <c r="M46" s="16" t="n">
        <f aca="false">+Chạy!N235</f>
        <v>0.12</v>
      </c>
      <c r="N46" s="16" t="n">
        <f aca="false">+M46+O46</f>
        <v>0.1202</v>
      </c>
      <c r="O46" s="16" t="n">
        <f aca="false">RANDBETWEEN(-105,115)/10000</f>
        <v>0.0002</v>
      </c>
      <c r="P46" s="16" t="n">
        <f aca="false">+Chạy!O235</f>
        <v>-0.45</v>
      </c>
      <c r="Q46" s="16" t="n">
        <f aca="false">P46+R46</f>
        <v>-0.369</v>
      </c>
      <c r="R46" s="16" t="n">
        <f aca="false">RANDBETWEEN(-30,90)/1000</f>
        <v>0.081</v>
      </c>
      <c r="S46" s="17"/>
      <c r="T46" s="18" t="n">
        <v>16.95</v>
      </c>
    </row>
    <row r="47" customFormat="false" ht="17.25" hidden="false" customHeight="true" outlineLevel="0" collapsed="false">
      <c r="A47" s="13" t="n">
        <v>27</v>
      </c>
      <c r="B47" s="14" t="s">
        <v>42</v>
      </c>
      <c r="C47" s="15" t="n">
        <f aca="false">+C46+T46</f>
        <v>592.11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 t="n">
        <v>17</v>
      </c>
    </row>
    <row r="48" customFormat="false" ht="17.25" hidden="false" customHeight="true" outlineLevel="0" collapsed="false">
      <c r="A48" s="13" t="n">
        <v>28</v>
      </c>
      <c r="B48" s="14" t="s">
        <v>43</v>
      </c>
      <c r="C48" s="15" t="n">
        <f aca="false">+C47+T47</f>
        <v>609.11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 t="n">
        <v>11.75</v>
      </c>
    </row>
    <row r="49" customFormat="false" ht="17.25" hidden="false" customHeight="true" outlineLevel="0" collapsed="false">
      <c r="A49" s="13" t="n">
        <v>29</v>
      </c>
      <c r="B49" s="14" t="s">
        <v>44</v>
      </c>
      <c r="C49" s="15" t="n">
        <f aca="false">+C48+T48</f>
        <v>620.86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 t="n">
        <v>11.75</v>
      </c>
    </row>
    <row r="50" customFormat="false" ht="17.25" hidden="false" customHeight="true" outlineLevel="0" collapsed="false">
      <c r="A50" s="13" t="n">
        <v>30</v>
      </c>
      <c r="B50" s="14" t="s">
        <v>45</v>
      </c>
      <c r="C50" s="15" t="n">
        <f aca="false">+C49+T49</f>
        <v>632.61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 t="n">
        <v>20</v>
      </c>
    </row>
    <row r="51" customFormat="false" ht="17.25" hidden="false" customHeight="true" outlineLevel="0" collapsed="false">
      <c r="A51" s="13" t="n">
        <v>31</v>
      </c>
      <c r="B51" s="14" t="s">
        <v>46</v>
      </c>
      <c r="C51" s="15" t="n">
        <f aca="false">+C50+T50</f>
        <v>652.61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 t="n">
        <v>20</v>
      </c>
    </row>
    <row r="52" customFormat="false" ht="17.25" hidden="false" customHeight="true" outlineLevel="0" collapsed="false">
      <c r="A52" s="13" t="n">
        <v>32</v>
      </c>
      <c r="B52" s="14" t="s">
        <v>47</v>
      </c>
      <c r="C52" s="15" t="n">
        <f aca="false">+C51+T51</f>
        <v>672.61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 t="n">
        <v>20</v>
      </c>
    </row>
    <row r="53" customFormat="false" ht="17.25" hidden="false" customHeight="true" outlineLevel="0" collapsed="false">
      <c r="A53" s="13" t="n">
        <v>33</v>
      </c>
      <c r="B53" s="14" t="s">
        <v>48</v>
      </c>
      <c r="C53" s="15" t="n">
        <f aca="false">+C52+T52</f>
        <v>692.61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 t="n">
        <v>20</v>
      </c>
    </row>
    <row r="54" customFormat="false" ht="17.25" hidden="false" customHeight="true" outlineLevel="0" collapsed="false">
      <c r="A54" s="13" t="n">
        <v>34</v>
      </c>
      <c r="B54" s="14" t="s">
        <v>49</v>
      </c>
      <c r="C54" s="15" t="n">
        <f aca="false">+C53+T53</f>
        <v>712.61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 t="n">
        <v>11.5</v>
      </c>
    </row>
    <row r="55" customFormat="false" ht="17.25" hidden="false" customHeight="true" outlineLevel="0" collapsed="false">
      <c r="A55" s="13" t="n">
        <v>35</v>
      </c>
      <c r="B55" s="14" t="s">
        <v>50</v>
      </c>
      <c r="C55" s="15" t="n">
        <f aca="false">+C54+T54</f>
        <v>724.11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 t="n">
        <v>13.25</v>
      </c>
    </row>
    <row r="56" customFormat="false" ht="17.25" hidden="false" customHeight="true" outlineLevel="0" collapsed="false">
      <c r="A56" s="13" t="n">
        <v>36</v>
      </c>
      <c r="B56" s="14" t="s">
        <v>51</v>
      </c>
      <c r="C56" s="15" t="n">
        <f aca="false">+C55+T55</f>
        <v>737.36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</row>
    <row r="57" customFormat="false" ht="17.25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</row>
    <row r="58" customFormat="false" ht="17.25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</row>
    <row r="59" customFormat="false" ht="17.25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</row>
    <row r="60" customFormat="false" ht="17.25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</row>
    <row r="62" customFormat="false" ht="15" hidden="false" customHeight="false" outlineLevel="0" collapsed="false">
      <c r="C62" s="19" t="s">
        <v>74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75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C67" s="19" t="s">
        <v>76</v>
      </c>
      <c r="D67" s="19"/>
      <c r="E67" s="19"/>
      <c r="F67" s="19"/>
      <c r="G67" s="19"/>
      <c r="H67" s="19"/>
      <c r="I67" s="19"/>
      <c r="K67" s="20"/>
      <c r="L67" s="20"/>
      <c r="M67" s="20"/>
      <c r="N67" s="20"/>
      <c r="O67" s="19" t="s">
        <v>77</v>
      </c>
      <c r="P67" s="19"/>
      <c r="Q67" s="19"/>
      <c r="R67" s="19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39375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6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AD50" activeCellId="0" sqref="AD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0" min="30" style="22" width="11.57"/>
    <col collapsed="false" customWidth="true" hidden="false" outlineLevel="0" max="31" min="31" style="24" width="14.57"/>
    <col collapsed="false" customWidth="true" hidden="false" outlineLevel="0" max="32" min="32" style="22" width="11.57"/>
    <col collapsed="false" customWidth="true" hidden="false" outlineLevel="0" max="33" min="33" style="22" width="15.42"/>
    <col collapsed="false" customWidth="true" hidden="false" outlineLevel="0" max="34" min="34" style="22" width="13.42"/>
    <col collapsed="false" customWidth="true" hidden="false" outlineLevel="0" max="35" min="35" style="22" width="14.57"/>
    <col collapsed="false" customWidth="true" hidden="false" outlineLevel="0" max="37" min="36" style="22" width="13.42"/>
    <col collapsed="false" customWidth="true" hidden="false" outlineLevel="0" max="38" min="38" style="22" width="12.86"/>
    <col collapsed="false" customWidth="true" hidden="false" outlineLevel="0" max="40" min="39" style="22" width="10.57"/>
    <col collapsed="false" customWidth="false" hidden="false" outlineLevel="0" max="16384" min="41" style="22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E1" s="27"/>
    </row>
    <row r="2" s="26" customFormat="true" ht="16.5" hidden="false" customHeight="true" outlineLevel="0" collapsed="false">
      <c r="A2" s="28" t="s">
        <v>53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E2" s="27"/>
    </row>
    <row r="3" s="32" customFormat="true" ht="37.5" hidden="false" customHeight="true" outlineLevel="0" collapsed="false">
      <c r="A3" s="29" t="s">
        <v>54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1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2" customFormat="true" ht="37.5" hidden="false" customHeight="true" outlineLevel="0" collapsed="false">
      <c r="A4" s="29" t="s">
        <v>55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1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2" customFormat="true" ht="16.5" hidden="false" customHeight="true" outlineLevel="0" collapsed="false">
      <c r="A5" s="29" t="s">
        <v>56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1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2" customFormat="true" ht="16.5" hidden="false" customHeight="true" outlineLevel="0" collapsed="false">
      <c r="A6" s="29" t="s">
        <v>57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1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2" customFormat="true" ht="16.5" hidden="false" customHeight="true" outlineLevel="0" collapsed="false">
      <c r="A7" s="33" t="s">
        <v>58</v>
      </c>
      <c r="B7" s="34"/>
      <c r="D7" s="35" t="s">
        <v>59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1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E8" s="31"/>
    </row>
    <row r="9" s="43" customFormat="true" ht="22.5" hidden="false" customHeight="true" outlineLevel="0" collapsed="false">
      <c r="A9" s="37" t="s">
        <v>0</v>
      </c>
      <c r="B9" s="37" t="s">
        <v>62</v>
      </c>
      <c r="C9" s="37" t="s">
        <v>63</v>
      </c>
      <c r="D9" s="38" t="s">
        <v>79</v>
      </c>
      <c r="E9" s="39"/>
      <c r="F9" s="39"/>
      <c r="G9" s="38"/>
      <c r="H9" s="39"/>
      <c r="I9" s="39"/>
      <c r="J9" s="39"/>
      <c r="K9" s="39"/>
      <c r="L9" s="39"/>
      <c r="M9" s="40" t="s">
        <v>80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67</v>
      </c>
      <c r="AC9" s="42"/>
      <c r="AE9" s="44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81</v>
      </c>
      <c r="O10" s="40" t="s">
        <v>82</v>
      </c>
      <c r="P10" s="40" t="s">
        <v>81</v>
      </c>
      <c r="Q10" s="40" t="s">
        <v>81</v>
      </c>
      <c r="R10" s="40"/>
      <c r="S10" s="40"/>
      <c r="T10" s="40"/>
      <c r="U10" s="40" t="s">
        <v>83</v>
      </c>
      <c r="V10" s="40" t="s">
        <v>83</v>
      </c>
      <c r="W10" s="40" t="s">
        <v>84</v>
      </c>
      <c r="X10" s="40" t="s">
        <v>83</v>
      </c>
      <c r="Y10" s="40" t="s">
        <v>83</v>
      </c>
      <c r="Z10" s="45"/>
      <c r="AA10" s="45"/>
      <c r="AB10" s="38"/>
      <c r="AC10" s="46"/>
      <c r="AD10" s="47"/>
      <c r="AE10" s="48"/>
      <c r="AG10" s="50"/>
      <c r="AH10" s="50"/>
      <c r="AI10" s="50"/>
      <c r="AV10" s="50"/>
    </row>
    <row r="11" s="49" customFormat="true" ht="15" hidden="false" customHeight="true" outlineLevel="0" collapsed="false">
      <c r="A11" s="13" t="n">
        <v>1</v>
      </c>
      <c r="B11" s="13" t="str">
        <f aca="false">'1.KTHH L1'!B21</f>
        <v>B4</v>
      </c>
      <c r="C11" s="51" t="n">
        <f aca="false">'1.KTHH L1'!C21</f>
        <v>211</v>
      </c>
      <c r="D11" s="13" t="n">
        <f aca="false">'1.KTHH L1'!T21</f>
        <v>13.25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Chạy!E10</f>
        <v>2.31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29.945</v>
      </c>
      <c r="X11" s="55"/>
      <c r="Y11" s="55"/>
      <c r="Z11" s="55"/>
      <c r="AA11" s="55"/>
      <c r="AB11" s="56"/>
      <c r="AC11" s="57"/>
      <c r="AE11" s="58"/>
      <c r="AF11" s="58"/>
      <c r="AG11" s="58"/>
      <c r="AH11" s="58"/>
      <c r="AI11" s="59"/>
      <c r="AJ11" s="60"/>
      <c r="AL11" s="58"/>
      <c r="AO11" s="59"/>
      <c r="AP11" s="59"/>
      <c r="AQ11" s="59"/>
      <c r="AR11" s="59"/>
      <c r="AS11" s="59"/>
      <c r="AT11" s="59"/>
      <c r="AU11" s="59"/>
      <c r="AV11" s="59"/>
      <c r="AX11" s="59"/>
    </row>
    <row r="12" s="49" customFormat="true" ht="15" hidden="false" customHeight="true" outlineLevel="0" collapsed="false">
      <c r="A12" s="13" t="n">
        <v>2</v>
      </c>
      <c r="B12" s="13" t="str">
        <f aca="false">'1.KTHH L1'!B22</f>
        <v>12</v>
      </c>
      <c r="C12" s="51" t="n">
        <f aca="false">'1.KTHH L1'!C22</f>
        <v>224.25</v>
      </c>
      <c r="D12" s="13" t="n">
        <f aca="false">'1.KTHH L1'!T22</f>
        <v>21.5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Chạy!E19</f>
        <v>2.21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40.85</v>
      </c>
      <c r="X12" s="55"/>
      <c r="Y12" s="55"/>
      <c r="Z12" s="55"/>
      <c r="AA12" s="55"/>
      <c r="AB12" s="56"/>
      <c r="AC12" s="57"/>
      <c r="AE12" s="58"/>
      <c r="AF12" s="58"/>
      <c r="AG12" s="58"/>
      <c r="AH12" s="58"/>
      <c r="AI12" s="59"/>
      <c r="AJ12" s="60"/>
      <c r="AL12" s="58"/>
      <c r="AO12" s="59"/>
      <c r="AP12" s="59"/>
      <c r="AQ12" s="59"/>
      <c r="AR12" s="59"/>
      <c r="AS12" s="59"/>
      <c r="AT12" s="59"/>
      <c r="AU12" s="59"/>
      <c r="AV12" s="59"/>
      <c r="AX12" s="59"/>
    </row>
    <row r="13" s="49" customFormat="true" ht="15" hidden="false" customHeight="true" outlineLevel="0" collapsed="false">
      <c r="A13" s="13" t="n">
        <v>3</v>
      </c>
      <c r="B13" s="13" t="str">
        <f aca="false">'1.KTHH L1'!B23</f>
        <v>13</v>
      </c>
      <c r="C13" s="51" t="n">
        <f aca="false">'1.KTHH L1'!C23</f>
        <v>245.75</v>
      </c>
      <c r="D13" s="13" t="n">
        <f aca="false">'1.KTHH L1'!T23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Chạy!E28</f>
        <v>1.59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18.095</v>
      </c>
      <c r="X13" s="55"/>
      <c r="Y13" s="55"/>
      <c r="Z13" s="55"/>
      <c r="AA13" s="55"/>
      <c r="AB13" s="56"/>
      <c r="AC13" s="57"/>
      <c r="AE13" s="58"/>
      <c r="AF13" s="58"/>
      <c r="AG13" s="58"/>
      <c r="AH13" s="58"/>
      <c r="AI13" s="59"/>
      <c r="AJ13" s="60"/>
      <c r="AL13" s="58"/>
      <c r="AO13" s="59"/>
      <c r="AP13" s="59"/>
      <c r="AQ13" s="59"/>
      <c r="AR13" s="59"/>
      <c r="AS13" s="59"/>
      <c r="AT13" s="59"/>
      <c r="AU13" s="59"/>
      <c r="AV13" s="59"/>
      <c r="AX13" s="59"/>
    </row>
    <row r="14" s="49" customFormat="true" ht="15" hidden="false" customHeight="true" outlineLevel="0" collapsed="false">
      <c r="A14" s="13" t="n">
        <v>4</v>
      </c>
      <c r="B14" s="13" t="str">
        <f aca="false">'1.KTHH L1'!B24</f>
        <v>B5</v>
      </c>
      <c r="C14" s="51" t="n">
        <f aca="false">'1.KTHH L1'!C24</f>
        <v>257.5</v>
      </c>
      <c r="D14" s="13" t="n">
        <f aca="false">'1.KTHH L1'!T24</f>
        <v>11.75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Chạy!E37</f>
        <v>1.49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16.86125</v>
      </c>
      <c r="X14" s="55"/>
      <c r="Y14" s="55"/>
      <c r="Z14" s="55"/>
      <c r="AA14" s="55"/>
      <c r="AB14" s="56"/>
      <c r="AC14" s="57"/>
      <c r="AE14" s="58"/>
      <c r="AF14" s="58"/>
      <c r="AG14" s="58"/>
      <c r="AH14" s="58"/>
      <c r="AI14" s="59"/>
      <c r="AJ14" s="60"/>
      <c r="AL14" s="58"/>
      <c r="AO14" s="59"/>
      <c r="AP14" s="59"/>
      <c r="AQ14" s="59"/>
      <c r="AR14" s="59"/>
      <c r="AS14" s="59"/>
      <c r="AT14" s="59"/>
      <c r="AU14" s="59"/>
      <c r="AV14" s="59"/>
      <c r="AX14" s="59"/>
    </row>
    <row r="15" s="49" customFormat="true" ht="15" hidden="false" customHeight="true" outlineLevel="0" collapsed="false">
      <c r="A15" s="13" t="n">
        <v>5</v>
      </c>
      <c r="B15" s="13" t="str">
        <f aca="false">'1.KTHH L1'!B25</f>
        <v>14</v>
      </c>
      <c r="C15" s="51" t="n">
        <f aca="false">'1.KTHH L1'!C25</f>
        <v>269.25</v>
      </c>
      <c r="D15" s="13" t="n">
        <f aca="false">'1.KTHH L1'!T25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Chạy!E46</f>
        <v>1.38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26.2</v>
      </c>
      <c r="X15" s="55"/>
      <c r="Y15" s="55"/>
      <c r="Z15" s="55"/>
      <c r="AA15" s="55"/>
      <c r="AB15" s="56"/>
      <c r="AC15" s="57"/>
      <c r="AE15" s="58"/>
      <c r="AF15" s="58"/>
      <c r="AG15" s="58"/>
      <c r="AH15" s="58"/>
      <c r="AI15" s="59"/>
      <c r="AJ15" s="60"/>
      <c r="AL15" s="58"/>
      <c r="AO15" s="59"/>
      <c r="AP15" s="59"/>
      <c r="AQ15" s="59"/>
      <c r="AR15" s="59"/>
      <c r="AS15" s="59"/>
      <c r="AT15" s="59"/>
      <c r="AU15" s="59"/>
      <c r="AV15" s="59"/>
      <c r="AX15" s="59"/>
    </row>
    <row r="16" s="49" customFormat="true" ht="15" hidden="false" customHeight="true" outlineLevel="0" collapsed="false">
      <c r="A16" s="13" t="n">
        <v>6</v>
      </c>
      <c r="B16" s="13" t="str">
        <f aca="false">'1.KTHH L1'!B26</f>
        <v>15</v>
      </c>
      <c r="C16" s="51" t="n">
        <f aca="false">'1.KTHH L1'!C26</f>
        <v>289.25</v>
      </c>
      <c r="D16" s="13" t="n">
        <f aca="false">'1.KTHH L1'!T26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Chạy!E55</f>
        <v>1.24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23.4</v>
      </c>
      <c r="X16" s="55"/>
      <c r="Y16" s="55"/>
      <c r="Z16" s="55"/>
      <c r="AA16" s="55"/>
      <c r="AB16" s="56"/>
      <c r="AC16" s="57"/>
      <c r="AE16" s="58"/>
      <c r="AF16" s="58"/>
      <c r="AG16" s="58"/>
      <c r="AH16" s="58"/>
      <c r="AI16" s="59"/>
      <c r="AJ16" s="60"/>
      <c r="AL16" s="58"/>
      <c r="AO16" s="59"/>
      <c r="AP16" s="59"/>
      <c r="AQ16" s="59"/>
      <c r="AR16" s="59"/>
      <c r="AS16" s="59"/>
      <c r="AT16" s="59"/>
      <c r="AU16" s="59"/>
      <c r="AV16" s="59"/>
      <c r="AX16" s="59"/>
    </row>
    <row r="17" s="49" customFormat="true" ht="15" hidden="false" customHeight="true" outlineLevel="0" collapsed="false">
      <c r="A17" s="13" t="n">
        <v>7</v>
      </c>
      <c r="B17" s="13" t="str">
        <f aca="false">'1.KTHH L1'!B27</f>
        <v>16</v>
      </c>
      <c r="C17" s="51" t="n">
        <f aca="false">'1.KTHH L1'!C27</f>
        <v>309.25</v>
      </c>
      <c r="D17" s="13" t="n">
        <f aca="false">'1.KTHH L1'!T27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Chạy!E64</f>
        <v>1.1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20.6</v>
      </c>
      <c r="X17" s="55"/>
      <c r="Y17" s="55"/>
      <c r="Z17" s="55"/>
      <c r="AA17" s="55"/>
      <c r="AB17" s="56"/>
      <c r="AC17" s="57"/>
      <c r="AE17" s="58"/>
      <c r="AF17" s="58"/>
      <c r="AG17" s="58"/>
      <c r="AH17" s="58"/>
      <c r="AI17" s="59"/>
      <c r="AJ17" s="60"/>
      <c r="AL17" s="58"/>
      <c r="AO17" s="59"/>
      <c r="AP17" s="59"/>
      <c r="AQ17" s="59"/>
      <c r="AR17" s="59"/>
      <c r="AS17" s="59"/>
      <c r="AT17" s="59"/>
      <c r="AU17" s="59"/>
      <c r="AV17" s="59"/>
      <c r="AX17" s="59"/>
    </row>
    <row r="18" s="49" customFormat="true" ht="15" hidden="false" customHeight="true" outlineLevel="0" collapsed="false">
      <c r="A18" s="13" t="n">
        <v>8</v>
      </c>
      <c r="B18" s="13" t="str">
        <f aca="false">'1.KTHH L1'!B28</f>
        <v>17</v>
      </c>
      <c r="C18" s="51" t="n">
        <f aca="false">'1.KTHH L1'!C28</f>
        <v>329.25</v>
      </c>
      <c r="D18" s="13" t="n">
        <f aca="false">'1.KTHH L1'!T28</f>
        <v>20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Chạy!E73</f>
        <v>0.96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17.7</v>
      </c>
      <c r="X18" s="55"/>
      <c r="Y18" s="55"/>
      <c r="Z18" s="55"/>
      <c r="AA18" s="55"/>
      <c r="AB18" s="56"/>
      <c r="AC18" s="57"/>
      <c r="AE18" s="58"/>
      <c r="AF18" s="58"/>
      <c r="AG18" s="58"/>
      <c r="AH18" s="58"/>
      <c r="AI18" s="59"/>
      <c r="AJ18" s="60"/>
      <c r="AL18" s="58"/>
      <c r="AO18" s="59"/>
      <c r="AP18" s="59"/>
      <c r="AQ18" s="59"/>
      <c r="AR18" s="59"/>
      <c r="AS18" s="59"/>
      <c r="AT18" s="59"/>
      <c r="AU18" s="59"/>
      <c r="AV18" s="59"/>
      <c r="AX18" s="59"/>
    </row>
    <row r="19" s="49" customFormat="true" ht="15" hidden="false" customHeight="true" outlineLevel="0" collapsed="false">
      <c r="A19" s="13" t="n">
        <v>9</v>
      </c>
      <c r="B19" s="13" t="str">
        <f aca="false">'1.KTHH L1'!B29</f>
        <v>18</v>
      </c>
      <c r="C19" s="51" t="n">
        <f aca="false">'1.KTHH L1'!C29</f>
        <v>349.25</v>
      </c>
      <c r="D19" s="13" t="n">
        <f aca="false">'1.KTHH L1'!T29</f>
        <v>19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Chạy!E82</f>
        <v>0.81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14.155</v>
      </c>
      <c r="X19" s="55"/>
      <c r="Y19" s="55"/>
      <c r="Z19" s="55"/>
      <c r="AA19" s="55"/>
      <c r="AB19" s="56"/>
      <c r="AC19" s="57"/>
      <c r="AE19" s="58"/>
      <c r="AF19" s="58"/>
      <c r="AG19" s="58"/>
      <c r="AH19" s="58"/>
      <c r="AI19" s="59"/>
      <c r="AJ19" s="60"/>
      <c r="AL19" s="58"/>
      <c r="AO19" s="59"/>
      <c r="AP19" s="59"/>
      <c r="AQ19" s="59"/>
      <c r="AR19" s="59"/>
      <c r="AS19" s="59"/>
      <c r="AT19" s="59"/>
      <c r="AU19" s="59"/>
      <c r="AV19" s="59"/>
      <c r="AX19" s="59"/>
    </row>
    <row r="20" s="49" customFormat="true" ht="15" hidden="false" customHeight="true" outlineLevel="0" collapsed="false">
      <c r="A20" s="13" t="n">
        <v>10</v>
      </c>
      <c r="B20" s="13" t="str">
        <f aca="false">'1.KTHH L1'!B30</f>
        <v>19</v>
      </c>
      <c r="C20" s="51" t="n">
        <f aca="false">'1.KTHH L1'!C30</f>
        <v>368.25</v>
      </c>
      <c r="D20" s="13" t="n">
        <f aca="false">'1.KTHH L1'!T30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Chạy!E91</f>
        <v>0.68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8.41375</v>
      </c>
      <c r="X20" s="55"/>
      <c r="Y20" s="55"/>
      <c r="Z20" s="55"/>
      <c r="AA20" s="55"/>
      <c r="AB20" s="56"/>
      <c r="AC20" s="57"/>
      <c r="AE20" s="58"/>
      <c r="AF20" s="58"/>
      <c r="AG20" s="58"/>
      <c r="AH20" s="58"/>
      <c r="AI20" s="59"/>
      <c r="AJ20" s="60"/>
      <c r="AL20" s="58"/>
      <c r="AO20" s="59"/>
      <c r="AP20" s="59"/>
      <c r="AQ20" s="59"/>
      <c r="AR20" s="59"/>
      <c r="AS20" s="59"/>
      <c r="AT20" s="59"/>
      <c r="AU20" s="59"/>
      <c r="AV20" s="59"/>
      <c r="AX20" s="59"/>
    </row>
    <row r="21" s="49" customFormat="true" ht="15" hidden="false" customHeight="true" outlineLevel="0" collapsed="false">
      <c r="A21" s="13" t="n">
        <v>11</v>
      </c>
      <c r="B21" s="13" t="str">
        <f aca="false">'1.KTHH L1'!B31</f>
        <v>C2</v>
      </c>
      <c r="C21" s="51" t="n">
        <f aca="false">'1.KTHH L1'!C31</f>
        <v>381.5</v>
      </c>
      <c r="D21" s="13" t="n">
        <f aca="false">'1.KTHH L1'!T31</f>
        <v>13.25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Chạy!E100</f>
        <v>0.59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7.2875</v>
      </c>
      <c r="X21" s="55"/>
      <c r="Y21" s="55"/>
      <c r="Z21" s="55"/>
      <c r="AA21" s="55"/>
      <c r="AB21" s="56"/>
      <c r="AC21" s="57"/>
      <c r="AE21" s="58"/>
      <c r="AF21" s="58"/>
      <c r="AG21" s="58"/>
      <c r="AH21" s="58"/>
      <c r="AI21" s="59"/>
      <c r="AJ21" s="60"/>
      <c r="AL21" s="58"/>
      <c r="AO21" s="59"/>
      <c r="AP21" s="59"/>
      <c r="AQ21" s="59"/>
      <c r="AR21" s="59"/>
      <c r="AS21" s="59"/>
      <c r="AT21" s="59"/>
      <c r="AU21" s="59"/>
      <c r="AV21" s="59"/>
      <c r="AX21" s="59"/>
    </row>
    <row r="22" s="49" customFormat="true" ht="15" hidden="false" customHeight="true" outlineLevel="0" collapsed="false">
      <c r="A22" s="13" t="n">
        <v>12</v>
      </c>
      <c r="B22" s="13" t="str">
        <f aca="false">'1.KTHH L1'!B32</f>
        <v>20</v>
      </c>
      <c r="C22" s="51" t="n">
        <f aca="false">'1.KTHH L1'!C32</f>
        <v>394.75</v>
      </c>
      <c r="D22" s="13" t="n">
        <f aca="false">'1.KTHH L1'!T32</f>
        <v>20</v>
      </c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Chạy!E109</f>
        <v>0.51</v>
      </c>
      <c r="P22" s="53"/>
      <c r="Q22" s="53"/>
      <c r="R22" s="55"/>
      <c r="S22" s="55"/>
      <c r="T22" s="55"/>
      <c r="U22" s="55"/>
      <c r="V22" s="55"/>
      <c r="W22" s="55" t="n">
        <f aca="false">(O22+O23)*D22/2</f>
        <v>9</v>
      </c>
      <c r="X22" s="55"/>
      <c r="Y22" s="55"/>
      <c r="Z22" s="55"/>
      <c r="AA22" s="55"/>
      <c r="AB22" s="56"/>
      <c r="AC22" s="57"/>
      <c r="AE22" s="58"/>
      <c r="AF22" s="58"/>
      <c r="AG22" s="58"/>
      <c r="AH22" s="58"/>
      <c r="AI22" s="59"/>
      <c r="AJ22" s="60"/>
      <c r="AL22" s="58"/>
      <c r="AO22" s="59"/>
      <c r="AP22" s="59"/>
      <c r="AQ22" s="59"/>
      <c r="AR22" s="59"/>
      <c r="AS22" s="59"/>
      <c r="AT22" s="59"/>
      <c r="AU22" s="59"/>
      <c r="AV22" s="59"/>
      <c r="AX22" s="59"/>
    </row>
    <row r="23" s="49" customFormat="true" ht="15" hidden="false" customHeight="true" outlineLevel="0" collapsed="false">
      <c r="A23" s="13" t="n">
        <v>13</v>
      </c>
      <c r="B23" s="13" t="str">
        <f aca="false">'1.KTHH L1'!B33</f>
        <v>21</v>
      </c>
      <c r="C23" s="51" t="n">
        <f aca="false">'1.KTHH L1'!C33</f>
        <v>414.75</v>
      </c>
      <c r="D23" s="13" t="n">
        <f aca="false">'1.KTHH L1'!T33</f>
        <v>20</v>
      </c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 t="n">
        <f aca="false">Chạy!E118</f>
        <v>0.39</v>
      </c>
      <c r="P23" s="53"/>
      <c r="Q23" s="53"/>
      <c r="R23" s="55"/>
      <c r="S23" s="55"/>
      <c r="T23" s="55"/>
      <c r="U23" s="55"/>
      <c r="V23" s="55"/>
      <c r="W23" s="55" t="n">
        <f aca="false">(O23+O24)*D23/2</f>
        <v>6.7</v>
      </c>
      <c r="X23" s="55"/>
      <c r="Y23" s="55"/>
      <c r="Z23" s="55"/>
      <c r="AA23" s="55"/>
      <c r="AB23" s="56"/>
      <c r="AC23" s="57"/>
      <c r="AE23" s="58"/>
      <c r="AF23" s="58"/>
      <c r="AG23" s="58"/>
      <c r="AH23" s="58"/>
      <c r="AI23" s="59"/>
      <c r="AJ23" s="60"/>
      <c r="AL23" s="58"/>
      <c r="AO23" s="59"/>
      <c r="AP23" s="59"/>
      <c r="AQ23" s="59"/>
      <c r="AR23" s="59"/>
      <c r="AS23" s="59"/>
      <c r="AT23" s="59"/>
      <c r="AU23" s="59"/>
      <c r="AV23" s="59"/>
      <c r="AX23" s="59"/>
    </row>
    <row r="24" s="49" customFormat="true" ht="15" hidden="false" customHeight="true" outlineLevel="0" collapsed="false">
      <c r="A24" s="13" t="n">
        <v>14</v>
      </c>
      <c r="B24" s="13" t="str">
        <f aca="false">'1.KTHH L1'!B34</f>
        <v>22</v>
      </c>
      <c r="C24" s="51" t="n">
        <f aca="false">'1.KTHH L1'!C34</f>
        <v>434.75</v>
      </c>
      <c r="D24" s="13" t="n">
        <f aca="false">'1.KTHH L1'!T34</f>
        <v>20</v>
      </c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 t="n">
        <f aca="false">Chạy!E127</f>
        <v>0.28</v>
      </c>
      <c r="P24" s="53"/>
      <c r="Q24" s="53"/>
      <c r="R24" s="55"/>
      <c r="S24" s="55"/>
      <c r="T24" s="55"/>
      <c r="U24" s="55"/>
      <c r="V24" s="55"/>
      <c r="W24" s="55" t="n">
        <f aca="false">(O24+O25)*D24/2</f>
        <v>4.7</v>
      </c>
      <c r="X24" s="55"/>
      <c r="Y24" s="55"/>
      <c r="Z24" s="55"/>
      <c r="AA24" s="55"/>
      <c r="AB24" s="56"/>
      <c r="AC24" s="57"/>
      <c r="AE24" s="58"/>
      <c r="AF24" s="58"/>
      <c r="AG24" s="58"/>
      <c r="AH24" s="58"/>
      <c r="AI24" s="59"/>
      <c r="AJ24" s="60"/>
      <c r="AL24" s="58"/>
      <c r="AO24" s="59"/>
      <c r="AP24" s="59"/>
      <c r="AQ24" s="59"/>
      <c r="AR24" s="59"/>
      <c r="AS24" s="59"/>
      <c r="AT24" s="59"/>
      <c r="AU24" s="59"/>
      <c r="AV24" s="59"/>
      <c r="AX24" s="59"/>
    </row>
    <row r="25" s="49" customFormat="true" ht="15" hidden="false" customHeight="true" outlineLevel="0" collapsed="false">
      <c r="A25" s="13" t="n">
        <v>15</v>
      </c>
      <c r="B25" s="13" t="str">
        <f aca="false">'1.KTHH L1'!B35</f>
        <v>23</v>
      </c>
      <c r="C25" s="51" t="n">
        <f aca="false">'1.KTHH L1'!C35</f>
        <v>454.75</v>
      </c>
      <c r="D25" s="13" t="n">
        <f aca="false">'1.KTHH L1'!T35</f>
        <v>20</v>
      </c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 t="n">
        <f aca="false">Chạy!E136</f>
        <v>0.19</v>
      </c>
      <c r="P25" s="53"/>
      <c r="Q25" s="53"/>
      <c r="R25" s="55"/>
      <c r="S25" s="55"/>
      <c r="T25" s="55"/>
      <c r="U25" s="55"/>
      <c r="V25" s="55"/>
      <c r="W25" s="55" t="n">
        <f aca="false">(O25+O26)*D25/2</f>
        <v>3.1</v>
      </c>
      <c r="X25" s="55"/>
      <c r="Y25" s="55"/>
      <c r="Z25" s="55"/>
      <c r="AA25" s="55"/>
      <c r="AB25" s="56"/>
      <c r="AC25" s="57"/>
      <c r="AE25" s="58"/>
      <c r="AF25" s="58"/>
      <c r="AG25" s="58"/>
      <c r="AH25" s="58"/>
      <c r="AI25" s="59"/>
      <c r="AJ25" s="60"/>
      <c r="AL25" s="58"/>
      <c r="AO25" s="59"/>
      <c r="AP25" s="59"/>
      <c r="AQ25" s="59"/>
      <c r="AR25" s="59"/>
      <c r="AS25" s="59"/>
      <c r="AT25" s="59"/>
      <c r="AU25" s="59"/>
      <c r="AV25" s="59"/>
      <c r="AX25" s="59"/>
    </row>
    <row r="26" s="49" customFormat="true" ht="15" hidden="false" customHeight="true" outlineLevel="0" collapsed="false">
      <c r="A26" s="13" t="n">
        <v>16</v>
      </c>
      <c r="B26" s="13" t="str">
        <f aca="false">'1.KTHH L1'!B36</f>
        <v>24</v>
      </c>
      <c r="C26" s="51" t="n">
        <f aca="false">'1.KTHH L1'!C36</f>
        <v>474.75</v>
      </c>
      <c r="D26" s="13" t="n">
        <f aca="false">'1.KTHH L1'!T36</f>
        <v>14.44</v>
      </c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 t="n">
        <f aca="false">Chạy!E145</f>
        <v>0.12</v>
      </c>
      <c r="P26" s="53"/>
      <c r="Q26" s="53"/>
      <c r="R26" s="55"/>
      <c r="S26" s="55"/>
      <c r="T26" s="55"/>
      <c r="U26" s="55"/>
      <c r="V26" s="55"/>
      <c r="W26" s="55" t="n">
        <f aca="false">(O26+O27)*D26/2</f>
        <v>0.8664</v>
      </c>
      <c r="X26" s="55"/>
      <c r="Y26" s="55"/>
      <c r="Z26" s="55"/>
      <c r="AA26" s="55"/>
      <c r="AB26" s="56"/>
      <c r="AC26" s="57"/>
      <c r="AE26" s="58"/>
      <c r="AF26" s="58"/>
      <c r="AG26" s="58"/>
      <c r="AH26" s="58"/>
      <c r="AI26" s="59"/>
      <c r="AJ26" s="60"/>
      <c r="AL26" s="58"/>
      <c r="AO26" s="59"/>
      <c r="AP26" s="59"/>
      <c r="AQ26" s="59"/>
      <c r="AR26" s="59"/>
      <c r="AS26" s="59"/>
      <c r="AT26" s="59"/>
      <c r="AU26" s="59"/>
      <c r="AV26" s="59"/>
      <c r="AX26" s="59"/>
    </row>
    <row r="27" s="49" customFormat="true" ht="15" hidden="false" customHeight="true" outlineLevel="0" collapsed="false">
      <c r="A27" s="13" t="n">
        <v>17</v>
      </c>
      <c r="B27" s="13" t="str">
        <f aca="false">'1.KTHH L1'!B37</f>
        <v>25</v>
      </c>
      <c r="C27" s="51" t="n">
        <f aca="false">'1.KTHH L1'!C37</f>
        <v>489.19</v>
      </c>
      <c r="D27" s="13" t="n">
        <f aca="false">'1.KTHH L1'!T37</f>
        <v>13.17</v>
      </c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/>
      <c r="P27" s="53"/>
      <c r="Q27" s="53"/>
      <c r="R27" s="55"/>
      <c r="S27" s="55"/>
      <c r="T27" s="55"/>
      <c r="U27" s="55"/>
      <c r="V27" s="55"/>
      <c r="W27" s="55" t="n">
        <f aca="false">(O27+O28)*D27/2</f>
        <v>0</v>
      </c>
      <c r="X27" s="55"/>
      <c r="Y27" s="55"/>
      <c r="Z27" s="55"/>
      <c r="AA27" s="55"/>
      <c r="AB27" s="56"/>
      <c r="AC27" s="57"/>
      <c r="AE27" s="58"/>
      <c r="AF27" s="58"/>
      <c r="AG27" s="58"/>
      <c r="AH27" s="58"/>
      <c r="AI27" s="59"/>
      <c r="AJ27" s="60"/>
      <c r="AL27" s="58"/>
      <c r="AO27" s="59"/>
      <c r="AP27" s="59"/>
      <c r="AQ27" s="59"/>
      <c r="AR27" s="59"/>
      <c r="AS27" s="59"/>
      <c r="AT27" s="59"/>
      <c r="AU27" s="59"/>
      <c r="AV27" s="59"/>
      <c r="AX27" s="59"/>
    </row>
    <row r="28" s="49" customFormat="true" ht="15" hidden="false" customHeight="true" outlineLevel="0" collapsed="false">
      <c r="A28" s="13" t="n">
        <v>18</v>
      </c>
      <c r="B28" s="13" t="str">
        <f aca="false">'1.KTHH L1'!B38</f>
        <v>D1</v>
      </c>
      <c r="C28" s="51" t="n">
        <f aca="false">'1.KTHH L1'!C38</f>
        <v>502.36</v>
      </c>
      <c r="D28" s="13" t="n">
        <f aca="false">'1.KTHH L1'!T38</f>
        <v>10.48</v>
      </c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/>
      <c r="P28" s="53"/>
      <c r="Q28" s="53"/>
      <c r="R28" s="55"/>
      <c r="S28" s="55"/>
      <c r="T28" s="55"/>
      <c r="U28" s="55"/>
      <c r="V28" s="55"/>
      <c r="W28" s="55" t="n">
        <f aca="false">(O28+O29)*D28/2</f>
        <v>0</v>
      </c>
      <c r="X28" s="55"/>
      <c r="Y28" s="55"/>
      <c r="Z28" s="55"/>
      <c r="AA28" s="55"/>
      <c r="AB28" s="56"/>
      <c r="AC28" s="57"/>
      <c r="AE28" s="58"/>
      <c r="AF28" s="58"/>
      <c r="AG28" s="58"/>
      <c r="AH28" s="58"/>
      <c r="AI28" s="59"/>
      <c r="AJ28" s="60"/>
      <c r="AL28" s="58"/>
      <c r="AO28" s="59"/>
      <c r="AP28" s="59"/>
      <c r="AQ28" s="59"/>
      <c r="AR28" s="59"/>
      <c r="AS28" s="59"/>
      <c r="AT28" s="59"/>
      <c r="AU28" s="59"/>
      <c r="AV28" s="59"/>
      <c r="AX28" s="59"/>
    </row>
    <row r="29" s="49" customFormat="true" ht="15" hidden="false" customHeight="true" outlineLevel="0" collapsed="false">
      <c r="A29" s="13" t="n">
        <v>19</v>
      </c>
      <c r="B29" s="13" t="str">
        <f aca="false">'1.KTHH L1'!B39</f>
        <v>26</v>
      </c>
      <c r="C29" s="51" t="n">
        <f aca="false">'1.KTHH L1'!C39</f>
        <v>512.84</v>
      </c>
      <c r="D29" s="13" t="n">
        <f aca="false">'1.KTHH L1'!T39</f>
        <v>16.78</v>
      </c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/>
      <c r="P29" s="53"/>
      <c r="Q29" s="53"/>
      <c r="R29" s="55"/>
      <c r="S29" s="55"/>
      <c r="T29" s="55"/>
      <c r="U29" s="55"/>
      <c r="V29" s="55"/>
      <c r="W29" s="55" t="n">
        <f aca="false">(O29+O30)*D29/2</f>
        <v>0</v>
      </c>
      <c r="X29" s="55"/>
      <c r="Y29" s="55"/>
      <c r="Z29" s="55"/>
      <c r="AA29" s="55"/>
      <c r="AB29" s="56"/>
      <c r="AC29" s="57"/>
      <c r="AE29" s="58"/>
      <c r="AF29" s="58"/>
      <c r="AG29" s="58"/>
      <c r="AH29" s="58"/>
      <c r="AI29" s="59"/>
      <c r="AJ29" s="60"/>
      <c r="AL29" s="58"/>
      <c r="AO29" s="59"/>
      <c r="AP29" s="59"/>
      <c r="AQ29" s="59"/>
      <c r="AR29" s="59"/>
      <c r="AS29" s="59"/>
      <c r="AT29" s="59"/>
      <c r="AU29" s="59"/>
      <c r="AV29" s="59"/>
      <c r="AX29" s="59"/>
    </row>
    <row r="30" s="49" customFormat="true" ht="15" hidden="false" customHeight="true" outlineLevel="0" collapsed="false">
      <c r="A30" s="13" t="n">
        <v>20</v>
      </c>
      <c r="B30" s="13" t="str">
        <f aca="false">'1.KTHH L1'!B40</f>
        <v>27</v>
      </c>
      <c r="C30" s="51" t="n">
        <f aca="false">'1.KTHH L1'!C40</f>
        <v>529.62</v>
      </c>
      <c r="D30" s="13" t="n">
        <f aca="false">'1.KTHH L1'!T40</f>
        <v>17.1</v>
      </c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/>
      <c r="P30" s="53"/>
      <c r="Q30" s="53"/>
      <c r="R30" s="55"/>
      <c r="S30" s="55"/>
      <c r="T30" s="55"/>
      <c r="U30" s="55"/>
      <c r="V30" s="55"/>
      <c r="W30" s="55" t="n">
        <f aca="false">(O30+O31)*D30/2</f>
        <v>0</v>
      </c>
      <c r="X30" s="55"/>
      <c r="Y30" s="55"/>
      <c r="Z30" s="55"/>
      <c r="AA30" s="55"/>
      <c r="AB30" s="56"/>
      <c r="AC30" s="57"/>
      <c r="AE30" s="58"/>
      <c r="AF30" s="58"/>
      <c r="AG30" s="58"/>
      <c r="AH30" s="58"/>
      <c r="AI30" s="59"/>
      <c r="AJ30" s="60"/>
      <c r="AL30" s="58"/>
      <c r="AO30" s="59"/>
      <c r="AP30" s="59"/>
      <c r="AQ30" s="59"/>
      <c r="AR30" s="59"/>
      <c r="AS30" s="59"/>
      <c r="AT30" s="59"/>
      <c r="AU30" s="59"/>
      <c r="AV30" s="59"/>
      <c r="AX30" s="59"/>
    </row>
    <row r="31" s="49" customFormat="true" ht="15" hidden="false" customHeight="true" outlineLevel="0" collapsed="false">
      <c r="A31" s="13" t="n">
        <v>21</v>
      </c>
      <c r="B31" s="13" t="str">
        <f aca="false">'1.KTHH L1'!B41</f>
        <v>28</v>
      </c>
      <c r="C31" s="51" t="n">
        <f aca="false">'1.KTHH L1'!C41</f>
        <v>546.72</v>
      </c>
      <c r="D31" s="13" t="n">
        <f aca="false">'1.KTHH L1'!T41</f>
        <v>15.15</v>
      </c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/>
      <c r="P31" s="53"/>
      <c r="Q31" s="53"/>
      <c r="R31" s="55"/>
      <c r="S31" s="55"/>
      <c r="T31" s="55"/>
      <c r="U31" s="55"/>
      <c r="V31" s="55"/>
      <c r="W31" s="55" t="n">
        <f aca="false">(O31+O32)*D31/2</f>
        <v>0</v>
      </c>
      <c r="X31" s="55"/>
      <c r="Y31" s="55"/>
      <c r="Z31" s="55"/>
      <c r="AA31" s="55"/>
      <c r="AB31" s="56"/>
      <c r="AC31" s="57"/>
      <c r="AE31" s="58"/>
      <c r="AF31" s="58"/>
      <c r="AG31" s="58"/>
      <c r="AH31" s="58"/>
      <c r="AI31" s="59"/>
      <c r="AJ31" s="60"/>
      <c r="AL31" s="58"/>
      <c r="AO31" s="59"/>
      <c r="AP31" s="59"/>
      <c r="AQ31" s="59"/>
      <c r="AR31" s="59"/>
      <c r="AS31" s="59"/>
      <c r="AT31" s="59"/>
      <c r="AU31" s="59"/>
      <c r="AV31" s="59"/>
      <c r="AX31" s="59"/>
    </row>
    <row r="32" s="49" customFormat="true" ht="15" hidden="false" customHeight="true" outlineLevel="0" collapsed="false">
      <c r="A32" s="13" t="n">
        <v>22</v>
      </c>
      <c r="B32" s="13" t="str">
        <f aca="false">'1.KTHH L1'!B42</f>
        <v>E5</v>
      </c>
      <c r="C32" s="51" t="n">
        <f aca="false">'1.KTHH L1'!C42</f>
        <v>561.87</v>
      </c>
      <c r="D32" s="13" t="n">
        <f aca="false">'1.KTHH L1'!T42</f>
        <v>0.15</v>
      </c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/>
      <c r="P32" s="53"/>
      <c r="Q32" s="53"/>
      <c r="R32" s="55"/>
      <c r="S32" s="55"/>
      <c r="T32" s="55"/>
      <c r="U32" s="55"/>
      <c r="V32" s="55"/>
      <c r="W32" s="55" t="n">
        <f aca="false">(O32+O33)*D32/2</f>
        <v>0</v>
      </c>
      <c r="X32" s="55"/>
      <c r="Y32" s="55"/>
      <c r="Z32" s="55"/>
      <c r="AA32" s="55"/>
      <c r="AB32" s="56"/>
      <c r="AC32" s="57"/>
      <c r="AE32" s="58"/>
      <c r="AF32" s="58"/>
      <c r="AG32" s="58"/>
      <c r="AH32" s="58"/>
      <c r="AI32" s="59"/>
      <c r="AJ32" s="60"/>
      <c r="AL32" s="58"/>
      <c r="AO32" s="59"/>
      <c r="AP32" s="59"/>
      <c r="AQ32" s="59"/>
      <c r="AR32" s="59"/>
      <c r="AS32" s="59"/>
      <c r="AT32" s="59"/>
      <c r="AU32" s="59"/>
      <c r="AV32" s="59"/>
      <c r="AX32" s="59"/>
    </row>
    <row r="33" s="49" customFormat="true" ht="15" hidden="false" customHeight="true" outlineLevel="0" collapsed="false">
      <c r="A33" s="13" t="n">
        <v>23</v>
      </c>
      <c r="B33" s="13" t="str">
        <f aca="false">'1.KTHH L1'!B43</f>
        <v>TD</v>
      </c>
      <c r="C33" s="51" t="n">
        <f aca="false">'1.KTHH L1'!C43</f>
        <v>562.02</v>
      </c>
      <c r="D33" s="13" t="n">
        <f aca="false">'1.KTHH L1'!T43</f>
        <v>6.55</v>
      </c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/>
      <c r="P33" s="53"/>
      <c r="Q33" s="53"/>
      <c r="R33" s="55"/>
      <c r="S33" s="55"/>
      <c r="T33" s="55"/>
      <c r="U33" s="55"/>
      <c r="V33" s="55"/>
      <c r="W33" s="55" t="n">
        <f aca="false">(O33+O34)*D33/2</f>
        <v>0</v>
      </c>
      <c r="X33" s="55"/>
      <c r="Y33" s="55"/>
      <c r="Z33" s="55"/>
      <c r="AA33" s="55"/>
      <c r="AB33" s="56"/>
      <c r="AC33" s="57"/>
      <c r="AE33" s="58"/>
      <c r="AF33" s="58"/>
      <c r="AG33" s="58"/>
      <c r="AH33" s="58"/>
      <c r="AI33" s="59"/>
      <c r="AJ33" s="60"/>
      <c r="AL33" s="58"/>
      <c r="AO33" s="59"/>
      <c r="AP33" s="59"/>
      <c r="AQ33" s="59"/>
      <c r="AR33" s="59"/>
      <c r="AS33" s="59"/>
      <c r="AT33" s="59"/>
      <c r="AU33" s="59"/>
      <c r="AV33" s="59"/>
      <c r="AX33" s="59"/>
    </row>
    <row r="34" s="49" customFormat="true" ht="15" hidden="false" customHeight="true" outlineLevel="0" collapsed="false">
      <c r="A34" s="13" t="n">
        <v>24</v>
      </c>
      <c r="B34" s="13" t="str">
        <f aca="false">'1.KTHH L1'!B44</f>
        <v>P</v>
      </c>
      <c r="C34" s="51" t="n">
        <f aca="false">'1.KTHH L1'!C44</f>
        <v>568.57</v>
      </c>
      <c r="D34" s="13" t="n">
        <f aca="false">'1.KTHH L1'!T44</f>
        <v>6.55</v>
      </c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/>
      <c r="P34" s="53"/>
      <c r="Q34" s="53"/>
      <c r="R34" s="55"/>
      <c r="S34" s="55"/>
      <c r="T34" s="55"/>
      <c r="U34" s="55"/>
      <c r="V34" s="55"/>
      <c r="W34" s="55" t="n">
        <f aca="false">(O34+O35)*D34/2</f>
        <v>0</v>
      </c>
      <c r="X34" s="55"/>
      <c r="Y34" s="55"/>
      <c r="Z34" s="55"/>
      <c r="AA34" s="55"/>
      <c r="AB34" s="56"/>
      <c r="AC34" s="57"/>
      <c r="AE34" s="58"/>
      <c r="AF34" s="58"/>
      <c r="AG34" s="58"/>
      <c r="AH34" s="58"/>
      <c r="AI34" s="59"/>
      <c r="AJ34" s="60"/>
      <c r="AL34" s="58"/>
      <c r="AO34" s="59"/>
      <c r="AP34" s="59"/>
      <c r="AQ34" s="59"/>
      <c r="AR34" s="59"/>
      <c r="AS34" s="59"/>
      <c r="AT34" s="59"/>
      <c r="AU34" s="59"/>
      <c r="AV34" s="59"/>
      <c r="AX34" s="59"/>
    </row>
    <row r="35" s="49" customFormat="true" ht="15" hidden="false" customHeight="true" outlineLevel="0" collapsed="false">
      <c r="A35" s="13" t="n">
        <v>25</v>
      </c>
      <c r="B35" s="13" t="str">
        <f aca="false">'1.KTHH L1'!B45</f>
        <v>TC</v>
      </c>
      <c r="C35" s="51" t="n">
        <f aca="false">'1.KTHH L1'!C45</f>
        <v>575.12</v>
      </c>
      <c r="D35" s="13" t="n">
        <f aca="false">'1.KTHH L1'!T45</f>
        <v>0.04</v>
      </c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/>
      <c r="P35" s="53"/>
      <c r="Q35" s="53"/>
      <c r="R35" s="55"/>
      <c r="S35" s="55"/>
      <c r="T35" s="55"/>
      <c r="U35" s="55"/>
      <c r="V35" s="55"/>
      <c r="W35" s="55" t="n">
        <f aca="false">(O35+O36)*D35/2</f>
        <v>0.003</v>
      </c>
      <c r="X35" s="55"/>
      <c r="Y35" s="55"/>
      <c r="Z35" s="55"/>
      <c r="AA35" s="55"/>
      <c r="AB35" s="56"/>
      <c r="AC35" s="57"/>
      <c r="AE35" s="58"/>
      <c r="AF35" s="58"/>
      <c r="AG35" s="58"/>
      <c r="AH35" s="58"/>
      <c r="AI35" s="59"/>
      <c r="AJ35" s="60"/>
      <c r="AL35" s="58"/>
      <c r="AO35" s="59"/>
      <c r="AP35" s="59"/>
      <c r="AQ35" s="59"/>
      <c r="AR35" s="59"/>
      <c r="AS35" s="59"/>
      <c r="AT35" s="59"/>
      <c r="AU35" s="59"/>
      <c r="AV35" s="59"/>
      <c r="AX35" s="59"/>
    </row>
    <row r="36" s="49" customFormat="true" ht="15" hidden="false" customHeight="true" outlineLevel="0" collapsed="false">
      <c r="A36" s="13" t="n">
        <v>26</v>
      </c>
      <c r="B36" s="13" t="str">
        <f aca="false">'1.KTHH L1'!B46</f>
        <v>29</v>
      </c>
      <c r="C36" s="51" t="n">
        <f aca="false">'1.KTHH L1'!C46</f>
        <v>575.16</v>
      </c>
      <c r="D36" s="13" t="n">
        <f aca="false">'1.KTHH L1'!T46</f>
        <v>16.95</v>
      </c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 t="n">
        <f aca="false">Chạy!E235</f>
        <v>0.15</v>
      </c>
      <c r="P36" s="53"/>
      <c r="Q36" s="53"/>
      <c r="R36" s="55"/>
      <c r="S36" s="55"/>
      <c r="T36" s="55"/>
      <c r="U36" s="55"/>
      <c r="V36" s="55"/>
      <c r="W36" s="55" t="n">
        <f aca="false">(O36+O37)*D36/2</f>
        <v>1.27125</v>
      </c>
      <c r="X36" s="55"/>
      <c r="Y36" s="55"/>
      <c r="Z36" s="55"/>
      <c r="AA36" s="55"/>
      <c r="AB36" s="56"/>
      <c r="AC36" s="57"/>
      <c r="AE36" s="58"/>
      <c r="AF36" s="58"/>
      <c r="AG36" s="58"/>
      <c r="AH36" s="58"/>
      <c r="AI36" s="59"/>
      <c r="AJ36" s="60"/>
      <c r="AL36" s="58"/>
      <c r="AO36" s="59"/>
      <c r="AP36" s="59"/>
      <c r="AQ36" s="59"/>
      <c r="AR36" s="59"/>
      <c r="AS36" s="59"/>
      <c r="AT36" s="59"/>
      <c r="AU36" s="59"/>
      <c r="AV36" s="59"/>
      <c r="AX36" s="59"/>
    </row>
    <row r="37" s="49" customFormat="true" ht="15" hidden="false" customHeight="true" outlineLevel="0" collapsed="false">
      <c r="A37" s="13" t="n">
        <v>27</v>
      </c>
      <c r="B37" s="13" t="str">
        <f aca="false">'1.KTHH L1'!B47</f>
        <v>30</v>
      </c>
      <c r="C37" s="51" t="n">
        <f aca="false">'1.KTHH L1'!C47</f>
        <v>592.11</v>
      </c>
      <c r="D37" s="13" t="n">
        <f aca="false">'1.KTHH L1'!T47</f>
        <v>17</v>
      </c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/>
      <c r="P37" s="53"/>
      <c r="Q37" s="53"/>
      <c r="R37" s="55"/>
      <c r="S37" s="55"/>
      <c r="T37" s="55"/>
      <c r="U37" s="55"/>
      <c r="V37" s="55"/>
      <c r="W37" s="55" t="n">
        <f aca="false">(O37+O38)*D37/2</f>
        <v>0</v>
      </c>
      <c r="X37" s="55"/>
      <c r="Y37" s="55"/>
      <c r="Z37" s="55"/>
      <c r="AA37" s="55"/>
      <c r="AB37" s="56"/>
      <c r="AC37" s="57"/>
      <c r="AE37" s="58"/>
      <c r="AF37" s="58"/>
      <c r="AG37" s="58"/>
      <c r="AH37" s="58"/>
      <c r="AI37" s="59"/>
      <c r="AJ37" s="60"/>
      <c r="AL37" s="58"/>
      <c r="AO37" s="59"/>
      <c r="AP37" s="59"/>
      <c r="AQ37" s="59"/>
      <c r="AR37" s="59"/>
      <c r="AS37" s="59"/>
      <c r="AT37" s="59"/>
      <c r="AU37" s="59"/>
      <c r="AV37" s="59"/>
      <c r="AX37" s="59"/>
    </row>
    <row r="38" s="49" customFormat="true" ht="15" hidden="false" customHeight="true" outlineLevel="0" collapsed="false">
      <c r="A38" s="13" t="n">
        <v>28</v>
      </c>
      <c r="B38" s="13" t="str">
        <f aca="false">'1.KTHH L1'!B48</f>
        <v>31</v>
      </c>
      <c r="C38" s="51" t="n">
        <f aca="false">'1.KTHH L1'!C48</f>
        <v>609.11</v>
      </c>
      <c r="D38" s="13" t="n">
        <f aca="false">'1.KTHH L1'!T48</f>
        <v>11.75</v>
      </c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/>
      <c r="P38" s="53"/>
      <c r="Q38" s="53"/>
      <c r="R38" s="55"/>
      <c r="S38" s="55"/>
      <c r="T38" s="55"/>
      <c r="U38" s="55"/>
      <c r="V38" s="55"/>
      <c r="W38" s="55" t="n">
        <f aca="false">(O38+O39)*D38/2</f>
        <v>0</v>
      </c>
      <c r="X38" s="55"/>
      <c r="Y38" s="55"/>
      <c r="Z38" s="55"/>
      <c r="AA38" s="55"/>
      <c r="AB38" s="56"/>
      <c r="AC38" s="57"/>
      <c r="AE38" s="58"/>
      <c r="AF38" s="58"/>
      <c r="AG38" s="58"/>
      <c r="AH38" s="58"/>
      <c r="AI38" s="59"/>
      <c r="AJ38" s="60"/>
      <c r="AL38" s="58"/>
      <c r="AO38" s="59"/>
      <c r="AP38" s="59"/>
      <c r="AQ38" s="59"/>
      <c r="AR38" s="59"/>
      <c r="AS38" s="59"/>
      <c r="AT38" s="59"/>
      <c r="AU38" s="59"/>
      <c r="AV38" s="59"/>
      <c r="AX38" s="59"/>
    </row>
    <row r="39" s="49" customFormat="true" ht="15" hidden="false" customHeight="true" outlineLevel="0" collapsed="false">
      <c r="A39" s="13" t="n">
        <v>29</v>
      </c>
      <c r="B39" s="13" t="str">
        <f aca="false">'1.KTHH L1'!B49</f>
        <v>E10</v>
      </c>
      <c r="C39" s="51" t="n">
        <f aca="false">'1.KTHH L1'!C49</f>
        <v>620.86</v>
      </c>
      <c r="D39" s="13" t="n">
        <f aca="false">'1.KTHH L1'!T49</f>
        <v>11.75</v>
      </c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/>
      <c r="P39" s="53"/>
      <c r="Q39" s="53"/>
      <c r="R39" s="55"/>
      <c r="S39" s="55"/>
      <c r="T39" s="55"/>
      <c r="U39" s="55"/>
      <c r="V39" s="55"/>
      <c r="W39" s="55" t="n">
        <f aca="false">(O39+O40)*D39/2</f>
        <v>0</v>
      </c>
      <c r="X39" s="55"/>
      <c r="Y39" s="55"/>
      <c r="Z39" s="55"/>
      <c r="AA39" s="55"/>
      <c r="AB39" s="56"/>
      <c r="AC39" s="57"/>
      <c r="AE39" s="58"/>
      <c r="AF39" s="58"/>
      <c r="AG39" s="58"/>
      <c r="AH39" s="58"/>
      <c r="AI39" s="59"/>
      <c r="AJ39" s="60"/>
      <c r="AL39" s="58"/>
      <c r="AO39" s="59"/>
      <c r="AP39" s="59"/>
      <c r="AQ39" s="59"/>
      <c r="AR39" s="59"/>
      <c r="AS39" s="59"/>
      <c r="AT39" s="59"/>
      <c r="AU39" s="59"/>
      <c r="AV39" s="59"/>
      <c r="AX39" s="59"/>
    </row>
    <row r="40" s="49" customFormat="true" ht="15" hidden="false" customHeight="true" outlineLevel="0" collapsed="false">
      <c r="A40" s="13" t="n">
        <v>30</v>
      </c>
      <c r="B40" s="13" t="str">
        <f aca="false">'1.KTHH L1'!B50</f>
        <v>32</v>
      </c>
      <c r="C40" s="51" t="n">
        <f aca="false">'1.KTHH L1'!C50</f>
        <v>632.61</v>
      </c>
      <c r="D40" s="13" t="n">
        <f aca="false">'1.KTHH L1'!T50</f>
        <v>20</v>
      </c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/>
      <c r="P40" s="53"/>
      <c r="Q40" s="53"/>
      <c r="R40" s="55"/>
      <c r="S40" s="55"/>
      <c r="T40" s="55"/>
      <c r="U40" s="55"/>
      <c r="V40" s="55"/>
      <c r="W40" s="55" t="n">
        <f aca="false">(O40+O41)*D40/2</f>
        <v>0</v>
      </c>
      <c r="X40" s="55"/>
      <c r="Y40" s="55"/>
      <c r="Z40" s="55"/>
      <c r="AA40" s="55"/>
      <c r="AB40" s="56"/>
      <c r="AC40" s="57"/>
      <c r="AE40" s="58"/>
      <c r="AF40" s="58"/>
      <c r="AG40" s="58"/>
      <c r="AH40" s="58"/>
      <c r="AI40" s="59"/>
      <c r="AJ40" s="60"/>
      <c r="AL40" s="58"/>
      <c r="AO40" s="59"/>
      <c r="AP40" s="59"/>
      <c r="AQ40" s="59"/>
      <c r="AR40" s="59"/>
      <c r="AS40" s="59"/>
      <c r="AT40" s="59"/>
      <c r="AU40" s="59"/>
      <c r="AV40" s="59"/>
      <c r="AX40" s="59"/>
    </row>
    <row r="41" s="49" customFormat="true" ht="15" hidden="false" customHeight="true" outlineLevel="0" collapsed="false">
      <c r="A41" s="13" t="n">
        <v>31</v>
      </c>
      <c r="B41" s="13" t="str">
        <f aca="false">'1.KTHH L1'!B51</f>
        <v>33</v>
      </c>
      <c r="C41" s="51" t="n">
        <f aca="false">'1.KTHH L1'!C51</f>
        <v>652.61</v>
      </c>
      <c r="D41" s="13" t="n">
        <f aca="false">'1.KTHH L1'!T51</f>
        <v>20</v>
      </c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/>
      <c r="P41" s="53"/>
      <c r="Q41" s="53"/>
      <c r="R41" s="55"/>
      <c r="S41" s="55"/>
      <c r="T41" s="55"/>
      <c r="U41" s="55"/>
      <c r="V41" s="55"/>
      <c r="W41" s="55" t="n">
        <f aca="false">(O41+O42)*D41/2</f>
        <v>0</v>
      </c>
      <c r="X41" s="55"/>
      <c r="Y41" s="55"/>
      <c r="Z41" s="55"/>
      <c r="AA41" s="55"/>
      <c r="AB41" s="56"/>
      <c r="AC41" s="57"/>
      <c r="AE41" s="58"/>
      <c r="AF41" s="58"/>
      <c r="AG41" s="58"/>
      <c r="AH41" s="58"/>
      <c r="AI41" s="59"/>
      <c r="AJ41" s="60"/>
      <c r="AL41" s="58"/>
      <c r="AO41" s="59"/>
      <c r="AP41" s="59"/>
      <c r="AQ41" s="59"/>
      <c r="AR41" s="59"/>
      <c r="AS41" s="59"/>
      <c r="AT41" s="59"/>
      <c r="AU41" s="59"/>
      <c r="AV41" s="59"/>
      <c r="AX41" s="59"/>
    </row>
    <row r="42" s="49" customFormat="true" ht="15" hidden="false" customHeight="true" outlineLevel="0" collapsed="false">
      <c r="A42" s="13" t="n">
        <v>32</v>
      </c>
      <c r="B42" s="13" t="str">
        <f aca="false">'1.KTHH L1'!B52</f>
        <v>34</v>
      </c>
      <c r="C42" s="51" t="n">
        <f aca="false">'1.KTHH L1'!C52</f>
        <v>672.61</v>
      </c>
      <c r="D42" s="13" t="n">
        <f aca="false">'1.KTHH L1'!T52</f>
        <v>20</v>
      </c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/>
      <c r="P42" s="53"/>
      <c r="Q42" s="53"/>
      <c r="R42" s="55"/>
      <c r="S42" s="55"/>
      <c r="T42" s="55"/>
      <c r="U42" s="55"/>
      <c r="V42" s="55"/>
      <c r="W42" s="55" t="n">
        <f aca="false">(O42+O43)*D42/2</f>
        <v>0</v>
      </c>
      <c r="X42" s="55"/>
      <c r="Y42" s="55"/>
      <c r="Z42" s="55"/>
      <c r="AA42" s="55"/>
      <c r="AB42" s="56"/>
      <c r="AC42" s="57"/>
      <c r="AE42" s="58"/>
      <c r="AF42" s="58"/>
      <c r="AG42" s="58"/>
      <c r="AH42" s="58"/>
      <c r="AI42" s="59"/>
      <c r="AJ42" s="60"/>
      <c r="AL42" s="58"/>
      <c r="AO42" s="59"/>
      <c r="AP42" s="59"/>
      <c r="AQ42" s="59"/>
      <c r="AR42" s="59"/>
      <c r="AS42" s="59"/>
      <c r="AT42" s="59"/>
      <c r="AU42" s="59"/>
      <c r="AV42" s="59"/>
      <c r="AX42" s="59"/>
    </row>
    <row r="43" s="49" customFormat="true" ht="15" hidden="false" customHeight="true" outlineLevel="0" collapsed="false">
      <c r="A43" s="13" t="n">
        <v>33</v>
      </c>
      <c r="B43" s="13" t="str">
        <f aca="false">'1.KTHH L1'!B53</f>
        <v>35</v>
      </c>
      <c r="C43" s="51" t="n">
        <f aca="false">'1.KTHH L1'!C53</f>
        <v>692.61</v>
      </c>
      <c r="D43" s="13" t="n">
        <f aca="false">'1.KTHH L1'!T53</f>
        <v>20</v>
      </c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/>
      <c r="P43" s="53"/>
      <c r="Q43" s="53"/>
      <c r="R43" s="55"/>
      <c r="S43" s="55"/>
      <c r="T43" s="55"/>
      <c r="U43" s="55"/>
      <c r="V43" s="55"/>
      <c r="W43" s="55" t="n">
        <f aca="false">(O43+O44)*D43/2</f>
        <v>0</v>
      </c>
      <c r="X43" s="55"/>
      <c r="Y43" s="55"/>
      <c r="Z43" s="55"/>
      <c r="AA43" s="55"/>
      <c r="AB43" s="56"/>
      <c r="AC43" s="57"/>
      <c r="AE43" s="58"/>
      <c r="AF43" s="58"/>
      <c r="AG43" s="58"/>
      <c r="AH43" s="58"/>
      <c r="AI43" s="59"/>
      <c r="AJ43" s="60"/>
      <c r="AL43" s="58"/>
      <c r="AO43" s="59"/>
      <c r="AP43" s="59"/>
      <c r="AQ43" s="59"/>
      <c r="AR43" s="59"/>
      <c r="AS43" s="59"/>
      <c r="AT43" s="59"/>
      <c r="AU43" s="59"/>
      <c r="AV43" s="59"/>
      <c r="AX43" s="59"/>
    </row>
    <row r="44" s="49" customFormat="true" ht="15" hidden="false" customHeight="true" outlineLevel="0" collapsed="false">
      <c r="A44" s="13" t="n">
        <v>34</v>
      </c>
      <c r="B44" s="13" t="str">
        <f aca="false">'1.KTHH L1'!B54</f>
        <v>36</v>
      </c>
      <c r="C44" s="51" t="n">
        <f aca="false">'1.KTHH L1'!C54</f>
        <v>712.61</v>
      </c>
      <c r="D44" s="13" t="n">
        <f aca="false">'1.KTHH L1'!T54</f>
        <v>11.5</v>
      </c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/>
      <c r="P44" s="53"/>
      <c r="Q44" s="53"/>
      <c r="R44" s="55"/>
      <c r="S44" s="55"/>
      <c r="T44" s="55"/>
      <c r="U44" s="55"/>
      <c r="V44" s="55"/>
      <c r="W44" s="55" t="n">
        <f aca="false">(O44+O45)*D44/2</f>
        <v>0</v>
      </c>
      <c r="X44" s="55"/>
      <c r="Y44" s="55"/>
      <c r="Z44" s="55"/>
      <c r="AA44" s="55"/>
      <c r="AB44" s="56"/>
      <c r="AC44" s="57"/>
      <c r="AE44" s="58"/>
      <c r="AF44" s="58"/>
      <c r="AG44" s="58"/>
      <c r="AH44" s="58"/>
      <c r="AI44" s="59"/>
      <c r="AJ44" s="60"/>
      <c r="AL44" s="58"/>
      <c r="AO44" s="59"/>
      <c r="AP44" s="59"/>
      <c r="AQ44" s="59"/>
      <c r="AR44" s="59"/>
      <c r="AS44" s="59"/>
      <c r="AT44" s="59"/>
      <c r="AU44" s="59"/>
      <c r="AV44" s="59"/>
      <c r="AX44" s="59"/>
    </row>
    <row r="45" s="49" customFormat="true" ht="15" hidden="false" customHeight="true" outlineLevel="0" collapsed="false">
      <c r="A45" s="13" t="n">
        <v>35</v>
      </c>
      <c r="B45" s="13" t="str">
        <f aca="false">'1.KTHH L1'!B55</f>
        <v>37</v>
      </c>
      <c r="C45" s="51" t="n">
        <f aca="false">'1.KTHH L1'!C55</f>
        <v>724.11</v>
      </c>
      <c r="D45" s="13" t="n">
        <f aca="false">'1.KTHH L1'!T55</f>
        <v>13.25</v>
      </c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/>
      <c r="P45" s="53"/>
      <c r="Q45" s="53"/>
      <c r="R45" s="55"/>
      <c r="S45" s="55"/>
      <c r="T45" s="55"/>
      <c r="U45" s="55"/>
      <c r="V45" s="55"/>
      <c r="W45" s="55" t="n">
        <f aca="false">(O45+O46)*D45/2</f>
        <v>0</v>
      </c>
      <c r="X45" s="55"/>
      <c r="Y45" s="55"/>
      <c r="Z45" s="55"/>
      <c r="AA45" s="55"/>
      <c r="AB45" s="56"/>
      <c r="AC45" s="57"/>
      <c r="AE45" s="58"/>
      <c r="AF45" s="58"/>
      <c r="AG45" s="58"/>
      <c r="AH45" s="58"/>
      <c r="AI45" s="59"/>
      <c r="AJ45" s="60"/>
      <c r="AL45" s="58"/>
      <c r="AO45" s="59"/>
      <c r="AP45" s="59"/>
      <c r="AQ45" s="59"/>
      <c r="AR45" s="59"/>
      <c r="AS45" s="59"/>
      <c r="AT45" s="59"/>
      <c r="AU45" s="59"/>
      <c r="AV45" s="59"/>
      <c r="AX45" s="59"/>
    </row>
    <row r="46" s="49" customFormat="true" ht="15" hidden="false" customHeight="true" outlineLevel="0" collapsed="false">
      <c r="A46" s="13" t="n">
        <v>36</v>
      </c>
      <c r="B46" s="13" t="str">
        <f aca="false">'1.KTHH L1'!B56</f>
        <v>G6</v>
      </c>
      <c r="C46" s="51" t="n">
        <f aca="false">'1.KTHH L1'!C56</f>
        <v>737.36</v>
      </c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/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58"/>
      <c r="AF46" s="58"/>
      <c r="AG46" s="58"/>
      <c r="AH46" s="58"/>
      <c r="AI46" s="59"/>
      <c r="AJ46" s="60"/>
      <c r="AL46" s="58"/>
      <c r="AO46" s="59"/>
      <c r="AP46" s="59"/>
      <c r="AQ46" s="59"/>
      <c r="AR46" s="59"/>
      <c r="AS46" s="59"/>
      <c r="AT46" s="59"/>
      <c r="AU46" s="59"/>
      <c r="AV46" s="59"/>
      <c r="AX46" s="59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58"/>
      <c r="AF47" s="58"/>
      <c r="AG47" s="58"/>
      <c r="AH47" s="58"/>
      <c r="AI47" s="59"/>
      <c r="AJ47" s="60"/>
      <c r="AL47" s="58"/>
      <c r="AO47" s="59"/>
      <c r="AP47" s="59"/>
      <c r="AQ47" s="59"/>
      <c r="AR47" s="59"/>
      <c r="AS47" s="59"/>
      <c r="AT47" s="59"/>
      <c r="AU47" s="59"/>
      <c r="AV47" s="59"/>
      <c r="AX47" s="59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58"/>
      <c r="AF48" s="58"/>
      <c r="AG48" s="58"/>
      <c r="AH48" s="58"/>
      <c r="AI48" s="59"/>
      <c r="AJ48" s="60"/>
      <c r="AL48" s="58"/>
      <c r="AO48" s="59"/>
      <c r="AP48" s="59"/>
      <c r="AQ48" s="59"/>
      <c r="AR48" s="59"/>
      <c r="AS48" s="59"/>
      <c r="AT48" s="59"/>
      <c r="AU48" s="59"/>
      <c r="AV48" s="59"/>
      <c r="AX48" s="59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58"/>
      <c r="AF49" s="58"/>
      <c r="AG49" s="58"/>
      <c r="AH49" s="58"/>
      <c r="AI49" s="59"/>
      <c r="AJ49" s="60"/>
      <c r="AL49" s="58"/>
      <c r="AO49" s="59"/>
      <c r="AP49" s="59"/>
      <c r="AQ49" s="59"/>
      <c r="AR49" s="59"/>
      <c r="AS49" s="59"/>
      <c r="AT49" s="59"/>
      <c r="AU49" s="59"/>
      <c r="AV49" s="59"/>
      <c r="AX49" s="59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58"/>
      <c r="AF50" s="58"/>
      <c r="AG50" s="58"/>
      <c r="AH50" s="58"/>
      <c r="AI50" s="59"/>
      <c r="AJ50" s="60"/>
      <c r="AL50" s="58"/>
      <c r="AO50" s="59"/>
      <c r="AP50" s="59"/>
      <c r="AQ50" s="59"/>
      <c r="AR50" s="59"/>
      <c r="AS50" s="59"/>
      <c r="AT50" s="59"/>
      <c r="AU50" s="59"/>
      <c r="AV50" s="59"/>
      <c r="AX50" s="59"/>
    </row>
    <row r="51" s="32" customFormat="true" ht="16.5" hidden="false" customHeight="true" outlineLevel="0" collapsed="false">
      <c r="A51" s="61" t="s">
        <v>85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SUM(W11:W46)</f>
        <v>249.14815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N51" s="67"/>
    </row>
    <row r="52" s="72" customFormat="true" ht="15.7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  <c r="AE52" s="73"/>
      <c r="AF52" s="74"/>
      <c r="AG52" s="74"/>
      <c r="AH52" s="74"/>
      <c r="AK52" s="75"/>
      <c r="AL52" s="76"/>
    </row>
    <row r="53" s="72" customFormat="true" ht="15.75" hidden="false" customHeight="true" outlineLevel="0" collapsed="false">
      <c r="A53" s="19" t="s">
        <v>74</v>
      </c>
      <c r="B53" s="19"/>
      <c r="C53" s="19"/>
      <c r="D53" s="77" t="s">
        <v>86</v>
      </c>
      <c r="E53" s="19" t="s">
        <v>75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E53" s="73"/>
      <c r="AL53" s="76"/>
    </row>
    <row r="54" s="72" customFormat="true" ht="16.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  <c r="AD54" s="80"/>
      <c r="AE54" s="80"/>
      <c r="AF54" s="80"/>
      <c r="AG54" s="80"/>
      <c r="AH54" s="80"/>
      <c r="AI54" s="80"/>
      <c r="AJ54" s="80"/>
      <c r="AK54" s="80"/>
      <c r="AL54" s="67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E55" s="73"/>
      <c r="AF55" s="75"/>
      <c r="AK55" s="75"/>
      <c r="AL55" s="74"/>
      <c r="AM55" s="82"/>
    </row>
    <row r="56" s="72" customFormat="true" ht="15.7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  <c r="AE56" s="73"/>
      <c r="AL56" s="83"/>
      <c r="AN56" s="83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  <c r="AE57" s="73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  <c r="AE58" s="73"/>
    </row>
    <row r="59" s="72" customFormat="true" ht="15" hidden="false" customHeight="true" outlineLevel="0" collapsed="false">
      <c r="A59" s="19" t="s">
        <v>76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77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4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4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4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4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4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4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4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4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4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4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4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4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4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4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4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4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4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4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4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4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4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4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4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4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4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4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4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4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359722222222222" bottom="0.24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45" colorId="64" zoomScale="85" zoomScaleNormal="85" zoomScalePageLayoutView="100" workbookViewId="0">
      <selection pane="topLeft" activeCell="U17" activeCellId="0" sqref="U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7.15"/>
    <col collapsed="false" customWidth="true" hidden="false" outlineLevel="0" max="3" min="3" style="1" width="16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6.43"/>
  </cols>
  <sheetData>
    <row r="1" customFormat="false" ht="20.25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</row>
    <row r="2" customFormat="false" ht="18.75" hidden="false" customHeight="true" outlineLevel="0" collapsed="false">
      <c r="A2" s="5" t="s">
        <v>87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57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58</v>
      </c>
      <c r="C7" s="7"/>
      <c r="D7" s="7"/>
      <c r="F7" s="7"/>
      <c r="G7" s="7" t="s">
        <v>88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60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15" hidden="false" customHeight="true" outlineLevel="0" collapsed="false">
      <c r="A19" s="9" t="s">
        <v>61</v>
      </c>
      <c r="B19" s="9" t="s">
        <v>62</v>
      </c>
      <c r="C19" s="9" t="s">
        <v>63</v>
      </c>
      <c r="D19" s="10" t="s">
        <v>64</v>
      </c>
      <c r="E19" s="10"/>
      <c r="F19" s="10"/>
      <c r="G19" s="10"/>
      <c r="H19" s="10"/>
      <c r="I19" s="10"/>
      <c r="J19" s="10" t="s">
        <v>65</v>
      </c>
      <c r="K19" s="10"/>
      <c r="L19" s="10"/>
      <c r="M19" s="10" t="s">
        <v>66</v>
      </c>
      <c r="N19" s="10"/>
      <c r="O19" s="10"/>
      <c r="P19" s="10"/>
      <c r="Q19" s="10"/>
      <c r="R19" s="10"/>
      <c r="S19" s="9" t="s">
        <v>67</v>
      </c>
    </row>
    <row r="20" customFormat="false" ht="30" hidden="false" customHeight="true" outlineLevel="0" collapsed="false">
      <c r="A20" s="9"/>
      <c r="B20" s="9"/>
      <c r="C20" s="9"/>
      <c r="D20" s="11" t="s">
        <v>68</v>
      </c>
      <c r="E20" s="11" t="s">
        <v>69</v>
      </c>
      <c r="F20" s="11" t="s">
        <v>70</v>
      </c>
      <c r="G20" s="11" t="s">
        <v>71</v>
      </c>
      <c r="H20" s="11" t="s">
        <v>72</v>
      </c>
      <c r="I20" s="11" t="s">
        <v>73</v>
      </c>
      <c r="J20" s="11" t="s">
        <v>71</v>
      </c>
      <c r="K20" s="11" t="s">
        <v>72</v>
      </c>
      <c r="L20" s="11" t="s">
        <v>73</v>
      </c>
      <c r="M20" s="11" t="s">
        <v>68</v>
      </c>
      <c r="N20" s="11" t="s">
        <v>69</v>
      </c>
      <c r="O20" s="11" t="s">
        <v>70</v>
      </c>
      <c r="P20" s="11" t="s">
        <v>71</v>
      </c>
      <c r="Q20" s="11" t="s">
        <v>72</v>
      </c>
      <c r="R20" s="11" t="s">
        <v>73</v>
      </c>
      <c r="S20" s="9"/>
      <c r="T20" s="86"/>
      <c r="V20" s="87"/>
      <c r="W20" s="87"/>
      <c r="X20" s="87"/>
    </row>
    <row r="21" customFormat="false" ht="15" hidden="false" customHeight="false" outlineLevel="0" collapsed="false">
      <c r="A21" s="13" t="n">
        <v>1</v>
      </c>
      <c r="B21" s="13" t="s">
        <v>17</v>
      </c>
      <c r="C21" s="15" t="n">
        <v>211</v>
      </c>
      <c r="D21" s="16" t="n">
        <f aca="false">+Chạy!F9</f>
        <v>-10.5</v>
      </c>
      <c r="E21" s="16" t="n">
        <f aca="false">+D21+F21</f>
        <v>-10.4928</v>
      </c>
      <c r="F21" s="16" t="n">
        <f aca="false">RANDBETWEEN(-105,115)/10000</f>
        <v>0.0072</v>
      </c>
      <c r="G21" s="16" t="n">
        <f aca="false">+Chạy!G9</f>
        <v>-0.05</v>
      </c>
      <c r="H21" s="16" t="n">
        <f aca="false">G21+I21</f>
        <v>0.000999999999999994</v>
      </c>
      <c r="I21" s="16" t="n">
        <f aca="false">RANDBETWEEN(-30,90)/1000</f>
        <v>0.051</v>
      </c>
      <c r="J21" s="16" t="n">
        <f aca="false">+Chạy!K9</f>
        <v>0.07</v>
      </c>
      <c r="K21" s="16" t="n">
        <f aca="false">J21+L21</f>
        <v>0.103</v>
      </c>
      <c r="L21" s="16" t="n">
        <f aca="false">RANDBETWEEN(-30,90)/1000</f>
        <v>0.033</v>
      </c>
      <c r="M21" s="16" t="n">
        <f aca="false">+Chạy!N9</f>
        <v>6.65</v>
      </c>
      <c r="N21" s="16" t="n">
        <f aca="false">+M21+O21</f>
        <v>6.6472</v>
      </c>
      <c r="O21" s="16" t="n">
        <f aca="false">RANDBETWEEN(-105,115)/10000</f>
        <v>-0.0028</v>
      </c>
      <c r="P21" s="16" t="n">
        <f aca="false">+Chạy!O9</f>
        <v>-0.05</v>
      </c>
      <c r="Q21" s="16" t="n">
        <f aca="false">P21+R21</f>
        <v>-0.036</v>
      </c>
      <c r="R21" s="16" t="n">
        <f aca="false">RANDBETWEEN(-30,90)/1000</f>
        <v>0.014</v>
      </c>
      <c r="S21" s="17"/>
      <c r="T21" s="0" t="n">
        <v>13.25</v>
      </c>
    </row>
    <row r="22" customFormat="false" ht="15" hidden="false" customHeight="false" outlineLevel="0" collapsed="false">
      <c r="A22" s="13" t="n">
        <v>2</v>
      </c>
      <c r="B22" s="13" t="s">
        <v>18</v>
      </c>
      <c r="C22" s="15" t="n">
        <f aca="false">+C21+T21</f>
        <v>224.25</v>
      </c>
      <c r="D22" s="16" t="n">
        <f aca="false">+Chạy!F18</f>
        <v>-15.1</v>
      </c>
      <c r="E22" s="16" t="n">
        <f aca="false">+D22+F22</f>
        <v>-15.0968</v>
      </c>
      <c r="F22" s="16" t="n">
        <f aca="false">RANDBETWEEN(-105,115)/10000</f>
        <v>0.0032</v>
      </c>
      <c r="G22" s="16" t="n">
        <f aca="false">+Chạy!G18</f>
        <v>-0.06</v>
      </c>
      <c r="H22" s="16" t="n">
        <f aca="false">G22+I22</f>
        <v>-0.026</v>
      </c>
      <c r="I22" s="16" t="n">
        <f aca="false">RANDBETWEEN(-30,90)/1000</f>
        <v>0.034</v>
      </c>
      <c r="J22" s="16" t="n">
        <f aca="false">+Chạy!K18</f>
        <v>0.06</v>
      </c>
      <c r="K22" s="16" t="n">
        <f aca="false">J22+L22</f>
        <v>0.15</v>
      </c>
      <c r="L22" s="16" t="n">
        <f aca="false">RANDBETWEEN(-30,90)/1000</f>
        <v>0.09</v>
      </c>
      <c r="M22" s="16" t="n">
        <f aca="false">+Chạy!N18</f>
        <v>6.89</v>
      </c>
      <c r="N22" s="16" t="n">
        <f aca="false">+M22+O22</f>
        <v>6.8918</v>
      </c>
      <c r="O22" s="16" t="n">
        <f aca="false">RANDBETWEEN(-105,115)/10000</f>
        <v>0.0018</v>
      </c>
      <c r="P22" s="16" t="n">
        <f aca="false">+Chạy!O18</f>
        <v>-0.06</v>
      </c>
      <c r="Q22" s="16" t="n">
        <f aca="false">P22+R22</f>
        <v>-0.006</v>
      </c>
      <c r="R22" s="16" t="n">
        <f aca="false">RANDBETWEEN(-30,90)/1000</f>
        <v>0.054</v>
      </c>
      <c r="S22" s="17"/>
      <c r="T22" s="0" t="n">
        <v>21.5</v>
      </c>
    </row>
    <row r="23" customFormat="false" ht="15" hidden="false" customHeight="false" outlineLevel="0" collapsed="false">
      <c r="A23" s="13" t="n">
        <v>3</v>
      </c>
      <c r="B23" s="13" t="s">
        <v>19</v>
      </c>
      <c r="C23" s="15" t="n">
        <f aca="false">+C22+T22</f>
        <v>245.75</v>
      </c>
      <c r="D23" s="16" t="n">
        <f aca="false">+Chạy!F27</f>
        <v>-15.1</v>
      </c>
      <c r="E23" s="16" t="n">
        <f aca="false">+D23+F23</f>
        <v>-15.1078</v>
      </c>
      <c r="F23" s="16" t="n">
        <f aca="false">RANDBETWEEN(-105,115)/10000</f>
        <v>-0.0078</v>
      </c>
      <c r="G23" s="16" t="n">
        <f aca="false">+Chạy!G27</f>
        <v>-0.08</v>
      </c>
      <c r="H23" s="16" t="n">
        <f aca="false">G23+I23</f>
        <v>-0.027</v>
      </c>
      <c r="I23" s="16" t="n">
        <f aca="false">RANDBETWEEN(-30,90)/1000</f>
        <v>0.053</v>
      </c>
      <c r="J23" s="16" t="n">
        <f aca="false">+Chạy!K27</f>
        <v>0.04</v>
      </c>
      <c r="K23" s="16" t="n">
        <f aca="false">J23+L23</f>
        <v>0.104</v>
      </c>
      <c r="L23" s="16" t="n">
        <f aca="false">RANDBETWEEN(-30,90)/1000</f>
        <v>0.064</v>
      </c>
      <c r="M23" s="16" t="n">
        <f aca="false">+Chạy!N27</f>
        <v>6.62</v>
      </c>
      <c r="N23" s="16" t="n">
        <f aca="false">+M23+O23</f>
        <v>6.6259</v>
      </c>
      <c r="O23" s="16" t="n">
        <f aca="false">RANDBETWEEN(-105,115)/10000</f>
        <v>0.0059</v>
      </c>
      <c r="P23" s="16" t="n">
        <f aca="false">+Chạy!O27</f>
        <v>-0.08</v>
      </c>
      <c r="Q23" s="16" t="n">
        <f aca="false">P23+R23</f>
        <v>-0.096</v>
      </c>
      <c r="R23" s="16" t="n">
        <f aca="false">RANDBETWEEN(-30,90)/1000</f>
        <v>-0.016</v>
      </c>
      <c r="S23" s="17"/>
      <c r="T23" s="0" t="n">
        <v>11.75</v>
      </c>
    </row>
    <row r="24" customFormat="false" ht="15" hidden="false" customHeight="false" outlineLevel="0" collapsed="false">
      <c r="A24" s="13" t="n">
        <v>4</v>
      </c>
      <c r="B24" s="13" t="s">
        <v>20</v>
      </c>
      <c r="C24" s="15" t="n">
        <f aca="false">+C23+T23</f>
        <v>257.5</v>
      </c>
      <c r="D24" s="16" t="n">
        <f aca="false">+Chạy!F36</f>
        <v>-6.61</v>
      </c>
      <c r="E24" s="16" t="n">
        <f aca="false">+D24+F24</f>
        <v>-6.6005</v>
      </c>
      <c r="F24" s="16" t="n">
        <f aca="false">RANDBETWEEN(-105,115)/10000</f>
        <v>0.0095</v>
      </c>
      <c r="G24" s="16" t="n">
        <f aca="false">+Chạy!G36</f>
        <v>-0.09</v>
      </c>
      <c r="H24" s="16" t="n">
        <f aca="false">G24+I24</f>
        <v>-0.037</v>
      </c>
      <c r="I24" s="16" t="n">
        <f aca="false">RANDBETWEEN(-30,90)/1000</f>
        <v>0.053</v>
      </c>
      <c r="J24" s="16" t="n">
        <f aca="false">+Chạy!K36</f>
        <v>0.03</v>
      </c>
      <c r="K24" s="16" t="n">
        <f aca="false">J24+L24</f>
        <v>0.052</v>
      </c>
      <c r="L24" s="16" t="n">
        <f aca="false">RANDBETWEEN(-30,90)/1000</f>
        <v>0.022</v>
      </c>
      <c r="M24" s="16" t="n">
        <f aca="false">+Chạy!N36</f>
        <v>6.62</v>
      </c>
      <c r="N24" s="16" t="n">
        <f aca="false">+M24+O24</f>
        <v>6.6164</v>
      </c>
      <c r="O24" s="16" t="n">
        <f aca="false">RANDBETWEEN(-105,115)/10000</f>
        <v>-0.0036</v>
      </c>
      <c r="P24" s="16" t="n">
        <f aca="false">+Chạy!O36</f>
        <v>-0.09</v>
      </c>
      <c r="Q24" s="16" t="n">
        <f aca="false">P24+R24</f>
        <v>-0.076</v>
      </c>
      <c r="R24" s="16" t="n">
        <f aca="false">RANDBETWEEN(-30,90)/1000</f>
        <v>0.014</v>
      </c>
      <c r="S24" s="17"/>
      <c r="T24" s="0" t="n">
        <v>11.75</v>
      </c>
    </row>
    <row r="25" customFormat="false" ht="15" hidden="false" customHeight="false" outlineLevel="0" collapsed="false">
      <c r="A25" s="13" t="n">
        <v>5</v>
      </c>
      <c r="B25" s="13" t="s">
        <v>21</v>
      </c>
      <c r="C25" s="15" t="n">
        <f aca="false">+C24+T24</f>
        <v>269.25</v>
      </c>
      <c r="D25" s="16" t="n">
        <f aca="false">+Chạy!F45</f>
        <v>-6.61</v>
      </c>
      <c r="E25" s="16" t="n">
        <f aca="false">+D25+F25</f>
        <v>-6.6082</v>
      </c>
      <c r="F25" s="16" t="n">
        <f aca="false">RANDBETWEEN(-105,115)/10000</f>
        <v>0.0018</v>
      </c>
      <c r="G25" s="16" t="n">
        <f aca="false">+Chạy!G45</f>
        <v>-0.09</v>
      </c>
      <c r="H25" s="16" t="n">
        <f aca="false">G25+I25</f>
        <v>-0.002</v>
      </c>
      <c r="I25" s="16" t="n">
        <f aca="false">RANDBETWEEN(-30,90)/1000</f>
        <v>0.088</v>
      </c>
      <c r="J25" s="16" t="n">
        <f aca="false">+Chạy!K45</f>
        <v>0.02</v>
      </c>
      <c r="K25" s="16" t="n">
        <f aca="false">J25+L25</f>
        <v>0.108</v>
      </c>
      <c r="L25" s="16" t="n">
        <f aca="false">RANDBETWEEN(-30,90)/1000</f>
        <v>0.088</v>
      </c>
      <c r="M25" s="16" t="n">
        <f aca="false">+Chạy!N45</f>
        <v>6.61</v>
      </c>
      <c r="N25" s="16" t="n">
        <f aca="false">+M25+O25</f>
        <v>6.6213</v>
      </c>
      <c r="O25" s="16" t="n">
        <f aca="false">RANDBETWEEN(-105,115)/10000</f>
        <v>0.0113</v>
      </c>
      <c r="P25" s="16" t="n">
        <f aca="false">+Chạy!O45</f>
        <v>-0.09</v>
      </c>
      <c r="Q25" s="16" t="n">
        <f aca="false">P25+R25</f>
        <v>-0.069</v>
      </c>
      <c r="R25" s="16" t="n">
        <f aca="false">RANDBETWEEN(-30,90)/1000</f>
        <v>0.021</v>
      </c>
      <c r="S25" s="17"/>
      <c r="T25" s="0" t="n">
        <v>20</v>
      </c>
    </row>
    <row r="26" customFormat="false" ht="15" hidden="false" customHeight="false" outlineLevel="0" collapsed="false">
      <c r="A26" s="13" t="n">
        <v>6</v>
      </c>
      <c r="B26" s="13" t="s">
        <v>22</v>
      </c>
      <c r="C26" s="15" t="n">
        <f aca="false">+C25+T25</f>
        <v>289.25</v>
      </c>
      <c r="D26" s="16" t="n">
        <f aca="false">+Chạy!F54</f>
        <v>-6.6</v>
      </c>
      <c r="E26" s="16" t="n">
        <f aca="false">+D26+F26</f>
        <v>-6.6094</v>
      </c>
      <c r="F26" s="16" t="n">
        <f aca="false">RANDBETWEEN(-105,115)/10000</f>
        <v>-0.0094</v>
      </c>
      <c r="G26" s="16" t="n">
        <f aca="false">+Chạy!G54</f>
        <v>-0.1</v>
      </c>
      <c r="H26" s="16" t="n">
        <f aca="false">G26+I26</f>
        <v>-0.069</v>
      </c>
      <c r="I26" s="16" t="n">
        <f aca="false">RANDBETWEEN(-30,90)/1000</f>
        <v>0.031</v>
      </c>
      <c r="J26" s="16" t="n">
        <f aca="false">+Chạy!K54</f>
        <v>0.01</v>
      </c>
      <c r="K26" s="16" t="n">
        <f aca="false">J26+L26</f>
        <v>0.004</v>
      </c>
      <c r="L26" s="16" t="n">
        <f aca="false">RANDBETWEEN(-30,90)/1000</f>
        <v>-0.006</v>
      </c>
      <c r="M26" s="16" t="n">
        <f aca="false">+Chạy!N54</f>
        <v>6.6</v>
      </c>
      <c r="N26" s="16" t="n">
        <f aca="false">+M26+O26</f>
        <v>6.5901</v>
      </c>
      <c r="O26" s="16" t="n">
        <f aca="false">RANDBETWEEN(-105,115)/10000</f>
        <v>-0.0099</v>
      </c>
      <c r="P26" s="16" t="n">
        <f aca="false">+Chạy!O54</f>
        <v>-0.1</v>
      </c>
      <c r="Q26" s="16" t="n">
        <f aca="false">P26+R26</f>
        <v>-0.082</v>
      </c>
      <c r="R26" s="16" t="n">
        <f aca="false">RANDBETWEEN(-30,90)/1000</f>
        <v>0.018</v>
      </c>
      <c r="S26" s="17"/>
      <c r="T26" s="0" t="n">
        <v>20</v>
      </c>
    </row>
    <row r="27" customFormat="false" ht="15" hidden="false" customHeight="false" outlineLevel="0" collapsed="false">
      <c r="A27" s="13" t="n">
        <v>7</v>
      </c>
      <c r="B27" s="13" t="s">
        <v>23</v>
      </c>
      <c r="C27" s="15" t="n">
        <f aca="false">+C26+T26</f>
        <v>309.25</v>
      </c>
      <c r="D27" s="16" t="n">
        <f aca="false">+Chạy!F63</f>
        <v>-6.58</v>
      </c>
      <c r="E27" s="16" t="n">
        <f aca="false">+D27+F27</f>
        <v>-6.5724</v>
      </c>
      <c r="F27" s="16" t="n">
        <f aca="false">RANDBETWEEN(-105,115)/10000</f>
        <v>0.0076</v>
      </c>
      <c r="G27" s="16" t="n">
        <f aca="false">+Chạy!G63</f>
        <v>-0.12</v>
      </c>
      <c r="H27" s="16" t="n">
        <f aca="false">G27+I27</f>
        <v>-0.095</v>
      </c>
      <c r="I27" s="16" t="n">
        <f aca="false">RANDBETWEEN(-30,90)/1000</f>
        <v>0.025</v>
      </c>
      <c r="J27" s="16" t="n">
        <f aca="false">+Chạy!K63</f>
        <v>0</v>
      </c>
      <c r="K27" s="16" t="n">
        <f aca="false">J27+L27</f>
        <v>0.069</v>
      </c>
      <c r="L27" s="16" t="n">
        <f aca="false">RANDBETWEEN(-30,90)/1000</f>
        <v>0.069</v>
      </c>
      <c r="M27" s="16" t="n">
        <f aca="false">+Chạy!N63</f>
        <v>6.58</v>
      </c>
      <c r="N27" s="16" t="n">
        <f aca="false">+M27+O27</f>
        <v>6.5821</v>
      </c>
      <c r="O27" s="16" t="n">
        <f aca="false">RANDBETWEEN(-105,115)/10000</f>
        <v>0.0021</v>
      </c>
      <c r="P27" s="16" t="n">
        <f aca="false">+Chạy!O63</f>
        <v>-0.12</v>
      </c>
      <c r="Q27" s="16" t="n">
        <f aca="false">P27+R27</f>
        <v>-0.141</v>
      </c>
      <c r="R27" s="16" t="n">
        <f aca="false">RANDBETWEEN(-30,90)/1000</f>
        <v>-0.021</v>
      </c>
      <c r="S27" s="17"/>
      <c r="T27" s="0" t="n">
        <v>20</v>
      </c>
    </row>
    <row r="28" customFormat="false" ht="15" hidden="false" customHeight="false" outlineLevel="0" collapsed="false">
      <c r="A28" s="13" t="n">
        <v>8</v>
      </c>
      <c r="B28" s="13" t="s">
        <v>24</v>
      </c>
      <c r="C28" s="15" t="n">
        <f aca="false">+C27+T27</f>
        <v>329.25</v>
      </c>
      <c r="D28" s="16" t="n">
        <f aca="false">+Chạy!F72</f>
        <v>-6.57</v>
      </c>
      <c r="E28" s="16" t="n">
        <f aca="false">+D28+F28</f>
        <v>-6.5794</v>
      </c>
      <c r="F28" s="16" t="n">
        <f aca="false">RANDBETWEEN(-105,115)/10000</f>
        <v>-0.0094</v>
      </c>
      <c r="G28" s="16" t="n">
        <f aca="false">+Chạy!G72</f>
        <v>-0.13</v>
      </c>
      <c r="H28" s="16" t="n">
        <f aca="false">G28+I28</f>
        <v>-0.071</v>
      </c>
      <c r="I28" s="16" t="n">
        <f aca="false">RANDBETWEEN(-30,90)/1000</f>
        <v>0.059</v>
      </c>
      <c r="J28" s="16" t="n">
        <f aca="false">+Chạy!K72</f>
        <v>-0.01</v>
      </c>
      <c r="K28" s="16" t="n">
        <f aca="false">J28+L28</f>
        <v>-0.011</v>
      </c>
      <c r="L28" s="16" t="n">
        <f aca="false">RANDBETWEEN(-30,90)/1000</f>
        <v>-0.001</v>
      </c>
      <c r="M28" s="16" t="n">
        <f aca="false">+Chạy!N72</f>
        <v>6.57</v>
      </c>
      <c r="N28" s="16" t="n">
        <f aca="false">+M28+O28</f>
        <v>6.5712</v>
      </c>
      <c r="O28" s="16" t="n">
        <f aca="false">RANDBETWEEN(-105,115)/10000</f>
        <v>0.0012</v>
      </c>
      <c r="P28" s="16" t="n">
        <f aca="false">+Chạy!O72</f>
        <v>-0.13</v>
      </c>
      <c r="Q28" s="16" t="n">
        <f aca="false">P28+R28</f>
        <v>-0.069</v>
      </c>
      <c r="R28" s="16" t="n">
        <f aca="false">RANDBETWEEN(-30,90)/1000</f>
        <v>0.061</v>
      </c>
      <c r="S28" s="17"/>
      <c r="T28" s="0" t="n">
        <v>20</v>
      </c>
    </row>
    <row r="29" customFormat="false" ht="15" hidden="false" customHeight="false" outlineLevel="0" collapsed="false">
      <c r="A29" s="13" t="n">
        <v>9</v>
      </c>
      <c r="B29" s="13" t="s">
        <v>25</v>
      </c>
      <c r="C29" s="15" t="n">
        <f aca="false">+C28+T28</f>
        <v>349.25</v>
      </c>
      <c r="D29" s="16" t="n">
        <f aca="false">+Chạy!F81</f>
        <v>-6.56</v>
      </c>
      <c r="E29" s="16" t="n">
        <f aca="false">+D29+F29</f>
        <v>-6.5649</v>
      </c>
      <c r="F29" s="16" t="n">
        <f aca="false">RANDBETWEEN(-105,115)/10000</f>
        <v>-0.0049</v>
      </c>
      <c r="G29" s="16" t="n">
        <f aca="false">+Chạy!G81</f>
        <v>-0.14</v>
      </c>
      <c r="H29" s="16" t="n">
        <f aca="false">G29+I29</f>
        <v>-0.128</v>
      </c>
      <c r="I29" s="16" t="n">
        <f aca="false">RANDBETWEEN(-30,90)/1000</f>
        <v>0.012</v>
      </c>
      <c r="J29" s="16" t="n">
        <f aca="false">+Chạy!K81</f>
        <v>-0.02</v>
      </c>
      <c r="K29" s="16" t="n">
        <f aca="false">J29+L29</f>
        <v>0.003</v>
      </c>
      <c r="L29" s="16" t="n">
        <f aca="false">RANDBETWEEN(-30,90)/1000</f>
        <v>0.023</v>
      </c>
      <c r="M29" s="16" t="n">
        <f aca="false">+Chạy!N81</f>
        <v>6.56</v>
      </c>
      <c r="N29" s="16" t="n">
        <f aca="false">+M29+O29</f>
        <v>6.5637</v>
      </c>
      <c r="O29" s="16" t="n">
        <f aca="false">RANDBETWEEN(-105,115)/10000</f>
        <v>0.0037</v>
      </c>
      <c r="P29" s="16" t="n">
        <f aca="false">+Chạy!O81</f>
        <v>-0.14</v>
      </c>
      <c r="Q29" s="16" t="n">
        <f aca="false">P29+R29</f>
        <v>-0.155</v>
      </c>
      <c r="R29" s="16" t="n">
        <f aca="false">RANDBETWEEN(-30,90)/1000</f>
        <v>-0.015</v>
      </c>
      <c r="S29" s="17"/>
      <c r="T29" s="0" t="n">
        <v>19</v>
      </c>
    </row>
    <row r="30" customFormat="false" ht="15" hidden="false" customHeight="false" outlineLevel="0" collapsed="false">
      <c r="A30" s="13" t="n">
        <v>10</v>
      </c>
      <c r="B30" s="13" t="s">
        <v>26</v>
      </c>
      <c r="C30" s="15" t="n">
        <f aca="false">+C29+T29</f>
        <v>368.25</v>
      </c>
      <c r="D30" s="16" t="n">
        <f aca="false">+Chạy!F90</f>
        <v>-10.13</v>
      </c>
      <c r="E30" s="16" t="n">
        <f aca="false">+D30+F30</f>
        <v>-10.1218</v>
      </c>
      <c r="F30" s="16" t="n">
        <f aca="false">RANDBETWEEN(-105,115)/10000</f>
        <v>0.0082</v>
      </c>
      <c r="G30" s="16" t="n">
        <f aca="false">+Chạy!G90</f>
        <v>-0.15</v>
      </c>
      <c r="H30" s="16" t="n">
        <f aca="false">G30+I30</f>
        <v>-0.153</v>
      </c>
      <c r="I30" s="16" t="n">
        <f aca="false">RANDBETWEEN(-30,90)/1000</f>
        <v>-0.003</v>
      </c>
      <c r="J30" s="16" t="n">
        <f aca="false">+Chạy!K90</f>
        <v>-0.03</v>
      </c>
      <c r="K30" s="16" t="n">
        <f aca="false">J30+L30</f>
        <v>-0.002</v>
      </c>
      <c r="L30" s="16" t="n">
        <f aca="false">RANDBETWEEN(-30,90)/1000</f>
        <v>0.028</v>
      </c>
      <c r="M30" s="16" t="n">
        <f aca="false">+Chạy!N90</f>
        <v>6.55</v>
      </c>
      <c r="N30" s="16" t="n">
        <f aca="false">+M30+O30</f>
        <v>6.5581</v>
      </c>
      <c r="O30" s="16" t="n">
        <f aca="false">RANDBETWEEN(-105,115)/10000</f>
        <v>0.0081</v>
      </c>
      <c r="P30" s="16" t="n">
        <f aca="false">+Chạy!O90</f>
        <v>-0.15</v>
      </c>
      <c r="Q30" s="16" t="n">
        <f aca="false">P30+R30</f>
        <v>-0.074</v>
      </c>
      <c r="R30" s="16" t="n">
        <f aca="false">RANDBETWEEN(-30,90)/1000</f>
        <v>0.076</v>
      </c>
      <c r="S30" s="17"/>
      <c r="T30" s="0" t="n">
        <v>13.25</v>
      </c>
    </row>
    <row r="31" customFormat="false" ht="15" hidden="false" customHeight="false" outlineLevel="0" collapsed="false">
      <c r="A31" s="13" t="n">
        <v>11</v>
      </c>
      <c r="B31" s="13" t="s">
        <v>27</v>
      </c>
      <c r="C31" s="15" t="n">
        <f aca="false">+C30+T30</f>
        <v>381.5</v>
      </c>
      <c r="D31" s="16" t="n">
        <f aca="false">+Chạy!F99</f>
        <v>-10.48</v>
      </c>
      <c r="E31" s="16" t="n">
        <f aca="false">+D31+F31</f>
        <v>-10.4894</v>
      </c>
      <c r="F31" s="16" t="n">
        <f aca="false">RANDBETWEEN(-105,115)/10000</f>
        <v>-0.0094</v>
      </c>
      <c r="G31" s="16" t="n">
        <f aca="false">+Chạy!G99</f>
        <v>-0.16</v>
      </c>
      <c r="H31" s="16" t="n">
        <f aca="false">G31+I31</f>
        <v>-0.075</v>
      </c>
      <c r="I31" s="16" t="n">
        <f aca="false">RANDBETWEEN(-30,90)/1000</f>
        <v>0.085</v>
      </c>
      <c r="J31" s="16" t="n">
        <f aca="false">+Chạy!K99</f>
        <v>-0.04</v>
      </c>
      <c r="K31" s="16" t="n">
        <f aca="false">J31+L31</f>
        <v>-0.064</v>
      </c>
      <c r="L31" s="16" t="n">
        <f aca="false">RANDBETWEEN(-30,90)/1000</f>
        <v>-0.024</v>
      </c>
      <c r="M31" s="16" t="n">
        <f aca="false">+Chạy!N99</f>
        <v>10.32</v>
      </c>
      <c r="N31" s="16" t="n">
        <f aca="false">+M31+O31</f>
        <v>10.3288</v>
      </c>
      <c r="O31" s="16" t="n">
        <f aca="false">RANDBETWEEN(-105,115)/10000</f>
        <v>0.0088</v>
      </c>
      <c r="P31" s="16" t="n">
        <f aca="false">+Chạy!O99</f>
        <v>-0.16</v>
      </c>
      <c r="Q31" s="16" t="n">
        <f aca="false">P31+R31</f>
        <v>-0.185</v>
      </c>
      <c r="R31" s="16" t="n">
        <f aca="false">RANDBETWEEN(-30,90)/1000</f>
        <v>-0.025</v>
      </c>
      <c r="S31" s="17"/>
      <c r="T31" s="0" t="n">
        <v>13.25</v>
      </c>
    </row>
    <row r="32" customFormat="false" ht="15" hidden="false" customHeight="false" outlineLevel="0" collapsed="false">
      <c r="A32" s="13" t="n">
        <v>12</v>
      </c>
      <c r="B32" s="13" t="s">
        <v>28</v>
      </c>
      <c r="C32" s="15" t="n">
        <f aca="false">+C31+T31</f>
        <v>394.75</v>
      </c>
      <c r="D32" s="16" t="n">
        <f aca="false">+Chạy!F108</f>
        <v>-10.15</v>
      </c>
      <c r="E32" s="16" t="n">
        <f aca="false">+D32+F32</f>
        <v>-10.1532</v>
      </c>
      <c r="F32" s="16" t="n">
        <f aca="false">RANDBETWEEN(-105,115)/10000</f>
        <v>-0.0032</v>
      </c>
      <c r="G32" s="16" t="n">
        <f aca="false">+Chạy!G108</f>
        <v>-0.17</v>
      </c>
      <c r="H32" s="16" t="n">
        <f aca="false">G32+I32</f>
        <v>-0.16</v>
      </c>
      <c r="I32" s="16" t="n">
        <f aca="false">RANDBETWEEN(-30,90)/1000</f>
        <v>0.01</v>
      </c>
      <c r="J32" s="16" t="n">
        <f aca="false">+Chạy!K108</f>
        <v>-0.05</v>
      </c>
      <c r="K32" s="16" t="n">
        <f aca="false">J32+L32</f>
        <v>-0.068</v>
      </c>
      <c r="L32" s="16" t="n">
        <f aca="false">RANDBETWEEN(-30,90)/1000</f>
        <v>-0.018</v>
      </c>
      <c r="M32" s="16" t="n">
        <f aca="false">+Chạy!N108</f>
        <v>10.28</v>
      </c>
      <c r="N32" s="16" t="n">
        <f aca="false">+M32+O32</f>
        <v>10.29</v>
      </c>
      <c r="O32" s="16" t="n">
        <f aca="false">RANDBETWEEN(-105,115)/10000</f>
        <v>0.01</v>
      </c>
      <c r="P32" s="16" t="n">
        <f aca="false">+Chạy!O108</f>
        <v>-0.17</v>
      </c>
      <c r="Q32" s="16" t="n">
        <f aca="false">P32+R32</f>
        <v>-0.16</v>
      </c>
      <c r="R32" s="16" t="n">
        <f aca="false">RANDBETWEEN(-30,90)/1000</f>
        <v>0.01</v>
      </c>
      <c r="S32" s="17"/>
      <c r="T32" s="0" t="n">
        <v>20</v>
      </c>
    </row>
    <row r="33" customFormat="false" ht="15" hidden="false" customHeight="false" outlineLevel="0" collapsed="false">
      <c r="A33" s="13" t="n">
        <v>13</v>
      </c>
      <c r="B33" s="13" t="s">
        <v>29</v>
      </c>
      <c r="C33" s="15" t="n">
        <f aca="false">+C32+T32</f>
        <v>414.75</v>
      </c>
      <c r="D33" s="16" t="n">
        <f aca="false">+Chạy!F117</f>
        <v>-10.19</v>
      </c>
      <c r="E33" s="16" t="n">
        <f aca="false">+D33+F33</f>
        <v>-10.1998</v>
      </c>
      <c r="F33" s="16" t="n">
        <f aca="false">RANDBETWEEN(-105,115)/10000</f>
        <v>-0.0098</v>
      </c>
      <c r="G33" s="16" t="n">
        <f aca="false">+Chạy!G117</f>
        <v>-0.18</v>
      </c>
      <c r="H33" s="16" t="n">
        <f aca="false">G33+I33</f>
        <v>-0.09</v>
      </c>
      <c r="I33" s="16" t="n">
        <f aca="false">RANDBETWEEN(-30,90)/1000</f>
        <v>0.09</v>
      </c>
      <c r="J33" s="16" t="n">
        <f aca="false">+Chạy!K117</f>
        <v>-0.06</v>
      </c>
      <c r="K33" s="16" t="n">
        <f aca="false">J33+L33</f>
        <v>-0.041</v>
      </c>
      <c r="L33" s="16" t="n">
        <f aca="false">RANDBETWEEN(-30,90)/1000</f>
        <v>0.019</v>
      </c>
      <c r="M33" s="16" t="n">
        <f aca="false">+Chạy!N117</f>
        <v>10.32</v>
      </c>
      <c r="N33" s="16" t="n">
        <f aca="false">+M33+O33</f>
        <v>10.3206</v>
      </c>
      <c r="O33" s="16" t="n">
        <f aca="false">RANDBETWEEN(-105,115)/10000</f>
        <v>0.0006</v>
      </c>
      <c r="P33" s="16" t="n">
        <f aca="false">+Chạy!O117</f>
        <v>-0.18</v>
      </c>
      <c r="Q33" s="16" t="n">
        <f aca="false">P33+R33</f>
        <v>-0.128</v>
      </c>
      <c r="R33" s="16" t="n">
        <f aca="false">RANDBETWEEN(-30,90)/1000</f>
        <v>0.052</v>
      </c>
      <c r="S33" s="17"/>
      <c r="T33" s="0" t="n">
        <v>20</v>
      </c>
    </row>
    <row r="34" customFormat="false" ht="15" hidden="false" customHeight="false" outlineLevel="0" collapsed="false">
      <c r="A34" s="13" t="n">
        <v>14</v>
      </c>
      <c r="B34" s="13" t="s">
        <v>30</v>
      </c>
      <c r="C34" s="15" t="n">
        <f aca="false">+C33+T33</f>
        <v>434.75</v>
      </c>
      <c r="D34" s="16" t="n">
        <f aca="false">+Chạy!F126</f>
        <v>-10.09</v>
      </c>
      <c r="E34" s="16" t="n">
        <f aca="false">+D34+F34</f>
        <v>-10.0896</v>
      </c>
      <c r="F34" s="16" t="n">
        <f aca="false">RANDBETWEEN(-105,115)/10000</f>
        <v>0.0004</v>
      </c>
      <c r="G34" s="16" t="n">
        <f aca="false">+Chạy!G126</f>
        <v>-0.19</v>
      </c>
      <c r="H34" s="16" t="n">
        <f aca="false">G34+I34</f>
        <v>-0.149</v>
      </c>
      <c r="I34" s="16" t="n">
        <f aca="false">RANDBETWEEN(-30,90)/1000</f>
        <v>0.041</v>
      </c>
      <c r="J34" s="16" t="n">
        <f aca="false">+Chạy!K126</f>
        <v>-0.08</v>
      </c>
      <c r="K34" s="16" t="n">
        <f aca="false">J34+L34</f>
        <v>-0.103</v>
      </c>
      <c r="L34" s="16" t="n">
        <f aca="false">RANDBETWEEN(-30,90)/1000</f>
        <v>-0.023</v>
      </c>
      <c r="M34" s="16" t="n">
        <f aca="false">+Chạy!N126</f>
        <v>10.02</v>
      </c>
      <c r="N34" s="16" t="n">
        <f aca="false">+M34+O34</f>
        <v>10.0177</v>
      </c>
      <c r="O34" s="16" t="n">
        <f aca="false">RANDBETWEEN(-105,115)/10000</f>
        <v>-0.0023</v>
      </c>
      <c r="P34" s="16" t="n">
        <f aca="false">+Chạy!O126</f>
        <v>-0.19</v>
      </c>
      <c r="Q34" s="16" t="n">
        <f aca="false">P34+R34</f>
        <v>-0.13</v>
      </c>
      <c r="R34" s="16" t="n">
        <f aca="false">RANDBETWEEN(-30,90)/1000</f>
        <v>0.06</v>
      </c>
      <c r="S34" s="17"/>
      <c r="T34" s="0" t="n">
        <v>20</v>
      </c>
    </row>
    <row r="35" customFormat="false" ht="15" hidden="false" customHeight="false" outlineLevel="0" collapsed="false">
      <c r="A35" s="13" t="n">
        <v>15</v>
      </c>
      <c r="B35" s="13" t="s">
        <v>31</v>
      </c>
      <c r="C35" s="15" t="n">
        <f aca="false">+C34+T34</f>
        <v>454.75</v>
      </c>
      <c r="D35" s="16" t="n">
        <f aca="false">+Chạy!F135</f>
        <v>-9.29</v>
      </c>
      <c r="E35" s="16" t="n">
        <f aca="false">+D35+F35</f>
        <v>-9.2928</v>
      </c>
      <c r="F35" s="16" t="n">
        <f aca="false">RANDBETWEEN(-105,115)/10000</f>
        <v>-0.0028</v>
      </c>
      <c r="G35" s="16" t="n">
        <f aca="false">+Chạy!G135</f>
        <v>-0.21</v>
      </c>
      <c r="H35" s="16" t="n">
        <f aca="false">G35+I35</f>
        <v>-0.183</v>
      </c>
      <c r="I35" s="16" t="n">
        <f aca="false">RANDBETWEEN(-30,90)/1000</f>
        <v>0.027</v>
      </c>
      <c r="J35" s="16" t="n">
        <f aca="false">+Chạy!K135</f>
        <v>-0.09</v>
      </c>
      <c r="K35" s="16" t="n">
        <f aca="false">J35+L35</f>
        <v>-0.099</v>
      </c>
      <c r="L35" s="16" t="n">
        <f aca="false">RANDBETWEEN(-30,90)/1000</f>
        <v>-0.009</v>
      </c>
      <c r="M35" s="16" t="n">
        <f aca="false">+Chạy!N135</f>
        <v>9.64</v>
      </c>
      <c r="N35" s="16" t="n">
        <f aca="false">+M35+O35</f>
        <v>9.6379</v>
      </c>
      <c r="O35" s="16" t="n">
        <f aca="false">RANDBETWEEN(-105,115)/10000</f>
        <v>-0.0021</v>
      </c>
      <c r="P35" s="16" t="n">
        <f aca="false">+Chạy!O135</f>
        <v>-0.21</v>
      </c>
      <c r="Q35" s="16" t="n">
        <f aca="false">P35+R35</f>
        <v>-0.131</v>
      </c>
      <c r="R35" s="16" t="n">
        <f aca="false">RANDBETWEEN(-30,90)/1000</f>
        <v>0.079</v>
      </c>
      <c r="S35" s="17"/>
      <c r="T35" s="0" t="n">
        <v>20</v>
      </c>
    </row>
    <row r="36" customFormat="false" ht="15" hidden="false" customHeight="false" outlineLevel="0" collapsed="false">
      <c r="A36" s="13" t="n">
        <v>16</v>
      </c>
      <c r="B36" s="13" t="s">
        <v>32</v>
      </c>
      <c r="C36" s="15" t="n">
        <f aca="false">+C35+T35</f>
        <v>474.75</v>
      </c>
      <c r="D36" s="16" t="n">
        <f aca="false">+Chạy!F144</f>
        <v>-9.8</v>
      </c>
      <c r="E36" s="16" t="n">
        <f aca="false">+D36+F36</f>
        <v>-9.802</v>
      </c>
      <c r="F36" s="16" t="n">
        <f aca="false">RANDBETWEEN(-105,115)/10000</f>
        <v>-0.002</v>
      </c>
      <c r="G36" s="16" t="n">
        <f aca="false">+Chạy!G144</f>
        <v>-0.22</v>
      </c>
      <c r="H36" s="16" t="n">
        <f aca="false">G36+I36</f>
        <v>-0.152</v>
      </c>
      <c r="I36" s="16" t="n">
        <f aca="false">RANDBETWEEN(-30,90)/1000</f>
        <v>0.068</v>
      </c>
      <c r="J36" s="16" t="n">
        <f aca="false">+Chạy!K144</f>
        <v>-0.1</v>
      </c>
      <c r="K36" s="16" t="n">
        <f aca="false">J36+L36</f>
        <v>-0.074</v>
      </c>
      <c r="L36" s="16" t="n">
        <f aca="false">RANDBETWEEN(-30,90)/1000</f>
        <v>0.026</v>
      </c>
      <c r="M36" s="16" t="n">
        <f aca="false">+Chạy!N144</f>
        <v>9.75</v>
      </c>
      <c r="N36" s="16" t="n">
        <f aca="false">+M36+O36</f>
        <v>9.7559</v>
      </c>
      <c r="O36" s="16" t="n">
        <f aca="false">RANDBETWEEN(-105,115)/10000</f>
        <v>0.0059</v>
      </c>
      <c r="P36" s="16" t="n">
        <f aca="false">+Chạy!O144</f>
        <v>-0.22</v>
      </c>
      <c r="Q36" s="16" t="n">
        <f aca="false">P36+R36</f>
        <v>-0.134</v>
      </c>
      <c r="R36" s="16" t="n">
        <f aca="false">RANDBETWEEN(-30,90)/1000</f>
        <v>0.086</v>
      </c>
      <c r="S36" s="17"/>
      <c r="T36" s="0" t="n">
        <v>14.44</v>
      </c>
    </row>
    <row r="37" customFormat="false" ht="15" hidden="false" customHeight="false" outlineLevel="0" collapsed="false">
      <c r="A37" s="13" t="n">
        <v>17</v>
      </c>
      <c r="B37" s="13" t="s">
        <v>33</v>
      </c>
      <c r="C37" s="15" t="n">
        <f aca="false">+C36+T36</f>
        <v>489.19</v>
      </c>
      <c r="D37" s="16" t="n">
        <f aca="false">+Chạy!F153</f>
        <v>-9.67</v>
      </c>
      <c r="E37" s="16" t="n">
        <f aca="false">+D37+F37</f>
        <v>-9.6729</v>
      </c>
      <c r="F37" s="16" t="n">
        <f aca="false">RANDBETWEEN(-105,115)/10000</f>
        <v>-0.0029</v>
      </c>
      <c r="G37" s="16" t="n">
        <f aca="false">+Chạy!G153</f>
        <v>-0.23</v>
      </c>
      <c r="H37" s="16" t="n">
        <f aca="false">G37+I37</f>
        <v>-0.147</v>
      </c>
      <c r="I37" s="16" t="n">
        <f aca="false">RANDBETWEEN(-30,90)/1000</f>
        <v>0.083</v>
      </c>
      <c r="J37" s="16" t="n">
        <f aca="false">+Chạy!K153</f>
        <v>-0.11</v>
      </c>
      <c r="K37" s="16" t="n">
        <f aca="false">J37+L37</f>
        <v>-0.103</v>
      </c>
      <c r="L37" s="16" t="n">
        <f aca="false">RANDBETWEEN(-30,90)/1000</f>
        <v>0.007</v>
      </c>
      <c r="M37" s="16" t="n">
        <f aca="false">+Chạy!N153</f>
        <v>15.1</v>
      </c>
      <c r="N37" s="16" t="n">
        <f aca="false">+M37+O37</f>
        <v>15.0956</v>
      </c>
      <c r="O37" s="16" t="n">
        <f aca="false">RANDBETWEEN(-105,115)/10000</f>
        <v>-0.0044</v>
      </c>
      <c r="P37" s="16" t="n">
        <f aca="false">+Chạy!O153</f>
        <v>-0.23</v>
      </c>
      <c r="Q37" s="16" t="n">
        <f aca="false">P37+R37</f>
        <v>-0.215</v>
      </c>
      <c r="R37" s="16" t="n">
        <f aca="false">RANDBETWEEN(-30,90)/1000</f>
        <v>0.015</v>
      </c>
      <c r="S37" s="17"/>
      <c r="T37" s="0" t="n">
        <v>13.17</v>
      </c>
    </row>
    <row r="38" customFormat="false" ht="15" hidden="false" customHeight="false" outlineLevel="0" collapsed="false">
      <c r="A38" s="13" t="n">
        <v>18</v>
      </c>
      <c r="B38" s="13" t="s">
        <v>34</v>
      </c>
      <c r="C38" s="15" t="n">
        <f aca="false">+C37+T37</f>
        <v>502.36</v>
      </c>
      <c r="D38" s="16" t="n">
        <f aca="false">+Chạy!F162</f>
        <v>-10.68</v>
      </c>
      <c r="E38" s="16" t="n">
        <f aca="false">+D38+F38</f>
        <v>-10.6839</v>
      </c>
      <c r="F38" s="16" t="n">
        <f aca="false">RANDBETWEEN(-105,115)/10000</f>
        <v>-0.0039</v>
      </c>
      <c r="G38" s="16" t="n">
        <f aca="false">+Chạy!G162</f>
        <v>-0.24</v>
      </c>
      <c r="H38" s="16" t="n">
        <f aca="false">G38+I38</f>
        <v>-0.252</v>
      </c>
      <c r="I38" s="16" t="n">
        <f aca="false">RANDBETWEEN(-30,90)/1000</f>
        <v>-0.012</v>
      </c>
      <c r="J38" s="16" t="n">
        <f aca="false">+Chạy!K162</f>
        <v>-0.12</v>
      </c>
      <c r="K38" s="16" t="n">
        <f aca="false">J38+L38</f>
        <v>-0.07</v>
      </c>
      <c r="L38" s="16" t="n">
        <f aca="false">RANDBETWEEN(-30,90)/1000</f>
        <v>0.05</v>
      </c>
      <c r="M38" s="16" t="n">
        <f aca="false">+Chạy!N162</f>
        <v>10.58</v>
      </c>
      <c r="N38" s="16" t="n">
        <f aca="false">+M38+O38</f>
        <v>10.5878</v>
      </c>
      <c r="O38" s="16" t="n">
        <f aca="false">RANDBETWEEN(-105,115)/10000</f>
        <v>0.0078</v>
      </c>
      <c r="P38" s="16" t="n">
        <f aca="false">+Chạy!O162</f>
        <v>-0.24</v>
      </c>
      <c r="Q38" s="16" t="n">
        <f aca="false">P38+R38</f>
        <v>-0.192</v>
      </c>
      <c r="R38" s="16" t="n">
        <f aca="false">RANDBETWEEN(-30,90)/1000</f>
        <v>0.048</v>
      </c>
      <c r="S38" s="17"/>
      <c r="T38" s="0" t="n">
        <v>10.48</v>
      </c>
    </row>
    <row r="39" customFormat="false" ht="15" hidden="false" customHeight="false" outlineLevel="0" collapsed="false">
      <c r="A39" s="13" t="n">
        <v>19</v>
      </c>
      <c r="B39" s="13" t="s">
        <v>35</v>
      </c>
      <c r="C39" s="15" t="n">
        <f aca="false">+C38+T38</f>
        <v>512.84</v>
      </c>
      <c r="D39" s="16" t="n">
        <f aca="false">+Chạy!F171</f>
        <v>-10.11</v>
      </c>
      <c r="E39" s="16" t="n">
        <f aca="false">+D39+F39</f>
        <v>-10.1149</v>
      </c>
      <c r="F39" s="16" t="n">
        <f aca="false">RANDBETWEEN(-105,115)/10000</f>
        <v>-0.0049</v>
      </c>
      <c r="G39" s="16" t="n">
        <f aca="false">+Chạy!G171</f>
        <v>-0.24</v>
      </c>
      <c r="H39" s="16" t="n">
        <f aca="false">G39+I39</f>
        <v>-0.15</v>
      </c>
      <c r="I39" s="16" t="n">
        <f aca="false">RANDBETWEEN(-30,90)/1000</f>
        <v>0.09</v>
      </c>
      <c r="J39" s="16" t="n">
        <f aca="false">+Chạy!K171</f>
        <v>-0.13</v>
      </c>
      <c r="K39" s="16" t="n">
        <f aca="false">J39+L39</f>
        <v>-0.068</v>
      </c>
      <c r="L39" s="16" t="n">
        <f aca="false">RANDBETWEEN(-30,90)/1000</f>
        <v>0.062</v>
      </c>
      <c r="M39" s="16" t="n">
        <f aca="false">+Chạy!N171</f>
        <v>10.49</v>
      </c>
      <c r="N39" s="16" t="n">
        <f aca="false">+M39+O39</f>
        <v>10.4967</v>
      </c>
      <c r="O39" s="16" t="n">
        <f aca="false">RANDBETWEEN(-105,115)/10000</f>
        <v>0.0067</v>
      </c>
      <c r="P39" s="16" t="n">
        <f aca="false">+Chạy!O171</f>
        <v>-0.24</v>
      </c>
      <c r="Q39" s="16" t="n">
        <f aca="false">P39+R39</f>
        <v>-0.234</v>
      </c>
      <c r="R39" s="16" t="n">
        <f aca="false">RANDBETWEEN(-30,90)/1000</f>
        <v>0.006</v>
      </c>
      <c r="S39" s="17"/>
      <c r="T39" s="0" t="n">
        <v>16.78</v>
      </c>
    </row>
    <row r="40" customFormat="false" ht="15" hidden="false" customHeight="false" outlineLevel="0" collapsed="false">
      <c r="A40" s="13" t="n">
        <v>20</v>
      </c>
      <c r="B40" s="13" t="s">
        <v>36</v>
      </c>
      <c r="C40" s="15" t="n">
        <f aca="false">+C39+T39</f>
        <v>529.62</v>
      </c>
      <c r="D40" s="16" t="n">
        <f aca="false">+Chạy!F180</f>
        <v>-15.04</v>
      </c>
      <c r="E40" s="16" t="n">
        <f aca="false">+D40+F40</f>
        <v>-15.0447</v>
      </c>
      <c r="F40" s="16" t="n">
        <f aca="false">RANDBETWEEN(-105,115)/10000</f>
        <v>-0.0047</v>
      </c>
      <c r="G40" s="16" t="n">
        <f aca="false">+Chạy!G180</f>
        <v>-0.25</v>
      </c>
      <c r="H40" s="16" t="n">
        <f aca="false">G40+I40</f>
        <v>-0.173</v>
      </c>
      <c r="I40" s="16" t="n">
        <f aca="false">RANDBETWEEN(-30,90)/1000</f>
        <v>0.077</v>
      </c>
      <c r="J40" s="16" t="n">
        <f aca="false">+Chạy!K180</f>
        <v>-0.13</v>
      </c>
      <c r="K40" s="16" t="n">
        <f aca="false">J40+L40</f>
        <v>-0.079</v>
      </c>
      <c r="L40" s="16" t="n">
        <f aca="false">RANDBETWEEN(-30,90)/1000</f>
        <v>0.051</v>
      </c>
      <c r="M40" s="16" t="n">
        <f aca="false">+Chạy!N180</f>
        <v>15.1</v>
      </c>
      <c r="N40" s="16" t="n">
        <f aca="false">+M40+O40</f>
        <v>15.0988</v>
      </c>
      <c r="O40" s="16" t="n">
        <f aca="false">RANDBETWEEN(-105,115)/10000</f>
        <v>-0.0012</v>
      </c>
      <c r="P40" s="16" t="n">
        <f aca="false">+Chạy!O180</f>
        <v>-0.25</v>
      </c>
      <c r="Q40" s="16" t="n">
        <f aca="false">P40+R40</f>
        <v>-0.16</v>
      </c>
      <c r="R40" s="16" t="n">
        <f aca="false">RANDBETWEEN(-30,90)/1000</f>
        <v>0.09</v>
      </c>
      <c r="S40" s="17"/>
      <c r="T40" s="0" t="n">
        <v>17.1</v>
      </c>
    </row>
    <row r="41" customFormat="false" ht="15" hidden="false" customHeight="false" outlineLevel="0" collapsed="false">
      <c r="A41" s="13" t="n">
        <v>21</v>
      </c>
      <c r="B41" s="13" t="s">
        <v>37</v>
      </c>
      <c r="C41" s="15" t="n">
        <f aca="false">+C40+T40</f>
        <v>546.72</v>
      </c>
      <c r="D41" s="16" t="n">
        <f aca="false">+Chạy!F189</f>
        <v>-6.44</v>
      </c>
      <c r="E41" s="16" t="n">
        <f aca="false">+D41+F41</f>
        <v>-6.4442</v>
      </c>
      <c r="F41" s="16" t="n">
        <f aca="false">RANDBETWEEN(-105,115)/10000</f>
        <v>-0.0042</v>
      </c>
      <c r="G41" s="16" t="n">
        <f aca="false">+Chạy!G189</f>
        <v>-0.26</v>
      </c>
      <c r="H41" s="16" t="n">
        <f aca="false">G41+I41</f>
        <v>-0.285</v>
      </c>
      <c r="I41" s="16" t="n">
        <f aca="false">RANDBETWEEN(-30,90)/1000</f>
        <v>-0.025</v>
      </c>
      <c r="J41" s="16" t="n">
        <f aca="false">+Chạy!K189</f>
        <v>-0.14</v>
      </c>
      <c r="K41" s="16" t="n">
        <f aca="false">J41+L41</f>
        <v>-0.101</v>
      </c>
      <c r="L41" s="16" t="n">
        <f aca="false">RANDBETWEEN(-30,90)/1000</f>
        <v>0.039</v>
      </c>
      <c r="M41" s="16" t="n">
        <f aca="false">+Chạy!N189</f>
        <v>9.68</v>
      </c>
      <c r="N41" s="16" t="n">
        <f aca="false">+M41+O41</f>
        <v>9.6896</v>
      </c>
      <c r="O41" s="16" t="n">
        <f aca="false">RANDBETWEEN(-105,115)/10000</f>
        <v>0.0096</v>
      </c>
      <c r="P41" s="16" t="n">
        <f aca="false">+Chạy!O189</f>
        <v>-0.26</v>
      </c>
      <c r="Q41" s="16" t="n">
        <f aca="false">P41+R41</f>
        <v>-0.218</v>
      </c>
      <c r="R41" s="16" t="n">
        <f aca="false">RANDBETWEEN(-30,90)/1000</f>
        <v>0.042</v>
      </c>
      <c r="S41" s="17"/>
      <c r="T41" s="0" t="n">
        <v>15.15</v>
      </c>
    </row>
    <row r="42" customFormat="false" ht="15" hidden="false" customHeight="false" outlineLevel="0" collapsed="false">
      <c r="A42" s="13" t="n">
        <v>22</v>
      </c>
      <c r="B42" s="13" t="s">
        <v>38</v>
      </c>
      <c r="C42" s="15" t="n">
        <f aca="false">+C41+T41</f>
        <v>561.87</v>
      </c>
      <c r="D42" s="16" t="n">
        <f aca="false">+Chạy!F198</f>
        <v>-10.17</v>
      </c>
      <c r="E42" s="16" t="n">
        <f aca="false">+D42+F42</f>
        <v>-10.1767</v>
      </c>
      <c r="F42" s="16" t="n">
        <f aca="false">RANDBETWEEN(-105,115)/10000</f>
        <v>-0.0067</v>
      </c>
      <c r="G42" s="16" t="n">
        <f aca="false">+Chạy!G198</f>
        <v>-0.26</v>
      </c>
      <c r="H42" s="16" t="n">
        <f aca="false">G42+I42</f>
        <v>-0.27</v>
      </c>
      <c r="I42" s="16" t="n">
        <f aca="false">RANDBETWEEN(-30,90)/1000</f>
        <v>-0.01</v>
      </c>
      <c r="J42" s="16" t="n">
        <f aca="false">+Chạy!K198</f>
        <v>-0.15</v>
      </c>
      <c r="K42" s="16" t="n">
        <f aca="false">J42+L42</f>
        <v>-0.121</v>
      </c>
      <c r="L42" s="16" t="n">
        <f aca="false">RANDBETWEEN(-30,90)/1000</f>
        <v>0.029</v>
      </c>
      <c r="M42" s="16" t="n">
        <f aca="false">+Chạy!N198</f>
        <v>10.31</v>
      </c>
      <c r="N42" s="16" t="n">
        <f aca="false">+M42+O42</f>
        <v>10.3066</v>
      </c>
      <c r="O42" s="16" t="n">
        <f aca="false">RANDBETWEEN(-105,115)/10000</f>
        <v>-0.0034</v>
      </c>
      <c r="P42" s="16" t="n">
        <f aca="false">+Chạy!O198</f>
        <v>-0.26</v>
      </c>
      <c r="Q42" s="16" t="n">
        <f aca="false">P42+R42</f>
        <v>-0.222</v>
      </c>
      <c r="R42" s="16" t="n">
        <f aca="false">RANDBETWEEN(-30,90)/1000</f>
        <v>0.038</v>
      </c>
      <c r="S42" s="17"/>
      <c r="T42" s="0" t="n">
        <v>0.15</v>
      </c>
    </row>
    <row r="43" customFormat="false" ht="15" hidden="false" customHeight="false" outlineLevel="0" collapsed="false">
      <c r="A43" s="13" t="n">
        <v>23</v>
      </c>
      <c r="B43" s="13" t="s">
        <v>39</v>
      </c>
      <c r="C43" s="15" t="n">
        <f aca="false">+C42+T42</f>
        <v>562.02</v>
      </c>
      <c r="D43" s="16" t="n">
        <f aca="false">+Chạy!F207</f>
        <v>-10.18</v>
      </c>
      <c r="E43" s="16" t="n">
        <f aca="false">+D43+F43</f>
        <v>-10.185</v>
      </c>
      <c r="F43" s="16" t="n">
        <f aca="false">RANDBETWEEN(-105,115)/10000</f>
        <v>-0.005</v>
      </c>
      <c r="G43" s="16" t="n">
        <f aca="false">+Chạy!G207</f>
        <v>-0.26</v>
      </c>
      <c r="H43" s="16" t="n">
        <f aca="false">G43+I43</f>
        <v>-0.23</v>
      </c>
      <c r="I43" s="16" t="n">
        <f aca="false">RANDBETWEEN(-30,90)/1000</f>
        <v>0.03</v>
      </c>
      <c r="J43" s="16" t="n">
        <f aca="false">+Chạy!K207</f>
        <v>-0.15</v>
      </c>
      <c r="K43" s="16" t="n">
        <f aca="false">J43+L43</f>
        <v>-0.089</v>
      </c>
      <c r="L43" s="16" t="n">
        <f aca="false">RANDBETWEEN(-30,90)/1000</f>
        <v>0.061</v>
      </c>
      <c r="M43" s="16" t="n">
        <f aca="false">+Chạy!N207</f>
        <v>10.31</v>
      </c>
      <c r="N43" s="16" t="n">
        <f aca="false">+M43+O43</f>
        <v>10.3025</v>
      </c>
      <c r="O43" s="16" t="n">
        <f aca="false">RANDBETWEEN(-105,115)/10000</f>
        <v>-0.0075</v>
      </c>
      <c r="P43" s="16" t="n">
        <f aca="false">+Chạy!O207</f>
        <v>-0.26</v>
      </c>
      <c r="Q43" s="16" t="n">
        <f aca="false">P43+R43</f>
        <v>-0.192</v>
      </c>
      <c r="R43" s="16" t="n">
        <f aca="false">RANDBETWEEN(-30,90)/1000</f>
        <v>0.068</v>
      </c>
      <c r="S43" s="17"/>
      <c r="T43" s="0" t="n">
        <v>6.55</v>
      </c>
    </row>
    <row r="44" customFormat="false" ht="15" hidden="false" customHeight="false" outlineLevel="0" collapsed="false">
      <c r="A44" s="13" t="n">
        <v>24</v>
      </c>
      <c r="B44" s="13" t="s">
        <v>40</v>
      </c>
      <c r="C44" s="15" t="n">
        <f aca="false">+C43+T43</f>
        <v>568.57</v>
      </c>
      <c r="D44" s="16" t="n">
        <f aca="false">+Chạy!F216</f>
        <v>-10.35</v>
      </c>
      <c r="E44" s="16" t="n">
        <f aca="false">+D44+F44</f>
        <v>-10.3585</v>
      </c>
      <c r="F44" s="16" t="n">
        <f aca="false">RANDBETWEEN(-105,115)/10000</f>
        <v>-0.0085</v>
      </c>
      <c r="G44" s="16" t="n">
        <f aca="false">+Chạy!G216</f>
        <v>-0.26</v>
      </c>
      <c r="H44" s="16" t="n">
        <f aca="false">G44+I44</f>
        <v>-0.243</v>
      </c>
      <c r="I44" s="16" t="n">
        <f aca="false">RANDBETWEEN(-30,90)/1000</f>
        <v>0.017</v>
      </c>
      <c r="J44" s="16" t="n">
        <f aca="false">+Chạy!K216</f>
        <v>-0.15</v>
      </c>
      <c r="K44" s="16" t="n">
        <f aca="false">J44+L44</f>
        <v>-0.12</v>
      </c>
      <c r="L44" s="16" t="n">
        <f aca="false">RANDBETWEEN(-30,90)/1000</f>
        <v>0.03</v>
      </c>
      <c r="M44" s="16" t="n">
        <f aca="false">+Chạy!N216</f>
        <v>10.66</v>
      </c>
      <c r="N44" s="16" t="n">
        <f aca="false">+M44+O44</f>
        <v>10.6713</v>
      </c>
      <c r="O44" s="16" t="n">
        <f aca="false">RANDBETWEEN(-105,115)/10000</f>
        <v>0.0113</v>
      </c>
      <c r="P44" s="16" t="n">
        <f aca="false">+Chạy!O216</f>
        <v>-0.26</v>
      </c>
      <c r="Q44" s="16" t="n">
        <f aca="false">P44+R44</f>
        <v>-0.231</v>
      </c>
      <c r="R44" s="16" t="n">
        <f aca="false">RANDBETWEEN(-30,90)/1000</f>
        <v>0.029</v>
      </c>
      <c r="S44" s="17"/>
      <c r="T44" s="0" t="n">
        <v>6.55</v>
      </c>
    </row>
    <row r="45" customFormat="false" ht="15" hidden="false" customHeight="false" outlineLevel="0" collapsed="false">
      <c r="A45" s="13" t="n">
        <v>25</v>
      </c>
      <c r="B45" s="13" t="s">
        <v>1</v>
      </c>
      <c r="C45" s="15" t="n">
        <f aca="false">+C44+T44</f>
        <v>575.12</v>
      </c>
      <c r="D45" s="16" t="n">
        <f aca="false">+Chạy!F225</f>
        <v>-10.07</v>
      </c>
      <c r="E45" s="16" t="n">
        <f aca="false">+D45+F45</f>
        <v>-10.0623</v>
      </c>
      <c r="F45" s="16" t="n">
        <f aca="false">RANDBETWEEN(-105,115)/10000</f>
        <v>0.0077</v>
      </c>
      <c r="G45" s="16" t="n">
        <f aca="false">+Chạy!G225</f>
        <v>-0.26</v>
      </c>
      <c r="H45" s="16" t="n">
        <f aca="false">G45+I45</f>
        <v>-0.178</v>
      </c>
      <c r="I45" s="16" t="n">
        <f aca="false">RANDBETWEEN(-30,90)/1000</f>
        <v>0.082</v>
      </c>
      <c r="J45" s="16" t="n">
        <f aca="false">+Chạy!K225</f>
        <v>-0.15</v>
      </c>
      <c r="K45" s="16" t="n">
        <f aca="false">J45+L45</f>
        <v>-0.069</v>
      </c>
      <c r="L45" s="16" t="n">
        <f aca="false">RANDBETWEEN(-30,90)/1000</f>
        <v>0.081</v>
      </c>
      <c r="M45" s="16" t="n">
        <f aca="false">+Chạy!N225</f>
        <v>9.74</v>
      </c>
      <c r="N45" s="16" t="n">
        <f aca="false">+M45+O45</f>
        <v>9.7367</v>
      </c>
      <c r="O45" s="16" t="n">
        <f aca="false">RANDBETWEEN(-105,115)/10000</f>
        <v>-0.0033</v>
      </c>
      <c r="P45" s="16" t="n">
        <f aca="false">+Chạy!O225</f>
        <v>-0.26</v>
      </c>
      <c r="Q45" s="16" t="n">
        <f aca="false">P45+R45</f>
        <v>-0.217</v>
      </c>
      <c r="R45" s="16" t="n">
        <f aca="false">RANDBETWEEN(-30,90)/1000</f>
        <v>0.043</v>
      </c>
      <c r="S45" s="17"/>
      <c r="T45" s="0" t="n">
        <v>0.04</v>
      </c>
    </row>
    <row r="46" customFormat="false" ht="15" hidden="false" customHeight="false" outlineLevel="0" collapsed="false">
      <c r="A46" s="13" t="n">
        <v>26</v>
      </c>
      <c r="B46" s="13" t="s">
        <v>41</v>
      </c>
      <c r="C46" s="15" t="n">
        <f aca="false">+C45+T45</f>
        <v>575.16</v>
      </c>
      <c r="D46" s="16" t="n">
        <f aca="false">+Chạy!F234</f>
        <v>-10.2</v>
      </c>
      <c r="E46" s="16" t="n">
        <f aca="false">+D46+F46</f>
        <v>-10.1999</v>
      </c>
      <c r="F46" s="16" t="n">
        <f aca="false">RANDBETWEEN(-105,115)/10000</f>
        <v>0.0001</v>
      </c>
      <c r="G46" s="16" t="n">
        <f aca="false">+Chạy!G234</f>
        <v>-0.13</v>
      </c>
      <c r="H46" s="16" t="n">
        <f aca="false">G46+I46</f>
        <v>-0.105</v>
      </c>
      <c r="I46" s="16" t="n">
        <f aca="false">RANDBETWEEN(-30,90)/1000</f>
        <v>0.025</v>
      </c>
      <c r="J46" s="16" t="n">
        <f aca="false">+Chạy!K234</f>
        <v>-0.15</v>
      </c>
      <c r="K46" s="16" t="n">
        <f aca="false">J46+L46</f>
        <v>-0.11</v>
      </c>
      <c r="L46" s="16" t="n">
        <f aca="false">RANDBETWEEN(-30,90)/1000</f>
        <v>0.04</v>
      </c>
      <c r="M46" s="16" t="n">
        <f aca="false">+Chạy!N234</f>
        <v>9.52</v>
      </c>
      <c r="N46" s="16" t="n">
        <f aca="false">+M46+O46</f>
        <v>9.5184</v>
      </c>
      <c r="O46" s="16" t="n">
        <f aca="false">RANDBETWEEN(-105,115)/10000</f>
        <v>-0.0016</v>
      </c>
      <c r="P46" s="16" t="n">
        <f aca="false">+Chạy!O234</f>
        <v>-0.26</v>
      </c>
      <c r="Q46" s="16" t="n">
        <f aca="false">P46+R46</f>
        <v>-0.194</v>
      </c>
      <c r="R46" s="16" t="n">
        <f aca="false">RANDBETWEEN(-30,90)/1000</f>
        <v>0.066</v>
      </c>
      <c r="S46" s="17"/>
      <c r="T46" s="0" t="n">
        <v>16.95</v>
      </c>
    </row>
    <row r="47" customFormat="false" ht="15" hidden="false" customHeight="false" outlineLevel="0" collapsed="false">
      <c r="A47" s="13" t="n">
        <v>27</v>
      </c>
      <c r="B47" s="13" t="s">
        <v>42</v>
      </c>
      <c r="C47" s="15" t="n">
        <f aca="false">+C46+T46</f>
        <v>592.11</v>
      </c>
      <c r="D47" s="16" t="n">
        <f aca="false">+Chạy!F243</f>
        <v>-10.24</v>
      </c>
      <c r="E47" s="16" t="n">
        <f aca="false">+D47+F47</f>
        <v>-10.2381</v>
      </c>
      <c r="F47" s="16" t="n">
        <f aca="false">RANDBETWEEN(-105,115)/10000</f>
        <v>0.0019</v>
      </c>
      <c r="G47" s="16" t="n">
        <f aca="false">+Chạy!G243</f>
        <v>-0.26</v>
      </c>
      <c r="H47" s="16" t="n">
        <f aca="false">G47+I47</f>
        <v>-0.182</v>
      </c>
      <c r="I47" s="16" t="n">
        <f aca="false">RANDBETWEEN(-30,90)/1000</f>
        <v>0.078</v>
      </c>
      <c r="J47" s="16" t="n">
        <f aca="false">+Chạy!K243</f>
        <v>-0.14</v>
      </c>
      <c r="K47" s="16" t="n">
        <f aca="false">J47+L47</f>
        <v>-0.088</v>
      </c>
      <c r="L47" s="16" t="n">
        <f aca="false">RANDBETWEEN(-30,90)/1000</f>
        <v>0.052</v>
      </c>
      <c r="M47" s="16" t="n">
        <f aca="false">+Chạy!N243</f>
        <v>10.3</v>
      </c>
      <c r="N47" s="16" t="n">
        <f aca="false">+M47+O47</f>
        <v>10.3014</v>
      </c>
      <c r="O47" s="16" t="n">
        <f aca="false">RANDBETWEEN(-105,115)/10000</f>
        <v>0.0014</v>
      </c>
      <c r="P47" s="16" t="n">
        <f aca="false">+Chạy!O243</f>
        <v>-0.26</v>
      </c>
      <c r="Q47" s="16" t="n">
        <f aca="false">P47+R47</f>
        <v>-0.196</v>
      </c>
      <c r="R47" s="16" t="n">
        <f aca="false">RANDBETWEEN(-30,90)/1000</f>
        <v>0.064</v>
      </c>
      <c r="S47" s="17"/>
      <c r="T47" s="0" t="n">
        <v>17</v>
      </c>
    </row>
    <row r="48" customFormat="false" ht="15" hidden="false" customHeight="false" outlineLevel="0" collapsed="false">
      <c r="A48" s="13" t="n">
        <v>28</v>
      </c>
      <c r="B48" s="13" t="s">
        <v>43</v>
      </c>
      <c r="C48" s="15" t="n">
        <f aca="false">+C47+T47</f>
        <v>609.11</v>
      </c>
      <c r="D48" s="16" t="n">
        <f aca="false">+Chạy!F252</f>
        <v>-9.46</v>
      </c>
      <c r="E48" s="16" t="n">
        <f aca="false">+D48+F48</f>
        <v>-9.4511</v>
      </c>
      <c r="F48" s="16" t="n">
        <f aca="false">RANDBETWEEN(-105,115)/10000</f>
        <v>0.0089</v>
      </c>
      <c r="G48" s="16" t="n">
        <f aca="false">+Chạy!G252</f>
        <v>-0.26</v>
      </c>
      <c r="H48" s="16" t="n">
        <f aca="false">G48+I48</f>
        <v>-0.248</v>
      </c>
      <c r="I48" s="16" t="n">
        <f aca="false">RANDBETWEEN(-30,90)/1000</f>
        <v>0.012</v>
      </c>
      <c r="J48" s="16" t="n">
        <f aca="false">+Chạy!K252</f>
        <v>-0.14</v>
      </c>
      <c r="K48" s="16" t="n">
        <f aca="false">J48+L48</f>
        <v>-0.14</v>
      </c>
      <c r="L48" s="16" t="n">
        <f aca="false">RANDBETWEEN(-30,90)/1000</f>
        <v>0</v>
      </c>
      <c r="M48" s="16" t="n">
        <f aca="false">+Chạy!N252</f>
        <v>9.32</v>
      </c>
      <c r="N48" s="16" t="n">
        <f aca="false">+M48+O48</f>
        <v>9.3202</v>
      </c>
      <c r="O48" s="16" t="n">
        <f aca="false">RANDBETWEEN(-105,115)/10000</f>
        <v>0.0002</v>
      </c>
      <c r="P48" s="16" t="n">
        <f aca="false">+Chạy!O252</f>
        <v>-0.26</v>
      </c>
      <c r="Q48" s="16" t="n">
        <f aca="false">P48+R48</f>
        <v>-0.287</v>
      </c>
      <c r="R48" s="16" t="n">
        <f aca="false">RANDBETWEEN(-30,90)/1000</f>
        <v>-0.027</v>
      </c>
      <c r="S48" s="17"/>
      <c r="T48" s="0" t="n">
        <v>11.75</v>
      </c>
    </row>
    <row r="49" customFormat="false" ht="15" hidden="false" customHeight="false" outlineLevel="0" collapsed="false">
      <c r="A49" s="13" t="n">
        <v>29</v>
      </c>
      <c r="B49" s="13" t="s">
        <v>44</v>
      </c>
      <c r="C49" s="15" t="n">
        <f aca="false">+C48+T48</f>
        <v>620.86</v>
      </c>
      <c r="D49" s="16" t="n">
        <f aca="false">+Chạy!F261</f>
        <v>-9.24</v>
      </c>
      <c r="E49" s="16" t="n">
        <f aca="false">+D49+F49</f>
        <v>-9.2391</v>
      </c>
      <c r="F49" s="16" t="n">
        <f aca="false">RANDBETWEEN(-105,115)/10000</f>
        <v>0.0009</v>
      </c>
      <c r="G49" s="16" t="n">
        <f aca="false">+Chạy!G261</f>
        <v>-0.26</v>
      </c>
      <c r="H49" s="16" t="n">
        <f aca="false">G49+I49</f>
        <v>-0.194</v>
      </c>
      <c r="I49" s="16" t="n">
        <f aca="false">RANDBETWEEN(-30,90)/1000</f>
        <v>0.066</v>
      </c>
      <c r="J49" s="16" t="n">
        <f aca="false">+Chạy!K261</f>
        <v>-0.14</v>
      </c>
      <c r="K49" s="16" t="n">
        <f aca="false">J49+L49</f>
        <v>-0.052</v>
      </c>
      <c r="L49" s="16" t="n">
        <f aca="false">RANDBETWEEN(-30,90)/1000</f>
        <v>0.088</v>
      </c>
      <c r="M49" s="16" t="n">
        <f aca="false">+Chạy!N261</f>
        <v>9.38</v>
      </c>
      <c r="N49" s="16" t="n">
        <f aca="false">+M49+O49</f>
        <v>9.3863</v>
      </c>
      <c r="O49" s="16" t="n">
        <f aca="false">RANDBETWEEN(-105,115)/10000</f>
        <v>0.0063</v>
      </c>
      <c r="P49" s="16" t="n">
        <f aca="false">+Chạy!O261</f>
        <v>-0.26</v>
      </c>
      <c r="Q49" s="16" t="n">
        <f aca="false">P49+R49</f>
        <v>-0.269</v>
      </c>
      <c r="R49" s="16" t="n">
        <f aca="false">RANDBETWEEN(-30,90)/1000</f>
        <v>-0.009</v>
      </c>
      <c r="S49" s="17"/>
      <c r="T49" s="0" t="n">
        <v>11.75</v>
      </c>
    </row>
    <row r="50" customFormat="false" ht="15" hidden="false" customHeight="false" outlineLevel="0" collapsed="false">
      <c r="A50" s="13" t="n">
        <v>30</v>
      </c>
      <c r="B50" s="13" t="s">
        <v>45</v>
      </c>
      <c r="C50" s="15" t="n">
        <f aca="false">+C49+T49</f>
        <v>632.61</v>
      </c>
      <c r="D50" s="16" t="n">
        <f aca="false">+Chạy!F270</f>
        <v>-9.97</v>
      </c>
      <c r="E50" s="16" t="n">
        <f aca="false">+D50+F50</f>
        <v>-9.9789</v>
      </c>
      <c r="F50" s="16" t="n">
        <f aca="false">RANDBETWEEN(-105,115)/10000</f>
        <v>-0.0089</v>
      </c>
      <c r="G50" s="16" t="n">
        <f aca="false">+Chạy!G270</f>
        <v>-0.26</v>
      </c>
      <c r="H50" s="16" t="n">
        <f aca="false">G50+I50</f>
        <v>-0.286</v>
      </c>
      <c r="I50" s="16" t="n">
        <f aca="false">RANDBETWEEN(-30,90)/1000</f>
        <v>-0.026</v>
      </c>
      <c r="J50" s="16" t="n">
        <f aca="false">+Chạy!K270</f>
        <v>-0.14</v>
      </c>
      <c r="K50" s="16" t="n">
        <f aca="false">J50+L50</f>
        <v>-0.109</v>
      </c>
      <c r="L50" s="16" t="n">
        <f aca="false">RANDBETWEEN(-30,90)/1000</f>
        <v>0.031</v>
      </c>
      <c r="M50" s="16" t="n">
        <f aca="false">+Chạy!N270</f>
        <v>10.13</v>
      </c>
      <c r="N50" s="16" t="n">
        <f aca="false">+M50+O50</f>
        <v>10.1396</v>
      </c>
      <c r="O50" s="16" t="n">
        <f aca="false">RANDBETWEEN(-105,115)/10000</f>
        <v>0.0096</v>
      </c>
      <c r="P50" s="16" t="n">
        <f aca="false">+Chạy!O270</f>
        <v>-0.26</v>
      </c>
      <c r="Q50" s="16" t="n">
        <f aca="false">P50+R50</f>
        <v>-0.208</v>
      </c>
      <c r="R50" s="16" t="n">
        <f aca="false">RANDBETWEEN(-30,90)/1000</f>
        <v>0.052</v>
      </c>
      <c r="S50" s="17"/>
      <c r="T50" s="0" t="n">
        <v>20</v>
      </c>
    </row>
    <row r="51" customFormat="false" ht="15" hidden="false" customHeight="false" outlineLevel="0" collapsed="false">
      <c r="A51" s="13" t="n">
        <v>31</v>
      </c>
      <c r="B51" s="13" t="s">
        <v>46</v>
      </c>
      <c r="C51" s="15" t="n">
        <f aca="false">+C50+T50</f>
        <v>652.61</v>
      </c>
      <c r="D51" s="16" t="n">
        <f aca="false">+Chạy!F279</f>
        <v>-15.1</v>
      </c>
      <c r="E51" s="16" t="n">
        <f aca="false">+D51+F51</f>
        <v>-15.0908</v>
      </c>
      <c r="F51" s="16" t="n">
        <f aca="false">RANDBETWEEN(-105,115)/10000</f>
        <v>0.0092</v>
      </c>
      <c r="G51" s="16" t="n">
        <f aca="false">+Chạy!G279</f>
        <v>-0.25</v>
      </c>
      <c r="H51" s="16" t="n">
        <f aca="false">G51+I51</f>
        <v>-0.24</v>
      </c>
      <c r="I51" s="16" t="n">
        <f aca="false">RANDBETWEEN(-30,90)/1000</f>
        <v>0.01</v>
      </c>
      <c r="J51" s="16" t="n">
        <f aca="false">+Chạy!K279</f>
        <v>-0.14</v>
      </c>
      <c r="K51" s="16" t="n">
        <f aca="false">J51+L51</f>
        <v>-0.146</v>
      </c>
      <c r="L51" s="16" t="n">
        <f aca="false">RANDBETWEEN(-30,90)/1000</f>
        <v>-0.006</v>
      </c>
      <c r="M51" s="16" t="n">
        <f aca="false">+Chạy!N279</f>
        <v>15.1</v>
      </c>
      <c r="N51" s="16" t="n">
        <f aca="false">+M51+O51</f>
        <v>15.0971</v>
      </c>
      <c r="O51" s="16" t="n">
        <f aca="false">RANDBETWEEN(-105,115)/10000</f>
        <v>-0.0029</v>
      </c>
      <c r="P51" s="16" t="n">
        <f aca="false">+Chạy!O279</f>
        <v>-0.25</v>
      </c>
      <c r="Q51" s="16" t="n">
        <f aca="false">P51+R51</f>
        <v>-0.188</v>
      </c>
      <c r="R51" s="16" t="n">
        <f aca="false">RANDBETWEEN(-30,90)/1000</f>
        <v>0.062</v>
      </c>
      <c r="S51" s="17"/>
      <c r="T51" s="0" t="n">
        <v>20</v>
      </c>
    </row>
    <row r="52" customFormat="false" ht="15" hidden="false" customHeight="false" outlineLevel="0" collapsed="false">
      <c r="A52" s="13" t="n">
        <v>32</v>
      </c>
      <c r="B52" s="13" t="s">
        <v>47</v>
      </c>
      <c r="C52" s="15" t="n">
        <f aca="false">+C51+T51</f>
        <v>672.61</v>
      </c>
      <c r="D52" s="16" t="n">
        <f aca="false">+Chạy!F288</f>
        <v>-9.83</v>
      </c>
      <c r="E52" s="16" t="n">
        <f aca="false">+D52+F52</f>
        <v>-9.8213</v>
      </c>
      <c r="F52" s="16" t="n">
        <f aca="false">RANDBETWEEN(-105,115)/10000</f>
        <v>0.0087</v>
      </c>
      <c r="G52" s="16" t="n">
        <f aca="false">+Chạy!G288</f>
        <v>-0.25</v>
      </c>
      <c r="H52" s="16" t="n">
        <f aca="false">G52+I52</f>
        <v>-0.178</v>
      </c>
      <c r="I52" s="16" t="n">
        <f aca="false">RANDBETWEEN(-30,90)/1000</f>
        <v>0.072</v>
      </c>
      <c r="J52" s="16" t="n">
        <f aca="false">+Chạy!K288</f>
        <v>-0.14</v>
      </c>
      <c r="K52" s="16" t="n">
        <f aca="false">J52+L52</f>
        <v>-0.147</v>
      </c>
      <c r="L52" s="16" t="n">
        <f aca="false">RANDBETWEEN(-30,90)/1000</f>
        <v>-0.007</v>
      </c>
      <c r="M52" s="16" t="n">
        <f aca="false">+Chạy!N288</f>
        <v>9.87</v>
      </c>
      <c r="N52" s="16" t="n">
        <f aca="false">+M52+O52</f>
        <v>9.8644</v>
      </c>
      <c r="O52" s="16" t="n">
        <f aca="false">RANDBETWEEN(-105,115)/10000</f>
        <v>-0.0056</v>
      </c>
      <c r="P52" s="16" t="n">
        <f aca="false">+Chạy!O288</f>
        <v>-0.25</v>
      </c>
      <c r="Q52" s="16" t="n">
        <f aca="false">P52+R52</f>
        <v>-0.274</v>
      </c>
      <c r="R52" s="16" t="n">
        <f aca="false">RANDBETWEEN(-30,90)/1000</f>
        <v>-0.024</v>
      </c>
      <c r="S52" s="17"/>
      <c r="T52" s="0" t="n">
        <v>20</v>
      </c>
    </row>
    <row r="53" customFormat="false" ht="15" hidden="false" customHeight="false" outlineLevel="0" collapsed="false">
      <c r="A53" s="13" t="n">
        <v>33</v>
      </c>
      <c r="B53" s="13" t="s">
        <v>48</v>
      </c>
      <c r="C53" s="15" t="n">
        <f aca="false">+C52+T52</f>
        <v>692.61</v>
      </c>
      <c r="D53" s="16" t="n">
        <f aca="false">+Chạy!F297</f>
        <v>-15.1</v>
      </c>
      <c r="E53" s="16" t="n">
        <f aca="false">+D53+F53</f>
        <v>-15.1079</v>
      </c>
      <c r="F53" s="16" t="n">
        <f aca="false">RANDBETWEEN(-105,115)/10000</f>
        <v>-0.0079</v>
      </c>
      <c r="G53" s="16" t="n">
        <f aca="false">+Chạy!G297</f>
        <v>-0.25</v>
      </c>
      <c r="H53" s="16" t="n">
        <f aca="false">G53+I53</f>
        <v>-0.254</v>
      </c>
      <c r="I53" s="16" t="n">
        <f aca="false">RANDBETWEEN(-30,90)/1000</f>
        <v>-0.004</v>
      </c>
      <c r="J53" s="16" t="n">
        <f aca="false">+Chạy!K297</f>
        <v>-0.13</v>
      </c>
      <c r="K53" s="16" t="n">
        <f aca="false">J53+L53</f>
        <v>-0.137</v>
      </c>
      <c r="L53" s="16" t="n">
        <f aca="false">RANDBETWEEN(-30,90)/1000</f>
        <v>-0.007</v>
      </c>
      <c r="M53" s="16" t="n">
        <f aca="false">+Chạy!N297</f>
        <v>15.1</v>
      </c>
      <c r="N53" s="16" t="n">
        <f aca="false">+M53+O53</f>
        <v>15.0999</v>
      </c>
      <c r="O53" s="16" t="n">
        <f aca="false">RANDBETWEEN(-105,115)/10000</f>
        <v>-0.0001</v>
      </c>
      <c r="P53" s="16" t="n">
        <f aca="false">+Chạy!O297</f>
        <v>-0.25</v>
      </c>
      <c r="Q53" s="16" t="n">
        <f aca="false">P53+R53</f>
        <v>-0.226</v>
      </c>
      <c r="R53" s="16" t="n">
        <f aca="false">RANDBETWEEN(-30,90)/1000</f>
        <v>0.024</v>
      </c>
      <c r="S53" s="17"/>
      <c r="T53" s="0" t="n">
        <v>20</v>
      </c>
    </row>
    <row r="54" customFormat="false" ht="15" hidden="false" customHeight="false" outlineLevel="0" collapsed="false">
      <c r="A54" s="13" t="n">
        <v>34</v>
      </c>
      <c r="B54" s="13" t="s">
        <v>49</v>
      </c>
      <c r="C54" s="15" t="n">
        <f aca="false">+C53+T53</f>
        <v>712.61</v>
      </c>
      <c r="D54" s="16" t="n">
        <f aca="false">+Chạy!F306</f>
        <v>-6.45</v>
      </c>
      <c r="E54" s="16" t="n">
        <f aca="false">+D54+F54</f>
        <v>-6.443</v>
      </c>
      <c r="F54" s="16" t="n">
        <f aca="false">RANDBETWEEN(-105,115)/10000</f>
        <v>0.007</v>
      </c>
      <c r="G54" s="16" t="n">
        <f aca="false">+Chạy!G306</f>
        <v>-0.25</v>
      </c>
      <c r="H54" s="16" t="n">
        <f aca="false">G54+I54</f>
        <v>-0.219</v>
      </c>
      <c r="I54" s="16" t="n">
        <f aca="false">RANDBETWEEN(-30,90)/1000</f>
        <v>0.031</v>
      </c>
      <c r="J54" s="16" t="n">
        <f aca="false">+Chạy!K306</f>
        <v>-0.13</v>
      </c>
      <c r="K54" s="16" t="n">
        <f aca="false">J54+L54</f>
        <v>-0.041</v>
      </c>
      <c r="L54" s="16" t="n">
        <f aca="false">RANDBETWEEN(-30,90)/1000</f>
        <v>0.089</v>
      </c>
      <c r="M54" s="16" t="n">
        <f aca="false">+Chạy!N306</f>
        <v>15.1</v>
      </c>
      <c r="N54" s="16" t="n">
        <f aca="false">+M54+O54</f>
        <v>15.1055</v>
      </c>
      <c r="O54" s="16" t="n">
        <f aca="false">RANDBETWEEN(-105,115)/10000</f>
        <v>0.0055</v>
      </c>
      <c r="P54" s="16" t="n">
        <f aca="false">+Chạy!O306</f>
        <v>-0.25</v>
      </c>
      <c r="Q54" s="16" t="n">
        <f aca="false">P54+R54</f>
        <v>-0.216</v>
      </c>
      <c r="R54" s="16" t="n">
        <f aca="false">RANDBETWEEN(-30,90)/1000</f>
        <v>0.034</v>
      </c>
      <c r="S54" s="17"/>
      <c r="T54" s="0" t="n">
        <v>11.5</v>
      </c>
    </row>
    <row r="55" customFormat="false" ht="15" hidden="false" customHeight="false" outlineLevel="0" collapsed="false">
      <c r="A55" s="13" t="n">
        <v>35</v>
      </c>
      <c r="B55" s="13" t="s">
        <v>50</v>
      </c>
      <c r="C55" s="15" t="n">
        <f aca="false">+C54+T54</f>
        <v>724.11</v>
      </c>
      <c r="D55" s="16" t="n">
        <f aca="false">+Chạy!F315</f>
        <v>-15.1</v>
      </c>
      <c r="E55" s="16" t="n">
        <f aca="false">+D55+F55</f>
        <v>-15.0889</v>
      </c>
      <c r="F55" s="16" t="n">
        <f aca="false">RANDBETWEEN(-105,115)/10000</f>
        <v>0.0111</v>
      </c>
      <c r="G55" s="16" t="n">
        <f aca="false">+Chạy!G315</f>
        <v>-0.25</v>
      </c>
      <c r="H55" s="16" t="n">
        <f aca="false">G55+I55</f>
        <v>-0.226</v>
      </c>
      <c r="I55" s="16" t="n">
        <f aca="false">RANDBETWEEN(-30,90)/1000</f>
        <v>0.024</v>
      </c>
      <c r="J55" s="16" t="n">
        <f aca="false">+Chạy!K315</f>
        <v>-0.13</v>
      </c>
      <c r="K55" s="16" t="n">
        <f aca="false">J55+L55</f>
        <v>-0.046</v>
      </c>
      <c r="L55" s="16" t="n">
        <f aca="false">RANDBETWEEN(-30,90)/1000</f>
        <v>0.084</v>
      </c>
      <c r="M55" s="16" t="n">
        <f aca="false">+Chạy!N315</f>
        <v>9.44</v>
      </c>
      <c r="N55" s="16" t="n">
        <f aca="false">+M55+O55</f>
        <v>9.438</v>
      </c>
      <c r="O55" s="16" t="n">
        <f aca="false">RANDBETWEEN(-105,115)/10000</f>
        <v>-0.002</v>
      </c>
      <c r="P55" s="16" t="n">
        <f aca="false">+Chạy!O315</f>
        <v>-0.25</v>
      </c>
      <c r="Q55" s="16" t="n">
        <f aca="false">P55+R55</f>
        <v>-0.276</v>
      </c>
      <c r="R55" s="16" t="n">
        <f aca="false">RANDBETWEEN(-30,90)/1000</f>
        <v>-0.026</v>
      </c>
      <c r="S55" s="17"/>
      <c r="T55" s="0" t="n">
        <v>13.25</v>
      </c>
    </row>
    <row r="56" customFormat="false" ht="15" hidden="false" customHeight="false" outlineLevel="0" collapsed="false">
      <c r="A56" s="13" t="n">
        <v>36</v>
      </c>
      <c r="B56" s="13" t="s">
        <v>51</v>
      </c>
      <c r="C56" s="15" t="n">
        <f aca="false">+C55+T55</f>
        <v>737.36</v>
      </c>
      <c r="D56" s="16" t="n">
        <f aca="false">+Chạy!F324</f>
        <v>-9.78</v>
      </c>
      <c r="E56" s="16" t="n">
        <f aca="false">+D56+F56</f>
        <v>-9.7807</v>
      </c>
      <c r="F56" s="16" t="n">
        <f aca="false">RANDBETWEEN(-105,115)/10000</f>
        <v>-0.0007</v>
      </c>
      <c r="G56" s="16" t="n">
        <f aca="false">+Chạy!G324</f>
        <v>-0.24</v>
      </c>
      <c r="H56" s="16" t="n">
        <f aca="false">G56+I56</f>
        <v>-0.169</v>
      </c>
      <c r="I56" s="16" t="n">
        <f aca="false">RANDBETWEEN(-30,90)/1000</f>
        <v>0.071</v>
      </c>
      <c r="J56" s="16" t="n">
        <f aca="false">+Chạy!K324</f>
        <v>-0.13</v>
      </c>
      <c r="K56" s="16" t="n">
        <f aca="false">J56+L56</f>
        <v>-0.056</v>
      </c>
      <c r="L56" s="16" t="n">
        <f aca="false">RANDBETWEEN(-30,90)/1000</f>
        <v>0.074</v>
      </c>
      <c r="M56" s="16" t="n">
        <f aca="false">+Chạy!N324</f>
        <v>9.91</v>
      </c>
      <c r="N56" s="16" t="n">
        <f aca="false">+M56+O56</f>
        <v>9.9215</v>
      </c>
      <c r="O56" s="16" t="n">
        <f aca="false">RANDBETWEEN(-105,115)/10000</f>
        <v>0.0115</v>
      </c>
      <c r="P56" s="16" t="n">
        <f aca="false">+Chạy!O324</f>
        <v>-0.24</v>
      </c>
      <c r="Q56" s="16" t="n">
        <f aca="false">P56+R56</f>
        <v>-0.196</v>
      </c>
      <c r="R56" s="16" t="n">
        <f aca="false">RANDBETWEEN(-30,90)/1000</f>
        <v>0.044</v>
      </c>
      <c r="S56" s="17"/>
    </row>
    <row r="57" customFormat="false" ht="15" hidden="true" customHeight="false" outlineLevel="0" collapsed="false">
      <c r="A57" s="13"/>
      <c r="B57" s="13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2" hidden="false" customHeight="true" outlineLevel="0" collapsed="false"/>
    <row r="62" customFormat="false" ht="15" hidden="false" customHeight="false" outlineLevel="0" collapsed="false">
      <c r="C62" s="19" t="s">
        <v>74</v>
      </c>
      <c r="D62" s="19"/>
      <c r="E62" s="19"/>
      <c r="F62" s="19"/>
      <c r="G62" s="19"/>
      <c r="H62" s="19"/>
      <c r="I62" s="19"/>
      <c r="K62" s="20"/>
      <c r="L62" s="20"/>
      <c r="M62" s="20"/>
      <c r="N62" s="20"/>
      <c r="O62" s="19" t="s">
        <v>75</v>
      </c>
      <c r="P62" s="19"/>
      <c r="Q62" s="19"/>
      <c r="R62" s="19"/>
    </row>
    <row r="63" customFormat="false" ht="15" hidden="false" customHeight="false" outlineLevel="0" collapsed="false">
      <c r="E63" s="21"/>
      <c r="F63" s="21"/>
      <c r="G63" s="21"/>
      <c r="H63" s="21"/>
      <c r="K63" s="21"/>
      <c r="L63" s="21"/>
      <c r="M63" s="21"/>
      <c r="N63" s="21"/>
      <c r="O63" s="21"/>
      <c r="P63" s="21"/>
      <c r="Q63" s="21"/>
      <c r="R63" s="21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B67" s="88"/>
      <c r="C67" s="89" t="s">
        <v>76</v>
      </c>
      <c r="D67" s="89"/>
      <c r="E67" s="89"/>
      <c r="F67" s="89"/>
      <c r="G67" s="89"/>
      <c r="H67" s="89"/>
      <c r="I67" s="89"/>
      <c r="J67" s="88"/>
      <c r="K67" s="90"/>
      <c r="L67" s="90"/>
      <c r="M67" s="90"/>
      <c r="N67" s="90"/>
      <c r="O67" s="89" t="s">
        <v>77</v>
      </c>
      <c r="P67" s="89"/>
      <c r="Q67" s="89"/>
      <c r="R67" s="89"/>
      <c r="S67" s="88"/>
    </row>
    <row r="68" customFormat="false" ht="17.25" hidden="false" customHeight="true" outlineLevel="0" collapsed="false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</sheetData>
  <mergeCells count="13">
    <mergeCell ref="A1:S1"/>
    <mergeCell ref="A2:S2"/>
    <mergeCell ref="A19:A20"/>
    <mergeCell ref="B19:B20"/>
    <mergeCell ref="C19:C20"/>
    <mergeCell ref="D19:I19"/>
    <mergeCell ref="J19:L19"/>
    <mergeCell ref="M19:R19"/>
    <mergeCell ref="S19:S20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true" showOutlineSymbols="true" defaultGridColor="true" view="normal" topLeftCell="A4" colorId="64" zoomScale="70" zoomScaleNormal="70" zoomScalePageLayoutView="100" workbookViewId="0">
      <selection pane="topLeft" activeCell="AD52" activeCellId="0" sqref="AD52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true" hidden="false" outlineLevel="0" max="31" min="30" style="22" width="11.85"/>
    <col collapsed="false" customWidth="true" hidden="false" outlineLevel="0" max="32" min="32" style="22" width="13.86"/>
    <col collapsed="false" customWidth="true" hidden="false" outlineLevel="0" max="38" min="33" style="22" width="10.57"/>
    <col collapsed="false" customWidth="true" hidden="false" outlineLevel="0" max="39" min="39" style="22" width="11.85"/>
    <col collapsed="false" customWidth="false" hidden="false" outlineLevel="0" max="16384" min="40" style="22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87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57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5.25" hidden="false" customHeight="true" outlineLevel="0" collapsed="false">
      <c r="A7" s="33" t="s">
        <v>58</v>
      </c>
      <c r="B7" s="34"/>
      <c r="D7" s="35" t="s">
        <v>88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62</v>
      </c>
      <c r="C9" s="37" t="s">
        <v>63</v>
      </c>
      <c r="D9" s="38" t="s">
        <v>79</v>
      </c>
      <c r="E9" s="39"/>
      <c r="F9" s="39"/>
      <c r="G9" s="38"/>
      <c r="H9" s="39"/>
      <c r="I9" s="39"/>
      <c r="J9" s="39"/>
      <c r="K9" s="39"/>
      <c r="L9" s="39"/>
      <c r="M9" s="40" t="s">
        <v>80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67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81</v>
      </c>
      <c r="O10" s="40" t="s">
        <v>82</v>
      </c>
      <c r="P10" s="40" t="s">
        <v>81</v>
      </c>
      <c r="Q10" s="40" t="s">
        <v>81</v>
      </c>
      <c r="R10" s="40"/>
      <c r="S10" s="40"/>
      <c r="T10" s="40"/>
      <c r="U10" s="40" t="s">
        <v>83</v>
      </c>
      <c r="V10" s="40" t="s">
        <v>83</v>
      </c>
      <c r="W10" s="40" t="s">
        <v>84</v>
      </c>
      <c r="X10" s="40" t="s">
        <v>83</v>
      </c>
      <c r="Y10" s="40" t="s">
        <v>83</v>
      </c>
      <c r="Z10" s="45"/>
      <c r="AA10" s="45"/>
      <c r="AB10" s="38"/>
      <c r="AC10" s="46"/>
      <c r="AD10" s="47"/>
      <c r="AE10" s="47"/>
    </row>
    <row r="11" s="49" customFormat="true" ht="15" hidden="false" customHeight="true" outlineLevel="0" collapsed="false">
      <c r="A11" s="13" t="n">
        <v>1</v>
      </c>
      <c r="B11" s="13" t="str">
        <f aca="false">'2.KTHH L2'!B21</f>
        <v>B4</v>
      </c>
      <c r="C11" s="51" t="n">
        <f aca="false">'2.KTHH L2'!C21</f>
        <v>211</v>
      </c>
      <c r="D11" s="13" t="n">
        <f aca="false">'2.KTHH L2'!T21</f>
        <v>13.25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Chạy!E9</f>
        <v>5.05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68.03875</v>
      </c>
      <c r="X11" s="55"/>
      <c r="Y11" s="55"/>
      <c r="Z11" s="55"/>
      <c r="AA11" s="55"/>
      <c r="AB11" s="56"/>
      <c r="AC11" s="57"/>
      <c r="AE11" s="92"/>
    </row>
    <row r="12" s="49" customFormat="true" ht="15" hidden="false" customHeight="true" outlineLevel="0" collapsed="false">
      <c r="A12" s="13" t="n">
        <v>2</v>
      </c>
      <c r="B12" s="13" t="str">
        <f aca="false">'2.KTHH L2'!B22</f>
        <v>12</v>
      </c>
      <c r="C12" s="51" t="n">
        <f aca="false">'2.KTHH L2'!C22</f>
        <v>224.25</v>
      </c>
      <c r="D12" s="13" t="n">
        <f aca="false">'2.KTHH L2'!T22</f>
        <v>21.5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Chạy!E18</f>
        <v>5.22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98.3625</v>
      </c>
      <c r="X12" s="55"/>
      <c r="Y12" s="55"/>
      <c r="Z12" s="55"/>
      <c r="AA12" s="55"/>
      <c r="AB12" s="56"/>
      <c r="AC12" s="57"/>
      <c r="AE12" s="92"/>
    </row>
    <row r="13" s="49" customFormat="true" ht="15" hidden="false" customHeight="true" outlineLevel="0" collapsed="false">
      <c r="A13" s="13" t="n">
        <v>3</v>
      </c>
      <c r="B13" s="13" t="str">
        <f aca="false">'2.KTHH L2'!B23</f>
        <v>13</v>
      </c>
      <c r="C13" s="51" t="n">
        <f aca="false">'2.KTHH L2'!C23</f>
        <v>245.75</v>
      </c>
      <c r="D13" s="13" t="n">
        <f aca="false">'2.KTHH L2'!T23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Chạy!E27</f>
        <v>3.93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45.88375</v>
      </c>
      <c r="X13" s="55"/>
      <c r="Y13" s="55"/>
      <c r="Z13" s="55"/>
      <c r="AA13" s="55"/>
      <c r="AB13" s="56"/>
      <c r="AC13" s="57"/>
      <c r="AE13" s="92"/>
    </row>
    <row r="14" s="49" customFormat="true" ht="15" hidden="false" customHeight="true" outlineLevel="0" collapsed="false">
      <c r="A14" s="13" t="n">
        <v>4</v>
      </c>
      <c r="B14" s="13" t="str">
        <f aca="false">'2.KTHH L2'!B24</f>
        <v>B5</v>
      </c>
      <c r="C14" s="51" t="n">
        <f aca="false">'2.KTHH L2'!C24</f>
        <v>257.5</v>
      </c>
      <c r="D14" s="13" t="n">
        <f aca="false">'2.KTHH L2'!T24</f>
        <v>11.75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Chạy!E36</f>
        <v>3.88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45.53125</v>
      </c>
      <c r="X14" s="55"/>
      <c r="Y14" s="55"/>
      <c r="Z14" s="55"/>
      <c r="AA14" s="55"/>
      <c r="AB14" s="56"/>
      <c r="AC14" s="57"/>
      <c r="AE14" s="92"/>
    </row>
    <row r="15" s="49" customFormat="true" ht="15" hidden="false" customHeight="true" outlineLevel="0" collapsed="false">
      <c r="A15" s="13" t="n">
        <v>5</v>
      </c>
      <c r="B15" s="13" t="str">
        <f aca="false">'2.KTHH L2'!B25</f>
        <v>14</v>
      </c>
      <c r="C15" s="51" t="n">
        <f aca="false">'2.KTHH L2'!C25</f>
        <v>269.25</v>
      </c>
      <c r="D15" s="13" t="n">
        <f aca="false">'2.KTHH L2'!T25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Chạy!E45</f>
        <v>3.87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77.4</v>
      </c>
      <c r="X15" s="55"/>
      <c r="Y15" s="55"/>
      <c r="Z15" s="55"/>
      <c r="AA15" s="55"/>
      <c r="AB15" s="56"/>
      <c r="AC15" s="57"/>
      <c r="AE15" s="92"/>
    </row>
    <row r="16" s="49" customFormat="true" ht="15" hidden="false" customHeight="true" outlineLevel="0" collapsed="false">
      <c r="A16" s="13" t="n">
        <v>6</v>
      </c>
      <c r="B16" s="13" t="str">
        <f aca="false">'2.KTHH L2'!B26</f>
        <v>15</v>
      </c>
      <c r="C16" s="51" t="n">
        <f aca="false">'2.KTHH L2'!C26</f>
        <v>289.25</v>
      </c>
      <c r="D16" s="13" t="n">
        <f aca="false">'2.KTHH L2'!T26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Chạy!E54</f>
        <v>3.87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77.3</v>
      </c>
      <c r="X16" s="55"/>
      <c r="Y16" s="55"/>
      <c r="Z16" s="55"/>
      <c r="AA16" s="55"/>
      <c r="AB16" s="56"/>
      <c r="AC16" s="57"/>
      <c r="AE16" s="92"/>
    </row>
    <row r="17" s="49" customFormat="true" ht="15" hidden="false" customHeight="true" outlineLevel="0" collapsed="false">
      <c r="A17" s="13" t="n">
        <v>7</v>
      </c>
      <c r="B17" s="13" t="str">
        <f aca="false">'2.KTHH L2'!B27</f>
        <v>16</v>
      </c>
      <c r="C17" s="51" t="n">
        <f aca="false">'2.KTHH L2'!C27</f>
        <v>309.25</v>
      </c>
      <c r="D17" s="13" t="n">
        <f aca="false">'2.KTHH L2'!T27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Chạy!E63</f>
        <v>3.86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77.1</v>
      </c>
      <c r="X17" s="55"/>
      <c r="Y17" s="55"/>
      <c r="Z17" s="55"/>
      <c r="AA17" s="55"/>
      <c r="AB17" s="56"/>
      <c r="AC17" s="57"/>
      <c r="AE17" s="92"/>
    </row>
    <row r="18" s="49" customFormat="true" ht="15" hidden="false" customHeight="true" outlineLevel="0" collapsed="false">
      <c r="A18" s="13" t="n">
        <v>8</v>
      </c>
      <c r="B18" s="13" t="str">
        <f aca="false">'2.KTHH L2'!B28</f>
        <v>17</v>
      </c>
      <c r="C18" s="51" t="n">
        <f aca="false">'2.KTHH L2'!C28</f>
        <v>329.25</v>
      </c>
      <c r="D18" s="13" t="n">
        <f aca="false">'2.KTHH L2'!T28</f>
        <v>20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Chạy!E72</f>
        <v>3.85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77</v>
      </c>
      <c r="X18" s="55"/>
      <c r="Y18" s="55"/>
      <c r="Z18" s="55"/>
      <c r="AA18" s="55"/>
      <c r="AB18" s="56"/>
      <c r="AC18" s="57"/>
      <c r="AE18" s="92"/>
    </row>
    <row r="19" s="49" customFormat="true" ht="15" hidden="false" customHeight="true" outlineLevel="0" collapsed="false">
      <c r="A19" s="13" t="n">
        <v>9</v>
      </c>
      <c r="B19" s="13" t="str">
        <f aca="false">'2.KTHH L2'!B29</f>
        <v>18</v>
      </c>
      <c r="C19" s="51" t="n">
        <f aca="false">'2.KTHH L2'!C29</f>
        <v>349.25</v>
      </c>
      <c r="D19" s="13" t="n">
        <f aca="false">'2.KTHH L2'!T29</f>
        <v>19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Chạy!E81</f>
        <v>3.85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83.315</v>
      </c>
      <c r="X19" s="55"/>
      <c r="Y19" s="55"/>
      <c r="Z19" s="55"/>
      <c r="AA19" s="55"/>
      <c r="AB19" s="56"/>
      <c r="AC19" s="57"/>
      <c r="AE19" s="92"/>
    </row>
    <row r="20" s="49" customFormat="true" ht="15" hidden="false" customHeight="true" outlineLevel="0" collapsed="false">
      <c r="A20" s="13" t="n">
        <v>10</v>
      </c>
      <c r="B20" s="13" t="str">
        <f aca="false">'2.KTHH L2'!B30</f>
        <v>19</v>
      </c>
      <c r="C20" s="51" t="n">
        <f aca="false">'2.KTHH L2'!C30</f>
        <v>368.25</v>
      </c>
      <c r="D20" s="13" t="n">
        <f aca="false">'2.KTHH L2'!T30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Chạy!E90</f>
        <v>4.92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72.80875</v>
      </c>
      <c r="X20" s="55"/>
      <c r="Y20" s="55"/>
      <c r="Z20" s="55"/>
      <c r="AA20" s="55"/>
      <c r="AB20" s="56"/>
      <c r="AC20" s="57"/>
      <c r="AE20" s="92"/>
    </row>
    <row r="21" s="49" customFormat="true" ht="15" hidden="false" customHeight="true" outlineLevel="0" collapsed="false">
      <c r="A21" s="13" t="n">
        <v>11</v>
      </c>
      <c r="B21" s="13" t="str">
        <f aca="false">'2.KTHH L2'!B31</f>
        <v>C2</v>
      </c>
      <c r="C21" s="51" t="n">
        <f aca="false">'2.KTHH L2'!C31</f>
        <v>381.5</v>
      </c>
      <c r="D21" s="13" t="n">
        <f aca="false">'2.KTHH L2'!T31</f>
        <v>13.25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Chạy!E99</f>
        <v>6.07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79.235</v>
      </c>
      <c r="X21" s="55"/>
      <c r="Y21" s="55"/>
      <c r="Z21" s="55"/>
      <c r="AA21" s="55"/>
      <c r="AB21" s="56"/>
      <c r="AC21" s="57"/>
      <c r="AE21" s="92"/>
    </row>
    <row r="22" s="49" customFormat="true" ht="15" hidden="false" customHeight="true" outlineLevel="0" collapsed="false">
      <c r="A22" s="13" t="n">
        <v>12</v>
      </c>
      <c r="B22" s="13" t="str">
        <f aca="false">'2.KTHH L2'!B32</f>
        <v>20</v>
      </c>
      <c r="C22" s="51" t="n">
        <f aca="false">'2.KTHH L2'!C32</f>
        <v>394.75</v>
      </c>
      <c r="D22" s="13" t="n">
        <f aca="false">'2.KTHH L2'!T32</f>
        <v>20</v>
      </c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Chạy!E108</f>
        <v>5.89</v>
      </c>
      <c r="P22" s="53"/>
      <c r="Q22" s="53"/>
      <c r="R22" s="55"/>
      <c r="S22" s="55"/>
      <c r="T22" s="55"/>
      <c r="U22" s="55"/>
      <c r="V22" s="55"/>
      <c r="W22" s="55" t="n">
        <f aca="false">(O22+O23)*D22/2</f>
        <v>116.6</v>
      </c>
      <c r="X22" s="55"/>
      <c r="Y22" s="55"/>
      <c r="Z22" s="55"/>
      <c r="AA22" s="55"/>
      <c r="AB22" s="56"/>
      <c r="AC22" s="57"/>
      <c r="AE22" s="92"/>
    </row>
    <row r="23" s="49" customFormat="true" ht="15" hidden="false" customHeight="true" outlineLevel="0" collapsed="false">
      <c r="A23" s="13" t="n">
        <v>13</v>
      </c>
      <c r="B23" s="13" t="str">
        <f aca="false">'2.KTHH L2'!B33</f>
        <v>21</v>
      </c>
      <c r="C23" s="51" t="n">
        <f aca="false">'2.KTHH L2'!C33</f>
        <v>414.75</v>
      </c>
      <c r="D23" s="13" t="n">
        <f aca="false">'2.KTHH L2'!T33</f>
        <v>20</v>
      </c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 t="n">
        <f aca="false">Chạy!E117</f>
        <v>5.77</v>
      </c>
      <c r="P23" s="53"/>
      <c r="Q23" s="53"/>
      <c r="R23" s="55"/>
      <c r="S23" s="55"/>
      <c r="T23" s="55"/>
      <c r="U23" s="55"/>
      <c r="V23" s="55"/>
      <c r="W23" s="55" t="n">
        <f aca="false">(O23+O24)*D23/2</f>
        <v>112.8</v>
      </c>
      <c r="X23" s="55"/>
      <c r="Y23" s="55"/>
      <c r="Z23" s="55"/>
      <c r="AA23" s="55"/>
      <c r="AB23" s="56"/>
      <c r="AC23" s="57"/>
      <c r="AE23" s="92"/>
    </row>
    <row r="24" s="49" customFormat="true" ht="15" hidden="false" customHeight="true" outlineLevel="0" collapsed="false">
      <c r="A24" s="13" t="n">
        <v>14</v>
      </c>
      <c r="B24" s="13" t="str">
        <f aca="false">'2.KTHH L2'!B34</f>
        <v>22</v>
      </c>
      <c r="C24" s="51" t="n">
        <f aca="false">'2.KTHH L2'!C34</f>
        <v>434.75</v>
      </c>
      <c r="D24" s="13" t="n">
        <f aca="false">'2.KTHH L2'!T34</f>
        <v>20</v>
      </c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 t="n">
        <f aca="false">Chạy!E126</f>
        <v>5.51</v>
      </c>
      <c r="P24" s="53"/>
      <c r="Q24" s="53"/>
      <c r="R24" s="55"/>
      <c r="S24" s="55"/>
      <c r="T24" s="55"/>
      <c r="U24" s="55"/>
      <c r="V24" s="55"/>
      <c r="W24" s="55" t="n">
        <f aca="false">(O24+O25)*D24/2</f>
        <v>105.6</v>
      </c>
      <c r="X24" s="55"/>
      <c r="Y24" s="55"/>
      <c r="Z24" s="55"/>
      <c r="AA24" s="55"/>
      <c r="AB24" s="56"/>
      <c r="AC24" s="57"/>
      <c r="AE24" s="92"/>
    </row>
    <row r="25" s="49" customFormat="true" ht="15" hidden="false" customHeight="true" outlineLevel="0" collapsed="false">
      <c r="A25" s="13" t="n">
        <v>15</v>
      </c>
      <c r="B25" s="13" t="str">
        <f aca="false">'2.KTHH L2'!B35</f>
        <v>23</v>
      </c>
      <c r="C25" s="51" t="n">
        <f aca="false">'2.KTHH L2'!C35</f>
        <v>454.75</v>
      </c>
      <c r="D25" s="13" t="n">
        <f aca="false">'2.KTHH L2'!T35</f>
        <v>20</v>
      </c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 t="n">
        <f aca="false">Chạy!E135</f>
        <v>5.05</v>
      </c>
      <c r="P25" s="53"/>
      <c r="Q25" s="53"/>
      <c r="R25" s="55"/>
      <c r="S25" s="55"/>
      <c r="T25" s="55"/>
      <c r="U25" s="55"/>
      <c r="V25" s="55"/>
      <c r="W25" s="55" t="n">
        <f aca="false">(O25+O26)*D25/2</f>
        <v>100.7</v>
      </c>
      <c r="X25" s="55"/>
      <c r="Y25" s="55"/>
      <c r="Z25" s="55"/>
      <c r="AA25" s="55"/>
      <c r="AB25" s="56"/>
      <c r="AC25" s="57"/>
      <c r="AE25" s="92"/>
    </row>
    <row r="26" s="49" customFormat="true" ht="15" hidden="false" customHeight="true" outlineLevel="0" collapsed="false">
      <c r="A26" s="13" t="n">
        <v>16</v>
      </c>
      <c r="B26" s="13" t="str">
        <f aca="false">'2.KTHH L2'!B36</f>
        <v>24</v>
      </c>
      <c r="C26" s="51" t="n">
        <f aca="false">'2.KTHH L2'!C36</f>
        <v>474.75</v>
      </c>
      <c r="D26" s="13" t="n">
        <f aca="false">'2.KTHH L2'!T36</f>
        <v>14.44</v>
      </c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 t="n">
        <f aca="false">Chạy!E144</f>
        <v>5.02</v>
      </c>
      <c r="P26" s="53"/>
      <c r="Q26" s="53"/>
      <c r="R26" s="55"/>
      <c r="S26" s="55"/>
      <c r="T26" s="55"/>
      <c r="U26" s="55"/>
      <c r="V26" s="55"/>
      <c r="W26" s="55" t="n">
        <f aca="false">(O26+O27)*D26/2</f>
        <v>66.063</v>
      </c>
      <c r="X26" s="55"/>
      <c r="Y26" s="55"/>
      <c r="Z26" s="55"/>
      <c r="AA26" s="55"/>
      <c r="AB26" s="56"/>
      <c r="AC26" s="57"/>
      <c r="AE26" s="92"/>
    </row>
    <row r="27" s="49" customFormat="true" ht="15" hidden="false" customHeight="true" outlineLevel="0" collapsed="false">
      <c r="A27" s="13" t="n">
        <v>17</v>
      </c>
      <c r="B27" s="13" t="str">
        <f aca="false">'2.KTHH L2'!B37</f>
        <v>25</v>
      </c>
      <c r="C27" s="51" t="n">
        <f aca="false">'2.KTHH L2'!C37</f>
        <v>489.19</v>
      </c>
      <c r="D27" s="13" t="n">
        <f aca="false">'2.KTHH L2'!T37</f>
        <v>13.17</v>
      </c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 t="n">
        <f aca="false">Chạy!E153</f>
        <v>4.13</v>
      </c>
      <c r="P27" s="53"/>
      <c r="Q27" s="53"/>
      <c r="R27" s="55"/>
      <c r="S27" s="55"/>
      <c r="T27" s="55"/>
      <c r="U27" s="55"/>
      <c r="V27" s="55"/>
      <c r="W27" s="55" t="n">
        <f aca="false">(O27+O28)*D27/2</f>
        <v>60.9771</v>
      </c>
      <c r="X27" s="55"/>
      <c r="Y27" s="55"/>
      <c r="Z27" s="55"/>
      <c r="AA27" s="55"/>
      <c r="AB27" s="56"/>
      <c r="AC27" s="57"/>
      <c r="AE27" s="92"/>
    </row>
    <row r="28" s="49" customFormat="true" ht="15" hidden="false" customHeight="true" outlineLevel="0" collapsed="false">
      <c r="A28" s="13" t="n">
        <v>18</v>
      </c>
      <c r="B28" s="13" t="str">
        <f aca="false">'2.KTHH L2'!B38</f>
        <v>D1</v>
      </c>
      <c r="C28" s="51" t="n">
        <f aca="false">'2.KTHH L2'!C38</f>
        <v>502.36</v>
      </c>
      <c r="D28" s="13" t="n">
        <f aca="false">'2.KTHH L2'!T38</f>
        <v>10.48</v>
      </c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 t="n">
        <f aca="false">Chạy!E162</f>
        <v>5.13</v>
      </c>
      <c r="P28" s="53"/>
      <c r="Q28" s="53"/>
      <c r="R28" s="55"/>
      <c r="S28" s="55"/>
      <c r="T28" s="55"/>
      <c r="U28" s="55"/>
      <c r="V28" s="55"/>
      <c r="W28" s="55" t="n">
        <f aca="false">(O28+O29)*D28/2</f>
        <v>52.4524</v>
      </c>
      <c r="X28" s="55"/>
      <c r="Y28" s="55"/>
      <c r="Z28" s="55"/>
      <c r="AA28" s="55"/>
      <c r="AB28" s="56"/>
      <c r="AC28" s="57"/>
      <c r="AE28" s="92"/>
    </row>
    <row r="29" s="49" customFormat="true" ht="15" hidden="false" customHeight="true" outlineLevel="0" collapsed="false">
      <c r="A29" s="13" t="n">
        <v>19</v>
      </c>
      <c r="B29" s="13" t="str">
        <f aca="false">'2.KTHH L2'!B39</f>
        <v>26</v>
      </c>
      <c r="C29" s="51" t="n">
        <f aca="false">'2.KTHH L2'!C39</f>
        <v>512.84</v>
      </c>
      <c r="D29" s="13" t="n">
        <f aca="false">'2.KTHH L2'!T39</f>
        <v>16.78</v>
      </c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 t="n">
        <f aca="false">Chạy!E171</f>
        <v>4.88</v>
      </c>
      <c r="P29" s="53"/>
      <c r="Q29" s="53"/>
      <c r="R29" s="55"/>
      <c r="S29" s="55"/>
      <c r="T29" s="55"/>
      <c r="U29" s="55"/>
      <c r="V29" s="55"/>
      <c r="W29" s="55" t="n">
        <f aca="false">(O29+O30)*D29/2</f>
        <v>83.3966</v>
      </c>
      <c r="X29" s="55"/>
      <c r="Y29" s="55"/>
      <c r="Z29" s="55"/>
      <c r="AA29" s="55"/>
      <c r="AB29" s="56"/>
      <c r="AC29" s="57"/>
      <c r="AE29" s="92"/>
    </row>
    <row r="30" s="49" customFormat="true" ht="15" hidden="false" customHeight="true" outlineLevel="0" collapsed="false">
      <c r="A30" s="13" t="n">
        <v>20</v>
      </c>
      <c r="B30" s="13" t="str">
        <f aca="false">'2.KTHH L2'!B40</f>
        <v>27</v>
      </c>
      <c r="C30" s="51" t="n">
        <f aca="false">'2.KTHH L2'!C40</f>
        <v>529.62</v>
      </c>
      <c r="D30" s="13" t="n">
        <f aca="false">'2.KTHH L2'!T40</f>
        <v>17.1</v>
      </c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 t="n">
        <f aca="false">Chạy!E180</f>
        <v>5.06</v>
      </c>
      <c r="P30" s="53"/>
      <c r="Q30" s="53"/>
      <c r="R30" s="55"/>
      <c r="S30" s="55"/>
      <c r="T30" s="55"/>
      <c r="U30" s="55"/>
      <c r="V30" s="55"/>
      <c r="W30" s="55" t="n">
        <f aca="false">(O30+O31)*D30/2</f>
        <v>74.9835</v>
      </c>
      <c r="X30" s="55"/>
      <c r="Y30" s="55"/>
      <c r="Z30" s="55"/>
      <c r="AA30" s="55"/>
      <c r="AB30" s="56"/>
      <c r="AC30" s="57"/>
      <c r="AE30" s="92"/>
    </row>
    <row r="31" s="49" customFormat="true" ht="15" hidden="false" customHeight="true" outlineLevel="0" collapsed="false">
      <c r="A31" s="13" t="n">
        <v>21</v>
      </c>
      <c r="B31" s="13" t="str">
        <f aca="false">'2.KTHH L2'!B41</f>
        <v>28</v>
      </c>
      <c r="C31" s="51" t="n">
        <f aca="false">'2.KTHH L2'!C41</f>
        <v>546.72</v>
      </c>
      <c r="D31" s="13" t="n">
        <f aca="false">'2.KTHH L2'!T41</f>
        <v>15.15</v>
      </c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 t="n">
        <f aca="false">Chạy!E189</f>
        <v>3.71</v>
      </c>
      <c r="P31" s="53"/>
      <c r="Q31" s="53"/>
      <c r="R31" s="55"/>
      <c r="S31" s="55"/>
      <c r="T31" s="55"/>
      <c r="U31" s="55"/>
      <c r="V31" s="55"/>
      <c r="W31" s="55" t="n">
        <f aca="false">(O31+O32)*D31/2</f>
        <v>62.03925</v>
      </c>
      <c r="X31" s="55"/>
      <c r="Y31" s="55"/>
      <c r="Z31" s="55"/>
      <c r="AA31" s="55"/>
      <c r="AB31" s="56"/>
      <c r="AC31" s="57"/>
      <c r="AE31" s="92"/>
    </row>
    <row r="32" s="49" customFormat="true" ht="15" hidden="false" customHeight="true" outlineLevel="0" collapsed="false">
      <c r="A32" s="13" t="n">
        <v>22</v>
      </c>
      <c r="B32" s="13" t="str">
        <f aca="false">'2.KTHH L2'!B42</f>
        <v>E5</v>
      </c>
      <c r="C32" s="51" t="n">
        <f aca="false">'2.KTHH L2'!C42</f>
        <v>561.87</v>
      </c>
      <c r="D32" s="13" t="n">
        <f aca="false">'2.KTHH L2'!T42</f>
        <v>0.15</v>
      </c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 t="n">
        <f aca="false">Chạy!E198</f>
        <v>4.48</v>
      </c>
      <c r="P32" s="53"/>
      <c r="Q32" s="53"/>
      <c r="R32" s="55"/>
      <c r="S32" s="55"/>
      <c r="T32" s="55"/>
      <c r="U32" s="55"/>
      <c r="V32" s="55"/>
      <c r="W32" s="55" t="n">
        <f aca="false">(O32+O33)*D32/2</f>
        <v>0.672</v>
      </c>
      <c r="X32" s="55"/>
      <c r="Y32" s="55"/>
      <c r="Z32" s="55"/>
      <c r="AA32" s="55"/>
      <c r="AB32" s="56"/>
      <c r="AC32" s="57"/>
      <c r="AE32" s="92"/>
    </row>
    <row r="33" s="49" customFormat="true" ht="15" hidden="false" customHeight="true" outlineLevel="0" collapsed="false">
      <c r="A33" s="13" t="n">
        <v>23</v>
      </c>
      <c r="B33" s="13" t="str">
        <f aca="false">'2.KTHH L2'!B43</f>
        <v>TD</v>
      </c>
      <c r="C33" s="51" t="n">
        <f aca="false">'2.KTHH L2'!C43</f>
        <v>562.02</v>
      </c>
      <c r="D33" s="13" t="n">
        <f aca="false">'2.KTHH L2'!T43</f>
        <v>6.55</v>
      </c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 t="n">
        <f aca="false">Chạy!E207</f>
        <v>4.48</v>
      </c>
      <c r="P33" s="53"/>
      <c r="Q33" s="53"/>
      <c r="R33" s="55"/>
      <c r="S33" s="55"/>
      <c r="T33" s="55"/>
      <c r="U33" s="55"/>
      <c r="V33" s="55"/>
      <c r="W33" s="55" t="n">
        <f aca="false">(O33+O34)*D33/2</f>
        <v>29.606</v>
      </c>
      <c r="X33" s="55"/>
      <c r="Y33" s="55"/>
      <c r="Z33" s="55"/>
      <c r="AA33" s="55"/>
      <c r="AB33" s="56"/>
      <c r="AC33" s="57"/>
      <c r="AE33" s="92"/>
    </row>
    <row r="34" s="49" customFormat="true" ht="15" hidden="false" customHeight="true" outlineLevel="0" collapsed="false">
      <c r="A34" s="13" t="n">
        <v>24</v>
      </c>
      <c r="B34" s="13" t="str">
        <f aca="false">'2.KTHH L2'!B44</f>
        <v>P</v>
      </c>
      <c r="C34" s="51" t="n">
        <f aca="false">'2.KTHH L2'!C44</f>
        <v>568.57</v>
      </c>
      <c r="D34" s="13" t="n">
        <f aca="false">'2.KTHH L2'!T44</f>
        <v>6.55</v>
      </c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 t="n">
        <f aca="false">Chạy!E216</f>
        <v>4.56</v>
      </c>
      <c r="P34" s="53"/>
      <c r="Q34" s="53"/>
      <c r="R34" s="55"/>
      <c r="S34" s="55"/>
      <c r="T34" s="55"/>
      <c r="U34" s="55"/>
      <c r="V34" s="55"/>
      <c r="W34" s="55" t="n">
        <f aca="false">(O34+O35)*D34/2</f>
        <v>29.04925</v>
      </c>
      <c r="X34" s="55"/>
      <c r="Y34" s="55"/>
      <c r="Z34" s="55"/>
      <c r="AA34" s="55"/>
      <c r="AB34" s="56"/>
      <c r="AC34" s="57"/>
      <c r="AE34" s="92"/>
    </row>
    <row r="35" s="49" customFormat="true" ht="15" hidden="false" customHeight="true" outlineLevel="0" collapsed="false">
      <c r="A35" s="13" t="n">
        <v>25</v>
      </c>
      <c r="B35" s="13" t="str">
        <f aca="false">'2.KTHH L2'!B45</f>
        <v>TC</v>
      </c>
      <c r="C35" s="51" t="n">
        <f aca="false">'2.KTHH L2'!C45</f>
        <v>575.12</v>
      </c>
      <c r="D35" s="13" t="n">
        <f aca="false">'2.KTHH L2'!T45</f>
        <v>0.04</v>
      </c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 t="n">
        <f aca="false">Chạy!E225</f>
        <v>4.31</v>
      </c>
      <c r="P35" s="53"/>
      <c r="Q35" s="53"/>
      <c r="R35" s="55"/>
      <c r="S35" s="55"/>
      <c r="T35" s="55"/>
      <c r="U35" s="55"/>
      <c r="V35" s="55"/>
      <c r="W35" s="55" t="n">
        <f aca="false">(O35+O36)*D35/2</f>
        <v>0.1882</v>
      </c>
      <c r="X35" s="55"/>
      <c r="Y35" s="55"/>
      <c r="Z35" s="55"/>
      <c r="AA35" s="55"/>
      <c r="AB35" s="56"/>
      <c r="AC35" s="57"/>
      <c r="AE35" s="92"/>
    </row>
    <row r="36" s="49" customFormat="true" ht="15" hidden="false" customHeight="true" outlineLevel="0" collapsed="false">
      <c r="A36" s="13" t="n">
        <v>26</v>
      </c>
      <c r="B36" s="13" t="str">
        <f aca="false">'2.KTHH L2'!B46</f>
        <v>29</v>
      </c>
      <c r="C36" s="51" t="n">
        <f aca="false">'2.KTHH L2'!C46</f>
        <v>575.16</v>
      </c>
      <c r="D36" s="13" t="n">
        <f aca="false">'2.KTHH L2'!T46</f>
        <v>16.95</v>
      </c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 t="n">
        <f aca="false">Chạy!E234</f>
        <v>5.1</v>
      </c>
      <c r="P36" s="53"/>
      <c r="Q36" s="53"/>
      <c r="R36" s="55"/>
      <c r="S36" s="55"/>
      <c r="T36" s="55"/>
      <c r="U36" s="55"/>
      <c r="V36" s="55"/>
      <c r="W36" s="55" t="n">
        <f aca="false">(O36+O37)*D36/2</f>
        <v>81.36</v>
      </c>
      <c r="X36" s="55"/>
      <c r="Y36" s="55"/>
      <c r="Z36" s="55"/>
      <c r="AA36" s="55"/>
      <c r="AB36" s="56"/>
      <c r="AC36" s="57"/>
      <c r="AE36" s="92"/>
    </row>
    <row r="37" s="49" customFormat="true" ht="15" hidden="false" customHeight="true" outlineLevel="0" collapsed="false">
      <c r="A37" s="13" t="n">
        <v>27</v>
      </c>
      <c r="B37" s="13" t="str">
        <f aca="false">'2.KTHH L2'!B47</f>
        <v>30</v>
      </c>
      <c r="C37" s="51" t="n">
        <f aca="false">'2.KTHH L2'!C47</f>
        <v>592.11</v>
      </c>
      <c r="D37" s="13" t="n">
        <f aca="false">'2.KTHH L2'!T47</f>
        <v>17</v>
      </c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 t="n">
        <f aca="false">Chạy!E243</f>
        <v>4.5</v>
      </c>
      <c r="P37" s="53"/>
      <c r="Q37" s="53"/>
      <c r="R37" s="55"/>
      <c r="S37" s="55"/>
      <c r="T37" s="55"/>
      <c r="U37" s="55"/>
      <c r="V37" s="55"/>
      <c r="W37" s="55" t="n">
        <f aca="false">(O37+O38)*D37/2</f>
        <v>74.12</v>
      </c>
      <c r="X37" s="55"/>
      <c r="Y37" s="55"/>
      <c r="Z37" s="55"/>
      <c r="AA37" s="55"/>
      <c r="AB37" s="56"/>
      <c r="AC37" s="57"/>
      <c r="AE37" s="92"/>
    </row>
    <row r="38" s="49" customFormat="true" ht="15" hidden="false" customHeight="true" outlineLevel="0" collapsed="false">
      <c r="A38" s="13" t="n">
        <v>28</v>
      </c>
      <c r="B38" s="13" t="str">
        <f aca="false">'2.KTHH L2'!B48</f>
        <v>31</v>
      </c>
      <c r="C38" s="51" t="n">
        <f aca="false">'2.KTHH L2'!C48</f>
        <v>609.11</v>
      </c>
      <c r="D38" s="13" t="n">
        <f aca="false">'2.KTHH L2'!T48</f>
        <v>11.75</v>
      </c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 t="n">
        <f aca="false">Chạy!E252</f>
        <v>4.22</v>
      </c>
      <c r="P38" s="53"/>
      <c r="Q38" s="53"/>
      <c r="R38" s="55"/>
      <c r="S38" s="55"/>
      <c r="T38" s="55"/>
      <c r="U38" s="55"/>
      <c r="V38" s="55"/>
      <c r="W38" s="55" t="n">
        <f aca="false">(O38+O39)*D38/2</f>
        <v>49.585</v>
      </c>
      <c r="X38" s="55"/>
      <c r="Y38" s="55"/>
      <c r="Z38" s="55"/>
      <c r="AA38" s="55"/>
      <c r="AB38" s="56"/>
      <c r="AC38" s="57"/>
      <c r="AE38" s="92"/>
    </row>
    <row r="39" s="49" customFormat="true" ht="15" hidden="false" customHeight="true" outlineLevel="0" collapsed="false">
      <c r="A39" s="13" t="n">
        <v>29</v>
      </c>
      <c r="B39" s="13" t="str">
        <f aca="false">'2.KTHH L2'!B49</f>
        <v>E10</v>
      </c>
      <c r="C39" s="51" t="n">
        <f aca="false">'2.KTHH L2'!C49</f>
        <v>620.86</v>
      </c>
      <c r="D39" s="13" t="n">
        <f aca="false">'2.KTHH L2'!T49</f>
        <v>11.75</v>
      </c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 t="n">
        <f aca="false">Chạy!E261</f>
        <v>4.22</v>
      </c>
      <c r="P39" s="53"/>
      <c r="Q39" s="53"/>
      <c r="R39" s="55"/>
      <c r="S39" s="55"/>
      <c r="T39" s="55"/>
      <c r="U39" s="55"/>
      <c r="V39" s="55"/>
      <c r="W39" s="55" t="n">
        <f aca="false">(O39+O40)*D39/2</f>
        <v>51.40625</v>
      </c>
      <c r="X39" s="55"/>
      <c r="Y39" s="55"/>
      <c r="Z39" s="55"/>
      <c r="AA39" s="55"/>
      <c r="AB39" s="56"/>
      <c r="AC39" s="57"/>
      <c r="AE39" s="92"/>
    </row>
    <row r="40" s="49" customFormat="true" ht="15" hidden="false" customHeight="true" outlineLevel="0" collapsed="false">
      <c r="A40" s="13" t="n">
        <v>30</v>
      </c>
      <c r="B40" s="13" t="str">
        <f aca="false">'2.KTHH L2'!B50</f>
        <v>32</v>
      </c>
      <c r="C40" s="51" t="n">
        <f aca="false">'2.KTHH L2'!C50</f>
        <v>632.61</v>
      </c>
      <c r="D40" s="13" t="n">
        <f aca="false">'2.KTHH L2'!T50</f>
        <v>20</v>
      </c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 t="n">
        <f aca="false">Chạy!E270</f>
        <v>4.53</v>
      </c>
      <c r="P40" s="53"/>
      <c r="Q40" s="53"/>
      <c r="R40" s="55"/>
      <c r="S40" s="55"/>
      <c r="T40" s="55"/>
      <c r="U40" s="55"/>
      <c r="V40" s="55"/>
      <c r="W40" s="55" t="n">
        <f aca="false">(O40+O41)*D40/2</f>
        <v>99.7</v>
      </c>
      <c r="X40" s="55"/>
      <c r="Y40" s="55"/>
      <c r="Z40" s="55"/>
      <c r="AA40" s="55"/>
      <c r="AB40" s="56"/>
      <c r="AC40" s="57"/>
      <c r="AE40" s="92"/>
    </row>
    <row r="41" s="49" customFormat="true" ht="15" hidden="false" customHeight="true" outlineLevel="0" collapsed="false">
      <c r="A41" s="13" t="n">
        <v>31</v>
      </c>
      <c r="B41" s="13" t="str">
        <f aca="false">'2.KTHH L2'!B51</f>
        <v>33</v>
      </c>
      <c r="C41" s="51" t="n">
        <f aca="false">'2.KTHH L2'!C51</f>
        <v>652.61</v>
      </c>
      <c r="D41" s="13" t="n">
        <f aca="false">'2.KTHH L2'!T51</f>
        <v>20</v>
      </c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 t="n">
        <f aca="false">Chạy!E279</f>
        <v>5.44</v>
      </c>
      <c r="P41" s="53"/>
      <c r="Q41" s="53"/>
      <c r="R41" s="55"/>
      <c r="S41" s="55"/>
      <c r="T41" s="55"/>
      <c r="U41" s="55"/>
      <c r="V41" s="55"/>
      <c r="W41" s="55" t="n">
        <f aca="false">(O41+O42)*D41/2</f>
        <v>99.5</v>
      </c>
      <c r="X41" s="55"/>
      <c r="Y41" s="55"/>
      <c r="Z41" s="55"/>
      <c r="AA41" s="55"/>
      <c r="AB41" s="56"/>
      <c r="AC41" s="57"/>
      <c r="AE41" s="92"/>
    </row>
    <row r="42" s="49" customFormat="true" ht="15" hidden="false" customHeight="true" outlineLevel="0" collapsed="false">
      <c r="A42" s="13" t="n">
        <v>32</v>
      </c>
      <c r="B42" s="13" t="str">
        <f aca="false">'2.KTHH L2'!B52</f>
        <v>34</v>
      </c>
      <c r="C42" s="51" t="n">
        <f aca="false">'2.KTHH L2'!C52</f>
        <v>672.61</v>
      </c>
      <c r="D42" s="13" t="n">
        <f aca="false">'2.KTHH L2'!T52</f>
        <v>20</v>
      </c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 t="n">
        <f aca="false">Chạy!E288</f>
        <v>4.51</v>
      </c>
      <c r="P42" s="53"/>
      <c r="Q42" s="53"/>
      <c r="R42" s="55"/>
      <c r="S42" s="55"/>
      <c r="T42" s="55"/>
      <c r="U42" s="55"/>
      <c r="V42" s="55"/>
      <c r="W42" s="55" t="n">
        <f aca="false">(O42+O43)*D42/2</f>
        <v>101.2</v>
      </c>
      <c r="X42" s="55"/>
      <c r="Y42" s="55"/>
      <c r="Z42" s="55"/>
      <c r="AA42" s="55"/>
      <c r="AB42" s="56"/>
      <c r="AC42" s="57"/>
      <c r="AE42" s="92"/>
    </row>
    <row r="43" s="49" customFormat="true" ht="15" hidden="false" customHeight="true" outlineLevel="0" collapsed="false">
      <c r="A43" s="13" t="n">
        <v>33</v>
      </c>
      <c r="B43" s="13" t="str">
        <f aca="false">'2.KTHH L2'!B53</f>
        <v>35</v>
      </c>
      <c r="C43" s="51" t="n">
        <f aca="false">'2.KTHH L2'!C53</f>
        <v>692.61</v>
      </c>
      <c r="D43" s="13" t="n">
        <f aca="false">'2.KTHH L2'!T53</f>
        <v>20</v>
      </c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 t="n">
        <f aca="false">Chạy!E297</f>
        <v>5.61</v>
      </c>
      <c r="P43" s="53"/>
      <c r="Q43" s="53"/>
      <c r="R43" s="55"/>
      <c r="S43" s="55"/>
      <c r="T43" s="55"/>
      <c r="U43" s="55"/>
      <c r="V43" s="55"/>
      <c r="W43" s="55" t="n">
        <f aca="false">(O43+O44)*D43/2</f>
        <v>97.8</v>
      </c>
      <c r="X43" s="55"/>
      <c r="Y43" s="55"/>
      <c r="Z43" s="55"/>
      <c r="AA43" s="55"/>
      <c r="AB43" s="56"/>
      <c r="AC43" s="57"/>
      <c r="AE43" s="92"/>
    </row>
    <row r="44" s="49" customFormat="true" ht="15" hidden="false" customHeight="true" outlineLevel="0" collapsed="false">
      <c r="A44" s="13" t="n">
        <v>34</v>
      </c>
      <c r="B44" s="13" t="str">
        <f aca="false">'2.KTHH L2'!B54</f>
        <v>36</v>
      </c>
      <c r="C44" s="51" t="n">
        <f aca="false">'2.KTHH L2'!C54</f>
        <v>712.61</v>
      </c>
      <c r="D44" s="13" t="n">
        <f aca="false">'2.KTHH L2'!T54</f>
        <v>11.5</v>
      </c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 t="n">
        <f aca="false">Chạy!E306</f>
        <v>4.17</v>
      </c>
      <c r="P44" s="53"/>
      <c r="Q44" s="53"/>
      <c r="R44" s="55"/>
      <c r="S44" s="55"/>
      <c r="T44" s="55"/>
      <c r="U44" s="55"/>
      <c r="V44" s="55"/>
      <c r="W44" s="55" t="n">
        <f aca="false">(O44+O45)*D44/2</f>
        <v>56.2925</v>
      </c>
      <c r="X44" s="55"/>
      <c r="Y44" s="55"/>
      <c r="Z44" s="55"/>
      <c r="AA44" s="55"/>
      <c r="AB44" s="56"/>
      <c r="AC44" s="57"/>
      <c r="AE44" s="92"/>
    </row>
    <row r="45" s="49" customFormat="true" ht="15" hidden="false" customHeight="true" outlineLevel="0" collapsed="false">
      <c r="A45" s="13" t="n">
        <v>35</v>
      </c>
      <c r="B45" s="13" t="str">
        <f aca="false">'2.KTHH L2'!B55</f>
        <v>37</v>
      </c>
      <c r="C45" s="51" t="n">
        <f aca="false">'2.KTHH L2'!C55</f>
        <v>724.11</v>
      </c>
      <c r="D45" s="13" t="n">
        <f aca="false">'2.KTHH L2'!T55</f>
        <v>13.25</v>
      </c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 t="n">
        <f aca="false">Chạy!E315</f>
        <v>5.62</v>
      </c>
      <c r="P45" s="53"/>
      <c r="Q45" s="53"/>
      <c r="R45" s="55"/>
      <c r="S45" s="55"/>
      <c r="T45" s="55"/>
      <c r="U45" s="55"/>
      <c r="V45" s="55"/>
      <c r="W45" s="55" t="n">
        <f aca="false">(O45+O46)*D45/2</f>
        <v>68.105</v>
      </c>
      <c r="X45" s="55"/>
      <c r="Y45" s="55"/>
      <c r="Z45" s="55"/>
      <c r="AA45" s="55"/>
      <c r="AB45" s="56"/>
      <c r="AC45" s="57"/>
      <c r="AE45" s="92"/>
    </row>
    <row r="46" s="49" customFormat="true" ht="15" hidden="false" customHeight="true" outlineLevel="0" collapsed="false">
      <c r="A46" s="13" t="n">
        <v>36</v>
      </c>
      <c r="B46" s="13" t="str">
        <f aca="false">'2.KTHH L2'!B56</f>
        <v>G6</v>
      </c>
      <c r="C46" s="51" t="n">
        <f aca="false">'2.KTHH L2'!C56</f>
        <v>737.36</v>
      </c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 t="n">
        <f aca="false">Chạy!E324</f>
        <v>4.66</v>
      </c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  <c r="AE46" s="92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  <c r="AE47" s="92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  <c r="AE48" s="92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  <c r="AE49" s="92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  <c r="AE50" s="92"/>
    </row>
    <row r="51" s="32" customFormat="true" ht="16.5" hidden="false" customHeight="true" outlineLevel="0" collapsed="false">
      <c r="A51" s="61" t="s">
        <v>85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SUM(W11:W46)</f>
        <v>2476.17105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D51" s="93"/>
      <c r="AE51" s="74"/>
      <c r="AF51" s="94"/>
      <c r="AG51" s="95"/>
      <c r="AH51" s="95"/>
      <c r="AI51" s="95"/>
      <c r="AJ51" s="95"/>
      <c r="AK51" s="95"/>
      <c r="AL51" s="95"/>
      <c r="AM51" s="67"/>
      <c r="AN51" s="96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74</v>
      </c>
      <c r="B53" s="19"/>
      <c r="C53" s="19"/>
      <c r="D53" s="77" t="s">
        <v>86</v>
      </c>
      <c r="E53" s="19" t="s">
        <v>75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76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77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529861111111111" bottom="0.4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J51" activeCellId="0" sqref="J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1" width="8.15"/>
    <col collapsed="false" customWidth="true" hidden="false" outlineLevel="0" max="3" min="3" style="1" width="16.29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57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58</v>
      </c>
      <c r="C7" s="7"/>
      <c r="D7" s="7"/>
      <c r="F7" s="7"/>
      <c r="G7" s="7" t="s">
        <v>90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60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9" t="s">
        <v>61</v>
      </c>
      <c r="B20" s="9" t="s">
        <v>62</v>
      </c>
      <c r="C20" s="9" t="s">
        <v>63</v>
      </c>
      <c r="D20" s="10" t="s">
        <v>64</v>
      </c>
      <c r="E20" s="10"/>
      <c r="F20" s="10"/>
      <c r="G20" s="10"/>
      <c r="H20" s="10"/>
      <c r="I20" s="10"/>
      <c r="J20" s="10" t="s">
        <v>65</v>
      </c>
      <c r="K20" s="10"/>
      <c r="L20" s="10"/>
      <c r="M20" s="10" t="s">
        <v>66</v>
      </c>
      <c r="N20" s="10"/>
      <c r="O20" s="10"/>
      <c r="P20" s="10"/>
      <c r="Q20" s="10"/>
      <c r="R20" s="10"/>
      <c r="S20" s="9" t="s">
        <v>67</v>
      </c>
    </row>
    <row r="21" customFormat="false" ht="30" hidden="false" customHeight="true" outlineLevel="0" collapsed="false">
      <c r="A21" s="9"/>
      <c r="B21" s="9"/>
      <c r="C21" s="9"/>
      <c r="D21" s="11" t="s">
        <v>68</v>
      </c>
      <c r="E21" s="11" t="s">
        <v>69</v>
      </c>
      <c r="F21" s="11" t="s">
        <v>70</v>
      </c>
      <c r="G21" s="11" t="s">
        <v>71</v>
      </c>
      <c r="H21" s="11" t="s">
        <v>72</v>
      </c>
      <c r="I21" s="11" t="s">
        <v>73</v>
      </c>
      <c r="J21" s="11" t="s">
        <v>71</v>
      </c>
      <c r="K21" s="11" t="s">
        <v>72</v>
      </c>
      <c r="L21" s="11" t="s">
        <v>73</v>
      </c>
      <c r="M21" s="11" t="s">
        <v>68</v>
      </c>
      <c r="N21" s="11" t="s">
        <v>69</v>
      </c>
      <c r="O21" s="11" t="s">
        <v>70</v>
      </c>
      <c r="P21" s="11" t="s">
        <v>71</v>
      </c>
      <c r="Q21" s="11" t="s">
        <v>72</v>
      </c>
      <c r="R21" s="11" t="s">
        <v>73</v>
      </c>
      <c r="S21" s="9"/>
      <c r="T21" s="86"/>
      <c r="W21" s="87"/>
      <c r="X21" s="87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211</v>
      </c>
      <c r="D22" s="16" t="n">
        <f aca="false">+Chạy!F8</f>
        <v>-14.65</v>
      </c>
      <c r="E22" s="16" t="n">
        <f aca="false">+D22+F22</f>
        <v>-14.6397</v>
      </c>
      <c r="F22" s="16" t="n">
        <f aca="false">RANDBETWEEN(-105,115)/10000</f>
        <v>0.0103</v>
      </c>
      <c r="G22" s="16" t="n">
        <f aca="false">+Chạy!G8</f>
        <v>0.25</v>
      </c>
      <c r="H22" s="16" t="n">
        <f aca="false">G22+I22</f>
        <v>0.25</v>
      </c>
      <c r="I22" s="16" t="n">
        <f aca="false">RANDBETWEEN(-30,90)/1000</f>
        <v>0</v>
      </c>
      <c r="J22" s="16" t="n">
        <f aca="false">+Chạy!K8</f>
        <v>0.37</v>
      </c>
      <c r="K22" s="16" t="n">
        <f aca="false">J22+L22</f>
        <v>0.407</v>
      </c>
      <c r="L22" s="16" t="n">
        <f aca="false">RANDBETWEEN(-30,90)/1000</f>
        <v>0.037</v>
      </c>
      <c r="M22" s="16" t="n">
        <f aca="false">+Chạy!N8</f>
        <v>14.65</v>
      </c>
      <c r="N22" s="16" t="n">
        <f aca="false">+M22+O22</f>
        <v>14.6516</v>
      </c>
      <c r="O22" s="16" t="n">
        <f aca="false">RANDBETWEEN(-105,115)/10000</f>
        <v>0.0016</v>
      </c>
      <c r="P22" s="16" t="n">
        <f aca="false">+Chạy!O8</f>
        <v>0.25</v>
      </c>
      <c r="Q22" s="16" t="n">
        <f aca="false">P22+R22</f>
        <v>0.295</v>
      </c>
      <c r="R22" s="16" t="n">
        <f aca="false">RANDBETWEEN(-30,90)/1000</f>
        <v>0.045</v>
      </c>
      <c r="S22" s="17"/>
      <c r="T22" s="0" t="n">
        <v>13.25</v>
      </c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224.25</v>
      </c>
      <c r="D23" s="16" t="n">
        <f aca="false">+Chạy!F17</f>
        <v>-14.65</v>
      </c>
      <c r="E23" s="16" t="n">
        <f aca="false">+D23+F23</f>
        <v>-14.6572</v>
      </c>
      <c r="F23" s="16" t="n">
        <f aca="false">RANDBETWEEN(-105,115)/10000</f>
        <v>-0.0072</v>
      </c>
      <c r="G23" s="16" t="n">
        <f aca="false">+Chạy!G17</f>
        <v>0.24</v>
      </c>
      <c r="H23" s="16" t="n">
        <f aca="false">G23+I23</f>
        <v>0.239</v>
      </c>
      <c r="I23" s="16" t="n">
        <f aca="false">RANDBETWEEN(-30,90)/1000</f>
        <v>-0.001</v>
      </c>
      <c r="J23" s="16" t="n">
        <f aca="false">+Chạy!K17</f>
        <v>0.36</v>
      </c>
      <c r="K23" s="16" t="n">
        <f aca="false">J23+L23</f>
        <v>0.405</v>
      </c>
      <c r="L23" s="16" t="n">
        <f aca="false">RANDBETWEEN(-30,90)/1000</f>
        <v>0.045</v>
      </c>
      <c r="M23" s="16" t="n">
        <f aca="false">+Chạy!N17</f>
        <v>7.19</v>
      </c>
      <c r="N23" s="16" t="n">
        <f aca="false">+M23+O23</f>
        <v>7.1835</v>
      </c>
      <c r="O23" s="16" t="n">
        <f aca="false">RANDBETWEEN(-105,115)/10000</f>
        <v>-0.0065</v>
      </c>
      <c r="P23" s="16" t="n">
        <f aca="false">+Chạy!O17</f>
        <v>0.24</v>
      </c>
      <c r="Q23" s="16" t="n">
        <f aca="false">P23+R23</f>
        <v>0.302</v>
      </c>
      <c r="R23" s="16" t="n">
        <f aca="false">RANDBETWEEN(-30,90)/1000</f>
        <v>0.062</v>
      </c>
      <c r="S23" s="17"/>
      <c r="T23" s="0" t="n">
        <v>21.5</v>
      </c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245.75</v>
      </c>
      <c r="D24" s="16" t="n">
        <f aca="false">+Chạy!F26</f>
        <v>-14.65</v>
      </c>
      <c r="E24" s="16" t="n">
        <f aca="false">+D24+F24</f>
        <v>-14.6518</v>
      </c>
      <c r="F24" s="16" t="n">
        <f aca="false">RANDBETWEEN(-105,115)/10000</f>
        <v>-0.0018</v>
      </c>
      <c r="G24" s="16" t="n">
        <f aca="false">+Chạy!G26</f>
        <v>0.22</v>
      </c>
      <c r="H24" s="16" t="n">
        <f aca="false">G24+I24</f>
        <v>0.243</v>
      </c>
      <c r="I24" s="16" t="n">
        <f aca="false">RANDBETWEEN(-30,90)/1000</f>
        <v>0.023</v>
      </c>
      <c r="J24" s="16" t="n">
        <f aca="false">+Chạy!K26</f>
        <v>0.34</v>
      </c>
      <c r="K24" s="16" t="n">
        <f aca="false">J24+L24</f>
        <v>0.384</v>
      </c>
      <c r="L24" s="16" t="n">
        <f aca="false">RANDBETWEEN(-30,90)/1000</f>
        <v>0.044</v>
      </c>
      <c r="M24" s="16" t="n">
        <f aca="false">+Chạy!N26</f>
        <v>6.92</v>
      </c>
      <c r="N24" s="16" t="n">
        <f aca="false">+M24+O24</f>
        <v>6.9103</v>
      </c>
      <c r="O24" s="16" t="n">
        <f aca="false">RANDBETWEEN(-105,115)/10000</f>
        <v>-0.0097</v>
      </c>
      <c r="P24" s="16" t="n">
        <f aca="false">+Chạy!O26</f>
        <v>0.22</v>
      </c>
      <c r="Q24" s="16" t="n">
        <f aca="false">P24+R24</f>
        <v>0.269</v>
      </c>
      <c r="R24" s="16" t="n">
        <f aca="false">RANDBETWEEN(-30,90)/1000</f>
        <v>0.049</v>
      </c>
      <c r="S24" s="17"/>
      <c r="T24" s="0" t="n">
        <v>11.75</v>
      </c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257.5</v>
      </c>
      <c r="D25" s="16" t="n">
        <f aca="false">+Chạy!F35</f>
        <v>-6.91</v>
      </c>
      <c r="E25" s="16" t="n">
        <f aca="false">+D25+F25</f>
        <v>-6.9109</v>
      </c>
      <c r="F25" s="16" t="n">
        <f aca="false">RANDBETWEEN(-105,115)/10000</f>
        <v>-0.0009</v>
      </c>
      <c r="G25" s="16" t="n">
        <f aca="false">+Chạy!G35</f>
        <v>0.21</v>
      </c>
      <c r="H25" s="16" t="n">
        <f aca="false">G25+I25</f>
        <v>0.27</v>
      </c>
      <c r="I25" s="16" t="n">
        <f aca="false">RANDBETWEEN(-30,90)/1000</f>
        <v>0.06</v>
      </c>
      <c r="J25" s="16" t="n">
        <f aca="false">+Chạy!K35</f>
        <v>0.33</v>
      </c>
      <c r="K25" s="16" t="n">
        <f aca="false">J25+L25</f>
        <v>0.32</v>
      </c>
      <c r="L25" s="16" t="n">
        <f aca="false">RANDBETWEEN(-30,90)/1000</f>
        <v>-0.01</v>
      </c>
      <c r="M25" s="16" t="n">
        <f aca="false">+Chạy!N35</f>
        <v>6.92</v>
      </c>
      <c r="N25" s="16" t="n">
        <f aca="false">+M25+O25</f>
        <v>6.9296</v>
      </c>
      <c r="O25" s="16" t="n">
        <f aca="false">RANDBETWEEN(-105,115)/10000</f>
        <v>0.0096</v>
      </c>
      <c r="P25" s="16" t="n">
        <f aca="false">+Chạy!O35</f>
        <v>0.21</v>
      </c>
      <c r="Q25" s="16" t="n">
        <f aca="false">P25+R25</f>
        <v>0.188</v>
      </c>
      <c r="R25" s="16" t="n">
        <f aca="false">RANDBETWEEN(-30,90)/1000</f>
        <v>-0.022</v>
      </c>
      <c r="S25" s="17"/>
      <c r="T25" s="0" t="n">
        <v>11.75</v>
      </c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269.25</v>
      </c>
      <c r="D26" s="16" t="n">
        <f aca="false">+Chạy!F44</f>
        <v>-6.91</v>
      </c>
      <c r="E26" s="16" t="n">
        <f aca="false">+D26+F26</f>
        <v>-6.9134</v>
      </c>
      <c r="F26" s="16" t="n">
        <f aca="false">RANDBETWEEN(-105,115)/10000</f>
        <v>-0.0034</v>
      </c>
      <c r="G26" s="16" t="n">
        <f aca="false">+Chạy!G44</f>
        <v>0.21</v>
      </c>
      <c r="H26" s="16" t="n">
        <f aca="false">G26+I26</f>
        <v>0.293</v>
      </c>
      <c r="I26" s="16" t="n">
        <f aca="false">RANDBETWEEN(-30,90)/1000</f>
        <v>0.083</v>
      </c>
      <c r="J26" s="16" t="n">
        <f aca="false">+Chạy!K44</f>
        <v>0.32</v>
      </c>
      <c r="K26" s="16" t="n">
        <f aca="false">J26+L26</f>
        <v>0.337</v>
      </c>
      <c r="L26" s="16" t="n">
        <f aca="false">RANDBETWEEN(-30,90)/1000</f>
        <v>0.017</v>
      </c>
      <c r="M26" s="16" t="n">
        <f aca="false">+Chạy!N44</f>
        <v>6.91</v>
      </c>
      <c r="N26" s="16" t="n">
        <f aca="false">+M26+O26</f>
        <v>6.9198</v>
      </c>
      <c r="O26" s="16" t="n">
        <f aca="false">RANDBETWEEN(-105,115)/10000</f>
        <v>0.0098</v>
      </c>
      <c r="P26" s="16" t="n">
        <f aca="false">+Chạy!O44</f>
        <v>0.21</v>
      </c>
      <c r="Q26" s="16" t="n">
        <f aca="false">P26+R26</f>
        <v>0.23</v>
      </c>
      <c r="R26" s="16" t="n">
        <f aca="false">RANDBETWEEN(-30,90)/1000</f>
        <v>0.02</v>
      </c>
      <c r="S26" s="17"/>
      <c r="T26" s="0" t="n">
        <v>20</v>
      </c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289.25</v>
      </c>
      <c r="D27" s="16" t="n">
        <f aca="false">+Chạy!F53</f>
        <v>-6.9</v>
      </c>
      <c r="E27" s="16" t="n">
        <f aca="false">+D27+F27</f>
        <v>-6.8921</v>
      </c>
      <c r="F27" s="16" t="n">
        <f aca="false">RANDBETWEEN(-105,115)/10000</f>
        <v>0.0079</v>
      </c>
      <c r="G27" s="16" t="n">
        <f aca="false">+Chạy!G53</f>
        <v>0.2</v>
      </c>
      <c r="H27" s="16" t="n">
        <f aca="false">G27+I27</f>
        <v>0.198</v>
      </c>
      <c r="I27" s="16" t="n">
        <f aca="false">RANDBETWEEN(-30,90)/1000</f>
        <v>-0.002</v>
      </c>
      <c r="J27" s="16" t="n">
        <f aca="false">+Chạy!K53</f>
        <v>0.31</v>
      </c>
      <c r="K27" s="16" t="n">
        <f aca="false">J27+L27</f>
        <v>0.331</v>
      </c>
      <c r="L27" s="16" t="n">
        <f aca="false">RANDBETWEEN(-30,90)/1000</f>
        <v>0.021</v>
      </c>
      <c r="M27" s="16" t="n">
        <f aca="false">+Chạy!N53</f>
        <v>6.9</v>
      </c>
      <c r="N27" s="16" t="n">
        <f aca="false">+M27+O27</f>
        <v>6.9085</v>
      </c>
      <c r="O27" s="16" t="n">
        <f aca="false">RANDBETWEEN(-105,115)/10000</f>
        <v>0.0085</v>
      </c>
      <c r="P27" s="16" t="n">
        <f aca="false">+Chạy!O53</f>
        <v>0.2</v>
      </c>
      <c r="Q27" s="16" t="n">
        <f aca="false">P27+R27</f>
        <v>0.287</v>
      </c>
      <c r="R27" s="16" t="n">
        <f aca="false">RANDBETWEEN(-30,90)/1000</f>
        <v>0.087</v>
      </c>
      <c r="S27" s="17"/>
      <c r="T27" s="0" t="n">
        <v>20</v>
      </c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309.25</v>
      </c>
      <c r="D28" s="16" t="n">
        <f aca="false">+Chạy!F62</f>
        <v>-6.88</v>
      </c>
      <c r="E28" s="16" t="n">
        <f aca="false">+D28+F28</f>
        <v>-6.8691</v>
      </c>
      <c r="F28" s="16" t="n">
        <f aca="false">RANDBETWEEN(-105,115)/10000</f>
        <v>0.0109</v>
      </c>
      <c r="G28" s="16" t="n">
        <f aca="false">+Chạy!G62</f>
        <v>0.18</v>
      </c>
      <c r="H28" s="16" t="n">
        <f aca="false">G28+I28</f>
        <v>0.266</v>
      </c>
      <c r="I28" s="16" t="n">
        <f aca="false">RANDBETWEEN(-30,90)/1000</f>
        <v>0.086</v>
      </c>
      <c r="J28" s="16" t="n">
        <f aca="false">+Chạy!K62</f>
        <v>0.3</v>
      </c>
      <c r="K28" s="16" t="n">
        <f aca="false">J28+L28</f>
        <v>0.36</v>
      </c>
      <c r="L28" s="16" t="n">
        <f aca="false">RANDBETWEEN(-30,90)/1000</f>
        <v>0.06</v>
      </c>
      <c r="M28" s="16" t="n">
        <f aca="false">+Chạy!N62</f>
        <v>6.88</v>
      </c>
      <c r="N28" s="16" t="n">
        <f aca="false">+M28+O28</f>
        <v>6.8862</v>
      </c>
      <c r="O28" s="16" t="n">
        <f aca="false">RANDBETWEEN(-105,115)/10000</f>
        <v>0.0062</v>
      </c>
      <c r="P28" s="16" t="n">
        <f aca="false">+Chạy!O62</f>
        <v>0.18</v>
      </c>
      <c r="Q28" s="16" t="n">
        <f aca="false">P28+R28</f>
        <v>0.222</v>
      </c>
      <c r="R28" s="16" t="n">
        <f aca="false">RANDBETWEEN(-30,90)/1000</f>
        <v>0.042</v>
      </c>
      <c r="S28" s="17"/>
      <c r="T28" s="0" t="n">
        <v>20</v>
      </c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329.25</v>
      </c>
      <c r="D29" s="16" t="n">
        <f aca="false">+Chạy!F71</f>
        <v>-6.87</v>
      </c>
      <c r="E29" s="16" t="n">
        <f aca="false">+D29+F29</f>
        <v>-6.8708</v>
      </c>
      <c r="F29" s="16" t="n">
        <f aca="false">RANDBETWEEN(-105,115)/10000</f>
        <v>-0.0008</v>
      </c>
      <c r="G29" s="16" t="n">
        <f aca="false">+Chạy!G71</f>
        <v>0.17</v>
      </c>
      <c r="H29" s="16" t="n">
        <f aca="false">G29+I29</f>
        <v>0.183</v>
      </c>
      <c r="I29" s="16" t="n">
        <f aca="false">RANDBETWEEN(-30,90)/1000</f>
        <v>0.013</v>
      </c>
      <c r="J29" s="16" t="n">
        <f aca="false">+Chạy!K71</f>
        <v>0.29</v>
      </c>
      <c r="K29" s="16" t="n">
        <f aca="false">J29+L29</f>
        <v>0.281</v>
      </c>
      <c r="L29" s="16" t="n">
        <f aca="false">RANDBETWEEN(-30,90)/1000</f>
        <v>-0.009</v>
      </c>
      <c r="M29" s="16" t="n">
        <f aca="false">+Chạy!N71</f>
        <v>6.87</v>
      </c>
      <c r="N29" s="16" t="n">
        <f aca="false">+M29+O29</f>
        <v>6.875</v>
      </c>
      <c r="O29" s="16" t="n">
        <f aca="false">RANDBETWEEN(-105,115)/10000</f>
        <v>0.005</v>
      </c>
      <c r="P29" s="16" t="n">
        <f aca="false">+Chạy!O71</f>
        <v>0.17</v>
      </c>
      <c r="Q29" s="16" t="n">
        <f aca="false">P29+R29</f>
        <v>0.187</v>
      </c>
      <c r="R29" s="16" t="n">
        <f aca="false">RANDBETWEEN(-30,90)/1000</f>
        <v>0.017</v>
      </c>
      <c r="S29" s="17"/>
      <c r="T29" s="0" t="n">
        <v>20</v>
      </c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349.25</v>
      </c>
      <c r="D30" s="16" t="n">
        <f aca="false">+Chạy!F80</f>
        <v>-6.86</v>
      </c>
      <c r="E30" s="16" t="n">
        <f aca="false">+D30+F30</f>
        <v>-6.8633</v>
      </c>
      <c r="F30" s="16" t="n">
        <f aca="false">RANDBETWEEN(-105,115)/10000</f>
        <v>-0.0033</v>
      </c>
      <c r="G30" s="16" t="n">
        <f aca="false">+Chạy!G80</f>
        <v>0.16</v>
      </c>
      <c r="H30" s="16" t="n">
        <f aca="false">G30+I30</f>
        <v>0.139</v>
      </c>
      <c r="I30" s="16" t="n">
        <f aca="false">RANDBETWEEN(-30,90)/1000</f>
        <v>-0.021</v>
      </c>
      <c r="J30" s="16" t="n">
        <f aca="false">+Chạy!K80</f>
        <v>0.28</v>
      </c>
      <c r="K30" s="16" t="n">
        <f aca="false">J30+L30</f>
        <v>0.351</v>
      </c>
      <c r="L30" s="16" t="n">
        <f aca="false">RANDBETWEEN(-30,90)/1000</f>
        <v>0.071</v>
      </c>
      <c r="M30" s="16" t="n">
        <f aca="false">+Chạy!N80</f>
        <v>6.86</v>
      </c>
      <c r="N30" s="16" t="n">
        <f aca="false">+M30+O30</f>
        <v>6.8694</v>
      </c>
      <c r="O30" s="16" t="n">
        <f aca="false">RANDBETWEEN(-105,115)/10000</f>
        <v>0.0094</v>
      </c>
      <c r="P30" s="16" t="n">
        <f aca="false">+Chạy!O80</f>
        <v>0.16</v>
      </c>
      <c r="Q30" s="16" t="n">
        <f aca="false">P30+R30</f>
        <v>0.152</v>
      </c>
      <c r="R30" s="16" t="n">
        <f aca="false">RANDBETWEEN(-30,90)/1000</f>
        <v>-0.008</v>
      </c>
      <c r="S30" s="17"/>
      <c r="T30" s="0" t="n">
        <v>19</v>
      </c>
    </row>
    <row r="31" customFormat="false" ht="15" hidden="false" customHeight="false" outlineLevel="0" collapsed="false">
      <c r="A31" s="13" t="n">
        <v>10</v>
      </c>
      <c r="B31" s="13" t="s">
        <v>26</v>
      </c>
      <c r="C31" s="15" t="n">
        <f aca="false">+C30+T30</f>
        <v>368.25</v>
      </c>
      <c r="D31" s="16" t="n">
        <f aca="false">+Chạy!F89</f>
        <v>-14.65</v>
      </c>
      <c r="E31" s="16" t="n">
        <f aca="false">+D31+F31</f>
        <v>-14.652</v>
      </c>
      <c r="F31" s="16" t="n">
        <f aca="false">RANDBETWEEN(-105,115)/10000</f>
        <v>-0.002</v>
      </c>
      <c r="G31" s="16" t="n">
        <f aca="false">+Chạy!G89</f>
        <v>0.15</v>
      </c>
      <c r="H31" s="16" t="n">
        <f aca="false">G31+I31</f>
        <v>0.199</v>
      </c>
      <c r="I31" s="16" t="n">
        <f aca="false">RANDBETWEEN(-30,90)/1000</f>
        <v>0.049</v>
      </c>
      <c r="J31" s="16" t="n">
        <f aca="false">+Chạy!K89</f>
        <v>0.27</v>
      </c>
      <c r="K31" s="16" t="n">
        <f aca="false">J31+L31</f>
        <v>0.356</v>
      </c>
      <c r="L31" s="16" t="n">
        <f aca="false">RANDBETWEEN(-30,90)/1000</f>
        <v>0.086</v>
      </c>
      <c r="M31" s="16" t="n">
        <f aca="false">+Chạy!N89</f>
        <v>6.85</v>
      </c>
      <c r="N31" s="16" t="n">
        <f aca="false">+M31+O31</f>
        <v>6.8462</v>
      </c>
      <c r="O31" s="16" t="n">
        <f aca="false">RANDBETWEEN(-105,115)/10000</f>
        <v>-0.0038</v>
      </c>
      <c r="P31" s="16" t="n">
        <f aca="false">+Chạy!O89</f>
        <v>0.15</v>
      </c>
      <c r="Q31" s="16" t="n">
        <f aca="false">P31+R31</f>
        <v>0.165</v>
      </c>
      <c r="R31" s="16" t="n">
        <f aca="false">RANDBETWEEN(-30,90)/1000</f>
        <v>0.015</v>
      </c>
      <c r="S31" s="17"/>
      <c r="T31" s="0" t="n">
        <v>13.25</v>
      </c>
    </row>
    <row r="32" customFormat="false" ht="15" hidden="false" customHeight="false" outlineLevel="0" collapsed="false">
      <c r="A32" s="13" t="n">
        <v>11</v>
      </c>
      <c r="B32" s="13" t="s">
        <v>27</v>
      </c>
      <c r="C32" s="15" t="n">
        <f aca="false">+C31+T31</f>
        <v>381.5</v>
      </c>
      <c r="D32" s="16" t="n">
        <f aca="false">+Chạy!F98</f>
        <v>-14.65</v>
      </c>
      <c r="E32" s="16" t="n">
        <f aca="false">+D32+F32</f>
        <v>-14.6534</v>
      </c>
      <c r="F32" s="16" t="n">
        <f aca="false">RANDBETWEEN(-105,115)/10000</f>
        <v>-0.0034</v>
      </c>
      <c r="G32" s="16" t="n">
        <f aca="false">+Chạy!G98</f>
        <v>0.14</v>
      </c>
      <c r="H32" s="16" t="n">
        <f aca="false">G32+I32</f>
        <v>0.12</v>
      </c>
      <c r="I32" s="16" t="n">
        <f aca="false">RANDBETWEEN(-30,90)/1000</f>
        <v>-0.02</v>
      </c>
      <c r="J32" s="16" t="n">
        <f aca="false">+Chạy!K98</f>
        <v>0.26</v>
      </c>
      <c r="K32" s="16" t="n">
        <f aca="false">J32+L32</f>
        <v>0.328</v>
      </c>
      <c r="L32" s="16" t="n">
        <f aca="false">RANDBETWEEN(-30,90)/1000</f>
        <v>0.068</v>
      </c>
      <c r="M32" s="16" t="n">
        <f aca="false">+Chạy!N98</f>
        <v>14.65</v>
      </c>
      <c r="N32" s="16" t="n">
        <f aca="false">+M32+O32</f>
        <v>14.6476</v>
      </c>
      <c r="O32" s="16" t="n">
        <f aca="false">RANDBETWEEN(-105,115)/10000</f>
        <v>-0.0024</v>
      </c>
      <c r="P32" s="16" t="n">
        <f aca="false">+Chạy!O98</f>
        <v>0.14</v>
      </c>
      <c r="Q32" s="16" t="n">
        <f aca="false">P32+R32</f>
        <v>0.166</v>
      </c>
      <c r="R32" s="16" t="n">
        <f aca="false">RANDBETWEEN(-30,90)/1000</f>
        <v>0.026</v>
      </c>
      <c r="S32" s="17"/>
      <c r="T32" s="0" t="n">
        <v>13.25</v>
      </c>
    </row>
    <row r="33" customFormat="false" ht="15" hidden="false" customHeight="false" outlineLevel="0" collapsed="false">
      <c r="A33" s="13" t="n">
        <v>12</v>
      </c>
      <c r="B33" s="13" t="s">
        <v>28</v>
      </c>
      <c r="C33" s="15" t="n">
        <f aca="false">+C32+T32</f>
        <v>394.75</v>
      </c>
      <c r="D33" s="16" t="n">
        <f aca="false">+Chạy!F107</f>
        <v>-14.65</v>
      </c>
      <c r="E33" s="16" t="n">
        <f aca="false">+D33+F33</f>
        <v>-14.6484</v>
      </c>
      <c r="F33" s="16" t="n">
        <f aca="false">RANDBETWEEN(-105,115)/10000</f>
        <v>0.0016</v>
      </c>
      <c r="G33" s="16" t="n">
        <f aca="false">+Chạy!G107</f>
        <v>0.13</v>
      </c>
      <c r="H33" s="16" t="n">
        <f aca="false">G33+I33</f>
        <v>0.127</v>
      </c>
      <c r="I33" s="16" t="n">
        <f aca="false">RANDBETWEEN(-30,90)/1000</f>
        <v>-0.003</v>
      </c>
      <c r="J33" s="16" t="n">
        <f aca="false">+Chạy!K107</f>
        <v>0.25</v>
      </c>
      <c r="K33" s="16" t="n">
        <f aca="false">J33+L33</f>
        <v>0.22</v>
      </c>
      <c r="L33" s="16" t="n">
        <f aca="false">RANDBETWEEN(-30,90)/1000</f>
        <v>-0.03</v>
      </c>
      <c r="M33" s="16" t="n">
        <f aca="false">+Chạy!N107</f>
        <v>14.65</v>
      </c>
      <c r="N33" s="16" t="n">
        <f aca="false">+M33+O33</f>
        <v>14.6526</v>
      </c>
      <c r="O33" s="16" t="n">
        <f aca="false">RANDBETWEEN(-105,115)/10000</f>
        <v>0.0026</v>
      </c>
      <c r="P33" s="16" t="n">
        <f aca="false">+Chạy!O107</f>
        <v>0.13</v>
      </c>
      <c r="Q33" s="16" t="n">
        <f aca="false">P33+R33</f>
        <v>0.177</v>
      </c>
      <c r="R33" s="16" t="n">
        <f aca="false">RANDBETWEEN(-30,90)/1000</f>
        <v>0.047</v>
      </c>
      <c r="S33" s="17"/>
      <c r="T33" s="0" t="n">
        <v>20</v>
      </c>
    </row>
    <row r="34" customFormat="false" ht="15" hidden="false" customHeight="false" outlineLevel="0" collapsed="false">
      <c r="A34" s="13" t="n">
        <v>13</v>
      </c>
      <c r="B34" s="13" t="s">
        <v>29</v>
      </c>
      <c r="C34" s="15" t="n">
        <f aca="false">+C33+T33</f>
        <v>414.75</v>
      </c>
      <c r="D34" s="16" t="n">
        <f aca="false">+Chạy!F116</f>
        <v>-14.65</v>
      </c>
      <c r="E34" s="16" t="n">
        <f aca="false">+D34+F34</f>
        <v>-14.6422</v>
      </c>
      <c r="F34" s="16" t="n">
        <f aca="false">RANDBETWEEN(-105,115)/10000</f>
        <v>0.0078</v>
      </c>
      <c r="G34" s="16" t="n">
        <f aca="false">+Chạy!G116</f>
        <v>0.12</v>
      </c>
      <c r="H34" s="16" t="n">
        <f aca="false">G34+I34</f>
        <v>0.124</v>
      </c>
      <c r="I34" s="16" t="n">
        <f aca="false">RANDBETWEEN(-30,90)/1000</f>
        <v>0.004</v>
      </c>
      <c r="J34" s="16" t="n">
        <f aca="false">+Chạy!K116</f>
        <v>0.24</v>
      </c>
      <c r="K34" s="16" t="n">
        <f aca="false">J34+L34</f>
        <v>0.318</v>
      </c>
      <c r="L34" s="16" t="n">
        <f aca="false">RANDBETWEEN(-30,90)/1000</f>
        <v>0.078</v>
      </c>
      <c r="M34" s="16" t="n">
        <f aca="false">+Chạy!N116</f>
        <v>14.65</v>
      </c>
      <c r="N34" s="16" t="n">
        <f aca="false">+M34+O34</f>
        <v>14.641</v>
      </c>
      <c r="O34" s="16" t="n">
        <f aca="false">RANDBETWEEN(-105,115)/10000</f>
        <v>-0.009</v>
      </c>
      <c r="P34" s="16" t="n">
        <f aca="false">+Chạy!O116</f>
        <v>0.12</v>
      </c>
      <c r="Q34" s="16" t="n">
        <f aca="false">P34+R34</f>
        <v>0.115</v>
      </c>
      <c r="R34" s="16" t="n">
        <f aca="false">RANDBETWEEN(-30,90)/1000</f>
        <v>-0.005</v>
      </c>
      <c r="S34" s="17"/>
      <c r="T34" s="0" t="n">
        <v>20</v>
      </c>
    </row>
    <row r="35" customFormat="false" ht="15" hidden="false" customHeight="false" outlineLevel="0" collapsed="false">
      <c r="A35" s="13" t="n">
        <v>14</v>
      </c>
      <c r="B35" s="13" t="s">
        <v>30</v>
      </c>
      <c r="C35" s="15" t="n">
        <f aca="false">+C34+T34</f>
        <v>434.75</v>
      </c>
      <c r="D35" s="16" t="n">
        <f aca="false">+Chạy!F125</f>
        <v>-14.65</v>
      </c>
      <c r="E35" s="16" t="n">
        <f aca="false">+D35+F35</f>
        <v>-14.6522</v>
      </c>
      <c r="F35" s="16" t="n">
        <f aca="false">RANDBETWEEN(-105,115)/10000</f>
        <v>-0.0022</v>
      </c>
      <c r="G35" s="16" t="n">
        <f aca="false">+Chạy!G125</f>
        <v>0.11</v>
      </c>
      <c r="H35" s="16" t="n">
        <f aca="false">G35+I35</f>
        <v>0.19</v>
      </c>
      <c r="I35" s="16" t="n">
        <f aca="false">RANDBETWEEN(-30,90)/1000</f>
        <v>0.08</v>
      </c>
      <c r="J35" s="16" t="n">
        <f aca="false">+Chạy!K125</f>
        <v>0.22</v>
      </c>
      <c r="K35" s="16" t="n">
        <f aca="false">J35+L35</f>
        <v>0.223</v>
      </c>
      <c r="L35" s="16" t="n">
        <f aca="false">RANDBETWEEN(-30,90)/1000</f>
        <v>0.003</v>
      </c>
      <c r="M35" s="16" t="n">
        <f aca="false">+Chạy!N125</f>
        <v>14.65</v>
      </c>
      <c r="N35" s="16" t="n">
        <f aca="false">+M35+O35</f>
        <v>14.6614</v>
      </c>
      <c r="O35" s="16" t="n">
        <f aca="false">RANDBETWEEN(-105,115)/10000</f>
        <v>0.0114</v>
      </c>
      <c r="P35" s="16" t="n">
        <f aca="false">+Chạy!O125</f>
        <v>0.11</v>
      </c>
      <c r="Q35" s="16" t="n">
        <f aca="false">P35+R35</f>
        <v>0.116</v>
      </c>
      <c r="R35" s="16" t="n">
        <f aca="false">RANDBETWEEN(-30,90)/1000</f>
        <v>0.006</v>
      </c>
      <c r="S35" s="17"/>
      <c r="T35" s="0" t="n">
        <v>20</v>
      </c>
    </row>
    <row r="36" customFormat="false" ht="15" hidden="false" customHeight="false" outlineLevel="0" collapsed="false">
      <c r="A36" s="13" t="n">
        <v>15</v>
      </c>
      <c r="B36" s="13" t="s">
        <v>31</v>
      </c>
      <c r="C36" s="15" t="n">
        <f aca="false">+C35+T35</f>
        <v>454.75</v>
      </c>
      <c r="D36" s="16" t="n">
        <f aca="false">+Chạy!F134</f>
        <v>-9.59</v>
      </c>
      <c r="E36" s="16" t="n">
        <f aca="false">+D36+F36</f>
        <v>-9.5786</v>
      </c>
      <c r="F36" s="16" t="n">
        <f aca="false">RANDBETWEEN(-105,115)/10000</f>
        <v>0.0114</v>
      </c>
      <c r="G36" s="16" t="n">
        <f aca="false">+Chạy!G134</f>
        <v>0.09</v>
      </c>
      <c r="H36" s="16" t="n">
        <f aca="false">G36+I36</f>
        <v>0.156</v>
      </c>
      <c r="I36" s="16" t="n">
        <f aca="false">RANDBETWEEN(-30,90)/1000</f>
        <v>0.066</v>
      </c>
      <c r="J36" s="16" t="n">
        <f aca="false">+Chạy!K134</f>
        <v>0.21</v>
      </c>
      <c r="K36" s="16" t="n">
        <f aca="false">J36+L36</f>
        <v>0.252</v>
      </c>
      <c r="L36" s="16" t="n">
        <f aca="false">RANDBETWEEN(-30,90)/1000</f>
        <v>0.042</v>
      </c>
      <c r="M36" s="16" t="n">
        <f aca="false">+Chạy!N134</f>
        <v>9.94</v>
      </c>
      <c r="N36" s="16" t="n">
        <f aca="false">+M36+O36</f>
        <v>9.945</v>
      </c>
      <c r="O36" s="16" t="n">
        <f aca="false">RANDBETWEEN(-105,115)/10000</f>
        <v>0.005</v>
      </c>
      <c r="P36" s="16" t="n">
        <f aca="false">+Chạy!O134</f>
        <v>0.09</v>
      </c>
      <c r="Q36" s="16" t="n">
        <f aca="false">P36+R36</f>
        <v>0.165</v>
      </c>
      <c r="R36" s="16" t="n">
        <f aca="false">RANDBETWEEN(-30,90)/1000</f>
        <v>0.075</v>
      </c>
      <c r="S36" s="17"/>
      <c r="T36" s="0" t="n">
        <v>20</v>
      </c>
    </row>
    <row r="37" customFormat="false" ht="15" hidden="false" customHeight="false" outlineLevel="0" collapsed="false">
      <c r="A37" s="13" t="n">
        <v>16</v>
      </c>
      <c r="B37" s="13" t="s">
        <v>32</v>
      </c>
      <c r="C37" s="15" t="n">
        <f aca="false">+C36+T36</f>
        <v>474.75</v>
      </c>
      <c r="D37" s="16" t="n">
        <f aca="false">+Chạy!F143</f>
        <v>-14.65</v>
      </c>
      <c r="E37" s="16" t="n">
        <f aca="false">+D37+F37</f>
        <v>-14.6427</v>
      </c>
      <c r="F37" s="16" t="n">
        <f aca="false">RANDBETWEEN(-105,115)/10000</f>
        <v>0.0073</v>
      </c>
      <c r="G37" s="16" t="n">
        <f aca="false">+Chạy!G143</f>
        <v>0.08</v>
      </c>
      <c r="H37" s="16" t="n">
        <f aca="false">G37+I37</f>
        <v>0.051</v>
      </c>
      <c r="I37" s="16" t="n">
        <f aca="false">RANDBETWEEN(-30,90)/1000</f>
        <v>-0.029</v>
      </c>
      <c r="J37" s="16" t="n">
        <f aca="false">+Chạy!K143</f>
        <v>0.2</v>
      </c>
      <c r="K37" s="16" t="n">
        <f aca="false">J37+L37</f>
        <v>0.238</v>
      </c>
      <c r="L37" s="16" t="n">
        <f aca="false">RANDBETWEEN(-30,90)/1000</f>
        <v>0.038</v>
      </c>
      <c r="M37" s="16" t="n">
        <f aca="false">+Chạy!N143</f>
        <v>14.65</v>
      </c>
      <c r="N37" s="16" t="n">
        <f aca="false">+M37+O37</f>
        <v>14.6432</v>
      </c>
      <c r="O37" s="16" t="n">
        <f aca="false">RANDBETWEEN(-105,115)/10000</f>
        <v>-0.0068</v>
      </c>
      <c r="P37" s="16" t="n">
        <f aca="false">+Chạy!O143</f>
        <v>0.08</v>
      </c>
      <c r="Q37" s="16" t="n">
        <f aca="false">P37+R37</f>
        <v>0.069</v>
      </c>
      <c r="R37" s="16" t="n">
        <f aca="false">RANDBETWEEN(-30,90)/1000</f>
        <v>-0.011</v>
      </c>
      <c r="S37" s="17"/>
      <c r="T37" s="0" t="n">
        <v>14.44</v>
      </c>
    </row>
    <row r="38" customFormat="false" ht="15" hidden="false" customHeight="false" outlineLevel="0" collapsed="false">
      <c r="A38" s="13" t="n">
        <v>17</v>
      </c>
      <c r="B38" s="13" t="s">
        <v>33</v>
      </c>
      <c r="C38" s="15" t="n">
        <f aca="false">+C37+T37</f>
        <v>489.19</v>
      </c>
      <c r="D38" s="16" t="n">
        <f aca="false">+Chạy!F152</f>
        <v>-14.65</v>
      </c>
      <c r="E38" s="16" t="n">
        <f aca="false">+D38+F38</f>
        <v>-14.6474</v>
      </c>
      <c r="F38" s="16" t="n">
        <f aca="false">RANDBETWEEN(-105,115)/10000</f>
        <v>0.0026</v>
      </c>
      <c r="G38" s="16" t="n">
        <f aca="false">+Chạy!G152</f>
        <v>0.07</v>
      </c>
      <c r="H38" s="16" t="n">
        <f aca="false">G38+I38</f>
        <v>0.116</v>
      </c>
      <c r="I38" s="16" t="n">
        <f aca="false">RANDBETWEEN(-30,90)/1000</f>
        <v>0.046</v>
      </c>
      <c r="J38" s="16" t="n">
        <f aca="false">+Chạy!K152</f>
        <v>0.19</v>
      </c>
      <c r="K38" s="16" t="n">
        <f aca="false">J38+L38</f>
        <v>0.197</v>
      </c>
      <c r="L38" s="16" t="n">
        <f aca="false">RANDBETWEEN(-30,90)/1000</f>
        <v>0.007</v>
      </c>
      <c r="M38" s="16" t="n">
        <f aca="false">+Chạy!N152</f>
        <v>14.65</v>
      </c>
      <c r="N38" s="16" t="n">
        <f aca="false">+M38+O38</f>
        <v>14.6429</v>
      </c>
      <c r="O38" s="16" t="n">
        <f aca="false">RANDBETWEEN(-105,115)/10000</f>
        <v>-0.0071</v>
      </c>
      <c r="P38" s="16" t="n">
        <f aca="false">+Chạy!O152</f>
        <v>0.07</v>
      </c>
      <c r="Q38" s="16" t="n">
        <f aca="false">P38+R38</f>
        <v>0.157</v>
      </c>
      <c r="R38" s="16" t="n">
        <f aca="false">RANDBETWEEN(-30,90)/1000</f>
        <v>0.087</v>
      </c>
      <c r="S38" s="17"/>
      <c r="T38" s="0" t="n">
        <v>13.17</v>
      </c>
    </row>
    <row r="39" customFormat="false" ht="15" hidden="false" customHeight="false" outlineLevel="0" collapsed="false">
      <c r="A39" s="13" t="n">
        <v>18</v>
      </c>
      <c r="B39" s="13" t="s">
        <v>34</v>
      </c>
      <c r="C39" s="15" t="n">
        <f aca="false">+C38+T38</f>
        <v>502.36</v>
      </c>
      <c r="D39" s="16" t="n">
        <f aca="false">+Chạy!F161</f>
        <v>-14.65</v>
      </c>
      <c r="E39" s="16" t="n">
        <f aca="false">+D39+F39</f>
        <v>-14.641</v>
      </c>
      <c r="F39" s="16" t="n">
        <f aca="false">RANDBETWEEN(-105,115)/10000</f>
        <v>0.009</v>
      </c>
      <c r="G39" s="16" t="n">
        <f aca="false">+Chạy!G161</f>
        <v>0.06</v>
      </c>
      <c r="H39" s="16" t="n">
        <f aca="false">G39+I39</f>
        <v>0.118</v>
      </c>
      <c r="I39" s="16" t="n">
        <f aca="false">RANDBETWEEN(-30,90)/1000</f>
        <v>0.058</v>
      </c>
      <c r="J39" s="16" t="n">
        <f aca="false">+Chạy!K161</f>
        <v>0.18</v>
      </c>
      <c r="K39" s="16" t="n">
        <f aca="false">J39+L39</f>
        <v>0.217</v>
      </c>
      <c r="L39" s="16" t="n">
        <f aca="false">RANDBETWEEN(-30,90)/1000</f>
        <v>0.037</v>
      </c>
      <c r="M39" s="16" t="n">
        <f aca="false">+Chạy!N161</f>
        <v>14.65</v>
      </c>
      <c r="N39" s="16" t="n">
        <f aca="false">+M39+O39</f>
        <v>14.6555</v>
      </c>
      <c r="O39" s="16" t="n">
        <f aca="false">RANDBETWEEN(-105,115)/10000</f>
        <v>0.0055</v>
      </c>
      <c r="P39" s="16" t="n">
        <f aca="false">+Chạy!O161</f>
        <v>0.06</v>
      </c>
      <c r="Q39" s="16" t="n">
        <f aca="false">P39+R39</f>
        <v>0.04</v>
      </c>
      <c r="R39" s="16" t="n">
        <f aca="false">RANDBETWEEN(-30,90)/1000</f>
        <v>-0.02</v>
      </c>
      <c r="S39" s="17"/>
      <c r="T39" s="0" t="n">
        <v>10.48</v>
      </c>
    </row>
    <row r="40" customFormat="false" ht="15" hidden="false" customHeight="false" outlineLevel="0" collapsed="false">
      <c r="A40" s="13" t="n">
        <v>19</v>
      </c>
      <c r="B40" s="13" t="s">
        <v>35</v>
      </c>
      <c r="C40" s="15" t="n">
        <f aca="false">+C39+T39</f>
        <v>512.84</v>
      </c>
      <c r="D40" s="16" t="n">
        <f aca="false">+Chạy!F170</f>
        <v>-14.65</v>
      </c>
      <c r="E40" s="16" t="n">
        <f aca="false">+D40+F40</f>
        <v>-14.655</v>
      </c>
      <c r="F40" s="16" t="n">
        <f aca="false">RANDBETWEEN(-105,115)/10000</f>
        <v>-0.005</v>
      </c>
      <c r="G40" s="16" t="n">
        <f aca="false">+Chạy!G170</f>
        <v>0.06</v>
      </c>
      <c r="H40" s="16" t="n">
        <f aca="false">G40+I40</f>
        <v>0.069</v>
      </c>
      <c r="I40" s="16" t="n">
        <f aca="false">RANDBETWEEN(-30,90)/1000</f>
        <v>0.009</v>
      </c>
      <c r="J40" s="16" t="n">
        <f aca="false">+Chạy!K170</f>
        <v>0.17</v>
      </c>
      <c r="K40" s="16" t="n">
        <f aca="false">J40+L40</f>
        <v>0.197</v>
      </c>
      <c r="L40" s="16" t="n">
        <f aca="false">RANDBETWEEN(-30,90)/1000</f>
        <v>0.027</v>
      </c>
      <c r="M40" s="16" t="n">
        <f aca="false">+Chạy!N170</f>
        <v>14.65</v>
      </c>
      <c r="N40" s="16" t="n">
        <f aca="false">+M40+O40</f>
        <v>14.6475</v>
      </c>
      <c r="O40" s="16" t="n">
        <f aca="false">RANDBETWEEN(-105,115)/10000</f>
        <v>-0.0025</v>
      </c>
      <c r="P40" s="16" t="n">
        <f aca="false">+Chạy!O170</f>
        <v>0.06</v>
      </c>
      <c r="Q40" s="16" t="n">
        <f aca="false">P40+R40</f>
        <v>0.149</v>
      </c>
      <c r="R40" s="16" t="n">
        <f aca="false">RANDBETWEEN(-30,90)/1000</f>
        <v>0.089</v>
      </c>
      <c r="S40" s="17"/>
      <c r="T40" s="0" t="n">
        <v>16.78</v>
      </c>
    </row>
    <row r="41" customFormat="false" ht="15" hidden="false" customHeight="false" outlineLevel="0" collapsed="false">
      <c r="A41" s="13" t="n">
        <v>20</v>
      </c>
      <c r="B41" s="13" t="s">
        <v>36</v>
      </c>
      <c r="C41" s="15" t="n">
        <f aca="false">+C40+T40</f>
        <v>529.62</v>
      </c>
      <c r="D41" s="16" t="n">
        <f aca="false">+Chạy!F179</f>
        <v>-14.65</v>
      </c>
      <c r="E41" s="16" t="n">
        <f aca="false">+D41+F41</f>
        <v>-14.6435</v>
      </c>
      <c r="F41" s="16" t="n">
        <f aca="false">RANDBETWEEN(-105,115)/10000</f>
        <v>0.0065</v>
      </c>
      <c r="G41" s="16" t="n">
        <f aca="false">+Chạy!G179</f>
        <v>0.05</v>
      </c>
      <c r="H41" s="16" t="n">
        <f aca="false">G41+I41</f>
        <v>0.029</v>
      </c>
      <c r="I41" s="16" t="n">
        <f aca="false">RANDBETWEEN(-30,90)/1000</f>
        <v>-0.021</v>
      </c>
      <c r="J41" s="16" t="n">
        <f aca="false">+Chạy!K179</f>
        <v>0.17</v>
      </c>
      <c r="K41" s="16" t="n">
        <f aca="false">J41+L41</f>
        <v>0.188</v>
      </c>
      <c r="L41" s="16" t="n">
        <f aca="false">RANDBETWEEN(-30,90)/1000</f>
        <v>0.018</v>
      </c>
      <c r="M41" s="16" t="n">
        <f aca="false">+Chạy!N179</f>
        <v>14.65</v>
      </c>
      <c r="N41" s="16" t="n">
        <f aca="false">+M41+O41</f>
        <v>14.6408</v>
      </c>
      <c r="O41" s="16" t="n">
        <f aca="false">RANDBETWEEN(-105,115)/10000</f>
        <v>-0.0092</v>
      </c>
      <c r="P41" s="16" t="n">
        <f aca="false">+Chạy!O179</f>
        <v>0.05</v>
      </c>
      <c r="Q41" s="16" t="n">
        <f aca="false">P41+R41</f>
        <v>0.049</v>
      </c>
      <c r="R41" s="16" t="n">
        <f aca="false">RANDBETWEEN(-30,90)/1000</f>
        <v>-0.001</v>
      </c>
      <c r="S41" s="17"/>
      <c r="T41" s="0" t="n">
        <v>17.1</v>
      </c>
    </row>
    <row r="42" customFormat="false" ht="15" hidden="false" customHeight="false" outlineLevel="0" collapsed="false">
      <c r="A42" s="13" t="n">
        <v>21</v>
      </c>
      <c r="B42" s="13" t="s">
        <v>37</v>
      </c>
      <c r="C42" s="15" t="n">
        <f aca="false">+C41+T41</f>
        <v>546.72</v>
      </c>
      <c r="D42" s="16" t="n">
        <f aca="false">+Chạy!F188</f>
        <v>-14.65</v>
      </c>
      <c r="E42" s="16" t="n">
        <f aca="false">+D42+F42</f>
        <v>-14.6478</v>
      </c>
      <c r="F42" s="16" t="n">
        <f aca="false">RANDBETWEEN(-105,115)/10000</f>
        <v>0.0022</v>
      </c>
      <c r="G42" s="16" t="n">
        <f aca="false">+Chạy!G188</f>
        <v>0.04</v>
      </c>
      <c r="H42" s="16" t="n">
        <f aca="false">G42+I42</f>
        <v>0.128</v>
      </c>
      <c r="I42" s="16" t="n">
        <f aca="false">RANDBETWEEN(-30,90)/1000</f>
        <v>0.088</v>
      </c>
      <c r="J42" s="16" t="n">
        <f aca="false">+Chạy!K188</f>
        <v>0.16</v>
      </c>
      <c r="K42" s="16" t="n">
        <f aca="false">J42+L42</f>
        <v>0.209</v>
      </c>
      <c r="L42" s="16" t="n">
        <f aca="false">RANDBETWEEN(-30,90)/1000</f>
        <v>0.049</v>
      </c>
      <c r="M42" s="16" t="n">
        <f aca="false">+Chạy!N188</f>
        <v>14.65</v>
      </c>
      <c r="N42" s="16" t="n">
        <f aca="false">+M42+O42</f>
        <v>14.6557</v>
      </c>
      <c r="O42" s="16" t="n">
        <f aca="false">RANDBETWEEN(-105,115)/10000</f>
        <v>0.0057</v>
      </c>
      <c r="P42" s="16" t="n">
        <f aca="false">+Chạy!O188</f>
        <v>0.04</v>
      </c>
      <c r="Q42" s="16" t="n">
        <f aca="false">P42+R42</f>
        <v>0.012</v>
      </c>
      <c r="R42" s="16" t="n">
        <f aca="false">RANDBETWEEN(-30,90)/1000</f>
        <v>-0.028</v>
      </c>
      <c r="S42" s="17"/>
      <c r="T42" s="0" t="n">
        <v>15.15</v>
      </c>
    </row>
    <row r="43" customFormat="false" ht="15" hidden="false" customHeight="false" outlineLevel="0" collapsed="false">
      <c r="A43" s="13" t="n">
        <v>22</v>
      </c>
      <c r="B43" s="13" t="s">
        <v>38</v>
      </c>
      <c r="C43" s="15" t="n">
        <f aca="false">+C42+T42</f>
        <v>561.87</v>
      </c>
      <c r="D43" s="16" t="n">
        <f aca="false">+Chạy!F197</f>
        <v>-14.65</v>
      </c>
      <c r="E43" s="16" t="n">
        <f aca="false">+D43+F43</f>
        <v>-14.6564</v>
      </c>
      <c r="F43" s="16" t="n">
        <f aca="false">RANDBETWEEN(-105,115)/10000</f>
        <v>-0.0064</v>
      </c>
      <c r="G43" s="16" t="n">
        <f aca="false">+Chạy!G197</f>
        <v>0.04</v>
      </c>
      <c r="H43" s="16" t="n">
        <f aca="false">G43+I43</f>
        <v>0.109</v>
      </c>
      <c r="I43" s="16" t="n">
        <f aca="false">RANDBETWEEN(-30,90)/1000</f>
        <v>0.069</v>
      </c>
      <c r="J43" s="16" t="n">
        <f aca="false">+Chạy!K197</f>
        <v>0.15</v>
      </c>
      <c r="K43" s="16" t="n">
        <f aca="false">J43+L43</f>
        <v>0.144</v>
      </c>
      <c r="L43" s="16" t="n">
        <f aca="false">RANDBETWEEN(-30,90)/1000</f>
        <v>-0.006</v>
      </c>
      <c r="M43" s="16" t="n">
        <f aca="false">+Chạy!N197</f>
        <v>14.65</v>
      </c>
      <c r="N43" s="16" t="n">
        <f aca="false">+M43+O43</f>
        <v>14.6406</v>
      </c>
      <c r="O43" s="16" t="n">
        <f aca="false">RANDBETWEEN(-105,115)/10000</f>
        <v>-0.0094</v>
      </c>
      <c r="P43" s="16" t="n">
        <f aca="false">+Chạy!O197</f>
        <v>0.04</v>
      </c>
      <c r="Q43" s="16" t="n">
        <f aca="false">P43+R43</f>
        <v>0.012</v>
      </c>
      <c r="R43" s="16" t="n">
        <f aca="false">RANDBETWEEN(-30,90)/1000</f>
        <v>-0.028</v>
      </c>
      <c r="S43" s="17"/>
      <c r="T43" s="0" t="n">
        <v>0.15</v>
      </c>
    </row>
    <row r="44" customFormat="false" ht="15" hidden="false" customHeight="false" outlineLevel="0" collapsed="false">
      <c r="A44" s="13" t="n">
        <v>23</v>
      </c>
      <c r="B44" s="13" t="s">
        <v>39</v>
      </c>
      <c r="C44" s="15" t="n">
        <f aca="false">+C43+T43</f>
        <v>562.02</v>
      </c>
      <c r="D44" s="16" t="n">
        <f aca="false">+Chạy!F206</f>
        <v>-14.65</v>
      </c>
      <c r="E44" s="16" t="n">
        <f aca="false">+D44+F44</f>
        <v>-14.6586</v>
      </c>
      <c r="F44" s="16" t="n">
        <f aca="false">RANDBETWEEN(-105,115)/10000</f>
        <v>-0.0086</v>
      </c>
      <c r="G44" s="16" t="n">
        <f aca="false">+Chạy!G206</f>
        <v>0.04</v>
      </c>
      <c r="H44" s="16" t="n">
        <f aca="false">G44+I44</f>
        <v>0.052</v>
      </c>
      <c r="I44" s="16" t="n">
        <f aca="false">RANDBETWEEN(-30,90)/1000</f>
        <v>0.012</v>
      </c>
      <c r="J44" s="16" t="n">
        <f aca="false">+Chạy!K206</f>
        <v>0.15</v>
      </c>
      <c r="K44" s="16" t="n">
        <f aca="false">J44+L44</f>
        <v>0.127</v>
      </c>
      <c r="L44" s="16" t="n">
        <f aca="false">RANDBETWEEN(-30,90)/1000</f>
        <v>-0.023</v>
      </c>
      <c r="M44" s="16" t="n">
        <f aca="false">+Chạy!N206</f>
        <v>14.65</v>
      </c>
      <c r="N44" s="16" t="n">
        <f aca="false">+M44+O44</f>
        <v>14.6595</v>
      </c>
      <c r="O44" s="16" t="n">
        <f aca="false">RANDBETWEEN(-105,115)/10000</f>
        <v>0.0095</v>
      </c>
      <c r="P44" s="16" t="n">
        <f aca="false">+Chạy!O206</f>
        <v>0.04</v>
      </c>
      <c r="Q44" s="16" t="n">
        <f aca="false">P44+R44</f>
        <v>0.1</v>
      </c>
      <c r="R44" s="16" t="n">
        <f aca="false">RANDBETWEEN(-30,90)/1000</f>
        <v>0.06</v>
      </c>
      <c r="S44" s="17"/>
      <c r="T44" s="0" t="n">
        <v>6.55</v>
      </c>
    </row>
    <row r="45" customFormat="false" ht="15" hidden="false" customHeight="false" outlineLevel="0" collapsed="false">
      <c r="A45" s="13" t="n">
        <v>24</v>
      </c>
      <c r="B45" s="13" t="s">
        <v>40</v>
      </c>
      <c r="C45" s="15" t="n">
        <f aca="false">+C44+T44</f>
        <v>568.57</v>
      </c>
      <c r="D45" s="16" t="n">
        <f aca="false">+Chạy!F215</f>
        <v>-14.65</v>
      </c>
      <c r="E45" s="16" t="n">
        <f aca="false">+D45+F45</f>
        <v>-14.6479</v>
      </c>
      <c r="F45" s="16" t="n">
        <f aca="false">RANDBETWEEN(-105,115)/10000</f>
        <v>0.0021</v>
      </c>
      <c r="G45" s="16" t="n">
        <f aca="false">+Chạy!G215</f>
        <v>0.04</v>
      </c>
      <c r="H45" s="16" t="n">
        <f aca="false">G45+I45</f>
        <v>0.091</v>
      </c>
      <c r="I45" s="16" t="n">
        <f aca="false">RANDBETWEEN(-30,90)/1000</f>
        <v>0.051</v>
      </c>
      <c r="J45" s="16" t="n">
        <f aca="false">+Chạy!K215</f>
        <v>0.15</v>
      </c>
      <c r="K45" s="16" t="n">
        <f aca="false">J45+L45</f>
        <v>0.24</v>
      </c>
      <c r="L45" s="16" t="n">
        <f aca="false">RANDBETWEEN(-30,90)/1000</f>
        <v>0.09</v>
      </c>
      <c r="M45" s="16" t="n">
        <f aca="false">+Chạy!N215</f>
        <v>14.65</v>
      </c>
      <c r="N45" s="16" t="n">
        <f aca="false">+M45+O45</f>
        <v>14.6606</v>
      </c>
      <c r="O45" s="16" t="n">
        <f aca="false">RANDBETWEEN(-105,115)/10000</f>
        <v>0.0106</v>
      </c>
      <c r="P45" s="16" t="n">
        <f aca="false">+Chạy!O215</f>
        <v>0.04</v>
      </c>
      <c r="Q45" s="16" t="n">
        <f aca="false">P45+R45</f>
        <v>0.059</v>
      </c>
      <c r="R45" s="16" t="n">
        <f aca="false">RANDBETWEEN(-30,90)/1000</f>
        <v>0.019</v>
      </c>
      <c r="S45" s="17"/>
      <c r="T45" s="0" t="n">
        <v>6.55</v>
      </c>
    </row>
    <row r="46" customFormat="false" ht="15" hidden="false" customHeight="false" outlineLevel="0" collapsed="false">
      <c r="A46" s="13" t="n">
        <v>25</v>
      </c>
      <c r="B46" s="13" t="s">
        <v>1</v>
      </c>
      <c r="C46" s="15" t="n">
        <f aca="false">+C45+T45</f>
        <v>575.12</v>
      </c>
      <c r="D46" s="16" t="n">
        <f aca="false">+Chạy!F224</f>
        <v>-14.65</v>
      </c>
      <c r="E46" s="16" t="n">
        <f aca="false">+D46+F46</f>
        <v>-14.6449</v>
      </c>
      <c r="F46" s="16" t="n">
        <f aca="false">RANDBETWEEN(-105,115)/10000</f>
        <v>0.0051</v>
      </c>
      <c r="G46" s="16" t="n">
        <f aca="false">+Chạy!G224</f>
        <v>0.04</v>
      </c>
      <c r="H46" s="16" t="n">
        <f aca="false">G46+I46</f>
        <v>0.075</v>
      </c>
      <c r="I46" s="16" t="n">
        <f aca="false">RANDBETWEEN(-30,90)/1000</f>
        <v>0.035</v>
      </c>
      <c r="J46" s="16" t="n">
        <f aca="false">+Chạy!K224</f>
        <v>0.15</v>
      </c>
      <c r="K46" s="16" t="n">
        <f aca="false">J46+L46</f>
        <v>0.154</v>
      </c>
      <c r="L46" s="16" t="n">
        <f aca="false">RANDBETWEEN(-30,90)/1000</f>
        <v>0.004</v>
      </c>
      <c r="M46" s="16" t="n">
        <f aca="false">+Chạy!N224</f>
        <v>10.04</v>
      </c>
      <c r="N46" s="16" t="n">
        <f aca="false">+M46+O46</f>
        <v>10.0309</v>
      </c>
      <c r="O46" s="16" t="n">
        <f aca="false">RANDBETWEEN(-105,115)/10000</f>
        <v>-0.0091</v>
      </c>
      <c r="P46" s="16" t="n">
        <f aca="false">+Chạy!O224</f>
        <v>0.04</v>
      </c>
      <c r="Q46" s="16" t="n">
        <f aca="false">P46+R46</f>
        <v>0.106</v>
      </c>
      <c r="R46" s="16" t="n">
        <f aca="false">RANDBETWEEN(-30,90)/1000</f>
        <v>0.066</v>
      </c>
      <c r="S46" s="17"/>
      <c r="T46" s="0" t="n">
        <v>0.04</v>
      </c>
    </row>
    <row r="47" customFormat="false" ht="15" hidden="false" customHeight="false" outlineLevel="0" collapsed="false">
      <c r="A47" s="13" t="n">
        <v>26</v>
      </c>
      <c r="B47" s="13" t="s">
        <v>41</v>
      </c>
      <c r="C47" s="15" t="n">
        <f aca="false">+C46+T46</f>
        <v>575.16</v>
      </c>
      <c r="D47" s="16" t="n">
        <f aca="false">+Chạy!F233</f>
        <v>-14.65</v>
      </c>
      <c r="E47" s="16" t="n">
        <f aca="false">+D47+F47</f>
        <v>-14.654</v>
      </c>
      <c r="F47" s="16" t="n">
        <f aca="false">RANDBETWEEN(-105,115)/10000</f>
        <v>-0.004</v>
      </c>
      <c r="G47" s="16" t="n">
        <f aca="false">+Chạy!G233</f>
        <v>0.17</v>
      </c>
      <c r="H47" s="16" t="n">
        <f aca="false">G47+I47</f>
        <v>0.169</v>
      </c>
      <c r="I47" s="16" t="n">
        <f aca="false">RANDBETWEEN(-30,90)/1000</f>
        <v>-0.001</v>
      </c>
      <c r="J47" s="16" t="n">
        <f aca="false">+Chạy!K233</f>
        <v>0.15</v>
      </c>
      <c r="K47" s="16" t="n">
        <f aca="false">J47+L47</f>
        <v>0.24</v>
      </c>
      <c r="L47" s="16" t="n">
        <f aca="false">RANDBETWEEN(-30,90)/1000</f>
        <v>0.09</v>
      </c>
      <c r="M47" s="16" t="n">
        <f aca="false">+Chạy!N233</f>
        <v>9.82</v>
      </c>
      <c r="N47" s="16" t="n">
        <f aca="false">+M47+O47</f>
        <v>9.8251</v>
      </c>
      <c r="O47" s="16" t="n">
        <f aca="false">RANDBETWEEN(-105,115)/10000</f>
        <v>0.0051</v>
      </c>
      <c r="P47" s="16" t="n">
        <f aca="false">+Chạy!O233</f>
        <v>0.04</v>
      </c>
      <c r="Q47" s="16" t="n">
        <f aca="false">P47+R47</f>
        <v>0.066</v>
      </c>
      <c r="R47" s="16" t="n">
        <f aca="false">RANDBETWEEN(-30,90)/1000</f>
        <v>0.026</v>
      </c>
      <c r="S47" s="17"/>
      <c r="T47" s="0" t="n">
        <v>16.95</v>
      </c>
    </row>
    <row r="48" customFormat="false" ht="15" hidden="false" customHeight="false" outlineLevel="0" collapsed="false">
      <c r="A48" s="13" t="n">
        <v>27</v>
      </c>
      <c r="B48" s="13" t="s">
        <v>42</v>
      </c>
      <c r="C48" s="15" t="n">
        <f aca="false">+C47+T47</f>
        <v>592.11</v>
      </c>
      <c r="D48" s="16" t="n">
        <f aca="false">+Chạy!F242</f>
        <v>-14.65</v>
      </c>
      <c r="E48" s="16" t="n">
        <f aca="false">+D48+F48</f>
        <v>-14.6461</v>
      </c>
      <c r="F48" s="16" t="n">
        <f aca="false">RANDBETWEEN(-105,115)/10000</f>
        <v>0.0039</v>
      </c>
      <c r="G48" s="16" t="n">
        <f aca="false">+Chạy!G242</f>
        <v>0.04</v>
      </c>
      <c r="H48" s="16" t="n">
        <f aca="false">G48+I48</f>
        <v>0.075</v>
      </c>
      <c r="I48" s="16" t="n">
        <f aca="false">RANDBETWEEN(-30,90)/1000</f>
        <v>0.035</v>
      </c>
      <c r="J48" s="16" t="n">
        <f aca="false">+Chạy!K242</f>
        <v>0.16</v>
      </c>
      <c r="K48" s="16" t="n">
        <f aca="false">J48+L48</f>
        <v>0.245</v>
      </c>
      <c r="L48" s="16" t="n">
        <f aca="false">RANDBETWEEN(-30,90)/1000</f>
        <v>0.085</v>
      </c>
      <c r="M48" s="16" t="n">
        <f aca="false">+Chạy!N242</f>
        <v>14.65</v>
      </c>
      <c r="N48" s="16" t="n">
        <f aca="false">+M48+O48</f>
        <v>14.6545</v>
      </c>
      <c r="O48" s="16" t="n">
        <f aca="false">RANDBETWEEN(-105,115)/10000</f>
        <v>0.0045</v>
      </c>
      <c r="P48" s="16" t="n">
        <f aca="false">+Chạy!O242</f>
        <v>0.04</v>
      </c>
      <c r="Q48" s="16" t="n">
        <f aca="false">P48+R48</f>
        <v>0.059</v>
      </c>
      <c r="R48" s="16" t="n">
        <f aca="false">RANDBETWEEN(-30,90)/1000</f>
        <v>0.019</v>
      </c>
      <c r="S48" s="17"/>
      <c r="T48" s="0" t="n">
        <v>17</v>
      </c>
    </row>
    <row r="49" customFormat="false" ht="15" hidden="false" customHeight="false" outlineLevel="0" collapsed="false">
      <c r="A49" s="13" t="n">
        <v>28</v>
      </c>
      <c r="B49" s="13" t="s">
        <v>43</v>
      </c>
      <c r="C49" s="15" t="n">
        <f aca="false">+C48+T48</f>
        <v>609.11</v>
      </c>
      <c r="D49" s="16" t="n">
        <f aca="false">+Chạy!F251</f>
        <v>-9.76</v>
      </c>
      <c r="E49" s="16" t="n">
        <f aca="false">+D49+F49</f>
        <v>-9.7536</v>
      </c>
      <c r="F49" s="16" t="n">
        <f aca="false">RANDBETWEEN(-105,115)/10000</f>
        <v>0.0064</v>
      </c>
      <c r="G49" s="16" t="n">
        <f aca="false">+Chạy!G251</f>
        <v>0.04</v>
      </c>
      <c r="H49" s="16" t="n">
        <f aca="false">G49+I49</f>
        <v>0.08</v>
      </c>
      <c r="I49" s="16" t="n">
        <f aca="false">RANDBETWEEN(-30,90)/1000</f>
        <v>0.04</v>
      </c>
      <c r="J49" s="16" t="n">
        <f aca="false">+Chạy!K251</f>
        <v>0.16</v>
      </c>
      <c r="K49" s="16" t="n">
        <f aca="false">J49+L49</f>
        <v>0.147</v>
      </c>
      <c r="L49" s="16" t="n">
        <f aca="false">RANDBETWEEN(-30,90)/1000</f>
        <v>-0.013</v>
      </c>
      <c r="M49" s="16" t="n">
        <f aca="false">+Chạy!N251</f>
        <v>9.62</v>
      </c>
      <c r="N49" s="16" t="n">
        <f aca="false">+M49+O49</f>
        <v>9.6244</v>
      </c>
      <c r="O49" s="16" t="n">
        <f aca="false">RANDBETWEEN(-105,115)/10000</f>
        <v>0.0044</v>
      </c>
      <c r="P49" s="16" t="n">
        <f aca="false">+Chạy!O251</f>
        <v>0.04</v>
      </c>
      <c r="Q49" s="16" t="n">
        <f aca="false">P49+R49</f>
        <v>0.047</v>
      </c>
      <c r="R49" s="16" t="n">
        <f aca="false">RANDBETWEEN(-30,90)/1000</f>
        <v>0.007</v>
      </c>
      <c r="S49" s="17"/>
      <c r="T49" s="0" t="n">
        <v>11.75</v>
      </c>
    </row>
    <row r="50" customFormat="false" ht="15" hidden="false" customHeight="false" outlineLevel="0" collapsed="false">
      <c r="A50" s="13" t="n">
        <v>29</v>
      </c>
      <c r="B50" s="13" t="s">
        <v>44</v>
      </c>
      <c r="C50" s="15" t="n">
        <f aca="false">+C49+T49</f>
        <v>620.86</v>
      </c>
      <c r="D50" s="16" t="n">
        <f aca="false">+Chạy!F260</f>
        <v>-9.54</v>
      </c>
      <c r="E50" s="16" t="n">
        <f aca="false">+D50+F50</f>
        <v>-9.5454</v>
      </c>
      <c r="F50" s="16" t="n">
        <f aca="false">RANDBETWEEN(-105,115)/10000</f>
        <v>-0.0054</v>
      </c>
      <c r="G50" s="16" t="n">
        <f aca="false">+Chạy!G260</f>
        <v>0.04</v>
      </c>
      <c r="H50" s="16" t="n">
        <f aca="false">G50+I50</f>
        <v>0.03</v>
      </c>
      <c r="I50" s="16" t="n">
        <f aca="false">RANDBETWEEN(-30,90)/1000</f>
        <v>-0.01</v>
      </c>
      <c r="J50" s="16" t="n">
        <f aca="false">+Chạy!K260</f>
        <v>0.16</v>
      </c>
      <c r="K50" s="16" t="n">
        <f aca="false">J50+L50</f>
        <v>0.181</v>
      </c>
      <c r="L50" s="16" t="n">
        <f aca="false">RANDBETWEEN(-30,90)/1000</f>
        <v>0.021</v>
      </c>
      <c r="M50" s="16" t="n">
        <f aca="false">+Chạy!N260</f>
        <v>9.68</v>
      </c>
      <c r="N50" s="16" t="n">
        <f aca="false">+M50+O50</f>
        <v>9.6836</v>
      </c>
      <c r="O50" s="16" t="n">
        <f aca="false">RANDBETWEEN(-105,115)/10000</f>
        <v>0.0036</v>
      </c>
      <c r="P50" s="16" t="n">
        <f aca="false">+Chạy!O260</f>
        <v>0.04</v>
      </c>
      <c r="Q50" s="16" t="n">
        <f aca="false">P50+R50</f>
        <v>0.024</v>
      </c>
      <c r="R50" s="16" t="n">
        <f aca="false">RANDBETWEEN(-30,90)/1000</f>
        <v>-0.016</v>
      </c>
      <c r="S50" s="17"/>
      <c r="T50" s="0" t="n">
        <v>11.75</v>
      </c>
    </row>
    <row r="51" customFormat="false" ht="15" hidden="false" customHeight="false" outlineLevel="0" collapsed="false">
      <c r="A51" s="13" t="n">
        <v>30</v>
      </c>
      <c r="B51" s="13" t="s">
        <v>45</v>
      </c>
      <c r="C51" s="15" t="n">
        <f aca="false">+C50+T50</f>
        <v>632.61</v>
      </c>
      <c r="D51" s="16" t="n">
        <f aca="false">+Chạy!F269</f>
        <v>-14.65</v>
      </c>
      <c r="E51" s="16" t="n">
        <f aca="false">+D51+F51</f>
        <v>-14.6469</v>
      </c>
      <c r="F51" s="16" t="n">
        <f aca="false">RANDBETWEEN(-105,115)/10000</f>
        <v>0.0031</v>
      </c>
      <c r="G51" s="16" t="n">
        <f aca="false">+Chạy!G269</f>
        <v>0.04</v>
      </c>
      <c r="H51" s="16" t="n">
        <f aca="false">G51+I51</f>
        <v>0.024</v>
      </c>
      <c r="I51" s="16" t="n">
        <f aca="false">RANDBETWEEN(-30,90)/1000</f>
        <v>-0.016</v>
      </c>
      <c r="J51" s="16" t="n">
        <f aca="false">+Chạy!K269</f>
        <v>0.16</v>
      </c>
      <c r="K51" s="16" t="n">
        <f aca="false">J51+L51</f>
        <v>0.175</v>
      </c>
      <c r="L51" s="16" t="n">
        <f aca="false">RANDBETWEEN(-30,90)/1000</f>
        <v>0.015</v>
      </c>
      <c r="M51" s="16" t="n">
        <f aca="false">+Chạy!N269</f>
        <v>14.65</v>
      </c>
      <c r="N51" s="16" t="n">
        <f aca="false">+M51+O51</f>
        <v>14.6496</v>
      </c>
      <c r="O51" s="16" t="n">
        <f aca="false">RANDBETWEEN(-105,115)/10000</f>
        <v>-0.0004</v>
      </c>
      <c r="P51" s="16" t="n">
        <f aca="false">+Chạy!O269</f>
        <v>0.04</v>
      </c>
      <c r="Q51" s="16" t="n">
        <f aca="false">P51+R51</f>
        <v>0.053</v>
      </c>
      <c r="R51" s="16" t="n">
        <f aca="false">RANDBETWEEN(-30,90)/1000</f>
        <v>0.013</v>
      </c>
      <c r="S51" s="17"/>
      <c r="T51" s="0" t="n">
        <v>20</v>
      </c>
    </row>
    <row r="52" customFormat="false" ht="15" hidden="false" customHeight="false" outlineLevel="0" collapsed="false">
      <c r="A52" s="13" t="n">
        <v>31</v>
      </c>
      <c r="B52" s="13" t="s">
        <v>46</v>
      </c>
      <c r="C52" s="15" t="n">
        <f aca="false">+C51+T51</f>
        <v>652.61</v>
      </c>
      <c r="D52" s="16" t="n">
        <f aca="false">+Chạy!F278</f>
        <v>-14.65</v>
      </c>
      <c r="E52" s="16" t="n">
        <f aca="false">+D52+F52</f>
        <v>-14.6421</v>
      </c>
      <c r="F52" s="16" t="n">
        <f aca="false">RANDBETWEEN(-105,115)/10000</f>
        <v>0.0079</v>
      </c>
      <c r="G52" s="16" t="n">
        <f aca="false">+Chạy!G278</f>
        <v>0.05</v>
      </c>
      <c r="H52" s="16" t="n">
        <f aca="false">G52+I52</f>
        <v>0.055</v>
      </c>
      <c r="I52" s="16" t="n">
        <f aca="false">RANDBETWEEN(-30,90)/1000</f>
        <v>0.005</v>
      </c>
      <c r="J52" s="16" t="n">
        <f aca="false">+Chạy!K278</f>
        <v>0.16</v>
      </c>
      <c r="K52" s="16" t="n">
        <f aca="false">J52+L52</f>
        <v>0.216</v>
      </c>
      <c r="L52" s="16" t="n">
        <f aca="false">RANDBETWEEN(-30,90)/1000</f>
        <v>0.056</v>
      </c>
      <c r="M52" s="16" t="n">
        <f aca="false">+Chạy!N278</f>
        <v>14.65</v>
      </c>
      <c r="N52" s="16" t="n">
        <f aca="false">+M52+O52</f>
        <v>14.6601</v>
      </c>
      <c r="O52" s="16" t="n">
        <f aca="false">RANDBETWEEN(-105,115)/10000</f>
        <v>0.0101</v>
      </c>
      <c r="P52" s="16" t="n">
        <f aca="false">+Chạy!O278</f>
        <v>0.05</v>
      </c>
      <c r="Q52" s="16" t="n">
        <f aca="false">P52+R52</f>
        <v>0.054</v>
      </c>
      <c r="R52" s="16" t="n">
        <f aca="false">RANDBETWEEN(-30,90)/1000</f>
        <v>0.004</v>
      </c>
      <c r="S52" s="17"/>
      <c r="T52" s="0" t="n">
        <v>20</v>
      </c>
    </row>
    <row r="53" customFormat="false" ht="15" hidden="false" customHeight="false" outlineLevel="0" collapsed="false">
      <c r="A53" s="13" t="n">
        <v>32</v>
      </c>
      <c r="B53" s="13" t="s">
        <v>47</v>
      </c>
      <c r="C53" s="15" t="n">
        <f aca="false">+C52+T52</f>
        <v>672.61</v>
      </c>
      <c r="D53" s="16" t="n">
        <f aca="false">+Chạy!F287</f>
        <v>-14.65</v>
      </c>
      <c r="E53" s="16" t="n">
        <f aca="false">+D53+F53</f>
        <v>-14.6419</v>
      </c>
      <c r="F53" s="16" t="n">
        <f aca="false">RANDBETWEEN(-105,115)/10000</f>
        <v>0.0081</v>
      </c>
      <c r="G53" s="16" t="n">
        <f aca="false">+Chạy!G287</f>
        <v>0.05</v>
      </c>
      <c r="H53" s="16" t="n">
        <f aca="false">G53+I53</f>
        <v>0.048</v>
      </c>
      <c r="I53" s="16" t="n">
        <f aca="false">RANDBETWEEN(-30,90)/1000</f>
        <v>-0.002</v>
      </c>
      <c r="J53" s="16" t="n">
        <f aca="false">+Chạy!K287</f>
        <v>0.16</v>
      </c>
      <c r="K53" s="16" t="n">
        <f aca="false">J53+L53</f>
        <v>0.183</v>
      </c>
      <c r="L53" s="16" t="n">
        <f aca="false">RANDBETWEEN(-30,90)/1000</f>
        <v>0.023</v>
      </c>
      <c r="M53" s="16" t="n">
        <f aca="false">+Chạy!N287</f>
        <v>14.65</v>
      </c>
      <c r="N53" s="16" t="n">
        <f aca="false">+M53+O53</f>
        <v>14.6479</v>
      </c>
      <c r="O53" s="16" t="n">
        <f aca="false">RANDBETWEEN(-105,115)/10000</f>
        <v>-0.0021</v>
      </c>
      <c r="P53" s="16" t="n">
        <f aca="false">+Chạy!O287</f>
        <v>0.05</v>
      </c>
      <c r="Q53" s="16" t="n">
        <f aca="false">P53+R53</f>
        <v>0.044</v>
      </c>
      <c r="R53" s="16" t="n">
        <f aca="false">RANDBETWEEN(-30,90)/1000</f>
        <v>-0.006</v>
      </c>
      <c r="S53" s="17"/>
      <c r="T53" s="0" t="n">
        <v>20</v>
      </c>
    </row>
    <row r="54" customFormat="false" ht="15" hidden="false" customHeight="false" outlineLevel="0" collapsed="false">
      <c r="A54" s="13" t="n">
        <v>33</v>
      </c>
      <c r="B54" s="13" t="s">
        <v>48</v>
      </c>
      <c r="C54" s="15" t="n">
        <f aca="false">+C53+T53</f>
        <v>692.61</v>
      </c>
      <c r="D54" s="16" t="n">
        <f aca="false">+Chạy!F296</f>
        <v>-14.65</v>
      </c>
      <c r="E54" s="16" t="n">
        <f aca="false">+D54+F54</f>
        <v>-14.6538</v>
      </c>
      <c r="F54" s="16" t="n">
        <f aca="false">RANDBETWEEN(-105,115)/10000</f>
        <v>-0.0038</v>
      </c>
      <c r="G54" s="16" t="n">
        <f aca="false">+Chạy!G296</f>
        <v>0.05</v>
      </c>
      <c r="H54" s="16" t="n">
        <f aca="false">G54+I54</f>
        <v>0.046</v>
      </c>
      <c r="I54" s="16" t="n">
        <f aca="false">RANDBETWEEN(-30,90)/1000</f>
        <v>-0.004</v>
      </c>
      <c r="J54" s="16" t="n">
        <f aca="false">+Chạy!K296</f>
        <v>0.17</v>
      </c>
      <c r="K54" s="16" t="n">
        <f aca="false">J54+L54</f>
        <v>0.22</v>
      </c>
      <c r="L54" s="16" t="n">
        <f aca="false">RANDBETWEEN(-30,90)/1000</f>
        <v>0.05</v>
      </c>
      <c r="M54" s="16" t="n">
        <f aca="false">+Chạy!N296</f>
        <v>14.65</v>
      </c>
      <c r="N54" s="16" t="n">
        <f aca="false">+M54+O54</f>
        <v>14.6565</v>
      </c>
      <c r="O54" s="16" t="n">
        <f aca="false">RANDBETWEEN(-105,115)/10000</f>
        <v>0.0065</v>
      </c>
      <c r="P54" s="16" t="n">
        <f aca="false">+Chạy!O296</f>
        <v>0.05</v>
      </c>
      <c r="Q54" s="16" t="n">
        <f aca="false">P54+R54</f>
        <v>0.119</v>
      </c>
      <c r="R54" s="16" t="n">
        <f aca="false">RANDBETWEEN(-30,90)/1000</f>
        <v>0.069</v>
      </c>
      <c r="S54" s="17"/>
      <c r="T54" s="0" t="n">
        <v>20</v>
      </c>
    </row>
    <row r="55" customFormat="false" ht="15" hidden="false" customHeight="false" outlineLevel="0" collapsed="false">
      <c r="A55" s="13" t="n">
        <v>34</v>
      </c>
      <c r="B55" s="13" t="s">
        <v>49</v>
      </c>
      <c r="C55" s="15" t="n">
        <f aca="false">+C54+T54</f>
        <v>712.61</v>
      </c>
      <c r="D55" s="16" t="n">
        <f aca="false">+Chạy!F305</f>
        <v>-6.75</v>
      </c>
      <c r="E55" s="16" t="n">
        <f aca="false">+D55+F55</f>
        <v>-6.7421</v>
      </c>
      <c r="F55" s="16" t="n">
        <f aca="false">RANDBETWEEN(-105,115)/10000</f>
        <v>0.0079</v>
      </c>
      <c r="G55" s="16" t="n">
        <f aca="false">+Chạy!G305</f>
        <v>0.05</v>
      </c>
      <c r="H55" s="16" t="n">
        <f aca="false">G55+I55</f>
        <v>0.046</v>
      </c>
      <c r="I55" s="16" t="n">
        <f aca="false">RANDBETWEEN(-30,90)/1000</f>
        <v>-0.004</v>
      </c>
      <c r="J55" s="16" t="n">
        <f aca="false">+Chạy!K305</f>
        <v>0.17</v>
      </c>
      <c r="K55" s="16" t="n">
        <f aca="false">J55+L55</f>
        <v>0.141</v>
      </c>
      <c r="L55" s="16" t="n">
        <f aca="false">RANDBETWEEN(-30,90)/1000</f>
        <v>-0.029</v>
      </c>
      <c r="M55" s="16" t="n">
        <f aca="false">+Chạy!N305</f>
        <v>14.65</v>
      </c>
      <c r="N55" s="16" t="n">
        <f aca="false">+M55+O55</f>
        <v>14.6614</v>
      </c>
      <c r="O55" s="16" t="n">
        <f aca="false">RANDBETWEEN(-105,115)/10000</f>
        <v>0.0114</v>
      </c>
      <c r="P55" s="16" t="n">
        <f aca="false">+Chạy!O305</f>
        <v>0.05</v>
      </c>
      <c r="Q55" s="16" t="n">
        <f aca="false">P55+R55</f>
        <v>0.038</v>
      </c>
      <c r="R55" s="16" t="n">
        <f aca="false">RANDBETWEEN(-30,90)/1000</f>
        <v>-0.012</v>
      </c>
      <c r="S55" s="17"/>
      <c r="T55" s="0" t="n">
        <v>11.5</v>
      </c>
    </row>
    <row r="56" customFormat="false" ht="15" hidden="false" customHeight="false" outlineLevel="0" collapsed="false">
      <c r="A56" s="13" t="n">
        <v>35</v>
      </c>
      <c r="B56" s="13" t="s">
        <v>50</v>
      </c>
      <c r="C56" s="15" t="n">
        <f aca="false">+C55+T55</f>
        <v>724.11</v>
      </c>
      <c r="D56" s="16" t="n">
        <f aca="false">+Chạy!F314</f>
        <v>-14.65</v>
      </c>
      <c r="E56" s="16" t="n">
        <f aca="false">+D56+F56</f>
        <v>-14.6443</v>
      </c>
      <c r="F56" s="16" t="n">
        <f aca="false">RANDBETWEEN(-105,115)/10000</f>
        <v>0.0057</v>
      </c>
      <c r="G56" s="16" t="n">
        <f aca="false">+Chạy!G314</f>
        <v>0.05</v>
      </c>
      <c r="H56" s="16" t="n">
        <f aca="false">G56+I56</f>
        <v>0.029</v>
      </c>
      <c r="I56" s="16" t="n">
        <f aca="false">RANDBETWEEN(-30,90)/1000</f>
        <v>-0.021</v>
      </c>
      <c r="J56" s="16" t="n">
        <f aca="false">+Chạy!K314</f>
        <v>0.17</v>
      </c>
      <c r="K56" s="16" t="n">
        <f aca="false">J56+L56</f>
        <v>0.227</v>
      </c>
      <c r="L56" s="16" t="n">
        <f aca="false">RANDBETWEEN(-30,90)/1000</f>
        <v>0.057</v>
      </c>
      <c r="M56" s="16" t="n">
        <f aca="false">+Chạy!N314</f>
        <v>9.74</v>
      </c>
      <c r="N56" s="16" t="n">
        <f aca="false">+M56+O56</f>
        <v>9.7495</v>
      </c>
      <c r="O56" s="16" t="n">
        <f aca="false">RANDBETWEEN(-105,115)/10000</f>
        <v>0.0095</v>
      </c>
      <c r="P56" s="16" t="n">
        <f aca="false">+Chạy!O314</f>
        <v>0.05</v>
      </c>
      <c r="Q56" s="16" t="n">
        <f aca="false">P56+R56</f>
        <v>0.086</v>
      </c>
      <c r="R56" s="16" t="n">
        <f aca="false">RANDBETWEEN(-30,90)/1000</f>
        <v>0.036</v>
      </c>
      <c r="S56" s="17"/>
      <c r="T56" s="0" t="n">
        <v>13.25</v>
      </c>
    </row>
    <row r="57" customFormat="false" ht="15" hidden="false" customHeight="false" outlineLevel="0" collapsed="false">
      <c r="A57" s="13" t="n">
        <v>36</v>
      </c>
      <c r="B57" s="13" t="s">
        <v>51</v>
      </c>
      <c r="C57" s="15" t="n">
        <f aca="false">+C56+T56</f>
        <v>737.36</v>
      </c>
      <c r="D57" s="16" t="n">
        <f aca="false">+Chạy!F323</f>
        <v>-10.08</v>
      </c>
      <c r="E57" s="16" t="n">
        <f aca="false">+D57+F57</f>
        <v>-10.0856</v>
      </c>
      <c r="F57" s="16" t="n">
        <f aca="false">RANDBETWEEN(-105,115)/10000</f>
        <v>-0.0056</v>
      </c>
      <c r="G57" s="16" t="n">
        <f aca="false">+Chạy!G323</f>
        <v>0.06</v>
      </c>
      <c r="H57" s="16" t="n">
        <f aca="false">G57+I57</f>
        <v>0.055</v>
      </c>
      <c r="I57" s="16" t="n">
        <f aca="false">RANDBETWEEN(-30,90)/1000</f>
        <v>-0.005</v>
      </c>
      <c r="J57" s="16" t="n">
        <f aca="false">+Chạy!K323</f>
        <v>0.17</v>
      </c>
      <c r="K57" s="16" t="n">
        <f aca="false">J57+L57</f>
        <v>0.226</v>
      </c>
      <c r="L57" s="16" t="n">
        <f aca="false">RANDBETWEEN(-30,90)/1000</f>
        <v>0.056</v>
      </c>
      <c r="M57" s="16" t="n">
        <f aca="false">+Chạy!N323</f>
        <v>10.21</v>
      </c>
      <c r="N57" s="16" t="n">
        <f aca="false">+M57+O57</f>
        <v>10.2214</v>
      </c>
      <c r="O57" s="16" t="n">
        <f aca="false">RANDBETWEEN(-105,115)/10000</f>
        <v>0.0114</v>
      </c>
      <c r="P57" s="16" t="n">
        <f aca="false">+Chạy!O323</f>
        <v>0.06</v>
      </c>
      <c r="Q57" s="16" t="n">
        <f aca="false">P57+R57</f>
        <v>0.075</v>
      </c>
      <c r="R57" s="16" t="n">
        <f aca="false">RANDBETWEEN(-30,90)/1000</f>
        <v>0.015</v>
      </c>
      <c r="S57" s="17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</row>
    <row r="62" customFormat="false" ht="10.5" hidden="false" customHeight="true" outlineLevel="0" collapsed="false"/>
    <row r="63" customFormat="false" ht="15" hidden="false" customHeight="false" outlineLevel="0" collapsed="false">
      <c r="C63" s="19" t="s">
        <v>74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75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76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77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89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57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58</v>
      </c>
      <c r="B7" s="34"/>
      <c r="D7" s="35" t="s">
        <v>90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62</v>
      </c>
      <c r="C9" s="37" t="s">
        <v>63</v>
      </c>
      <c r="D9" s="38" t="s">
        <v>79</v>
      </c>
      <c r="E9" s="39"/>
      <c r="F9" s="39"/>
      <c r="G9" s="38"/>
      <c r="H9" s="39"/>
      <c r="I9" s="39"/>
      <c r="J9" s="39"/>
      <c r="K9" s="39"/>
      <c r="L9" s="39"/>
      <c r="M9" s="40" t="s">
        <v>80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67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81</v>
      </c>
      <c r="O10" s="40" t="s">
        <v>82</v>
      </c>
      <c r="P10" s="40" t="s">
        <v>81</v>
      </c>
      <c r="Q10" s="40" t="s">
        <v>81</v>
      </c>
      <c r="R10" s="40"/>
      <c r="S10" s="40"/>
      <c r="T10" s="40"/>
      <c r="U10" s="40" t="s">
        <v>83</v>
      </c>
      <c r="V10" s="40" t="s">
        <v>83</v>
      </c>
      <c r="W10" s="40" t="s">
        <v>84</v>
      </c>
      <c r="X10" s="40" t="s">
        <v>83</v>
      </c>
      <c r="Y10" s="40" t="s">
        <v>83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'3.KTHH L3'!B22</f>
        <v>B4</v>
      </c>
      <c r="C11" s="51" t="n">
        <f aca="false">'3.KTHH L3'!C22</f>
        <v>211</v>
      </c>
      <c r="D11" s="13" t="n">
        <f aca="false">'3.KTHH L3'!T22</f>
        <v>13.25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Chạy!E8</f>
        <v>5.51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80.09625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'3.KTHH L3'!B23</f>
        <v>12</v>
      </c>
      <c r="C12" s="51" t="n">
        <f aca="false">'3.KTHH L3'!C23</f>
        <v>224.25</v>
      </c>
      <c r="D12" s="13" t="n">
        <f aca="false">'3.KTHH L3'!T23</f>
        <v>21.5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Chạy!E17</f>
        <v>6.58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123.7325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'3.KTHH L3'!B24</f>
        <v>13</v>
      </c>
      <c r="C13" s="51" t="n">
        <f aca="false">'3.KTHH L3'!C24</f>
        <v>245.75</v>
      </c>
      <c r="D13" s="13" t="n">
        <f aca="false">'3.KTHH L3'!T24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Chạy!E26</f>
        <v>4.93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52.81625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'3.KTHH L3'!B25</f>
        <v>B5</v>
      </c>
      <c r="C14" s="51" t="n">
        <f aca="false">'3.KTHH L3'!C25</f>
        <v>257.5</v>
      </c>
      <c r="D14" s="13" t="n">
        <f aca="false">'3.KTHH L3'!T25</f>
        <v>11.75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Chạy!E35</f>
        <v>4.06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47.64625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'3.KTHH L3'!B26</f>
        <v>14</v>
      </c>
      <c r="C15" s="51" t="n">
        <f aca="false">'3.KTHH L3'!C26</f>
        <v>269.25</v>
      </c>
      <c r="D15" s="13" t="n">
        <f aca="false">'3.KTHH L3'!T26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Chạy!E44</f>
        <v>4.05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81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'3.KTHH L3'!B27</f>
        <v>15</v>
      </c>
      <c r="C16" s="51" t="n">
        <f aca="false">'3.KTHH L3'!C27</f>
        <v>289.25</v>
      </c>
      <c r="D16" s="13" t="n">
        <f aca="false">'3.KTHH L3'!T27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Chạy!E53</f>
        <v>4.05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80.9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'3.KTHH L3'!B28</f>
        <v>16</v>
      </c>
      <c r="C17" s="51" t="n">
        <f aca="false">'3.KTHH L3'!C28</f>
        <v>309.25</v>
      </c>
      <c r="D17" s="13" t="n">
        <f aca="false">'3.KTHH L3'!T28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Chạy!E62</f>
        <v>4.04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80.7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'3.KTHH L3'!B29</f>
        <v>17</v>
      </c>
      <c r="C18" s="51" t="n">
        <f aca="false">'3.KTHH L3'!C29</f>
        <v>329.25</v>
      </c>
      <c r="D18" s="13" t="n">
        <f aca="false">'3.KTHH L3'!T29</f>
        <v>20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Chạy!E71</f>
        <v>4.03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80.6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'3.KTHH L3'!B30</f>
        <v>18</v>
      </c>
      <c r="C19" s="51" t="n">
        <f aca="false">'3.KTHH L3'!C30</f>
        <v>349.25</v>
      </c>
      <c r="D19" s="13" t="n">
        <f aca="false">'3.KTHH L3'!T30</f>
        <v>19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Chạy!E80</f>
        <v>4.03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95.95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'3.KTHH L3'!B31</f>
        <v>19</v>
      </c>
      <c r="C20" s="51" t="n">
        <f aca="false">'3.KTHH L3'!C31</f>
        <v>368.25</v>
      </c>
      <c r="D20" s="13" t="n">
        <f aca="false">'3.KTHH L3'!T31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Chạy!E89</f>
        <v>6.07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93.545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'3.KTHH L3'!B32</f>
        <v>C2</v>
      </c>
      <c r="C21" s="51" t="n">
        <f aca="false">'3.KTHH L3'!C32</f>
        <v>381.5</v>
      </c>
      <c r="D21" s="13" t="n">
        <f aca="false">'3.KTHH L3'!T32</f>
        <v>13.25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Chạy!E98</f>
        <v>8.05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105.93375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'3.KTHH L3'!B33</f>
        <v>20</v>
      </c>
      <c r="C22" s="51" t="n">
        <f aca="false">'3.KTHH L3'!C33</f>
        <v>394.75</v>
      </c>
      <c r="D22" s="13" t="n">
        <f aca="false">'3.KTHH L3'!T33</f>
        <v>20</v>
      </c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Chạy!E107</f>
        <v>7.94</v>
      </c>
      <c r="P22" s="53"/>
      <c r="Q22" s="53"/>
      <c r="R22" s="55"/>
      <c r="S22" s="55"/>
      <c r="T22" s="55"/>
      <c r="U22" s="55"/>
      <c r="V22" s="55"/>
      <c r="W22" s="55" t="n">
        <f aca="false">(O22+O23)*D22/2</f>
        <v>160.7</v>
      </c>
      <c r="X22" s="55"/>
      <c r="Y22" s="55"/>
      <c r="Z22" s="55"/>
      <c r="AA22" s="55"/>
      <c r="AB22" s="56"/>
      <c r="AC22" s="57"/>
    </row>
    <row r="23" s="49" customFormat="true" ht="15" hidden="false" customHeight="true" outlineLevel="0" collapsed="false">
      <c r="A23" s="13" t="n">
        <v>13</v>
      </c>
      <c r="B23" s="13" t="str">
        <f aca="false">'3.KTHH L3'!B34</f>
        <v>21</v>
      </c>
      <c r="C23" s="51" t="n">
        <f aca="false">'3.KTHH L3'!C34</f>
        <v>414.75</v>
      </c>
      <c r="D23" s="13" t="n">
        <f aca="false">'3.KTHH L3'!T34</f>
        <v>20</v>
      </c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 t="n">
        <f aca="false">Chạy!E116</f>
        <v>8.13</v>
      </c>
      <c r="P23" s="53"/>
      <c r="Q23" s="53"/>
      <c r="R23" s="55"/>
      <c r="S23" s="55"/>
      <c r="T23" s="55"/>
      <c r="U23" s="55"/>
      <c r="V23" s="55"/>
      <c r="W23" s="55" t="n">
        <f aca="false">(O23+O24)*D23/2</f>
        <v>154.8</v>
      </c>
      <c r="X23" s="55"/>
      <c r="Y23" s="55"/>
      <c r="Z23" s="55"/>
      <c r="AA23" s="55"/>
      <c r="AB23" s="56"/>
      <c r="AC23" s="57"/>
    </row>
    <row r="24" s="49" customFormat="true" ht="15" hidden="false" customHeight="true" outlineLevel="0" collapsed="false">
      <c r="A24" s="13" t="n">
        <v>14</v>
      </c>
      <c r="B24" s="13" t="str">
        <f aca="false">'3.KTHH L3'!B35</f>
        <v>22</v>
      </c>
      <c r="C24" s="51" t="n">
        <f aca="false">'3.KTHH L3'!C35</f>
        <v>434.75</v>
      </c>
      <c r="D24" s="13" t="n">
        <f aca="false">'3.KTHH L3'!T35</f>
        <v>20</v>
      </c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 t="n">
        <f aca="false">Chạy!E125</f>
        <v>7.35</v>
      </c>
      <c r="P24" s="53"/>
      <c r="Q24" s="53"/>
      <c r="R24" s="55"/>
      <c r="S24" s="55"/>
      <c r="T24" s="55"/>
      <c r="U24" s="55"/>
      <c r="V24" s="55"/>
      <c r="W24" s="55" t="n">
        <f aca="false">(O24+O25)*D24/2</f>
        <v>131.2</v>
      </c>
      <c r="X24" s="55"/>
      <c r="Y24" s="55"/>
      <c r="Z24" s="55"/>
      <c r="AA24" s="55"/>
      <c r="AB24" s="56"/>
      <c r="AC24" s="57"/>
    </row>
    <row r="25" s="49" customFormat="true" ht="15" hidden="false" customHeight="true" outlineLevel="0" collapsed="false">
      <c r="A25" s="13" t="n">
        <v>15</v>
      </c>
      <c r="B25" s="13" t="str">
        <f aca="false">'3.KTHH L3'!B36</f>
        <v>23</v>
      </c>
      <c r="C25" s="51" t="n">
        <f aca="false">'3.KTHH L3'!C36</f>
        <v>454.75</v>
      </c>
      <c r="D25" s="13" t="n">
        <f aca="false">'3.KTHH L3'!T36</f>
        <v>20</v>
      </c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 t="n">
        <f aca="false">Chạy!E134</f>
        <v>5.77</v>
      </c>
      <c r="P25" s="53"/>
      <c r="Q25" s="53"/>
      <c r="R25" s="55"/>
      <c r="S25" s="55"/>
      <c r="T25" s="55"/>
      <c r="U25" s="55"/>
      <c r="V25" s="55"/>
      <c r="W25" s="55" t="n">
        <f aca="false">(O25+O26)*D25/2</f>
        <v>120.5</v>
      </c>
      <c r="X25" s="55"/>
      <c r="Y25" s="55"/>
      <c r="Z25" s="55"/>
      <c r="AA25" s="55"/>
      <c r="AB25" s="56"/>
      <c r="AC25" s="57"/>
    </row>
    <row r="26" s="49" customFormat="true" ht="15" hidden="false" customHeight="true" outlineLevel="0" collapsed="false">
      <c r="A26" s="13" t="n">
        <v>16</v>
      </c>
      <c r="B26" s="13" t="str">
        <f aca="false">'3.KTHH L3'!B37</f>
        <v>24</v>
      </c>
      <c r="C26" s="51" t="n">
        <f aca="false">'3.KTHH L3'!C37</f>
        <v>474.75</v>
      </c>
      <c r="D26" s="13" t="n">
        <f aca="false">'3.KTHH L3'!T37</f>
        <v>14.44</v>
      </c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 t="n">
        <f aca="false">Chạy!E143</f>
        <v>6.28</v>
      </c>
      <c r="P26" s="53"/>
      <c r="Q26" s="53"/>
      <c r="R26" s="55"/>
      <c r="S26" s="55"/>
      <c r="T26" s="55"/>
      <c r="U26" s="55"/>
      <c r="V26" s="55"/>
      <c r="W26" s="55" t="n">
        <f aca="false">(O26+O27)*D26/2</f>
        <v>84.2574</v>
      </c>
      <c r="X26" s="55"/>
      <c r="Y26" s="55"/>
      <c r="Z26" s="55"/>
      <c r="AA26" s="55"/>
      <c r="AB26" s="56"/>
      <c r="AC26" s="57"/>
    </row>
    <row r="27" s="49" customFormat="true" ht="15" hidden="false" customHeight="true" outlineLevel="0" collapsed="false">
      <c r="A27" s="13" t="n">
        <v>17</v>
      </c>
      <c r="B27" s="13" t="str">
        <f aca="false">'3.KTHH L3'!B38</f>
        <v>25</v>
      </c>
      <c r="C27" s="51" t="n">
        <f aca="false">'3.KTHH L3'!C38</f>
        <v>489.19</v>
      </c>
      <c r="D27" s="13" t="n">
        <f aca="false">'3.KTHH L3'!T38</f>
        <v>13.17</v>
      </c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 t="n">
        <f aca="false">Chạy!E152</f>
        <v>5.39</v>
      </c>
      <c r="P27" s="53"/>
      <c r="Q27" s="53"/>
      <c r="R27" s="55"/>
      <c r="S27" s="55"/>
      <c r="T27" s="55"/>
      <c r="U27" s="55"/>
      <c r="V27" s="55"/>
      <c r="W27" s="55" t="n">
        <f aca="false">(O27+O28)*D27/2</f>
        <v>89.0292</v>
      </c>
      <c r="X27" s="55"/>
      <c r="Y27" s="55"/>
      <c r="Z27" s="55"/>
      <c r="AA27" s="55"/>
      <c r="AB27" s="56"/>
      <c r="AC27" s="57"/>
    </row>
    <row r="28" s="49" customFormat="true" ht="15" hidden="false" customHeight="true" outlineLevel="0" collapsed="false">
      <c r="A28" s="13" t="n">
        <v>18</v>
      </c>
      <c r="B28" s="13" t="str">
        <f aca="false">'3.KTHH L3'!B39</f>
        <v>D1</v>
      </c>
      <c r="C28" s="51" t="n">
        <f aca="false">'3.KTHH L3'!C39</f>
        <v>502.36</v>
      </c>
      <c r="D28" s="13" t="n">
        <f aca="false">'3.KTHH L3'!T39</f>
        <v>10.48</v>
      </c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 t="n">
        <f aca="false">Chạy!E161</f>
        <v>8.13</v>
      </c>
      <c r="P28" s="53"/>
      <c r="Q28" s="53"/>
      <c r="R28" s="55"/>
      <c r="S28" s="55"/>
      <c r="T28" s="55"/>
      <c r="U28" s="55"/>
      <c r="V28" s="55"/>
      <c r="W28" s="55" t="n">
        <f aca="false">(O28+O29)*D28/2</f>
        <v>84.7832</v>
      </c>
      <c r="X28" s="55"/>
      <c r="Y28" s="55"/>
      <c r="Z28" s="55"/>
      <c r="AA28" s="55"/>
      <c r="AB28" s="56"/>
      <c r="AC28" s="57"/>
    </row>
    <row r="29" s="49" customFormat="true" ht="15" hidden="false" customHeight="true" outlineLevel="0" collapsed="false">
      <c r="A29" s="13" t="n">
        <v>19</v>
      </c>
      <c r="B29" s="13" t="str">
        <f aca="false">'3.KTHH L3'!B40</f>
        <v>26</v>
      </c>
      <c r="C29" s="51" t="n">
        <f aca="false">'3.KTHH L3'!C40</f>
        <v>512.84</v>
      </c>
      <c r="D29" s="13" t="n">
        <f aca="false">'3.KTHH L3'!T40</f>
        <v>16.78</v>
      </c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 t="n">
        <f aca="false">Chạy!E170</f>
        <v>8.05</v>
      </c>
      <c r="P29" s="53"/>
      <c r="Q29" s="53"/>
      <c r="R29" s="55"/>
      <c r="S29" s="55"/>
      <c r="T29" s="55"/>
      <c r="U29" s="55"/>
      <c r="V29" s="55"/>
      <c r="W29" s="55" t="n">
        <f aca="false">(O29+O30)*D29/2</f>
        <v>142.4622</v>
      </c>
      <c r="X29" s="55"/>
      <c r="Y29" s="55"/>
      <c r="Z29" s="55"/>
      <c r="AA29" s="55"/>
      <c r="AB29" s="56"/>
      <c r="AC29" s="57"/>
    </row>
    <row r="30" s="49" customFormat="true" ht="15" hidden="false" customHeight="true" outlineLevel="0" collapsed="false">
      <c r="A30" s="13" t="n">
        <v>20</v>
      </c>
      <c r="B30" s="13" t="str">
        <f aca="false">'3.KTHH L3'!B41</f>
        <v>27</v>
      </c>
      <c r="C30" s="51" t="n">
        <f aca="false">'3.KTHH L3'!C41</f>
        <v>529.62</v>
      </c>
      <c r="D30" s="13" t="n">
        <f aca="false">'3.KTHH L3'!T41</f>
        <v>17.1</v>
      </c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 t="n">
        <f aca="false">Chạy!E179</f>
        <v>8.93</v>
      </c>
      <c r="P30" s="53"/>
      <c r="Q30" s="53"/>
      <c r="R30" s="55"/>
      <c r="S30" s="55"/>
      <c r="T30" s="55"/>
      <c r="U30" s="55"/>
      <c r="V30" s="55"/>
      <c r="W30" s="55" t="n">
        <f aca="false">(O30+O31)*D30/2</f>
        <v>122.265</v>
      </c>
      <c r="X30" s="55"/>
      <c r="Y30" s="55"/>
      <c r="Z30" s="55"/>
      <c r="AA30" s="55"/>
      <c r="AB30" s="56"/>
      <c r="AC30" s="57"/>
    </row>
    <row r="31" s="49" customFormat="true" ht="15" hidden="false" customHeight="true" outlineLevel="0" collapsed="false">
      <c r="A31" s="13" t="n">
        <v>21</v>
      </c>
      <c r="B31" s="13" t="str">
        <f aca="false">'3.KTHH L3'!B42</f>
        <v>28</v>
      </c>
      <c r="C31" s="51" t="n">
        <f aca="false">'3.KTHH L3'!C42</f>
        <v>546.72</v>
      </c>
      <c r="D31" s="13" t="n">
        <f aca="false">'3.KTHH L3'!T42</f>
        <v>15.15</v>
      </c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 t="n">
        <f aca="false">Chạy!E188</f>
        <v>5.37</v>
      </c>
      <c r="P31" s="53"/>
      <c r="Q31" s="53"/>
      <c r="R31" s="55"/>
      <c r="S31" s="55"/>
      <c r="T31" s="55"/>
      <c r="U31" s="55"/>
      <c r="V31" s="55"/>
      <c r="W31" s="55" t="n">
        <f aca="false">(O31+O32)*D31/2</f>
        <v>97.18725</v>
      </c>
      <c r="X31" s="55"/>
      <c r="Y31" s="55"/>
      <c r="Z31" s="55"/>
      <c r="AA31" s="55"/>
      <c r="AB31" s="56"/>
      <c r="AC31" s="57"/>
    </row>
    <row r="32" s="49" customFormat="true" ht="15" hidden="false" customHeight="true" outlineLevel="0" collapsed="false">
      <c r="A32" s="13" t="n">
        <v>22</v>
      </c>
      <c r="B32" s="13" t="str">
        <f aca="false">'3.KTHH L3'!B43</f>
        <v>E5</v>
      </c>
      <c r="C32" s="51" t="n">
        <f aca="false">'3.KTHH L3'!C43</f>
        <v>561.87</v>
      </c>
      <c r="D32" s="13" t="n">
        <f aca="false">'3.KTHH L3'!T43</f>
        <v>0.15</v>
      </c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 t="n">
        <f aca="false">Chạy!E197</f>
        <v>7.46</v>
      </c>
      <c r="P32" s="53"/>
      <c r="Q32" s="53"/>
      <c r="R32" s="55"/>
      <c r="S32" s="55"/>
      <c r="T32" s="55"/>
      <c r="U32" s="55"/>
      <c r="V32" s="55"/>
      <c r="W32" s="55" t="n">
        <f aca="false">(O32+O33)*D32/2</f>
        <v>1.04775</v>
      </c>
      <c r="X32" s="55"/>
      <c r="Y32" s="55"/>
      <c r="Z32" s="55"/>
      <c r="AA32" s="55"/>
      <c r="AB32" s="56"/>
      <c r="AC32" s="57"/>
    </row>
    <row r="33" s="49" customFormat="true" ht="15" hidden="false" customHeight="true" outlineLevel="0" collapsed="false">
      <c r="A33" s="13" t="n">
        <v>23</v>
      </c>
      <c r="B33" s="13" t="str">
        <f aca="false">'3.KTHH L3'!B44</f>
        <v>TD</v>
      </c>
      <c r="C33" s="51" t="n">
        <f aca="false">'3.KTHH L3'!C44</f>
        <v>562.02</v>
      </c>
      <c r="D33" s="13" t="n">
        <f aca="false">'3.KTHH L3'!T44</f>
        <v>6.55</v>
      </c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 t="n">
        <f aca="false">Chạy!E206</f>
        <v>6.51</v>
      </c>
      <c r="P33" s="53"/>
      <c r="Q33" s="53"/>
      <c r="R33" s="55"/>
      <c r="S33" s="55"/>
      <c r="T33" s="55"/>
      <c r="U33" s="55"/>
      <c r="V33" s="55"/>
      <c r="W33" s="55" t="n">
        <f aca="false">(O33+O34)*D33/2</f>
        <v>45.94825</v>
      </c>
      <c r="X33" s="55"/>
      <c r="Y33" s="55"/>
      <c r="Z33" s="55"/>
      <c r="AA33" s="55"/>
      <c r="AB33" s="56"/>
      <c r="AC33" s="57"/>
    </row>
    <row r="34" s="49" customFormat="true" ht="15" hidden="false" customHeight="true" outlineLevel="0" collapsed="false">
      <c r="A34" s="13" t="n">
        <v>24</v>
      </c>
      <c r="B34" s="13" t="str">
        <f aca="false">'3.KTHH L3'!B45</f>
        <v>P</v>
      </c>
      <c r="C34" s="51" t="n">
        <f aca="false">'3.KTHH L3'!C45</f>
        <v>568.57</v>
      </c>
      <c r="D34" s="13" t="n">
        <f aca="false">'3.KTHH L3'!T45</f>
        <v>6.55</v>
      </c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 t="n">
        <f aca="false">Chạy!E215</f>
        <v>7.52</v>
      </c>
      <c r="P34" s="53"/>
      <c r="Q34" s="53"/>
      <c r="R34" s="55"/>
      <c r="S34" s="55"/>
      <c r="T34" s="55"/>
      <c r="U34" s="55"/>
      <c r="V34" s="55"/>
      <c r="W34" s="55" t="n">
        <f aca="false">(O34+O35)*D34/2</f>
        <v>45.2605</v>
      </c>
      <c r="X34" s="55"/>
      <c r="Y34" s="55"/>
      <c r="Z34" s="55"/>
      <c r="AA34" s="55"/>
      <c r="AB34" s="56"/>
      <c r="AC34" s="57"/>
    </row>
    <row r="35" s="49" customFormat="true" ht="15" hidden="false" customHeight="true" outlineLevel="0" collapsed="false">
      <c r="A35" s="13" t="n">
        <v>25</v>
      </c>
      <c r="B35" s="13" t="str">
        <f aca="false">'3.KTHH L3'!B46</f>
        <v>TC</v>
      </c>
      <c r="C35" s="51" t="n">
        <f aca="false">'3.KTHH L3'!C46</f>
        <v>575.12</v>
      </c>
      <c r="D35" s="13" t="n">
        <f aca="false">'3.KTHH L3'!T46</f>
        <v>0.04</v>
      </c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 t="n">
        <f aca="false">Chạy!E224</f>
        <v>6.3</v>
      </c>
      <c r="P35" s="53"/>
      <c r="Q35" s="53"/>
      <c r="R35" s="55"/>
      <c r="S35" s="55"/>
      <c r="T35" s="55"/>
      <c r="U35" s="55"/>
      <c r="V35" s="55"/>
      <c r="W35" s="55" t="n">
        <f aca="false">(O35+O36)*D35/2</f>
        <v>0.263</v>
      </c>
      <c r="X35" s="55"/>
      <c r="Y35" s="55"/>
      <c r="Z35" s="55"/>
      <c r="AA35" s="55"/>
      <c r="AB35" s="56"/>
      <c r="AC35" s="57"/>
    </row>
    <row r="36" s="49" customFormat="true" ht="15" hidden="false" customHeight="true" outlineLevel="0" collapsed="false">
      <c r="A36" s="13" t="n">
        <v>26</v>
      </c>
      <c r="B36" s="13" t="str">
        <f aca="false">'3.KTHH L3'!B47</f>
        <v>29</v>
      </c>
      <c r="C36" s="51" t="n">
        <f aca="false">'3.KTHH L3'!C47</f>
        <v>575.16</v>
      </c>
      <c r="D36" s="13" t="n">
        <f aca="false">'3.KTHH L3'!T47</f>
        <v>16.95</v>
      </c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 t="n">
        <f aca="false">Chạy!E233</f>
        <v>6.85</v>
      </c>
      <c r="P36" s="53"/>
      <c r="Q36" s="53"/>
      <c r="R36" s="55"/>
      <c r="S36" s="55"/>
      <c r="T36" s="55"/>
      <c r="U36" s="55"/>
      <c r="V36" s="55"/>
      <c r="W36" s="55" t="n">
        <f aca="false">(O36+O37)*D36/2</f>
        <v>127.9725</v>
      </c>
      <c r="X36" s="55"/>
      <c r="Y36" s="55"/>
      <c r="Z36" s="55"/>
      <c r="AA36" s="55"/>
      <c r="AB36" s="56"/>
      <c r="AC36" s="57"/>
    </row>
    <row r="37" s="49" customFormat="true" ht="15" hidden="false" customHeight="true" outlineLevel="0" collapsed="false">
      <c r="A37" s="13" t="n">
        <v>27</v>
      </c>
      <c r="B37" s="13" t="str">
        <f aca="false">'3.KTHH L3'!B48</f>
        <v>30</v>
      </c>
      <c r="C37" s="51" t="n">
        <f aca="false">'3.KTHH L3'!C48</f>
        <v>592.11</v>
      </c>
      <c r="D37" s="13" t="n">
        <f aca="false">'3.KTHH L3'!T48</f>
        <v>17</v>
      </c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 t="n">
        <f aca="false">Chạy!E242</f>
        <v>8.25</v>
      </c>
      <c r="P37" s="53"/>
      <c r="Q37" s="53"/>
      <c r="R37" s="55"/>
      <c r="S37" s="55"/>
      <c r="T37" s="55"/>
      <c r="U37" s="55"/>
      <c r="V37" s="55"/>
      <c r="W37" s="55" t="n">
        <f aca="false">(O37+O38)*D37/2</f>
        <v>118.745</v>
      </c>
      <c r="X37" s="55"/>
      <c r="Y37" s="55"/>
      <c r="Z37" s="55"/>
      <c r="AA37" s="55"/>
      <c r="AB37" s="56"/>
      <c r="AC37" s="57"/>
    </row>
    <row r="38" s="49" customFormat="true" ht="15" hidden="false" customHeight="true" outlineLevel="0" collapsed="false">
      <c r="A38" s="13" t="n">
        <v>28</v>
      </c>
      <c r="B38" s="13" t="str">
        <f aca="false">'3.KTHH L3'!B49</f>
        <v>31</v>
      </c>
      <c r="C38" s="51" t="n">
        <f aca="false">'3.KTHH L3'!C49</f>
        <v>609.11</v>
      </c>
      <c r="D38" s="13" t="n">
        <f aca="false">'3.KTHH L3'!T49</f>
        <v>11.75</v>
      </c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 t="n">
        <f aca="false">Chạy!E251</f>
        <v>5.72</v>
      </c>
      <c r="P38" s="53"/>
      <c r="Q38" s="53"/>
      <c r="R38" s="55"/>
      <c r="S38" s="55"/>
      <c r="T38" s="55"/>
      <c r="U38" s="55"/>
      <c r="V38" s="55"/>
      <c r="W38" s="55" t="n">
        <f aca="false">(O38+O39)*D38/2</f>
        <v>66.975</v>
      </c>
      <c r="X38" s="55"/>
      <c r="Y38" s="55"/>
      <c r="Z38" s="55"/>
      <c r="AA38" s="55"/>
      <c r="AB38" s="56"/>
      <c r="AC38" s="57"/>
    </row>
    <row r="39" s="49" customFormat="true" ht="15" hidden="false" customHeight="true" outlineLevel="0" collapsed="false">
      <c r="A39" s="13" t="n">
        <v>29</v>
      </c>
      <c r="B39" s="13" t="str">
        <f aca="false">'3.KTHH L3'!B50</f>
        <v>E10</v>
      </c>
      <c r="C39" s="51" t="n">
        <f aca="false">'3.KTHH L3'!C50</f>
        <v>620.86</v>
      </c>
      <c r="D39" s="13" t="n">
        <f aca="false">'3.KTHH L3'!T50</f>
        <v>11.75</v>
      </c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 t="n">
        <f aca="false">Chạy!E260</f>
        <v>5.68</v>
      </c>
      <c r="P39" s="53"/>
      <c r="Q39" s="53"/>
      <c r="R39" s="55"/>
      <c r="S39" s="55"/>
      <c r="T39" s="55"/>
      <c r="U39" s="55"/>
      <c r="V39" s="55"/>
      <c r="W39" s="55" t="n">
        <f aca="false">(O39+O40)*D39/2</f>
        <v>74.3775</v>
      </c>
      <c r="X39" s="55"/>
      <c r="Y39" s="55"/>
      <c r="Z39" s="55"/>
      <c r="AA39" s="55"/>
      <c r="AB39" s="56"/>
      <c r="AC39" s="57"/>
    </row>
    <row r="40" s="49" customFormat="true" ht="15" hidden="false" customHeight="true" outlineLevel="0" collapsed="false">
      <c r="A40" s="13" t="n">
        <v>30</v>
      </c>
      <c r="B40" s="13" t="str">
        <f aca="false">'3.KTHH L3'!B51</f>
        <v>32</v>
      </c>
      <c r="C40" s="51" t="n">
        <f aca="false">'3.KTHH L3'!C51</f>
        <v>632.61</v>
      </c>
      <c r="D40" s="13" t="n">
        <f aca="false">'3.KTHH L3'!T51</f>
        <v>20</v>
      </c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 t="n">
        <f aca="false">Chạy!E269</f>
        <v>6.98</v>
      </c>
      <c r="P40" s="53"/>
      <c r="Q40" s="53"/>
      <c r="R40" s="55"/>
      <c r="S40" s="55"/>
      <c r="T40" s="55"/>
      <c r="U40" s="55"/>
      <c r="V40" s="55"/>
      <c r="W40" s="55" t="n">
        <f aca="false">(O40+O41)*D40/2</f>
        <v>159.1</v>
      </c>
      <c r="X40" s="55"/>
      <c r="Y40" s="55"/>
      <c r="Z40" s="55"/>
      <c r="AA40" s="55"/>
      <c r="AB40" s="56"/>
      <c r="AC40" s="57"/>
    </row>
    <row r="41" s="49" customFormat="true" ht="15" hidden="false" customHeight="true" outlineLevel="0" collapsed="false">
      <c r="A41" s="13" t="n">
        <v>31</v>
      </c>
      <c r="B41" s="13" t="str">
        <f aca="false">'3.KTHH L3'!B52</f>
        <v>33</v>
      </c>
      <c r="C41" s="51" t="n">
        <f aca="false">'3.KTHH L3'!C52</f>
        <v>652.61</v>
      </c>
      <c r="D41" s="13" t="n">
        <f aca="false">'3.KTHH L3'!T52</f>
        <v>20</v>
      </c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 t="n">
        <f aca="false">Chạy!E278</f>
        <v>8.93</v>
      </c>
      <c r="P41" s="53"/>
      <c r="Q41" s="53"/>
      <c r="R41" s="55"/>
      <c r="S41" s="55"/>
      <c r="T41" s="55"/>
      <c r="U41" s="55"/>
      <c r="V41" s="55"/>
      <c r="W41" s="55" t="n">
        <f aca="false">(O41+O42)*D41/2</f>
        <v>152.7</v>
      </c>
      <c r="X41" s="55"/>
      <c r="Y41" s="55"/>
      <c r="Z41" s="55"/>
      <c r="AA41" s="55"/>
      <c r="AB41" s="56"/>
      <c r="AC41" s="57"/>
    </row>
    <row r="42" s="49" customFormat="true" ht="15" hidden="false" customHeight="true" outlineLevel="0" collapsed="false">
      <c r="A42" s="13" t="n">
        <v>32</v>
      </c>
      <c r="B42" s="13" t="str">
        <f aca="false">'3.KTHH L3'!B53</f>
        <v>34</v>
      </c>
      <c r="C42" s="51" t="n">
        <f aca="false">'3.KTHH L3'!C53</f>
        <v>672.61</v>
      </c>
      <c r="D42" s="13" t="n">
        <f aca="false">'3.KTHH L3'!T53</f>
        <v>20</v>
      </c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 t="n">
        <f aca="false">Chạy!E287</f>
        <v>6.34</v>
      </c>
      <c r="P42" s="53"/>
      <c r="Q42" s="53"/>
      <c r="R42" s="55"/>
      <c r="S42" s="55"/>
      <c r="T42" s="55"/>
      <c r="U42" s="55"/>
      <c r="V42" s="55"/>
      <c r="W42" s="55" t="n">
        <f aca="false">(O42+O43)*D42/2</f>
        <v>152.7</v>
      </c>
      <c r="X42" s="55"/>
      <c r="Y42" s="55"/>
      <c r="Z42" s="55"/>
      <c r="AA42" s="55"/>
      <c r="AB42" s="56"/>
      <c r="AC42" s="57"/>
    </row>
    <row r="43" s="49" customFormat="true" ht="15" hidden="false" customHeight="true" outlineLevel="0" collapsed="false">
      <c r="A43" s="13" t="n">
        <v>33</v>
      </c>
      <c r="B43" s="13" t="str">
        <f aca="false">'3.KTHH L3'!B54</f>
        <v>35</v>
      </c>
      <c r="C43" s="51" t="n">
        <f aca="false">'3.KTHH L3'!C54</f>
        <v>692.61</v>
      </c>
      <c r="D43" s="13" t="n">
        <f aca="false">'3.KTHH L3'!T54</f>
        <v>20</v>
      </c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 t="n">
        <f aca="false">Chạy!E296</f>
        <v>8.93</v>
      </c>
      <c r="P43" s="53"/>
      <c r="Q43" s="53"/>
      <c r="R43" s="55"/>
      <c r="S43" s="55"/>
      <c r="T43" s="55"/>
      <c r="U43" s="55"/>
      <c r="V43" s="55"/>
      <c r="W43" s="55" t="n">
        <f aca="false">(O43+O44)*D43/2</f>
        <v>152.2</v>
      </c>
      <c r="X43" s="55"/>
      <c r="Y43" s="55"/>
      <c r="Z43" s="55"/>
      <c r="AA43" s="55"/>
      <c r="AB43" s="56"/>
      <c r="AC43" s="57"/>
    </row>
    <row r="44" s="49" customFormat="true" ht="15" hidden="false" customHeight="true" outlineLevel="0" collapsed="false">
      <c r="A44" s="13" t="n">
        <v>34</v>
      </c>
      <c r="B44" s="13" t="str">
        <f aca="false">'3.KTHH L3'!B55</f>
        <v>36</v>
      </c>
      <c r="C44" s="51" t="n">
        <f aca="false">'3.KTHH L3'!C55</f>
        <v>712.61</v>
      </c>
      <c r="D44" s="13" t="n">
        <f aca="false">'3.KTHH L3'!T55</f>
        <v>11.5</v>
      </c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 t="n">
        <f aca="false">Chạy!E305</f>
        <v>6.29</v>
      </c>
      <c r="P44" s="53"/>
      <c r="Q44" s="53"/>
      <c r="R44" s="55"/>
      <c r="S44" s="55"/>
      <c r="T44" s="55"/>
      <c r="U44" s="55"/>
      <c r="V44" s="55"/>
      <c r="W44" s="55" t="n">
        <f aca="false">(O44+O45)*D44/2</f>
        <v>78.3725</v>
      </c>
      <c r="X44" s="55"/>
      <c r="Y44" s="55"/>
      <c r="Z44" s="55"/>
      <c r="AA44" s="55"/>
      <c r="AB44" s="56"/>
      <c r="AC44" s="57"/>
    </row>
    <row r="45" s="49" customFormat="true" ht="15" hidden="false" customHeight="true" outlineLevel="0" collapsed="false">
      <c r="A45" s="13" t="n">
        <v>35</v>
      </c>
      <c r="B45" s="13" t="str">
        <f aca="false">'3.KTHH L3'!B56</f>
        <v>37</v>
      </c>
      <c r="C45" s="51" t="n">
        <f aca="false">'3.KTHH L3'!C56</f>
        <v>724.11</v>
      </c>
      <c r="D45" s="13" t="n">
        <f aca="false">'3.KTHH L3'!T56</f>
        <v>13.25</v>
      </c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 t="n">
        <f aca="false">Chạy!E314</f>
        <v>7.34</v>
      </c>
      <c r="P45" s="53"/>
      <c r="Q45" s="53"/>
      <c r="R45" s="55"/>
      <c r="S45" s="55"/>
      <c r="T45" s="55"/>
      <c r="U45" s="55"/>
      <c r="V45" s="55"/>
      <c r="W45" s="55" t="n">
        <f aca="false">(O45+O46)*D45/2</f>
        <v>88.3775</v>
      </c>
      <c r="X45" s="55"/>
      <c r="Y45" s="55"/>
      <c r="Z45" s="55"/>
      <c r="AA45" s="55"/>
      <c r="AB45" s="56"/>
      <c r="AC45" s="57"/>
    </row>
    <row r="46" s="49" customFormat="true" ht="15" hidden="false" customHeight="true" outlineLevel="0" collapsed="false">
      <c r="A46" s="13" t="n">
        <v>36</v>
      </c>
      <c r="B46" s="13" t="str">
        <f aca="false">'3.KTHH L3'!B57</f>
        <v>G6</v>
      </c>
      <c r="C46" s="51" t="n">
        <f aca="false">'3.KTHH L3'!C57</f>
        <v>737.36</v>
      </c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 t="n">
        <f aca="false">Chạy!E323</f>
        <v>6</v>
      </c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37" t="s">
        <v>85</v>
      </c>
      <c r="B51" s="37"/>
      <c r="C51" s="37"/>
      <c r="D51" s="3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8" t="n">
        <f aca="false">SUM(R11:R50)</f>
        <v>0</v>
      </c>
      <c r="S51" s="98" t="n">
        <f aca="false">SUM(S11:S50)</f>
        <v>0</v>
      </c>
      <c r="T51" s="98"/>
      <c r="U51" s="99" t="n">
        <f aca="false">SUM(U11:U50)</f>
        <v>0</v>
      </c>
      <c r="V51" s="99" t="n">
        <f aca="false">SUM(V11:V50)</f>
        <v>0</v>
      </c>
      <c r="W51" s="100" t="n">
        <f aca="false">SUM(W11:W46)</f>
        <v>3374.14375</v>
      </c>
      <c r="X51" s="99" t="n">
        <f aca="false">SUM(X11:X50)</f>
        <v>0</v>
      </c>
      <c r="Y51" s="99" t="n">
        <f aca="false">SUM(Y11:Y50)</f>
        <v>0</v>
      </c>
      <c r="Z51" s="99" t="n">
        <f aca="false">SUM(Z11:Z50)</f>
        <v>0</v>
      </c>
      <c r="AA51" s="99" t="n">
        <f aca="false">SUM(AA11:AA50)</f>
        <v>0</v>
      </c>
      <c r="AB51" s="99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74</v>
      </c>
      <c r="B53" s="19"/>
      <c r="C53" s="19"/>
      <c r="D53" s="77" t="s">
        <v>86</v>
      </c>
      <c r="E53" s="19" t="s">
        <v>75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76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77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7.15"/>
    <col collapsed="false" customWidth="true" hidden="false" outlineLevel="0" max="3" min="3" style="1" width="17.15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57"/>
    <col collapsed="false" customWidth="true" hidden="true" outlineLevel="0" max="15" min="13" style="1" width="8.57"/>
    <col collapsed="false" customWidth="true" hidden="false" outlineLevel="0" max="18" min="16" style="1" width="10.57"/>
    <col collapsed="false" customWidth="true" hidden="false" outlineLevel="0" max="19" min="19" style="1" width="8"/>
    <col collapsed="false" customWidth="true" hidden="false" outlineLevel="0" max="20" min="20" style="1" width="6.71"/>
    <col collapsed="false" customWidth="true" hidden="false" outlineLevel="0" max="22" min="21" style="1" width="2.42"/>
    <col collapsed="false" customWidth="true" hidden="false" outlineLevel="0" max="24" min="24" style="2" width="9.14"/>
    <col collapsed="false" customWidth="true" hidden="false" outlineLevel="0" max="26" min="26" style="2" width="9.14"/>
  </cols>
  <sheetData>
    <row r="1" customFormat="false" ht="20.25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91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57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58</v>
      </c>
      <c r="C7" s="7"/>
      <c r="D7" s="7"/>
      <c r="F7" s="7"/>
      <c r="G7" s="7" t="s">
        <v>92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60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19" customFormat="false" ht="3" hidden="false" customHeight="true" outlineLevel="0" collapsed="false"/>
    <row r="20" customFormat="false" ht="15" hidden="false" customHeight="true" outlineLevel="0" collapsed="false">
      <c r="A20" s="9" t="s">
        <v>61</v>
      </c>
      <c r="B20" s="9" t="s">
        <v>62</v>
      </c>
      <c r="C20" s="9" t="s">
        <v>63</v>
      </c>
      <c r="D20" s="10" t="s">
        <v>64</v>
      </c>
      <c r="E20" s="10"/>
      <c r="F20" s="10"/>
      <c r="G20" s="10"/>
      <c r="H20" s="10"/>
      <c r="I20" s="10"/>
      <c r="J20" s="10" t="s">
        <v>65</v>
      </c>
      <c r="K20" s="10"/>
      <c r="L20" s="10"/>
      <c r="M20" s="10" t="s">
        <v>66</v>
      </c>
      <c r="N20" s="10"/>
      <c r="O20" s="10"/>
      <c r="P20" s="10"/>
      <c r="Q20" s="10"/>
      <c r="R20" s="10"/>
      <c r="S20" s="9" t="s">
        <v>67</v>
      </c>
    </row>
    <row r="21" customFormat="false" ht="30" hidden="false" customHeight="true" outlineLevel="0" collapsed="false">
      <c r="A21" s="9"/>
      <c r="B21" s="9"/>
      <c r="C21" s="9"/>
      <c r="D21" s="11" t="s">
        <v>68</v>
      </c>
      <c r="E21" s="11" t="s">
        <v>69</v>
      </c>
      <c r="F21" s="11" t="s">
        <v>70</v>
      </c>
      <c r="G21" s="11" t="s">
        <v>71</v>
      </c>
      <c r="H21" s="11" t="s">
        <v>72</v>
      </c>
      <c r="I21" s="11" t="s">
        <v>73</v>
      </c>
      <c r="J21" s="11" t="s">
        <v>71</v>
      </c>
      <c r="K21" s="11" t="s">
        <v>72</v>
      </c>
      <c r="L21" s="11" t="s">
        <v>73</v>
      </c>
      <c r="M21" s="11" t="s">
        <v>68</v>
      </c>
      <c r="N21" s="11" t="s">
        <v>69</v>
      </c>
      <c r="O21" s="11" t="s">
        <v>70</v>
      </c>
      <c r="P21" s="11" t="s">
        <v>71</v>
      </c>
      <c r="Q21" s="11" t="s">
        <v>72</v>
      </c>
      <c r="R21" s="11" t="s">
        <v>73</v>
      </c>
      <c r="S21" s="9"/>
      <c r="T21" s="12"/>
      <c r="W21" s="87"/>
      <c r="X21" s="101"/>
      <c r="Y21" s="87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211</v>
      </c>
      <c r="D22" s="16" t="n">
        <f aca="false">+Chạy!F7</f>
        <v>-14.2</v>
      </c>
      <c r="E22" s="16" t="n">
        <f aca="false">+D22+F22</f>
        <v>-14.204</v>
      </c>
      <c r="F22" s="16" t="n">
        <f aca="false">RANDBETWEEN(-105,115)/10000</f>
        <v>-0.004</v>
      </c>
      <c r="G22" s="16" t="n">
        <f aca="false">+Chạy!G7</f>
        <v>0.55</v>
      </c>
      <c r="H22" s="16" t="n">
        <f aca="false">G22+I22</f>
        <v>0.58</v>
      </c>
      <c r="I22" s="16" t="n">
        <f aca="false">RANDBETWEEN(-30,90)/1000</f>
        <v>0.03</v>
      </c>
      <c r="J22" s="16" t="n">
        <f aca="false">+Chạy!K7</f>
        <v>0.67</v>
      </c>
      <c r="K22" s="16" t="n">
        <f aca="false">J22+L22</f>
        <v>0.646</v>
      </c>
      <c r="L22" s="16" t="n">
        <f aca="false">RANDBETWEEN(-30,90)/1000</f>
        <v>-0.024</v>
      </c>
      <c r="M22" s="16" t="n">
        <f aca="false">+Chạy!N7</f>
        <v>14.2</v>
      </c>
      <c r="N22" s="16" t="n">
        <f aca="false">+M22+O22</f>
        <v>14.209</v>
      </c>
      <c r="O22" s="16" t="n">
        <f aca="false">RANDBETWEEN(-105,115)/10000</f>
        <v>0.009</v>
      </c>
      <c r="P22" s="16" t="n">
        <f aca="false">+Chạy!O7</f>
        <v>0.55</v>
      </c>
      <c r="Q22" s="16" t="n">
        <f aca="false">P22+R22</f>
        <v>0.571</v>
      </c>
      <c r="R22" s="16" t="n">
        <f aca="false">RANDBETWEEN(-30,90)/1000</f>
        <v>0.021</v>
      </c>
      <c r="S22" s="17"/>
      <c r="T22" s="1" t="n">
        <v>13.25</v>
      </c>
      <c r="W22" s="102"/>
      <c r="X22" s="103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224.25</v>
      </c>
      <c r="D23" s="16" t="n">
        <f aca="false">+Chạy!F16</f>
        <v>-14.2</v>
      </c>
      <c r="E23" s="16" t="n">
        <f aca="false">+D23+F23</f>
        <v>-14.1914</v>
      </c>
      <c r="F23" s="16" t="n">
        <f aca="false">RANDBETWEEN(-105,115)/10000</f>
        <v>0.0086</v>
      </c>
      <c r="G23" s="16" t="n">
        <f aca="false">+Chạy!G16</f>
        <v>0.54</v>
      </c>
      <c r="H23" s="16" t="n">
        <f aca="false">G23+I23</f>
        <v>0.606</v>
      </c>
      <c r="I23" s="16" t="n">
        <f aca="false">RANDBETWEEN(-30,90)/1000</f>
        <v>0.066</v>
      </c>
      <c r="J23" s="16" t="n">
        <f aca="false">+Chạy!K16</f>
        <v>0.66</v>
      </c>
      <c r="K23" s="16" t="n">
        <f aca="false">J23+L23</f>
        <v>0.644</v>
      </c>
      <c r="L23" s="16" t="n">
        <f aca="false">RANDBETWEEN(-30,90)/1000</f>
        <v>-0.016</v>
      </c>
      <c r="M23" s="16" t="n">
        <f aca="false">+Chạy!N16</f>
        <v>7.49</v>
      </c>
      <c r="N23" s="16" t="n">
        <f aca="false">+M23+O23</f>
        <v>7.4906</v>
      </c>
      <c r="O23" s="16" t="n">
        <f aca="false">RANDBETWEEN(-105,115)/10000</f>
        <v>0.0006</v>
      </c>
      <c r="P23" s="16" t="n">
        <f aca="false">+Chạy!O16</f>
        <v>0.54</v>
      </c>
      <c r="Q23" s="16" t="n">
        <f aca="false">P23+R23</f>
        <v>0.514</v>
      </c>
      <c r="R23" s="16" t="n">
        <f aca="false">RANDBETWEEN(-30,90)/1000</f>
        <v>-0.026</v>
      </c>
      <c r="S23" s="17"/>
      <c r="T23" s="1" t="n">
        <v>21.5</v>
      </c>
      <c r="W23" s="102"/>
      <c r="X23" s="103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245.75</v>
      </c>
      <c r="D24" s="16" t="n">
        <f aca="false">+Chạy!F25</f>
        <v>-14.2</v>
      </c>
      <c r="E24" s="16" t="n">
        <f aca="false">+D24+F24</f>
        <v>-14.2059</v>
      </c>
      <c r="F24" s="16" t="n">
        <f aca="false">RANDBETWEEN(-105,115)/10000</f>
        <v>-0.0059</v>
      </c>
      <c r="G24" s="16" t="n">
        <f aca="false">+Chạy!G25</f>
        <v>0.52</v>
      </c>
      <c r="H24" s="16" t="n">
        <f aca="false">G24+I24</f>
        <v>0.588</v>
      </c>
      <c r="I24" s="16" t="n">
        <f aca="false">RANDBETWEEN(-30,90)/1000</f>
        <v>0.068</v>
      </c>
      <c r="J24" s="16" t="n">
        <f aca="false">+Chạy!K25</f>
        <v>0.64</v>
      </c>
      <c r="K24" s="16" t="n">
        <f aca="false">J24+L24</f>
        <v>0.689</v>
      </c>
      <c r="L24" s="16" t="n">
        <f aca="false">RANDBETWEEN(-30,90)/1000</f>
        <v>0.049</v>
      </c>
      <c r="M24" s="16" t="n">
        <f aca="false">+Chạy!N25</f>
        <v>7.22</v>
      </c>
      <c r="N24" s="16" t="n">
        <f aca="false">+M24+O24</f>
        <v>7.213</v>
      </c>
      <c r="O24" s="16" t="n">
        <f aca="false">RANDBETWEEN(-105,115)/10000</f>
        <v>-0.007</v>
      </c>
      <c r="P24" s="16" t="n">
        <f aca="false">+Chạy!O25</f>
        <v>0.52</v>
      </c>
      <c r="Q24" s="16" t="n">
        <f aca="false">P24+R24</f>
        <v>0.576</v>
      </c>
      <c r="R24" s="16" t="n">
        <f aca="false">RANDBETWEEN(-30,90)/1000</f>
        <v>0.056</v>
      </c>
      <c r="S24" s="17"/>
      <c r="T24" s="1" t="n">
        <v>11.75</v>
      </c>
      <c r="W24" s="102"/>
      <c r="X24" s="103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257.5</v>
      </c>
      <c r="D25" s="16" t="n">
        <f aca="false">+Chạy!F34</f>
        <v>-7.21</v>
      </c>
      <c r="E25" s="16" t="n">
        <f aca="false">+D25+F25</f>
        <v>-7.2006</v>
      </c>
      <c r="F25" s="16" t="n">
        <f aca="false">RANDBETWEEN(-105,115)/10000</f>
        <v>0.0094</v>
      </c>
      <c r="G25" s="16" t="n">
        <f aca="false">+Chạy!G34</f>
        <v>0.51</v>
      </c>
      <c r="H25" s="16" t="n">
        <f aca="false">G25+I25</f>
        <v>0.53</v>
      </c>
      <c r="I25" s="16" t="n">
        <f aca="false">RANDBETWEEN(-30,90)/1000</f>
        <v>0.02</v>
      </c>
      <c r="J25" s="16" t="n">
        <f aca="false">+Chạy!K34</f>
        <v>0.63</v>
      </c>
      <c r="K25" s="16" t="n">
        <f aca="false">J25+L25</f>
        <v>0.654</v>
      </c>
      <c r="L25" s="16" t="n">
        <f aca="false">RANDBETWEEN(-30,90)/1000</f>
        <v>0.024</v>
      </c>
      <c r="M25" s="16" t="n">
        <f aca="false">+Chạy!N34</f>
        <v>7.22</v>
      </c>
      <c r="N25" s="16" t="n">
        <f aca="false">+M25+O25</f>
        <v>7.2289</v>
      </c>
      <c r="O25" s="16" t="n">
        <f aca="false">RANDBETWEEN(-105,115)/10000</f>
        <v>0.0089</v>
      </c>
      <c r="P25" s="16" t="n">
        <f aca="false">+Chạy!O34</f>
        <v>0.51</v>
      </c>
      <c r="Q25" s="16" t="n">
        <f aca="false">P25+R25</f>
        <v>0.496</v>
      </c>
      <c r="R25" s="16" t="n">
        <f aca="false">RANDBETWEEN(-30,90)/1000</f>
        <v>-0.014</v>
      </c>
      <c r="S25" s="17"/>
      <c r="T25" s="1" t="n">
        <v>11.75</v>
      </c>
      <c r="W25" s="102"/>
      <c r="X25" s="103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269.25</v>
      </c>
      <c r="D26" s="16" t="n">
        <f aca="false">+Chạy!F43</f>
        <v>-7.21</v>
      </c>
      <c r="E26" s="16" t="n">
        <f aca="false">+D26+F26</f>
        <v>-7.1985</v>
      </c>
      <c r="F26" s="16" t="n">
        <f aca="false">RANDBETWEEN(-105,115)/10000</f>
        <v>0.0115</v>
      </c>
      <c r="G26" s="16" t="n">
        <f aca="false">+Chạy!G43</f>
        <v>0.51</v>
      </c>
      <c r="H26" s="16" t="n">
        <f aca="false">G26+I26</f>
        <v>0.579</v>
      </c>
      <c r="I26" s="16" t="n">
        <f aca="false">RANDBETWEEN(-30,90)/1000</f>
        <v>0.069</v>
      </c>
      <c r="J26" s="16" t="n">
        <f aca="false">+Chạy!K43</f>
        <v>0.62</v>
      </c>
      <c r="K26" s="16" t="n">
        <f aca="false">J26+L26</f>
        <v>0.601</v>
      </c>
      <c r="L26" s="16" t="n">
        <f aca="false">RANDBETWEEN(-30,90)/1000</f>
        <v>-0.019</v>
      </c>
      <c r="M26" s="16" t="n">
        <f aca="false">+Chạy!N43</f>
        <v>7.21</v>
      </c>
      <c r="N26" s="16" t="n">
        <f aca="false">+M26+O26</f>
        <v>7.2064</v>
      </c>
      <c r="O26" s="16" t="n">
        <f aca="false">RANDBETWEEN(-105,115)/10000</f>
        <v>-0.0036</v>
      </c>
      <c r="P26" s="16" t="n">
        <f aca="false">+Chạy!O43</f>
        <v>0.51</v>
      </c>
      <c r="Q26" s="16" t="n">
        <f aca="false">P26+R26</f>
        <v>0.521</v>
      </c>
      <c r="R26" s="16" t="n">
        <f aca="false">RANDBETWEEN(-30,90)/1000</f>
        <v>0.011</v>
      </c>
      <c r="S26" s="17"/>
      <c r="T26" s="1" t="n">
        <v>20</v>
      </c>
      <c r="W26" s="102"/>
      <c r="X26" s="103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289.25</v>
      </c>
      <c r="D27" s="16" t="n">
        <f aca="false">+Chạy!F52</f>
        <v>-7.2</v>
      </c>
      <c r="E27" s="16" t="n">
        <f aca="false">+D27+F27</f>
        <v>-7.2026</v>
      </c>
      <c r="F27" s="16" t="n">
        <f aca="false">RANDBETWEEN(-105,115)/10000</f>
        <v>-0.0026</v>
      </c>
      <c r="G27" s="16" t="n">
        <f aca="false">+Chạy!G52</f>
        <v>0.5</v>
      </c>
      <c r="H27" s="16" t="n">
        <f aca="false">G27+I27</f>
        <v>0.56</v>
      </c>
      <c r="I27" s="16" t="n">
        <f aca="false">RANDBETWEEN(-30,90)/1000</f>
        <v>0.06</v>
      </c>
      <c r="J27" s="16" t="n">
        <f aca="false">+Chạy!K52</f>
        <v>0.61</v>
      </c>
      <c r="K27" s="16" t="n">
        <f aca="false">J27+L27</f>
        <v>0.645</v>
      </c>
      <c r="L27" s="16" t="n">
        <f aca="false">RANDBETWEEN(-30,90)/1000</f>
        <v>0.035</v>
      </c>
      <c r="M27" s="16" t="n">
        <f aca="false">+Chạy!N52</f>
        <v>7.2</v>
      </c>
      <c r="N27" s="16" t="n">
        <f aca="false">+M27+O27</f>
        <v>7.207</v>
      </c>
      <c r="O27" s="16" t="n">
        <f aca="false">RANDBETWEEN(-105,115)/10000</f>
        <v>0.007</v>
      </c>
      <c r="P27" s="16" t="n">
        <f aca="false">+Chạy!O52</f>
        <v>0.5</v>
      </c>
      <c r="Q27" s="16" t="n">
        <f aca="false">P27+R27</f>
        <v>0.551</v>
      </c>
      <c r="R27" s="16" t="n">
        <f aca="false">RANDBETWEEN(-30,90)/1000</f>
        <v>0.051</v>
      </c>
      <c r="S27" s="17"/>
      <c r="T27" s="1" t="n">
        <v>20</v>
      </c>
      <c r="W27" s="102"/>
      <c r="X27" s="103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309.25</v>
      </c>
      <c r="D28" s="16" t="n">
        <f aca="false">+Chạy!F61</f>
        <v>-7.18</v>
      </c>
      <c r="E28" s="16" t="n">
        <f aca="false">+D28+F28</f>
        <v>-7.1895</v>
      </c>
      <c r="F28" s="16" t="n">
        <f aca="false">RANDBETWEEN(-105,115)/10000</f>
        <v>-0.0095</v>
      </c>
      <c r="G28" s="16" t="n">
        <f aca="false">+Chạy!G61</f>
        <v>0.48</v>
      </c>
      <c r="H28" s="16" t="n">
        <f aca="false">G28+I28</f>
        <v>0.502</v>
      </c>
      <c r="I28" s="16" t="n">
        <f aca="false">RANDBETWEEN(-30,90)/1000</f>
        <v>0.022</v>
      </c>
      <c r="J28" s="16" t="n">
        <f aca="false">+Chạy!K61</f>
        <v>0.6</v>
      </c>
      <c r="K28" s="16" t="n">
        <f aca="false">J28+L28</f>
        <v>0.649</v>
      </c>
      <c r="L28" s="16" t="n">
        <f aca="false">RANDBETWEEN(-30,90)/1000</f>
        <v>0.049</v>
      </c>
      <c r="M28" s="16" t="n">
        <f aca="false">+Chạy!N61</f>
        <v>7.18</v>
      </c>
      <c r="N28" s="16" t="n">
        <f aca="false">+M28+O28</f>
        <v>7.1793</v>
      </c>
      <c r="O28" s="16" t="n">
        <f aca="false">RANDBETWEEN(-105,115)/10000</f>
        <v>-0.0007</v>
      </c>
      <c r="P28" s="16" t="n">
        <f aca="false">+Chạy!O61</f>
        <v>0.48</v>
      </c>
      <c r="Q28" s="16" t="n">
        <f aca="false">P28+R28</f>
        <v>0.502</v>
      </c>
      <c r="R28" s="16" t="n">
        <f aca="false">RANDBETWEEN(-30,90)/1000</f>
        <v>0.022</v>
      </c>
      <c r="S28" s="17"/>
      <c r="T28" s="1" t="n">
        <v>20</v>
      </c>
      <c r="W28" s="102"/>
      <c r="X28" s="103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329.25</v>
      </c>
      <c r="D29" s="16" t="n">
        <f aca="false">+Chạy!F70</f>
        <v>-7.17</v>
      </c>
      <c r="E29" s="16" t="n">
        <f aca="false">+D29+F29</f>
        <v>-7.1644</v>
      </c>
      <c r="F29" s="16" t="n">
        <f aca="false">RANDBETWEEN(-105,115)/10000</f>
        <v>0.0056</v>
      </c>
      <c r="G29" s="16" t="n">
        <f aca="false">+Chạy!G70</f>
        <v>0.47</v>
      </c>
      <c r="H29" s="16" t="n">
        <f aca="false">G29+I29</f>
        <v>0.493</v>
      </c>
      <c r="I29" s="16" t="n">
        <f aca="false">RANDBETWEEN(-30,90)/1000</f>
        <v>0.023</v>
      </c>
      <c r="J29" s="16" t="n">
        <f aca="false">+Chạy!K70</f>
        <v>0.59</v>
      </c>
      <c r="K29" s="16" t="n">
        <f aca="false">J29+L29</f>
        <v>0.64</v>
      </c>
      <c r="L29" s="16" t="n">
        <f aca="false">RANDBETWEEN(-30,90)/1000</f>
        <v>0.05</v>
      </c>
      <c r="M29" s="16" t="n">
        <f aca="false">+Chạy!N70</f>
        <v>7.17</v>
      </c>
      <c r="N29" s="16" t="n">
        <f aca="false">+M29+O29</f>
        <v>7.1732</v>
      </c>
      <c r="O29" s="16" t="n">
        <f aca="false">RANDBETWEEN(-105,115)/10000</f>
        <v>0.0032</v>
      </c>
      <c r="P29" s="16" t="n">
        <f aca="false">+Chạy!O70</f>
        <v>0.47</v>
      </c>
      <c r="Q29" s="16" t="n">
        <f aca="false">P29+R29</f>
        <v>0.522</v>
      </c>
      <c r="R29" s="16" t="n">
        <f aca="false">RANDBETWEEN(-30,90)/1000</f>
        <v>0.052</v>
      </c>
      <c r="S29" s="17"/>
      <c r="T29" s="1" t="n">
        <v>20</v>
      </c>
      <c r="W29" s="102"/>
      <c r="X29" s="103"/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349.25</v>
      </c>
      <c r="D30" s="16" t="n">
        <f aca="false">+Chạy!F79</f>
        <v>-14.2</v>
      </c>
      <c r="E30" s="16" t="n">
        <f aca="false">+D30+F30</f>
        <v>-14.1931</v>
      </c>
      <c r="F30" s="16" t="n">
        <f aca="false">RANDBETWEEN(-105,115)/10000</f>
        <v>0.0069</v>
      </c>
      <c r="G30" s="16" t="n">
        <f aca="false">+Chạy!G79</f>
        <v>0.46</v>
      </c>
      <c r="H30" s="16" t="n">
        <f aca="false">G30+I30</f>
        <v>0.436</v>
      </c>
      <c r="I30" s="16" t="n">
        <f aca="false">RANDBETWEEN(-30,90)/1000</f>
        <v>-0.024</v>
      </c>
      <c r="J30" s="16" t="n">
        <f aca="false">+Chạy!K79</f>
        <v>0.58</v>
      </c>
      <c r="K30" s="16" t="n">
        <f aca="false">J30+L30</f>
        <v>0.578</v>
      </c>
      <c r="L30" s="16" t="n">
        <f aca="false">RANDBETWEEN(-30,90)/1000</f>
        <v>-0.002</v>
      </c>
      <c r="M30" s="16" t="n">
        <f aca="false">+Chạy!N79</f>
        <v>7.16</v>
      </c>
      <c r="N30" s="16" t="n">
        <f aca="false">+M30+O30</f>
        <v>7.1555</v>
      </c>
      <c r="O30" s="16" t="n">
        <f aca="false">RANDBETWEEN(-105,115)/10000</f>
        <v>-0.0045</v>
      </c>
      <c r="P30" s="16" t="n">
        <f aca="false">+Chạy!O79</f>
        <v>0.46</v>
      </c>
      <c r="Q30" s="16" t="n">
        <f aca="false">P30+R30</f>
        <v>0.521</v>
      </c>
      <c r="R30" s="16" t="n">
        <f aca="false">RANDBETWEEN(-30,90)/1000</f>
        <v>0.061</v>
      </c>
      <c r="S30" s="17"/>
      <c r="T30" s="1" t="n">
        <v>19</v>
      </c>
      <c r="W30" s="102"/>
      <c r="X30" s="103"/>
    </row>
    <row r="31" customFormat="false" ht="15" hidden="false" customHeight="false" outlineLevel="0" collapsed="false">
      <c r="A31" s="13" t="n">
        <v>10</v>
      </c>
      <c r="B31" s="13" t="s">
        <v>26</v>
      </c>
      <c r="C31" s="15" t="n">
        <f aca="false">+C30+T30</f>
        <v>368.25</v>
      </c>
      <c r="D31" s="16" t="n">
        <f aca="false">+Chạy!F88</f>
        <v>-14.2</v>
      </c>
      <c r="E31" s="16" t="n">
        <f aca="false">+D31+F31</f>
        <v>-14.2033</v>
      </c>
      <c r="F31" s="16" t="n">
        <f aca="false">RANDBETWEEN(-105,115)/10000</f>
        <v>-0.0033</v>
      </c>
      <c r="G31" s="16" t="n">
        <f aca="false">+Chạy!G88</f>
        <v>0.45</v>
      </c>
      <c r="H31" s="16" t="n">
        <f aca="false">G31+I31</f>
        <v>0.534</v>
      </c>
      <c r="I31" s="16" t="n">
        <f aca="false">RANDBETWEEN(-30,90)/1000</f>
        <v>0.084</v>
      </c>
      <c r="J31" s="16" t="n">
        <f aca="false">+Chạy!K88</f>
        <v>0.57</v>
      </c>
      <c r="K31" s="16" t="n">
        <f aca="false">J31+L31</f>
        <v>0.561</v>
      </c>
      <c r="L31" s="16" t="n">
        <f aca="false">RANDBETWEEN(-30,90)/1000</f>
        <v>-0.009</v>
      </c>
      <c r="M31" s="16" t="n">
        <f aca="false">+Chạy!N88</f>
        <v>7.15</v>
      </c>
      <c r="N31" s="16" t="n">
        <f aca="false">+M31+O31</f>
        <v>7.1476</v>
      </c>
      <c r="O31" s="16" t="n">
        <f aca="false">RANDBETWEEN(-105,115)/10000</f>
        <v>-0.0024</v>
      </c>
      <c r="P31" s="16" t="n">
        <f aca="false">+Chạy!O88</f>
        <v>0.45</v>
      </c>
      <c r="Q31" s="16" t="n">
        <f aca="false">P31+R31</f>
        <v>0.496</v>
      </c>
      <c r="R31" s="16" t="n">
        <f aca="false">RANDBETWEEN(-30,90)/1000</f>
        <v>0.046</v>
      </c>
      <c r="S31" s="17"/>
      <c r="T31" s="1" t="n">
        <v>13.25</v>
      </c>
      <c r="W31" s="102"/>
      <c r="X31" s="103"/>
    </row>
    <row r="32" customFormat="false" ht="15" hidden="false" customHeight="false" outlineLevel="0" collapsed="false">
      <c r="A32" s="13" t="n">
        <v>11</v>
      </c>
      <c r="B32" s="13" t="s">
        <v>27</v>
      </c>
      <c r="C32" s="15" t="n">
        <f aca="false">+C31+T31</f>
        <v>381.5</v>
      </c>
      <c r="D32" s="16" t="n">
        <f aca="false">+Chạy!F97</f>
        <v>-14.2</v>
      </c>
      <c r="E32" s="16" t="n">
        <f aca="false">+D32+F32</f>
        <v>-14.2023</v>
      </c>
      <c r="F32" s="16" t="n">
        <f aca="false">RANDBETWEEN(-105,115)/10000</f>
        <v>-0.0023</v>
      </c>
      <c r="G32" s="16" t="n">
        <f aca="false">+Chạy!G97</f>
        <v>0.44</v>
      </c>
      <c r="H32" s="16" t="n">
        <f aca="false">G32+I32</f>
        <v>0.5</v>
      </c>
      <c r="I32" s="16" t="n">
        <f aca="false">RANDBETWEEN(-30,90)/1000</f>
        <v>0.06</v>
      </c>
      <c r="J32" s="16" t="n">
        <f aca="false">+Chạy!K97</f>
        <v>0.56</v>
      </c>
      <c r="K32" s="16" t="n">
        <f aca="false">J32+L32</f>
        <v>0.593</v>
      </c>
      <c r="L32" s="16" t="n">
        <f aca="false">RANDBETWEEN(-30,90)/1000</f>
        <v>0.033</v>
      </c>
      <c r="M32" s="16" t="n">
        <f aca="false">+Chạy!N97</f>
        <v>14.2</v>
      </c>
      <c r="N32" s="16" t="n">
        <f aca="false">+M32+O32</f>
        <v>14.2102</v>
      </c>
      <c r="O32" s="16" t="n">
        <f aca="false">RANDBETWEEN(-105,115)/10000</f>
        <v>0.0102</v>
      </c>
      <c r="P32" s="16" t="n">
        <f aca="false">+Chạy!O97</f>
        <v>0.44</v>
      </c>
      <c r="Q32" s="16" t="n">
        <f aca="false">P32+R32</f>
        <v>0.449</v>
      </c>
      <c r="R32" s="16" t="n">
        <f aca="false">RANDBETWEEN(-30,90)/1000</f>
        <v>0.009</v>
      </c>
      <c r="S32" s="17"/>
      <c r="T32" s="1" t="n">
        <v>13.25</v>
      </c>
      <c r="W32" s="102"/>
      <c r="X32" s="103"/>
    </row>
    <row r="33" customFormat="false" ht="15" hidden="false" customHeight="false" outlineLevel="0" collapsed="false">
      <c r="A33" s="13" t="n">
        <v>12</v>
      </c>
      <c r="B33" s="13" t="s">
        <v>28</v>
      </c>
      <c r="C33" s="15" t="n">
        <f aca="false">+C32+T32</f>
        <v>394.75</v>
      </c>
      <c r="D33" s="16" t="n">
        <f aca="false">+Chạy!F106</f>
        <v>-14.2</v>
      </c>
      <c r="E33" s="16" t="n">
        <f aca="false">+D33+F33</f>
        <v>-14.2033</v>
      </c>
      <c r="F33" s="16" t="n">
        <f aca="false">RANDBETWEEN(-105,115)/10000</f>
        <v>-0.0033</v>
      </c>
      <c r="G33" s="16" t="n">
        <f aca="false">+Chạy!G106</f>
        <v>0.43</v>
      </c>
      <c r="H33" s="16" t="n">
        <f aca="false">G33+I33</f>
        <v>0.4</v>
      </c>
      <c r="I33" s="16" t="n">
        <f aca="false">RANDBETWEEN(-30,90)/1000</f>
        <v>-0.03</v>
      </c>
      <c r="J33" s="16" t="n">
        <f aca="false">+Chạy!K106</f>
        <v>0.55</v>
      </c>
      <c r="K33" s="16" t="n">
        <f aca="false">J33+L33</f>
        <v>0.543</v>
      </c>
      <c r="L33" s="16" t="n">
        <f aca="false">RANDBETWEEN(-30,90)/1000</f>
        <v>-0.007</v>
      </c>
      <c r="M33" s="16" t="n">
        <f aca="false">+Chạy!N106</f>
        <v>14.2</v>
      </c>
      <c r="N33" s="16" t="n">
        <f aca="false">+M33+O33</f>
        <v>14.2015</v>
      </c>
      <c r="O33" s="16" t="n">
        <f aca="false">RANDBETWEEN(-105,115)/10000</f>
        <v>0.0015</v>
      </c>
      <c r="P33" s="16" t="n">
        <f aca="false">+Chạy!O106</f>
        <v>0.43</v>
      </c>
      <c r="Q33" s="16" t="n">
        <f aca="false">P33+R33</f>
        <v>0.503</v>
      </c>
      <c r="R33" s="16" t="n">
        <f aca="false">RANDBETWEEN(-30,90)/1000</f>
        <v>0.073</v>
      </c>
      <c r="S33" s="17"/>
      <c r="T33" s="1" t="n">
        <v>20</v>
      </c>
      <c r="W33" s="102"/>
      <c r="X33" s="103"/>
    </row>
    <row r="34" customFormat="false" ht="15" hidden="false" customHeight="false" outlineLevel="0" collapsed="false">
      <c r="A34" s="13" t="n">
        <v>13</v>
      </c>
      <c r="B34" s="13" t="s">
        <v>29</v>
      </c>
      <c r="C34" s="15" t="n">
        <f aca="false">+C33+T33</f>
        <v>414.75</v>
      </c>
      <c r="D34" s="16" t="n">
        <f aca="false">+Chạy!F115</f>
        <v>-14.2</v>
      </c>
      <c r="E34" s="16" t="n">
        <f aca="false">+D34+F34</f>
        <v>-14.2018</v>
      </c>
      <c r="F34" s="16" t="n">
        <f aca="false">RANDBETWEEN(-105,115)/10000</f>
        <v>-0.0018</v>
      </c>
      <c r="G34" s="16" t="n">
        <f aca="false">+Chạy!G115</f>
        <v>0.42</v>
      </c>
      <c r="H34" s="16" t="n">
        <f aca="false">G34+I34</f>
        <v>0.397</v>
      </c>
      <c r="I34" s="16" t="n">
        <f aca="false">RANDBETWEEN(-30,90)/1000</f>
        <v>-0.023</v>
      </c>
      <c r="J34" s="16" t="n">
        <f aca="false">+Chạy!K115</f>
        <v>0.54</v>
      </c>
      <c r="K34" s="16" t="n">
        <f aca="false">J34+L34</f>
        <v>0.541</v>
      </c>
      <c r="L34" s="16" t="n">
        <f aca="false">RANDBETWEEN(-30,90)/1000</f>
        <v>0.001</v>
      </c>
      <c r="M34" s="16" t="n">
        <f aca="false">+Chạy!N115</f>
        <v>14.2</v>
      </c>
      <c r="N34" s="16" t="n">
        <f aca="false">+M34+O34</f>
        <v>14.1954</v>
      </c>
      <c r="O34" s="16" t="n">
        <f aca="false">RANDBETWEEN(-105,115)/10000</f>
        <v>-0.0046</v>
      </c>
      <c r="P34" s="16" t="n">
        <f aca="false">+Chạy!O115</f>
        <v>0.42</v>
      </c>
      <c r="Q34" s="16" t="n">
        <f aca="false">P34+R34</f>
        <v>0.438</v>
      </c>
      <c r="R34" s="16" t="n">
        <f aca="false">RANDBETWEEN(-30,90)/1000</f>
        <v>0.018</v>
      </c>
      <c r="S34" s="17"/>
      <c r="T34" s="1" t="n">
        <v>20</v>
      </c>
      <c r="W34" s="102"/>
      <c r="X34" s="103"/>
    </row>
    <row r="35" customFormat="false" ht="15" hidden="false" customHeight="false" outlineLevel="0" collapsed="false">
      <c r="A35" s="13" t="n">
        <v>14</v>
      </c>
      <c r="B35" s="13" t="s">
        <v>30</v>
      </c>
      <c r="C35" s="15" t="n">
        <f aca="false">+C34+T34</f>
        <v>434.75</v>
      </c>
      <c r="D35" s="16" t="n">
        <f aca="false">+Chạy!F124</f>
        <v>-14.2</v>
      </c>
      <c r="E35" s="16" t="n">
        <f aca="false">+D35+F35</f>
        <v>-14.2042</v>
      </c>
      <c r="F35" s="16" t="n">
        <f aca="false">RANDBETWEEN(-105,115)/10000</f>
        <v>-0.0042</v>
      </c>
      <c r="G35" s="16" t="n">
        <f aca="false">+Chạy!G124</f>
        <v>0.41</v>
      </c>
      <c r="H35" s="16" t="n">
        <f aca="false">G35+I35</f>
        <v>0.442</v>
      </c>
      <c r="I35" s="16" t="n">
        <f aca="false">RANDBETWEEN(-30,90)/1000</f>
        <v>0.032</v>
      </c>
      <c r="J35" s="16" t="n">
        <f aca="false">+Chạy!K124</f>
        <v>0.52</v>
      </c>
      <c r="K35" s="16" t="n">
        <f aca="false">J35+L35</f>
        <v>0.55</v>
      </c>
      <c r="L35" s="16" t="n">
        <f aca="false">RANDBETWEEN(-30,90)/1000</f>
        <v>0.03</v>
      </c>
      <c r="M35" s="16" t="n">
        <f aca="false">+Chạy!N124</f>
        <v>14.2</v>
      </c>
      <c r="N35" s="16" t="n">
        <f aca="false">+M35+O35</f>
        <v>14.202</v>
      </c>
      <c r="O35" s="16" t="n">
        <f aca="false">RANDBETWEEN(-105,115)/10000</f>
        <v>0.002</v>
      </c>
      <c r="P35" s="16" t="n">
        <f aca="false">+Chạy!O124</f>
        <v>0.41</v>
      </c>
      <c r="Q35" s="16" t="n">
        <f aca="false">P35+R35</f>
        <v>0.472</v>
      </c>
      <c r="R35" s="16" t="n">
        <f aca="false">RANDBETWEEN(-30,90)/1000</f>
        <v>0.062</v>
      </c>
      <c r="S35" s="17"/>
      <c r="T35" s="1" t="n">
        <v>20</v>
      </c>
      <c r="W35" s="102"/>
      <c r="X35" s="103"/>
    </row>
    <row r="36" customFormat="false" ht="15" hidden="false" customHeight="false" outlineLevel="0" collapsed="false">
      <c r="A36" s="13" t="n">
        <v>15</v>
      </c>
      <c r="B36" s="13" t="s">
        <v>31</v>
      </c>
      <c r="C36" s="15" t="n">
        <f aca="false">+C35+T35</f>
        <v>454.75</v>
      </c>
      <c r="D36" s="16" t="n">
        <f aca="false">+Chạy!F133</f>
        <v>-14.2</v>
      </c>
      <c r="E36" s="16" t="n">
        <f aca="false">+D36+F36</f>
        <v>-14.2104</v>
      </c>
      <c r="F36" s="16" t="n">
        <f aca="false">RANDBETWEEN(-105,115)/10000</f>
        <v>-0.0104</v>
      </c>
      <c r="G36" s="16" t="n">
        <f aca="false">+Chạy!G133</f>
        <v>0.39</v>
      </c>
      <c r="H36" s="16" t="n">
        <f aca="false">G36+I36</f>
        <v>0.463</v>
      </c>
      <c r="I36" s="16" t="n">
        <f aca="false">RANDBETWEEN(-30,90)/1000</f>
        <v>0.073</v>
      </c>
      <c r="J36" s="16" t="n">
        <f aca="false">+Chạy!K133</f>
        <v>0.51</v>
      </c>
      <c r="K36" s="16" t="n">
        <f aca="false">J36+L36</f>
        <v>0.548</v>
      </c>
      <c r="L36" s="16" t="n">
        <f aca="false">RANDBETWEEN(-30,90)/1000</f>
        <v>0.038</v>
      </c>
      <c r="M36" s="16" t="n">
        <f aca="false">+Chạy!N133</f>
        <v>14.2</v>
      </c>
      <c r="N36" s="16" t="n">
        <f aca="false">+M36+O36</f>
        <v>14.2069</v>
      </c>
      <c r="O36" s="16" t="n">
        <f aca="false">RANDBETWEEN(-105,115)/10000</f>
        <v>0.0069</v>
      </c>
      <c r="P36" s="16" t="n">
        <f aca="false">+Chạy!O133</f>
        <v>0.39</v>
      </c>
      <c r="Q36" s="16" t="n">
        <f aca="false">P36+R36</f>
        <v>0.472</v>
      </c>
      <c r="R36" s="16" t="n">
        <f aca="false">RANDBETWEEN(-30,90)/1000</f>
        <v>0.082</v>
      </c>
      <c r="S36" s="17"/>
      <c r="T36" s="1" t="n">
        <v>20</v>
      </c>
      <c r="W36" s="102"/>
      <c r="X36" s="103"/>
    </row>
    <row r="37" customFormat="false" ht="15" hidden="false" customHeight="false" outlineLevel="0" collapsed="false">
      <c r="A37" s="13" t="n">
        <v>16</v>
      </c>
      <c r="B37" s="13" t="s">
        <v>32</v>
      </c>
      <c r="C37" s="15" t="n">
        <f aca="false">+C36+T36</f>
        <v>474.75</v>
      </c>
      <c r="D37" s="16" t="n">
        <f aca="false">+Chạy!F142</f>
        <v>-14.2</v>
      </c>
      <c r="E37" s="16" t="n">
        <f aca="false">+D37+F37</f>
        <v>-14.2062</v>
      </c>
      <c r="F37" s="16" t="n">
        <f aca="false">RANDBETWEEN(-105,115)/10000</f>
        <v>-0.0062</v>
      </c>
      <c r="G37" s="16" t="n">
        <f aca="false">+Chạy!G142</f>
        <v>0.38</v>
      </c>
      <c r="H37" s="16" t="n">
        <f aca="false">G37+I37</f>
        <v>0.406</v>
      </c>
      <c r="I37" s="16" t="n">
        <f aca="false">RANDBETWEEN(-30,90)/1000</f>
        <v>0.026</v>
      </c>
      <c r="J37" s="16" t="n">
        <f aca="false">+Chạy!K142</f>
        <v>0.5</v>
      </c>
      <c r="K37" s="16" t="n">
        <f aca="false">J37+L37</f>
        <v>0.48</v>
      </c>
      <c r="L37" s="16" t="n">
        <f aca="false">RANDBETWEEN(-30,90)/1000</f>
        <v>-0.02</v>
      </c>
      <c r="M37" s="16" t="n">
        <f aca="false">+Chạy!N142</f>
        <v>14.2</v>
      </c>
      <c r="N37" s="16" t="n">
        <f aca="false">+M37+O37</f>
        <v>14.2099</v>
      </c>
      <c r="O37" s="16" t="n">
        <f aca="false">RANDBETWEEN(-105,115)/10000</f>
        <v>0.0099</v>
      </c>
      <c r="P37" s="16" t="n">
        <f aca="false">+Chạy!O142</f>
        <v>0.38</v>
      </c>
      <c r="Q37" s="16" t="n">
        <f aca="false">P37+R37</f>
        <v>0.406</v>
      </c>
      <c r="R37" s="16" t="n">
        <f aca="false">RANDBETWEEN(-30,90)/1000</f>
        <v>0.026</v>
      </c>
      <c r="S37" s="17"/>
      <c r="T37" s="1" t="n">
        <v>14.44</v>
      </c>
      <c r="W37" s="102"/>
      <c r="X37" s="103"/>
    </row>
    <row r="38" customFormat="false" ht="15" hidden="false" customHeight="false" outlineLevel="0" collapsed="false">
      <c r="A38" s="13" t="n">
        <v>17</v>
      </c>
      <c r="B38" s="13" t="s">
        <v>33</v>
      </c>
      <c r="C38" s="15" t="n">
        <f aca="false">+C37+T37</f>
        <v>489.19</v>
      </c>
      <c r="D38" s="16" t="n">
        <f aca="false">+Chạy!F151</f>
        <v>-14.2</v>
      </c>
      <c r="E38" s="16" t="n">
        <f aca="false">+D38+F38</f>
        <v>-14.2033</v>
      </c>
      <c r="F38" s="16" t="n">
        <f aca="false">RANDBETWEEN(-105,115)/10000</f>
        <v>-0.0033</v>
      </c>
      <c r="G38" s="16" t="n">
        <f aca="false">+Chạy!G151</f>
        <v>0.37</v>
      </c>
      <c r="H38" s="16" t="n">
        <f aca="false">G38+I38</f>
        <v>0.349</v>
      </c>
      <c r="I38" s="16" t="n">
        <f aca="false">RANDBETWEEN(-30,90)/1000</f>
        <v>-0.021</v>
      </c>
      <c r="J38" s="16" t="n">
        <f aca="false">+Chạy!K151</f>
        <v>0.49</v>
      </c>
      <c r="K38" s="16" t="n">
        <f aca="false">J38+L38</f>
        <v>0.567</v>
      </c>
      <c r="L38" s="16" t="n">
        <f aca="false">RANDBETWEEN(-30,90)/1000</f>
        <v>0.077</v>
      </c>
      <c r="M38" s="16" t="n">
        <f aca="false">+Chạy!N151</f>
        <v>14.2</v>
      </c>
      <c r="N38" s="16" t="n">
        <f aca="false">+M38+O38</f>
        <v>14.2048</v>
      </c>
      <c r="O38" s="16" t="n">
        <f aca="false">RANDBETWEEN(-105,115)/10000</f>
        <v>0.0048</v>
      </c>
      <c r="P38" s="16" t="n">
        <f aca="false">+Chạy!O151</f>
        <v>0.37</v>
      </c>
      <c r="Q38" s="16" t="n">
        <f aca="false">P38+R38</f>
        <v>0.407</v>
      </c>
      <c r="R38" s="16" t="n">
        <f aca="false">RANDBETWEEN(-30,90)/1000</f>
        <v>0.037</v>
      </c>
      <c r="S38" s="17"/>
      <c r="T38" s="1" t="n">
        <v>13.17</v>
      </c>
      <c r="W38" s="102"/>
      <c r="X38" s="103"/>
    </row>
    <row r="39" customFormat="false" ht="15" hidden="false" customHeight="false" outlineLevel="0" collapsed="false">
      <c r="A39" s="13" t="n">
        <v>18</v>
      </c>
      <c r="B39" s="13" t="s">
        <v>34</v>
      </c>
      <c r="C39" s="15" t="n">
        <f aca="false">+C38+T38</f>
        <v>502.36</v>
      </c>
      <c r="D39" s="16" t="n">
        <f aca="false">+Chạy!F160</f>
        <v>-14.2</v>
      </c>
      <c r="E39" s="16" t="n">
        <f aca="false">+D39+F39</f>
        <v>-14.1923</v>
      </c>
      <c r="F39" s="16" t="n">
        <f aca="false">RANDBETWEEN(-105,115)/10000</f>
        <v>0.0077</v>
      </c>
      <c r="G39" s="16" t="n">
        <f aca="false">+Chạy!G160</f>
        <v>0.36</v>
      </c>
      <c r="H39" s="16" t="n">
        <f aca="false">G39+I39</f>
        <v>0.347</v>
      </c>
      <c r="I39" s="16" t="n">
        <f aca="false">RANDBETWEEN(-30,90)/1000</f>
        <v>-0.013</v>
      </c>
      <c r="J39" s="16" t="n">
        <f aca="false">+Chạy!K160</f>
        <v>0.48</v>
      </c>
      <c r="K39" s="16" t="n">
        <f aca="false">J39+L39</f>
        <v>0.53</v>
      </c>
      <c r="L39" s="16" t="n">
        <f aca="false">RANDBETWEEN(-30,90)/1000</f>
        <v>0.05</v>
      </c>
      <c r="M39" s="16" t="n">
        <f aca="false">+Chạy!N160</f>
        <v>14.2</v>
      </c>
      <c r="N39" s="16" t="n">
        <f aca="false">+M39+O39</f>
        <v>14.2089</v>
      </c>
      <c r="O39" s="16" t="n">
        <f aca="false">RANDBETWEEN(-105,115)/10000</f>
        <v>0.0089</v>
      </c>
      <c r="P39" s="16" t="n">
        <f aca="false">+Chạy!O160</f>
        <v>0.36</v>
      </c>
      <c r="Q39" s="16" t="n">
        <f aca="false">P39+R39</f>
        <v>0.421</v>
      </c>
      <c r="R39" s="16" t="n">
        <f aca="false">RANDBETWEEN(-30,90)/1000</f>
        <v>0.061</v>
      </c>
      <c r="S39" s="17"/>
      <c r="T39" s="1" t="n">
        <v>10.48</v>
      </c>
      <c r="W39" s="102"/>
      <c r="X39" s="103"/>
    </row>
    <row r="40" customFormat="false" ht="15" hidden="false" customHeight="false" outlineLevel="0" collapsed="false">
      <c r="A40" s="13" t="n">
        <v>19</v>
      </c>
      <c r="B40" s="13" t="s">
        <v>35</v>
      </c>
      <c r="C40" s="15" t="n">
        <f aca="false">+C39+T39</f>
        <v>512.84</v>
      </c>
      <c r="D40" s="16" t="n">
        <f aca="false">+Chạy!F169</f>
        <v>-14.2</v>
      </c>
      <c r="E40" s="16" t="n">
        <f aca="false">+D40+F40</f>
        <v>-14.1941</v>
      </c>
      <c r="F40" s="16" t="n">
        <f aca="false">RANDBETWEEN(-105,115)/10000</f>
        <v>0.0059</v>
      </c>
      <c r="G40" s="16" t="n">
        <f aca="false">+Chạy!G169</f>
        <v>0.36</v>
      </c>
      <c r="H40" s="16" t="n">
        <f aca="false">G40+I40</f>
        <v>0.41</v>
      </c>
      <c r="I40" s="16" t="n">
        <f aca="false">RANDBETWEEN(-30,90)/1000</f>
        <v>0.05</v>
      </c>
      <c r="J40" s="16" t="n">
        <f aca="false">+Chạy!K169</f>
        <v>0.47</v>
      </c>
      <c r="K40" s="16" t="n">
        <f aca="false">J40+L40</f>
        <v>0.554</v>
      </c>
      <c r="L40" s="16" t="n">
        <f aca="false">RANDBETWEEN(-30,90)/1000</f>
        <v>0.084</v>
      </c>
      <c r="M40" s="16" t="n">
        <f aca="false">+Chạy!N169</f>
        <v>14.2</v>
      </c>
      <c r="N40" s="16" t="n">
        <f aca="false">+M40+O40</f>
        <v>14.1957</v>
      </c>
      <c r="O40" s="16" t="n">
        <f aca="false">RANDBETWEEN(-105,115)/10000</f>
        <v>-0.0043</v>
      </c>
      <c r="P40" s="16" t="n">
        <f aca="false">+Chạy!O169</f>
        <v>0.36</v>
      </c>
      <c r="Q40" s="16" t="n">
        <f aca="false">P40+R40</f>
        <v>0.366</v>
      </c>
      <c r="R40" s="16" t="n">
        <f aca="false">RANDBETWEEN(-30,90)/1000</f>
        <v>0.006</v>
      </c>
      <c r="S40" s="17"/>
      <c r="T40" s="1" t="n">
        <v>16.78</v>
      </c>
      <c r="W40" s="102"/>
      <c r="X40" s="103"/>
    </row>
    <row r="41" customFormat="false" ht="15" hidden="false" customHeight="false" outlineLevel="0" collapsed="false">
      <c r="A41" s="13" t="n">
        <v>20</v>
      </c>
      <c r="B41" s="13" t="s">
        <v>36</v>
      </c>
      <c r="C41" s="15" t="n">
        <f aca="false">+C40+T40</f>
        <v>529.62</v>
      </c>
      <c r="D41" s="16" t="n">
        <f aca="false">+Chạy!F178</f>
        <v>-14.2</v>
      </c>
      <c r="E41" s="16" t="n">
        <f aca="false">+D41+F41</f>
        <v>-14.2044</v>
      </c>
      <c r="F41" s="16" t="n">
        <f aca="false">RANDBETWEEN(-105,115)/10000</f>
        <v>-0.0044</v>
      </c>
      <c r="G41" s="16" t="n">
        <f aca="false">+Chạy!G178</f>
        <v>0.35</v>
      </c>
      <c r="H41" s="16" t="n">
        <f aca="false">G41+I41</f>
        <v>0.428</v>
      </c>
      <c r="I41" s="16" t="n">
        <f aca="false">RANDBETWEEN(-30,90)/1000</f>
        <v>0.078</v>
      </c>
      <c r="J41" s="16" t="n">
        <f aca="false">+Chạy!K178</f>
        <v>0.47</v>
      </c>
      <c r="K41" s="16" t="n">
        <f aca="false">J41+L41</f>
        <v>0.464</v>
      </c>
      <c r="L41" s="16" t="n">
        <f aca="false">RANDBETWEEN(-30,90)/1000</f>
        <v>-0.006</v>
      </c>
      <c r="M41" s="16" t="n">
        <f aca="false">+Chạy!N178</f>
        <v>14.2</v>
      </c>
      <c r="N41" s="16" t="n">
        <f aca="false">+M41+O41</f>
        <v>14.2063</v>
      </c>
      <c r="O41" s="16" t="n">
        <f aca="false">RANDBETWEEN(-105,115)/10000</f>
        <v>0.0063</v>
      </c>
      <c r="P41" s="16" t="n">
        <f aca="false">+Chạy!O178</f>
        <v>0.35</v>
      </c>
      <c r="Q41" s="16" t="n">
        <f aca="false">P41+R41</f>
        <v>0.412</v>
      </c>
      <c r="R41" s="16" t="n">
        <f aca="false">RANDBETWEEN(-30,90)/1000</f>
        <v>0.062</v>
      </c>
      <c r="S41" s="17"/>
      <c r="T41" s="1" t="n">
        <v>17.1</v>
      </c>
      <c r="W41" s="102"/>
      <c r="X41" s="103"/>
    </row>
    <row r="42" customFormat="false" ht="15" hidden="false" customHeight="false" outlineLevel="0" collapsed="false">
      <c r="A42" s="13" t="n">
        <v>21</v>
      </c>
      <c r="B42" s="13" t="s">
        <v>37</v>
      </c>
      <c r="C42" s="15" t="n">
        <f aca="false">+C41+T41</f>
        <v>546.72</v>
      </c>
      <c r="D42" s="16" t="n">
        <f aca="false">+Chạy!F187</f>
        <v>-14.2</v>
      </c>
      <c r="E42" s="16" t="n">
        <f aca="false">+D42+F42</f>
        <v>-14.2023</v>
      </c>
      <c r="F42" s="16" t="n">
        <f aca="false">RANDBETWEEN(-105,115)/10000</f>
        <v>-0.0023</v>
      </c>
      <c r="G42" s="16" t="n">
        <f aca="false">+Chạy!G187</f>
        <v>0.34</v>
      </c>
      <c r="H42" s="16" t="n">
        <f aca="false">G42+I42</f>
        <v>0.331</v>
      </c>
      <c r="I42" s="16" t="n">
        <f aca="false">RANDBETWEEN(-30,90)/1000</f>
        <v>-0.009</v>
      </c>
      <c r="J42" s="16" t="n">
        <f aca="false">+Chạy!K187</f>
        <v>0.46</v>
      </c>
      <c r="K42" s="16" t="n">
        <f aca="false">J42+L42</f>
        <v>0.481</v>
      </c>
      <c r="L42" s="16" t="n">
        <f aca="false">RANDBETWEEN(-30,90)/1000</f>
        <v>0.021</v>
      </c>
      <c r="M42" s="16" t="n">
        <f aca="false">+Chạy!N187</f>
        <v>14.2</v>
      </c>
      <c r="N42" s="16" t="n">
        <f aca="false">+M42+O42</f>
        <v>14.198</v>
      </c>
      <c r="O42" s="16" t="n">
        <f aca="false">RANDBETWEEN(-105,115)/10000</f>
        <v>-0.002</v>
      </c>
      <c r="P42" s="16" t="n">
        <f aca="false">+Chạy!O187</f>
        <v>0.34</v>
      </c>
      <c r="Q42" s="16" t="n">
        <f aca="false">P42+R42</f>
        <v>0.351</v>
      </c>
      <c r="R42" s="16" t="n">
        <f aca="false">RANDBETWEEN(-30,90)/1000</f>
        <v>0.011</v>
      </c>
      <c r="S42" s="17"/>
      <c r="T42" s="1" t="n">
        <v>15.15</v>
      </c>
      <c r="W42" s="102"/>
      <c r="X42" s="103"/>
    </row>
    <row r="43" customFormat="false" ht="15" hidden="false" customHeight="false" outlineLevel="0" collapsed="false">
      <c r="A43" s="13" t="n">
        <v>22</v>
      </c>
      <c r="B43" s="13" t="s">
        <v>38</v>
      </c>
      <c r="C43" s="15" t="n">
        <f aca="false">+C42+T42</f>
        <v>561.87</v>
      </c>
      <c r="D43" s="16" t="n">
        <f aca="false">+Chạy!F196</f>
        <v>-14.2</v>
      </c>
      <c r="E43" s="16" t="n">
        <f aca="false">+D43+F43</f>
        <v>-14.1889</v>
      </c>
      <c r="F43" s="16" t="n">
        <f aca="false">RANDBETWEEN(-105,115)/10000</f>
        <v>0.0111</v>
      </c>
      <c r="G43" s="16" t="n">
        <f aca="false">+Chạy!G196</f>
        <v>0.34</v>
      </c>
      <c r="H43" s="16" t="n">
        <f aca="false">G43+I43</f>
        <v>0.377</v>
      </c>
      <c r="I43" s="16" t="n">
        <f aca="false">RANDBETWEEN(-30,90)/1000</f>
        <v>0.037</v>
      </c>
      <c r="J43" s="16" t="n">
        <f aca="false">+Chạy!K196</f>
        <v>0.45</v>
      </c>
      <c r="K43" s="16" t="n">
        <f aca="false">J43+L43</f>
        <v>0.45</v>
      </c>
      <c r="L43" s="16" t="n">
        <f aca="false">RANDBETWEEN(-30,90)/1000</f>
        <v>0</v>
      </c>
      <c r="M43" s="16" t="n">
        <f aca="false">+Chạy!N196</f>
        <v>14.2</v>
      </c>
      <c r="N43" s="16" t="n">
        <f aca="false">+M43+O43</f>
        <v>14.2055</v>
      </c>
      <c r="O43" s="16" t="n">
        <f aca="false">RANDBETWEEN(-105,115)/10000</f>
        <v>0.0055</v>
      </c>
      <c r="P43" s="16" t="n">
        <f aca="false">+Chạy!O196</f>
        <v>0.34</v>
      </c>
      <c r="Q43" s="16" t="n">
        <f aca="false">P43+R43</f>
        <v>0.379</v>
      </c>
      <c r="R43" s="16" t="n">
        <f aca="false">RANDBETWEEN(-30,90)/1000</f>
        <v>0.039</v>
      </c>
      <c r="S43" s="17"/>
      <c r="T43" s="1" t="n">
        <v>0.15</v>
      </c>
      <c r="W43" s="102"/>
      <c r="X43" s="103"/>
    </row>
    <row r="44" customFormat="false" ht="15" hidden="false" customHeight="false" outlineLevel="0" collapsed="false">
      <c r="A44" s="13" t="n">
        <v>23</v>
      </c>
      <c r="B44" s="13" t="s">
        <v>39</v>
      </c>
      <c r="C44" s="15" t="n">
        <f aca="false">+C43+T43</f>
        <v>562.02</v>
      </c>
      <c r="D44" s="16" t="n">
        <f aca="false">+Chạy!F205</f>
        <v>-14.2</v>
      </c>
      <c r="E44" s="16" t="n">
        <f aca="false">+D44+F44</f>
        <v>-14.1886</v>
      </c>
      <c r="F44" s="16" t="n">
        <f aca="false">RANDBETWEEN(-105,115)/10000</f>
        <v>0.0114</v>
      </c>
      <c r="G44" s="16" t="n">
        <f aca="false">+Chạy!G205</f>
        <v>0.34</v>
      </c>
      <c r="H44" s="16" t="n">
        <f aca="false">G44+I44</f>
        <v>0.392</v>
      </c>
      <c r="I44" s="16" t="n">
        <f aca="false">RANDBETWEEN(-30,90)/1000</f>
        <v>0.052</v>
      </c>
      <c r="J44" s="16" t="n">
        <f aca="false">+Chạy!K205</f>
        <v>0.45</v>
      </c>
      <c r="K44" s="16" t="n">
        <f aca="false">J44+L44</f>
        <v>0.498</v>
      </c>
      <c r="L44" s="16" t="n">
        <f aca="false">RANDBETWEEN(-30,90)/1000</f>
        <v>0.048</v>
      </c>
      <c r="M44" s="16" t="n">
        <f aca="false">+Chạy!N205</f>
        <v>14.2</v>
      </c>
      <c r="N44" s="16" t="n">
        <f aca="false">+M44+O44</f>
        <v>14.203</v>
      </c>
      <c r="O44" s="16" t="n">
        <f aca="false">RANDBETWEEN(-105,115)/10000</f>
        <v>0.003</v>
      </c>
      <c r="P44" s="16" t="n">
        <f aca="false">+Chạy!O205</f>
        <v>0.34</v>
      </c>
      <c r="Q44" s="16" t="n">
        <f aca="false">P44+R44</f>
        <v>0.327</v>
      </c>
      <c r="R44" s="16" t="n">
        <f aca="false">RANDBETWEEN(-30,90)/1000</f>
        <v>-0.013</v>
      </c>
      <c r="S44" s="17"/>
      <c r="T44" s="1" t="n">
        <v>6.55</v>
      </c>
      <c r="W44" s="102"/>
      <c r="X44" s="103"/>
    </row>
    <row r="45" customFormat="false" ht="15" hidden="false" customHeight="false" outlineLevel="0" collapsed="false">
      <c r="A45" s="13" t="n">
        <v>24</v>
      </c>
      <c r="B45" s="13" t="s">
        <v>40</v>
      </c>
      <c r="C45" s="15" t="n">
        <f aca="false">+C44+T44</f>
        <v>568.57</v>
      </c>
      <c r="D45" s="16" t="n">
        <f aca="false">+Chạy!F214</f>
        <v>-14.2</v>
      </c>
      <c r="E45" s="16" t="n">
        <f aca="false">+D45+F45</f>
        <v>-14.1988</v>
      </c>
      <c r="F45" s="16" t="n">
        <f aca="false">RANDBETWEEN(-105,115)/10000</f>
        <v>0.0012</v>
      </c>
      <c r="G45" s="16" t="n">
        <f aca="false">+Chạy!G214</f>
        <v>0.34</v>
      </c>
      <c r="H45" s="16" t="n">
        <f aca="false">G45+I45</f>
        <v>0.392</v>
      </c>
      <c r="I45" s="16" t="n">
        <f aca="false">RANDBETWEEN(-30,90)/1000</f>
        <v>0.052</v>
      </c>
      <c r="J45" s="16" t="n">
        <f aca="false">+Chạy!K214</f>
        <v>0.45</v>
      </c>
      <c r="K45" s="16" t="n">
        <f aca="false">J45+L45</f>
        <v>0.444</v>
      </c>
      <c r="L45" s="16" t="n">
        <f aca="false">RANDBETWEEN(-30,90)/1000</f>
        <v>-0.006</v>
      </c>
      <c r="M45" s="16" t="n">
        <f aca="false">+Chạy!N214</f>
        <v>14.2</v>
      </c>
      <c r="N45" s="16" t="n">
        <f aca="false">+M45+O45</f>
        <v>14.2108</v>
      </c>
      <c r="O45" s="16" t="n">
        <f aca="false">RANDBETWEEN(-105,115)/10000</f>
        <v>0.0108</v>
      </c>
      <c r="P45" s="16" t="n">
        <f aca="false">+Chạy!O214</f>
        <v>0.34</v>
      </c>
      <c r="Q45" s="16" t="n">
        <f aca="false">P45+R45</f>
        <v>0.416</v>
      </c>
      <c r="R45" s="16" t="n">
        <f aca="false">RANDBETWEEN(-30,90)/1000</f>
        <v>0.076</v>
      </c>
      <c r="S45" s="17"/>
      <c r="T45" s="1" t="n">
        <v>6.55</v>
      </c>
      <c r="W45" s="102"/>
      <c r="X45" s="103"/>
    </row>
    <row r="46" customFormat="false" ht="15" hidden="false" customHeight="false" outlineLevel="0" collapsed="false">
      <c r="A46" s="13" t="n">
        <v>25</v>
      </c>
      <c r="B46" s="13" t="s">
        <v>1</v>
      </c>
      <c r="C46" s="15" t="n">
        <f aca="false">+C45+T45</f>
        <v>575.12</v>
      </c>
      <c r="D46" s="16" t="n">
        <f aca="false">+Chạy!F223</f>
        <v>-14.2</v>
      </c>
      <c r="E46" s="16" t="n">
        <f aca="false">+D46+F46</f>
        <v>-14.2018</v>
      </c>
      <c r="F46" s="16" t="n">
        <f aca="false">RANDBETWEEN(-105,115)/10000</f>
        <v>-0.0018</v>
      </c>
      <c r="G46" s="16" t="n">
        <f aca="false">+Chạy!G223</f>
        <v>0.34</v>
      </c>
      <c r="H46" s="16" t="n">
        <f aca="false">G46+I46</f>
        <v>0.43</v>
      </c>
      <c r="I46" s="16" t="n">
        <f aca="false">RANDBETWEEN(-30,90)/1000</f>
        <v>0.09</v>
      </c>
      <c r="J46" s="16" t="n">
        <f aca="false">+Chạy!K223</f>
        <v>0.45</v>
      </c>
      <c r="K46" s="16" t="n">
        <f aca="false">J46+L46</f>
        <v>0.488</v>
      </c>
      <c r="L46" s="16" t="n">
        <f aca="false">RANDBETWEEN(-30,90)/1000</f>
        <v>0.038</v>
      </c>
      <c r="M46" s="16" t="n">
        <f aca="false">+Chạy!N223</f>
        <v>14.2</v>
      </c>
      <c r="N46" s="16" t="n">
        <f aca="false">+M46+O46</f>
        <v>14.2044</v>
      </c>
      <c r="O46" s="16" t="n">
        <f aca="false">RANDBETWEEN(-105,115)/10000</f>
        <v>0.0044</v>
      </c>
      <c r="P46" s="16" t="n">
        <f aca="false">+Chạy!O223</f>
        <v>0.34</v>
      </c>
      <c r="Q46" s="16" t="n">
        <f aca="false">P46+R46</f>
        <v>0.349</v>
      </c>
      <c r="R46" s="16" t="n">
        <f aca="false">RANDBETWEEN(-30,90)/1000</f>
        <v>0.009</v>
      </c>
      <c r="S46" s="17"/>
      <c r="T46" s="1" t="n">
        <v>0.04</v>
      </c>
      <c r="W46" s="102"/>
      <c r="X46" s="103"/>
    </row>
    <row r="47" customFormat="false" ht="15" hidden="false" customHeight="false" outlineLevel="0" collapsed="false">
      <c r="A47" s="13" t="n">
        <v>26</v>
      </c>
      <c r="B47" s="13" t="s">
        <v>41</v>
      </c>
      <c r="C47" s="15" t="n">
        <f aca="false">+C46+T46</f>
        <v>575.16</v>
      </c>
      <c r="D47" s="16" t="n">
        <f aca="false">+Chạy!F232</f>
        <v>-14.2</v>
      </c>
      <c r="E47" s="16" t="n">
        <f aca="false">+D47+F47</f>
        <v>-14.1928</v>
      </c>
      <c r="F47" s="16" t="n">
        <f aca="false">RANDBETWEEN(-105,115)/10000</f>
        <v>0.0072</v>
      </c>
      <c r="G47" s="16" t="n">
        <f aca="false">+Chạy!G232</f>
        <v>0.47</v>
      </c>
      <c r="H47" s="16" t="n">
        <f aca="false">G47+I47</f>
        <v>0.536</v>
      </c>
      <c r="I47" s="16" t="n">
        <f aca="false">RANDBETWEEN(-30,90)/1000</f>
        <v>0.066</v>
      </c>
      <c r="J47" s="16" t="n">
        <f aca="false">+Chạy!K232</f>
        <v>0.45</v>
      </c>
      <c r="K47" s="16" t="n">
        <f aca="false">J47+L47</f>
        <v>0.482</v>
      </c>
      <c r="L47" s="16" t="n">
        <f aca="false">RANDBETWEEN(-30,90)/1000</f>
        <v>0.032</v>
      </c>
      <c r="M47" s="16" t="n">
        <f aca="false">+Chạy!N232</f>
        <v>14.2</v>
      </c>
      <c r="N47" s="16" t="n">
        <f aca="false">+M47+O47</f>
        <v>14.2002</v>
      </c>
      <c r="O47" s="16" t="n">
        <f aca="false">RANDBETWEEN(-105,115)/10000</f>
        <v>0.0002</v>
      </c>
      <c r="P47" s="16" t="n">
        <f aca="false">+Chạy!O232</f>
        <v>0.34</v>
      </c>
      <c r="Q47" s="16" t="n">
        <f aca="false">P47+R47</f>
        <v>0.409</v>
      </c>
      <c r="R47" s="16" t="n">
        <f aca="false">RANDBETWEEN(-30,90)/1000</f>
        <v>0.069</v>
      </c>
      <c r="S47" s="17"/>
      <c r="T47" s="1" t="n">
        <v>16.95</v>
      </c>
      <c r="W47" s="102"/>
      <c r="X47" s="103"/>
    </row>
    <row r="48" customFormat="false" ht="15" hidden="false" customHeight="false" outlineLevel="0" collapsed="false">
      <c r="A48" s="13" t="n">
        <v>27</v>
      </c>
      <c r="B48" s="13" t="s">
        <v>42</v>
      </c>
      <c r="C48" s="15" t="n">
        <f aca="false">+C47+T47</f>
        <v>592.11</v>
      </c>
      <c r="D48" s="16" t="n">
        <f aca="false">+Chạy!F241</f>
        <v>-14.2</v>
      </c>
      <c r="E48" s="16" t="n">
        <f aca="false">+D48+F48</f>
        <v>-14.207</v>
      </c>
      <c r="F48" s="16" t="n">
        <f aca="false">RANDBETWEEN(-105,115)/10000</f>
        <v>-0.007</v>
      </c>
      <c r="G48" s="16" t="n">
        <f aca="false">+Chạy!G241</f>
        <v>0.34</v>
      </c>
      <c r="H48" s="16" t="n">
        <f aca="false">G48+I48</f>
        <v>0.398</v>
      </c>
      <c r="I48" s="16" t="n">
        <f aca="false">RANDBETWEEN(-30,90)/1000</f>
        <v>0.058</v>
      </c>
      <c r="J48" s="16" t="n">
        <f aca="false">+Chạy!K241</f>
        <v>0.46</v>
      </c>
      <c r="K48" s="16" t="n">
        <f aca="false">J48+L48</f>
        <v>0.543</v>
      </c>
      <c r="L48" s="16" t="n">
        <f aca="false">RANDBETWEEN(-30,90)/1000</f>
        <v>0.083</v>
      </c>
      <c r="M48" s="16" t="n">
        <f aca="false">+Chạy!N241</f>
        <v>14.2</v>
      </c>
      <c r="N48" s="16" t="n">
        <f aca="false">+M48+O48</f>
        <v>14.2027</v>
      </c>
      <c r="O48" s="16" t="n">
        <f aca="false">RANDBETWEEN(-105,115)/10000</f>
        <v>0.0027</v>
      </c>
      <c r="P48" s="16" t="n">
        <f aca="false">+Chạy!O241</f>
        <v>0.34</v>
      </c>
      <c r="Q48" s="16" t="n">
        <f aca="false">P48+R48</f>
        <v>0.31</v>
      </c>
      <c r="R48" s="16" t="n">
        <f aca="false">RANDBETWEEN(-30,90)/1000</f>
        <v>-0.03</v>
      </c>
      <c r="S48" s="17"/>
      <c r="T48" s="1" t="n">
        <v>17</v>
      </c>
      <c r="W48" s="102"/>
      <c r="X48" s="103"/>
    </row>
    <row r="49" customFormat="false" ht="15" hidden="false" customHeight="false" outlineLevel="0" collapsed="false">
      <c r="A49" s="13" t="n">
        <v>28</v>
      </c>
      <c r="B49" s="13" t="s">
        <v>43</v>
      </c>
      <c r="C49" s="15" t="n">
        <f aca="false">+C48+T48</f>
        <v>609.11</v>
      </c>
      <c r="D49" s="16" t="n">
        <f aca="false">+Chạy!F250</f>
        <v>-14.2</v>
      </c>
      <c r="E49" s="16" t="n">
        <f aca="false">+D49+F49</f>
        <v>-14.19</v>
      </c>
      <c r="F49" s="16" t="n">
        <f aca="false">RANDBETWEEN(-105,115)/10000</f>
        <v>0.01</v>
      </c>
      <c r="G49" s="16" t="n">
        <f aca="false">+Chạy!G250</f>
        <v>0.34</v>
      </c>
      <c r="H49" s="16" t="n">
        <f aca="false">G49+I49</f>
        <v>0.323</v>
      </c>
      <c r="I49" s="16" t="n">
        <f aca="false">RANDBETWEEN(-30,90)/1000</f>
        <v>-0.017</v>
      </c>
      <c r="J49" s="16" t="n">
        <f aca="false">+Chạy!K250</f>
        <v>0.46</v>
      </c>
      <c r="K49" s="16" t="n">
        <f aca="false">J49+L49</f>
        <v>0.447</v>
      </c>
      <c r="L49" s="16" t="n">
        <f aca="false">RANDBETWEEN(-30,90)/1000</f>
        <v>-0.013</v>
      </c>
      <c r="M49" s="16" t="n">
        <f aca="false">+Chạy!N250</f>
        <v>14.2</v>
      </c>
      <c r="N49" s="16" t="n">
        <f aca="false">+M49+O49</f>
        <v>14.1961</v>
      </c>
      <c r="O49" s="16" t="n">
        <f aca="false">RANDBETWEEN(-105,115)/10000</f>
        <v>-0.0039</v>
      </c>
      <c r="P49" s="16" t="n">
        <f aca="false">+Chạy!O250</f>
        <v>0.34</v>
      </c>
      <c r="Q49" s="16" t="n">
        <f aca="false">P49+R49</f>
        <v>0.331</v>
      </c>
      <c r="R49" s="16" t="n">
        <f aca="false">RANDBETWEEN(-30,90)/1000</f>
        <v>-0.009</v>
      </c>
      <c r="S49" s="17"/>
      <c r="T49" s="1" t="n">
        <v>11.75</v>
      </c>
      <c r="W49" s="102"/>
      <c r="X49" s="103"/>
    </row>
    <row r="50" customFormat="false" ht="15" hidden="false" customHeight="false" outlineLevel="0" collapsed="false">
      <c r="A50" s="13" t="n">
        <v>29</v>
      </c>
      <c r="B50" s="13" t="s">
        <v>44</v>
      </c>
      <c r="C50" s="15" t="n">
        <f aca="false">+C49+T49</f>
        <v>620.86</v>
      </c>
      <c r="D50" s="16" t="n">
        <f aca="false">+Chạy!F259</f>
        <v>-10.01</v>
      </c>
      <c r="E50" s="16" t="n">
        <f aca="false">+D50+F50</f>
        <v>-10.0157</v>
      </c>
      <c r="F50" s="16" t="n">
        <f aca="false">RANDBETWEEN(-105,115)/10000</f>
        <v>-0.0057</v>
      </c>
      <c r="G50" s="16" t="n">
        <f aca="false">+Chạy!G259</f>
        <v>0.34</v>
      </c>
      <c r="H50" s="16" t="n">
        <f aca="false">G50+I50</f>
        <v>0.344</v>
      </c>
      <c r="I50" s="16" t="n">
        <f aca="false">RANDBETWEEN(-30,90)/1000</f>
        <v>0.004</v>
      </c>
      <c r="J50" s="16" t="n">
        <f aca="false">+Chạy!K259</f>
        <v>0.46</v>
      </c>
      <c r="K50" s="16" t="n">
        <f aca="false">J50+L50</f>
        <v>0.434</v>
      </c>
      <c r="L50" s="16" t="n">
        <f aca="false">RANDBETWEEN(-30,90)/1000</f>
        <v>-0.026</v>
      </c>
      <c r="M50" s="16" t="n">
        <f aca="false">+Chạy!N259</f>
        <v>14.2</v>
      </c>
      <c r="N50" s="16" t="n">
        <f aca="false">+M50+O50</f>
        <v>14.1904</v>
      </c>
      <c r="O50" s="16" t="n">
        <f aca="false">RANDBETWEEN(-105,115)/10000</f>
        <v>-0.0096</v>
      </c>
      <c r="P50" s="16" t="n">
        <f aca="false">+Chạy!O259</f>
        <v>0.34</v>
      </c>
      <c r="Q50" s="16" t="n">
        <f aca="false">P50+R50</f>
        <v>0.375</v>
      </c>
      <c r="R50" s="16" t="n">
        <f aca="false">RANDBETWEEN(-30,90)/1000</f>
        <v>0.035</v>
      </c>
      <c r="S50" s="17"/>
      <c r="T50" s="1" t="n">
        <v>11.75</v>
      </c>
      <c r="W50" s="102"/>
      <c r="X50" s="103"/>
    </row>
    <row r="51" customFormat="false" ht="15" hidden="false" customHeight="false" outlineLevel="0" collapsed="false">
      <c r="A51" s="13" t="n">
        <v>30</v>
      </c>
      <c r="B51" s="13" t="s">
        <v>45</v>
      </c>
      <c r="C51" s="15" t="n">
        <f aca="false">+C50+T50</f>
        <v>632.61</v>
      </c>
      <c r="D51" s="16" t="n">
        <f aca="false">+Chạy!F268</f>
        <v>-14.2</v>
      </c>
      <c r="E51" s="16" t="n">
        <f aca="false">+D51+F51</f>
        <v>-14.2017</v>
      </c>
      <c r="F51" s="16" t="n">
        <f aca="false">RANDBETWEEN(-105,115)/10000</f>
        <v>-0.0017</v>
      </c>
      <c r="G51" s="16" t="n">
        <f aca="false">+Chạy!G268</f>
        <v>0.34</v>
      </c>
      <c r="H51" s="16" t="n">
        <f aca="false">G51+I51</f>
        <v>0.372</v>
      </c>
      <c r="I51" s="16" t="n">
        <f aca="false">RANDBETWEEN(-30,90)/1000</f>
        <v>0.032</v>
      </c>
      <c r="J51" s="16" t="n">
        <f aca="false">+Chạy!K268</f>
        <v>0.46</v>
      </c>
      <c r="K51" s="16" t="n">
        <f aca="false">J51+L51</f>
        <v>0.548</v>
      </c>
      <c r="L51" s="16" t="n">
        <f aca="false">RANDBETWEEN(-30,90)/1000</f>
        <v>0.088</v>
      </c>
      <c r="M51" s="16" t="n">
        <f aca="false">+Chạy!N268</f>
        <v>14.2</v>
      </c>
      <c r="N51" s="16" t="n">
        <f aca="false">+M51+O51</f>
        <v>14.2051</v>
      </c>
      <c r="O51" s="16" t="n">
        <f aca="false">RANDBETWEEN(-105,115)/10000</f>
        <v>0.0051</v>
      </c>
      <c r="P51" s="16" t="n">
        <f aca="false">+Chạy!O268</f>
        <v>0.34</v>
      </c>
      <c r="Q51" s="16" t="n">
        <f aca="false">P51+R51</f>
        <v>0.404</v>
      </c>
      <c r="R51" s="16" t="n">
        <f aca="false">RANDBETWEEN(-30,90)/1000</f>
        <v>0.064</v>
      </c>
      <c r="S51" s="17"/>
      <c r="T51" s="1" t="n">
        <v>20</v>
      </c>
      <c r="W51" s="102"/>
      <c r="X51" s="103"/>
    </row>
    <row r="52" customFormat="false" ht="15" hidden="false" customHeight="false" outlineLevel="0" collapsed="false">
      <c r="A52" s="13" t="n">
        <v>31</v>
      </c>
      <c r="B52" s="13" t="s">
        <v>46</v>
      </c>
      <c r="C52" s="15" t="n">
        <f aca="false">+C51+T51</f>
        <v>652.61</v>
      </c>
      <c r="D52" s="16" t="n">
        <f aca="false">+Chạy!F277</f>
        <v>-14.2</v>
      </c>
      <c r="E52" s="16" t="n">
        <f aca="false">+D52+F52</f>
        <v>-14.1908</v>
      </c>
      <c r="F52" s="16" t="n">
        <f aca="false">RANDBETWEEN(-105,115)/10000</f>
        <v>0.0092</v>
      </c>
      <c r="G52" s="16" t="n">
        <f aca="false">+Chạy!G277</f>
        <v>0.35</v>
      </c>
      <c r="H52" s="16" t="n">
        <f aca="false">G52+I52</f>
        <v>0.346</v>
      </c>
      <c r="I52" s="16" t="n">
        <f aca="false">RANDBETWEEN(-30,90)/1000</f>
        <v>-0.004</v>
      </c>
      <c r="J52" s="16" t="n">
        <f aca="false">+Chạy!K277</f>
        <v>0.46</v>
      </c>
      <c r="K52" s="16" t="n">
        <f aca="false">J52+L52</f>
        <v>0.529</v>
      </c>
      <c r="L52" s="16" t="n">
        <f aca="false">RANDBETWEEN(-30,90)/1000</f>
        <v>0.069</v>
      </c>
      <c r="M52" s="16" t="n">
        <f aca="false">+Chạy!N277</f>
        <v>14.2</v>
      </c>
      <c r="N52" s="16" t="n">
        <f aca="false">+M52+O52</f>
        <v>14.1925</v>
      </c>
      <c r="O52" s="16" t="n">
        <f aca="false">RANDBETWEEN(-105,115)/10000</f>
        <v>-0.0075</v>
      </c>
      <c r="P52" s="16" t="n">
        <f aca="false">+Chạy!O277</f>
        <v>0.35</v>
      </c>
      <c r="Q52" s="16" t="n">
        <f aca="false">P52+R52</f>
        <v>0.424</v>
      </c>
      <c r="R52" s="16" t="n">
        <f aca="false">RANDBETWEEN(-30,90)/1000</f>
        <v>0.074</v>
      </c>
      <c r="S52" s="17"/>
      <c r="T52" s="1" t="n">
        <v>20</v>
      </c>
      <c r="W52" s="102"/>
      <c r="X52" s="103"/>
    </row>
    <row r="53" customFormat="false" ht="15" hidden="false" customHeight="false" outlineLevel="0" collapsed="false">
      <c r="A53" s="13" t="n">
        <v>32</v>
      </c>
      <c r="B53" s="13" t="s">
        <v>47</v>
      </c>
      <c r="C53" s="15" t="n">
        <f aca="false">+C52+T52</f>
        <v>672.61</v>
      </c>
      <c r="D53" s="16" t="n">
        <f aca="false">+Chạy!F286</f>
        <v>-14.2</v>
      </c>
      <c r="E53" s="16" t="n">
        <f aca="false">+D53+F53</f>
        <v>-14.2039</v>
      </c>
      <c r="F53" s="16" t="n">
        <f aca="false">RANDBETWEEN(-105,115)/10000</f>
        <v>-0.0039</v>
      </c>
      <c r="G53" s="16" t="n">
        <f aca="false">+Chạy!G286</f>
        <v>0.35</v>
      </c>
      <c r="H53" s="16" t="n">
        <f aca="false">G53+I53</f>
        <v>0.369</v>
      </c>
      <c r="I53" s="16" t="n">
        <f aca="false">RANDBETWEEN(-30,90)/1000</f>
        <v>0.019</v>
      </c>
      <c r="J53" s="16" t="n">
        <f aca="false">+Chạy!K286</f>
        <v>0.46</v>
      </c>
      <c r="K53" s="16" t="n">
        <f aca="false">J53+L53</f>
        <v>0.522</v>
      </c>
      <c r="L53" s="16" t="n">
        <f aca="false">RANDBETWEEN(-30,90)/1000</f>
        <v>0.062</v>
      </c>
      <c r="M53" s="16" t="n">
        <f aca="false">+Chạy!N286</f>
        <v>14.2</v>
      </c>
      <c r="N53" s="16" t="n">
        <f aca="false">+M53+O53</f>
        <v>14.1941</v>
      </c>
      <c r="O53" s="16" t="n">
        <f aca="false">RANDBETWEEN(-105,115)/10000</f>
        <v>-0.0059</v>
      </c>
      <c r="P53" s="16" t="n">
        <f aca="false">+Chạy!O286</f>
        <v>0.35</v>
      </c>
      <c r="Q53" s="16" t="n">
        <f aca="false">P53+R53</f>
        <v>0.36</v>
      </c>
      <c r="R53" s="16" t="n">
        <f aca="false">RANDBETWEEN(-30,90)/1000</f>
        <v>0.01</v>
      </c>
      <c r="S53" s="17"/>
      <c r="T53" s="1" t="n">
        <v>20</v>
      </c>
      <c r="W53" s="102"/>
      <c r="X53" s="103"/>
    </row>
    <row r="54" customFormat="false" ht="15" hidden="false" customHeight="false" outlineLevel="0" collapsed="false">
      <c r="A54" s="13" t="n">
        <v>33</v>
      </c>
      <c r="B54" s="13" t="s">
        <v>48</v>
      </c>
      <c r="C54" s="15" t="n">
        <f aca="false">+C53+T53</f>
        <v>692.61</v>
      </c>
      <c r="D54" s="16" t="n">
        <f aca="false">+Chạy!F295</f>
        <v>-14.2</v>
      </c>
      <c r="E54" s="16" t="n">
        <f aca="false">+D54+F54</f>
        <v>-14.1943</v>
      </c>
      <c r="F54" s="16" t="n">
        <f aca="false">RANDBETWEEN(-105,115)/10000</f>
        <v>0.0057</v>
      </c>
      <c r="G54" s="16" t="n">
        <f aca="false">+Chạy!G295</f>
        <v>0.35</v>
      </c>
      <c r="H54" s="16" t="n">
        <f aca="false">G54+I54</f>
        <v>0.402</v>
      </c>
      <c r="I54" s="16" t="n">
        <f aca="false">RANDBETWEEN(-30,90)/1000</f>
        <v>0.052</v>
      </c>
      <c r="J54" s="16" t="n">
        <f aca="false">+Chạy!K295</f>
        <v>0.47</v>
      </c>
      <c r="K54" s="16" t="n">
        <f aca="false">J54+L54</f>
        <v>0.484</v>
      </c>
      <c r="L54" s="16" t="n">
        <f aca="false">RANDBETWEEN(-30,90)/1000</f>
        <v>0.014</v>
      </c>
      <c r="M54" s="16" t="n">
        <f aca="false">+Chạy!N295</f>
        <v>14.2</v>
      </c>
      <c r="N54" s="16" t="n">
        <f aca="false">+M54+O54</f>
        <v>14.1952</v>
      </c>
      <c r="O54" s="16" t="n">
        <f aca="false">RANDBETWEEN(-105,115)/10000</f>
        <v>-0.0048</v>
      </c>
      <c r="P54" s="16" t="n">
        <f aca="false">+Chạy!O295</f>
        <v>0.35</v>
      </c>
      <c r="Q54" s="16" t="n">
        <f aca="false">P54+R54</f>
        <v>0.34</v>
      </c>
      <c r="R54" s="16" t="n">
        <f aca="false">RANDBETWEEN(-30,90)/1000</f>
        <v>-0.01</v>
      </c>
      <c r="S54" s="17"/>
      <c r="T54" s="1" t="n">
        <v>20</v>
      </c>
      <c r="W54" s="102"/>
      <c r="X54" s="103"/>
    </row>
    <row r="55" customFormat="false" ht="15" hidden="false" customHeight="false" outlineLevel="0" collapsed="false">
      <c r="A55" s="13" t="n">
        <v>34</v>
      </c>
      <c r="B55" s="13" t="s">
        <v>49</v>
      </c>
      <c r="C55" s="15" t="n">
        <f aca="false">+C54+T54</f>
        <v>712.61</v>
      </c>
      <c r="D55" s="16" t="n">
        <f aca="false">+Chạy!F304</f>
        <v>-7.05</v>
      </c>
      <c r="E55" s="16" t="n">
        <f aca="false">+D55+F55</f>
        <v>-7.0458</v>
      </c>
      <c r="F55" s="16" t="n">
        <f aca="false">RANDBETWEEN(-105,115)/10000</f>
        <v>0.0042</v>
      </c>
      <c r="G55" s="16" t="n">
        <f aca="false">+Chạy!G304</f>
        <v>0.35</v>
      </c>
      <c r="H55" s="16" t="n">
        <f aca="false">G55+I55</f>
        <v>0.375</v>
      </c>
      <c r="I55" s="16" t="n">
        <f aca="false">RANDBETWEEN(-30,90)/1000</f>
        <v>0.025</v>
      </c>
      <c r="J55" s="16" t="n">
        <f aca="false">+Chạy!K304</f>
        <v>0.47</v>
      </c>
      <c r="K55" s="16" t="n">
        <f aca="false">J55+L55</f>
        <v>0.44</v>
      </c>
      <c r="L55" s="16" t="n">
        <f aca="false">RANDBETWEEN(-30,90)/1000</f>
        <v>-0.03</v>
      </c>
      <c r="M55" s="16" t="n">
        <f aca="false">+Chạy!N304</f>
        <v>14.2</v>
      </c>
      <c r="N55" s="16" t="n">
        <f aca="false">+M55+O55</f>
        <v>14.2054</v>
      </c>
      <c r="O55" s="16" t="n">
        <f aca="false">RANDBETWEEN(-105,115)/10000</f>
        <v>0.0054</v>
      </c>
      <c r="P55" s="16" t="n">
        <f aca="false">+Chạy!O304</f>
        <v>0.35</v>
      </c>
      <c r="Q55" s="16" t="n">
        <f aca="false">P55+R55</f>
        <v>0.365</v>
      </c>
      <c r="R55" s="16" t="n">
        <f aca="false">RANDBETWEEN(-30,90)/1000</f>
        <v>0.015</v>
      </c>
      <c r="S55" s="17"/>
      <c r="T55" s="1" t="n">
        <v>11.5</v>
      </c>
      <c r="W55" s="102"/>
      <c r="X55" s="103"/>
    </row>
    <row r="56" customFormat="false" ht="15" hidden="false" customHeight="false" outlineLevel="0" collapsed="false">
      <c r="A56" s="13" t="n">
        <v>35</v>
      </c>
      <c r="B56" s="13" t="s">
        <v>50</v>
      </c>
      <c r="C56" s="15" t="n">
        <f aca="false">+C55+T55</f>
        <v>724.11</v>
      </c>
      <c r="D56" s="16" t="n">
        <f aca="false">+Chạy!F313</f>
        <v>-14.2</v>
      </c>
      <c r="E56" s="16" t="n">
        <f aca="false">+D56+F56</f>
        <v>-14.2002</v>
      </c>
      <c r="F56" s="16" t="n">
        <f aca="false">RANDBETWEEN(-105,115)/10000</f>
        <v>-0.0002</v>
      </c>
      <c r="G56" s="16" t="n">
        <f aca="false">+Chạy!G313</f>
        <v>0.35</v>
      </c>
      <c r="H56" s="16" t="n">
        <f aca="false">G56+I56</f>
        <v>0.418</v>
      </c>
      <c r="I56" s="16" t="n">
        <f aca="false">RANDBETWEEN(-30,90)/1000</f>
        <v>0.068</v>
      </c>
      <c r="J56" s="16" t="n">
        <f aca="false">+Chạy!K313</f>
        <v>0.47</v>
      </c>
      <c r="K56" s="16" t="n">
        <f aca="false">J56+L56</f>
        <v>0.517</v>
      </c>
      <c r="L56" s="16" t="n">
        <f aca="false">RANDBETWEEN(-30,90)/1000</f>
        <v>0.047</v>
      </c>
      <c r="M56" s="16" t="n">
        <f aca="false">+Chạy!N313</f>
        <v>13.04</v>
      </c>
      <c r="N56" s="16" t="n">
        <f aca="false">+M56+O56</f>
        <v>13.0513</v>
      </c>
      <c r="O56" s="16" t="n">
        <f aca="false">RANDBETWEEN(-105,115)/10000</f>
        <v>0.0113</v>
      </c>
      <c r="P56" s="16" t="n">
        <f aca="false">+Chạy!O313</f>
        <v>0.35</v>
      </c>
      <c r="Q56" s="16" t="n">
        <f aca="false">P56+R56</f>
        <v>0.388</v>
      </c>
      <c r="R56" s="16" t="n">
        <f aca="false">RANDBETWEEN(-30,90)/1000</f>
        <v>0.038</v>
      </c>
      <c r="S56" s="17"/>
      <c r="T56" s="1" t="n">
        <v>13.25</v>
      </c>
      <c r="W56" s="102"/>
      <c r="X56" s="103"/>
    </row>
    <row r="57" customFormat="false" ht="15" hidden="false" customHeight="false" outlineLevel="0" collapsed="false">
      <c r="A57" s="13" t="n">
        <v>36</v>
      </c>
      <c r="B57" s="13" t="s">
        <v>51</v>
      </c>
      <c r="C57" s="15" t="n">
        <f aca="false">+C56+T56</f>
        <v>737.36</v>
      </c>
      <c r="D57" s="16" t="n">
        <f aca="false">+Chạy!F322</f>
        <v>-14.2</v>
      </c>
      <c r="E57" s="16" t="n">
        <f aca="false">+D57+F57</f>
        <v>-14.2057</v>
      </c>
      <c r="F57" s="16" t="n">
        <f aca="false">RANDBETWEEN(-105,115)/10000</f>
        <v>-0.0057</v>
      </c>
      <c r="G57" s="16" t="n">
        <f aca="false">+Chạy!G322</f>
        <v>0.36</v>
      </c>
      <c r="H57" s="16" t="n">
        <f aca="false">G57+I57</f>
        <v>0.337</v>
      </c>
      <c r="I57" s="16" t="n">
        <f aca="false">RANDBETWEEN(-30,90)/1000</f>
        <v>-0.023</v>
      </c>
      <c r="J57" s="16" t="n">
        <f aca="false">+Chạy!K322</f>
        <v>0.47</v>
      </c>
      <c r="K57" s="16" t="n">
        <f aca="false">J57+L57</f>
        <v>0.531</v>
      </c>
      <c r="L57" s="16" t="n">
        <f aca="false">RANDBETWEEN(-30,90)/1000</f>
        <v>0.061</v>
      </c>
      <c r="M57" s="16" t="n">
        <f aca="false">+Chạy!N322</f>
        <v>14.2</v>
      </c>
      <c r="N57" s="16" t="n">
        <f aca="false">+M57+O57</f>
        <v>14.1965</v>
      </c>
      <c r="O57" s="16" t="n">
        <f aca="false">RANDBETWEEN(-105,115)/10000</f>
        <v>-0.0035</v>
      </c>
      <c r="P57" s="16" t="n">
        <f aca="false">+Chạy!O322</f>
        <v>0.36</v>
      </c>
      <c r="Q57" s="16" t="n">
        <f aca="false">P57+R57</f>
        <v>0.363</v>
      </c>
      <c r="R57" s="16" t="n">
        <f aca="false">RANDBETWEEN(-30,90)/1000</f>
        <v>0.003</v>
      </c>
      <c r="S57" s="17"/>
      <c r="W57" s="102"/>
      <c r="X57" s="103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3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3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3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3"/>
    </row>
    <row r="63" customFormat="false" ht="15" hidden="false" customHeight="false" outlineLevel="0" collapsed="false">
      <c r="C63" s="19" t="s">
        <v>74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75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76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77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91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57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3.75" hidden="false" customHeight="true" outlineLevel="0" collapsed="false">
      <c r="A7" s="33" t="s">
        <v>58</v>
      </c>
      <c r="B7" s="34"/>
      <c r="D7" s="35" t="s">
        <v>92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105" customFormat="true" ht="22.5" hidden="false" customHeight="true" outlineLevel="0" collapsed="false">
      <c r="A9" s="37" t="s">
        <v>0</v>
      </c>
      <c r="B9" s="37" t="s">
        <v>62</v>
      </c>
      <c r="C9" s="37" t="s">
        <v>63</v>
      </c>
      <c r="D9" s="38" t="s">
        <v>79</v>
      </c>
      <c r="E9" s="39"/>
      <c r="F9" s="39"/>
      <c r="G9" s="38"/>
      <c r="H9" s="39"/>
      <c r="I9" s="39"/>
      <c r="J9" s="39"/>
      <c r="K9" s="39"/>
      <c r="L9" s="39"/>
      <c r="M9" s="40" t="s">
        <v>80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67</v>
      </c>
      <c r="AC9" s="104"/>
    </row>
    <row r="10" s="84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81</v>
      </c>
      <c r="O10" s="40" t="s">
        <v>82</v>
      </c>
      <c r="P10" s="40" t="s">
        <v>81</v>
      </c>
      <c r="Q10" s="40" t="s">
        <v>81</v>
      </c>
      <c r="R10" s="40"/>
      <c r="S10" s="40"/>
      <c r="T10" s="40"/>
      <c r="U10" s="40" t="s">
        <v>83</v>
      </c>
      <c r="V10" s="40" t="s">
        <v>83</v>
      </c>
      <c r="W10" s="40" t="s">
        <v>84</v>
      </c>
      <c r="X10" s="40" t="s">
        <v>83</v>
      </c>
      <c r="Y10" s="40" t="s">
        <v>83</v>
      </c>
      <c r="Z10" s="45"/>
      <c r="AA10" s="45"/>
      <c r="AB10" s="38"/>
      <c r="AC10" s="106"/>
      <c r="AD10" s="107"/>
    </row>
    <row r="11" s="84" customFormat="true" ht="15" hidden="false" customHeight="true" outlineLevel="0" collapsed="false">
      <c r="A11" s="13" t="n">
        <v>1</v>
      </c>
      <c r="B11" s="13" t="str">
        <f aca="false">'4.KTHH L4'!B22</f>
        <v>B4</v>
      </c>
      <c r="C11" s="51" t="n">
        <f aca="false">'4.KTHH L4'!C22</f>
        <v>211</v>
      </c>
      <c r="D11" s="13" t="n">
        <f aca="false">'4.KTHH L4'!T22</f>
        <v>13.25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Chạy!E7</f>
        <v>6.91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89.04</v>
      </c>
      <c r="X11" s="55"/>
      <c r="Y11" s="55"/>
      <c r="Z11" s="55"/>
      <c r="AA11" s="55"/>
      <c r="AB11" s="56"/>
      <c r="AC11" s="55"/>
    </row>
    <row r="12" s="84" customFormat="true" ht="15" hidden="false" customHeight="true" outlineLevel="0" collapsed="false">
      <c r="A12" s="13" t="n">
        <v>2</v>
      </c>
      <c r="B12" s="13" t="str">
        <f aca="false">'4.KTHH L4'!B23</f>
        <v>12</v>
      </c>
      <c r="C12" s="51" t="n">
        <f aca="false">'4.KTHH L4'!C23</f>
        <v>224.25</v>
      </c>
      <c r="D12" s="13" t="n">
        <f aca="false">'4.KTHH L4'!T23</f>
        <v>21.5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Chạy!E16</f>
        <v>6.53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130.1825</v>
      </c>
      <c r="X12" s="55"/>
      <c r="Y12" s="55"/>
      <c r="Z12" s="55"/>
      <c r="AA12" s="55"/>
      <c r="AB12" s="56"/>
      <c r="AC12" s="55"/>
    </row>
    <row r="13" s="84" customFormat="true" ht="15" hidden="false" customHeight="true" outlineLevel="0" collapsed="false">
      <c r="A13" s="13" t="n">
        <v>3</v>
      </c>
      <c r="B13" s="13" t="str">
        <f aca="false">'4.KTHH L4'!B24</f>
        <v>13</v>
      </c>
      <c r="C13" s="51" t="n">
        <f aca="false">'4.KTHH L4'!C24</f>
        <v>245.75</v>
      </c>
      <c r="D13" s="13" t="n">
        <f aca="false">'4.KTHH L4'!T24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Chạy!E25</f>
        <v>5.58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57.6925</v>
      </c>
      <c r="X13" s="55"/>
      <c r="Y13" s="55"/>
      <c r="Z13" s="55"/>
      <c r="AA13" s="55"/>
      <c r="AB13" s="56"/>
      <c r="AC13" s="55"/>
    </row>
    <row r="14" s="84" customFormat="true" ht="15" hidden="false" customHeight="true" outlineLevel="0" collapsed="false">
      <c r="A14" s="13" t="n">
        <v>4</v>
      </c>
      <c r="B14" s="13" t="str">
        <f aca="false">'4.KTHH L4'!B25</f>
        <v>B5</v>
      </c>
      <c r="C14" s="51" t="n">
        <f aca="false">'4.KTHH L4'!C25</f>
        <v>257.5</v>
      </c>
      <c r="D14" s="13" t="n">
        <f aca="false">'4.KTHH L4'!T25</f>
        <v>11.75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Chạy!E34</f>
        <v>4.24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49.76125</v>
      </c>
      <c r="X14" s="55"/>
      <c r="Y14" s="55"/>
      <c r="Z14" s="55"/>
      <c r="AA14" s="55"/>
      <c r="AB14" s="56"/>
      <c r="AC14" s="55"/>
    </row>
    <row r="15" s="84" customFormat="true" ht="15" hidden="false" customHeight="true" outlineLevel="0" collapsed="false">
      <c r="A15" s="13" t="n">
        <v>5</v>
      </c>
      <c r="B15" s="13" t="str">
        <f aca="false">'4.KTHH L4'!B26</f>
        <v>14</v>
      </c>
      <c r="C15" s="51" t="n">
        <f aca="false">'4.KTHH L4'!C26</f>
        <v>269.25</v>
      </c>
      <c r="D15" s="13" t="n">
        <f aca="false">'4.KTHH L4'!T26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Chạy!E43</f>
        <v>4.23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84.6</v>
      </c>
      <c r="X15" s="55"/>
      <c r="Y15" s="55"/>
      <c r="Z15" s="55"/>
      <c r="AA15" s="55"/>
      <c r="AB15" s="56"/>
      <c r="AC15" s="55"/>
    </row>
    <row r="16" s="84" customFormat="true" ht="15" hidden="false" customHeight="true" outlineLevel="0" collapsed="false">
      <c r="A16" s="13" t="n">
        <v>6</v>
      </c>
      <c r="B16" s="13" t="str">
        <f aca="false">'4.KTHH L4'!B27</f>
        <v>15</v>
      </c>
      <c r="C16" s="51" t="n">
        <f aca="false">'4.KTHH L4'!C27</f>
        <v>289.25</v>
      </c>
      <c r="D16" s="13" t="n">
        <f aca="false">'4.KTHH L4'!T27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Chạy!E52</f>
        <v>4.23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84.5</v>
      </c>
      <c r="X16" s="55"/>
      <c r="Y16" s="55"/>
      <c r="Z16" s="55"/>
      <c r="AA16" s="55"/>
      <c r="AB16" s="56"/>
      <c r="AC16" s="55"/>
    </row>
    <row r="17" s="84" customFormat="true" ht="15" hidden="false" customHeight="true" outlineLevel="0" collapsed="false">
      <c r="A17" s="13" t="n">
        <v>7</v>
      </c>
      <c r="B17" s="13" t="str">
        <f aca="false">'4.KTHH L4'!B28</f>
        <v>16</v>
      </c>
      <c r="C17" s="51" t="n">
        <f aca="false">'4.KTHH L4'!C28</f>
        <v>309.25</v>
      </c>
      <c r="D17" s="13" t="n">
        <f aca="false">'4.KTHH L4'!T28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Chạy!E61</f>
        <v>4.22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84.3</v>
      </c>
      <c r="X17" s="55"/>
      <c r="Y17" s="55"/>
      <c r="Z17" s="55"/>
      <c r="AA17" s="55"/>
      <c r="AB17" s="56"/>
      <c r="AC17" s="55"/>
    </row>
    <row r="18" s="84" customFormat="true" ht="15" hidden="false" customHeight="true" outlineLevel="0" collapsed="false">
      <c r="A18" s="13" t="n">
        <v>8</v>
      </c>
      <c r="B18" s="13" t="str">
        <f aca="false">'4.KTHH L4'!B29</f>
        <v>17</v>
      </c>
      <c r="C18" s="51" t="n">
        <f aca="false">'4.KTHH L4'!C29</f>
        <v>329.25</v>
      </c>
      <c r="D18" s="13" t="n">
        <f aca="false">'4.KTHH L4'!T29</f>
        <v>20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Chạy!E70</f>
        <v>4.21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90.1</v>
      </c>
      <c r="X18" s="55"/>
      <c r="Y18" s="55"/>
      <c r="Z18" s="55"/>
      <c r="AA18" s="55"/>
      <c r="AB18" s="56"/>
      <c r="AC18" s="55"/>
    </row>
    <row r="19" s="84" customFormat="true" ht="15" hidden="false" customHeight="true" outlineLevel="0" collapsed="false">
      <c r="A19" s="13" t="n">
        <v>9</v>
      </c>
      <c r="B19" s="13" t="str">
        <f aca="false">'4.KTHH L4'!B30</f>
        <v>18</v>
      </c>
      <c r="C19" s="51" t="n">
        <f aca="false">'4.KTHH L4'!C30</f>
        <v>349.25</v>
      </c>
      <c r="D19" s="13" t="n">
        <f aca="false">'4.KTHH L4'!T30</f>
        <v>19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Chạy!E79</f>
        <v>4.8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106.685</v>
      </c>
      <c r="X19" s="55"/>
      <c r="Y19" s="55"/>
      <c r="Z19" s="55"/>
      <c r="AA19" s="55"/>
      <c r="AB19" s="56"/>
      <c r="AC19" s="55"/>
    </row>
    <row r="20" s="84" customFormat="true" ht="15" hidden="false" customHeight="true" outlineLevel="0" collapsed="false">
      <c r="A20" s="13" t="n">
        <v>10</v>
      </c>
      <c r="B20" s="13" t="str">
        <f aca="false">'4.KTHH L4'!B31</f>
        <v>19</v>
      </c>
      <c r="C20" s="51" t="n">
        <f aca="false">'4.KTHH L4'!C31</f>
        <v>368.25</v>
      </c>
      <c r="D20" s="13" t="n">
        <f aca="false">'4.KTHH L4'!T31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Chạy!E88</f>
        <v>6.43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99.97125</v>
      </c>
      <c r="X20" s="55"/>
      <c r="Y20" s="55"/>
      <c r="Z20" s="55"/>
      <c r="AA20" s="55"/>
      <c r="AB20" s="56"/>
      <c r="AC20" s="55"/>
    </row>
    <row r="21" s="84" customFormat="true" ht="15" hidden="false" customHeight="true" outlineLevel="0" collapsed="false">
      <c r="A21" s="13" t="n">
        <v>11</v>
      </c>
      <c r="B21" s="13" t="str">
        <f aca="false">'4.KTHH L4'!B32</f>
        <v>C2</v>
      </c>
      <c r="C21" s="51" t="n">
        <f aca="false">'4.KTHH L4'!C32</f>
        <v>381.5</v>
      </c>
      <c r="D21" s="13" t="n">
        <f aca="false">'4.KTHH L4'!T32</f>
        <v>13.25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Chạy!E97</f>
        <v>8.66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114.745</v>
      </c>
      <c r="X21" s="55"/>
      <c r="Y21" s="55"/>
      <c r="Z21" s="55"/>
      <c r="AA21" s="55"/>
      <c r="AB21" s="56"/>
      <c r="AC21" s="55"/>
    </row>
    <row r="22" s="84" customFormat="true" ht="15" hidden="false" customHeight="true" outlineLevel="0" collapsed="false">
      <c r="A22" s="13" t="n">
        <v>12</v>
      </c>
      <c r="B22" s="13" t="str">
        <f aca="false">'4.KTHH L4'!B33</f>
        <v>20</v>
      </c>
      <c r="C22" s="51" t="n">
        <f aca="false">'4.KTHH L4'!C33</f>
        <v>394.75</v>
      </c>
      <c r="D22" s="13" t="n">
        <f aca="false">'4.KTHH L4'!T33</f>
        <v>20</v>
      </c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Chạy!E106</f>
        <v>8.66</v>
      </c>
      <c r="P22" s="53"/>
      <c r="Q22" s="53"/>
      <c r="R22" s="55"/>
      <c r="S22" s="55"/>
      <c r="T22" s="55"/>
      <c r="U22" s="55"/>
      <c r="V22" s="55"/>
      <c r="W22" s="55" t="n">
        <f aca="false">(O22+O23)*D22/2</f>
        <v>173.2</v>
      </c>
      <c r="X22" s="55"/>
      <c r="Y22" s="55"/>
      <c r="Z22" s="55"/>
      <c r="AA22" s="55"/>
      <c r="AB22" s="56"/>
      <c r="AC22" s="55"/>
    </row>
    <row r="23" s="84" customFormat="true" ht="15" hidden="false" customHeight="true" outlineLevel="0" collapsed="false">
      <c r="A23" s="13" t="n">
        <v>13</v>
      </c>
      <c r="B23" s="13" t="str">
        <f aca="false">'4.KTHH L4'!B34</f>
        <v>21</v>
      </c>
      <c r="C23" s="51" t="n">
        <f aca="false">'4.KTHH L4'!C34</f>
        <v>414.75</v>
      </c>
      <c r="D23" s="13" t="n">
        <f aca="false">'4.KTHH L4'!T34</f>
        <v>20</v>
      </c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 t="n">
        <f aca="false">Chạy!E115</f>
        <v>8.66</v>
      </c>
      <c r="P23" s="53"/>
      <c r="Q23" s="53"/>
      <c r="R23" s="55"/>
      <c r="S23" s="55"/>
      <c r="T23" s="55"/>
      <c r="U23" s="55"/>
      <c r="V23" s="55"/>
      <c r="W23" s="55" t="n">
        <f aca="false">(O23+O24)*D23/2</f>
        <v>173.2</v>
      </c>
      <c r="X23" s="55"/>
      <c r="Y23" s="55"/>
      <c r="Z23" s="55"/>
      <c r="AA23" s="55"/>
      <c r="AB23" s="56"/>
      <c r="AC23" s="55"/>
    </row>
    <row r="24" s="84" customFormat="true" ht="15" hidden="false" customHeight="true" outlineLevel="0" collapsed="false">
      <c r="A24" s="13" t="n">
        <v>14</v>
      </c>
      <c r="B24" s="13" t="str">
        <f aca="false">'4.KTHH L4'!B35</f>
        <v>22</v>
      </c>
      <c r="C24" s="51" t="n">
        <f aca="false">'4.KTHH L4'!C35</f>
        <v>434.75</v>
      </c>
      <c r="D24" s="13" t="n">
        <f aca="false">'4.KTHH L4'!T35</f>
        <v>20</v>
      </c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 t="n">
        <f aca="false">Chạy!E124</f>
        <v>8.66</v>
      </c>
      <c r="P24" s="53"/>
      <c r="Q24" s="53"/>
      <c r="R24" s="55"/>
      <c r="S24" s="55"/>
      <c r="T24" s="55"/>
      <c r="U24" s="55"/>
      <c r="V24" s="55"/>
      <c r="W24" s="55" t="n">
        <f aca="false">(O24+O25)*D24/2</f>
        <v>162.9</v>
      </c>
      <c r="X24" s="55"/>
      <c r="Y24" s="55"/>
      <c r="Z24" s="55"/>
      <c r="AA24" s="55"/>
      <c r="AB24" s="56"/>
      <c r="AC24" s="55"/>
    </row>
    <row r="25" s="84" customFormat="true" ht="15" hidden="false" customHeight="true" outlineLevel="0" collapsed="false">
      <c r="A25" s="13" t="n">
        <v>15</v>
      </c>
      <c r="B25" s="13" t="str">
        <f aca="false">'4.KTHH L4'!B36</f>
        <v>23</v>
      </c>
      <c r="C25" s="51" t="n">
        <f aca="false">'4.KTHH L4'!C36</f>
        <v>454.75</v>
      </c>
      <c r="D25" s="13" t="n">
        <f aca="false">'4.KTHH L4'!T36</f>
        <v>20</v>
      </c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 t="n">
        <f aca="false">Chạy!E133</f>
        <v>7.63</v>
      </c>
      <c r="P25" s="53"/>
      <c r="Q25" s="53"/>
      <c r="R25" s="55"/>
      <c r="S25" s="55"/>
      <c r="T25" s="55"/>
      <c r="U25" s="55"/>
      <c r="V25" s="55"/>
      <c r="W25" s="55" t="n">
        <f aca="false">(O25+O26)*D25/2</f>
        <v>162.9</v>
      </c>
      <c r="X25" s="55"/>
      <c r="Y25" s="55"/>
      <c r="Z25" s="55"/>
      <c r="AA25" s="55"/>
      <c r="AB25" s="56"/>
      <c r="AC25" s="55"/>
    </row>
    <row r="26" s="84" customFormat="true" ht="15" hidden="false" customHeight="true" outlineLevel="0" collapsed="false">
      <c r="A26" s="13" t="n">
        <v>16</v>
      </c>
      <c r="B26" s="13" t="str">
        <f aca="false">'4.KTHH L4'!B37</f>
        <v>24</v>
      </c>
      <c r="C26" s="51" t="n">
        <f aca="false">'4.KTHH L4'!C37</f>
        <v>474.75</v>
      </c>
      <c r="D26" s="13" t="n">
        <f aca="false">'4.KTHH L4'!T37</f>
        <v>14.44</v>
      </c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 t="n">
        <f aca="false">Chạy!E142</f>
        <v>8.66</v>
      </c>
      <c r="P26" s="53"/>
      <c r="Q26" s="53"/>
      <c r="R26" s="55"/>
      <c r="S26" s="55"/>
      <c r="T26" s="55"/>
      <c r="U26" s="55"/>
      <c r="V26" s="55"/>
      <c r="W26" s="55" t="n">
        <f aca="false">(O26+O27)*D26/2</f>
        <v>113.9316</v>
      </c>
      <c r="X26" s="55"/>
      <c r="Y26" s="55"/>
      <c r="Z26" s="55"/>
      <c r="AA26" s="55"/>
      <c r="AB26" s="56"/>
      <c r="AC26" s="55"/>
    </row>
    <row r="27" s="84" customFormat="true" ht="15" hidden="false" customHeight="true" outlineLevel="0" collapsed="false">
      <c r="A27" s="13" t="n">
        <v>17</v>
      </c>
      <c r="B27" s="13" t="str">
        <f aca="false">'4.KTHH L4'!B38</f>
        <v>25</v>
      </c>
      <c r="C27" s="51" t="n">
        <f aca="false">'4.KTHH L4'!C38</f>
        <v>489.19</v>
      </c>
      <c r="D27" s="13" t="n">
        <f aca="false">'4.KTHH L4'!T38</f>
        <v>13.17</v>
      </c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 t="n">
        <f aca="false">Chạy!E151</f>
        <v>7.12</v>
      </c>
      <c r="P27" s="53"/>
      <c r="Q27" s="53"/>
      <c r="R27" s="55"/>
      <c r="S27" s="55"/>
      <c r="T27" s="55"/>
      <c r="U27" s="55"/>
      <c r="V27" s="55"/>
      <c r="W27" s="55" t="n">
        <f aca="false">(O27+O28)*D27/2</f>
        <v>103.9113</v>
      </c>
      <c r="X27" s="55"/>
      <c r="Y27" s="55"/>
      <c r="Z27" s="55"/>
      <c r="AA27" s="55"/>
      <c r="AB27" s="56"/>
      <c r="AC27" s="55"/>
    </row>
    <row r="28" s="84" customFormat="true" ht="15" hidden="false" customHeight="true" outlineLevel="0" collapsed="false">
      <c r="A28" s="13" t="n">
        <v>18</v>
      </c>
      <c r="B28" s="13" t="str">
        <f aca="false">'4.KTHH L4'!B39</f>
        <v>D1</v>
      </c>
      <c r="C28" s="51" t="n">
        <f aca="false">'4.KTHH L4'!C39</f>
        <v>502.36</v>
      </c>
      <c r="D28" s="13" t="n">
        <f aca="false">'4.KTHH L4'!T39</f>
        <v>10.48</v>
      </c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 t="n">
        <f aca="false">Chạy!E160</f>
        <v>8.66</v>
      </c>
      <c r="P28" s="53"/>
      <c r="Q28" s="53"/>
      <c r="R28" s="55"/>
      <c r="S28" s="55"/>
      <c r="T28" s="55"/>
      <c r="U28" s="55"/>
      <c r="V28" s="55"/>
      <c r="W28" s="55" t="n">
        <f aca="false">(O28+O29)*D28/2</f>
        <v>90.7568</v>
      </c>
      <c r="X28" s="55"/>
      <c r="Y28" s="55"/>
      <c r="Z28" s="55"/>
      <c r="AA28" s="55"/>
      <c r="AB28" s="56"/>
      <c r="AC28" s="55"/>
    </row>
    <row r="29" s="84" customFormat="true" ht="15" hidden="false" customHeight="true" outlineLevel="0" collapsed="false">
      <c r="A29" s="13" t="n">
        <v>19</v>
      </c>
      <c r="B29" s="13" t="str">
        <f aca="false">'4.KTHH L4'!B40</f>
        <v>26</v>
      </c>
      <c r="C29" s="51" t="n">
        <f aca="false">'4.KTHH L4'!C40</f>
        <v>512.84</v>
      </c>
      <c r="D29" s="13" t="n">
        <f aca="false">'4.KTHH L4'!T40</f>
        <v>16.78</v>
      </c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 t="n">
        <f aca="false">Chạy!E169</f>
        <v>8.66</v>
      </c>
      <c r="P29" s="53"/>
      <c r="Q29" s="53"/>
      <c r="R29" s="55"/>
      <c r="S29" s="55"/>
      <c r="T29" s="55"/>
      <c r="U29" s="55"/>
      <c r="V29" s="55"/>
      <c r="W29" s="55" t="n">
        <f aca="false">(O29+O30)*D29/2</f>
        <v>145.3148</v>
      </c>
      <c r="X29" s="55"/>
      <c r="Y29" s="55"/>
      <c r="Z29" s="55"/>
      <c r="AA29" s="55"/>
      <c r="AB29" s="56"/>
      <c r="AC29" s="55"/>
    </row>
    <row r="30" s="84" customFormat="true" ht="15" hidden="false" customHeight="true" outlineLevel="0" collapsed="false">
      <c r="A30" s="13" t="n">
        <v>20</v>
      </c>
      <c r="B30" s="13" t="str">
        <f aca="false">'4.KTHH L4'!B41</f>
        <v>27</v>
      </c>
      <c r="C30" s="51" t="n">
        <f aca="false">'4.KTHH L4'!C41</f>
        <v>529.62</v>
      </c>
      <c r="D30" s="13" t="n">
        <f aca="false">'4.KTHH L4'!T41</f>
        <v>17.1</v>
      </c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 t="n">
        <f aca="false">Chạy!E178</f>
        <v>8.66</v>
      </c>
      <c r="P30" s="53"/>
      <c r="Q30" s="53"/>
      <c r="R30" s="55"/>
      <c r="S30" s="55"/>
      <c r="T30" s="55"/>
      <c r="U30" s="55"/>
      <c r="V30" s="55"/>
      <c r="W30" s="55" t="n">
        <f aca="false">(O30+O31)*D30/2</f>
        <v>134.3205</v>
      </c>
      <c r="X30" s="55"/>
      <c r="Y30" s="55"/>
      <c r="Z30" s="55"/>
      <c r="AA30" s="55"/>
      <c r="AB30" s="56"/>
      <c r="AC30" s="55"/>
    </row>
    <row r="31" s="84" customFormat="true" ht="15" hidden="false" customHeight="true" outlineLevel="0" collapsed="false">
      <c r="A31" s="13" t="n">
        <v>21</v>
      </c>
      <c r="B31" s="13" t="str">
        <f aca="false">'4.KTHH L4'!B42</f>
        <v>28</v>
      </c>
      <c r="C31" s="51" t="n">
        <f aca="false">'4.KTHH L4'!C42</f>
        <v>546.72</v>
      </c>
      <c r="D31" s="13" t="n">
        <f aca="false">'4.KTHH L4'!T42</f>
        <v>15.15</v>
      </c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 t="n">
        <f aca="false">Chạy!E187</f>
        <v>7.05</v>
      </c>
      <c r="P31" s="53"/>
      <c r="Q31" s="53"/>
      <c r="R31" s="55"/>
      <c r="S31" s="55"/>
      <c r="T31" s="55"/>
      <c r="U31" s="55"/>
      <c r="V31" s="55"/>
      <c r="W31" s="55" t="n">
        <f aca="false">(O31+O32)*D31/2</f>
        <v>119.00325</v>
      </c>
      <c r="X31" s="55"/>
      <c r="Y31" s="55"/>
      <c r="Z31" s="55"/>
      <c r="AA31" s="55"/>
      <c r="AB31" s="56"/>
      <c r="AC31" s="55"/>
    </row>
    <row r="32" s="84" customFormat="true" ht="15" hidden="false" customHeight="true" outlineLevel="0" collapsed="false">
      <c r="A32" s="13" t="n">
        <v>22</v>
      </c>
      <c r="B32" s="13" t="str">
        <f aca="false">'4.KTHH L4'!B43</f>
        <v>E5</v>
      </c>
      <c r="C32" s="51" t="n">
        <f aca="false">'4.KTHH L4'!C43</f>
        <v>561.87</v>
      </c>
      <c r="D32" s="13" t="n">
        <f aca="false">'4.KTHH L4'!T43</f>
        <v>0.15</v>
      </c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 t="n">
        <f aca="false">Chạy!E196</f>
        <v>8.66</v>
      </c>
      <c r="P32" s="53"/>
      <c r="Q32" s="53"/>
      <c r="R32" s="55"/>
      <c r="S32" s="55"/>
      <c r="T32" s="55"/>
      <c r="U32" s="55"/>
      <c r="V32" s="55"/>
      <c r="W32" s="55" t="n">
        <f aca="false">(O32+O33)*D32/2</f>
        <v>1.29825</v>
      </c>
      <c r="X32" s="55"/>
      <c r="Y32" s="55"/>
      <c r="Z32" s="55"/>
      <c r="AA32" s="55"/>
      <c r="AB32" s="56"/>
      <c r="AC32" s="55"/>
    </row>
    <row r="33" s="84" customFormat="true" ht="15" hidden="false" customHeight="true" outlineLevel="0" collapsed="false">
      <c r="A33" s="13" t="n">
        <v>23</v>
      </c>
      <c r="B33" s="13" t="str">
        <f aca="false">'4.KTHH L4'!B44</f>
        <v>TD</v>
      </c>
      <c r="C33" s="51" t="n">
        <f aca="false">'4.KTHH L4'!C44</f>
        <v>562.02</v>
      </c>
      <c r="D33" s="13" t="n">
        <f aca="false">'4.KTHH L4'!T44</f>
        <v>6.55</v>
      </c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 t="n">
        <f aca="false">Chạy!E205</f>
        <v>8.65</v>
      </c>
      <c r="P33" s="53"/>
      <c r="Q33" s="53"/>
      <c r="R33" s="55"/>
      <c r="S33" s="55"/>
      <c r="T33" s="55"/>
      <c r="U33" s="55"/>
      <c r="V33" s="55"/>
      <c r="W33" s="55" t="n">
        <f aca="false">(O33+O34)*D33/2</f>
        <v>56.69025</v>
      </c>
      <c r="X33" s="55"/>
      <c r="Y33" s="55"/>
      <c r="Z33" s="55"/>
      <c r="AA33" s="55"/>
      <c r="AB33" s="56"/>
      <c r="AC33" s="55"/>
    </row>
    <row r="34" s="84" customFormat="true" ht="15" hidden="false" customHeight="true" outlineLevel="0" collapsed="false">
      <c r="A34" s="13" t="n">
        <v>24</v>
      </c>
      <c r="B34" s="13" t="str">
        <f aca="false">'4.KTHH L4'!B45</f>
        <v>P</v>
      </c>
      <c r="C34" s="51" t="n">
        <f aca="false">'4.KTHH L4'!C45</f>
        <v>568.57</v>
      </c>
      <c r="D34" s="13" t="n">
        <f aca="false">'4.KTHH L4'!T45</f>
        <v>6.55</v>
      </c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 t="n">
        <f aca="false">Chạy!E214</f>
        <v>8.66</v>
      </c>
      <c r="P34" s="53"/>
      <c r="Q34" s="53"/>
      <c r="R34" s="55"/>
      <c r="S34" s="55"/>
      <c r="T34" s="55"/>
      <c r="U34" s="55"/>
      <c r="V34" s="55"/>
      <c r="W34" s="55" t="n">
        <f aca="false">(O34+O35)*D34/2</f>
        <v>55.4785</v>
      </c>
      <c r="X34" s="55"/>
      <c r="Y34" s="55"/>
      <c r="Z34" s="55"/>
      <c r="AA34" s="55"/>
      <c r="AB34" s="56"/>
      <c r="AC34" s="55"/>
    </row>
    <row r="35" s="84" customFormat="true" ht="15" hidden="false" customHeight="true" outlineLevel="0" collapsed="false">
      <c r="A35" s="13" t="n">
        <v>25</v>
      </c>
      <c r="B35" s="13" t="str">
        <f aca="false">'4.KTHH L4'!B46</f>
        <v>TC</v>
      </c>
      <c r="C35" s="51" t="n">
        <f aca="false">'4.KTHH L4'!C46</f>
        <v>575.12</v>
      </c>
      <c r="D35" s="13" t="n">
        <f aca="false">'4.KTHH L4'!T46</f>
        <v>0.04</v>
      </c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 t="n">
        <f aca="false">Chạy!E223</f>
        <v>8.28</v>
      </c>
      <c r="P35" s="53"/>
      <c r="Q35" s="53"/>
      <c r="R35" s="55"/>
      <c r="S35" s="55"/>
      <c r="T35" s="55"/>
      <c r="U35" s="55"/>
      <c r="V35" s="55"/>
      <c r="W35" s="55" t="n">
        <f aca="false">(O35+O36)*D35/2</f>
        <v>0.3308</v>
      </c>
      <c r="X35" s="55"/>
      <c r="Y35" s="55"/>
      <c r="Z35" s="55"/>
      <c r="AA35" s="55"/>
      <c r="AB35" s="56"/>
      <c r="AC35" s="55"/>
    </row>
    <row r="36" s="84" customFormat="true" ht="15" hidden="false" customHeight="true" outlineLevel="0" collapsed="false">
      <c r="A36" s="13" t="n">
        <v>26</v>
      </c>
      <c r="B36" s="13" t="str">
        <f aca="false">'4.KTHH L4'!B47</f>
        <v>29</v>
      </c>
      <c r="C36" s="51" t="n">
        <f aca="false">'4.KTHH L4'!C47</f>
        <v>575.16</v>
      </c>
      <c r="D36" s="13" t="n">
        <f aca="false">'4.KTHH L4'!T47</f>
        <v>16.95</v>
      </c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 t="n">
        <f aca="false">Chạy!E232</f>
        <v>8.26</v>
      </c>
      <c r="P36" s="53"/>
      <c r="Q36" s="53"/>
      <c r="R36" s="55"/>
      <c r="S36" s="55"/>
      <c r="T36" s="55"/>
      <c r="U36" s="55"/>
      <c r="V36" s="55"/>
      <c r="W36" s="55" t="n">
        <f aca="false">(O36+O37)*D36/2</f>
        <v>143.397</v>
      </c>
      <c r="X36" s="55"/>
      <c r="Y36" s="55"/>
      <c r="Z36" s="55"/>
      <c r="AA36" s="55"/>
      <c r="AB36" s="56"/>
      <c r="AC36" s="55"/>
    </row>
    <row r="37" s="84" customFormat="true" ht="15" hidden="false" customHeight="true" outlineLevel="0" collapsed="false">
      <c r="A37" s="13" t="n">
        <v>27</v>
      </c>
      <c r="B37" s="13" t="str">
        <f aca="false">'4.KTHH L4'!B48</f>
        <v>30</v>
      </c>
      <c r="C37" s="51" t="n">
        <f aca="false">'4.KTHH L4'!C48</f>
        <v>592.11</v>
      </c>
      <c r="D37" s="13" t="n">
        <f aca="false">'4.KTHH L4'!T48</f>
        <v>17</v>
      </c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 t="n">
        <f aca="false">Chạy!E241</f>
        <v>8.66</v>
      </c>
      <c r="P37" s="53"/>
      <c r="Q37" s="53"/>
      <c r="R37" s="55"/>
      <c r="S37" s="55"/>
      <c r="T37" s="55"/>
      <c r="U37" s="55"/>
      <c r="V37" s="55"/>
      <c r="W37" s="55" t="n">
        <f aca="false">(O37+O38)*D37/2</f>
        <v>136.68</v>
      </c>
      <c r="X37" s="55"/>
      <c r="Y37" s="55"/>
      <c r="Z37" s="55"/>
      <c r="AA37" s="55"/>
      <c r="AB37" s="56"/>
      <c r="AC37" s="55"/>
    </row>
    <row r="38" s="84" customFormat="true" ht="15" hidden="false" customHeight="true" outlineLevel="0" collapsed="false">
      <c r="A38" s="13" t="n">
        <v>28</v>
      </c>
      <c r="B38" s="13" t="str">
        <f aca="false">'4.KTHH L4'!B49</f>
        <v>31</v>
      </c>
      <c r="C38" s="51" t="n">
        <f aca="false">'4.KTHH L4'!C49</f>
        <v>609.11</v>
      </c>
      <c r="D38" s="13" t="n">
        <f aca="false">'4.KTHH L4'!T49</f>
        <v>11.75</v>
      </c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 t="n">
        <f aca="false">Chạy!E250</f>
        <v>7.42</v>
      </c>
      <c r="P38" s="53"/>
      <c r="Q38" s="53"/>
      <c r="R38" s="55"/>
      <c r="S38" s="55"/>
      <c r="T38" s="55"/>
      <c r="U38" s="55"/>
      <c r="V38" s="55"/>
      <c r="W38" s="55" t="n">
        <f aca="false">(O38+O39)*D38/2</f>
        <v>79.3125</v>
      </c>
      <c r="X38" s="55"/>
      <c r="Y38" s="55"/>
      <c r="Z38" s="55"/>
      <c r="AA38" s="55"/>
      <c r="AB38" s="56"/>
      <c r="AC38" s="55"/>
    </row>
    <row r="39" s="84" customFormat="true" ht="15" hidden="false" customHeight="true" outlineLevel="0" collapsed="false">
      <c r="A39" s="13" t="n">
        <v>29</v>
      </c>
      <c r="B39" s="13" t="str">
        <f aca="false">'4.KTHH L4'!B50</f>
        <v>E10</v>
      </c>
      <c r="C39" s="51" t="n">
        <f aca="false">'4.KTHH L4'!C50</f>
        <v>620.86</v>
      </c>
      <c r="D39" s="13" t="n">
        <f aca="false">'4.KTHH L4'!T50</f>
        <v>11.75</v>
      </c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 t="n">
        <f aca="false">Chạy!E259</f>
        <v>6.08</v>
      </c>
      <c r="P39" s="53"/>
      <c r="Q39" s="53"/>
      <c r="R39" s="55"/>
      <c r="S39" s="55"/>
      <c r="T39" s="55"/>
      <c r="U39" s="55"/>
      <c r="V39" s="55"/>
      <c r="W39" s="55" t="n">
        <f aca="false">(O39+O40)*D39/2</f>
        <v>86.5975</v>
      </c>
      <c r="X39" s="55"/>
      <c r="Y39" s="55"/>
      <c r="Z39" s="55"/>
      <c r="AA39" s="55"/>
      <c r="AB39" s="56"/>
      <c r="AC39" s="55"/>
    </row>
    <row r="40" s="84" customFormat="true" ht="15" hidden="false" customHeight="true" outlineLevel="0" collapsed="false">
      <c r="A40" s="13" t="n">
        <v>30</v>
      </c>
      <c r="B40" s="13" t="str">
        <f aca="false">'4.KTHH L4'!B51</f>
        <v>32</v>
      </c>
      <c r="C40" s="51" t="n">
        <f aca="false">'4.KTHH L4'!C51</f>
        <v>632.61</v>
      </c>
      <c r="D40" s="13" t="n">
        <f aca="false">'4.KTHH L4'!T51</f>
        <v>20</v>
      </c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 t="n">
        <f aca="false">Chạy!E268</f>
        <v>8.66</v>
      </c>
      <c r="P40" s="53"/>
      <c r="Q40" s="53"/>
      <c r="R40" s="55"/>
      <c r="S40" s="55"/>
      <c r="T40" s="55"/>
      <c r="U40" s="55"/>
      <c r="V40" s="55"/>
      <c r="W40" s="55" t="n">
        <f aca="false">(O40+O41)*D40/2</f>
        <v>173.2</v>
      </c>
      <c r="X40" s="55"/>
      <c r="Y40" s="55"/>
      <c r="Z40" s="55"/>
      <c r="AA40" s="55"/>
      <c r="AB40" s="56"/>
      <c r="AC40" s="55"/>
    </row>
    <row r="41" s="84" customFormat="true" ht="15" hidden="false" customHeight="true" outlineLevel="0" collapsed="false">
      <c r="A41" s="13" t="n">
        <v>31</v>
      </c>
      <c r="B41" s="13" t="str">
        <f aca="false">'4.KTHH L4'!B52</f>
        <v>33</v>
      </c>
      <c r="C41" s="51" t="n">
        <f aca="false">'4.KTHH L4'!C52</f>
        <v>652.61</v>
      </c>
      <c r="D41" s="13" t="n">
        <f aca="false">'4.KTHH L4'!T52</f>
        <v>20</v>
      </c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 t="n">
        <f aca="false">Chạy!E277</f>
        <v>8.66</v>
      </c>
      <c r="P41" s="53"/>
      <c r="Q41" s="53"/>
      <c r="R41" s="55"/>
      <c r="S41" s="55"/>
      <c r="T41" s="55"/>
      <c r="U41" s="55"/>
      <c r="V41" s="55"/>
      <c r="W41" s="55" t="n">
        <f aca="false">(O41+O42)*D41/2</f>
        <v>173.2</v>
      </c>
      <c r="X41" s="55"/>
      <c r="Y41" s="55"/>
      <c r="Z41" s="55"/>
      <c r="AA41" s="55"/>
      <c r="AB41" s="56"/>
      <c r="AC41" s="55"/>
    </row>
    <row r="42" s="84" customFormat="true" ht="15" hidden="false" customHeight="true" outlineLevel="0" collapsed="false">
      <c r="A42" s="13" t="n">
        <v>32</v>
      </c>
      <c r="B42" s="13" t="str">
        <f aca="false">'4.KTHH L4'!B53</f>
        <v>34</v>
      </c>
      <c r="C42" s="51" t="n">
        <f aca="false">'4.KTHH L4'!C53</f>
        <v>672.61</v>
      </c>
      <c r="D42" s="13" t="n">
        <f aca="false">'4.KTHH L4'!T53</f>
        <v>20</v>
      </c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 t="n">
        <f aca="false">Chạy!E286</f>
        <v>8.66</v>
      </c>
      <c r="P42" s="53"/>
      <c r="Q42" s="53"/>
      <c r="R42" s="55"/>
      <c r="S42" s="55"/>
      <c r="T42" s="55"/>
      <c r="U42" s="55"/>
      <c r="V42" s="55"/>
      <c r="W42" s="55" t="n">
        <f aca="false">(O42+O43)*D42/2</f>
        <v>173.2</v>
      </c>
      <c r="X42" s="55"/>
      <c r="Y42" s="55"/>
      <c r="Z42" s="55"/>
      <c r="AA42" s="55"/>
      <c r="AB42" s="56"/>
      <c r="AC42" s="55"/>
    </row>
    <row r="43" s="84" customFormat="true" ht="15" hidden="false" customHeight="true" outlineLevel="0" collapsed="false">
      <c r="A43" s="13" t="n">
        <v>33</v>
      </c>
      <c r="B43" s="13" t="str">
        <f aca="false">'4.KTHH L4'!B54</f>
        <v>35</v>
      </c>
      <c r="C43" s="51" t="n">
        <f aca="false">'4.KTHH L4'!C54</f>
        <v>692.61</v>
      </c>
      <c r="D43" s="13" t="n">
        <f aca="false">'4.KTHH L4'!T54</f>
        <v>20</v>
      </c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 t="n">
        <f aca="false">Chạy!E295</f>
        <v>8.66</v>
      </c>
      <c r="P43" s="53"/>
      <c r="Q43" s="53"/>
      <c r="R43" s="55"/>
      <c r="S43" s="55"/>
      <c r="T43" s="55"/>
      <c r="U43" s="55"/>
      <c r="V43" s="55"/>
      <c r="W43" s="55" t="n">
        <f aca="false">(O43+O44)*D43/2</f>
        <v>150.6</v>
      </c>
      <c r="X43" s="55"/>
      <c r="Y43" s="55"/>
      <c r="Z43" s="55"/>
      <c r="AA43" s="55"/>
      <c r="AB43" s="56"/>
      <c r="AC43" s="55"/>
    </row>
    <row r="44" s="84" customFormat="true" ht="15" hidden="false" customHeight="true" outlineLevel="0" collapsed="false">
      <c r="A44" s="13" t="n">
        <v>34</v>
      </c>
      <c r="B44" s="13" t="str">
        <f aca="false">'4.KTHH L4'!B55</f>
        <v>36</v>
      </c>
      <c r="C44" s="51" t="n">
        <f aca="false">'4.KTHH L4'!C55</f>
        <v>712.61</v>
      </c>
      <c r="D44" s="13" t="n">
        <f aca="false">'4.KTHH L4'!T55</f>
        <v>11.5</v>
      </c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 t="n">
        <f aca="false">Chạy!E304</f>
        <v>6.4</v>
      </c>
      <c r="P44" s="53"/>
      <c r="Q44" s="53"/>
      <c r="R44" s="55"/>
      <c r="S44" s="55"/>
      <c r="T44" s="55"/>
      <c r="U44" s="55"/>
      <c r="V44" s="55"/>
      <c r="W44" s="55" t="n">
        <f aca="false">(O44+O45)*D44/2</f>
        <v>80.615</v>
      </c>
      <c r="X44" s="55"/>
      <c r="Y44" s="55"/>
      <c r="Z44" s="55"/>
      <c r="AA44" s="55"/>
      <c r="AB44" s="56"/>
      <c r="AC44" s="55"/>
    </row>
    <row r="45" s="84" customFormat="true" ht="15" hidden="false" customHeight="true" outlineLevel="0" collapsed="false">
      <c r="A45" s="13" t="n">
        <v>35</v>
      </c>
      <c r="B45" s="13" t="str">
        <f aca="false">'4.KTHH L4'!B56</f>
        <v>37</v>
      </c>
      <c r="C45" s="51" t="n">
        <f aca="false">'4.KTHH L4'!C56</f>
        <v>724.11</v>
      </c>
      <c r="D45" s="13" t="n">
        <f aca="false">'4.KTHH L4'!T56</f>
        <v>13.25</v>
      </c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 t="n">
        <f aca="false">Chạy!E313</f>
        <v>7.62</v>
      </c>
      <c r="P45" s="53"/>
      <c r="Q45" s="53"/>
      <c r="R45" s="55"/>
      <c r="S45" s="55"/>
      <c r="T45" s="55"/>
      <c r="U45" s="55"/>
      <c r="V45" s="55"/>
      <c r="W45" s="55" t="n">
        <f aca="false">(O45+O46)*D45/2</f>
        <v>105.00625</v>
      </c>
      <c r="X45" s="55"/>
      <c r="Y45" s="55"/>
      <c r="Z45" s="55"/>
      <c r="AA45" s="55"/>
      <c r="AB45" s="56"/>
      <c r="AC45" s="55"/>
    </row>
    <row r="46" s="84" customFormat="true" ht="15" hidden="false" customHeight="true" outlineLevel="0" collapsed="false">
      <c r="A46" s="13" t="n">
        <v>36</v>
      </c>
      <c r="B46" s="13" t="str">
        <f aca="false">'4.KTHH L4'!B57</f>
        <v>G6</v>
      </c>
      <c r="C46" s="51" t="n">
        <f aca="false">'4.KTHH L4'!C57</f>
        <v>737.36</v>
      </c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 t="n">
        <f aca="false">Chạy!E322</f>
        <v>8.23</v>
      </c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5"/>
    </row>
    <row r="47" s="84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5"/>
    </row>
    <row r="48" s="84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5"/>
    </row>
    <row r="49" s="84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5"/>
    </row>
    <row r="50" s="84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5"/>
    </row>
    <row r="51" s="69" customFormat="true" ht="14.25" hidden="false" customHeight="true" outlineLevel="0" collapsed="false">
      <c r="A51" s="61" t="s">
        <v>85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SUM(W11:W46)</f>
        <v>3786.6218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71"/>
    </row>
    <row r="52" s="69" customFormat="true" ht="14.25" hidden="false" customHeight="true" outlineLevel="0" collapsed="false">
      <c r="A52" s="68"/>
      <c r="B52" s="68"/>
      <c r="C52" s="68"/>
      <c r="D52" s="68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69" customFormat="true" ht="15" hidden="false" customHeight="true" outlineLevel="0" collapsed="false">
      <c r="A53" s="19" t="s">
        <v>74</v>
      </c>
      <c r="B53" s="19"/>
      <c r="C53" s="19"/>
      <c r="D53" s="77" t="s">
        <v>86</v>
      </c>
      <c r="E53" s="19" t="s">
        <v>75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69" customFormat="true" ht="14.2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</row>
    <row r="55" s="69" customFormat="true" ht="1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AF55" s="108"/>
    </row>
    <row r="56" s="69" customFormat="true" ht="14.2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</row>
    <row r="57" s="69" customFormat="true" ht="14.2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</row>
    <row r="58" s="69" customFormat="true" ht="14.2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</row>
    <row r="59" s="69" customFormat="true" ht="14.25" hidden="false" customHeight="true" outlineLevel="0" collapsed="false">
      <c r="A59" s="19" t="s">
        <v>76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77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2.75" hidden="false" customHeight="false" outlineLevel="0" collapsed="false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4" activeCellId="0" sqref="T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57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58</v>
      </c>
      <c r="C7" s="7"/>
      <c r="D7" s="7"/>
      <c r="F7" s="7"/>
      <c r="G7" s="7" t="s">
        <v>94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60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5" hidden="false" customHeight="true" outlineLevel="0" collapsed="false">
      <c r="A20" s="109" t="s">
        <v>61</v>
      </c>
      <c r="B20" s="9" t="s">
        <v>62</v>
      </c>
      <c r="C20" s="9" t="s">
        <v>63</v>
      </c>
      <c r="D20" s="10" t="s">
        <v>64</v>
      </c>
      <c r="E20" s="10"/>
      <c r="F20" s="10"/>
      <c r="G20" s="10"/>
      <c r="H20" s="10"/>
      <c r="I20" s="10"/>
      <c r="J20" s="10" t="s">
        <v>65</v>
      </c>
      <c r="K20" s="10"/>
      <c r="L20" s="10"/>
      <c r="M20" s="10" t="s">
        <v>66</v>
      </c>
      <c r="N20" s="10"/>
      <c r="O20" s="10"/>
      <c r="P20" s="10"/>
      <c r="Q20" s="10"/>
      <c r="R20" s="10"/>
      <c r="S20" s="9" t="s">
        <v>67</v>
      </c>
    </row>
    <row r="21" customFormat="false" ht="51.75" hidden="false" customHeight="true" outlineLevel="0" collapsed="false">
      <c r="A21" s="109"/>
      <c r="B21" s="109"/>
      <c r="C21" s="109"/>
      <c r="D21" s="11" t="s">
        <v>68</v>
      </c>
      <c r="E21" s="11" t="s">
        <v>69</v>
      </c>
      <c r="F21" s="11" t="s">
        <v>70</v>
      </c>
      <c r="G21" s="11" t="s">
        <v>71</v>
      </c>
      <c r="H21" s="11" t="s">
        <v>72</v>
      </c>
      <c r="I21" s="11" t="s">
        <v>73</v>
      </c>
      <c r="J21" s="11" t="s">
        <v>71</v>
      </c>
      <c r="K21" s="11" t="s">
        <v>72</v>
      </c>
      <c r="L21" s="11" t="s">
        <v>73</v>
      </c>
      <c r="M21" s="11" t="s">
        <v>68</v>
      </c>
      <c r="N21" s="11" t="s">
        <v>69</v>
      </c>
      <c r="O21" s="11" t="s">
        <v>70</v>
      </c>
      <c r="P21" s="11" t="s">
        <v>71</v>
      </c>
      <c r="Q21" s="11" t="s">
        <v>72</v>
      </c>
      <c r="R21" s="11" t="s">
        <v>73</v>
      </c>
      <c r="S21" s="9"/>
      <c r="T21" s="86"/>
      <c r="W21" s="87"/>
      <c r="X21" s="87"/>
      <c r="Y21" s="87"/>
    </row>
    <row r="22" customFormat="false" ht="16.5" hidden="false" customHeight="true" outlineLevel="0" collapsed="false">
      <c r="A22" s="110" t="n">
        <v>1</v>
      </c>
      <c r="B22" s="13" t="s">
        <v>17</v>
      </c>
      <c r="C22" s="15" t="n">
        <v>211</v>
      </c>
      <c r="D22" s="16" t="n">
        <f aca="false">+Chạy!F6</f>
        <v>-13.75</v>
      </c>
      <c r="E22" s="16" t="n">
        <f aca="false">+D22+F22</f>
        <v>-13.7428</v>
      </c>
      <c r="F22" s="16" t="n">
        <f aca="false">RANDBETWEEN(-105,115)/10000</f>
        <v>0.0072</v>
      </c>
      <c r="G22" s="16" t="n">
        <f aca="false">+Chạy!G6</f>
        <v>0.85</v>
      </c>
      <c r="H22" s="16" t="n">
        <f aca="false">G22+I22</f>
        <v>0.823</v>
      </c>
      <c r="I22" s="16" t="n">
        <f aca="false">RANDBETWEEN(-30,90)/1000</f>
        <v>-0.027</v>
      </c>
      <c r="J22" s="16" t="n">
        <f aca="false">+Chạy!K6</f>
        <v>0.97</v>
      </c>
      <c r="K22" s="16" t="n">
        <f aca="false">J22+L22</f>
        <v>0.988</v>
      </c>
      <c r="L22" s="16" t="n">
        <f aca="false">RANDBETWEEN(-30,90)/1000</f>
        <v>0.018</v>
      </c>
      <c r="M22" s="16" t="n">
        <f aca="false">+Chạy!N6</f>
        <v>13.75</v>
      </c>
      <c r="N22" s="16" t="n">
        <f aca="false">+M22+O22</f>
        <v>13.7546</v>
      </c>
      <c r="O22" s="16" t="n">
        <f aca="false">RANDBETWEEN(-105,115)/10000</f>
        <v>0.0046</v>
      </c>
      <c r="P22" s="16" t="n">
        <f aca="false">+Chạy!O6</f>
        <v>0.85</v>
      </c>
      <c r="Q22" s="16" t="n">
        <f aca="false">P22+R22</f>
        <v>0.884</v>
      </c>
      <c r="R22" s="16" t="n">
        <f aca="false">RANDBETWEEN(-30,90)/1000</f>
        <v>0.034</v>
      </c>
      <c r="S22" s="17"/>
      <c r="T22" s="0" t="n">
        <v>13.25</v>
      </c>
      <c r="W22" s="102"/>
      <c r="X22" s="102"/>
    </row>
    <row r="23" customFormat="false" ht="16.5" hidden="false" customHeight="true" outlineLevel="0" collapsed="false">
      <c r="A23" s="110" t="n">
        <v>2</v>
      </c>
      <c r="B23" s="13" t="s">
        <v>18</v>
      </c>
      <c r="C23" s="15" t="n">
        <f aca="false">+C22+T22</f>
        <v>224.25</v>
      </c>
      <c r="D23" s="16" t="n">
        <f aca="false">+Chạy!F15</f>
        <v>-13.75</v>
      </c>
      <c r="E23" s="16" t="n">
        <f aca="false">+D23+F23</f>
        <v>-13.7524</v>
      </c>
      <c r="F23" s="16" t="n">
        <f aca="false">RANDBETWEEN(-105,115)/10000</f>
        <v>-0.0024</v>
      </c>
      <c r="G23" s="16" t="n">
        <f aca="false">+Chạy!G15</f>
        <v>0.84</v>
      </c>
      <c r="H23" s="16" t="n">
        <f aca="false">G23+I23</f>
        <v>0.919</v>
      </c>
      <c r="I23" s="16" t="n">
        <f aca="false">RANDBETWEEN(-30,90)/1000</f>
        <v>0.079</v>
      </c>
      <c r="J23" s="16" t="n">
        <f aca="false">+Chạy!K15</f>
        <v>0.96</v>
      </c>
      <c r="K23" s="16" t="n">
        <f aca="false">J23+L23</f>
        <v>1.039</v>
      </c>
      <c r="L23" s="16" t="n">
        <f aca="false">RANDBETWEEN(-30,90)/1000</f>
        <v>0.079</v>
      </c>
      <c r="M23" s="16" t="n">
        <f aca="false">+Chạy!N15</f>
        <v>7.79</v>
      </c>
      <c r="N23" s="16" t="n">
        <f aca="false">+M23+O23</f>
        <v>7.7897</v>
      </c>
      <c r="O23" s="16" t="n">
        <f aca="false">RANDBETWEEN(-105,115)/10000</f>
        <v>-0.0003</v>
      </c>
      <c r="P23" s="16" t="n">
        <f aca="false">+Chạy!O15</f>
        <v>0.84</v>
      </c>
      <c r="Q23" s="16" t="n">
        <f aca="false">P23+R23</f>
        <v>0.887</v>
      </c>
      <c r="R23" s="16" t="n">
        <f aca="false">RANDBETWEEN(-30,90)/1000</f>
        <v>0.047</v>
      </c>
      <c r="S23" s="17"/>
      <c r="T23" s="0" t="n">
        <v>21.5</v>
      </c>
      <c r="W23" s="102"/>
      <c r="X23" s="102"/>
    </row>
    <row r="24" customFormat="false" ht="16.5" hidden="false" customHeight="true" outlineLevel="0" collapsed="false">
      <c r="A24" s="110" t="n">
        <v>3</v>
      </c>
      <c r="B24" s="13" t="s">
        <v>19</v>
      </c>
      <c r="C24" s="15" t="n">
        <f aca="false">+C23+T23</f>
        <v>245.75</v>
      </c>
      <c r="D24" s="16" t="n">
        <f aca="false">+Chạy!F24</f>
        <v>-13.75</v>
      </c>
      <c r="E24" s="16" t="n">
        <f aca="false">+D24+F24</f>
        <v>-13.7505</v>
      </c>
      <c r="F24" s="16" t="n">
        <f aca="false">RANDBETWEEN(-105,115)/10000</f>
        <v>-0.0005</v>
      </c>
      <c r="G24" s="16" t="n">
        <f aca="false">+Chạy!G24</f>
        <v>0.82</v>
      </c>
      <c r="H24" s="16" t="n">
        <f aca="false">G24+I24</f>
        <v>0.816</v>
      </c>
      <c r="I24" s="16" t="n">
        <f aca="false">RANDBETWEEN(-30,90)/1000</f>
        <v>-0.004</v>
      </c>
      <c r="J24" s="16" t="n">
        <f aca="false">+Chạy!K24</f>
        <v>0.94</v>
      </c>
      <c r="K24" s="16" t="n">
        <f aca="false">J24+L24</f>
        <v>0.946</v>
      </c>
      <c r="L24" s="16" t="n">
        <f aca="false">RANDBETWEEN(-30,90)/1000</f>
        <v>0.006</v>
      </c>
      <c r="M24" s="16" t="n">
        <f aca="false">+Chạy!N24</f>
        <v>7.52</v>
      </c>
      <c r="N24" s="16" t="n">
        <f aca="false">+M24+O24</f>
        <v>7.5201</v>
      </c>
      <c r="O24" s="16" t="n">
        <f aca="false">RANDBETWEEN(-105,115)/10000</f>
        <v>0.0001</v>
      </c>
      <c r="P24" s="16" t="n">
        <f aca="false">+Chạy!O24</f>
        <v>0.82</v>
      </c>
      <c r="Q24" s="16" t="n">
        <f aca="false">P24+R24</f>
        <v>0.834</v>
      </c>
      <c r="R24" s="16" t="n">
        <f aca="false">RANDBETWEEN(-30,90)/1000</f>
        <v>0.014</v>
      </c>
      <c r="S24" s="17"/>
      <c r="T24" s="0" t="n">
        <v>11.75</v>
      </c>
      <c r="W24" s="102"/>
      <c r="X24" s="102"/>
    </row>
    <row r="25" customFormat="false" ht="16.5" hidden="false" customHeight="true" outlineLevel="0" collapsed="false">
      <c r="A25" s="110" t="n">
        <v>4</v>
      </c>
      <c r="B25" s="13" t="s">
        <v>20</v>
      </c>
      <c r="C25" s="15" t="n">
        <f aca="false">+C24+T24</f>
        <v>257.5</v>
      </c>
      <c r="D25" s="16" t="n">
        <f aca="false">+Chạy!F33</f>
        <v>-7.51</v>
      </c>
      <c r="E25" s="16" t="n">
        <f aca="false">+D25+F25</f>
        <v>-7.5027</v>
      </c>
      <c r="F25" s="16" t="n">
        <f aca="false">RANDBETWEEN(-105,115)/10000</f>
        <v>0.0073</v>
      </c>
      <c r="G25" s="16" t="n">
        <f aca="false">+Chạy!G33</f>
        <v>0.81</v>
      </c>
      <c r="H25" s="16" t="n">
        <f aca="false">G25+I25</f>
        <v>0.822</v>
      </c>
      <c r="I25" s="16" t="n">
        <f aca="false">RANDBETWEEN(-30,90)/1000</f>
        <v>0.012</v>
      </c>
      <c r="J25" s="16" t="n">
        <f aca="false">+Chạy!K33</f>
        <v>0.93</v>
      </c>
      <c r="K25" s="16" t="n">
        <f aca="false">J25+L25</f>
        <v>0.941</v>
      </c>
      <c r="L25" s="16" t="n">
        <f aca="false">RANDBETWEEN(-30,90)/1000</f>
        <v>0.011</v>
      </c>
      <c r="M25" s="16" t="n">
        <f aca="false">+Chạy!N33</f>
        <v>7.52</v>
      </c>
      <c r="N25" s="16" t="n">
        <f aca="false">+M25+O25</f>
        <v>7.5164</v>
      </c>
      <c r="O25" s="16" t="n">
        <f aca="false">RANDBETWEEN(-105,115)/10000</f>
        <v>-0.0036</v>
      </c>
      <c r="P25" s="16" t="n">
        <f aca="false">+Chạy!O33</f>
        <v>0.81</v>
      </c>
      <c r="Q25" s="16" t="n">
        <f aca="false">P25+R25</f>
        <v>0.831</v>
      </c>
      <c r="R25" s="16" t="n">
        <f aca="false">RANDBETWEEN(-30,90)/1000</f>
        <v>0.021</v>
      </c>
      <c r="S25" s="17"/>
      <c r="T25" s="0" t="n">
        <v>11.75</v>
      </c>
      <c r="W25" s="102"/>
      <c r="X25" s="102"/>
    </row>
    <row r="26" customFormat="false" ht="16.5" hidden="false" customHeight="true" outlineLevel="0" collapsed="false">
      <c r="A26" s="110" t="n">
        <v>5</v>
      </c>
      <c r="B26" s="13" t="s">
        <v>21</v>
      </c>
      <c r="C26" s="15" t="n">
        <f aca="false">+C25+T25</f>
        <v>269.25</v>
      </c>
      <c r="D26" s="16" t="n">
        <f aca="false">+Chạy!F42</f>
        <v>-7.51</v>
      </c>
      <c r="E26" s="16" t="n">
        <f aca="false">+D26+F26</f>
        <v>-7.5062</v>
      </c>
      <c r="F26" s="16" t="n">
        <f aca="false">RANDBETWEEN(-105,115)/10000</f>
        <v>0.0038</v>
      </c>
      <c r="G26" s="16" t="n">
        <f aca="false">+Chạy!G42</f>
        <v>0.81</v>
      </c>
      <c r="H26" s="16" t="n">
        <f aca="false">G26+I26</f>
        <v>0.884</v>
      </c>
      <c r="I26" s="16" t="n">
        <f aca="false">RANDBETWEEN(-30,90)/1000</f>
        <v>0.074</v>
      </c>
      <c r="J26" s="16" t="n">
        <f aca="false">+Chạy!K42</f>
        <v>0.92</v>
      </c>
      <c r="K26" s="16" t="n">
        <f aca="false">J26+L26</f>
        <v>0.894</v>
      </c>
      <c r="L26" s="16" t="n">
        <f aca="false">RANDBETWEEN(-30,90)/1000</f>
        <v>-0.026</v>
      </c>
      <c r="M26" s="16" t="n">
        <f aca="false">+Chạy!N42</f>
        <v>7.51</v>
      </c>
      <c r="N26" s="16" t="n">
        <f aca="false">+M26+O26</f>
        <v>7.521</v>
      </c>
      <c r="O26" s="16" t="n">
        <f aca="false">RANDBETWEEN(-105,115)/10000</f>
        <v>0.011</v>
      </c>
      <c r="P26" s="16" t="n">
        <f aca="false">+Chạy!O42</f>
        <v>0.81</v>
      </c>
      <c r="Q26" s="16" t="n">
        <f aca="false">P26+R26</f>
        <v>0.87</v>
      </c>
      <c r="R26" s="16" t="n">
        <f aca="false">RANDBETWEEN(-30,90)/1000</f>
        <v>0.06</v>
      </c>
      <c r="S26" s="17"/>
      <c r="T26" s="0" t="n">
        <v>20</v>
      </c>
      <c r="W26" s="102"/>
      <c r="X26" s="102"/>
    </row>
    <row r="27" customFormat="false" ht="16.5" hidden="false" customHeight="true" outlineLevel="0" collapsed="false">
      <c r="A27" s="110" t="n">
        <v>6</v>
      </c>
      <c r="B27" s="13" t="s">
        <v>22</v>
      </c>
      <c r="C27" s="15" t="n">
        <f aca="false">+C26+T26</f>
        <v>289.25</v>
      </c>
      <c r="D27" s="16" t="n">
        <f aca="false">+Chạy!F51</f>
        <v>-7.5</v>
      </c>
      <c r="E27" s="16" t="n">
        <f aca="false">+D27+F27</f>
        <v>-7.5021</v>
      </c>
      <c r="F27" s="16" t="n">
        <f aca="false">RANDBETWEEN(-105,115)/10000</f>
        <v>-0.0021</v>
      </c>
      <c r="G27" s="16" t="n">
        <f aca="false">+Chạy!G51</f>
        <v>0.8</v>
      </c>
      <c r="H27" s="16" t="n">
        <f aca="false">G27+I27</f>
        <v>0.888</v>
      </c>
      <c r="I27" s="16" t="n">
        <f aca="false">RANDBETWEEN(-30,90)/1000</f>
        <v>0.088</v>
      </c>
      <c r="J27" s="16" t="n">
        <f aca="false">+Chạy!K51</f>
        <v>0.91</v>
      </c>
      <c r="K27" s="16" t="n">
        <f aca="false">J27+L27</f>
        <v>0.998</v>
      </c>
      <c r="L27" s="16" t="n">
        <f aca="false">RANDBETWEEN(-30,90)/1000</f>
        <v>0.088</v>
      </c>
      <c r="M27" s="16" t="n">
        <f aca="false">+Chạy!N51</f>
        <v>7.5</v>
      </c>
      <c r="N27" s="16" t="n">
        <f aca="false">+M27+O27</f>
        <v>7.5012</v>
      </c>
      <c r="O27" s="16" t="n">
        <f aca="false">RANDBETWEEN(-105,115)/10000</f>
        <v>0.0012</v>
      </c>
      <c r="P27" s="16" t="n">
        <f aca="false">+Chạy!O51</f>
        <v>0.8</v>
      </c>
      <c r="Q27" s="16" t="n">
        <f aca="false">P27+R27</f>
        <v>0.843</v>
      </c>
      <c r="R27" s="16" t="n">
        <f aca="false">RANDBETWEEN(-30,90)/1000</f>
        <v>0.043</v>
      </c>
      <c r="S27" s="17"/>
      <c r="T27" s="0" t="n">
        <v>20</v>
      </c>
      <c r="W27" s="102"/>
      <c r="X27" s="102"/>
    </row>
    <row r="28" customFormat="false" ht="16.5" hidden="false" customHeight="true" outlineLevel="0" collapsed="false">
      <c r="A28" s="110" t="n">
        <v>7</v>
      </c>
      <c r="B28" s="13" t="s">
        <v>23</v>
      </c>
      <c r="C28" s="15" t="n">
        <f aca="false">+C27+T27</f>
        <v>309.25</v>
      </c>
      <c r="D28" s="16" t="n">
        <f aca="false">+Chạy!F60</f>
        <v>-7.48</v>
      </c>
      <c r="E28" s="16" t="n">
        <f aca="false">+D28+F28</f>
        <v>-7.4769</v>
      </c>
      <c r="F28" s="16" t="n">
        <f aca="false">RANDBETWEEN(-105,115)/10000</f>
        <v>0.0031</v>
      </c>
      <c r="G28" s="16" t="n">
        <f aca="false">+Chạy!G60</f>
        <v>0.78</v>
      </c>
      <c r="H28" s="16" t="n">
        <f aca="false">G28+I28</f>
        <v>0.761</v>
      </c>
      <c r="I28" s="16" t="n">
        <f aca="false">RANDBETWEEN(-30,90)/1000</f>
        <v>-0.019</v>
      </c>
      <c r="J28" s="16" t="n">
        <f aca="false">+Chạy!K60</f>
        <v>0.9</v>
      </c>
      <c r="K28" s="16" t="n">
        <f aca="false">J28+L28</f>
        <v>0.942</v>
      </c>
      <c r="L28" s="16" t="n">
        <f aca="false">RANDBETWEEN(-30,90)/1000</f>
        <v>0.042</v>
      </c>
      <c r="M28" s="16" t="n">
        <f aca="false">+Chạy!N60</f>
        <v>7.48</v>
      </c>
      <c r="N28" s="16" t="n">
        <f aca="false">+M28+O28</f>
        <v>7.4749</v>
      </c>
      <c r="O28" s="16" t="n">
        <f aca="false">RANDBETWEEN(-105,115)/10000</f>
        <v>-0.0051</v>
      </c>
      <c r="P28" s="16" t="n">
        <f aca="false">+Chạy!O60</f>
        <v>0.78</v>
      </c>
      <c r="Q28" s="16" t="n">
        <f aca="false">P28+R28</f>
        <v>0.76</v>
      </c>
      <c r="R28" s="16" t="n">
        <f aca="false">RANDBETWEEN(-30,90)/1000</f>
        <v>-0.02</v>
      </c>
      <c r="S28" s="17"/>
      <c r="T28" s="0" t="n">
        <v>20</v>
      </c>
      <c r="W28" s="102"/>
      <c r="X28" s="102"/>
    </row>
    <row r="29" customFormat="false" ht="16.5" hidden="false" customHeight="true" outlineLevel="0" collapsed="false">
      <c r="A29" s="110" t="n">
        <v>8</v>
      </c>
      <c r="B29" s="13" t="s">
        <v>24</v>
      </c>
      <c r="C29" s="15" t="n">
        <f aca="false">+C28+T28</f>
        <v>329.25</v>
      </c>
      <c r="D29" s="16" t="n">
        <f aca="false">+Chạy!F69</f>
        <v>-7.47</v>
      </c>
      <c r="E29" s="16" t="n">
        <f aca="false">+D29+F29</f>
        <v>-7.4604</v>
      </c>
      <c r="F29" s="16" t="n">
        <f aca="false">RANDBETWEEN(-105,115)/10000</f>
        <v>0.0096</v>
      </c>
      <c r="G29" s="16" t="n">
        <f aca="false">+Chạy!G69</f>
        <v>0.77</v>
      </c>
      <c r="H29" s="16" t="n">
        <f aca="false">G29+I29</f>
        <v>0.798</v>
      </c>
      <c r="I29" s="16" t="n">
        <f aca="false">RANDBETWEEN(-30,90)/1000</f>
        <v>0.028</v>
      </c>
      <c r="J29" s="16" t="n">
        <f aca="false">+Chạy!K69</f>
        <v>0.89</v>
      </c>
      <c r="K29" s="16" t="n">
        <f aca="false">J29+L29</f>
        <v>0.958</v>
      </c>
      <c r="L29" s="16" t="n">
        <f aca="false">RANDBETWEEN(-30,90)/1000</f>
        <v>0.068</v>
      </c>
      <c r="M29" s="16" t="n">
        <f aca="false">+Chạy!N69</f>
        <v>7.47</v>
      </c>
      <c r="N29" s="16" t="n">
        <f aca="false">+M29+O29</f>
        <v>7.4682</v>
      </c>
      <c r="O29" s="16" t="n">
        <f aca="false">RANDBETWEEN(-105,115)/10000</f>
        <v>-0.0018</v>
      </c>
      <c r="P29" s="16" t="n">
        <f aca="false">+Chạy!O69</f>
        <v>0.77</v>
      </c>
      <c r="Q29" s="16" t="n">
        <f aca="false">P29+R29</f>
        <v>0.853</v>
      </c>
      <c r="R29" s="16" t="n">
        <f aca="false">RANDBETWEEN(-30,90)/1000</f>
        <v>0.083</v>
      </c>
      <c r="S29" s="17"/>
      <c r="T29" s="0" t="n">
        <v>20</v>
      </c>
      <c r="W29" s="102"/>
      <c r="X29" s="102"/>
    </row>
    <row r="30" customFormat="false" ht="16.5" hidden="false" customHeight="true" outlineLevel="0" collapsed="false">
      <c r="A30" s="110" t="n">
        <v>9</v>
      </c>
      <c r="B30" s="13" t="s">
        <v>25</v>
      </c>
      <c r="C30" s="15" t="n">
        <f aca="false">+C29+T29</f>
        <v>349.25</v>
      </c>
      <c r="D30" s="16" t="n">
        <f aca="false">+Chạy!F78</f>
        <v>-13.75</v>
      </c>
      <c r="E30" s="16" t="n">
        <f aca="false">+D30+F30</f>
        <v>-13.7575</v>
      </c>
      <c r="F30" s="16" t="n">
        <f aca="false">RANDBETWEEN(-105,115)/10000</f>
        <v>-0.0075</v>
      </c>
      <c r="G30" s="16" t="n">
        <f aca="false">+Chạy!G78</f>
        <v>0.76</v>
      </c>
      <c r="H30" s="16" t="n">
        <f aca="false">G30+I30</f>
        <v>0.827</v>
      </c>
      <c r="I30" s="16" t="n">
        <f aca="false">RANDBETWEEN(-30,90)/1000</f>
        <v>0.067</v>
      </c>
      <c r="J30" s="16" t="n">
        <f aca="false">+Chạy!K78</f>
        <v>0.88</v>
      </c>
      <c r="K30" s="16" t="n">
        <f aca="false">J30+L30</f>
        <v>0.884</v>
      </c>
      <c r="L30" s="16" t="n">
        <f aca="false">RANDBETWEEN(-30,90)/1000</f>
        <v>0.004</v>
      </c>
      <c r="M30" s="16" t="n">
        <f aca="false">+Chạy!N78</f>
        <v>7.46</v>
      </c>
      <c r="N30" s="16" t="n">
        <f aca="false">+M30+O30</f>
        <v>7.4714</v>
      </c>
      <c r="O30" s="16" t="n">
        <f aca="false">RANDBETWEEN(-105,115)/10000</f>
        <v>0.0114</v>
      </c>
      <c r="P30" s="16" t="n">
        <f aca="false">+Chạy!O78</f>
        <v>0.76</v>
      </c>
      <c r="Q30" s="16" t="n">
        <f aca="false">P30+R30</f>
        <v>0.803</v>
      </c>
      <c r="R30" s="16" t="n">
        <f aca="false">RANDBETWEEN(-30,90)/1000</f>
        <v>0.043</v>
      </c>
      <c r="S30" s="17"/>
      <c r="T30" s="0" t="n">
        <v>19</v>
      </c>
      <c r="W30" s="102"/>
      <c r="X30" s="102"/>
    </row>
    <row r="31" customFormat="false" ht="16.5" hidden="false" customHeight="true" outlineLevel="0" collapsed="false">
      <c r="A31" s="110" t="n">
        <v>10</v>
      </c>
      <c r="B31" s="13" t="s">
        <v>26</v>
      </c>
      <c r="C31" s="15" t="n">
        <f aca="false">+C30+T30</f>
        <v>368.25</v>
      </c>
      <c r="D31" s="16" t="n">
        <f aca="false">+Chạy!F87</f>
        <v>-13.75</v>
      </c>
      <c r="E31" s="16" t="n">
        <f aca="false">+D31+F31</f>
        <v>-13.7467</v>
      </c>
      <c r="F31" s="16" t="n">
        <f aca="false">RANDBETWEEN(-105,115)/10000</f>
        <v>0.0033</v>
      </c>
      <c r="G31" s="16" t="n">
        <f aca="false">+Chạy!G87</f>
        <v>0.75</v>
      </c>
      <c r="H31" s="16" t="n">
        <f aca="false">G31+I31</f>
        <v>0.816</v>
      </c>
      <c r="I31" s="16" t="n">
        <f aca="false">RANDBETWEEN(-30,90)/1000</f>
        <v>0.066</v>
      </c>
      <c r="J31" s="16" t="n">
        <f aca="false">+Chạy!K87</f>
        <v>0.87</v>
      </c>
      <c r="K31" s="16" t="n">
        <f aca="false">J31+L31</f>
        <v>0.959</v>
      </c>
      <c r="L31" s="16" t="n">
        <f aca="false">RANDBETWEEN(-30,90)/1000</f>
        <v>0.089</v>
      </c>
      <c r="M31" s="16" t="n">
        <f aca="false">+Chạy!N87</f>
        <v>7.45</v>
      </c>
      <c r="N31" s="16" t="n">
        <f aca="false">+M31+O31</f>
        <v>7.4427</v>
      </c>
      <c r="O31" s="16" t="n">
        <f aca="false">RANDBETWEEN(-105,115)/10000</f>
        <v>-0.0073</v>
      </c>
      <c r="P31" s="16" t="n">
        <f aca="false">+Chạy!O87</f>
        <v>0.75</v>
      </c>
      <c r="Q31" s="16" t="n">
        <f aca="false">P31+R31</f>
        <v>0.778</v>
      </c>
      <c r="R31" s="16" t="n">
        <f aca="false">RANDBETWEEN(-30,90)/1000</f>
        <v>0.028</v>
      </c>
      <c r="S31" s="17"/>
      <c r="T31" s="0" t="n">
        <v>13.25</v>
      </c>
      <c r="W31" s="102"/>
      <c r="X31" s="102"/>
    </row>
    <row r="32" customFormat="false" ht="16.5" hidden="false" customHeight="true" outlineLevel="0" collapsed="false">
      <c r="A32" s="110" t="n">
        <v>11</v>
      </c>
      <c r="B32" s="13" t="s">
        <v>27</v>
      </c>
      <c r="C32" s="15" t="n">
        <f aca="false">+C31+T31</f>
        <v>381.5</v>
      </c>
      <c r="D32" s="16" t="n">
        <f aca="false">+Chạy!F96</f>
        <v>-13.75</v>
      </c>
      <c r="E32" s="16" t="n">
        <f aca="false">+D32+F32</f>
        <v>-13.7578</v>
      </c>
      <c r="F32" s="16" t="n">
        <f aca="false">RANDBETWEEN(-105,115)/10000</f>
        <v>-0.0078</v>
      </c>
      <c r="G32" s="16" t="n">
        <f aca="false">+Chạy!G96</f>
        <v>0.74</v>
      </c>
      <c r="H32" s="16" t="n">
        <f aca="false">G32+I32</f>
        <v>0.825</v>
      </c>
      <c r="I32" s="16" t="n">
        <f aca="false">RANDBETWEEN(-30,90)/1000</f>
        <v>0.085</v>
      </c>
      <c r="J32" s="16" t="n">
        <f aca="false">+Chạy!K96</f>
        <v>0.86</v>
      </c>
      <c r="K32" s="16" t="n">
        <f aca="false">J32+L32</f>
        <v>0.932</v>
      </c>
      <c r="L32" s="16" t="n">
        <f aca="false">RANDBETWEEN(-30,90)/1000</f>
        <v>0.072</v>
      </c>
      <c r="M32" s="16" t="n">
        <f aca="false">+Chạy!N96</f>
        <v>13.75</v>
      </c>
      <c r="N32" s="16" t="n">
        <f aca="false">+M32+O32</f>
        <v>13.7504</v>
      </c>
      <c r="O32" s="16" t="n">
        <f aca="false">RANDBETWEEN(-105,115)/10000</f>
        <v>0.0004</v>
      </c>
      <c r="P32" s="16" t="n">
        <f aca="false">+Chạy!O96</f>
        <v>0.74</v>
      </c>
      <c r="Q32" s="16" t="n">
        <f aca="false">P32+R32</f>
        <v>0.751</v>
      </c>
      <c r="R32" s="16" t="n">
        <f aca="false">RANDBETWEEN(-30,90)/1000</f>
        <v>0.011</v>
      </c>
      <c r="S32" s="17"/>
      <c r="T32" s="0" t="n">
        <v>13.25</v>
      </c>
      <c r="W32" s="102"/>
      <c r="X32" s="102"/>
    </row>
    <row r="33" customFormat="false" ht="16.5" hidden="false" customHeight="true" outlineLevel="0" collapsed="false">
      <c r="A33" s="110" t="n">
        <v>12</v>
      </c>
      <c r="B33" s="13" t="s">
        <v>28</v>
      </c>
      <c r="C33" s="15" t="n">
        <f aca="false">+C32+T32</f>
        <v>394.75</v>
      </c>
      <c r="D33" s="16" t="n">
        <f aca="false">+Chạy!F105</f>
        <v>-13.75</v>
      </c>
      <c r="E33" s="16" t="n">
        <f aca="false">+D33+F33</f>
        <v>-13.7447</v>
      </c>
      <c r="F33" s="16" t="n">
        <f aca="false">RANDBETWEEN(-105,115)/10000</f>
        <v>0.0053</v>
      </c>
      <c r="G33" s="16" t="n">
        <f aca="false">+Chạy!G105</f>
        <v>0.73</v>
      </c>
      <c r="H33" s="16" t="n">
        <f aca="false">G33+I33</f>
        <v>0.734</v>
      </c>
      <c r="I33" s="16" t="n">
        <f aca="false">RANDBETWEEN(-30,90)/1000</f>
        <v>0.004</v>
      </c>
      <c r="J33" s="16" t="n">
        <f aca="false">+Chạy!K105</f>
        <v>0.85</v>
      </c>
      <c r="K33" s="16" t="n">
        <f aca="false">J33+L33</f>
        <v>0.844</v>
      </c>
      <c r="L33" s="16" t="n">
        <f aca="false">RANDBETWEEN(-30,90)/1000</f>
        <v>-0.006</v>
      </c>
      <c r="M33" s="16" t="n">
        <f aca="false">+Chạy!N105</f>
        <v>13.75</v>
      </c>
      <c r="N33" s="16" t="n">
        <f aca="false">+M33+O33</f>
        <v>13.758</v>
      </c>
      <c r="O33" s="16" t="n">
        <f aca="false">RANDBETWEEN(-105,115)/10000</f>
        <v>0.008</v>
      </c>
      <c r="P33" s="16" t="n">
        <f aca="false">+Chạy!O105</f>
        <v>0.73</v>
      </c>
      <c r="Q33" s="16" t="n">
        <f aca="false">P33+R33</f>
        <v>0.744</v>
      </c>
      <c r="R33" s="16" t="n">
        <f aca="false">RANDBETWEEN(-30,90)/1000</f>
        <v>0.014</v>
      </c>
      <c r="S33" s="17"/>
      <c r="T33" s="0" t="n">
        <v>20</v>
      </c>
      <c r="W33" s="102"/>
      <c r="X33" s="102"/>
    </row>
    <row r="34" customFormat="false" ht="16.5" hidden="false" customHeight="true" outlineLevel="0" collapsed="false">
      <c r="A34" s="110" t="n">
        <v>13</v>
      </c>
      <c r="B34" s="13" t="s">
        <v>29</v>
      </c>
      <c r="C34" s="15" t="n">
        <f aca="false">+C33+T33</f>
        <v>414.75</v>
      </c>
      <c r="D34" s="16" t="n">
        <f aca="false">+Chạy!F114</f>
        <v>-13.75</v>
      </c>
      <c r="E34" s="16" t="n">
        <f aca="false">+D34+F34</f>
        <v>-13.7461</v>
      </c>
      <c r="F34" s="16" t="n">
        <f aca="false">RANDBETWEEN(-105,115)/10000</f>
        <v>0.0039</v>
      </c>
      <c r="G34" s="16" t="n">
        <f aca="false">+Chạy!G114</f>
        <v>0.72</v>
      </c>
      <c r="H34" s="16" t="n">
        <f aca="false">G34+I34</f>
        <v>0.699</v>
      </c>
      <c r="I34" s="16" t="n">
        <f aca="false">RANDBETWEEN(-30,90)/1000</f>
        <v>-0.021</v>
      </c>
      <c r="J34" s="16" t="n">
        <f aca="false">+Chạy!K114</f>
        <v>0.84</v>
      </c>
      <c r="K34" s="16" t="n">
        <f aca="false">J34+L34</f>
        <v>0.833</v>
      </c>
      <c r="L34" s="16" t="n">
        <f aca="false">RANDBETWEEN(-30,90)/1000</f>
        <v>-0.007</v>
      </c>
      <c r="M34" s="16" t="n">
        <f aca="false">+Chạy!N114</f>
        <v>13.75</v>
      </c>
      <c r="N34" s="16" t="n">
        <f aca="false">+M34+O34</f>
        <v>13.7408</v>
      </c>
      <c r="O34" s="16" t="n">
        <f aca="false">RANDBETWEEN(-105,115)/10000</f>
        <v>-0.0092</v>
      </c>
      <c r="P34" s="16" t="n">
        <f aca="false">+Chạy!O114</f>
        <v>0.72</v>
      </c>
      <c r="Q34" s="16" t="n">
        <f aca="false">P34+R34</f>
        <v>0.698</v>
      </c>
      <c r="R34" s="16" t="n">
        <f aca="false">RANDBETWEEN(-30,90)/1000</f>
        <v>-0.022</v>
      </c>
      <c r="S34" s="17"/>
      <c r="T34" s="0" t="n">
        <v>20</v>
      </c>
      <c r="W34" s="102"/>
      <c r="X34" s="102"/>
    </row>
    <row r="35" customFormat="false" ht="16.5" hidden="false" customHeight="true" outlineLevel="0" collapsed="false">
      <c r="A35" s="110" t="n">
        <v>14</v>
      </c>
      <c r="B35" s="13" t="s">
        <v>30</v>
      </c>
      <c r="C35" s="15" t="n">
        <f aca="false">+C34+T34</f>
        <v>434.75</v>
      </c>
      <c r="D35" s="16" t="n">
        <f aca="false">+Chạy!F123</f>
        <v>-13.75</v>
      </c>
      <c r="E35" s="16" t="n">
        <f aca="false">+D35+F35</f>
        <v>-13.7436</v>
      </c>
      <c r="F35" s="16" t="n">
        <f aca="false">RANDBETWEEN(-105,115)/10000</f>
        <v>0.0064</v>
      </c>
      <c r="G35" s="16" t="n">
        <f aca="false">+Chạy!G123</f>
        <v>0.71</v>
      </c>
      <c r="H35" s="16" t="n">
        <f aca="false">G35+I35</f>
        <v>0.741</v>
      </c>
      <c r="I35" s="16" t="n">
        <f aca="false">RANDBETWEEN(-30,90)/1000</f>
        <v>0.031</v>
      </c>
      <c r="J35" s="16" t="n">
        <f aca="false">+Chạy!K123</f>
        <v>0.82</v>
      </c>
      <c r="K35" s="16" t="n">
        <f aca="false">J35+L35</f>
        <v>0.801</v>
      </c>
      <c r="L35" s="16" t="n">
        <f aca="false">RANDBETWEEN(-30,90)/1000</f>
        <v>-0.019</v>
      </c>
      <c r="M35" s="16" t="n">
        <f aca="false">+Chạy!N123</f>
        <v>13.75</v>
      </c>
      <c r="N35" s="16" t="n">
        <f aca="false">+M35+O35</f>
        <v>13.7606</v>
      </c>
      <c r="O35" s="16" t="n">
        <f aca="false">RANDBETWEEN(-105,115)/10000</f>
        <v>0.0106</v>
      </c>
      <c r="P35" s="16" t="n">
        <f aca="false">+Chạy!O123</f>
        <v>0.71</v>
      </c>
      <c r="Q35" s="16" t="n">
        <f aca="false">P35+R35</f>
        <v>0.759</v>
      </c>
      <c r="R35" s="16" t="n">
        <f aca="false">RANDBETWEEN(-30,90)/1000</f>
        <v>0.049</v>
      </c>
      <c r="S35" s="17"/>
      <c r="T35" s="0" t="n">
        <v>20</v>
      </c>
      <c r="W35" s="102"/>
      <c r="X35" s="102"/>
    </row>
    <row r="36" customFormat="false" ht="16.5" hidden="false" customHeight="true" outlineLevel="0" collapsed="false">
      <c r="A36" s="110" t="n">
        <v>15</v>
      </c>
      <c r="B36" s="13" t="s">
        <v>31</v>
      </c>
      <c r="C36" s="15" t="n">
        <f aca="false">+C35+T35</f>
        <v>454.75</v>
      </c>
      <c r="D36" s="16" t="n">
        <f aca="false">+Chạy!F132</f>
        <v>-13.75</v>
      </c>
      <c r="E36" s="16" t="n">
        <f aca="false">+D36+F36</f>
        <v>-13.7427</v>
      </c>
      <c r="F36" s="16" t="n">
        <f aca="false">RANDBETWEEN(-105,115)/10000</f>
        <v>0.0073</v>
      </c>
      <c r="G36" s="16" t="n">
        <f aca="false">+Chạy!G132</f>
        <v>0.69</v>
      </c>
      <c r="H36" s="16" t="n">
        <f aca="false">G36+I36</f>
        <v>0.69</v>
      </c>
      <c r="I36" s="16" t="n">
        <f aca="false">RANDBETWEEN(-30,90)/1000</f>
        <v>0</v>
      </c>
      <c r="J36" s="16" t="n">
        <f aca="false">+Chạy!K132</f>
        <v>0.81</v>
      </c>
      <c r="K36" s="16" t="n">
        <f aca="false">J36+L36</f>
        <v>0.803</v>
      </c>
      <c r="L36" s="16" t="n">
        <f aca="false">RANDBETWEEN(-30,90)/1000</f>
        <v>-0.007</v>
      </c>
      <c r="M36" s="16" t="n">
        <f aca="false">+Chạy!N132</f>
        <v>13.75</v>
      </c>
      <c r="N36" s="16" t="n">
        <f aca="false">+M36+O36</f>
        <v>13.7605</v>
      </c>
      <c r="O36" s="16" t="n">
        <f aca="false">RANDBETWEEN(-105,115)/10000</f>
        <v>0.0105</v>
      </c>
      <c r="P36" s="16" t="n">
        <f aca="false">+Chạy!O132</f>
        <v>0.69</v>
      </c>
      <c r="Q36" s="16" t="n">
        <f aca="false">P36+R36</f>
        <v>0.713</v>
      </c>
      <c r="R36" s="16" t="n">
        <f aca="false">RANDBETWEEN(-30,90)/1000</f>
        <v>0.023</v>
      </c>
      <c r="S36" s="17"/>
      <c r="T36" s="0" t="n">
        <v>20</v>
      </c>
      <c r="W36" s="102"/>
      <c r="X36" s="102"/>
    </row>
    <row r="37" customFormat="false" ht="16.5" hidden="false" customHeight="true" outlineLevel="0" collapsed="false">
      <c r="A37" s="110" t="n">
        <v>16</v>
      </c>
      <c r="B37" s="13" t="s">
        <v>32</v>
      </c>
      <c r="C37" s="15" t="n">
        <f aca="false">+C36+T36</f>
        <v>474.75</v>
      </c>
      <c r="D37" s="16" t="n">
        <f aca="false">+Chạy!F141</f>
        <v>-13.75</v>
      </c>
      <c r="E37" s="16" t="n">
        <f aca="false">+D37+F37</f>
        <v>-13.7411</v>
      </c>
      <c r="F37" s="16" t="n">
        <f aca="false">RANDBETWEEN(-105,115)/10000</f>
        <v>0.0089</v>
      </c>
      <c r="G37" s="16" t="n">
        <f aca="false">+Chạy!G141</f>
        <v>0.68</v>
      </c>
      <c r="H37" s="16" t="n">
        <f aca="false">G37+I37</f>
        <v>0.747</v>
      </c>
      <c r="I37" s="16" t="n">
        <f aca="false">RANDBETWEEN(-30,90)/1000</f>
        <v>0.067</v>
      </c>
      <c r="J37" s="16" t="n">
        <f aca="false">+Chạy!K141</f>
        <v>0.8</v>
      </c>
      <c r="K37" s="16" t="n">
        <f aca="false">J37+L37</f>
        <v>0.811</v>
      </c>
      <c r="L37" s="16" t="n">
        <f aca="false">RANDBETWEEN(-30,90)/1000</f>
        <v>0.011</v>
      </c>
      <c r="M37" s="16" t="n">
        <f aca="false">+Chạy!N141</f>
        <v>13.75</v>
      </c>
      <c r="N37" s="16" t="n">
        <f aca="false">+M37+O37</f>
        <v>13.7583</v>
      </c>
      <c r="O37" s="16" t="n">
        <f aca="false">RANDBETWEEN(-105,115)/10000</f>
        <v>0.0083</v>
      </c>
      <c r="P37" s="16" t="n">
        <f aca="false">+Chạy!O141</f>
        <v>0.68</v>
      </c>
      <c r="Q37" s="16" t="n">
        <f aca="false">P37+R37</f>
        <v>0.702</v>
      </c>
      <c r="R37" s="16" t="n">
        <f aca="false">RANDBETWEEN(-30,90)/1000</f>
        <v>0.022</v>
      </c>
      <c r="S37" s="17"/>
      <c r="T37" s="0" t="n">
        <v>14.44</v>
      </c>
      <c r="W37" s="102"/>
      <c r="X37" s="102"/>
    </row>
    <row r="38" customFormat="false" ht="16.5" hidden="false" customHeight="true" outlineLevel="0" collapsed="false">
      <c r="A38" s="110" t="n">
        <v>17</v>
      </c>
      <c r="B38" s="13" t="s">
        <v>33</v>
      </c>
      <c r="C38" s="15" t="n">
        <f aca="false">+C37+T37</f>
        <v>489.19</v>
      </c>
      <c r="D38" s="16" t="n">
        <f aca="false">+Chạy!F150</f>
        <v>-13.75</v>
      </c>
      <c r="E38" s="16" t="n">
        <f aca="false">+D38+F38</f>
        <v>-13.7389</v>
      </c>
      <c r="F38" s="16" t="n">
        <f aca="false">RANDBETWEEN(-105,115)/10000</f>
        <v>0.0111</v>
      </c>
      <c r="G38" s="16" t="n">
        <f aca="false">+Chạy!G150</f>
        <v>0.67</v>
      </c>
      <c r="H38" s="16" t="n">
        <f aca="false">G38+I38</f>
        <v>0.75</v>
      </c>
      <c r="I38" s="16" t="n">
        <f aca="false">RANDBETWEEN(-30,90)/1000</f>
        <v>0.08</v>
      </c>
      <c r="J38" s="16" t="n">
        <f aca="false">+Chạy!K150</f>
        <v>0.79</v>
      </c>
      <c r="K38" s="16" t="n">
        <f aca="false">J38+L38</f>
        <v>0.844</v>
      </c>
      <c r="L38" s="16" t="n">
        <f aca="false">RANDBETWEEN(-30,90)/1000</f>
        <v>0.054</v>
      </c>
      <c r="M38" s="16" t="n">
        <f aca="false">+Chạy!N150</f>
        <v>13.75</v>
      </c>
      <c r="N38" s="16" t="n">
        <f aca="false">+M38+O38</f>
        <v>13.7485</v>
      </c>
      <c r="O38" s="16" t="n">
        <f aca="false">RANDBETWEEN(-105,115)/10000</f>
        <v>-0.0015</v>
      </c>
      <c r="P38" s="16" t="n">
        <f aca="false">+Chạy!O150</f>
        <v>0.67</v>
      </c>
      <c r="Q38" s="16" t="n">
        <f aca="false">P38+R38</f>
        <v>0.676</v>
      </c>
      <c r="R38" s="16" t="n">
        <f aca="false">RANDBETWEEN(-30,90)/1000</f>
        <v>0.006</v>
      </c>
      <c r="S38" s="17"/>
      <c r="T38" s="0" t="n">
        <v>13.17</v>
      </c>
      <c r="W38" s="102"/>
      <c r="X38" s="102"/>
    </row>
    <row r="39" customFormat="false" ht="16.5" hidden="false" customHeight="true" outlineLevel="0" collapsed="false">
      <c r="A39" s="110" t="n">
        <v>18</v>
      </c>
      <c r="B39" s="13" t="s">
        <v>34</v>
      </c>
      <c r="C39" s="15" t="n">
        <f aca="false">+C38+T38</f>
        <v>502.36</v>
      </c>
      <c r="D39" s="16" t="n">
        <f aca="false">+Chạy!F159</f>
        <v>-13.75</v>
      </c>
      <c r="E39" s="16" t="n">
        <f aca="false">+D39+F39</f>
        <v>-13.7424</v>
      </c>
      <c r="F39" s="16" t="n">
        <f aca="false">RANDBETWEEN(-105,115)/10000</f>
        <v>0.0076</v>
      </c>
      <c r="G39" s="16" t="n">
        <f aca="false">+Chạy!G159</f>
        <v>0.66</v>
      </c>
      <c r="H39" s="16" t="n">
        <f aca="false">G39+I39</f>
        <v>0.725</v>
      </c>
      <c r="I39" s="16" t="n">
        <f aca="false">RANDBETWEEN(-30,90)/1000</f>
        <v>0.065</v>
      </c>
      <c r="J39" s="16" t="n">
        <f aca="false">+Chạy!K159</f>
        <v>0.78</v>
      </c>
      <c r="K39" s="16" t="n">
        <f aca="false">J39+L39</f>
        <v>0.754</v>
      </c>
      <c r="L39" s="16" t="n">
        <f aca="false">RANDBETWEEN(-30,90)/1000</f>
        <v>-0.026</v>
      </c>
      <c r="M39" s="16" t="n">
        <f aca="false">+Chạy!N159</f>
        <v>13.75</v>
      </c>
      <c r="N39" s="16" t="n">
        <f aca="false">+M39+O39</f>
        <v>13.7406</v>
      </c>
      <c r="O39" s="16" t="n">
        <f aca="false">RANDBETWEEN(-105,115)/10000</f>
        <v>-0.0094</v>
      </c>
      <c r="P39" s="16" t="n">
        <f aca="false">+Chạy!O159</f>
        <v>0.66</v>
      </c>
      <c r="Q39" s="16" t="n">
        <f aca="false">P39+R39</f>
        <v>0.706</v>
      </c>
      <c r="R39" s="16" t="n">
        <f aca="false">RANDBETWEEN(-30,90)/1000</f>
        <v>0.046</v>
      </c>
      <c r="S39" s="17"/>
      <c r="T39" s="0" t="n">
        <v>10.48</v>
      </c>
      <c r="W39" s="102"/>
      <c r="X39" s="102"/>
    </row>
    <row r="40" customFormat="false" ht="16.5" hidden="false" customHeight="true" outlineLevel="0" collapsed="false">
      <c r="A40" s="110" t="n">
        <v>19</v>
      </c>
      <c r="B40" s="13" t="s">
        <v>35</v>
      </c>
      <c r="C40" s="15" t="n">
        <f aca="false">+C39+T39</f>
        <v>512.84</v>
      </c>
      <c r="D40" s="16" t="n">
        <f aca="false">+Chạy!F168</f>
        <v>-13.75</v>
      </c>
      <c r="E40" s="16" t="n">
        <f aca="false">+D40+F40</f>
        <v>-13.7494</v>
      </c>
      <c r="F40" s="16" t="n">
        <f aca="false">RANDBETWEEN(-105,115)/10000</f>
        <v>0.0006</v>
      </c>
      <c r="G40" s="16" t="n">
        <f aca="false">+Chạy!G168</f>
        <v>0.66</v>
      </c>
      <c r="H40" s="16" t="n">
        <f aca="false">G40+I40</f>
        <v>0.67</v>
      </c>
      <c r="I40" s="16" t="n">
        <f aca="false">RANDBETWEEN(-30,90)/1000</f>
        <v>0.01</v>
      </c>
      <c r="J40" s="16" t="n">
        <f aca="false">+Chạy!K168</f>
        <v>0.77</v>
      </c>
      <c r="K40" s="16" t="n">
        <f aca="false">J40+L40</f>
        <v>0.832</v>
      </c>
      <c r="L40" s="16" t="n">
        <f aca="false">RANDBETWEEN(-30,90)/1000</f>
        <v>0.062</v>
      </c>
      <c r="M40" s="16" t="n">
        <f aca="false">+Chạy!N168</f>
        <v>13.75</v>
      </c>
      <c r="N40" s="16" t="n">
        <f aca="false">+M40+O40</f>
        <v>13.7474</v>
      </c>
      <c r="O40" s="16" t="n">
        <f aca="false">RANDBETWEEN(-105,115)/10000</f>
        <v>-0.0026</v>
      </c>
      <c r="P40" s="16" t="n">
        <f aca="false">+Chạy!O168</f>
        <v>0.66</v>
      </c>
      <c r="Q40" s="16" t="n">
        <f aca="false">P40+R40</f>
        <v>0.647</v>
      </c>
      <c r="R40" s="16" t="n">
        <f aca="false">RANDBETWEEN(-30,90)/1000</f>
        <v>-0.013</v>
      </c>
      <c r="S40" s="17"/>
      <c r="T40" s="0" t="n">
        <v>16.78</v>
      </c>
      <c r="W40" s="102"/>
      <c r="X40" s="102"/>
    </row>
    <row r="41" customFormat="false" ht="16.5" hidden="false" customHeight="true" outlineLevel="0" collapsed="false">
      <c r="A41" s="110" t="n">
        <v>20</v>
      </c>
      <c r="B41" s="13" t="s">
        <v>36</v>
      </c>
      <c r="C41" s="15" t="n">
        <f aca="false">+C40+T40</f>
        <v>529.62</v>
      </c>
      <c r="D41" s="16" t="n">
        <f aca="false">+Chạy!F177</f>
        <v>-13.75</v>
      </c>
      <c r="E41" s="16" t="n">
        <f aca="false">+D41+F41</f>
        <v>-13.7508</v>
      </c>
      <c r="F41" s="16" t="n">
        <f aca="false">RANDBETWEEN(-105,115)/10000</f>
        <v>-0.0008</v>
      </c>
      <c r="G41" s="16" t="n">
        <f aca="false">+Chạy!G177</f>
        <v>0.65</v>
      </c>
      <c r="H41" s="16" t="n">
        <f aca="false">G41+I41</f>
        <v>0.676</v>
      </c>
      <c r="I41" s="16" t="n">
        <f aca="false">RANDBETWEEN(-30,90)/1000</f>
        <v>0.026</v>
      </c>
      <c r="J41" s="16" t="n">
        <f aca="false">+Chạy!K177</f>
        <v>0.77</v>
      </c>
      <c r="K41" s="16" t="n">
        <f aca="false">J41+L41</f>
        <v>0.822</v>
      </c>
      <c r="L41" s="16" t="n">
        <f aca="false">RANDBETWEEN(-30,90)/1000</f>
        <v>0.052</v>
      </c>
      <c r="M41" s="16" t="n">
        <f aca="false">+Chạy!N177</f>
        <v>13.75</v>
      </c>
      <c r="N41" s="16" t="n">
        <f aca="false">+M41+O41</f>
        <v>13.7476</v>
      </c>
      <c r="O41" s="16" t="n">
        <f aca="false">RANDBETWEEN(-105,115)/10000</f>
        <v>-0.0024</v>
      </c>
      <c r="P41" s="16" t="n">
        <f aca="false">+Chạy!O177</f>
        <v>0.65</v>
      </c>
      <c r="Q41" s="16" t="n">
        <f aca="false">P41+R41</f>
        <v>0.686</v>
      </c>
      <c r="R41" s="16" t="n">
        <f aca="false">RANDBETWEEN(-30,90)/1000</f>
        <v>0.036</v>
      </c>
      <c r="S41" s="17"/>
      <c r="T41" s="0" t="n">
        <v>17.1</v>
      </c>
      <c r="W41" s="102"/>
      <c r="X41" s="102"/>
    </row>
    <row r="42" customFormat="false" ht="16.5" hidden="false" customHeight="true" outlineLevel="0" collapsed="false">
      <c r="A42" s="110" t="n">
        <v>21</v>
      </c>
      <c r="B42" s="13" t="s">
        <v>37</v>
      </c>
      <c r="C42" s="15" t="n">
        <f aca="false">+C41+T41</f>
        <v>546.72</v>
      </c>
      <c r="D42" s="16" t="n">
        <f aca="false">+Chạy!F186</f>
        <v>-13.75</v>
      </c>
      <c r="E42" s="16" t="n">
        <f aca="false">+D42+F42</f>
        <v>-13.7465</v>
      </c>
      <c r="F42" s="16" t="n">
        <f aca="false">RANDBETWEEN(-105,115)/10000</f>
        <v>0.0035</v>
      </c>
      <c r="G42" s="16" t="n">
        <f aca="false">+Chạy!G186</f>
        <v>0.64</v>
      </c>
      <c r="H42" s="16" t="n">
        <f aca="false">G42+I42</f>
        <v>0.701</v>
      </c>
      <c r="I42" s="16" t="n">
        <f aca="false">RANDBETWEEN(-30,90)/1000</f>
        <v>0.061</v>
      </c>
      <c r="J42" s="16" t="n">
        <f aca="false">+Chạy!K186</f>
        <v>0.76</v>
      </c>
      <c r="K42" s="16" t="n">
        <f aca="false">J42+L42</f>
        <v>0.83</v>
      </c>
      <c r="L42" s="16" t="n">
        <f aca="false">RANDBETWEEN(-30,90)/1000</f>
        <v>0.07</v>
      </c>
      <c r="M42" s="16" t="n">
        <f aca="false">+Chạy!N186</f>
        <v>13.75</v>
      </c>
      <c r="N42" s="16" t="n">
        <f aca="false">+M42+O42</f>
        <v>13.7575</v>
      </c>
      <c r="O42" s="16" t="n">
        <f aca="false">RANDBETWEEN(-105,115)/10000</f>
        <v>0.0075</v>
      </c>
      <c r="P42" s="16" t="n">
        <f aca="false">+Chạy!O186</f>
        <v>0.64</v>
      </c>
      <c r="Q42" s="16" t="n">
        <f aca="false">P42+R42</f>
        <v>0.698</v>
      </c>
      <c r="R42" s="16" t="n">
        <f aca="false">RANDBETWEEN(-30,90)/1000</f>
        <v>0.058</v>
      </c>
      <c r="S42" s="17"/>
      <c r="T42" s="0" t="n">
        <v>15.15</v>
      </c>
      <c r="W42" s="102"/>
      <c r="X42" s="102"/>
    </row>
    <row r="43" customFormat="false" ht="16.5" hidden="false" customHeight="true" outlineLevel="0" collapsed="false">
      <c r="A43" s="110" t="n">
        <v>22</v>
      </c>
      <c r="B43" s="13" t="s">
        <v>38</v>
      </c>
      <c r="C43" s="15" t="n">
        <f aca="false">+C42+T42</f>
        <v>561.87</v>
      </c>
      <c r="D43" s="16" t="n">
        <f aca="false">+Chạy!F195</f>
        <v>-13.75</v>
      </c>
      <c r="E43" s="16" t="n">
        <f aca="false">+D43+F43</f>
        <v>-13.7393</v>
      </c>
      <c r="F43" s="16" t="n">
        <f aca="false">RANDBETWEEN(-105,115)/10000</f>
        <v>0.0107</v>
      </c>
      <c r="G43" s="16" t="n">
        <f aca="false">+Chạy!G195</f>
        <v>0.64</v>
      </c>
      <c r="H43" s="16" t="n">
        <f aca="false">G43+I43</f>
        <v>0.698</v>
      </c>
      <c r="I43" s="16" t="n">
        <f aca="false">RANDBETWEEN(-30,90)/1000</f>
        <v>0.058</v>
      </c>
      <c r="J43" s="16" t="n">
        <f aca="false">+Chạy!K195</f>
        <v>0.75</v>
      </c>
      <c r="K43" s="16" t="n">
        <f aca="false">J43+L43</f>
        <v>0.739</v>
      </c>
      <c r="L43" s="16" t="n">
        <f aca="false">RANDBETWEEN(-30,90)/1000</f>
        <v>-0.011</v>
      </c>
      <c r="M43" s="16" t="n">
        <f aca="false">+Chạy!N195</f>
        <v>13.75</v>
      </c>
      <c r="N43" s="16" t="n">
        <f aca="false">+M43+O43</f>
        <v>13.7417</v>
      </c>
      <c r="O43" s="16" t="n">
        <f aca="false">RANDBETWEEN(-105,115)/10000</f>
        <v>-0.0083</v>
      </c>
      <c r="P43" s="16" t="n">
        <f aca="false">+Chạy!O195</f>
        <v>0.64</v>
      </c>
      <c r="Q43" s="16" t="n">
        <f aca="false">P43+R43</f>
        <v>0.669</v>
      </c>
      <c r="R43" s="16" t="n">
        <f aca="false">RANDBETWEEN(-30,90)/1000</f>
        <v>0.029</v>
      </c>
      <c r="S43" s="17"/>
      <c r="T43" s="0" t="n">
        <v>0.15</v>
      </c>
      <c r="W43" s="102"/>
      <c r="X43" s="102"/>
    </row>
    <row r="44" customFormat="false" ht="16.5" hidden="false" customHeight="true" outlineLevel="0" collapsed="false">
      <c r="A44" s="110" t="n">
        <v>23</v>
      </c>
      <c r="B44" s="13" t="s">
        <v>39</v>
      </c>
      <c r="C44" s="15" t="n">
        <f aca="false">+C43+T43</f>
        <v>562.02</v>
      </c>
      <c r="D44" s="16" t="n">
        <f aca="false">+Chạy!F204</f>
        <v>-13.75</v>
      </c>
      <c r="E44" s="16" t="n">
        <f aca="false">+D44+F44</f>
        <v>-13.7528</v>
      </c>
      <c r="F44" s="16" t="n">
        <f aca="false">RANDBETWEEN(-105,115)/10000</f>
        <v>-0.0028</v>
      </c>
      <c r="G44" s="16" t="n">
        <f aca="false">+Chạy!G204</f>
        <v>0.64</v>
      </c>
      <c r="H44" s="16" t="n">
        <f aca="false">G44+I44</f>
        <v>0.637</v>
      </c>
      <c r="I44" s="16" t="n">
        <f aca="false">RANDBETWEEN(-30,90)/1000</f>
        <v>-0.003</v>
      </c>
      <c r="J44" s="16" t="n">
        <f aca="false">+Chạy!K204</f>
        <v>0.75</v>
      </c>
      <c r="K44" s="16" t="n">
        <f aca="false">J44+L44</f>
        <v>0.764</v>
      </c>
      <c r="L44" s="16" t="n">
        <f aca="false">RANDBETWEEN(-30,90)/1000</f>
        <v>0.014</v>
      </c>
      <c r="M44" s="16" t="n">
        <f aca="false">+Chạy!N204</f>
        <v>13.75</v>
      </c>
      <c r="N44" s="16" t="n">
        <f aca="false">+M44+O44</f>
        <v>13.7408</v>
      </c>
      <c r="O44" s="16" t="n">
        <f aca="false">RANDBETWEEN(-105,115)/10000</f>
        <v>-0.0092</v>
      </c>
      <c r="P44" s="16" t="n">
        <f aca="false">+Chạy!O204</f>
        <v>0.64</v>
      </c>
      <c r="Q44" s="16" t="n">
        <f aca="false">P44+R44</f>
        <v>0.659</v>
      </c>
      <c r="R44" s="16" t="n">
        <f aca="false">RANDBETWEEN(-30,90)/1000</f>
        <v>0.019</v>
      </c>
      <c r="S44" s="17"/>
      <c r="T44" s="0" t="n">
        <v>6.55</v>
      </c>
      <c r="W44" s="102"/>
      <c r="X44" s="102"/>
    </row>
    <row r="45" customFormat="false" ht="16.5" hidden="false" customHeight="true" outlineLevel="0" collapsed="false">
      <c r="A45" s="110" t="n">
        <v>24</v>
      </c>
      <c r="B45" s="13" t="s">
        <v>40</v>
      </c>
      <c r="C45" s="15" t="n">
        <f aca="false">+C44+T44</f>
        <v>568.57</v>
      </c>
      <c r="D45" s="16" t="n">
        <f aca="false">+Chạy!F213</f>
        <v>-13.75</v>
      </c>
      <c r="E45" s="16" t="n">
        <f aca="false">+D45+F45</f>
        <v>-13.7433</v>
      </c>
      <c r="F45" s="16" t="n">
        <f aca="false">RANDBETWEEN(-105,115)/10000</f>
        <v>0.0067</v>
      </c>
      <c r="G45" s="16" t="n">
        <f aca="false">+Chạy!G213</f>
        <v>0.64</v>
      </c>
      <c r="H45" s="16" t="n">
        <f aca="false">G45+I45</f>
        <v>0.728</v>
      </c>
      <c r="I45" s="16" t="n">
        <f aca="false">RANDBETWEEN(-30,90)/1000</f>
        <v>0.088</v>
      </c>
      <c r="J45" s="16" t="n">
        <f aca="false">+Chạy!K213</f>
        <v>0.75</v>
      </c>
      <c r="K45" s="16" t="n">
        <f aca="false">J45+L45</f>
        <v>0.82</v>
      </c>
      <c r="L45" s="16" t="n">
        <f aca="false">RANDBETWEEN(-30,90)/1000</f>
        <v>0.07</v>
      </c>
      <c r="M45" s="16" t="n">
        <f aca="false">+Chạy!N213</f>
        <v>13.75</v>
      </c>
      <c r="N45" s="16" t="n">
        <f aca="false">+M45+O45</f>
        <v>13.7612</v>
      </c>
      <c r="O45" s="16" t="n">
        <f aca="false">RANDBETWEEN(-105,115)/10000</f>
        <v>0.0112</v>
      </c>
      <c r="P45" s="16" t="n">
        <f aca="false">+Chạy!O213</f>
        <v>0.64</v>
      </c>
      <c r="Q45" s="16" t="n">
        <f aca="false">P45+R45</f>
        <v>0.689</v>
      </c>
      <c r="R45" s="16" t="n">
        <f aca="false">RANDBETWEEN(-30,90)/1000</f>
        <v>0.049</v>
      </c>
      <c r="S45" s="17"/>
      <c r="T45" s="0" t="n">
        <v>6.55</v>
      </c>
      <c r="W45" s="102"/>
      <c r="X45" s="102"/>
    </row>
    <row r="46" customFormat="false" ht="16.5" hidden="false" customHeight="true" outlineLevel="0" collapsed="false">
      <c r="A46" s="110" t="n">
        <v>25</v>
      </c>
      <c r="B46" s="13" t="s">
        <v>1</v>
      </c>
      <c r="C46" s="15" t="n">
        <f aca="false">+C45+T45</f>
        <v>575.12</v>
      </c>
      <c r="D46" s="16" t="n">
        <f aca="false">+Chạy!F222</f>
        <v>-13.75</v>
      </c>
      <c r="E46" s="16" t="n">
        <f aca="false">+D46+F46</f>
        <v>-13.748</v>
      </c>
      <c r="F46" s="16" t="n">
        <f aca="false">RANDBETWEEN(-105,115)/10000</f>
        <v>0.002</v>
      </c>
      <c r="G46" s="16" t="n">
        <f aca="false">+Chạy!G222</f>
        <v>0.64</v>
      </c>
      <c r="H46" s="16" t="n">
        <f aca="false">G46+I46</f>
        <v>0.681</v>
      </c>
      <c r="I46" s="16" t="n">
        <f aca="false">RANDBETWEEN(-30,90)/1000</f>
        <v>0.041</v>
      </c>
      <c r="J46" s="16" t="n">
        <f aca="false">+Chạy!K222</f>
        <v>0.75</v>
      </c>
      <c r="K46" s="16" t="n">
        <f aca="false">J46+L46</f>
        <v>0.736</v>
      </c>
      <c r="L46" s="16" t="n">
        <f aca="false">RANDBETWEEN(-30,90)/1000</f>
        <v>-0.014</v>
      </c>
      <c r="M46" s="16" t="n">
        <f aca="false">+Chạy!N222</f>
        <v>13.75</v>
      </c>
      <c r="N46" s="16" t="n">
        <f aca="false">+M46+O46</f>
        <v>13.7404</v>
      </c>
      <c r="O46" s="16" t="n">
        <f aca="false">RANDBETWEEN(-105,115)/10000</f>
        <v>-0.0096</v>
      </c>
      <c r="P46" s="16" t="n">
        <f aca="false">+Chạy!O222</f>
        <v>0.64</v>
      </c>
      <c r="Q46" s="16" t="n">
        <f aca="false">P46+R46</f>
        <v>0.624</v>
      </c>
      <c r="R46" s="16" t="n">
        <f aca="false">RANDBETWEEN(-30,90)/1000</f>
        <v>-0.016</v>
      </c>
      <c r="S46" s="17"/>
      <c r="T46" s="0" t="n">
        <v>0.04</v>
      </c>
      <c r="W46" s="102"/>
      <c r="X46" s="102"/>
    </row>
    <row r="47" customFormat="false" ht="16.5" hidden="false" customHeight="true" outlineLevel="0" collapsed="false">
      <c r="A47" s="110" t="n">
        <v>26</v>
      </c>
      <c r="B47" s="13" t="s">
        <v>41</v>
      </c>
      <c r="C47" s="15" t="n">
        <f aca="false">+C46+T46</f>
        <v>575.16</v>
      </c>
      <c r="D47" s="16" t="n">
        <f aca="false">+Chạy!F231</f>
        <v>-13.75</v>
      </c>
      <c r="E47" s="16" t="n">
        <f aca="false">+D47+F47</f>
        <v>-13.751</v>
      </c>
      <c r="F47" s="16" t="n">
        <f aca="false">RANDBETWEEN(-105,115)/10000</f>
        <v>-0.001</v>
      </c>
      <c r="G47" s="16" t="n">
        <f aca="false">+Chạy!G231</f>
        <v>0.77</v>
      </c>
      <c r="H47" s="16" t="n">
        <f aca="false">G47+I47</f>
        <v>0.805</v>
      </c>
      <c r="I47" s="16" t="n">
        <f aca="false">RANDBETWEEN(-30,90)/1000</f>
        <v>0.035</v>
      </c>
      <c r="J47" s="16" t="n">
        <f aca="false">+Chạy!K231</f>
        <v>0.75</v>
      </c>
      <c r="K47" s="16" t="n">
        <f aca="false">J47+L47</f>
        <v>0.77</v>
      </c>
      <c r="L47" s="16" t="n">
        <f aca="false">RANDBETWEEN(-30,90)/1000</f>
        <v>0.02</v>
      </c>
      <c r="M47" s="16" t="n">
        <f aca="false">+Chạy!N231</f>
        <v>13.75</v>
      </c>
      <c r="N47" s="16" t="n">
        <f aca="false">+M47+O47</f>
        <v>13.7459</v>
      </c>
      <c r="O47" s="16" t="n">
        <f aca="false">RANDBETWEEN(-105,115)/10000</f>
        <v>-0.0041</v>
      </c>
      <c r="P47" s="16" t="n">
        <f aca="false">+Chạy!O231</f>
        <v>0.64</v>
      </c>
      <c r="Q47" s="16" t="n">
        <f aca="false">P47+R47</f>
        <v>0.652</v>
      </c>
      <c r="R47" s="16" t="n">
        <f aca="false">RANDBETWEEN(-30,90)/1000</f>
        <v>0.012</v>
      </c>
      <c r="S47" s="17"/>
      <c r="T47" s="0" t="n">
        <v>16.95</v>
      </c>
      <c r="W47" s="102"/>
      <c r="X47" s="102"/>
    </row>
    <row r="48" customFormat="false" ht="16.5" hidden="false" customHeight="true" outlineLevel="0" collapsed="false">
      <c r="A48" s="110" t="n">
        <v>27</v>
      </c>
      <c r="B48" s="13" t="s">
        <v>42</v>
      </c>
      <c r="C48" s="15" t="n">
        <f aca="false">+C47+T47</f>
        <v>592.11</v>
      </c>
      <c r="D48" s="16" t="n">
        <f aca="false">+Chạy!F240</f>
        <v>-13.75</v>
      </c>
      <c r="E48" s="16" t="n">
        <f aca="false">+D48+F48</f>
        <v>-13.7484</v>
      </c>
      <c r="F48" s="16" t="n">
        <f aca="false">RANDBETWEEN(-105,115)/10000</f>
        <v>0.0016</v>
      </c>
      <c r="G48" s="16" t="n">
        <f aca="false">+Chạy!G240</f>
        <v>0.64</v>
      </c>
      <c r="H48" s="16" t="n">
        <f aca="false">G48+I48</f>
        <v>0.618</v>
      </c>
      <c r="I48" s="16" t="n">
        <f aca="false">RANDBETWEEN(-30,90)/1000</f>
        <v>-0.022</v>
      </c>
      <c r="J48" s="16" t="n">
        <f aca="false">+Chạy!K240</f>
        <v>0.76</v>
      </c>
      <c r="K48" s="16" t="n">
        <f aca="false">J48+L48</f>
        <v>0.765</v>
      </c>
      <c r="L48" s="16" t="n">
        <f aca="false">RANDBETWEEN(-30,90)/1000</f>
        <v>0.005</v>
      </c>
      <c r="M48" s="16" t="n">
        <f aca="false">+Chạy!N240</f>
        <v>13.75</v>
      </c>
      <c r="N48" s="16" t="n">
        <f aca="false">+M48+O48</f>
        <v>13.745</v>
      </c>
      <c r="O48" s="16" t="n">
        <f aca="false">RANDBETWEEN(-105,115)/10000</f>
        <v>-0.005</v>
      </c>
      <c r="P48" s="16" t="n">
        <f aca="false">+Chạy!O240</f>
        <v>0.64</v>
      </c>
      <c r="Q48" s="16" t="n">
        <f aca="false">P48+R48</f>
        <v>0.625</v>
      </c>
      <c r="R48" s="16" t="n">
        <f aca="false">RANDBETWEEN(-30,90)/1000</f>
        <v>-0.015</v>
      </c>
      <c r="S48" s="17"/>
      <c r="T48" s="0" t="n">
        <v>17</v>
      </c>
      <c r="W48" s="102"/>
      <c r="X48" s="102"/>
    </row>
    <row r="49" customFormat="false" ht="16.5" hidden="false" customHeight="true" outlineLevel="0" collapsed="false">
      <c r="A49" s="110" t="n">
        <v>28</v>
      </c>
      <c r="B49" s="13" t="s">
        <v>43</v>
      </c>
      <c r="C49" s="15" t="n">
        <f aca="false">+C48+T48</f>
        <v>609.11</v>
      </c>
      <c r="D49" s="16" t="n">
        <f aca="false">+Chạy!F249</f>
        <v>-13.75</v>
      </c>
      <c r="E49" s="16" t="n">
        <f aca="false">+D49+F49</f>
        <v>-13.7593</v>
      </c>
      <c r="F49" s="16" t="n">
        <f aca="false">RANDBETWEEN(-105,115)/10000</f>
        <v>-0.0093</v>
      </c>
      <c r="G49" s="16" t="n">
        <f aca="false">+Chạy!G249</f>
        <v>0.64</v>
      </c>
      <c r="H49" s="16" t="n">
        <f aca="false">G49+I49</f>
        <v>0.663</v>
      </c>
      <c r="I49" s="16" t="n">
        <f aca="false">RANDBETWEEN(-30,90)/1000</f>
        <v>0.023</v>
      </c>
      <c r="J49" s="16" t="n">
        <f aca="false">+Chạy!K249</f>
        <v>0.76</v>
      </c>
      <c r="K49" s="16" t="n">
        <f aca="false">J49+L49</f>
        <v>0.743</v>
      </c>
      <c r="L49" s="16" t="n">
        <f aca="false">RANDBETWEEN(-30,90)/1000</f>
        <v>-0.017</v>
      </c>
      <c r="M49" s="16" t="n">
        <f aca="false">+Chạy!N249</f>
        <v>13.75</v>
      </c>
      <c r="N49" s="16" t="n">
        <f aca="false">+M49+O49</f>
        <v>13.7409</v>
      </c>
      <c r="O49" s="16" t="n">
        <f aca="false">RANDBETWEEN(-105,115)/10000</f>
        <v>-0.0091</v>
      </c>
      <c r="P49" s="16" t="n">
        <f aca="false">+Chạy!O249</f>
        <v>0.64</v>
      </c>
      <c r="Q49" s="16" t="n">
        <f aca="false">P49+R49</f>
        <v>0.622</v>
      </c>
      <c r="R49" s="16" t="n">
        <f aca="false">RANDBETWEEN(-30,90)/1000</f>
        <v>-0.018</v>
      </c>
      <c r="S49" s="17"/>
      <c r="T49" s="0" t="n">
        <v>11.75</v>
      </c>
      <c r="W49" s="102"/>
      <c r="X49" s="102"/>
    </row>
    <row r="50" customFormat="false" ht="16.5" hidden="false" customHeight="true" outlineLevel="0" collapsed="false">
      <c r="A50" s="110" t="n">
        <v>29</v>
      </c>
      <c r="B50" s="13" t="s">
        <v>44</v>
      </c>
      <c r="C50" s="15" t="n">
        <f aca="false">+C49+T49</f>
        <v>620.86</v>
      </c>
      <c r="D50" s="16" t="n">
        <f aca="false">+Chạy!F258</f>
        <v>-13.75</v>
      </c>
      <c r="E50" s="16" t="n">
        <f aca="false">+D50+F50</f>
        <v>-13.7454</v>
      </c>
      <c r="F50" s="16" t="n">
        <f aca="false">RANDBETWEEN(-105,115)/10000</f>
        <v>0.0046</v>
      </c>
      <c r="G50" s="16" t="n">
        <f aca="false">+Chạy!G258</f>
        <v>0.64</v>
      </c>
      <c r="H50" s="16" t="n">
        <f aca="false">G50+I50</f>
        <v>0.665</v>
      </c>
      <c r="I50" s="16" t="n">
        <f aca="false">RANDBETWEEN(-30,90)/1000</f>
        <v>0.025</v>
      </c>
      <c r="J50" s="16" t="n">
        <f aca="false">+Chạy!K258</f>
        <v>0.76</v>
      </c>
      <c r="K50" s="16" t="n">
        <f aca="false">J50+L50</f>
        <v>0.819</v>
      </c>
      <c r="L50" s="16" t="n">
        <f aca="false">RANDBETWEEN(-30,90)/1000</f>
        <v>0.059</v>
      </c>
      <c r="M50" s="16" t="n">
        <f aca="false">+Chạy!N258</f>
        <v>13.75</v>
      </c>
      <c r="N50" s="16" t="n">
        <f aca="false">+M50+O50</f>
        <v>13.76</v>
      </c>
      <c r="O50" s="16" t="n">
        <f aca="false">RANDBETWEEN(-105,115)/10000</f>
        <v>0.01</v>
      </c>
      <c r="P50" s="16" t="n">
        <f aca="false">+Chạy!O258</f>
        <v>0.64</v>
      </c>
      <c r="Q50" s="16" t="n">
        <f aca="false">P50+R50</f>
        <v>0.725</v>
      </c>
      <c r="R50" s="16" t="n">
        <f aca="false">RANDBETWEEN(-30,90)/1000</f>
        <v>0.085</v>
      </c>
      <c r="S50" s="17"/>
      <c r="T50" s="0" t="n">
        <v>11.75</v>
      </c>
      <c r="W50" s="102"/>
      <c r="X50" s="102"/>
    </row>
    <row r="51" customFormat="false" ht="16.5" hidden="false" customHeight="true" outlineLevel="0" collapsed="false">
      <c r="A51" s="110" t="n">
        <v>30</v>
      </c>
      <c r="B51" s="13" t="s">
        <v>45</v>
      </c>
      <c r="C51" s="15" t="n">
        <f aca="false">+C50+T50</f>
        <v>632.61</v>
      </c>
      <c r="D51" s="16" t="n">
        <f aca="false">+Chạy!F267</f>
        <v>-13.75</v>
      </c>
      <c r="E51" s="16" t="n">
        <f aca="false">+D51+F51</f>
        <v>-13.7512</v>
      </c>
      <c r="F51" s="16" t="n">
        <f aca="false">RANDBETWEEN(-105,115)/10000</f>
        <v>-0.0012</v>
      </c>
      <c r="G51" s="16" t="n">
        <f aca="false">+Chạy!G267</f>
        <v>0.64</v>
      </c>
      <c r="H51" s="16" t="n">
        <f aca="false">G51+I51</f>
        <v>0.622</v>
      </c>
      <c r="I51" s="16" t="n">
        <f aca="false">RANDBETWEEN(-30,90)/1000</f>
        <v>-0.018</v>
      </c>
      <c r="J51" s="16" t="n">
        <f aca="false">+Chạy!K267</f>
        <v>0.76</v>
      </c>
      <c r="K51" s="16" t="n">
        <f aca="false">J51+L51</f>
        <v>0.763</v>
      </c>
      <c r="L51" s="16" t="n">
        <f aca="false">RANDBETWEEN(-30,90)/1000</f>
        <v>0.003</v>
      </c>
      <c r="M51" s="16" t="n">
        <f aca="false">+Chạy!N267</f>
        <v>13.75</v>
      </c>
      <c r="N51" s="16" t="n">
        <f aca="false">+M51+O51</f>
        <v>13.7533</v>
      </c>
      <c r="O51" s="16" t="n">
        <f aca="false">RANDBETWEEN(-105,115)/10000</f>
        <v>0.0033</v>
      </c>
      <c r="P51" s="16" t="n">
        <f aca="false">+Chạy!O267</f>
        <v>0.64</v>
      </c>
      <c r="Q51" s="16" t="n">
        <f aca="false">P51+R51</f>
        <v>0.679</v>
      </c>
      <c r="R51" s="16" t="n">
        <f aca="false">RANDBETWEEN(-30,90)/1000</f>
        <v>0.039</v>
      </c>
      <c r="S51" s="17"/>
      <c r="T51" s="0" t="n">
        <v>20</v>
      </c>
      <c r="W51" s="102"/>
      <c r="X51" s="102"/>
    </row>
    <row r="52" customFormat="false" ht="16.5" hidden="false" customHeight="true" outlineLevel="0" collapsed="false">
      <c r="A52" s="110" t="n">
        <v>31</v>
      </c>
      <c r="B52" s="13" t="s">
        <v>46</v>
      </c>
      <c r="C52" s="15" t="n">
        <f aca="false">+C51+T51</f>
        <v>652.61</v>
      </c>
      <c r="D52" s="16" t="n">
        <f aca="false">+Chạy!F276</f>
        <v>-13.75</v>
      </c>
      <c r="E52" s="16" t="n">
        <f aca="false">+D52+F52</f>
        <v>-13.7476</v>
      </c>
      <c r="F52" s="16" t="n">
        <f aca="false">RANDBETWEEN(-105,115)/10000</f>
        <v>0.0024</v>
      </c>
      <c r="G52" s="16" t="n">
        <f aca="false">+Chạy!G276</f>
        <v>0.65</v>
      </c>
      <c r="H52" s="16" t="n">
        <f aca="false">G52+I52</f>
        <v>0.738</v>
      </c>
      <c r="I52" s="16" t="n">
        <f aca="false">RANDBETWEEN(-30,90)/1000</f>
        <v>0.088</v>
      </c>
      <c r="J52" s="16" t="n">
        <f aca="false">+Chạy!K276</f>
        <v>0.76</v>
      </c>
      <c r="K52" s="16" t="n">
        <f aca="false">J52+L52</f>
        <v>0.765</v>
      </c>
      <c r="L52" s="16" t="n">
        <f aca="false">RANDBETWEEN(-30,90)/1000</f>
        <v>0.005</v>
      </c>
      <c r="M52" s="16" t="n">
        <f aca="false">+Chạy!N276</f>
        <v>13.75</v>
      </c>
      <c r="N52" s="16" t="n">
        <f aca="false">+M52+O52</f>
        <v>13.7411</v>
      </c>
      <c r="O52" s="16" t="n">
        <f aca="false">RANDBETWEEN(-105,115)/10000</f>
        <v>-0.0089</v>
      </c>
      <c r="P52" s="16" t="n">
        <f aca="false">+Chạy!O276</f>
        <v>0.65</v>
      </c>
      <c r="Q52" s="16" t="n">
        <f aca="false">P52+R52</f>
        <v>0.707</v>
      </c>
      <c r="R52" s="16" t="n">
        <f aca="false">RANDBETWEEN(-30,90)/1000</f>
        <v>0.057</v>
      </c>
      <c r="S52" s="17"/>
      <c r="T52" s="0" t="n">
        <v>20</v>
      </c>
      <c r="W52" s="102"/>
      <c r="X52" s="102"/>
    </row>
    <row r="53" customFormat="false" ht="16.5" hidden="false" customHeight="true" outlineLevel="0" collapsed="false">
      <c r="A53" s="110" t="n">
        <v>32</v>
      </c>
      <c r="B53" s="13" t="s">
        <v>47</v>
      </c>
      <c r="C53" s="15" t="n">
        <f aca="false">+C52+T52</f>
        <v>672.61</v>
      </c>
      <c r="D53" s="16" t="n">
        <f aca="false">+Chạy!F285</f>
        <v>-13.75</v>
      </c>
      <c r="E53" s="16" t="n">
        <f aca="false">+D53+F53</f>
        <v>-13.7462</v>
      </c>
      <c r="F53" s="16" t="n">
        <f aca="false">RANDBETWEEN(-105,115)/10000</f>
        <v>0.0038</v>
      </c>
      <c r="G53" s="16" t="n">
        <f aca="false">+Chạy!G285</f>
        <v>0.65</v>
      </c>
      <c r="H53" s="16" t="n">
        <f aca="false">G53+I53</f>
        <v>0.648</v>
      </c>
      <c r="I53" s="16" t="n">
        <f aca="false">RANDBETWEEN(-30,90)/1000</f>
        <v>-0.002</v>
      </c>
      <c r="J53" s="16" t="n">
        <f aca="false">+Chạy!K285</f>
        <v>0.76</v>
      </c>
      <c r="K53" s="16" t="n">
        <f aca="false">J53+L53</f>
        <v>0.826</v>
      </c>
      <c r="L53" s="16" t="n">
        <f aca="false">RANDBETWEEN(-30,90)/1000</f>
        <v>0.066</v>
      </c>
      <c r="M53" s="16" t="n">
        <f aca="false">+Chạy!N285</f>
        <v>13.75</v>
      </c>
      <c r="N53" s="16" t="n">
        <f aca="false">+M53+O53</f>
        <v>13.7506</v>
      </c>
      <c r="O53" s="16" t="n">
        <f aca="false">RANDBETWEEN(-105,115)/10000</f>
        <v>0.0006</v>
      </c>
      <c r="P53" s="16" t="n">
        <f aca="false">+Chạy!O285</f>
        <v>0.65</v>
      </c>
      <c r="Q53" s="16" t="n">
        <f aca="false">P53+R53</f>
        <v>0.663</v>
      </c>
      <c r="R53" s="16" t="n">
        <f aca="false">RANDBETWEEN(-30,90)/1000</f>
        <v>0.013</v>
      </c>
      <c r="S53" s="17"/>
      <c r="T53" s="0" t="n">
        <v>20</v>
      </c>
      <c r="W53" s="102"/>
      <c r="X53" s="102"/>
    </row>
    <row r="54" customFormat="false" ht="16.5" hidden="false" customHeight="true" outlineLevel="0" collapsed="false">
      <c r="A54" s="110" t="n">
        <v>33</v>
      </c>
      <c r="B54" s="13" t="s">
        <v>48</v>
      </c>
      <c r="C54" s="15" t="n">
        <f aca="false">+C53+T53</f>
        <v>692.61</v>
      </c>
      <c r="D54" s="16" t="n">
        <f aca="false">+Chạy!F294</f>
        <v>-13.75</v>
      </c>
      <c r="E54" s="16" t="n">
        <f aca="false">+D54+F54</f>
        <v>-13.753</v>
      </c>
      <c r="F54" s="16" t="n">
        <f aca="false">RANDBETWEEN(-105,115)/10000</f>
        <v>-0.003</v>
      </c>
      <c r="G54" s="16" t="n">
        <f aca="false">+Chạy!G294</f>
        <v>0.65</v>
      </c>
      <c r="H54" s="16" t="n">
        <f aca="false">G54+I54</f>
        <v>0.674</v>
      </c>
      <c r="I54" s="16" t="n">
        <f aca="false">RANDBETWEEN(-30,90)/1000</f>
        <v>0.024</v>
      </c>
      <c r="J54" s="16" t="n">
        <f aca="false">+Chạy!K294</f>
        <v>0.77</v>
      </c>
      <c r="K54" s="16" t="n">
        <f aca="false">J54+L54</f>
        <v>0.821</v>
      </c>
      <c r="L54" s="16" t="n">
        <f aca="false">RANDBETWEEN(-30,90)/1000</f>
        <v>0.051</v>
      </c>
      <c r="M54" s="16" t="n">
        <f aca="false">+Chạy!N294</f>
        <v>13.75</v>
      </c>
      <c r="N54" s="16" t="n">
        <f aca="false">+M54+O54</f>
        <v>13.7593</v>
      </c>
      <c r="O54" s="16" t="n">
        <f aca="false">RANDBETWEEN(-105,115)/10000</f>
        <v>0.0093</v>
      </c>
      <c r="P54" s="16" t="n">
        <f aca="false">+Chạy!O294</f>
        <v>0.65</v>
      </c>
      <c r="Q54" s="16" t="n">
        <f aca="false">P54+R54</f>
        <v>0.691</v>
      </c>
      <c r="R54" s="16" t="n">
        <f aca="false">RANDBETWEEN(-30,90)/1000</f>
        <v>0.041</v>
      </c>
      <c r="S54" s="17"/>
      <c r="T54" s="0" t="n">
        <v>20</v>
      </c>
      <c r="W54" s="102"/>
      <c r="X54" s="102"/>
    </row>
    <row r="55" customFormat="false" ht="16.5" hidden="false" customHeight="true" outlineLevel="0" collapsed="false">
      <c r="A55" s="110" t="n">
        <v>34</v>
      </c>
      <c r="B55" s="13" t="s">
        <v>49</v>
      </c>
      <c r="C55" s="15" t="n">
        <f aca="false">+C54+T54</f>
        <v>712.61</v>
      </c>
      <c r="D55" s="16" t="n">
        <f aca="false">+Chạy!F303</f>
        <v>-7.35</v>
      </c>
      <c r="E55" s="16" t="n">
        <f aca="false">+D55+F55</f>
        <v>-7.342</v>
      </c>
      <c r="F55" s="16" t="n">
        <f aca="false">RANDBETWEEN(-105,115)/10000</f>
        <v>0.008</v>
      </c>
      <c r="G55" s="16" t="n">
        <f aca="false">+Chạy!G303</f>
        <v>0.65</v>
      </c>
      <c r="H55" s="16" t="n">
        <f aca="false">G55+I55</f>
        <v>0.728</v>
      </c>
      <c r="I55" s="16" t="n">
        <f aca="false">RANDBETWEEN(-30,90)/1000</f>
        <v>0.078</v>
      </c>
      <c r="J55" s="16" t="n">
        <f aca="false">+Chạy!K303</f>
        <v>0.77</v>
      </c>
      <c r="K55" s="16" t="n">
        <f aca="false">J55+L55</f>
        <v>0.822</v>
      </c>
      <c r="L55" s="16" t="n">
        <f aca="false">RANDBETWEEN(-30,90)/1000</f>
        <v>0.052</v>
      </c>
      <c r="M55" s="16" t="n">
        <f aca="false">+Chạy!N303</f>
        <v>13.75</v>
      </c>
      <c r="N55" s="16" t="n">
        <f aca="false">+M55+O55</f>
        <v>13.7408</v>
      </c>
      <c r="O55" s="16" t="n">
        <f aca="false">RANDBETWEEN(-105,115)/10000</f>
        <v>-0.0092</v>
      </c>
      <c r="P55" s="16" t="n">
        <f aca="false">+Chạy!O303</f>
        <v>0.65</v>
      </c>
      <c r="Q55" s="16" t="n">
        <f aca="false">P55+R55</f>
        <v>0.624</v>
      </c>
      <c r="R55" s="16" t="n">
        <f aca="false">RANDBETWEEN(-30,90)/1000</f>
        <v>-0.026</v>
      </c>
      <c r="S55" s="17"/>
      <c r="T55" s="0" t="n">
        <v>11.5</v>
      </c>
      <c r="W55" s="102"/>
      <c r="X55" s="102"/>
    </row>
    <row r="56" customFormat="false" ht="16.5" hidden="false" customHeight="true" outlineLevel="0" collapsed="false">
      <c r="A56" s="110" t="n">
        <v>35</v>
      </c>
      <c r="B56" s="13" t="s">
        <v>50</v>
      </c>
      <c r="C56" s="15" t="n">
        <f aca="false">+C55+T55</f>
        <v>724.11</v>
      </c>
      <c r="D56" s="16" t="n">
        <f aca="false">+Chạy!F312</f>
        <v>-13.75</v>
      </c>
      <c r="E56" s="16" t="n">
        <f aca="false">+D56+F56</f>
        <v>-13.7601</v>
      </c>
      <c r="F56" s="16" t="n">
        <f aca="false">RANDBETWEEN(-105,115)/10000</f>
        <v>-0.0101</v>
      </c>
      <c r="G56" s="16" t="n">
        <f aca="false">+Chạy!G312</f>
        <v>0.65</v>
      </c>
      <c r="H56" s="16" t="n">
        <f aca="false">G56+I56</f>
        <v>0.658</v>
      </c>
      <c r="I56" s="16" t="n">
        <f aca="false">RANDBETWEEN(-30,90)/1000</f>
        <v>0.008</v>
      </c>
      <c r="J56" s="16" t="n">
        <f aca="false">+Chạy!K312</f>
        <v>0.77</v>
      </c>
      <c r="K56" s="16" t="n">
        <f aca="false">J56+L56</f>
        <v>0.825</v>
      </c>
      <c r="L56" s="16" t="n">
        <f aca="false">RANDBETWEEN(-30,90)/1000</f>
        <v>0.055</v>
      </c>
      <c r="M56" s="16" t="n">
        <f aca="false">+Chạy!N312</f>
        <v>13.75</v>
      </c>
      <c r="N56" s="16" t="n">
        <f aca="false">+M56+O56</f>
        <v>13.7592</v>
      </c>
      <c r="O56" s="16" t="n">
        <f aca="false">RANDBETWEEN(-105,115)/10000</f>
        <v>0.0092</v>
      </c>
      <c r="P56" s="16" t="n">
        <f aca="false">+Chạy!O312</f>
        <v>0.65</v>
      </c>
      <c r="Q56" s="16" t="n">
        <f aca="false">P56+R56</f>
        <v>0.693</v>
      </c>
      <c r="R56" s="16" t="n">
        <f aca="false">RANDBETWEEN(-30,90)/1000</f>
        <v>0.043</v>
      </c>
      <c r="S56" s="17"/>
      <c r="T56" s="0" t="n">
        <v>13.25</v>
      </c>
      <c r="W56" s="102"/>
      <c r="X56" s="102"/>
    </row>
    <row r="57" customFormat="false" ht="16.5" hidden="false" customHeight="true" outlineLevel="0" collapsed="false">
      <c r="A57" s="110" t="n">
        <v>36</v>
      </c>
      <c r="B57" s="13" t="s">
        <v>51</v>
      </c>
      <c r="C57" s="15" t="n">
        <f aca="false">+C56+T56</f>
        <v>737.36</v>
      </c>
      <c r="D57" s="16" t="n">
        <f aca="false">+Chạy!F321</f>
        <v>-13.75</v>
      </c>
      <c r="E57" s="16" t="n">
        <f aca="false">+D57+F57</f>
        <v>-13.7468</v>
      </c>
      <c r="F57" s="16" t="n">
        <f aca="false">RANDBETWEEN(-105,115)/10000</f>
        <v>0.0032</v>
      </c>
      <c r="G57" s="16" t="n">
        <f aca="false">+Chạy!G321</f>
        <v>0.66</v>
      </c>
      <c r="H57" s="16" t="n">
        <f aca="false">G57+I57</f>
        <v>0.743</v>
      </c>
      <c r="I57" s="16" t="n">
        <f aca="false">RANDBETWEEN(-30,90)/1000</f>
        <v>0.083</v>
      </c>
      <c r="J57" s="16" t="n">
        <f aca="false">+Chạy!K321</f>
        <v>0.77</v>
      </c>
      <c r="K57" s="16" t="n">
        <f aca="false">J57+L57</f>
        <v>0.76</v>
      </c>
      <c r="L57" s="16" t="n">
        <f aca="false">RANDBETWEEN(-30,90)/1000</f>
        <v>-0.01</v>
      </c>
      <c r="M57" s="16" t="n">
        <f aca="false">+Chạy!N321</f>
        <v>13.75</v>
      </c>
      <c r="N57" s="16" t="n">
        <f aca="false">+M57+O57</f>
        <v>13.7525</v>
      </c>
      <c r="O57" s="16" t="n">
        <f aca="false">RANDBETWEEN(-105,115)/10000</f>
        <v>0.0025</v>
      </c>
      <c r="P57" s="16" t="n">
        <f aca="false">+Chạy!O321</f>
        <v>0.66</v>
      </c>
      <c r="Q57" s="16" t="n">
        <f aca="false">P57+R57</f>
        <v>0.696</v>
      </c>
      <c r="R57" s="16" t="n">
        <f aca="false">RANDBETWEEN(-30,90)/1000</f>
        <v>0.036</v>
      </c>
      <c r="S57" s="17"/>
      <c r="W57" s="102"/>
      <c r="X57" s="102"/>
    </row>
    <row r="58" customFormat="false" ht="16.5" hidden="true" customHeight="true" outlineLevel="0" collapsed="false">
      <c r="A58" s="110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6.5" hidden="true" customHeight="true" outlineLevel="0" collapsed="false">
      <c r="A59" s="110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6.5" hidden="true" customHeight="true" outlineLevel="0" collapsed="false">
      <c r="A60" s="110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6.5" hidden="true" customHeight="true" outlineLevel="0" collapsed="false">
      <c r="A61" s="110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2" customFormat="false" ht="17.25" hidden="false" customHeight="true" outlineLevel="0" collapsed="false">
      <c r="A62" s="91"/>
    </row>
    <row r="63" customFormat="false" ht="17.25" hidden="false" customHeight="true" outlineLevel="0" collapsed="false">
      <c r="A63" s="91"/>
      <c r="C63" s="19" t="s">
        <v>74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75</v>
      </c>
      <c r="P63" s="19"/>
      <c r="Q63" s="19"/>
      <c r="R63" s="19"/>
    </row>
    <row r="64" customFormat="false" ht="17.25" hidden="false" customHeight="true" outlineLevel="0" collapsed="false">
      <c r="A64" s="91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7.25" hidden="false" customHeight="true" outlineLevel="0" collapsed="false">
      <c r="A65" s="91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7.25" hidden="false" customHeight="true" outlineLevel="0" collapsed="false">
      <c r="A66" s="91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7.25" hidden="false" customHeight="true" outlineLevel="0" collapsed="false">
      <c r="A67" s="91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7.25" hidden="false" customHeight="true" outlineLevel="0" collapsed="false">
      <c r="A68" s="91"/>
      <c r="C68" s="19" t="s">
        <v>76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77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39375" right="0.196527777777778" top="0.747916666666667" bottom="0.39375" header="0.511811023622047" footer="0.118055555555556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93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57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9.25" hidden="false" customHeight="true" outlineLevel="0" collapsed="false">
      <c r="A7" s="33" t="s">
        <v>58</v>
      </c>
      <c r="B7" s="34"/>
      <c r="D7" s="35" t="s">
        <v>94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62</v>
      </c>
      <c r="C9" s="37" t="s">
        <v>63</v>
      </c>
      <c r="D9" s="38" t="s">
        <v>79</v>
      </c>
      <c r="E9" s="39"/>
      <c r="F9" s="39"/>
      <c r="G9" s="38"/>
      <c r="H9" s="39"/>
      <c r="I9" s="39"/>
      <c r="J9" s="39"/>
      <c r="K9" s="39"/>
      <c r="L9" s="39"/>
      <c r="M9" s="40" t="s">
        <v>80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67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81</v>
      </c>
      <c r="O10" s="40" t="s">
        <v>82</v>
      </c>
      <c r="P10" s="40" t="s">
        <v>81</v>
      </c>
      <c r="Q10" s="40" t="s">
        <v>81</v>
      </c>
      <c r="R10" s="40"/>
      <c r="S10" s="40"/>
      <c r="T10" s="40"/>
      <c r="U10" s="40" t="s">
        <v>83</v>
      </c>
      <c r="V10" s="40" t="s">
        <v>83</v>
      </c>
      <c r="W10" s="40" t="s">
        <v>84</v>
      </c>
      <c r="X10" s="40" t="s">
        <v>83</v>
      </c>
      <c r="Y10" s="40" t="s">
        <v>83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'5.KTHH L5'!B22</f>
        <v>B4</v>
      </c>
      <c r="C11" s="51" t="n">
        <f aca="false">'5.KTHH L5'!C22</f>
        <v>211</v>
      </c>
      <c r="D11" s="13" t="n">
        <f aca="false">'5.KTHH L5'!T22</f>
        <v>13.25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Chạy!E6</f>
        <v>7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89.37125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'5.KTHH L5'!B23</f>
        <v>12</v>
      </c>
      <c r="C12" s="51" t="n">
        <f aca="false">'5.KTHH L5'!C23</f>
        <v>224.25</v>
      </c>
      <c r="D12" s="13" t="n">
        <f aca="false">'5.KTHH L5'!T23</f>
        <v>21.5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Chạy!E15</f>
        <v>6.49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130.8275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'5.KTHH L5'!B24</f>
        <v>13</v>
      </c>
      <c r="C13" s="51" t="n">
        <f aca="false">'5.KTHH L5'!C24</f>
        <v>245.75</v>
      </c>
      <c r="D13" s="13" t="n">
        <f aca="false">'5.KTHH L5'!T24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Chạy!E24</f>
        <v>5.68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59.3375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'5.KTHH L5'!B25</f>
        <v>B5</v>
      </c>
      <c r="C14" s="51" t="n">
        <f aca="false">'5.KTHH L5'!C25</f>
        <v>257.5</v>
      </c>
      <c r="D14" s="13" t="n">
        <f aca="false">'5.KTHH L5'!T25</f>
        <v>11.75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Chạy!E33</f>
        <v>4.42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51.87625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'5.KTHH L5'!B26</f>
        <v>14</v>
      </c>
      <c r="C15" s="51" t="n">
        <f aca="false">'5.KTHH L5'!C26</f>
        <v>269.25</v>
      </c>
      <c r="D15" s="13" t="n">
        <f aca="false">'5.KTHH L5'!T26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Chạy!E42</f>
        <v>4.41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88.2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'5.KTHH L5'!B27</f>
        <v>15</v>
      </c>
      <c r="C16" s="51" t="n">
        <f aca="false">'5.KTHH L5'!C27</f>
        <v>289.25</v>
      </c>
      <c r="D16" s="13" t="n">
        <f aca="false">'5.KTHH L5'!T27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Chạy!E51</f>
        <v>4.41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88.1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'5.KTHH L5'!B28</f>
        <v>16</v>
      </c>
      <c r="C17" s="51" t="n">
        <f aca="false">'5.KTHH L5'!C28</f>
        <v>309.25</v>
      </c>
      <c r="D17" s="13" t="n">
        <f aca="false">'5.KTHH L5'!T28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Chạy!E60</f>
        <v>4.4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87.9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'5.KTHH L5'!B29</f>
        <v>17</v>
      </c>
      <c r="C18" s="51" t="n">
        <f aca="false">'5.KTHH L5'!C29</f>
        <v>329.25</v>
      </c>
      <c r="D18" s="13" t="n">
        <f aca="false">'5.KTHH L5'!T29</f>
        <v>20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Chạy!E69</f>
        <v>4.39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102.6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'5.KTHH L5'!B30</f>
        <v>18</v>
      </c>
      <c r="C19" s="51" t="n">
        <f aca="false">'5.KTHH L5'!C30</f>
        <v>349.25</v>
      </c>
      <c r="D19" s="13" t="n">
        <f aca="false">'5.KTHH L5'!T30</f>
        <v>19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Chạy!E78</f>
        <v>5.87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116.375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'5.KTHH L5'!B31</f>
        <v>19</v>
      </c>
      <c r="C20" s="51" t="n">
        <f aca="false">'5.KTHH L5'!C31</f>
        <v>368.25</v>
      </c>
      <c r="D20" s="13" t="n">
        <f aca="false">'5.KTHH L5'!T31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Chạy!E87</f>
        <v>6.38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97.85125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'5.KTHH L5'!B32</f>
        <v>C2</v>
      </c>
      <c r="C21" s="51" t="n">
        <f aca="false">'5.KTHH L5'!C32</f>
        <v>381.5</v>
      </c>
      <c r="D21" s="13" t="n">
        <f aca="false">'5.KTHH L5'!T32</f>
        <v>13.25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Chạy!E96</f>
        <v>8.39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111.1675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'5.KTHH L5'!B33</f>
        <v>20</v>
      </c>
      <c r="C22" s="51" t="n">
        <f aca="false">'5.KTHH L5'!C33</f>
        <v>394.75</v>
      </c>
      <c r="D22" s="13" t="n">
        <f aca="false">'5.KTHH L5'!T33</f>
        <v>20</v>
      </c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Chạy!E105</f>
        <v>8.39</v>
      </c>
      <c r="P22" s="53"/>
      <c r="Q22" s="53"/>
      <c r="R22" s="55"/>
      <c r="S22" s="55"/>
      <c r="T22" s="55"/>
      <c r="U22" s="55"/>
      <c r="V22" s="55"/>
      <c r="W22" s="55" t="n">
        <f aca="false">(O22+O23)*D22/2</f>
        <v>167.8</v>
      </c>
      <c r="X22" s="55"/>
      <c r="Y22" s="55"/>
      <c r="Z22" s="55"/>
      <c r="AA22" s="55"/>
      <c r="AB22" s="56"/>
      <c r="AC22" s="57"/>
    </row>
    <row r="23" s="49" customFormat="true" ht="15" hidden="false" customHeight="true" outlineLevel="0" collapsed="false">
      <c r="A23" s="13" t="n">
        <v>13</v>
      </c>
      <c r="B23" s="13" t="str">
        <f aca="false">'5.KTHH L5'!B34</f>
        <v>21</v>
      </c>
      <c r="C23" s="51" t="n">
        <f aca="false">'5.KTHH L5'!C34</f>
        <v>414.75</v>
      </c>
      <c r="D23" s="13" t="n">
        <f aca="false">'5.KTHH L5'!T34</f>
        <v>20</v>
      </c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 t="n">
        <f aca="false">Chạy!E114</f>
        <v>8.39</v>
      </c>
      <c r="P23" s="53"/>
      <c r="Q23" s="53"/>
      <c r="R23" s="55"/>
      <c r="S23" s="55"/>
      <c r="T23" s="55"/>
      <c r="U23" s="55"/>
      <c r="V23" s="55"/>
      <c r="W23" s="55" t="n">
        <f aca="false">(O23+O24)*D23/2</f>
        <v>167.8</v>
      </c>
      <c r="X23" s="55"/>
      <c r="Y23" s="55"/>
      <c r="Z23" s="55"/>
      <c r="AA23" s="55"/>
      <c r="AB23" s="56"/>
      <c r="AC23" s="57"/>
    </row>
    <row r="24" s="49" customFormat="true" ht="15" hidden="false" customHeight="true" outlineLevel="0" collapsed="false">
      <c r="A24" s="13" t="n">
        <v>14</v>
      </c>
      <c r="B24" s="13" t="str">
        <f aca="false">'5.KTHH L5'!B35</f>
        <v>22</v>
      </c>
      <c r="C24" s="51" t="n">
        <f aca="false">'5.KTHH L5'!C35</f>
        <v>434.75</v>
      </c>
      <c r="D24" s="13" t="n">
        <f aca="false">'5.KTHH L5'!T35</f>
        <v>20</v>
      </c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 t="n">
        <f aca="false">Chạy!E123</f>
        <v>8.39</v>
      </c>
      <c r="P24" s="53"/>
      <c r="Q24" s="53"/>
      <c r="R24" s="55"/>
      <c r="S24" s="55"/>
      <c r="T24" s="55"/>
      <c r="U24" s="55"/>
      <c r="V24" s="55"/>
      <c r="W24" s="55" t="n">
        <f aca="false">(O24+O25)*D24/2</f>
        <v>167.8</v>
      </c>
      <c r="X24" s="55"/>
      <c r="Y24" s="55"/>
      <c r="Z24" s="55"/>
      <c r="AA24" s="55"/>
      <c r="AB24" s="56"/>
      <c r="AC24" s="57"/>
    </row>
    <row r="25" s="49" customFormat="true" ht="15" hidden="false" customHeight="true" outlineLevel="0" collapsed="false">
      <c r="A25" s="13" t="n">
        <v>15</v>
      </c>
      <c r="B25" s="13" t="str">
        <f aca="false">'5.KTHH L5'!B36</f>
        <v>23</v>
      </c>
      <c r="C25" s="51" t="n">
        <f aca="false">'5.KTHH L5'!C36</f>
        <v>454.75</v>
      </c>
      <c r="D25" s="13" t="n">
        <f aca="false">'5.KTHH L5'!T36</f>
        <v>20</v>
      </c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 t="n">
        <f aca="false">Chạy!E132</f>
        <v>8.39</v>
      </c>
      <c r="P25" s="53"/>
      <c r="Q25" s="53"/>
      <c r="R25" s="55"/>
      <c r="S25" s="55"/>
      <c r="T25" s="55"/>
      <c r="U25" s="55"/>
      <c r="V25" s="55"/>
      <c r="W25" s="55" t="n">
        <f aca="false">(O25+O26)*D25/2</f>
        <v>167.8</v>
      </c>
      <c r="X25" s="55"/>
      <c r="Y25" s="55"/>
      <c r="Z25" s="55"/>
      <c r="AA25" s="55"/>
      <c r="AB25" s="56"/>
      <c r="AC25" s="57"/>
    </row>
    <row r="26" s="49" customFormat="true" ht="15" hidden="false" customHeight="true" outlineLevel="0" collapsed="false">
      <c r="A26" s="13" t="n">
        <v>16</v>
      </c>
      <c r="B26" s="13" t="str">
        <f aca="false">'5.KTHH L5'!B37</f>
        <v>24</v>
      </c>
      <c r="C26" s="51" t="n">
        <f aca="false">'5.KTHH L5'!C37</f>
        <v>474.75</v>
      </c>
      <c r="D26" s="13" t="n">
        <f aca="false">'5.KTHH L5'!T37</f>
        <v>14.44</v>
      </c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 t="n">
        <f aca="false">Chạy!E141</f>
        <v>8.39</v>
      </c>
      <c r="P26" s="53"/>
      <c r="Q26" s="53"/>
      <c r="R26" s="55"/>
      <c r="S26" s="55"/>
      <c r="T26" s="55"/>
      <c r="U26" s="55"/>
      <c r="V26" s="55"/>
      <c r="W26" s="55" t="n">
        <f aca="false">(O26+O27)*D26/2</f>
        <v>112.7042</v>
      </c>
      <c r="X26" s="55"/>
      <c r="Y26" s="55"/>
      <c r="Z26" s="55"/>
      <c r="AA26" s="55"/>
      <c r="AB26" s="56"/>
      <c r="AC26" s="57"/>
    </row>
    <row r="27" s="49" customFormat="true" ht="15" hidden="false" customHeight="true" outlineLevel="0" collapsed="false">
      <c r="A27" s="13" t="n">
        <v>17</v>
      </c>
      <c r="B27" s="13" t="str">
        <f aca="false">'5.KTHH L5'!B38</f>
        <v>25</v>
      </c>
      <c r="C27" s="51" t="n">
        <f aca="false">'5.KTHH L5'!C38</f>
        <v>489.19</v>
      </c>
      <c r="D27" s="13" t="n">
        <f aca="false">'5.KTHH L5'!T38</f>
        <v>13.17</v>
      </c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 t="n">
        <f aca="false">Chạy!E150</f>
        <v>7.22</v>
      </c>
      <c r="P27" s="53"/>
      <c r="Q27" s="53"/>
      <c r="R27" s="55"/>
      <c r="S27" s="55"/>
      <c r="T27" s="55"/>
      <c r="U27" s="55"/>
      <c r="V27" s="55"/>
      <c r="W27" s="55" t="n">
        <f aca="false">(O27+O28)*D27/2</f>
        <v>102.79185</v>
      </c>
      <c r="X27" s="55"/>
      <c r="Y27" s="55"/>
      <c r="Z27" s="55"/>
      <c r="AA27" s="55"/>
      <c r="AB27" s="56"/>
      <c r="AC27" s="57"/>
    </row>
    <row r="28" s="49" customFormat="true" ht="15" hidden="false" customHeight="true" outlineLevel="0" collapsed="false">
      <c r="A28" s="13" t="n">
        <v>18</v>
      </c>
      <c r="B28" s="13" t="str">
        <f aca="false">'5.KTHH L5'!B39</f>
        <v>D1</v>
      </c>
      <c r="C28" s="51" t="n">
        <f aca="false">'5.KTHH L5'!C39</f>
        <v>502.36</v>
      </c>
      <c r="D28" s="13" t="n">
        <f aca="false">'5.KTHH L5'!T39</f>
        <v>10.48</v>
      </c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 t="n">
        <f aca="false">Chạy!E159</f>
        <v>8.39</v>
      </c>
      <c r="P28" s="53"/>
      <c r="Q28" s="53"/>
      <c r="R28" s="55"/>
      <c r="S28" s="55"/>
      <c r="T28" s="55"/>
      <c r="U28" s="55"/>
      <c r="V28" s="55"/>
      <c r="W28" s="55" t="n">
        <f aca="false">(O28+O29)*D28/2</f>
        <v>87.9272</v>
      </c>
      <c r="X28" s="55"/>
      <c r="Y28" s="55"/>
      <c r="Z28" s="55"/>
      <c r="AA28" s="55"/>
      <c r="AB28" s="56"/>
      <c r="AC28" s="57"/>
    </row>
    <row r="29" s="49" customFormat="true" ht="15" hidden="false" customHeight="true" outlineLevel="0" collapsed="false">
      <c r="A29" s="13" t="n">
        <v>19</v>
      </c>
      <c r="B29" s="13" t="str">
        <f aca="false">'5.KTHH L5'!B40</f>
        <v>26</v>
      </c>
      <c r="C29" s="51" t="n">
        <f aca="false">'5.KTHH L5'!C40</f>
        <v>512.84</v>
      </c>
      <c r="D29" s="13" t="n">
        <f aca="false">'5.KTHH L5'!T40</f>
        <v>16.78</v>
      </c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 t="n">
        <f aca="false">Chạy!E168</f>
        <v>8.39</v>
      </c>
      <c r="P29" s="53"/>
      <c r="Q29" s="53"/>
      <c r="R29" s="55"/>
      <c r="S29" s="55"/>
      <c r="T29" s="55"/>
      <c r="U29" s="55"/>
      <c r="V29" s="55"/>
      <c r="W29" s="55" t="n">
        <f aca="false">(O29+O30)*D29/2</f>
        <v>140.7842</v>
      </c>
      <c r="X29" s="55"/>
      <c r="Y29" s="55"/>
      <c r="Z29" s="55"/>
      <c r="AA29" s="55"/>
      <c r="AB29" s="56"/>
      <c r="AC29" s="57"/>
    </row>
    <row r="30" s="49" customFormat="true" ht="15" hidden="false" customHeight="true" outlineLevel="0" collapsed="false">
      <c r="A30" s="13" t="n">
        <v>20</v>
      </c>
      <c r="B30" s="13" t="str">
        <f aca="false">'5.KTHH L5'!B41</f>
        <v>27</v>
      </c>
      <c r="C30" s="51" t="n">
        <f aca="false">'5.KTHH L5'!C41</f>
        <v>529.62</v>
      </c>
      <c r="D30" s="13" t="n">
        <f aca="false">'5.KTHH L5'!T41</f>
        <v>17.1</v>
      </c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 t="n">
        <f aca="false">Chạy!E177</f>
        <v>8.39</v>
      </c>
      <c r="P30" s="53"/>
      <c r="Q30" s="53"/>
      <c r="R30" s="55"/>
      <c r="S30" s="55"/>
      <c r="T30" s="55"/>
      <c r="U30" s="55"/>
      <c r="V30" s="55"/>
      <c r="W30" s="55" t="n">
        <f aca="false">(O30+O31)*D30/2</f>
        <v>131.841</v>
      </c>
      <c r="X30" s="55"/>
      <c r="Y30" s="55"/>
      <c r="Z30" s="55"/>
      <c r="AA30" s="55"/>
      <c r="AB30" s="56"/>
      <c r="AC30" s="57"/>
    </row>
    <row r="31" s="49" customFormat="true" ht="15" hidden="false" customHeight="true" outlineLevel="0" collapsed="false">
      <c r="A31" s="13" t="n">
        <v>21</v>
      </c>
      <c r="B31" s="13" t="str">
        <f aca="false">'5.KTHH L5'!B42</f>
        <v>28</v>
      </c>
      <c r="C31" s="51" t="n">
        <f aca="false">'5.KTHH L5'!C42</f>
        <v>546.72</v>
      </c>
      <c r="D31" s="13" t="n">
        <f aca="false">'5.KTHH L5'!T42</f>
        <v>15.15</v>
      </c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 t="n">
        <f aca="false">Chạy!E186</f>
        <v>7.03</v>
      </c>
      <c r="P31" s="53"/>
      <c r="Q31" s="53"/>
      <c r="R31" s="55"/>
      <c r="S31" s="55"/>
      <c r="T31" s="55"/>
      <c r="U31" s="55"/>
      <c r="V31" s="55"/>
      <c r="W31" s="55" t="n">
        <f aca="false">(O31+O32)*D31/2</f>
        <v>116.8065</v>
      </c>
      <c r="X31" s="55"/>
      <c r="Y31" s="55"/>
      <c r="Z31" s="55"/>
      <c r="AA31" s="55"/>
      <c r="AB31" s="56"/>
      <c r="AC31" s="57"/>
    </row>
    <row r="32" s="49" customFormat="true" ht="15" hidden="false" customHeight="true" outlineLevel="0" collapsed="false">
      <c r="A32" s="13" t="n">
        <v>22</v>
      </c>
      <c r="B32" s="13" t="str">
        <f aca="false">'5.KTHH L5'!B43</f>
        <v>E5</v>
      </c>
      <c r="C32" s="51" t="n">
        <f aca="false">'5.KTHH L5'!C43</f>
        <v>561.87</v>
      </c>
      <c r="D32" s="13" t="n">
        <f aca="false">'5.KTHH L5'!T43</f>
        <v>0.15</v>
      </c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 t="n">
        <f aca="false">Chạy!E195</f>
        <v>8.39</v>
      </c>
      <c r="P32" s="53"/>
      <c r="Q32" s="53"/>
      <c r="R32" s="55"/>
      <c r="S32" s="55"/>
      <c r="T32" s="55"/>
      <c r="U32" s="55"/>
      <c r="V32" s="55"/>
      <c r="W32" s="55" t="n">
        <f aca="false">(O32+O33)*D32/2</f>
        <v>1.2585</v>
      </c>
      <c r="X32" s="55"/>
      <c r="Y32" s="55"/>
      <c r="Z32" s="55"/>
      <c r="AA32" s="55"/>
      <c r="AB32" s="56"/>
      <c r="AC32" s="57"/>
    </row>
    <row r="33" s="49" customFormat="true" ht="15" hidden="false" customHeight="true" outlineLevel="0" collapsed="false">
      <c r="A33" s="13" t="n">
        <v>23</v>
      </c>
      <c r="B33" s="13" t="str">
        <f aca="false">'5.KTHH L5'!B44</f>
        <v>TD</v>
      </c>
      <c r="C33" s="51" t="n">
        <f aca="false">'5.KTHH L5'!C44</f>
        <v>562.02</v>
      </c>
      <c r="D33" s="13" t="n">
        <f aca="false">'5.KTHH L5'!T44</f>
        <v>6.55</v>
      </c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 t="n">
        <f aca="false">Chạy!E204</f>
        <v>8.39</v>
      </c>
      <c r="P33" s="53"/>
      <c r="Q33" s="53"/>
      <c r="R33" s="55"/>
      <c r="S33" s="55"/>
      <c r="T33" s="55"/>
      <c r="U33" s="55"/>
      <c r="V33" s="55"/>
      <c r="W33" s="55" t="n">
        <f aca="false">(O33+O34)*D33/2</f>
        <v>54.9545</v>
      </c>
      <c r="X33" s="55"/>
      <c r="Y33" s="55"/>
      <c r="Z33" s="55"/>
      <c r="AA33" s="55"/>
      <c r="AB33" s="56"/>
      <c r="AC33" s="57"/>
    </row>
    <row r="34" s="49" customFormat="true" ht="15" hidden="false" customHeight="true" outlineLevel="0" collapsed="false">
      <c r="A34" s="13" t="n">
        <v>24</v>
      </c>
      <c r="B34" s="13" t="str">
        <f aca="false">'5.KTHH L5'!B45</f>
        <v>P</v>
      </c>
      <c r="C34" s="51" t="n">
        <f aca="false">'5.KTHH L5'!C45</f>
        <v>568.57</v>
      </c>
      <c r="D34" s="13" t="n">
        <f aca="false">'5.KTHH L5'!T45</f>
        <v>6.55</v>
      </c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 t="n">
        <f aca="false">Chạy!E213</f>
        <v>8.39</v>
      </c>
      <c r="P34" s="53"/>
      <c r="Q34" s="53"/>
      <c r="R34" s="55"/>
      <c r="S34" s="55"/>
      <c r="T34" s="55"/>
      <c r="U34" s="55"/>
      <c r="V34" s="55"/>
      <c r="W34" s="55" t="n">
        <f aca="false">(O34+O35)*D34/2</f>
        <v>54.9545</v>
      </c>
      <c r="X34" s="55"/>
      <c r="Y34" s="55"/>
      <c r="Z34" s="55"/>
      <c r="AA34" s="55"/>
      <c r="AB34" s="56"/>
      <c r="AC34" s="57"/>
    </row>
    <row r="35" s="49" customFormat="true" ht="15" hidden="false" customHeight="true" outlineLevel="0" collapsed="false">
      <c r="A35" s="13" t="n">
        <v>25</v>
      </c>
      <c r="B35" s="13" t="str">
        <f aca="false">'5.KTHH L5'!B46</f>
        <v>TC</v>
      </c>
      <c r="C35" s="51" t="n">
        <f aca="false">'5.KTHH L5'!C46</f>
        <v>575.12</v>
      </c>
      <c r="D35" s="13" t="n">
        <f aca="false">'5.KTHH L5'!T46</f>
        <v>0.04</v>
      </c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 t="n">
        <f aca="false">Chạy!E222</f>
        <v>8.39</v>
      </c>
      <c r="P35" s="53"/>
      <c r="Q35" s="53"/>
      <c r="R35" s="55"/>
      <c r="S35" s="55"/>
      <c r="T35" s="55"/>
      <c r="U35" s="55"/>
      <c r="V35" s="55"/>
      <c r="W35" s="55" t="n">
        <f aca="false">(O35+O36)*D35/2</f>
        <v>0.3356</v>
      </c>
      <c r="X35" s="55"/>
      <c r="Y35" s="55"/>
      <c r="Z35" s="55"/>
      <c r="AA35" s="55"/>
      <c r="AB35" s="56"/>
      <c r="AC35" s="57"/>
    </row>
    <row r="36" s="49" customFormat="true" ht="15" hidden="false" customHeight="true" outlineLevel="0" collapsed="false">
      <c r="A36" s="13" t="n">
        <v>26</v>
      </c>
      <c r="B36" s="13" t="str">
        <f aca="false">'5.KTHH L5'!B47</f>
        <v>29</v>
      </c>
      <c r="C36" s="51" t="n">
        <f aca="false">'5.KTHH L5'!C47</f>
        <v>575.16</v>
      </c>
      <c r="D36" s="13" t="n">
        <f aca="false">'5.KTHH L5'!T47</f>
        <v>16.95</v>
      </c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 t="n">
        <f aca="false">Chạy!E231</f>
        <v>8.39</v>
      </c>
      <c r="P36" s="53"/>
      <c r="Q36" s="53"/>
      <c r="R36" s="55"/>
      <c r="S36" s="55"/>
      <c r="T36" s="55"/>
      <c r="U36" s="55"/>
      <c r="V36" s="55"/>
      <c r="W36" s="55" t="n">
        <f aca="false">(O36+O37)*D36/2</f>
        <v>142.2105</v>
      </c>
      <c r="X36" s="55"/>
      <c r="Y36" s="55"/>
      <c r="Z36" s="55"/>
      <c r="AA36" s="55"/>
      <c r="AB36" s="56"/>
      <c r="AC36" s="57"/>
    </row>
    <row r="37" s="49" customFormat="true" ht="15" hidden="false" customHeight="true" outlineLevel="0" collapsed="false">
      <c r="A37" s="13" t="n">
        <v>27</v>
      </c>
      <c r="B37" s="13" t="str">
        <f aca="false">'5.KTHH L5'!B48</f>
        <v>30</v>
      </c>
      <c r="C37" s="51" t="n">
        <f aca="false">'5.KTHH L5'!C48</f>
        <v>592.11</v>
      </c>
      <c r="D37" s="13" t="n">
        <f aca="false">'5.KTHH L5'!T48</f>
        <v>17</v>
      </c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 t="n">
        <f aca="false">Chạy!E240</f>
        <v>8.39</v>
      </c>
      <c r="P37" s="53"/>
      <c r="Q37" s="53"/>
      <c r="R37" s="55"/>
      <c r="S37" s="55"/>
      <c r="T37" s="55"/>
      <c r="U37" s="55"/>
      <c r="V37" s="55"/>
      <c r="W37" s="55" t="n">
        <f aca="false">(O37+O38)*D37/2</f>
        <v>142.63</v>
      </c>
      <c r="X37" s="55"/>
      <c r="Y37" s="55"/>
      <c r="Z37" s="55"/>
      <c r="AA37" s="55"/>
      <c r="AB37" s="56"/>
      <c r="AC37" s="57"/>
    </row>
    <row r="38" s="49" customFormat="true" ht="15" hidden="false" customHeight="true" outlineLevel="0" collapsed="false">
      <c r="A38" s="13" t="n">
        <v>28</v>
      </c>
      <c r="B38" s="13" t="str">
        <f aca="false">'5.KTHH L5'!B49</f>
        <v>31</v>
      </c>
      <c r="C38" s="51" t="n">
        <f aca="false">'5.KTHH L5'!C49</f>
        <v>609.11</v>
      </c>
      <c r="D38" s="13" t="n">
        <f aca="false">'5.KTHH L5'!T49</f>
        <v>11.75</v>
      </c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 t="n">
        <f aca="false">Chạy!E249</f>
        <v>8.39</v>
      </c>
      <c r="P38" s="53"/>
      <c r="Q38" s="53"/>
      <c r="R38" s="55"/>
      <c r="S38" s="55"/>
      <c r="T38" s="55"/>
      <c r="U38" s="55"/>
      <c r="V38" s="55"/>
      <c r="W38" s="55" t="n">
        <f aca="false">(O38+O39)*D38/2</f>
        <v>98.28875</v>
      </c>
      <c r="X38" s="55"/>
      <c r="Y38" s="55"/>
      <c r="Z38" s="55"/>
      <c r="AA38" s="55"/>
      <c r="AB38" s="56"/>
      <c r="AC38" s="57"/>
    </row>
    <row r="39" s="49" customFormat="true" ht="15" hidden="false" customHeight="true" outlineLevel="0" collapsed="false">
      <c r="A39" s="13" t="n">
        <v>29</v>
      </c>
      <c r="B39" s="13" t="str">
        <f aca="false">'5.KTHH L5'!B50</f>
        <v>E10</v>
      </c>
      <c r="C39" s="51" t="n">
        <f aca="false">'5.KTHH L5'!C50</f>
        <v>620.86</v>
      </c>
      <c r="D39" s="13" t="n">
        <f aca="false">'5.KTHH L5'!T50</f>
        <v>11.75</v>
      </c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 t="n">
        <f aca="false">Chạy!E258</f>
        <v>8.34</v>
      </c>
      <c r="P39" s="53"/>
      <c r="Q39" s="53"/>
      <c r="R39" s="55"/>
      <c r="S39" s="55"/>
      <c r="T39" s="55"/>
      <c r="U39" s="55"/>
      <c r="V39" s="55"/>
      <c r="W39" s="55" t="n">
        <f aca="false">(O39+O40)*D39/2</f>
        <v>98.28875</v>
      </c>
      <c r="X39" s="55"/>
      <c r="Y39" s="55"/>
      <c r="Z39" s="55"/>
      <c r="AA39" s="55"/>
      <c r="AB39" s="56"/>
      <c r="AC39" s="57"/>
    </row>
    <row r="40" s="49" customFormat="true" ht="15" hidden="false" customHeight="true" outlineLevel="0" collapsed="false">
      <c r="A40" s="13" t="n">
        <v>30</v>
      </c>
      <c r="B40" s="13" t="str">
        <f aca="false">'5.KTHH L5'!B51</f>
        <v>32</v>
      </c>
      <c r="C40" s="51" t="n">
        <f aca="false">'5.KTHH L5'!C51</f>
        <v>632.61</v>
      </c>
      <c r="D40" s="13" t="n">
        <f aca="false">'5.KTHH L5'!T51</f>
        <v>20</v>
      </c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 t="n">
        <f aca="false">Chạy!E267</f>
        <v>8.39</v>
      </c>
      <c r="P40" s="53"/>
      <c r="Q40" s="53"/>
      <c r="R40" s="55"/>
      <c r="S40" s="55"/>
      <c r="T40" s="55"/>
      <c r="U40" s="55"/>
      <c r="V40" s="55"/>
      <c r="W40" s="55" t="n">
        <f aca="false">(O40+O41)*D40/2</f>
        <v>167.8</v>
      </c>
      <c r="X40" s="55"/>
      <c r="Y40" s="55"/>
      <c r="Z40" s="55"/>
      <c r="AA40" s="55"/>
      <c r="AB40" s="56"/>
      <c r="AC40" s="57"/>
    </row>
    <row r="41" s="49" customFormat="true" ht="15" hidden="false" customHeight="true" outlineLevel="0" collapsed="false">
      <c r="A41" s="13" t="n">
        <v>31</v>
      </c>
      <c r="B41" s="13" t="str">
        <f aca="false">'5.KTHH L5'!B52</f>
        <v>33</v>
      </c>
      <c r="C41" s="51" t="n">
        <f aca="false">'5.KTHH L5'!C52</f>
        <v>652.61</v>
      </c>
      <c r="D41" s="13" t="n">
        <f aca="false">'5.KTHH L5'!T52</f>
        <v>20</v>
      </c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 t="n">
        <f aca="false">Chạy!E276</f>
        <v>8.39</v>
      </c>
      <c r="P41" s="53"/>
      <c r="Q41" s="53"/>
      <c r="R41" s="55"/>
      <c r="S41" s="55"/>
      <c r="T41" s="55"/>
      <c r="U41" s="55"/>
      <c r="V41" s="55"/>
      <c r="W41" s="55" t="n">
        <f aca="false">(O41+O42)*D41/2</f>
        <v>167.8</v>
      </c>
      <c r="X41" s="55"/>
      <c r="Y41" s="55"/>
      <c r="Z41" s="55"/>
      <c r="AA41" s="55"/>
      <c r="AB41" s="56"/>
      <c r="AC41" s="57"/>
    </row>
    <row r="42" s="49" customFormat="true" ht="15" hidden="false" customHeight="true" outlineLevel="0" collapsed="false">
      <c r="A42" s="13" t="n">
        <v>32</v>
      </c>
      <c r="B42" s="13" t="str">
        <f aca="false">'5.KTHH L5'!B53</f>
        <v>34</v>
      </c>
      <c r="C42" s="51" t="n">
        <f aca="false">'5.KTHH L5'!C53</f>
        <v>672.61</v>
      </c>
      <c r="D42" s="13" t="n">
        <f aca="false">'5.KTHH L5'!T53</f>
        <v>20</v>
      </c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 t="n">
        <f aca="false">Chạy!E285</f>
        <v>8.39</v>
      </c>
      <c r="P42" s="53"/>
      <c r="Q42" s="53"/>
      <c r="R42" s="55"/>
      <c r="S42" s="55"/>
      <c r="T42" s="55"/>
      <c r="U42" s="55"/>
      <c r="V42" s="55"/>
      <c r="W42" s="55" t="n">
        <f aca="false">(O42+O43)*D42/2</f>
        <v>167.8</v>
      </c>
      <c r="X42" s="55"/>
      <c r="Y42" s="55"/>
      <c r="Z42" s="55"/>
      <c r="AA42" s="55"/>
      <c r="AB42" s="56"/>
      <c r="AC42" s="57"/>
    </row>
    <row r="43" s="49" customFormat="true" ht="15" hidden="false" customHeight="true" outlineLevel="0" collapsed="false">
      <c r="A43" s="13" t="n">
        <v>33</v>
      </c>
      <c r="B43" s="13" t="str">
        <f aca="false">'5.KTHH L5'!B54</f>
        <v>35</v>
      </c>
      <c r="C43" s="51" t="n">
        <f aca="false">'5.KTHH L5'!C54</f>
        <v>692.61</v>
      </c>
      <c r="D43" s="13" t="n">
        <f aca="false">'5.KTHH L5'!T54</f>
        <v>20</v>
      </c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 t="n">
        <f aca="false">Chạy!E294</f>
        <v>8.39</v>
      </c>
      <c r="P43" s="53"/>
      <c r="Q43" s="53"/>
      <c r="R43" s="55"/>
      <c r="S43" s="55"/>
      <c r="T43" s="55"/>
      <c r="U43" s="55"/>
      <c r="V43" s="55"/>
      <c r="W43" s="55" t="n">
        <f aca="false">(O43+O44)*D43/2</f>
        <v>147.4</v>
      </c>
      <c r="X43" s="55"/>
      <c r="Y43" s="55"/>
      <c r="Z43" s="55"/>
      <c r="AA43" s="55"/>
      <c r="AB43" s="56"/>
      <c r="AC43" s="57"/>
    </row>
    <row r="44" s="49" customFormat="true" ht="15" hidden="false" customHeight="true" outlineLevel="0" collapsed="false">
      <c r="A44" s="13" t="n">
        <v>34</v>
      </c>
      <c r="B44" s="13" t="str">
        <f aca="false">'5.KTHH L5'!B55</f>
        <v>36</v>
      </c>
      <c r="C44" s="51" t="n">
        <f aca="false">'5.KTHH L5'!C55</f>
        <v>712.61</v>
      </c>
      <c r="D44" s="13" t="n">
        <f aca="false">'5.KTHH L5'!T55</f>
        <v>11.5</v>
      </c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 t="n">
        <f aca="false">Chạy!E303</f>
        <v>6.35</v>
      </c>
      <c r="P44" s="53"/>
      <c r="Q44" s="53"/>
      <c r="R44" s="55"/>
      <c r="S44" s="55"/>
      <c r="T44" s="55"/>
      <c r="U44" s="55"/>
      <c r="V44" s="55"/>
      <c r="W44" s="55" t="n">
        <f aca="false">(O44+O45)*D44/2</f>
        <v>84.4675</v>
      </c>
      <c r="X44" s="55"/>
      <c r="Y44" s="55"/>
      <c r="Z44" s="55"/>
      <c r="AA44" s="55"/>
      <c r="AB44" s="56"/>
      <c r="AC44" s="57"/>
    </row>
    <row r="45" s="49" customFormat="true" ht="15" hidden="false" customHeight="true" outlineLevel="0" collapsed="false">
      <c r="A45" s="13" t="n">
        <v>35</v>
      </c>
      <c r="B45" s="13" t="str">
        <f aca="false">'5.KTHH L5'!B56</f>
        <v>37</v>
      </c>
      <c r="C45" s="51" t="n">
        <f aca="false">'5.KTHH L5'!C56</f>
        <v>724.11</v>
      </c>
      <c r="D45" s="13" t="n">
        <f aca="false">'5.KTHH L5'!T56</f>
        <v>13.25</v>
      </c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 t="n">
        <f aca="false">Chạy!E312</f>
        <v>8.34</v>
      </c>
      <c r="P45" s="53"/>
      <c r="Q45" s="53"/>
      <c r="R45" s="55"/>
      <c r="S45" s="55"/>
      <c r="T45" s="55"/>
      <c r="U45" s="55"/>
      <c r="V45" s="55"/>
      <c r="W45" s="55" t="n">
        <f aca="false">(O45+O46)*D45/2</f>
        <v>110.83625</v>
      </c>
      <c r="X45" s="55"/>
      <c r="Y45" s="55"/>
      <c r="Z45" s="55"/>
      <c r="AA45" s="55"/>
      <c r="AB45" s="56"/>
      <c r="AC45" s="57"/>
    </row>
    <row r="46" s="49" customFormat="true" ht="15" hidden="false" customHeight="true" outlineLevel="0" collapsed="false">
      <c r="A46" s="13" t="n">
        <v>36</v>
      </c>
      <c r="B46" s="13" t="str">
        <f aca="false">'5.KTHH L5'!B57</f>
        <v>G6</v>
      </c>
      <c r="C46" s="51" t="n">
        <f aca="false">'5.KTHH L5'!C57</f>
        <v>737.36</v>
      </c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 t="n">
        <f aca="false">Chạy!E321</f>
        <v>8.39</v>
      </c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85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SUM(W11:W46)</f>
        <v>3826.68605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3.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74</v>
      </c>
      <c r="B53" s="19"/>
      <c r="C53" s="19"/>
      <c r="D53" s="77" t="s">
        <v>86</v>
      </c>
      <c r="E53" s="19" t="s">
        <v>75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76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77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5" hidden="false" customHeight="true" outlineLevel="0" collapsed="false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6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64" activeCellId="0" sqref="V6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0.85"/>
    <col collapsed="false" customWidth="true" hidden="true" outlineLevel="0" max="15" min="13" style="1" width="8.57"/>
    <col collapsed="false" customWidth="true" hidden="false" outlineLevel="0" max="18" min="16" style="1" width="10.85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95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57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58</v>
      </c>
      <c r="C7" s="7"/>
      <c r="D7" s="7"/>
      <c r="F7" s="7"/>
      <c r="G7" s="7" t="s">
        <v>96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60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61</v>
      </c>
      <c r="B20" s="9" t="s">
        <v>62</v>
      </c>
      <c r="C20" s="9" t="s">
        <v>63</v>
      </c>
      <c r="D20" s="10" t="s">
        <v>64</v>
      </c>
      <c r="E20" s="10"/>
      <c r="F20" s="10"/>
      <c r="G20" s="10"/>
      <c r="H20" s="10"/>
      <c r="I20" s="10"/>
      <c r="J20" s="10" t="s">
        <v>65</v>
      </c>
      <c r="K20" s="10"/>
      <c r="L20" s="10"/>
      <c r="M20" s="10" t="s">
        <v>66</v>
      </c>
      <c r="N20" s="10"/>
      <c r="O20" s="10"/>
      <c r="P20" s="10"/>
      <c r="Q20" s="10"/>
      <c r="R20" s="10"/>
      <c r="S20" s="9" t="s">
        <v>67</v>
      </c>
    </row>
    <row r="21" customFormat="false" ht="30" hidden="false" customHeight="true" outlineLevel="0" collapsed="false">
      <c r="A21" s="9"/>
      <c r="B21" s="9"/>
      <c r="C21" s="9"/>
      <c r="D21" s="11" t="s">
        <v>68</v>
      </c>
      <c r="E21" s="11" t="s">
        <v>69</v>
      </c>
      <c r="F21" s="11" t="s">
        <v>70</v>
      </c>
      <c r="G21" s="11" t="s">
        <v>71</v>
      </c>
      <c r="H21" s="11" t="s">
        <v>72</v>
      </c>
      <c r="I21" s="11" t="s">
        <v>73</v>
      </c>
      <c r="J21" s="11" t="s">
        <v>71</v>
      </c>
      <c r="K21" s="11" t="s">
        <v>72</v>
      </c>
      <c r="L21" s="11" t="s">
        <v>73</v>
      </c>
      <c r="M21" s="11" t="s">
        <v>68</v>
      </c>
      <c r="N21" s="11" t="s">
        <v>69</v>
      </c>
      <c r="O21" s="11" t="s">
        <v>70</v>
      </c>
      <c r="P21" s="11" t="s">
        <v>71</v>
      </c>
      <c r="Q21" s="11" t="s">
        <v>72</v>
      </c>
      <c r="R21" s="11" t="s">
        <v>73</v>
      </c>
      <c r="S21" s="9"/>
      <c r="T21" s="86"/>
      <c r="W21" s="111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211</v>
      </c>
      <c r="D22" s="16" t="n">
        <f aca="false">+Chạy!F5</f>
        <v>-13.3</v>
      </c>
      <c r="E22" s="16" t="n">
        <f aca="false">+D22+F22</f>
        <v>-13.2985</v>
      </c>
      <c r="F22" s="16" t="n">
        <f aca="false">RANDBETWEEN(-105,115)/10000</f>
        <v>0.0015</v>
      </c>
      <c r="G22" s="16" t="n">
        <f aca="false">+Chạy!G5</f>
        <v>1.15</v>
      </c>
      <c r="H22" s="16" t="n">
        <f aca="false">G22+I22</f>
        <v>1.141</v>
      </c>
      <c r="I22" s="16" t="n">
        <f aca="false">RANDBETWEEN(-30,90)/1000</f>
        <v>-0.009</v>
      </c>
      <c r="J22" s="16" t="n">
        <f aca="false">+Chạy!K5</f>
        <v>1.27</v>
      </c>
      <c r="K22" s="16" t="n">
        <f aca="false">J22+L22</f>
        <v>1.358</v>
      </c>
      <c r="L22" s="16" t="n">
        <f aca="false">RANDBETWEEN(-30,90)/1000</f>
        <v>0.088</v>
      </c>
      <c r="M22" s="16" t="n">
        <f aca="false">+Chạy!N5</f>
        <v>13.3</v>
      </c>
      <c r="N22" s="16" t="n">
        <f aca="false">+M22+O22</f>
        <v>13.2995</v>
      </c>
      <c r="O22" s="16" t="n">
        <f aca="false">RANDBETWEEN(-105,115)/10000</f>
        <v>-0.0005</v>
      </c>
      <c r="P22" s="16" t="n">
        <f aca="false">+Chạy!O5</f>
        <v>1.15</v>
      </c>
      <c r="Q22" s="16" t="n">
        <f aca="false">P22+R22</f>
        <v>1.221</v>
      </c>
      <c r="R22" s="16" t="n">
        <f aca="false">RANDBETWEEN(-30,90)/1000</f>
        <v>0.071</v>
      </c>
      <c r="S22" s="17"/>
      <c r="T22" s="0" t="n">
        <v>13.25</v>
      </c>
      <c r="W22" s="102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224.25</v>
      </c>
      <c r="D23" s="16" t="n">
        <f aca="false">+Chạy!F14</f>
        <v>-13.3</v>
      </c>
      <c r="E23" s="16" t="n">
        <f aca="false">+D23+F23</f>
        <v>-13.2916</v>
      </c>
      <c r="F23" s="16" t="n">
        <f aca="false">RANDBETWEEN(-105,115)/10000</f>
        <v>0.0084</v>
      </c>
      <c r="G23" s="16" t="n">
        <f aca="false">+Chạy!G14</f>
        <v>1.14</v>
      </c>
      <c r="H23" s="16" t="n">
        <f aca="false">G23+I23</f>
        <v>1.22</v>
      </c>
      <c r="I23" s="16" t="n">
        <f aca="false">RANDBETWEEN(-30,90)/1000</f>
        <v>0.08</v>
      </c>
      <c r="J23" s="16" t="n">
        <f aca="false">+Chạy!K14</f>
        <v>1.26</v>
      </c>
      <c r="K23" s="16" t="n">
        <f aca="false">J23+L23</f>
        <v>1.267</v>
      </c>
      <c r="L23" s="16" t="n">
        <f aca="false">RANDBETWEEN(-30,90)/1000</f>
        <v>0.007</v>
      </c>
      <c r="M23" s="16" t="n">
        <f aca="false">+Chạy!N14</f>
        <v>8.09</v>
      </c>
      <c r="N23" s="16" t="n">
        <f aca="false">+M23+O23</f>
        <v>8.0862</v>
      </c>
      <c r="O23" s="16" t="n">
        <f aca="false">RANDBETWEEN(-105,115)/10000</f>
        <v>-0.0038</v>
      </c>
      <c r="P23" s="16" t="n">
        <f aca="false">+Chạy!O14</f>
        <v>1.14</v>
      </c>
      <c r="Q23" s="16" t="n">
        <f aca="false">P23+R23</f>
        <v>1.205</v>
      </c>
      <c r="R23" s="16" t="n">
        <f aca="false">RANDBETWEEN(-30,90)/1000</f>
        <v>0.065</v>
      </c>
      <c r="S23" s="17"/>
      <c r="T23" s="0" t="n">
        <v>21.5</v>
      </c>
      <c r="W23" s="102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245.75</v>
      </c>
      <c r="D24" s="16" t="n">
        <f aca="false">+Chạy!F23</f>
        <v>-13.3</v>
      </c>
      <c r="E24" s="16" t="n">
        <f aca="false">+D24+F24</f>
        <v>-13.298</v>
      </c>
      <c r="F24" s="16" t="n">
        <f aca="false">RANDBETWEEN(-105,115)/10000</f>
        <v>0.002</v>
      </c>
      <c r="G24" s="16" t="n">
        <f aca="false">+Chạy!G23</f>
        <v>1.12</v>
      </c>
      <c r="H24" s="16" t="n">
        <f aca="false">G24+I24</f>
        <v>1.193</v>
      </c>
      <c r="I24" s="16" t="n">
        <f aca="false">RANDBETWEEN(-30,90)/1000</f>
        <v>0.073</v>
      </c>
      <c r="J24" s="16" t="n">
        <f aca="false">+Chạy!K23</f>
        <v>1.24</v>
      </c>
      <c r="K24" s="16" t="n">
        <f aca="false">J24+L24</f>
        <v>1.251</v>
      </c>
      <c r="L24" s="16" t="n">
        <f aca="false">RANDBETWEEN(-30,90)/1000</f>
        <v>0.011</v>
      </c>
      <c r="M24" s="16" t="n">
        <f aca="false">+Chạy!N23</f>
        <v>7.82</v>
      </c>
      <c r="N24" s="16" t="n">
        <f aca="false">+M24+O24</f>
        <v>7.8122</v>
      </c>
      <c r="O24" s="16" t="n">
        <f aca="false">RANDBETWEEN(-105,115)/10000</f>
        <v>-0.0078</v>
      </c>
      <c r="P24" s="16" t="n">
        <f aca="false">+Chạy!O23</f>
        <v>1.12</v>
      </c>
      <c r="Q24" s="16" t="n">
        <f aca="false">P24+R24</f>
        <v>1.174</v>
      </c>
      <c r="R24" s="16" t="n">
        <f aca="false">RANDBETWEEN(-30,90)/1000</f>
        <v>0.054</v>
      </c>
      <c r="S24" s="17"/>
      <c r="T24" s="0" t="n">
        <v>11.75</v>
      </c>
      <c r="W24" s="102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257.5</v>
      </c>
      <c r="D25" s="16" t="n">
        <f aca="false">+Chạy!F32</f>
        <v>-7.81</v>
      </c>
      <c r="E25" s="16" t="n">
        <f aca="false">+D25+F25</f>
        <v>-7.8149</v>
      </c>
      <c r="F25" s="16" t="n">
        <f aca="false">RANDBETWEEN(-105,115)/10000</f>
        <v>-0.0049</v>
      </c>
      <c r="G25" s="16" t="n">
        <f aca="false">+Chạy!G32</f>
        <v>1.11</v>
      </c>
      <c r="H25" s="16" t="n">
        <f aca="false">G25+I25</f>
        <v>1.117</v>
      </c>
      <c r="I25" s="16" t="n">
        <f aca="false">RANDBETWEEN(-30,90)/1000</f>
        <v>0.007</v>
      </c>
      <c r="J25" s="16" t="n">
        <f aca="false">+Chạy!K32</f>
        <v>1.23</v>
      </c>
      <c r="K25" s="16" t="n">
        <f aca="false">J25+L25</f>
        <v>1.246</v>
      </c>
      <c r="L25" s="16" t="n">
        <f aca="false">RANDBETWEEN(-30,90)/1000</f>
        <v>0.016</v>
      </c>
      <c r="M25" s="16" t="n">
        <f aca="false">+Chạy!N32</f>
        <v>7.82</v>
      </c>
      <c r="N25" s="16" t="n">
        <f aca="false">+M25+O25</f>
        <v>7.8296</v>
      </c>
      <c r="O25" s="16" t="n">
        <f aca="false">RANDBETWEEN(-105,115)/10000</f>
        <v>0.0096</v>
      </c>
      <c r="P25" s="16" t="n">
        <f aca="false">+Chạy!O32</f>
        <v>1.11</v>
      </c>
      <c r="Q25" s="16" t="n">
        <f aca="false">P25+R25</f>
        <v>1.167</v>
      </c>
      <c r="R25" s="16" t="n">
        <f aca="false">RANDBETWEEN(-30,90)/1000</f>
        <v>0.057</v>
      </c>
      <c r="S25" s="17"/>
      <c r="T25" s="0" t="n">
        <v>11.75</v>
      </c>
      <c r="W25" s="102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269.25</v>
      </c>
      <c r="D26" s="16" t="n">
        <f aca="false">+Chạy!F41</f>
        <v>-7.81</v>
      </c>
      <c r="E26" s="16" t="n">
        <f aca="false">+D26+F26</f>
        <v>-7.808</v>
      </c>
      <c r="F26" s="16" t="n">
        <f aca="false">RANDBETWEEN(-105,115)/10000</f>
        <v>0.002</v>
      </c>
      <c r="G26" s="16" t="n">
        <f aca="false">+Chạy!G41</f>
        <v>1.11</v>
      </c>
      <c r="H26" s="16" t="n">
        <f aca="false">G26+I26</f>
        <v>1.178</v>
      </c>
      <c r="I26" s="16" t="n">
        <f aca="false">RANDBETWEEN(-30,90)/1000</f>
        <v>0.068</v>
      </c>
      <c r="J26" s="16" t="n">
        <f aca="false">+Chạy!K41</f>
        <v>1.22</v>
      </c>
      <c r="K26" s="16" t="n">
        <f aca="false">J26+L26</f>
        <v>1.218</v>
      </c>
      <c r="L26" s="16" t="n">
        <f aca="false">RANDBETWEEN(-30,90)/1000</f>
        <v>-0.002</v>
      </c>
      <c r="M26" s="16" t="n">
        <f aca="false">+Chạy!N41</f>
        <v>7.81</v>
      </c>
      <c r="N26" s="16" t="n">
        <f aca="false">+M26+O26</f>
        <v>7.8144</v>
      </c>
      <c r="O26" s="16" t="n">
        <f aca="false">RANDBETWEEN(-105,115)/10000</f>
        <v>0.0044</v>
      </c>
      <c r="P26" s="16" t="n">
        <f aca="false">+Chạy!O41</f>
        <v>1.11</v>
      </c>
      <c r="Q26" s="16" t="n">
        <f aca="false">P26+R26</f>
        <v>1.106</v>
      </c>
      <c r="R26" s="16" t="n">
        <f aca="false">RANDBETWEEN(-30,90)/1000</f>
        <v>-0.004</v>
      </c>
      <c r="S26" s="17"/>
      <c r="T26" s="0" t="n">
        <v>20</v>
      </c>
      <c r="W26" s="102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289.25</v>
      </c>
      <c r="D27" s="16" t="n">
        <f aca="false">+Chạy!F50</f>
        <v>-7.8</v>
      </c>
      <c r="E27" s="16" t="n">
        <f aca="false">+D27+F27</f>
        <v>-7.8103</v>
      </c>
      <c r="F27" s="16" t="n">
        <f aca="false">RANDBETWEEN(-105,115)/10000</f>
        <v>-0.0103</v>
      </c>
      <c r="G27" s="16" t="n">
        <f aca="false">+Chạy!G50</f>
        <v>1.1</v>
      </c>
      <c r="H27" s="16" t="n">
        <f aca="false">G27+I27</f>
        <v>1.149</v>
      </c>
      <c r="I27" s="16" t="n">
        <f aca="false">RANDBETWEEN(-30,90)/1000</f>
        <v>0.049</v>
      </c>
      <c r="J27" s="16" t="n">
        <f aca="false">+Chạy!K50</f>
        <v>1.21</v>
      </c>
      <c r="K27" s="16" t="n">
        <f aca="false">J27+L27</f>
        <v>1.242</v>
      </c>
      <c r="L27" s="16" t="n">
        <f aca="false">RANDBETWEEN(-30,90)/1000</f>
        <v>0.032</v>
      </c>
      <c r="M27" s="16" t="n">
        <f aca="false">+Chạy!N50</f>
        <v>7.8</v>
      </c>
      <c r="N27" s="16" t="n">
        <f aca="false">+M27+O27</f>
        <v>7.8085</v>
      </c>
      <c r="O27" s="16" t="n">
        <f aca="false">RANDBETWEEN(-105,115)/10000</f>
        <v>0.0085</v>
      </c>
      <c r="P27" s="16" t="n">
        <f aca="false">+Chạy!O50</f>
        <v>1.1</v>
      </c>
      <c r="Q27" s="16" t="n">
        <f aca="false">P27+R27</f>
        <v>1.093</v>
      </c>
      <c r="R27" s="16" t="n">
        <f aca="false">RANDBETWEEN(-30,90)/1000</f>
        <v>-0.007</v>
      </c>
      <c r="S27" s="17"/>
      <c r="T27" s="0" t="n">
        <v>20</v>
      </c>
      <c r="W27" s="102"/>
      <c r="X27" s="102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309.25</v>
      </c>
      <c r="D28" s="16" t="n">
        <f aca="false">+Chạy!F59</f>
        <v>-7.78</v>
      </c>
      <c r="E28" s="16" t="n">
        <f aca="false">+D28+F28</f>
        <v>-7.7788</v>
      </c>
      <c r="F28" s="16" t="n">
        <f aca="false">RANDBETWEEN(-105,115)/10000</f>
        <v>0.0012</v>
      </c>
      <c r="G28" s="16" t="n">
        <f aca="false">+Chạy!G59</f>
        <v>1.08</v>
      </c>
      <c r="H28" s="16" t="n">
        <f aca="false">G28+I28</f>
        <v>1.074</v>
      </c>
      <c r="I28" s="16" t="n">
        <f aca="false">RANDBETWEEN(-30,90)/1000</f>
        <v>-0.006</v>
      </c>
      <c r="J28" s="16" t="n">
        <f aca="false">+Chạy!K59</f>
        <v>1.2</v>
      </c>
      <c r="K28" s="16" t="n">
        <f aca="false">J28+L28</f>
        <v>1.225</v>
      </c>
      <c r="L28" s="16" t="n">
        <f aca="false">RANDBETWEEN(-30,90)/1000</f>
        <v>0.025</v>
      </c>
      <c r="M28" s="16" t="n">
        <f aca="false">+Chạy!N59</f>
        <v>7.78</v>
      </c>
      <c r="N28" s="16" t="n">
        <f aca="false">+M28+O28</f>
        <v>7.7823</v>
      </c>
      <c r="O28" s="16" t="n">
        <f aca="false">RANDBETWEEN(-105,115)/10000</f>
        <v>0.0023</v>
      </c>
      <c r="P28" s="16" t="n">
        <f aca="false">+Chạy!O59</f>
        <v>1.08</v>
      </c>
      <c r="Q28" s="16" t="n">
        <f aca="false">P28+R28</f>
        <v>1.095</v>
      </c>
      <c r="R28" s="16" t="n">
        <f aca="false">RANDBETWEEN(-30,90)/1000</f>
        <v>0.015</v>
      </c>
      <c r="S28" s="17"/>
      <c r="T28" s="0" t="n">
        <v>20</v>
      </c>
      <c r="W28" s="102"/>
      <c r="X28" s="102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329.25</v>
      </c>
      <c r="D29" s="16" t="n">
        <f aca="false">+Chạy!F68</f>
        <v>-7.77</v>
      </c>
      <c r="E29" s="16" t="n">
        <f aca="false">+D29+F29</f>
        <v>-7.7725</v>
      </c>
      <c r="F29" s="16" t="n">
        <f aca="false">RANDBETWEEN(-105,115)/10000</f>
        <v>-0.0025</v>
      </c>
      <c r="G29" s="16" t="n">
        <f aca="false">+Chạy!G68</f>
        <v>1.07</v>
      </c>
      <c r="H29" s="16" t="n">
        <f aca="false">G29+I29</f>
        <v>1.094</v>
      </c>
      <c r="I29" s="16" t="n">
        <f aca="false">RANDBETWEEN(-30,90)/1000</f>
        <v>0.024</v>
      </c>
      <c r="J29" s="16" t="n">
        <f aca="false">+Chạy!K68</f>
        <v>1.19</v>
      </c>
      <c r="K29" s="16" t="n">
        <f aca="false">J29+L29</f>
        <v>1.264</v>
      </c>
      <c r="L29" s="16" t="n">
        <f aca="false">RANDBETWEEN(-30,90)/1000</f>
        <v>0.074</v>
      </c>
      <c r="M29" s="16" t="n">
        <f aca="false">+Chạy!N68</f>
        <v>7.77</v>
      </c>
      <c r="N29" s="16" t="n">
        <f aca="false">+M29+O29</f>
        <v>7.7813</v>
      </c>
      <c r="O29" s="16" t="n">
        <f aca="false">RANDBETWEEN(-105,115)/10000</f>
        <v>0.0113</v>
      </c>
      <c r="P29" s="16" t="n">
        <f aca="false">+Chạy!O68</f>
        <v>1.07</v>
      </c>
      <c r="Q29" s="16" t="n">
        <f aca="false">P29+R29</f>
        <v>1.12</v>
      </c>
      <c r="R29" s="16" t="n">
        <f aca="false">RANDBETWEEN(-30,90)/1000</f>
        <v>0.05</v>
      </c>
      <c r="S29" s="17"/>
      <c r="T29" s="0" t="n">
        <v>20</v>
      </c>
      <c r="W29" s="102"/>
      <c r="X29" s="102"/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349.25</v>
      </c>
      <c r="D30" s="16" t="n">
        <f aca="false">+Chạy!F77</f>
        <v>-13.3</v>
      </c>
      <c r="E30" s="16" t="n">
        <f aca="false">+D30+F30</f>
        <v>-13.3004</v>
      </c>
      <c r="F30" s="16" t="n">
        <f aca="false">RANDBETWEEN(-105,115)/10000</f>
        <v>-0.0004</v>
      </c>
      <c r="G30" s="16" t="n">
        <f aca="false">+Chạy!G77</f>
        <v>1.06</v>
      </c>
      <c r="H30" s="16" t="n">
        <f aca="false">G30+I30</f>
        <v>1.137</v>
      </c>
      <c r="I30" s="16" t="n">
        <f aca="false">RANDBETWEEN(-30,90)/1000</f>
        <v>0.077</v>
      </c>
      <c r="J30" s="16" t="n">
        <f aca="false">+Chạy!K77</f>
        <v>1.18</v>
      </c>
      <c r="K30" s="16" t="n">
        <f aca="false">J30+L30</f>
        <v>1.179</v>
      </c>
      <c r="L30" s="16" t="n">
        <f aca="false">RANDBETWEEN(-30,90)/1000</f>
        <v>-0.001</v>
      </c>
      <c r="M30" s="16" t="n">
        <f aca="false">+Chạy!N77</f>
        <v>7.76</v>
      </c>
      <c r="N30" s="16" t="n">
        <f aca="false">+M30+O30</f>
        <v>7.7567</v>
      </c>
      <c r="O30" s="16" t="n">
        <f aca="false">RANDBETWEEN(-105,115)/10000</f>
        <v>-0.0033</v>
      </c>
      <c r="P30" s="16" t="n">
        <f aca="false">+Chạy!O77</f>
        <v>1.06</v>
      </c>
      <c r="Q30" s="16" t="n">
        <f aca="false">P30+R30</f>
        <v>1.057</v>
      </c>
      <c r="R30" s="16" t="n">
        <f aca="false">RANDBETWEEN(-30,90)/1000</f>
        <v>-0.003</v>
      </c>
      <c r="S30" s="17"/>
      <c r="T30" s="0" t="n">
        <v>19</v>
      </c>
      <c r="W30" s="102"/>
      <c r="X30" s="102"/>
    </row>
    <row r="31" customFormat="false" ht="15" hidden="false" customHeight="false" outlineLevel="0" collapsed="false">
      <c r="A31" s="13" t="n">
        <v>10</v>
      </c>
      <c r="B31" s="13" t="s">
        <v>26</v>
      </c>
      <c r="C31" s="15" t="n">
        <f aca="false">+C30+T30</f>
        <v>368.25</v>
      </c>
      <c r="D31" s="16" t="n">
        <f aca="false">+Chạy!F86</f>
        <v>-13.3</v>
      </c>
      <c r="E31" s="16" t="n">
        <f aca="false">+D31+F31</f>
        <v>-13.3067</v>
      </c>
      <c r="F31" s="16" t="n">
        <f aca="false">RANDBETWEEN(-105,115)/10000</f>
        <v>-0.0067</v>
      </c>
      <c r="G31" s="16" t="n">
        <f aca="false">+Chạy!G86</f>
        <v>1.05</v>
      </c>
      <c r="H31" s="16" t="n">
        <f aca="false">G31+I31</f>
        <v>1.097</v>
      </c>
      <c r="I31" s="16" t="n">
        <f aca="false">RANDBETWEEN(-30,90)/1000</f>
        <v>0.047</v>
      </c>
      <c r="J31" s="16" t="n">
        <f aca="false">+Chạy!K86</f>
        <v>1.17</v>
      </c>
      <c r="K31" s="16" t="n">
        <f aca="false">J31+L31</f>
        <v>1.184</v>
      </c>
      <c r="L31" s="16" t="n">
        <f aca="false">RANDBETWEEN(-30,90)/1000</f>
        <v>0.014</v>
      </c>
      <c r="M31" s="16" t="n">
        <f aca="false">+Chạy!N86</f>
        <v>7.75</v>
      </c>
      <c r="N31" s="16" t="n">
        <f aca="false">+M31+O31</f>
        <v>7.7439</v>
      </c>
      <c r="O31" s="16" t="n">
        <f aca="false">RANDBETWEEN(-105,115)/10000</f>
        <v>-0.0061</v>
      </c>
      <c r="P31" s="16" t="n">
        <f aca="false">+Chạy!O86</f>
        <v>1.05</v>
      </c>
      <c r="Q31" s="16" t="n">
        <f aca="false">P31+R31</f>
        <v>1.021</v>
      </c>
      <c r="R31" s="16" t="n">
        <f aca="false">RANDBETWEEN(-30,90)/1000</f>
        <v>-0.029</v>
      </c>
      <c r="S31" s="17"/>
      <c r="T31" s="0" t="n">
        <v>13.25</v>
      </c>
      <c r="W31" s="102"/>
      <c r="X31" s="102"/>
    </row>
    <row r="32" customFormat="false" ht="15" hidden="false" customHeight="false" outlineLevel="0" collapsed="false">
      <c r="A32" s="13" t="n">
        <v>11</v>
      </c>
      <c r="B32" s="13" t="s">
        <v>27</v>
      </c>
      <c r="C32" s="15" t="n">
        <f aca="false">+C31+T31</f>
        <v>381.5</v>
      </c>
      <c r="D32" s="16" t="n">
        <f aca="false">+Chạy!F95</f>
        <v>-13.3</v>
      </c>
      <c r="E32" s="16" t="n">
        <f aca="false">+D32+F32</f>
        <v>-13.3095</v>
      </c>
      <c r="F32" s="16" t="n">
        <f aca="false">RANDBETWEEN(-105,115)/10000</f>
        <v>-0.0095</v>
      </c>
      <c r="G32" s="16" t="n">
        <f aca="false">+Chạy!G95</f>
        <v>1.04</v>
      </c>
      <c r="H32" s="16" t="n">
        <f aca="false">G32+I32</f>
        <v>1.03</v>
      </c>
      <c r="I32" s="16" t="n">
        <f aca="false">RANDBETWEEN(-30,90)/1000</f>
        <v>-0.01</v>
      </c>
      <c r="J32" s="16" t="n">
        <f aca="false">+Chạy!K95</f>
        <v>1.16</v>
      </c>
      <c r="K32" s="16" t="n">
        <f aca="false">J32+L32</f>
        <v>1.201</v>
      </c>
      <c r="L32" s="16" t="n">
        <f aca="false">RANDBETWEEN(-30,90)/1000</f>
        <v>0.041</v>
      </c>
      <c r="M32" s="16" t="n">
        <f aca="false">+Chạy!N95</f>
        <v>13.3</v>
      </c>
      <c r="N32" s="16" t="n">
        <f aca="false">+M32+O32</f>
        <v>13.3068</v>
      </c>
      <c r="O32" s="16" t="n">
        <f aca="false">RANDBETWEEN(-105,115)/10000</f>
        <v>0.0068</v>
      </c>
      <c r="P32" s="16" t="n">
        <f aca="false">+Chạy!O95</f>
        <v>1.04</v>
      </c>
      <c r="Q32" s="16" t="n">
        <f aca="false">P32+R32</f>
        <v>1.099</v>
      </c>
      <c r="R32" s="16" t="n">
        <f aca="false">RANDBETWEEN(-30,90)/1000</f>
        <v>0.059</v>
      </c>
      <c r="S32" s="17"/>
      <c r="T32" s="0" t="n">
        <v>13.25</v>
      </c>
      <c r="W32" s="102"/>
      <c r="X32" s="102"/>
    </row>
    <row r="33" customFormat="false" ht="15" hidden="false" customHeight="false" outlineLevel="0" collapsed="false">
      <c r="A33" s="13" t="n">
        <v>12</v>
      </c>
      <c r="B33" s="13" t="s">
        <v>28</v>
      </c>
      <c r="C33" s="15" t="n">
        <f aca="false">+C32+T32</f>
        <v>394.75</v>
      </c>
      <c r="D33" s="16" t="n">
        <f aca="false">+Chạy!F104</f>
        <v>-13.3</v>
      </c>
      <c r="E33" s="16" t="n">
        <f aca="false">+D33+F33</f>
        <v>-13.3052</v>
      </c>
      <c r="F33" s="16" t="n">
        <f aca="false">RANDBETWEEN(-105,115)/10000</f>
        <v>-0.0052</v>
      </c>
      <c r="G33" s="16" t="n">
        <f aca="false">+Chạy!G104</f>
        <v>1.03</v>
      </c>
      <c r="H33" s="16" t="n">
        <f aca="false">G33+I33</f>
        <v>1.094</v>
      </c>
      <c r="I33" s="16" t="n">
        <f aca="false">RANDBETWEEN(-30,90)/1000</f>
        <v>0.064</v>
      </c>
      <c r="J33" s="16" t="n">
        <f aca="false">+Chạy!K104</f>
        <v>1.15</v>
      </c>
      <c r="K33" s="16" t="n">
        <f aca="false">J33+L33</f>
        <v>1.23</v>
      </c>
      <c r="L33" s="16" t="n">
        <f aca="false">RANDBETWEEN(-30,90)/1000</f>
        <v>0.08</v>
      </c>
      <c r="M33" s="16" t="n">
        <f aca="false">+Chạy!N104</f>
        <v>13.3</v>
      </c>
      <c r="N33" s="16" t="n">
        <f aca="false">+M33+O33</f>
        <v>13.3031</v>
      </c>
      <c r="O33" s="16" t="n">
        <f aca="false">RANDBETWEEN(-105,115)/10000</f>
        <v>0.0031</v>
      </c>
      <c r="P33" s="16" t="n">
        <f aca="false">+Chạy!O104</f>
        <v>1.03</v>
      </c>
      <c r="Q33" s="16" t="n">
        <f aca="false">P33+R33</f>
        <v>1.1</v>
      </c>
      <c r="R33" s="16" t="n">
        <f aca="false">RANDBETWEEN(-30,90)/1000</f>
        <v>0.07</v>
      </c>
      <c r="S33" s="17"/>
      <c r="T33" s="0" t="n">
        <v>20</v>
      </c>
      <c r="W33" s="102"/>
      <c r="X33" s="102"/>
    </row>
    <row r="34" customFormat="false" ht="15" hidden="false" customHeight="false" outlineLevel="0" collapsed="false">
      <c r="A34" s="13" t="n">
        <v>13</v>
      </c>
      <c r="B34" s="13" t="s">
        <v>29</v>
      </c>
      <c r="C34" s="15" t="n">
        <f aca="false">+C33+T33</f>
        <v>414.75</v>
      </c>
      <c r="D34" s="16" t="n">
        <f aca="false">+Chạy!F113</f>
        <v>-13.3</v>
      </c>
      <c r="E34" s="16" t="n">
        <f aca="false">+D34+F34</f>
        <v>-13.2885</v>
      </c>
      <c r="F34" s="16" t="n">
        <f aca="false">RANDBETWEEN(-105,115)/10000</f>
        <v>0.0115</v>
      </c>
      <c r="G34" s="16" t="n">
        <f aca="false">+Chạy!G113</f>
        <v>1.02</v>
      </c>
      <c r="H34" s="16" t="n">
        <f aca="false">G34+I34</f>
        <v>0.991</v>
      </c>
      <c r="I34" s="16" t="n">
        <f aca="false">RANDBETWEEN(-30,90)/1000</f>
        <v>-0.029</v>
      </c>
      <c r="J34" s="16" t="n">
        <f aca="false">+Chạy!K113</f>
        <v>1.14</v>
      </c>
      <c r="K34" s="16" t="n">
        <f aca="false">J34+L34</f>
        <v>1.127</v>
      </c>
      <c r="L34" s="16" t="n">
        <f aca="false">RANDBETWEEN(-30,90)/1000</f>
        <v>-0.013</v>
      </c>
      <c r="M34" s="16" t="n">
        <f aca="false">+Chạy!N113</f>
        <v>13.3</v>
      </c>
      <c r="N34" s="16" t="n">
        <f aca="false">+M34+O34</f>
        <v>13.3029</v>
      </c>
      <c r="O34" s="16" t="n">
        <f aca="false">RANDBETWEEN(-105,115)/10000</f>
        <v>0.0029</v>
      </c>
      <c r="P34" s="16" t="n">
        <f aca="false">+Chạy!O113</f>
        <v>1.02</v>
      </c>
      <c r="Q34" s="16" t="n">
        <f aca="false">P34+R34</f>
        <v>1.084</v>
      </c>
      <c r="R34" s="16" t="n">
        <f aca="false">RANDBETWEEN(-30,90)/1000</f>
        <v>0.064</v>
      </c>
      <c r="S34" s="17"/>
      <c r="T34" s="0" t="n">
        <v>20</v>
      </c>
      <c r="W34" s="102"/>
      <c r="X34" s="102"/>
    </row>
    <row r="35" customFormat="false" ht="15" hidden="false" customHeight="false" outlineLevel="0" collapsed="false">
      <c r="A35" s="13" t="n">
        <v>14</v>
      </c>
      <c r="B35" s="13" t="s">
        <v>30</v>
      </c>
      <c r="C35" s="15" t="n">
        <f aca="false">+C34+T34</f>
        <v>434.75</v>
      </c>
      <c r="D35" s="16" t="n">
        <f aca="false">+Chạy!F122</f>
        <v>-13.3</v>
      </c>
      <c r="E35" s="16" t="n">
        <f aca="false">+D35+F35</f>
        <v>-13.2892</v>
      </c>
      <c r="F35" s="16" t="n">
        <f aca="false">RANDBETWEEN(-105,115)/10000</f>
        <v>0.0108</v>
      </c>
      <c r="G35" s="16" t="n">
        <f aca="false">+Chạy!G122</f>
        <v>1.01</v>
      </c>
      <c r="H35" s="16" t="n">
        <f aca="false">G35+I35</f>
        <v>1.069</v>
      </c>
      <c r="I35" s="16" t="n">
        <f aca="false">RANDBETWEEN(-30,90)/1000</f>
        <v>0.059</v>
      </c>
      <c r="J35" s="16" t="n">
        <f aca="false">+Chạy!K122</f>
        <v>1.12</v>
      </c>
      <c r="K35" s="16" t="n">
        <f aca="false">J35+L35</f>
        <v>1.143</v>
      </c>
      <c r="L35" s="16" t="n">
        <f aca="false">RANDBETWEEN(-30,90)/1000</f>
        <v>0.023</v>
      </c>
      <c r="M35" s="16" t="n">
        <f aca="false">+Chạy!N122</f>
        <v>13.3</v>
      </c>
      <c r="N35" s="16" t="n">
        <f aca="false">+M35+O35</f>
        <v>13.3008</v>
      </c>
      <c r="O35" s="16" t="n">
        <f aca="false">RANDBETWEEN(-105,115)/10000</f>
        <v>0.0008</v>
      </c>
      <c r="P35" s="16" t="n">
        <f aca="false">+Chạy!O122</f>
        <v>1.01</v>
      </c>
      <c r="Q35" s="16" t="n">
        <f aca="false">P35+R35</f>
        <v>1.058</v>
      </c>
      <c r="R35" s="16" t="n">
        <f aca="false">RANDBETWEEN(-30,90)/1000</f>
        <v>0.048</v>
      </c>
      <c r="S35" s="17"/>
      <c r="T35" s="0" t="n">
        <v>20</v>
      </c>
      <c r="W35" s="102"/>
      <c r="X35" s="102"/>
    </row>
    <row r="36" customFormat="false" ht="15" hidden="false" customHeight="false" outlineLevel="0" collapsed="false">
      <c r="A36" s="13" t="n">
        <v>15</v>
      </c>
      <c r="B36" s="13" t="s">
        <v>31</v>
      </c>
      <c r="C36" s="15" t="n">
        <f aca="false">+C35+T35</f>
        <v>454.75</v>
      </c>
      <c r="D36" s="16" t="n">
        <f aca="false">+Chạy!F131</f>
        <v>-13.3</v>
      </c>
      <c r="E36" s="16" t="n">
        <f aca="false">+D36+F36</f>
        <v>-13.3074</v>
      </c>
      <c r="F36" s="16" t="n">
        <f aca="false">RANDBETWEEN(-105,115)/10000</f>
        <v>-0.0074</v>
      </c>
      <c r="G36" s="16" t="n">
        <f aca="false">+Chạy!G131</f>
        <v>0.99</v>
      </c>
      <c r="H36" s="16" t="n">
        <f aca="false">G36+I36</f>
        <v>1.041</v>
      </c>
      <c r="I36" s="16" t="n">
        <f aca="false">RANDBETWEEN(-30,90)/1000</f>
        <v>0.051</v>
      </c>
      <c r="J36" s="16" t="n">
        <f aca="false">+Chạy!K131</f>
        <v>1.11</v>
      </c>
      <c r="K36" s="16" t="n">
        <f aca="false">J36+L36</f>
        <v>1.187</v>
      </c>
      <c r="L36" s="16" t="n">
        <f aca="false">RANDBETWEEN(-30,90)/1000</f>
        <v>0.077</v>
      </c>
      <c r="M36" s="16" t="n">
        <f aca="false">+Chạy!N131</f>
        <v>13.3</v>
      </c>
      <c r="N36" s="16" t="n">
        <f aca="false">+M36+O36</f>
        <v>13.3113</v>
      </c>
      <c r="O36" s="16" t="n">
        <f aca="false">RANDBETWEEN(-105,115)/10000</f>
        <v>0.0113</v>
      </c>
      <c r="P36" s="16" t="n">
        <f aca="false">+Chạy!O131</f>
        <v>0.99</v>
      </c>
      <c r="Q36" s="16" t="n">
        <f aca="false">P36+R36</f>
        <v>1.02</v>
      </c>
      <c r="R36" s="16" t="n">
        <f aca="false">RANDBETWEEN(-30,90)/1000</f>
        <v>0.03</v>
      </c>
      <c r="S36" s="17"/>
      <c r="T36" s="0" t="n">
        <v>20</v>
      </c>
      <c r="W36" s="102"/>
      <c r="X36" s="102"/>
    </row>
    <row r="37" customFormat="false" ht="15" hidden="false" customHeight="false" outlineLevel="0" collapsed="false">
      <c r="A37" s="13" t="n">
        <v>16</v>
      </c>
      <c r="B37" s="13" t="s">
        <v>32</v>
      </c>
      <c r="C37" s="15" t="n">
        <f aca="false">+C36+T36</f>
        <v>474.75</v>
      </c>
      <c r="D37" s="16" t="n">
        <f aca="false">+Chạy!F140</f>
        <v>-13.3</v>
      </c>
      <c r="E37" s="16" t="n">
        <f aca="false">+D37+F37</f>
        <v>-13.2924</v>
      </c>
      <c r="F37" s="16" t="n">
        <f aca="false">RANDBETWEEN(-105,115)/10000</f>
        <v>0.0076</v>
      </c>
      <c r="G37" s="16" t="n">
        <f aca="false">+Chạy!G140</f>
        <v>0.98</v>
      </c>
      <c r="H37" s="16" t="n">
        <f aca="false">G37+I37</f>
        <v>1.022</v>
      </c>
      <c r="I37" s="16" t="n">
        <f aca="false">RANDBETWEEN(-30,90)/1000</f>
        <v>0.042</v>
      </c>
      <c r="J37" s="16" t="n">
        <f aca="false">+Chạy!K140</f>
        <v>1.1</v>
      </c>
      <c r="K37" s="16" t="n">
        <f aca="false">J37+L37</f>
        <v>1.132</v>
      </c>
      <c r="L37" s="16" t="n">
        <f aca="false">RANDBETWEEN(-30,90)/1000</f>
        <v>0.032</v>
      </c>
      <c r="M37" s="16" t="n">
        <f aca="false">+Chạy!N140</f>
        <v>13.3</v>
      </c>
      <c r="N37" s="16" t="n">
        <f aca="false">+M37+O37</f>
        <v>13.2939</v>
      </c>
      <c r="O37" s="16" t="n">
        <f aca="false">RANDBETWEEN(-105,115)/10000</f>
        <v>-0.0061</v>
      </c>
      <c r="P37" s="16" t="n">
        <f aca="false">+Chạy!O140</f>
        <v>0.98</v>
      </c>
      <c r="Q37" s="16" t="n">
        <f aca="false">P37+R37</f>
        <v>1.03</v>
      </c>
      <c r="R37" s="16" t="n">
        <f aca="false">RANDBETWEEN(-30,90)/1000</f>
        <v>0.05</v>
      </c>
      <c r="S37" s="17"/>
      <c r="T37" s="0" t="n">
        <v>14.44</v>
      </c>
      <c r="W37" s="102"/>
      <c r="X37" s="102"/>
    </row>
    <row r="38" customFormat="false" ht="15" hidden="false" customHeight="false" outlineLevel="0" collapsed="false">
      <c r="A38" s="13" t="n">
        <v>17</v>
      </c>
      <c r="B38" s="13" t="s">
        <v>33</v>
      </c>
      <c r="C38" s="15" t="n">
        <f aca="false">+C37+T37</f>
        <v>489.19</v>
      </c>
      <c r="D38" s="16" t="n">
        <f aca="false">+Chạy!F149</f>
        <v>-13.3</v>
      </c>
      <c r="E38" s="16" t="n">
        <f aca="false">+D38+F38</f>
        <v>-13.3058</v>
      </c>
      <c r="F38" s="16" t="n">
        <f aca="false">RANDBETWEEN(-105,115)/10000</f>
        <v>-0.0058</v>
      </c>
      <c r="G38" s="16" t="n">
        <f aca="false">+Chạy!G149</f>
        <v>0.97</v>
      </c>
      <c r="H38" s="16" t="n">
        <f aca="false">G38+I38</f>
        <v>1.057</v>
      </c>
      <c r="I38" s="16" t="n">
        <f aca="false">RANDBETWEEN(-30,90)/1000</f>
        <v>0.087</v>
      </c>
      <c r="J38" s="16" t="n">
        <f aca="false">+Chạy!K149</f>
        <v>1.09</v>
      </c>
      <c r="K38" s="16" t="n">
        <f aca="false">J38+L38</f>
        <v>1.142</v>
      </c>
      <c r="L38" s="16" t="n">
        <f aca="false">RANDBETWEEN(-30,90)/1000</f>
        <v>0.052</v>
      </c>
      <c r="M38" s="16" t="n">
        <f aca="false">+Chạy!N149</f>
        <v>13.3</v>
      </c>
      <c r="N38" s="16" t="n">
        <f aca="false">+M38+O38</f>
        <v>13.3017</v>
      </c>
      <c r="O38" s="16" t="n">
        <f aca="false">RANDBETWEEN(-105,115)/10000</f>
        <v>0.0017</v>
      </c>
      <c r="P38" s="16" t="n">
        <f aca="false">+Chạy!O149</f>
        <v>0.97</v>
      </c>
      <c r="Q38" s="16" t="n">
        <f aca="false">P38+R38</f>
        <v>1.004</v>
      </c>
      <c r="R38" s="16" t="n">
        <f aca="false">RANDBETWEEN(-30,90)/1000</f>
        <v>0.034</v>
      </c>
      <c r="S38" s="17"/>
      <c r="T38" s="0" t="n">
        <v>13.17</v>
      </c>
      <c r="W38" s="102"/>
      <c r="X38" s="102"/>
    </row>
    <row r="39" customFormat="false" ht="15" hidden="false" customHeight="false" outlineLevel="0" collapsed="false">
      <c r="A39" s="13" t="n">
        <v>18</v>
      </c>
      <c r="B39" s="13" t="s">
        <v>34</v>
      </c>
      <c r="C39" s="15" t="n">
        <f aca="false">+C38+T38</f>
        <v>502.36</v>
      </c>
      <c r="D39" s="16" t="n">
        <f aca="false">+Chạy!F158</f>
        <v>-13.3</v>
      </c>
      <c r="E39" s="16" t="n">
        <f aca="false">+D39+F39</f>
        <v>-13.3033</v>
      </c>
      <c r="F39" s="16" t="n">
        <f aca="false">RANDBETWEEN(-105,115)/10000</f>
        <v>-0.0033</v>
      </c>
      <c r="G39" s="16" t="n">
        <f aca="false">+Chạy!G158</f>
        <v>0.96</v>
      </c>
      <c r="H39" s="16" t="n">
        <f aca="false">G39+I39</f>
        <v>0.978</v>
      </c>
      <c r="I39" s="16" t="n">
        <f aca="false">RANDBETWEEN(-30,90)/1000</f>
        <v>0.018</v>
      </c>
      <c r="J39" s="16" t="n">
        <f aca="false">+Chạy!K158</f>
        <v>1.08</v>
      </c>
      <c r="K39" s="16" t="n">
        <f aca="false">J39+L39</f>
        <v>1.166</v>
      </c>
      <c r="L39" s="16" t="n">
        <f aca="false">RANDBETWEEN(-30,90)/1000</f>
        <v>0.086</v>
      </c>
      <c r="M39" s="16" t="n">
        <f aca="false">+Chạy!N158</f>
        <v>13.3</v>
      </c>
      <c r="N39" s="16" t="n">
        <f aca="false">+M39+O39</f>
        <v>13.3081</v>
      </c>
      <c r="O39" s="16" t="n">
        <f aca="false">RANDBETWEEN(-105,115)/10000</f>
        <v>0.0081</v>
      </c>
      <c r="P39" s="16" t="n">
        <f aca="false">+Chạy!O158</f>
        <v>0.96</v>
      </c>
      <c r="Q39" s="16" t="n">
        <f aca="false">P39+R39</f>
        <v>0.968</v>
      </c>
      <c r="R39" s="16" t="n">
        <f aca="false">RANDBETWEEN(-30,90)/1000</f>
        <v>0.008</v>
      </c>
      <c r="S39" s="17"/>
      <c r="T39" s="0" t="n">
        <v>10.48</v>
      </c>
      <c r="W39" s="102"/>
      <c r="X39" s="102"/>
    </row>
    <row r="40" customFormat="false" ht="15" hidden="false" customHeight="false" outlineLevel="0" collapsed="false">
      <c r="A40" s="13" t="n">
        <v>19</v>
      </c>
      <c r="B40" s="13" t="s">
        <v>35</v>
      </c>
      <c r="C40" s="15" t="n">
        <f aca="false">+C39+T39</f>
        <v>512.84</v>
      </c>
      <c r="D40" s="16" t="n">
        <f aca="false">+Chạy!F167</f>
        <v>-13.3</v>
      </c>
      <c r="E40" s="16" t="n">
        <f aca="false">+D40+F40</f>
        <v>-13.3083</v>
      </c>
      <c r="F40" s="16" t="n">
        <f aca="false">RANDBETWEEN(-105,115)/10000</f>
        <v>-0.0083</v>
      </c>
      <c r="G40" s="16" t="n">
        <f aca="false">+Chạy!G167</f>
        <v>0.96</v>
      </c>
      <c r="H40" s="16" t="n">
        <f aca="false">G40+I40</f>
        <v>0.992</v>
      </c>
      <c r="I40" s="16" t="n">
        <f aca="false">RANDBETWEEN(-30,90)/1000</f>
        <v>0.032</v>
      </c>
      <c r="J40" s="16" t="n">
        <f aca="false">+Chạy!K167</f>
        <v>1.07</v>
      </c>
      <c r="K40" s="16" t="n">
        <f aca="false">J40+L40</f>
        <v>1.153</v>
      </c>
      <c r="L40" s="16" t="n">
        <f aca="false">RANDBETWEEN(-30,90)/1000</f>
        <v>0.083</v>
      </c>
      <c r="M40" s="16" t="n">
        <f aca="false">+Chạy!N167</f>
        <v>13.3</v>
      </c>
      <c r="N40" s="16" t="n">
        <f aca="false">+M40+O40</f>
        <v>13.3012</v>
      </c>
      <c r="O40" s="16" t="n">
        <f aca="false">RANDBETWEEN(-105,115)/10000</f>
        <v>0.0012</v>
      </c>
      <c r="P40" s="16" t="n">
        <f aca="false">+Chạy!O167</f>
        <v>0.96</v>
      </c>
      <c r="Q40" s="16" t="n">
        <f aca="false">P40+R40</f>
        <v>0.986</v>
      </c>
      <c r="R40" s="16" t="n">
        <f aca="false">RANDBETWEEN(-30,90)/1000</f>
        <v>0.026</v>
      </c>
      <c r="S40" s="17"/>
      <c r="T40" s="0" t="n">
        <v>16.78</v>
      </c>
      <c r="W40" s="102"/>
      <c r="X40" s="102"/>
    </row>
    <row r="41" customFormat="false" ht="15" hidden="false" customHeight="false" outlineLevel="0" collapsed="false">
      <c r="A41" s="13" t="n">
        <v>20</v>
      </c>
      <c r="B41" s="13" t="s">
        <v>36</v>
      </c>
      <c r="C41" s="15" t="n">
        <f aca="false">+C40+T40</f>
        <v>529.62</v>
      </c>
      <c r="D41" s="16" t="n">
        <f aca="false">+Chạy!F176</f>
        <v>-13.3</v>
      </c>
      <c r="E41" s="16" t="n">
        <f aca="false">+D41+F41</f>
        <v>-13.2911</v>
      </c>
      <c r="F41" s="16" t="n">
        <f aca="false">RANDBETWEEN(-105,115)/10000</f>
        <v>0.0089</v>
      </c>
      <c r="G41" s="16" t="n">
        <f aca="false">+Chạy!G176</f>
        <v>0.95</v>
      </c>
      <c r="H41" s="16" t="n">
        <f aca="false">G41+I41</f>
        <v>0.947</v>
      </c>
      <c r="I41" s="16" t="n">
        <f aca="false">RANDBETWEEN(-30,90)/1000</f>
        <v>-0.003</v>
      </c>
      <c r="J41" s="16" t="n">
        <f aca="false">+Chạy!K176</f>
        <v>1.07</v>
      </c>
      <c r="K41" s="16" t="n">
        <f aca="false">J41+L41</f>
        <v>1.112</v>
      </c>
      <c r="L41" s="16" t="n">
        <f aca="false">RANDBETWEEN(-30,90)/1000</f>
        <v>0.042</v>
      </c>
      <c r="M41" s="16" t="n">
        <f aca="false">+Chạy!N176</f>
        <v>13.3</v>
      </c>
      <c r="N41" s="16" t="n">
        <f aca="false">+M41+O41</f>
        <v>13.2928</v>
      </c>
      <c r="O41" s="16" t="n">
        <f aca="false">RANDBETWEEN(-105,115)/10000</f>
        <v>-0.0072</v>
      </c>
      <c r="P41" s="16" t="n">
        <f aca="false">+Chạy!O176</f>
        <v>0.95</v>
      </c>
      <c r="Q41" s="16" t="n">
        <f aca="false">P41+R41</f>
        <v>0.943</v>
      </c>
      <c r="R41" s="16" t="n">
        <f aca="false">RANDBETWEEN(-30,90)/1000</f>
        <v>-0.007</v>
      </c>
      <c r="S41" s="17"/>
      <c r="T41" s="0" t="n">
        <v>17.1</v>
      </c>
      <c r="W41" s="102"/>
      <c r="X41" s="102"/>
    </row>
    <row r="42" customFormat="false" ht="15" hidden="false" customHeight="false" outlineLevel="0" collapsed="false">
      <c r="A42" s="13" t="n">
        <v>21</v>
      </c>
      <c r="B42" s="13" t="s">
        <v>37</v>
      </c>
      <c r="C42" s="15" t="n">
        <f aca="false">+C41+T41</f>
        <v>546.72</v>
      </c>
      <c r="D42" s="16" t="n">
        <f aca="false">+Chạy!F185</f>
        <v>-13.3</v>
      </c>
      <c r="E42" s="16" t="n">
        <f aca="false">+D42+F42</f>
        <v>-13.2984</v>
      </c>
      <c r="F42" s="16" t="n">
        <f aca="false">RANDBETWEEN(-105,115)/10000</f>
        <v>0.0016</v>
      </c>
      <c r="G42" s="16" t="n">
        <f aca="false">+Chạy!G185</f>
        <v>0.94</v>
      </c>
      <c r="H42" s="16" t="n">
        <f aca="false">G42+I42</f>
        <v>0.99</v>
      </c>
      <c r="I42" s="16" t="n">
        <f aca="false">RANDBETWEEN(-30,90)/1000</f>
        <v>0.05</v>
      </c>
      <c r="J42" s="16" t="n">
        <f aca="false">+Chạy!K185</f>
        <v>1.06</v>
      </c>
      <c r="K42" s="16" t="n">
        <f aca="false">J42+L42</f>
        <v>1.075</v>
      </c>
      <c r="L42" s="16" t="n">
        <f aca="false">RANDBETWEEN(-30,90)/1000</f>
        <v>0.015</v>
      </c>
      <c r="M42" s="16" t="n">
        <f aca="false">+Chạy!N185</f>
        <v>13.3</v>
      </c>
      <c r="N42" s="16" t="n">
        <f aca="false">+M42+O42</f>
        <v>13.2986</v>
      </c>
      <c r="O42" s="16" t="n">
        <f aca="false">RANDBETWEEN(-105,115)/10000</f>
        <v>-0.0014</v>
      </c>
      <c r="P42" s="16" t="n">
        <f aca="false">+Chạy!O185</f>
        <v>0.94</v>
      </c>
      <c r="Q42" s="16" t="n">
        <f aca="false">P42+R42</f>
        <v>1.019</v>
      </c>
      <c r="R42" s="16" t="n">
        <f aca="false">RANDBETWEEN(-30,90)/1000</f>
        <v>0.079</v>
      </c>
      <c r="S42" s="17"/>
      <c r="T42" s="0" t="n">
        <v>15.15</v>
      </c>
      <c r="W42" s="102"/>
      <c r="X42" s="102"/>
    </row>
    <row r="43" customFormat="false" ht="15" hidden="false" customHeight="false" outlineLevel="0" collapsed="false">
      <c r="A43" s="13" t="n">
        <v>22</v>
      </c>
      <c r="B43" s="13" t="s">
        <v>38</v>
      </c>
      <c r="C43" s="15" t="n">
        <f aca="false">+C42+T42</f>
        <v>561.87</v>
      </c>
      <c r="D43" s="16" t="n">
        <f aca="false">+Chạy!F194</f>
        <v>-13.3</v>
      </c>
      <c r="E43" s="16" t="n">
        <f aca="false">+D43+F43</f>
        <v>-13.3087</v>
      </c>
      <c r="F43" s="16" t="n">
        <f aca="false">RANDBETWEEN(-105,115)/10000</f>
        <v>-0.0087</v>
      </c>
      <c r="G43" s="16" t="n">
        <f aca="false">+Chạy!G194</f>
        <v>0.94</v>
      </c>
      <c r="H43" s="16" t="n">
        <f aca="false">G43+I43</f>
        <v>0.922</v>
      </c>
      <c r="I43" s="16" t="n">
        <f aca="false">RANDBETWEEN(-30,90)/1000</f>
        <v>-0.018</v>
      </c>
      <c r="J43" s="16" t="n">
        <f aca="false">+Chạy!K194</f>
        <v>1.05</v>
      </c>
      <c r="K43" s="16" t="n">
        <f aca="false">J43+L43</f>
        <v>1.042</v>
      </c>
      <c r="L43" s="16" t="n">
        <f aca="false">RANDBETWEEN(-30,90)/1000</f>
        <v>-0.008</v>
      </c>
      <c r="M43" s="16" t="n">
        <f aca="false">+Chạy!N194</f>
        <v>13.3</v>
      </c>
      <c r="N43" s="16" t="n">
        <f aca="false">+M43+O43</f>
        <v>13.3103</v>
      </c>
      <c r="O43" s="16" t="n">
        <f aca="false">RANDBETWEEN(-105,115)/10000</f>
        <v>0.0103</v>
      </c>
      <c r="P43" s="16" t="n">
        <f aca="false">+Chạy!O194</f>
        <v>0.94</v>
      </c>
      <c r="Q43" s="16" t="n">
        <f aca="false">P43+R43</f>
        <v>0.917</v>
      </c>
      <c r="R43" s="16" t="n">
        <f aca="false">RANDBETWEEN(-30,90)/1000</f>
        <v>-0.023</v>
      </c>
      <c r="S43" s="17"/>
      <c r="T43" s="0" t="n">
        <v>0.15</v>
      </c>
      <c r="W43" s="102"/>
      <c r="X43" s="102"/>
    </row>
    <row r="44" customFormat="false" ht="15" hidden="false" customHeight="false" outlineLevel="0" collapsed="false">
      <c r="A44" s="13" t="n">
        <v>23</v>
      </c>
      <c r="B44" s="13" t="s">
        <v>39</v>
      </c>
      <c r="C44" s="15" t="n">
        <f aca="false">+C43+T43</f>
        <v>562.02</v>
      </c>
      <c r="D44" s="16" t="n">
        <f aca="false">+Chạy!F203</f>
        <v>-13.3</v>
      </c>
      <c r="E44" s="16" t="n">
        <f aca="false">+D44+F44</f>
        <v>-13.2992</v>
      </c>
      <c r="F44" s="16" t="n">
        <f aca="false">RANDBETWEEN(-105,115)/10000</f>
        <v>0.0008</v>
      </c>
      <c r="G44" s="16" t="n">
        <f aca="false">+Chạy!G203</f>
        <v>0.94</v>
      </c>
      <c r="H44" s="16" t="n">
        <f aca="false">G44+I44</f>
        <v>0.982</v>
      </c>
      <c r="I44" s="16" t="n">
        <f aca="false">RANDBETWEEN(-30,90)/1000</f>
        <v>0.042</v>
      </c>
      <c r="J44" s="16" t="n">
        <f aca="false">+Chạy!K203</f>
        <v>1.05</v>
      </c>
      <c r="K44" s="16" t="n">
        <f aca="false">J44+L44</f>
        <v>1.135</v>
      </c>
      <c r="L44" s="16" t="n">
        <f aca="false">RANDBETWEEN(-30,90)/1000</f>
        <v>0.085</v>
      </c>
      <c r="M44" s="16" t="n">
        <f aca="false">+Chạy!N203</f>
        <v>13.3</v>
      </c>
      <c r="N44" s="16" t="n">
        <f aca="false">+M44+O44</f>
        <v>13.2915</v>
      </c>
      <c r="O44" s="16" t="n">
        <f aca="false">RANDBETWEEN(-105,115)/10000</f>
        <v>-0.0085</v>
      </c>
      <c r="P44" s="16" t="n">
        <f aca="false">+Chạy!O203</f>
        <v>0.94</v>
      </c>
      <c r="Q44" s="16" t="n">
        <f aca="false">P44+R44</f>
        <v>0.962</v>
      </c>
      <c r="R44" s="16" t="n">
        <f aca="false">RANDBETWEEN(-30,90)/1000</f>
        <v>0.022</v>
      </c>
      <c r="S44" s="17"/>
      <c r="T44" s="0" t="n">
        <v>6.55</v>
      </c>
      <c r="W44" s="102"/>
      <c r="X44" s="102"/>
    </row>
    <row r="45" customFormat="false" ht="15" hidden="false" customHeight="false" outlineLevel="0" collapsed="false">
      <c r="A45" s="13" t="n">
        <v>24</v>
      </c>
      <c r="B45" s="13" t="s">
        <v>40</v>
      </c>
      <c r="C45" s="15" t="n">
        <f aca="false">+C44+T44</f>
        <v>568.57</v>
      </c>
      <c r="D45" s="16" t="n">
        <f aca="false">+Chạy!F212</f>
        <v>-13.3</v>
      </c>
      <c r="E45" s="16" t="n">
        <f aca="false">+D45+F45</f>
        <v>-13.3077</v>
      </c>
      <c r="F45" s="16" t="n">
        <f aca="false">RANDBETWEEN(-105,115)/10000</f>
        <v>-0.0077</v>
      </c>
      <c r="G45" s="16" t="n">
        <f aca="false">+Chạy!G212</f>
        <v>0.94</v>
      </c>
      <c r="H45" s="16" t="n">
        <f aca="false">G45+I45</f>
        <v>0.92</v>
      </c>
      <c r="I45" s="16" t="n">
        <f aca="false">RANDBETWEEN(-30,90)/1000</f>
        <v>-0.02</v>
      </c>
      <c r="J45" s="16" t="n">
        <f aca="false">+Chạy!K212</f>
        <v>1.05</v>
      </c>
      <c r="K45" s="16" t="n">
        <f aca="false">J45+L45</f>
        <v>1.135</v>
      </c>
      <c r="L45" s="16" t="n">
        <f aca="false">RANDBETWEEN(-30,90)/1000</f>
        <v>0.085</v>
      </c>
      <c r="M45" s="16" t="n">
        <f aca="false">+Chạy!N212</f>
        <v>13.3</v>
      </c>
      <c r="N45" s="16" t="n">
        <f aca="false">+M45+O45</f>
        <v>13.299</v>
      </c>
      <c r="O45" s="16" t="n">
        <f aca="false">RANDBETWEEN(-105,115)/10000</f>
        <v>-0.001</v>
      </c>
      <c r="P45" s="16" t="n">
        <f aca="false">+Chạy!O212</f>
        <v>0.94</v>
      </c>
      <c r="Q45" s="16" t="n">
        <f aca="false">P45+R45</f>
        <v>0.962</v>
      </c>
      <c r="R45" s="16" t="n">
        <f aca="false">RANDBETWEEN(-30,90)/1000</f>
        <v>0.022</v>
      </c>
      <c r="S45" s="17"/>
      <c r="T45" s="0" t="n">
        <v>6.55</v>
      </c>
      <c r="W45" s="102"/>
      <c r="X45" s="102"/>
    </row>
    <row r="46" customFormat="false" ht="15" hidden="false" customHeight="false" outlineLevel="0" collapsed="false">
      <c r="A46" s="13" t="n">
        <v>25</v>
      </c>
      <c r="B46" s="13" t="s">
        <v>1</v>
      </c>
      <c r="C46" s="15" t="n">
        <f aca="false">+C45+T45</f>
        <v>575.12</v>
      </c>
      <c r="D46" s="16" t="n">
        <f aca="false">+Chạy!F221</f>
        <v>-13.3</v>
      </c>
      <c r="E46" s="16" t="n">
        <f aca="false">+D46+F46</f>
        <v>-13.293</v>
      </c>
      <c r="F46" s="16" t="n">
        <f aca="false">RANDBETWEEN(-105,115)/10000</f>
        <v>0.007</v>
      </c>
      <c r="G46" s="16" t="n">
        <f aca="false">+Chạy!G221</f>
        <v>0.94</v>
      </c>
      <c r="H46" s="16" t="n">
        <f aca="false">G46+I46</f>
        <v>0.975</v>
      </c>
      <c r="I46" s="16" t="n">
        <f aca="false">RANDBETWEEN(-30,90)/1000</f>
        <v>0.035</v>
      </c>
      <c r="J46" s="16" t="n">
        <f aca="false">+Chạy!K221</f>
        <v>1.05</v>
      </c>
      <c r="K46" s="16" t="n">
        <f aca="false">J46+L46</f>
        <v>1.133</v>
      </c>
      <c r="L46" s="16" t="n">
        <f aca="false">RANDBETWEEN(-30,90)/1000</f>
        <v>0.083</v>
      </c>
      <c r="M46" s="16" t="n">
        <f aca="false">+Chạy!N221</f>
        <v>13.3</v>
      </c>
      <c r="N46" s="16" t="n">
        <f aca="false">+M46+O46</f>
        <v>13.2997</v>
      </c>
      <c r="O46" s="16" t="n">
        <f aca="false">RANDBETWEEN(-105,115)/10000</f>
        <v>-0.0003</v>
      </c>
      <c r="P46" s="16" t="n">
        <f aca="false">+Chạy!O221</f>
        <v>0.94</v>
      </c>
      <c r="Q46" s="16" t="n">
        <f aca="false">P46+R46</f>
        <v>0.965</v>
      </c>
      <c r="R46" s="16" t="n">
        <f aca="false">RANDBETWEEN(-30,90)/1000</f>
        <v>0.025</v>
      </c>
      <c r="S46" s="17"/>
      <c r="T46" s="0" t="n">
        <v>0.04</v>
      </c>
      <c r="W46" s="102"/>
      <c r="X46" s="102"/>
    </row>
    <row r="47" customFormat="false" ht="15" hidden="false" customHeight="false" outlineLevel="0" collapsed="false">
      <c r="A47" s="13" t="n">
        <v>26</v>
      </c>
      <c r="B47" s="13" t="s">
        <v>41</v>
      </c>
      <c r="C47" s="15" t="n">
        <f aca="false">+C46+T46</f>
        <v>575.16</v>
      </c>
      <c r="D47" s="16" t="n">
        <f aca="false">+Chạy!F230</f>
        <v>-13.3</v>
      </c>
      <c r="E47" s="16" t="n">
        <f aca="false">+D47+F47</f>
        <v>-13.2953</v>
      </c>
      <c r="F47" s="16" t="n">
        <f aca="false">RANDBETWEEN(-105,115)/10000</f>
        <v>0.0047</v>
      </c>
      <c r="G47" s="16" t="n">
        <f aca="false">+Chạy!G230</f>
        <v>1.07</v>
      </c>
      <c r="H47" s="16" t="n">
        <f aca="false">G47+I47</f>
        <v>1.127</v>
      </c>
      <c r="I47" s="16" t="n">
        <f aca="false">RANDBETWEEN(-30,90)/1000</f>
        <v>0.057</v>
      </c>
      <c r="J47" s="16" t="n">
        <f aca="false">+Chạy!K230</f>
        <v>1.05</v>
      </c>
      <c r="K47" s="16" t="n">
        <f aca="false">J47+L47</f>
        <v>1.13</v>
      </c>
      <c r="L47" s="16" t="n">
        <f aca="false">RANDBETWEEN(-30,90)/1000</f>
        <v>0.08</v>
      </c>
      <c r="M47" s="16" t="n">
        <f aca="false">+Chạy!N230</f>
        <v>13.3</v>
      </c>
      <c r="N47" s="16" t="n">
        <f aca="false">+M47+O47</f>
        <v>13.3049</v>
      </c>
      <c r="O47" s="16" t="n">
        <f aca="false">RANDBETWEEN(-105,115)/10000</f>
        <v>0.0049</v>
      </c>
      <c r="P47" s="16" t="n">
        <f aca="false">+Chạy!O230</f>
        <v>0.94</v>
      </c>
      <c r="Q47" s="16" t="n">
        <f aca="false">P47+R47</f>
        <v>1.017</v>
      </c>
      <c r="R47" s="16" t="n">
        <f aca="false">RANDBETWEEN(-30,90)/1000</f>
        <v>0.077</v>
      </c>
      <c r="S47" s="17"/>
      <c r="T47" s="0" t="n">
        <v>16.95</v>
      </c>
      <c r="W47" s="102"/>
      <c r="X47" s="102"/>
    </row>
    <row r="48" customFormat="false" ht="15" hidden="false" customHeight="false" outlineLevel="0" collapsed="false">
      <c r="A48" s="13" t="n">
        <v>27</v>
      </c>
      <c r="B48" s="13" t="s">
        <v>42</v>
      </c>
      <c r="C48" s="15" t="n">
        <f aca="false">+C47+T47</f>
        <v>592.11</v>
      </c>
      <c r="D48" s="16" t="n">
        <f aca="false">+Chạy!F239</f>
        <v>-13.3</v>
      </c>
      <c r="E48" s="16" t="n">
        <f aca="false">+D48+F48</f>
        <v>-13.2886</v>
      </c>
      <c r="F48" s="16" t="n">
        <f aca="false">RANDBETWEEN(-105,115)/10000</f>
        <v>0.0114</v>
      </c>
      <c r="G48" s="16" t="n">
        <f aca="false">+Chạy!G239</f>
        <v>0.94</v>
      </c>
      <c r="H48" s="16" t="n">
        <f aca="false">G48+I48</f>
        <v>0.982</v>
      </c>
      <c r="I48" s="16" t="n">
        <f aca="false">RANDBETWEEN(-30,90)/1000</f>
        <v>0.042</v>
      </c>
      <c r="J48" s="16" t="n">
        <f aca="false">+Chạy!K239</f>
        <v>1.06</v>
      </c>
      <c r="K48" s="16" t="n">
        <f aca="false">J48+L48</f>
        <v>1.127</v>
      </c>
      <c r="L48" s="16" t="n">
        <f aca="false">RANDBETWEEN(-30,90)/1000</f>
        <v>0.067</v>
      </c>
      <c r="M48" s="16" t="n">
        <f aca="false">+Chạy!N239</f>
        <v>13.3</v>
      </c>
      <c r="N48" s="16" t="n">
        <f aca="false">+M48+O48</f>
        <v>13.3055</v>
      </c>
      <c r="O48" s="16" t="n">
        <f aca="false">RANDBETWEEN(-105,115)/10000</f>
        <v>0.0055</v>
      </c>
      <c r="P48" s="16" t="n">
        <f aca="false">+Chạy!O239</f>
        <v>0.94</v>
      </c>
      <c r="Q48" s="16" t="n">
        <f aca="false">P48+R48</f>
        <v>0.934</v>
      </c>
      <c r="R48" s="16" t="n">
        <f aca="false">RANDBETWEEN(-30,90)/1000</f>
        <v>-0.006</v>
      </c>
      <c r="S48" s="17"/>
      <c r="T48" s="0" t="n">
        <v>17</v>
      </c>
      <c r="W48" s="102"/>
      <c r="X48" s="102"/>
    </row>
    <row r="49" customFormat="false" ht="15" hidden="false" customHeight="false" outlineLevel="0" collapsed="false">
      <c r="A49" s="13" t="n">
        <v>28</v>
      </c>
      <c r="B49" s="13" t="s">
        <v>43</v>
      </c>
      <c r="C49" s="15" t="n">
        <f aca="false">+C48+T48</f>
        <v>609.11</v>
      </c>
      <c r="D49" s="16" t="n">
        <f aca="false">+Chạy!F248</f>
        <v>-13.3</v>
      </c>
      <c r="E49" s="16" t="n">
        <f aca="false">+D49+F49</f>
        <v>-13.2938</v>
      </c>
      <c r="F49" s="16" t="n">
        <f aca="false">RANDBETWEEN(-105,115)/10000</f>
        <v>0.0062</v>
      </c>
      <c r="G49" s="16" t="n">
        <f aca="false">+Chạy!G248</f>
        <v>0.94</v>
      </c>
      <c r="H49" s="16" t="n">
        <f aca="false">G49+I49</f>
        <v>1.005</v>
      </c>
      <c r="I49" s="16" t="n">
        <f aca="false">RANDBETWEEN(-30,90)/1000</f>
        <v>0.065</v>
      </c>
      <c r="J49" s="16" t="n">
        <f aca="false">+Chạy!K248</f>
        <v>1.06</v>
      </c>
      <c r="K49" s="16" t="n">
        <f aca="false">J49+L49</f>
        <v>1.074</v>
      </c>
      <c r="L49" s="16" t="n">
        <f aca="false">RANDBETWEEN(-30,90)/1000</f>
        <v>0.014</v>
      </c>
      <c r="M49" s="16" t="n">
        <f aca="false">+Chạy!N248</f>
        <v>13.3</v>
      </c>
      <c r="N49" s="16" t="n">
        <f aca="false">+M49+O49</f>
        <v>13.3071</v>
      </c>
      <c r="O49" s="16" t="n">
        <f aca="false">RANDBETWEEN(-105,115)/10000</f>
        <v>0.0071</v>
      </c>
      <c r="P49" s="16" t="n">
        <f aca="false">+Chạy!O248</f>
        <v>0.94</v>
      </c>
      <c r="Q49" s="16" t="n">
        <f aca="false">P49+R49</f>
        <v>0.95</v>
      </c>
      <c r="R49" s="16" t="n">
        <f aca="false">RANDBETWEEN(-30,90)/1000</f>
        <v>0.01</v>
      </c>
      <c r="S49" s="17"/>
      <c r="T49" s="0" t="n">
        <v>11.75</v>
      </c>
      <c r="W49" s="102"/>
      <c r="X49" s="102"/>
    </row>
    <row r="50" customFormat="false" ht="15" hidden="false" customHeight="false" outlineLevel="0" collapsed="false">
      <c r="A50" s="13" t="n">
        <v>29</v>
      </c>
      <c r="B50" s="13" t="s">
        <v>44</v>
      </c>
      <c r="C50" s="15" t="n">
        <f aca="false">+C49+T49</f>
        <v>620.86</v>
      </c>
      <c r="D50" s="16" t="n">
        <f aca="false">+Chạy!F257</f>
        <v>-13.3</v>
      </c>
      <c r="E50" s="16" t="n">
        <f aca="false">+D50+F50</f>
        <v>-13.2954</v>
      </c>
      <c r="F50" s="16" t="n">
        <f aca="false">RANDBETWEEN(-105,115)/10000</f>
        <v>0.0046</v>
      </c>
      <c r="G50" s="16" t="n">
        <f aca="false">+Chạy!G257</f>
        <v>0.94</v>
      </c>
      <c r="H50" s="16" t="n">
        <f aca="false">G50+I50</f>
        <v>1.002</v>
      </c>
      <c r="I50" s="16" t="n">
        <f aca="false">RANDBETWEEN(-30,90)/1000</f>
        <v>0.062</v>
      </c>
      <c r="J50" s="16" t="n">
        <f aca="false">+Chạy!K257</f>
        <v>1.06</v>
      </c>
      <c r="K50" s="16" t="n">
        <f aca="false">J50+L50</f>
        <v>1.107</v>
      </c>
      <c r="L50" s="16" t="n">
        <f aca="false">RANDBETWEEN(-30,90)/1000</f>
        <v>0.047</v>
      </c>
      <c r="M50" s="16" t="n">
        <f aca="false">+Chạy!N257</f>
        <v>13.3</v>
      </c>
      <c r="N50" s="16" t="n">
        <f aca="false">+M50+O50</f>
        <v>13.3042</v>
      </c>
      <c r="O50" s="16" t="n">
        <f aca="false">RANDBETWEEN(-105,115)/10000</f>
        <v>0.0042</v>
      </c>
      <c r="P50" s="16" t="n">
        <f aca="false">+Chạy!O257</f>
        <v>0.94</v>
      </c>
      <c r="Q50" s="16" t="n">
        <f aca="false">P50+R50</f>
        <v>0.955</v>
      </c>
      <c r="R50" s="16" t="n">
        <f aca="false">RANDBETWEEN(-30,90)/1000</f>
        <v>0.015</v>
      </c>
      <c r="S50" s="17"/>
      <c r="T50" s="0" t="n">
        <v>11.75</v>
      </c>
      <c r="W50" s="102"/>
      <c r="X50" s="102"/>
    </row>
    <row r="51" customFormat="false" ht="15" hidden="false" customHeight="false" outlineLevel="0" collapsed="false">
      <c r="A51" s="13" t="n">
        <v>30</v>
      </c>
      <c r="B51" s="13" t="s">
        <v>45</v>
      </c>
      <c r="C51" s="15" t="n">
        <f aca="false">+C50+T50</f>
        <v>632.61</v>
      </c>
      <c r="D51" s="16" t="n">
        <f aca="false">+Chạy!F266</f>
        <v>-13.3</v>
      </c>
      <c r="E51" s="16" t="n">
        <f aca="false">+D51+F51</f>
        <v>-13.3055</v>
      </c>
      <c r="F51" s="16" t="n">
        <f aca="false">RANDBETWEEN(-105,115)/10000</f>
        <v>-0.0055</v>
      </c>
      <c r="G51" s="16" t="n">
        <f aca="false">+Chạy!G266</f>
        <v>0.94</v>
      </c>
      <c r="H51" s="16" t="n">
        <f aca="false">G51+I51</f>
        <v>0.928</v>
      </c>
      <c r="I51" s="16" t="n">
        <f aca="false">RANDBETWEEN(-30,90)/1000</f>
        <v>-0.012</v>
      </c>
      <c r="J51" s="16" t="n">
        <f aca="false">+Chạy!K266</f>
        <v>1.06</v>
      </c>
      <c r="K51" s="16" t="n">
        <f aca="false">J51+L51</f>
        <v>1.097</v>
      </c>
      <c r="L51" s="16" t="n">
        <f aca="false">RANDBETWEEN(-30,90)/1000</f>
        <v>0.037</v>
      </c>
      <c r="M51" s="16" t="n">
        <f aca="false">+Chạy!N266</f>
        <v>13.3</v>
      </c>
      <c r="N51" s="16" t="n">
        <f aca="false">+M51+O51</f>
        <v>13.2897</v>
      </c>
      <c r="O51" s="16" t="n">
        <f aca="false">RANDBETWEEN(-105,115)/10000</f>
        <v>-0.0103</v>
      </c>
      <c r="P51" s="16" t="n">
        <f aca="false">+Chạy!O266</f>
        <v>0.94</v>
      </c>
      <c r="Q51" s="16" t="n">
        <f aca="false">P51+R51</f>
        <v>1.007</v>
      </c>
      <c r="R51" s="16" t="n">
        <f aca="false">RANDBETWEEN(-30,90)/1000</f>
        <v>0.067</v>
      </c>
      <c r="S51" s="17"/>
      <c r="T51" s="0" t="n">
        <v>20</v>
      </c>
      <c r="W51" s="102"/>
      <c r="X51" s="102"/>
    </row>
    <row r="52" customFormat="false" ht="15" hidden="false" customHeight="false" outlineLevel="0" collapsed="false">
      <c r="A52" s="13" t="n">
        <v>31</v>
      </c>
      <c r="B52" s="13" t="s">
        <v>46</v>
      </c>
      <c r="C52" s="15" t="n">
        <f aca="false">+C51+T51</f>
        <v>652.61</v>
      </c>
      <c r="D52" s="16" t="n">
        <f aca="false">+Chạy!F275</f>
        <v>-13.3</v>
      </c>
      <c r="E52" s="16" t="n">
        <f aca="false">+D52+F52</f>
        <v>-13.2992</v>
      </c>
      <c r="F52" s="16" t="n">
        <f aca="false">RANDBETWEEN(-105,115)/10000</f>
        <v>0.0008</v>
      </c>
      <c r="G52" s="16" t="n">
        <f aca="false">+Chạy!G275</f>
        <v>0.95</v>
      </c>
      <c r="H52" s="16" t="n">
        <f aca="false">G52+I52</f>
        <v>1.033</v>
      </c>
      <c r="I52" s="16" t="n">
        <f aca="false">RANDBETWEEN(-30,90)/1000</f>
        <v>0.083</v>
      </c>
      <c r="J52" s="16" t="n">
        <f aca="false">+Chạy!K275</f>
        <v>1.06</v>
      </c>
      <c r="K52" s="16" t="n">
        <f aca="false">J52+L52</f>
        <v>1.15</v>
      </c>
      <c r="L52" s="16" t="n">
        <f aca="false">RANDBETWEEN(-30,90)/1000</f>
        <v>0.09</v>
      </c>
      <c r="M52" s="16" t="n">
        <f aca="false">+Chạy!N275</f>
        <v>13.3</v>
      </c>
      <c r="N52" s="16" t="n">
        <f aca="false">+M52+O52</f>
        <v>13.2986</v>
      </c>
      <c r="O52" s="16" t="n">
        <f aca="false">RANDBETWEEN(-105,115)/10000</f>
        <v>-0.0014</v>
      </c>
      <c r="P52" s="16" t="n">
        <f aca="false">+Chạy!O275</f>
        <v>0.95</v>
      </c>
      <c r="Q52" s="16" t="n">
        <f aca="false">P52+R52</f>
        <v>0.982</v>
      </c>
      <c r="R52" s="16" t="n">
        <f aca="false">RANDBETWEEN(-30,90)/1000</f>
        <v>0.032</v>
      </c>
      <c r="S52" s="17"/>
      <c r="T52" s="0" t="n">
        <v>20</v>
      </c>
      <c r="W52" s="102"/>
      <c r="X52" s="102"/>
    </row>
    <row r="53" customFormat="false" ht="15" hidden="false" customHeight="false" outlineLevel="0" collapsed="false">
      <c r="A53" s="13" t="n">
        <v>32</v>
      </c>
      <c r="B53" s="13" t="s">
        <v>47</v>
      </c>
      <c r="C53" s="15" t="n">
        <f aca="false">+C52+T52</f>
        <v>672.61</v>
      </c>
      <c r="D53" s="16" t="n">
        <f aca="false">+Chạy!F284</f>
        <v>-13.3</v>
      </c>
      <c r="E53" s="16" t="n">
        <f aca="false">+D53+F53</f>
        <v>-13.3041</v>
      </c>
      <c r="F53" s="16" t="n">
        <f aca="false">RANDBETWEEN(-105,115)/10000</f>
        <v>-0.0041</v>
      </c>
      <c r="G53" s="16" t="n">
        <f aca="false">+Chạy!G284</f>
        <v>0.95</v>
      </c>
      <c r="H53" s="16" t="n">
        <f aca="false">G53+I53</f>
        <v>1.026</v>
      </c>
      <c r="I53" s="16" t="n">
        <f aca="false">RANDBETWEEN(-30,90)/1000</f>
        <v>0.076</v>
      </c>
      <c r="J53" s="16" t="n">
        <f aca="false">+Chạy!K284</f>
        <v>1.06</v>
      </c>
      <c r="K53" s="16" t="n">
        <f aca="false">J53+L53</f>
        <v>1.068</v>
      </c>
      <c r="L53" s="16" t="n">
        <f aca="false">RANDBETWEEN(-30,90)/1000</f>
        <v>0.008</v>
      </c>
      <c r="M53" s="16" t="n">
        <f aca="false">+Chạy!N284</f>
        <v>13.3</v>
      </c>
      <c r="N53" s="16" t="n">
        <f aca="false">+M53+O53</f>
        <v>13.2912</v>
      </c>
      <c r="O53" s="16" t="n">
        <f aca="false">RANDBETWEEN(-105,115)/10000</f>
        <v>-0.0088</v>
      </c>
      <c r="P53" s="16" t="n">
        <f aca="false">+Chạy!O284</f>
        <v>0.95</v>
      </c>
      <c r="Q53" s="16" t="n">
        <f aca="false">P53+R53</f>
        <v>1.008</v>
      </c>
      <c r="R53" s="16" t="n">
        <f aca="false">RANDBETWEEN(-30,90)/1000</f>
        <v>0.058</v>
      </c>
      <c r="S53" s="17"/>
      <c r="T53" s="0" t="n">
        <v>20</v>
      </c>
      <c r="W53" s="102"/>
      <c r="X53" s="102"/>
    </row>
    <row r="54" customFormat="false" ht="15" hidden="false" customHeight="false" outlineLevel="0" collapsed="false">
      <c r="A54" s="13" t="n">
        <v>33</v>
      </c>
      <c r="B54" s="13" t="s">
        <v>48</v>
      </c>
      <c r="C54" s="15" t="n">
        <f aca="false">+C53+T53</f>
        <v>692.61</v>
      </c>
      <c r="D54" s="16" t="n">
        <f aca="false">+Chạy!F293</f>
        <v>-13.3</v>
      </c>
      <c r="E54" s="16" t="n">
        <f aca="false">+D54+F54</f>
        <v>-13.3065</v>
      </c>
      <c r="F54" s="16" t="n">
        <f aca="false">RANDBETWEEN(-105,115)/10000</f>
        <v>-0.0065</v>
      </c>
      <c r="G54" s="16" t="n">
        <f aca="false">+Chạy!G293</f>
        <v>0.95</v>
      </c>
      <c r="H54" s="16" t="n">
        <f aca="false">G54+I54</f>
        <v>1.018</v>
      </c>
      <c r="I54" s="16" t="n">
        <f aca="false">RANDBETWEEN(-30,90)/1000</f>
        <v>0.068</v>
      </c>
      <c r="J54" s="16" t="n">
        <f aca="false">+Chạy!K293</f>
        <v>1.07</v>
      </c>
      <c r="K54" s="16" t="n">
        <f aca="false">J54+L54</f>
        <v>1.14</v>
      </c>
      <c r="L54" s="16" t="n">
        <f aca="false">RANDBETWEEN(-30,90)/1000</f>
        <v>0.07</v>
      </c>
      <c r="M54" s="16" t="n">
        <f aca="false">+Chạy!N293</f>
        <v>13.3</v>
      </c>
      <c r="N54" s="16" t="n">
        <f aca="false">+M54+O54</f>
        <v>13.3109</v>
      </c>
      <c r="O54" s="16" t="n">
        <f aca="false">RANDBETWEEN(-105,115)/10000</f>
        <v>0.0109</v>
      </c>
      <c r="P54" s="16" t="n">
        <f aca="false">+Chạy!O293</f>
        <v>0.95</v>
      </c>
      <c r="Q54" s="16" t="n">
        <f aca="false">P54+R54</f>
        <v>0.991</v>
      </c>
      <c r="R54" s="16" t="n">
        <f aca="false">RANDBETWEEN(-30,90)/1000</f>
        <v>0.041</v>
      </c>
      <c r="S54" s="17"/>
      <c r="T54" s="0" t="n">
        <v>20</v>
      </c>
      <c r="W54" s="102"/>
      <c r="X54" s="102"/>
    </row>
    <row r="55" customFormat="false" ht="15" hidden="false" customHeight="false" outlineLevel="0" collapsed="false">
      <c r="A55" s="13" t="n">
        <v>34</v>
      </c>
      <c r="B55" s="13" t="s">
        <v>49</v>
      </c>
      <c r="C55" s="15" t="n">
        <f aca="false">+C54+T54</f>
        <v>712.61</v>
      </c>
      <c r="D55" s="16" t="n">
        <f aca="false">+Chạy!F302</f>
        <v>-7.65</v>
      </c>
      <c r="E55" s="16" t="n">
        <f aca="false">+D55+F55</f>
        <v>-7.6571</v>
      </c>
      <c r="F55" s="16" t="n">
        <f aca="false">RANDBETWEEN(-105,115)/10000</f>
        <v>-0.0071</v>
      </c>
      <c r="G55" s="16" t="n">
        <f aca="false">+Chạy!G302</f>
        <v>0.95</v>
      </c>
      <c r="H55" s="16" t="n">
        <f aca="false">G55+I55</f>
        <v>1.027</v>
      </c>
      <c r="I55" s="16" t="n">
        <f aca="false">RANDBETWEEN(-30,90)/1000</f>
        <v>0.077</v>
      </c>
      <c r="J55" s="16" t="n">
        <f aca="false">+Chạy!K302</f>
        <v>1.07</v>
      </c>
      <c r="K55" s="16" t="n">
        <f aca="false">J55+L55</f>
        <v>1.069</v>
      </c>
      <c r="L55" s="16" t="n">
        <f aca="false">RANDBETWEEN(-30,90)/1000</f>
        <v>-0.001</v>
      </c>
      <c r="M55" s="16" t="n">
        <f aca="false">+Chạy!N302</f>
        <v>13.3</v>
      </c>
      <c r="N55" s="16" t="n">
        <f aca="false">+M55+O55</f>
        <v>13.2983</v>
      </c>
      <c r="O55" s="16" t="n">
        <f aca="false">RANDBETWEEN(-105,115)/10000</f>
        <v>-0.0017</v>
      </c>
      <c r="P55" s="16" t="n">
        <f aca="false">+Chạy!O302</f>
        <v>0.95</v>
      </c>
      <c r="Q55" s="16" t="n">
        <f aca="false">P55+R55</f>
        <v>1.022</v>
      </c>
      <c r="R55" s="16" t="n">
        <f aca="false">RANDBETWEEN(-30,90)/1000</f>
        <v>0.072</v>
      </c>
      <c r="S55" s="17"/>
      <c r="T55" s="0" t="n">
        <v>11.5</v>
      </c>
      <c r="W55" s="102"/>
      <c r="X55" s="102"/>
    </row>
    <row r="56" customFormat="false" ht="15" hidden="false" customHeight="false" outlineLevel="0" collapsed="false">
      <c r="A56" s="13" t="n">
        <v>35</v>
      </c>
      <c r="B56" s="13" t="s">
        <v>50</v>
      </c>
      <c r="C56" s="15" t="n">
        <f aca="false">+C55+T55</f>
        <v>724.11</v>
      </c>
      <c r="D56" s="16" t="n">
        <f aca="false">+Chạy!F311</f>
        <v>-13.3</v>
      </c>
      <c r="E56" s="16" t="n">
        <f aca="false">+D56+F56</f>
        <v>-13.3072</v>
      </c>
      <c r="F56" s="16" t="n">
        <f aca="false">RANDBETWEEN(-105,115)/10000</f>
        <v>-0.0072</v>
      </c>
      <c r="G56" s="16" t="n">
        <f aca="false">+Chạy!G311</f>
        <v>0.95</v>
      </c>
      <c r="H56" s="16" t="n">
        <f aca="false">G56+I56</f>
        <v>0.971</v>
      </c>
      <c r="I56" s="16" t="n">
        <f aca="false">RANDBETWEEN(-30,90)/1000</f>
        <v>0.021</v>
      </c>
      <c r="J56" s="16" t="n">
        <f aca="false">+Chạy!K311</f>
        <v>1.07</v>
      </c>
      <c r="K56" s="16" t="n">
        <f aca="false">J56+L56</f>
        <v>1.154</v>
      </c>
      <c r="L56" s="16" t="n">
        <f aca="false">RANDBETWEEN(-30,90)/1000</f>
        <v>0.084</v>
      </c>
      <c r="M56" s="16" t="n">
        <f aca="false">+Chạy!N311</f>
        <v>13.3</v>
      </c>
      <c r="N56" s="16" t="n">
        <f aca="false">+M56+O56</f>
        <v>13.2984</v>
      </c>
      <c r="O56" s="16" t="n">
        <f aca="false">RANDBETWEEN(-105,115)/10000</f>
        <v>-0.0016</v>
      </c>
      <c r="P56" s="16" t="n">
        <f aca="false">+Chạy!O311</f>
        <v>0.95</v>
      </c>
      <c r="Q56" s="16" t="n">
        <f aca="false">P56+R56</f>
        <v>0.934</v>
      </c>
      <c r="R56" s="16" t="n">
        <f aca="false">RANDBETWEEN(-30,90)/1000</f>
        <v>-0.016</v>
      </c>
      <c r="S56" s="17"/>
      <c r="T56" s="0" t="n">
        <v>13.25</v>
      </c>
      <c r="W56" s="102"/>
      <c r="X56" s="102"/>
    </row>
    <row r="57" customFormat="false" ht="15" hidden="false" customHeight="false" outlineLevel="0" collapsed="false">
      <c r="A57" s="13" t="n">
        <v>36</v>
      </c>
      <c r="B57" s="13" t="s">
        <v>51</v>
      </c>
      <c r="C57" s="15" t="n">
        <f aca="false">+C56+T56</f>
        <v>737.36</v>
      </c>
      <c r="D57" s="16" t="n">
        <f aca="false">+Chạy!F320</f>
        <v>-13.3</v>
      </c>
      <c r="E57" s="16" t="n">
        <f aca="false">+D57+F57</f>
        <v>-13.2894</v>
      </c>
      <c r="F57" s="16" t="n">
        <f aca="false">RANDBETWEEN(-105,115)/10000</f>
        <v>0.0106</v>
      </c>
      <c r="G57" s="16" t="n">
        <f aca="false">+Chạy!G320</f>
        <v>0.96</v>
      </c>
      <c r="H57" s="16" t="n">
        <f aca="false">G57+I57</f>
        <v>1.037</v>
      </c>
      <c r="I57" s="16" t="n">
        <f aca="false">RANDBETWEEN(-30,90)/1000</f>
        <v>0.077</v>
      </c>
      <c r="J57" s="16" t="n">
        <f aca="false">+Chạy!K320</f>
        <v>1.07</v>
      </c>
      <c r="K57" s="16" t="n">
        <f aca="false">J57+L57</f>
        <v>1.096</v>
      </c>
      <c r="L57" s="16" t="n">
        <f aca="false">RANDBETWEEN(-30,90)/1000</f>
        <v>0.026</v>
      </c>
      <c r="M57" s="16" t="n">
        <f aca="false">+Chạy!N320</f>
        <v>13.3</v>
      </c>
      <c r="N57" s="16" t="n">
        <f aca="false">+M57+O57</f>
        <v>13.301</v>
      </c>
      <c r="O57" s="16" t="n">
        <f aca="false">RANDBETWEEN(-105,115)/10000</f>
        <v>0.001</v>
      </c>
      <c r="P57" s="16" t="n">
        <f aca="false">+Chạy!O320</f>
        <v>0.96</v>
      </c>
      <c r="Q57" s="16" t="n">
        <f aca="false">P57+R57</f>
        <v>0.95</v>
      </c>
      <c r="R57" s="16" t="n">
        <f aca="false">RANDBETWEEN(-30,90)/1000</f>
        <v>-0.01</v>
      </c>
      <c r="S57" s="17"/>
      <c r="W57" s="102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02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02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02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02"/>
      <c r="X61" s="102"/>
    </row>
    <row r="63" customFormat="false" ht="15" hidden="false" customHeight="false" outlineLevel="0" collapsed="false">
      <c r="C63" s="19" t="s">
        <v>74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75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76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77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95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57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0" hidden="false" customHeight="true" outlineLevel="0" collapsed="false">
      <c r="A7" s="33" t="s">
        <v>58</v>
      </c>
      <c r="B7" s="34"/>
      <c r="D7" s="35" t="s">
        <v>96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62</v>
      </c>
      <c r="C9" s="37" t="s">
        <v>63</v>
      </c>
      <c r="D9" s="38" t="s">
        <v>79</v>
      </c>
      <c r="E9" s="39"/>
      <c r="F9" s="39"/>
      <c r="G9" s="38"/>
      <c r="H9" s="39"/>
      <c r="I9" s="39"/>
      <c r="J9" s="39"/>
      <c r="K9" s="39"/>
      <c r="L9" s="39"/>
      <c r="M9" s="40" t="s">
        <v>80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67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81</v>
      </c>
      <c r="O10" s="40" t="s">
        <v>82</v>
      </c>
      <c r="P10" s="40" t="s">
        <v>81</v>
      </c>
      <c r="Q10" s="40" t="s">
        <v>81</v>
      </c>
      <c r="R10" s="40"/>
      <c r="S10" s="40"/>
      <c r="T10" s="40"/>
      <c r="U10" s="40" t="s">
        <v>83</v>
      </c>
      <c r="V10" s="40" t="s">
        <v>83</v>
      </c>
      <c r="W10" s="40" t="s">
        <v>84</v>
      </c>
      <c r="X10" s="40" t="s">
        <v>83</v>
      </c>
      <c r="Y10" s="40" t="s">
        <v>83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'6.KTHH L6'!B22</f>
        <v>B4</v>
      </c>
      <c r="C11" s="51" t="n">
        <f aca="false">'6.KTHH L6'!C22</f>
        <v>211</v>
      </c>
      <c r="D11" s="13" t="n">
        <f aca="false">'6.KTHH L6'!T22</f>
        <v>13.25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Chạy!E5</f>
        <v>6.9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88.3775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'6.KTHH L6'!B23</f>
        <v>12</v>
      </c>
      <c r="C12" s="51" t="n">
        <f aca="false">'6.KTHH L6'!C23</f>
        <v>224.25</v>
      </c>
      <c r="D12" s="13" t="n">
        <f aca="false">'6.KTHH L6'!T23</f>
        <v>21.5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Chạy!E14</f>
        <v>6.44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131.365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'6.KTHH L6'!B24</f>
        <v>13</v>
      </c>
      <c r="C13" s="51" t="n">
        <f aca="false">'6.KTHH L6'!C24</f>
        <v>245.75</v>
      </c>
      <c r="D13" s="13" t="n">
        <f aca="false">'6.KTHH L6'!T24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Chạy!E23</f>
        <v>5.78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60.9825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'6.KTHH L6'!B25</f>
        <v>B5</v>
      </c>
      <c r="C14" s="51" t="n">
        <f aca="false">'6.KTHH L6'!C25</f>
        <v>257.5</v>
      </c>
      <c r="D14" s="13" t="n">
        <f aca="false">'6.KTHH L6'!T25</f>
        <v>11.75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Chạy!E32</f>
        <v>4.6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53.99125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'6.KTHH L6'!B26</f>
        <v>14</v>
      </c>
      <c r="C15" s="51" t="n">
        <f aca="false">'6.KTHH L6'!C26</f>
        <v>269.25</v>
      </c>
      <c r="D15" s="13" t="n">
        <f aca="false">'6.KTHH L6'!T26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Chạy!E41</f>
        <v>4.59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91.8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'6.KTHH L6'!B27</f>
        <v>15</v>
      </c>
      <c r="C16" s="51" t="n">
        <f aca="false">'6.KTHH L6'!C27</f>
        <v>289.25</v>
      </c>
      <c r="D16" s="13" t="n">
        <f aca="false">'6.KTHH L6'!T27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Chạy!E50</f>
        <v>4.59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91.7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'6.KTHH L6'!B28</f>
        <v>16</v>
      </c>
      <c r="C17" s="51" t="n">
        <f aca="false">'6.KTHH L6'!C28</f>
        <v>309.25</v>
      </c>
      <c r="D17" s="13" t="n">
        <f aca="false">'6.KTHH L6'!T28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Chạy!E59</f>
        <v>4.58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91.5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'6.KTHH L6'!B29</f>
        <v>17</v>
      </c>
      <c r="C18" s="51" t="n">
        <f aca="false">'6.KTHH L6'!C29</f>
        <v>329.25</v>
      </c>
      <c r="D18" s="13" t="n">
        <f aca="false">'6.KTHH L6'!T29</f>
        <v>20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Chạy!E68</f>
        <v>4.57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105.6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'6.KTHH L6'!B30</f>
        <v>18</v>
      </c>
      <c r="C19" s="51" t="n">
        <f aca="false">'6.KTHH L6'!C30</f>
        <v>349.25</v>
      </c>
      <c r="D19" s="13" t="n">
        <f aca="false">'6.KTHH L6'!T30</f>
        <v>19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Chạy!E77</f>
        <v>5.99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117.135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'6.KTHH L6'!B31</f>
        <v>19</v>
      </c>
      <c r="C20" s="51" t="n">
        <f aca="false">'6.KTHH L6'!C31</f>
        <v>368.25</v>
      </c>
      <c r="D20" s="13" t="n">
        <f aca="false">'6.KTHH L6'!T31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Chạy!E86</f>
        <v>6.34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95.7975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'6.KTHH L6'!B32</f>
        <v>C2</v>
      </c>
      <c r="C21" s="51" t="n">
        <f aca="false">'6.KTHH L6'!C32</f>
        <v>381.5</v>
      </c>
      <c r="D21" s="13" t="n">
        <f aca="false">'6.KTHH L6'!T32</f>
        <v>13.25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Chạy!E95</f>
        <v>8.12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107.59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'6.KTHH L6'!B33</f>
        <v>20</v>
      </c>
      <c r="C22" s="51" t="n">
        <f aca="false">'6.KTHH L6'!C33</f>
        <v>394.75</v>
      </c>
      <c r="D22" s="13" t="n">
        <f aca="false">'6.KTHH L6'!T33</f>
        <v>20</v>
      </c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Chạy!E104</f>
        <v>8.12</v>
      </c>
      <c r="P22" s="53"/>
      <c r="Q22" s="53"/>
      <c r="R22" s="55"/>
      <c r="S22" s="55"/>
      <c r="T22" s="55"/>
      <c r="U22" s="55"/>
      <c r="V22" s="55"/>
      <c r="W22" s="55" t="n">
        <f aca="false">(O22+O23)*D22/2</f>
        <v>162.4</v>
      </c>
      <c r="X22" s="55"/>
      <c r="Y22" s="55"/>
      <c r="Z22" s="55"/>
      <c r="AA22" s="55"/>
      <c r="AB22" s="56"/>
      <c r="AC22" s="57"/>
    </row>
    <row r="23" s="49" customFormat="true" ht="15" hidden="false" customHeight="true" outlineLevel="0" collapsed="false">
      <c r="A23" s="13" t="n">
        <v>13</v>
      </c>
      <c r="B23" s="13" t="str">
        <f aca="false">'6.KTHH L6'!B34</f>
        <v>21</v>
      </c>
      <c r="C23" s="51" t="n">
        <f aca="false">'6.KTHH L6'!C34</f>
        <v>414.75</v>
      </c>
      <c r="D23" s="13" t="n">
        <f aca="false">'6.KTHH L6'!T34</f>
        <v>20</v>
      </c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 t="n">
        <f aca="false">Chạy!E113</f>
        <v>8.12</v>
      </c>
      <c r="P23" s="53"/>
      <c r="Q23" s="53"/>
      <c r="R23" s="55"/>
      <c r="S23" s="55"/>
      <c r="T23" s="55"/>
      <c r="U23" s="55"/>
      <c r="V23" s="55"/>
      <c r="W23" s="55" t="n">
        <f aca="false">(O23+O24)*D23/2</f>
        <v>162.4</v>
      </c>
      <c r="X23" s="55"/>
      <c r="Y23" s="55"/>
      <c r="Z23" s="55"/>
      <c r="AA23" s="55"/>
      <c r="AB23" s="56"/>
      <c r="AC23" s="57"/>
    </row>
    <row r="24" s="49" customFormat="true" ht="15" hidden="false" customHeight="true" outlineLevel="0" collapsed="false">
      <c r="A24" s="13" t="n">
        <v>14</v>
      </c>
      <c r="B24" s="13" t="str">
        <f aca="false">'6.KTHH L6'!B35</f>
        <v>22</v>
      </c>
      <c r="C24" s="51" t="n">
        <f aca="false">'6.KTHH L6'!C35</f>
        <v>434.75</v>
      </c>
      <c r="D24" s="13" t="n">
        <f aca="false">'6.KTHH L6'!T35</f>
        <v>20</v>
      </c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 t="n">
        <f aca="false">Chạy!E122</f>
        <v>8.12</v>
      </c>
      <c r="P24" s="53"/>
      <c r="Q24" s="53"/>
      <c r="R24" s="55"/>
      <c r="S24" s="55"/>
      <c r="T24" s="55"/>
      <c r="U24" s="55"/>
      <c r="V24" s="55"/>
      <c r="W24" s="55" t="n">
        <f aca="false">(O24+O25)*D24/2</f>
        <v>162.4</v>
      </c>
      <c r="X24" s="55"/>
      <c r="Y24" s="55"/>
      <c r="Z24" s="55"/>
      <c r="AA24" s="55"/>
      <c r="AB24" s="56"/>
      <c r="AC24" s="57"/>
    </row>
    <row r="25" s="49" customFormat="true" ht="15" hidden="false" customHeight="true" outlineLevel="0" collapsed="false">
      <c r="A25" s="13" t="n">
        <v>15</v>
      </c>
      <c r="B25" s="13" t="str">
        <f aca="false">'6.KTHH L6'!B36</f>
        <v>23</v>
      </c>
      <c r="C25" s="51" t="n">
        <f aca="false">'6.KTHH L6'!C36</f>
        <v>454.75</v>
      </c>
      <c r="D25" s="13" t="n">
        <f aca="false">'6.KTHH L6'!T36</f>
        <v>20</v>
      </c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 t="n">
        <f aca="false">Chạy!E131</f>
        <v>8.12</v>
      </c>
      <c r="P25" s="53"/>
      <c r="Q25" s="53"/>
      <c r="R25" s="55"/>
      <c r="S25" s="55"/>
      <c r="T25" s="55"/>
      <c r="U25" s="55"/>
      <c r="V25" s="55"/>
      <c r="W25" s="55" t="n">
        <f aca="false">(O25+O26)*D25/2</f>
        <v>162.4</v>
      </c>
      <c r="X25" s="55"/>
      <c r="Y25" s="55"/>
      <c r="Z25" s="55"/>
      <c r="AA25" s="55"/>
      <c r="AB25" s="56"/>
      <c r="AC25" s="57"/>
    </row>
    <row r="26" s="49" customFormat="true" ht="15" hidden="false" customHeight="true" outlineLevel="0" collapsed="false">
      <c r="A26" s="13" t="n">
        <v>16</v>
      </c>
      <c r="B26" s="13" t="str">
        <f aca="false">'6.KTHH L6'!B37</f>
        <v>24</v>
      </c>
      <c r="C26" s="51" t="n">
        <f aca="false">'6.KTHH L6'!C37</f>
        <v>474.75</v>
      </c>
      <c r="D26" s="13" t="n">
        <f aca="false">'6.KTHH L6'!T37</f>
        <v>14.44</v>
      </c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 t="n">
        <f aca="false">Chạy!E140</f>
        <v>8.12</v>
      </c>
      <c r="P26" s="53"/>
      <c r="Q26" s="53"/>
      <c r="R26" s="55"/>
      <c r="S26" s="55"/>
      <c r="T26" s="55"/>
      <c r="U26" s="55"/>
      <c r="V26" s="55"/>
      <c r="W26" s="55" t="n">
        <f aca="false">(O26+O27)*D26/2</f>
        <v>110.0328</v>
      </c>
      <c r="X26" s="55"/>
      <c r="Y26" s="55"/>
      <c r="Z26" s="55"/>
      <c r="AA26" s="55"/>
      <c r="AB26" s="56"/>
      <c r="AC26" s="57"/>
    </row>
    <row r="27" s="49" customFormat="true" ht="15" hidden="false" customHeight="true" outlineLevel="0" collapsed="false">
      <c r="A27" s="13" t="n">
        <v>17</v>
      </c>
      <c r="B27" s="13" t="str">
        <f aca="false">'6.KTHH L6'!B38</f>
        <v>25</v>
      </c>
      <c r="C27" s="51" t="n">
        <f aca="false">'6.KTHH L6'!C38</f>
        <v>489.19</v>
      </c>
      <c r="D27" s="13" t="n">
        <f aca="false">'6.KTHH L6'!T38</f>
        <v>13.17</v>
      </c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 t="n">
        <f aca="false">Chạy!E149</f>
        <v>7.12</v>
      </c>
      <c r="P27" s="53"/>
      <c r="Q27" s="53"/>
      <c r="R27" s="55"/>
      <c r="S27" s="55"/>
      <c r="T27" s="55"/>
      <c r="U27" s="55"/>
      <c r="V27" s="55"/>
      <c r="W27" s="55" t="n">
        <f aca="false">(O27+O28)*D27/2</f>
        <v>100.3554</v>
      </c>
      <c r="X27" s="55"/>
      <c r="Y27" s="55"/>
      <c r="Z27" s="55"/>
      <c r="AA27" s="55"/>
      <c r="AB27" s="56"/>
      <c r="AC27" s="57"/>
    </row>
    <row r="28" s="49" customFormat="true" ht="15" hidden="false" customHeight="true" outlineLevel="0" collapsed="false">
      <c r="A28" s="13" t="n">
        <v>18</v>
      </c>
      <c r="B28" s="13" t="str">
        <f aca="false">'6.KTHH L6'!B39</f>
        <v>D1</v>
      </c>
      <c r="C28" s="51" t="n">
        <f aca="false">'6.KTHH L6'!C39</f>
        <v>502.36</v>
      </c>
      <c r="D28" s="13" t="n">
        <f aca="false">'6.KTHH L6'!T39</f>
        <v>10.48</v>
      </c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 t="n">
        <f aca="false">Chạy!E158</f>
        <v>8.12</v>
      </c>
      <c r="P28" s="53"/>
      <c r="Q28" s="53"/>
      <c r="R28" s="55"/>
      <c r="S28" s="55"/>
      <c r="T28" s="55"/>
      <c r="U28" s="55"/>
      <c r="V28" s="55"/>
      <c r="W28" s="55" t="n">
        <f aca="false">(O28+O29)*D28/2</f>
        <v>85.0976</v>
      </c>
      <c r="X28" s="55"/>
      <c r="Y28" s="55"/>
      <c r="Z28" s="55"/>
      <c r="AA28" s="55"/>
      <c r="AB28" s="56"/>
      <c r="AC28" s="57"/>
    </row>
    <row r="29" s="49" customFormat="true" ht="15" hidden="false" customHeight="true" outlineLevel="0" collapsed="false">
      <c r="A29" s="13" t="n">
        <v>19</v>
      </c>
      <c r="B29" s="13" t="str">
        <f aca="false">'6.KTHH L6'!B40</f>
        <v>26</v>
      </c>
      <c r="C29" s="51" t="n">
        <f aca="false">'6.KTHH L6'!C40</f>
        <v>512.84</v>
      </c>
      <c r="D29" s="13" t="n">
        <f aca="false">'6.KTHH L6'!T40</f>
        <v>16.78</v>
      </c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 t="n">
        <f aca="false">Chạy!E167</f>
        <v>8.12</v>
      </c>
      <c r="P29" s="53"/>
      <c r="Q29" s="53"/>
      <c r="R29" s="55"/>
      <c r="S29" s="55"/>
      <c r="T29" s="55"/>
      <c r="U29" s="55"/>
      <c r="V29" s="55"/>
      <c r="W29" s="55" t="n">
        <f aca="false">(O29+O30)*D29/2</f>
        <v>136.2536</v>
      </c>
      <c r="X29" s="55"/>
      <c r="Y29" s="55"/>
      <c r="Z29" s="55"/>
      <c r="AA29" s="55"/>
      <c r="AB29" s="56"/>
      <c r="AC29" s="57"/>
    </row>
    <row r="30" s="49" customFormat="true" ht="15" hidden="false" customHeight="true" outlineLevel="0" collapsed="false">
      <c r="A30" s="13" t="n">
        <v>20</v>
      </c>
      <c r="B30" s="13" t="str">
        <f aca="false">'6.KTHH L6'!B41</f>
        <v>27</v>
      </c>
      <c r="C30" s="51" t="n">
        <f aca="false">'6.KTHH L6'!C41</f>
        <v>529.62</v>
      </c>
      <c r="D30" s="13" t="n">
        <f aca="false">'6.KTHH L6'!T41</f>
        <v>17.1</v>
      </c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 t="n">
        <f aca="false">Chạy!E176</f>
        <v>8.12</v>
      </c>
      <c r="P30" s="53"/>
      <c r="Q30" s="53"/>
      <c r="R30" s="55"/>
      <c r="S30" s="55"/>
      <c r="T30" s="55"/>
      <c r="U30" s="55"/>
      <c r="V30" s="55"/>
      <c r="W30" s="55" t="n">
        <f aca="false">(O30+O31)*D30/2</f>
        <v>129.105</v>
      </c>
      <c r="X30" s="55"/>
      <c r="Y30" s="55"/>
      <c r="Z30" s="55"/>
      <c r="AA30" s="55"/>
      <c r="AB30" s="56"/>
      <c r="AC30" s="57"/>
    </row>
    <row r="31" s="49" customFormat="true" ht="15" hidden="false" customHeight="true" outlineLevel="0" collapsed="false">
      <c r="A31" s="13" t="n">
        <v>21</v>
      </c>
      <c r="B31" s="13" t="str">
        <f aca="false">'6.KTHH L6'!B42</f>
        <v>28</v>
      </c>
      <c r="C31" s="51" t="n">
        <f aca="false">'6.KTHH L6'!C42</f>
        <v>546.72</v>
      </c>
      <c r="D31" s="13" t="n">
        <f aca="false">'6.KTHH L6'!T42</f>
        <v>15.15</v>
      </c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 t="n">
        <f aca="false">Chạy!E185</f>
        <v>6.98</v>
      </c>
      <c r="P31" s="53"/>
      <c r="Q31" s="53"/>
      <c r="R31" s="55"/>
      <c r="S31" s="55"/>
      <c r="T31" s="55"/>
      <c r="U31" s="55"/>
      <c r="V31" s="55"/>
      <c r="W31" s="55" t="n">
        <f aca="false">(O31+O32)*D31/2</f>
        <v>114.3825</v>
      </c>
      <c r="X31" s="55"/>
      <c r="Y31" s="55"/>
      <c r="Z31" s="55"/>
      <c r="AA31" s="55"/>
      <c r="AB31" s="56"/>
      <c r="AC31" s="57"/>
    </row>
    <row r="32" s="49" customFormat="true" ht="15" hidden="false" customHeight="true" outlineLevel="0" collapsed="false">
      <c r="A32" s="13" t="n">
        <v>22</v>
      </c>
      <c r="B32" s="13" t="str">
        <f aca="false">'6.KTHH L6'!B43</f>
        <v>E5</v>
      </c>
      <c r="C32" s="51" t="n">
        <f aca="false">'6.KTHH L6'!C43</f>
        <v>561.87</v>
      </c>
      <c r="D32" s="13" t="n">
        <f aca="false">'6.KTHH L6'!T43</f>
        <v>0.15</v>
      </c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 t="n">
        <f aca="false">Chạy!E194</f>
        <v>8.12</v>
      </c>
      <c r="P32" s="53"/>
      <c r="Q32" s="53"/>
      <c r="R32" s="55"/>
      <c r="S32" s="55"/>
      <c r="T32" s="55"/>
      <c r="U32" s="55"/>
      <c r="V32" s="55"/>
      <c r="W32" s="55" t="n">
        <f aca="false">(O32+O33)*D32/2</f>
        <v>1.218</v>
      </c>
      <c r="X32" s="55"/>
      <c r="Y32" s="55"/>
      <c r="Z32" s="55"/>
      <c r="AA32" s="55"/>
      <c r="AB32" s="56"/>
      <c r="AC32" s="57"/>
    </row>
    <row r="33" s="49" customFormat="true" ht="15" hidden="false" customHeight="true" outlineLevel="0" collapsed="false">
      <c r="A33" s="13" t="n">
        <v>23</v>
      </c>
      <c r="B33" s="13" t="str">
        <f aca="false">'6.KTHH L6'!B44</f>
        <v>TD</v>
      </c>
      <c r="C33" s="51" t="n">
        <f aca="false">'6.KTHH L6'!C44</f>
        <v>562.02</v>
      </c>
      <c r="D33" s="13" t="n">
        <f aca="false">'6.KTHH L6'!T44</f>
        <v>6.55</v>
      </c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 t="n">
        <f aca="false">Chạy!E203</f>
        <v>8.12</v>
      </c>
      <c r="P33" s="53"/>
      <c r="Q33" s="53"/>
      <c r="R33" s="55"/>
      <c r="S33" s="55"/>
      <c r="T33" s="55"/>
      <c r="U33" s="55"/>
      <c r="V33" s="55"/>
      <c r="W33" s="55" t="n">
        <f aca="false">(O33+O34)*D33/2</f>
        <v>53.186</v>
      </c>
      <c r="X33" s="55"/>
      <c r="Y33" s="55"/>
      <c r="Z33" s="55"/>
      <c r="AA33" s="55"/>
      <c r="AB33" s="56"/>
      <c r="AC33" s="57"/>
    </row>
    <row r="34" s="49" customFormat="true" ht="15" hidden="false" customHeight="true" outlineLevel="0" collapsed="false">
      <c r="A34" s="13" t="n">
        <v>24</v>
      </c>
      <c r="B34" s="13" t="str">
        <f aca="false">'6.KTHH L6'!B45</f>
        <v>P</v>
      </c>
      <c r="C34" s="51" t="n">
        <f aca="false">'6.KTHH L6'!C45</f>
        <v>568.57</v>
      </c>
      <c r="D34" s="13" t="n">
        <f aca="false">'6.KTHH L6'!T45</f>
        <v>6.55</v>
      </c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 t="n">
        <f aca="false">Chạy!E212</f>
        <v>8.12</v>
      </c>
      <c r="P34" s="53"/>
      <c r="Q34" s="53"/>
      <c r="R34" s="55"/>
      <c r="S34" s="55"/>
      <c r="T34" s="55"/>
      <c r="U34" s="55"/>
      <c r="V34" s="55"/>
      <c r="W34" s="55" t="n">
        <f aca="false">(O34+O35)*D34/2</f>
        <v>53.186</v>
      </c>
      <c r="X34" s="55"/>
      <c r="Y34" s="55"/>
      <c r="Z34" s="55"/>
      <c r="AA34" s="55"/>
      <c r="AB34" s="56"/>
      <c r="AC34" s="57"/>
    </row>
    <row r="35" s="49" customFormat="true" ht="15" hidden="false" customHeight="true" outlineLevel="0" collapsed="false">
      <c r="A35" s="13" t="n">
        <v>25</v>
      </c>
      <c r="B35" s="13" t="str">
        <f aca="false">'6.KTHH L6'!B46</f>
        <v>TC</v>
      </c>
      <c r="C35" s="51" t="n">
        <f aca="false">'6.KTHH L6'!C46</f>
        <v>575.12</v>
      </c>
      <c r="D35" s="13" t="n">
        <f aca="false">'6.KTHH L6'!T46</f>
        <v>0.04</v>
      </c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 t="n">
        <f aca="false">Chạy!E221</f>
        <v>8.12</v>
      </c>
      <c r="P35" s="53"/>
      <c r="Q35" s="53"/>
      <c r="R35" s="55"/>
      <c r="S35" s="55"/>
      <c r="T35" s="55"/>
      <c r="U35" s="55"/>
      <c r="V35" s="55"/>
      <c r="W35" s="55" t="n">
        <f aca="false">(O35+O36)*D35/2</f>
        <v>0.3248</v>
      </c>
      <c r="X35" s="55"/>
      <c r="Y35" s="55"/>
      <c r="Z35" s="55"/>
      <c r="AA35" s="55"/>
      <c r="AB35" s="56"/>
      <c r="AC35" s="57"/>
    </row>
    <row r="36" s="49" customFormat="true" ht="15" hidden="false" customHeight="true" outlineLevel="0" collapsed="false">
      <c r="A36" s="13" t="n">
        <v>26</v>
      </c>
      <c r="B36" s="13" t="str">
        <f aca="false">'6.KTHH L6'!B47</f>
        <v>29</v>
      </c>
      <c r="C36" s="51" t="n">
        <f aca="false">'6.KTHH L6'!C47</f>
        <v>575.16</v>
      </c>
      <c r="D36" s="13" t="n">
        <f aca="false">'6.KTHH L6'!T47</f>
        <v>16.95</v>
      </c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 t="n">
        <f aca="false">Chạy!E230</f>
        <v>8.12</v>
      </c>
      <c r="P36" s="53"/>
      <c r="Q36" s="53"/>
      <c r="R36" s="55"/>
      <c r="S36" s="55"/>
      <c r="T36" s="55"/>
      <c r="U36" s="55"/>
      <c r="V36" s="55"/>
      <c r="W36" s="55" t="n">
        <f aca="false">(O36+O37)*D36/2</f>
        <v>137.634</v>
      </c>
      <c r="X36" s="55"/>
      <c r="Y36" s="55"/>
      <c r="Z36" s="55"/>
      <c r="AA36" s="55"/>
      <c r="AB36" s="56"/>
      <c r="AC36" s="57"/>
    </row>
    <row r="37" s="49" customFormat="true" ht="15" hidden="false" customHeight="true" outlineLevel="0" collapsed="false">
      <c r="A37" s="13" t="n">
        <v>27</v>
      </c>
      <c r="B37" s="13" t="str">
        <f aca="false">'6.KTHH L6'!B48</f>
        <v>30</v>
      </c>
      <c r="C37" s="51" t="n">
        <f aca="false">'6.KTHH L6'!C48</f>
        <v>592.11</v>
      </c>
      <c r="D37" s="13" t="n">
        <f aca="false">'6.KTHH L6'!T48</f>
        <v>17</v>
      </c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 t="n">
        <f aca="false">Chạy!E239</f>
        <v>8.12</v>
      </c>
      <c r="P37" s="53"/>
      <c r="Q37" s="53"/>
      <c r="R37" s="55"/>
      <c r="S37" s="55"/>
      <c r="T37" s="55"/>
      <c r="U37" s="55"/>
      <c r="V37" s="55"/>
      <c r="W37" s="55" t="n">
        <f aca="false">(O37+O38)*D37/2</f>
        <v>138.04</v>
      </c>
      <c r="X37" s="55"/>
      <c r="Y37" s="55"/>
      <c r="Z37" s="55"/>
      <c r="AA37" s="55"/>
      <c r="AB37" s="56"/>
      <c r="AC37" s="57"/>
    </row>
    <row r="38" s="49" customFormat="true" ht="15" hidden="false" customHeight="true" outlineLevel="0" collapsed="false">
      <c r="A38" s="13" t="n">
        <v>28</v>
      </c>
      <c r="B38" s="13" t="str">
        <f aca="false">'6.KTHH L6'!B49</f>
        <v>31</v>
      </c>
      <c r="C38" s="51" t="n">
        <f aca="false">'6.KTHH L6'!C49</f>
        <v>609.11</v>
      </c>
      <c r="D38" s="13" t="n">
        <f aca="false">'6.KTHH L6'!T49</f>
        <v>11.75</v>
      </c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 t="n">
        <f aca="false">Chạy!E248</f>
        <v>8.12</v>
      </c>
      <c r="P38" s="53"/>
      <c r="Q38" s="53"/>
      <c r="R38" s="55"/>
      <c r="S38" s="55"/>
      <c r="T38" s="55"/>
      <c r="U38" s="55"/>
      <c r="V38" s="55"/>
      <c r="W38" s="55" t="n">
        <f aca="false">(O38+O39)*D38/2</f>
        <v>95.41</v>
      </c>
      <c r="X38" s="55"/>
      <c r="Y38" s="55"/>
      <c r="Z38" s="55"/>
      <c r="AA38" s="55"/>
      <c r="AB38" s="56"/>
      <c r="AC38" s="57"/>
    </row>
    <row r="39" s="49" customFormat="true" ht="15" hidden="false" customHeight="true" outlineLevel="0" collapsed="false">
      <c r="A39" s="13" t="n">
        <v>29</v>
      </c>
      <c r="B39" s="13" t="str">
        <f aca="false">'6.KTHH L6'!B50</f>
        <v>E10</v>
      </c>
      <c r="C39" s="51" t="n">
        <f aca="false">'6.KTHH L6'!C50</f>
        <v>620.86</v>
      </c>
      <c r="D39" s="13" t="n">
        <f aca="false">'6.KTHH L6'!T50</f>
        <v>11.75</v>
      </c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 t="n">
        <f aca="false">Chạy!E257</f>
        <v>8.12</v>
      </c>
      <c r="P39" s="53"/>
      <c r="Q39" s="53"/>
      <c r="R39" s="55"/>
      <c r="S39" s="55"/>
      <c r="T39" s="55"/>
      <c r="U39" s="55"/>
      <c r="V39" s="55"/>
      <c r="W39" s="55" t="n">
        <f aca="false">(O39+O40)*D39/2</f>
        <v>95.41</v>
      </c>
      <c r="X39" s="55"/>
      <c r="Y39" s="55"/>
      <c r="Z39" s="55"/>
      <c r="AA39" s="55"/>
      <c r="AB39" s="56"/>
      <c r="AC39" s="57"/>
    </row>
    <row r="40" s="49" customFormat="true" ht="15" hidden="false" customHeight="true" outlineLevel="0" collapsed="false">
      <c r="A40" s="13" t="n">
        <v>30</v>
      </c>
      <c r="B40" s="13" t="str">
        <f aca="false">'6.KTHH L6'!B51</f>
        <v>32</v>
      </c>
      <c r="C40" s="51" t="n">
        <f aca="false">'6.KTHH L6'!C51</f>
        <v>632.61</v>
      </c>
      <c r="D40" s="13" t="n">
        <f aca="false">'6.KTHH L6'!T51</f>
        <v>20</v>
      </c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 t="n">
        <f aca="false">Chạy!E266</f>
        <v>8.12</v>
      </c>
      <c r="P40" s="53"/>
      <c r="Q40" s="53"/>
      <c r="R40" s="55"/>
      <c r="S40" s="55"/>
      <c r="T40" s="55"/>
      <c r="U40" s="55"/>
      <c r="V40" s="55"/>
      <c r="W40" s="55" t="n">
        <f aca="false">(O40+O41)*D40/2</f>
        <v>162.4</v>
      </c>
      <c r="X40" s="55"/>
      <c r="Y40" s="55"/>
      <c r="Z40" s="55"/>
      <c r="AA40" s="55"/>
      <c r="AB40" s="56"/>
      <c r="AC40" s="57"/>
    </row>
    <row r="41" s="49" customFormat="true" ht="15" hidden="false" customHeight="true" outlineLevel="0" collapsed="false">
      <c r="A41" s="13" t="n">
        <v>31</v>
      </c>
      <c r="B41" s="13" t="str">
        <f aca="false">'6.KTHH L6'!B52</f>
        <v>33</v>
      </c>
      <c r="C41" s="51" t="n">
        <f aca="false">'6.KTHH L6'!C52</f>
        <v>652.61</v>
      </c>
      <c r="D41" s="13" t="n">
        <f aca="false">'6.KTHH L6'!T52</f>
        <v>20</v>
      </c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 t="n">
        <f aca="false">Chạy!E275</f>
        <v>8.12</v>
      </c>
      <c r="P41" s="53"/>
      <c r="Q41" s="53"/>
      <c r="R41" s="55"/>
      <c r="S41" s="55"/>
      <c r="T41" s="55"/>
      <c r="U41" s="55"/>
      <c r="V41" s="55"/>
      <c r="W41" s="55" t="n">
        <f aca="false">(O41+O42)*D41/2</f>
        <v>162.4</v>
      </c>
      <c r="X41" s="55"/>
      <c r="Y41" s="55"/>
      <c r="Z41" s="55"/>
      <c r="AA41" s="55"/>
      <c r="AB41" s="56"/>
      <c r="AC41" s="57"/>
    </row>
    <row r="42" s="49" customFormat="true" ht="15" hidden="false" customHeight="true" outlineLevel="0" collapsed="false">
      <c r="A42" s="13" t="n">
        <v>32</v>
      </c>
      <c r="B42" s="13" t="str">
        <f aca="false">'6.KTHH L6'!B53</f>
        <v>34</v>
      </c>
      <c r="C42" s="51" t="n">
        <f aca="false">'6.KTHH L6'!C53</f>
        <v>672.61</v>
      </c>
      <c r="D42" s="13" t="n">
        <f aca="false">'6.KTHH L6'!T53</f>
        <v>20</v>
      </c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 t="n">
        <f aca="false">Chạy!E284</f>
        <v>8.12</v>
      </c>
      <c r="P42" s="53"/>
      <c r="Q42" s="53"/>
      <c r="R42" s="55"/>
      <c r="S42" s="55"/>
      <c r="T42" s="55"/>
      <c r="U42" s="55"/>
      <c r="V42" s="55"/>
      <c r="W42" s="55" t="n">
        <f aca="false">(O42+O43)*D42/2</f>
        <v>162.4</v>
      </c>
      <c r="X42" s="55"/>
      <c r="Y42" s="55"/>
      <c r="Z42" s="55"/>
      <c r="AA42" s="55"/>
      <c r="AB42" s="56"/>
      <c r="AC42" s="57"/>
    </row>
    <row r="43" s="49" customFormat="true" ht="15" hidden="false" customHeight="true" outlineLevel="0" collapsed="false">
      <c r="A43" s="13" t="n">
        <v>33</v>
      </c>
      <c r="B43" s="13" t="str">
        <f aca="false">'6.KTHH L6'!B54</f>
        <v>35</v>
      </c>
      <c r="C43" s="51" t="n">
        <f aca="false">'6.KTHH L6'!C54</f>
        <v>692.61</v>
      </c>
      <c r="D43" s="13" t="n">
        <f aca="false">'6.KTHH L6'!T54</f>
        <v>20</v>
      </c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 t="n">
        <f aca="false">Chạy!E293</f>
        <v>8.12</v>
      </c>
      <c r="P43" s="53"/>
      <c r="Q43" s="53"/>
      <c r="R43" s="55"/>
      <c r="S43" s="55"/>
      <c r="T43" s="55"/>
      <c r="U43" s="55"/>
      <c r="V43" s="55"/>
      <c r="W43" s="55" t="n">
        <f aca="false">(O43+O44)*D43/2</f>
        <v>144.3</v>
      </c>
      <c r="X43" s="55"/>
      <c r="Y43" s="55"/>
      <c r="Z43" s="55"/>
      <c r="AA43" s="55"/>
      <c r="AB43" s="56"/>
      <c r="AC43" s="57"/>
    </row>
    <row r="44" s="49" customFormat="true" ht="15" hidden="false" customHeight="true" outlineLevel="0" collapsed="false">
      <c r="A44" s="13" t="n">
        <v>34</v>
      </c>
      <c r="B44" s="13" t="str">
        <f aca="false">'6.KTHH L6'!B55</f>
        <v>36</v>
      </c>
      <c r="C44" s="51" t="n">
        <f aca="false">'6.KTHH L6'!C55</f>
        <v>712.61</v>
      </c>
      <c r="D44" s="13" t="n">
        <f aca="false">'6.KTHH L6'!T55</f>
        <v>11.5</v>
      </c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 t="n">
        <f aca="false">Chạy!E302</f>
        <v>6.31</v>
      </c>
      <c r="P44" s="53"/>
      <c r="Q44" s="53"/>
      <c r="R44" s="55"/>
      <c r="S44" s="55"/>
      <c r="T44" s="55"/>
      <c r="U44" s="55"/>
      <c r="V44" s="55"/>
      <c r="W44" s="55" t="n">
        <f aca="false">(O44+O45)*D44/2</f>
        <v>82.9725</v>
      </c>
      <c r="X44" s="55"/>
      <c r="Y44" s="55"/>
      <c r="Z44" s="55"/>
      <c r="AA44" s="55"/>
      <c r="AB44" s="56"/>
      <c r="AC44" s="57"/>
    </row>
    <row r="45" s="49" customFormat="true" ht="15" hidden="false" customHeight="true" outlineLevel="0" collapsed="false">
      <c r="A45" s="13" t="n">
        <v>35</v>
      </c>
      <c r="B45" s="13" t="str">
        <f aca="false">'6.KTHH L6'!B56</f>
        <v>37</v>
      </c>
      <c r="C45" s="51" t="n">
        <f aca="false">'6.KTHH L6'!C56</f>
        <v>724.11</v>
      </c>
      <c r="D45" s="13" t="n">
        <f aca="false">'6.KTHH L6'!T56</f>
        <v>13.25</v>
      </c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 t="n">
        <f aca="false">Chạy!E311</f>
        <v>8.12</v>
      </c>
      <c r="P45" s="53"/>
      <c r="Q45" s="53"/>
      <c r="R45" s="55"/>
      <c r="S45" s="55"/>
      <c r="T45" s="55"/>
      <c r="U45" s="55"/>
      <c r="V45" s="55"/>
      <c r="W45" s="55" t="n">
        <f aca="false">(O45+O46)*D45/2</f>
        <v>107.59</v>
      </c>
      <c r="X45" s="55"/>
      <c r="Y45" s="55"/>
      <c r="Z45" s="55"/>
      <c r="AA45" s="55"/>
      <c r="AB45" s="56"/>
      <c r="AC45" s="57"/>
    </row>
    <row r="46" s="49" customFormat="true" ht="15" hidden="false" customHeight="true" outlineLevel="0" collapsed="false">
      <c r="A46" s="13" t="n">
        <v>36</v>
      </c>
      <c r="B46" s="13" t="str">
        <f aca="false">'6.KTHH L6'!B57</f>
        <v>G6</v>
      </c>
      <c r="C46" s="51" t="n">
        <f aca="false">'6.KTHH L6'!C57</f>
        <v>737.36</v>
      </c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 t="n">
        <f aca="false">Chạy!E320</f>
        <v>8.12</v>
      </c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85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SUM(W11:W46)</f>
        <v>3757.13695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74</v>
      </c>
      <c r="B53" s="19"/>
      <c r="C53" s="19"/>
      <c r="D53" s="77" t="s">
        <v>86</v>
      </c>
      <c r="E53" s="19" t="s">
        <v>75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76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77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6.5" hidden="false" customHeight="true" outlineLevel="0" collapsed="false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29861111111111" top="0.5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8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V11" activeCellId="0" sqref="V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3" min="23" style="113" width="9.14"/>
    <col collapsed="false" customWidth="true" hidden="false" outlineLevel="0" max="25" min="25" style="113" width="9.14"/>
  </cols>
  <sheetData>
    <row r="1" customFormat="false" ht="20.25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97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57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58</v>
      </c>
      <c r="C7" s="7"/>
      <c r="D7" s="7"/>
      <c r="F7" s="7"/>
      <c r="G7" s="7" t="s">
        <v>98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60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9" t="s">
        <v>61</v>
      </c>
      <c r="B20" s="9" t="s">
        <v>62</v>
      </c>
      <c r="C20" s="9" t="s">
        <v>63</v>
      </c>
      <c r="D20" s="10" t="s">
        <v>64</v>
      </c>
      <c r="E20" s="10"/>
      <c r="F20" s="10"/>
      <c r="G20" s="10"/>
      <c r="H20" s="10"/>
      <c r="I20" s="10"/>
      <c r="J20" s="10" t="s">
        <v>65</v>
      </c>
      <c r="K20" s="10"/>
      <c r="L20" s="10"/>
      <c r="M20" s="10" t="s">
        <v>66</v>
      </c>
      <c r="N20" s="10"/>
      <c r="O20" s="10"/>
      <c r="P20" s="10"/>
      <c r="Q20" s="10"/>
      <c r="R20" s="10"/>
      <c r="S20" s="9" t="s">
        <v>67</v>
      </c>
    </row>
    <row r="21" customFormat="false" ht="30" hidden="false" customHeight="true" outlineLevel="0" collapsed="false">
      <c r="A21" s="9"/>
      <c r="B21" s="9"/>
      <c r="C21" s="9"/>
      <c r="D21" s="11" t="s">
        <v>68</v>
      </c>
      <c r="E21" s="11" t="s">
        <v>69</v>
      </c>
      <c r="F21" s="11" t="s">
        <v>70</v>
      </c>
      <c r="G21" s="11" t="s">
        <v>71</v>
      </c>
      <c r="H21" s="11" t="s">
        <v>72</v>
      </c>
      <c r="I21" s="11" t="s">
        <v>73</v>
      </c>
      <c r="J21" s="11" t="s">
        <v>71</v>
      </c>
      <c r="K21" s="11" t="s">
        <v>72</v>
      </c>
      <c r="L21" s="11" t="s">
        <v>73</v>
      </c>
      <c r="M21" s="11" t="s">
        <v>68</v>
      </c>
      <c r="N21" s="11" t="s">
        <v>69</v>
      </c>
      <c r="O21" s="11" t="s">
        <v>70</v>
      </c>
      <c r="P21" s="11" t="s">
        <v>71</v>
      </c>
      <c r="Q21" s="11" t="s">
        <v>72</v>
      </c>
      <c r="R21" s="11" t="s">
        <v>73</v>
      </c>
      <c r="S21" s="9"/>
      <c r="T21" s="12"/>
      <c r="W21" s="111"/>
      <c r="Y21" s="114"/>
    </row>
    <row r="22" customFormat="false" ht="15" hidden="false" customHeight="false" outlineLevel="0" collapsed="false">
      <c r="A22" s="13" t="n">
        <v>1</v>
      </c>
      <c r="B22" s="13" t="s">
        <v>17</v>
      </c>
      <c r="C22" s="15" t="n">
        <v>211</v>
      </c>
      <c r="D22" s="16" t="n">
        <f aca="false">+Chạy!F4</f>
        <v>-12.85</v>
      </c>
      <c r="E22" s="16" t="n">
        <f aca="false">+D22+F22</f>
        <v>-12.8568</v>
      </c>
      <c r="F22" s="16" t="n">
        <f aca="false">RANDBETWEEN(-105,115)/10000</f>
        <v>-0.0068</v>
      </c>
      <c r="G22" s="16" t="n">
        <f aca="false">+Chạy!G4</f>
        <v>1.45</v>
      </c>
      <c r="H22" s="16" t="n">
        <f aca="false">G22+I22</f>
        <v>1.503</v>
      </c>
      <c r="I22" s="16" t="n">
        <f aca="false">RANDBETWEEN(-30,90)/1000</f>
        <v>0.053</v>
      </c>
      <c r="J22" s="16" t="n">
        <f aca="false">+Chạy!K4</f>
        <v>1.57</v>
      </c>
      <c r="K22" s="16" t="n">
        <f aca="false">J22+L22</f>
        <v>1.651</v>
      </c>
      <c r="L22" s="16" t="n">
        <f aca="false">RANDBETWEEN(-30,90)/1000</f>
        <v>0.081</v>
      </c>
      <c r="M22" s="16" t="n">
        <f aca="false">+Chạy!N4</f>
        <v>12.85</v>
      </c>
      <c r="N22" s="16" t="n">
        <f aca="false">+M22+O22</f>
        <v>12.8544</v>
      </c>
      <c r="O22" s="16" t="n">
        <f aca="false">RANDBETWEEN(-105,115)/10000</f>
        <v>0.0044</v>
      </c>
      <c r="P22" s="16" t="n">
        <f aca="false">+Chạy!O4</f>
        <v>1.45</v>
      </c>
      <c r="Q22" s="16" t="n">
        <f aca="false">P22+R22</f>
        <v>1.53</v>
      </c>
      <c r="R22" s="16" t="n">
        <f aca="false">RANDBETWEEN(-30,90)/1000</f>
        <v>0.08</v>
      </c>
      <c r="S22" s="17"/>
      <c r="T22" s="0" t="n">
        <v>13.25</v>
      </c>
      <c r="W22" s="115"/>
      <c r="X22" s="102"/>
    </row>
    <row r="23" customFormat="false" ht="15" hidden="false" customHeight="false" outlineLevel="0" collapsed="false">
      <c r="A23" s="13" t="n">
        <v>2</v>
      </c>
      <c r="B23" s="13" t="s">
        <v>18</v>
      </c>
      <c r="C23" s="15" t="n">
        <f aca="false">+C22+T22</f>
        <v>224.25</v>
      </c>
      <c r="D23" s="16" t="n">
        <f aca="false">+Chạy!F13</f>
        <v>-12.85</v>
      </c>
      <c r="E23" s="16" t="n">
        <f aca="false">+D23+F23</f>
        <v>-12.848</v>
      </c>
      <c r="F23" s="16" t="n">
        <f aca="false">RANDBETWEEN(-105,115)/10000</f>
        <v>0.002</v>
      </c>
      <c r="G23" s="16" t="n">
        <f aca="false">+Chạy!G13</f>
        <v>1.44</v>
      </c>
      <c r="H23" s="16" t="n">
        <f aca="false">G23+I23</f>
        <v>1.456</v>
      </c>
      <c r="I23" s="16" t="n">
        <f aca="false">RANDBETWEEN(-30,90)/1000</f>
        <v>0.016</v>
      </c>
      <c r="J23" s="16" t="n">
        <f aca="false">+Chạy!K13</f>
        <v>1.56</v>
      </c>
      <c r="K23" s="16" t="n">
        <f aca="false">J23+L23</f>
        <v>1.59</v>
      </c>
      <c r="L23" s="16" t="n">
        <f aca="false">RANDBETWEEN(-30,90)/1000</f>
        <v>0.03</v>
      </c>
      <c r="M23" s="16" t="n">
        <f aca="false">+Chạy!N13</f>
        <v>8.39</v>
      </c>
      <c r="N23" s="16" t="n">
        <f aca="false">+M23+O23</f>
        <v>8.3993</v>
      </c>
      <c r="O23" s="16" t="n">
        <f aca="false">RANDBETWEEN(-105,115)/10000</f>
        <v>0.0093</v>
      </c>
      <c r="P23" s="16" t="n">
        <f aca="false">+Chạy!O13</f>
        <v>1.44</v>
      </c>
      <c r="Q23" s="16" t="n">
        <f aca="false">P23+R23</f>
        <v>1.435</v>
      </c>
      <c r="R23" s="16" t="n">
        <f aca="false">RANDBETWEEN(-30,90)/1000</f>
        <v>-0.005</v>
      </c>
      <c r="S23" s="17"/>
      <c r="T23" s="0" t="n">
        <v>21.5</v>
      </c>
      <c r="W23" s="115"/>
      <c r="X23" s="102"/>
    </row>
    <row r="24" customFormat="false" ht="15" hidden="false" customHeight="false" outlineLevel="0" collapsed="false">
      <c r="A24" s="13" t="n">
        <v>3</v>
      </c>
      <c r="B24" s="13" t="s">
        <v>19</v>
      </c>
      <c r="C24" s="15" t="n">
        <f aca="false">+C23+T23</f>
        <v>245.75</v>
      </c>
      <c r="D24" s="16" t="n">
        <f aca="false">+Chạy!F22</f>
        <v>-12.85</v>
      </c>
      <c r="E24" s="16" t="n">
        <f aca="false">+D24+F24</f>
        <v>-12.8421</v>
      </c>
      <c r="F24" s="16" t="n">
        <f aca="false">RANDBETWEEN(-105,115)/10000</f>
        <v>0.0079</v>
      </c>
      <c r="G24" s="16" t="n">
        <f aca="false">+Chạy!G22</f>
        <v>1.42</v>
      </c>
      <c r="H24" s="16" t="n">
        <f aca="false">G24+I24</f>
        <v>1.488</v>
      </c>
      <c r="I24" s="16" t="n">
        <f aca="false">RANDBETWEEN(-30,90)/1000</f>
        <v>0.068</v>
      </c>
      <c r="J24" s="16" t="n">
        <f aca="false">+Chạy!K22</f>
        <v>1.54</v>
      </c>
      <c r="K24" s="16" t="n">
        <f aca="false">J24+L24</f>
        <v>1.549</v>
      </c>
      <c r="L24" s="16" t="n">
        <f aca="false">RANDBETWEEN(-30,90)/1000</f>
        <v>0.009</v>
      </c>
      <c r="M24" s="16" t="n">
        <f aca="false">+Chạy!N22</f>
        <v>8.12</v>
      </c>
      <c r="N24" s="16" t="n">
        <f aca="false">+M24+O24</f>
        <v>8.1255</v>
      </c>
      <c r="O24" s="16" t="n">
        <f aca="false">RANDBETWEEN(-105,115)/10000</f>
        <v>0.0055</v>
      </c>
      <c r="P24" s="16" t="n">
        <f aca="false">+Chạy!O22</f>
        <v>1.42</v>
      </c>
      <c r="Q24" s="16" t="n">
        <f aca="false">P24+R24</f>
        <v>1.466</v>
      </c>
      <c r="R24" s="16" t="n">
        <f aca="false">RANDBETWEEN(-30,90)/1000</f>
        <v>0.046</v>
      </c>
      <c r="S24" s="17"/>
      <c r="T24" s="0" t="n">
        <v>11.75</v>
      </c>
      <c r="W24" s="115"/>
      <c r="X24" s="102"/>
    </row>
    <row r="25" customFormat="false" ht="15" hidden="false" customHeight="false" outlineLevel="0" collapsed="false">
      <c r="A25" s="13" t="n">
        <v>4</v>
      </c>
      <c r="B25" s="13" t="s">
        <v>20</v>
      </c>
      <c r="C25" s="15" t="n">
        <f aca="false">+C24+T24</f>
        <v>257.5</v>
      </c>
      <c r="D25" s="16" t="n">
        <f aca="false">+Chạy!F31</f>
        <v>-8.11</v>
      </c>
      <c r="E25" s="16" t="n">
        <f aca="false">+D25+F25</f>
        <v>-8.1033</v>
      </c>
      <c r="F25" s="16" t="n">
        <f aca="false">RANDBETWEEN(-105,115)/10000</f>
        <v>0.0067</v>
      </c>
      <c r="G25" s="16" t="n">
        <f aca="false">+Chạy!G31</f>
        <v>1.41</v>
      </c>
      <c r="H25" s="16" t="n">
        <f aca="false">G25+I25</f>
        <v>1.443</v>
      </c>
      <c r="I25" s="16" t="n">
        <f aca="false">RANDBETWEEN(-30,90)/1000</f>
        <v>0.033</v>
      </c>
      <c r="J25" s="16" t="n">
        <f aca="false">+Chạy!K31</f>
        <v>1.53</v>
      </c>
      <c r="K25" s="16" t="n">
        <f aca="false">J25+L25</f>
        <v>1.601</v>
      </c>
      <c r="L25" s="16" t="n">
        <f aca="false">RANDBETWEEN(-30,90)/1000</f>
        <v>0.071</v>
      </c>
      <c r="M25" s="16" t="n">
        <f aca="false">+Chạy!N31</f>
        <v>8.12</v>
      </c>
      <c r="N25" s="16" t="n">
        <f aca="false">+M25+O25</f>
        <v>8.1239</v>
      </c>
      <c r="O25" s="16" t="n">
        <f aca="false">RANDBETWEEN(-105,115)/10000</f>
        <v>0.0039</v>
      </c>
      <c r="P25" s="16" t="n">
        <f aca="false">+Chạy!O31</f>
        <v>1.41</v>
      </c>
      <c r="Q25" s="16" t="n">
        <f aca="false">P25+R25</f>
        <v>1.451</v>
      </c>
      <c r="R25" s="16" t="n">
        <f aca="false">RANDBETWEEN(-30,90)/1000</f>
        <v>0.041</v>
      </c>
      <c r="S25" s="17"/>
      <c r="T25" s="0" t="n">
        <v>11.75</v>
      </c>
      <c r="W25" s="115"/>
      <c r="X25" s="102"/>
    </row>
    <row r="26" customFormat="false" ht="15" hidden="false" customHeight="false" outlineLevel="0" collapsed="false">
      <c r="A26" s="13" t="n">
        <v>5</v>
      </c>
      <c r="B26" s="13" t="s">
        <v>21</v>
      </c>
      <c r="C26" s="15" t="n">
        <f aca="false">+C25+T25</f>
        <v>269.25</v>
      </c>
      <c r="D26" s="16" t="n">
        <f aca="false">+Chạy!F40</f>
        <v>-8.11</v>
      </c>
      <c r="E26" s="16" t="n">
        <f aca="false">+D26+F26</f>
        <v>-8.1189</v>
      </c>
      <c r="F26" s="16" t="n">
        <f aca="false">RANDBETWEEN(-105,115)/10000</f>
        <v>-0.0089</v>
      </c>
      <c r="G26" s="16" t="n">
        <f aca="false">+Chạy!G40</f>
        <v>1.41</v>
      </c>
      <c r="H26" s="16" t="n">
        <f aca="false">G26+I26</f>
        <v>1.477</v>
      </c>
      <c r="I26" s="16" t="n">
        <f aca="false">RANDBETWEEN(-30,90)/1000</f>
        <v>0.067</v>
      </c>
      <c r="J26" s="16" t="n">
        <f aca="false">+Chạy!K40</f>
        <v>1.52</v>
      </c>
      <c r="K26" s="16" t="n">
        <f aca="false">J26+L26</f>
        <v>1.494</v>
      </c>
      <c r="L26" s="16" t="n">
        <f aca="false">RANDBETWEEN(-30,90)/1000</f>
        <v>-0.026</v>
      </c>
      <c r="M26" s="16" t="n">
        <f aca="false">+Chạy!N40</f>
        <v>8.11</v>
      </c>
      <c r="N26" s="16" t="n">
        <f aca="false">+M26+O26</f>
        <v>8.11</v>
      </c>
      <c r="O26" s="16" t="n">
        <f aca="false">RANDBETWEEN(-105,115)/10000</f>
        <v>0</v>
      </c>
      <c r="P26" s="16" t="n">
        <f aca="false">+Chạy!O40</f>
        <v>1.41</v>
      </c>
      <c r="Q26" s="16" t="n">
        <f aca="false">P26+R26</f>
        <v>1.482</v>
      </c>
      <c r="R26" s="16" t="n">
        <f aca="false">RANDBETWEEN(-30,90)/1000</f>
        <v>0.072</v>
      </c>
      <c r="S26" s="17"/>
      <c r="T26" s="0" t="n">
        <v>20</v>
      </c>
      <c r="W26" s="115"/>
      <c r="X26" s="102"/>
    </row>
    <row r="27" customFormat="false" ht="15" hidden="false" customHeight="false" outlineLevel="0" collapsed="false">
      <c r="A27" s="13" t="n">
        <v>6</v>
      </c>
      <c r="B27" s="13" t="s">
        <v>22</v>
      </c>
      <c r="C27" s="15" t="n">
        <f aca="false">+C26+T26</f>
        <v>289.25</v>
      </c>
      <c r="D27" s="16" t="n">
        <f aca="false">+Chạy!F49</f>
        <v>-8.1</v>
      </c>
      <c r="E27" s="16" t="n">
        <f aca="false">+D27+F27</f>
        <v>-8.1091</v>
      </c>
      <c r="F27" s="16" t="n">
        <f aca="false">RANDBETWEEN(-105,115)/10000</f>
        <v>-0.0091</v>
      </c>
      <c r="G27" s="16" t="n">
        <f aca="false">+Chạy!G49</f>
        <v>1.4</v>
      </c>
      <c r="H27" s="16" t="n">
        <f aca="false">G27+I27</f>
        <v>1.414</v>
      </c>
      <c r="I27" s="16" t="n">
        <f aca="false">RANDBETWEEN(-30,90)/1000</f>
        <v>0.014</v>
      </c>
      <c r="J27" s="16" t="n">
        <f aca="false">+Chạy!K49</f>
        <v>1.51</v>
      </c>
      <c r="K27" s="16" t="n">
        <f aca="false">J27+L27</f>
        <v>1.485</v>
      </c>
      <c r="L27" s="16" t="n">
        <f aca="false">RANDBETWEEN(-30,90)/1000</f>
        <v>-0.025</v>
      </c>
      <c r="M27" s="16" t="n">
        <f aca="false">+Chạy!N49</f>
        <v>8.1</v>
      </c>
      <c r="N27" s="16" t="n">
        <f aca="false">+M27+O27</f>
        <v>8.0954</v>
      </c>
      <c r="O27" s="16" t="n">
        <f aca="false">RANDBETWEEN(-105,115)/10000</f>
        <v>-0.0046</v>
      </c>
      <c r="P27" s="16" t="n">
        <f aca="false">+Chạy!O49</f>
        <v>1.4</v>
      </c>
      <c r="Q27" s="16" t="n">
        <f aca="false">P27+R27</f>
        <v>1.464</v>
      </c>
      <c r="R27" s="16" t="n">
        <f aca="false">RANDBETWEEN(-30,90)/1000</f>
        <v>0.064</v>
      </c>
      <c r="S27" s="17"/>
      <c r="T27" s="0" t="n">
        <v>20</v>
      </c>
      <c r="W27" s="115"/>
      <c r="X27" s="102"/>
    </row>
    <row r="28" customFormat="false" ht="15" hidden="false" customHeight="false" outlineLevel="0" collapsed="false">
      <c r="A28" s="13" t="n">
        <v>7</v>
      </c>
      <c r="B28" s="13" t="s">
        <v>23</v>
      </c>
      <c r="C28" s="15" t="n">
        <f aca="false">+C27+T27</f>
        <v>309.25</v>
      </c>
      <c r="D28" s="16" t="n">
        <f aca="false">+Chạy!F58</f>
        <v>-8.08</v>
      </c>
      <c r="E28" s="16" t="n">
        <f aca="false">+D28+F28</f>
        <v>-8.0699</v>
      </c>
      <c r="F28" s="16" t="n">
        <f aca="false">RANDBETWEEN(-105,115)/10000</f>
        <v>0.0101</v>
      </c>
      <c r="G28" s="16" t="n">
        <f aca="false">+Chạy!G58</f>
        <v>1.38</v>
      </c>
      <c r="H28" s="16" t="n">
        <f aca="false">G28+I28</f>
        <v>1.463</v>
      </c>
      <c r="I28" s="16" t="n">
        <f aca="false">RANDBETWEEN(-30,90)/1000</f>
        <v>0.083</v>
      </c>
      <c r="J28" s="16" t="n">
        <f aca="false">+Chạy!K58</f>
        <v>1.5</v>
      </c>
      <c r="K28" s="16" t="n">
        <f aca="false">J28+L28</f>
        <v>1.537</v>
      </c>
      <c r="L28" s="16" t="n">
        <f aca="false">RANDBETWEEN(-30,90)/1000</f>
        <v>0.037</v>
      </c>
      <c r="M28" s="16" t="n">
        <f aca="false">+Chạy!N58</f>
        <v>8.08</v>
      </c>
      <c r="N28" s="16" t="n">
        <f aca="false">+M28+O28</f>
        <v>8.0752</v>
      </c>
      <c r="O28" s="16" t="n">
        <f aca="false">RANDBETWEEN(-105,115)/10000</f>
        <v>-0.0048</v>
      </c>
      <c r="P28" s="16" t="n">
        <f aca="false">+Chạy!O58</f>
        <v>1.38</v>
      </c>
      <c r="Q28" s="16" t="n">
        <f aca="false">P28+R28</f>
        <v>1.417</v>
      </c>
      <c r="R28" s="16" t="n">
        <f aca="false">RANDBETWEEN(-30,90)/1000</f>
        <v>0.037</v>
      </c>
      <c r="S28" s="17"/>
      <c r="T28" s="0" t="n">
        <v>20</v>
      </c>
      <c r="W28" s="115"/>
      <c r="X28" s="102"/>
    </row>
    <row r="29" customFormat="false" ht="15" hidden="false" customHeight="false" outlineLevel="0" collapsed="false">
      <c r="A29" s="13" t="n">
        <v>8</v>
      </c>
      <c r="B29" s="13" t="s">
        <v>24</v>
      </c>
      <c r="C29" s="15" t="n">
        <f aca="false">+C28+T28</f>
        <v>329.25</v>
      </c>
      <c r="D29" s="16" t="n">
        <f aca="false">+Chạy!F67</f>
        <v>-8.07</v>
      </c>
      <c r="E29" s="16" t="n">
        <f aca="false">+D29+F29</f>
        <v>-8.0626</v>
      </c>
      <c r="F29" s="16" t="n">
        <f aca="false">RANDBETWEEN(-105,115)/10000</f>
        <v>0.0074</v>
      </c>
      <c r="G29" s="16" t="n">
        <f aca="false">+Chạy!G67</f>
        <v>1.37</v>
      </c>
      <c r="H29" s="16" t="n">
        <f aca="false">G29+I29</f>
        <v>1.343</v>
      </c>
      <c r="I29" s="16" t="n">
        <f aca="false">RANDBETWEEN(-30,90)/1000</f>
        <v>-0.027</v>
      </c>
      <c r="J29" s="16" t="n">
        <f aca="false">+Chạy!K67</f>
        <v>1.49</v>
      </c>
      <c r="K29" s="16" t="n">
        <f aca="false">J29+L29</f>
        <v>1.488</v>
      </c>
      <c r="L29" s="16" t="n">
        <f aca="false">RANDBETWEEN(-30,90)/1000</f>
        <v>-0.002</v>
      </c>
      <c r="M29" s="16" t="n">
        <f aca="false">+Chạy!N67</f>
        <v>8.07</v>
      </c>
      <c r="N29" s="16" t="n">
        <f aca="false">+M29+O29</f>
        <v>8.0637</v>
      </c>
      <c r="O29" s="16" t="n">
        <f aca="false">RANDBETWEEN(-105,115)/10000</f>
        <v>-0.0063</v>
      </c>
      <c r="P29" s="16" t="n">
        <f aca="false">+Chạy!O67</f>
        <v>1.37</v>
      </c>
      <c r="Q29" s="16" t="n">
        <f aca="false">P29+R29</f>
        <v>1.386</v>
      </c>
      <c r="R29" s="16" t="n">
        <f aca="false">RANDBETWEEN(-30,90)/1000</f>
        <v>0.016</v>
      </c>
      <c r="S29" s="17"/>
      <c r="T29" s="0" t="n">
        <v>20</v>
      </c>
      <c r="W29" s="115"/>
      <c r="X29" s="102"/>
    </row>
    <row r="30" customFormat="false" ht="15" hidden="false" customHeight="false" outlineLevel="0" collapsed="false">
      <c r="A30" s="13" t="n">
        <v>9</v>
      </c>
      <c r="B30" s="13" t="s">
        <v>25</v>
      </c>
      <c r="C30" s="15" t="n">
        <f aca="false">+C29+T29</f>
        <v>349.25</v>
      </c>
      <c r="D30" s="16" t="n">
        <f aca="false">+Chạy!F76</f>
        <v>-12.85</v>
      </c>
      <c r="E30" s="16" t="n">
        <f aca="false">+D30+F30</f>
        <v>-12.8557</v>
      </c>
      <c r="F30" s="16" t="n">
        <f aca="false">RANDBETWEEN(-105,115)/10000</f>
        <v>-0.0057</v>
      </c>
      <c r="G30" s="16" t="n">
        <f aca="false">+Chạy!G76</f>
        <v>1.36</v>
      </c>
      <c r="H30" s="16" t="n">
        <f aca="false">G30+I30</f>
        <v>1.414</v>
      </c>
      <c r="I30" s="16" t="n">
        <f aca="false">RANDBETWEEN(-30,90)/1000</f>
        <v>0.054</v>
      </c>
      <c r="J30" s="16" t="n">
        <f aca="false">+Chạy!K76</f>
        <v>1.48</v>
      </c>
      <c r="K30" s="16" t="n">
        <f aca="false">J30+L30</f>
        <v>1.556</v>
      </c>
      <c r="L30" s="16" t="n">
        <f aca="false">RANDBETWEEN(-30,90)/1000</f>
        <v>0.076</v>
      </c>
      <c r="M30" s="16" t="n">
        <f aca="false">+Chạy!N76</f>
        <v>8.06</v>
      </c>
      <c r="N30" s="16" t="n">
        <f aca="false">+M30+O30</f>
        <v>8.0688</v>
      </c>
      <c r="O30" s="16" t="n">
        <f aca="false">RANDBETWEEN(-105,115)/10000</f>
        <v>0.0088</v>
      </c>
      <c r="P30" s="16" t="n">
        <f aca="false">+Chạy!O76</f>
        <v>1.36</v>
      </c>
      <c r="Q30" s="16" t="n">
        <f aca="false">P30+R30</f>
        <v>1.381</v>
      </c>
      <c r="R30" s="16" t="n">
        <f aca="false">RANDBETWEEN(-30,90)/1000</f>
        <v>0.021</v>
      </c>
      <c r="S30" s="17"/>
      <c r="T30" s="0" t="n">
        <v>19</v>
      </c>
      <c r="W30" s="115"/>
      <c r="X30" s="102"/>
    </row>
    <row r="31" customFormat="false" ht="15" hidden="false" customHeight="false" outlineLevel="0" collapsed="false">
      <c r="A31" s="13" t="n">
        <v>10</v>
      </c>
      <c r="B31" s="13" t="s">
        <v>26</v>
      </c>
      <c r="C31" s="15" t="n">
        <f aca="false">+C30+T30</f>
        <v>368.25</v>
      </c>
      <c r="D31" s="16" t="n">
        <f aca="false">+Chạy!F85</f>
        <v>-12.85</v>
      </c>
      <c r="E31" s="16" t="n">
        <f aca="false">+D31+F31</f>
        <v>-12.8595</v>
      </c>
      <c r="F31" s="16" t="n">
        <f aca="false">RANDBETWEEN(-105,115)/10000</f>
        <v>-0.0095</v>
      </c>
      <c r="G31" s="16" t="n">
        <f aca="false">+Chạy!G85</f>
        <v>1.35</v>
      </c>
      <c r="H31" s="16" t="n">
        <f aca="false">G31+I31</f>
        <v>1.413</v>
      </c>
      <c r="I31" s="16" t="n">
        <f aca="false">RANDBETWEEN(-30,90)/1000</f>
        <v>0.063</v>
      </c>
      <c r="J31" s="16" t="n">
        <f aca="false">+Chạy!K85</f>
        <v>1.47</v>
      </c>
      <c r="K31" s="16" t="n">
        <f aca="false">J31+L31</f>
        <v>1.504</v>
      </c>
      <c r="L31" s="16" t="n">
        <f aca="false">RANDBETWEEN(-30,90)/1000</f>
        <v>0.034</v>
      </c>
      <c r="M31" s="16" t="n">
        <f aca="false">+Chạy!N85</f>
        <v>8.05</v>
      </c>
      <c r="N31" s="16" t="n">
        <f aca="false">+M31+O31</f>
        <v>8.0495</v>
      </c>
      <c r="O31" s="16" t="n">
        <f aca="false">RANDBETWEEN(-105,115)/10000</f>
        <v>-0.0005</v>
      </c>
      <c r="P31" s="16" t="n">
        <f aca="false">+Chạy!O85</f>
        <v>1.35</v>
      </c>
      <c r="Q31" s="16" t="n">
        <f aca="false">P31+R31</f>
        <v>1.43</v>
      </c>
      <c r="R31" s="16" t="n">
        <f aca="false">RANDBETWEEN(-30,90)/1000</f>
        <v>0.08</v>
      </c>
      <c r="S31" s="17"/>
      <c r="T31" s="0" t="n">
        <v>13.25</v>
      </c>
      <c r="W31" s="115"/>
      <c r="X31" s="102"/>
    </row>
    <row r="32" customFormat="false" ht="15" hidden="false" customHeight="false" outlineLevel="0" collapsed="false">
      <c r="A32" s="13" t="n">
        <v>11</v>
      </c>
      <c r="B32" s="13" t="s">
        <v>27</v>
      </c>
      <c r="C32" s="15" t="n">
        <f aca="false">+C31+T31</f>
        <v>381.5</v>
      </c>
      <c r="D32" s="16" t="n">
        <f aca="false">+Chạy!F94</f>
        <v>-12.85</v>
      </c>
      <c r="E32" s="16" t="n">
        <f aca="false">+D32+F32</f>
        <v>-12.8582</v>
      </c>
      <c r="F32" s="16" t="n">
        <f aca="false">RANDBETWEEN(-105,115)/10000</f>
        <v>-0.0082</v>
      </c>
      <c r="G32" s="16" t="n">
        <f aca="false">+Chạy!G94</f>
        <v>1.34</v>
      </c>
      <c r="H32" s="16" t="n">
        <f aca="false">G32+I32</f>
        <v>1.331</v>
      </c>
      <c r="I32" s="16" t="n">
        <f aca="false">RANDBETWEEN(-30,90)/1000</f>
        <v>-0.009</v>
      </c>
      <c r="J32" s="16" t="n">
        <f aca="false">+Chạy!K94</f>
        <v>1.46</v>
      </c>
      <c r="K32" s="16" t="n">
        <f aca="false">J32+L32</f>
        <v>1.503</v>
      </c>
      <c r="L32" s="16" t="n">
        <f aca="false">RANDBETWEEN(-30,90)/1000</f>
        <v>0.043</v>
      </c>
      <c r="M32" s="16" t="n">
        <f aca="false">+Chạy!N94</f>
        <v>12.85</v>
      </c>
      <c r="N32" s="16" t="n">
        <f aca="false">+M32+O32</f>
        <v>12.8473</v>
      </c>
      <c r="O32" s="16" t="n">
        <f aca="false">RANDBETWEEN(-105,115)/10000</f>
        <v>-0.0027</v>
      </c>
      <c r="P32" s="16" t="n">
        <f aca="false">+Chạy!O94</f>
        <v>1.34</v>
      </c>
      <c r="Q32" s="16" t="n">
        <f aca="false">P32+R32</f>
        <v>1.312</v>
      </c>
      <c r="R32" s="16" t="n">
        <f aca="false">RANDBETWEEN(-30,90)/1000</f>
        <v>-0.028</v>
      </c>
      <c r="S32" s="17"/>
      <c r="T32" s="0" t="n">
        <v>13.25</v>
      </c>
      <c r="W32" s="115"/>
      <c r="X32" s="102"/>
    </row>
    <row r="33" customFormat="false" ht="15" hidden="false" customHeight="false" outlineLevel="0" collapsed="false">
      <c r="A33" s="13" t="n">
        <v>12</v>
      </c>
      <c r="B33" s="13" t="s">
        <v>28</v>
      </c>
      <c r="C33" s="15" t="n">
        <f aca="false">+C32+T32</f>
        <v>394.75</v>
      </c>
      <c r="D33" s="16" t="n">
        <f aca="false">+Chạy!F103</f>
        <v>-12.85</v>
      </c>
      <c r="E33" s="16" t="n">
        <f aca="false">+D33+F33</f>
        <v>-12.8435</v>
      </c>
      <c r="F33" s="16" t="n">
        <f aca="false">RANDBETWEEN(-105,115)/10000</f>
        <v>0.0065</v>
      </c>
      <c r="G33" s="16" t="n">
        <f aca="false">+Chạy!G103</f>
        <v>1.33</v>
      </c>
      <c r="H33" s="16" t="n">
        <f aca="false">G33+I33</f>
        <v>1.317</v>
      </c>
      <c r="I33" s="16" t="n">
        <f aca="false">RANDBETWEEN(-30,90)/1000</f>
        <v>-0.013</v>
      </c>
      <c r="J33" s="16" t="n">
        <f aca="false">+Chạy!K103</f>
        <v>1.45</v>
      </c>
      <c r="K33" s="16" t="n">
        <f aca="false">J33+L33</f>
        <v>1.487</v>
      </c>
      <c r="L33" s="16" t="n">
        <f aca="false">RANDBETWEEN(-30,90)/1000</f>
        <v>0.037</v>
      </c>
      <c r="M33" s="16" t="n">
        <f aca="false">+Chạy!N103</f>
        <v>12.85</v>
      </c>
      <c r="N33" s="16" t="n">
        <f aca="false">+M33+O33</f>
        <v>12.8415</v>
      </c>
      <c r="O33" s="16" t="n">
        <f aca="false">RANDBETWEEN(-105,115)/10000</f>
        <v>-0.0085</v>
      </c>
      <c r="P33" s="16" t="n">
        <f aca="false">+Chạy!O103</f>
        <v>1.33</v>
      </c>
      <c r="Q33" s="16" t="n">
        <f aca="false">P33+R33</f>
        <v>1.322</v>
      </c>
      <c r="R33" s="16" t="n">
        <f aca="false">RANDBETWEEN(-30,90)/1000</f>
        <v>-0.008</v>
      </c>
      <c r="S33" s="17"/>
      <c r="T33" s="0" t="n">
        <v>20</v>
      </c>
      <c r="W33" s="115"/>
      <c r="X33" s="102"/>
    </row>
    <row r="34" customFormat="false" ht="15" hidden="false" customHeight="false" outlineLevel="0" collapsed="false">
      <c r="A34" s="13" t="n">
        <v>13</v>
      </c>
      <c r="B34" s="13" t="s">
        <v>29</v>
      </c>
      <c r="C34" s="15" t="n">
        <f aca="false">+C33+T33</f>
        <v>414.75</v>
      </c>
      <c r="D34" s="16" t="n">
        <f aca="false">+Chạy!F112</f>
        <v>-12.85</v>
      </c>
      <c r="E34" s="16" t="n">
        <f aca="false">+D34+F34</f>
        <v>-12.8451</v>
      </c>
      <c r="F34" s="16" t="n">
        <f aca="false">RANDBETWEEN(-105,115)/10000</f>
        <v>0.0049</v>
      </c>
      <c r="G34" s="16" t="n">
        <f aca="false">+Chạy!G112</f>
        <v>1.32</v>
      </c>
      <c r="H34" s="16" t="n">
        <f aca="false">G34+I34</f>
        <v>1.326</v>
      </c>
      <c r="I34" s="16" t="n">
        <f aca="false">RANDBETWEEN(-30,90)/1000</f>
        <v>0.006</v>
      </c>
      <c r="J34" s="16" t="n">
        <f aca="false">+Chạy!K112</f>
        <v>1.44</v>
      </c>
      <c r="K34" s="16" t="n">
        <f aca="false">J34+L34</f>
        <v>1.505</v>
      </c>
      <c r="L34" s="16" t="n">
        <f aca="false">RANDBETWEEN(-30,90)/1000</f>
        <v>0.065</v>
      </c>
      <c r="M34" s="16" t="n">
        <f aca="false">+Chạy!N112</f>
        <v>12.85</v>
      </c>
      <c r="N34" s="16" t="n">
        <f aca="false">+M34+O34</f>
        <v>12.8483</v>
      </c>
      <c r="O34" s="16" t="n">
        <f aca="false">RANDBETWEEN(-105,115)/10000</f>
        <v>-0.0017</v>
      </c>
      <c r="P34" s="16" t="n">
        <f aca="false">+Chạy!O112</f>
        <v>1.32</v>
      </c>
      <c r="Q34" s="16" t="n">
        <f aca="false">P34+R34</f>
        <v>1.367</v>
      </c>
      <c r="R34" s="16" t="n">
        <f aca="false">RANDBETWEEN(-30,90)/1000</f>
        <v>0.047</v>
      </c>
      <c r="S34" s="17"/>
      <c r="T34" s="0" t="n">
        <v>20</v>
      </c>
      <c r="W34" s="115"/>
      <c r="X34" s="102"/>
    </row>
    <row r="35" customFormat="false" ht="15" hidden="false" customHeight="false" outlineLevel="0" collapsed="false">
      <c r="A35" s="13" t="n">
        <v>14</v>
      </c>
      <c r="B35" s="13" t="s">
        <v>30</v>
      </c>
      <c r="C35" s="15" t="n">
        <f aca="false">+C34+T34</f>
        <v>434.75</v>
      </c>
      <c r="D35" s="16" t="n">
        <f aca="false">+Chạy!F121</f>
        <v>-12.85</v>
      </c>
      <c r="E35" s="16" t="n">
        <f aca="false">+D35+F35</f>
        <v>-12.8462</v>
      </c>
      <c r="F35" s="16" t="n">
        <f aca="false">RANDBETWEEN(-105,115)/10000</f>
        <v>0.0038</v>
      </c>
      <c r="G35" s="16" t="n">
        <f aca="false">+Chạy!G121</f>
        <v>1.31</v>
      </c>
      <c r="H35" s="16" t="n">
        <f aca="false">G35+I35</f>
        <v>1.349</v>
      </c>
      <c r="I35" s="16" t="n">
        <f aca="false">RANDBETWEEN(-30,90)/1000</f>
        <v>0.039</v>
      </c>
      <c r="J35" s="16" t="n">
        <f aca="false">+Chạy!K121</f>
        <v>1.42</v>
      </c>
      <c r="K35" s="16" t="n">
        <f aca="false">J35+L35</f>
        <v>1.496</v>
      </c>
      <c r="L35" s="16" t="n">
        <f aca="false">RANDBETWEEN(-30,90)/1000</f>
        <v>0.076</v>
      </c>
      <c r="M35" s="16" t="n">
        <f aca="false">+Chạy!N121</f>
        <v>12.85</v>
      </c>
      <c r="N35" s="16" t="n">
        <f aca="false">+M35+O35</f>
        <v>12.8493</v>
      </c>
      <c r="O35" s="16" t="n">
        <f aca="false">RANDBETWEEN(-105,115)/10000</f>
        <v>-0.0007</v>
      </c>
      <c r="P35" s="16" t="n">
        <f aca="false">+Chạy!O121</f>
        <v>1.31</v>
      </c>
      <c r="Q35" s="16" t="n">
        <f aca="false">P35+R35</f>
        <v>1.338</v>
      </c>
      <c r="R35" s="16" t="n">
        <f aca="false">RANDBETWEEN(-30,90)/1000</f>
        <v>0.028</v>
      </c>
      <c r="S35" s="17"/>
      <c r="T35" s="0" t="n">
        <v>20</v>
      </c>
      <c r="W35" s="115"/>
      <c r="X35" s="102"/>
    </row>
    <row r="36" customFormat="false" ht="15" hidden="false" customHeight="false" outlineLevel="0" collapsed="false">
      <c r="A36" s="13" t="n">
        <v>15</v>
      </c>
      <c r="B36" s="13" t="s">
        <v>31</v>
      </c>
      <c r="C36" s="15" t="n">
        <f aca="false">+C35+T35</f>
        <v>454.75</v>
      </c>
      <c r="D36" s="16" t="n">
        <f aca="false">+Chạy!F130</f>
        <v>-12.85</v>
      </c>
      <c r="E36" s="16" t="n">
        <f aca="false">+D36+F36</f>
        <v>-12.8497</v>
      </c>
      <c r="F36" s="16" t="n">
        <f aca="false">RANDBETWEEN(-105,115)/10000</f>
        <v>0.0003</v>
      </c>
      <c r="G36" s="16" t="n">
        <f aca="false">+Chạy!G130</f>
        <v>1.29</v>
      </c>
      <c r="H36" s="16" t="n">
        <f aca="false">G36+I36</f>
        <v>1.312</v>
      </c>
      <c r="I36" s="16" t="n">
        <f aca="false">RANDBETWEEN(-30,90)/1000</f>
        <v>0.022</v>
      </c>
      <c r="J36" s="16" t="n">
        <f aca="false">+Chạy!K130</f>
        <v>1.41</v>
      </c>
      <c r="K36" s="16" t="n">
        <f aca="false">J36+L36</f>
        <v>1.447</v>
      </c>
      <c r="L36" s="16" t="n">
        <f aca="false">RANDBETWEEN(-30,90)/1000</f>
        <v>0.037</v>
      </c>
      <c r="M36" s="16" t="n">
        <f aca="false">+Chạy!N130</f>
        <v>12.85</v>
      </c>
      <c r="N36" s="16" t="n">
        <f aca="false">+M36+O36</f>
        <v>12.8568</v>
      </c>
      <c r="O36" s="16" t="n">
        <f aca="false">RANDBETWEEN(-105,115)/10000</f>
        <v>0.0068</v>
      </c>
      <c r="P36" s="16" t="n">
        <f aca="false">+Chạy!O130</f>
        <v>1.29</v>
      </c>
      <c r="Q36" s="16" t="n">
        <f aca="false">P36+R36</f>
        <v>1.366</v>
      </c>
      <c r="R36" s="16" t="n">
        <f aca="false">RANDBETWEEN(-30,90)/1000</f>
        <v>0.076</v>
      </c>
      <c r="S36" s="17"/>
      <c r="T36" s="0" t="n">
        <v>20</v>
      </c>
      <c r="W36" s="115"/>
      <c r="X36" s="102"/>
    </row>
    <row r="37" customFormat="false" ht="15" hidden="false" customHeight="false" outlineLevel="0" collapsed="false">
      <c r="A37" s="13" t="n">
        <v>16</v>
      </c>
      <c r="B37" s="13" t="s">
        <v>32</v>
      </c>
      <c r="C37" s="15" t="n">
        <f aca="false">+C36+T36</f>
        <v>474.75</v>
      </c>
      <c r="D37" s="16" t="n">
        <f aca="false">+Chạy!F139</f>
        <v>-12.85</v>
      </c>
      <c r="E37" s="16" t="n">
        <f aca="false">+D37+F37</f>
        <v>-12.8597</v>
      </c>
      <c r="F37" s="16" t="n">
        <f aca="false">RANDBETWEEN(-105,115)/10000</f>
        <v>-0.0097</v>
      </c>
      <c r="G37" s="16" t="n">
        <f aca="false">+Chạy!G139</f>
        <v>1.28</v>
      </c>
      <c r="H37" s="16" t="n">
        <f aca="false">G37+I37</f>
        <v>1.293</v>
      </c>
      <c r="I37" s="16" t="n">
        <f aca="false">RANDBETWEEN(-30,90)/1000</f>
        <v>0.013</v>
      </c>
      <c r="J37" s="16" t="n">
        <f aca="false">+Chạy!K139</f>
        <v>1.4</v>
      </c>
      <c r="K37" s="16" t="n">
        <f aca="false">J37+L37</f>
        <v>1.459</v>
      </c>
      <c r="L37" s="16" t="n">
        <f aca="false">RANDBETWEEN(-30,90)/1000</f>
        <v>0.059</v>
      </c>
      <c r="M37" s="16" t="n">
        <f aca="false">+Chạy!N139</f>
        <v>12.85</v>
      </c>
      <c r="N37" s="16" t="n">
        <f aca="false">+M37+O37</f>
        <v>12.861</v>
      </c>
      <c r="O37" s="16" t="n">
        <f aca="false">RANDBETWEEN(-105,115)/10000</f>
        <v>0.011</v>
      </c>
      <c r="P37" s="16" t="n">
        <f aca="false">+Chạy!O139</f>
        <v>1.28</v>
      </c>
      <c r="Q37" s="16" t="n">
        <f aca="false">P37+R37</f>
        <v>1.329</v>
      </c>
      <c r="R37" s="16" t="n">
        <f aca="false">RANDBETWEEN(-30,90)/1000</f>
        <v>0.049</v>
      </c>
      <c r="S37" s="17"/>
      <c r="T37" s="0" t="n">
        <v>14.44</v>
      </c>
      <c r="W37" s="115"/>
      <c r="X37" s="102"/>
    </row>
    <row r="38" customFormat="false" ht="15" hidden="false" customHeight="false" outlineLevel="0" collapsed="false">
      <c r="A38" s="13" t="n">
        <v>17</v>
      </c>
      <c r="B38" s="13" t="s">
        <v>33</v>
      </c>
      <c r="C38" s="15" t="n">
        <f aca="false">+C37+T37</f>
        <v>489.19</v>
      </c>
      <c r="D38" s="16" t="n">
        <f aca="false">+Chạy!F148</f>
        <v>-12.85</v>
      </c>
      <c r="E38" s="16" t="n">
        <f aca="false">+D38+F38</f>
        <v>-12.8521</v>
      </c>
      <c r="F38" s="16" t="n">
        <f aca="false">RANDBETWEEN(-105,115)/10000</f>
        <v>-0.0021</v>
      </c>
      <c r="G38" s="16" t="n">
        <f aca="false">+Chạy!G148</f>
        <v>1.27</v>
      </c>
      <c r="H38" s="16" t="n">
        <f aca="false">G38+I38</f>
        <v>1.322</v>
      </c>
      <c r="I38" s="16" t="n">
        <f aca="false">RANDBETWEEN(-30,90)/1000</f>
        <v>0.052</v>
      </c>
      <c r="J38" s="16" t="n">
        <f aca="false">+Chạy!K148</f>
        <v>1.39</v>
      </c>
      <c r="K38" s="16" t="n">
        <f aca="false">J38+L38</f>
        <v>1.377</v>
      </c>
      <c r="L38" s="16" t="n">
        <f aca="false">RANDBETWEEN(-30,90)/1000</f>
        <v>-0.013</v>
      </c>
      <c r="M38" s="16" t="n">
        <f aca="false">+Chạy!N148</f>
        <v>12.85</v>
      </c>
      <c r="N38" s="16" t="n">
        <f aca="false">+M38+O38</f>
        <v>12.8569</v>
      </c>
      <c r="O38" s="16" t="n">
        <f aca="false">RANDBETWEEN(-105,115)/10000</f>
        <v>0.0069</v>
      </c>
      <c r="P38" s="16" t="n">
        <f aca="false">+Chạy!O148</f>
        <v>1.27</v>
      </c>
      <c r="Q38" s="16" t="n">
        <f aca="false">P38+R38</f>
        <v>1.315</v>
      </c>
      <c r="R38" s="16" t="n">
        <f aca="false">RANDBETWEEN(-30,90)/1000</f>
        <v>0.045</v>
      </c>
      <c r="S38" s="17"/>
      <c r="T38" s="0" t="n">
        <v>13.17</v>
      </c>
      <c r="W38" s="115"/>
      <c r="X38" s="102"/>
    </row>
    <row r="39" customFormat="false" ht="15" hidden="false" customHeight="false" outlineLevel="0" collapsed="false">
      <c r="A39" s="13" t="n">
        <v>18</v>
      </c>
      <c r="B39" s="13" t="s">
        <v>34</v>
      </c>
      <c r="C39" s="15" t="n">
        <f aca="false">+C38+T38</f>
        <v>502.36</v>
      </c>
      <c r="D39" s="16" t="n">
        <f aca="false">+Chạy!F157</f>
        <v>-12.85</v>
      </c>
      <c r="E39" s="16" t="n">
        <f aca="false">+D39+F39</f>
        <v>-12.8552</v>
      </c>
      <c r="F39" s="16" t="n">
        <f aca="false">RANDBETWEEN(-105,115)/10000</f>
        <v>-0.0052</v>
      </c>
      <c r="G39" s="16" t="n">
        <f aca="false">+Chạy!G157</f>
        <v>1.26</v>
      </c>
      <c r="H39" s="16" t="n">
        <f aca="false">G39+I39</f>
        <v>1.273</v>
      </c>
      <c r="I39" s="16" t="n">
        <f aca="false">RANDBETWEEN(-30,90)/1000</f>
        <v>0.013</v>
      </c>
      <c r="J39" s="16" t="n">
        <f aca="false">+Chạy!K157</f>
        <v>1.38</v>
      </c>
      <c r="K39" s="16" t="n">
        <f aca="false">J39+L39</f>
        <v>1.459</v>
      </c>
      <c r="L39" s="16" t="n">
        <f aca="false">RANDBETWEEN(-30,90)/1000</f>
        <v>0.079</v>
      </c>
      <c r="M39" s="16" t="n">
        <f aca="false">+Chạy!N157</f>
        <v>12.85</v>
      </c>
      <c r="N39" s="16" t="n">
        <f aca="false">+M39+O39</f>
        <v>12.8423</v>
      </c>
      <c r="O39" s="16" t="n">
        <f aca="false">RANDBETWEEN(-105,115)/10000</f>
        <v>-0.0077</v>
      </c>
      <c r="P39" s="16" t="n">
        <f aca="false">+Chạy!O157</f>
        <v>1.26</v>
      </c>
      <c r="Q39" s="16" t="n">
        <f aca="false">P39+R39</f>
        <v>1.314</v>
      </c>
      <c r="R39" s="16" t="n">
        <f aca="false">RANDBETWEEN(-30,90)/1000</f>
        <v>0.054</v>
      </c>
      <c r="S39" s="17"/>
      <c r="T39" s="0" t="n">
        <v>10.48</v>
      </c>
      <c r="W39" s="115"/>
      <c r="X39" s="102"/>
    </row>
    <row r="40" customFormat="false" ht="15" hidden="false" customHeight="false" outlineLevel="0" collapsed="false">
      <c r="A40" s="13" t="n">
        <v>19</v>
      </c>
      <c r="B40" s="13" t="s">
        <v>35</v>
      </c>
      <c r="C40" s="15" t="n">
        <f aca="false">+C39+T39</f>
        <v>512.84</v>
      </c>
      <c r="D40" s="16" t="n">
        <f aca="false">+Chạy!F166</f>
        <v>-12.85</v>
      </c>
      <c r="E40" s="16" t="n">
        <f aca="false">+D40+F40</f>
        <v>-12.8588</v>
      </c>
      <c r="F40" s="16" t="n">
        <f aca="false">RANDBETWEEN(-105,115)/10000</f>
        <v>-0.0088</v>
      </c>
      <c r="G40" s="16" t="n">
        <f aca="false">+Chạy!G166</f>
        <v>1.26</v>
      </c>
      <c r="H40" s="16" t="n">
        <f aca="false">G40+I40</f>
        <v>1.313</v>
      </c>
      <c r="I40" s="16" t="n">
        <f aca="false">RANDBETWEEN(-30,90)/1000</f>
        <v>0.053</v>
      </c>
      <c r="J40" s="16" t="n">
        <f aca="false">+Chạy!K166</f>
        <v>1.37</v>
      </c>
      <c r="K40" s="16" t="n">
        <f aca="false">J40+L40</f>
        <v>1.363</v>
      </c>
      <c r="L40" s="16" t="n">
        <f aca="false">RANDBETWEEN(-30,90)/1000</f>
        <v>-0.007</v>
      </c>
      <c r="M40" s="16" t="n">
        <f aca="false">+Chạy!N166</f>
        <v>12.85</v>
      </c>
      <c r="N40" s="16" t="n">
        <f aca="false">+M40+O40</f>
        <v>12.8517</v>
      </c>
      <c r="O40" s="16" t="n">
        <f aca="false">RANDBETWEEN(-105,115)/10000</f>
        <v>0.0017</v>
      </c>
      <c r="P40" s="16" t="n">
        <f aca="false">+Chạy!O166</f>
        <v>1.26</v>
      </c>
      <c r="Q40" s="16" t="n">
        <f aca="false">P40+R40</f>
        <v>1.345</v>
      </c>
      <c r="R40" s="16" t="n">
        <f aca="false">RANDBETWEEN(-30,90)/1000</f>
        <v>0.085</v>
      </c>
      <c r="S40" s="17"/>
      <c r="T40" s="0" t="n">
        <v>16.78</v>
      </c>
      <c r="W40" s="115"/>
      <c r="X40" s="102"/>
    </row>
    <row r="41" customFormat="false" ht="15" hidden="false" customHeight="false" outlineLevel="0" collapsed="false">
      <c r="A41" s="13" t="n">
        <v>20</v>
      </c>
      <c r="B41" s="13" t="s">
        <v>36</v>
      </c>
      <c r="C41" s="15" t="n">
        <f aca="false">+C40+T40</f>
        <v>529.62</v>
      </c>
      <c r="D41" s="16" t="n">
        <f aca="false">+Chạy!F175</f>
        <v>-12.85</v>
      </c>
      <c r="E41" s="16" t="n">
        <f aca="false">+D41+F41</f>
        <v>-12.8396</v>
      </c>
      <c r="F41" s="16" t="n">
        <f aca="false">RANDBETWEEN(-105,115)/10000</f>
        <v>0.0104</v>
      </c>
      <c r="G41" s="16" t="n">
        <f aca="false">+Chạy!G175</f>
        <v>1.25</v>
      </c>
      <c r="H41" s="16" t="n">
        <f aca="false">G41+I41</f>
        <v>1.233</v>
      </c>
      <c r="I41" s="16" t="n">
        <f aca="false">RANDBETWEEN(-30,90)/1000</f>
        <v>-0.017</v>
      </c>
      <c r="J41" s="16" t="n">
        <f aca="false">+Chạy!K175</f>
        <v>1.37</v>
      </c>
      <c r="K41" s="16" t="n">
        <f aca="false">J41+L41</f>
        <v>1.398</v>
      </c>
      <c r="L41" s="16" t="n">
        <f aca="false">RANDBETWEEN(-30,90)/1000</f>
        <v>0.028</v>
      </c>
      <c r="M41" s="16" t="n">
        <f aca="false">+Chạy!N175</f>
        <v>12.85</v>
      </c>
      <c r="N41" s="16" t="n">
        <f aca="false">+M41+O41</f>
        <v>12.8553</v>
      </c>
      <c r="O41" s="16" t="n">
        <f aca="false">RANDBETWEEN(-105,115)/10000</f>
        <v>0.0053</v>
      </c>
      <c r="P41" s="16" t="n">
        <f aca="false">+Chạy!O175</f>
        <v>1.25</v>
      </c>
      <c r="Q41" s="16" t="n">
        <f aca="false">P41+R41</f>
        <v>1.226</v>
      </c>
      <c r="R41" s="16" t="n">
        <f aca="false">RANDBETWEEN(-30,90)/1000</f>
        <v>-0.024</v>
      </c>
      <c r="S41" s="17"/>
      <c r="T41" s="0" t="n">
        <v>17.1</v>
      </c>
      <c r="W41" s="115"/>
      <c r="X41" s="102"/>
    </row>
    <row r="42" customFormat="false" ht="15" hidden="false" customHeight="false" outlineLevel="0" collapsed="false">
      <c r="A42" s="13" t="n">
        <v>21</v>
      </c>
      <c r="B42" s="13" t="s">
        <v>37</v>
      </c>
      <c r="C42" s="15" t="n">
        <f aca="false">+C41+T41</f>
        <v>546.72</v>
      </c>
      <c r="D42" s="16" t="n">
        <f aca="false">+Chạy!F184</f>
        <v>-12.85</v>
      </c>
      <c r="E42" s="16" t="n">
        <f aca="false">+D42+F42</f>
        <v>-12.8389</v>
      </c>
      <c r="F42" s="16" t="n">
        <f aca="false">RANDBETWEEN(-105,115)/10000</f>
        <v>0.0111</v>
      </c>
      <c r="G42" s="16" t="n">
        <f aca="false">+Chạy!G184</f>
        <v>1.24</v>
      </c>
      <c r="H42" s="16" t="n">
        <f aca="false">G42+I42</f>
        <v>1.251</v>
      </c>
      <c r="I42" s="16" t="n">
        <f aca="false">RANDBETWEEN(-30,90)/1000</f>
        <v>0.011</v>
      </c>
      <c r="J42" s="16" t="n">
        <f aca="false">+Chạy!K184</f>
        <v>1.36</v>
      </c>
      <c r="K42" s="16" t="n">
        <f aca="false">J42+L42</f>
        <v>1.413</v>
      </c>
      <c r="L42" s="16" t="n">
        <f aca="false">RANDBETWEEN(-30,90)/1000</f>
        <v>0.053</v>
      </c>
      <c r="M42" s="16" t="n">
        <f aca="false">+Chạy!N184</f>
        <v>12.85</v>
      </c>
      <c r="N42" s="16" t="n">
        <f aca="false">+M42+O42</f>
        <v>12.8437</v>
      </c>
      <c r="O42" s="16" t="n">
        <f aca="false">RANDBETWEEN(-105,115)/10000</f>
        <v>-0.0063</v>
      </c>
      <c r="P42" s="16" t="n">
        <f aca="false">+Chạy!O184</f>
        <v>1.24</v>
      </c>
      <c r="Q42" s="16" t="n">
        <f aca="false">P42+R42</f>
        <v>1.294</v>
      </c>
      <c r="R42" s="16" t="n">
        <f aca="false">RANDBETWEEN(-30,90)/1000</f>
        <v>0.054</v>
      </c>
      <c r="S42" s="17"/>
      <c r="T42" s="0" t="n">
        <v>15.15</v>
      </c>
      <c r="W42" s="115"/>
      <c r="X42" s="102"/>
    </row>
    <row r="43" customFormat="false" ht="15" hidden="false" customHeight="false" outlineLevel="0" collapsed="false">
      <c r="A43" s="13" t="n">
        <v>22</v>
      </c>
      <c r="B43" s="13" t="s">
        <v>38</v>
      </c>
      <c r="C43" s="15" t="n">
        <f aca="false">+C42+T42</f>
        <v>561.87</v>
      </c>
      <c r="D43" s="16" t="n">
        <f aca="false">+Chạy!F193</f>
        <v>-12.85</v>
      </c>
      <c r="E43" s="16" t="n">
        <f aca="false">+D43+F43</f>
        <v>-12.8542</v>
      </c>
      <c r="F43" s="16" t="n">
        <f aca="false">RANDBETWEEN(-105,115)/10000</f>
        <v>-0.0042</v>
      </c>
      <c r="G43" s="16" t="n">
        <f aca="false">+Chạy!G193</f>
        <v>1.24</v>
      </c>
      <c r="H43" s="16" t="n">
        <f aca="false">G43+I43</f>
        <v>1.224</v>
      </c>
      <c r="I43" s="16" t="n">
        <f aca="false">RANDBETWEEN(-30,90)/1000</f>
        <v>-0.016</v>
      </c>
      <c r="J43" s="16" t="n">
        <f aca="false">+Chạy!K193</f>
        <v>1.35</v>
      </c>
      <c r="K43" s="16" t="n">
        <f aca="false">J43+L43</f>
        <v>1.416</v>
      </c>
      <c r="L43" s="16" t="n">
        <f aca="false">RANDBETWEEN(-30,90)/1000</f>
        <v>0.066</v>
      </c>
      <c r="M43" s="16" t="n">
        <f aca="false">+Chạy!N193</f>
        <v>12.85</v>
      </c>
      <c r="N43" s="16" t="n">
        <f aca="false">+M43+O43</f>
        <v>12.8444</v>
      </c>
      <c r="O43" s="16" t="n">
        <f aca="false">RANDBETWEEN(-105,115)/10000</f>
        <v>-0.0056</v>
      </c>
      <c r="P43" s="16" t="n">
        <f aca="false">+Chạy!O193</f>
        <v>1.24</v>
      </c>
      <c r="Q43" s="16" t="n">
        <f aca="false">P43+R43</f>
        <v>1.232</v>
      </c>
      <c r="R43" s="16" t="n">
        <f aca="false">RANDBETWEEN(-30,90)/1000</f>
        <v>-0.008</v>
      </c>
      <c r="S43" s="17"/>
      <c r="T43" s="0" t="n">
        <v>0.15</v>
      </c>
      <c r="W43" s="115"/>
      <c r="X43" s="102"/>
    </row>
    <row r="44" customFormat="false" ht="15" hidden="false" customHeight="false" outlineLevel="0" collapsed="false">
      <c r="A44" s="13" t="n">
        <v>23</v>
      </c>
      <c r="B44" s="13" t="s">
        <v>39</v>
      </c>
      <c r="C44" s="15" t="n">
        <f aca="false">+C43+T43</f>
        <v>562.02</v>
      </c>
      <c r="D44" s="16" t="n">
        <f aca="false">+Chạy!F202</f>
        <v>-12.85</v>
      </c>
      <c r="E44" s="16" t="n">
        <f aca="false">+D44+F44</f>
        <v>-12.8467</v>
      </c>
      <c r="F44" s="16" t="n">
        <f aca="false">RANDBETWEEN(-105,115)/10000</f>
        <v>0.0033</v>
      </c>
      <c r="G44" s="16" t="n">
        <f aca="false">+Chạy!G202</f>
        <v>1.24</v>
      </c>
      <c r="H44" s="16" t="n">
        <f aca="false">G44+I44</f>
        <v>1.291</v>
      </c>
      <c r="I44" s="16" t="n">
        <f aca="false">RANDBETWEEN(-30,90)/1000</f>
        <v>0.051</v>
      </c>
      <c r="J44" s="16" t="n">
        <f aca="false">+Chạy!K202</f>
        <v>1.35</v>
      </c>
      <c r="K44" s="16" t="n">
        <f aca="false">J44+L44</f>
        <v>1.381</v>
      </c>
      <c r="L44" s="16" t="n">
        <f aca="false">RANDBETWEEN(-30,90)/1000</f>
        <v>0.031</v>
      </c>
      <c r="M44" s="16" t="n">
        <f aca="false">+Chạy!N202</f>
        <v>12.85</v>
      </c>
      <c r="N44" s="16" t="n">
        <f aca="false">+M44+O44</f>
        <v>12.8536</v>
      </c>
      <c r="O44" s="16" t="n">
        <f aca="false">RANDBETWEEN(-105,115)/10000</f>
        <v>0.0036</v>
      </c>
      <c r="P44" s="16" t="n">
        <f aca="false">+Chạy!O202</f>
        <v>1.24</v>
      </c>
      <c r="Q44" s="16" t="n">
        <f aca="false">P44+R44</f>
        <v>1.284</v>
      </c>
      <c r="R44" s="16" t="n">
        <f aca="false">RANDBETWEEN(-30,90)/1000</f>
        <v>0.044</v>
      </c>
      <c r="S44" s="17"/>
      <c r="T44" s="0" t="n">
        <v>6.55</v>
      </c>
      <c r="W44" s="115"/>
      <c r="X44" s="102"/>
    </row>
    <row r="45" customFormat="false" ht="15" hidden="false" customHeight="false" outlineLevel="0" collapsed="false">
      <c r="A45" s="13" t="n">
        <v>24</v>
      </c>
      <c r="B45" s="13" t="s">
        <v>40</v>
      </c>
      <c r="C45" s="15" t="n">
        <f aca="false">+C44+T44</f>
        <v>568.57</v>
      </c>
      <c r="D45" s="16" t="n">
        <f aca="false">+Chạy!F211</f>
        <v>-12.85</v>
      </c>
      <c r="E45" s="16" t="n">
        <f aca="false">+D45+F45</f>
        <v>-12.8604</v>
      </c>
      <c r="F45" s="16" t="n">
        <f aca="false">RANDBETWEEN(-105,115)/10000</f>
        <v>-0.0104</v>
      </c>
      <c r="G45" s="16" t="n">
        <f aca="false">+Chạy!G211</f>
        <v>1.24</v>
      </c>
      <c r="H45" s="16" t="n">
        <f aca="false">G45+I45</f>
        <v>1.264</v>
      </c>
      <c r="I45" s="16" t="n">
        <f aca="false">RANDBETWEEN(-30,90)/1000</f>
        <v>0.024</v>
      </c>
      <c r="J45" s="16" t="n">
        <f aca="false">+Chạy!K211</f>
        <v>1.35</v>
      </c>
      <c r="K45" s="16" t="n">
        <f aca="false">J45+L45</f>
        <v>1.365</v>
      </c>
      <c r="L45" s="16" t="n">
        <f aca="false">RANDBETWEEN(-30,90)/1000</f>
        <v>0.015</v>
      </c>
      <c r="M45" s="16" t="n">
        <f aca="false">+Chạy!N211</f>
        <v>12.85</v>
      </c>
      <c r="N45" s="16" t="n">
        <f aca="false">+M45+O45</f>
        <v>12.8427</v>
      </c>
      <c r="O45" s="16" t="n">
        <f aca="false">RANDBETWEEN(-105,115)/10000</f>
        <v>-0.0073</v>
      </c>
      <c r="P45" s="16" t="n">
        <f aca="false">+Chạy!O211</f>
        <v>1.24</v>
      </c>
      <c r="Q45" s="16" t="n">
        <f aca="false">P45+R45</f>
        <v>1.299</v>
      </c>
      <c r="R45" s="16" t="n">
        <f aca="false">RANDBETWEEN(-30,90)/1000</f>
        <v>0.059</v>
      </c>
      <c r="S45" s="17"/>
      <c r="T45" s="0" t="n">
        <v>6.55</v>
      </c>
      <c r="W45" s="115"/>
      <c r="X45" s="102"/>
    </row>
    <row r="46" customFormat="false" ht="15" hidden="false" customHeight="false" outlineLevel="0" collapsed="false">
      <c r="A46" s="13" t="n">
        <v>25</v>
      </c>
      <c r="B46" s="13" t="s">
        <v>1</v>
      </c>
      <c r="C46" s="15" t="n">
        <f aca="false">+C45+T45</f>
        <v>575.12</v>
      </c>
      <c r="D46" s="16" t="n">
        <f aca="false">+Chạy!F220</f>
        <v>-12.85</v>
      </c>
      <c r="E46" s="16" t="n">
        <f aca="false">+D46+F46</f>
        <v>-12.8437</v>
      </c>
      <c r="F46" s="16" t="n">
        <f aca="false">RANDBETWEEN(-105,115)/10000</f>
        <v>0.0063</v>
      </c>
      <c r="G46" s="16" t="n">
        <f aca="false">+Chạy!G220</f>
        <v>1.24</v>
      </c>
      <c r="H46" s="16" t="n">
        <f aca="false">G46+I46</f>
        <v>1.215</v>
      </c>
      <c r="I46" s="16" t="n">
        <f aca="false">RANDBETWEEN(-30,90)/1000</f>
        <v>-0.025</v>
      </c>
      <c r="J46" s="16" t="n">
        <f aca="false">+Chạy!K220</f>
        <v>1.35</v>
      </c>
      <c r="K46" s="16" t="n">
        <f aca="false">J46+L46</f>
        <v>1.369</v>
      </c>
      <c r="L46" s="16" t="n">
        <f aca="false">RANDBETWEEN(-30,90)/1000</f>
        <v>0.019</v>
      </c>
      <c r="M46" s="16" t="n">
        <f aca="false">+Chạy!N220</f>
        <v>12.85</v>
      </c>
      <c r="N46" s="16" t="n">
        <f aca="false">+M46+O46</f>
        <v>12.8416</v>
      </c>
      <c r="O46" s="16" t="n">
        <f aca="false">RANDBETWEEN(-105,115)/10000</f>
        <v>-0.0084</v>
      </c>
      <c r="P46" s="16" t="n">
        <f aca="false">+Chạy!O220</f>
        <v>1.24</v>
      </c>
      <c r="Q46" s="16" t="n">
        <f aca="false">P46+R46</f>
        <v>1.243</v>
      </c>
      <c r="R46" s="16" t="n">
        <f aca="false">RANDBETWEEN(-30,90)/1000</f>
        <v>0.003</v>
      </c>
      <c r="S46" s="17"/>
      <c r="T46" s="0" t="n">
        <v>0.04</v>
      </c>
      <c r="W46" s="115"/>
      <c r="X46" s="102"/>
    </row>
    <row r="47" customFormat="false" ht="15" hidden="false" customHeight="false" outlineLevel="0" collapsed="false">
      <c r="A47" s="13" t="n">
        <v>26</v>
      </c>
      <c r="B47" s="13" t="s">
        <v>41</v>
      </c>
      <c r="C47" s="15" t="n">
        <f aca="false">+C46+T46</f>
        <v>575.16</v>
      </c>
      <c r="D47" s="16" t="n">
        <f aca="false">+Chạy!F229</f>
        <v>-12.85</v>
      </c>
      <c r="E47" s="16" t="n">
        <f aca="false">+D47+F47</f>
        <v>-12.8585</v>
      </c>
      <c r="F47" s="16" t="n">
        <f aca="false">RANDBETWEEN(-105,115)/10000</f>
        <v>-0.0085</v>
      </c>
      <c r="G47" s="16" t="n">
        <f aca="false">+Chạy!G229</f>
        <v>1.37</v>
      </c>
      <c r="H47" s="16" t="n">
        <f aca="false">G47+I47</f>
        <v>1.344</v>
      </c>
      <c r="I47" s="16" t="n">
        <f aca="false">RANDBETWEEN(-30,90)/1000</f>
        <v>-0.026</v>
      </c>
      <c r="J47" s="16" t="n">
        <f aca="false">+Chạy!K229</f>
        <v>1.35</v>
      </c>
      <c r="K47" s="16" t="n">
        <f aca="false">J47+L47</f>
        <v>1.396</v>
      </c>
      <c r="L47" s="16" t="n">
        <f aca="false">RANDBETWEEN(-30,90)/1000</f>
        <v>0.046</v>
      </c>
      <c r="M47" s="16" t="n">
        <f aca="false">+Chạy!N229</f>
        <v>12.85</v>
      </c>
      <c r="N47" s="16" t="n">
        <f aca="false">+M47+O47</f>
        <v>12.8582</v>
      </c>
      <c r="O47" s="16" t="n">
        <f aca="false">RANDBETWEEN(-105,115)/10000</f>
        <v>0.0082</v>
      </c>
      <c r="P47" s="16" t="n">
        <f aca="false">+Chạy!O229</f>
        <v>1.24</v>
      </c>
      <c r="Q47" s="16" t="n">
        <f aca="false">P47+R47</f>
        <v>1.329</v>
      </c>
      <c r="R47" s="16" t="n">
        <f aca="false">RANDBETWEEN(-30,90)/1000</f>
        <v>0.089</v>
      </c>
      <c r="S47" s="17"/>
      <c r="T47" s="0" t="n">
        <v>16.95</v>
      </c>
      <c r="W47" s="115"/>
      <c r="X47" s="102"/>
    </row>
    <row r="48" customFormat="false" ht="15" hidden="false" customHeight="false" outlineLevel="0" collapsed="false">
      <c r="A48" s="13" t="n">
        <v>27</v>
      </c>
      <c r="B48" s="13" t="s">
        <v>42</v>
      </c>
      <c r="C48" s="15" t="n">
        <f aca="false">+C47+T47</f>
        <v>592.11</v>
      </c>
      <c r="D48" s="16" t="n">
        <f aca="false">+Chạy!F238</f>
        <v>-12.85</v>
      </c>
      <c r="E48" s="16" t="n">
        <f aca="false">+D48+F48</f>
        <v>-12.8605</v>
      </c>
      <c r="F48" s="16" t="n">
        <f aca="false">RANDBETWEEN(-105,115)/10000</f>
        <v>-0.0105</v>
      </c>
      <c r="G48" s="16" t="n">
        <f aca="false">+Chạy!G238</f>
        <v>1.24</v>
      </c>
      <c r="H48" s="16" t="n">
        <f aca="false">G48+I48</f>
        <v>1.287</v>
      </c>
      <c r="I48" s="16" t="n">
        <f aca="false">RANDBETWEEN(-30,90)/1000</f>
        <v>0.047</v>
      </c>
      <c r="J48" s="16" t="n">
        <f aca="false">+Chạy!K238</f>
        <v>1.36</v>
      </c>
      <c r="K48" s="16" t="n">
        <f aca="false">J48+L48</f>
        <v>1.387</v>
      </c>
      <c r="L48" s="16" t="n">
        <f aca="false">RANDBETWEEN(-30,90)/1000</f>
        <v>0.027</v>
      </c>
      <c r="M48" s="16" t="n">
        <f aca="false">+Chạy!N238</f>
        <v>12.85</v>
      </c>
      <c r="N48" s="16" t="n">
        <f aca="false">+M48+O48</f>
        <v>12.8415</v>
      </c>
      <c r="O48" s="16" t="n">
        <f aca="false">RANDBETWEEN(-105,115)/10000</f>
        <v>-0.0085</v>
      </c>
      <c r="P48" s="16" t="n">
        <f aca="false">+Chạy!O238</f>
        <v>1.24</v>
      </c>
      <c r="Q48" s="16" t="n">
        <f aca="false">P48+R48</f>
        <v>1.284</v>
      </c>
      <c r="R48" s="16" t="n">
        <f aca="false">RANDBETWEEN(-30,90)/1000</f>
        <v>0.044</v>
      </c>
      <c r="S48" s="17"/>
      <c r="T48" s="0" t="n">
        <v>17</v>
      </c>
      <c r="W48" s="115"/>
      <c r="X48" s="102"/>
    </row>
    <row r="49" customFormat="false" ht="15" hidden="false" customHeight="false" outlineLevel="0" collapsed="false">
      <c r="A49" s="13" t="n">
        <v>28</v>
      </c>
      <c r="B49" s="13" t="s">
        <v>43</v>
      </c>
      <c r="C49" s="15" t="n">
        <f aca="false">+C48+T48</f>
        <v>609.11</v>
      </c>
      <c r="D49" s="16" t="n">
        <f aca="false">+Chạy!F247</f>
        <v>-12.85</v>
      </c>
      <c r="E49" s="16" t="n">
        <f aca="false">+D49+F49</f>
        <v>-12.8579</v>
      </c>
      <c r="F49" s="16" t="n">
        <f aca="false">RANDBETWEEN(-105,115)/10000</f>
        <v>-0.0079</v>
      </c>
      <c r="G49" s="16" t="n">
        <f aca="false">+Chạy!G247</f>
        <v>1.24</v>
      </c>
      <c r="H49" s="16" t="n">
        <f aca="false">G49+I49</f>
        <v>1.275</v>
      </c>
      <c r="I49" s="16" t="n">
        <f aca="false">RANDBETWEEN(-30,90)/1000</f>
        <v>0.035</v>
      </c>
      <c r="J49" s="16" t="n">
        <f aca="false">+Chạy!K247</f>
        <v>1.36</v>
      </c>
      <c r="K49" s="16" t="n">
        <f aca="false">J49+L49</f>
        <v>1.405</v>
      </c>
      <c r="L49" s="16" t="n">
        <f aca="false">RANDBETWEEN(-30,90)/1000</f>
        <v>0.045</v>
      </c>
      <c r="M49" s="16" t="n">
        <f aca="false">+Chạy!N247</f>
        <v>12.85</v>
      </c>
      <c r="N49" s="16" t="n">
        <f aca="false">+M49+O49</f>
        <v>12.8602</v>
      </c>
      <c r="O49" s="16" t="n">
        <f aca="false">RANDBETWEEN(-105,115)/10000</f>
        <v>0.0102</v>
      </c>
      <c r="P49" s="16" t="n">
        <f aca="false">+Chạy!O247</f>
        <v>1.24</v>
      </c>
      <c r="Q49" s="16" t="n">
        <f aca="false">P49+R49</f>
        <v>1.226</v>
      </c>
      <c r="R49" s="16" t="n">
        <f aca="false">RANDBETWEEN(-30,90)/1000</f>
        <v>-0.014</v>
      </c>
      <c r="S49" s="17"/>
      <c r="T49" s="0" t="n">
        <v>11.75</v>
      </c>
      <c r="W49" s="115"/>
      <c r="X49" s="102"/>
    </row>
    <row r="50" customFormat="false" ht="15" hidden="false" customHeight="false" outlineLevel="0" collapsed="false">
      <c r="A50" s="13" t="n">
        <v>29</v>
      </c>
      <c r="B50" s="13" t="s">
        <v>44</v>
      </c>
      <c r="C50" s="15" t="n">
        <f aca="false">+C49+T49</f>
        <v>620.86</v>
      </c>
      <c r="D50" s="16" t="n">
        <f aca="false">+Chạy!F256</f>
        <v>-12.85</v>
      </c>
      <c r="E50" s="16" t="n">
        <f aca="false">+D50+F50</f>
        <v>-12.8462</v>
      </c>
      <c r="F50" s="16" t="n">
        <f aca="false">RANDBETWEEN(-105,115)/10000</f>
        <v>0.0038</v>
      </c>
      <c r="G50" s="16" t="n">
        <f aca="false">+Chạy!G256</f>
        <v>1.24</v>
      </c>
      <c r="H50" s="16" t="n">
        <f aca="false">G50+I50</f>
        <v>1.321</v>
      </c>
      <c r="I50" s="16" t="n">
        <f aca="false">RANDBETWEEN(-30,90)/1000</f>
        <v>0.081</v>
      </c>
      <c r="J50" s="16" t="n">
        <f aca="false">+Chạy!K256</f>
        <v>1.36</v>
      </c>
      <c r="K50" s="16" t="n">
        <f aca="false">J50+L50</f>
        <v>1.336</v>
      </c>
      <c r="L50" s="16" t="n">
        <f aca="false">RANDBETWEEN(-30,90)/1000</f>
        <v>-0.024</v>
      </c>
      <c r="M50" s="16" t="n">
        <f aca="false">+Chạy!N256</f>
        <v>12.85</v>
      </c>
      <c r="N50" s="16" t="n">
        <f aca="false">+M50+O50</f>
        <v>12.8489</v>
      </c>
      <c r="O50" s="16" t="n">
        <f aca="false">RANDBETWEEN(-105,115)/10000</f>
        <v>-0.0011</v>
      </c>
      <c r="P50" s="16" t="n">
        <f aca="false">+Chạy!O256</f>
        <v>1.24</v>
      </c>
      <c r="Q50" s="16" t="n">
        <f aca="false">P50+R50</f>
        <v>1.311</v>
      </c>
      <c r="R50" s="16" t="n">
        <f aca="false">RANDBETWEEN(-30,90)/1000</f>
        <v>0.071</v>
      </c>
      <c r="S50" s="17"/>
      <c r="T50" s="0" t="n">
        <v>11.75</v>
      </c>
      <c r="W50" s="115"/>
      <c r="X50" s="102"/>
    </row>
    <row r="51" customFormat="false" ht="15" hidden="false" customHeight="false" outlineLevel="0" collapsed="false">
      <c r="A51" s="13" t="n">
        <v>30</v>
      </c>
      <c r="B51" s="13" t="s">
        <v>45</v>
      </c>
      <c r="C51" s="15" t="n">
        <f aca="false">+C50+T50</f>
        <v>632.61</v>
      </c>
      <c r="D51" s="16" t="n">
        <f aca="false">+Chạy!F265</f>
        <v>-12.85</v>
      </c>
      <c r="E51" s="16" t="n">
        <f aca="false">+D51+F51</f>
        <v>-12.84</v>
      </c>
      <c r="F51" s="16" t="n">
        <f aca="false">RANDBETWEEN(-105,115)/10000</f>
        <v>0.01</v>
      </c>
      <c r="G51" s="16" t="n">
        <f aca="false">+Chạy!G265</f>
        <v>1.24</v>
      </c>
      <c r="H51" s="16" t="n">
        <f aca="false">G51+I51</f>
        <v>1.217</v>
      </c>
      <c r="I51" s="16" t="n">
        <f aca="false">RANDBETWEEN(-30,90)/1000</f>
        <v>-0.023</v>
      </c>
      <c r="J51" s="16" t="n">
        <f aca="false">+Chạy!K265</f>
        <v>1.36</v>
      </c>
      <c r="K51" s="16" t="n">
        <f aca="false">J51+L51</f>
        <v>1.379</v>
      </c>
      <c r="L51" s="16" t="n">
        <f aca="false">RANDBETWEEN(-30,90)/1000</f>
        <v>0.019</v>
      </c>
      <c r="M51" s="16" t="n">
        <f aca="false">+Chạy!N265</f>
        <v>12.85</v>
      </c>
      <c r="N51" s="16" t="n">
        <f aca="false">+M51+O51</f>
        <v>12.8497</v>
      </c>
      <c r="O51" s="16" t="n">
        <f aca="false">RANDBETWEEN(-105,115)/10000</f>
        <v>-0.0003</v>
      </c>
      <c r="P51" s="16" t="n">
        <f aca="false">+Chạy!O265</f>
        <v>1.24</v>
      </c>
      <c r="Q51" s="16" t="n">
        <f aca="false">P51+R51</f>
        <v>1.301</v>
      </c>
      <c r="R51" s="16" t="n">
        <f aca="false">RANDBETWEEN(-30,90)/1000</f>
        <v>0.061</v>
      </c>
      <c r="S51" s="17"/>
      <c r="T51" s="0" t="n">
        <v>20</v>
      </c>
      <c r="W51" s="115"/>
      <c r="X51" s="102"/>
    </row>
    <row r="52" customFormat="false" ht="15" hidden="false" customHeight="false" outlineLevel="0" collapsed="false">
      <c r="A52" s="13" t="n">
        <v>31</v>
      </c>
      <c r="B52" s="13" t="s">
        <v>46</v>
      </c>
      <c r="C52" s="15" t="n">
        <f aca="false">+C51+T51</f>
        <v>652.61</v>
      </c>
      <c r="D52" s="16" t="n">
        <f aca="false">+Chạy!F274</f>
        <v>-12.85</v>
      </c>
      <c r="E52" s="16" t="n">
        <f aca="false">+D52+F52</f>
        <v>-12.8408</v>
      </c>
      <c r="F52" s="16" t="n">
        <f aca="false">RANDBETWEEN(-105,115)/10000</f>
        <v>0.0092</v>
      </c>
      <c r="G52" s="16" t="n">
        <f aca="false">+Chạy!G274</f>
        <v>1.25</v>
      </c>
      <c r="H52" s="16" t="n">
        <f aca="false">G52+I52</f>
        <v>1.28</v>
      </c>
      <c r="I52" s="16" t="n">
        <f aca="false">RANDBETWEEN(-30,90)/1000</f>
        <v>0.03</v>
      </c>
      <c r="J52" s="16" t="n">
        <f aca="false">+Chạy!K274</f>
        <v>1.36</v>
      </c>
      <c r="K52" s="16" t="n">
        <f aca="false">J52+L52</f>
        <v>1.444</v>
      </c>
      <c r="L52" s="16" t="n">
        <f aca="false">RANDBETWEEN(-30,90)/1000</f>
        <v>0.084</v>
      </c>
      <c r="M52" s="16" t="n">
        <f aca="false">+Chạy!N274</f>
        <v>12.85</v>
      </c>
      <c r="N52" s="16" t="n">
        <f aca="false">+M52+O52</f>
        <v>12.8409</v>
      </c>
      <c r="O52" s="16" t="n">
        <f aca="false">RANDBETWEEN(-105,115)/10000</f>
        <v>-0.0091</v>
      </c>
      <c r="P52" s="16" t="n">
        <f aca="false">+Chạy!O274</f>
        <v>1.25</v>
      </c>
      <c r="Q52" s="16" t="n">
        <f aca="false">P52+R52</f>
        <v>1.295</v>
      </c>
      <c r="R52" s="16" t="n">
        <f aca="false">RANDBETWEEN(-30,90)/1000</f>
        <v>0.045</v>
      </c>
      <c r="S52" s="17"/>
      <c r="T52" s="0" t="n">
        <v>20</v>
      </c>
      <c r="W52" s="115"/>
      <c r="X52" s="102"/>
    </row>
    <row r="53" customFormat="false" ht="15" hidden="false" customHeight="false" outlineLevel="0" collapsed="false">
      <c r="A53" s="13" t="n">
        <v>32</v>
      </c>
      <c r="B53" s="13" t="s">
        <v>47</v>
      </c>
      <c r="C53" s="15" t="n">
        <f aca="false">+C52+T52</f>
        <v>672.61</v>
      </c>
      <c r="D53" s="16" t="n">
        <f aca="false">+Chạy!F283</f>
        <v>-12.85</v>
      </c>
      <c r="E53" s="16" t="n">
        <f aca="false">+D53+F53</f>
        <v>-12.8414</v>
      </c>
      <c r="F53" s="16" t="n">
        <f aca="false">RANDBETWEEN(-105,115)/10000</f>
        <v>0.0086</v>
      </c>
      <c r="G53" s="16" t="n">
        <f aca="false">+Chạy!G283</f>
        <v>1.25</v>
      </c>
      <c r="H53" s="16" t="n">
        <f aca="false">G53+I53</f>
        <v>1.295</v>
      </c>
      <c r="I53" s="16" t="n">
        <f aca="false">RANDBETWEEN(-30,90)/1000</f>
        <v>0.045</v>
      </c>
      <c r="J53" s="16" t="n">
        <f aca="false">+Chạy!K283</f>
        <v>1.36</v>
      </c>
      <c r="K53" s="16" t="n">
        <f aca="false">J53+L53</f>
        <v>1.362</v>
      </c>
      <c r="L53" s="16" t="n">
        <f aca="false">RANDBETWEEN(-30,90)/1000</f>
        <v>0.002</v>
      </c>
      <c r="M53" s="16" t="n">
        <f aca="false">+Chạy!N283</f>
        <v>12.85</v>
      </c>
      <c r="N53" s="16" t="n">
        <f aca="false">+M53+O53</f>
        <v>12.8565</v>
      </c>
      <c r="O53" s="16" t="n">
        <f aca="false">RANDBETWEEN(-105,115)/10000</f>
        <v>0.0065</v>
      </c>
      <c r="P53" s="16" t="n">
        <f aca="false">+Chạy!O283</f>
        <v>1.25</v>
      </c>
      <c r="Q53" s="16" t="n">
        <f aca="false">P53+R53</f>
        <v>1.301</v>
      </c>
      <c r="R53" s="16" t="n">
        <f aca="false">RANDBETWEEN(-30,90)/1000</f>
        <v>0.051</v>
      </c>
      <c r="S53" s="17"/>
      <c r="T53" s="0" t="n">
        <v>20</v>
      </c>
      <c r="W53" s="115"/>
      <c r="X53" s="102"/>
    </row>
    <row r="54" customFormat="false" ht="15" hidden="false" customHeight="false" outlineLevel="0" collapsed="false">
      <c r="A54" s="13" t="n">
        <v>33</v>
      </c>
      <c r="B54" s="13" t="s">
        <v>48</v>
      </c>
      <c r="C54" s="15" t="n">
        <f aca="false">+C53+T53</f>
        <v>692.61</v>
      </c>
      <c r="D54" s="16" t="n">
        <f aca="false">+Chạy!F292</f>
        <v>-12.85</v>
      </c>
      <c r="E54" s="16" t="n">
        <f aca="false">+D54+F54</f>
        <v>-12.8548</v>
      </c>
      <c r="F54" s="16" t="n">
        <f aca="false">RANDBETWEEN(-105,115)/10000</f>
        <v>-0.0048</v>
      </c>
      <c r="G54" s="16" t="n">
        <f aca="false">+Chạy!G292</f>
        <v>1.25</v>
      </c>
      <c r="H54" s="16" t="n">
        <f aca="false">G54+I54</f>
        <v>1.271</v>
      </c>
      <c r="I54" s="16" t="n">
        <f aca="false">RANDBETWEEN(-30,90)/1000</f>
        <v>0.021</v>
      </c>
      <c r="J54" s="16" t="n">
        <f aca="false">+Chạy!K292</f>
        <v>1.37</v>
      </c>
      <c r="K54" s="16" t="n">
        <f aca="false">J54+L54</f>
        <v>1.385</v>
      </c>
      <c r="L54" s="16" t="n">
        <f aca="false">RANDBETWEEN(-30,90)/1000</f>
        <v>0.015</v>
      </c>
      <c r="M54" s="16" t="n">
        <f aca="false">+Chạy!N292</f>
        <v>12.85</v>
      </c>
      <c r="N54" s="16" t="n">
        <f aca="false">+M54+O54</f>
        <v>12.845</v>
      </c>
      <c r="O54" s="16" t="n">
        <f aca="false">RANDBETWEEN(-105,115)/10000</f>
        <v>-0.005</v>
      </c>
      <c r="P54" s="16" t="n">
        <f aca="false">+Chạy!O292</f>
        <v>1.25</v>
      </c>
      <c r="Q54" s="16" t="n">
        <f aca="false">P54+R54</f>
        <v>1.241</v>
      </c>
      <c r="R54" s="16" t="n">
        <f aca="false">RANDBETWEEN(-30,90)/1000</f>
        <v>-0.009</v>
      </c>
      <c r="S54" s="17"/>
      <c r="T54" s="0" t="n">
        <v>20</v>
      </c>
      <c r="W54" s="115"/>
      <c r="X54" s="102"/>
    </row>
    <row r="55" customFormat="false" ht="15" hidden="false" customHeight="false" outlineLevel="0" collapsed="false">
      <c r="A55" s="13" t="n">
        <v>34</v>
      </c>
      <c r="B55" s="13" t="s">
        <v>49</v>
      </c>
      <c r="C55" s="15" t="n">
        <f aca="false">+C54+T54</f>
        <v>712.61</v>
      </c>
      <c r="D55" s="16" t="n">
        <f aca="false">+Chạy!F301</f>
        <v>-7.95</v>
      </c>
      <c r="E55" s="16" t="n">
        <f aca="false">+D55+F55</f>
        <v>-7.9524</v>
      </c>
      <c r="F55" s="16" t="n">
        <f aca="false">RANDBETWEEN(-105,115)/10000</f>
        <v>-0.0024</v>
      </c>
      <c r="G55" s="16" t="n">
        <f aca="false">+Chạy!G301</f>
        <v>1.25</v>
      </c>
      <c r="H55" s="16" t="n">
        <f aca="false">G55+I55</f>
        <v>1.306</v>
      </c>
      <c r="I55" s="16" t="n">
        <f aca="false">RANDBETWEEN(-30,90)/1000</f>
        <v>0.056</v>
      </c>
      <c r="J55" s="16" t="n">
        <f aca="false">+Chạy!K301</f>
        <v>1.37</v>
      </c>
      <c r="K55" s="16" t="n">
        <f aca="false">J55+L55</f>
        <v>1.425</v>
      </c>
      <c r="L55" s="16" t="n">
        <f aca="false">RANDBETWEEN(-30,90)/1000</f>
        <v>0.055</v>
      </c>
      <c r="M55" s="16" t="n">
        <f aca="false">+Chạy!N301</f>
        <v>12.85</v>
      </c>
      <c r="N55" s="16" t="n">
        <f aca="false">+M55+O55</f>
        <v>12.8532</v>
      </c>
      <c r="O55" s="16" t="n">
        <f aca="false">RANDBETWEEN(-105,115)/10000</f>
        <v>0.0032</v>
      </c>
      <c r="P55" s="16" t="n">
        <f aca="false">+Chạy!O301</f>
        <v>1.25</v>
      </c>
      <c r="Q55" s="16" t="n">
        <f aca="false">P55+R55</f>
        <v>1.241</v>
      </c>
      <c r="R55" s="16" t="n">
        <f aca="false">RANDBETWEEN(-30,90)/1000</f>
        <v>-0.009</v>
      </c>
      <c r="S55" s="17"/>
      <c r="T55" s="0" t="n">
        <v>11.5</v>
      </c>
      <c r="W55" s="115"/>
      <c r="X55" s="102"/>
    </row>
    <row r="56" customFormat="false" ht="15" hidden="false" customHeight="false" outlineLevel="0" collapsed="false">
      <c r="A56" s="13" t="n">
        <v>35</v>
      </c>
      <c r="B56" s="13" t="s">
        <v>50</v>
      </c>
      <c r="C56" s="15" t="n">
        <f aca="false">+C55+T55</f>
        <v>724.11</v>
      </c>
      <c r="D56" s="16" t="n">
        <f aca="false">+Chạy!F310</f>
        <v>-12.85</v>
      </c>
      <c r="E56" s="16" t="n">
        <f aca="false">+D56+F56</f>
        <v>-12.8427</v>
      </c>
      <c r="F56" s="16" t="n">
        <f aca="false">RANDBETWEEN(-105,115)/10000</f>
        <v>0.0073</v>
      </c>
      <c r="G56" s="16" t="n">
        <f aca="false">+Chạy!G310</f>
        <v>1.25</v>
      </c>
      <c r="H56" s="16" t="n">
        <f aca="false">G56+I56</f>
        <v>1.265</v>
      </c>
      <c r="I56" s="16" t="n">
        <f aca="false">RANDBETWEEN(-30,90)/1000</f>
        <v>0.015</v>
      </c>
      <c r="J56" s="16" t="n">
        <f aca="false">+Chạy!K310</f>
        <v>1.37</v>
      </c>
      <c r="K56" s="16" t="n">
        <f aca="false">J56+L56</f>
        <v>1.361</v>
      </c>
      <c r="L56" s="16" t="n">
        <f aca="false">RANDBETWEEN(-30,90)/1000</f>
        <v>-0.009</v>
      </c>
      <c r="M56" s="16" t="n">
        <f aca="false">+Chạy!N310</f>
        <v>12.85</v>
      </c>
      <c r="N56" s="16" t="n">
        <f aca="false">+M56+O56</f>
        <v>12.8571</v>
      </c>
      <c r="O56" s="16" t="n">
        <f aca="false">RANDBETWEEN(-105,115)/10000</f>
        <v>0.0071</v>
      </c>
      <c r="P56" s="16" t="n">
        <f aca="false">+Chạy!O310</f>
        <v>1.25</v>
      </c>
      <c r="Q56" s="16" t="n">
        <f aca="false">P56+R56</f>
        <v>1.286</v>
      </c>
      <c r="R56" s="16" t="n">
        <f aca="false">RANDBETWEEN(-30,90)/1000</f>
        <v>0.036</v>
      </c>
      <c r="S56" s="17"/>
      <c r="T56" s="0" t="n">
        <v>13.25</v>
      </c>
      <c r="W56" s="115"/>
      <c r="X56" s="102"/>
    </row>
    <row r="57" customFormat="false" ht="15" hidden="false" customHeight="false" outlineLevel="0" collapsed="false">
      <c r="A57" s="13" t="n">
        <v>36</v>
      </c>
      <c r="B57" s="13" t="s">
        <v>51</v>
      </c>
      <c r="C57" s="15" t="n">
        <f aca="false">+C56+T56</f>
        <v>737.36</v>
      </c>
      <c r="D57" s="16" t="n">
        <f aca="false">+Chạy!F319</f>
        <v>-12.85</v>
      </c>
      <c r="E57" s="16" t="n">
        <f aca="false">+D57+F57</f>
        <v>-12.8456</v>
      </c>
      <c r="F57" s="16" t="n">
        <f aca="false">RANDBETWEEN(-105,115)/10000</f>
        <v>0.0044</v>
      </c>
      <c r="G57" s="16" t="n">
        <f aca="false">+Chạy!G319</f>
        <v>1.26</v>
      </c>
      <c r="H57" s="16" t="n">
        <f aca="false">G57+I57</f>
        <v>1.301</v>
      </c>
      <c r="I57" s="16" t="n">
        <f aca="false">RANDBETWEEN(-30,90)/1000</f>
        <v>0.041</v>
      </c>
      <c r="J57" s="16" t="n">
        <f aca="false">+Chạy!K319</f>
        <v>1.37</v>
      </c>
      <c r="K57" s="16" t="n">
        <f aca="false">J57+L57</f>
        <v>1.429</v>
      </c>
      <c r="L57" s="16" t="n">
        <f aca="false">RANDBETWEEN(-30,90)/1000</f>
        <v>0.059</v>
      </c>
      <c r="M57" s="16" t="n">
        <f aca="false">+Chạy!N319</f>
        <v>12.85</v>
      </c>
      <c r="N57" s="16" t="n">
        <f aca="false">+M57+O57</f>
        <v>12.8428</v>
      </c>
      <c r="O57" s="16" t="n">
        <f aca="false">RANDBETWEEN(-105,115)/10000</f>
        <v>-0.0072</v>
      </c>
      <c r="P57" s="16" t="n">
        <f aca="false">+Chạy!O319</f>
        <v>1.26</v>
      </c>
      <c r="Q57" s="16" t="n">
        <f aca="false">P57+R57</f>
        <v>1.276</v>
      </c>
      <c r="R57" s="16" t="n">
        <f aca="false">RANDBETWEEN(-30,90)/1000</f>
        <v>0.016</v>
      </c>
      <c r="S57" s="17"/>
      <c r="W57" s="115"/>
      <c r="X57" s="102"/>
    </row>
    <row r="58" customFormat="false" ht="15" hidden="true" customHeight="false" outlineLevel="0" collapsed="false">
      <c r="A58" s="13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W58" s="115"/>
      <c r="X58" s="102"/>
    </row>
    <row r="59" customFormat="false" ht="15" hidden="true" customHeight="false" outlineLevel="0" collapsed="false">
      <c r="A59" s="13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W59" s="115"/>
      <c r="X59" s="102"/>
    </row>
    <row r="60" customFormat="false" ht="15" hidden="true" customHeight="false" outlineLevel="0" collapsed="false">
      <c r="A60" s="13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W60" s="115"/>
      <c r="X60" s="102"/>
    </row>
    <row r="61" customFormat="false" ht="15" hidden="true" customHeight="false" outlineLevel="0" collapsed="false">
      <c r="A61" s="13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W61" s="115"/>
      <c r="X61" s="102"/>
    </row>
    <row r="63" customFormat="false" ht="15" hidden="false" customHeight="false" outlineLevel="0" collapsed="false">
      <c r="C63" s="19" t="s">
        <v>74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75</v>
      </c>
      <c r="P63" s="19"/>
      <c r="Q63" s="19"/>
      <c r="R63" s="19"/>
    </row>
    <row r="64" customFormat="false" ht="15" hidden="false" customHeight="false" outlineLevel="0" collapsed="false"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" hidden="false" customHeight="false" outlineLevel="0" collapsed="false"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" hidden="false" customHeight="false" outlineLevel="0" collapsed="false"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" hidden="false" customHeight="false" outlineLevel="0" collapsed="false"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" hidden="false" customHeight="false" outlineLevel="0" collapsed="false">
      <c r="C68" s="19" t="s">
        <v>76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">
        <v>77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8" activeCellId="0" sqref="A8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97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57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31.5" hidden="false" customHeight="true" outlineLevel="0" collapsed="false">
      <c r="A7" s="33" t="s">
        <v>58</v>
      </c>
      <c r="B7" s="34"/>
      <c r="D7" s="35" t="s">
        <v>98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62</v>
      </c>
      <c r="C9" s="37" t="s">
        <v>63</v>
      </c>
      <c r="D9" s="38" t="s">
        <v>79</v>
      </c>
      <c r="E9" s="39"/>
      <c r="F9" s="39"/>
      <c r="G9" s="38"/>
      <c r="H9" s="39"/>
      <c r="I9" s="39"/>
      <c r="J9" s="39"/>
      <c r="K9" s="39"/>
      <c r="L9" s="39"/>
      <c r="M9" s="40" t="s">
        <v>80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67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81</v>
      </c>
      <c r="O10" s="40" t="s">
        <v>82</v>
      </c>
      <c r="P10" s="40" t="s">
        <v>81</v>
      </c>
      <c r="Q10" s="40" t="s">
        <v>81</v>
      </c>
      <c r="R10" s="40"/>
      <c r="S10" s="40"/>
      <c r="T10" s="40"/>
      <c r="U10" s="40" t="s">
        <v>83</v>
      </c>
      <c r="V10" s="40" t="s">
        <v>83</v>
      </c>
      <c r="W10" s="40" t="s">
        <v>84</v>
      </c>
      <c r="X10" s="40" t="s">
        <v>83</v>
      </c>
      <c r="Y10" s="40" t="s">
        <v>83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'7.KTHH L7'!B22</f>
        <v>B4</v>
      </c>
      <c r="C11" s="51" t="n">
        <f aca="false">'7.KTHH L7'!C22</f>
        <v>211</v>
      </c>
      <c r="D11" s="13" t="n">
        <f aca="false">'7.KTHH L7'!T22</f>
        <v>13.25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Chạy!E4</f>
        <v>6.81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87.51625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'7.KTHH L7'!B23</f>
        <v>12</v>
      </c>
      <c r="C12" s="51" t="n">
        <f aca="false">'7.KTHH L7'!C23</f>
        <v>224.25</v>
      </c>
      <c r="D12" s="13" t="n">
        <f aca="false">'7.KTHH L7'!T23</f>
        <v>21.5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Chạy!E13</f>
        <v>6.4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132.01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'7.KTHH L7'!B24</f>
        <v>13</v>
      </c>
      <c r="C13" s="51" t="n">
        <f aca="false">'7.KTHH L7'!C24</f>
        <v>245.75</v>
      </c>
      <c r="D13" s="13" t="n">
        <f aca="false">'7.KTHH L7'!T24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Chạy!E22</f>
        <v>5.88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62.6275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'7.KTHH L7'!B25</f>
        <v>B5</v>
      </c>
      <c r="C14" s="51" t="n">
        <f aca="false">'7.KTHH L7'!C25</f>
        <v>257.5</v>
      </c>
      <c r="D14" s="13" t="n">
        <f aca="false">'7.KTHH L7'!T25</f>
        <v>11.75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Chạy!E31</f>
        <v>4.78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56.10625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'7.KTHH L7'!B26</f>
        <v>14</v>
      </c>
      <c r="C15" s="51" t="n">
        <f aca="false">'7.KTHH L7'!C26</f>
        <v>269.25</v>
      </c>
      <c r="D15" s="13" t="n">
        <f aca="false">'7.KTHH L7'!T26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Chạy!E40</f>
        <v>4.77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95.4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'7.KTHH L7'!B27</f>
        <v>15</v>
      </c>
      <c r="C16" s="51" t="n">
        <f aca="false">'7.KTHH L7'!C27</f>
        <v>289.25</v>
      </c>
      <c r="D16" s="13" t="n">
        <f aca="false">'7.KTHH L7'!T27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Chạy!E49</f>
        <v>4.77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95.3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'7.KTHH L7'!B28</f>
        <v>16</v>
      </c>
      <c r="C17" s="51" t="n">
        <f aca="false">'7.KTHH L7'!C28</f>
        <v>309.25</v>
      </c>
      <c r="D17" s="13" t="n">
        <f aca="false">'7.KTHH L7'!T28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Chạy!E58</f>
        <v>4.76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95.1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'7.KTHH L7'!B29</f>
        <v>17</v>
      </c>
      <c r="C18" s="51" t="n">
        <f aca="false">'7.KTHH L7'!C29</f>
        <v>329.25</v>
      </c>
      <c r="D18" s="13" t="n">
        <f aca="false">'7.KTHH L7'!T29</f>
        <v>20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Chạy!E67</f>
        <v>4.75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108.5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'7.KTHH L7'!B30</f>
        <v>18</v>
      </c>
      <c r="C19" s="51" t="n">
        <f aca="false">'7.KTHH L7'!C30</f>
        <v>349.25</v>
      </c>
      <c r="D19" s="13" t="n">
        <f aca="false">'7.KTHH L7'!T30</f>
        <v>19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Chạy!E76</f>
        <v>6.1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117.705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'7.KTHH L7'!B31</f>
        <v>19</v>
      </c>
      <c r="C20" s="51" t="n">
        <f aca="false">'7.KTHH L7'!C31</f>
        <v>368.25</v>
      </c>
      <c r="D20" s="13" t="n">
        <f aca="false">'7.KTHH L7'!T31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Chạy!E85</f>
        <v>6.29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93.6775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'7.KTHH L7'!B32</f>
        <v>C2</v>
      </c>
      <c r="C21" s="51" t="n">
        <f aca="false">'7.KTHH L7'!C32</f>
        <v>381.5</v>
      </c>
      <c r="D21" s="13" t="n">
        <f aca="false">'7.KTHH L7'!T32</f>
        <v>13.25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Chạy!E94</f>
        <v>7.85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104.0125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'7.KTHH L7'!B33</f>
        <v>20</v>
      </c>
      <c r="C22" s="51" t="n">
        <f aca="false">'7.KTHH L7'!C33</f>
        <v>394.75</v>
      </c>
      <c r="D22" s="13" t="n">
        <f aca="false">'7.KTHH L7'!T33</f>
        <v>20</v>
      </c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Chạy!E103</f>
        <v>7.85</v>
      </c>
      <c r="P22" s="53"/>
      <c r="Q22" s="53"/>
      <c r="R22" s="55"/>
      <c r="S22" s="55"/>
      <c r="T22" s="55"/>
      <c r="U22" s="55"/>
      <c r="V22" s="55"/>
      <c r="W22" s="55" t="n">
        <f aca="false">(O22+O23)*D22/2</f>
        <v>157</v>
      </c>
      <c r="X22" s="55"/>
      <c r="Y22" s="55"/>
      <c r="Z22" s="55"/>
      <c r="AA22" s="55"/>
      <c r="AB22" s="56"/>
      <c r="AC22" s="57"/>
    </row>
    <row r="23" s="49" customFormat="true" ht="15" hidden="false" customHeight="true" outlineLevel="0" collapsed="false">
      <c r="A23" s="13" t="n">
        <v>13</v>
      </c>
      <c r="B23" s="13" t="str">
        <f aca="false">'7.KTHH L7'!B34</f>
        <v>21</v>
      </c>
      <c r="C23" s="51" t="n">
        <f aca="false">'7.KTHH L7'!C34</f>
        <v>414.75</v>
      </c>
      <c r="D23" s="13" t="n">
        <f aca="false">'7.KTHH L7'!T34</f>
        <v>20</v>
      </c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 t="n">
        <f aca="false">Chạy!E112</f>
        <v>7.85</v>
      </c>
      <c r="P23" s="53"/>
      <c r="Q23" s="53"/>
      <c r="R23" s="55"/>
      <c r="S23" s="55"/>
      <c r="T23" s="55"/>
      <c r="U23" s="55"/>
      <c r="V23" s="55"/>
      <c r="W23" s="55" t="n">
        <f aca="false">(O23+O24)*D23/2</f>
        <v>157</v>
      </c>
      <c r="X23" s="55"/>
      <c r="Y23" s="55"/>
      <c r="Z23" s="55"/>
      <c r="AA23" s="55"/>
      <c r="AB23" s="56"/>
      <c r="AC23" s="57"/>
    </row>
    <row r="24" s="49" customFormat="true" ht="15" hidden="false" customHeight="true" outlineLevel="0" collapsed="false">
      <c r="A24" s="13" t="n">
        <v>14</v>
      </c>
      <c r="B24" s="13" t="str">
        <f aca="false">'7.KTHH L7'!B35</f>
        <v>22</v>
      </c>
      <c r="C24" s="51" t="n">
        <f aca="false">'7.KTHH L7'!C35</f>
        <v>434.75</v>
      </c>
      <c r="D24" s="13" t="n">
        <f aca="false">'7.KTHH L7'!T35</f>
        <v>20</v>
      </c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 t="n">
        <f aca="false">Chạy!E121</f>
        <v>7.85</v>
      </c>
      <c r="P24" s="53"/>
      <c r="Q24" s="53"/>
      <c r="R24" s="55"/>
      <c r="S24" s="55"/>
      <c r="T24" s="55"/>
      <c r="U24" s="55"/>
      <c r="V24" s="55"/>
      <c r="W24" s="55" t="n">
        <f aca="false">(O24+O25)*D24/2</f>
        <v>157</v>
      </c>
      <c r="X24" s="55"/>
      <c r="Y24" s="55"/>
      <c r="Z24" s="55"/>
      <c r="AA24" s="55"/>
      <c r="AB24" s="56"/>
      <c r="AC24" s="57"/>
    </row>
    <row r="25" s="49" customFormat="true" ht="15" hidden="false" customHeight="true" outlineLevel="0" collapsed="false">
      <c r="A25" s="13" t="n">
        <v>15</v>
      </c>
      <c r="B25" s="13" t="str">
        <f aca="false">'7.KTHH L7'!B36</f>
        <v>23</v>
      </c>
      <c r="C25" s="51" t="n">
        <f aca="false">'7.KTHH L7'!C36</f>
        <v>454.75</v>
      </c>
      <c r="D25" s="13" t="n">
        <f aca="false">'7.KTHH L7'!T36</f>
        <v>20</v>
      </c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 t="n">
        <f aca="false">Chạy!E130</f>
        <v>7.85</v>
      </c>
      <c r="P25" s="53"/>
      <c r="Q25" s="53"/>
      <c r="R25" s="55"/>
      <c r="S25" s="55"/>
      <c r="T25" s="55"/>
      <c r="U25" s="55"/>
      <c r="V25" s="55"/>
      <c r="W25" s="55" t="n">
        <f aca="false">(O25+O26)*D25/2</f>
        <v>157</v>
      </c>
      <c r="X25" s="55"/>
      <c r="Y25" s="55"/>
      <c r="Z25" s="55"/>
      <c r="AA25" s="55"/>
      <c r="AB25" s="56"/>
      <c r="AC25" s="57"/>
    </row>
    <row r="26" s="49" customFormat="true" ht="15" hidden="false" customHeight="true" outlineLevel="0" collapsed="false">
      <c r="A26" s="13" t="n">
        <v>16</v>
      </c>
      <c r="B26" s="13" t="str">
        <f aca="false">'7.KTHH L7'!B37</f>
        <v>24</v>
      </c>
      <c r="C26" s="51" t="n">
        <f aca="false">'7.KTHH L7'!C37</f>
        <v>474.75</v>
      </c>
      <c r="D26" s="13" t="n">
        <f aca="false">'7.KTHH L7'!T37</f>
        <v>14.44</v>
      </c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 t="n">
        <f aca="false">Chạy!E139</f>
        <v>7.85</v>
      </c>
      <c r="P26" s="53"/>
      <c r="Q26" s="53"/>
      <c r="R26" s="55"/>
      <c r="S26" s="55"/>
      <c r="T26" s="55"/>
      <c r="U26" s="55"/>
      <c r="V26" s="55"/>
      <c r="W26" s="55" t="n">
        <f aca="false">(O26+O27)*D26/2</f>
        <v>107.3614</v>
      </c>
      <c r="X26" s="55"/>
      <c r="Y26" s="55"/>
      <c r="Z26" s="55"/>
      <c r="AA26" s="55"/>
      <c r="AB26" s="56"/>
      <c r="AC26" s="57"/>
    </row>
    <row r="27" s="49" customFormat="true" ht="15" hidden="false" customHeight="true" outlineLevel="0" collapsed="false">
      <c r="A27" s="13" t="n">
        <v>17</v>
      </c>
      <c r="B27" s="13" t="str">
        <f aca="false">'7.KTHH L7'!B38</f>
        <v>25</v>
      </c>
      <c r="C27" s="51" t="n">
        <f aca="false">'7.KTHH L7'!C38</f>
        <v>489.19</v>
      </c>
      <c r="D27" s="13" t="n">
        <f aca="false">'7.KTHH L7'!T38</f>
        <v>13.17</v>
      </c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 t="n">
        <f aca="false">Chạy!E148</f>
        <v>7.02</v>
      </c>
      <c r="P27" s="53"/>
      <c r="Q27" s="53"/>
      <c r="R27" s="55"/>
      <c r="S27" s="55"/>
      <c r="T27" s="55"/>
      <c r="U27" s="55"/>
      <c r="V27" s="55"/>
      <c r="W27" s="55" t="n">
        <f aca="false">(O27+O28)*D27/2</f>
        <v>97.91895</v>
      </c>
      <c r="X27" s="55"/>
      <c r="Y27" s="55"/>
      <c r="Z27" s="55"/>
      <c r="AA27" s="55"/>
      <c r="AB27" s="56"/>
      <c r="AC27" s="57"/>
    </row>
    <row r="28" s="49" customFormat="true" ht="15" hidden="false" customHeight="true" outlineLevel="0" collapsed="false">
      <c r="A28" s="13" t="n">
        <v>18</v>
      </c>
      <c r="B28" s="13" t="str">
        <f aca="false">'7.KTHH L7'!B39</f>
        <v>D1</v>
      </c>
      <c r="C28" s="51" t="n">
        <f aca="false">'7.KTHH L7'!C39</f>
        <v>502.36</v>
      </c>
      <c r="D28" s="13" t="n">
        <f aca="false">'7.KTHH L7'!T39</f>
        <v>10.48</v>
      </c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 t="n">
        <f aca="false">Chạy!E157</f>
        <v>7.85</v>
      </c>
      <c r="P28" s="53"/>
      <c r="Q28" s="53"/>
      <c r="R28" s="55"/>
      <c r="S28" s="55"/>
      <c r="T28" s="55"/>
      <c r="U28" s="55"/>
      <c r="V28" s="55"/>
      <c r="W28" s="55" t="n">
        <f aca="false">(O28+O29)*D28/2</f>
        <v>82.268</v>
      </c>
      <c r="X28" s="55"/>
      <c r="Y28" s="55"/>
      <c r="Z28" s="55"/>
      <c r="AA28" s="55"/>
      <c r="AB28" s="56"/>
      <c r="AC28" s="57"/>
    </row>
    <row r="29" s="49" customFormat="true" ht="15" hidden="false" customHeight="true" outlineLevel="0" collapsed="false">
      <c r="A29" s="13" t="n">
        <v>19</v>
      </c>
      <c r="B29" s="13" t="str">
        <f aca="false">'7.KTHH L7'!B40</f>
        <v>26</v>
      </c>
      <c r="C29" s="51" t="n">
        <f aca="false">'7.KTHH L7'!C40</f>
        <v>512.84</v>
      </c>
      <c r="D29" s="13" t="n">
        <f aca="false">'7.KTHH L7'!T40</f>
        <v>16.78</v>
      </c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 t="n">
        <f aca="false">Chạy!E166</f>
        <v>7.85</v>
      </c>
      <c r="P29" s="53"/>
      <c r="Q29" s="53"/>
      <c r="R29" s="55"/>
      <c r="S29" s="55"/>
      <c r="T29" s="55"/>
      <c r="U29" s="55"/>
      <c r="V29" s="55"/>
      <c r="W29" s="55" t="n">
        <f aca="false">(O29+O30)*D29/2</f>
        <v>131.723</v>
      </c>
      <c r="X29" s="55"/>
      <c r="Y29" s="55"/>
      <c r="Z29" s="55"/>
      <c r="AA29" s="55"/>
      <c r="AB29" s="56"/>
      <c r="AC29" s="57"/>
    </row>
    <row r="30" s="49" customFormat="true" ht="15" hidden="false" customHeight="true" outlineLevel="0" collapsed="false">
      <c r="A30" s="13" t="n">
        <v>20</v>
      </c>
      <c r="B30" s="13" t="str">
        <f aca="false">'7.KTHH L7'!B41</f>
        <v>27</v>
      </c>
      <c r="C30" s="51" t="n">
        <f aca="false">'7.KTHH L7'!C41</f>
        <v>529.62</v>
      </c>
      <c r="D30" s="13" t="n">
        <f aca="false">'7.KTHH L7'!T41</f>
        <v>17.1</v>
      </c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 t="n">
        <f aca="false">Chạy!E175</f>
        <v>7.85</v>
      </c>
      <c r="P30" s="53"/>
      <c r="Q30" s="53"/>
      <c r="R30" s="55"/>
      <c r="S30" s="55"/>
      <c r="T30" s="55"/>
      <c r="U30" s="55"/>
      <c r="V30" s="55"/>
      <c r="W30" s="55" t="n">
        <f aca="false">(O30+O31)*D30/2</f>
        <v>126.369</v>
      </c>
      <c r="X30" s="55"/>
      <c r="Y30" s="55"/>
      <c r="Z30" s="55"/>
      <c r="AA30" s="55"/>
      <c r="AB30" s="56"/>
      <c r="AC30" s="57"/>
    </row>
    <row r="31" s="49" customFormat="true" ht="15" hidden="false" customHeight="true" outlineLevel="0" collapsed="false">
      <c r="A31" s="13" t="n">
        <v>21</v>
      </c>
      <c r="B31" s="13" t="str">
        <f aca="false">'7.KTHH L7'!B42</f>
        <v>28</v>
      </c>
      <c r="C31" s="51" t="n">
        <f aca="false">'7.KTHH L7'!C42</f>
        <v>546.72</v>
      </c>
      <c r="D31" s="13" t="n">
        <f aca="false">'7.KTHH L7'!T42</f>
        <v>15.15</v>
      </c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 t="n">
        <f aca="false">Chạy!E184</f>
        <v>6.93</v>
      </c>
      <c r="P31" s="53"/>
      <c r="Q31" s="53"/>
      <c r="R31" s="55"/>
      <c r="S31" s="55"/>
      <c r="T31" s="55"/>
      <c r="U31" s="55"/>
      <c r="V31" s="55"/>
      <c r="W31" s="55" t="n">
        <f aca="false">(O31+O32)*D31/2</f>
        <v>111.9585</v>
      </c>
      <c r="X31" s="55"/>
      <c r="Y31" s="55"/>
      <c r="Z31" s="55"/>
      <c r="AA31" s="55"/>
      <c r="AB31" s="56"/>
      <c r="AC31" s="57"/>
    </row>
    <row r="32" s="49" customFormat="true" ht="15" hidden="false" customHeight="true" outlineLevel="0" collapsed="false">
      <c r="A32" s="13" t="n">
        <v>22</v>
      </c>
      <c r="B32" s="13" t="str">
        <f aca="false">'7.KTHH L7'!B43</f>
        <v>E5</v>
      </c>
      <c r="C32" s="51" t="n">
        <f aca="false">'7.KTHH L7'!C43</f>
        <v>561.87</v>
      </c>
      <c r="D32" s="13" t="n">
        <f aca="false">'7.KTHH L7'!T43</f>
        <v>0.15</v>
      </c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 t="n">
        <f aca="false">Chạy!E193</f>
        <v>7.85</v>
      </c>
      <c r="P32" s="53"/>
      <c r="Q32" s="53"/>
      <c r="R32" s="55"/>
      <c r="S32" s="55"/>
      <c r="T32" s="55"/>
      <c r="U32" s="55"/>
      <c r="V32" s="55"/>
      <c r="W32" s="55" t="n">
        <f aca="false">(O32+O33)*D32/2</f>
        <v>1.1775</v>
      </c>
      <c r="X32" s="55"/>
      <c r="Y32" s="55"/>
      <c r="Z32" s="55"/>
      <c r="AA32" s="55"/>
      <c r="AB32" s="56"/>
      <c r="AC32" s="57"/>
    </row>
    <row r="33" s="49" customFormat="true" ht="15" hidden="false" customHeight="true" outlineLevel="0" collapsed="false">
      <c r="A33" s="13" t="n">
        <v>23</v>
      </c>
      <c r="B33" s="13" t="str">
        <f aca="false">'7.KTHH L7'!B44</f>
        <v>TD</v>
      </c>
      <c r="C33" s="51" t="n">
        <f aca="false">'7.KTHH L7'!C44</f>
        <v>562.02</v>
      </c>
      <c r="D33" s="13" t="n">
        <f aca="false">'7.KTHH L7'!T44</f>
        <v>6.55</v>
      </c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 t="n">
        <f aca="false">Chạy!E202</f>
        <v>7.85</v>
      </c>
      <c r="P33" s="53"/>
      <c r="Q33" s="53"/>
      <c r="R33" s="55"/>
      <c r="S33" s="55"/>
      <c r="T33" s="55"/>
      <c r="U33" s="55"/>
      <c r="V33" s="55"/>
      <c r="W33" s="55" t="n">
        <f aca="false">(O33+O34)*D33/2</f>
        <v>51.4175</v>
      </c>
      <c r="X33" s="55"/>
      <c r="Y33" s="55"/>
      <c r="Z33" s="55"/>
      <c r="AA33" s="55"/>
      <c r="AB33" s="56"/>
      <c r="AC33" s="57"/>
    </row>
    <row r="34" s="49" customFormat="true" ht="15" hidden="false" customHeight="true" outlineLevel="0" collapsed="false">
      <c r="A34" s="13" t="n">
        <v>24</v>
      </c>
      <c r="B34" s="13" t="str">
        <f aca="false">'7.KTHH L7'!B45</f>
        <v>P</v>
      </c>
      <c r="C34" s="51" t="n">
        <f aca="false">'7.KTHH L7'!C45</f>
        <v>568.57</v>
      </c>
      <c r="D34" s="13" t="n">
        <f aca="false">'7.KTHH L7'!T45</f>
        <v>6.55</v>
      </c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 t="n">
        <f aca="false">Chạy!E211</f>
        <v>7.85</v>
      </c>
      <c r="P34" s="53"/>
      <c r="Q34" s="53"/>
      <c r="R34" s="55"/>
      <c r="S34" s="55"/>
      <c r="T34" s="55"/>
      <c r="U34" s="55"/>
      <c r="V34" s="55"/>
      <c r="W34" s="55" t="n">
        <f aca="false">(O34+O35)*D34/2</f>
        <v>51.4175</v>
      </c>
      <c r="X34" s="55"/>
      <c r="Y34" s="55"/>
      <c r="Z34" s="55"/>
      <c r="AA34" s="55"/>
      <c r="AB34" s="56"/>
      <c r="AC34" s="57"/>
    </row>
    <row r="35" s="49" customFormat="true" ht="15" hidden="false" customHeight="true" outlineLevel="0" collapsed="false">
      <c r="A35" s="13" t="n">
        <v>25</v>
      </c>
      <c r="B35" s="13" t="str">
        <f aca="false">'7.KTHH L7'!B46</f>
        <v>TC</v>
      </c>
      <c r="C35" s="51" t="n">
        <f aca="false">'7.KTHH L7'!C46</f>
        <v>575.12</v>
      </c>
      <c r="D35" s="13" t="n">
        <f aca="false">'7.KTHH L7'!T46</f>
        <v>0.04</v>
      </c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 t="n">
        <f aca="false">Chạy!E220</f>
        <v>7.85</v>
      </c>
      <c r="P35" s="53"/>
      <c r="Q35" s="53"/>
      <c r="R35" s="55"/>
      <c r="S35" s="55"/>
      <c r="T35" s="55"/>
      <c r="U35" s="55"/>
      <c r="V35" s="55"/>
      <c r="W35" s="55" t="n">
        <f aca="false">(O35+O36)*D35/2</f>
        <v>0.314</v>
      </c>
      <c r="X35" s="55"/>
      <c r="Y35" s="55"/>
      <c r="Z35" s="55"/>
      <c r="AA35" s="55"/>
      <c r="AB35" s="56"/>
      <c r="AC35" s="57"/>
    </row>
    <row r="36" s="49" customFormat="true" ht="15" hidden="false" customHeight="true" outlineLevel="0" collapsed="false">
      <c r="A36" s="13" t="n">
        <v>26</v>
      </c>
      <c r="B36" s="13" t="str">
        <f aca="false">'7.KTHH L7'!B47</f>
        <v>29</v>
      </c>
      <c r="C36" s="51" t="n">
        <f aca="false">'7.KTHH L7'!C47</f>
        <v>575.16</v>
      </c>
      <c r="D36" s="13" t="n">
        <f aca="false">'7.KTHH L7'!T47</f>
        <v>16.95</v>
      </c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 t="n">
        <f aca="false">Chạy!E229</f>
        <v>7.85</v>
      </c>
      <c r="P36" s="53"/>
      <c r="Q36" s="53"/>
      <c r="R36" s="55"/>
      <c r="S36" s="55"/>
      <c r="T36" s="55"/>
      <c r="U36" s="55"/>
      <c r="V36" s="55"/>
      <c r="W36" s="55" t="n">
        <f aca="false">(O36+O37)*D36/2</f>
        <v>133.0575</v>
      </c>
      <c r="X36" s="55"/>
      <c r="Y36" s="55"/>
      <c r="Z36" s="55"/>
      <c r="AA36" s="55"/>
      <c r="AB36" s="56"/>
      <c r="AC36" s="57"/>
    </row>
    <row r="37" s="49" customFormat="true" ht="15" hidden="false" customHeight="true" outlineLevel="0" collapsed="false">
      <c r="A37" s="13" t="n">
        <v>27</v>
      </c>
      <c r="B37" s="13" t="str">
        <f aca="false">'7.KTHH L7'!B48</f>
        <v>30</v>
      </c>
      <c r="C37" s="51" t="n">
        <f aca="false">'7.KTHH L7'!C48</f>
        <v>592.11</v>
      </c>
      <c r="D37" s="13" t="n">
        <f aca="false">'7.KTHH L7'!T48</f>
        <v>17</v>
      </c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 t="n">
        <f aca="false">Chạy!E238</f>
        <v>7.85</v>
      </c>
      <c r="P37" s="53"/>
      <c r="Q37" s="53"/>
      <c r="R37" s="55"/>
      <c r="S37" s="55"/>
      <c r="T37" s="55"/>
      <c r="U37" s="55"/>
      <c r="V37" s="55"/>
      <c r="W37" s="55" t="n">
        <f aca="false">(O37+O38)*D37/2</f>
        <v>133.45</v>
      </c>
      <c r="X37" s="55"/>
      <c r="Y37" s="55"/>
      <c r="Z37" s="55"/>
      <c r="AA37" s="55"/>
      <c r="AB37" s="56"/>
      <c r="AC37" s="57"/>
    </row>
    <row r="38" s="49" customFormat="true" ht="15" hidden="false" customHeight="true" outlineLevel="0" collapsed="false">
      <c r="A38" s="13" t="n">
        <v>28</v>
      </c>
      <c r="B38" s="13" t="str">
        <f aca="false">'7.KTHH L7'!B49</f>
        <v>31</v>
      </c>
      <c r="C38" s="51" t="n">
        <f aca="false">'7.KTHH L7'!C49</f>
        <v>609.11</v>
      </c>
      <c r="D38" s="13" t="n">
        <f aca="false">'7.KTHH L7'!T49</f>
        <v>11.75</v>
      </c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 t="n">
        <f aca="false">Chạy!E247</f>
        <v>7.85</v>
      </c>
      <c r="P38" s="53"/>
      <c r="Q38" s="53"/>
      <c r="R38" s="55"/>
      <c r="S38" s="55"/>
      <c r="T38" s="55"/>
      <c r="U38" s="55"/>
      <c r="V38" s="55"/>
      <c r="W38" s="55" t="n">
        <f aca="false">(O38+O39)*D38/2</f>
        <v>92.2375</v>
      </c>
      <c r="X38" s="55"/>
      <c r="Y38" s="55"/>
      <c r="Z38" s="55"/>
      <c r="AA38" s="55"/>
      <c r="AB38" s="56"/>
      <c r="AC38" s="57"/>
    </row>
    <row r="39" s="49" customFormat="true" ht="15" hidden="false" customHeight="true" outlineLevel="0" collapsed="false">
      <c r="A39" s="13" t="n">
        <v>29</v>
      </c>
      <c r="B39" s="13" t="str">
        <f aca="false">'7.KTHH L7'!B50</f>
        <v>E10</v>
      </c>
      <c r="C39" s="51" t="n">
        <f aca="false">'7.KTHH L7'!C50</f>
        <v>620.86</v>
      </c>
      <c r="D39" s="13" t="n">
        <f aca="false">'7.KTHH L7'!T50</f>
        <v>11.75</v>
      </c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 t="n">
        <f aca="false">Chạy!E256</f>
        <v>7.85</v>
      </c>
      <c r="P39" s="53"/>
      <c r="Q39" s="53"/>
      <c r="R39" s="55"/>
      <c r="S39" s="55"/>
      <c r="T39" s="55"/>
      <c r="U39" s="55"/>
      <c r="V39" s="55"/>
      <c r="W39" s="55" t="n">
        <f aca="false">(O39+O40)*D39/2</f>
        <v>92.2375</v>
      </c>
      <c r="X39" s="55"/>
      <c r="Y39" s="55"/>
      <c r="Z39" s="55"/>
      <c r="AA39" s="55"/>
      <c r="AB39" s="56"/>
      <c r="AC39" s="57"/>
    </row>
    <row r="40" s="49" customFormat="true" ht="15" hidden="false" customHeight="true" outlineLevel="0" collapsed="false">
      <c r="A40" s="13" t="n">
        <v>30</v>
      </c>
      <c r="B40" s="13" t="str">
        <f aca="false">'7.KTHH L7'!B51</f>
        <v>32</v>
      </c>
      <c r="C40" s="51" t="n">
        <f aca="false">'7.KTHH L7'!C51</f>
        <v>632.61</v>
      </c>
      <c r="D40" s="13" t="n">
        <f aca="false">'7.KTHH L7'!T51</f>
        <v>20</v>
      </c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 t="n">
        <f aca="false">Chạy!E265</f>
        <v>7.85</v>
      </c>
      <c r="P40" s="53"/>
      <c r="Q40" s="53"/>
      <c r="R40" s="55"/>
      <c r="S40" s="55"/>
      <c r="T40" s="55"/>
      <c r="U40" s="55"/>
      <c r="V40" s="55"/>
      <c r="W40" s="55" t="n">
        <f aca="false">(O40+O41)*D40/2</f>
        <v>157</v>
      </c>
      <c r="X40" s="55"/>
      <c r="Y40" s="55"/>
      <c r="Z40" s="55"/>
      <c r="AA40" s="55"/>
      <c r="AB40" s="56"/>
      <c r="AC40" s="57"/>
    </row>
    <row r="41" s="49" customFormat="true" ht="15" hidden="false" customHeight="true" outlineLevel="0" collapsed="false">
      <c r="A41" s="13" t="n">
        <v>31</v>
      </c>
      <c r="B41" s="13" t="str">
        <f aca="false">'7.KTHH L7'!B52</f>
        <v>33</v>
      </c>
      <c r="C41" s="51" t="n">
        <f aca="false">'7.KTHH L7'!C52</f>
        <v>652.61</v>
      </c>
      <c r="D41" s="13" t="n">
        <f aca="false">'7.KTHH L7'!T52</f>
        <v>20</v>
      </c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 t="n">
        <f aca="false">Chạy!E274</f>
        <v>7.85</v>
      </c>
      <c r="P41" s="53"/>
      <c r="Q41" s="53"/>
      <c r="R41" s="55"/>
      <c r="S41" s="55"/>
      <c r="T41" s="55"/>
      <c r="U41" s="55"/>
      <c r="V41" s="55"/>
      <c r="W41" s="55" t="n">
        <f aca="false">(O41+O42)*D41/2</f>
        <v>157</v>
      </c>
      <c r="X41" s="55"/>
      <c r="Y41" s="55"/>
      <c r="Z41" s="55"/>
      <c r="AA41" s="55"/>
      <c r="AB41" s="56"/>
      <c r="AC41" s="57"/>
    </row>
    <row r="42" s="49" customFormat="true" ht="15" hidden="false" customHeight="true" outlineLevel="0" collapsed="false">
      <c r="A42" s="13" t="n">
        <v>32</v>
      </c>
      <c r="B42" s="13" t="str">
        <f aca="false">'7.KTHH L7'!B53</f>
        <v>34</v>
      </c>
      <c r="C42" s="51" t="n">
        <f aca="false">'7.KTHH L7'!C53</f>
        <v>672.61</v>
      </c>
      <c r="D42" s="13" t="n">
        <f aca="false">'7.KTHH L7'!T53</f>
        <v>20</v>
      </c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 t="n">
        <f aca="false">Chạy!E283</f>
        <v>7.85</v>
      </c>
      <c r="P42" s="53"/>
      <c r="Q42" s="53"/>
      <c r="R42" s="55"/>
      <c r="S42" s="55"/>
      <c r="T42" s="55"/>
      <c r="U42" s="55"/>
      <c r="V42" s="55"/>
      <c r="W42" s="55" t="n">
        <f aca="false">(O42+O43)*D42/2</f>
        <v>157</v>
      </c>
      <c r="X42" s="55"/>
      <c r="Y42" s="55"/>
      <c r="Z42" s="55"/>
      <c r="AA42" s="55"/>
      <c r="AB42" s="56"/>
      <c r="AC42" s="57"/>
    </row>
    <row r="43" s="49" customFormat="true" ht="15" hidden="false" customHeight="true" outlineLevel="0" collapsed="false">
      <c r="A43" s="13" t="n">
        <v>33</v>
      </c>
      <c r="B43" s="13" t="str">
        <f aca="false">'7.KTHH L7'!B54</f>
        <v>35</v>
      </c>
      <c r="C43" s="51" t="n">
        <f aca="false">'7.KTHH L7'!C54</f>
        <v>692.61</v>
      </c>
      <c r="D43" s="13" t="n">
        <f aca="false">'7.KTHH L7'!T54</f>
        <v>20</v>
      </c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 t="n">
        <f aca="false">Chạy!E292</f>
        <v>7.85</v>
      </c>
      <c r="P43" s="53"/>
      <c r="Q43" s="53"/>
      <c r="R43" s="55"/>
      <c r="S43" s="55"/>
      <c r="T43" s="55"/>
      <c r="U43" s="55"/>
      <c r="V43" s="55"/>
      <c r="W43" s="55" t="n">
        <f aca="false">(O43+O44)*D43/2</f>
        <v>141.1</v>
      </c>
      <c r="X43" s="55"/>
      <c r="Y43" s="55"/>
      <c r="Z43" s="55"/>
      <c r="AA43" s="55"/>
      <c r="AB43" s="56"/>
      <c r="AC43" s="57"/>
    </row>
    <row r="44" s="49" customFormat="true" ht="15" hidden="false" customHeight="true" outlineLevel="0" collapsed="false">
      <c r="A44" s="13" t="n">
        <v>34</v>
      </c>
      <c r="B44" s="13" t="str">
        <f aca="false">'7.KTHH L7'!B55</f>
        <v>36</v>
      </c>
      <c r="C44" s="51" t="n">
        <f aca="false">'7.KTHH L7'!C55</f>
        <v>712.61</v>
      </c>
      <c r="D44" s="13" t="n">
        <f aca="false">'7.KTHH L7'!T55</f>
        <v>11.5</v>
      </c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 t="n">
        <f aca="false">Chạy!E301</f>
        <v>6.26</v>
      </c>
      <c r="P44" s="53"/>
      <c r="Q44" s="53"/>
      <c r="R44" s="55"/>
      <c r="S44" s="55"/>
      <c r="T44" s="55"/>
      <c r="U44" s="55"/>
      <c r="V44" s="55"/>
      <c r="W44" s="55" t="n">
        <f aca="false">(O44+O45)*D44/2</f>
        <v>81.1325</v>
      </c>
      <c r="X44" s="55"/>
      <c r="Y44" s="55"/>
      <c r="Z44" s="55"/>
      <c r="AA44" s="55"/>
      <c r="AB44" s="56"/>
      <c r="AC44" s="57"/>
    </row>
    <row r="45" s="49" customFormat="true" ht="15" hidden="false" customHeight="true" outlineLevel="0" collapsed="false">
      <c r="A45" s="13" t="n">
        <v>35</v>
      </c>
      <c r="B45" s="13" t="str">
        <f aca="false">'7.KTHH L7'!B56</f>
        <v>37</v>
      </c>
      <c r="C45" s="51" t="n">
        <f aca="false">'7.KTHH L7'!C56</f>
        <v>724.11</v>
      </c>
      <c r="D45" s="13" t="n">
        <f aca="false">'7.KTHH L7'!T56</f>
        <v>13.25</v>
      </c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 t="n">
        <f aca="false">Chạy!E310</f>
        <v>7.85</v>
      </c>
      <c r="P45" s="53"/>
      <c r="Q45" s="53"/>
      <c r="R45" s="55"/>
      <c r="S45" s="55"/>
      <c r="T45" s="55"/>
      <c r="U45" s="55"/>
      <c r="V45" s="55"/>
      <c r="W45" s="55" t="n">
        <f aca="false">(O45+O46)*D45/2</f>
        <v>104.0125</v>
      </c>
      <c r="X45" s="55"/>
      <c r="Y45" s="55"/>
      <c r="Z45" s="55"/>
      <c r="AA45" s="55"/>
      <c r="AB45" s="56"/>
      <c r="AC45" s="57"/>
    </row>
    <row r="46" s="49" customFormat="true" ht="15" hidden="false" customHeight="true" outlineLevel="0" collapsed="false">
      <c r="A46" s="13" t="n">
        <v>36</v>
      </c>
      <c r="B46" s="13" t="str">
        <f aca="false">'7.KTHH L7'!B57</f>
        <v>G6</v>
      </c>
      <c r="C46" s="51" t="n">
        <f aca="false">'7.KTHH L7'!C57</f>
        <v>737.36</v>
      </c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 t="n">
        <f aca="false">Chạy!E319</f>
        <v>7.85</v>
      </c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85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SUM(W11:W46)</f>
        <v>3686.10785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74</v>
      </c>
      <c r="B53" s="19"/>
      <c r="C53" s="19"/>
      <c r="D53" s="77" t="s">
        <v>86</v>
      </c>
      <c r="E53" s="19" t="s">
        <v>75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76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77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209722222222222" top="0.42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K60" activeCellId="0" sqref="K6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99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57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58</v>
      </c>
      <c r="C7" s="7"/>
      <c r="D7" s="7"/>
      <c r="F7" s="7"/>
      <c r="G7" s="7" t="s">
        <v>100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60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61</v>
      </c>
      <c r="B20" s="9" t="s">
        <v>62</v>
      </c>
      <c r="C20" s="9" t="s">
        <v>63</v>
      </c>
      <c r="D20" s="10" t="s">
        <v>64</v>
      </c>
      <c r="E20" s="10"/>
      <c r="F20" s="10"/>
      <c r="G20" s="10"/>
      <c r="H20" s="10"/>
      <c r="I20" s="10"/>
      <c r="J20" s="10" t="s">
        <v>65</v>
      </c>
      <c r="K20" s="10"/>
      <c r="L20" s="10"/>
      <c r="M20" s="10" t="s">
        <v>66</v>
      </c>
      <c r="N20" s="10"/>
      <c r="O20" s="10"/>
      <c r="P20" s="10"/>
      <c r="Q20" s="10"/>
      <c r="R20" s="10"/>
      <c r="S20" s="9" t="s">
        <v>67</v>
      </c>
    </row>
    <row r="21" customFormat="false" ht="51.75" hidden="false" customHeight="true" outlineLevel="0" collapsed="false">
      <c r="A21" s="116"/>
      <c r="B21" s="116"/>
      <c r="C21" s="116"/>
      <c r="D21" s="11" t="s">
        <v>68</v>
      </c>
      <c r="E21" s="11" t="s">
        <v>69</v>
      </c>
      <c r="F21" s="11" t="s">
        <v>70</v>
      </c>
      <c r="G21" s="11" t="s">
        <v>71</v>
      </c>
      <c r="H21" s="11" t="s">
        <v>72</v>
      </c>
      <c r="I21" s="11" t="s">
        <v>73</v>
      </c>
      <c r="J21" s="11" t="s">
        <v>71</v>
      </c>
      <c r="K21" s="11" t="s">
        <v>72</v>
      </c>
      <c r="L21" s="11" t="s">
        <v>73</v>
      </c>
      <c r="M21" s="11" t="s">
        <v>68</v>
      </c>
      <c r="N21" s="11" t="s">
        <v>69</v>
      </c>
      <c r="O21" s="11" t="s">
        <v>70</v>
      </c>
      <c r="P21" s="11" t="s">
        <v>71</v>
      </c>
      <c r="Q21" s="11" t="s">
        <v>72</v>
      </c>
      <c r="R21" s="11" t="s">
        <v>73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211</v>
      </c>
      <c r="D22" s="16" t="n">
        <f aca="false">+Chạy!F3</f>
        <v>-12.4</v>
      </c>
      <c r="E22" s="16" t="n">
        <f aca="false">+D22+F22</f>
        <v>-12.4064</v>
      </c>
      <c r="F22" s="16" t="n">
        <f aca="false">RANDBETWEEN(-105,115)/10000</f>
        <v>-0.0064</v>
      </c>
      <c r="G22" s="16" t="n">
        <f aca="false">+Chạy!G3</f>
        <v>1.75</v>
      </c>
      <c r="H22" s="16" t="n">
        <f aca="false">G22+I22</f>
        <v>1.818</v>
      </c>
      <c r="I22" s="16" t="n">
        <f aca="false">RANDBETWEEN(-30,90)/1000</f>
        <v>0.068</v>
      </c>
      <c r="J22" s="16" t="n">
        <f aca="false">+Chạy!K3</f>
        <v>1.87</v>
      </c>
      <c r="K22" s="16" t="n">
        <f aca="false">J22+L22</f>
        <v>1.866</v>
      </c>
      <c r="L22" s="16" t="n">
        <f aca="false">RANDBETWEEN(-30,90)/1000</f>
        <v>-0.004</v>
      </c>
      <c r="M22" s="16" t="n">
        <f aca="false">+Chạy!N3</f>
        <v>12.4</v>
      </c>
      <c r="N22" s="16" t="n">
        <f aca="false">+M22+O22</f>
        <v>12.3986</v>
      </c>
      <c r="O22" s="16" t="n">
        <f aca="false">RANDBETWEEN(-105,115)/10000</f>
        <v>-0.0014</v>
      </c>
      <c r="P22" s="16" t="n">
        <f aca="false">+Chạy!O3</f>
        <v>1.75</v>
      </c>
      <c r="Q22" s="16" t="n">
        <f aca="false">P22+R22</f>
        <v>1.784</v>
      </c>
      <c r="R22" s="16" t="n">
        <f aca="false">RANDBETWEEN(-30,90)/1000</f>
        <v>0.034</v>
      </c>
      <c r="S22" s="17"/>
      <c r="T22" s="0" t="n">
        <v>13.25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224.25</v>
      </c>
      <c r="D23" s="16" t="n">
        <f aca="false">+Chạy!F12</f>
        <v>-12.4</v>
      </c>
      <c r="E23" s="16" t="n">
        <f aca="false">+D23+F23</f>
        <v>-12.407</v>
      </c>
      <c r="F23" s="16" t="n">
        <f aca="false">RANDBETWEEN(-105,115)/10000</f>
        <v>-0.007</v>
      </c>
      <c r="G23" s="16" t="n">
        <f aca="false">+Chạy!G12</f>
        <v>1.74</v>
      </c>
      <c r="H23" s="16" t="n">
        <f aca="false">G23+I23</f>
        <v>1.828</v>
      </c>
      <c r="I23" s="16" t="n">
        <f aca="false">RANDBETWEEN(-30,90)/1000</f>
        <v>0.088</v>
      </c>
      <c r="J23" s="16" t="n">
        <f aca="false">+Chạy!K12</f>
        <v>1.86</v>
      </c>
      <c r="K23" s="16" t="n">
        <f aca="false">J23+L23</f>
        <v>1.939</v>
      </c>
      <c r="L23" s="16" t="n">
        <f aca="false">RANDBETWEEN(-30,90)/1000</f>
        <v>0.079</v>
      </c>
      <c r="M23" s="16" t="n">
        <f aca="false">+Chạy!N12</f>
        <v>12.4</v>
      </c>
      <c r="N23" s="16" t="n">
        <f aca="false">+M23+O23</f>
        <v>12.41</v>
      </c>
      <c r="O23" s="16" t="n">
        <f aca="false">RANDBETWEEN(-105,115)/10000</f>
        <v>0.01</v>
      </c>
      <c r="P23" s="16" t="n">
        <f aca="false">+Chạy!O12</f>
        <v>1.74</v>
      </c>
      <c r="Q23" s="16" t="n">
        <f aca="false">P23+R23</f>
        <v>1.794</v>
      </c>
      <c r="R23" s="16" t="n">
        <f aca="false">RANDBETWEEN(-30,90)/1000</f>
        <v>0.054</v>
      </c>
      <c r="S23" s="17"/>
      <c r="T23" s="0" t="n">
        <v>21.5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245.75</v>
      </c>
      <c r="D24" s="16" t="n">
        <f aca="false">+Chạy!F21</f>
        <v>-12.4</v>
      </c>
      <c r="E24" s="16" t="n">
        <f aca="false">+D24+F24</f>
        <v>-12.396</v>
      </c>
      <c r="F24" s="16" t="n">
        <f aca="false">RANDBETWEEN(-105,115)/10000</f>
        <v>0.004</v>
      </c>
      <c r="G24" s="16" t="n">
        <f aca="false">+Chạy!G21</f>
        <v>1.72</v>
      </c>
      <c r="H24" s="16" t="n">
        <f aca="false">G24+I24</f>
        <v>1.76</v>
      </c>
      <c r="I24" s="16" t="n">
        <f aca="false">RANDBETWEEN(-30,90)/1000</f>
        <v>0.04</v>
      </c>
      <c r="J24" s="16" t="n">
        <f aca="false">+Chạy!K21</f>
        <v>1.84</v>
      </c>
      <c r="K24" s="16" t="n">
        <f aca="false">J24+L24</f>
        <v>1.85</v>
      </c>
      <c r="L24" s="16" t="n">
        <f aca="false">RANDBETWEEN(-30,90)/1000</f>
        <v>0.01</v>
      </c>
      <c r="M24" s="16" t="n">
        <f aca="false">+Chạy!N21</f>
        <v>11.15</v>
      </c>
      <c r="N24" s="16" t="n">
        <f aca="false">+M24+O24</f>
        <v>11.1446</v>
      </c>
      <c r="O24" s="16" t="n">
        <f aca="false">RANDBETWEEN(-105,115)/10000</f>
        <v>-0.0054</v>
      </c>
      <c r="P24" s="16" t="n">
        <f aca="false">+Chạy!O21</f>
        <v>1.72</v>
      </c>
      <c r="Q24" s="16" t="n">
        <f aca="false">P24+R24</f>
        <v>1.725</v>
      </c>
      <c r="R24" s="16" t="n">
        <f aca="false">RANDBETWEEN(-30,90)/1000</f>
        <v>0.005</v>
      </c>
      <c r="S24" s="17"/>
      <c r="T24" s="0" t="n">
        <v>11.75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257.5</v>
      </c>
      <c r="D25" s="16" t="n">
        <f aca="false">+Chạy!F30</f>
        <v>-12.4</v>
      </c>
      <c r="E25" s="16" t="n">
        <f aca="false">+D25+F25</f>
        <v>-12.4007</v>
      </c>
      <c r="F25" s="16" t="n">
        <f aca="false">RANDBETWEEN(-105,115)/10000</f>
        <v>-0.0007</v>
      </c>
      <c r="G25" s="16" t="n">
        <f aca="false">+Chạy!G30</f>
        <v>1.71</v>
      </c>
      <c r="H25" s="16" t="n">
        <f aca="false">G25+I25</f>
        <v>1.787</v>
      </c>
      <c r="I25" s="16" t="n">
        <f aca="false">RANDBETWEEN(-30,90)/1000</f>
        <v>0.077</v>
      </c>
      <c r="J25" s="16" t="n">
        <f aca="false">+Chạy!K30</f>
        <v>1.83</v>
      </c>
      <c r="K25" s="16" t="n">
        <f aca="false">J25+L25</f>
        <v>1.801</v>
      </c>
      <c r="L25" s="16" t="n">
        <f aca="false">RANDBETWEEN(-30,90)/1000</f>
        <v>-0.029</v>
      </c>
      <c r="M25" s="16" t="n">
        <f aca="false">+Chạy!N30</f>
        <v>12.4</v>
      </c>
      <c r="N25" s="16" t="n">
        <f aca="false">+M25+O25</f>
        <v>12.4114</v>
      </c>
      <c r="O25" s="16" t="n">
        <f aca="false">RANDBETWEEN(-105,115)/10000</f>
        <v>0.0114</v>
      </c>
      <c r="P25" s="16" t="n">
        <f aca="false">+Chạy!O30</f>
        <v>1.71</v>
      </c>
      <c r="Q25" s="16" t="n">
        <f aca="false">P25+R25</f>
        <v>1.717</v>
      </c>
      <c r="R25" s="16" t="n">
        <f aca="false">RANDBETWEEN(-30,90)/1000</f>
        <v>0.007</v>
      </c>
      <c r="S25" s="17"/>
      <c r="T25" s="0" t="n">
        <v>11.75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269.25</v>
      </c>
      <c r="D26" s="16" t="n">
        <f aca="false">+Chạy!F39</f>
        <v>-8.41</v>
      </c>
      <c r="E26" s="16" t="n">
        <f aca="false">+D26+F26</f>
        <v>-8.4056</v>
      </c>
      <c r="F26" s="16" t="n">
        <f aca="false">RANDBETWEEN(-105,115)/10000</f>
        <v>0.0044</v>
      </c>
      <c r="G26" s="16" t="n">
        <f aca="false">+Chạy!G39</f>
        <v>1.71</v>
      </c>
      <c r="H26" s="16" t="n">
        <f aca="false">G26+I26</f>
        <v>1.739</v>
      </c>
      <c r="I26" s="16" t="n">
        <f aca="false">RANDBETWEEN(-30,90)/1000</f>
        <v>0.029</v>
      </c>
      <c r="J26" s="16" t="n">
        <f aca="false">+Chạy!K39</f>
        <v>1.82</v>
      </c>
      <c r="K26" s="16" t="n">
        <f aca="false">J26+L26</f>
        <v>1.828</v>
      </c>
      <c r="L26" s="16" t="n">
        <f aca="false">RANDBETWEEN(-30,90)/1000</f>
        <v>0.008</v>
      </c>
      <c r="M26" s="16" t="n">
        <f aca="false">+Chạy!N39</f>
        <v>10.5</v>
      </c>
      <c r="N26" s="16" t="n">
        <f aca="false">+M26+O26</f>
        <v>10.5074</v>
      </c>
      <c r="O26" s="16" t="n">
        <f aca="false">RANDBETWEEN(-105,115)/10000</f>
        <v>0.0074</v>
      </c>
      <c r="P26" s="16" t="n">
        <f aca="false">+Chạy!O39</f>
        <v>1.71</v>
      </c>
      <c r="Q26" s="16" t="n">
        <f aca="false">P26+R26</f>
        <v>1.7</v>
      </c>
      <c r="R26" s="16" t="n">
        <f aca="false">RANDBETWEEN(-30,90)/1000</f>
        <v>-0.01</v>
      </c>
      <c r="S26" s="17"/>
      <c r="T26" s="0" t="n">
        <v>20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289.25</v>
      </c>
      <c r="D27" s="16" t="n">
        <f aca="false">+Chạy!F48</f>
        <v>-12.4</v>
      </c>
      <c r="E27" s="16" t="n">
        <f aca="false">+D27+F27</f>
        <v>-12.4053</v>
      </c>
      <c r="F27" s="16" t="n">
        <f aca="false">RANDBETWEEN(-105,115)/10000</f>
        <v>-0.0053</v>
      </c>
      <c r="G27" s="16" t="n">
        <f aca="false">+Chạy!G48</f>
        <v>1.7</v>
      </c>
      <c r="H27" s="16" t="n">
        <f aca="false">G27+I27</f>
        <v>1.732</v>
      </c>
      <c r="I27" s="16" t="n">
        <f aca="false">RANDBETWEEN(-30,90)/1000</f>
        <v>0.032</v>
      </c>
      <c r="J27" s="16" t="n">
        <f aca="false">+Chạy!K48</f>
        <v>1.81</v>
      </c>
      <c r="K27" s="16" t="n">
        <f aca="false">J27+L27</f>
        <v>1.868</v>
      </c>
      <c r="L27" s="16" t="n">
        <f aca="false">RANDBETWEEN(-30,90)/1000</f>
        <v>0.058</v>
      </c>
      <c r="M27" s="16" t="n">
        <f aca="false">+Chạy!N48</f>
        <v>8.4</v>
      </c>
      <c r="N27" s="16" t="n">
        <f aca="false">+M27+O27</f>
        <v>8.41</v>
      </c>
      <c r="O27" s="16" t="n">
        <f aca="false">RANDBETWEEN(-105,115)/10000</f>
        <v>0.01</v>
      </c>
      <c r="P27" s="16" t="n">
        <f aca="false">+Chạy!O48</f>
        <v>1.7</v>
      </c>
      <c r="Q27" s="16" t="n">
        <f aca="false">P27+R27</f>
        <v>1.753</v>
      </c>
      <c r="R27" s="16" t="n">
        <f aca="false">RANDBETWEEN(-30,90)/1000</f>
        <v>0.053</v>
      </c>
      <c r="S27" s="17"/>
      <c r="T27" s="0" t="n">
        <v>20</v>
      </c>
      <c r="X27" s="119"/>
      <c r="Y27" s="102"/>
      <c r="AA27" s="120"/>
      <c r="AB27" s="121"/>
      <c r="AC27" s="122"/>
      <c r="AE27" s="122"/>
    </row>
    <row r="28" customFormat="false" ht="15.75" hidden="false" customHeight="true" outlineLevel="0" collapsed="false">
      <c r="A28" s="118" t="n">
        <v>7</v>
      </c>
      <c r="B28" s="13" t="s">
        <v>23</v>
      </c>
      <c r="C28" s="15" t="n">
        <f aca="false">+C27+T27</f>
        <v>309.25</v>
      </c>
      <c r="D28" s="16" t="n">
        <f aca="false">+Chạy!F57</f>
        <v>-8.38</v>
      </c>
      <c r="E28" s="16" t="n">
        <f aca="false">+D28+F28</f>
        <v>-8.3884</v>
      </c>
      <c r="F28" s="16" t="n">
        <f aca="false">RANDBETWEEN(-105,115)/10000</f>
        <v>-0.0084</v>
      </c>
      <c r="G28" s="16" t="n">
        <f aca="false">+Chạy!G57</f>
        <v>1.68</v>
      </c>
      <c r="H28" s="16" t="n">
        <f aca="false">G28+I28</f>
        <v>1.717</v>
      </c>
      <c r="I28" s="16" t="n">
        <f aca="false">RANDBETWEEN(-30,90)/1000</f>
        <v>0.037</v>
      </c>
      <c r="J28" s="16" t="n">
        <f aca="false">+Chạy!K57</f>
        <v>1.8</v>
      </c>
      <c r="K28" s="16" t="n">
        <f aca="false">J28+L28</f>
        <v>1.838</v>
      </c>
      <c r="L28" s="16" t="n">
        <f aca="false">RANDBETWEEN(-30,90)/1000</f>
        <v>0.038</v>
      </c>
      <c r="M28" s="16" t="n">
        <f aca="false">+Chạy!N57</f>
        <v>8.38</v>
      </c>
      <c r="N28" s="16" t="n">
        <f aca="false">+M28+O28</f>
        <v>8.3716</v>
      </c>
      <c r="O28" s="16" t="n">
        <f aca="false">RANDBETWEEN(-105,115)/10000</f>
        <v>-0.0084</v>
      </c>
      <c r="P28" s="16" t="n">
        <f aca="false">+Chạy!O57</f>
        <v>1.68</v>
      </c>
      <c r="Q28" s="16" t="n">
        <f aca="false">P28+R28</f>
        <v>1.677</v>
      </c>
      <c r="R28" s="16" t="n">
        <f aca="false">RANDBETWEEN(-30,90)/1000</f>
        <v>-0.003</v>
      </c>
      <c r="S28" s="17"/>
      <c r="T28" s="0" t="n">
        <v>20</v>
      </c>
      <c r="X28" s="119"/>
      <c r="Y28" s="102"/>
      <c r="AA28" s="120"/>
      <c r="AB28" s="121"/>
      <c r="AC28" s="122"/>
      <c r="AE28" s="122"/>
    </row>
    <row r="29" customFormat="false" ht="15.75" hidden="false" customHeight="true" outlineLevel="0" collapsed="false">
      <c r="A29" s="118" t="n">
        <v>8</v>
      </c>
      <c r="B29" s="13" t="s">
        <v>24</v>
      </c>
      <c r="C29" s="15" t="n">
        <f aca="false">+C28+T28</f>
        <v>329.25</v>
      </c>
      <c r="D29" s="16" t="n">
        <f aca="false">+Chạy!F66</f>
        <v>-8.37</v>
      </c>
      <c r="E29" s="16" t="n">
        <f aca="false">+D29+F29</f>
        <v>-8.3632</v>
      </c>
      <c r="F29" s="16" t="n">
        <f aca="false">RANDBETWEEN(-105,115)/10000</f>
        <v>0.0068</v>
      </c>
      <c r="G29" s="16" t="n">
        <f aca="false">+Chạy!G66</f>
        <v>1.67</v>
      </c>
      <c r="H29" s="16" t="n">
        <f aca="false">G29+I29</f>
        <v>1.685</v>
      </c>
      <c r="I29" s="16" t="n">
        <f aca="false">RANDBETWEEN(-30,90)/1000</f>
        <v>0.015</v>
      </c>
      <c r="J29" s="16" t="n">
        <f aca="false">+Chạy!K66</f>
        <v>1.79</v>
      </c>
      <c r="K29" s="16" t="n">
        <f aca="false">J29+L29</f>
        <v>1.857</v>
      </c>
      <c r="L29" s="16" t="n">
        <f aca="false">RANDBETWEEN(-30,90)/1000</f>
        <v>0.067</v>
      </c>
      <c r="M29" s="16" t="n">
        <f aca="false">+Chạy!N66</f>
        <v>8.37</v>
      </c>
      <c r="N29" s="16" t="n">
        <f aca="false">+M29+O29</f>
        <v>8.3679</v>
      </c>
      <c r="O29" s="16" t="n">
        <f aca="false">RANDBETWEEN(-105,115)/10000</f>
        <v>-0.0021</v>
      </c>
      <c r="P29" s="16" t="n">
        <f aca="false">+Chạy!O66</f>
        <v>1.67</v>
      </c>
      <c r="Q29" s="16" t="n">
        <f aca="false">P29+R29</f>
        <v>1.702</v>
      </c>
      <c r="R29" s="16" t="n">
        <f aca="false">RANDBETWEEN(-30,90)/1000</f>
        <v>0.032</v>
      </c>
      <c r="S29" s="17"/>
      <c r="T29" s="0" t="n">
        <v>20</v>
      </c>
      <c r="X29" s="119"/>
      <c r="Y29" s="102"/>
      <c r="AA29" s="120"/>
      <c r="AB29" s="121"/>
      <c r="AC29" s="122"/>
      <c r="AE29" s="122"/>
    </row>
    <row r="30" customFormat="false" ht="15.75" hidden="false" customHeight="true" outlineLevel="0" collapsed="false">
      <c r="A30" s="118" t="n">
        <v>9</v>
      </c>
      <c r="B30" s="13" t="s">
        <v>25</v>
      </c>
      <c r="C30" s="15" t="n">
        <f aca="false">+C29+T29</f>
        <v>349.25</v>
      </c>
      <c r="D30" s="16" t="n">
        <f aca="false">+Chạy!F75</f>
        <v>-12.4</v>
      </c>
      <c r="E30" s="16" t="n">
        <f aca="false">+D30+F30</f>
        <v>-12.3888</v>
      </c>
      <c r="F30" s="16" t="n">
        <f aca="false">RANDBETWEEN(-105,115)/10000</f>
        <v>0.0112</v>
      </c>
      <c r="G30" s="16" t="n">
        <f aca="false">+Chạy!G75</f>
        <v>1.66</v>
      </c>
      <c r="H30" s="16" t="n">
        <f aca="false">G30+I30</f>
        <v>1.729</v>
      </c>
      <c r="I30" s="16" t="n">
        <f aca="false">RANDBETWEEN(-30,90)/1000</f>
        <v>0.069</v>
      </c>
      <c r="J30" s="16" t="n">
        <f aca="false">+Chạy!K75</f>
        <v>1.78</v>
      </c>
      <c r="K30" s="16" t="n">
        <f aca="false">J30+L30</f>
        <v>1.853</v>
      </c>
      <c r="L30" s="16" t="n">
        <f aca="false">RANDBETWEEN(-30,90)/1000</f>
        <v>0.073</v>
      </c>
      <c r="M30" s="16" t="n">
        <f aca="false">+Chạy!N75</f>
        <v>8.36</v>
      </c>
      <c r="N30" s="16" t="n">
        <f aca="false">+M30+O30</f>
        <v>8.37</v>
      </c>
      <c r="O30" s="16" t="n">
        <f aca="false">RANDBETWEEN(-105,115)/10000</f>
        <v>0.01</v>
      </c>
      <c r="P30" s="16" t="n">
        <f aca="false">+Chạy!O75</f>
        <v>1.66</v>
      </c>
      <c r="Q30" s="16" t="n">
        <f aca="false">P30+R30</f>
        <v>1.686</v>
      </c>
      <c r="R30" s="16" t="n">
        <f aca="false">RANDBETWEEN(-30,90)/1000</f>
        <v>0.026</v>
      </c>
      <c r="S30" s="17"/>
      <c r="T30" s="0" t="n">
        <v>19</v>
      </c>
      <c r="X30" s="119"/>
      <c r="Y30" s="102"/>
      <c r="AA30" s="120"/>
      <c r="AB30" s="121"/>
      <c r="AC30" s="122"/>
      <c r="AE30" s="122"/>
    </row>
    <row r="31" customFormat="false" ht="15.75" hidden="false" customHeight="true" outlineLevel="0" collapsed="false">
      <c r="A31" s="118" t="n">
        <v>10</v>
      </c>
      <c r="B31" s="13" t="s">
        <v>26</v>
      </c>
      <c r="C31" s="15" t="n">
        <f aca="false">+C30+T30</f>
        <v>368.25</v>
      </c>
      <c r="D31" s="16" t="n">
        <f aca="false">+Chạy!F84</f>
        <v>-12.4</v>
      </c>
      <c r="E31" s="16" t="n">
        <f aca="false">+D31+F31</f>
        <v>-12.4073</v>
      </c>
      <c r="F31" s="16" t="n">
        <f aca="false">RANDBETWEEN(-105,115)/10000</f>
        <v>-0.0073</v>
      </c>
      <c r="G31" s="16" t="n">
        <f aca="false">+Chạy!G84</f>
        <v>1.65</v>
      </c>
      <c r="H31" s="16" t="n">
        <f aca="false">G31+I31</f>
        <v>1.702</v>
      </c>
      <c r="I31" s="16" t="n">
        <f aca="false">RANDBETWEEN(-30,90)/1000</f>
        <v>0.052</v>
      </c>
      <c r="J31" s="16" t="n">
        <f aca="false">+Chạy!K84</f>
        <v>1.77</v>
      </c>
      <c r="K31" s="16" t="n">
        <f aca="false">J31+L31</f>
        <v>1.763</v>
      </c>
      <c r="L31" s="16" t="n">
        <f aca="false">RANDBETWEEN(-30,90)/1000</f>
        <v>-0.007</v>
      </c>
      <c r="M31" s="16" t="n">
        <f aca="false">+Chạy!N84</f>
        <v>8.35</v>
      </c>
      <c r="N31" s="16" t="n">
        <f aca="false">+M31+O31</f>
        <v>8.35</v>
      </c>
      <c r="O31" s="16" t="n">
        <f aca="false">RANDBETWEEN(-105,115)/10000</f>
        <v>0</v>
      </c>
      <c r="P31" s="16" t="n">
        <f aca="false">+Chạy!O84</f>
        <v>1.65</v>
      </c>
      <c r="Q31" s="16" t="n">
        <f aca="false">P31+R31</f>
        <v>1.674</v>
      </c>
      <c r="R31" s="16" t="n">
        <f aca="false">RANDBETWEEN(-30,90)/1000</f>
        <v>0.024</v>
      </c>
      <c r="S31" s="17"/>
      <c r="T31" s="0" t="n">
        <v>13.25</v>
      </c>
      <c r="X31" s="119"/>
      <c r="Y31" s="102"/>
      <c r="AA31" s="120"/>
      <c r="AB31" s="121"/>
      <c r="AC31" s="122"/>
      <c r="AE31" s="122"/>
    </row>
    <row r="32" customFormat="false" ht="15.75" hidden="false" customHeight="true" outlineLevel="0" collapsed="false">
      <c r="A32" s="118" t="n">
        <v>11</v>
      </c>
      <c r="B32" s="13" t="s">
        <v>27</v>
      </c>
      <c r="C32" s="15" t="n">
        <f aca="false">+C31+T31</f>
        <v>381.5</v>
      </c>
      <c r="D32" s="16" t="n">
        <f aca="false">+Chạy!F93</f>
        <v>-12.4</v>
      </c>
      <c r="E32" s="16" t="n">
        <f aca="false">+D32+F32</f>
        <v>-12.4092</v>
      </c>
      <c r="F32" s="16" t="n">
        <f aca="false">RANDBETWEEN(-105,115)/10000</f>
        <v>-0.0092</v>
      </c>
      <c r="G32" s="16" t="n">
        <f aca="false">+Chạy!G93</f>
        <v>1.64</v>
      </c>
      <c r="H32" s="16" t="n">
        <f aca="false">G32+I32</f>
        <v>1.72</v>
      </c>
      <c r="I32" s="16" t="n">
        <f aca="false">RANDBETWEEN(-30,90)/1000</f>
        <v>0.08</v>
      </c>
      <c r="J32" s="16" t="n">
        <f aca="false">+Chạy!K93</f>
        <v>1.76</v>
      </c>
      <c r="K32" s="16" t="n">
        <f aca="false">J32+L32</f>
        <v>1.776</v>
      </c>
      <c r="L32" s="16" t="n">
        <f aca="false">RANDBETWEEN(-30,90)/1000</f>
        <v>0.016</v>
      </c>
      <c r="M32" s="16" t="n">
        <f aca="false">+Chạy!N93</f>
        <v>12.4</v>
      </c>
      <c r="N32" s="16" t="n">
        <f aca="false">+M32+O32</f>
        <v>12.4074</v>
      </c>
      <c r="O32" s="16" t="n">
        <f aca="false">RANDBETWEEN(-105,115)/10000</f>
        <v>0.0074</v>
      </c>
      <c r="P32" s="16" t="n">
        <f aca="false">+Chạy!O93</f>
        <v>1.64</v>
      </c>
      <c r="Q32" s="16" t="n">
        <f aca="false">P32+R32</f>
        <v>1.716</v>
      </c>
      <c r="R32" s="16" t="n">
        <f aca="false">RANDBETWEEN(-30,90)/1000</f>
        <v>0.076</v>
      </c>
      <c r="S32" s="17"/>
      <c r="T32" s="0" t="n">
        <v>13.25</v>
      </c>
      <c r="X32" s="119"/>
      <c r="Y32" s="102"/>
      <c r="AA32" s="120"/>
      <c r="AB32" s="121"/>
      <c r="AC32" s="122"/>
      <c r="AE32" s="122"/>
    </row>
    <row r="33" customFormat="false" ht="15.75" hidden="false" customHeight="true" outlineLevel="0" collapsed="false">
      <c r="A33" s="118" t="n">
        <v>12</v>
      </c>
      <c r="B33" s="13" t="s">
        <v>28</v>
      </c>
      <c r="C33" s="15" t="n">
        <f aca="false">+C32+T32</f>
        <v>394.75</v>
      </c>
      <c r="D33" s="16" t="n">
        <f aca="false">+Chạy!F102</f>
        <v>-12.4</v>
      </c>
      <c r="E33" s="16" t="n">
        <f aca="false">+D33+F33</f>
        <v>-12.4075</v>
      </c>
      <c r="F33" s="16" t="n">
        <f aca="false">RANDBETWEEN(-105,115)/10000</f>
        <v>-0.0075</v>
      </c>
      <c r="G33" s="16" t="n">
        <f aca="false">+Chạy!G102</f>
        <v>1.63</v>
      </c>
      <c r="H33" s="16" t="n">
        <f aca="false">G33+I33</f>
        <v>1.665</v>
      </c>
      <c r="I33" s="16" t="n">
        <f aca="false">RANDBETWEEN(-30,90)/1000</f>
        <v>0.035</v>
      </c>
      <c r="J33" s="16" t="n">
        <f aca="false">+Chạy!K102</f>
        <v>1.75</v>
      </c>
      <c r="K33" s="16" t="n">
        <f aca="false">J33+L33</f>
        <v>1.731</v>
      </c>
      <c r="L33" s="16" t="n">
        <f aca="false">RANDBETWEEN(-30,90)/1000</f>
        <v>-0.019</v>
      </c>
      <c r="M33" s="16" t="n">
        <f aca="false">+Chạy!N102</f>
        <v>12.4</v>
      </c>
      <c r="N33" s="16" t="n">
        <f aca="false">+M33+O33</f>
        <v>12.4079</v>
      </c>
      <c r="O33" s="16" t="n">
        <f aca="false">RANDBETWEEN(-105,115)/10000</f>
        <v>0.0079</v>
      </c>
      <c r="P33" s="16" t="n">
        <f aca="false">+Chạy!O102</f>
        <v>1.63</v>
      </c>
      <c r="Q33" s="16" t="n">
        <f aca="false">P33+R33</f>
        <v>1.695</v>
      </c>
      <c r="R33" s="16" t="n">
        <f aca="false">RANDBETWEEN(-30,90)/1000</f>
        <v>0.065</v>
      </c>
      <c r="S33" s="17"/>
      <c r="T33" s="0" t="n">
        <v>20</v>
      </c>
      <c r="X33" s="119"/>
      <c r="Y33" s="102"/>
      <c r="AA33" s="120"/>
      <c r="AB33" s="121"/>
      <c r="AC33" s="122"/>
      <c r="AE33" s="122"/>
    </row>
    <row r="34" customFormat="false" ht="15.75" hidden="false" customHeight="true" outlineLevel="0" collapsed="false">
      <c r="A34" s="118" t="n">
        <v>13</v>
      </c>
      <c r="B34" s="13" t="s">
        <v>29</v>
      </c>
      <c r="C34" s="15" t="n">
        <f aca="false">+C33+T33</f>
        <v>414.75</v>
      </c>
      <c r="D34" s="16" t="n">
        <f aca="false">+Chạy!F111</f>
        <v>-12.4</v>
      </c>
      <c r="E34" s="16" t="n">
        <f aca="false">+D34+F34</f>
        <v>-12.3982</v>
      </c>
      <c r="F34" s="16" t="n">
        <f aca="false">RANDBETWEEN(-105,115)/10000</f>
        <v>0.0018</v>
      </c>
      <c r="G34" s="16" t="n">
        <f aca="false">+Chạy!G111</f>
        <v>1.62</v>
      </c>
      <c r="H34" s="16" t="n">
        <f aca="false">G34+I34</f>
        <v>1.664</v>
      </c>
      <c r="I34" s="16" t="n">
        <f aca="false">RANDBETWEEN(-30,90)/1000</f>
        <v>0.044</v>
      </c>
      <c r="J34" s="16" t="n">
        <f aca="false">+Chạy!K111</f>
        <v>1.74</v>
      </c>
      <c r="K34" s="16" t="n">
        <f aca="false">J34+L34</f>
        <v>1.782</v>
      </c>
      <c r="L34" s="16" t="n">
        <f aca="false">RANDBETWEEN(-30,90)/1000</f>
        <v>0.042</v>
      </c>
      <c r="M34" s="16" t="n">
        <f aca="false">+Chạy!N111</f>
        <v>12.4</v>
      </c>
      <c r="N34" s="16" t="n">
        <f aca="false">+M34+O34</f>
        <v>12.4025</v>
      </c>
      <c r="O34" s="16" t="n">
        <f aca="false">RANDBETWEEN(-105,115)/10000</f>
        <v>0.0025</v>
      </c>
      <c r="P34" s="16" t="n">
        <f aca="false">+Chạy!O111</f>
        <v>1.62</v>
      </c>
      <c r="Q34" s="16" t="n">
        <f aca="false">P34+R34</f>
        <v>1.68</v>
      </c>
      <c r="R34" s="16" t="n">
        <f aca="false">RANDBETWEEN(-30,90)/1000</f>
        <v>0.06</v>
      </c>
      <c r="S34" s="17"/>
      <c r="T34" s="0" t="n">
        <v>20</v>
      </c>
      <c r="X34" s="119"/>
      <c r="Y34" s="102"/>
      <c r="AA34" s="120"/>
      <c r="AB34" s="121"/>
      <c r="AC34" s="122"/>
      <c r="AE34" s="122"/>
    </row>
    <row r="35" customFormat="false" ht="15.75" hidden="false" customHeight="true" outlineLevel="0" collapsed="false">
      <c r="A35" s="118" t="n">
        <v>14</v>
      </c>
      <c r="B35" s="13" t="s">
        <v>30</v>
      </c>
      <c r="C35" s="15" t="n">
        <f aca="false">+C34+T34</f>
        <v>434.75</v>
      </c>
      <c r="D35" s="16" t="n">
        <f aca="false">+Chạy!F120</f>
        <v>-12.4</v>
      </c>
      <c r="E35" s="16" t="n">
        <f aca="false">+D35+F35</f>
        <v>-12.3933</v>
      </c>
      <c r="F35" s="16" t="n">
        <f aca="false">RANDBETWEEN(-105,115)/10000</f>
        <v>0.0067</v>
      </c>
      <c r="G35" s="16" t="n">
        <f aca="false">+Chạy!G120</f>
        <v>1.61</v>
      </c>
      <c r="H35" s="16" t="n">
        <f aca="false">G35+I35</f>
        <v>1.582</v>
      </c>
      <c r="I35" s="16" t="n">
        <f aca="false">RANDBETWEEN(-30,90)/1000</f>
        <v>-0.028</v>
      </c>
      <c r="J35" s="16" t="n">
        <f aca="false">+Chạy!K120</f>
        <v>1.72</v>
      </c>
      <c r="K35" s="16" t="n">
        <f aca="false">J35+L35</f>
        <v>1.719</v>
      </c>
      <c r="L35" s="16" t="n">
        <f aca="false">RANDBETWEEN(-30,90)/1000</f>
        <v>-0.001</v>
      </c>
      <c r="M35" s="16" t="n">
        <f aca="false">+Chạy!N120</f>
        <v>12.4</v>
      </c>
      <c r="N35" s="16" t="n">
        <f aca="false">+M35+O35</f>
        <v>12.4112</v>
      </c>
      <c r="O35" s="16" t="n">
        <f aca="false">RANDBETWEEN(-105,115)/10000</f>
        <v>0.0112</v>
      </c>
      <c r="P35" s="16" t="n">
        <f aca="false">+Chạy!O120</f>
        <v>1.61</v>
      </c>
      <c r="Q35" s="16" t="n">
        <f aca="false">P35+R35</f>
        <v>1.69</v>
      </c>
      <c r="R35" s="16" t="n">
        <f aca="false">RANDBETWEEN(-30,90)/1000</f>
        <v>0.08</v>
      </c>
      <c r="S35" s="17"/>
      <c r="T35" s="0" t="n">
        <v>20</v>
      </c>
      <c r="X35" s="119"/>
      <c r="Y35" s="102"/>
      <c r="AA35" s="120"/>
      <c r="AB35" s="121"/>
      <c r="AC35" s="122"/>
      <c r="AE35" s="122"/>
    </row>
    <row r="36" customFormat="false" ht="15.75" hidden="false" customHeight="true" outlineLevel="0" collapsed="false">
      <c r="A36" s="118" t="n">
        <v>15</v>
      </c>
      <c r="B36" s="13" t="s">
        <v>31</v>
      </c>
      <c r="C36" s="15" t="n">
        <f aca="false">+C35+T35</f>
        <v>454.75</v>
      </c>
      <c r="D36" s="16" t="n">
        <f aca="false">+Chạy!F129</f>
        <v>-12.4</v>
      </c>
      <c r="E36" s="16" t="n">
        <f aca="false">+D36+F36</f>
        <v>-12.4084</v>
      </c>
      <c r="F36" s="16" t="n">
        <f aca="false">RANDBETWEEN(-105,115)/10000</f>
        <v>-0.0084</v>
      </c>
      <c r="G36" s="16" t="n">
        <f aca="false">+Chạy!G129</f>
        <v>1.59</v>
      </c>
      <c r="H36" s="16" t="n">
        <f aca="false">G36+I36</f>
        <v>1.563</v>
      </c>
      <c r="I36" s="16" t="n">
        <f aca="false">RANDBETWEEN(-30,90)/1000</f>
        <v>-0.027</v>
      </c>
      <c r="J36" s="16" t="n">
        <f aca="false">+Chạy!K129</f>
        <v>1.71</v>
      </c>
      <c r="K36" s="16" t="n">
        <f aca="false">J36+L36</f>
        <v>1.723</v>
      </c>
      <c r="L36" s="16" t="n">
        <f aca="false">RANDBETWEEN(-30,90)/1000</f>
        <v>0.013</v>
      </c>
      <c r="M36" s="16" t="n">
        <f aca="false">+Chạy!N129</f>
        <v>12.4</v>
      </c>
      <c r="N36" s="16" t="n">
        <f aca="false">+M36+O36</f>
        <v>12.4063</v>
      </c>
      <c r="O36" s="16" t="n">
        <f aca="false">RANDBETWEEN(-105,115)/10000</f>
        <v>0.0063</v>
      </c>
      <c r="P36" s="16" t="n">
        <f aca="false">+Chạy!O129</f>
        <v>1.59</v>
      </c>
      <c r="Q36" s="16" t="n">
        <f aca="false">P36+R36</f>
        <v>1.595</v>
      </c>
      <c r="R36" s="16" t="n">
        <f aca="false">RANDBETWEEN(-30,90)/1000</f>
        <v>0.005</v>
      </c>
      <c r="S36" s="17"/>
      <c r="T36" s="0" t="n">
        <v>20</v>
      </c>
      <c r="X36" s="119"/>
      <c r="Y36" s="102"/>
      <c r="AA36" s="120"/>
      <c r="AB36" s="121"/>
      <c r="AC36" s="122"/>
      <c r="AE36" s="122"/>
    </row>
    <row r="37" customFormat="false" ht="15.75" hidden="false" customHeight="true" outlineLevel="0" collapsed="false">
      <c r="A37" s="118" t="n">
        <v>16</v>
      </c>
      <c r="B37" s="13" t="s">
        <v>32</v>
      </c>
      <c r="C37" s="15" t="n">
        <f aca="false">+C36+T36</f>
        <v>474.75</v>
      </c>
      <c r="D37" s="16" t="n">
        <f aca="false">+Chạy!F138</f>
        <v>-12.4</v>
      </c>
      <c r="E37" s="16" t="n">
        <f aca="false">+D37+F37</f>
        <v>-12.4068</v>
      </c>
      <c r="F37" s="16" t="n">
        <f aca="false">RANDBETWEEN(-105,115)/10000</f>
        <v>-0.0068</v>
      </c>
      <c r="G37" s="16" t="n">
        <f aca="false">+Chạy!G138</f>
        <v>1.58</v>
      </c>
      <c r="H37" s="16" t="n">
        <f aca="false">G37+I37</f>
        <v>1.58</v>
      </c>
      <c r="I37" s="16" t="n">
        <f aca="false">RANDBETWEEN(-30,90)/1000</f>
        <v>0</v>
      </c>
      <c r="J37" s="16" t="n">
        <f aca="false">+Chạy!K138</f>
        <v>1.7</v>
      </c>
      <c r="K37" s="16" t="n">
        <f aca="false">J37+L37</f>
        <v>1.717</v>
      </c>
      <c r="L37" s="16" t="n">
        <f aca="false">RANDBETWEEN(-30,90)/1000</f>
        <v>0.017</v>
      </c>
      <c r="M37" s="16" t="n">
        <f aca="false">+Chạy!N138</f>
        <v>12.4</v>
      </c>
      <c r="N37" s="16" t="n">
        <f aca="false">+M37+O37</f>
        <v>12.3958</v>
      </c>
      <c r="O37" s="16" t="n">
        <f aca="false">RANDBETWEEN(-105,115)/10000</f>
        <v>-0.0042</v>
      </c>
      <c r="P37" s="16" t="n">
        <f aca="false">+Chạy!O138</f>
        <v>1.58</v>
      </c>
      <c r="Q37" s="16" t="n">
        <f aca="false">P37+R37</f>
        <v>1.565</v>
      </c>
      <c r="R37" s="16" t="n">
        <f aca="false">RANDBETWEEN(-30,90)/1000</f>
        <v>-0.015</v>
      </c>
      <c r="S37" s="17"/>
      <c r="T37" s="0" t="n">
        <v>14.44</v>
      </c>
      <c r="X37" s="119"/>
      <c r="Y37" s="102"/>
      <c r="AA37" s="120"/>
      <c r="AB37" s="121"/>
      <c r="AC37" s="122"/>
      <c r="AE37" s="122"/>
    </row>
    <row r="38" customFormat="false" ht="15.75" hidden="false" customHeight="true" outlineLevel="0" collapsed="false">
      <c r="A38" s="118" t="n">
        <v>17</v>
      </c>
      <c r="B38" s="13" t="s">
        <v>33</v>
      </c>
      <c r="C38" s="15" t="n">
        <f aca="false">+C37+T37</f>
        <v>489.19</v>
      </c>
      <c r="D38" s="16" t="n">
        <f aca="false">+Chạy!F147</f>
        <v>-12.4</v>
      </c>
      <c r="E38" s="16" t="n">
        <f aca="false">+D38+F38</f>
        <v>-12.3905</v>
      </c>
      <c r="F38" s="16" t="n">
        <f aca="false">RANDBETWEEN(-105,115)/10000</f>
        <v>0.0095</v>
      </c>
      <c r="G38" s="16" t="n">
        <f aca="false">+Chạy!G147</f>
        <v>1.57</v>
      </c>
      <c r="H38" s="16" t="n">
        <f aca="false">G38+I38</f>
        <v>1.545</v>
      </c>
      <c r="I38" s="16" t="n">
        <f aca="false">RANDBETWEEN(-30,90)/1000</f>
        <v>-0.025</v>
      </c>
      <c r="J38" s="16" t="n">
        <f aca="false">+Chạy!K147</f>
        <v>1.69</v>
      </c>
      <c r="K38" s="16" t="n">
        <f aca="false">J38+L38</f>
        <v>1.769</v>
      </c>
      <c r="L38" s="16" t="n">
        <f aca="false">RANDBETWEEN(-30,90)/1000</f>
        <v>0.079</v>
      </c>
      <c r="M38" s="16" t="n">
        <f aca="false">+Chạy!N147</f>
        <v>12.4</v>
      </c>
      <c r="N38" s="16" t="n">
        <f aca="false">+M38+O38</f>
        <v>12.3931</v>
      </c>
      <c r="O38" s="16" t="n">
        <f aca="false">RANDBETWEEN(-105,115)/10000</f>
        <v>-0.0069</v>
      </c>
      <c r="P38" s="16" t="n">
        <f aca="false">+Chạy!O147</f>
        <v>1.57</v>
      </c>
      <c r="Q38" s="16" t="n">
        <f aca="false">P38+R38</f>
        <v>1.634</v>
      </c>
      <c r="R38" s="16" t="n">
        <f aca="false">RANDBETWEEN(-30,90)/1000</f>
        <v>0.064</v>
      </c>
      <c r="S38" s="17"/>
      <c r="T38" s="0" t="n">
        <v>13.17</v>
      </c>
      <c r="X38" s="119"/>
      <c r="Y38" s="102"/>
      <c r="AA38" s="120"/>
      <c r="AB38" s="121"/>
      <c r="AC38" s="122"/>
      <c r="AE38" s="122"/>
    </row>
    <row r="39" customFormat="false" ht="15.75" hidden="false" customHeight="true" outlineLevel="0" collapsed="false">
      <c r="A39" s="118" t="n">
        <v>18</v>
      </c>
      <c r="B39" s="13" t="s">
        <v>34</v>
      </c>
      <c r="C39" s="15" t="n">
        <f aca="false">+C38+T38</f>
        <v>502.36</v>
      </c>
      <c r="D39" s="16" t="n">
        <f aca="false">+Chạy!F156</f>
        <v>-12.4</v>
      </c>
      <c r="E39" s="16" t="n">
        <f aca="false">+D39+F39</f>
        <v>-12.3894</v>
      </c>
      <c r="F39" s="16" t="n">
        <f aca="false">RANDBETWEEN(-105,115)/10000</f>
        <v>0.0106</v>
      </c>
      <c r="G39" s="16" t="n">
        <f aca="false">+Chạy!G156</f>
        <v>1.56</v>
      </c>
      <c r="H39" s="16" t="n">
        <f aca="false">G39+I39</f>
        <v>1.569</v>
      </c>
      <c r="I39" s="16" t="n">
        <f aca="false">RANDBETWEEN(-30,90)/1000</f>
        <v>0.009</v>
      </c>
      <c r="J39" s="16" t="n">
        <f aca="false">+Chạy!K156</f>
        <v>1.68</v>
      </c>
      <c r="K39" s="16" t="n">
        <f aca="false">J39+L39</f>
        <v>1.668</v>
      </c>
      <c r="L39" s="16" t="n">
        <f aca="false">RANDBETWEEN(-30,90)/1000</f>
        <v>-0.012</v>
      </c>
      <c r="M39" s="16" t="n">
        <f aca="false">+Chạy!N156</f>
        <v>12.4</v>
      </c>
      <c r="N39" s="16" t="n">
        <f aca="false">+M39+O39</f>
        <v>12.4003</v>
      </c>
      <c r="O39" s="16" t="n">
        <f aca="false">RANDBETWEEN(-105,115)/10000</f>
        <v>0.0003</v>
      </c>
      <c r="P39" s="16" t="n">
        <f aca="false">+Chạy!O156</f>
        <v>1.56</v>
      </c>
      <c r="Q39" s="16" t="n">
        <f aca="false">P39+R39</f>
        <v>1.596</v>
      </c>
      <c r="R39" s="16" t="n">
        <f aca="false">RANDBETWEEN(-30,90)/1000</f>
        <v>0.036</v>
      </c>
      <c r="S39" s="17"/>
      <c r="T39" s="0" t="n">
        <v>10.48</v>
      </c>
      <c r="X39" s="119"/>
      <c r="Y39" s="102"/>
      <c r="AA39" s="120"/>
      <c r="AB39" s="121"/>
      <c r="AC39" s="122"/>
      <c r="AE39" s="122"/>
    </row>
    <row r="40" customFormat="false" ht="15.75" hidden="false" customHeight="true" outlineLevel="0" collapsed="false">
      <c r="A40" s="118" t="n">
        <v>19</v>
      </c>
      <c r="B40" s="13" t="s">
        <v>35</v>
      </c>
      <c r="C40" s="15" t="n">
        <f aca="false">+C39+T39</f>
        <v>512.84</v>
      </c>
      <c r="D40" s="16" t="n">
        <f aca="false">+Chạy!F165</f>
        <v>-12.4</v>
      </c>
      <c r="E40" s="16" t="n">
        <f aca="false">+D40+F40</f>
        <v>-12.409</v>
      </c>
      <c r="F40" s="16" t="n">
        <f aca="false">RANDBETWEEN(-105,115)/10000</f>
        <v>-0.009</v>
      </c>
      <c r="G40" s="16" t="n">
        <f aca="false">+Chạy!G165</f>
        <v>1.56</v>
      </c>
      <c r="H40" s="16" t="n">
        <f aca="false">G40+I40</f>
        <v>1.585</v>
      </c>
      <c r="I40" s="16" t="n">
        <f aca="false">RANDBETWEEN(-30,90)/1000</f>
        <v>0.025</v>
      </c>
      <c r="J40" s="16" t="n">
        <f aca="false">+Chạy!K165</f>
        <v>1.67</v>
      </c>
      <c r="K40" s="16" t="n">
        <f aca="false">J40+L40</f>
        <v>1.681</v>
      </c>
      <c r="L40" s="16" t="n">
        <f aca="false">RANDBETWEEN(-30,90)/1000</f>
        <v>0.011</v>
      </c>
      <c r="M40" s="16" t="n">
        <f aca="false">+Chạy!N165</f>
        <v>12.4</v>
      </c>
      <c r="N40" s="16" t="n">
        <f aca="false">+M40+O40</f>
        <v>12.4037</v>
      </c>
      <c r="O40" s="16" t="n">
        <f aca="false">RANDBETWEEN(-105,115)/10000</f>
        <v>0.0037</v>
      </c>
      <c r="P40" s="16" t="n">
        <f aca="false">+Chạy!O165</f>
        <v>1.56</v>
      </c>
      <c r="Q40" s="16" t="n">
        <f aca="false">P40+R40</f>
        <v>1.55</v>
      </c>
      <c r="R40" s="16" t="n">
        <f aca="false">RANDBETWEEN(-30,90)/1000</f>
        <v>-0.01</v>
      </c>
      <c r="S40" s="17"/>
      <c r="T40" s="0" t="n">
        <v>16.78</v>
      </c>
      <c r="X40" s="119"/>
      <c r="Y40" s="102"/>
      <c r="AA40" s="120"/>
      <c r="AB40" s="121"/>
      <c r="AC40" s="122"/>
      <c r="AE40" s="122"/>
    </row>
    <row r="41" customFormat="false" ht="15.75" hidden="false" customHeight="true" outlineLevel="0" collapsed="false">
      <c r="A41" s="118" t="n">
        <v>20</v>
      </c>
      <c r="B41" s="13" t="s">
        <v>36</v>
      </c>
      <c r="C41" s="15" t="n">
        <f aca="false">+C40+T40</f>
        <v>529.62</v>
      </c>
      <c r="D41" s="16" t="n">
        <f aca="false">+Chạy!F174</f>
        <v>-12.4</v>
      </c>
      <c r="E41" s="16" t="n">
        <f aca="false">+D41+F41</f>
        <v>-12.3958</v>
      </c>
      <c r="F41" s="16" t="n">
        <f aca="false">RANDBETWEEN(-105,115)/10000</f>
        <v>0.0042</v>
      </c>
      <c r="G41" s="16" t="n">
        <f aca="false">+Chạy!G174</f>
        <v>1.55</v>
      </c>
      <c r="H41" s="16" t="n">
        <f aca="false">G41+I41</f>
        <v>1.534</v>
      </c>
      <c r="I41" s="16" t="n">
        <f aca="false">RANDBETWEEN(-30,90)/1000</f>
        <v>-0.016</v>
      </c>
      <c r="J41" s="16" t="n">
        <f aca="false">+Chạy!K174</f>
        <v>1.67</v>
      </c>
      <c r="K41" s="16" t="n">
        <f aca="false">J41+L41</f>
        <v>1.75</v>
      </c>
      <c r="L41" s="16" t="n">
        <f aca="false">RANDBETWEEN(-30,90)/1000</f>
        <v>0.08</v>
      </c>
      <c r="M41" s="16" t="n">
        <f aca="false">+Chạy!N174</f>
        <v>12.4</v>
      </c>
      <c r="N41" s="16" t="n">
        <f aca="false">+M41+O41</f>
        <v>12.4062</v>
      </c>
      <c r="O41" s="16" t="n">
        <f aca="false">RANDBETWEEN(-105,115)/10000</f>
        <v>0.0062</v>
      </c>
      <c r="P41" s="16" t="n">
        <f aca="false">+Chạy!O174</f>
        <v>1.55</v>
      </c>
      <c r="Q41" s="16" t="n">
        <f aca="false">P41+R41</f>
        <v>1.63</v>
      </c>
      <c r="R41" s="16" t="n">
        <f aca="false">RANDBETWEEN(-30,90)/1000</f>
        <v>0.08</v>
      </c>
      <c r="S41" s="17"/>
      <c r="T41" s="0" t="n">
        <v>17.1</v>
      </c>
      <c r="X41" s="119"/>
      <c r="Y41" s="102"/>
      <c r="AA41" s="120"/>
      <c r="AB41" s="121"/>
      <c r="AC41" s="122"/>
      <c r="AE41" s="122"/>
    </row>
    <row r="42" customFormat="false" ht="15.75" hidden="false" customHeight="true" outlineLevel="0" collapsed="false">
      <c r="A42" s="118" t="n">
        <v>21</v>
      </c>
      <c r="B42" s="13" t="s">
        <v>37</v>
      </c>
      <c r="C42" s="15" t="n">
        <f aca="false">+C41+T41</f>
        <v>546.72</v>
      </c>
      <c r="D42" s="16" t="n">
        <f aca="false">+Chạy!F183</f>
        <v>-12.4</v>
      </c>
      <c r="E42" s="16" t="n">
        <f aca="false">+D42+F42</f>
        <v>-12.3984</v>
      </c>
      <c r="F42" s="16" t="n">
        <f aca="false">RANDBETWEEN(-105,115)/10000</f>
        <v>0.0016</v>
      </c>
      <c r="G42" s="16" t="n">
        <f aca="false">+Chạy!G183</f>
        <v>1.54</v>
      </c>
      <c r="H42" s="16" t="n">
        <f aca="false">G42+I42</f>
        <v>1.611</v>
      </c>
      <c r="I42" s="16" t="n">
        <f aca="false">RANDBETWEEN(-30,90)/1000</f>
        <v>0.071</v>
      </c>
      <c r="J42" s="16" t="n">
        <f aca="false">+Chạy!K183</f>
        <v>1.66</v>
      </c>
      <c r="K42" s="16" t="n">
        <f aca="false">J42+L42</f>
        <v>1.733</v>
      </c>
      <c r="L42" s="16" t="n">
        <f aca="false">RANDBETWEEN(-30,90)/1000</f>
        <v>0.073</v>
      </c>
      <c r="M42" s="16" t="n">
        <f aca="false">+Chạy!N183</f>
        <v>12.4</v>
      </c>
      <c r="N42" s="16" t="n">
        <f aca="false">+M42+O42</f>
        <v>12.4098</v>
      </c>
      <c r="O42" s="16" t="n">
        <f aca="false">RANDBETWEEN(-105,115)/10000</f>
        <v>0.0098</v>
      </c>
      <c r="P42" s="16" t="n">
        <f aca="false">+Chạy!O183</f>
        <v>1.54</v>
      </c>
      <c r="Q42" s="16" t="n">
        <f aca="false">P42+R42</f>
        <v>1.611</v>
      </c>
      <c r="R42" s="16" t="n">
        <f aca="false">RANDBETWEEN(-30,90)/1000</f>
        <v>0.071</v>
      </c>
      <c r="S42" s="17"/>
      <c r="T42" s="0" t="n">
        <v>15.15</v>
      </c>
      <c r="X42" s="119"/>
      <c r="Y42" s="102"/>
      <c r="AA42" s="120"/>
      <c r="AB42" s="121"/>
      <c r="AC42" s="122"/>
      <c r="AE42" s="122"/>
    </row>
    <row r="43" customFormat="false" ht="15.75" hidden="false" customHeight="true" outlineLevel="0" collapsed="false">
      <c r="A43" s="118" t="n">
        <v>22</v>
      </c>
      <c r="B43" s="13" t="s">
        <v>38</v>
      </c>
      <c r="C43" s="15" t="n">
        <f aca="false">+C42+T42</f>
        <v>561.87</v>
      </c>
      <c r="D43" s="16" t="n">
        <f aca="false">+Chạy!F192</f>
        <v>-12.4</v>
      </c>
      <c r="E43" s="16" t="n">
        <f aca="false">+D43+F43</f>
        <v>-12.3888</v>
      </c>
      <c r="F43" s="16" t="n">
        <f aca="false">RANDBETWEEN(-105,115)/10000</f>
        <v>0.0112</v>
      </c>
      <c r="G43" s="16" t="n">
        <f aca="false">+Chạy!G192</f>
        <v>1.54</v>
      </c>
      <c r="H43" s="16" t="n">
        <f aca="false">G43+I43</f>
        <v>1.627</v>
      </c>
      <c r="I43" s="16" t="n">
        <f aca="false">RANDBETWEEN(-30,90)/1000</f>
        <v>0.087</v>
      </c>
      <c r="J43" s="16" t="n">
        <f aca="false">+Chạy!K192</f>
        <v>1.65</v>
      </c>
      <c r="K43" s="16" t="n">
        <f aca="false">J43+L43</f>
        <v>1.666</v>
      </c>
      <c r="L43" s="16" t="n">
        <f aca="false">RANDBETWEEN(-30,90)/1000</f>
        <v>0.016</v>
      </c>
      <c r="M43" s="16" t="n">
        <f aca="false">+Chạy!N192</f>
        <v>12.4</v>
      </c>
      <c r="N43" s="16" t="n">
        <f aca="false">+M43+O43</f>
        <v>12.4023</v>
      </c>
      <c r="O43" s="16" t="n">
        <f aca="false">RANDBETWEEN(-105,115)/10000</f>
        <v>0.0023</v>
      </c>
      <c r="P43" s="16" t="n">
        <f aca="false">+Chạy!O192</f>
        <v>1.54</v>
      </c>
      <c r="Q43" s="16" t="n">
        <f aca="false">P43+R43</f>
        <v>1.619</v>
      </c>
      <c r="R43" s="16" t="n">
        <f aca="false">RANDBETWEEN(-30,90)/1000</f>
        <v>0.079</v>
      </c>
      <c r="S43" s="17"/>
      <c r="T43" s="0" t="n">
        <v>0.15</v>
      </c>
      <c r="X43" s="119"/>
      <c r="Y43" s="102"/>
      <c r="AA43" s="120"/>
      <c r="AB43" s="121"/>
      <c r="AC43" s="122"/>
      <c r="AE43" s="122"/>
    </row>
    <row r="44" customFormat="false" ht="15.75" hidden="false" customHeight="true" outlineLevel="0" collapsed="false">
      <c r="A44" s="118" t="n">
        <v>23</v>
      </c>
      <c r="B44" s="13" t="s">
        <v>39</v>
      </c>
      <c r="C44" s="15" t="n">
        <f aca="false">+C43+T43</f>
        <v>562.02</v>
      </c>
      <c r="D44" s="16" t="n">
        <f aca="false">+Chạy!F201</f>
        <v>-12.4</v>
      </c>
      <c r="E44" s="16" t="n">
        <f aca="false">+D44+F44</f>
        <v>-12.4022</v>
      </c>
      <c r="F44" s="16" t="n">
        <f aca="false">RANDBETWEEN(-105,115)/10000</f>
        <v>-0.0022</v>
      </c>
      <c r="G44" s="16" t="n">
        <f aca="false">+Chạy!G201</f>
        <v>1.54</v>
      </c>
      <c r="H44" s="16" t="n">
        <f aca="false">G44+I44</f>
        <v>1.581</v>
      </c>
      <c r="I44" s="16" t="n">
        <f aca="false">RANDBETWEEN(-30,90)/1000</f>
        <v>0.041</v>
      </c>
      <c r="J44" s="16" t="n">
        <f aca="false">+Chạy!K201</f>
        <v>1.65</v>
      </c>
      <c r="K44" s="16" t="n">
        <f aca="false">J44+L44</f>
        <v>1.708</v>
      </c>
      <c r="L44" s="16" t="n">
        <f aca="false">RANDBETWEEN(-30,90)/1000</f>
        <v>0.058</v>
      </c>
      <c r="M44" s="16" t="n">
        <f aca="false">+Chạy!N201</f>
        <v>12.4</v>
      </c>
      <c r="N44" s="16" t="n">
        <f aca="false">+M44+O44</f>
        <v>12.3984</v>
      </c>
      <c r="O44" s="16" t="n">
        <f aca="false">RANDBETWEEN(-105,115)/10000</f>
        <v>-0.0016</v>
      </c>
      <c r="P44" s="16" t="n">
        <f aca="false">+Chạy!O201</f>
        <v>1.54</v>
      </c>
      <c r="Q44" s="16" t="n">
        <f aca="false">P44+R44</f>
        <v>1.529</v>
      </c>
      <c r="R44" s="16" t="n">
        <f aca="false">RANDBETWEEN(-30,90)/1000</f>
        <v>-0.011</v>
      </c>
      <c r="S44" s="17"/>
      <c r="T44" s="0" t="n">
        <v>6.55</v>
      </c>
      <c r="X44" s="119"/>
      <c r="Y44" s="102"/>
      <c r="AA44" s="120"/>
      <c r="AB44" s="121"/>
      <c r="AC44" s="122"/>
      <c r="AE44" s="122"/>
    </row>
    <row r="45" customFormat="false" ht="15.75" hidden="false" customHeight="true" outlineLevel="0" collapsed="false">
      <c r="A45" s="118" t="n">
        <v>24</v>
      </c>
      <c r="B45" s="13" t="s">
        <v>40</v>
      </c>
      <c r="C45" s="15" t="n">
        <f aca="false">+C44+T44</f>
        <v>568.57</v>
      </c>
      <c r="D45" s="16" t="n">
        <f aca="false">+Chạy!F210</f>
        <v>-12.4</v>
      </c>
      <c r="E45" s="16" t="n">
        <f aca="false">+D45+F45</f>
        <v>-12.4087</v>
      </c>
      <c r="F45" s="16" t="n">
        <f aca="false">RANDBETWEEN(-105,115)/10000</f>
        <v>-0.0087</v>
      </c>
      <c r="G45" s="16" t="n">
        <f aca="false">+Chạy!G210</f>
        <v>1.54</v>
      </c>
      <c r="H45" s="16" t="n">
        <f aca="false">G45+I45</f>
        <v>1.566</v>
      </c>
      <c r="I45" s="16" t="n">
        <f aca="false">RANDBETWEEN(-30,90)/1000</f>
        <v>0.026</v>
      </c>
      <c r="J45" s="16" t="n">
        <f aca="false">+Chạy!K210</f>
        <v>1.65</v>
      </c>
      <c r="K45" s="16" t="n">
        <f aca="false">J45+L45</f>
        <v>1.696</v>
      </c>
      <c r="L45" s="16" t="n">
        <f aca="false">RANDBETWEEN(-30,90)/1000</f>
        <v>0.046</v>
      </c>
      <c r="M45" s="16" t="n">
        <f aca="false">+Chạy!N210</f>
        <v>12.4</v>
      </c>
      <c r="N45" s="16" t="n">
        <f aca="false">+M45+O45</f>
        <v>12.3989</v>
      </c>
      <c r="O45" s="16" t="n">
        <f aca="false">RANDBETWEEN(-105,115)/10000</f>
        <v>-0.0011</v>
      </c>
      <c r="P45" s="16" t="n">
        <f aca="false">+Chạy!O210</f>
        <v>1.54</v>
      </c>
      <c r="Q45" s="16" t="n">
        <f aca="false">P45+R45</f>
        <v>1.599</v>
      </c>
      <c r="R45" s="16" t="n">
        <f aca="false">RANDBETWEEN(-30,90)/1000</f>
        <v>0.059</v>
      </c>
      <c r="S45" s="17"/>
      <c r="T45" s="0" t="n">
        <v>6.55</v>
      </c>
      <c r="X45" s="119"/>
      <c r="Y45" s="102"/>
      <c r="AA45" s="120"/>
      <c r="AB45" s="121"/>
      <c r="AC45" s="122"/>
      <c r="AE45" s="122"/>
    </row>
    <row r="46" customFormat="false" ht="15.75" hidden="false" customHeight="true" outlineLevel="0" collapsed="false">
      <c r="A46" s="118" t="n">
        <v>25</v>
      </c>
      <c r="B46" s="13" t="s">
        <v>1</v>
      </c>
      <c r="C46" s="15" t="n">
        <f aca="false">+C45+T45</f>
        <v>575.12</v>
      </c>
      <c r="D46" s="16" t="n">
        <f aca="false">+Chạy!F219</f>
        <v>-12.4</v>
      </c>
      <c r="E46" s="16" t="n">
        <f aca="false">+D46+F46</f>
        <v>-12.3907</v>
      </c>
      <c r="F46" s="16" t="n">
        <f aca="false">RANDBETWEEN(-105,115)/10000</f>
        <v>0.0093</v>
      </c>
      <c r="G46" s="16" t="n">
        <f aca="false">+Chạy!G219</f>
        <v>1.54</v>
      </c>
      <c r="H46" s="16" t="n">
        <f aca="false">G46+I46</f>
        <v>1.62</v>
      </c>
      <c r="I46" s="16" t="n">
        <f aca="false">RANDBETWEEN(-30,90)/1000</f>
        <v>0.08</v>
      </c>
      <c r="J46" s="16" t="n">
        <f aca="false">+Chạy!K219</f>
        <v>1.65</v>
      </c>
      <c r="K46" s="16" t="n">
        <f aca="false">J46+L46</f>
        <v>1.647</v>
      </c>
      <c r="L46" s="16" t="n">
        <f aca="false">RANDBETWEEN(-30,90)/1000</f>
        <v>-0.003</v>
      </c>
      <c r="M46" s="16" t="n">
        <f aca="false">+Chạy!N219</f>
        <v>12.4</v>
      </c>
      <c r="N46" s="16" t="n">
        <f aca="false">+M46+O46</f>
        <v>12.3957</v>
      </c>
      <c r="O46" s="16" t="n">
        <f aca="false">RANDBETWEEN(-105,115)/10000</f>
        <v>-0.0043</v>
      </c>
      <c r="P46" s="16" t="n">
        <f aca="false">+Chạy!O219</f>
        <v>1.54</v>
      </c>
      <c r="Q46" s="16" t="n">
        <f aca="false">P46+R46</f>
        <v>1.536</v>
      </c>
      <c r="R46" s="16" t="n">
        <f aca="false">RANDBETWEEN(-30,90)/1000</f>
        <v>-0.004</v>
      </c>
      <c r="S46" s="17"/>
      <c r="T46" s="0" t="n">
        <v>0.04</v>
      </c>
      <c r="X46" s="119"/>
      <c r="Y46" s="102"/>
      <c r="AA46" s="120"/>
      <c r="AB46" s="121"/>
      <c r="AC46" s="122"/>
      <c r="AE46" s="122"/>
    </row>
    <row r="47" customFormat="false" ht="15.75" hidden="false" customHeight="true" outlineLevel="0" collapsed="false">
      <c r="A47" s="118" t="n">
        <v>26</v>
      </c>
      <c r="B47" s="13" t="s">
        <v>41</v>
      </c>
      <c r="C47" s="15" t="n">
        <f aca="false">+C46+T46</f>
        <v>575.16</v>
      </c>
      <c r="D47" s="16" t="n">
        <f aca="false">+Chạy!F228</f>
        <v>-12.4</v>
      </c>
      <c r="E47" s="16" t="n">
        <f aca="false">+D47+F47</f>
        <v>-12.3969</v>
      </c>
      <c r="F47" s="16" t="n">
        <f aca="false">RANDBETWEEN(-105,115)/10000</f>
        <v>0.0031</v>
      </c>
      <c r="G47" s="16" t="n">
        <f aca="false">+Chạy!G228</f>
        <v>1.67</v>
      </c>
      <c r="H47" s="16" t="n">
        <f aca="false">G47+I47</f>
        <v>1.732</v>
      </c>
      <c r="I47" s="16" t="n">
        <f aca="false">RANDBETWEEN(-30,90)/1000</f>
        <v>0.062</v>
      </c>
      <c r="J47" s="16" t="n">
        <f aca="false">+Chạy!K228</f>
        <v>1.65</v>
      </c>
      <c r="K47" s="16" t="n">
        <f aca="false">J47+L47</f>
        <v>1.628</v>
      </c>
      <c r="L47" s="16" t="n">
        <f aca="false">RANDBETWEEN(-30,90)/1000</f>
        <v>-0.022</v>
      </c>
      <c r="M47" s="16" t="n">
        <f aca="false">+Chạy!N228</f>
        <v>12.4</v>
      </c>
      <c r="N47" s="16" t="n">
        <f aca="false">+M47+O47</f>
        <v>12.397</v>
      </c>
      <c r="O47" s="16" t="n">
        <f aca="false">RANDBETWEEN(-105,115)/10000</f>
        <v>-0.003</v>
      </c>
      <c r="P47" s="16" t="n">
        <f aca="false">+Chạy!O228</f>
        <v>1.54</v>
      </c>
      <c r="Q47" s="16" t="n">
        <f aca="false">P47+R47</f>
        <v>1.58</v>
      </c>
      <c r="R47" s="16" t="n">
        <f aca="false">RANDBETWEEN(-30,90)/1000</f>
        <v>0.04</v>
      </c>
      <c r="S47" s="17"/>
      <c r="T47" s="0" t="n">
        <v>16.95</v>
      </c>
      <c r="X47" s="119"/>
      <c r="Y47" s="102"/>
      <c r="AA47" s="120"/>
      <c r="AB47" s="121"/>
      <c r="AC47" s="122"/>
      <c r="AE47" s="122"/>
    </row>
    <row r="48" customFormat="false" ht="15.75" hidden="false" customHeight="true" outlineLevel="0" collapsed="false">
      <c r="A48" s="118" t="n">
        <v>27</v>
      </c>
      <c r="B48" s="13" t="s">
        <v>42</v>
      </c>
      <c r="C48" s="15" t="n">
        <f aca="false">+C47+T47</f>
        <v>592.11</v>
      </c>
      <c r="D48" s="16" t="n">
        <f aca="false">+Chạy!F237</f>
        <v>-12.4</v>
      </c>
      <c r="E48" s="16" t="n">
        <f aca="false">+D48+F48</f>
        <v>-12.3992</v>
      </c>
      <c r="F48" s="16" t="n">
        <f aca="false">RANDBETWEEN(-105,115)/10000</f>
        <v>0.0008</v>
      </c>
      <c r="G48" s="16" t="n">
        <f aca="false">+Chạy!G237</f>
        <v>1.54</v>
      </c>
      <c r="H48" s="16" t="n">
        <f aca="false">G48+I48</f>
        <v>1.583</v>
      </c>
      <c r="I48" s="16" t="n">
        <f aca="false">RANDBETWEEN(-30,90)/1000</f>
        <v>0.043</v>
      </c>
      <c r="J48" s="16" t="n">
        <f aca="false">+Chạy!K237</f>
        <v>1.66</v>
      </c>
      <c r="K48" s="16" t="n">
        <f aca="false">J48+L48</f>
        <v>1.715</v>
      </c>
      <c r="L48" s="16" t="n">
        <f aca="false">RANDBETWEEN(-30,90)/1000</f>
        <v>0.055</v>
      </c>
      <c r="M48" s="16" t="n">
        <f aca="false">+Chạy!N237</f>
        <v>12.4</v>
      </c>
      <c r="N48" s="16" t="n">
        <f aca="false">+M48+O48</f>
        <v>12.3938</v>
      </c>
      <c r="O48" s="16" t="n">
        <f aca="false">RANDBETWEEN(-105,115)/10000</f>
        <v>-0.0062</v>
      </c>
      <c r="P48" s="16" t="n">
        <f aca="false">+Chạy!O237</f>
        <v>1.54</v>
      </c>
      <c r="Q48" s="16" t="n">
        <f aca="false">P48+R48</f>
        <v>1.544</v>
      </c>
      <c r="R48" s="16" t="n">
        <f aca="false">RANDBETWEEN(-30,90)/1000</f>
        <v>0.004</v>
      </c>
      <c r="S48" s="17"/>
      <c r="T48" s="0" t="n">
        <v>17</v>
      </c>
      <c r="X48" s="119"/>
      <c r="Y48" s="102"/>
      <c r="AA48" s="120"/>
      <c r="AB48" s="121"/>
      <c r="AC48" s="122"/>
      <c r="AE48" s="122"/>
    </row>
    <row r="49" customFormat="false" ht="15.75" hidden="false" customHeight="true" outlineLevel="0" collapsed="false">
      <c r="A49" s="118" t="n">
        <v>28</v>
      </c>
      <c r="B49" s="13" t="s">
        <v>43</v>
      </c>
      <c r="C49" s="15" t="n">
        <f aca="false">+C48+T48</f>
        <v>609.11</v>
      </c>
      <c r="D49" s="16" t="n">
        <f aca="false">+Chạy!F246</f>
        <v>-12.4</v>
      </c>
      <c r="E49" s="16" t="n">
        <f aca="false">+D49+F49</f>
        <v>-12.4101</v>
      </c>
      <c r="F49" s="16" t="n">
        <f aca="false">RANDBETWEEN(-105,115)/10000</f>
        <v>-0.0101</v>
      </c>
      <c r="G49" s="16" t="n">
        <f aca="false">+Chạy!G246</f>
        <v>1.54</v>
      </c>
      <c r="H49" s="16" t="n">
        <f aca="false">G49+I49</f>
        <v>1.517</v>
      </c>
      <c r="I49" s="16" t="n">
        <f aca="false">RANDBETWEEN(-30,90)/1000</f>
        <v>-0.023</v>
      </c>
      <c r="J49" s="16" t="n">
        <f aca="false">+Chạy!K246</f>
        <v>1.66</v>
      </c>
      <c r="K49" s="16" t="n">
        <f aca="false">J49+L49</f>
        <v>1.745</v>
      </c>
      <c r="L49" s="16" t="n">
        <f aca="false">RANDBETWEEN(-30,90)/1000</f>
        <v>0.085</v>
      </c>
      <c r="M49" s="16" t="n">
        <f aca="false">+Chạy!N246</f>
        <v>12.4</v>
      </c>
      <c r="N49" s="16" t="n">
        <f aca="false">+M49+O49</f>
        <v>12.3912</v>
      </c>
      <c r="O49" s="16" t="n">
        <f aca="false">RANDBETWEEN(-105,115)/10000</f>
        <v>-0.0088</v>
      </c>
      <c r="P49" s="16" t="n">
        <f aca="false">+Chạy!O246</f>
        <v>1.54</v>
      </c>
      <c r="Q49" s="16" t="n">
        <f aca="false">P49+R49</f>
        <v>1.622</v>
      </c>
      <c r="R49" s="16" t="n">
        <f aca="false">RANDBETWEEN(-30,90)/1000</f>
        <v>0.082</v>
      </c>
      <c r="S49" s="17"/>
      <c r="T49" s="0" t="n">
        <v>11.75</v>
      </c>
      <c r="X49" s="119"/>
      <c r="Y49" s="102"/>
      <c r="AA49" s="120"/>
      <c r="AB49" s="121"/>
      <c r="AC49" s="122"/>
      <c r="AE49" s="122"/>
    </row>
    <row r="50" customFormat="false" ht="15.75" hidden="false" customHeight="true" outlineLevel="0" collapsed="false">
      <c r="A50" s="118" t="n">
        <v>29</v>
      </c>
      <c r="B50" s="13" t="s">
        <v>44</v>
      </c>
      <c r="C50" s="15" t="n">
        <f aca="false">+C49+T49</f>
        <v>620.86</v>
      </c>
      <c r="D50" s="16" t="n">
        <f aca="false">+Chạy!F255</f>
        <v>-12.4</v>
      </c>
      <c r="E50" s="16" t="n">
        <f aca="false">+D50+F50</f>
        <v>-12.4047</v>
      </c>
      <c r="F50" s="16" t="n">
        <f aca="false">RANDBETWEEN(-105,115)/10000</f>
        <v>-0.0047</v>
      </c>
      <c r="G50" s="16" t="n">
        <f aca="false">+Chạy!G255</f>
        <v>1.54</v>
      </c>
      <c r="H50" s="16" t="n">
        <f aca="false">G50+I50</f>
        <v>1.571</v>
      </c>
      <c r="I50" s="16" t="n">
        <f aca="false">RANDBETWEEN(-30,90)/1000</f>
        <v>0.031</v>
      </c>
      <c r="J50" s="16" t="n">
        <f aca="false">+Chạy!K255</f>
        <v>1.66</v>
      </c>
      <c r="K50" s="16" t="n">
        <f aca="false">J50+L50</f>
        <v>1.681</v>
      </c>
      <c r="L50" s="16" t="n">
        <f aca="false">RANDBETWEEN(-30,90)/1000</f>
        <v>0.021</v>
      </c>
      <c r="M50" s="16" t="n">
        <f aca="false">+Chạy!N255</f>
        <v>12.4</v>
      </c>
      <c r="N50" s="16" t="n">
        <f aca="false">+M50+O50</f>
        <v>12.3971</v>
      </c>
      <c r="O50" s="16" t="n">
        <f aca="false">RANDBETWEEN(-105,115)/10000</f>
        <v>-0.0029</v>
      </c>
      <c r="P50" s="16" t="n">
        <f aca="false">+Chạy!O255</f>
        <v>1.54</v>
      </c>
      <c r="Q50" s="16" t="n">
        <f aca="false">P50+R50</f>
        <v>1.579</v>
      </c>
      <c r="R50" s="16" t="n">
        <f aca="false">RANDBETWEEN(-30,90)/1000</f>
        <v>0.039</v>
      </c>
      <c r="S50" s="17"/>
      <c r="T50" s="0" t="n">
        <v>11.75</v>
      </c>
      <c r="X50" s="119"/>
      <c r="Y50" s="102"/>
      <c r="AA50" s="120"/>
      <c r="AB50" s="121"/>
      <c r="AC50" s="122"/>
      <c r="AE50" s="122"/>
    </row>
    <row r="51" customFormat="false" ht="15.75" hidden="false" customHeight="true" outlineLevel="0" collapsed="false">
      <c r="A51" s="118" t="n">
        <v>30</v>
      </c>
      <c r="B51" s="13" t="s">
        <v>45</v>
      </c>
      <c r="C51" s="15" t="n">
        <f aca="false">+C50+T50</f>
        <v>632.61</v>
      </c>
      <c r="D51" s="16" t="n">
        <f aca="false">+Chạy!F264</f>
        <v>-12.4</v>
      </c>
      <c r="E51" s="16" t="n">
        <f aca="false">+D51+F51</f>
        <v>-12.4043</v>
      </c>
      <c r="F51" s="16" t="n">
        <f aca="false">RANDBETWEEN(-105,115)/10000</f>
        <v>-0.0043</v>
      </c>
      <c r="G51" s="16" t="n">
        <f aca="false">+Chạy!G264</f>
        <v>1.54</v>
      </c>
      <c r="H51" s="16" t="n">
        <f aca="false">G51+I51</f>
        <v>1.603</v>
      </c>
      <c r="I51" s="16" t="n">
        <f aca="false">RANDBETWEEN(-30,90)/1000</f>
        <v>0.063</v>
      </c>
      <c r="J51" s="16" t="n">
        <f aca="false">+Chạy!K264</f>
        <v>1.66</v>
      </c>
      <c r="K51" s="16" t="n">
        <f aca="false">J51+L51</f>
        <v>1.707</v>
      </c>
      <c r="L51" s="16" t="n">
        <f aca="false">RANDBETWEEN(-30,90)/1000</f>
        <v>0.047</v>
      </c>
      <c r="M51" s="16" t="n">
        <f aca="false">+Chạy!N264</f>
        <v>12.4</v>
      </c>
      <c r="N51" s="16" t="n">
        <f aca="false">+M51+O51</f>
        <v>12.4049</v>
      </c>
      <c r="O51" s="16" t="n">
        <f aca="false">RANDBETWEEN(-105,115)/10000</f>
        <v>0.0049</v>
      </c>
      <c r="P51" s="16" t="n">
        <f aca="false">+Chạy!O264</f>
        <v>1.54</v>
      </c>
      <c r="Q51" s="16" t="n">
        <f aca="false">P51+R51</f>
        <v>1.555</v>
      </c>
      <c r="R51" s="16" t="n">
        <f aca="false">RANDBETWEEN(-30,90)/1000</f>
        <v>0.015</v>
      </c>
      <c r="S51" s="17"/>
      <c r="T51" s="0" t="n">
        <v>20</v>
      </c>
      <c r="X51" s="119"/>
      <c r="Y51" s="102"/>
      <c r="AA51" s="120"/>
      <c r="AB51" s="121"/>
      <c r="AC51" s="122"/>
      <c r="AE51" s="122"/>
    </row>
    <row r="52" customFormat="false" ht="15.75" hidden="false" customHeight="true" outlineLevel="0" collapsed="false">
      <c r="A52" s="118" t="n">
        <v>31</v>
      </c>
      <c r="B52" s="13" t="s">
        <v>46</v>
      </c>
      <c r="C52" s="15" t="n">
        <f aca="false">+C51+T51</f>
        <v>652.61</v>
      </c>
      <c r="D52" s="16" t="n">
        <f aca="false">+Chạy!F273</f>
        <v>-12.4</v>
      </c>
      <c r="E52" s="16" t="n">
        <f aca="false">+D52+F52</f>
        <v>-12.4047</v>
      </c>
      <c r="F52" s="16" t="n">
        <f aca="false">RANDBETWEEN(-105,115)/10000</f>
        <v>-0.0047</v>
      </c>
      <c r="G52" s="16" t="n">
        <f aca="false">+Chạy!G273</f>
        <v>1.55</v>
      </c>
      <c r="H52" s="16" t="n">
        <f aca="false">G52+I52</f>
        <v>1.599</v>
      </c>
      <c r="I52" s="16" t="n">
        <f aca="false">RANDBETWEEN(-30,90)/1000</f>
        <v>0.049</v>
      </c>
      <c r="J52" s="16" t="n">
        <f aca="false">+Chạy!K273</f>
        <v>1.66</v>
      </c>
      <c r="K52" s="16" t="n">
        <f aca="false">J52+L52</f>
        <v>1.712</v>
      </c>
      <c r="L52" s="16" t="n">
        <f aca="false">RANDBETWEEN(-30,90)/1000</f>
        <v>0.052</v>
      </c>
      <c r="M52" s="16" t="n">
        <f aca="false">+Chạy!N273</f>
        <v>12.4</v>
      </c>
      <c r="N52" s="16" t="n">
        <f aca="false">+M52+O52</f>
        <v>12.3912</v>
      </c>
      <c r="O52" s="16" t="n">
        <f aca="false">RANDBETWEEN(-105,115)/10000</f>
        <v>-0.0088</v>
      </c>
      <c r="P52" s="16" t="n">
        <f aca="false">+Chạy!O273</f>
        <v>1.55</v>
      </c>
      <c r="Q52" s="16" t="n">
        <f aca="false">P52+R52</f>
        <v>1.592</v>
      </c>
      <c r="R52" s="16" t="n">
        <f aca="false">RANDBETWEEN(-30,90)/1000</f>
        <v>0.042</v>
      </c>
      <c r="S52" s="17"/>
      <c r="T52" s="0" t="n">
        <v>20</v>
      </c>
      <c r="X52" s="119"/>
      <c r="Y52" s="102"/>
      <c r="AA52" s="120"/>
      <c r="AB52" s="121"/>
      <c r="AC52" s="122"/>
      <c r="AE52" s="122"/>
    </row>
    <row r="53" customFormat="false" ht="15.75" hidden="false" customHeight="true" outlineLevel="0" collapsed="false">
      <c r="A53" s="118" t="n">
        <v>32</v>
      </c>
      <c r="B53" s="13" t="s">
        <v>47</v>
      </c>
      <c r="C53" s="15" t="n">
        <f aca="false">+C52+T52</f>
        <v>672.61</v>
      </c>
      <c r="D53" s="16" t="n">
        <f aca="false">+Chạy!F282</f>
        <v>-12.4</v>
      </c>
      <c r="E53" s="16" t="n">
        <f aca="false">+D53+F53</f>
        <v>-12.4056</v>
      </c>
      <c r="F53" s="16" t="n">
        <f aca="false">RANDBETWEEN(-105,115)/10000</f>
        <v>-0.0056</v>
      </c>
      <c r="G53" s="16" t="n">
        <f aca="false">+Chạy!G282</f>
        <v>1.55</v>
      </c>
      <c r="H53" s="16" t="n">
        <f aca="false">G53+I53</f>
        <v>1.613</v>
      </c>
      <c r="I53" s="16" t="n">
        <f aca="false">RANDBETWEEN(-30,90)/1000</f>
        <v>0.063</v>
      </c>
      <c r="J53" s="16" t="n">
        <f aca="false">+Chạy!K282</f>
        <v>1.66</v>
      </c>
      <c r="K53" s="16" t="n">
        <f aca="false">J53+L53</f>
        <v>1.706</v>
      </c>
      <c r="L53" s="16" t="n">
        <f aca="false">RANDBETWEEN(-30,90)/1000</f>
        <v>0.046</v>
      </c>
      <c r="M53" s="16" t="n">
        <f aca="false">+Chạy!N282</f>
        <v>12.4</v>
      </c>
      <c r="N53" s="16" t="n">
        <f aca="false">+M53+O53</f>
        <v>12.3922</v>
      </c>
      <c r="O53" s="16" t="n">
        <f aca="false">RANDBETWEEN(-105,115)/10000</f>
        <v>-0.0078</v>
      </c>
      <c r="P53" s="16" t="n">
        <f aca="false">+Chạy!O282</f>
        <v>1.55</v>
      </c>
      <c r="Q53" s="16" t="n">
        <f aca="false">P53+R53</f>
        <v>1.565</v>
      </c>
      <c r="R53" s="16" t="n">
        <f aca="false">RANDBETWEEN(-30,90)/1000</f>
        <v>0.015</v>
      </c>
      <c r="S53" s="17"/>
      <c r="T53" s="0" t="n">
        <v>20</v>
      </c>
      <c r="X53" s="119"/>
      <c r="Y53" s="102"/>
      <c r="AA53" s="120"/>
      <c r="AB53" s="121"/>
      <c r="AC53" s="122"/>
      <c r="AE53" s="122"/>
    </row>
    <row r="54" customFormat="false" ht="15.75" hidden="false" customHeight="true" outlineLevel="0" collapsed="false">
      <c r="A54" s="118" t="n">
        <v>33</v>
      </c>
      <c r="B54" s="13" t="s">
        <v>48</v>
      </c>
      <c r="C54" s="15" t="n">
        <f aca="false">+C53+T53</f>
        <v>692.61</v>
      </c>
      <c r="D54" s="16" t="n">
        <f aca="false">+Chạy!F291</f>
        <v>-12.4</v>
      </c>
      <c r="E54" s="16" t="n">
        <f aca="false">+D54+F54</f>
        <v>-12.3975</v>
      </c>
      <c r="F54" s="16" t="n">
        <f aca="false">RANDBETWEEN(-105,115)/10000</f>
        <v>0.0025</v>
      </c>
      <c r="G54" s="16" t="n">
        <f aca="false">+Chạy!G291</f>
        <v>1.55</v>
      </c>
      <c r="H54" s="16" t="n">
        <f aca="false">G54+I54</f>
        <v>1.603</v>
      </c>
      <c r="I54" s="16" t="n">
        <f aca="false">RANDBETWEEN(-30,90)/1000</f>
        <v>0.053</v>
      </c>
      <c r="J54" s="16" t="n">
        <f aca="false">+Chạy!K291</f>
        <v>1.67</v>
      </c>
      <c r="K54" s="16" t="n">
        <f aca="false">J54+L54</f>
        <v>1.722</v>
      </c>
      <c r="L54" s="16" t="n">
        <f aca="false">RANDBETWEEN(-30,90)/1000</f>
        <v>0.052</v>
      </c>
      <c r="M54" s="16" t="n">
        <f aca="false">+Chạy!N291</f>
        <v>12.4</v>
      </c>
      <c r="N54" s="16" t="n">
        <f aca="false">+M54+O54</f>
        <v>12.4112</v>
      </c>
      <c r="O54" s="16" t="n">
        <f aca="false">RANDBETWEEN(-105,115)/10000</f>
        <v>0.0112</v>
      </c>
      <c r="P54" s="16" t="n">
        <f aca="false">+Chạy!O291</f>
        <v>1.55</v>
      </c>
      <c r="Q54" s="16" t="n">
        <f aca="false">P54+R54</f>
        <v>1.521</v>
      </c>
      <c r="R54" s="16" t="n">
        <f aca="false">RANDBETWEEN(-30,90)/1000</f>
        <v>-0.029</v>
      </c>
      <c r="S54" s="17"/>
      <c r="T54" s="0" t="n">
        <v>20</v>
      </c>
      <c r="X54" s="119"/>
      <c r="Y54" s="102"/>
      <c r="AA54" s="120"/>
      <c r="AB54" s="121"/>
      <c r="AC54" s="122"/>
      <c r="AE54" s="122"/>
    </row>
    <row r="55" customFormat="false" ht="15.75" hidden="false" customHeight="true" outlineLevel="0" collapsed="false">
      <c r="A55" s="118" t="n">
        <v>34</v>
      </c>
      <c r="B55" s="13" t="s">
        <v>49</v>
      </c>
      <c r="C55" s="15" t="n">
        <f aca="false">+C54+T54</f>
        <v>712.61</v>
      </c>
      <c r="D55" s="16" t="n">
        <f aca="false">+Chạy!F300</f>
        <v>-12.4</v>
      </c>
      <c r="E55" s="16" t="n">
        <f aca="false">+D55+F55</f>
        <v>-12.4001</v>
      </c>
      <c r="F55" s="16" t="n">
        <f aca="false">RANDBETWEEN(-105,115)/10000</f>
        <v>-0.0001</v>
      </c>
      <c r="G55" s="16" t="n">
        <f aca="false">+Chạy!G300</f>
        <v>1.55</v>
      </c>
      <c r="H55" s="16" t="n">
        <f aca="false">G55+I55</f>
        <v>1.593</v>
      </c>
      <c r="I55" s="16" t="n">
        <f aca="false">RANDBETWEEN(-30,90)/1000</f>
        <v>0.043</v>
      </c>
      <c r="J55" s="16" t="n">
        <f aca="false">+Chạy!K300</f>
        <v>1.67</v>
      </c>
      <c r="K55" s="16" t="n">
        <f aca="false">J55+L55</f>
        <v>1.675</v>
      </c>
      <c r="L55" s="16" t="n">
        <f aca="false">RANDBETWEEN(-30,90)/1000</f>
        <v>0.005</v>
      </c>
      <c r="M55" s="16" t="n">
        <f aca="false">+Chạy!N300</f>
        <v>12.4</v>
      </c>
      <c r="N55" s="16" t="n">
        <f aca="false">+M55+O55</f>
        <v>12.3933</v>
      </c>
      <c r="O55" s="16" t="n">
        <f aca="false">RANDBETWEEN(-105,115)/10000</f>
        <v>-0.0067</v>
      </c>
      <c r="P55" s="16" t="n">
        <f aca="false">+Chạy!O300</f>
        <v>1.55</v>
      </c>
      <c r="Q55" s="16" t="n">
        <f aca="false">P55+R55</f>
        <v>1.608</v>
      </c>
      <c r="R55" s="16" t="n">
        <f aca="false">RANDBETWEEN(-30,90)/1000</f>
        <v>0.058</v>
      </c>
      <c r="S55" s="17"/>
      <c r="T55" s="0" t="n">
        <v>11.5</v>
      </c>
      <c r="X55" s="119"/>
      <c r="Y55" s="102"/>
      <c r="AA55" s="120"/>
      <c r="AB55" s="121"/>
      <c r="AC55" s="122"/>
      <c r="AE55" s="122"/>
    </row>
    <row r="56" customFormat="false" ht="15.75" hidden="false" customHeight="true" outlineLevel="0" collapsed="false">
      <c r="A56" s="118" t="n">
        <v>35</v>
      </c>
      <c r="B56" s="13" t="s">
        <v>50</v>
      </c>
      <c r="C56" s="15" t="n">
        <f aca="false">+C55+T55</f>
        <v>724.11</v>
      </c>
      <c r="D56" s="16" t="n">
        <f aca="false">+Chạy!F309</f>
        <v>-12.4</v>
      </c>
      <c r="E56" s="16" t="n">
        <f aca="false">+D56+F56</f>
        <v>-12.3982</v>
      </c>
      <c r="F56" s="16" t="n">
        <f aca="false">RANDBETWEEN(-105,115)/10000</f>
        <v>0.0018</v>
      </c>
      <c r="G56" s="16" t="n">
        <f aca="false">+Chạy!G309</f>
        <v>1.55</v>
      </c>
      <c r="H56" s="16" t="n">
        <f aca="false">G56+I56</f>
        <v>1.531</v>
      </c>
      <c r="I56" s="16" t="n">
        <f aca="false">RANDBETWEEN(-30,90)/1000</f>
        <v>-0.019</v>
      </c>
      <c r="J56" s="16" t="n">
        <f aca="false">+Chạy!K309</f>
        <v>1.67</v>
      </c>
      <c r="K56" s="16" t="n">
        <f aca="false">J56+L56</f>
        <v>1.698</v>
      </c>
      <c r="L56" s="16" t="n">
        <f aca="false">RANDBETWEEN(-30,90)/1000</f>
        <v>0.028</v>
      </c>
      <c r="M56" s="16" t="n">
        <f aca="false">+Chạy!N309</f>
        <v>12.4</v>
      </c>
      <c r="N56" s="16" t="n">
        <f aca="false">+M56+O56</f>
        <v>12.39</v>
      </c>
      <c r="O56" s="16" t="n">
        <f aca="false">RANDBETWEEN(-105,115)/10000</f>
        <v>-0.01</v>
      </c>
      <c r="P56" s="16" t="n">
        <f aca="false">+Chạy!O309</f>
        <v>1.55</v>
      </c>
      <c r="Q56" s="16" t="n">
        <f aca="false">P56+R56</f>
        <v>1.559</v>
      </c>
      <c r="R56" s="16" t="n">
        <f aca="false">RANDBETWEEN(-30,90)/1000</f>
        <v>0.009</v>
      </c>
      <c r="S56" s="17"/>
      <c r="T56" s="0" t="n">
        <v>13.25</v>
      </c>
      <c r="X56" s="119"/>
      <c r="Y56" s="102"/>
      <c r="AA56" s="120"/>
      <c r="AB56" s="121"/>
      <c r="AC56" s="122"/>
      <c r="AE56" s="122"/>
    </row>
    <row r="57" customFormat="false" ht="15.75" hidden="false" customHeight="true" outlineLevel="0" collapsed="false">
      <c r="A57" s="118" t="n">
        <v>36</v>
      </c>
      <c r="B57" s="13" t="s">
        <v>51</v>
      </c>
      <c r="C57" s="15" t="n">
        <f aca="false">+C56+T56</f>
        <v>737.36</v>
      </c>
      <c r="D57" s="16" t="n">
        <f aca="false">+Chạy!F318</f>
        <v>-12.4</v>
      </c>
      <c r="E57" s="16" t="n">
        <f aca="false">+D57+F57</f>
        <v>-12.3933</v>
      </c>
      <c r="F57" s="16" t="n">
        <f aca="false">RANDBETWEEN(-105,115)/10000</f>
        <v>0.0067</v>
      </c>
      <c r="G57" s="16" t="n">
        <f aca="false">+Chạy!G318</f>
        <v>1.56</v>
      </c>
      <c r="H57" s="16" t="n">
        <f aca="false">G57+I57</f>
        <v>1.638</v>
      </c>
      <c r="I57" s="16" t="n">
        <f aca="false">RANDBETWEEN(-30,90)/1000</f>
        <v>0.078</v>
      </c>
      <c r="J57" s="16" t="n">
        <f aca="false">+Chạy!K318</f>
        <v>1.67</v>
      </c>
      <c r="K57" s="16" t="n">
        <f aca="false">J57+L57</f>
        <v>1.714</v>
      </c>
      <c r="L57" s="16" t="n">
        <f aca="false">RANDBETWEEN(-30,90)/1000</f>
        <v>0.044</v>
      </c>
      <c r="M57" s="16" t="n">
        <f aca="false">+Chạy!N318</f>
        <v>12.4</v>
      </c>
      <c r="N57" s="16" t="n">
        <f aca="false">+M57+O57</f>
        <v>12.4073</v>
      </c>
      <c r="O57" s="16" t="n">
        <f aca="false">RANDBETWEEN(-105,115)/10000</f>
        <v>0.0073</v>
      </c>
      <c r="P57" s="16" t="n">
        <f aca="false">+Chạy!O318</f>
        <v>1.56</v>
      </c>
      <c r="Q57" s="16" t="n">
        <f aca="false">P57+R57</f>
        <v>1.61</v>
      </c>
      <c r="R57" s="16" t="n">
        <f aca="false">RANDBETWEEN(-30,90)/1000</f>
        <v>0.05</v>
      </c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74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75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76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Trần Mạnh Tùng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055555555556" header="0.511811023622047" footer="0.19652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AK26" activeCellId="0" sqref="AK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99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57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58</v>
      </c>
      <c r="B7" s="34"/>
      <c r="D7" s="35" t="s">
        <v>100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62</v>
      </c>
      <c r="C9" s="37" t="s">
        <v>63</v>
      </c>
      <c r="D9" s="38" t="s">
        <v>79</v>
      </c>
      <c r="E9" s="39"/>
      <c r="F9" s="39"/>
      <c r="G9" s="38"/>
      <c r="H9" s="39"/>
      <c r="I9" s="39"/>
      <c r="J9" s="39"/>
      <c r="K9" s="39"/>
      <c r="L9" s="39"/>
      <c r="M9" s="40" t="s">
        <v>80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67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81</v>
      </c>
      <c r="O10" s="40" t="s">
        <v>82</v>
      </c>
      <c r="P10" s="40" t="s">
        <v>81</v>
      </c>
      <c r="Q10" s="40" t="s">
        <v>81</v>
      </c>
      <c r="R10" s="40"/>
      <c r="S10" s="40"/>
      <c r="T10" s="40"/>
      <c r="U10" s="40" t="s">
        <v>83</v>
      </c>
      <c r="V10" s="40" t="s">
        <v>83</v>
      </c>
      <c r="W10" s="40" t="s">
        <v>84</v>
      </c>
      <c r="X10" s="40" t="s">
        <v>83</v>
      </c>
      <c r="Y10" s="40" t="s">
        <v>83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'8.KTHH L8'!B22</f>
        <v>B4</v>
      </c>
      <c r="C11" s="51" t="n">
        <f aca="false">'8.KTHH L8'!C22</f>
        <v>211</v>
      </c>
      <c r="D11" s="13" t="n">
        <f aca="false">'8.KTHH L8'!T22</f>
        <v>13.25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Chạy!E3</f>
        <v>6.71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90.69625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'8.KTHH L8'!B23</f>
        <v>12</v>
      </c>
      <c r="C12" s="51" t="n">
        <f aca="false">'8.KTHH L8'!C23</f>
        <v>224.25</v>
      </c>
      <c r="D12" s="13" t="n">
        <f aca="false">'8.KTHH L8'!T23</f>
        <v>21.5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Chạy!E12</f>
        <v>6.98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140.61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'8.KTHH L8'!B24</f>
        <v>13</v>
      </c>
      <c r="C13" s="51" t="n">
        <f aca="false">'8.KTHH L8'!C24</f>
        <v>245.75</v>
      </c>
      <c r="D13" s="13" t="n">
        <f aca="false">'8.KTHH L8'!T24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Chạy!E21</f>
        <v>6.1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68.67875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'8.KTHH L8'!B25</f>
        <v>B5</v>
      </c>
      <c r="C14" s="51" t="n">
        <f aca="false">'8.KTHH L8'!C25</f>
        <v>257.5</v>
      </c>
      <c r="D14" s="13" t="n">
        <f aca="false">'8.KTHH L8'!T25</f>
        <v>11.75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Chạy!E30</f>
        <v>5.59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62.04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'8.KTHH L8'!B26</f>
        <v>14</v>
      </c>
      <c r="C15" s="51" t="n">
        <f aca="false">'8.KTHH L8'!C26</f>
        <v>269.25</v>
      </c>
      <c r="D15" s="13" t="n">
        <f aca="false">'8.KTHH L8'!T26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Chạy!E39</f>
        <v>4.97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100.9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'8.KTHH L8'!B27</f>
        <v>15</v>
      </c>
      <c r="C16" s="51" t="n">
        <f aca="false">'8.KTHH L8'!C27</f>
        <v>289.25</v>
      </c>
      <c r="D16" s="13" t="n">
        <f aca="false">'8.KTHH L8'!T27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Chạy!E48</f>
        <v>5.12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100.6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'8.KTHH L8'!B28</f>
        <v>16</v>
      </c>
      <c r="C17" s="51" t="n">
        <f aca="false">'8.KTHH L8'!C28</f>
        <v>309.25</v>
      </c>
      <c r="D17" s="13" t="n">
        <f aca="false">'8.KTHH L8'!T28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Chạy!E57</f>
        <v>4.94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98.7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'8.KTHH L8'!B29</f>
        <v>17</v>
      </c>
      <c r="C18" s="51" t="n">
        <f aca="false">'8.KTHH L8'!C29</f>
        <v>329.25</v>
      </c>
      <c r="D18" s="13" t="n">
        <f aca="false">'8.KTHH L8'!T29</f>
        <v>20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Chạy!E66</f>
        <v>4.93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111.3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'8.KTHH L8'!B30</f>
        <v>18</v>
      </c>
      <c r="C19" s="51" t="n">
        <f aca="false">'8.KTHH L8'!C30</f>
        <v>349.25</v>
      </c>
      <c r="D19" s="13" t="n">
        <f aca="false">'8.KTHH L8'!T30</f>
        <v>19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Chạy!E75</f>
        <v>6.2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118.275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'8.KTHH L8'!B31</f>
        <v>19</v>
      </c>
      <c r="C20" s="51" t="n">
        <f aca="false">'8.KTHH L8'!C31</f>
        <v>368.25</v>
      </c>
      <c r="D20" s="13" t="n">
        <f aca="false">'8.KTHH L8'!T31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Chạy!E84</f>
        <v>6.25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91.62375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'8.KTHH L8'!B32</f>
        <v>C2</v>
      </c>
      <c r="C21" s="51" t="n">
        <f aca="false">'8.KTHH L8'!C32</f>
        <v>381.5</v>
      </c>
      <c r="D21" s="13" t="n">
        <f aca="false">'8.KTHH L8'!T32</f>
        <v>13.25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Chạy!E93</f>
        <v>7.58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100.435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'8.KTHH L8'!B33</f>
        <v>20</v>
      </c>
      <c r="C22" s="51" t="n">
        <f aca="false">'8.KTHH L8'!C33</f>
        <v>394.75</v>
      </c>
      <c r="D22" s="13" t="n">
        <f aca="false">'8.KTHH L8'!T33</f>
        <v>20</v>
      </c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Chạy!E102</f>
        <v>7.58</v>
      </c>
      <c r="P22" s="53"/>
      <c r="Q22" s="53"/>
      <c r="R22" s="55"/>
      <c r="S22" s="55"/>
      <c r="T22" s="55"/>
      <c r="U22" s="55"/>
      <c r="V22" s="55"/>
      <c r="W22" s="55" t="n">
        <f aca="false">(O22+O23)*D22/2</f>
        <v>151.6</v>
      </c>
      <c r="X22" s="55"/>
      <c r="Y22" s="55"/>
      <c r="Z22" s="55"/>
      <c r="AA22" s="55"/>
      <c r="AB22" s="56"/>
      <c r="AC22" s="57"/>
    </row>
    <row r="23" s="49" customFormat="true" ht="15" hidden="false" customHeight="true" outlineLevel="0" collapsed="false">
      <c r="A23" s="13" t="n">
        <v>13</v>
      </c>
      <c r="B23" s="13" t="str">
        <f aca="false">'8.KTHH L8'!B34</f>
        <v>21</v>
      </c>
      <c r="C23" s="51" t="n">
        <f aca="false">'8.KTHH L8'!C34</f>
        <v>414.75</v>
      </c>
      <c r="D23" s="13" t="n">
        <f aca="false">'8.KTHH L8'!T34</f>
        <v>20</v>
      </c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 t="n">
        <f aca="false">Chạy!E111</f>
        <v>7.58</v>
      </c>
      <c r="P23" s="53"/>
      <c r="Q23" s="53"/>
      <c r="R23" s="55"/>
      <c r="S23" s="55"/>
      <c r="T23" s="55"/>
      <c r="U23" s="55"/>
      <c r="V23" s="55"/>
      <c r="W23" s="55" t="n">
        <f aca="false">(O23+O24)*D23/2</f>
        <v>151.6</v>
      </c>
      <c r="X23" s="55"/>
      <c r="Y23" s="55"/>
      <c r="Z23" s="55"/>
      <c r="AA23" s="55"/>
      <c r="AB23" s="56"/>
      <c r="AC23" s="57"/>
    </row>
    <row r="24" s="49" customFormat="true" ht="15" hidden="false" customHeight="true" outlineLevel="0" collapsed="false">
      <c r="A24" s="13" t="n">
        <v>14</v>
      </c>
      <c r="B24" s="13" t="str">
        <f aca="false">'8.KTHH L8'!B35</f>
        <v>22</v>
      </c>
      <c r="C24" s="51" t="n">
        <f aca="false">'8.KTHH L8'!C35</f>
        <v>434.75</v>
      </c>
      <c r="D24" s="13" t="n">
        <f aca="false">'8.KTHH L8'!T35</f>
        <v>20</v>
      </c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 t="n">
        <f aca="false">Chạy!E120</f>
        <v>7.58</v>
      </c>
      <c r="P24" s="53"/>
      <c r="Q24" s="53"/>
      <c r="R24" s="55"/>
      <c r="S24" s="55"/>
      <c r="T24" s="55"/>
      <c r="U24" s="55"/>
      <c r="V24" s="55"/>
      <c r="W24" s="55" t="n">
        <f aca="false">(O24+O25)*D24/2</f>
        <v>151.6</v>
      </c>
      <c r="X24" s="55"/>
      <c r="Y24" s="55"/>
      <c r="Z24" s="55"/>
      <c r="AA24" s="55"/>
      <c r="AB24" s="56"/>
      <c r="AC24" s="57"/>
    </row>
    <row r="25" s="49" customFormat="true" ht="15" hidden="false" customHeight="true" outlineLevel="0" collapsed="false">
      <c r="A25" s="13" t="n">
        <v>15</v>
      </c>
      <c r="B25" s="13" t="str">
        <f aca="false">'8.KTHH L8'!B36</f>
        <v>23</v>
      </c>
      <c r="C25" s="51" t="n">
        <f aca="false">'8.KTHH L8'!C36</f>
        <v>454.75</v>
      </c>
      <c r="D25" s="13" t="n">
        <f aca="false">'8.KTHH L8'!T36</f>
        <v>20</v>
      </c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 t="n">
        <f aca="false">Chạy!E129</f>
        <v>7.58</v>
      </c>
      <c r="P25" s="53"/>
      <c r="Q25" s="53"/>
      <c r="R25" s="55"/>
      <c r="S25" s="55"/>
      <c r="T25" s="55"/>
      <c r="U25" s="55"/>
      <c r="V25" s="55"/>
      <c r="W25" s="55" t="n">
        <f aca="false">(O25+O26)*D25/2</f>
        <v>151.6</v>
      </c>
      <c r="X25" s="55"/>
      <c r="Y25" s="55"/>
      <c r="Z25" s="55"/>
      <c r="AA25" s="55"/>
      <c r="AB25" s="56"/>
      <c r="AC25" s="57"/>
    </row>
    <row r="26" s="49" customFormat="true" ht="15" hidden="false" customHeight="true" outlineLevel="0" collapsed="false">
      <c r="A26" s="13" t="n">
        <v>16</v>
      </c>
      <c r="B26" s="13" t="str">
        <f aca="false">'8.KTHH L8'!B37</f>
        <v>24</v>
      </c>
      <c r="C26" s="51" t="n">
        <f aca="false">'8.KTHH L8'!C37</f>
        <v>474.75</v>
      </c>
      <c r="D26" s="13" t="n">
        <f aca="false">'8.KTHH L8'!T37</f>
        <v>14.44</v>
      </c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 t="n">
        <f aca="false">Chạy!E138</f>
        <v>7.58</v>
      </c>
      <c r="P26" s="53"/>
      <c r="Q26" s="53"/>
      <c r="R26" s="55"/>
      <c r="S26" s="55"/>
      <c r="T26" s="55"/>
      <c r="U26" s="55"/>
      <c r="V26" s="55"/>
      <c r="W26" s="55" t="n">
        <f aca="false">(O26+O27)*D26/2</f>
        <v>105.3398</v>
      </c>
      <c r="X26" s="55"/>
      <c r="Y26" s="55"/>
      <c r="Z26" s="55"/>
      <c r="AA26" s="55"/>
      <c r="AB26" s="56"/>
      <c r="AC26" s="57"/>
    </row>
    <row r="27" s="49" customFormat="true" ht="15" hidden="false" customHeight="true" outlineLevel="0" collapsed="false">
      <c r="A27" s="13" t="n">
        <v>17</v>
      </c>
      <c r="B27" s="13" t="str">
        <f aca="false">'8.KTHH L8'!B38</f>
        <v>25</v>
      </c>
      <c r="C27" s="51" t="n">
        <f aca="false">'8.KTHH L8'!C38</f>
        <v>489.19</v>
      </c>
      <c r="D27" s="13" t="n">
        <f aca="false">'8.KTHH L8'!T38</f>
        <v>13.17</v>
      </c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 t="n">
        <f aca="false">Chạy!E147</f>
        <v>7.01</v>
      </c>
      <c r="P27" s="53"/>
      <c r="Q27" s="53"/>
      <c r="R27" s="55"/>
      <c r="S27" s="55"/>
      <c r="T27" s="55"/>
      <c r="U27" s="55"/>
      <c r="V27" s="55"/>
      <c r="W27" s="55" t="n">
        <f aca="false">(O27+O28)*D27/2</f>
        <v>96.07515</v>
      </c>
      <c r="X27" s="55"/>
      <c r="Y27" s="55"/>
      <c r="Z27" s="55"/>
      <c r="AA27" s="55"/>
      <c r="AB27" s="56"/>
      <c r="AC27" s="57"/>
    </row>
    <row r="28" s="49" customFormat="true" ht="15" hidden="false" customHeight="true" outlineLevel="0" collapsed="false">
      <c r="A28" s="13" t="n">
        <v>18</v>
      </c>
      <c r="B28" s="13" t="str">
        <f aca="false">'8.KTHH L8'!B39</f>
        <v>D1</v>
      </c>
      <c r="C28" s="51" t="n">
        <f aca="false">'8.KTHH L8'!C39</f>
        <v>502.36</v>
      </c>
      <c r="D28" s="13" t="n">
        <f aca="false">'8.KTHH L8'!T39</f>
        <v>10.48</v>
      </c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 t="n">
        <f aca="false">Chạy!E156</f>
        <v>7.58</v>
      </c>
      <c r="P28" s="53"/>
      <c r="Q28" s="53"/>
      <c r="R28" s="55"/>
      <c r="S28" s="55"/>
      <c r="T28" s="55"/>
      <c r="U28" s="55"/>
      <c r="V28" s="55"/>
      <c r="W28" s="55" t="n">
        <f aca="false">(O28+O29)*D28/2</f>
        <v>79.4384</v>
      </c>
      <c r="X28" s="55"/>
      <c r="Y28" s="55"/>
      <c r="Z28" s="55"/>
      <c r="AA28" s="55"/>
      <c r="AB28" s="56"/>
      <c r="AC28" s="57"/>
    </row>
    <row r="29" s="49" customFormat="true" ht="15" hidden="false" customHeight="true" outlineLevel="0" collapsed="false">
      <c r="A29" s="13" t="n">
        <v>19</v>
      </c>
      <c r="B29" s="13" t="str">
        <f aca="false">'8.KTHH L8'!B40</f>
        <v>26</v>
      </c>
      <c r="C29" s="51" t="n">
        <f aca="false">'8.KTHH L8'!C40</f>
        <v>512.84</v>
      </c>
      <c r="D29" s="13" t="n">
        <f aca="false">'8.KTHH L8'!T40</f>
        <v>16.78</v>
      </c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 t="n">
        <f aca="false">Chạy!E165</f>
        <v>7.58</v>
      </c>
      <c r="P29" s="53"/>
      <c r="Q29" s="53"/>
      <c r="R29" s="55"/>
      <c r="S29" s="55"/>
      <c r="T29" s="55"/>
      <c r="U29" s="55"/>
      <c r="V29" s="55"/>
      <c r="W29" s="55" t="n">
        <f aca="false">(O29+O30)*D29/2</f>
        <v>127.1924</v>
      </c>
      <c r="X29" s="55"/>
      <c r="Y29" s="55"/>
      <c r="Z29" s="55"/>
      <c r="AA29" s="55"/>
      <c r="AB29" s="56"/>
      <c r="AC29" s="57"/>
    </row>
    <row r="30" s="49" customFormat="true" ht="15" hidden="false" customHeight="true" outlineLevel="0" collapsed="false">
      <c r="A30" s="13" t="n">
        <v>20</v>
      </c>
      <c r="B30" s="13" t="str">
        <f aca="false">'8.KTHH L8'!B41</f>
        <v>27</v>
      </c>
      <c r="C30" s="51" t="n">
        <f aca="false">'8.KTHH L8'!C41</f>
        <v>529.62</v>
      </c>
      <c r="D30" s="13" t="n">
        <f aca="false">'8.KTHH L8'!T41</f>
        <v>17.1</v>
      </c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 t="n">
        <f aca="false">Chạy!E174</f>
        <v>7.58</v>
      </c>
      <c r="P30" s="53"/>
      <c r="Q30" s="53"/>
      <c r="R30" s="55"/>
      <c r="S30" s="55"/>
      <c r="T30" s="55"/>
      <c r="U30" s="55"/>
      <c r="V30" s="55"/>
      <c r="W30" s="55" t="n">
        <f aca="false">(O30+O31)*D30/2</f>
        <v>124.7445</v>
      </c>
      <c r="X30" s="55"/>
      <c r="Y30" s="55"/>
      <c r="Z30" s="55"/>
      <c r="AA30" s="55"/>
      <c r="AB30" s="56"/>
      <c r="AC30" s="57"/>
    </row>
    <row r="31" s="49" customFormat="true" ht="15" hidden="false" customHeight="true" outlineLevel="0" collapsed="false">
      <c r="A31" s="13" t="n">
        <v>21</v>
      </c>
      <c r="B31" s="13" t="str">
        <f aca="false">'8.KTHH L8'!B42</f>
        <v>28</v>
      </c>
      <c r="C31" s="51" t="n">
        <f aca="false">'8.KTHH L8'!C42</f>
        <v>546.72</v>
      </c>
      <c r="D31" s="13" t="n">
        <f aca="false">'8.KTHH L8'!T42</f>
        <v>15.15</v>
      </c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 t="n">
        <f aca="false">Chạy!E183</f>
        <v>7.01</v>
      </c>
      <c r="P31" s="53"/>
      <c r="Q31" s="53"/>
      <c r="R31" s="55"/>
      <c r="S31" s="55"/>
      <c r="T31" s="55"/>
      <c r="U31" s="55"/>
      <c r="V31" s="55"/>
      <c r="W31" s="55" t="n">
        <f aca="false">(O31+O32)*D31/2</f>
        <v>110.51925</v>
      </c>
      <c r="X31" s="55"/>
      <c r="Y31" s="55"/>
      <c r="Z31" s="55"/>
      <c r="AA31" s="55"/>
      <c r="AB31" s="56"/>
      <c r="AC31" s="57"/>
    </row>
    <row r="32" s="49" customFormat="true" ht="15" hidden="false" customHeight="true" outlineLevel="0" collapsed="false">
      <c r="A32" s="13" t="n">
        <v>22</v>
      </c>
      <c r="B32" s="13" t="str">
        <f aca="false">'8.KTHH L8'!B43</f>
        <v>E5</v>
      </c>
      <c r="C32" s="51" t="n">
        <f aca="false">'8.KTHH L8'!C43</f>
        <v>561.87</v>
      </c>
      <c r="D32" s="13" t="n">
        <f aca="false">'8.KTHH L8'!T43</f>
        <v>0.15</v>
      </c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 t="n">
        <f aca="false">Chạy!E192</f>
        <v>7.58</v>
      </c>
      <c r="P32" s="53"/>
      <c r="Q32" s="53"/>
      <c r="R32" s="55"/>
      <c r="S32" s="55"/>
      <c r="T32" s="55"/>
      <c r="U32" s="55"/>
      <c r="V32" s="55"/>
      <c r="W32" s="55" t="n">
        <f aca="false">(O32+O33)*D32/2</f>
        <v>1.137</v>
      </c>
      <c r="X32" s="55"/>
      <c r="Y32" s="55"/>
      <c r="Z32" s="55"/>
      <c r="AA32" s="55"/>
      <c r="AB32" s="56"/>
      <c r="AC32" s="57"/>
    </row>
    <row r="33" s="49" customFormat="true" ht="15" hidden="false" customHeight="true" outlineLevel="0" collapsed="false">
      <c r="A33" s="13" t="n">
        <v>23</v>
      </c>
      <c r="B33" s="13" t="str">
        <f aca="false">'8.KTHH L8'!B44</f>
        <v>TD</v>
      </c>
      <c r="C33" s="51" t="n">
        <f aca="false">'8.KTHH L8'!C44</f>
        <v>562.02</v>
      </c>
      <c r="D33" s="13" t="n">
        <f aca="false">'8.KTHH L8'!T44</f>
        <v>6.55</v>
      </c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 t="n">
        <f aca="false">Chạy!E201</f>
        <v>7.58</v>
      </c>
      <c r="P33" s="53"/>
      <c r="Q33" s="53"/>
      <c r="R33" s="55"/>
      <c r="S33" s="55"/>
      <c r="T33" s="55"/>
      <c r="U33" s="55"/>
      <c r="V33" s="55"/>
      <c r="W33" s="55" t="n">
        <f aca="false">(O33+O34)*D33/2</f>
        <v>49.649</v>
      </c>
      <c r="X33" s="55"/>
      <c r="Y33" s="55"/>
      <c r="Z33" s="55"/>
      <c r="AA33" s="55"/>
      <c r="AB33" s="56"/>
      <c r="AC33" s="57"/>
    </row>
    <row r="34" s="49" customFormat="true" ht="15" hidden="false" customHeight="true" outlineLevel="0" collapsed="false">
      <c r="A34" s="13" t="n">
        <v>24</v>
      </c>
      <c r="B34" s="13" t="str">
        <f aca="false">'8.KTHH L8'!B45</f>
        <v>P</v>
      </c>
      <c r="C34" s="51" t="n">
        <f aca="false">'8.KTHH L8'!C45</f>
        <v>568.57</v>
      </c>
      <c r="D34" s="13" t="n">
        <f aca="false">'8.KTHH L8'!T45</f>
        <v>6.55</v>
      </c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 t="n">
        <f aca="false">Chạy!E210</f>
        <v>7.58</v>
      </c>
      <c r="P34" s="53"/>
      <c r="Q34" s="53"/>
      <c r="R34" s="55"/>
      <c r="S34" s="55"/>
      <c r="T34" s="55"/>
      <c r="U34" s="55"/>
      <c r="V34" s="55"/>
      <c r="W34" s="55" t="n">
        <f aca="false">(O34+O35)*D34/2</f>
        <v>49.649</v>
      </c>
      <c r="X34" s="55"/>
      <c r="Y34" s="55"/>
      <c r="Z34" s="55"/>
      <c r="AA34" s="55"/>
      <c r="AB34" s="56"/>
      <c r="AC34" s="57"/>
    </row>
    <row r="35" s="49" customFormat="true" ht="15" hidden="false" customHeight="true" outlineLevel="0" collapsed="false">
      <c r="A35" s="13" t="n">
        <v>25</v>
      </c>
      <c r="B35" s="13" t="str">
        <f aca="false">'8.KTHH L8'!B46</f>
        <v>TC</v>
      </c>
      <c r="C35" s="51" t="n">
        <f aca="false">'8.KTHH L8'!C46</f>
        <v>575.12</v>
      </c>
      <c r="D35" s="13" t="n">
        <f aca="false">'8.KTHH L8'!T46</f>
        <v>0.04</v>
      </c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 t="n">
        <f aca="false">Chạy!E219</f>
        <v>7.58</v>
      </c>
      <c r="P35" s="53"/>
      <c r="Q35" s="53"/>
      <c r="R35" s="55"/>
      <c r="S35" s="55"/>
      <c r="T35" s="55"/>
      <c r="U35" s="55"/>
      <c r="V35" s="55"/>
      <c r="W35" s="55" t="n">
        <f aca="false">(O35+O36)*D35/2</f>
        <v>0.3032</v>
      </c>
      <c r="X35" s="55"/>
      <c r="Y35" s="55"/>
      <c r="Z35" s="55"/>
      <c r="AA35" s="55"/>
      <c r="AB35" s="56"/>
      <c r="AC35" s="57"/>
    </row>
    <row r="36" s="49" customFormat="true" ht="15" hidden="false" customHeight="true" outlineLevel="0" collapsed="false">
      <c r="A36" s="13" t="n">
        <v>26</v>
      </c>
      <c r="B36" s="13" t="str">
        <f aca="false">'8.KTHH L8'!B47</f>
        <v>29</v>
      </c>
      <c r="C36" s="51" t="n">
        <f aca="false">'8.KTHH L8'!C47</f>
        <v>575.16</v>
      </c>
      <c r="D36" s="13" t="n">
        <f aca="false">'8.KTHH L8'!T47</f>
        <v>16.95</v>
      </c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 t="n">
        <f aca="false">Chạy!E228</f>
        <v>7.58</v>
      </c>
      <c r="P36" s="53"/>
      <c r="Q36" s="53"/>
      <c r="R36" s="55"/>
      <c r="S36" s="55"/>
      <c r="T36" s="55"/>
      <c r="U36" s="55"/>
      <c r="V36" s="55"/>
      <c r="W36" s="55" t="n">
        <f aca="false">(O36+O37)*D36/2</f>
        <v>128.481</v>
      </c>
      <c r="X36" s="55"/>
      <c r="Y36" s="55"/>
      <c r="Z36" s="55"/>
      <c r="AA36" s="55"/>
      <c r="AB36" s="56"/>
      <c r="AC36" s="57"/>
    </row>
    <row r="37" s="49" customFormat="true" ht="15" hidden="false" customHeight="true" outlineLevel="0" collapsed="false">
      <c r="A37" s="13" t="n">
        <v>27</v>
      </c>
      <c r="B37" s="13" t="str">
        <f aca="false">'8.KTHH L8'!B48</f>
        <v>30</v>
      </c>
      <c r="C37" s="51" t="n">
        <f aca="false">'8.KTHH L8'!C48</f>
        <v>592.11</v>
      </c>
      <c r="D37" s="13" t="n">
        <f aca="false">'8.KTHH L8'!T48</f>
        <v>17</v>
      </c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 t="n">
        <f aca="false">Chạy!E237</f>
        <v>7.58</v>
      </c>
      <c r="P37" s="53"/>
      <c r="Q37" s="53"/>
      <c r="R37" s="55"/>
      <c r="S37" s="55"/>
      <c r="T37" s="55"/>
      <c r="U37" s="55"/>
      <c r="V37" s="55"/>
      <c r="W37" s="55" t="n">
        <f aca="false">(O37+O38)*D37/2</f>
        <v>128.86</v>
      </c>
      <c r="X37" s="55"/>
      <c r="Y37" s="55"/>
      <c r="Z37" s="55"/>
      <c r="AA37" s="55"/>
      <c r="AB37" s="56"/>
      <c r="AC37" s="57"/>
    </row>
    <row r="38" s="49" customFormat="true" ht="15" hidden="false" customHeight="true" outlineLevel="0" collapsed="false">
      <c r="A38" s="13" t="n">
        <v>28</v>
      </c>
      <c r="B38" s="13" t="str">
        <f aca="false">'8.KTHH L8'!B49</f>
        <v>31</v>
      </c>
      <c r="C38" s="51" t="n">
        <f aca="false">'8.KTHH L8'!C49</f>
        <v>609.11</v>
      </c>
      <c r="D38" s="13" t="n">
        <f aca="false">'8.KTHH L8'!T49</f>
        <v>11.75</v>
      </c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 t="n">
        <f aca="false">Chạy!E246</f>
        <v>7.58</v>
      </c>
      <c r="P38" s="53"/>
      <c r="Q38" s="53"/>
      <c r="R38" s="55"/>
      <c r="S38" s="55"/>
      <c r="T38" s="55"/>
      <c r="U38" s="55"/>
      <c r="V38" s="55"/>
      <c r="W38" s="55" t="n">
        <f aca="false">(O38+O39)*D38/2</f>
        <v>89.065</v>
      </c>
      <c r="X38" s="55"/>
      <c r="Y38" s="55"/>
      <c r="Z38" s="55"/>
      <c r="AA38" s="55"/>
      <c r="AB38" s="56"/>
      <c r="AC38" s="57"/>
    </row>
    <row r="39" s="49" customFormat="true" ht="15" hidden="false" customHeight="true" outlineLevel="0" collapsed="false">
      <c r="A39" s="13" t="n">
        <v>29</v>
      </c>
      <c r="B39" s="13" t="str">
        <f aca="false">'8.KTHH L8'!B50</f>
        <v>E10</v>
      </c>
      <c r="C39" s="51" t="n">
        <f aca="false">'8.KTHH L8'!C50</f>
        <v>620.86</v>
      </c>
      <c r="D39" s="13" t="n">
        <f aca="false">'8.KTHH L8'!T50</f>
        <v>11.75</v>
      </c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 t="n">
        <f aca="false">Chạy!E255</f>
        <v>7.58</v>
      </c>
      <c r="P39" s="53"/>
      <c r="Q39" s="53"/>
      <c r="R39" s="55"/>
      <c r="S39" s="55"/>
      <c r="T39" s="55"/>
      <c r="U39" s="55"/>
      <c r="V39" s="55"/>
      <c r="W39" s="55" t="n">
        <f aca="false">(O39+O40)*D39/2</f>
        <v>89.065</v>
      </c>
      <c r="X39" s="55"/>
      <c r="Y39" s="55"/>
      <c r="Z39" s="55"/>
      <c r="AA39" s="55"/>
      <c r="AB39" s="56"/>
      <c r="AC39" s="57"/>
    </row>
    <row r="40" s="49" customFormat="true" ht="15" hidden="false" customHeight="true" outlineLevel="0" collapsed="false">
      <c r="A40" s="13" t="n">
        <v>30</v>
      </c>
      <c r="B40" s="13" t="str">
        <f aca="false">'8.KTHH L8'!B51</f>
        <v>32</v>
      </c>
      <c r="C40" s="51" t="n">
        <f aca="false">'8.KTHH L8'!C51</f>
        <v>632.61</v>
      </c>
      <c r="D40" s="13" t="n">
        <f aca="false">'8.KTHH L8'!T51</f>
        <v>20</v>
      </c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 t="n">
        <f aca="false">Chạy!E264</f>
        <v>7.58</v>
      </c>
      <c r="P40" s="53"/>
      <c r="Q40" s="53"/>
      <c r="R40" s="55"/>
      <c r="S40" s="55"/>
      <c r="T40" s="55"/>
      <c r="U40" s="55"/>
      <c r="V40" s="55"/>
      <c r="W40" s="55" t="n">
        <f aca="false">(O40+O41)*D40/2</f>
        <v>151.6</v>
      </c>
      <c r="X40" s="55"/>
      <c r="Y40" s="55"/>
      <c r="Z40" s="55"/>
      <c r="AA40" s="55"/>
      <c r="AB40" s="56"/>
      <c r="AC40" s="57"/>
    </row>
    <row r="41" s="49" customFormat="true" ht="15" hidden="false" customHeight="true" outlineLevel="0" collapsed="false">
      <c r="A41" s="13" t="n">
        <v>31</v>
      </c>
      <c r="B41" s="13" t="str">
        <f aca="false">'8.KTHH L8'!B52</f>
        <v>33</v>
      </c>
      <c r="C41" s="51" t="n">
        <f aca="false">'8.KTHH L8'!C52</f>
        <v>652.61</v>
      </c>
      <c r="D41" s="13" t="n">
        <f aca="false">'8.KTHH L8'!T52</f>
        <v>20</v>
      </c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 t="n">
        <f aca="false">Chạy!E273</f>
        <v>7.58</v>
      </c>
      <c r="P41" s="53"/>
      <c r="Q41" s="53"/>
      <c r="R41" s="55"/>
      <c r="S41" s="55"/>
      <c r="T41" s="55"/>
      <c r="U41" s="55"/>
      <c r="V41" s="55"/>
      <c r="W41" s="55" t="n">
        <f aca="false">(O41+O42)*D41/2</f>
        <v>151.6</v>
      </c>
      <c r="X41" s="55"/>
      <c r="Y41" s="55"/>
      <c r="Z41" s="55"/>
      <c r="AA41" s="55"/>
      <c r="AB41" s="56"/>
      <c r="AC41" s="57"/>
    </row>
    <row r="42" s="49" customFormat="true" ht="15" hidden="false" customHeight="true" outlineLevel="0" collapsed="false">
      <c r="A42" s="13" t="n">
        <v>32</v>
      </c>
      <c r="B42" s="13" t="str">
        <f aca="false">'8.KTHH L8'!B53</f>
        <v>34</v>
      </c>
      <c r="C42" s="51" t="n">
        <f aca="false">'8.KTHH L8'!C53</f>
        <v>672.61</v>
      </c>
      <c r="D42" s="13" t="n">
        <f aca="false">'8.KTHH L8'!T53</f>
        <v>20</v>
      </c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 t="n">
        <f aca="false">Chạy!E282</f>
        <v>7.58</v>
      </c>
      <c r="P42" s="53"/>
      <c r="Q42" s="53"/>
      <c r="R42" s="55"/>
      <c r="S42" s="55"/>
      <c r="T42" s="55"/>
      <c r="U42" s="55"/>
      <c r="V42" s="55"/>
      <c r="W42" s="55" t="n">
        <f aca="false">(O42+O43)*D42/2</f>
        <v>151.6</v>
      </c>
      <c r="X42" s="55"/>
      <c r="Y42" s="55"/>
      <c r="Z42" s="55"/>
      <c r="AA42" s="55"/>
      <c r="AB42" s="56"/>
      <c r="AC42" s="57"/>
    </row>
    <row r="43" s="49" customFormat="true" ht="15" hidden="false" customHeight="true" outlineLevel="0" collapsed="false">
      <c r="A43" s="13" t="n">
        <v>33</v>
      </c>
      <c r="B43" s="13" t="str">
        <f aca="false">'8.KTHH L8'!B54</f>
        <v>35</v>
      </c>
      <c r="C43" s="51" t="n">
        <f aca="false">'8.KTHH L8'!C54</f>
        <v>692.61</v>
      </c>
      <c r="D43" s="13" t="n">
        <f aca="false">'8.KTHH L8'!T54</f>
        <v>20</v>
      </c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 t="n">
        <f aca="false">Chạy!E291</f>
        <v>7.58</v>
      </c>
      <c r="P43" s="53"/>
      <c r="Q43" s="53"/>
      <c r="R43" s="55"/>
      <c r="S43" s="55"/>
      <c r="T43" s="55"/>
      <c r="U43" s="55"/>
      <c r="V43" s="55"/>
      <c r="W43" s="55" t="n">
        <f aca="false">(O43+O44)*D43/2</f>
        <v>143.4</v>
      </c>
      <c r="X43" s="55"/>
      <c r="Y43" s="55"/>
      <c r="Z43" s="55"/>
      <c r="AA43" s="55"/>
      <c r="AB43" s="56"/>
      <c r="AC43" s="57"/>
    </row>
    <row r="44" s="49" customFormat="true" ht="15" hidden="false" customHeight="true" outlineLevel="0" collapsed="false">
      <c r="A44" s="13" t="n">
        <v>34</v>
      </c>
      <c r="B44" s="13" t="str">
        <f aca="false">'8.KTHH L8'!B55</f>
        <v>36</v>
      </c>
      <c r="C44" s="51" t="n">
        <f aca="false">'8.KTHH L8'!C55</f>
        <v>712.61</v>
      </c>
      <c r="D44" s="13" t="n">
        <f aca="false">'8.KTHH L8'!T55</f>
        <v>11.5</v>
      </c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 t="n">
        <f aca="false">Chạy!E300</f>
        <v>6.76</v>
      </c>
      <c r="P44" s="53"/>
      <c r="Q44" s="53"/>
      <c r="R44" s="55"/>
      <c r="S44" s="55"/>
      <c r="T44" s="55"/>
      <c r="U44" s="55"/>
      <c r="V44" s="55"/>
      <c r="W44" s="55" t="n">
        <f aca="false">(O44+O45)*D44/2</f>
        <v>82.455</v>
      </c>
      <c r="X44" s="55"/>
      <c r="Y44" s="55"/>
      <c r="Z44" s="55"/>
      <c r="AA44" s="55"/>
      <c r="AB44" s="56"/>
      <c r="AC44" s="57"/>
    </row>
    <row r="45" s="49" customFormat="true" ht="15" hidden="false" customHeight="true" outlineLevel="0" collapsed="false">
      <c r="A45" s="13" t="n">
        <v>35</v>
      </c>
      <c r="B45" s="13" t="str">
        <f aca="false">'8.KTHH L8'!B56</f>
        <v>37</v>
      </c>
      <c r="C45" s="51" t="n">
        <f aca="false">'8.KTHH L8'!C56</f>
        <v>724.11</v>
      </c>
      <c r="D45" s="13" t="n">
        <f aca="false">'8.KTHH L8'!T56</f>
        <v>13.25</v>
      </c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 t="n">
        <f aca="false">Chạy!E309</f>
        <v>7.58</v>
      </c>
      <c r="P45" s="53"/>
      <c r="Q45" s="53"/>
      <c r="R45" s="55"/>
      <c r="S45" s="55"/>
      <c r="T45" s="55"/>
      <c r="U45" s="55"/>
      <c r="V45" s="55"/>
      <c r="W45" s="55" t="n">
        <f aca="false">(O45+O46)*D45/2</f>
        <v>100.435</v>
      </c>
      <c r="X45" s="55"/>
      <c r="Y45" s="55"/>
      <c r="Z45" s="55"/>
      <c r="AA45" s="55"/>
      <c r="AB45" s="56"/>
      <c r="AC45" s="57"/>
    </row>
    <row r="46" s="49" customFormat="true" ht="15" hidden="false" customHeight="true" outlineLevel="0" collapsed="false">
      <c r="A46" s="13" t="n">
        <v>36</v>
      </c>
      <c r="B46" s="13" t="str">
        <f aca="false">'8.KTHH L8'!B57</f>
        <v>G6</v>
      </c>
      <c r="C46" s="51" t="n">
        <f aca="false">'8.KTHH L8'!C57</f>
        <v>737.36</v>
      </c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 t="n">
        <f aca="false">Chạy!E318</f>
        <v>7.58</v>
      </c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85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SUM(W11:W46)</f>
        <v>3650.86745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74</v>
      </c>
      <c r="B53" s="19"/>
      <c r="C53" s="19"/>
      <c r="D53" s="77" t="s">
        <v>86</v>
      </c>
      <c r="E53" s="19" t="s">
        <v>75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76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77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29"/>
    <col collapsed="false" customWidth="true" hidden="false" outlineLevel="0" max="3" min="3" style="1" width="1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57"/>
    <col collapsed="false" customWidth="true" hidden="true" outlineLevel="0" max="15" min="13" style="1" width="8.57"/>
    <col collapsed="false" customWidth="true" hidden="false" outlineLevel="0" max="18" min="16" style="1" width="11.57"/>
    <col collapsed="false" customWidth="true" hidden="false" outlineLevel="0" max="19" min="19" style="1" width="7"/>
    <col collapsed="false" customWidth="true" hidden="false" outlineLevel="0" max="27" min="26" style="1" width="5.14"/>
    <col collapsed="false" customWidth="true" hidden="false" outlineLevel="0" max="29" min="29" style="2" width="9.14"/>
    <col collapsed="false" customWidth="true" hidden="false" outlineLevel="0" max="31" min="31" style="2" width="9.14"/>
  </cols>
  <sheetData>
    <row r="1" customFormat="false" ht="20.25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6"/>
      <c r="U1" s="26"/>
      <c r="V1" s="4"/>
      <c r="W1" s="4"/>
    </row>
    <row r="2" customFormat="false" ht="18.75" hidden="false" customHeight="true" outlineLevel="0" collapsed="false">
      <c r="A2" s="5" t="s">
        <v>101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6"/>
      <c r="V2" s="6"/>
      <c r="W2" s="6"/>
    </row>
    <row r="3" customFormat="false" ht="18.75" hidden="false" customHeight="true" outlineLevel="0" collapsed="false">
      <c r="A3" s="7" t="str">
        <f aca="false">+'1.KTHH L1'!A3</f>
        <v>Dự án: Xây dựng HTKT Khu tái định cư phục vụ di dân xã Hải Hà, thị xã Nghi Sơn, tỉnh Thanh Hóa.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customFormat="false" ht="18.75" hidden="false" customHeight="true" outlineLevel="0" collapsed="false">
      <c r="A4" s="7" t="str">
        <f aca="false">+'1.KTHH L1'!A4</f>
        <v>Gói thầu số 12: Xây dựng HTKT khu vực Hải Bình và Xuân Lâm (bao gồm cả bảo hiểm xây dựng công trình)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8.75" hidden="false" customHeight="true" outlineLevel="0" collapsed="false">
      <c r="A5" s="7" t="str">
        <f aca="false">+'1.KTHH L1'!A5</f>
        <v>Nhà thầu thi công: Công ty TNHH Hoàng Tuấn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8.75" hidden="false" customHeight="true" outlineLevel="0" collapsed="false">
      <c r="A6" s="7" t="s">
        <v>57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8.75" hidden="false" customHeight="true" outlineLevel="0" collapsed="false">
      <c r="A7" s="8" t="s">
        <v>58</v>
      </c>
      <c r="C7" s="7"/>
      <c r="D7" s="7"/>
      <c r="F7" s="7"/>
      <c r="G7" s="7" t="s">
        <v>102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8.75" hidden="false" customHeight="true" outlineLevel="0" collapsed="false">
      <c r="A8" s="8" t="s">
        <v>60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20" customFormat="false" ht="17.25" hidden="false" customHeight="true" outlineLevel="0" collapsed="false">
      <c r="A20" s="116" t="s">
        <v>61</v>
      </c>
      <c r="B20" s="9" t="s">
        <v>62</v>
      </c>
      <c r="C20" s="9" t="s">
        <v>63</v>
      </c>
      <c r="D20" s="10" t="s">
        <v>64</v>
      </c>
      <c r="E20" s="10"/>
      <c r="F20" s="10"/>
      <c r="G20" s="10"/>
      <c r="H20" s="10"/>
      <c r="I20" s="10"/>
      <c r="J20" s="10" t="s">
        <v>65</v>
      </c>
      <c r="K20" s="10"/>
      <c r="L20" s="10"/>
      <c r="M20" s="10" t="s">
        <v>66</v>
      </c>
      <c r="N20" s="10"/>
      <c r="O20" s="10"/>
      <c r="P20" s="10"/>
      <c r="Q20" s="10"/>
      <c r="R20" s="10"/>
      <c r="S20" s="9" t="s">
        <v>67</v>
      </c>
    </row>
    <row r="21" customFormat="false" ht="51.75" hidden="false" customHeight="true" outlineLevel="0" collapsed="false">
      <c r="A21" s="116"/>
      <c r="B21" s="116"/>
      <c r="C21" s="116"/>
      <c r="D21" s="11" t="s">
        <v>68</v>
      </c>
      <c r="E21" s="11" t="s">
        <v>69</v>
      </c>
      <c r="F21" s="11" t="s">
        <v>70</v>
      </c>
      <c r="G21" s="11" t="s">
        <v>71</v>
      </c>
      <c r="H21" s="11" t="s">
        <v>72</v>
      </c>
      <c r="I21" s="11" t="s">
        <v>73</v>
      </c>
      <c r="J21" s="11" t="s">
        <v>71</v>
      </c>
      <c r="K21" s="11" t="s">
        <v>72</v>
      </c>
      <c r="L21" s="11" t="s">
        <v>73</v>
      </c>
      <c r="M21" s="11" t="s">
        <v>68</v>
      </c>
      <c r="N21" s="11" t="s">
        <v>69</v>
      </c>
      <c r="O21" s="11" t="s">
        <v>70</v>
      </c>
      <c r="P21" s="11" t="s">
        <v>71</v>
      </c>
      <c r="Q21" s="11" t="s">
        <v>72</v>
      </c>
      <c r="R21" s="11" t="s">
        <v>73</v>
      </c>
      <c r="S21" s="9"/>
      <c r="T21" s="86"/>
      <c r="X21" s="117"/>
      <c r="AC21" s="101"/>
      <c r="AE21" s="101"/>
    </row>
    <row r="22" customFormat="false" ht="15.75" hidden="false" customHeight="true" outlineLevel="0" collapsed="false">
      <c r="A22" s="118" t="n">
        <v>1</v>
      </c>
      <c r="B22" s="13" t="s">
        <v>17</v>
      </c>
      <c r="C22" s="15" t="n">
        <v>211</v>
      </c>
      <c r="D22" s="16" t="n">
        <f aca="false">+Chạy!F2</f>
        <v>-11.95</v>
      </c>
      <c r="E22" s="16" t="n">
        <f aca="false">+D22+F22</f>
        <v>-11.9398</v>
      </c>
      <c r="F22" s="16" t="n">
        <f aca="false">RANDBETWEEN(-105,115)/10000</f>
        <v>0.0102</v>
      </c>
      <c r="G22" s="16" t="n">
        <f aca="false">+Chạy!G2</f>
        <v>2.05</v>
      </c>
      <c r="H22" s="16" t="n">
        <f aca="false">G22+I22</f>
        <v>2.092</v>
      </c>
      <c r="I22" s="16" t="n">
        <f aca="false">RANDBETWEEN(-30,90)/1000</f>
        <v>0.042</v>
      </c>
      <c r="J22" s="16" t="n">
        <f aca="false">+Chạy!K2</f>
        <v>2.17</v>
      </c>
      <c r="K22" s="16" t="n">
        <f aca="false">J22+L22</f>
        <v>2.152</v>
      </c>
      <c r="L22" s="16" t="n">
        <f aca="false">RANDBETWEEN(-30,90)/1000</f>
        <v>-0.018</v>
      </c>
      <c r="M22" s="16" t="n">
        <f aca="false">+Chạy!N2</f>
        <v>11.95</v>
      </c>
      <c r="N22" s="16" t="n">
        <f aca="false">+M22+O22</f>
        <v>11.9582</v>
      </c>
      <c r="O22" s="16" t="n">
        <f aca="false">RANDBETWEEN(-105,115)/10000</f>
        <v>0.0082</v>
      </c>
      <c r="P22" s="16" t="n">
        <f aca="false">+Chạy!O2</f>
        <v>2.05</v>
      </c>
      <c r="Q22" s="16" t="n">
        <f aca="false">P22+R22</f>
        <v>2.062</v>
      </c>
      <c r="R22" s="16" t="n">
        <f aca="false">RANDBETWEEN(-30,90)/1000</f>
        <v>0.012</v>
      </c>
      <c r="S22" s="17"/>
      <c r="T22" s="0" t="n">
        <v>13.25</v>
      </c>
      <c r="X22" s="119"/>
      <c r="Y22" s="102"/>
      <c r="AA22" s="120"/>
      <c r="AB22" s="121"/>
      <c r="AC22" s="122"/>
      <c r="AE22" s="122"/>
    </row>
    <row r="23" customFormat="false" ht="15.75" hidden="false" customHeight="true" outlineLevel="0" collapsed="false">
      <c r="A23" s="118" t="n">
        <v>2</v>
      </c>
      <c r="B23" s="13" t="s">
        <v>18</v>
      </c>
      <c r="C23" s="15" t="n">
        <f aca="false">+C22+T22</f>
        <v>224.25</v>
      </c>
      <c r="D23" s="16" t="n">
        <f aca="false">+Chạy!F11</f>
        <v>-11.95</v>
      </c>
      <c r="E23" s="16" t="n">
        <f aca="false">+D23+F23</f>
        <v>-11.9452</v>
      </c>
      <c r="F23" s="16" t="n">
        <f aca="false">RANDBETWEEN(-105,115)/10000</f>
        <v>0.0048</v>
      </c>
      <c r="G23" s="16" t="n">
        <f aca="false">+Chạy!G11</f>
        <v>2.04</v>
      </c>
      <c r="H23" s="16" t="n">
        <f aca="false">G23+I23</f>
        <v>2.02</v>
      </c>
      <c r="I23" s="16" t="n">
        <f aca="false">RANDBETWEEN(-30,90)/1000</f>
        <v>-0.02</v>
      </c>
      <c r="J23" s="16" t="n">
        <f aca="false">+Chạy!K11</f>
        <v>2.16</v>
      </c>
      <c r="K23" s="16" t="n">
        <f aca="false">J23+L23</f>
        <v>2.24</v>
      </c>
      <c r="L23" s="16" t="n">
        <f aca="false">RANDBETWEEN(-30,90)/1000</f>
        <v>0.08</v>
      </c>
      <c r="M23" s="16" t="n">
        <f aca="false">+Chạy!N11</f>
        <v>11.95</v>
      </c>
      <c r="N23" s="16" t="n">
        <f aca="false">+M23+O23</f>
        <v>11.9406</v>
      </c>
      <c r="O23" s="16" t="n">
        <f aca="false">RANDBETWEEN(-105,115)/10000</f>
        <v>-0.0094</v>
      </c>
      <c r="P23" s="16" t="n">
        <f aca="false">+Chạy!O11</f>
        <v>2.04</v>
      </c>
      <c r="Q23" s="16" t="n">
        <f aca="false">P23+R23</f>
        <v>2.022</v>
      </c>
      <c r="R23" s="16" t="n">
        <f aca="false">RANDBETWEEN(-30,90)/1000</f>
        <v>-0.018</v>
      </c>
      <c r="S23" s="17"/>
      <c r="T23" s="0" t="n">
        <v>21.5</v>
      </c>
      <c r="X23" s="119"/>
      <c r="Y23" s="102"/>
      <c r="AA23" s="120"/>
      <c r="AB23" s="121"/>
      <c r="AC23" s="122"/>
      <c r="AE23" s="122"/>
    </row>
    <row r="24" customFormat="false" ht="15.75" hidden="false" customHeight="true" outlineLevel="0" collapsed="false">
      <c r="A24" s="118" t="n">
        <v>3</v>
      </c>
      <c r="B24" s="13" t="s">
        <v>19</v>
      </c>
      <c r="C24" s="15" t="n">
        <f aca="false">+C23+T23</f>
        <v>245.75</v>
      </c>
      <c r="D24" s="16" t="n">
        <f aca="false">+Chạy!F20</f>
        <v>-11.95</v>
      </c>
      <c r="E24" s="16" t="n">
        <f aca="false">+D24+F24</f>
        <v>-11.9494</v>
      </c>
      <c r="F24" s="16" t="n">
        <f aca="false">RANDBETWEEN(-105,115)/10000</f>
        <v>0.0006</v>
      </c>
      <c r="G24" s="16" t="n">
        <f aca="false">+Chạy!G20</f>
        <v>2.02</v>
      </c>
      <c r="H24" s="16" t="n">
        <f aca="false">G24+I24</f>
        <v>2.025</v>
      </c>
      <c r="I24" s="16" t="n">
        <f aca="false">RANDBETWEEN(-30,90)/1000</f>
        <v>0.005</v>
      </c>
      <c r="J24" s="16" t="n">
        <f aca="false">+Chạy!K20</f>
        <v>2.14</v>
      </c>
      <c r="K24" s="16" t="n">
        <f aca="false">J24+L24</f>
        <v>2.21</v>
      </c>
      <c r="L24" s="16" t="n">
        <f aca="false">RANDBETWEEN(-30,90)/1000</f>
        <v>0.07</v>
      </c>
      <c r="M24" s="16" t="n">
        <f aca="false">+Chạy!N20</f>
        <v>11.95</v>
      </c>
      <c r="N24" s="16" t="n">
        <f aca="false">+M24+O24</f>
        <v>11.9445</v>
      </c>
      <c r="O24" s="16" t="n">
        <f aca="false">RANDBETWEEN(-105,115)/10000</f>
        <v>-0.0055</v>
      </c>
      <c r="P24" s="16" t="n">
        <f aca="false">+Chạy!O20</f>
        <v>2.02</v>
      </c>
      <c r="Q24" s="16" t="n">
        <f aca="false">P24+R24</f>
        <v>2.066</v>
      </c>
      <c r="R24" s="16" t="n">
        <f aca="false">RANDBETWEEN(-30,90)/1000</f>
        <v>0.046</v>
      </c>
      <c r="S24" s="17"/>
      <c r="T24" s="0" t="n">
        <v>11.75</v>
      </c>
      <c r="X24" s="119"/>
      <c r="Y24" s="102"/>
      <c r="AA24" s="120"/>
      <c r="AB24" s="121"/>
      <c r="AC24" s="122"/>
      <c r="AE24" s="122"/>
    </row>
    <row r="25" customFormat="false" ht="15.75" hidden="false" customHeight="true" outlineLevel="0" collapsed="false">
      <c r="A25" s="118" t="n">
        <v>4</v>
      </c>
      <c r="B25" s="13" t="s">
        <v>20</v>
      </c>
      <c r="C25" s="15" t="n">
        <f aca="false">+C24+T24</f>
        <v>257.5</v>
      </c>
      <c r="D25" s="16" t="n">
        <f aca="false">+Chạy!F29</f>
        <v>-11.95</v>
      </c>
      <c r="E25" s="16" t="n">
        <f aca="false">+D25+F25</f>
        <v>-11.9525</v>
      </c>
      <c r="F25" s="16" t="n">
        <f aca="false">RANDBETWEEN(-105,115)/10000</f>
        <v>-0.0025</v>
      </c>
      <c r="G25" s="16" t="n">
        <f aca="false">+Chạy!G29</f>
        <v>2.01</v>
      </c>
      <c r="H25" s="16" t="n">
        <f aca="false">G25+I25</f>
        <v>2.08</v>
      </c>
      <c r="I25" s="16" t="n">
        <f aca="false">RANDBETWEEN(-30,90)/1000</f>
        <v>0.07</v>
      </c>
      <c r="J25" s="16" t="n">
        <f aca="false">+Chạy!K29</f>
        <v>2.13</v>
      </c>
      <c r="K25" s="16" t="n">
        <f aca="false">J25+L25</f>
        <v>2.148</v>
      </c>
      <c r="L25" s="16" t="n">
        <f aca="false">RANDBETWEEN(-30,90)/1000</f>
        <v>0.018</v>
      </c>
      <c r="M25" s="16" t="n">
        <f aca="false">+Chạy!N29</f>
        <v>11.95</v>
      </c>
      <c r="N25" s="16" t="n">
        <f aca="false">+M25+O25</f>
        <v>11.9603</v>
      </c>
      <c r="O25" s="16" t="n">
        <f aca="false">RANDBETWEEN(-105,115)/10000</f>
        <v>0.0103</v>
      </c>
      <c r="P25" s="16" t="n">
        <f aca="false">+Chạy!O29</f>
        <v>2.01</v>
      </c>
      <c r="Q25" s="16" t="n">
        <f aca="false">P25+R25</f>
        <v>2.002</v>
      </c>
      <c r="R25" s="16" t="n">
        <f aca="false">RANDBETWEEN(-30,90)/1000</f>
        <v>-0.008</v>
      </c>
      <c r="S25" s="17"/>
      <c r="T25" s="0" t="n">
        <v>11.75</v>
      </c>
      <c r="X25" s="119"/>
      <c r="Y25" s="102"/>
      <c r="AA25" s="120"/>
      <c r="AB25" s="121"/>
      <c r="AC25" s="122"/>
      <c r="AE25" s="122"/>
    </row>
    <row r="26" customFormat="false" ht="15.75" hidden="false" customHeight="true" outlineLevel="0" collapsed="false">
      <c r="A26" s="118" t="n">
        <v>5</v>
      </c>
      <c r="B26" s="13" t="s">
        <v>21</v>
      </c>
      <c r="C26" s="15" t="n">
        <f aca="false">+C25+T25</f>
        <v>269.25</v>
      </c>
      <c r="D26" s="16" t="n">
        <f aca="false">+Chạy!F38</f>
        <v>-11.95</v>
      </c>
      <c r="E26" s="16" t="n">
        <f aca="false">+D26+F26</f>
        <v>-11.9545</v>
      </c>
      <c r="F26" s="16" t="n">
        <f aca="false">RANDBETWEEN(-105,115)/10000</f>
        <v>-0.0045</v>
      </c>
      <c r="G26" s="16" t="n">
        <f aca="false">+Chạy!G38</f>
        <v>2.01</v>
      </c>
      <c r="H26" s="16" t="n">
        <f aca="false">G26+I26</f>
        <v>2.035</v>
      </c>
      <c r="I26" s="16" t="n">
        <f aca="false">RANDBETWEEN(-30,90)/1000</f>
        <v>0.025</v>
      </c>
      <c r="J26" s="16" t="n">
        <f aca="false">+Chạy!K38</f>
        <v>2.12</v>
      </c>
      <c r="K26" s="16" t="n">
        <f aca="false">J26+L26</f>
        <v>2.104</v>
      </c>
      <c r="L26" s="16" t="n">
        <f aca="false">RANDBETWEEN(-30,90)/1000</f>
        <v>-0.016</v>
      </c>
      <c r="M26" s="16" t="n">
        <f aca="false">+Chạy!N38</f>
        <v>11.95</v>
      </c>
      <c r="N26" s="16" t="n">
        <f aca="false">+M26+O26</f>
        <v>11.9428</v>
      </c>
      <c r="O26" s="16" t="n">
        <f aca="false">RANDBETWEEN(-105,115)/10000</f>
        <v>-0.0072</v>
      </c>
      <c r="P26" s="16" t="n">
        <f aca="false">+Chạy!O38</f>
        <v>2.01</v>
      </c>
      <c r="Q26" s="16" t="n">
        <f aca="false">P26+R26</f>
        <v>2.069</v>
      </c>
      <c r="R26" s="16" t="n">
        <f aca="false">RANDBETWEEN(-30,90)/1000</f>
        <v>0.059</v>
      </c>
      <c r="S26" s="17"/>
      <c r="T26" s="0" t="n">
        <v>20</v>
      </c>
      <c r="X26" s="119"/>
      <c r="Y26" s="102"/>
      <c r="AA26" s="120"/>
      <c r="AB26" s="121"/>
      <c r="AC26" s="122"/>
      <c r="AE26" s="122"/>
    </row>
    <row r="27" customFormat="false" ht="15.75" hidden="false" customHeight="true" outlineLevel="0" collapsed="false">
      <c r="A27" s="118" t="n">
        <v>6</v>
      </c>
      <c r="B27" s="13" t="s">
        <v>22</v>
      </c>
      <c r="C27" s="15" t="n">
        <f aca="false">+C26+T26</f>
        <v>289.25</v>
      </c>
      <c r="D27" s="16" t="n">
        <f aca="false">+Chạy!F47</f>
        <v>-11.95</v>
      </c>
      <c r="E27" s="16" t="n">
        <f aca="false">+D27+F27</f>
        <v>-11.9436</v>
      </c>
      <c r="F27" s="16" t="n">
        <f aca="false">RANDBETWEEN(-105,115)/10000</f>
        <v>0.0064</v>
      </c>
      <c r="G27" s="16" t="n">
        <f aca="false">+Chạy!G47</f>
        <v>2</v>
      </c>
      <c r="H27" s="16" t="n">
        <f aca="false">G27+I27</f>
        <v>2.087</v>
      </c>
      <c r="I27" s="16" t="n">
        <f aca="false">RANDBETWEEN(-30,90)/1000</f>
        <v>0.087</v>
      </c>
      <c r="J27" s="16" t="n">
        <f aca="false">+Chạy!K47</f>
        <v>2.11</v>
      </c>
      <c r="K27" s="16" t="n">
        <f aca="false">J27+L27</f>
        <v>2.199</v>
      </c>
      <c r="L27" s="16" t="n">
        <f aca="false">RANDBETWEEN(-30,90)/1000</f>
        <v>0.089</v>
      </c>
      <c r="M27" s="16" t="n">
        <f aca="false">+Chạy!N47</f>
        <v>8.7</v>
      </c>
      <c r="N27" s="16" t="n">
        <f aca="false">+M27+O27</f>
        <v>8.7112</v>
      </c>
      <c r="O27" s="16" t="n">
        <f aca="false">RANDBETWEEN(-105,115)/10000</f>
        <v>0.0112</v>
      </c>
      <c r="P27" s="16" t="n">
        <f aca="false">+Chạy!O47</f>
        <v>2</v>
      </c>
      <c r="Q27" s="16" t="n">
        <f aca="false">P27+R27</f>
        <v>2.018</v>
      </c>
      <c r="R27" s="16" t="n">
        <f aca="false">RANDBETWEEN(-30,90)/1000</f>
        <v>0.018</v>
      </c>
      <c r="S27" s="17"/>
      <c r="T27" s="0" t="n">
        <v>20</v>
      </c>
      <c r="X27" s="119"/>
      <c r="Y27" s="102"/>
      <c r="AA27" s="120"/>
      <c r="AB27" s="121"/>
      <c r="AC27" s="122"/>
      <c r="AE27" s="122"/>
    </row>
    <row r="28" customFormat="false" ht="15.75" hidden="false" customHeight="true" outlineLevel="0" collapsed="false">
      <c r="A28" s="118" t="n">
        <v>7</v>
      </c>
      <c r="B28" s="13" t="s">
        <v>23</v>
      </c>
      <c r="C28" s="15" t="n">
        <f aca="false">+C27+T27</f>
        <v>309.25</v>
      </c>
      <c r="D28" s="16" t="n">
        <f aca="false">+Chạy!F56</f>
        <v>-11.95</v>
      </c>
      <c r="E28" s="16" t="n">
        <f aca="false">+D28+F28</f>
        <v>-11.954</v>
      </c>
      <c r="F28" s="16" t="n">
        <f aca="false">RANDBETWEEN(-105,115)/10000</f>
        <v>-0.004</v>
      </c>
      <c r="G28" s="16" t="n">
        <f aca="false">+Chạy!G56</f>
        <v>1.98</v>
      </c>
      <c r="H28" s="16" t="n">
        <f aca="false">G28+I28</f>
        <v>2.037</v>
      </c>
      <c r="I28" s="16" t="n">
        <f aca="false">RANDBETWEEN(-30,90)/1000</f>
        <v>0.057</v>
      </c>
      <c r="J28" s="16" t="n">
        <f aca="false">+Chạy!K56</f>
        <v>2.1</v>
      </c>
      <c r="K28" s="16" t="n">
        <f aca="false">J28+L28</f>
        <v>2.075</v>
      </c>
      <c r="L28" s="16" t="n">
        <f aca="false">RANDBETWEEN(-30,90)/1000</f>
        <v>-0.025</v>
      </c>
      <c r="M28" s="16" t="n">
        <f aca="false">+Chạy!N56</f>
        <v>8.68</v>
      </c>
      <c r="N28" s="16" t="n">
        <f aca="false">+M28+O28</f>
        <v>8.688</v>
      </c>
      <c r="O28" s="16" t="n">
        <f aca="false">RANDBETWEEN(-105,115)/10000</f>
        <v>0.008</v>
      </c>
      <c r="P28" s="16" t="n">
        <f aca="false">+Chạy!O56</f>
        <v>1.98</v>
      </c>
      <c r="Q28" s="16" t="n">
        <f aca="false">P28+R28</f>
        <v>1.992</v>
      </c>
      <c r="R28" s="16" t="n">
        <f aca="false">RANDBETWEEN(-30,90)/1000</f>
        <v>0.012</v>
      </c>
      <c r="S28" s="17"/>
      <c r="T28" s="0" t="n">
        <v>20</v>
      </c>
      <c r="X28" s="119"/>
      <c r="Y28" s="102"/>
      <c r="AA28" s="120"/>
      <c r="AB28" s="121"/>
      <c r="AC28" s="122"/>
      <c r="AE28" s="122"/>
    </row>
    <row r="29" customFormat="false" ht="15.75" hidden="false" customHeight="true" outlineLevel="0" collapsed="false">
      <c r="A29" s="118" t="n">
        <v>8</v>
      </c>
      <c r="B29" s="13" t="s">
        <v>24</v>
      </c>
      <c r="C29" s="15" t="n">
        <f aca="false">+C28+T28</f>
        <v>329.25</v>
      </c>
      <c r="D29" s="16" t="n">
        <f aca="false">+Chạy!F65</f>
        <v>-11.95</v>
      </c>
      <c r="E29" s="16" t="n">
        <f aca="false">+D29+F29</f>
        <v>-11.9504</v>
      </c>
      <c r="F29" s="16" t="n">
        <f aca="false">RANDBETWEEN(-105,115)/10000</f>
        <v>-0.0004</v>
      </c>
      <c r="G29" s="16" t="n">
        <f aca="false">+Chạy!G65</f>
        <v>1.97</v>
      </c>
      <c r="H29" s="16" t="n">
        <f aca="false">G29+I29</f>
        <v>2.042</v>
      </c>
      <c r="I29" s="16" t="n">
        <f aca="false">RANDBETWEEN(-30,90)/1000</f>
        <v>0.072</v>
      </c>
      <c r="J29" s="16" t="n">
        <f aca="false">+Chạy!K65</f>
        <v>2.09</v>
      </c>
      <c r="K29" s="16" t="n">
        <f aca="false">J29+L29</f>
        <v>2.13</v>
      </c>
      <c r="L29" s="16" t="n">
        <f aca="false">RANDBETWEEN(-30,90)/1000</f>
        <v>0.04</v>
      </c>
      <c r="M29" s="16" t="n">
        <f aca="false">+Chạy!N65</f>
        <v>8.67</v>
      </c>
      <c r="N29" s="16" t="n">
        <f aca="false">+M29+O29</f>
        <v>8.6703</v>
      </c>
      <c r="O29" s="16" t="n">
        <f aca="false">RANDBETWEEN(-105,115)/10000</f>
        <v>0.0003</v>
      </c>
      <c r="P29" s="16" t="n">
        <f aca="false">+Chạy!O65</f>
        <v>1.97</v>
      </c>
      <c r="Q29" s="16" t="n">
        <f aca="false">P29+R29</f>
        <v>2.025</v>
      </c>
      <c r="R29" s="16" t="n">
        <f aca="false">RANDBETWEEN(-30,90)/1000</f>
        <v>0.055</v>
      </c>
      <c r="S29" s="17"/>
      <c r="T29" s="0" t="n">
        <v>20</v>
      </c>
      <c r="X29" s="119"/>
      <c r="Y29" s="102"/>
      <c r="AA29" s="120"/>
      <c r="AB29" s="121"/>
      <c r="AC29" s="122"/>
      <c r="AE29" s="122"/>
    </row>
    <row r="30" customFormat="false" ht="15.75" hidden="false" customHeight="true" outlineLevel="0" collapsed="false">
      <c r="A30" s="118" t="n">
        <v>9</v>
      </c>
      <c r="B30" s="13" t="s">
        <v>25</v>
      </c>
      <c r="C30" s="15" t="n">
        <f aca="false">+C29+T29</f>
        <v>349.25</v>
      </c>
      <c r="D30" s="16" t="n">
        <f aca="false">+Chạy!F74</f>
        <v>-11.95</v>
      </c>
      <c r="E30" s="16" t="n">
        <f aca="false">+D30+F30</f>
        <v>-11.9441</v>
      </c>
      <c r="F30" s="16" t="n">
        <f aca="false">RANDBETWEEN(-105,115)/10000</f>
        <v>0.0059</v>
      </c>
      <c r="G30" s="16" t="n">
        <f aca="false">+Chạy!G74</f>
        <v>1.96</v>
      </c>
      <c r="H30" s="16" t="n">
        <f aca="false">G30+I30</f>
        <v>1.97</v>
      </c>
      <c r="I30" s="16" t="n">
        <f aca="false">RANDBETWEEN(-30,90)/1000</f>
        <v>0.01</v>
      </c>
      <c r="J30" s="16" t="n">
        <f aca="false">+Chạy!K74</f>
        <v>2.08</v>
      </c>
      <c r="K30" s="16" t="n">
        <f aca="false">J30+L30</f>
        <v>2.17</v>
      </c>
      <c r="L30" s="16" t="n">
        <f aca="false">RANDBETWEEN(-30,90)/1000</f>
        <v>0.09</v>
      </c>
      <c r="M30" s="16" t="n">
        <f aca="false">+Chạy!N74</f>
        <v>8.66</v>
      </c>
      <c r="N30" s="16" t="n">
        <f aca="false">+M30+O30</f>
        <v>8.6614</v>
      </c>
      <c r="O30" s="16" t="n">
        <f aca="false">RANDBETWEEN(-105,115)/10000</f>
        <v>0.0014</v>
      </c>
      <c r="P30" s="16" t="n">
        <f aca="false">+Chạy!O74</f>
        <v>1.96</v>
      </c>
      <c r="Q30" s="16" t="n">
        <f aca="false">P30+R30</f>
        <v>2.034</v>
      </c>
      <c r="R30" s="16" t="n">
        <f aca="false">RANDBETWEEN(-30,90)/1000</f>
        <v>0.074</v>
      </c>
      <c r="S30" s="17"/>
      <c r="T30" s="0" t="n">
        <v>19</v>
      </c>
      <c r="X30" s="119"/>
      <c r="Y30" s="102"/>
      <c r="AA30" s="120"/>
      <c r="AB30" s="121"/>
      <c r="AC30" s="122"/>
      <c r="AE30" s="122"/>
    </row>
    <row r="31" customFormat="false" ht="15.75" hidden="false" customHeight="true" outlineLevel="0" collapsed="false">
      <c r="A31" s="118" t="n">
        <v>10</v>
      </c>
      <c r="B31" s="13" t="s">
        <v>26</v>
      </c>
      <c r="C31" s="15" t="n">
        <f aca="false">+C30+T30</f>
        <v>368.25</v>
      </c>
      <c r="D31" s="16" t="n">
        <f aca="false">+Chạy!F83</f>
        <v>-11.95</v>
      </c>
      <c r="E31" s="16" t="n">
        <f aca="false">+D31+F31</f>
        <v>-11.9603</v>
      </c>
      <c r="F31" s="16" t="n">
        <f aca="false">RANDBETWEEN(-105,115)/10000</f>
        <v>-0.0103</v>
      </c>
      <c r="G31" s="16" t="n">
        <f aca="false">+Chạy!G83</f>
        <v>1.95</v>
      </c>
      <c r="H31" s="16" t="n">
        <f aca="false">G31+I31</f>
        <v>1.993</v>
      </c>
      <c r="I31" s="16" t="n">
        <f aca="false">RANDBETWEEN(-30,90)/1000</f>
        <v>0.043</v>
      </c>
      <c r="J31" s="16" t="n">
        <f aca="false">+Chạy!K83</f>
        <v>2.07</v>
      </c>
      <c r="K31" s="16" t="n">
        <f aca="false">J31+L31</f>
        <v>2.043</v>
      </c>
      <c r="L31" s="16" t="n">
        <f aca="false">RANDBETWEEN(-30,90)/1000</f>
        <v>-0.027</v>
      </c>
      <c r="M31" s="16" t="n">
        <f aca="false">+Chạy!N83</f>
        <v>11.95</v>
      </c>
      <c r="N31" s="16" t="n">
        <f aca="false">+M31+O31</f>
        <v>11.9479</v>
      </c>
      <c r="O31" s="16" t="n">
        <f aca="false">RANDBETWEEN(-105,115)/10000</f>
        <v>-0.0021</v>
      </c>
      <c r="P31" s="16" t="n">
        <f aca="false">+Chạy!O83</f>
        <v>1.95</v>
      </c>
      <c r="Q31" s="16" t="n">
        <f aca="false">P31+R31</f>
        <v>1.995</v>
      </c>
      <c r="R31" s="16" t="n">
        <f aca="false">RANDBETWEEN(-30,90)/1000</f>
        <v>0.045</v>
      </c>
      <c r="S31" s="17"/>
      <c r="T31" s="0" t="n">
        <v>13.25</v>
      </c>
      <c r="X31" s="119"/>
      <c r="Y31" s="102"/>
      <c r="AA31" s="120"/>
      <c r="AB31" s="121"/>
      <c r="AC31" s="122"/>
      <c r="AE31" s="122"/>
    </row>
    <row r="32" customFormat="false" ht="15.75" hidden="false" customHeight="true" outlineLevel="0" collapsed="false">
      <c r="A32" s="118" t="n">
        <v>11</v>
      </c>
      <c r="B32" s="13" t="s">
        <v>27</v>
      </c>
      <c r="C32" s="15" t="n">
        <f aca="false">+C31+T31</f>
        <v>381.5</v>
      </c>
      <c r="D32" s="16" t="n">
        <f aca="false">+Chạy!F92</f>
        <v>-11.95</v>
      </c>
      <c r="E32" s="16" t="n">
        <f aca="false">+D32+F32</f>
        <v>-11.9488</v>
      </c>
      <c r="F32" s="16" t="n">
        <f aca="false">RANDBETWEEN(-105,115)/10000</f>
        <v>0.0012</v>
      </c>
      <c r="G32" s="16" t="n">
        <f aca="false">+Chạy!G92</f>
        <v>1.94</v>
      </c>
      <c r="H32" s="16" t="n">
        <f aca="false">G32+I32</f>
        <v>1.973</v>
      </c>
      <c r="I32" s="16" t="n">
        <f aca="false">RANDBETWEEN(-30,90)/1000</f>
        <v>0.033</v>
      </c>
      <c r="J32" s="16" t="n">
        <f aca="false">+Chạy!K92</f>
        <v>2.06</v>
      </c>
      <c r="K32" s="16" t="n">
        <f aca="false">J32+L32</f>
        <v>2.052</v>
      </c>
      <c r="L32" s="16" t="n">
        <f aca="false">RANDBETWEEN(-30,90)/1000</f>
        <v>-0.008</v>
      </c>
      <c r="M32" s="16" t="n">
        <f aca="false">+Chạy!N92</f>
        <v>11.95</v>
      </c>
      <c r="N32" s="16" t="n">
        <f aca="false">+M32+O32</f>
        <v>11.9544</v>
      </c>
      <c r="O32" s="16" t="n">
        <f aca="false">RANDBETWEEN(-105,115)/10000</f>
        <v>0.0044</v>
      </c>
      <c r="P32" s="16" t="n">
        <f aca="false">+Chạy!O92</f>
        <v>1.94</v>
      </c>
      <c r="Q32" s="16" t="n">
        <f aca="false">P32+R32</f>
        <v>1.999</v>
      </c>
      <c r="R32" s="16" t="n">
        <f aca="false">RANDBETWEEN(-30,90)/1000</f>
        <v>0.059</v>
      </c>
      <c r="S32" s="17"/>
      <c r="T32" s="0" t="n">
        <v>13.25</v>
      </c>
      <c r="X32" s="119"/>
      <c r="Y32" s="102"/>
      <c r="AA32" s="120"/>
      <c r="AB32" s="121"/>
      <c r="AC32" s="122"/>
      <c r="AE32" s="122"/>
    </row>
    <row r="33" customFormat="false" ht="15.75" hidden="false" customHeight="true" outlineLevel="0" collapsed="false">
      <c r="A33" s="118" t="n">
        <v>12</v>
      </c>
      <c r="B33" s="13" t="s">
        <v>28</v>
      </c>
      <c r="C33" s="15" t="n">
        <f aca="false">+C32+T32</f>
        <v>394.75</v>
      </c>
      <c r="D33" s="16" t="n">
        <f aca="false">+Chạy!F101</f>
        <v>-11.95</v>
      </c>
      <c r="E33" s="16" t="n">
        <f aca="false">+D33+F33</f>
        <v>-11.939</v>
      </c>
      <c r="F33" s="16" t="n">
        <f aca="false">RANDBETWEEN(-105,115)/10000</f>
        <v>0.011</v>
      </c>
      <c r="G33" s="16" t="n">
        <f aca="false">+Chạy!G101</f>
        <v>1.93</v>
      </c>
      <c r="H33" s="16" t="n">
        <f aca="false">G33+I33</f>
        <v>1.945</v>
      </c>
      <c r="I33" s="16" t="n">
        <f aca="false">RANDBETWEEN(-30,90)/1000</f>
        <v>0.015</v>
      </c>
      <c r="J33" s="16" t="n">
        <f aca="false">+Chạy!K101</f>
        <v>2.05</v>
      </c>
      <c r="K33" s="16" t="n">
        <f aca="false">J33+L33</f>
        <v>2.036</v>
      </c>
      <c r="L33" s="16" t="n">
        <f aca="false">RANDBETWEEN(-30,90)/1000</f>
        <v>-0.014</v>
      </c>
      <c r="M33" s="16" t="n">
        <f aca="false">+Chạy!N101</f>
        <v>11.95</v>
      </c>
      <c r="N33" s="16" t="n">
        <f aca="false">+M33+O33</f>
        <v>11.9427</v>
      </c>
      <c r="O33" s="16" t="n">
        <f aca="false">RANDBETWEEN(-105,115)/10000</f>
        <v>-0.0073</v>
      </c>
      <c r="P33" s="16" t="n">
        <f aca="false">+Chạy!O101</f>
        <v>1.93</v>
      </c>
      <c r="Q33" s="16" t="n">
        <f aca="false">P33+R33</f>
        <v>2</v>
      </c>
      <c r="R33" s="16" t="n">
        <f aca="false">RANDBETWEEN(-30,90)/1000</f>
        <v>0.07</v>
      </c>
      <c r="S33" s="17"/>
      <c r="T33" s="0" t="n">
        <v>20</v>
      </c>
      <c r="X33" s="119"/>
      <c r="Y33" s="102"/>
      <c r="AA33" s="120"/>
      <c r="AB33" s="121"/>
      <c r="AC33" s="122"/>
      <c r="AE33" s="122"/>
    </row>
    <row r="34" customFormat="false" ht="15.75" hidden="false" customHeight="true" outlineLevel="0" collapsed="false">
      <c r="A34" s="118" t="n">
        <v>13</v>
      </c>
      <c r="B34" s="13" t="s">
        <v>29</v>
      </c>
      <c r="C34" s="15" t="n">
        <f aca="false">+C33+T33</f>
        <v>414.75</v>
      </c>
      <c r="D34" s="16" t="n">
        <f aca="false">+Chạy!F110</f>
        <v>-11.95</v>
      </c>
      <c r="E34" s="16" t="n">
        <f aca="false">+D34+F34</f>
        <v>-11.9521</v>
      </c>
      <c r="F34" s="16" t="n">
        <f aca="false">RANDBETWEEN(-105,115)/10000</f>
        <v>-0.0021</v>
      </c>
      <c r="G34" s="16" t="n">
        <f aca="false">+Chạy!G110</f>
        <v>1.92</v>
      </c>
      <c r="H34" s="16" t="n">
        <f aca="false">G34+I34</f>
        <v>1.976</v>
      </c>
      <c r="I34" s="16" t="n">
        <f aca="false">RANDBETWEEN(-30,90)/1000</f>
        <v>0.056</v>
      </c>
      <c r="J34" s="16" t="n">
        <f aca="false">+Chạy!K110</f>
        <v>2.04</v>
      </c>
      <c r="K34" s="16" t="n">
        <f aca="false">J34+L34</f>
        <v>2.046</v>
      </c>
      <c r="L34" s="16" t="n">
        <f aca="false">RANDBETWEEN(-30,90)/1000</f>
        <v>0.006</v>
      </c>
      <c r="M34" s="16" t="n">
        <f aca="false">+Chạy!N110</f>
        <v>11.95</v>
      </c>
      <c r="N34" s="16" t="n">
        <f aca="false">+M34+O34</f>
        <v>11.9613</v>
      </c>
      <c r="O34" s="16" t="n">
        <f aca="false">RANDBETWEEN(-105,115)/10000</f>
        <v>0.0113</v>
      </c>
      <c r="P34" s="16" t="n">
        <f aca="false">+Chạy!O110</f>
        <v>1.92</v>
      </c>
      <c r="Q34" s="16" t="n">
        <f aca="false">P34+R34</f>
        <v>1.957</v>
      </c>
      <c r="R34" s="16" t="n">
        <f aca="false">RANDBETWEEN(-30,90)/1000</f>
        <v>0.037</v>
      </c>
      <c r="S34" s="17"/>
      <c r="T34" s="0" t="n">
        <v>20</v>
      </c>
      <c r="X34" s="119"/>
      <c r="Y34" s="102"/>
      <c r="AA34" s="120"/>
      <c r="AB34" s="121"/>
      <c r="AC34" s="122"/>
      <c r="AE34" s="122"/>
    </row>
    <row r="35" customFormat="false" ht="15.75" hidden="false" customHeight="true" outlineLevel="0" collapsed="false">
      <c r="A35" s="118" t="n">
        <v>14</v>
      </c>
      <c r="B35" s="13" t="s">
        <v>30</v>
      </c>
      <c r="C35" s="15" t="n">
        <f aca="false">+C34+T34</f>
        <v>434.75</v>
      </c>
      <c r="D35" s="16" t="n">
        <f aca="false">+Chạy!F119</f>
        <v>-11.95</v>
      </c>
      <c r="E35" s="16" t="n">
        <f aca="false">+D35+F35</f>
        <v>-11.9391</v>
      </c>
      <c r="F35" s="16" t="n">
        <f aca="false">RANDBETWEEN(-105,115)/10000</f>
        <v>0.0109</v>
      </c>
      <c r="G35" s="16" t="n">
        <f aca="false">+Chạy!G119</f>
        <v>1.91</v>
      </c>
      <c r="H35" s="16" t="n">
        <f aca="false">G35+I35</f>
        <v>1.911</v>
      </c>
      <c r="I35" s="16" t="n">
        <f aca="false">RANDBETWEEN(-30,90)/1000</f>
        <v>0.001</v>
      </c>
      <c r="J35" s="16" t="n">
        <f aca="false">+Chạy!K119</f>
        <v>2.02</v>
      </c>
      <c r="K35" s="16" t="n">
        <f aca="false">J35+L35</f>
        <v>2.109</v>
      </c>
      <c r="L35" s="16" t="n">
        <f aca="false">RANDBETWEEN(-30,90)/1000</f>
        <v>0.089</v>
      </c>
      <c r="M35" s="16" t="n">
        <f aca="false">+Chạy!N119</f>
        <v>11.95</v>
      </c>
      <c r="N35" s="16" t="n">
        <f aca="false">+M35+O35</f>
        <v>11.9449</v>
      </c>
      <c r="O35" s="16" t="n">
        <f aca="false">RANDBETWEEN(-105,115)/10000</f>
        <v>-0.0051</v>
      </c>
      <c r="P35" s="16" t="n">
        <f aca="false">+Chạy!O119</f>
        <v>1.91</v>
      </c>
      <c r="Q35" s="16" t="n">
        <f aca="false">P35+R35</f>
        <v>1.955</v>
      </c>
      <c r="R35" s="16" t="n">
        <f aca="false">RANDBETWEEN(-30,90)/1000</f>
        <v>0.045</v>
      </c>
      <c r="S35" s="17"/>
      <c r="T35" s="0" t="n">
        <v>20</v>
      </c>
      <c r="X35" s="119"/>
      <c r="Y35" s="102"/>
      <c r="AA35" s="120"/>
      <c r="AB35" s="121"/>
      <c r="AC35" s="122"/>
      <c r="AE35" s="122"/>
    </row>
    <row r="36" customFormat="false" ht="15.75" hidden="false" customHeight="true" outlineLevel="0" collapsed="false">
      <c r="A36" s="118" t="n">
        <v>15</v>
      </c>
      <c r="B36" s="13" t="s">
        <v>31</v>
      </c>
      <c r="C36" s="15" t="n">
        <f aca="false">+C35+T35</f>
        <v>454.75</v>
      </c>
      <c r="D36" s="16" t="n">
        <f aca="false">+Chạy!F128</f>
        <v>-11.95</v>
      </c>
      <c r="E36" s="16" t="n">
        <f aca="false">+D36+F36</f>
        <v>-11.9485</v>
      </c>
      <c r="F36" s="16" t="n">
        <f aca="false">RANDBETWEEN(-105,115)/10000</f>
        <v>0.0015</v>
      </c>
      <c r="G36" s="16" t="n">
        <f aca="false">+Chạy!G128</f>
        <v>1.89</v>
      </c>
      <c r="H36" s="16" t="n">
        <f aca="false">G36+I36</f>
        <v>1.964</v>
      </c>
      <c r="I36" s="16" t="n">
        <f aca="false">RANDBETWEEN(-30,90)/1000</f>
        <v>0.074</v>
      </c>
      <c r="J36" s="16" t="n">
        <f aca="false">+Chạy!K128</f>
        <v>2.01</v>
      </c>
      <c r="K36" s="16" t="n">
        <f aca="false">J36+L36</f>
        <v>2.077</v>
      </c>
      <c r="L36" s="16" t="n">
        <f aca="false">RANDBETWEEN(-30,90)/1000</f>
        <v>0.067</v>
      </c>
      <c r="M36" s="16" t="n">
        <f aca="false">+Chạy!N128</f>
        <v>11.95</v>
      </c>
      <c r="N36" s="16" t="n">
        <f aca="false">+M36+O36</f>
        <v>11.9544</v>
      </c>
      <c r="O36" s="16" t="n">
        <f aca="false">RANDBETWEEN(-105,115)/10000</f>
        <v>0.0044</v>
      </c>
      <c r="P36" s="16" t="n">
        <f aca="false">+Chạy!O128</f>
        <v>1.89</v>
      </c>
      <c r="Q36" s="16" t="n">
        <f aca="false">P36+R36</f>
        <v>1.864</v>
      </c>
      <c r="R36" s="16" t="n">
        <f aca="false">RANDBETWEEN(-30,90)/1000</f>
        <v>-0.026</v>
      </c>
      <c r="S36" s="17"/>
      <c r="T36" s="0" t="n">
        <v>20</v>
      </c>
      <c r="X36" s="119"/>
      <c r="Y36" s="102"/>
      <c r="AA36" s="120"/>
      <c r="AB36" s="121"/>
      <c r="AC36" s="122"/>
      <c r="AE36" s="122"/>
    </row>
    <row r="37" customFormat="false" ht="15.75" hidden="false" customHeight="true" outlineLevel="0" collapsed="false">
      <c r="A37" s="118" t="n">
        <v>16</v>
      </c>
      <c r="B37" s="13" t="s">
        <v>32</v>
      </c>
      <c r="C37" s="15" t="n">
        <f aca="false">+C36+T36</f>
        <v>474.75</v>
      </c>
      <c r="D37" s="16" t="n">
        <f aca="false">+Chạy!F137</f>
        <v>-11.95</v>
      </c>
      <c r="E37" s="16" t="n">
        <f aca="false">+D37+F37</f>
        <v>-11.9575</v>
      </c>
      <c r="F37" s="16" t="n">
        <f aca="false">RANDBETWEEN(-105,115)/10000</f>
        <v>-0.0075</v>
      </c>
      <c r="G37" s="16" t="n">
        <f aca="false">+Chạy!G137</f>
        <v>1.88</v>
      </c>
      <c r="H37" s="16" t="n">
        <f aca="false">G37+I37</f>
        <v>1.877</v>
      </c>
      <c r="I37" s="16" t="n">
        <f aca="false">RANDBETWEEN(-30,90)/1000</f>
        <v>-0.003</v>
      </c>
      <c r="J37" s="16" t="n">
        <f aca="false">+Chạy!K137</f>
        <v>2</v>
      </c>
      <c r="K37" s="16" t="n">
        <f aca="false">J37+L37</f>
        <v>2.012</v>
      </c>
      <c r="L37" s="16" t="n">
        <f aca="false">RANDBETWEEN(-30,90)/1000</f>
        <v>0.012</v>
      </c>
      <c r="M37" s="16" t="n">
        <f aca="false">+Chạy!N137</f>
        <v>11.95</v>
      </c>
      <c r="N37" s="16" t="n">
        <f aca="false">+M37+O37</f>
        <v>11.9592</v>
      </c>
      <c r="O37" s="16" t="n">
        <f aca="false">RANDBETWEEN(-105,115)/10000</f>
        <v>0.0092</v>
      </c>
      <c r="P37" s="16" t="n">
        <f aca="false">+Chạy!O137</f>
        <v>1.88</v>
      </c>
      <c r="Q37" s="16" t="n">
        <f aca="false">P37+R37</f>
        <v>1.864</v>
      </c>
      <c r="R37" s="16" t="n">
        <f aca="false">RANDBETWEEN(-30,90)/1000</f>
        <v>-0.016</v>
      </c>
      <c r="S37" s="17"/>
      <c r="T37" s="0" t="n">
        <v>14.44</v>
      </c>
      <c r="X37" s="119"/>
      <c r="Y37" s="102"/>
      <c r="AA37" s="120"/>
      <c r="AB37" s="121"/>
      <c r="AC37" s="122"/>
      <c r="AE37" s="122"/>
    </row>
    <row r="38" customFormat="false" ht="15.75" hidden="false" customHeight="true" outlineLevel="0" collapsed="false">
      <c r="A38" s="118" t="n">
        <v>17</v>
      </c>
      <c r="B38" s="13" t="s">
        <v>33</v>
      </c>
      <c r="C38" s="15" t="n">
        <f aca="false">+C37+T37</f>
        <v>489.19</v>
      </c>
      <c r="D38" s="16" t="n">
        <f aca="false">+Chạy!F146</f>
        <v>-11.95</v>
      </c>
      <c r="E38" s="16" t="n">
        <f aca="false">+D38+F38</f>
        <v>-11.9406</v>
      </c>
      <c r="F38" s="16" t="n">
        <f aca="false">RANDBETWEEN(-105,115)/10000</f>
        <v>0.0094</v>
      </c>
      <c r="G38" s="16" t="n">
        <f aca="false">+Chạy!G146</f>
        <v>1.87</v>
      </c>
      <c r="H38" s="16" t="n">
        <f aca="false">G38+I38</f>
        <v>1.887</v>
      </c>
      <c r="I38" s="16" t="n">
        <f aca="false">RANDBETWEEN(-30,90)/1000</f>
        <v>0.017</v>
      </c>
      <c r="J38" s="16" t="n">
        <f aca="false">+Chạy!K146</f>
        <v>1.99</v>
      </c>
      <c r="K38" s="16" t="n">
        <f aca="false">J38+L38</f>
        <v>2.002</v>
      </c>
      <c r="L38" s="16" t="n">
        <f aca="false">RANDBETWEEN(-30,90)/1000</f>
        <v>0.012</v>
      </c>
      <c r="M38" s="16" t="n">
        <f aca="false">+Chạy!N146</f>
        <v>11.95</v>
      </c>
      <c r="N38" s="16" t="n">
        <f aca="false">+M38+O38</f>
        <v>11.9583</v>
      </c>
      <c r="O38" s="16" t="n">
        <f aca="false">RANDBETWEEN(-105,115)/10000</f>
        <v>0.0083</v>
      </c>
      <c r="P38" s="16" t="n">
        <f aca="false">+Chạy!O146</f>
        <v>1.87</v>
      </c>
      <c r="Q38" s="16" t="n">
        <f aca="false">P38+R38</f>
        <v>1.952</v>
      </c>
      <c r="R38" s="16" t="n">
        <f aca="false">RANDBETWEEN(-30,90)/1000</f>
        <v>0.082</v>
      </c>
      <c r="S38" s="17"/>
      <c r="T38" s="0" t="n">
        <v>13.17</v>
      </c>
      <c r="X38" s="119"/>
      <c r="Y38" s="102"/>
      <c r="AA38" s="120"/>
      <c r="AB38" s="121"/>
      <c r="AC38" s="122"/>
      <c r="AE38" s="122"/>
    </row>
    <row r="39" customFormat="false" ht="15.75" hidden="false" customHeight="true" outlineLevel="0" collapsed="false">
      <c r="A39" s="118" t="n">
        <v>18</v>
      </c>
      <c r="B39" s="13" t="s">
        <v>34</v>
      </c>
      <c r="C39" s="15" t="n">
        <f aca="false">+C38+T38</f>
        <v>502.36</v>
      </c>
      <c r="D39" s="16" t="n">
        <f aca="false">+Chạy!F155</f>
        <v>-11.95</v>
      </c>
      <c r="E39" s="16" t="n">
        <f aca="false">+D39+F39</f>
        <v>-11.9488</v>
      </c>
      <c r="F39" s="16" t="n">
        <f aca="false">RANDBETWEEN(-105,115)/10000</f>
        <v>0.0012</v>
      </c>
      <c r="G39" s="16" t="n">
        <f aca="false">+Chạy!G155</f>
        <v>1.86</v>
      </c>
      <c r="H39" s="16" t="n">
        <f aca="false">G39+I39</f>
        <v>1.924</v>
      </c>
      <c r="I39" s="16" t="n">
        <f aca="false">RANDBETWEEN(-30,90)/1000</f>
        <v>0.064</v>
      </c>
      <c r="J39" s="16" t="n">
        <f aca="false">+Chạy!K155</f>
        <v>1.98</v>
      </c>
      <c r="K39" s="16" t="n">
        <f aca="false">J39+L39</f>
        <v>2.048</v>
      </c>
      <c r="L39" s="16" t="n">
        <f aca="false">RANDBETWEEN(-30,90)/1000</f>
        <v>0.068</v>
      </c>
      <c r="M39" s="16" t="n">
        <f aca="false">+Chạy!N155</f>
        <v>11.95</v>
      </c>
      <c r="N39" s="16" t="n">
        <f aca="false">+M39+O39</f>
        <v>11.9603</v>
      </c>
      <c r="O39" s="16" t="n">
        <f aca="false">RANDBETWEEN(-105,115)/10000</f>
        <v>0.0103</v>
      </c>
      <c r="P39" s="16" t="n">
        <f aca="false">+Chạy!O155</f>
        <v>1.86</v>
      </c>
      <c r="Q39" s="16" t="n">
        <f aca="false">P39+R39</f>
        <v>1.877</v>
      </c>
      <c r="R39" s="16" t="n">
        <f aca="false">RANDBETWEEN(-30,90)/1000</f>
        <v>0.017</v>
      </c>
      <c r="S39" s="17"/>
      <c r="T39" s="0" t="n">
        <v>10.48</v>
      </c>
      <c r="X39" s="119"/>
      <c r="Y39" s="102"/>
      <c r="AA39" s="120"/>
      <c r="AB39" s="121"/>
      <c r="AC39" s="122"/>
      <c r="AE39" s="122"/>
    </row>
    <row r="40" customFormat="false" ht="15.75" hidden="false" customHeight="true" outlineLevel="0" collapsed="false">
      <c r="A40" s="118" t="n">
        <v>19</v>
      </c>
      <c r="B40" s="13" t="s">
        <v>35</v>
      </c>
      <c r="C40" s="15" t="n">
        <f aca="false">+C39+T39</f>
        <v>512.84</v>
      </c>
      <c r="D40" s="16" t="n">
        <f aca="false">+Chạy!F164</f>
        <v>-11.95</v>
      </c>
      <c r="E40" s="16" t="n">
        <f aca="false">+D40+F40</f>
        <v>-11.9574</v>
      </c>
      <c r="F40" s="16" t="n">
        <f aca="false">RANDBETWEEN(-105,115)/10000</f>
        <v>-0.0074</v>
      </c>
      <c r="G40" s="16" t="n">
        <f aca="false">+Chạy!G164</f>
        <v>1.86</v>
      </c>
      <c r="H40" s="16" t="n">
        <f aca="false">G40+I40</f>
        <v>1.901</v>
      </c>
      <c r="I40" s="16" t="n">
        <f aca="false">RANDBETWEEN(-30,90)/1000</f>
        <v>0.041</v>
      </c>
      <c r="J40" s="16" t="n">
        <f aca="false">+Chạy!K164</f>
        <v>1.97</v>
      </c>
      <c r="K40" s="16" t="n">
        <f aca="false">J40+L40</f>
        <v>1.981</v>
      </c>
      <c r="L40" s="16" t="n">
        <f aca="false">RANDBETWEEN(-30,90)/1000</f>
        <v>0.011</v>
      </c>
      <c r="M40" s="16" t="n">
        <f aca="false">+Chạy!N164</f>
        <v>11.95</v>
      </c>
      <c r="N40" s="16" t="n">
        <f aca="false">+M40+O40</f>
        <v>11.9584</v>
      </c>
      <c r="O40" s="16" t="n">
        <f aca="false">RANDBETWEEN(-105,115)/10000</f>
        <v>0.0084</v>
      </c>
      <c r="P40" s="16" t="n">
        <f aca="false">+Chạy!O164</f>
        <v>1.86</v>
      </c>
      <c r="Q40" s="16" t="n">
        <f aca="false">P40+R40</f>
        <v>1.923</v>
      </c>
      <c r="R40" s="16" t="n">
        <f aca="false">RANDBETWEEN(-30,90)/1000</f>
        <v>0.063</v>
      </c>
      <c r="S40" s="17"/>
      <c r="T40" s="0" t="n">
        <v>16.78</v>
      </c>
      <c r="X40" s="119"/>
      <c r="Y40" s="102"/>
      <c r="AA40" s="120"/>
      <c r="AB40" s="121"/>
      <c r="AC40" s="122"/>
      <c r="AE40" s="122"/>
    </row>
    <row r="41" customFormat="false" ht="15.75" hidden="false" customHeight="true" outlineLevel="0" collapsed="false">
      <c r="A41" s="118" t="n">
        <v>20</v>
      </c>
      <c r="B41" s="13" t="s">
        <v>36</v>
      </c>
      <c r="C41" s="15" t="n">
        <f aca="false">+C40+T40</f>
        <v>529.62</v>
      </c>
      <c r="D41" s="16" t="n">
        <f aca="false">+Chạy!F173</f>
        <v>-11.95</v>
      </c>
      <c r="E41" s="16" t="n">
        <f aca="false">+D41+F41</f>
        <v>-11.9486</v>
      </c>
      <c r="F41" s="16" t="n">
        <f aca="false">RANDBETWEEN(-105,115)/10000</f>
        <v>0.0014</v>
      </c>
      <c r="G41" s="16" t="n">
        <f aca="false">+Chạy!G173</f>
        <v>1.85</v>
      </c>
      <c r="H41" s="16" t="n">
        <f aca="false">G41+I41</f>
        <v>1.857</v>
      </c>
      <c r="I41" s="16" t="n">
        <f aca="false">RANDBETWEEN(-30,90)/1000</f>
        <v>0.007</v>
      </c>
      <c r="J41" s="16" t="n">
        <f aca="false">+Chạy!K173</f>
        <v>1.97</v>
      </c>
      <c r="K41" s="16" t="n">
        <f aca="false">J41+L41</f>
        <v>2.005</v>
      </c>
      <c r="L41" s="16" t="n">
        <f aca="false">RANDBETWEEN(-30,90)/1000</f>
        <v>0.035</v>
      </c>
      <c r="M41" s="16" t="n">
        <f aca="false">+Chạy!N173</f>
        <v>11.95</v>
      </c>
      <c r="N41" s="16" t="n">
        <f aca="false">+M41+O41</f>
        <v>11.9497</v>
      </c>
      <c r="O41" s="16" t="n">
        <f aca="false">RANDBETWEEN(-105,115)/10000</f>
        <v>-0.0003</v>
      </c>
      <c r="P41" s="16" t="n">
        <f aca="false">+Chạy!O173</f>
        <v>1.85</v>
      </c>
      <c r="Q41" s="16" t="n">
        <f aca="false">P41+R41</f>
        <v>1.875</v>
      </c>
      <c r="R41" s="16" t="n">
        <f aca="false">RANDBETWEEN(-30,90)/1000</f>
        <v>0.025</v>
      </c>
      <c r="S41" s="17"/>
      <c r="T41" s="0" t="n">
        <v>17.1</v>
      </c>
      <c r="X41" s="119"/>
      <c r="Y41" s="102"/>
      <c r="AA41" s="120"/>
      <c r="AB41" s="121"/>
      <c r="AC41" s="122"/>
      <c r="AE41" s="122"/>
    </row>
    <row r="42" customFormat="false" ht="15.75" hidden="false" customHeight="true" outlineLevel="0" collapsed="false">
      <c r="A42" s="118" t="n">
        <v>21</v>
      </c>
      <c r="B42" s="13" t="s">
        <v>37</v>
      </c>
      <c r="C42" s="15" t="n">
        <f aca="false">+C41+T41</f>
        <v>546.72</v>
      </c>
      <c r="D42" s="16" t="n">
        <f aca="false">+Chạy!F182</f>
        <v>-11.95</v>
      </c>
      <c r="E42" s="16" t="n">
        <f aca="false">+D42+F42</f>
        <v>-11.9511</v>
      </c>
      <c r="F42" s="16" t="n">
        <f aca="false">RANDBETWEEN(-105,115)/10000</f>
        <v>-0.0011</v>
      </c>
      <c r="G42" s="16" t="n">
        <f aca="false">+Chạy!G182</f>
        <v>1.84</v>
      </c>
      <c r="H42" s="16" t="n">
        <f aca="false">G42+I42</f>
        <v>1.898</v>
      </c>
      <c r="I42" s="16" t="n">
        <f aca="false">RANDBETWEEN(-30,90)/1000</f>
        <v>0.058</v>
      </c>
      <c r="J42" s="16" t="n">
        <f aca="false">+Chạy!K182</f>
        <v>1.96</v>
      </c>
      <c r="K42" s="16" t="n">
        <f aca="false">J42+L42</f>
        <v>1.965</v>
      </c>
      <c r="L42" s="16" t="n">
        <f aca="false">RANDBETWEEN(-30,90)/1000</f>
        <v>0.005</v>
      </c>
      <c r="M42" s="16" t="n">
        <f aca="false">+Chạy!N182</f>
        <v>11.95</v>
      </c>
      <c r="N42" s="16" t="n">
        <f aca="false">+M42+O42</f>
        <v>11.9502</v>
      </c>
      <c r="O42" s="16" t="n">
        <f aca="false">RANDBETWEEN(-105,115)/10000</f>
        <v>0.0002</v>
      </c>
      <c r="P42" s="16" t="n">
        <f aca="false">+Chạy!O182</f>
        <v>1.84</v>
      </c>
      <c r="Q42" s="16" t="n">
        <f aca="false">P42+R42</f>
        <v>1.845</v>
      </c>
      <c r="R42" s="16" t="n">
        <f aca="false">RANDBETWEEN(-30,90)/1000</f>
        <v>0.005</v>
      </c>
      <c r="S42" s="17"/>
      <c r="T42" s="0" t="n">
        <v>15.15</v>
      </c>
      <c r="X42" s="119"/>
      <c r="Y42" s="102"/>
      <c r="AA42" s="120"/>
      <c r="AB42" s="121"/>
      <c r="AC42" s="122"/>
      <c r="AE42" s="122"/>
    </row>
    <row r="43" customFormat="false" ht="15.75" hidden="false" customHeight="true" outlineLevel="0" collapsed="false">
      <c r="A43" s="118" t="n">
        <v>22</v>
      </c>
      <c r="B43" s="13" t="s">
        <v>38</v>
      </c>
      <c r="C43" s="15" t="n">
        <f aca="false">+C42+T42</f>
        <v>561.87</v>
      </c>
      <c r="D43" s="16" t="n">
        <f aca="false">+Chạy!F191</f>
        <v>-11.95</v>
      </c>
      <c r="E43" s="16" t="n">
        <f aca="false">+D43+F43</f>
        <v>-11.9421</v>
      </c>
      <c r="F43" s="16" t="n">
        <f aca="false">RANDBETWEEN(-105,115)/10000</f>
        <v>0.0079</v>
      </c>
      <c r="G43" s="16" t="n">
        <f aca="false">+Chạy!G191</f>
        <v>1.84</v>
      </c>
      <c r="H43" s="16" t="n">
        <f aca="false">G43+I43</f>
        <v>1.818</v>
      </c>
      <c r="I43" s="16" t="n">
        <f aca="false">RANDBETWEEN(-30,90)/1000</f>
        <v>-0.022</v>
      </c>
      <c r="J43" s="16" t="n">
        <f aca="false">+Chạy!K191</f>
        <v>1.95</v>
      </c>
      <c r="K43" s="16" t="n">
        <f aca="false">J43+L43</f>
        <v>2.002</v>
      </c>
      <c r="L43" s="16" t="n">
        <f aca="false">RANDBETWEEN(-30,90)/1000</f>
        <v>0.052</v>
      </c>
      <c r="M43" s="16" t="n">
        <f aca="false">+Chạy!N191</f>
        <v>11.95</v>
      </c>
      <c r="N43" s="16" t="n">
        <f aca="false">+M43+O43</f>
        <v>11.9412</v>
      </c>
      <c r="O43" s="16" t="n">
        <f aca="false">RANDBETWEEN(-105,115)/10000</f>
        <v>-0.0088</v>
      </c>
      <c r="P43" s="16" t="n">
        <f aca="false">+Chạy!O191</f>
        <v>1.84</v>
      </c>
      <c r="Q43" s="16" t="n">
        <f aca="false">P43+R43</f>
        <v>1.875</v>
      </c>
      <c r="R43" s="16" t="n">
        <f aca="false">RANDBETWEEN(-30,90)/1000</f>
        <v>0.035</v>
      </c>
      <c r="S43" s="17"/>
      <c r="T43" s="0" t="n">
        <v>0.15</v>
      </c>
      <c r="X43" s="119"/>
      <c r="Y43" s="102"/>
      <c r="AA43" s="120"/>
      <c r="AB43" s="121"/>
      <c r="AC43" s="122"/>
      <c r="AE43" s="122"/>
    </row>
    <row r="44" customFormat="false" ht="15.75" hidden="false" customHeight="true" outlineLevel="0" collapsed="false">
      <c r="A44" s="118" t="n">
        <v>23</v>
      </c>
      <c r="B44" s="13" t="s">
        <v>39</v>
      </c>
      <c r="C44" s="15" t="n">
        <f aca="false">+C43+T43</f>
        <v>562.02</v>
      </c>
      <c r="D44" s="16" t="n">
        <f aca="false">+Chạy!F200</f>
        <v>-11.95</v>
      </c>
      <c r="E44" s="16" t="n">
        <f aca="false">+D44+F44</f>
        <v>-11.9455</v>
      </c>
      <c r="F44" s="16" t="n">
        <f aca="false">RANDBETWEEN(-105,115)/10000</f>
        <v>0.0045</v>
      </c>
      <c r="G44" s="16" t="n">
        <f aca="false">+Chạy!G200</f>
        <v>1.84</v>
      </c>
      <c r="H44" s="16" t="n">
        <f aca="false">G44+I44</f>
        <v>1.921</v>
      </c>
      <c r="I44" s="16" t="n">
        <f aca="false">RANDBETWEEN(-30,90)/1000</f>
        <v>0.081</v>
      </c>
      <c r="J44" s="16" t="n">
        <f aca="false">+Chạy!K200</f>
        <v>1.95</v>
      </c>
      <c r="K44" s="16" t="n">
        <f aca="false">J44+L44</f>
        <v>2.037</v>
      </c>
      <c r="L44" s="16" t="n">
        <f aca="false">RANDBETWEEN(-30,90)/1000</f>
        <v>0.087</v>
      </c>
      <c r="M44" s="16" t="n">
        <f aca="false">+Chạy!N200</f>
        <v>11.95</v>
      </c>
      <c r="N44" s="16" t="n">
        <f aca="false">+M44+O44</f>
        <v>11.9559</v>
      </c>
      <c r="O44" s="16" t="n">
        <f aca="false">RANDBETWEEN(-105,115)/10000</f>
        <v>0.0059</v>
      </c>
      <c r="P44" s="16" t="n">
        <f aca="false">+Chạy!O200</f>
        <v>1.84</v>
      </c>
      <c r="Q44" s="16" t="n">
        <f aca="false">P44+R44</f>
        <v>1.872</v>
      </c>
      <c r="R44" s="16" t="n">
        <f aca="false">RANDBETWEEN(-30,90)/1000</f>
        <v>0.032</v>
      </c>
      <c r="S44" s="17"/>
      <c r="T44" s="0" t="n">
        <v>6.55</v>
      </c>
      <c r="X44" s="119"/>
      <c r="Y44" s="102"/>
      <c r="AA44" s="120"/>
      <c r="AB44" s="121"/>
      <c r="AC44" s="122"/>
      <c r="AE44" s="122"/>
    </row>
    <row r="45" customFormat="false" ht="15.75" hidden="false" customHeight="true" outlineLevel="0" collapsed="false">
      <c r="A45" s="118" t="n">
        <v>24</v>
      </c>
      <c r="B45" s="13" t="s">
        <v>40</v>
      </c>
      <c r="C45" s="15" t="n">
        <f aca="false">+C44+T44</f>
        <v>568.57</v>
      </c>
      <c r="D45" s="16" t="n">
        <f aca="false">+Chạy!F209</f>
        <v>-11.95</v>
      </c>
      <c r="E45" s="16" t="n">
        <f aca="false">+D45+F45</f>
        <v>-11.9423</v>
      </c>
      <c r="F45" s="16" t="n">
        <f aca="false">RANDBETWEEN(-105,115)/10000</f>
        <v>0.0077</v>
      </c>
      <c r="G45" s="16" t="n">
        <f aca="false">+Chạy!G209</f>
        <v>1.84</v>
      </c>
      <c r="H45" s="16" t="n">
        <f aca="false">G45+I45</f>
        <v>1.834</v>
      </c>
      <c r="I45" s="16" t="n">
        <f aca="false">RANDBETWEEN(-30,90)/1000</f>
        <v>-0.006</v>
      </c>
      <c r="J45" s="16" t="n">
        <f aca="false">+Chạy!K209</f>
        <v>1.95</v>
      </c>
      <c r="K45" s="16" t="n">
        <f aca="false">J45+L45</f>
        <v>1.962</v>
      </c>
      <c r="L45" s="16" t="n">
        <f aca="false">RANDBETWEEN(-30,90)/1000</f>
        <v>0.012</v>
      </c>
      <c r="M45" s="16" t="n">
        <f aca="false">+Chạy!N209</f>
        <v>11.95</v>
      </c>
      <c r="N45" s="16" t="n">
        <f aca="false">+M45+O45</f>
        <v>11.9573</v>
      </c>
      <c r="O45" s="16" t="n">
        <f aca="false">RANDBETWEEN(-105,115)/10000</f>
        <v>0.0073</v>
      </c>
      <c r="P45" s="16" t="n">
        <f aca="false">+Chạy!O209</f>
        <v>1.84</v>
      </c>
      <c r="Q45" s="16" t="n">
        <f aca="false">P45+R45</f>
        <v>1.886</v>
      </c>
      <c r="R45" s="16" t="n">
        <f aca="false">RANDBETWEEN(-30,90)/1000</f>
        <v>0.046</v>
      </c>
      <c r="S45" s="17"/>
      <c r="T45" s="0" t="n">
        <v>6.55</v>
      </c>
      <c r="X45" s="119"/>
      <c r="Y45" s="102"/>
      <c r="AA45" s="120"/>
      <c r="AB45" s="121"/>
      <c r="AC45" s="122"/>
      <c r="AE45" s="122"/>
    </row>
    <row r="46" customFormat="false" ht="15.75" hidden="false" customHeight="true" outlineLevel="0" collapsed="false">
      <c r="A46" s="118" t="n">
        <v>25</v>
      </c>
      <c r="B46" s="13" t="s">
        <v>1</v>
      </c>
      <c r="C46" s="15" t="n">
        <f aca="false">+C45+T45</f>
        <v>575.12</v>
      </c>
      <c r="D46" s="16" t="n">
        <f aca="false">+Chạy!F218</f>
        <v>-11.95</v>
      </c>
      <c r="E46" s="16" t="n">
        <f aca="false">+D46+F46</f>
        <v>-11.9493</v>
      </c>
      <c r="F46" s="16" t="n">
        <f aca="false">RANDBETWEEN(-105,115)/10000</f>
        <v>0.0007</v>
      </c>
      <c r="G46" s="16" t="n">
        <f aca="false">+Chạy!G218</f>
        <v>1.84</v>
      </c>
      <c r="H46" s="16" t="n">
        <f aca="false">G46+I46</f>
        <v>1.852</v>
      </c>
      <c r="I46" s="16" t="n">
        <f aca="false">RANDBETWEEN(-30,90)/1000</f>
        <v>0.012</v>
      </c>
      <c r="J46" s="16" t="n">
        <f aca="false">+Chạy!K218</f>
        <v>1.95</v>
      </c>
      <c r="K46" s="16" t="n">
        <f aca="false">J46+L46</f>
        <v>2.001</v>
      </c>
      <c r="L46" s="16" t="n">
        <f aca="false">RANDBETWEEN(-30,90)/1000</f>
        <v>0.051</v>
      </c>
      <c r="M46" s="16" t="n">
        <f aca="false">+Chạy!N218</f>
        <v>11.95</v>
      </c>
      <c r="N46" s="16" t="n">
        <f aca="false">+M46+O46</f>
        <v>11.9477</v>
      </c>
      <c r="O46" s="16" t="n">
        <f aca="false">RANDBETWEEN(-105,115)/10000</f>
        <v>-0.0023</v>
      </c>
      <c r="P46" s="16" t="n">
        <f aca="false">+Chạy!O218</f>
        <v>1.84</v>
      </c>
      <c r="Q46" s="16" t="n">
        <f aca="false">P46+R46</f>
        <v>1.887</v>
      </c>
      <c r="R46" s="16" t="n">
        <f aca="false">RANDBETWEEN(-30,90)/1000</f>
        <v>0.047</v>
      </c>
      <c r="S46" s="17"/>
      <c r="T46" s="0" t="n">
        <v>0.04</v>
      </c>
      <c r="X46" s="119"/>
      <c r="Y46" s="102"/>
      <c r="AA46" s="120"/>
      <c r="AB46" s="121"/>
      <c r="AC46" s="122"/>
      <c r="AE46" s="122"/>
    </row>
    <row r="47" customFormat="false" ht="15.75" hidden="false" customHeight="true" outlineLevel="0" collapsed="false">
      <c r="A47" s="118" t="n">
        <v>26</v>
      </c>
      <c r="B47" s="13" t="s">
        <v>41</v>
      </c>
      <c r="C47" s="15" t="n">
        <f aca="false">+C46+T46</f>
        <v>575.16</v>
      </c>
      <c r="D47" s="16" t="n">
        <f aca="false">+Chạy!F227</f>
        <v>-11.95</v>
      </c>
      <c r="E47" s="16" t="n">
        <f aca="false">+D47+F47</f>
        <v>-11.9386</v>
      </c>
      <c r="F47" s="16" t="n">
        <f aca="false">RANDBETWEEN(-105,115)/10000</f>
        <v>0.0114</v>
      </c>
      <c r="G47" s="16" t="n">
        <f aca="false">+Chạy!G227</f>
        <v>1.97</v>
      </c>
      <c r="H47" s="16" t="n">
        <f aca="false">G47+I47</f>
        <v>2.042</v>
      </c>
      <c r="I47" s="16" t="n">
        <f aca="false">RANDBETWEEN(-30,90)/1000</f>
        <v>0.072</v>
      </c>
      <c r="J47" s="16" t="n">
        <f aca="false">+Chạy!K227</f>
        <v>1.95</v>
      </c>
      <c r="K47" s="16" t="n">
        <f aca="false">J47+L47</f>
        <v>1.929</v>
      </c>
      <c r="L47" s="16" t="n">
        <f aca="false">RANDBETWEEN(-30,90)/1000</f>
        <v>-0.021</v>
      </c>
      <c r="M47" s="16" t="n">
        <f aca="false">+Chạy!N227</f>
        <v>11.95</v>
      </c>
      <c r="N47" s="16" t="n">
        <f aca="false">+M47+O47</f>
        <v>11.9402</v>
      </c>
      <c r="O47" s="16" t="n">
        <f aca="false">RANDBETWEEN(-105,115)/10000</f>
        <v>-0.0098</v>
      </c>
      <c r="P47" s="16" t="n">
        <f aca="false">+Chạy!O227</f>
        <v>1.84</v>
      </c>
      <c r="Q47" s="16" t="n">
        <f aca="false">P47+R47</f>
        <v>1.901</v>
      </c>
      <c r="R47" s="16" t="n">
        <f aca="false">RANDBETWEEN(-30,90)/1000</f>
        <v>0.061</v>
      </c>
      <c r="S47" s="17"/>
      <c r="T47" s="0" t="n">
        <v>16.95</v>
      </c>
      <c r="X47" s="119"/>
      <c r="Y47" s="102"/>
      <c r="AA47" s="120"/>
      <c r="AB47" s="121"/>
      <c r="AC47" s="122"/>
      <c r="AE47" s="122"/>
    </row>
    <row r="48" customFormat="false" ht="15.75" hidden="false" customHeight="true" outlineLevel="0" collapsed="false">
      <c r="A48" s="118" t="n">
        <v>27</v>
      </c>
      <c r="B48" s="13" t="s">
        <v>42</v>
      </c>
      <c r="C48" s="15" t="n">
        <f aca="false">+C47+T47</f>
        <v>592.11</v>
      </c>
      <c r="D48" s="16" t="n">
        <f aca="false">+Chạy!F236</f>
        <v>-11.95</v>
      </c>
      <c r="E48" s="16" t="n">
        <f aca="false">+D48+F48</f>
        <v>-11.9463</v>
      </c>
      <c r="F48" s="16" t="n">
        <f aca="false">RANDBETWEEN(-105,115)/10000</f>
        <v>0.0037</v>
      </c>
      <c r="G48" s="16" t="n">
        <f aca="false">+Chạy!G236</f>
        <v>1.84</v>
      </c>
      <c r="H48" s="16" t="n">
        <f aca="false">G48+I48</f>
        <v>1.92</v>
      </c>
      <c r="I48" s="16" t="n">
        <f aca="false">RANDBETWEEN(-30,90)/1000</f>
        <v>0.08</v>
      </c>
      <c r="J48" s="16" t="n">
        <f aca="false">+Chạy!K236</f>
        <v>1.96</v>
      </c>
      <c r="K48" s="16" t="n">
        <f aca="false">J48+L48</f>
        <v>2.009</v>
      </c>
      <c r="L48" s="16" t="n">
        <f aca="false">RANDBETWEEN(-30,90)/1000</f>
        <v>0.049</v>
      </c>
      <c r="M48" s="16" t="n">
        <f aca="false">+Chạy!N236</f>
        <v>11.95</v>
      </c>
      <c r="N48" s="16" t="n">
        <f aca="false">+M48+O48</f>
        <v>11.9615</v>
      </c>
      <c r="O48" s="16" t="n">
        <f aca="false">RANDBETWEEN(-105,115)/10000</f>
        <v>0.0115</v>
      </c>
      <c r="P48" s="16" t="n">
        <f aca="false">+Chạy!O236</f>
        <v>1.84</v>
      </c>
      <c r="Q48" s="16" t="n">
        <f aca="false">P48+R48</f>
        <v>1.835</v>
      </c>
      <c r="R48" s="16" t="n">
        <f aca="false">RANDBETWEEN(-30,90)/1000</f>
        <v>-0.005</v>
      </c>
      <c r="S48" s="17"/>
      <c r="T48" s="0" t="n">
        <v>17</v>
      </c>
      <c r="X48" s="119"/>
      <c r="Y48" s="102"/>
      <c r="AA48" s="120"/>
      <c r="AB48" s="121"/>
      <c r="AC48" s="122"/>
      <c r="AE48" s="122"/>
    </row>
    <row r="49" customFormat="false" ht="15.75" hidden="false" customHeight="true" outlineLevel="0" collapsed="false">
      <c r="A49" s="118" t="n">
        <v>28</v>
      </c>
      <c r="B49" s="13" t="s">
        <v>43</v>
      </c>
      <c r="C49" s="15" t="n">
        <f aca="false">+C48+T48</f>
        <v>609.11</v>
      </c>
      <c r="D49" s="16" t="n">
        <f aca="false">+Chạy!F245</f>
        <v>-11.95</v>
      </c>
      <c r="E49" s="16" t="n">
        <f aca="false">+D49+F49</f>
        <v>-11.9491</v>
      </c>
      <c r="F49" s="16" t="n">
        <f aca="false">RANDBETWEEN(-105,115)/10000</f>
        <v>0.0009</v>
      </c>
      <c r="G49" s="16" t="n">
        <f aca="false">+Chạy!G245</f>
        <v>1.84</v>
      </c>
      <c r="H49" s="16" t="n">
        <f aca="false">G49+I49</f>
        <v>1.864</v>
      </c>
      <c r="I49" s="16" t="n">
        <f aca="false">RANDBETWEEN(-30,90)/1000</f>
        <v>0.024</v>
      </c>
      <c r="J49" s="16" t="n">
        <f aca="false">+Chạy!K245</f>
        <v>1.96</v>
      </c>
      <c r="K49" s="16" t="n">
        <f aca="false">J49+L49</f>
        <v>1.987</v>
      </c>
      <c r="L49" s="16" t="n">
        <f aca="false">RANDBETWEEN(-30,90)/1000</f>
        <v>0.027</v>
      </c>
      <c r="M49" s="16" t="n">
        <f aca="false">+Chạy!N245</f>
        <v>11.95</v>
      </c>
      <c r="N49" s="16" t="n">
        <f aca="false">+M49+O49</f>
        <v>11.9613</v>
      </c>
      <c r="O49" s="16" t="n">
        <f aca="false">RANDBETWEEN(-105,115)/10000</f>
        <v>0.0113</v>
      </c>
      <c r="P49" s="16" t="n">
        <f aca="false">+Chạy!O245</f>
        <v>1.84</v>
      </c>
      <c r="Q49" s="16" t="n">
        <f aca="false">P49+R49</f>
        <v>1.845</v>
      </c>
      <c r="R49" s="16" t="n">
        <f aca="false">RANDBETWEEN(-30,90)/1000</f>
        <v>0.005</v>
      </c>
      <c r="S49" s="17"/>
      <c r="T49" s="0" t="n">
        <v>11.75</v>
      </c>
      <c r="X49" s="119"/>
      <c r="Y49" s="102"/>
      <c r="AA49" s="120"/>
      <c r="AB49" s="121"/>
      <c r="AC49" s="122"/>
      <c r="AE49" s="122"/>
    </row>
    <row r="50" customFormat="false" ht="15.75" hidden="false" customHeight="true" outlineLevel="0" collapsed="false">
      <c r="A50" s="118" t="n">
        <v>29</v>
      </c>
      <c r="B50" s="13" t="s">
        <v>44</v>
      </c>
      <c r="C50" s="15" t="n">
        <f aca="false">+C49+T49</f>
        <v>620.86</v>
      </c>
      <c r="D50" s="16" t="n">
        <f aca="false">+Chạy!F254</f>
        <v>-11.95</v>
      </c>
      <c r="E50" s="16" t="n">
        <f aca="false">+D50+F50</f>
        <v>-11.9492</v>
      </c>
      <c r="F50" s="16" t="n">
        <f aca="false">RANDBETWEEN(-105,115)/10000</f>
        <v>0.0008</v>
      </c>
      <c r="G50" s="16" t="n">
        <f aca="false">+Chạy!G254</f>
        <v>1.84</v>
      </c>
      <c r="H50" s="16" t="n">
        <f aca="false">G50+I50</f>
        <v>1.886</v>
      </c>
      <c r="I50" s="16" t="n">
        <f aca="false">RANDBETWEEN(-30,90)/1000</f>
        <v>0.046</v>
      </c>
      <c r="J50" s="16" t="n">
        <f aca="false">+Chạy!K254</f>
        <v>1.96</v>
      </c>
      <c r="K50" s="16" t="n">
        <f aca="false">J50+L50</f>
        <v>2.014</v>
      </c>
      <c r="L50" s="16" t="n">
        <f aca="false">RANDBETWEEN(-30,90)/1000</f>
        <v>0.054</v>
      </c>
      <c r="M50" s="16" t="n">
        <f aca="false">+Chạy!N254</f>
        <v>11.95</v>
      </c>
      <c r="N50" s="16" t="n">
        <f aca="false">+M50+O50</f>
        <v>11.9459</v>
      </c>
      <c r="O50" s="16" t="n">
        <f aca="false">RANDBETWEEN(-105,115)/10000</f>
        <v>-0.0041</v>
      </c>
      <c r="P50" s="16" t="n">
        <f aca="false">+Chạy!O254</f>
        <v>1.84</v>
      </c>
      <c r="Q50" s="16" t="n">
        <f aca="false">P50+R50</f>
        <v>1.903</v>
      </c>
      <c r="R50" s="16" t="n">
        <f aca="false">RANDBETWEEN(-30,90)/1000</f>
        <v>0.063</v>
      </c>
      <c r="S50" s="17"/>
      <c r="T50" s="0" t="n">
        <v>11.75</v>
      </c>
      <c r="X50" s="119"/>
      <c r="Y50" s="102"/>
      <c r="AA50" s="120"/>
      <c r="AB50" s="121"/>
      <c r="AC50" s="122"/>
      <c r="AE50" s="122"/>
    </row>
    <row r="51" customFormat="false" ht="15.75" hidden="false" customHeight="true" outlineLevel="0" collapsed="false">
      <c r="A51" s="118" t="n">
        <v>30</v>
      </c>
      <c r="B51" s="13" t="s">
        <v>45</v>
      </c>
      <c r="C51" s="15" t="n">
        <f aca="false">+C50+T50</f>
        <v>632.61</v>
      </c>
      <c r="D51" s="16" t="n">
        <f aca="false">+Chạy!F263</f>
        <v>-11.95</v>
      </c>
      <c r="E51" s="16" t="n">
        <f aca="false">+D51+F51</f>
        <v>-11.9398</v>
      </c>
      <c r="F51" s="16" t="n">
        <f aca="false">RANDBETWEEN(-105,115)/10000</f>
        <v>0.0102</v>
      </c>
      <c r="G51" s="16" t="n">
        <f aca="false">+Chạy!G263</f>
        <v>1.84</v>
      </c>
      <c r="H51" s="16" t="n">
        <f aca="false">G51+I51</f>
        <v>1.921</v>
      </c>
      <c r="I51" s="16" t="n">
        <f aca="false">RANDBETWEEN(-30,90)/1000</f>
        <v>0.081</v>
      </c>
      <c r="J51" s="16" t="n">
        <f aca="false">+Chạy!K263</f>
        <v>1.96</v>
      </c>
      <c r="K51" s="16" t="n">
        <f aca="false">J51+L51</f>
        <v>2.009</v>
      </c>
      <c r="L51" s="16" t="n">
        <f aca="false">RANDBETWEEN(-30,90)/1000</f>
        <v>0.049</v>
      </c>
      <c r="M51" s="16" t="n">
        <f aca="false">+Chạy!N263</f>
        <v>11.95</v>
      </c>
      <c r="N51" s="16" t="n">
        <f aca="false">+M51+O51</f>
        <v>11.9493</v>
      </c>
      <c r="O51" s="16" t="n">
        <f aca="false">RANDBETWEEN(-105,115)/10000</f>
        <v>-0.0007</v>
      </c>
      <c r="P51" s="16" t="n">
        <f aca="false">+Chạy!O263</f>
        <v>1.84</v>
      </c>
      <c r="Q51" s="16" t="n">
        <f aca="false">P51+R51</f>
        <v>1.863</v>
      </c>
      <c r="R51" s="16" t="n">
        <f aca="false">RANDBETWEEN(-30,90)/1000</f>
        <v>0.023</v>
      </c>
      <c r="S51" s="17"/>
      <c r="T51" s="0" t="n">
        <v>20</v>
      </c>
      <c r="X51" s="119"/>
      <c r="Y51" s="102"/>
      <c r="AA51" s="120"/>
      <c r="AB51" s="121"/>
      <c r="AC51" s="122"/>
      <c r="AE51" s="122"/>
    </row>
    <row r="52" customFormat="false" ht="15.75" hidden="false" customHeight="true" outlineLevel="0" collapsed="false">
      <c r="A52" s="118" t="n">
        <v>31</v>
      </c>
      <c r="B52" s="13" t="s">
        <v>46</v>
      </c>
      <c r="C52" s="15" t="n">
        <f aca="false">+C51+T51</f>
        <v>652.61</v>
      </c>
      <c r="D52" s="16" t="n">
        <f aca="false">+Chạy!F272</f>
        <v>-11.95</v>
      </c>
      <c r="E52" s="16" t="n">
        <f aca="false">+D52+F52</f>
        <v>-11.9498</v>
      </c>
      <c r="F52" s="16" t="n">
        <f aca="false">RANDBETWEEN(-105,115)/10000</f>
        <v>0.0002</v>
      </c>
      <c r="G52" s="16" t="n">
        <f aca="false">+Chạy!G272</f>
        <v>1.85</v>
      </c>
      <c r="H52" s="16" t="n">
        <f aca="false">G52+I52</f>
        <v>1.848</v>
      </c>
      <c r="I52" s="16" t="n">
        <f aca="false">RANDBETWEEN(-30,90)/1000</f>
        <v>-0.002</v>
      </c>
      <c r="J52" s="16" t="n">
        <f aca="false">+Chạy!K272</f>
        <v>1.96</v>
      </c>
      <c r="K52" s="16" t="n">
        <f aca="false">J52+L52</f>
        <v>2.014</v>
      </c>
      <c r="L52" s="16" t="n">
        <f aca="false">RANDBETWEEN(-30,90)/1000</f>
        <v>0.054</v>
      </c>
      <c r="M52" s="16" t="n">
        <f aca="false">+Chạy!N272</f>
        <v>11.95</v>
      </c>
      <c r="N52" s="16" t="n">
        <f aca="false">+M52+O52</f>
        <v>11.9538</v>
      </c>
      <c r="O52" s="16" t="n">
        <f aca="false">RANDBETWEEN(-105,115)/10000</f>
        <v>0.0038</v>
      </c>
      <c r="P52" s="16" t="n">
        <f aca="false">+Chạy!O272</f>
        <v>1.85</v>
      </c>
      <c r="Q52" s="16" t="n">
        <f aca="false">P52+R52</f>
        <v>1.918</v>
      </c>
      <c r="R52" s="16" t="n">
        <f aca="false">RANDBETWEEN(-30,90)/1000</f>
        <v>0.068</v>
      </c>
      <c r="S52" s="17"/>
      <c r="T52" s="0" t="n">
        <v>20</v>
      </c>
      <c r="X52" s="119"/>
      <c r="Y52" s="102"/>
      <c r="AA52" s="120"/>
      <c r="AB52" s="121"/>
      <c r="AC52" s="122"/>
      <c r="AE52" s="122"/>
    </row>
    <row r="53" customFormat="false" ht="15.75" hidden="false" customHeight="true" outlineLevel="0" collapsed="false">
      <c r="A53" s="118" t="n">
        <v>32</v>
      </c>
      <c r="B53" s="13" t="s">
        <v>47</v>
      </c>
      <c r="C53" s="15" t="n">
        <f aca="false">+C52+T52</f>
        <v>672.61</v>
      </c>
      <c r="D53" s="16" t="n">
        <f aca="false">+Chạy!F281</f>
        <v>-11.95</v>
      </c>
      <c r="E53" s="16" t="n">
        <f aca="false">+D53+F53</f>
        <v>-11.9585</v>
      </c>
      <c r="F53" s="16" t="n">
        <f aca="false">RANDBETWEEN(-105,115)/10000</f>
        <v>-0.0085</v>
      </c>
      <c r="G53" s="16" t="n">
        <f aca="false">+Chạy!G281</f>
        <v>1.85</v>
      </c>
      <c r="H53" s="16" t="n">
        <f aca="false">G53+I53</f>
        <v>1.903</v>
      </c>
      <c r="I53" s="16" t="n">
        <f aca="false">RANDBETWEEN(-30,90)/1000</f>
        <v>0.053</v>
      </c>
      <c r="J53" s="16" t="n">
        <f aca="false">+Chạy!K281</f>
        <v>1.96</v>
      </c>
      <c r="K53" s="16" t="n">
        <f aca="false">J53+L53</f>
        <v>2.027</v>
      </c>
      <c r="L53" s="16" t="n">
        <f aca="false">RANDBETWEEN(-30,90)/1000</f>
        <v>0.067</v>
      </c>
      <c r="M53" s="16" t="n">
        <f aca="false">+Chạy!N281</f>
        <v>11.95</v>
      </c>
      <c r="N53" s="16" t="n">
        <f aca="false">+M53+O53</f>
        <v>11.9483</v>
      </c>
      <c r="O53" s="16" t="n">
        <f aca="false">RANDBETWEEN(-105,115)/10000</f>
        <v>-0.0017</v>
      </c>
      <c r="P53" s="16" t="n">
        <f aca="false">+Chạy!O281</f>
        <v>1.85</v>
      </c>
      <c r="Q53" s="16" t="n">
        <f aca="false">P53+R53</f>
        <v>1.898</v>
      </c>
      <c r="R53" s="16" t="n">
        <f aca="false">RANDBETWEEN(-30,90)/1000</f>
        <v>0.048</v>
      </c>
      <c r="S53" s="17"/>
      <c r="T53" s="0" t="n">
        <v>20</v>
      </c>
      <c r="X53" s="119"/>
      <c r="Y53" s="102"/>
      <c r="AA53" s="120"/>
      <c r="AB53" s="121"/>
      <c r="AC53" s="122"/>
      <c r="AE53" s="122"/>
    </row>
    <row r="54" customFormat="false" ht="15.75" hidden="false" customHeight="true" outlineLevel="0" collapsed="false">
      <c r="A54" s="118" t="n">
        <v>33</v>
      </c>
      <c r="B54" s="13" t="s">
        <v>48</v>
      </c>
      <c r="C54" s="15" t="n">
        <f aca="false">+C53+T53</f>
        <v>692.61</v>
      </c>
      <c r="D54" s="16" t="n">
        <f aca="false">+Chạy!F290</f>
        <v>-11.95</v>
      </c>
      <c r="E54" s="16" t="n">
        <f aca="false">+D54+F54</f>
        <v>-11.958</v>
      </c>
      <c r="F54" s="16" t="n">
        <f aca="false">RANDBETWEEN(-105,115)/10000</f>
        <v>-0.008</v>
      </c>
      <c r="G54" s="16" t="n">
        <f aca="false">+Chạy!G290</f>
        <v>1.85</v>
      </c>
      <c r="H54" s="16" t="n">
        <f aca="false">G54+I54</f>
        <v>1.916</v>
      </c>
      <c r="I54" s="16" t="n">
        <f aca="false">RANDBETWEEN(-30,90)/1000</f>
        <v>0.066</v>
      </c>
      <c r="J54" s="16" t="n">
        <f aca="false">+Chạy!K290</f>
        <v>1.97</v>
      </c>
      <c r="K54" s="16" t="n">
        <f aca="false">J54+L54</f>
        <v>2</v>
      </c>
      <c r="L54" s="16" t="n">
        <f aca="false">RANDBETWEEN(-30,90)/1000</f>
        <v>0.03</v>
      </c>
      <c r="M54" s="16" t="n">
        <f aca="false">+Chạy!N290</f>
        <v>11.95</v>
      </c>
      <c r="N54" s="16" t="n">
        <f aca="false">+M54+O54</f>
        <v>11.9571</v>
      </c>
      <c r="O54" s="16" t="n">
        <f aca="false">RANDBETWEEN(-105,115)/10000</f>
        <v>0.0071</v>
      </c>
      <c r="P54" s="16" t="n">
        <f aca="false">+Chạy!O290</f>
        <v>1.85</v>
      </c>
      <c r="Q54" s="16" t="n">
        <f aca="false">P54+R54</f>
        <v>1.868</v>
      </c>
      <c r="R54" s="16" t="n">
        <f aca="false">RANDBETWEEN(-30,90)/1000</f>
        <v>0.018</v>
      </c>
      <c r="S54" s="17"/>
      <c r="T54" s="0" t="n">
        <v>20</v>
      </c>
      <c r="X54" s="119"/>
      <c r="Y54" s="102"/>
      <c r="AA54" s="120"/>
      <c r="AB54" s="121"/>
      <c r="AC54" s="122"/>
      <c r="AE54" s="122"/>
    </row>
    <row r="55" customFormat="false" ht="15.75" hidden="false" customHeight="true" outlineLevel="0" collapsed="false">
      <c r="A55" s="118" t="n">
        <v>34</v>
      </c>
      <c r="B55" s="13" t="s">
        <v>49</v>
      </c>
      <c r="C55" s="15" t="n">
        <f aca="false">+C54+T54</f>
        <v>712.61</v>
      </c>
      <c r="D55" s="16" t="n">
        <f aca="false">+Chạy!F299</f>
        <v>-11.95</v>
      </c>
      <c r="E55" s="16" t="n">
        <f aca="false">+D55+F55</f>
        <v>-11.9491</v>
      </c>
      <c r="F55" s="16" t="n">
        <f aca="false">RANDBETWEEN(-105,115)/10000</f>
        <v>0.0009</v>
      </c>
      <c r="G55" s="16" t="n">
        <f aca="false">+Chạy!G299</f>
        <v>1.85</v>
      </c>
      <c r="H55" s="16" t="n">
        <f aca="false">G55+I55</f>
        <v>1.911</v>
      </c>
      <c r="I55" s="16" t="n">
        <f aca="false">RANDBETWEEN(-30,90)/1000</f>
        <v>0.061</v>
      </c>
      <c r="J55" s="16" t="n">
        <f aca="false">+Chạy!K299</f>
        <v>1.97</v>
      </c>
      <c r="K55" s="16" t="n">
        <f aca="false">J55+L55</f>
        <v>2.009</v>
      </c>
      <c r="L55" s="16" t="n">
        <f aca="false">RANDBETWEEN(-30,90)/1000</f>
        <v>0.039</v>
      </c>
      <c r="M55" s="16" t="n">
        <f aca="false">+Chạy!N299</f>
        <v>11.95</v>
      </c>
      <c r="N55" s="16" t="n">
        <f aca="false">+M55+O55</f>
        <v>11.9414</v>
      </c>
      <c r="O55" s="16" t="n">
        <f aca="false">RANDBETWEEN(-105,115)/10000</f>
        <v>-0.0086</v>
      </c>
      <c r="P55" s="16" t="n">
        <f aca="false">+Chạy!O299</f>
        <v>1.85</v>
      </c>
      <c r="Q55" s="16" t="n">
        <f aca="false">P55+R55</f>
        <v>1.861</v>
      </c>
      <c r="R55" s="16" t="n">
        <f aca="false">RANDBETWEEN(-30,90)/1000</f>
        <v>0.011</v>
      </c>
      <c r="S55" s="17"/>
      <c r="T55" s="0" t="n">
        <v>11.5</v>
      </c>
      <c r="X55" s="119"/>
      <c r="Y55" s="102"/>
      <c r="AA55" s="120"/>
      <c r="AB55" s="121"/>
      <c r="AC55" s="122"/>
      <c r="AE55" s="122"/>
    </row>
    <row r="56" customFormat="false" ht="15.75" hidden="false" customHeight="true" outlineLevel="0" collapsed="false">
      <c r="A56" s="118" t="n">
        <v>35</v>
      </c>
      <c r="B56" s="13" t="s">
        <v>50</v>
      </c>
      <c r="C56" s="15" t="n">
        <f aca="false">+C55+T55</f>
        <v>724.11</v>
      </c>
      <c r="D56" s="16" t="n">
        <f aca="false">+Chạy!F308</f>
        <v>-11.95</v>
      </c>
      <c r="E56" s="16" t="n">
        <f aca="false">+D56+F56</f>
        <v>-11.9554</v>
      </c>
      <c r="F56" s="16" t="n">
        <f aca="false">RANDBETWEEN(-105,115)/10000</f>
        <v>-0.0054</v>
      </c>
      <c r="G56" s="16" t="n">
        <f aca="false">+Chạy!G308</f>
        <v>1.85</v>
      </c>
      <c r="H56" s="16" t="n">
        <f aca="false">G56+I56</f>
        <v>1.886</v>
      </c>
      <c r="I56" s="16" t="n">
        <f aca="false">RANDBETWEEN(-30,90)/1000</f>
        <v>0.036</v>
      </c>
      <c r="J56" s="16" t="n">
        <f aca="false">+Chạy!K308</f>
        <v>1.97</v>
      </c>
      <c r="K56" s="16" t="n">
        <f aca="false">J56+L56</f>
        <v>2.011</v>
      </c>
      <c r="L56" s="16" t="n">
        <f aca="false">RANDBETWEEN(-30,90)/1000</f>
        <v>0.041</v>
      </c>
      <c r="M56" s="16" t="n">
        <f aca="false">+Chạy!N308</f>
        <v>11.95</v>
      </c>
      <c r="N56" s="16" t="n">
        <f aca="false">+M56+O56</f>
        <v>11.9589</v>
      </c>
      <c r="O56" s="16" t="n">
        <f aca="false">RANDBETWEEN(-105,115)/10000</f>
        <v>0.0089</v>
      </c>
      <c r="P56" s="16" t="n">
        <f aca="false">+Chạy!O308</f>
        <v>1.85</v>
      </c>
      <c r="Q56" s="16" t="n">
        <f aca="false">P56+R56</f>
        <v>1.889</v>
      </c>
      <c r="R56" s="16" t="n">
        <f aca="false">RANDBETWEEN(-30,90)/1000</f>
        <v>0.039</v>
      </c>
      <c r="S56" s="17"/>
      <c r="T56" s="0" t="n">
        <v>13.25</v>
      </c>
      <c r="X56" s="119"/>
      <c r="Y56" s="102"/>
      <c r="AA56" s="120"/>
      <c r="AB56" s="121"/>
      <c r="AC56" s="122"/>
      <c r="AE56" s="122"/>
    </row>
    <row r="57" customFormat="false" ht="15.75" hidden="false" customHeight="true" outlineLevel="0" collapsed="false">
      <c r="A57" s="118" t="n">
        <v>36</v>
      </c>
      <c r="B57" s="13" t="s">
        <v>51</v>
      </c>
      <c r="C57" s="15" t="n">
        <f aca="false">+C56+T56</f>
        <v>737.36</v>
      </c>
      <c r="D57" s="16" t="n">
        <f aca="false">+Chạy!F317</f>
        <v>-11.95</v>
      </c>
      <c r="E57" s="16" t="n">
        <f aca="false">+D57+F57</f>
        <v>-11.9512</v>
      </c>
      <c r="F57" s="16" t="n">
        <f aca="false">RANDBETWEEN(-105,115)/10000</f>
        <v>-0.0012</v>
      </c>
      <c r="G57" s="16" t="n">
        <f aca="false">+Chạy!G317</f>
        <v>1.86</v>
      </c>
      <c r="H57" s="16" t="n">
        <f aca="false">G57+I57</f>
        <v>1.832</v>
      </c>
      <c r="I57" s="16" t="n">
        <f aca="false">RANDBETWEEN(-30,90)/1000</f>
        <v>-0.028</v>
      </c>
      <c r="J57" s="16" t="n">
        <f aca="false">+Chạy!K317</f>
        <v>1.97</v>
      </c>
      <c r="K57" s="16" t="n">
        <f aca="false">J57+L57</f>
        <v>2.055</v>
      </c>
      <c r="L57" s="16" t="n">
        <f aca="false">RANDBETWEEN(-30,90)/1000</f>
        <v>0.085</v>
      </c>
      <c r="M57" s="16" t="n">
        <f aca="false">+Chạy!N317</f>
        <v>11.95</v>
      </c>
      <c r="N57" s="16" t="n">
        <f aca="false">+M57+O57</f>
        <v>11.9613</v>
      </c>
      <c r="O57" s="16" t="n">
        <f aca="false">RANDBETWEEN(-105,115)/10000</f>
        <v>0.0113</v>
      </c>
      <c r="P57" s="16" t="n">
        <f aca="false">+Chạy!O317</f>
        <v>1.86</v>
      </c>
      <c r="Q57" s="16" t="n">
        <f aca="false">P57+R57</f>
        <v>1.944</v>
      </c>
      <c r="R57" s="16" t="n">
        <f aca="false">RANDBETWEEN(-30,90)/1000</f>
        <v>0.084</v>
      </c>
      <c r="S57" s="17"/>
      <c r="X57" s="119"/>
      <c r="Y57" s="102"/>
      <c r="AA57" s="120"/>
      <c r="AB57" s="121"/>
      <c r="AC57" s="122"/>
      <c r="AE57" s="122"/>
    </row>
    <row r="58" customFormat="false" ht="15.75" hidden="true" customHeight="true" outlineLevel="0" collapsed="false">
      <c r="A58" s="118"/>
      <c r="B58" s="13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X58" s="119"/>
      <c r="Y58" s="102"/>
      <c r="AA58" s="120"/>
      <c r="AB58" s="121"/>
      <c r="AC58" s="122"/>
      <c r="AE58" s="122"/>
    </row>
    <row r="59" customFormat="false" ht="15.75" hidden="true" customHeight="true" outlineLevel="0" collapsed="false">
      <c r="A59" s="118"/>
      <c r="B59" s="13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X59" s="119"/>
      <c r="Y59" s="102"/>
      <c r="AA59" s="120"/>
      <c r="AB59" s="121"/>
      <c r="AC59" s="122"/>
      <c r="AE59" s="122"/>
    </row>
    <row r="60" customFormat="false" ht="15.75" hidden="true" customHeight="true" outlineLevel="0" collapsed="false">
      <c r="A60" s="118"/>
      <c r="B60" s="13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X60" s="119"/>
      <c r="Y60" s="102"/>
      <c r="AA60" s="120"/>
      <c r="AB60" s="121"/>
      <c r="AC60" s="122"/>
      <c r="AE60" s="122"/>
    </row>
    <row r="61" customFormat="false" ht="15.75" hidden="true" customHeight="true" outlineLevel="0" collapsed="false">
      <c r="A61" s="118"/>
      <c r="B61" s="13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/>
      <c r="X61" s="119"/>
      <c r="Y61" s="102"/>
      <c r="AA61" s="120"/>
      <c r="AB61" s="121"/>
      <c r="AC61" s="122"/>
      <c r="AE61" s="122"/>
    </row>
    <row r="62" customFormat="false" ht="15.75" hidden="false" customHeight="true" outlineLevel="0" collapsed="false">
      <c r="A62" s="88"/>
    </row>
    <row r="63" customFormat="false" ht="15.75" hidden="false" customHeight="true" outlineLevel="0" collapsed="false">
      <c r="A63" s="88"/>
      <c r="C63" s="19" t="s">
        <v>74</v>
      </c>
      <c r="D63" s="19"/>
      <c r="E63" s="19"/>
      <c r="F63" s="19"/>
      <c r="G63" s="19"/>
      <c r="H63" s="19"/>
      <c r="I63" s="19"/>
      <c r="K63" s="20"/>
      <c r="L63" s="20"/>
      <c r="M63" s="20"/>
      <c r="N63" s="20"/>
      <c r="O63" s="19" t="s">
        <v>75</v>
      </c>
      <c r="P63" s="19"/>
      <c r="Q63" s="19"/>
      <c r="R63" s="19"/>
    </row>
    <row r="64" customFormat="false" ht="15.75" hidden="false" customHeight="true" outlineLevel="0" collapsed="false">
      <c r="A64" s="88"/>
      <c r="E64" s="21"/>
      <c r="F64" s="21"/>
      <c r="G64" s="21"/>
      <c r="H64" s="21"/>
      <c r="K64" s="21"/>
      <c r="L64" s="21"/>
      <c r="M64" s="21"/>
      <c r="N64" s="21"/>
      <c r="O64" s="21"/>
      <c r="P64" s="21"/>
      <c r="Q64" s="21"/>
      <c r="R64" s="21"/>
    </row>
    <row r="65" customFormat="false" ht="15.75" hidden="false" customHeight="true" outlineLevel="0" collapsed="false">
      <c r="A65" s="88"/>
      <c r="E65" s="21"/>
      <c r="F65" s="21"/>
      <c r="G65" s="21"/>
      <c r="H65" s="21"/>
      <c r="K65" s="21"/>
      <c r="L65" s="21"/>
      <c r="M65" s="21"/>
      <c r="N65" s="21"/>
      <c r="O65" s="21"/>
      <c r="P65" s="21"/>
      <c r="Q65" s="21"/>
      <c r="R65" s="21"/>
    </row>
    <row r="66" customFormat="false" ht="15.75" hidden="false" customHeight="true" outlineLevel="0" collapsed="false">
      <c r="A66" s="88"/>
      <c r="E66" s="21"/>
      <c r="F66" s="21"/>
      <c r="G66" s="21"/>
      <c r="H66" s="21"/>
      <c r="K66" s="21"/>
      <c r="L66" s="21"/>
      <c r="M66" s="21"/>
      <c r="N66" s="21"/>
      <c r="O66" s="21"/>
      <c r="P66" s="21"/>
      <c r="Q66" s="21"/>
      <c r="R66" s="21"/>
    </row>
    <row r="67" customFormat="false" ht="15.75" hidden="false" customHeight="true" outlineLevel="0" collapsed="false">
      <c r="A67" s="88"/>
      <c r="E67" s="21"/>
      <c r="F67" s="21"/>
      <c r="G67" s="21"/>
      <c r="H67" s="21"/>
      <c r="K67" s="21"/>
      <c r="L67" s="21"/>
      <c r="M67" s="21"/>
      <c r="N67" s="21"/>
      <c r="O67" s="21"/>
      <c r="P67" s="21"/>
      <c r="Q67" s="21"/>
      <c r="R67" s="21"/>
    </row>
    <row r="68" customFormat="false" ht="15.75" hidden="false" customHeight="true" outlineLevel="0" collapsed="false">
      <c r="A68" s="88"/>
      <c r="C68" s="19" t="s">
        <v>76</v>
      </c>
      <c r="D68" s="19"/>
      <c r="E68" s="19"/>
      <c r="F68" s="19"/>
      <c r="G68" s="19"/>
      <c r="H68" s="19"/>
      <c r="I68" s="19"/>
      <c r="K68" s="20"/>
      <c r="L68" s="20"/>
      <c r="M68" s="20"/>
      <c r="N68" s="20"/>
      <c r="O68" s="19" t="str">
        <f aca="false">+'1.KTHH L1'!O67:R67</f>
        <v>Trần Mạnh Tùng</v>
      </c>
      <c r="P68" s="19"/>
      <c r="Q68" s="19"/>
      <c r="R68" s="19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63:I63"/>
    <mergeCell ref="O63:R63"/>
    <mergeCell ref="C68:I68"/>
    <mergeCell ref="O68:R68"/>
  </mergeCells>
  <printOptions headings="false" gridLines="false" gridLinesSet="true" horizontalCentered="true" verticalCentered="false"/>
  <pageMargins left="0.196527777777778" right="0.196527777777778" top="0.640277777777778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2" width="6.71"/>
    <col collapsed="false" customWidth="true" hidden="false" outlineLevel="0" max="2" min="2" style="22" width="12.29"/>
    <col collapsed="false" customWidth="true" hidden="false" outlineLevel="0" max="3" min="3" style="22" width="19.57"/>
    <col collapsed="false" customWidth="true" hidden="false" outlineLevel="0" max="4" min="4" style="23" width="12.71"/>
    <col collapsed="false" customWidth="true" hidden="true" outlineLevel="0" max="6" min="5" style="23" width="8.42"/>
    <col collapsed="false" customWidth="true" hidden="true" outlineLevel="0" max="7" min="7" style="23" width="11"/>
    <col collapsed="false" customWidth="true" hidden="true" outlineLevel="0" max="12" min="8" style="23" width="8.42"/>
    <col collapsed="false" customWidth="true" hidden="true" outlineLevel="0" max="14" min="13" style="23" width="14.29"/>
    <col collapsed="false" customWidth="true" hidden="false" outlineLevel="0" max="15" min="15" style="23" width="15.42"/>
    <col collapsed="false" customWidth="true" hidden="true" outlineLevel="0" max="22" min="16" style="23" width="14.29"/>
    <col collapsed="false" customWidth="true" hidden="false" outlineLevel="0" max="23" min="23" style="23" width="15.29"/>
    <col collapsed="false" customWidth="true" hidden="true" outlineLevel="0" max="25" min="24" style="23" width="14.29"/>
    <col collapsed="false" customWidth="true" hidden="true" outlineLevel="0" max="27" min="26" style="23" width="12.86"/>
    <col collapsed="false" customWidth="true" hidden="false" outlineLevel="0" max="28" min="28" style="23" width="10.29"/>
    <col collapsed="false" customWidth="false" hidden="true" outlineLevel="0" max="29" min="29" style="23" width="9.29"/>
    <col collapsed="false" customWidth="false" hidden="false" outlineLevel="0" max="30" min="30" style="22" width="9.29"/>
    <col collapsed="false" customWidth="true" hidden="false" outlineLevel="0" max="31" min="31" style="22" width="11.85"/>
    <col collapsed="false" customWidth="true" hidden="false" outlineLevel="0" max="32" min="32" style="22" width="24.57"/>
    <col collapsed="false" customWidth="false" hidden="false" outlineLevel="0" max="16384" min="33" style="22" width="9.29"/>
  </cols>
  <sheetData>
    <row r="1" s="26" customFormat="true" ht="16.5" hidden="false" customHeight="true" outlineLevel="0" collapsed="false">
      <c r="A1" s="25" t="s">
        <v>78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="26" customFormat="true" ht="16.5" hidden="false" customHeight="true" outlineLevel="0" collapsed="false">
      <c r="A2" s="28" t="s">
        <v>101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="32" customFormat="true" ht="37.5" hidden="false" customHeight="true" outlineLevel="0" collapsed="false">
      <c r="A3" s="29" t="str">
        <f aca="false">+'1.KTHH L1'!A3</f>
        <v>Dự án: Xây dựng HTKT Khu tái định cư phục vụ di dân xã Hải Hà, thị xã Nghi Sơn, tỉnh Thanh Hóa.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</row>
    <row r="4" s="32" customFormat="true" ht="37.5" hidden="false" customHeight="true" outlineLevel="0" collapsed="false">
      <c r="A4" s="29" t="str">
        <f aca="false">+'1.KTHH L1'!A4</f>
        <v>Gói thầu số 12: Xây dựng HTKT khu vực Hải Bình và Xuân Lâm (bao gồm cả bảo hiểm xây dựng công trình)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</row>
    <row r="5" s="32" customFormat="true" ht="16.5" hidden="false" customHeight="true" outlineLevel="0" collapsed="false">
      <c r="A5" s="29" t="str">
        <f aca="false">+'1.KTHH L1'!A5</f>
        <v>Nhà thầu thi công: Công ty TNHH Hoàng Tuấn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</row>
    <row r="6" s="32" customFormat="true" ht="16.5" hidden="false" customHeight="true" outlineLevel="0" collapsed="false">
      <c r="A6" s="29" t="s">
        <v>57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</row>
    <row r="7" s="32" customFormat="true" ht="27.75" hidden="false" customHeight="true" outlineLevel="0" collapsed="false">
      <c r="A7" s="33" t="s">
        <v>58</v>
      </c>
      <c r="B7" s="34"/>
      <c r="D7" s="35" t="s">
        <v>102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</row>
    <row r="8" s="30" customFormat="true" ht="13.5" hidden="false" customHeight="true" outlineLevel="0" collapsed="false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="43" customFormat="true" ht="22.5" hidden="false" customHeight="true" outlineLevel="0" collapsed="false">
      <c r="A9" s="37" t="s">
        <v>0</v>
      </c>
      <c r="B9" s="37" t="s">
        <v>62</v>
      </c>
      <c r="C9" s="37" t="s">
        <v>63</v>
      </c>
      <c r="D9" s="38" t="s">
        <v>79</v>
      </c>
      <c r="E9" s="39"/>
      <c r="F9" s="39"/>
      <c r="G9" s="38"/>
      <c r="H9" s="39"/>
      <c r="I9" s="39"/>
      <c r="J9" s="39"/>
      <c r="K9" s="39"/>
      <c r="L9" s="39"/>
      <c r="M9" s="40" t="s">
        <v>80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41"/>
      <c r="AB9" s="38" t="s">
        <v>67</v>
      </c>
      <c r="AC9" s="42"/>
    </row>
    <row r="10" s="49" customFormat="true" ht="28.5" hidden="false" customHeight="true" outlineLevel="0" collapsed="false">
      <c r="A10" s="37"/>
      <c r="B10" s="37"/>
      <c r="C10" s="37"/>
      <c r="D10" s="37"/>
      <c r="E10" s="40"/>
      <c r="F10" s="40"/>
      <c r="G10" s="40"/>
      <c r="H10" s="40"/>
      <c r="I10" s="40"/>
      <c r="J10" s="40"/>
      <c r="K10" s="40"/>
      <c r="L10" s="40"/>
      <c r="M10" s="40"/>
      <c r="N10" s="40" t="s">
        <v>81</v>
      </c>
      <c r="O10" s="40" t="s">
        <v>82</v>
      </c>
      <c r="P10" s="40" t="s">
        <v>81</v>
      </c>
      <c r="Q10" s="40" t="s">
        <v>81</v>
      </c>
      <c r="R10" s="40"/>
      <c r="S10" s="40"/>
      <c r="T10" s="40"/>
      <c r="U10" s="40" t="s">
        <v>83</v>
      </c>
      <c r="V10" s="40" t="s">
        <v>83</v>
      </c>
      <c r="W10" s="40" t="s">
        <v>84</v>
      </c>
      <c r="X10" s="40" t="s">
        <v>83</v>
      </c>
      <c r="Y10" s="40" t="s">
        <v>83</v>
      </c>
      <c r="Z10" s="45"/>
      <c r="AA10" s="45"/>
      <c r="AB10" s="38"/>
      <c r="AC10" s="46"/>
      <c r="AD10" s="47"/>
    </row>
    <row r="11" s="49" customFormat="true" ht="15" hidden="false" customHeight="true" outlineLevel="0" collapsed="false">
      <c r="A11" s="13" t="n">
        <v>1</v>
      </c>
      <c r="B11" s="13" t="str">
        <f aca="false">'9.KTHH L9'!B22</f>
        <v>B4</v>
      </c>
      <c r="C11" s="51" t="n">
        <f aca="false">'9.KTHH L9'!C22</f>
        <v>211</v>
      </c>
      <c r="D11" s="13" t="n">
        <f aca="false">'9.KTHH L9'!T22</f>
        <v>13.25</v>
      </c>
      <c r="E11" s="52"/>
      <c r="F11" s="52"/>
      <c r="G11" s="52"/>
      <c r="H11" s="52"/>
      <c r="I11" s="52"/>
      <c r="J11" s="52"/>
      <c r="K11" s="53"/>
      <c r="L11" s="16"/>
      <c r="M11" s="17"/>
      <c r="N11" s="54"/>
      <c r="O11" s="53" t="n">
        <f aca="false">Chạy!E2</f>
        <v>7.15</v>
      </c>
      <c r="P11" s="53"/>
      <c r="Q11" s="53"/>
      <c r="R11" s="55"/>
      <c r="S11" s="55"/>
      <c r="T11" s="55"/>
      <c r="U11" s="55"/>
      <c r="V11" s="55"/>
      <c r="W11" s="55" t="n">
        <f aca="false">(O11+O12)*D11/2</f>
        <v>95.7975</v>
      </c>
      <c r="X11" s="55"/>
      <c r="Y11" s="55"/>
      <c r="Z11" s="55"/>
      <c r="AA11" s="55"/>
      <c r="AB11" s="56"/>
      <c r="AC11" s="57"/>
    </row>
    <row r="12" s="49" customFormat="true" ht="15" hidden="false" customHeight="true" outlineLevel="0" collapsed="false">
      <c r="A12" s="13" t="n">
        <v>2</v>
      </c>
      <c r="B12" s="13" t="str">
        <f aca="false">'9.KTHH L9'!B23</f>
        <v>12</v>
      </c>
      <c r="C12" s="51" t="n">
        <f aca="false">'9.KTHH L9'!C23</f>
        <v>224.25</v>
      </c>
      <c r="D12" s="13" t="n">
        <f aca="false">'9.KTHH L9'!T23</f>
        <v>21.5</v>
      </c>
      <c r="E12" s="52"/>
      <c r="F12" s="52"/>
      <c r="G12" s="52"/>
      <c r="H12" s="52"/>
      <c r="I12" s="52"/>
      <c r="J12" s="52"/>
      <c r="K12" s="53"/>
      <c r="L12" s="16"/>
      <c r="M12" s="17"/>
      <c r="N12" s="54"/>
      <c r="O12" s="53" t="n">
        <f aca="false">Chạy!E11</f>
        <v>7.31</v>
      </c>
      <c r="P12" s="53"/>
      <c r="Q12" s="53"/>
      <c r="R12" s="55"/>
      <c r="S12" s="55"/>
      <c r="T12" s="55"/>
      <c r="U12" s="55"/>
      <c r="V12" s="55"/>
      <c r="W12" s="55" t="n">
        <f aca="false">(O12+O13)*D12/2</f>
        <v>157.0575</v>
      </c>
      <c r="X12" s="55"/>
      <c r="Y12" s="55"/>
      <c r="Z12" s="55"/>
      <c r="AA12" s="55"/>
      <c r="AB12" s="56"/>
      <c r="AC12" s="57"/>
    </row>
    <row r="13" s="49" customFormat="true" ht="15" hidden="false" customHeight="true" outlineLevel="0" collapsed="false">
      <c r="A13" s="13" t="n">
        <v>3</v>
      </c>
      <c r="B13" s="13" t="str">
        <f aca="false">'9.KTHH L9'!B24</f>
        <v>13</v>
      </c>
      <c r="C13" s="51" t="n">
        <f aca="false">'9.KTHH L9'!C24</f>
        <v>245.75</v>
      </c>
      <c r="D13" s="13" t="n">
        <f aca="false">'9.KTHH L9'!T24</f>
        <v>11.75</v>
      </c>
      <c r="E13" s="52"/>
      <c r="F13" s="52"/>
      <c r="G13" s="52"/>
      <c r="H13" s="52"/>
      <c r="I13" s="52"/>
      <c r="J13" s="52"/>
      <c r="K13" s="53"/>
      <c r="L13" s="16"/>
      <c r="M13" s="17"/>
      <c r="N13" s="54"/>
      <c r="O13" s="53" t="n">
        <f aca="false">Chạy!E20</f>
        <v>7.3</v>
      </c>
      <c r="P13" s="53"/>
      <c r="Q13" s="53"/>
      <c r="R13" s="55"/>
      <c r="S13" s="55"/>
      <c r="T13" s="55"/>
      <c r="U13" s="55"/>
      <c r="V13" s="55"/>
      <c r="W13" s="55" t="n">
        <f aca="false">(O13+O14)*D13/2</f>
        <v>85.83375</v>
      </c>
      <c r="X13" s="55"/>
      <c r="Y13" s="55"/>
      <c r="Z13" s="55"/>
      <c r="AA13" s="55"/>
      <c r="AB13" s="56"/>
      <c r="AC13" s="57"/>
    </row>
    <row r="14" s="49" customFormat="true" ht="15" hidden="false" customHeight="true" outlineLevel="0" collapsed="false">
      <c r="A14" s="13" t="n">
        <v>4</v>
      </c>
      <c r="B14" s="13" t="str">
        <f aca="false">'9.KTHH L9'!B25</f>
        <v>B5</v>
      </c>
      <c r="C14" s="51" t="n">
        <f aca="false">'9.KTHH L9'!C25</f>
        <v>257.5</v>
      </c>
      <c r="D14" s="13" t="n">
        <f aca="false">'9.KTHH L9'!T25</f>
        <v>11.75</v>
      </c>
      <c r="E14" s="52"/>
      <c r="F14" s="52"/>
      <c r="G14" s="52"/>
      <c r="H14" s="52"/>
      <c r="I14" s="52"/>
      <c r="J14" s="52"/>
      <c r="K14" s="53"/>
      <c r="L14" s="16"/>
      <c r="M14" s="17"/>
      <c r="N14" s="54"/>
      <c r="O14" s="53" t="n">
        <f aca="false">Chạy!E29</f>
        <v>7.31</v>
      </c>
      <c r="P14" s="53"/>
      <c r="Q14" s="53"/>
      <c r="R14" s="55"/>
      <c r="S14" s="55"/>
      <c r="T14" s="55"/>
      <c r="U14" s="55"/>
      <c r="V14" s="55"/>
      <c r="W14" s="55" t="n">
        <f aca="false">(O14+O15)*D14/2</f>
        <v>84.2475</v>
      </c>
      <c r="X14" s="55"/>
      <c r="Y14" s="55"/>
      <c r="Z14" s="55"/>
      <c r="AA14" s="55"/>
      <c r="AB14" s="56"/>
      <c r="AC14" s="57"/>
    </row>
    <row r="15" s="49" customFormat="true" ht="15" hidden="false" customHeight="true" outlineLevel="0" collapsed="false">
      <c r="A15" s="13" t="n">
        <v>5</v>
      </c>
      <c r="B15" s="13" t="str">
        <f aca="false">'9.KTHH L9'!B26</f>
        <v>14</v>
      </c>
      <c r="C15" s="51" t="n">
        <f aca="false">'9.KTHH L9'!C26</f>
        <v>269.25</v>
      </c>
      <c r="D15" s="13" t="n">
        <f aca="false">'9.KTHH L9'!T26</f>
        <v>20</v>
      </c>
      <c r="E15" s="52"/>
      <c r="F15" s="52"/>
      <c r="G15" s="52"/>
      <c r="H15" s="52"/>
      <c r="I15" s="52"/>
      <c r="J15" s="52"/>
      <c r="K15" s="53"/>
      <c r="L15" s="16"/>
      <c r="M15" s="17"/>
      <c r="N15" s="54"/>
      <c r="O15" s="53" t="n">
        <f aca="false">Chạy!E38</f>
        <v>7.03</v>
      </c>
      <c r="P15" s="53"/>
      <c r="Q15" s="53"/>
      <c r="R15" s="55"/>
      <c r="S15" s="55"/>
      <c r="T15" s="55"/>
      <c r="U15" s="55"/>
      <c r="V15" s="55"/>
      <c r="W15" s="55" t="n">
        <f aca="false">(O15+O16)*D15/2</f>
        <v>132.4</v>
      </c>
      <c r="X15" s="55"/>
      <c r="Y15" s="55"/>
      <c r="Z15" s="55"/>
      <c r="AA15" s="55"/>
      <c r="AB15" s="56"/>
      <c r="AC15" s="57"/>
    </row>
    <row r="16" s="49" customFormat="true" ht="15" hidden="false" customHeight="true" outlineLevel="0" collapsed="false">
      <c r="A16" s="13" t="n">
        <v>6</v>
      </c>
      <c r="B16" s="13" t="str">
        <f aca="false">'9.KTHH L9'!B27</f>
        <v>15</v>
      </c>
      <c r="C16" s="51" t="n">
        <f aca="false">'9.KTHH L9'!C27</f>
        <v>289.25</v>
      </c>
      <c r="D16" s="13" t="n">
        <f aca="false">'9.KTHH L9'!T27</f>
        <v>20</v>
      </c>
      <c r="E16" s="52"/>
      <c r="F16" s="52"/>
      <c r="G16" s="52"/>
      <c r="H16" s="52"/>
      <c r="I16" s="52"/>
      <c r="J16" s="52"/>
      <c r="K16" s="53"/>
      <c r="L16" s="16"/>
      <c r="M16" s="17"/>
      <c r="N16" s="54"/>
      <c r="O16" s="53" t="n">
        <f aca="false">Chạy!E47</f>
        <v>6.21</v>
      </c>
      <c r="P16" s="53"/>
      <c r="Q16" s="53"/>
      <c r="R16" s="55"/>
      <c r="S16" s="55"/>
      <c r="T16" s="55"/>
      <c r="U16" s="55"/>
      <c r="V16" s="55"/>
      <c r="W16" s="55" t="n">
        <f aca="false">(O16+O17)*D16/2</f>
        <v>113.5</v>
      </c>
      <c r="X16" s="55"/>
      <c r="Y16" s="55"/>
      <c r="Z16" s="55"/>
      <c r="AA16" s="55"/>
      <c r="AB16" s="56"/>
      <c r="AC16" s="57"/>
    </row>
    <row r="17" s="49" customFormat="true" ht="15" hidden="false" customHeight="true" outlineLevel="0" collapsed="false">
      <c r="A17" s="13" t="n">
        <v>7</v>
      </c>
      <c r="B17" s="13" t="str">
        <f aca="false">'9.KTHH L9'!B28</f>
        <v>16</v>
      </c>
      <c r="C17" s="51" t="n">
        <f aca="false">'9.KTHH L9'!C28</f>
        <v>309.25</v>
      </c>
      <c r="D17" s="13" t="n">
        <f aca="false">'9.KTHH L9'!T28</f>
        <v>20</v>
      </c>
      <c r="E17" s="52"/>
      <c r="F17" s="52"/>
      <c r="G17" s="52"/>
      <c r="H17" s="52"/>
      <c r="I17" s="52"/>
      <c r="J17" s="52"/>
      <c r="K17" s="53"/>
      <c r="L17" s="16"/>
      <c r="M17" s="17"/>
      <c r="N17" s="54"/>
      <c r="O17" s="53" t="n">
        <f aca="false">Chạy!E56</f>
        <v>5.14</v>
      </c>
      <c r="P17" s="53"/>
      <c r="Q17" s="53"/>
      <c r="R17" s="55"/>
      <c r="S17" s="55"/>
      <c r="T17" s="55"/>
      <c r="U17" s="55"/>
      <c r="V17" s="55"/>
      <c r="W17" s="55" t="n">
        <f aca="false">(O17+O18)*D17/2</f>
        <v>103.7</v>
      </c>
      <c r="X17" s="55"/>
      <c r="Y17" s="55"/>
      <c r="Z17" s="55"/>
      <c r="AA17" s="55"/>
      <c r="AB17" s="56"/>
      <c r="AC17" s="57"/>
    </row>
    <row r="18" s="49" customFormat="true" ht="15" hidden="false" customHeight="true" outlineLevel="0" collapsed="false">
      <c r="A18" s="13" t="n">
        <v>8</v>
      </c>
      <c r="B18" s="13" t="str">
        <f aca="false">'9.KTHH L9'!B29</f>
        <v>17</v>
      </c>
      <c r="C18" s="51" t="n">
        <f aca="false">'9.KTHH L9'!C29</f>
        <v>329.25</v>
      </c>
      <c r="D18" s="13" t="n">
        <f aca="false">'9.KTHH L9'!T29</f>
        <v>20</v>
      </c>
      <c r="E18" s="52"/>
      <c r="F18" s="52"/>
      <c r="G18" s="52"/>
      <c r="H18" s="52"/>
      <c r="I18" s="52"/>
      <c r="J18" s="52"/>
      <c r="K18" s="53"/>
      <c r="L18" s="16"/>
      <c r="M18" s="17"/>
      <c r="N18" s="54"/>
      <c r="O18" s="53" t="n">
        <f aca="false">Chạy!E65</f>
        <v>5.23</v>
      </c>
      <c r="P18" s="53"/>
      <c r="Q18" s="53"/>
      <c r="R18" s="55"/>
      <c r="S18" s="55"/>
      <c r="T18" s="55"/>
      <c r="U18" s="55"/>
      <c r="V18" s="55"/>
      <c r="W18" s="55" t="n">
        <f aca="false">(O18+O19)*D18/2</f>
        <v>114.4</v>
      </c>
      <c r="X18" s="55"/>
      <c r="Y18" s="55"/>
      <c r="Z18" s="55"/>
      <c r="AA18" s="55"/>
      <c r="AB18" s="56"/>
      <c r="AC18" s="57"/>
    </row>
    <row r="19" s="49" customFormat="true" ht="15" hidden="false" customHeight="true" outlineLevel="0" collapsed="false">
      <c r="A19" s="13" t="n">
        <v>9</v>
      </c>
      <c r="B19" s="13" t="str">
        <f aca="false">'9.KTHH L9'!B30</f>
        <v>18</v>
      </c>
      <c r="C19" s="51" t="n">
        <f aca="false">'9.KTHH L9'!C30</f>
        <v>349.25</v>
      </c>
      <c r="D19" s="13" t="n">
        <f aca="false">'9.KTHH L9'!T30</f>
        <v>19</v>
      </c>
      <c r="E19" s="52"/>
      <c r="F19" s="52"/>
      <c r="G19" s="52"/>
      <c r="H19" s="52"/>
      <c r="I19" s="52"/>
      <c r="J19" s="52"/>
      <c r="K19" s="53"/>
      <c r="L19" s="16"/>
      <c r="M19" s="17"/>
      <c r="N19" s="54"/>
      <c r="O19" s="53" t="n">
        <f aca="false">Chạy!E74</f>
        <v>6.21</v>
      </c>
      <c r="P19" s="53"/>
      <c r="Q19" s="53"/>
      <c r="R19" s="55"/>
      <c r="S19" s="55"/>
      <c r="T19" s="55"/>
      <c r="U19" s="55"/>
      <c r="V19" s="55"/>
      <c r="W19" s="55" t="n">
        <f aca="false">(O19+O20)*D19/2</f>
        <v>125.02</v>
      </c>
      <c r="X19" s="55"/>
      <c r="Y19" s="55"/>
      <c r="Z19" s="55"/>
      <c r="AA19" s="55"/>
      <c r="AB19" s="56"/>
      <c r="AC19" s="57"/>
    </row>
    <row r="20" s="49" customFormat="true" ht="15" hidden="false" customHeight="true" outlineLevel="0" collapsed="false">
      <c r="A20" s="13" t="n">
        <v>10</v>
      </c>
      <c r="B20" s="13" t="str">
        <f aca="false">'9.KTHH L9'!B31</f>
        <v>19</v>
      </c>
      <c r="C20" s="51" t="n">
        <f aca="false">'9.KTHH L9'!C31</f>
        <v>368.25</v>
      </c>
      <c r="D20" s="13" t="n">
        <f aca="false">'9.KTHH L9'!T31</f>
        <v>13.25</v>
      </c>
      <c r="E20" s="52"/>
      <c r="F20" s="52"/>
      <c r="G20" s="52"/>
      <c r="H20" s="52"/>
      <c r="I20" s="52"/>
      <c r="J20" s="52"/>
      <c r="K20" s="53"/>
      <c r="L20" s="16"/>
      <c r="M20" s="17"/>
      <c r="N20" s="54"/>
      <c r="O20" s="53" t="n">
        <f aca="false">Chạy!E83</f>
        <v>6.95</v>
      </c>
      <c r="P20" s="53"/>
      <c r="Q20" s="53"/>
      <c r="R20" s="55"/>
      <c r="S20" s="55"/>
      <c r="T20" s="55"/>
      <c r="U20" s="55"/>
      <c r="V20" s="55"/>
      <c r="W20" s="55" t="n">
        <f aca="false">(O20+O21)*D20/2</f>
        <v>94.4725</v>
      </c>
      <c r="X20" s="55"/>
      <c r="Y20" s="55"/>
      <c r="Z20" s="55"/>
      <c r="AA20" s="55"/>
      <c r="AB20" s="56"/>
      <c r="AC20" s="57"/>
    </row>
    <row r="21" s="49" customFormat="true" ht="15" hidden="false" customHeight="true" outlineLevel="0" collapsed="false">
      <c r="A21" s="13" t="n">
        <v>11</v>
      </c>
      <c r="B21" s="13" t="str">
        <f aca="false">'9.KTHH L9'!B32</f>
        <v>C2</v>
      </c>
      <c r="C21" s="51" t="n">
        <f aca="false">'9.KTHH L9'!C32</f>
        <v>381.5</v>
      </c>
      <c r="D21" s="13" t="n">
        <f aca="false">'9.KTHH L9'!T32</f>
        <v>13.25</v>
      </c>
      <c r="E21" s="52"/>
      <c r="F21" s="52"/>
      <c r="G21" s="52"/>
      <c r="H21" s="52"/>
      <c r="I21" s="52"/>
      <c r="J21" s="52"/>
      <c r="K21" s="53"/>
      <c r="L21" s="16"/>
      <c r="M21" s="17"/>
      <c r="N21" s="54"/>
      <c r="O21" s="53" t="n">
        <f aca="false">Chạy!E92</f>
        <v>7.31</v>
      </c>
      <c r="P21" s="53"/>
      <c r="Q21" s="53"/>
      <c r="R21" s="55"/>
      <c r="S21" s="55"/>
      <c r="T21" s="55"/>
      <c r="U21" s="55"/>
      <c r="V21" s="55"/>
      <c r="W21" s="55" t="n">
        <f aca="false">(O21+O22)*D21/2</f>
        <v>96.8575</v>
      </c>
      <c r="X21" s="55"/>
      <c r="Y21" s="55"/>
      <c r="Z21" s="55"/>
      <c r="AA21" s="55"/>
      <c r="AB21" s="56"/>
      <c r="AC21" s="57"/>
    </row>
    <row r="22" s="49" customFormat="true" ht="15" hidden="false" customHeight="true" outlineLevel="0" collapsed="false">
      <c r="A22" s="13" t="n">
        <v>12</v>
      </c>
      <c r="B22" s="13" t="str">
        <f aca="false">'9.KTHH L9'!B33</f>
        <v>20</v>
      </c>
      <c r="C22" s="51" t="n">
        <f aca="false">'9.KTHH L9'!C33</f>
        <v>394.75</v>
      </c>
      <c r="D22" s="13" t="n">
        <f aca="false">'9.KTHH L9'!T33</f>
        <v>20</v>
      </c>
      <c r="E22" s="52"/>
      <c r="F22" s="52"/>
      <c r="G22" s="52"/>
      <c r="H22" s="52"/>
      <c r="I22" s="52"/>
      <c r="J22" s="52"/>
      <c r="K22" s="53"/>
      <c r="L22" s="16"/>
      <c r="M22" s="17"/>
      <c r="N22" s="54"/>
      <c r="O22" s="53" t="n">
        <f aca="false">Chạy!E101</f>
        <v>7.31</v>
      </c>
      <c r="P22" s="53"/>
      <c r="Q22" s="53"/>
      <c r="R22" s="55"/>
      <c r="S22" s="55"/>
      <c r="T22" s="55"/>
      <c r="U22" s="55"/>
      <c r="V22" s="55"/>
      <c r="W22" s="55" t="n">
        <f aca="false">(O22+O23)*D22/2</f>
        <v>146.2</v>
      </c>
      <c r="X22" s="55"/>
      <c r="Y22" s="55"/>
      <c r="Z22" s="55"/>
      <c r="AA22" s="55"/>
      <c r="AB22" s="56"/>
      <c r="AC22" s="57"/>
    </row>
    <row r="23" s="49" customFormat="true" ht="15" hidden="false" customHeight="true" outlineLevel="0" collapsed="false">
      <c r="A23" s="13" t="n">
        <v>13</v>
      </c>
      <c r="B23" s="13" t="str">
        <f aca="false">'9.KTHH L9'!B34</f>
        <v>21</v>
      </c>
      <c r="C23" s="51" t="n">
        <f aca="false">'9.KTHH L9'!C34</f>
        <v>414.75</v>
      </c>
      <c r="D23" s="13" t="n">
        <f aca="false">'9.KTHH L9'!T34</f>
        <v>20</v>
      </c>
      <c r="E23" s="52"/>
      <c r="F23" s="52"/>
      <c r="G23" s="52"/>
      <c r="H23" s="52"/>
      <c r="I23" s="52"/>
      <c r="J23" s="52"/>
      <c r="K23" s="53"/>
      <c r="L23" s="16"/>
      <c r="M23" s="17"/>
      <c r="N23" s="54"/>
      <c r="O23" s="53" t="n">
        <f aca="false">Chạy!E110</f>
        <v>7.31</v>
      </c>
      <c r="P23" s="53"/>
      <c r="Q23" s="53"/>
      <c r="R23" s="55"/>
      <c r="S23" s="55"/>
      <c r="T23" s="55"/>
      <c r="U23" s="55"/>
      <c r="V23" s="55"/>
      <c r="W23" s="55" t="n">
        <f aca="false">(O23+O24)*D23/2</f>
        <v>146.2</v>
      </c>
      <c r="X23" s="55"/>
      <c r="Y23" s="55"/>
      <c r="Z23" s="55"/>
      <c r="AA23" s="55"/>
      <c r="AB23" s="56"/>
      <c r="AC23" s="57"/>
    </row>
    <row r="24" s="49" customFormat="true" ht="15" hidden="false" customHeight="true" outlineLevel="0" collapsed="false">
      <c r="A24" s="13" t="n">
        <v>14</v>
      </c>
      <c r="B24" s="13" t="str">
        <f aca="false">'9.KTHH L9'!B35</f>
        <v>22</v>
      </c>
      <c r="C24" s="51" t="n">
        <f aca="false">'9.KTHH L9'!C35</f>
        <v>434.75</v>
      </c>
      <c r="D24" s="13" t="n">
        <f aca="false">'9.KTHH L9'!T35</f>
        <v>20</v>
      </c>
      <c r="E24" s="52"/>
      <c r="F24" s="52"/>
      <c r="G24" s="52"/>
      <c r="H24" s="52"/>
      <c r="I24" s="52"/>
      <c r="J24" s="52"/>
      <c r="K24" s="53"/>
      <c r="L24" s="16"/>
      <c r="M24" s="17"/>
      <c r="N24" s="54"/>
      <c r="O24" s="53" t="n">
        <f aca="false">Chạy!E119</f>
        <v>7.31</v>
      </c>
      <c r="P24" s="53"/>
      <c r="Q24" s="53"/>
      <c r="R24" s="55"/>
      <c r="S24" s="55"/>
      <c r="T24" s="55"/>
      <c r="U24" s="55"/>
      <c r="V24" s="55"/>
      <c r="W24" s="55" t="n">
        <f aca="false">(O24+O25)*D24/2</f>
        <v>146.2</v>
      </c>
      <c r="X24" s="55"/>
      <c r="Y24" s="55"/>
      <c r="Z24" s="55"/>
      <c r="AA24" s="55"/>
      <c r="AB24" s="56"/>
      <c r="AC24" s="57"/>
    </row>
    <row r="25" s="49" customFormat="true" ht="15" hidden="false" customHeight="true" outlineLevel="0" collapsed="false">
      <c r="A25" s="13" t="n">
        <v>15</v>
      </c>
      <c r="B25" s="13" t="str">
        <f aca="false">'9.KTHH L9'!B36</f>
        <v>23</v>
      </c>
      <c r="C25" s="51" t="n">
        <f aca="false">'9.KTHH L9'!C36</f>
        <v>454.75</v>
      </c>
      <c r="D25" s="13" t="n">
        <f aca="false">'9.KTHH L9'!T36</f>
        <v>20</v>
      </c>
      <c r="E25" s="52"/>
      <c r="F25" s="52"/>
      <c r="G25" s="52"/>
      <c r="H25" s="52"/>
      <c r="I25" s="52"/>
      <c r="J25" s="52"/>
      <c r="K25" s="53"/>
      <c r="L25" s="16"/>
      <c r="M25" s="17"/>
      <c r="N25" s="54"/>
      <c r="O25" s="53" t="n">
        <f aca="false">Chạy!E128</f>
        <v>7.31</v>
      </c>
      <c r="P25" s="53"/>
      <c r="Q25" s="53"/>
      <c r="R25" s="55"/>
      <c r="S25" s="55"/>
      <c r="T25" s="55"/>
      <c r="U25" s="55"/>
      <c r="V25" s="55"/>
      <c r="W25" s="55" t="n">
        <f aca="false">(O25+O26)*D25/2</f>
        <v>146.2</v>
      </c>
      <c r="X25" s="55"/>
      <c r="Y25" s="55"/>
      <c r="Z25" s="55"/>
      <c r="AA25" s="55"/>
      <c r="AB25" s="56"/>
      <c r="AC25" s="57"/>
    </row>
    <row r="26" s="49" customFormat="true" ht="15" hidden="false" customHeight="true" outlineLevel="0" collapsed="false">
      <c r="A26" s="13" t="n">
        <v>16</v>
      </c>
      <c r="B26" s="13" t="str">
        <f aca="false">'9.KTHH L9'!B37</f>
        <v>24</v>
      </c>
      <c r="C26" s="51" t="n">
        <f aca="false">'9.KTHH L9'!C37</f>
        <v>474.75</v>
      </c>
      <c r="D26" s="13" t="n">
        <f aca="false">'9.KTHH L9'!T37</f>
        <v>14.44</v>
      </c>
      <c r="E26" s="52"/>
      <c r="F26" s="52"/>
      <c r="G26" s="52"/>
      <c r="H26" s="52"/>
      <c r="I26" s="52"/>
      <c r="J26" s="52"/>
      <c r="K26" s="53"/>
      <c r="L26" s="16"/>
      <c r="M26" s="17"/>
      <c r="N26" s="54"/>
      <c r="O26" s="53" t="n">
        <f aca="false">Chạy!E137</f>
        <v>7.31</v>
      </c>
      <c r="P26" s="53"/>
      <c r="Q26" s="53"/>
      <c r="R26" s="55"/>
      <c r="S26" s="55"/>
      <c r="T26" s="55"/>
      <c r="U26" s="55"/>
      <c r="V26" s="55"/>
      <c r="W26" s="55" t="n">
        <f aca="false">(O26+O27)*D26/2</f>
        <v>105.5564</v>
      </c>
      <c r="X26" s="55"/>
      <c r="Y26" s="55"/>
      <c r="Z26" s="55"/>
      <c r="AA26" s="55"/>
      <c r="AB26" s="56"/>
      <c r="AC26" s="57"/>
    </row>
    <row r="27" s="49" customFormat="true" ht="15" hidden="false" customHeight="true" outlineLevel="0" collapsed="false">
      <c r="A27" s="13" t="n">
        <v>17</v>
      </c>
      <c r="B27" s="13" t="str">
        <f aca="false">'9.KTHH L9'!B38</f>
        <v>25</v>
      </c>
      <c r="C27" s="51" t="n">
        <f aca="false">'9.KTHH L9'!C38</f>
        <v>489.19</v>
      </c>
      <c r="D27" s="13" t="n">
        <f aca="false">'9.KTHH L9'!T38</f>
        <v>13.17</v>
      </c>
      <c r="E27" s="52"/>
      <c r="F27" s="52"/>
      <c r="G27" s="52"/>
      <c r="H27" s="52"/>
      <c r="I27" s="52"/>
      <c r="J27" s="52"/>
      <c r="K27" s="53"/>
      <c r="L27" s="16"/>
      <c r="M27" s="17"/>
      <c r="N27" s="54"/>
      <c r="O27" s="53" t="n">
        <f aca="false">Chạy!E146</f>
        <v>7.31</v>
      </c>
      <c r="P27" s="53"/>
      <c r="Q27" s="53"/>
      <c r="R27" s="55"/>
      <c r="S27" s="55"/>
      <c r="T27" s="55"/>
      <c r="U27" s="55"/>
      <c r="V27" s="55"/>
      <c r="W27" s="55" t="n">
        <f aca="false">(O27+O28)*D27/2</f>
        <v>96.2727</v>
      </c>
      <c r="X27" s="55"/>
      <c r="Y27" s="55"/>
      <c r="Z27" s="55"/>
      <c r="AA27" s="55"/>
      <c r="AB27" s="56"/>
      <c r="AC27" s="57"/>
    </row>
    <row r="28" s="49" customFormat="true" ht="15" hidden="false" customHeight="true" outlineLevel="0" collapsed="false">
      <c r="A28" s="13" t="n">
        <v>18</v>
      </c>
      <c r="B28" s="13" t="str">
        <f aca="false">'9.KTHH L9'!B39</f>
        <v>D1</v>
      </c>
      <c r="C28" s="51" t="n">
        <f aca="false">'9.KTHH L9'!C39</f>
        <v>502.36</v>
      </c>
      <c r="D28" s="13" t="n">
        <f aca="false">'9.KTHH L9'!T39</f>
        <v>10.48</v>
      </c>
      <c r="E28" s="52"/>
      <c r="F28" s="52"/>
      <c r="G28" s="52"/>
      <c r="H28" s="52"/>
      <c r="I28" s="52"/>
      <c r="J28" s="52"/>
      <c r="K28" s="53"/>
      <c r="L28" s="16"/>
      <c r="M28" s="17"/>
      <c r="N28" s="54"/>
      <c r="O28" s="53" t="n">
        <f aca="false">Chạy!E155</f>
        <v>7.31</v>
      </c>
      <c r="P28" s="53"/>
      <c r="Q28" s="53"/>
      <c r="R28" s="55"/>
      <c r="S28" s="55"/>
      <c r="T28" s="55"/>
      <c r="U28" s="55"/>
      <c r="V28" s="55"/>
      <c r="W28" s="55" t="n">
        <f aca="false">(O28+O29)*D28/2</f>
        <v>76.6088</v>
      </c>
      <c r="X28" s="55"/>
      <c r="Y28" s="55"/>
      <c r="Z28" s="55"/>
      <c r="AA28" s="55"/>
      <c r="AB28" s="56"/>
      <c r="AC28" s="57"/>
    </row>
    <row r="29" s="49" customFormat="true" ht="15" hidden="false" customHeight="true" outlineLevel="0" collapsed="false">
      <c r="A29" s="13" t="n">
        <v>19</v>
      </c>
      <c r="B29" s="13" t="str">
        <f aca="false">'9.KTHH L9'!B40</f>
        <v>26</v>
      </c>
      <c r="C29" s="51" t="n">
        <f aca="false">'9.KTHH L9'!C40</f>
        <v>512.84</v>
      </c>
      <c r="D29" s="13" t="n">
        <f aca="false">'9.KTHH L9'!T40</f>
        <v>16.78</v>
      </c>
      <c r="E29" s="52"/>
      <c r="F29" s="52"/>
      <c r="G29" s="52"/>
      <c r="H29" s="52"/>
      <c r="I29" s="52"/>
      <c r="J29" s="52"/>
      <c r="K29" s="53"/>
      <c r="L29" s="16"/>
      <c r="M29" s="17"/>
      <c r="N29" s="54"/>
      <c r="O29" s="53" t="n">
        <f aca="false">Chạy!E164</f>
        <v>7.31</v>
      </c>
      <c r="P29" s="53"/>
      <c r="Q29" s="53"/>
      <c r="R29" s="55"/>
      <c r="S29" s="55"/>
      <c r="T29" s="55"/>
      <c r="U29" s="55"/>
      <c r="V29" s="55"/>
      <c r="W29" s="55" t="n">
        <f aca="false">(O29+O30)*D29/2</f>
        <v>122.6618</v>
      </c>
      <c r="X29" s="55"/>
      <c r="Y29" s="55"/>
      <c r="Z29" s="55"/>
      <c r="AA29" s="55"/>
      <c r="AB29" s="56"/>
      <c r="AC29" s="57"/>
    </row>
    <row r="30" s="49" customFormat="true" ht="15" hidden="false" customHeight="true" outlineLevel="0" collapsed="false">
      <c r="A30" s="13" t="n">
        <v>20</v>
      </c>
      <c r="B30" s="13" t="str">
        <f aca="false">'9.KTHH L9'!B41</f>
        <v>27</v>
      </c>
      <c r="C30" s="51" t="n">
        <f aca="false">'9.KTHH L9'!C41</f>
        <v>529.62</v>
      </c>
      <c r="D30" s="13" t="n">
        <f aca="false">'9.KTHH L9'!T41</f>
        <v>17.1</v>
      </c>
      <c r="E30" s="52"/>
      <c r="F30" s="52"/>
      <c r="G30" s="52"/>
      <c r="H30" s="52"/>
      <c r="I30" s="52"/>
      <c r="J30" s="52"/>
      <c r="K30" s="53"/>
      <c r="L30" s="16"/>
      <c r="M30" s="17"/>
      <c r="N30" s="54"/>
      <c r="O30" s="53" t="n">
        <f aca="false">Chạy!E173</f>
        <v>7.31</v>
      </c>
      <c r="P30" s="53"/>
      <c r="Q30" s="53"/>
      <c r="R30" s="55"/>
      <c r="S30" s="55"/>
      <c r="T30" s="55"/>
      <c r="U30" s="55"/>
      <c r="V30" s="55"/>
      <c r="W30" s="55" t="n">
        <f aca="false">(O30+O31)*D30/2</f>
        <v>125.001</v>
      </c>
      <c r="X30" s="55"/>
      <c r="Y30" s="55"/>
      <c r="Z30" s="55"/>
      <c r="AA30" s="55"/>
      <c r="AB30" s="56"/>
      <c r="AC30" s="57"/>
    </row>
    <row r="31" s="49" customFormat="true" ht="15" hidden="false" customHeight="true" outlineLevel="0" collapsed="false">
      <c r="A31" s="13" t="n">
        <v>21</v>
      </c>
      <c r="B31" s="13" t="str">
        <f aca="false">'9.KTHH L9'!B42</f>
        <v>28</v>
      </c>
      <c r="C31" s="51" t="n">
        <f aca="false">'9.KTHH L9'!C42</f>
        <v>546.72</v>
      </c>
      <c r="D31" s="13" t="n">
        <f aca="false">'9.KTHH L9'!T42</f>
        <v>15.15</v>
      </c>
      <c r="E31" s="52"/>
      <c r="F31" s="52"/>
      <c r="G31" s="52"/>
      <c r="H31" s="52"/>
      <c r="I31" s="52"/>
      <c r="J31" s="52"/>
      <c r="K31" s="53"/>
      <c r="L31" s="16"/>
      <c r="M31" s="17"/>
      <c r="N31" s="54"/>
      <c r="O31" s="53" t="n">
        <f aca="false">Chạy!E182</f>
        <v>7.31</v>
      </c>
      <c r="P31" s="53"/>
      <c r="Q31" s="53"/>
      <c r="R31" s="55"/>
      <c r="S31" s="55"/>
      <c r="T31" s="55"/>
      <c r="U31" s="55"/>
      <c r="V31" s="55"/>
      <c r="W31" s="55" t="n">
        <f aca="false">(O31+O32)*D31/2</f>
        <v>110.7465</v>
      </c>
      <c r="X31" s="55"/>
      <c r="Y31" s="55"/>
      <c r="Z31" s="55"/>
      <c r="AA31" s="55"/>
      <c r="AB31" s="56"/>
      <c r="AC31" s="57"/>
    </row>
    <row r="32" s="49" customFormat="true" ht="15" hidden="false" customHeight="true" outlineLevel="0" collapsed="false">
      <c r="A32" s="13" t="n">
        <v>22</v>
      </c>
      <c r="B32" s="13" t="str">
        <f aca="false">'9.KTHH L9'!B43</f>
        <v>E5</v>
      </c>
      <c r="C32" s="51" t="n">
        <f aca="false">'9.KTHH L9'!C43</f>
        <v>561.87</v>
      </c>
      <c r="D32" s="13" t="n">
        <f aca="false">'9.KTHH L9'!T43</f>
        <v>0.15</v>
      </c>
      <c r="E32" s="52"/>
      <c r="F32" s="52"/>
      <c r="G32" s="52"/>
      <c r="H32" s="52"/>
      <c r="I32" s="52"/>
      <c r="J32" s="52"/>
      <c r="K32" s="53"/>
      <c r="L32" s="16"/>
      <c r="M32" s="17"/>
      <c r="N32" s="54"/>
      <c r="O32" s="53" t="n">
        <f aca="false">Chạy!E191</f>
        <v>7.31</v>
      </c>
      <c r="P32" s="53"/>
      <c r="Q32" s="53"/>
      <c r="R32" s="55"/>
      <c r="S32" s="55"/>
      <c r="T32" s="55"/>
      <c r="U32" s="55"/>
      <c r="V32" s="55"/>
      <c r="W32" s="55" t="n">
        <f aca="false">(O32+O33)*D32/2</f>
        <v>1.0965</v>
      </c>
      <c r="X32" s="55"/>
      <c r="Y32" s="55"/>
      <c r="Z32" s="55"/>
      <c r="AA32" s="55"/>
      <c r="AB32" s="56"/>
      <c r="AC32" s="57"/>
    </row>
    <row r="33" s="49" customFormat="true" ht="15" hidden="false" customHeight="true" outlineLevel="0" collapsed="false">
      <c r="A33" s="13" t="n">
        <v>23</v>
      </c>
      <c r="B33" s="13" t="str">
        <f aca="false">'9.KTHH L9'!B44</f>
        <v>TD</v>
      </c>
      <c r="C33" s="51" t="n">
        <f aca="false">'9.KTHH L9'!C44</f>
        <v>562.02</v>
      </c>
      <c r="D33" s="13" t="n">
        <f aca="false">'9.KTHH L9'!T44</f>
        <v>6.55</v>
      </c>
      <c r="E33" s="52"/>
      <c r="F33" s="52"/>
      <c r="G33" s="52"/>
      <c r="H33" s="52"/>
      <c r="I33" s="52"/>
      <c r="J33" s="52"/>
      <c r="K33" s="53"/>
      <c r="L33" s="16"/>
      <c r="M33" s="17"/>
      <c r="N33" s="54"/>
      <c r="O33" s="53" t="n">
        <f aca="false">Chạy!E200</f>
        <v>7.31</v>
      </c>
      <c r="P33" s="53"/>
      <c r="Q33" s="53"/>
      <c r="R33" s="55"/>
      <c r="S33" s="55"/>
      <c r="T33" s="55"/>
      <c r="U33" s="55"/>
      <c r="V33" s="55"/>
      <c r="W33" s="55" t="n">
        <f aca="false">(O33+O34)*D33/2</f>
        <v>47.8805</v>
      </c>
      <c r="X33" s="55"/>
      <c r="Y33" s="55"/>
      <c r="Z33" s="55"/>
      <c r="AA33" s="55"/>
      <c r="AB33" s="56"/>
      <c r="AC33" s="57"/>
    </row>
    <row r="34" s="49" customFormat="true" ht="15" hidden="false" customHeight="true" outlineLevel="0" collapsed="false">
      <c r="A34" s="13" t="n">
        <v>24</v>
      </c>
      <c r="B34" s="13" t="str">
        <f aca="false">'9.KTHH L9'!B45</f>
        <v>P</v>
      </c>
      <c r="C34" s="51" t="n">
        <f aca="false">'9.KTHH L9'!C45</f>
        <v>568.57</v>
      </c>
      <c r="D34" s="13" t="n">
        <f aca="false">'9.KTHH L9'!T45</f>
        <v>6.55</v>
      </c>
      <c r="E34" s="52"/>
      <c r="F34" s="52"/>
      <c r="G34" s="52"/>
      <c r="H34" s="52"/>
      <c r="I34" s="52"/>
      <c r="J34" s="52"/>
      <c r="K34" s="53"/>
      <c r="L34" s="16"/>
      <c r="M34" s="17"/>
      <c r="N34" s="54"/>
      <c r="O34" s="53" t="n">
        <f aca="false">Chạy!E209</f>
        <v>7.31</v>
      </c>
      <c r="P34" s="53"/>
      <c r="Q34" s="53"/>
      <c r="R34" s="55"/>
      <c r="S34" s="55"/>
      <c r="T34" s="55"/>
      <c r="U34" s="55"/>
      <c r="V34" s="55"/>
      <c r="W34" s="55" t="n">
        <f aca="false">(O34+O35)*D34/2</f>
        <v>47.8805</v>
      </c>
      <c r="X34" s="55"/>
      <c r="Y34" s="55"/>
      <c r="Z34" s="55"/>
      <c r="AA34" s="55"/>
      <c r="AB34" s="56"/>
      <c r="AC34" s="57"/>
    </row>
    <row r="35" s="49" customFormat="true" ht="15" hidden="false" customHeight="true" outlineLevel="0" collapsed="false">
      <c r="A35" s="13" t="n">
        <v>25</v>
      </c>
      <c r="B35" s="13" t="str">
        <f aca="false">'9.KTHH L9'!B46</f>
        <v>TC</v>
      </c>
      <c r="C35" s="51" t="n">
        <f aca="false">'9.KTHH L9'!C46</f>
        <v>575.12</v>
      </c>
      <c r="D35" s="13" t="n">
        <f aca="false">'9.KTHH L9'!T46</f>
        <v>0.04</v>
      </c>
      <c r="E35" s="52"/>
      <c r="F35" s="52"/>
      <c r="G35" s="52"/>
      <c r="H35" s="52"/>
      <c r="I35" s="52"/>
      <c r="J35" s="52"/>
      <c r="K35" s="53"/>
      <c r="L35" s="16"/>
      <c r="M35" s="17"/>
      <c r="N35" s="54"/>
      <c r="O35" s="53" t="n">
        <f aca="false">Chạy!E218</f>
        <v>7.31</v>
      </c>
      <c r="P35" s="53"/>
      <c r="Q35" s="53"/>
      <c r="R35" s="55"/>
      <c r="S35" s="55"/>
      <c r="T35" s="55"/>
      <c r="U35" s="55"/>
      <c r="V35" s="55"/>
      <c r="W35" s="55" t="n">
        <f aca="false">(O35+O36)*D35/2</f>
        <v>0.2924</v>
      </c>
      <c r="X35" s="55"/>
      <c r="Y35" s="55"/>
      <c r="Z35" s="55"/>
      <c r="AA35" s="55"/>
      <c r="AB35" s="56"/>
      <c r="AC35" s="57"/>
    </row>
    <row r="36" s="49" customFormat="true" ht="15" hidden="false" customHeight="true" outlineLevel="0" collapsed="false">
      <c r="A36" s="13" t="n">
        <v>26</v>
      </c>
      <c r="B36" s="13" t="str">
        <f aca="false">'9.KTHH L9'!B47</f>
        <v>29</v>
      </c>
      <c r="C36" s="51" t="n">
        <f aca="false">'9.KTHH L9'!C47</f>
        <v>575.16</v>
      </c>
      <c r="D36" s="13" t="n">
        <f aca="false">'9.KTHH L9'!T47</f>
        <v>16.95</v>
      </c>
      <c r="E36" s="52"/>
      <c r="F36" s="52"/>
      <c r="G36" s="52"/>
      <c r="H36" s="52"/>
      <c r="I36" s="52"/>
      <c r="J36" s="52"/>
      <c r="K36" s="53"/>
      <c r="L36" s="16"/>
      <c r="M36" s="17"/>
      <c r="N36" s="54"/>
      <c r="O36" s="53" t="n">
        <f aca="false">Chạy!E227</f>
        <v>7.31</v>
      </c>
      <c r="P36" s="53"/>
      <c r="Q36" s="53"/>
      <c r="R36" s="55"/>
      <c r="S36" s="55"/>
      <c r="T36" s="55"/>
      <c r="U36" s="55"/>
      <c r="V36" s="55"/>
      <c r="W36" s="55" t="n">
        <f aca="false">(O36+O37)*D36/2</f>
        <v>123.9045</v>
      </c>
      <c r="X36" s="55"/>
      <c r="Y36" s="55"/>
      <c r="Z36" s="55"/>
      <c r="AA36" s="55"/>
      <c r="AB36" s="56"/>
      <c r="AC36" s="57"/>
    </row>
    <row r="37" s="49" customFormat="true" ht="15" hidden="false" customHeight="true" outlineLevel="0" collapsed="false">
      <c r="A37" s="13" t="n">
        <v>27</v>
      </c>
      <c r="B37" s="13" t="str">
        <f aca="false">'9.KTHH L9'!B48</f>
        <v>30</v>
      </c>
      <c r="C37" s="51" t="n">
        <f aca="false">'9.KTHH L9'!C48</f>
        <v>592.11</v>
      </c>
      <c r="D37" s="13" t="n">
        <f aca="false">'9.KTHH L9'!T48</f>
        <v>17</v>
      </c>
      <c r="E37" s="52"/>
      <c r="F37" s="52"/>
      <c r="G37" s="52"/>
      <c r="H37" s="52"/>
      <c r="I37" s="52"/>
      <c r="J37" s="52"/>
      <c r="K37" s="53"/>
      <c r="L37" s="16"/>
      <c r="M37" s="17"/>
      <c r="N37" s="54"/>
      <c r="O37" s="53" t="n">
        <f aca="false">Chạy!E236</f>
        <v>7.31</v>
      </c>
      <c r="P37" s="53"/>
      <c r="Q37" s="53"/>
      <c r="R37" s="55"/>
      <c r="S37" s="55"/>
      <c r="T37" s="55"/>
      <c r="U37" s="55"/>
      <c r="V37" s="55"/>
      <c r="W37" s="55" t="n">
        <f aca="false">(O37+O38)*D37/2</f>
        <v>124.27</v>
      </c>
      <c r="X37" s="55"/>
      <c r="Y37" s="55"/>
      <c r="Z37" s="55"/>
      <c r="AA37" s="55"/>
      <c r="AB37" s="56"/>
      <c r="AC37" s="57"/>
    </row>
    <row r="38" s="49" customFormat="true" ht="15" hidden="false" customHeight="true" outlineLevel="0" collapsed="false">
      <c r="A38" s="13" t="n">
        <v>28</v>
      </c>
      <c r="B38" s="13" t="str">
        <f aca="false">'9.KTHH L9'!B49</f>
        <v>31</v>
      </c>
      <c r="C38" s="51" t="n">
        <f aca="false">'9.KTHH L9'!C49</f>
        <v>609.11</v>
      </c>
      <c r="D38" s="13" t="n">
        <f aca="false">'9.KTHH L9'!T49</f>
        <v>11.75</v>
      </c>
      <c r="E38" s="52"/>
      <c r="F38" s="52"/>
      <c r="G38" s="52"/>
      <c r="H38" s="52"/>
      <c r="I38" s="52"/>
      <c r="J38" s="52"/>
      <c r="K38" s="53"/>
      <c r="L38" s="16"/>
      <c r="M38" s="17"/>
      <c r="N38" s="54"/>
      <c r="O38" s="53" t="n">
        <f aca="false">Chạy!E245</f>
        <v>7.31</v>
      </c>
      <c r="P38" s="53"/>
      <c r="Q38" s="53"/>
      <c r="R38" s="55"/>
      <c r="S38" s="55"/>
      <c r="T38" s="55"/>
      <c r="U38" s="55"/>
      <c r="V38" s="55"/>
      <c r="W38" s="55" t="n">
        <f aca="false">(O38+O39)*D38/2</f>
        <v>85.8925</v>
      </c>
      <c r="X38" s="55"/>
      <c r="Y38" s="55"/>
      <c r="Z38" s="55"/>
      <c r="AA38" s="55"/>
      <c r="AB38" s="56"/>
      <c r="AC38" s="57"/>
    </row>
    <row r="39" s="49" customFormat="true" ht="15" hidden="false" customHeight="true" outlineLevel="0" collapsed="false">
      <c r="A39" s="13" t="n">
        <v>29</v>
      </c>
      <c r="B39" s="13" t="str">
        <f aca="false">'9.KTHH L9'!B50</f>
        <v>E10</v>
      </c>
      <c r="C39" s="51" t="n">
        <f aca="false">'9.KTHH L9'!C50</f>
        <v>620.86</v>
      </c>
      <c r="D39" s="13" t="n">
        <f aca="false">'9.KTHH L9'!T50</f>
        <v>11.75</v>
      </c>
      <c r="E39" s="52"/>
      <c r="F39" s="52"/>
      <c r="G39" s="52"/>
      <c r="H39" s="52"/>
      <c r="I39" s="52"/>
      <c r="J39" s="52"/>
      <c r="K39" s="53"/>
      <c r="L39" s="16"/>
      <c r="M39" s="17"/>
      <c r="N39" s="54"/>
      <c r="O39" s="53" t="n">
        <f aca="false">Chạy!E254</f>
        <v>7.31</v>
      </c>
      <c r="P39" s="53"/>
      <c r="Q39" s="53"/>
      <c r="R39" s="55"/>
      <c r="S39" s="55"/>
      <c r="T39" s="55"/>
      <c r="U39" s="55"/>
      <c r="V39" s="55"/>
      <c r="W39" s="55" t="n">
        <f aca="false">(O39+O40)*D39/2</f>
        <v>85.8925</v>
      </c>
      <c r="X39" s="55"/>
      <c r="Y39" s="55"/>
      <c r="Z39" s="55"/>
      <c r="AA39" s="55"/>
      <c r="AB39" s="56"/>
      <c r="AC39" s="57"/>
    </row>
    <row r="40" s="49" customFormat="true" ht="15" hidden="false" customHeight="true" outlineLevel="0" collapsed="false">
      <c r="A40" s="13" t="n">
        <v>30</v>
      </c>
      <c r="B40" s="13" t="str">
        <f aca="false">'9.KTHH L9'!B51</f>
        <v>32</v>
      </c>
      <c r="C40" s="51" t="n">
        <f aca="false">'9.KTHH L9'!C51</f>
        <v>632.61</v>
      </c>
      <c r="D40" s="13" t="n">
        <f aca="false">'9.KTHH L9'!T51</f>
        <v>20</v>
      </c>
      <c r="E40" s="52"/>
      <c r="F40" s="52"/>
      <c r="G40" s="52"/>
      <c r="H40" s="52"/>
      <c r="I40" s="52"/>
      <c r="J40" s="52"/>
      <c r="K40" s="53"/>
      <c r="L40" s="16"/>
      <c r="M40" s="17"/>
      <c r="N40" s="54"/>
      <c r="O40" s="53" t="n">
        <f aca="false">Chạy!E263</f>
        <v>7.31</v>
      </c>
      <c r="P40" s="53"/>
      <c r="Q40" s="53"/>
      <c r="R40" s="55"/>
      <c r="S40" s="55"/>
      <c r="T40" s="55"/>
      <c r="U40" s="55"/>
      <c r="V40" s="55"/>
      <c r="W40" s="55" t="n">
        <f aca="false">(O40+O41)*D40/2</f>
        <v>146.2</v>
      </c>
      <c r="X40" s="55"/>
      <c r="Y40" s="55"/>
      <c r="Z40" s="55"/>
      <c r="AA40" s="55"/>
      <c r="AB40" s="56"/>
      <c r="AC40" s="57"/>
    </row>
    <row r="41" s="49" customFormat="true" ht="15" hidden="false" customHeight="true" outlineLevel="0" collapsed="false">
      <c r="A41" s="13" t="n">
        <v>31</v>
      </c>
      <c r="B41" s="13" t="str">
        <f aca="false">'9.KTHH L9'!B52</f>
        <v>33</v>
      </c>
      <c r="C41" s="51" t="n">
        <f aca="false">'9.KTHH L9'!C52</f>
        <v>652.61</v>
      </c>
      <c r="D41" s="13" t="n">
        <f aca="false">'9.KTHH L9'!T52</f>
        <v>20</v>
      </c>
      <c r="E41" s="52"/>
      <c r="F41" s="52"/>
      <c r="G41" s="52"/>
      <c r="H41" s="52"/>
      <c r="I41" s="52"/>
      <c r="J41" s="52"/>
      <c r="K41" s="53"/>
      <c r="L41" s="16"/>
      <c r="M41" s="17"/>
      <c r="N41" s="54"/>
      <c r="O41" s="53" t="n">
        <f aca="false">Chạy!E272</f>
        <v>7.31</v>
      </c>
      <c r="P41" s="53"/>
      <c r="Q41" s="53"/>
      <c r="R41" s="55"/>
      <c r="S41" s="55"/>
      <c r="T41" s="55"/>
      <c r="U41" s="55"/>
      <c r="V41" s="55"/>
      <c r="W41" s="55" t="n">
        <f aca="false">(O41+O42)*D41/2</f>
        <v>146.2</v>
      </c>
      <c r="X41" s="55"/>
      <c r="Y41" s="55"/>
      <c r="Z41" s="55"/>
      <c r="AA41" s="55"/>
      <c r="AB41" s="56"/>
      <c r="AC41" s="57"/>
    </row>
    <row r="42" s="49" customFormat="true" ht="15" hidden="false" customHeight="true" outlineLevel="0" collapsed="false">
      <c r="A42" s="13" t="n">
        <v>32</v>
      </c>
      <c r="B42" s="13" t="str">
        <f aca="false">'9.KTHH L9'!B53</f>
        <v>34</v>
      </c>
      <c r="C42" s="51" t="n">
        <f aca="false">'9.KTHH L9'!C53</f>
        <v>672.61</v>
      </c>
      <c r="D42" s="13" t="n">
        <f aca="false">'9.KTHH L9'!T53</f>
        <v>20</v>
      </c>
      <c r="E42" s="52"/>
      <c r="F42" s="52"/>
      <c r="G42" s="52"/>
      <c r="H42" s="52"/>
      <c r="I42" s="52"/>
      <c r="J42" s="52"/>
      <c r="K42" s="53"/>
      <c r="L42" s="16"/>
      <c r="M42" s="17"/>
      <c r="N42" s="54"/>
      <c r="O42" s="53" t="n">
        <f aca="false">Chạy!E281</f>
        <v>7.31</v>
      </c>
      <c r="P42" s="53"/>
      <c r="Q42" s="53"/>
      <c r="R42" s="55"/>
      <c r="S42" s="55"/>
      <c r="T42" s="55"/>
      <c r="U42" s="55"/>
      <c r="V42" s="55"/>
      <c r="W42" s="55" t="n">
        <f aca="false">(O42+O43)*D42/2</f>
        <v>146.2</v>
      </c>
      <c r="X42" s="55"/>
      <c r="Y42" s="55"/>
      <c r="Z42" s="55"/>
      <c r="AA42" s="55"/>
      <c r="AB42" s="56"/>
      <c r="AC42" s="57"/>
    </row>
    <row r="43" s="49" customFormat="true" ht="15" hidden="false" customHeight="true" outlineLevel="0" collapsed="false">
      <c r="A43" s="13" t="n">
        <v>33</v>
      </c>
      <c r="B43" s="13" t="str">
        <f aca="false">'9.KTHH L9'!B54</f>
        <v>35</v>
      </c>
      <c r="C43" s="51" t="n">
        <f aca="false">'9.KTHH L9'!C54</f>
        <v>692.61</v>
      </c>
      <c r="D43" s="13" t="n">
        <f aca="false">'9.KTHH L9'!T54</f>
        <v>20</v>
      </c>
      <c r="E43" s="52"/>
      <c r="F43" s="52"/>
      <c r="G43" s="52"/>
      <c r="H43" s="52"/>
      <c r="I43" s="52"/>
      <c r="J43" s="52"/>
      <c r="K43" s="53"/>
      <c r="L43" s="16"/>
      <c r="M43" s="17"/>
      <c r="N43" s="54"/>
      <c r="O43" s="53" t="n">
        <f aca="false">Chạy!E290</f>
        <v>7.31</v>
      </c>
      <c r="P43" s="53"/>
      <c r="Q43" s="53"/>
      <c r="R43" s="55"/>
      <c r="S43" s="55"/>
      <c r="T43" s="55"/>
      <c r="U43" s="55"/>
      <c r="V43" s="55"/>
      <c r="W43" s="55" t="n">
        <f aca="false">(O43+O44)*D43/2</f>
        <v>146.2</v>
      </c>
      <c r="X43" s="55"/>
      <c r="Y43" s="55"/>
      <c r="Z43" s="55"/>
      <c r="AA43" s="55"/>
      <c r="AB43" s="56"/>
      <c r="AC43" s="57"/>
    </row>
    <row r="44" s="49" customFormat="true" ht="15" hidden="false" customHeight="true" outlineLevel="0" collapsed="false">
      <c r="A44" s="13" t="n">
        <v>34</v>
      </c>
      <c r="B44" s="13" t="str">
        <f aca="false">'9.KTHH L9'!B55</f>
        <v>36</v>
      </c>
      <c r="C44" s="51" t="n">
        <f aca="false">'9.KTHH L9'!C55</f>
        <v>712.61</v>
      </c>
      <c r="D44" s="13" t="n">
        <f aca="false">'9.KTHH L9'!T55</f>
        <v>11.5</v>
      </c>
      <c r="E44" s="52"/>
      <c r="F44" s="52"/>
      <c r="G44" s="52"/>
      <c r="H44" s="52"/>
      <c r="I44" s="52"/>
      <c r="J44" s="52"/>
      <c r="K44" s="53"/>
      <c r="L44" s="16"/>
      <c r="M44" s="17"/>
      <c r="N44" s="54"/>
      <c r="O44" s="53" t="n">
        <f aca="false">Chạy!E299</f>
        <v>7.31</v>
      </c>
      <c r="P44" s="53"/>
      <c r="Q44" s="53"/>
      <c r="R44" s="55"/>
      <c r="S44" s="55"/>
      <c r="T44" s="55"/>
      <c r="U44" s="55"/>
      <c r="V44" s="55"/>
      <c r="W44" s="55" t="n">
        <f aca="false">(O44+O45)*D44/2</f>
        <v>84.065</v>
      </c>
      <c r="X44" s="55"/>
      <c r="Y44" s="55"/>
      <c r="Z44" s="55"/>
      <c r="AA44" s="55"/>
      <c r="AB44" s="56"/>
      <c r="AC44" s="57"/>
    </row>
    <row r="45" s="49" customFormat="true" ht="15" hidden="false" customHeight="true" outlineLevel="0" collapsed="false">
      <c r="A45" s="13" t="n">
        <v>35</v>
      </c>
      <c r="B45" s="13" t="str">
        <f aca="false">'9.KTHH L9'!B56</f>
        <v>37</v>
      </c>
      <c r="C45" s="51" t="n">
        <f aca="false">'9.KTHH L9'!C56</f>
        <v>724.11</v>
      </c>
      <c r="D45" s="13" t="n">
        <f aca="false">'9.KTHH L9'!T56</f>
        <v>13.25</v>
      </c>
      <c r="E45" s="52"/>
      <c r="F45" s="52"/>
      <c r="G45" s="52"/>
      <c r="H45" s="52"/>
      <c r="I45" s="52"/>
      <c r="J45" s="52"/>
      <c r="K45" s="53"/>
      <c r="L45" s="16"/>
      <c r="M45" s="17"/>
      <c r="N45" s="54"/>
      <c r="O45" s="53" t="n">
        <f aca="false">Chạy!E308</f>
        <v>7.31</v>
      </c>
      <c r="P45" s="53"/>
      <c r="Q45" s="53"/>
      <c r="R45" s="55"/>
      <c r="S45" s="55"/>
      <c r="T45" s="55"/>
      <c r="U45" s="55"/>
      <c r="V45" s="55"/>
      <c r="W45" s="55" t="n">
        <f aca="false">(O45+O46)*D45/2</f>
        <v>96.8575</v>
      </c>
      <c r="X45" s="55"/>
      <c r="Y45" s="55"/>
      <c r="Z45" s="55"/>
      <c r="AA45" s="55"/>
      <c r="AB45" s="56"/>
      <c r="AC45" s="57"/>
    </row>
    <row r="46" s="49" customFormat="true" ht="15" hidden="false" customHeight="true" outlineLevel="0" collapsed="false">
      <c r="A46" s="13" t="n">
        <v>36</v>
      </c>
      <c r="B46" s="13" t="str">
        <f aca="false">'9.KTHH L9'!B57</f>
        <v>G6</v>
      </c>
      <c r="C46" s="51" t="n">
        <f aca="false">'9.KTHH L9'!C57</f>
        <v>737.36</v>
      </c>
      <c r="D46" s="13"/>
      <c r="E46" s="52"/>
      <c r="F46" s="52"/>
      <c r="G46" s="52"/>
      <c r="H46" s="52"/>
      <c r="I46" s="52"/>
      <c r="J46" s="52"/>
      <c r="K46" s="53"/>
      <c r="L46" s="16"/>
      <c r="M46" s="17"/>
      <c r="N46" s="54"/>
      <c r="O46" s="53" t="n">
        <f aca="false">Chạy!E317</f>
        <v>7.31</v>
      </c>
      <c r="P46" s="53"/>
      <c r="Q46" s="53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 s="57"/>
    </row>
    <row r="47" s="49" customFormat="true" ht="15" hidden="true" customHeight="true" outlineLevel="0" collapsed="false">
      <c r="A47" s="13"/>
      <c r="B47" s="13"/>
      <c r="C47" s="51"/>
      <c r="D47" s="13"/>
      <c r="E47" s="52"/>
      <c r="F47" s="52"/>
      <c r="G47" s="52"/>
      <c r="H47" s="52"/>
      <c r="I47" s="52"/>
      <c r="J47" s="52"/>
      <c r="K47" s="53"/>
      <c r="L47" s="16"/>
      <c r="M47" s="17"/>
      <c r="N47" s="54"/>
      <c r="O47" s="53"/>
      <c r="P47" s="53"/>
      <c r="Q47" s="53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 s="57"/>
    </row>
    <row r="48" s="49" customFormat="true" ht="15" hidden="true" customHeight="true" outlineLevel="0" collapsed="false">
      <c r="A48" s="13"/>
      <c r="B48" s="13"/>
      <c r="C48" s="51"/>
      <c r="D48" s="13"/>
      <c r="E48" s="52"/>
      <c r="F48" s="52"/>
      <c r="G48" s="52"/>
      <c r="H48" s="52"/>
      <c r="I48" s="52"/>
      <c r="J48" s="52"/>
      <c r="K48" s="53"/>
      <c r="L48" s="16"/>
      <c r="M48" s="17"/>
      <c r="N48" s="54"/>
      <c r="O48" s="53"/>
      <c r="P48" s="53"/>
      <c r="Q48" s="53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 s="57"/>
    </row>
    <row r="49" s="49" customFormat="true" ht="15" hidden="true" customHeight="true" outlineLevel="0" collapsed="false">
      <c r="A49" s="13"/>
      <c r="B49" s="13"/>
      <c r="C49" s="51"/>
      <c r="D49" s="13"/>
      <c r="E49" s="52"/>
      <c r="F49" s="52"/>
      <c r="G49" s="52"/>
      <c r="H49" s="52"/>
      <c r="I49" s="52"/>
      <c r="J49" s="52"/>
      <c r="K49" s="53"/>
      <c r="L49" s="16"/>
      <c r="M49" s="17"/>
      <c r="N49" s="54"/>
      <c r="O49" s="53"/>
      <c r="P49" s="53"/>
      <c r="Q49" s="53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 s="57"/>
    </row>
    <row r="50" s="49" customFormat="true" ht="15" hidden="true" customHeight="true" outlineLevel="0" collapsed="false">
      <c r="A50" s="13"/>
      <c r="B50" s="13"/>
      <c r="C50" s="51"/>
      <c r="D50" s="13"/>
      <c r="E50" s="52"/>
      <c r="F50" s="52"/>
      <c r="G50" s="52"/>
      <c r="H50" s="52"/>
      <c r="I50" s="52"/>
      <c r="J50" s="52"/>
      <c r="K50" s="53"/>
      <c r="L50" s="16"/>
      <c r="M50" s="17"/>
      <c r="N50" s="54"/>
      <c r="O50" s="53"/>
      <c r="P50" s="53"/>
      <c r="Q50" s="53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6"/>
      <c r="AC50" s="57"/>
    </row>
    <row r="51" s="32" customFormat="true" ht="16.5" hidden="false" customHeight="true" outlineLevel="0" collapsed="false">
      <c r="A51" s="61" t="s">
        <v>85</v>
      </c>
      <c r="B51" s="61"/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3"/>
      <c r="N51" s="63"/>
      <c r="O51" s="63"/>
      <c r="P51" s="63"/>
      <c r="Q51" s="63"/>
      <c r="R51" s="64" t="n">
        <f aca="false">SUM(R11:R50)</f>
        <v>0</v>
      </c>
      <c r="S51" s="64" t="n">
        <f aca="false">SUM(S11:S50)</f>
        <v>0</v>
      </c>
      <c r="T51" s="64"/>
      <c r="U51" s="65" t="n">
        <f aca="false">SUM(U11:U50)</f>
        <v>0</v>
      </c>
      <c r="V51" s="65" t="n">
        <f aca="false">SUM(V11:V50)</f>
        <v>0</v>
      </c>
      <c r="W51" s="66" t="n">
        <f aca="false">SUM(W11:W46)</f>
        <v>3707.76535</v>
      </c>
      <c r="X51" s="65" t="n">
        <f aca="false">SUM(X11:X50)</f>
        <v>0</v>
      </c>
      <c r="Y51" s="65" t="n">
        <f aca="false">SUM(Y11:Y50)</f>
        <v>0</v>
      </c>
      <c r="Z51" s="65" t="n">
        <f aca="false">SUM(Z11:Z50)</f>
        <v>0</v>
      </c>
      <c r="AA51" s="65" t="n">
        <f aca="false">SUM(AA11:AA50)</f>
        <v>0</v>
      </c>
      <c r="AB51" s="65"/>
      <c r="AE51" s="93"/>
    </row>
    <row r="52" s="72" customFormat="true" ht="15" hidden="false" customHeight="true" outlineLevel="0" collapsed="false">
      <c r="A52" s="68"/>
      <c r="B52" s="68"/>
      <c r="C52" s="68"/>
      <c r="D52" s="6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  <c r="S52" s="70"/>
      <c r="T52" s="70"/>
      <c r="U52" s="71"/>
      <c r="V52" s="71"/>
      <c r="W52" s="71"/>
      <c r="X52" s="71"/>
      <c r="Y52" s="71"/>
      <c r="Z52" s="71"/>
      <c r="AA52" s="71"/>
      <c r="AB52" s="71"/>
    </row>
    <row r="53" s="72" customFormat="true" ht="15" hidden="false" customHeight="true" outlineLevel="0" collapsed="false">
      <c r="A53" s="19" t="s">
        <v>74</v>
      </c>
      <c r="B53" s="19"/>
      <c r="C53" s="19"/>
      <c r="D53" s="77" t="s">
        <v>86</v>
      </c>
      <c r="E53" s="19" t="s">
        <v>75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="72" customFormat="true" ht="15" hidden="false" customHeight="true" outlineLevel="0" collapsed="false">
      <c r="A54" s="78"/>
      <c r="B54" s="78"/>
      <c r="C54" s="78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69"/>
      <c r="Y54" s="69"/>
      <c r="Z54" s="69"/>
      <c r="AA54" s="69"/>
      <c r="AB54" s="69"/>
    </row>
    <row r="55" s="72" customFormat="true" ht="15.75" hidden="false" customHeight="true" outlineLevel="0" collapsed="false">
      <c r="A55" s="78"/>
      <c r="B55" s="78"/>
      <c r="C55" s="81"/>
      <c r="D55" s="81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69"/>
      <c r="Y55" s="69"/>
      <c r="Z55" s="69"/>
      <c r="AA55" s="69"/>
      <c r="AB55" s="69"/>
      <c r="AF55" s="75"/>
    </row>
    <row r="56" s="72" customFormat="true" ht="15" hidden="false" customHeight="true" outlineLevel="0" collapsed="false">
      <c r="A56" s="78"/>
      <c r="B56" s="78"/>
      <c r="C56" s="78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69"/>
      <c r="Y56" s="69"/>
      <c r="Z56" s="69"/>
      <c r="AA56" s="69"/>
      <c r="AB56" s="69"/>
    </row>
    <row r="57" s="72" customFormat="true" ht="15" hidden="false" customHeight="true" outlineLevel="0" collapsed="false">
      <c r="A57" s="78"/>
      <c r="B57" s="78"/>
      <c r="C57" s="78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69"/>
      <c r="Y57" s="69"/>
      <c r="Z57" s="69"/>
      <c r="AA57" s="69"/>
      <c r="AB57" s="69"/>
    </row>
    <row r="58" s="72" customFormat="true" ht="15" hidden="false" customHeight="true" outlineLevel="0" collapsed="false">
      <c r="A58" s="78"/>
      <c r="B58" s="78"/>
      <c r="C58" s="78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69"/>
      <c r="Y58" s="69"/>
      <c r="Z58" s="69"/>
      <c r="AA58" s="69"/>
      <c r="AB58" s="69"/>
    </row>
    <row r="59" s="72" customFormat="true" ht="15" hidden="false" customHeight="true" outlineLevel="0" collapsed="false">
      <c r="A59" s="19" t="s">
        <v>76</v>
      </c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19" t="s">
        <v>77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5"/>
    </row>
    <row r="61" customFormat="false" ht="12.75" hidden="false" customHeight="false" outlineLevel="0" collapsed="false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customFormat="false" ht="12.75" hidden="false" customHeight="false" outlineLevel="0" collapsed="false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customFormat="false" ht="12.75" hidden="false" customHeight="false" outlineLevel="0" collapsed="false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customFormat="false" ht="12.75" hidden="false" customHeight="false" outlineLevel="0" collapsed="false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customFormat="false" ht="12.75" hidden="false" customHeight="false" outlineLevel="0" collapsed="false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customFormat="false" ht="12.75" hidden="false" customHeight="false" outlineLevel="0" collapsed="false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customFormat="false" ht="12.75" hidden="false" customHeight="false" outlineLevel="0" collapsed="false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customFormat="false" ht="12.75" hidden="false" customHeight="false" outlineLevel="0" collapsed="false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customFormat="false" ht="12.75" hidden="false" customHeight="false" outlineLevel="0" collapsed="false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customFormat="false" ht="12.75" hidden="false" customHeight="false" outlineLevel="0" collapsed="false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customFormat="false" ht="12.75" hidden="false" customHeight="false" outlineLevel="0" collapsed="false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customFormat="false" ht="12.75" hidden="false" customHeight="false" outlineLevel="0" collapsed="false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customFormat="false" ht="12.75" hidden="false" customHeight="false" outlineLevel="0" collapsed="false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customFormat="false" ht="12.75" hidden="false" customHeight="false" outlineLevel="0" collapsed="false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customFormat="false" ht="12.75" hidden="false" customHeight="false" outlineLevel="0" collapsed="false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customFormat="false" ht="12.75" hidden="false" customHeight="false" outlineLevel="0" collapsed="false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customFormat="false" ht="12.75" hidden="false" customHeight="false" outlineLevel="0" collapsed="false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customFormat="false" ht="12.75" hidden="false" customHeight="false" outlineLevel="0" collapsed="false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customFormat="false" ht="12.75" hidden="false" customHeight="false" outlineLevel="0" collapsed="false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customFormat="false" ht="12.75" hidden="false" customHeight="false" outlineLevel="0" collapsed="false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customFormat="false" ht="12.75" hidden="false" customHeight="false" outlineLevel="0" collapsed="false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customFormat="false" ht="12.75" hidden="false" customHeight="false" outlineLevel="0" collapsed="false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customFormat="false" ht="12.75" hidden="false" customHeight="false" outlineLevel="0" collapsed="false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customFormat="false" ht="12.75" hidden="false" customHeight="false" outlineLevel="0" collapsed="false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customFormat="false" ht="12.75" hidden="false" customHeight="false" outlineLevel="0" collapsed="false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customFormat="false" ht="12.75" hidden="false" customHeight="false" outlineLevel="0" collapsed="false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customFormat="false" ht="12.75" hidden="false" customHeight="false" outlineLevel="0" collapsed="false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customFormat="false" ht="12.75" hidden="false" customHeight="false" outlineLevel="0" collapsed="false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customFormat="false" ht="12.75" hidden="false" customHeight="false" outlineLevel="0" collapsed="false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customFormat="false" ht="12.75" hidden="false" customHeight="false" outlineLevel="0" collapsed="false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customFormat="false" ht="12.75" hidden="false" customHeight="false" outlineLevel="0" collapsed="false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customFormat="false" ht="12.75" hidden="false" customHeight="false" outlineLevel="0" collapsed="false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customFormat="false" ht="12.75" hidden="false" customHeight="false" outlineLevel="0" collapsed="false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customFormat="false" ht="12.75" hidden="false" customHeight="false" outlineLevel="0" collapsed="false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customFormat="false" ht="12.75" hidden="false" customHeight="false" outlineLevel="0" collapsed="false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customFormat="false" ht="12.75" hidden="false" customHeight="false" outlineLevel="0" collapsed="false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customFormat="false" ht="12.75" hidden="false" customHeight="false" outlineLevel="0" collapsed="false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customFormat="false" ht="12.75" hidden="false" customHeight="false" outlineLevel="0" collapsed="false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customFormat="false" ht="12.75" hidden="false" customHeight="false" outlineLevel="0" collapsed="false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customFormat="false" ht="12.75" hidden="false" customHeight="false" outlineLevel="0" collapsed="false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customFormat="false" ht="12.75" hidden="false" customHeight="false" outlineLevel="0" collapsed="false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customFormat="false" ht="12.75" hidden="false" customHeight="false" outlineLevel="0" collapsed="false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customFormat="false" ht="12.75" hidden="false" customHeight="false" outlineLevel="0" collapsed="false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customFormat="false" ht="12.75" hidden="false" customHeight="false" outlineLevel="0" collapsed="false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customFormat="false" ht="12.75" hidden="false" customHeight="false" outlineLevel="0" collapsed="false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customFormat="false" ht="12.75" hidden="false" customHeight="false" outlineLevel="0" collapsed="false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customFormat="false" ht="12.75" hidden="false" customHeight="false" outlineLevel="0" collapsed="false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customFormat="false" ht="12.75" hidden="false" customHeight="false" outlineLevel="0" collapsed="false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s="23" customFormat="true" ht="12.75" hidden="false" customHeight="false" outlineLevel="0" collapsed="false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22"/>
      <c r="AE109" s="22"/>
      <c r="AF109" s="22"/>
      <c r="AG109" s="22"/>
    </row>
    <row r="110" s="23" customFormat="true" ht="12.75" hidden="false" customHeight="false" outlineLevel="0" collapsed="false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22"/>
      <c r="AE110" s="22"/>
      <c r="AF110" s="22"/>
      <c r="AG110" s="22"/>
    </row>
    <row r="111" s="23" customFormat="true" ht="12.75" hidden="false" customHeight="false" outlineLevel="0" collapsed="false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22"/>
      <c r="AE111" s="22"/>
      <c r="AF111" s="22"/>
      <c r="AG111" s="22"/>
    </row>
    <row r="112" s="23" customFormat="true" ht="12.75" hidden="false" customHeight="false" outlineLevel="0" collapsed="false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22"/>
      <c r="AE112" s="22"/>
      <c r="AF112" s="22"/>
      <c r="AG112" s="22"/>
    </row>
    <row r="113" s="23" customFormat="true" ht="12.75" hidden="false" customHeight="false" outlineLevel="0" collapsed="false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22"/>
      <c r="AE113" s="22"/>
      <c r="AF113" s="22"/>
      <c r="AG113" s="22"/>
    </row>
    <row r="114" s="23" customFormat="true" ht="12.75" hidden="false" customHeight="false" outlineLevel="0" collapsed="false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22"/>
      <c r="AE114" s="22"/>
      <c r="AF114" s="22"/>
      <c r="AG114" s="22"/>
    </row>
    <row r="115" s="23" customFormat="true" ht="12.75" hidden="false" customHeight="false" outlineLevel="0" collapsed="false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22"/>
      <c r="AE115" s="22"/>
      <c r="AF115" s="22"/>
      <c r="AG115" s="22"/>
    </row>
    <row r="116" s="23" customFormat="true" ht="12.75" hidden="false" customHeight="false" outlineLevel="0" collapsed="false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22"/>
      <c r="AE116" s="22"/>
      <c r="AF116" s="22"/>
      <c r="AG116" s="22"/>
    </row>
    <row r="117" s="23" customFormat="true" ht="12.75" hidden="false" customHeight="false" outlineLevel="0" collapsed="false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22"/>
      <c r="AE117" s="22"/>
      <c r="AF117" s="22"/>
      <c r="AG117" s="22"/>
    </row>
    <row r="118" s="23" customFormat="true" ht="12.75" hidden="false" customHeight="false" outlineLevel="0" collapsed="false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22"/>
      <c r="AE118" s="22"/>
      <c r="AF118" s="22"/>
      <c r="AG118" s="22"/>
    </row>
    <row r="119" s="23" customFormat="true" ht="12.75" hidden="false" customHeight="false" outlineLevel="0" collapsed="false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22"/>
      <c r="AE119" s="22"/>
      <c r="AF119" s="22"/>
      <c r="AG119" s="22"/>
    </row>
    <row r="120" s="23" customFormat="true" ht="12.75" hidden="false" customHeight="false" outlineLevel="0" collapsed="false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22"/>
      <c r="AE120" s="22"/>
      <c r="AF120" s="22"/>
      <c r="AG120" s="22"/>
    </row>
    <row r="121" s="23" customFormat="true" ht="12.75" hidden="false" customHeight="false" outlineLevel="0" collapsed="false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22"/>
      <c r="AE121" s="22"/>
      <c r="AF121" s="22"/>
      <c r="AG121" s="22"/>
    </row>
    <row r="122" s="23" customFormat="true" ht="12.75" hidden="false" customHeight="false" outlineLevel="0" collapsed="false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22"/>
      <c r="AE122" s="22"/>
      <c r="AF122" s="22"/>
      <c r="AG122" s="22"/>
    </row>
    <row r="123" s="23" customFormat="true" ht="12.75" hidden="false" customHeight="false" outlineLevel="0" collapsed="false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22"/>
      <c r="AE123" s="22"/>
      <c r="AF123" s="22"/>
      <c r="AG123" s="22"/>
    </row>
    <row r="124" s="23" customFormat="true" ht="12.75" hidden="false" customHeight="false" outlineLevel="0" collapsed="false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22"/>
      <c r="AE124" s="22"/>
      <c r="AF124" s="22"/>
      <c r="AG124" s="22"/>
    </row>
    <row r="125" s="23" customFormat="true" ht="12.75" hidden="false" customHeight="false" outlineLevel="0" collapsed="false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22"/>
      <c r="AE125" s="22"/>
      <c r="AF125" s="22"/>
      <c r="AG125" s="22"/>
    </row>
    <row r="126" s="23" customFormat="true" ht="12.75" hidden="false" customHeight="false" outlineLevel="0" collapsed="false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22"/>
      <c r="AE126" s="22"/>
      <c r="AF126" s="22"/>
      <c r="AG126" s="22"/>
    </row>
    <row r="127" s="23" customFormat="true" ht="12.75" hidden="false" customHeight="false" outlineLevel="0" collapsed="false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22"/>
      <c r="AE127" s="22"/>
      <c r="AF127" s="22"/>
      <c r="AG127" s="22"/>
    </row>
    <row r="128" s="23" customFormat="true" ht="12.75" hidden="false" customHeight="false" outlineLevel="0" collapsed="false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22"/>
      <c r="AE128" s="22"/>
      <c r="AF128" s="22"/>
      <c r="AG128" s="22"/>
    </row>
    <row r="129" s="23" customFormat="true" ht="12.75" hidden="false" customHeight="false" outlineLevel="0" collapsed="false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22"/>
      <c r="AE129" s="22"/>
      <c r="AF129" s="22"/>
      <c r="AG129" s="22"/>
    </row>
    <row r="130" s="23" customFormat="true" ht="12.75" hidden="false" customHeight="false" outlineLevel="0" collapsed="false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22"/>
      <c r="AE130" s="22"/>
      <c r="AF130" s="22"/>
      <c r="AG130" s="22"/>
    </row>
    <row r="131" s="23" customFormat="true" ht="12.75" hidden="false" customHeight="false" outlineLevel="0" collapsed="false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22"/>
      <c r="AE131" s="22"/>
      <c r="AF131" s="22"/>
      <c r="AG131" s="22"/>
    </row>
    <row r="132" s="23" customFormat="true" ht="12.75" hidden="false" customHeight="false" outlineLevel="0" collapsed="false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22"/>
      <c r="AE132" s="22"/>
      <c r="AF132" s="22"/>
      <c r="AG132" s="22"/>
    </row>
    <row r="133" s="23" customFormat="true" ht="12.75" hidden="false" customHeight="false" outlineLevel="0" collapsed="false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22"/>
      <c r="AE133" s="22"/>
      <c r="AF133" s="22"/>
      <c r="AG133" s="22"/>
    </row>
    <row r="134" s="23" customFormat="true" ht="12.75" hidden="false" customHeight="false" outlineLevel="0" collapsed="false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22"/>
      <c r="AE134" s="22"/>
      <c r="AF134" s="22"/>
      <c r="AG134" s="22"/>
    </row>
    <row r="135" s="23" customFormat="true" ht="12.75" hidden="false" customHeight="false" outlineLevel="0" collapsed="false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22"/>
      <c r="AE135" s="22"/>
      <c r="AF135" s="22"/>
      <c r="AG135" s="22"/>
    </row>
    <row r="136" s="23" customFormat="true" ht="12.75" hidden="false" customHeight="false" outlineLevel="0" collapsed="false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22"/>
      <c r="AE136" s="22"/>
      <c r="AF136" s="22"/>
      <c r="AG136" s="22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2024-09-12T09:32:34Z</dcterms:created>
  <dc:creator>Microsoft Cop.</dc:creator>
  <dc:description/>
  <dc:language>en-US</dc:language>
  <cp:lastModifiedBy>Microsoft Cop.</cp:lastModifiedBy>
  <cp:lastPrinted>2025-04-27T11:04:16Z</cp:lastPrinted>
  <dcterms:modified xsi:type="dcterms:W3CDTF">2026-10-13T06:36:32Z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