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<sst xmlns="http://schemas.openxmlformats.org/spreadsheetml/2006/main" count="664" uniqueCount="63">
  <si>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</si>
  <si>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</si>
  <si>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</si>
  <si>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</si>
  <si>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</si>
  <si>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</si>
  <si>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</si>
  <si>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</si>
  <si>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</si>
  <si>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</si>
  <si>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</si>
  <si>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</si>
  <si>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</si>
  <si>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</si>
  <si>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</si>
  <si>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</si>
  <si>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</si>
  <si>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31</t>
  </si>
  <si>
    <t xml:space="preserve">-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</si>
  <si>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</si>
  <si>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</si>
  <si>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</si>
  <si>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</si>
  <si>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</si>
  <si>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</si>
  <si>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</si>
  <si>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PHỤ LỤC KIỂM TRA CAO ĐỘ, KÍCH THƯỚC HÌNH HỌC</t>
  </si>
  <si>
    <t xml:space="preserve">Kèm theo BBNT số: 100.NĐXD8/CVXD ngày 05 tháng 10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</si>
  <si>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</si>
  <si>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</si>
  <si>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</si>
  <si>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</si>
  <si>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</si>
  <si>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lề đường lớp 1, độ chặt K&gt;=0,95 đoạn từ Km0+609,11 - Km0+724,11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</si>
  <si>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</si>
  <si>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</si>
  <si>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</si>
  <si>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</si>
  <si>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</si>
  <si>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</si>
  <si>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</si>
  <si>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</si>
  <si>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</si>
  <si>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</si>
  <si>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</si>
  <si>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</si>
  <si>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</si>
  <si>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</si>
  <si>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</si>
  <si>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</si>
  <si>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</si>
  <si>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</si>
  <si>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</si>
  <si>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</si>
  <si>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</si>
  <si>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</si>
  <si>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102.NĐXD8/CVXD ngày 06 tháng 10 năm 2026</t>
  </si>
  <si>
    <t xml:space="preserve">Đắp đất lề đường lớp 2, độ chặt K&gt;=0,95 đoạn từ Km0+609,11 - Km0+724,11</t>
  </si>
  <si>
    <t xml:space="preserve">Kèm theo BBNT số: 104.NĐXD8/CVXD ngày 07 tháng 10 năm 2026</t>
  </si>
  <si>
    <t xml:space="preserve">Đắp đất lề đường lớp 3, độ chặt K&gt;=0,95 đoạn từ Km0+609,11 - Km0+724,11</t>
  </si>
  <si>
    <t xml:space="preserve">Kèm theo BBNT số: 105.NĐXD8/CVXD ngày 08 tháng 10 năm 2026</t>
  </si>
  <si>
    <t xml:space="preserve">Đắp đất lề đường lớp 4, độ chặt K&gt;=0,95 đoạn từ Km0+609,11 - Km0+724,11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</si>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</sst>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84</v>
          </cell>
          <cell r="B3" t="str">
            <v xml:space="preserve">Kiểm tra cao độ đường đen đoạn từ Km0+609,11 -:- Km0+724,11</v>
          </cell>
          <cell r="D3" t="str">
            <v xml:space="preserve">ngày 26 tháng 09 năm 2026</v>
          </cell>
          <cell r="G3" t="str">
            <v xml:space="preserve">84.NĐXD8/CVXD </v>
          </cell>
        </row>
        <row r="4">
          <cell r="A4">
            <v>85</v>
          </cell>
          <cell r="B4" t="str">
            <v xml:space="preserve">Đào đất xử lý nền đường đoạn từ Km0+609,11 - Km0+724,11</v>
          </cell>
          <cell r="D4" t="str">
            <v xml:space="preserve">ngày 27 tháng 09 năm 2026</v>
          </cell>
          <cell r="G4" t="str">
            <v xml:space="preserve">85.NĐXD8/CVXD </v>
          </cell>
        </row>
        <row r="5">
          <cell r="A5">
            <v>86</v>
          </cell>
          <cell r="B5" t="str">
            <v xml:space="preserve">Rải vải địa kỹ thuật đoạn từ Km0+609,11 - Km0+724,11</v>
          </cell>
          <cell r="D5" t="str">
            <v xml:space="preserve">ngày 28 tháng 09 năm 2026</v>
          </cell>
          <cell r="G5" t="str">
            <v xml:space="preserve">86.NĐXD8/CVXD </v>
          </cell>
        </row>
        <row r="6">
          <cell r="A6">
            <v>87</v>
          </cell>
          <cell r="B6" t="str">
            <v xml:space="preserve">Đắp cát nền đường lớp 1 đoạn từ Km0+609,11 - Km0+724,11, độ chặt K&gt;=0,95</v>
          </cell>
          <cell r="D6" t="str">
            <v xml:space="preserve">ngày 28 tháng 09 năm 2026</v>
          </cell>
          <cell r="G6" t="str">
            <v xml:space="preserve">87.NĐXD8/CVXD </v>
          </cell>
        </row>
        <row r="7">
          <cell r="A7">
            <v>88</v>
          </cell>
          <cell r="B7" t="str">
            <v xml:space="preserve">Đắp cát nền đường lớp 2 đoạn từ Km0+609,11 - Km0+724,11, độ chặt K&gt;=0,95</v>
          </cell>
          <cell r="D7" t="str">
            <v xml:space="preserve">ngày 29 tháng 09 năm 2026</v>
          </cell>
          <cell r="G7" t="str">
            <v xml:space="preserve">88.NĐXD8/CVXD </v>
          </cell>
        </row>
        <row r="8">
          <cell r="A8">
            <v>89</v>
          </cell>
          <cell r="B8" t="str">
            <v xml:space="preserve">Đắp cát nền đường lớp 3 đoạn từ Km0+609,11 - Km0+724,11, độ chặt K&gt;=0,95</v>
          </cell>
          <cell r="D8" t="str">
            <v xml:space="preserve">ngày 29 tháng 09 năm 2026</v>
          </cell>
          <cell r="G8" t="str">
            <v xml:space="preserve">89.NĐXD8/CVXD </v>
          </cell>
        </row>
        <row r="9">
          <cell r="A9">
            <v>90</v>
          </cell>
          <cell r="B9" t="str">
            <v xml:space="preserve">Đắp cát nền đường lớp 4 đoạn từ Km0+609,11 - Km0+724,11, độ chặt K&gt;=0,95</v>
          </cell>
          <cell r="D9" t="str">
            <v xml:space="preserve">ngày 30 tháng 09 năm 2026</v>
          </cell>
          <cell r="G9" t="str">
            <v xml:space="preserve">90.NĐXD8/CVXD </v>
          </cell>
        </row>
        <row r="10">
          <cell r="A10">
            <v>91</v>
          </cell>
          <cell r="B10" t="str">
            <v xml:space="preserve">Đắp đất nền đường lớp 1 đoạn từ Km0+609,11 - Km0+724,11, độ chặt K&gt;=0,95</v>
          </cell>
          <cell r="D10" t="str">
            <v xml:space="preserve">ngày 30 tháng 09 năm 2026</v>
          </cell>
          <cell r="G10" t="str">
            <v xml:space="preserve">91.NĐXD8/CVXD </v>
          </cell>
        </row>
        <row r="11">
          <cell r="A11">
            <v>92</v>
          </cell>
          <cell r="B11" t="str">
            <v xml:space="preserve">Đắp đất nền đường lớp 2 đoạn từ Km0+609,11 - Km0+724,11, độ chặt K&gt;=0,95</v>
          </cell>
          <cell r="D11" t="str">
            <v xml:space="preserve">ngày 01 tháng 10 năm 2026</v>
          </cell>
          <cell r="G11" t="str">
            <v xml:space="preserve">92.NĐXD8/CVXD </v>
          </cell>
        </row>
        <row r="12">
          <cell r="A12">
            <v>93</v>
          </cell>
          <cell r="B12" t="str">
            <v xml:space="preserve">Đắp đất nền đường lớp 3 đoạn từ Km0+609,11 - Km0+724,11, độ chặt K&gt;=0,95</v>
          </cell>
          <cell r="D12" t="str">
            <v xml:space="preserve">ngày 01 tháng 10 năm 2026</v>
          </cell>
          <cell r="G12" t="str">
            <v xml:space="preserve">93.NĐXD8/CVXD </v>
          </cell>
        </row>
        <row r="13">
          <cell r="A13">
            <v>94</v>
          </cell>
          <cell r="B13" t="str">
            <v xml:space="preserve">Đắp đất nền đường lớp 4 đoạn từ Km0+609,11 - Km0+724,11, độ chặt K&gt;=0,95</v>
          </cell>
          <cell r="D13" t="str">
            <v xml:space="preserve">ngày 02 tháng 10 năm 2026</v>
          </cell>
          <cell r="G13" t="str">
            <v xml:space="preserve">94.NĐXD8/CVXD </v>
          </cell>
        </row>
        <row r="14">
          <cell r="A14">
            <v>95</v>
          </cell>
          <cell r="B14" t="str">
            <v xml:space="preserve">Đắp đất nền đường lớp 5 đoạn từ Km0+609,11 - Km0+724,11, độ chặt K&gt;=0,95</v>
          </cell>
          <cell r="D14" t="str">
            <v xml:space="preserve">ngày 02 tháng 10 năm 2026</v>
          </cell>
          <cell r="G14" t="str">
            <v xml:space="preserve">95.NĐXD8/CVXD </v>
          </cell>
        </row>
        <row r="15">
          <cell r="A15">
            <v>96</v>
          </cell>
          <cell r="B15" t="str">
            <v xml:space="preserve">Đắp đất nền đường lớp 6 đoạn từ Km0+609,11 - Km0+724,11, độ chặt K&gt;=0,95</v>
          </cell>
          <cell r="D15" t="str">
            <v xml:space="preserve">ngày 03 tháng 10 năm 2026</v>
          </cell>
          <cell r="G15" t="str">
            <v xml:space="preserve">96.NĐXD8/CVXD </v>
          </cell>
        </row>
        <row r="16">
          <cell r="A16">
            <v>97</v>
          </cell>
          <cell r="B16" t="str">
            <v xml:space="preserve">Đắp đất nền đường lớp 7 đoạn từ Km0+609,11 - Km0+724,11, độ chặt K&gt;=0,95</v>
          </cell>
          <cell r="D16" t="str">
            <v xml:space="preserve">ngày 03 tháng 10 năm 2026</v>
          </cell>
          <cell r="G16" t="str">
            <v xml:space="preserve">97.NĐXD8/CVXD </v>
          </cell>
        </row>
        <row r="17">
          <cell r="A17">
            <v>98</v>
          </cell>
          <cell r="B17" t="str">
            <v xml:space="preserve">Đắp đất nền đường lớp 8 đoạn từ Km0+609,11 - Km0+724,11, độ chặt K&gt;=0,95</v>
          </cell>
          <cell r="D17" t="str">
            <v xml:space="preserve">ngày 04 tháng 10 năm 2026</v>
          </cell>
          <cell r="G17" t="str">
            <v xml:space="preserve">98.NĐXD8/CVXD </v>
          </cell>
        </row>
        <row r="18">
          <cell r="A18">
            <v>99</v>
          </cell>
          <cell r="B18" t="str">
            <v xml:space="preserve">Đắp đất nền đường lớp 1, độ chặt K&gt;=0,98 đoạn từ Km0+609,11 - Km0+724,11</v>
          </cell>
          <cell r="D18" t="str">
            <v xml:space="preserve">ngày 05 tháng 10 năm 2026</v>
          </cell>
          <cell r="G18" t="str">
            <v xml:space="preserve">99.NĐXD8/CVXD </v>
          </cell>
        </row>
        <row r="19">
          <cell r="A19">
            <v>100</v>
          </cell>
          <cell r="B19" t="str">
            <v xml:space="preserve">Đắp đất lề đường lớp 1, độ chặt K&gt;=0,95 đoạn từ Km0+609,11 - Km0+724,11</v>
          </cell>
          <cell r="D19" t="str">
            <v xml:space="preserve">ngày 05 tháng 10 năm 2026</v>
          </cell>
          <cell r="G19" t="str">
            <v xml:space="preserve">100.NĐXD8/CVXD </v>
          </cell>
        </row>
        <row r="20">
          <cell r="A20">
            <v>101</v>
          </cell>
          <cell r="B20" t="str">
            <v xml:space="preserve">Đắp đất nền đường lớp 2, độ chặt K&gt;=0,98 đoạn từ Km0+609,11 - Km0+724,11</v>
          </cell>
          <cell r="D20" t="str">
            <v xml:space="preserve">ngày 06 tháng 10 năm 2026</v>
          </cell>
          <cell r="G20" t="str">
            <v xml:space="preserve">101.NĐXD8/CVXD </v>
          </cell>
        </row>
        <row r="21">
          <cell r="A21">
            <v>102</v>
          </cell>
          <cell r="B21" t="str">
            <v xml:space="preserve">Đắp đất lề đường lớp 2, độ chặt K&gt;=0,95 đoạn từ Km0+609,11 - Km0+724,11</v>
          </cell>
          <cell r="D21" t="str">
            <v xml:space="preserve">ngày 06 tháng 10 năm 2026</v>
          </cell>
          <cell r="G21" t="str">
            <v xml:space="preserve">102.NĐXD8/CVXD </v>
          </cell>
        </row>
        <row r="22">
          <cell r="A22">
            <v>103</v>
          </cell>
          <cell r="B22" t="str">
            <v xml:space="preserve">Đắp cấp phối đá dăm loại 2 đoạn từ Km0+609,11 - Km0+724,11</v>
          </cell>
          <cell r="D22" t="str">
            <v xml:space="preserve">ngày 07 tháng 10 năm 2026</v>
          </cell>
          <cell r="G22" t="str">
            <v xml:space="preserve">103.NĐXD8/CVXD </v>
          </cell>
        </row>
        <row r="23">
          <cell r="A23">
            <v>104</v>
          </cell>
          <cell r="B23" t="str">
            <v xml:space="preserve">Đắp đất lề đường lớp 3, độ chặt K&gt;=0,95 đoạn từ Km0+609,11 - Km0+724,11</v>
          </cell>
          <cell r="D23" t="str">
            <v xml:space="preserve">ngày 07 tháng 10 năm 2026</v>
          </cell>
          <cell r="G23" t="str">
            <v xml:space="preserve">104.NĐXD8/CVXD </v>
          </cell>
        </row>
        <row r="24">
          <cell r="A24">
            <v>105</v>
          </cell>
          <cell r="B24" t="str">
            <v xml:space="preserve">Đắp đất lề đường lớp 4, độ chặt K&gt;=0,95 đoạn từ Km0+609,11 - Km0+724,11</v>
          </cell>
          <cell r="D24" t="str">
            <v xml:space="preserve">ngày 08 tháng 10 năm 2026</v>
          </cell>
          <cell r="G24" t="str">
            <v xml:space="preserve">105.NĐXD8/CVXD </v>
          </cell>
        </row>
        <row r="25">
          <cell r="A25">
            <v>106</v>
          </cell>
          <cell r="B25" t="str">
            <v xml:space="preserve">Đắp cấp phối đá dăm loại 1 đoạn từ Km0+609,11 - Km0+724,11</v>
          </cell>
          <cell r="D25" t="str">
            <v xml:space="preserve">ngày 08 tháng 10 năm 2026</v>
          </cell>
          <cell r="G25" t="str">
            <v xml:space="preserve">106.NĐXD8/CVXD </v>
          </cell>
        </row>
        <row r="26">
          <cell r="A26">
            <v>107</v>
          </cell>
          <cell r="B26" t="str">
            <v xml:space="preserve">Vệ sinh, thổi bụi mặt đường </v>
          </cell>
          <cell r="D26" t="str">
            <v xml:space="preserve">ngày 10 tháng 10 năm 2026</v>
          </cell>
          <cell r="G26" t="str">
            <v xml:space="preserve">107.NĐXD8/CVXD </v>
          </cell>
        </row>
        <row r="27">
          <cell r="A27">
            <v>108</v>
          </cell>
          <cell r="B27" t="str">
            <v xml:space="preserve">Tưới lớp thấm bám mặt đường, nhựa MC70, lượng nhựa 1kg/m2</v>
          </cell>
          <cell r="D27" t="str">
            <v xml:space="preserve">ngày 12 tháng 10 năm 2026</v>
          </cell>
          <cell r="G27" t="str">
            <v xml:space="preserve">108.NĐXD8/CVXD </v>
          </cell>
        </row>
        <row r="28">
          <cell r="A28">
            <v>109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15 tháng 10 năm 2026</v>
          </cell>
          <cell r="G28" t="str">
            <v xml:space="preserve">109.NĐXD8/CVXD </v>
          </cell>
        </row>
        <row r="29">
          <cell r="A29">
            <v>110</v>
          </cell>
          <cell r="B29" t="str">
            <v xml:space="preserve">Bê tông nhựa C16 - Chiều dày mặt đường đã lèn ép 6cm</v>
          </cell>
          <cell r="D29" t="str">
            <v xml:space="preserve">ngày 17 tháng 10 năm 2026</v>
          </cell>
          <cell r="G29" t="str">
            <v xml:space="preserve">110.NĐXD8/CVXD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609.11</v>
      </c>
      <c r="D2" s="0" t="n">
        <v>4</v>
      </c>
      <c r="E2" s="0" t="n">
        <v>1.56</v>
      </c>
      <c r="F2" s="0" t="n">
        <v>-10.12</v>
      </c>
      <c r="G2" s="2" t="n">
        <v>2.86</v>
      </c>
      <c r="H2" s="0" t="n">
        <v>-5.51</v>
      </c>
      <c r="I2" s="2" t="n">
        <v>2.58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2.52</v>
      </c>
      <c r="H3" s="0" t="n">
        <v>-5.25</v>
      </c>
      <c r="I3" s="2" t="n">
        <v>2.52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2.34</v>
      </c>
      <c r="H4" s="0" t="n">
        <v>-5.25</v>
      </c>
      <c r="I4" s="2" t="n">
        <v>2.34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2.09</v>
      </c>
      <c r="H5" s="0" t="n">
        <v>-5.25</v>
      </c>
      <c r="I5" s="2" t="n">
        <v>2.09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609.11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2.77</v>
      </c>
      <c r="N6" s="0" t="n">
        <v>10.12</v>
      </c>
      <c r="O6" s="2" t="n">
        <v>2.77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2.52</v>
      </c>
      <c r="N7" s="0" t="n">
        <v>10.93</v>
      </c>
      <c r="O7" s="2" t="n">
        <v>2.52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2.34</v>
      </c>
      <c r="N8" s="0" t="n">
        <v>11.2</v>
      </c>
      <c r="O8" s="2" t="n">
        <v>2.34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2.09</v>
      </c>
      <c r="N9" s="0" t="n">
        <v>11.58</v>
      </c>
      <c r="O9" s="2" t="n">
        <v>2.09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620.86</v>
      </c>
      <c r="D10" s="0" t="n">
        <v>4</v>
      </c>
      <c r="E10" s="0" t="n">
        <v>1.56</v>
      </c>
      <c r="F10" s="0" t="n">
        <v>-10.12</v>
      </c>
      <c r="G10" s="2" t="n">
        <v>2.86</v>
      </c>
      <c r="H10" s="0" t="n">
        <v>-5.51</v>
      </c>
      <c r="I10" s="2" t="n">
        <v>2.58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2.52</v>
      </c>
      <c r="H11" s="0" t="n">
        <v>-5.25</v>
      </c>
      <c r="I11" s="2" t="n">
        <v>2.52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2.34</v>
      </c>
      <c r="H12" s="0" t="n">
        <v>-5.25</v>
      </c>
      <c r="I12" s="2" t="n">
        <v>2.34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2.09</v>
      </c>
      <c r="H13" s="0" t="n">
        <v>-5.25</v>
      </c>
      <c r="I13" s="2" t="n">
        <v>2.09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620.86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2.77</v>
      </c>
      <c r="N14" s="0" t="n">
        <v>10.12</v>
      </c>
      <c r="O14" s="2" t="n">
        <v>2.77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2.52</v>
      </c>
      <c r="N15" s="0" t="n">
        <v>10.93</v>
      </c>
      <c r="O15" s="2" t="n">
        <v>2.52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2.34</v>
      </c>
      <c r="N16" s="0" t="n">
        <v>11.2</v>
      </c>
      <c r="O16" s="2" t="n">
        <v>2.34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2.09</v>
      </c>
      <c r="N17" s="0" t="n">
        <v>11.58</v>
      </c>
      <c r="O17" s="2" t="n">
        <v>2.09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632.61</v>
      </c>
      <c r="D18" s="0" t="n">
        <v>4</v>
      </c>
      <c r="E18" s="0" t="n">
        <v>1.56</v>
      </c>
      <c r="F18" s="0" t="n">
        <v>-10.12</v>
      </c>
      <c r="G18" s="2" t="n">
        <v>2.87</v>
      </c>
      <c r="H18" s="0" t="n">
        <v>-5.51</v>
      </c>
      <c r="I18" s="2" t="n">
        <v>2.58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2.52</v>
      </c>
      <c r="H19" s="0" t="n">
        <v>-5.25</v>
      </c>
      <c r="I19" s="2" t="n">
        <v>2.52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2.34</v>
      </c>
      <c r="H20" s="0" t="n">
        <v>-5.25</v>
      </c>
      <c r="I20" s="2" t="n">
        <v>2.34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2.09</v>
      </c>
      <c r="H21" s="0" t="n">
        <v>-5.25</v>
      </c>
      <c r="I21" s="2" t="n">
        <v>2.09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632.61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2.77</v>
      </c>
      <c r="N22" s="0" t="n">
        <v>10.12</v>
      </c>
      <c r="O22" s="2" t="n">
        <v>2.77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2.52</v>
      </c>
      <c r="N23" s="0" t="n">
        <v>10.93</v>
      </c>
      <c r="O23" s="2" t="n">
        <v>2.52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2.34</v>
      </c>
      <c r="N24" s="0" t="n">
        <v>11.2</v>
      </c>
      <c r="O24" s="2" t="n">
        <v>2.34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2.09</v>
      </c>
      <c r="N25" s="0" t="n">
        <v>11.58</v>
      </c>
      <c r="O25" s="2" t="n">
        <v>2.09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652.61</v>
      </c>
      <c r="D26" s="0" t="n">
        <v>4</v>
      </c>
      <c r="E26" s="0" t="n">
        <v>1.56</v>
      </c>
      <c r="F26" s="0" t="n">
        <v>-10.12</v>
      </c>
      <c r="G26" s="2" t="n">
        <v>2.87</v>
      </c>
      <c r="H26" s="0" t="n">
        <v>-5.51</v>
      </c>
      <c r="I26" s="2" t="n">
        <v>2.58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2.53</v>
      </c>
      <c r="H27" s="0" t="n">
        <v>-5.25</v>
      </c>
      <c r="I27" s="2" t="n">
        <v>2.53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2.35</v>
      </c>
      <c r="H28" s="0" t="n">
        <v>-5.25</v>
      </c>
      <c r="I28" s="2" t="n">
        <v>2.35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2.1</v>
      </c>
      <c r="H29" s="0" t="n">
        <v>-5.25</v>
      </c>
      <c r="I29" s="2" t="n">
        <v>2.1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652.61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2.77</v>
      </c>
      <c r="N30" s="0" t="n">
        <v>10.12</v>
      </c>
      <c r="O30" s="2" t="n">
        <v>2.77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2.53</v>
      </c>
      <c r="N31" s="0" t="n">
        <v>10.93</v>
      </c>
      <c r="O31" s="2" t="n">
        <v>2.53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2.35</v>
      </c>
      <c r="N32" s="0" t="n">
        <v>11.2</v>
      </c>
      <c r="O32" s="2" t="n">
        <v>2.35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2.1</v>
      </c>
      <c r="N33" s="0" t="n">
        <v>11.58</v>
      </c>
      <c r="O33" s="2" t="n">
        <v>2.1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672.61</v>
      </c>
      <c r="D34" s="0" t="n">
        <v>4</v>
      </c>
      <c r="E34" s="0" t="n">
        <v>1.56</v>
      </c>
      <c r="F34" s="0" t="n">
        <v>-10.12</v>
      </c>
      <c r="G34" s="2" t="n">
        <v>2.87</v>
      </c>
      <c r="H34" s="0" t="n">
        <v>-5.51</v>
      </c>
      <c r="I34" s="2" t="n">
        <v>2.59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2.53</v>
      </c>
      <c r="H35" s="0" t="n">
        <v>-5.25</v>
      </c>
      <c r="I35" s="2" t="n">
        <v>2.53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2.35</v>
      </c>
      <c r="H36" s="0" t="n">
        <v>-5.25</v>
      </c>
      <c r="I36" s="2" t="n">
        <v>2.35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2.1</v>
      </c>
      <c r="H37" s="0" t="n">
        <v>-5.25</v>
      </c>
      <c r="I37" s="2" t="n">
        <v>2.1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672.61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2.78</v>
      </c>
      <c r="N38" s="0" t="n">
        <v>10.12</v>
      </c>
      <c r="O38" s="2" t="n">
        <v>2.77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2.53</v>
      </c>
      <c r="N39" s="0" t="n">
        <v>10.93</v>
      </c>
      <c r="O39" s="2" t="n">
        <v>2.53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2.35</v>
      </c>
      <c r="N40" s="0" t="n">
        <v>11.2</v>
      </c>
      <c r="O40" s="2" t="n">
        <v>2.35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2.1</v>
      </c>
      <c r="N41" s="0" t="n">
        <v>11.58</v>
      </c>
      <c r="O41" s="2" t="n">
        <v>2.1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692.61</v>
      </c>
      <c r="D42" s="0" t="n">
        <v>4</v>
      </c>
      <c r="E42" s="0" t="n">
        <v>1.56</v>
      </c>
      <c r="F42" s="0" t="n">
        <v>-10.12</v>
      </c>
      <c r="G42" s="2" t="n">
        <v>2.87</v>
      </c>
      <c r="H42" s="0" t="n">
        <v>-5.51</v>
      </c>
      <c r="I42" s="2" t="n">
        <v>2.59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2.53</v>
      </c>
      <c r="H43" s="0" t="n">
        <v>-5.25</v>
      </c>
      <c r="I43" s="2" t="n">
        <v>2.53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2.35</v>
      </c>
      <c r="H44" s="0" t="n">
        <v>-5.25</v>
      </c>
      <c r="I44" s="2" t="n">
        <v>2.35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2.1</v>
      </c>
      <c r="H45" s="0" t="n">
        <v>-5.25</v>
      </c>
      <c r="I45" s="2" t="n">
        <v>2.1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692.61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2.78</v>
      </c>
      <c r="N46" s="0" t="n">
        <v>10.12</v>
      </c>
      <c r="O46" s="2" t="n">
        <v>2.77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2.53</v>
      </c>
      <c r="N47" s="0" t="n">
        <v>10.93</v>
      </c>
      <c r="O47" s="2" t="n">
        <v>2.53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2.35</v>
      </c>
      <c r="N48" s="0" t="n">
        <v>11.2</v>
      </c>
      <c r="O48" s="2" t="n">
        <v>2.35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2.1</v>
      </c>
      <c r="N49" s="0" t="n">
        <v>11.58</v>
      </c>
      <c r="O49" s="2" t="n">
        <v>2.1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712.61</v>
      </c>
      <c r="D50" s="0" t="n">
        <v>4</v>
      </c>
      <c r="E50" s="0" t="n">
        <v>1.56</v>
      </c>
      <c r="F50" s="0" t="n">
        <v>-10.12</v>
      </c>
      <c r="G50" s="2" t="n">
        <v>2.87</v>
      </c>
      <c r="H50" s="0" t="n">
        <v>-5.51</v>
      </c>
      <c r="I50" s="2" t="n">
        <v>2.59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2.53</v>
      </c>
      <c r="H51" s="0" t="n">
        <v>-5.25</v>
      </c>
      <c r="I51" s="2" t="n">
        <v>2.53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2.35</v>
      </c>
      <c r="H52" s="0" t="n">
        <v>-5.25</v>
      </c>
      <c r="I52" s="2" t="n">
        <v>2.35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1.63</v>
      </c>
      <c r="F53" s="0" t="n">
        <v>-11.58</v>
      </c>
      <c r="G53" s="2" t="n">
        <v>2.1</v>
      </c>
      <c r="H53" s="0" t="n">
        <v>-5.25</v>
      </c>
      <c r="I53" s="2" t="n">
        <v>2.1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712.61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2.78</v>
      </c>
      <c r="N54" s="0" t="n">
        <v>10.12</v>
      </c>
      <c r="O54" s="2" t="n">
        <v>2.77</v>
      </c>
      <c r="P54" s="0" t="n">
        <v>5.77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2.53</v>
      </c>
      <c r="N55" s="0" t="n">
        <v>10.93</v>
      </c>
      <c r="O55" s="2" t="n">
        <v>2.53</v>
      </c>
    </row>
    <row r="56" customFormat="false" ht="15" hidden="false" customHeight="false" outlineLevel="0" collapsed="false">
      <c r="D56" s="0" t="n">
        <v>2</v>
      </c>
      <c r="E56" s="0" t="n">
        <v>1.53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2.35</v>
      </c>
      <c r="N56" s="0" t="n">
        <v>11.2</v>
      </c>
      <c r="O56" s="2" t="n">
        <v>2.35</v>
      </c>
    </row>
    <row r="57" customFormat="false" ht="15" hidden="false" customHeight="false" outlineLevel="0" collapsed="false">
      <c r="D57" s="0" t="n">
        <v>1</v>
      </c>
      <c r="E57" s="0" t="n">
        <v>1.63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2.1</v>
      </c>
      <c r="N57" s="0" t="n">
        <v>11.58</v>
      </c>
      <c r="O57" s="2" t="n">
        <v>2.1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724.11</v>
      </c>
      <c r="D58" s="0" t="n">
        <v>4</v>
      </c>
      <c r="E58" s="0" t="n">
        <v>1.56</v>
      </c>
      <c r="F58" s="0" t="n">
        <v>-10.12</v>
      </c>
      <c r="G58" s="2" t="n">
        <v>2.87</v>
      </c>
      <c r="H58" s="0" t="n">
        <v>-5.51</v>
      </c>
      <c r="I58" s="2" t="n">
        <v>2.59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2.53</v>
      </c>
      <c r="H59" s="0" t="n">
        <v>-5.25</v>
      </c>
      <c r="I59" s="2" t="n">
        <v>2.53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2.35</v>
      </c>
      <c r="H60" s="0" t="n">
        <v>-5.25</v>
      </c>
      <c r="I60" s="2" t="n">
        <v>2.35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-11.58</v>
      </c>
      <c r="G61" s="2" t="n">
        <v>2.1</v>
      </c>
      <c r="H61" s="0" t="n">
        <v>-5.25</v>
      </c>
      <c r="I61" s="2" t="n">
        <v>2.1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724.11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2.78</v>
      </c>
      <c r="N62" s="0" t="n">
        <v>10.12</v>
      </c>
      <c r="O62" s="2" t="n">
        <v>2.78</v>
      </c>
      <c r="P62" s="0" t="n">
        <v>5.77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2.53</v>
      </c>
      <c r="N63" s="0" t="n">
        <v>10.93</v>
      </c>
      <c r="O63" s="2" t="n">
        <v>2.53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2.35</v>
      </c>
      <c r="N64" s="0" t="n">
        <v>11.2</v>
      </c>
      <c r="O64" s="2" t="n">
        <v>2.35</v>
      </c>
    </row>
    <row r="65" customFormat="false" ht="15" hidden="false" customHeight="false" outlineLevel="0" collapsed="false">
      <c r="D65" s="0" t="n">
        <v>1</v>
      </c>
      <c r="E65" s="0" t="n">
        <v>1.63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2.1</v>
      </c>
      <c r="N65" s="0" t="n">
        <v>11.58</v>
      </c>
      <c r="O65" s="2" t="n">
        <v>2.1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100.NĐXD8/CVXD ngày 05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100</v>
      </c>
    </row>
    <row r="3" customFormat="false" ht="18.75" hidden="false" customHeight="true" outlineLevel="0" collapsed="false">
      <c r="A3" s="6" t="s">
        <v>28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29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30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31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32</v>
      </c>
      <c r="B7" s="7"/>
      <c r="C7" s="6"/>
      <c r="D7" s="6" t="str">
        <f>VLOOKUP(AZ2,'[1]Tuyến XD8'!$A$2:$B$60,2,0)</f>
        <v xml:space="preserve">Đắp đất lề đường lớp 1, độ chặt K&gt;=0,95 đoạn từ Km0+609,11 - Km0+724,11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34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35</v>
      </c>
      <c r="B19" s="10" t="s">
        <v>36</v>
      </c>
      <c r="C19" s="10" t="s">
        <v>37</v>
      </c>
      <c r="D19" s="11" t="s">
        <v>38</v>
      </c>
      <c r="E19" s="11"/>
      <c r="F19" s="11"/>
      <c r="G19" s="11" t="s">
        <v>39</v>
      </c>
      <c r="H19" s="11"/>
      <c r="I19" s="11"/>
      <c r="J19" s="11" t="s">
        <v>40</v>
      </c>
      <c r="K19" s="11"/>
      <c r="L19" s="11"/>
      <c r="M19" s="11" t="s">
        <v>41</v>
      </c>
      <c r="N19" s="11"/>
      <c r="O19" s="11"/>
      <c r="P19" s="10" t="s">
        <v>42</v>
      </c>
    </row>
    <row r="20" customFormat="false" ht="30" hidden="false" customHeight="true" outlineLevel="0" collapsed="false">
      <c r="A20" s="10"/>
      <c r="B20" s="10"/>
      <c r="C20" s="10"/>
      <c r="D20" s="11" t="s">
        <v>43</v>
      </c>
      <c r="E20" s="11" t="s">
        <v>44</v>
      </c>
      <c r="F20" s="11" t="s">
        <v>45</v>
      </c>
      <c r="G20" s="11" t="s">
        <v>43</v>
      </c>
      <c r="H20" s="11" t="s">
        <v>44</v>
      </c>
      <c r="I20" s="11" t="s">
        <v>45</v>
      </c>
      <c r="J20" s="11" t="s">
        <v>43</v>
      </c>
      <c r="K20" s="11" t="s">
        <v>44</v>
      </c>
      <c r="L20" s="11" t="s">
        <v>45</v>
      </c>
      <c r="M20" s="11" t="s">
        <v>43</v>
      </c>
      <c r="N20" s="11" t="s">
        <v>44</v>
      </c>
      <c r="O20" s="11" t="s">
        <v>45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609.11</v>
      </c>
      <c r="D21" s="16" t="n">
        <f aca="false">Chạy!G5</f>
        <v>2.09</v>
      </c>
      <c r="E21" s="16" t="n">
        <f aca="false">D21+F21</f>
        <v>2.159</v>
      </c>
      <c r="F21" s="16" t="n">
        <f aca="false">RANDBETWEEN(-30,100)/1000</f>
        <v>0.069</v>
      </c>
      <c r="G21" s="16" t="n">
        <f aca="false">Chạy!I5</f>
        <v>2.09</v>
      </c>
      <c r="H21" s="16" t="n">
        <f aca="false">G21+I21</f>
        <v>2.172</v>
      </c>
      <c r="I21" s="16" t="n">
        <f aca="false">RANDBETWEEN(-30,100)/1000</f>
        <v>0.082</v>
      </c>
      <c r="J21" s="16" t="n">
        <f aca="false">Chạy!M9</f>
        <v>2.09</v>
      </c>
      <c r="K21" s="16" t="n">
        <f aca="false">J21+L21</f>
        <v>2.107</v>
      </c>
      <c r="L21" s="16" t="n">
        <f aca="false">RANDBETWEEN(-30,100)/1000</f>
        <v>0.017</v>
      </c>
      <c r="M21" s="16" t="n">
        <f aca="false">Chạy!O9</f>
        <v>2.09</v>
      </c>
      <c r="N21" s="16" t="n">
        <f aca="false">M21+O21</f>
        <v>2.179</v>
      </c>
      <c r="O21" s="16" t="n">
        <f aca="false">RANDBETWEEN(-30,100)/1000</f>
        <v>0.089</v>
      </c>
      <c r="P21" s="17"/>
      <c r="Q21" s="18" t="n">
        <v>11.75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620.86</v>
      </c>
      <c r="D22" s="16" t="n">
        <f aca="false">Chạy!G13</f>
        <v>2.09</v>
      </c>
      <c r="E22" s="16" t="n">
        <f aca="false">D22+F22</f>
        <v>2.108</v>
      </c>
      <c r="F22" s="16" t="n">
        <f aca="false">RANDBETWEEN(-30,100)/1000</f>
        <v>0.018</v>
      </c>
      <c r="G22" s="16" t="n">
        <f aca="false">Chạy!I13</f>
        <v>2.09</v>
      </c>
      <c r="H22" s="16" t="n">
        <f aca="false">G22+I22</f>
        <v>2.122</v>
      </c>
      <c r="I22" s="16" t="n">
        <f aca="false">RANDBETWEEN(-30,100)/1000</f>
        <v>0.032</v>
      </c>
      <c r="J22" s="16" t="n">
        <f aca="false">Chạy!M17</f>
        <v>2.09</v>
      </c>
      <c r="K22" s="16" t="n">
        <f aca="false">J22+L22</f>
        <v>2.065</v>
      </c>
      <c r="L22" s="16" t="n">
        <f aca="false">RANDBETWEEN(-30,100)/1000</f>
        <v>-0.025</v>
      </c>
      <c r="M22" s="16" t="n">
        <f aca="false">Chạy!O17</f>
        <v>2.09</v>
      </c>
      <c r="N22" s="16" t="n">
        <f aca="false">M22+O22</f>
        <v>2.114</v>
      </c>
      <c r="O22" s="16" t="n">
        <f aca="false">RANDBETWEEN(-30,100)/1000</f>
        <v>0.024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632.61</v>
      </c>
      <c r="D23" s="16" t="n">
        <f aca="false">Chạy!G21</f>
        <v>2.09</v>
      </c>
      <c r="E23" s="16" t="n">
        <f aca="false">D23+F23</f>
        <v>2.08</v>
      </c>
      <c r="F23" s="16" t="n">
        <f aca="false">RANDBETWEEN(-30,100)/1000</f>
        <v>-0.01</v>
      </c>
      <c r="G23" s="16" t="n">
        <f aca="false">Chạy!I21</f>
        <v>2.09</v>
      </c>
      <c r="H23" s="16" t="n">
        <f aca="false">G23+I23</f>
        <v>2.111</v>
      </c>
      <c r="I23" s="16" t="n">
        <f aca="false">RANDBETWEEN(-30,100)/1000</f>
        <v>0.021</v>
      </c>
      <c r="J23" s="16" t="n">
        <f aca="false">Chạy!M25</f>
        <v>2.09</v>
      </c>
      <c r="K23" s="16" t="n">
        <f aca="false">J23+L23</f>
        <v>2.18</v>
      </c>
      <c r="L23" s="16" t="n">
        <f aca="false">RANDBETWEEN(-30,100)/1000</f>
        <v>0.09</v>
      </c>
      <c r="M23" s="16" t="n">
        <f aca="false">Chạy!O25</f>
        <v>2.09</v>
      </c>
      <c r="N23" s="16" t="n">
        <f aca="false">M23+O23</f>
        <v>2.092</v>
      </c>
      <c r="O23" s="16" t="n">
        <f aca="false">RANDBETWEEN(-30,100)/1000</f>
        <v>0.002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652.61</v>
      </c>
      <c r="D24" s="16" t="n">
        <f aca="false">Chạy!G29</f>
        <v>2.1</v>
      </c>
      <c r="E24" s="16" t="n">
        <f aca="false">D24+F24</f>
        <v>2.186</v>
      </c>
      <c r="F24" s="16" t="n">
        <f aca="false">RANDBETWEEN(-30,100)/1000</f>
        <v>0.086</v>
      </c>
      <c r="G24" s="16" t="n">
        <f aca="false">Chạy!I29</f>
        <v>2.1</v>
      </c>
      <c r="H24" s="16" t="n">
        <f aca="false">G24+I24</f>
        <v>2.083</v>
      </c>
      <c r="I24" s="16" t="n">
        <f aca="false">RANDBETWEEN(-30,100)/1000</f>
        <v>-0.017</v>
      </c>
      <c r="J24" s="16" t="n">
        <f aca="false">Chạy!M33</f>
        <v>2.1</v>
      </c>
      <c r="K24" s="16" t="n">
        <f aca="false">J24+L24</f>
        <v>2.118</v>
      </c>
      <c r="L24" s="16" t="n">
        <f aca="false">RANDBETWEEN(-30,100)/1000</f>
        <v>0.018</v>
      </c>
      <c r="M24" s="16" t="n">
        <f aca="false">Chạy!O33</f>
        <v>2.1</v>
      </c>
      <c r="N24" s="16" t="n">
        <f aca="false">M24+O24</f>
        <v>2.111</v>
      </c>
      <c r="O24" s="16" t="n">
        <f aca="false">RANDBETWEEN(-30,100)/1000</f>
        <v>0.011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672.61</v>
      </c>
      <c r="D25" s="16" t="n">
        <f aca="false">Chạy!G37</f>
        <v>2.1</v>
      </c>
      <c r="E25" s="16" t="n">
        <f aca="false">D25+F25</f>
        <v>2.188</v>
      </c>
      <c r="F25" s="16" t="n">
        <f aca="false">RANDBETWEEN(-30,100)/1000</f>
        <v>0.088</v>
      </c>
      <c r="G25" s="16" t="n">
        <f aca="false">Chạy!I37</f>
        <v>2.1</v>
      </c>
      <c r="H25" s="16" t="n">
        <f aca="false">G25+I25</f>
        <v>2.102</v>
      </c>
      <c r="I25" s="16" t="n">
        <f aca="false">RANDBETWEEN(-30,100)/1000</f>
        <v>0.002</v>
      </c>
      <c r="J25" s="16" t="n">
        <f aca="false">Chạy!M41</f>
        <v>2.1</v>
      </c>
      <c r="K25" s="16" t="n">
        <f aca="false">J25+L25</f>
        <v>2.096</v>
      </c>
      <c r="L25" s="16" t="n">
        <f aca="false">RANDBETWEEN(-30,100)/1000</f>
        <v>-0.004</v>
      </c>
      <c r="M25" s="16" t="n">
        <f aca="false">Chạy!O41</f>
        <v>2.1</v>
      </c>
      <c r="N25" s="16" t="n">
        <f aca="false">M25+O25</f>
        <v>2.149</v>
      </c>
      <c r="O25" s="16" t="n">
        <f aca="false">RANDBETWEEN(-30,100)/1000</f>
        <v>0.049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692.61</v>
      </c>
      <c r="D26" s="16" t="n">
        <f aca="false">Chạy!G45</f>
        <v>2.1</v>
      </c>
      <c r="E26" s="16" t="n">
        <f aca="false">D26+F26</f>
        <v>2.182</v>
      </c>
      <c r="F26" s="16" t="n">
        <f aca="false">RANDBETWEEN(-30,100)/1000</f>
        <v>0.082</v>
      </c>
      <c r="G26" s="16" t="n">
        <f aca="false">Chạy!I45</f>
        <v>2.1</v>
      </c>
      <c r="H26" s="16" t="n">
        <f aca="false">G26+I26</f>
        <v>2.102</v>
      </c>
      <c r="I26" s="16" t="n">
        <f aca="false">RANDBETWEEN(-30,100)/1000</f>
        <v>0.002</v>
      </c>
      <c r="J26" s="16" t="n">
        <f aca="false">Chạy!M49</f>
        <v>2.1</v>
      </c>
      <c r="K26" s="16" t="n">
        <f aca="false">J26+L26</f>
        <v>2.091</v>
      </c>
      <c r="L26" s="16" t="n">
        <f aca="false">RANDBETWEEN(-30,100)/1000</f>
        <v>-0.009</v>
      </c>
      <c r="M26" s="16" t="n">
        <f aca="false">Chạy!O49</f>
        <v>2.1</v>
      </c>
      <c r="N26" s="16" t="n">
        <f aca="false">M26+O26</f>
        <v>2.181</v>
      </c>
      <c r="O26" s="16" t="n">
        <f aca="false">RANDBETWEEN(-30,100)/1000</f>
        <v>0.081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712.61</v>
      </c>
      <c r="D27" s="16" t="n">
        <f aca="false">Chạy!G53</f>
        <v>2.1</v>
      </c>
      <c r="E27" s="16" t="n">
        <f aca="false">D27+F27</f>
        <v>2.176</v>
      </c>
      <c r="F27" s="16" t="n">
        <f aca="false">RANDBETWEEN(-30,100)/1000</f>
        <v>0.076</v>
      </c>
      <c r="G27" s="16" t="n">
        <f aca="false">Chạy!I53</f>
        <v>2.1</v>
      </c>
      <c r="H27" s="16" t="n">
        <f aca="false">G27+I27</f>
        <v>2.128</v>
      </c>
      <c r="I27" s="16" t="n">
        <f aca="false">RANDBETWEEN(-30,100)/1000</f>
        <v>0.028</v>
      </c>
      <c r="J27" s="16" t="n">
        <f aca="false">Chạy!M57</f>
        <v>2.1</v>
      </c>
      <c r="K27" s="16" t="n">
        <f aca="false">J27+L27</f>
        <v>2.141</v>
      </c>
      <c r="L27" s="16" t="n">
        <f aca="false">RANDBETWEEN(-30,100)/1000</f>
        <v>0.041</v>
      </c>
      <c r="M27" s="16" t="n">
        <f aca="false">Chạy!O57</f>
        <v>2.1</v>
      </c>
      <c r="N27" s="16" t="n">
        <f aca="false">M27+O27</f>
        <v>2.136</v>
      </c>
      <c r="O27" s="16" t="n">
        <f aca="false">RANDBETWEEN(-30,100)/1000</f>
        <v>0.036</v>
      </c>
      <c r="P27" s="17"/>
      <c r="Q27" s="18" t="n">
        <v>11.5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724.11</v>
      </c>
      <c r="D28" s="16" t="n">
        <f aca="false">Chạy!G61</f>
        <v>2.1</v>
      </c>
      <c r="E28" s="16" t="n">
        <f aca="false">D28+F28</f>
        <v>2.107</v>
      </c>
      <c r="F28" s="16" t="n">
        <f aca="false">RANDBETWEEN(-30,100)/1000</f>
        <v>0.007</v>
      </c>
      <c r="G28" s="16" t="n">
        <f aca="false">Chạy!I61</f>
        <v>2.1</v>
      </c>
      <c r="H28" s="16" t="n">
        <f aca="false">G28+I28</f>
        <v>2.079</v>
      </c>
      <c r="I28" s="16" t="n">
        <f aca="false">RANDBETWEEN(-30,100)/1000</f>
        <v>-0.021</v>
      </c>
      <c r="J28" s="16" t="n">
        <f aca="false">Chạy!M65</f>
        <v>2.1</v>
      </c>
      <c r="K28" s="16" t="n">
        <f aca="false">J28+L28</f>
        <v>2.133</v>
      </c>
      <c r="L28" s="16" t="n">
        <f aca="false">RANDBETWEEN(-30,100)/1000</f>
        <v>0.033</v>
      </c>
      <c r="M28" s="16" t="n">
        <f aca="false">Chạy!O65</f>
        <v>2.1</v>
      </c>
      <c r="N28" s="16" t="n">
        <f aca="false">M28+O28</f>
        <v>2.157</v>
      </c>
      <c r="O28" s="16" t="n">
        <f aca="false">RANDBETWEEN(-30,100)/1000</f>
        <v>0.057</v>
      </c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46</v>
      </c>
      <c r="D60" s="19"/>
      <c r="E60" s="19"/>
      <c r="F60" s="19"/>
      <c r="G60" s="20"/>
      <c r="H60" s="20"/>
      <c r="I60" s="20"/>
      <c r="K60" s="19" t="s">
        <v>47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48</v>
      </c>
      <c r="D65" s="19"/>
      <c r="E65" s="19"/>
      <c r="F65" s="19"/>
      <c r="G65" s="20"/>
      <c r="H65" s="20"/>
      <c r="I65" s="20"/>
      <c r="J65" s="21"/>
      <c r="K65" s="19" t="s">
        <v>49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50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100.NĐXD8/CVXD ngày 05 tháng 10 năm 2026</v>
      </c>
      <c r="B2" s="27"/>
      <c r="C2" s="27"/>
      <c r="D2" s="27"/>
      <c r="E2" s="27"/>
      <c r="F2" s="27"/>
      <c r="G2" s="27"/>
      <c r="AZ2">
        <v>100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32</v>
      </c>
      <c r="B7" s="32"/>
      <c r="C7" s="33"/>
      <c r="D7" s="34" t="str">
        <f>VLOOKUP(AZ2,'[1]Tuyến XD8'!$A$2:$B$60,2,0)</f>
        <v xml:space="preserve">Đắp đất lề đường lớp 1, độ chặt K&gt;=0,95 đoạn từ Km0+609,11 - Km0+724,11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36</v>
      </c>
      <c r="C9" s="36" t="s">
        <v>37</v>
      </c>
      <c r="D9" s="37" t="s">
        <v>51</v>
      </c>
      <c r="E9" s="38"/>
      <c r="F9" s="38"/>
      <c r="G9" s="37" t="s">
        <v>42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52</v>
      </c>
      <c r="F10" s="38" t="s">
        <v>53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31</v>
      </c>
      <c r="C11" s="15" t="n">
        <f aca="false">'1. KTHH L1'!C21</f>
        <v>609.11</v>
      </c>
      <c r="D11" s="13" t="n">
        <f aca="false">'1. KTHH L1'!Q21</f>
        <v>11.75</v>
      </c>
      <c r="E11" s="42" t="n">
        <f aca="false">Chạy!E5+Chạy!E9</f>
        <v>3.26</v>
      </c>
      <c r="F11" s="43" t="n">
        <f aca="false">(E11+E12)*D11/2</f>
        <v>38.305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E10</v>
      </c>
      <c r="C12" s="15" t="n">
        <f aca="false">'1. KTHH L1'!C22</f>
        <v>620.86</v>
      </c>
      <c r="D12" s="13" t="n">
        <f aca="false">'1. KTHH L1'!Q22</f>
        <v>11.75</v>
      </c>
      <c r="E12" s="42" t="n">
        <f aca="false">Chạy!E13+Chạy!E17</f>
        <v>3.26</v>
      </c>
      <c r="F12" s="43" t="n">
        <f aca="false">(E12+E13)*D12/2</f>
        <v>38.305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32</v>
      </c>
      <c r="C13" s="15" t="n">
        <f aca="false">'1. KTHH L1'!C23</f>
        <v>632.61</v>
      </c>
      <c r="D13" s="13" t="n">
        <f aca="false">'1. KTHH L1'!Q23</f>
        <v>20</v>
      </c>
      <c r="E13" s="42" t="n">
        <f aca="false">Chạy!E21+Chạy!E25</f>
        <v>3.26</v>
      </c>
      <c r="F13" s="43" t="n">
        <f aca="false">(E13+E14)*D13/2</f>
        <v>65.2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33</v>
      </c>
      <c r="C14" s="15" t="n">
        <f aca="false">'1. KTHH L1'!C24</f>
        <v>652.61</v>
      </c>
      <c r="D14" s="13" t="n">
        <f aca="false">'1. KTHH L1'!Q24</f>
        <v>20</v>
      </c>
      <c r="E14" s="42" t="n">
        <f aca="false">Chạy!E29+Chạy!E33</f>
        <v>3.26</v>
      </c>
      <c r="F14" s="43" t="n">
        <f aca="false">(E14+E15)*D14/2</f>
        <v>65.2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34</v>
      </c>
      <c r="C15" s="15" t="n">
        <f aca="false">'1. KTHH L1'!C25</f>
        <v>672.61</v>
      </c>
      <c r="D15" s="13" t="n">
        <f aca="false">'1. KTHH L1'!Q25</f>
        <v>20</v>
      </c>
      <c r="E15" s="42" t="n">
        <f aca="false">Chạy!E37+Chạy!E41</f>
        <v>3.26</v>
      </c>
      <c r="F15" s="43" t="n">
        <f aca="false">(E15+E16)*D15/2</f>
        <v>65.2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35</v>
      </c>
      <c r="C16" s="15" t="n">
        <f aca="false">'1. KTHH L1'!C26</f>
        <v>692.61</v>
      </c>
      <c r="D16" s="13" t="n">
        <f aca="false">'1. KTHH L1'!Q26</f>
        <v>20</v>
      </c>
      <c r="E16" s="42" t="n">
        <f aca="false">Chạy!E45+Chạy!E49</f>
        <v>3.26</v>
      </c>
      <c r="F16" s="43" t="n">
        <f aca="false">(E16+E17)*D16/2</f>
        <v>65.2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36</v>
      </c>
      <c r="C17" s="15" t="n">
        <f aca="false">'1. KTHH L1'!C27</f>
        <v>712.61</v>
      </c>
      <c r="D17" s="13" t="n">
        <f aca="false">'1. KTHH L1'!Q27</f>
        <v>11.5</v>
      </c>
      <c r="E17" s="42" t="n">
        <f aca="false">Chạy!E53+Chạy!E57</f>
        <v>3.26</v>
      </c>
      <c r="F17" s="43" t="n">
        <f aca="false">(E17+E18)*D17/2</f>
        <v>37.49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37</v>
      </c>
      <c r="C18" s="15" t="n">
        <f aca="false">'1. KTHH L1'!C28</f>
        <v>724.11</v>
      </c>
      <c r="D18" s="13"/>
      <c r="E18" s="42" t="n">
        <f aca="false">Chạy!E61+Chạy!E65</f>
        <v>3.26</v>
      </c>
      <c r="F18" s="43"/>
      <c r="G18" s="44"/>
      <c r="I18" s="45"/>
      <c r="J18" s="45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I19" s="45"/>
      <c r="J19" s="45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I20" s="45"/>
      <c r="J20" s="45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I21" s="45"/>
      <c r="J21" s="45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54</v>
      </c>
      <c r="B49" s="46"/>
      <c r="C49" s="46"/>
      <c r="D49" s="46"/>
      <c r="E49" s="47"/>
      <c r="F49" s="48" t="n">
        <f aca="false">SUM(F11:F18)</f>
        <v>374.9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46</v>
      </c>
      <c r="B51" s="19"/>
      <c r="C51" s="19"/>
      <c r="D51" s="57" t="s">
        <v>55</v>
      </c>
      <c r="E51" s="19" t="s">
        <v>47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48</v>
      </c>
      <c r="B57" s="19"/>
      <c r="C57" s="19"/>
      <c r="D57" s="21"/>
      <c r="E57" s="19" t="s">
        <v>49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102.NĐXD8/CVXD ngày 06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102</v>
      </c>
    </row>
    <row r="3" customFormat="false" ht="18.75" hidden="false" customHeight="true" outlineLevel="0" collapsed="false">
      <c r="A3" s="6" t="s">
        <v>28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29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30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31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32</v>
      </c>
      <c r="B7" s="7"/>
      <c r="C7" s="6"/>
      <c r="D7" s="6" t="str">
        <f>VLOOKUP(AZ2,'[1]Tuyến XD8'!$A$2:$B$60,2,0)</f>
        <v xml:space="preserve">Đắp đất lề đường lớp 2, độ chặt K&gt;=0,95 đoạn từ Km0+609,11 - Km0+724,11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34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35</v>
      </c>
      <c r="B19" s="10" t="s">
        <v>36</v>
      </c>
      <c r="C19" s="10" t="s">
        <v>37</v>
      </c>
      <c r="D19" s="11" t="s">
        <v>38</v>
      </c>
      <c r="E19" s="11"/>
      <c r="F19" s="11"/>
      <c r="G19" s="11" t="s">
        <v>39</v>
      </c>
      <c r="H19" s="11"/>
      <c r="I19" s="11"/>
      <c r="J19" s="11" t="s">
        <v>40</v>
      </c>
      <c r="K19" s="11"/>
      <c r="L19" s="11"/>
      <c r="M19" s="11" t="s">
        <v>41</v>
      </c>
      <c r="N19" s="11"/>
      <c r="O19" s="11"/>
      <c r="P19" s="10" t="s">
        <v>42</v>
      </c>
    </row>
    <row r="20" customFormat="false" ht="33" hidden="false" customHeight="true" outlineLevel="0" collapsed="false">
      <c r="A20" s="10"/>
      <c r="B20" s="10"/>
      <c r="C20" s="10"/>
      <c r="D20" s="11" t="s">
        <v>43</v>
      </c>
      <c r="E20" s="11" t="s">
        <v>44</v>
      </c>
      <c r="F20" s="11" t="s">
        <v>45</v>
      </c>
      <c r="G20" s="11" t="s">
        <v>43</v>
      </c>
      <c r="H20" s="11" t="s">
        <v>44</v>
      </c>
      <c r="I20" s="11" t="s">
        <v>45</v>
      </c>
      <c r="J20" s="11" t="s">
        <v>43</v>
      </c>
      <c r="K20" s="11" t="s">
        <v>44</v>
      </c>
      <c r="L20" s="11" t="s">
        <v>45</v>
      </c>
      <c r="M20" s="11" t="s">
        <v>43</v>
      </c>
      <c r="N20" s="11" t="s">
        <v>44</v>
      </c>
      <c r="O20" s="11" t="s">
        <v>45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609.11</v>
      </c>
      <c r="D21" s="16" t="n">
        <f aca="false">Chạy!G4</f>
        <v>2.34</v>
      </c>
      <c r="E21" s="16" t="n">
        <f aca="false">D21+F21</f>
        <v>2.346</v>
      </c>
      <c r="F21" s="16" t="n">
        <f aca="false">RANDBETWEEN(-30,100)/1000</f>
        <v>0.006</v>
      </c>
      <c r="G21" s="16" t="n">
        <f aca="false">Chạy!I4</f>
        <v>2.34</v>
      </c>
      <c r="H21" s="16" t="n">
        <f aca="false">G21+I21</f>
        <v>2.316</v>
      </c>
      <c r="I21" s="16" t="n">
        <f aca="false">RANDBETWEEN(-30,100)/1000</f>
        <v>-0.024</v>
      </c>
      <c r="J21" s="16" t="n">
        <f aca="false">Chạy!M8</f>
        <v>2.34</v>
      </c>
      <c r="K21" s="16" t="n">
        <f aca="false">J21+L21</f>
        <v>2.402</v>
      </c>
      <c r="L21" s="16" t="n">
        <f aca="false">RANDBETWEEN(-30,100)/1000</f>
        <v>0.062</v>
      </c>
      <c r="M21" s="16" t="n">
        <f aca="false">Chạy!O8</f>
        <v>2.34</v>
      </c>
      <c r="N21" s="16" t="n">
        <f aca="false">M21+O21</f>
        <v>2.358</v>
      </c>
      <c r="O21" s="16" t="n">
        <f aca="false">RANDBETWEEN(-30,100)/1000</f>
        <v>0.018</v>
      </c>
      <c r="P21" s="17"/>
      <c r="Q21" s="18" t="n">
        <v>11.75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620.86</v>
      </c>
      <c r="D22" s="16" t="n">
        <f aca="false">Chạy!G12</f>
        <v>2.34</v>
      </c>
      <c r="E22" s="16" t="n">
        <f aca="false">D22+F22</f>
        <v>2.334</v>
      </c>
      <c r="F22" s="16" t="n">
        <f aca="false">RANDBETWEEN(-30,100)/1000</f>
        <v>-0.006</v>
      </c>
      <c r="G22" s="16" t="n">
        <f aca="false">Chạy!I12</f>
        <v>2.34</v>
      </c>
      <c r="H22" s="16" t="n">
        <f aca="false">G22+I22</f>
        <v>2.377</v>
      </c>
      <c r="I22" s="16" t="n">
        <f aca="false">RANDBETWEEN(-30,100)/1000</f>
        <v>0.037</v>
      </c>
      <c r="J22" s="16" t="n">
        <f aca="false">Chạy!M16</f>
        <v>2.34</v>
      </c>
      <c r="K22" s="16" t="n">
        <f aca="false">J22+L22</f>
        <v>2.35</v>
      </c>
      <c r="L22" s="16" t="n">
        <f aca="false">RANDBETWEEN(-30,100)/1000</f>
        <v>0.01</v>
      </c>
      <c r="M22" s="16" t="n">
        <f aca="false">Chạy!O16</f>
        <v>2.34</v>
      </c>
      <c r="N22" s="16" t="n">
        <f aca="false">M22+O22</f>
        <v>2.426</v>
      </c>
      <c r="O22" s="16" t="n">
        <f aca="false">RANDBETWEEN(-30,100)/1000</f>
        <v>0.086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632.61</v>
      </c>
      <c r="D23" s="16" t="n">
        <f aca="false">Chạy!G20</f>
        <v>2.34</v>
      </c>
      <c r="E23" s="16" t="n">
        <f aca="false">D23+F23</f>
        <v>2.33</v>
      </c>
      <c r="F23" s="16" t="n">
        <f aca="false">RANDBETWEEN(-30,100)/1000</f>
        <v>-0.01</v>
      </c>
      <c r="G23" s="16" t="n">
        <f aca="false">Chạy!I20</f>
        <v>2.34</v>
      </c>
      <c r="H23" s="16" t="n">
        <f aca="false">G23+I23</f>
        <v>2.422</v>
      </c>
      <c r="I23" s="16" t="n">
        <f aca="false">RANDBETWEEN(-30,100)/1000</f>
        <v>0.082</v>
      </c>
      <c r="J23" s="16" t="n">
        <f aca="false">Chạy!M24</f>
        <v>2.34</v>
      </c>
      <c r="K23" s="16" t="n">
        <f aca="false">J23+L23</f>
        <v>2.402</v>
      </c>
      <c r="L23" s="16" t="n">
        <f aca="false">RANDBETWEEN(-30,100)/1000</f>
        <v>0.062</v>
      </c>
      <c r="M23" s="16" t="n">
        <f aca="false">Chạy!O24</f>
        <v>2.34</v>
      </c>
      <c r="N23" s="16" t="n">
        <f aca="false">M23+O23</f>
        <v>2.399</v>
      </c>
      <c r="O23" s="16" t="n">
        <f aca="false">RANDBETWEEN(-30,100)/1000</f>
        <v>0.059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652.61</v>
      </c>
      <c r="D24" s="16" t="n">
        <f aca="false">Chạy!G28</f>
        <v>2.35</v>
      </c>
      <c r="E24" s="16" t="n">
        <f aca="false">D24+F24</f>
        <v>2.445</v>
      </c>
      <c r="F24" s="16" t="n">
        <f aca="false">RANDBETWEEN(-30,100)/1000</f>
        <v>0.095</v>
      </c>
      <c r="G24" s="16" t="n">
        <f aca="false">Chạy!I28</f>
        <v>2.35</v>
      </c>
      <c r="H24" s="16" t="n">
        <f aca="false">G24+I24</f>
        <v>2.368</v>
      </c>
      <c r="I24" s="16" t="n">
        <f aca="false">RANDBETWEEN(-30,100)/1000</f>
        <v>0.018</v>
      </c>
      <c r="J24" s="16" t="n">
        <f aca="false">Chạy!M32</f>
        <v>2.35</v>
      </c>
      <c r="K24" s="16" t="n">
        <f aca="false">J24+L24</f>
        <v>2.418</v>
      </c>
      <c r="L24" s="16" t="n">
        <f aca="false">RANDBETWEEN(-30,100)/1000</f>
        <v>0.068</v>
      </c>
      <c r="M24" s="16" t="n">
        <f aca="false">Chạy!O32</f>
        <v>2.35</v>
      </c>
      <c r="N24" s="16" t="n">
        <f aca="false">M24+O24</f>
        <v>2.42</v>
      </c>
      <c r="O24" s="16" t="n">
        <f aca="false">RANDBETWEEN(-30,100)/1000</f>
        <v>0.07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672.61</v>
      </c>
      <c r="D25" s="16" t="n">
        <f aca="false">Chạy!G36</f>
        <v>2.35</v>
      </c>
      <c r="E25" s="16" t="n">
        <f aca="false">D25+F25</f>
        <v>2.425</v>
      </c>
      <c r="F25" s="16" t="n">
        <f aca="false">RANDBETWEEN(-30,100)/1000</f>
        <v>0.075</v>
      </c>
      <c r="G25" s="16" t="n">
        <f aca="false">Chạy!I36</f>
        <v>2.35</v>
      </c>
      <c r="H25" s="16" t="n">
        <f aca="false">G25+I25</f>
        <v>2.361</v>
      </c>
      <c r="I25" s="16" t="n">
        <f aca="false">RANDBETWEEN(-30,100)/1000</f>
        <v>0.011</v>
      </c>
      <c r="J25" s="16" t="n">
        <f aca="false">Chạy!M40</f>
        <v>2.35</v>
      </c>
      <c r="K25" s="16" t="n">
        <f aca="false">J25+L25</f>
        <v>2.412</v>
      </c>
      <c r="L25" s="16" t="n">
        <f aca="false">RANDBETWEEN(-30,100)/1000</f>
        <v>0.062</v>
      </c>
      <c r="M25" s="16" t="n">
        <f aca="false">Chạy!O40</f>
        <v>2.35</v>
      </c>
      <c r="N25" s="16" t="n">
        <f aca="false">M25+O25</f>
        <v>2.365</v>
      </c>
      <c r="O25" s="16" t="n">
        <f aca="false">RANDBETWEEN(-30,100)/1000</f>
        <v>0.015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692.61</v>
      </c>
      <c r="D26" s="16" t="n">
        <f aca="false">Chạy!G44</f>
        <v>2.35</v>
      </c>
      <c r="E26" s="16" t="n">
        <f aca="false">D26+F26</f>
        <v>2.444</v>
      </c>
      <c r="F26" s="16" t="n">
        <f aca="false">RANDBETWEEN(-30,100)/1000</f>
        <v>0.094</v>
      </c>
      <c r="G26" s="16" t="n">
        <f aca="false">Chạy!I44</f>
        <v>2.35</v>
      </c>
      <c r="H26" s="16" t="n">
        <f aca="false">G26+I26</f>
        <v>2.356</v>
      </c>
      <c r="I26" s="16" t="n">
        <f aca="false">RANDBETWEEN(-30,100)/1000</f>
        <v>0.006</v>
      </c>
      <c r="J26" s="16" t="n">
        <f aca="false">Chạy!M48</f>
        <v>2.35</v>
      </c>
      <c r="K26" s="16" t="n">
        <f aca="false">J26+L26</f>
        <v>2.364</v>
      </c>
      <c r="L26" s="16" t="n">
        <f aca="false">RANDBETWEEN(-30,100)/1000</f>
        <v>0.014</v>
      </c>
      <c r="M26" s="16" t="n">
        <f aca="false">Chạy!O48</f>
        <v>2.35</v>
      </c>
      <c r="N26" s="16" t="n">
        <f aca="false">M26+O26</f>
        <v>2.347</v>
      </c>
      <c r="O26" s="16" t="n">
        <f aca="false">RANDBETWEEN(-30,100)/1000</f>
        <v>-0.003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712.61</v>
      </c>
      <c r="D27" s="16" t="n">
        <f aca="false">Chạy!G52</f>
        <v>2.35</v>
      </c>
      <c r="E27" s="16" t="n">
        <f aca="false">D27+F27</f>
        <v>2.322</v>
      </c>
      <c r="F27" s="16" t="n">
        <f aca="false">RANDBETWEEN(-30,100)/1000</f>
        <v>-0.028</v>
      </c>
      <c r="G27" s="16" t="n">
        <f aca="false">Chạy!I52</f>
        <v>2.35</v>
      </c>
      <c r="H27" s="16" t="n">
        <f aca="false">G27+I27</f>
        <v>2.373</v>
      </c>
      <c r="I27" s="16" t="n">
        <f aca="false">RANDBETWEEN(-30,100)/1000</f>
        <v>0.023</v>
      </c>
      <c r="J27" s="16" t="n">
        <f aca="false">Chạy!M56</f>
        <v>2.35</v>
      </c>
      <c r="K27" s="16" t="n">
        <f aca="false">J27+L27</f>
        <v>2.384</v>
      </c>
      <c r="L27" s="16" t="n">
        <f aca="false">RANDBETWEEN(-30,100)/1000</f>
        <v>0.034</v>
      </c>
      <c r="M27" s="16" t="n">
        <f aca="false">Chạy!O56</f>
        <v>2.35</v>
      </c>
      <c r="N27" s="16" t="n">
        <f aca="false">M27+O27</f>
        <v>2.356</v>
      </c>
      <c r="O27" s="16" t="n">
        <f aca="false">RANDBETWEEN(-30,100)/1000</f>
        <v>0.006</v>
      </c>
      <c r="P27" s="17"/>
      <c r="Q27" s="18" t="n">
        <v>11.5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724.11</v>
      </c>
      <c r="D28" s="16" t="n">
        <f aca="false">Chạy!G60</f>
        <v>2.35</v>
      </c>
      <c r="E28" s="16" t="n">
        <f aca="false">D28+F28</f>
        <v>2.413</v>
      </c>
      <c r="F28" s="16" t="n">
        <f aca="false">RANDBETWEEN(-30,100)/1000</f>
        <v>0.063</v>
      </c>
      <c r="G28" s="16" t="n">
        <f aca="false">Chạy!I60</f>
        <v>2.35</v>
      </c>
      <c r="H28" s="16" t="n">
        <f aca="false">G28+I28</f>
        <v>2.385</v>
      </c>
      <c r="I28" s="16" t="n">
        <f aca="false">RANDBETWEEN(-30,100)/1000</f>
        <v>0.035</v>
      </c>
      <c r="J28" s="16" t="n">
        <f aca="false">Chạy!M64</f>
        <v>2.35</v>
      </c>
      <c r="K28" s="16" t="n">
        <f aca="false">J28+L28</f>
        <v>2.343</v>
      </c>
      <c r="L28" s="16" t="n">
        <f aca="false">RANDBETWEEN(-30,100)/1000</f>
        <v>-0.007</v>
      </c>
      <c r="M28" s="16" t="n">
        <f aca="false">Chạy!O64</f>
        <v>2.35</v>
      </c>
      <c r="N28" s="16" t="n">
        <f aca="false">M28+O28</f>
        <v>2.372</v>
      </c>
      <c r="O28" s="16" t="n">
        <f aca="false">RANDBETWEEN(-30,100)/1000</f>
        <v>0.022</v>
      </c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46</v>
      </c>
      <c r="D60" s="19"/>
      <c r="E60" s="19"/>
      <c r="F60" s="19"/>
      <c r="G60" s="20"/>
      <c r="H60" s="20"/>
      <c r="I60" s="20"/>
      <c r="K60" s="19" t="s">
        <v>47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48</v>
      </c>
      <c r="D65" s="19"/>
      <c r="E65" s="19"/>
      <c r="F65" s="19"/>
      <c r="G65" s="20"/>
      <c r="H65" s="20"/>
      <c r="I65" s="20"/>
      <c r="J65" s="21"/>
      <c r="K65" s="19" t="s">
        <v>49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50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102.NĐXD8/CVXD ngày 06 tháng 10 năm 2026</v>
      </c>
      <c r="B2" s="27"/>
      <c r="C2" s="27"/>
      <c r="D2" s="27"/>
      <c r="E2" s="27"/>
      <c r="F2" s="27"/>
      <c r="G2" s="27"/>
      <c r="AZ2">
        <v>102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32</v>
      </c>
      <c r="B7" s="32"/>
      <c r="C7" s="33"/>
      <c r="D7" s="34" t="str">
        <f>VLOOKUP(AZ2,'[1]Tuyến XD8'!$A$2:$B$60,2,0)</f>
        <v xml:space="preserve">Đắp đất lề đường lớp 2, độ chặt K&gt;=0,95 đoạn từ Km0+609,11 - Km0+724,11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36</v>
      </c>
      <c r="C9" s="36" t="s">
        <v>37</v>
      </c>
      <c r="D9" s="37" t="s">
        <v>51</v>
      </c>
      <c r="E9" s="38"/>
      <c r="F9" s="38"/>
      <c r="G9" s="37" t="s">
        <v>42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52</v>
      </c>
      <c r="F10" s="38" t="s">
        <v>53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31</v>
      </c>
      <c r="C11" s="15" t="n">
        <f aca="false">'1. KTHH L2'!C21</f>
        <v>609.11</v>
      </c>
      <c r="D11" s="13" t="n">
        <f aca="false">'1. KTHH L2'!Q21</f>
        <v>11.75</v>
      </c>
      <c r="E11" s="42" t="n">
        <f aca="false">Chạy!E4+Chạy!E8</f>
        <v>3.06</v>
      </c>
      <c r="F11" s="43" t="n">
        <f aca="false">(E11+E12)*D11/2</f>
        <v>35.955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E10</v>
      </c>
      <c r="C12" s="15" t="n">
        <f aca="false">'1. KTHH L2'!C22</f>
        <v>620.86</v>
      </c>
      <c r="D12" s="13" t="n">
        <f aca="false">'1. KTHH L2'!Q22</f>
        <v>11.75</v>
      </c>
      <c r="E12" s="42" t="n">
        <f aca="false">Chạy!E12+Chạy!E16</f>
        <v>3.06</v>
      </c>
      <c r="F12" s="43" t="n">
        <f aca="false">(E12+E13)*D12/2</f>
        <v>35.955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32</v>
      </c>
      <c r="C13" s="15" t="n">
        <f aca="false">'1. KTHH L2'!C23</f>
        <v>632.61</v>
      </c>
      <c r="D13" s="13" t="n">
        <f aca="false">'1. KTHH L2'!Q23</f>
        <v>20</v>
      </c>
      <c r="E13" s="42" t="n">
        <f aca="false">Chạy!E20+Chạy!E24</f>
        <v>3.06</v>
      </c>
      <c r="F13" s="43" t="n">
        <f aca="false">(E13+E14)*D13/2</f>
        <v>61.2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33</v>
      </c>
      <c r="C14" s="15" t="n">
        <f aca="false">'1. KTHH L2'!C24</f>
        <v>652.61</v>
      </c>
      <c r="D14" s="13" t="n">
        <f aca="false">'1. KTHH L2'!Q24</f>
        <v>20</v>
      </c>
      <c r="E14" s="42" t="n">
        <f aca="false">Chạy!E28+Chạy!E32</f>
        <v>3.06</v>
      </c>
      <c r="F14" s="43" t="n">
        <f aca="false">(E14+E15)*D14/2</f>
        <v>61.2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34</v>
      </c>
      <c r="C15" s="15" t="n">
        <f aca="false">'1. KTHH L2'!C25</f>
        <v>672.61</v>
      </c>
      <c r="D15" s="13" t="n">
        <f aca="false">'1. KTHH L2'!Q25</f>
        <v>20</v>
      </c>
      <c r="E15" s="42" t="n">
        <f aca="false">Chạy!E36+Chạy!E40</f>
        <v>3.06</v>
      </c>
      <c r="F15" s="43" t="n">
        <f aca="false">(E15+E16)*D15/2</f>
        <v>61.2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35</v>
      </c>
      <c r="C16" s="15" t="n">
        <f aca="false">'1. KTHH L2'!C26</f>
        <v>692.61</v>
      </c>
      <c r="D16" s="13" t="n">
        <f aca="false">'1. KTHH L2'!Q26</f>
        <v>20</v>
      </c>
      <c r="E16" s="42" t="n">
        <f aca="false">Chạy!E44+Chạy!E48</f>
        <v>3.06</v>
      </c>
      <c r="F16" s="43" t="n">
        <f aca="false">(E16+E17)*D16/2</f>
        <v>61.2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36</v>
      </c>
      <c r="C17" s="15" t="n">
        <f aca="false">'1. KTHH L2'!C27</f>
        <v>712.61</v>
      </c>
      <c r="D17" s="13" t="n">
        <f aca="false">'1. KTHH L2'!Q27</f>
        <v>11.5</v>
      </c>
      <c r="E17" s="42" t="n">
        <f aca="false">Chạy!E52+Chạy!E56</f>
        <v>3.06</v>
      </c>
      <c r="F17" s="43" t="n">
        <f aca="false">(E17+E18)*D17/2</f>
        <v>35.19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37</v>
      </c>
      <c r="C18" s="15" t="n">
        <f aca="false">'1. KTHH L2'!C28</f>
        <v>724.11</v>
      </c>
      <c r="D18" s="13"/>
      <c r="E18" s="42" t="n">
        <f aca="false">Chạy!E60+Chạy!E64</f>
        <v>3.06</v>
      </c>
      <c r="F18" s="43"/>
      <c r="G18" s="44"/>
      <c r="H18" s="40"/>
      <c r="I18" s="40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40"/>
      <c r="I19" s="40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40"/>
      <c r="I20" s="40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40"/>
      <c r="I21" s="40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54</v>
      </c>
      <c r="B49" s="46"/>
      <c r="C49" s="46"/>
      <c r="D49" s="46"/>
      <c r="E49" s="66"/>
      <c r="F49" s="67" t="n">
        <f aca="false">SUM(F11:F18)</f>
        <v>351.9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46</v>
      </c>
      <c r="B51" s="19"/>
      <c r="C51" s="19"/>
      <c r="D51" s="57" t="s">
        <v>55</v>
      </c>
      <c r="E51" s="19" t="s">
        <v>47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48</v>
      </c>
      <c r="B57" s="19"/>
      <c r="C57" s="19"/>
      <c r="D57" s="21"/>
      <c r="E57" s="19" t="s">
        <v>49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104.NĐXD8/CVXD ngày 07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104</v>
      </c>
    </row>
    <row r="3" customFormat="false" ht="15" hidden="false" customHeight="false" outlineLevel="0" collapsed="false">
      <c r="A3" s="22" t="s">
        <v>28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32</v>
      </c>
      <c r="C7" s="22"/>
      <c r="D7" s="22" t="str">
        <f>VLOOKUP(AZ2,'[1]Tuyến XD8'!$A$2:$B$60,2,0)</f>
        <v xml:space="preserve">Đắp đất lề đường lớp 3, độ chặt K&gt;=0,95 đoạn từ Km0+609,11 - Km0+724,11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35</v>
      </c>
      <c r="B19" s="10" t="s">
        <v>36</v>
      </c>
      <c r="C19" s="10" t="s">
        <v>37</v>
      </c>
      <c r="D19" s="11" t="s">
        <v>38</v>
      </c>
      <c r="E19" s="11"/>
      <c r="F19" s="11"/>
      <c r="G19" s="11" t="s">
        <v>39</v>
      </c>
      <c r="H19" s="11"/>
      <c r="I19" s="11"/>
      <c r="J19" s="11" t="s">
        <v>40</v>
      </c>
      <c r="K19" s="11"/>
      <c r="L19" s="11"/>
      <c r="M19" s="11" t="s">
        <v>41</v>
      </c>
      <c r="N19" s="11"/>
      <c r="O19" s="11"/>
      <c r="P19" s="10" t="s">
        <v>42</v>
      </c>
    </row>
    <row r="20" customFormat="false" ht="30" hidden="false" customHeight="true" outlineLevel="0" collapsed="false">
      <c r="A20" s="10"/>
      <c r="B20" s="10"/>
      <c r="C20" s="10"/>
      <c r="D20" s="11" t="s">
        <v>43</v>
      </c>
      <c r="E20" s="11" t="s">
        <v>44</v>
      </c>
      <c r="F20" s="11" t="s">
        <v>45</v>
      </c>
      <c r="G20" s="11" t="s">
        <v>43</v>
      </c>
      <c r="H20" s="11" t="s">
        <v>44</v>
      </c>
      <c r="I20" s="11" t="s">
        <v>45</v>
      </c>
      <c r="J20" s="11" t="s">
        <v>43</v>
      </c>
      <c r="K20" s="11" t="s">
        <v>44</v>
      </c>
      <c r="L20" s="11" t="s">
        <v>45</v>
      </c>
      <c r="M20" s="11" t="s">
        <v>43</v>
      </c>
      <c r="N20" s="11" t="s">
        <v>44</v>
      </c>
      <c r="O20" s="11" t="s">
        <v>45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609.11</v>
      </c>
      <c r="D21" s="16" t="n">
        <f aca="false">Chạy!G3</f>
        <v>2.52</v>
      </c>
      <c r="E21" s="16" t="n">
        <f aca="false">D21+F21</f>
        <v>2.552</v>
      </c>
      <c r="F21" s="16" t="n">
        <f aca="false">RANDBETWEEN(-30,100)/1000</f>
        <v>0.032</v>
      </c>
      <c r="G21" s="16" t="n">
        <f aca="false">Chạy!I3</f>
        <v>2.52</v>
      </c>
      <c r="H21" s="16" t="n">
        <f aca="false">G21+I21</f>
        <v>2.593</v>
      </c>
      <c r="I21" s="16" t="n">
        <f aca="false">RANDBETWEEN(-30,100)/1000</f>
        <v>0.073</v>
      </c>
      <c r="J21" s="16" t="n">
        <f aca="false">Chạy!M7</f>
        <v>2.52</v>
      </c>
      <c r="K21" s="16" t="n">
        <f aca="false">J21+L21</f>
        <v>2.533</v>
      </c>
      <c r="L21" s="16" t="n">
        <f aca="false">RANDBETWEEN(-30,100)/1000</f>
        <v>0.013</v>
      </c>
      <c r="M21" s="16" t="n">
        <f aca="false">Chạy!O7</f>
        <v>2.52</v>
      </c>
      <c r="N21" s="16" t="n">
        <f aca="false">M21+O21</f>
        <v>2.505</v>
      </c>
      <c r="O21" s="16" t="n">
        <f aca="false">RANDBETWEEN(-30,100)/1000</f>
        <v>-0.015</v>
      </c>
      <c r="P21" s="17"/>
      <c r="Q21" s="18" t="n">
        <v>11.75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620.86</v>
      </c>
      <c r="D22" s="16" t="n">
        <f aca="false">Chạy!G11</f>
        <v>2.52</v>
      </c>
      <c r="E22" s="16" t="n">
        <f aca="false">D22+F22</f>
        <v>2.508</v>
      </c>
      <c r="F22" s="16" t="n">
        <f aca="false">RANDBETWEEN(-30,100)/1000</f>
        <v>-0.012</v>
      </c>
      <c r="G22" s="16" t="n">
        <f aca="false">Chạy!I11</f>
        <v>2.52</v>
      </c>
      <c r="H22" s="16" t="n">
        <f aca="false">G22+I22</f>
        <v>2.545</v>
      </c>
      <c r="I22" s="16" t="n">
        <f aca="false">RANDBETWEEN(-30,100)/1000</f>
        <v>0.025</v>
      </c>
      <c r="J22" s="16" t="n">
        <f aca="false">Chạy!M15</f>
        <v>2.52</v>
      </c>
      <c r="K22" s="16" t="n">
        <f aca="false">J22+L22</f>
        <v>2.596</v>
      </c>
      <c r="L22" s="16" t="n">
        <f aca="false">RANDBETWEEN(-30,100)/1000</f>
        <v>0.076</v>
      </c>
      <c r="M22" s="16" t="n">
        <f aca="false">Chạy!O15</f>
        <v>2.52</v>
      </c>
      <c r="N22" s="16" t="n">
        <f aca="false">M22+O22</f>
        <v>2.525</v>
      </c>
      <c r="O22" s="16" t="n">
        <f aca="false">RANDBETWEEN(-30,100)/1000</f>
        <v>0.005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632.61</v>
      </c>
      <c r="D23" s="16" t="n">
        <f aca="false">Chạy!G19</f>
        <v>2.52</v>
      </c>
      <c r="E23" s="16" t="n">
        <f aca="false">D23+F23</f>
        <v>2.503</v>
      </c>
      <c r="F23" s="16" t="n">
        <f aca="false">RANDBETWEEN(-30,100)/1000</f>
        <v>-0.017</v>
      </c>
      <c r="G23" s="16" t="n">
        <f aca="false">Chạy!I19</f>
        <v>2.52</v>
      </c>
      <c r="H23" s="16" t="n">
        <f aca="false">G23+I23</f>
        <v>2.604</v>
      </c>
      <c r="I23" s="16" t="n">
        <f aca="false">RANDBETWEEN(-30,100)/1000</f>
        <v>0.084</v>
      </c>
      <c r="J23" s="16" t="n">
        <f aca="false">Chạy!M23</f>
        <v>2.52</v>
      </c>
      <c r="K23" s="16" t="n">
        <f aca="false">J23+L23</f>
        <v>2.513</v>
      </c>
      <c r="L23" s="16" t="n">
        <f aca="false">RANDBETWEEN(-30,100)/1000</f>
        <v>-0.007</v>
      </c>
      <c r="M23" s="16" t="n">
        <f aca="false">Chạy!O23</f>
        <v>2.52</v>
      </c>
      <c r="N23" s="16" t="n">
        <f aca="false">M23+O23</f>
        <v>2.559</v>
      </c>
      <c r="O23" s="16" t="n">
        <f aca="false">RANDBETWEEN(-30,100)/1000</f>
        <v>0.039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652.61</v>
      </c>
      <c r="D24" s="16" t="n">
        <f aca="false">Chạy!G27</f>
        <v>2.53</v>
      </c>
      <c r="E24" s="16" t="n">
        <f aca="false">D24+F24</f>
        <v>2.587</v>
      </c>
      <c r="F24" s="16" t="n">
        <f aca="false">RANDBETWEEN(-30,100)/1000</f>
        <v>0.057</v>
      </c>
      <c r="G24" s="16" t="n">
        <f aca="false">Chạy!I27</f>
        <v>2.53</v>
      </c>
      <c r="H24" s="16" t="n">
        <f aca="false">G24+I24</f>
        <v>2.617</v>
      </c>
      <c r="I24" s="16" t="n">
        <f aca="false">RANDBETWEEN(-30,100)/1000</f>
        <v>0.087</v>
      </c>
      <c r="J24" s="16" t="n">
        <f aca="false">Chạy!M31</f>
        <v>2.53</v>
      </c>
      <c r="K24" s="16" t="n">
        <f aca="false">J24+L24</f>
        <v>2.508</v>
      </c>
      <c r="L24" s="16" t="n">
        <f aca="false">RANDBETWEEN(-30,100)/1000</f>
        <v>-0.022</v>
      </c>
      <c r="M24" s="16" t="n">
        <f aca="false">Chạy!O31</f>
        <v>2.53</v>
      </c>
      <c r="N24" s="16" t="n">
        <f aca="false">M24+O24</f>
        <v>2.578</v>
      </c>
      <c r="O24" s="16" t="n">
        <f aca="false">RANDBETWEEN(-30,100)/1000</f>
        <v>0.048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672.61</v>
      </c>
      <c r="D25" s="16" t="n">
        <f aca="false">Chạy!G35</f>
        <v>2.53</v>
      </c>
      <c r="E25" s="16" t="n">
        <f aca="false">D25+F25</f>
        <v>2.508</v>
      </c>
      <c r="F25" s="16" t="n">
        <f aca="false">RANDBETWEEN(-30,100)/1000</f>
        <v>-0.022</v>
      </c>
      <c r="G25" s="16" t="n">
        <f aca="false">Chạy!I35</f>
        <v>2.53</v>
      </c>
      <c r="H25" s="16" t="n">
        <f aca="false">G25+I25</f>
        <v>2.574</v>
      </c>
      <c r="I25" s="16" t="n">
        <f aca="false">RANDBETWEEN(-30,100)/1000</f>
        <v>0.044</v>
      </c>
      <c r="J25" s="16" t="n">
        <f aca="false">Chạy!M39</f>
        <v>2.53</v>
      </c>
      <c r="K25" s="16" t="n">
        <f aca="false">J25+L25</f>
        <v>2.507</v>
      </c>
      <c r="L25" s="16" t="n">
        <f aca="false">RANDBETWEEN(-30,100)/1000</f>
        <v>-0.023</v>
      </c>
      <c r="M25" s="16" t="n">
        <f aca="false">Chạy!O39</f>
        <v>2.53</v>
      </c>
      <c r="N25" s="16" t="n">
        <f aca="false">M25+O25</f>
        <v>2.587</v>
      </c>
      <c r="O25" s="16" t="n">
        <f aca="false">RANDBETWEEN(-30,100)/1000</f>
        <v>0.057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692.61</v>
      </c>
      <c r="D26" s="16" t="n">
        <f aca="false">Chạy!G43</f>
        <v>2.53</v>
      </c>
      <c r="E26" s="16" t="n">
        <f aca="false">D26+F26</f>
        <v>2.559</v>
      </c>
      <c r="F26" s="16" t="n">
        <f aca="false">RANDBETWEEN(-30,100)/1000</f>
        <v>0.029</v>
      </c>
      <c r="G26" s="16" t="n">
        <f aca="false">Chạy!I43</f>
        <v>2.53</v>
      </c>
      <c r="H26" s="16" t="n">
        <f aca="false">G26+I26</f>
        <v>2.508</v>
      </c>
      <c r="I26" s="16" t="n">
        <f aca="false">RANDBETWEEN(-30,100)/1000</f>
        <v>-0.022</v>
      </c>
      <c r="J26" s="16" t="n">
        <f aca="false">Chạy!M47</f>
        <v>2.53</v>
      </c>
      <c r="K26" s="16" t="n">
        <f aca="false">J26+L26</f>
        <v>2.622</v>
      </c>
      <c r="L26" s="16" t="n">
        <f aca="false">RANDBETWEEN(-30,100)/1000</f>
        <v>0.092</v>
      </c>
      <c r="M26" s="16" t="n">
        <f aca="false">Chạy!O47</f>
        <v>2.53</v>
      </c>
      <c r="N26" s="16" t="n">
        <f aca="false">M26+O26</f>
        <v>2.601</v>
      </c>
      <c r="O26" s="16" t="n">
        <f aca="false">RANDBETWEEN(-30,100)/1000</f>
        <v>0.071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712.61</v>
      </c>
      <c r="D27" s="16" t="n">
        <f aca="false">Chạy!G51</f>
        <v>2.53</v>
      </c>
      <c r="E27" s="16" t="n">
        <f aca="false">D27+F27</f>
        <v>2.596</v>
      </c>
      <c r="F27" s="16" t="n">
        <f aca="false">RANDBETWEEN(-30,100)/1000</f>
        <v>0.066</v>
      </c>
      <c r="G27" s="16" t="n">
        <f aca="false">Chạy!I51</f>
        <v>2.53</v>
      </c>
      <c r="H27" s="16" t="n">
        <f aca="false">G27+I27</f>
        <v>2.629</v>
      </c>
      <c r="I27" s="16" t="n">
        <f aca="false">RANDBETWEEN(-30,100)/1000</f>
        <v>0.099</v>
      </c>
      <c r="J27" s="16" t="n">
        <f aca="false">Chạy!M55</f>
        <v>2.53</v>
      </c>
      <c r="K27" s="16" t="n">
        <f aca="false">J27+L27</f>
        <v>2.526</v>
      </c>
      <c r="L27" s="16" t="n">
        <f aca="false">RANDBETWEEN(-30,100)/1000</f>
        <v>-0.004</v>
      </c>
      <c r="M27" s="16" t="n">
        <f aca="false">Chạy!O55</f>
        <v>2.53</v>
      </c>
      <c r="N27" s="16" t="n">
        <f aca="false">M27+O27</f>
        <v>2.533</v>
      </c>
      <c r="O27" s="16" t="n">
        <f aca="false">RANDBETWEEN(-30,100)/1000</f>
        <v>0.003</v>
      </c>
      <c r="P27" s="17"/>
      <c r="Q27" s="18" t="n">
        <v>11.5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724.11</v>
      </c>
      <c r="D28" s="16" t="n">
        <f aca="false">Chạy!G59</f>
        <v>2.53</v>
      </c>
      <c r="E28" s="16" t="n">
        <f aca="false">D28+F28</f>
        <v>2.519</v>
      </c>
      <c r="F28" s="16" t="n">
        <f aca="false">RANDBETWEEN(-30,100)/1000</f>
        <v>-0.011</v>
      </c>
      <c r="G28" s="16" t="n">
        <f aca="false">Chạy!I59</f>
        <v>2.53</v>
      </c>
      <c r="H28" s="16" t="n">
        <f aca="false">G28+I28</f>
        <v>2.586</v>
      </c>
      <c r="I28" s="16" t="n">
        <f aca="false">RANDBETWEEN(-30,100)/1000</f>
        <v>0.056</v>
      </c>
      <c r="J28" s="16" t="n">
        <f aca="false">Chạy!M63</f>
        <v>2.53</v>
      </c>
      <c r="K28" s="16" t="n">
        <f aca="false">J28+L28</f>
        <v>2.521</v>
      </c>
      <c r="L28" s="16" t="n">
        <f aca="false">RANDBETWEEN(-30,100)/1000</f>
        <v>-0.009</v>
      </c>
      <c r="M28" s="16" t="n">
        <f aca="false">Chạy!O63</f>
        <v>2.53</v>
      </c>
      <c r="N28" s="16" t="n">
        <f aca="false">M28+O28</f>
        <v>2.601</v>
      </c>
      <c r="O28" s="16" t="n">
        <f aca="false">RANDBETWEEN(-30,100)/1000</f>
        <v>0.071</v>
      </c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46</v>
      </c>
      <c r="D60" s="19"/>
      <c r="E60" s="19"/>
      <c r="F60" s="19"/>
      <c r="G60" s="20"/>
      <c r="H60" s="20"/>
      <c r="I60" s="20"/>
      <c r="K60" s="19" t="s">
        <v>47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48</v>
      </c>
      <c r="D65" s="19"/>
      <c r="E65" s="19"/>
      <c r="F65" s="19"/>
      <c r="G65" s="20"/>
      <c r="H65" s="20"/>
      <c r="I65" s="20"/>
      <c r="J65" s="21"/>
      <c r="K65" s="19" t="s">
        <v>49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50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104.NĐXD8/CVXD ngày 07 tháng 10 năm 2026</v>
      </c>
      <c r="B2" s="27"/>
      <c r="C2" s="27"/>
      <c r="D2" s="27"/>
      <c r="E2" s="27"/>
      <c r="F2" s="27"/>
      <c r="G2" s="27"/>
      <c r="AZ2">
        <v>104</v>
      </c>
    </row>
    <row r="3" s="5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32</v>
      </c>
      <c r="B7" s="32"/>
      <c r="C7" s="33"/>
      <c r="D7" s="34" t="str">
        <f>VLOOKUP(AZ2,'[1]Tuyến XD8'!$A$2:$B$60,2,0)</f>
        <v xml:space="preserve">Đắp đất lề đường lớp 3, độ chặt K&gt;=0,95 đoạn từ Km0+609,11 - Km0+724,11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36</v>
      </c>
      <c r="C9" s="36" t="s">
        <v>37</v>
      </c>
      <c r="D9" s="37" t="s">
        <v>51</v>
      </c>
      <c r="E9" s="38"/>
      <c r="F9" s="38"/>
      <c r="G9" s="37" t="s">
        <v>42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52</v>
      </c>
      <c r="F10" s="38" t="s">
        <v>53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31</v>
      </c>
      <c r="C11" s="15" t="n">
        <f aca="false">'1. KTHH L3'!C21</f>
        <v>609.11</v>
      </c>
      <c r="D11" s="13" t="n">
        <f aca="false">'1. KTHH L3'!Q21</f>
        <v>11.75</v>
      </c>
      <c r="E11" s="42" t="n">
        <f aca="false">Chạy!E3+Chạy!E7</f>
        <v>2.1</v>
      </c>
      <c r="F11" s="43" t="n">
        <f aca="false">(E11+E12)*D11/2</f>
        <v>24.675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E10</v>
      </c>
      <c r="C12" s="15" t="n">
        <f aca="false">'1. KTHH L3'!C22</f>
        <v>620.86</v>
      </c>
      <c r="D12" s="13" t="n">
        <f aca="false">'1. KTHH L3'!Q22</f>
        <v>11.75</v>
      </c>
      <c r="E12" s="42" t="n">
        <f aca="false">Chạy!E11+Chạy!E15</f>
        <v>2.1</v>
      </c>
      <c r="F12" s="43" t="n">
        <f aca="false">(E12+E13)*D12/2</f>
        <v>24.675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32</v>
      </c>
      <c r="C13" s="15" t="n">
        <f aca="false">'1. KTHH L3'!C23</f>
        <v>632.61</v>
      </c>
      <c r="D13" s="13" t="n">
        <f aca="false">'1. KTHH L3'!Q23</f>
        <v>20</v>
      </c>
      <c r="E13" s="42" t="n">
        <f aca="false">Chạy!E19+Chạy!E23</f>
        <v>2.1</v>
      </c>
      <c r="F13" s="43" t="n">
        <f aca="false">(E13+E14)*D13/2</f>
        <v>42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33</v>
      </c>
      <c r="C14" s="15" t="n">
        <f aca="false">'1. KTHH L3'!C24</f>
        <v>652.61</v>
      </c>
      <c r="D14" s="13" t="n">
        <f aca="false">'1. KTHH L3'!Q24</f>
        <v>20</v>
      </c>
      <c r="E14" s="42" t="n">
        <f aca="false">Chạy!E27+Chạy!E31</f>
        <v>2.1</v>
      </c>
      <c r="F14" s="43" t="n">
        <f aca="false">(E14+E15)*D14/2</f>
        <v>42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34</v>
      </c>
      <c r="C15" s="15" t="n">
        <f aca="false">'1. KTHH L3'!C25</f>
        <v>672.61</v>
      </c>
      <c r="D15" s="13" t="n">
        <f aca="false">'1. KTHH L3'!Q25</f>
        <v>20</v>
      </c>
      <c r="E15" s="42" t="n">
        <f aca="false">Chạy!E35+Chạy!E39</f>
        <v>2.1</v>
      </c>
      <c r="F15" s="43" t="n">
        <f aca="false">(E15+E16)*D15/2</f>
        <v>42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35</v>
      </c>
      <c r="C16" s="15" t="n">
        <f aca="false">'1. KTHH L3'!C26</f>
        <v>692.61</v>
      </c>
      <c r="D16" s="13" t="n">
        <f aca="false">'1. KTHH L3'!Q26</f>
        <v>20</v>
      </c>
      <c r="E16" s="42" t="n">
        <f aca="false">Chạy!E43+Chạy!E47</f>
        <v>2.1</v>
      </c>
      <c r="F16" s="43" t="n">
        <f aca="false">(E16+E17)*D16/2</f>
        <v>42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36</v>
      </c>
      <c r="C17" s="15" t="n">
        <f aca="false">'1. KTHH L3'!C27</f>
        <v>712.61</v>
      </c>
      <c r="D17" s="13" t="n">
        <f aca="false">'1. KTHH L3'!Q27</f>
        <v>11.5</v>
      </c>
      <c r="E17" s="42" t="n">
        <f aca="false">Chạy!E51+Chạy!E55</f>
        <v>2.1</v>
      </c>
      <c r="F17" s="43" t="n">
        <f aca="false">(E17+E18)*D17/2</f>
        <v>24.15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37</v>
      </c>
      <c r="C18" s="15" t="n">
        <f aca="false">'1. KTHH L3'!C28</f>
        <v>724.11</v>
      </c>
      <c r="D18" s="13"/>
      <c r="E18" s="42" t="n">
        <f aca="false">Chạy!E59+Chạy!E63</f>
        <v>2.1</v>
      </c>
      <c r="F18" s="43"/>
      <c r="G18" s="44"/>
      <c r="H18" s="39"/>
      <c r="I18" s="39"/>
      <c r="K18" s="39"/>
      <c r="L18" s="65"/>
    </row>
    <row r="19" s="41" customFormat="true" ht="22.5" hidden="true" customHeight="true" outlineLevel="0" collapsed="false">
      <c r="A19" s="13"/>
      <c r="B19" s="14"/>
      <c r="C19" s="15"/>
      <c r="D19" s="13"/>
      <c r="E19" s="42"/>
      <c r="F19" s="43"/>
      <c r="G19" s="44"/>
      <c r="H19" s="39"/>
      <c r="I19" s="39"/>
      <c r="K19" s="39"/>
      <c r="L19" s="65"/>
    </row>
    <row r="20" s="41" customFormat="true" ht="22.5" hidden="true" customHeight="true" outlineLevel="0" collapsed="false">
      <c r="A20" s="13"/>
      <c r="B20" s="14"/>
      <c r="C20" s="15"/>
      <c r="D20" s="13"/>
      <c r="E20" s="42"/>
      <c r="F20" s="43"/>
      <c r="G20" s="44"/>
      <c r="H20" s="39"/>
      <c r="I20" s="39"/>
      <c r="K20" s="39"/>
      <c r="L20" s="65"/>
    </row>
    <row r="21" s="41" customFormat="true" ht="22.5" hidden="true" customHeight="true" outlineLevel="0" collapsed="false">
      <c r="A21" s="13"/>
      <c r="B21" s="14"/>
      <c r="C21" s="15"/>
      <c r="D21" s="13"/>
      <c r="E21" s="42"/>
      <c r="F21" s="43"/>
      <c r="G21" s="44"/>
      <c r="H21" s="39"/>
      <c r="I21" s="39"/>
      <c r="K21" s="39"/>
      <c r="L21" s="65"/>
    </row>
    <row r="22" s="41" customFormat="true" ht="22.5" hidden="true" customHeight="true" outlineLevel="0" collapsed="false">
      <c r="A22" s="13"/>
      <c r="B22" s="14"/>
      <c r="C22" s="15"/>
      <c r="D22" s="13"/>
      <c r="E22" s="42"/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54</v>
      </c>
      <c r="B49" s="36"/>
      <c r="C49" s="36"/>
      <c r="D49" s="36"/>
      <c r="E49" s="47"/>
      <c r="F49" s="48" t="n">
        <f aca="false">SUM(F11:F18)</f>
        <v>241.5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46</v>
      </c>
      <c r="B51" s="19"/>
      <c r="C51" s="19"/>
      <c r="D51" s="57" t="s">
        <v>55</v>
      </c>
      <c r="E51" s="19" t="s">
        <v>47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48</v>
      </c>
      <c r="B57" s="19"/>
      <c r="C57" s="19"/>
      <c r="D57" s="21"/>
      <c r="E57" s="19" t="s">
        <v>49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XD8'!$A$2:$G$60,7,0)&amp;VLOOKUP(AZ2,'[1]Tuyến XD8'!$A$2:$G$60,4,0)</f>
        <v xml:space="preserve">Kèm theo BBNT số: 105.NĐXD8/CVXD ngày 08 tháng 10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105</v>
      </c>
    </row>
    <row r="3" customFormat="false" ht="15" hidden="false" customHeight="false" outlineLevel="0" collapsed="false">
      <c r="A3" s="22" t="s">
        <v>28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32</v>
      </c>
      <c r="C7" s="22"/>
      <c r="D7" s="22" t="str">
        <f>VLOOKUP(AZ2,'[1]Tuyến XD8'!$A$2:$B$60,2,0)</f>
        <v xml:space="preserve">Đắp đất lề đường lớp 4, độ chặt K&gt;=0,95 đoạn từ Km0+609,11 - Km0+724,11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35</v>
      </c>
      <c r="B18" s="10" t="s">
        <v>36</v>
      </c>
      <c r="C18" s="10" t="s">
        <v>37</v>
      </c>
      <c r="D18" s="11" t="s">
        <v>38</v>
      </c>
      <c r="E18" s="11"/>
      <c r="F18" s="11"/>
      <c r="G18" s="11" t="s">
        <v>39</v>
      </c>
      <c r="H18" s="11"/>
      <c r="I18" s="11"/>
      <c r="J18" s="11" t="s">
        <v>40</v>
      </c>
      <c r="K18" s="11"/>
      <c r="L18" s="11"/>
      <c r="M18" s="11" t="s">
        <v>41</v>
      </c>
      <c r="N18" s="11"/>
      <c r="O18" s="11"/>
      <c r="P18" s="10" t="s">
        <v>42</v>
      </c>
    </row>
    <row r="19" customFormat="false" ht="30" hidden="false" customHeight="true" outlineLevel="0" collapsed="false">
      <c r="A19" s="10"/>
      <c r="B19" s="10"/>
      <c r="C19" s="10"/>
      <c r="D19" s="11" t="s">
        <v>43</v>
      </c>
      <c r="E19" s="11" t="s">
        <v>44</v>
      </c>
      <c r="F19" s="11" t="s">
        <v>45</v>
      </c>
      <c r="G19" s="11" t="s">
        <v>43</v>
      </c>
      <c r="H19" s="11" t="s">
        <v>44</v>
      </c>
      <c r="I19" s="11" t="s">
        <v>45</v>
      </c>
      <c r="J19" s="11" t="s">
        <v>43</v>
      </c>
      <c r="K19" s="11" t="s">
        <v>44</v>
      </c>
      <c r="L19" s="11" t="s">
        <v>45</v>
      </c>
      <c r="M19" s="11" t="s">
        <v>43</v>
      </c>
      <c r="N19" s="11" t="s">
        <v>44</v>
      </c>
      <c r="O19" s="11" t="s">
        <v>45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609.11</v>
      </c>
      <c r="D20" s="16" t="n">
        <f aca="false">Chạy!G2</f>
        <v>2.86</v>
      </c>
      <c r="E20" s="16" t="n">
        <f aca="false">D20+F20</f>
        <v>2.89</v>
      </c>
      <c r="F20" s="16" t="n">
        <f aca="false">RANDBETWEEN(-30,100)/1000</f>
        <v>0.03</v>
      </c>
      <c r="G20" s="16" t="n">
        <f aca="false">Chạy!I2</f>
        <v>2.58</v>
      </c>
      <c r="H20" s="16" t="n">
        <f aca="false">G20+I20</f>
        <v>2.553</v>
      </c>
      <c r="I20" s="16" t="n">
        <f aca="false">RANDBETWEEN(-30,100)/1000</f>
        <v>-0.027</v>
      </c>
      <c r="J20" s="16" t="n">
        <f aca="false">Chạy!M6</f>
        <v>2.77</v>
      </c>
      <c r="K20" s="16" t="n">
        <f aca="false">J20+L20</f>
        <v>2.817</v>
      </c>
      <c r="L20" s="16" t="n">
        <f aca="false">RANDBETWEEN(-30,100)/1000</f>
        <v>0.047</v>
      </c>
      <c r="M20" s="16" t="n">
        <f aca="false">Chạy!O6</f>
        <v>2.77</v>
      </c>
      <c r="N20" s="16" t="n">
        <f aca="false">M20+O20</f>
        <v>2.742</v>
      </c>
      <c r="O20" s="16" t="n">
        <f aca="false">RANDBETWEEN(-30,100)/1000</f>
        <v>-0.028</v>
      </c>
      <c r="P20" s="17"/>
      <c r="Q20" s="18" t="n">
        <v>11.75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620.86</v>
      </c>
      <c r="D21" s="16" t="n">
        <f aca="false">Chạy!G10</f>
        <v>2.86</v>
      </c>
      <c r="E21" s="16" t="n">
        <f aca="false">D21+F21</f>
        <v>2.954</v>
      </c>
      <c r="F21" s="16" t="n">
        <f aca="false">RANDBETWEEN(-30,100)/1000</f>
        <v>0.094</v>
      </c>
      <c r="G21" s="16" t="n">
        <f aca="false">Chạy!I10</f>
        <v>2.58</v>
      </c>
      <c r="H21" s="16" t="n">
        <f aca="false">G21+I21</f>
        <v>2.557</v>
      </c>
      <c r="I21" s="16" t="n">
        <f aca="false">RANDBETWEEN(-30,100)/1000</f>
        <v>-0.023</v>
      </c>
      <c r="J21" s="16" t="n">
        <f aca="false">Chạy!M14</f>
        <v>2.77</v>
      </c>
      <c r="K21" s="16" t="n">
        <f aca="false">J21+L21</f>
        <v>2.832</v>
      </c>
      <c r="L21" s="16" t="n">
        <f aca="false">RANDBETWEEN(-30,100)/1000</f>
        <v>0.062</v>
      </c>
      <c r="M21" s="16" t="n">
        <f aca="false">Chạy!O14</f>
        <v>2.77</v>
      </c>
      <c r="N21" s="16" t="n">
        <f aca="false">M21+O21</f>
        <v>2.745</v>
      </c>
      <c r="O21" s="16" t="n">
        <f aca="false">RANDBETWEEN(-30,100)/1000</f>
        <v>-0.025</v>
      </c>
      <c r="P21" s="17"/>
      <c r="Q21" s="18" t="n">
        <v>11.75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632.61</v>
      </c>
      <c r="D22" s="16" t="n">
        <f aca="false">Chạy!G18</f>
        <v>2.87</v>
      </c>
      <c r="E22" s="16" t="n">
        <f aca="false">D22+F22</f>
        <v>2.902</v>
      </c>
      <c r="F22" s="16" t="n">
        <f aca="false">RANDBETWEEN(-30,100)/1000</f>
        <v>0.032</v>
      </c>
      <c r="G22" s="16" t="n">
        <f aca="false">Chạy!I18</f>
        <v>2.58</v>
      </c>
      <c r="H22" s="16" t="n">
        <f aca="false">G22+I22</f>
        <v>2.662</v>
      </c>
      <c r="I22" s="16" t="n">
        <f aca="false">RANDBETWEEN(-30,100)/1000</f>
        <v>0.082</v>
      </c>
      <c r="J22" s="16" t="n">
        <f aca="false">Chạy!M22</f>
        <v>2.77</v>
      </c>
      <c r="K22" s="16" t="n">
        <f aca="false">J22+L22</f>
        <v>2.852</v>
      </c>
      <c r="L22" s="16" t="n">
        <f aca="false">RANDBETWEEN(-30,100)/1000</f>
        <v>0.082</v>
      </c>
      <c r="M22" s="16" t="n">
        <f aca="false">Chạy!O22</f>
        <v>2.77</v>
      </c>
      <c r="N22" s="16" t="n">
        <f aca="false">M22+O22</f>
        <v>2.75</v>
      </c>
      <c r="O22" s="16" t="n">
        <f aca="false">RANDBETWEEN(-30,100)/1000</f>
        <v>-0.02</v>
      </c>
      <c r="P22" s="17"/>
      <c r="Q22" s="18" t="n">
        <v>20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652.61</v>
      </c>
      <c r="D23" s="16" t="n">
        <f aca="false">Chạy!G26</f>
        <v>2.87</v>
      </c>
      <c r="E23" s="16" t="n">
        <f aca="false">D23+F23</f>
        <v>2.859</v>
      </c>
      <c r="F23" s="16" t="n">
        <f aca="false">RANDBETWEEN(-30,100)/1000</f>
        <v>-0.011</v>
      </c>
      <c r="G23" s="16" t="n">
        <f aca="false">Chạy!I26</f>
        <v>2.58</v>
      </c>
      <c r="H23" s="16" t="n">
        <f aca="false">G23+I23</f>
        <v>2.648</v>
      </c>
      <c r="I23" s="16" t="n">
        <f aca="false">RANDBETWEEN(-30,100)/1000</f>
        <v>0.068</v>
      </c>
      <c r="J23" s="16" t="n">
        <f aca="false">Chạy!M30</f>
        <v>2.77</v>
      </c>
      <c r="K23" s="16" t="n">
        <f aca="false">J23+L23</f>
        <v>2.858</v>
      </c>
      <c r="L23" s="16" t="n">
        <f aca="false">RANDBETWEEN(-30,100)/1000</f>
        <v>0.088</v>
      </c>
      <c r="M23" s="16" t="n">
        <f aca="false">Chạy!O30</f>
        <v>2.77</v>
      </c>
      <c r="N23" s="16" t="n">
        <f aca="false">M23+O23</f>
        <v>2.823</v>
      </c>
      <c r="O23" s="16" t="n">
        <f aca="false">RANDBETWEEN(-30,100)/1000</f>
        <v>0.053</v>
      </c>
      <c r="P23" s="17"/>
      <c r="Q23" s="18" t="n">
        <v>20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672.61</v>
      </c>
      <c r="D24" s="16" t="n">
        <f aca="false">Chạy!G34</f>
        <v>2.87</v>
      </c>
      <c r="E24" s="16" t="n">
        <f aca="false">D24+F24</f>
        <v>2.967</v>
      </c>
      <c r="F24" s="16" t="n">
        <f aca="false">RANDBETWEEN(-30,100)/1000</f>
        <v>0.097</v>
      </c>
      <c r="G24" s="16" t="n">
        <f aca="false">Chạy!I34</f>
        <v>2.59</v>
      </c>
      <c r="H24" s="16" t="n">
        <f aca="false">G24+I24</f>
        <v>2.56</v>
      </c>
      <c r="I24" s="16" t="n">
        <f aca="false">RANDBETWEEN(-30,100)/1000</f>
        <v>-0.03</v>
      </c>
      <c r="J24" s="16" t="n">
        <f aca="false">Chạy!M38</f>
        <v>2.78</v>
      </c>
      <c r="K24" s="16" t="n">
        <f aca="false">J24+L24</f>
        <v>2.818</v>
      </c>
      <c r="L24" s="16" t="n">
        <f aca="false">RANDBETWEEN(-30,100)/1000</f>
        <v>0.038</v>
      </c>
      <c r="M24" s="16" t="n">
        <f aca="false">Chạy!O38</f>
        <v>2.77</v>
      </c>
      <c r="N24" s="16" t="n">
        <f aca="false">M24+O24</f>
        <v>2.784</v>
      </c>
      <c r="O24" s="16" t="n">
        <f aca="false">RANDBETWEEN(-30,100)/1000</f>
        <v>0.014</v>
      </c>
      <c r="P24" s="17"/>
      <c r="Q24" s="18" t="n">
        <v>20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692.61</v>
      </c>
      <c r="D25" s="16" t="n">
        <f aca="false">Chạy!G42</f>
        <v>2.87</v>
      </c>
      <c r="E25" s="16" t="n">
        <f aca="false">D25+F25</f>
        <v>2.968</v>
      </c>
      <c r="F25" s="16" t="n">
        <f aca="false">RANDBETWEEN(-30,100)/1000</f>
        <v>0.098</v>
      </c>
      <c r="G25" s="16" t="n">
        <f aca="false">Chạy!I42</f>
        <v>2.59</v>
      </c>
      <c r="H25" s="16" t="n">
        <f aca="false">G25+I25</f>
        <v>2.618</v>
      </c>
      <c r="I25" s="16" t="n">
        <f aca="false">RANDBETWEEN(-30,100)/1000</f>
        <v>0.028</v>
      </c>
      <c r="J25" s="16" t="n">
        <f aca="false">Chạy!M46</f>
        <v>2.78</v>
      </c>
      <c r="K25" s="16" t="n">
        <f aca="false">J25+L25</f>
        <v>2.867</v>
      </c>
      <c r="L25" s="16" t="n">
        <f aca="false">RANDBETWEEN(-30,100)/1000</f>
        <v>0.087</v>
      </c>
      <c r="M25" s="16" t="n">
        <f aca="false">Chạy!O46</f>
        <v>2.77</v>
      </c>
      <c r="N25" s="16" t="n">
        <f aca="false">M25+O25</f>
        <v>2.805</v>
      </c>
      <c r="O25" s="16" t="n">
        <f aca="false">RANDBETWEEN(-30,100)/1000</f>
        <v>0.035</v>
      </c>
      <c r="P25" s="17"/>
      <c r="Q25" s="18" t="n">
        <v>20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712.61</v>
      </c>
      <c r="D26" s="16" t="n">
        <f aca="false">Chạy!G50</f>
        <v>2.87</v>
      </c>
      <c r="E26" s="16" t="n">
        <f aca="false">D26+F26</f>
        <v>2.969</v>
      </c>
      <c r="F26" s="16" t="n">
        <f aca="false">RANDBETWEEN(-30,100)/1000</f>
        <v>0.099</v>
      </c>
      <c r="G26" s="16" t="n">
        <f aca="false">Chạy!I50</f>
        <v>2.59</v>
      </c>
      <c r="H26" s="16" t="n">
        <f aca="false">G26+I26</f>
        <v>2.664</v>
      </c>
      <c r="I26" s="16" t="n">
        <f aca="false">RANDBETWEEN(-30,100)/1000</f>
        <v>0.074</v>
      </c>
      <c r="J26" s="16" t="n">
        <f aca="false">Chạy!M54</f>
        <v>2.78</v>
      </c>
      <c r="K26" s="16" t="n">
        <f aca="false">J26+L26</f>
        <v>2.779</v>
      </c>
      <c r="L26" s="16" t="n">
        <f aca="false">RANDBETWEEN(-30,100)/1000</f>
        <v>-0.001</v>
      </c>
      <c r="M26" s="16" t="n">
        <f aca="false">Chạy!O54</f>
        <v>2.77</v>
      </c>
      <c r="N26" s="16" t="n">
        <f aca="false">M26+O26</f>
        <v>2.851</v>
      </c>
      <c r="O26" s="16" t="n">
        <f aca="false">RANDBETWEEN(-30,100)/1000</f>
        <v>0.081</v>
      </c>
      <c r="P26" s="17"/>
      <c r="Q26" s="18" t="n">
        <v>11.5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724.11</v>
      </c>
      <c r="D27" s="16" t="n">
        <f aca="false">Chạy!G58</f>
        <v>2.87</v>
      </c>
      <c r="E27" s="16" t="n">
        <f aca="false">D27+F27</f>
        <v>2.959</v>
      </c>
      <c r="F27" s="16" t="n">
        <f aca="false">RANDBETWEEN(-30,100)/1000</f>
        <v>0.089</v>
      </c>
      <c r="G27" s="16" t="n">
        <f aca="false">Chạy!I58</f>
        <v>2.59</v>
      </c>
      <c r="H27" s="16" t="n">
        <f aca="false">G27+I27</f>
        <v>2.641</v>
      </c>
      <c r="I27" s="16" t="n">
        <f aca="false">RANDBETWEEN(-30,100)/1000</f>
        <v>0.051</v>
      </c>
      <c r="J27" s="16" t="n">
        <f aca="false">Chạy!M62</f>
        <v>2.78</v>
      </c>
      <c r="K27" s="16" t="n">
        <f aca="false">J27+L27</f>
        <v>2.835</v>
      </c>
      <c r="L27" s="16" t="n">
        <f aca="false">RANDBETWEEN(-30,100)/1000</f>
        <v>0.055</v>
      </c>
      <c r="M27" s="16" t="n">
        <f aca="false">Chạy!O62</f>
        <v>2.78</v>
      </c>
      <c r="N27" s="16" t="n">
        <f aca="false">M27+O27</f>
        <v>2.868</v>
      </c>
      <c r="O27" s="16" t="n">
        <f aca="false">RANDBETWEEN(-30,100)/1000</f>
        <v>0.088</v>
      </c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46</v>
      </c>
      <c r="D59" s="19"/>
      <c r="E59" s="19"/>
      <c r="F59" s="19"/>
      <c r="G59" s="20"/>
      <c r="H59" s="20"/>
      <c r="I59" s="20"/>
      <c r="K59" s="19" t="s">
        <v>47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48</v>
      </c>
      <c r="D64" s="19"/>
      <c r="E64" s="19"/>
      <c r="F64" s="19"/>
      <c r="G64" s="20"/>
      <c r="H64" s="20"/>
      <c r="I64" s="20"/>
      <c r="J64" s="21"/>
      <c r="K64" s="19" t="s">
        <v>62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50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105.NĐXD8/CVXD ngày 08 tháng 10 năm 2026</v>
      </c>
      <c r="B2" s="27"/>
      <c r="C2" s="27"/>
      <c r="D2" s="27"/>
      <c r="E2" s="27"/>
      <c r="F2" s="27"/>
      <c r="G2" s="27"/>
      <c r="AZ2">
        <v>105</v>
      </c>
    </row>
    <row r="3" s="33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32</v>
      </c>
      <c r="B7" s="32"/>
      <c r="D7" s="34" t="str">
        <f>VLOOKUP(AZ2,'[1]Tuyến XD8'!$A$2:$B$60,2,0)</f>
        <v xml:space="preserve">Đắp đất lề đường lớp 4, độ chặt K&gt;=0,95 đoạn từ Km0+609,11 - Km0+724,11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36</v>
      </c>
      <c r="C9" s="36" t="s">
        <v>37</v>
      </c>
      <c r="D9" s="37" t="s">
        <v>51</v>
      </c>
      <c r="E9" s="38"/>
      <c r="F9" s="38"/>
      <c r="G9" s="37" t="s">
        <v>42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52</v>
      </c>
      <c r="F10" s="38" t="s">
        <v>53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31</v>
      </c>
      <c r="C11" s="15" t="n">
        <f aca="false">'1. KTHH L4'!C20</f>
        <v>609.11</v>
      </c>
      <c r="D11" s="13" t="n">
        <f aca="false">'1. KTHH L4'!Q20</f>
        <v>11.75</v>
      </c>
      <c r="E11" s="42" t="n">
        <f aca="false">Chạy!E2+Chạy!E6</f>
        <v>3.12</v>
      </c>
      <c r="F11" s="43" t="n">
        <f aca="false">(E11+E12)*D11/2</f>
        <v>36.66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E10</v>
      </c>
      <c r="C12" s="15" t="n">
        <f aca="false">'1. KTHH L4'!C21</f>
        <v>620.86</v>
      </c>
      <c r="D12" s="13" t="n">
        <f aca="false">'1. KTHH L4'!Q21</f>
        <v>11.75</v>
      </c>
      <c r="E12" s="42" t="n">
        <f aca="false">Chạy!E10+Chạy!E14</f>
        <v>3.12</v>
      </c>
      <c r="F12" s="43" t="n">
        <f aca="false">(E12+E13)*D12/2</f>
        <v>36.66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32</v>
      </c>
      <c r="C13" s="15" t="n">
        <f aca="false">'1. KTHH L4'!C22</f>
        <v>632.61</v>
      </c>
      <c r="D13" s="13" t="n">
        <f aca="false">'1. KTHH L4'!Q22</f>
        <v>20</v>
      </c>
      <c r="E13" s="42" t="n">
        <f aca="false">Chạy!E18+Chạy!E22</f>
        <v>3.12</v>
      </c>
      <c r="F13" s="43" t="n">
        <f aca="false">(E13+E14)*D13/2</f>
        <v>62.4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33</v>
      </c>
      <c r="C14" s="15" t="n">
        <f aca="false">'1. KTHH L4'!C23</f>
        <v>652.61</v>
      </c>
      <c r="D14" s="13" t="n">
        <f aca="false">'1. KTHH L4'!Q23</f>
        <v>20</v>
      </c>
      <c r="E14" s="42" t="n">
        <f aca="false">Chạy!E26+Chạy!E30</f>
        <v>3.12</v>
      </c>
      <c r="F14" s="43" t="n">
        <f aca="false">(E14+E15)*D14/2</f>
        <v>62.4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34</v>
      </c>
      <c r="C15" s="15" t="n">
        <f aca="false">'1. KTHH L4'!C24</f>
        <v>672.61</v>
      </c>
      <c r="D15" s="13" t="n">
        <f aca="false">'1. KTHH L4'!Q24</f>
        <v>20</v>
      </c>
      <c r="E15" s="42" t="n">
        <f aca="false">Chạy!E34+Chạy!E38</f>
        <v>3.12</v>
      </c>
      <c r="F15" s="43" t="n">
        <f aca="false">(E15+E16)*D15/2</f>
        <v>62.4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35</v>
      </c>
      <c r="C16" s="15" t="n">
        <f aca="false">'1. KTHH L4'!C25</f>
        <v>692.61</v>
      </c>
      <c r="D16" s="13" t="n">
        <f aca="false">'1. KTHH L4'!Q25</f>
        <v>20</v>
      </c>
      <c r="E16" s="42" t="n">
        <f aca="false">Chạy!E42+Chạy!E46</f>
        <v>3.12</v>
      </c>
      <c r="F16" s="43" t="n">
        <f aca="false">(E16+E17)*D16/2</f>
        <v>62.4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36</v>
      </c>
      <c r="C17" s="15" t="n">
        <f aca="false">'1. KTHH L4'!C26</f>
        <v>712.61</v>
      </c>
      <c r="D17" s="13" t="n">
        <f aca="false">'1. KTHH L4'!Q26</f>
        <v>11.5</v>
      </c>
      <c r="E17" s="42" t="n">
        <f aca="false">Chạy!E50+Chạy!E54</f>
        <v>3.12</v>
      </c>
      <c r="F17" s="43" t="n">
        <f aca="false">(E17+E18)*D17/2</f>
        <v>35.88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37</v>
      </c>
      <c r="C18" s="15" t="n">
        <f aca="false">'1. KTHH L4'!C27</f>
        <v>724.11</v>
      </c>
      <c r="D18" s="13"/>
      <c r="E18" s="42" t="n">
        <f aca="false">Chạy!E58+Chạy!E62</f>
        <v>3.12</v>
      </c>
      <c r="F18" s="43"/>
      <c r="G18" s="44"/>
      <c r="H18" s="54"/>
      <c r="I18" s="69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54"/>
      <c r="I19" s="69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54"/>
      <c r="I20" s="69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54"/>
      <c r="I21" s="69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54</v>
      </c>
      <c r="B49" s="36"/>
      <c r="C49" s="36"/>
      <c r="D49" s="36"/>
      <c r="E49" s="47"/>
      <c r="F49" s="48" t="n">
        <f aca="false">SUM(F11:F18)</f>
        <v>358.8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46</v>
      </c>
      <c r="B51" s="19"/>
      <c r="C51" s="19"/>
      <c r="D51" s="57" t="s">
        <v>55</v>
      </c>
      <c r="E51" s="19" t="s">
        <v>47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48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2026-10-13T07:38:48Z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