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" sheetId="1" state="visible" r:id="rId3"/>
    <sheet name="Tuyến XD8" sheetId="2" state="visible" r:id="rId4"/>
    <sheet name="1. PL đường đen" sheetId="3" state="visible" r:id="rId5"/>
    <sheet name="2. Cao độ đào nền" sheetId="4" state="visible" r:id="rId6"/>
    <sheet name="2. KL đào nền" sheetId="5" state="visible" r:id="rId7"/>
    <sheet name="3. KTHH vải lọc" sheetId="6" state="visible" r:id="rId8"/>
    <sheet name="3. KL vải lọc" sheetId="7" state="visible" r:id="rId9"/>
    <sheet name="chạy VL" sheetId="8" state="hidden" r:id="rId10"/>
    <sheet name="KL tưới nhựa" sheetId="9" state="visible" r:id="rId11"/>
    <sheet name="CĐ mặt đường" sheetId="10" state="visible" r:id="rId12"/>
    <sheet name="KL BTN" sheetId="11" state="visible" r:id="rId13"/>
  </sheets>
  <definedNames>
    <definedName function="false" hidden="false" localSheetId="2" name="_xlnm.Print_Area" vbProcedure="false">'1. PL đường đen'!$A$1:$S$60</definedName>
    <definedName function="false" hidden="false" localSheetId="2" name="_xlnm.Print_Titles" vbProcedure="false">'1. PL đường đen'!$10:$11</definedName>
    <definedName function="false" hidden="false" localSheetId="3" name="_xlnm.Print_Area" vbProcedure="false">'2. Cao độ đào nền'!$A$1:$V$70</definedName>
    <definedName function="false" hidden="false" localSheetId="3" name="_xlnm.Print_Titles" vbProcedure="false">'2. Cao độ đào nền'!$20:$21</definedName>
    <definedName function="false" hidden="false" localSheetId="4" name="_xlnm.Print_Area" vbProcedure="false">'2. KL đào nền'!$A$1:$M$60</definedName>
    <definedName function="false" hidden="false" localSheetId="4" name="_xlnm.Print_Titles" vbProcedure="false">'2. KL đào nền'!$9:$10</definedName>
    <definedName function="false" hidden="false" localSheetId="6" name="_xlnm.Print_Area" vbProcedure="false">'3. KL vải lọc'!$A$1:$M$60</definedName>
    <definedName function="false" hidden="false" localSheetId="5" name="_xlnm.Print_Area" vbProcedure="false">'3. KTHH vải lọc'!$A$1:$V$70</definedName>
    <definedName function="false" hidden="false" localSheetId="5" name="_xlnm.Print_Titles" vbProcedure="false">'3. KTHH vải lọc'!$20:$21</definedName>
    <definedName function="false" hidden="false" localSheetId="9" name="_xlnm.Print_Area" vbProcedure="false">'CĐ mặt đường'!$A$1:$S$68</definedName>
    <definedName function="false" hidden="false" localSheetId="9" name="_xlnm.Print_Titles" vbProcedure="false">'CĐ mặt đường'!$20:$21</definedName>
    <definedName function="false" hidden="false" localSheetId="0" name="_xlnm.Print_Titles" vbProcedure="false">IN!$7:$7</definedName>
    <definedName function="false" hidden="false" localSheetId="10" name="_xlnm.Print_Area" vbProcedure="false">'KL BTN'!$A$1:$K$58</definedName>
    <definedName function="false" hidden="false" localSheetId="8" name="_xlnm.Print_Area" vbProcedure="false">'KL tưới nhựa'!$A$1:$K$58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5" authorId="0">
      <text>
        <r>
          <rPr>
            <sz val="10"/>
            <rFont val="Arial"/>
            <family val="2"/>
          </rPr>
          <t xml:space="preserve">Microsoft Cop.:
Nghỉ từ 16-19</t>
        </r>
      </text>
    </comment>
  </commentList>
</comments>
</file>

<file path=xl/sharedStrings.xml><?xml version="1.0" encoding="utf-8"?>
<sst xmlns="http://schemas.openxmlformats.org/spreadsheetml/2006/main" count="465" uniqueCount="147">
  <si>
    <t xml:space="preserve">DANH MỤC NGHIỆM THU</t>
  </si>
  <si>
    <t xml:space="preserve">Dự án: Xây dựng hạ tầng kỹ thuật Khu tái định cư phục vụ di dân xã Hải Hà, thị xã Nghi Sơn, tỉnh Thanh Hóa</t>
  </si>
  <si>
    <t xml:space="preserve">Gói thầu số 12: Xây dựng hạ tầng kỹ thuật khu vực Hải Bình và Xuân Lâm (bao gồm cả bảo hiểm xây dựng công trình) </t>
  </si>
  <si>
    <t xml:space="preserve">Nhà thầu thi công : Công ty TNHH Hoàng Tuấn</t>
  </si>
  <si>
    <t xml:space="preserve">Hạng mục: Nền đường tuyến XD8 đoạn từ Km0+609,11-:-Km0+724,11</t>
  </si>
  <si>
    <t xml:space="preserve">STT</t>
  </si>
  <si>
    <t xml:space="preserve">Nội dung nghiệm thu</t>
  </si>
  <si>
    <t xml:space="preserve">Thời gian nghiệm thu</t>
  </si>
  <si>
    <t xml:space="preserve">Thời gian bắt đầu</t>
  </si>
  <si>
    <t xml:space="preserve">Thời gian kết thúc</t>
  </si>
  <si>
    <t xml:space="preserve">Thời gian bằng chữ</t>
  </si>
  <si>
    <t xml:space="preserve">Bản vẽ</t>
  </si>
  <si>
    <t xml:space="preserve">Số PYC </t>
  </si>
  <si>
    <t xml:space="preserve">Số BBNT</t>
  </si>
  <si>
    <t xml:space="preserve">Giờ bắt đầu</t>
  </si>
  <si>
    <t xml:space="preserve">Phút bắt đầu</t>
  </si>
  <si>
    <t xml:space="preserve">Tiêu chuẩn</t>
  </si>
  <si>
    <t xml:space="preserve">Giờ kết thúc</t>
  </si>
  <si>
    <t xml:space="preserve">Phút kết thúc</t>
  </si>
  <si>
    <t xml:space="preserve">Ngày</t>
  </si>
  <si>
    <t xml:space="preserve">Tháng</t>
  </si>
  <si>
    <t xml:space="preserve">Năm</t>
  </si>
  <si>
    <t xml:space="preserve">Kỹ thuật TC</t>
  </si>
  <si>
    <t xml:space="preserve">Giám sát</t>
  </si>
  <si>
    <t xml:space="preserve">Số BBNT vật liệu, thiết bị</t>
  </si>
  <si>
    <t xml:space="preserve">Thời gian nghiệm thu vật liệu</t>
  </si>
  <si>
    <t xml:space="preserve">Kiểm tra cao độ đường đen đoạn từ Km0+609,11 -:- Km0+724,11</t>
  </si>
  <si>
    <t xml:space="preserve">Tuyến XD8</t>
  </si>
  <si>
    <t xml:space="preserve">00</t>
  </si>
  <si>
    <t xml:space="preserve">Nguyễn Xuân Hưng</t>
  </si>
  <si>
    <t xml:space="preserve">Lê Quốc Huy</t>
  </si>
  <si>
    <t xml:space="preserve">Đào đất xử lý nền đường đoạn từ Km0+609,11 - Km0+724,11</t>
  </si>
  <si>
    <t xml:space="preserve">TCVN 4447-2012: Công tác đất. Thi công và nghiệm thu.</t>
  </si>
  <si>
    <t xml:space="preserve">Rải vải địa kỹ thuật đoạn từ Km0+609,11 - Km0+724,11</t>
  </si>
  <si>
    <t xml:space="preserve">TCVN 9844 : 2013 Vải địa kỹ thuật trong xây dựng nền đắp trên đất yếu - Tiêu chuẩn thiết kế, thi công và nghiệm thu</t>
  </si>
  <si>
    <t xml:space="preserve">Đắp cát nền đường lớp 1 đoạn từ Km0+609,11 - Km0+724,11, độ chặt K&gt;=0,95</t>
  </si>
  <si>
    <t xml:space="preserve">Đắp cát nền đường lớp 2 đoạn từ Km0+609,11 - Km0+724,11, độ chặt K&gt;=0,95</t>
  </si>
  <si>
    <t xml:space="preserve">Đắp cát nền đường lớp 3 đoạn từ Km0+609,11 - Km0+724,11, độ chặt K&gt;=0,95</t>
  </si>
  <si>
    <t xml:space="preserve">Đắp cát nền đường lớp 4 đoạn từ Km0+609,11 - Km0+724,11, độ chặt K&gt;=0,95</t>
  </si>
  <si>
    <t xml:space="preserve">Đắp đất nền đường lớp 1 đoạn từ Km0+609,11 - Km0+724,11, độ chặt K&gt;=0,95</t>
  </si>
  <si>
    <t xml:space="preserve">Đắp đất nền đường lớp 2 đoạn từ Km0+609,11 - Km0+724,11, độ chặt K&gt;=0,95</t>
  </si>
  <si>
    <t xml:space="preserve">Đắp đất nền đường lớp 3 đoạn từ Km0+609,11 - Km0+724,11, độ chặt K&gt;=0,95</t>
  </si>
  <si>
    <t xml:space="preserve">Đắp đất nền đường lớp 4 đoạn từ Km0+609,11 - Km0+724,11, độ chặt K&gt;=0,95</t>
  </si>
  <si>
    <t xml:space="preserve">Đắp đất nền đường lớp 5 đoạn từ Km0+609,11 - Km0+724,11, độ chặt K&gt;=0,95</t>
  </si>
  <si>
    <t xml:space="preserve">Đắp đất nền đường lớp 6 đoạn từ Km0+609,11 - Km0+724,11, độ chặt K&gt;=0,95</t>
  </si>
  <si>
    <t xml:space="preserve">Đắp đất nền đường lớp 7 đoạn từ Km0+609,11 - Km0+724,11, độ chặt K&gt;=0,95</t>
  </si>
  <si>
    <t xml:space="preserve">Đắp đất nền đường lớp 8 đoạn từ Km0+609,11 - Km0+724,11, độ chặt K&gt;=0,95</t>
  </si>
  <si>
    <t xml:space="preserve">Đắp đất nền đường lớp 1, độ chặt K&gt;=0,98 đoạn từ Km0+609,11 - Km0+724,11</t>
  </si>
  <si>
    <t xml:space="preserve">Đắp đất lề đường lớp 1, độ chặt K&gt;=0,95 đoạn từ Km0+609,11 - Km0+724,11</t>
  </si>
  <si>
    <t xml:space="preserve">Đắp đất nền đường lớp 2, độ chặt K&gt;=0,98 đoạn từ Km0+609,11 - Km0+724,11</t>
  </si>
  <si>
    <t xml:space="preserve">Đắp đất lề đường lớp 2, độ chặt K&gt;=0,95 đoạn từ Km0+609,11 - Km0+724,11</t>
  </si>
  <si>
    <t xml:space="preserve">Đắp cấp phối đá dăm loại 2 đoạn từ Km0+609,11 - Km0+724,11</t>
  </si>
  <si>
    <t xml:space="preserve">TCVN 8859:2023 Lớp móng cấp phối đá dăm trong kết cấu áo đường</t>
  </si>
  <si>
    <t xml:space="preserve">Đắp đất lề đường lớp 3, độ chặt K&gt;=0,95 đoạn từ Km0+609,11 - Km0+724,11</t>
  </si>
  <si>
    <t xml:space="preserve">Đắp đất lề đường lớp 4, độ chặt K&gt;=0,95 đoạn từ Km0+609,11 - Km0+724,11</t>
  </si>
  <si>
    <t xml:space="preserve">Đắp cấp phối đá dăm loại 1 đoạn từ Km0+609,11 - Km0+724,11</t>
  </si>
  <si>
    <t xml:space="preserve">Vệ sinh, thổi bụi mặt đường </t>
  </si>
  <si>
    <t xml:space="preserve">Tưới lớp thấm bám mặt đường, nhựa MC70, lượng nhựa 1kg/m2</t>
  </si>
  <si>
    <t xml:space="preserve">+ TCVN 13567-1: 2022. Lớp mặt đường bằng hỗn hợp nhựa nóng. Thi công và nghiệm thu. </t>
  </si>
  <si>
    <t xml:space="preserve">Rải thảm mặt đường bê tông nhựa C16 - Chiều dày mặt đường đã lèn ép 6cm</t>
  </si>
  <si>
    <t xml:space="preserve">Bê tông nhựa C16 - Chiều dày mặt đường đã lèn ép 6cm</t>
  </si>
  <si>
    <t xml:space="preserve">PHỤ LỤC KIỂM TRA CAO ĐỘ ĐƯỜNG ĐEN 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</si>
  <si>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</si>
  <si>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</si>
  <si>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</si>
  <si>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</si>
  <si>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</si>
  <si>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</si>
  <si>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</si>
  <si>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</si>
  <si>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</si>
  <si>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</si>
  <si>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Bên trái (H2)</t>
  </si>
  <si>
    <t xml:space="preserve">Tim (H3)</t>
  </si>
  <si>
    <t xml:space="preserve">Bên phải (H4)</t>
  </si>
  <si>
    <t xml:space="preserve">Bên phải (H5)</t>
  </si>
  <si>
    <t xml:space="preserve">Ghi chú</t>
  </si>
  <si>
    <t xml:space="preserve">CDTK</t>
  </si>
  <si>
    <t xml:space="preserve">CDTC</t>
  </si>
  <si>
    <t xml:space="preserve">Chênh CD</t>
  </si>
  <si>
    <t xml:space="preserve">31</t>
  </si>
  <si>
    <t xml:space="preserve">E10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</si>
  <si>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</si>
  <si>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</si>
  <si>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</si>
  <si>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</si>
  <si>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</si>
  <si>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</si>
  <si>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NHÀ THẦU THI CÔNG</t>
  </si>
  <si>
    <t xml:space="preserve">TƯ VẤN GIÁM SÁT</t>
  </si>
  <si>
    <t xml:space="preserve">PHỤ LỤC KIỂM TRA CAO ĐỘ ĐÀO NỀN ĐƯỜNG </t>
  </si>
  <si>
    <t xml:space="preserve">Tim (H2)</t>
  </si>
  <si>
    <t xml:space="preserve">Bên phải (H3)</t>
  </si>
  <si>
    <t xml:space="preserve">Chiều rộng đáy đào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</si>
  <si>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</si>
  <si>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</si>
  <si>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</si>
  <si>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</si>
  <si>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</si>
  <si>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</si>
  <si>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CRTK (m)</t>
  </si>
  <si>
    <t xml:space="preserve">CRTC (m)</t>
  </si>
  <si>
    <t xml:space="preserve">Chênh CR (m)</t>
  </si>
  <si>
    <t xml:space="preserve">PHỤ LỤC KHỐI LƯỢNG </t>
  </si>
  <si>
    <t xml:space="preserve">K/c lẻ</t>
  </si>
  <si>
    <t xml:space="preserve">Đào xử lý nền đường</t>
  </si>
  <si>
    <t xml:space="preserve">Diện tích (m2)</t>
  </si>
  <si>
    <t xml:space="preserve">Khối lượng (m3)</t>
  </si>
  <si>
    <t xml:space="preserve">Ghi 
chú</t>
  </si>
  <si>
    <t xml:space="preserve">Diện tích</t>
  </si>
  <si>
    <t xml:space="preserve">Đào xử
 lý nền </t>
  </si>
  <si>
    <t xml:space="preserve">Đào đánh 
cấp </t>
  </si>
  <si>
    <t xml:space="preserve">Đào 
khuôn </t>
  </si>
  <si>
    <t xml:space="preserve">Đào khuôn 
</t>
  </si>
  <si>
    <t xml:space="preserve">Tổng cộng (m3)</t>
  </si>
  <si>
    <t xml:space="preserve">                 </t>
  </si>
  <si>
    <t xml:space="preserve">PHỤ LỤC KIỂM TRA KÍCH THƯỚC HÌNH HỌC</t>
  </si>
  <si>
    <t xml:space="preserve">L1 (m)</t>
  </si>
  <si>
    <t xml:space="preserve">L2 (m)</t>
  </si>
  <si>
    <t xml:space="preserve">L3 (m)</t>
  </si>
  <si>
    <t xml:space="preserve">L4 (m)</t>
  </si>
  <si>
    <t xml:space="preserve">L5 (m)</t>
  </si>
  <si>
    <t xml:space="preserve">L6 (m)</t>
  </si>
  <si>
    <t xml:space="preserve">Thiết kế (m)</t>
  </si>
  <si>
    <t xml:space="preserve">Thi công (m)</t>
  </si>
  <si>
    <t xml:space="preserve">Chênh lệch (m)</t>
  </si>
  <si>
    <t xml:space="preserve">Khối lượng vải địa kỹ thuật</t>
  </si>
  <si>
    <t xml:space="preserve">Khối lượng thi công</t>
  </si>
  <si>
    <t xml:space="preserve">Chiều dài (m)</t>
  </si>
  <si>
    <t xml:space="preserve">Tên lớp</t>
  </si>
  <si>
    <t xml:space="preserve">Phần</t>
  </si>
  <si>
    <t xml:space="preserve">B trái</t>
  </si>
  <si>
    <t xml:space="preserve">B phải</t>
  </si>
  <si>
    <t xml:space="preserve">gập</t>
  </si>
  <si>
    <t xml:space="preserve">taluy</t>
  </si>
  <si>
    <t xml:space="preserve">đáy</t>
  </si>
  <si>
    <t xml:space="preserve">PHỤ LỤC KHỐI LƯỢNG TƯỚI NHỰA</t>
  </si>
  <si>
    <t xml:space="preserve">Tên 
cọc</t>
  </si>
  <si>
    <t xml:space="preserve">Bề rộng tưới nhựa</t>
  </si>
  <si>
    <t xml:space="preserve">Diện tích tưới nhựa</t>
  </si>
  <si>
    <t xml:space="preserve">Thiết kế</t>
  </si>
  <si>
    <t xml:space="preserve">Thực tế</t>
  </si>
  <si>
    <t xml:space="preserve">Chênh 
lệch</t>
  </si>
  <si>
    <t xml:space="preserve">Chênh
 lệch</t>
  </si>
  <si>
    <t xml:space="preserve">Lê Minh Hải</t>
  </si>
  <si>
    <t xml:space="preserve">PHỤ LỤC KIỂM TRA CAO ĐỘ MẶT ĐƯỜNG </t>
  </si>
  <si>
    <t xml:space="preserve">Sơ hoạ: 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</si>
</sst>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_(* #,##0.00_);_(* \(#,##0.00\);_(* \-??_);_(@_)"/>
    <numFmt numFmtId="166" formatCode="0&quot; giờ&quot;"/>
    <numFmt numFmtId="167" formatCode="d/m/yyyy;@"/>
    <numFmt numFmtId="168" formatCode="0&quot; giờ&quot;"/>
    <numFmt numFmtId="169" formatCode="General"/>
    <numFmt numFmtId="170" formatCode="m/d/yyyy"/>
    <numFmt numFmtId="171" formatCode="dd/mm/yyyy"/>
    <numFmt numFmtId="172" formatCode="0"/>
    <numFmt numFmtId="173" formatCode="#,##0.00;\-#,##0.00;;@"/>
    <numFmt numFmtId="174" formatCode="&quot;Km&quot;0\+000.00"/>
    <numFmt numFmtId="175" formatCode="#,##0.000"/>
    <numFmt numFmtId="176" formatCode="0.00"/>
    <numFmt numFmtId="177" formatCode="_(* #,##0.000_);_(* \(#,##0.000\);_(* \-??_);_(@_)"/>
    <numFmt numFmtId="178" formatCode="_-* #,##0\ _₫_-;\-* #,##0\ _₫_-;_-* \-??\ _₫_-;_-@_-"/>
    <numFmt numFmtId="179" formatCode="0.00_);\(0.00\)"/>
    <numFmt numFmtId="180" formatCode="_-* #,##0.00\ _₫_-;\-* #,##0.00\ _₫_-;_-* \-??\ _₫_-;_-@_-"/>
    <numFmt numFmtId="181" formatCode="_(* #,##0_);_(* \(#,##0\);_(* \-??_);_(@_)"/>
  </numFmts>
  <fonts count="48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3"/>
      <color theme="1"/>
      <name val="Times New Roman"/>
      <family val="2"/>
      <charset val="1"/>
    </font>
    <font>
      <b val="true"/>
      <sz val="12"/>
      <name val="Times New Roman"/>
      <family val="2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Calibri"/>
      <family val="2"/>
      <charset val="163"/>
    </font>
    <font>
      <b val="true"/>
      <sz val="13"/>
      <color theme="1"/>
      <name val="Times New Roman"/>
      <family val="1"/>
      <charset val="1"/>
    </font>
    <font>
      <b val="true"/>
      <sz val="13"/>
      <name val="Times New Roman"/>
      <family val="2"/>
      <charset val="1"/>
    </font>
    <font>
      <sz val="13"/>
      <name val="Times New Roman"/>
      <family val="1"/>
      <charset val="1"/>
    </font>
    <font>
      <sz val="13"/>
      <name val="Times New Roman"/>
      <family val="2"/>
      <charset val="1"/>
    </font>
    <font>
      <sz val="10"/>
      <color theme="1"/>
      <name val="Times New Roman"/>
      <family val="1"/>
      <charset val="1"/>
    </font>
    <font>
      <sz val="10"/>
      <name val="Arial"/>
      <family val="2"/>
    </font>
    <font>
      <b val="true"/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color theme="1"/>
      <name val="Calibri"/>
      <family val="2"/>
      <charset val="163"/>
    </font>
    <font>
      <sz val="14"/>
      <name val="Times New Roman"/>
      <family val="1"/>
      <charset val="1"/>
    </font>
    <font>
      <sz val="14"/>
      <name val="Calibri"/>
      <family val="2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1"/>
      <name val="Calibri"/>
      <family val="2"/>
      <charset val="1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sz val="10"/>
      <name val="Times New Roman"/>
      <family val="1"/>
      <charset val="1"/>
    </font>
    <font>
      <i val="true"/>
      <sz val="13"/>
      <name val="Times New Roman"/>
      <family val="1"/>
      <charset val="1"/>
    </font>
    <font>
      <sz val="13"/>
      <name val=".VnTime"/>
      <family val="2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3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theme="1"/>
      <name val=".VnArial Narrow"/>
      <family val="2"/>
      <charset val="1"/>
    </font>
    <font>
      <b val="true"/>
      <sz val="11"/>
      <color theme="1"/>
      <name val=".VnArial Narrow"/>
      <family val="2"/>
      <charset val="1"/>
    </font>
    <font>
      <i val="true"/>
      <sz val="12"/>
      <name val="Times New Roman"/>
      <family val="1"/>
      <charset val="1"/>
    </font>
    <font>
      <sz val="11"/>
      <name val="Times New Roman"/>
      <family val="2"/>
      <charset val="1"/>
    </font>
    <font>
      <sz val="11"/>
      <name val=".VnTimeH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6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9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1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2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29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8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8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8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2" fillId="0" borderId="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7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8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302400</xdr:colOff>
      <xdr:row>7</xdr:row>
      <xdr:rowOff>212760</xdr:rowOff>
    </xdr:from>
    <xdr:to>
      <xdr:col>14</xdr:col>
      <xdr:colOff>526320</xdr:colOff>
      <xdr:row>17</xdr:row>
      <xdr:rowOff>182520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2094480" y="1898640"/>
          <a:ext cx="6867720" cy="1922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22320</xdr:colOff>
      <xdr:row>7</xdr:row>
      <xdr:rowOff>156960</xdr:rowOff>
    </xdr:from>
    <xdr:to>
      <xdr:col>15</xdr:col>
      <xdr:colOff>347040</xdr:colOff>
      <xdr:row>17</xdr:row>
      <xdr:rowOff>66600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734120" y="1842840"/>
          <a:ext cx="7391160" cy="1862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130320</xdr:colOff>
      <xdr:row>7</xdr:row>
      <xdr:rowOff>101160</xdr:rowOff>
    </xdr:from>
    <xdr:to>
      <xdr:col>13</xdr:col>
      <xdr:colOff>452160</xdr:colOff>
      <xdr:row>17</xdr:row>
      <xdr:rowOff>178920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915120" y="1644120"/>
          <a:ext cx="8519760" cy="209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6" activeCellId="0" sqref="T1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49.57"/>
    <col collapsed="false" customWidth="true" hidden="false" outlineLevel="0" max="3" min="3" style="1" width="15.42"/>
    <col collapsed="false" customWidth="true" hidden="false" outlineLevel="0" max="4" min="4" style="1" width="8"/>
    <col collapsed="false" customWidth="true" hidden="false" outlineLevel="0" max="5" min="5" style="1" width="3.15"/>
    <col collapsed="false" customWidth="true" hidden="false" outlineLevel="0" max="6" min="6" style="1" width="7.15"/>
    <col collapsed="false" customWidth="true" hidden="false" outlineLevel="0" max="7" min="7" style="1" width="3.15"/>
    <col collapsed="false" customWidth="false" hidden="false" outlineLevel="0" max="16384" min="8" style="1" width="9.14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36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36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6.5" hidden="false" customHeight="true" outlineLevel="0" collapsed="false">
      <c r="A4" s="4" t="s">
        <v>3</v>
      </c>
      <c r="B4" s="4"/>
      <c r="C4" s="5"/>
    </row>
    <row r="5" customFormat="false" ht="16.5" hidden="false" customHeight="true" outlineLevel="0" collapsed="false">
      <c r="A5" s="4" t="s">
        <v>4</v>
      </c>
      <c r="B5" s="6"/>
      <c r="C5" s="7"/>
    </row>
    <row r="6" customFormat="false" ht="16.5" hidden="false" customHeight="true" outlineLevel="0" collapsed="false">
      <c r="A6" s="7"/>
      <c r="B6" s="6"/>
      <c r="C6" s="7"/>
    </row>
    <row r="7" s="10" customFormat="true" ht="51" hidden="false" customHeight="true" outlineLevel="0" collapsed="false">
      <c r="A7" s="8" t="s">
        <v>5</v>
      </c>
      <c r="B7" s="8" t="s">
        <v>6</v>
      </c>
      <c r="C7" s="8" t="s">
        <v>7</v>
      </c>
      <c r="D7" s="9" t="s">
        <v>8</v>
      </c>
      <c r="E7" s="9"/>
      <c r="F7" s="9" t="s">
        <v>9</v>
      </c>
      <c r="G7" s="9"/>
    </row>
    <row r="8" s="10" customFormat="true" ht="15.75" hidden="true" customHeight="true" outlineLevel="0" collapsed="false">
      <c r="A8" s="11"/>
      <c r="B8" s="12"/>
      <c r="C8" s="13"/>
      <c r="D8" s="14" t="n">
        <f aca="false">'Tuyến XD8'!H2</f>
        <v>0</v>
      </c>
      <c r="E8" s="14" t="n">
        <f aca="false">'Tuyến XD8'!I2</f>
        <v>0</v>
      </c>
      <c r="F8" s="15" t="n">
        <f aca="false">'Tuyến XD8'!K2</f>
        <v>0</v>
      </c>
      <c r="G8" s="15" t="n">
        <f aca="false">'Tuyến XD8'!L2</f>
        <v>0</v>
      </c>
    </row>
    <row r="9" s="10" customFormat="true" ht="47.25" hidden="false" customHeight="true" outlineLevel="0" collapsed="false">
      <c r="A9" s="16" t="n">
        <f aca="false">'Tuyến XD8'!A3</f>
        <v>84</v>
      </c>
      <c r="B9" s="17" t="str">
        <f aca="false">'Tuyến XD8'!B3</f>
        <v>Kiểm tra cao độ đường đen đoạn từ Km0+609,11 -:- Km0+724,11</v>
      </c>
      <c r="C9" s="18" t="n">
        <f aca="false">'Tuyến XD8'!C3</f>
        <v>46291</v>
      </c>
      <c r="D9" s="19" t="n">
        <f aca="false">'Tuyến XD8'!H3</f>
        <v>9</v>
      </c>
      <c r="E9" s="20" t="str">
        <f aca="false">'Tuyến XD8'!I3</f>
        <v>00</v>
      </c>
      <c r="F9" s="19" t="n">
        <f aca="false">'Tuyến XD8'!K3</f>
        <v>9</v>
      </c>
      <c r="G9" s="20" t="n">
        <f aca="false">'Tuyến XD8'!L3</f>
        <v>30</v>
      </c>
    </row>
    <row r="10" s="10" customFormat="true" ht="36" hidden="false" customHeight="true" outlineLevel="0" collapsed="false">
      <c r="A10" s="21" t="n">
        <f aca="false">'Tuyến XD8'!A4</f>
        <v>85</v>
      </c>
      <c r="B10" s="22" t="str">
        <f aca="false">'Tuyến XD8'!B4</f>
        <v>Đào đất xử lý nền đường đoạn từ Km0+609,11 - Km0+724,11</v>
      </c>
      <c r="C10" s="23" t="n">
        <f aca="false">'Tuyến XD8'!C4</f>
        <v>46292</v>
      </c>
      <c r="D10" s="24" t="n">
        <f aca="false">'Tuyến XD8'!H4</f>
        <v>11</v>
      </c>
      <c r="E10" s="25" t="str">
        <f aca="false">'Tuyến XD8'!I4</f>
        <v>00</v>
      </c>
      <c r="F10" s="24" t="n">
        <f aca="false">'Tuyến XD8'!K4</f>
        <v>11</v>
      </c>
      <c r="G10" s="25" t="n">
        <f aca="false">'Tuyến XD8'!L4</f>
        <v>30</v>
      </c>
    </row>
    <row r="11" s="10" customFormat="true" ht="36" hidden="false" customHeight="true" outlineLevel="0" collapsed="false">
      <c r="A11" s="21" t="n">
        <f aca="false">'Tuyến XD8'!A5</f>
        <v>86</v>
      </c>
      <c r="B11" s="22" t="str">
        <f aca="false">'Tuyến XD8'!B5</f>
        <v>Rải vải địa kỹ thuật đoạn từ Km0+609,11 - Km0+724,11</v>
      </c>
      <c r="C11" s="23" t="n">
        <f aca="false">'Tuyến XD8'!C5</f>
        <v>46293</v>
      </c>
      <c r="D11" s="24" t="n">
        <f aca="false">'Tuyến XD8'!H5</f>
        <v>14</v>
      </c>
      <c r="E11" s="25" t="str">
        <f aca="false">'Tuyến XD8'!I5</f>
        <v>00</v>
      </c>
      <c r="F11" s="24" t="n">
        <f aca="false">'Tuyến XD8'!K5</f>
        <v>14</v>
      </c>
      <c r="G11" s="25" t="n">
        <f aca="false">'Tuyến XD8'!L5</f>
        <v>30</v>
      </c>
    </row>
    <row r="12" s="10" customFormat="true" ht="36" hidden="false" customHeight="true" outlineLevel="0" collapsed="false">
      <c r="A12" s="21" t="n">
        <f aca="false">'Tuyến XD8'!A6</f>
        <v>87</v>
      </c>
      <c r="B12" s="22" t="str">
        <f aca="false">'Tuyến XD8'!B6</f>
        <v>Đắp cát nền đường lớp 1 đoạn từ Km0+609,11 - Km0+724,11, độ chặt K&gt;=0,95</v>
      </c>
      <c r="C12" s="23" t="n">
        <f aca="false">'Tuyến XD8'!C6</f>
        <v>46293</v>
      </c>
      <c r="D12" s="24" t="n">
        <f aca="false">'Tuyến XD8'!H6</f>
        <v>17</v>
      </c>
      <c r="E12" s="25" t="str">
        <f aca="false">'Tuyến XD8'!I6</f>
        <v>00</v>
      </c>
      <c r="F12" s="24" t="n">
        <f aca="false">'Tuyến XD8'!K6</f>
        <v>17</v>
      </c>
      <c r="G12" s="25" t="n">
        <f aca="false">'Tuyến XD8'!L6</f>
        <v>30</v>
      </c>
    </row>
    <row r="13" s="10" customFormat="true" ht="36" hidden="false" customHeight="true" outlineLevel="0" collapsed="false">
      <c r="A13" s="21" t="n">
        <f aca="false">'Tuyến XD8'!A7</f>
        <v>88</v>
      </c>
      <c r="B13" s="22" t="str">
        <f aca="false">'Tuyến XD8'!B7</f>
        <v>Đắp cát nền đường lớp 2 đoạn từ Km0+609,11 - Km0+724,11, độ chặt K&gt;=0,95</v>
      </c>
      <c r="C13" s="23" t="n">
        <f aca="false">'Tuyến XD8'!C7</f>
        <v>46294</v>
      </c>
      <c r="D13" s="24" t="n">
        <f aca="false">'Tuyến XD8'!H7</f>
        <v>9</v>
      </c>
      <c r="E13" s="25" t="str">
        <f aca="false">'Tuyến XD8'!I7</f>
        <v>00</v>
      </c>
      <c r="F13" s="24" t="n">
        <f aca="false">'Tuyến XD8'!K7</f>
        <v>9</v>
      </c>
      <c r="G13" s="25" t="n">
        <f aca="false">'Tuyến XD8'!L7</f>
        <v>30</v>
      </c>
    </row>
    <row r="14" s="10" customFormat="true" ht="36" hidden="false" customHeight="true" outlineLevel="0" collapsed="false">
      <c r="A14" s="21" t="n">
        <f aca="false">'Tuyến XD8'!A8</f>
        <v>89</v>
      </c>
      <c r="B14" s="22" t="str">
        <f aca="false">'Tuyến XD8'!B8</f>
        <v>Đắp cát nền đường lớp 3 đoạn từ Km0+609,11 - Km0+724,11, độ chặt K&gt;=0,95</v>
      </c>
      <c r="C14" s="23" t="n">
        <f aca="false">'Tuyến XD8'!C8</f>
        <v>46294</v>
      </c>
      <c r="D14" s="24" t="n">
        <f aca="false">'Tuyến XD8'!H8</f>
        <v>15</v>
      </c>
      <c r="E14" s="25" t="str">
        <f aca="false">'Tuyến XD8'!I8</f>
        <v>00</v>
      </c>
      <c r="F14" s="24" t="n">
        <f aca="false">'Tuyến XD8'!K8</f>
        <v>15</v>
      </c>
      <c r="G14" s="25" t="n">
        <f aca="false">'Tuyến XD8'!L8</f>
        <v>30</v>
      </c>
    </row>
    <row r="15" s="10" customFormat="true" ht="36" hidden="false" customHeight="true" outlineLevel="0" collapsed="false">
      <c r="A15" s="21" t="n">
        <f aca="false">'Tuyến XD8'!A9</f>
        <v>90</v>
      </c>
      <c r="B15" s="22" t="str">
        <f aca="false">'Tuyến XD8'!B9</f>
        <v>Đắp cát nền đường lớp 4 đoạn từ Km0+609,11 - Km0+724,11, độ chặt K&gt;=0,95</v>
      </c>
      <c r="C15" s="23" t="n">
        <f aca="false">'Tuyến XD8'!C9</f>
        <v>46295</v>
      </c>
      <c r="D15" s="24" t="n">
        <f aca="false">'Tuyến XD8'!H9</f>
        <v>9</v>
      </c>
      <c r="E15" s="25" t="str">
        <f aca="false">'Tuyến XD8'!I9</f>
        <v>00</v>
      </c>
      <c r="F15" s="24" t="n">
        <f aca="false">'Tuyến XD8'!K9</f>
        <v>9</v>
      </c>
      <c r="G15" s="25" t="n">
        <f aca="false">'Tuyến XD8'!L9</f>
        <v>30</v>
      </c>
    </row>
    <row r="16" s="10" customFormat="true" ht="36" hidden="false" customHeight="true" outlineLevel="0" collapsed="false">
      <c r="A16" s="21" t="n">
        <f aca="false">'Tuyến XD8'!A10</f>
        <v>91</v>
      </c>
      <c r="B16" s="22" t="str">
        <f aca="false">'Tuyến XD8'!B10</f>
        <v>Đắp đất nền đường lớp 1 đoạn từ Km0+609,11 - Km0+724,11, độ chặt K&gt;=0,95</v>
      </c>
      <c r="C16" s="23" t="n">
        <f aca="false">'Tuyến XD8'!C10</f>
        <v>46295</v>
      </c>
      <c r="D16" s="24" t="n">
        <f aca="false">'Tuyến XD8'!H10</f>
        <v>15</v>
      </c>
      <c r="E16" s="25" t="str">
        <f aca="false">'Tuyến XD8'!I10</f>
        <v>00</v>
      </c>
      <c r="F16" s="24" t="n">
        <f aca="false">'Tuyến XD8'!K10</f>
        <v>15</v>
      </c>
      <c r="G16" s="25" t="n">
        <f aca="false">'Tuyến XD8'!L10</f>
        <v>30</v>
      </c>
    </row>
    <row r="17" s="10" customFormat="true" ht="36" hidden="false" customHeight="true" outlineLevel="0" collapsed="false">
      <c r="A17" s="21" t="n">
        <f aca="false">'Tuyến XD8'!A11</f>
        <v>92</v>
      </c>
      <c r="B17" s="22" t="str">
        <f aca="false">'Tuyến XD8'!B11</f>
        <v>Đắp đất nền đường lớp 2 đoạn từ Km0+609,11 - Km0+724,11, độ chặt K&gt;=0,95</v>
      </c>
      <c r="C17" s="23" t="n">
        <f aca="false">'Tuyến XD8'!C11</f>
        <v>46296</v>
      </c>
      <c r="D17" s="24" t="n">
        <f aca="false">'Tuyến XD8'!H11</f>
        <v>9</v>
      </c>
      <c r="E17" s="25" t="str">
        <f aca="false">'Tuyến XD8'!I11</f>
        <v>00</v>
      </c>
      <c r="F17" s="24" t="n">
        <f aca="false">'Tuyến XD8'!K11</f>
        <v>9</v>
      </c>
      <c r="G17" s="25" t="n">
        <f aca="false">'Tuyến XD8'!L11</f>
        <v>30</v>
      </c>
    </row>
    <row r="18" s="10" customFormat="true" ht="36" hidden="false" customHeight="true" outlineLevel="0" collapsed="false">
      <c r="A18" s="21" t="n">
        <f aca="false">'Tuyến XD8'!A12</f>
        <v>93</v>
      </c>
      <c r="B18" s="22" t="str">
        <f aca="false">'Tuyến XD8'!B12</f>
        <v>Đắp đất nền đường lớp 3 đoạn từ Km0+609,11 - Km0+724,11, độ chặt K&gt;=0,95</v>
      </c>
      <c r="C18" s="23" t="n">
        <f aca="false">'Tuyến XD8'!C12</f>
        <v>46296</v>
      </c>
      <c r="D18" s="24" t="n">
        <f aca="false">'Tuyến XD8'!H12</f>
        <v>15</v>
      </c>
      <c r="E18" s="25" t="str">
        <f aca="false">'Tuyến XD8'!I12</f>
        <v>00</v>
      </c>
      <c r="F18" s="24" t="n">
        <f aca="false">'Tuyến XD8'!K12</f>
        <v>15</v>
      </c>
      <c r="G18" s="25" t="n">
        <f aca="false">'Tuyến XD8'!L12</f>
        <v>30</v>
      </c>
    </row>
    <row r="19" s="10" customFormat="true" ht="36" hidden="false" customHeight="true" outlineLevel="0" collapsed="false">
      <c r="A19" s="21" t="n">
        <f aca="false">'Tuyến XD8'!A13</f>
        <v>94</v>
      </c>
      <c r="B19" s="22" t="str">
        <f aca="false">'Tuyến XD8'!B13</f>
        <v>Đắp đất nền đường lớp 4 đoạn từ Km0+609,11 - Km0+724,11, độ chặt K&gt;=0,95</v>
      </c>
      <c r="C19" s="23" t="n">
        <f aca="false">'Tuyến XD8'!C13</f>
        <v>46297</v>
      </c>
      <c r="D19" s="24" t="n">
        <f aca="false">'Tuyến XD8'!H13</f>
        <v>9</v>
      </c>
      <c r="E19" s="25" t="str">
        <f aca="false">'Tuyến XD8'!I13</f>
        <v>00</v>
      </c>
      <c r="F19" s="24" t="n">
        <f aca="false">'Tuyến XD8'!K13</f>
        <v>9</v>
      </c>
      <c r="G19" s="25" t="n">
        <f aca="false">'Tuyến XD8'!L13</f>
        <v>30</v>
      </c>
    </row>
    <row r="20" s="10" customFormat="true" ht="36" hidden="false" customHeight="true" outlineLevel="0" collapsed="false">
      <c r="A20" s="21" t="n">
        <f aca="false">'Tuyến XD8'!A14</f>
        <v>95</v>
      </c>
      <c r="B20" s="22" t="str">
        <f aca="false">'Tuyến XD8'!B14</f>
        <v>Đắp đất nền đường lớp 5 đoạn từ Km0+609,11 - Km0+724,11, độ chặt K&gt;=0,95</v>
      </c>
      <c r="C20" s="23" t="n">
        <f aca="false">'Tuyến XD8'!C14</f>
        <v>46297</v>
      </c>
      <c r="D20" s="24" t="n">
        <f aca="false">'Tuyến XD8'!H14</f>
        <v>15</v>
      </c>
      <c r="E20" s="25" t="str">
        <f aca="false">'Tuyến XD8'!I14</f>
        <v>00</v>
      </c>
      <c r="F20" s="24" t="n">
        <f aca="false">'Tuyến XD8'!K14</f>
        <v>15</v>
      </c>
      <c r="G20" s="25" t="n">
        <f aca="false">'Tuyến XD8'!L14</f>
        <v>30</v>
      </c>
    </row>
    <row r="21" s="10" customFormat="true" ht="36" hidden="false" customHeight="true" outlineLevel="0" collapsed="false">
      <c r="A21" s="21" t="n">
        <f aca="false">'Tuyến XD8'!A15</f>
        <v>96</v>
      </c>
      <c r="B21" s="22" t="str">
        <f aca="false">'Tuyến XD8'!B15</f>
        <v>Đắp đất nền đường lớp 6 đoạn từ Km0+609,11 - Km0+724,11, độ chặt K&gt;=0,95</v>
      </c>
      <c r="C21" s="23" t="n">
        <f aca="false">'Tuyến XD8'!C15</f>
        <v>46298</v>
      </c>
      <c r="D21" s="24" t="n">
        <f aca="false">'Tuyến XD8'!H15</f>
        <v>9</v>
      </c>
      <c r="E21" s="25" t="str">
        <f aca="false">'Tuyến XD8'!I15</f>
        <v>00</v>
      </c>
      <c r="F21" s="24" t="n">
        <f aca="false">'Tuyến XD8'!K15</f>
        <v>9</v>
      </c>
      <c r="G21" s="25" t="n">
        <f aca="false">'Tuyến XD8'!L15</f>
        <v>30</v>
      </c>
    </row>
    <row r="22" s="10" customFormat="true" ht="36" hidden="false" customHeight="true" outlineLevel="0" collapsed="false">
      <c r="A22" s="21" t="n">
        <f aca="false">'Tuyến XD8'!A16</f>
        <v>97</v>
      </c>
      <c r="B22" s="22" t="str">
        <f aca="false">'Tuyến XD8'!B16</f>
        <v>Đắp đất nền đường lớp 7 đoạn từ Km0+609,11 - Km0+724,11, độ chặt K&gt;=0,95</v>
      </c>
      <c r="C22" s="23" t="n">
        <f aca="false">'Tuyến XD8'!C16</f>
        <v>46298</v>
      </c>
      <c r="D22" s="24" t="n">
        <f aca="false">'Tuyến XD8'!H16</f>
        <v>15</v>
      </c>
      <c r="E22" s="25" t="str">
        <f aca="false">'Tuyến XD8'!I16</f>
        <v>00</v>
      </c>
      <c r="F22" s="24" t="n">
        <f aca="false">'Tuyến XD8'!K16</f>
        <v>15</v>
      </c>
      <c r="G22" s="25" t="n">
        <f aca="false">'Tuyến XD8'!L16</f>
        <v>30</v>
      </c>
    </row>
    <row r="23" s="26" customFormat="true" ht="36" hidden="false" customHeight="true" outlineLevel="0" collapsed="false">
      <c r="A23" s="21" t="n">
        <f aca="false">'Tuyến XD8'!A17</f>
        <v>98</v>
      </c>
      <c r="B23" s="22" t="str">
        <f aca="false">'Tuyến XD8'!B17</f>
        <v>Đắp đất nền đường lớp 8 đoạn từ Km0+609,11 - Km0+724,11, độ chặt K&gt;=0,95</v>
      </c>
      <c r="C23" s="23" t="n">
        <f aca="false">'Tuyến XD8'!C17</f>
        <v>46299</v>
      </c>
      <c r="D23" s="24" t="n">
        <f aca="false">'Tuyến XD8'!H17</f>
        <v>9</v>
      </c>
      <c r="E23" s="25" t="str">
        <f aca="false">'Tuyến XD8'!I17</f>
        <v>00</v>
      </c>
      <c r="F23" s="24" t="n">
        <f aca="false">'Tuyến XD8'!K17</f>
        <v>9</v>
      </c>
      <c r="G23" s="25" t="n">
        <f aca="false">'Tuyến XD8'!L17</f>
        <v>30</v>
      </c>
    </row>
    <row r="24" s="10" customFormat="true" ht="36" hidden="false" customHeight="true" outlineLevel="0" collapsed="false">
      <c r="A24" s="21" t="n">
        <f aca="false">'Tuyến XD8'!A18</f>
        <v>99</v>
      </c>
      <c r="B24" s="22" t="str">
        <f aca="false">'Tuyến XD8'!B18</f>
        <v>Đắp đất nền đường lớp 1, độ chặt K&gt;=0,98 đoạn từ Km0+609,11 - Km0+724,11</v>
      </c>
      <c r="C24" s="23" t="n">
        <f aca="false">'Tuyến XD8'!C18</f>
        <v>46300</v>
      </c>
      <c r="D24" s="24" t="n">
        <f aca="false">'Tuyến XD8'!H18</f>
        <v>9</v>
      </c>
      <c r="E24" s="25" t="str">
        <f aca="false">'Tuyến XD8'!I18</f>
        <v>00</v>
      </c>
      <c r="F24" s="24" t="n">
        <f aca="false">'Tuyến XD8'!K18</f>
        <v>9</v>
      </c>
      <c r="G24" s="25" t="n">
        <f aca="false">'Tuyến XD8'!L18</f>
        <v>30</v>
      </c>
    </row>
    <row r="25" s="10" customFormat="true" ht="36" hidden="false" customHeight="true" outlineLevel="0" collapsed="false">
      <c r="A25" s="21" t="n">
        <f aca="false">'Tuyến XD8'!A19</f>
        <v>100</v>
      </c>
      <c r="B25" s="22" t="str">
        <f aca="false">'Tuyến XD8'!B19</f>
        <v>Đắp đất lề đường lớp 1, độ chặt K&gt;=0,95 đoạn từ Km0+609,11 - Km0+724,11</v>
      </c>
      <c r="C25" s="23" t="n">
        <f aca="false">'Tuyến XD8'!C19</f>
        <v>46300</v>
      </c>
      <c r="D25" s="24" t="n">
        <f aca="false">'Tuyến XD8'!H19</f>
        <v>15</v>
      </c>
      <c r="E25" s="25" t="str">
        <f aca="false">'Tuyến XD8'!I19</f>
        <v>00</v>
      </c>
      <c r="F25" s="24" t="n">
        <f aca="false">'Tuyến XD8'!K19</f>
        <v>15</v>
      </c>
      <c r="G25" s="25" t="n">
        <f aca="false">'Tuyến XD8'!L19</f>
        <v>30</v>
      </c>
    </row>
    <row r="26" s="10" customFormat="true" ht="36" hidden="false" customHeight="true" outlineLevel="0" collapsed="false">
      <c r="A26" s="21" t="n">
        <f aca="false">'Tuyến XD8'!A20</f>
        <v>101</v>
      </c>
      <c r="B26" s="22" t="str">
        <f aca="false">'Tuyến XD8'!B20</f>
        <v>Đắp đất nền đường lớp 2, độ chặt K&gt;=0,98 đoạn từ Km0+609,11 - Km0+724,11</v>
      </c>
      <c r="C26" s="23" t="n">
        <f aca="false">'Tuyến XD8'!C20</f>
        <v>46301</v>
      </c>
      <c r="D26" s="24" t="n">
        <f aca="false">'Tuyến XD8'!H20</f>
        <v>9</v>
      </c>
      <c r="E26" s="25" t="str">
        <f aca="false">'Tuyến XD8'!I20</f>
        <v>00</v>
      </c>
      <c r="F26" s="24" t="n">
        <f aca="false">'Tuyến XD8'!K20</f>
        <v>9</v>
      </c>
      <c r="G26" s="25" t="n">
        <f aca="false">'Tuyến XD8'!L20</f>
        <v>30</v>
      </c>
    </row>
    <row r="27" s="10" customFormat="true" ht="36" hidden="false" customHeight="true" outlineLevel="0" collapsed="false">
      <c r="A27" s="21" t="n">
        <f aca="false">'Tuyến XD8'!A21</f>
        <v>102</v>
      </c>
      <c r="B27" s="22" t="str">
        <f aca="false">'Tuyến XD8'!B21</f>
        <v>Đắp đất lề đường lớp 2, độ chặt K&gt;=0,95 đoạn từ Km0+609,11 - Km0+724,11</v>
      </c>
      <c r="C27" s="23" t="n">
        <f aca="false">'Tuyến XD8'!C21</f>
        <v>46301</v>
      </c>
      <c r="D27" s="24" t="n">
        <f aca="false">'Tuyến XD8'!H21</f>
        <v>15</v>
      </c>
      <c r="E27" s="25" t="str">
        <f aca="false">'Tuyến XD8'!I21</f>
        <v>00</v>
      </c>
      <c r="F27" s="24" t="n">
        <f aca="false">'Tuyến XD8'!K21</f>
        <v>15</v>
      </c>
      <c r="G27" s="25" t="n">
        <f aca="false">'Tuyến XD8'!L21</f>
        <v>30</v>
      </c>
    </row>
    <row r="28" s="10" customFormat="true" ht="36" hidden="false" customHeight="true" outlineLevel="0" collapsed="false">
      <c r="A28" s="21" t="n">
        <f aca="false">'Tuyến XD8'!A22</f>
        <v>103</v>
      </c>
      <c r="B28" s="22" t="str">
        <f aca="false">'Tuyến XD8'!B22</f>
        <v>Đắp cấp phối đá dăm loại 2 đoạn từ Km0+609,11 - Km0+724,11</v>
      </c>
      <c r="C28" s="23" t="n">
        <f aca="false">'Tuyến XD8'!C22</f>
        <v>46302</v>
      </c>
      <c r="D28" s="24" t="n">
        <f aca="false">'Tuyến XD8'!H22</f>
        <v>9</v>
      </c>
      <c r="E28" s="25" t="str">
        <f aca="false">'Tuyến XD8'!I22</f>
        <v>00</v>
      </c>
      <c r="F28" s="24" t="n">
        <f aca="false">'Tuyến XD8'!K22</f>
        <v>9</v>
      </c>
      <c r="G28" s="25" t="n">
        <f aca="false">'Tuyến XD8'!L22</f>
        <v>30</v>
      </c>
    </row>
    <row r="29" s="10" customFormat="true" ht="36" hidden="false" customHeight="true" outlineLevel="0" collapsed="false">
      <c r="A29" s="21" t="n">
        <f aca="false">'Tuyến XD8'!A23</f>
        <v>104</v>
      </c>
      <c r="B29" s="22" t="str">
        <f aca="false">'Tuyến XD8'!B23</f>
        <v>Đắp đất lề đường lớp 3, độ chặt K&gt;=0,95 đoạn từ Km0+609,11 - Km0+724,11</v>
      </c>
      <c r="C29" s="23" t="n">
        <f aca="false">'Tuyến XD8'!C23</f>
        <v>46302</v>
      </c>
      <c r="D29" s="24" t="n">
        <f aca="false">'Tuyến XD8'!H23</f>
        <v>15</v>
      </c>
      <c r="E29" s="25" t="str">
        <f aca="false">'Tuyến XD8'!I23</f>
        <v>00</v>
      </c>
      <c r="F29" s="24" t="n">
        <f aca="false">'Tuyến XD8'!K23</f>
        <v>15</v>
      </c>
      <c r="G29" s="25" t="n">
        <f aca="false">'Tuyến XD8'!L23</f>
        <v>30</v>
      </c>
    </row>
    <row r="30" s="10" customFormat="true" ht="36" hidden="false" customHeight="true" outlineLevel="0" collapsed="false">
      <c r="A30" s="21" t="n">
        <f aca="false">'Tuyến XD8'!A24</f>
        <v>105</v>
      </c>
      <c r="B30" s="22" t="str">
        <f aca="false">'Tuyến XD8'!B24</f>
        <v>Đắp đất lề đường lớp 4, độ chặt K&gt;=0,95 đoạn từ Km0+609,11 - Km0+724,11</v>
      </c>
      <c r="C30" s="23" t="n">
        <f aca="false">'Tuyến XD8'!C24</f>
        <v>46303</v>
      </c>
      <c r="D30" s="24" t="n">
        <f aca="false">'Tuyến XD8'!H24</f>
        <v>9</v>
      </c>
      <c r="E30" s="25" t="str">
        <f aca="false">'Tuyến XD8'!I24</f>
        <v>00</v>
      </c>
      <c r="F30" s="24" t="n">
        <f aca="false">'Tuyến XD8'!K24</f>
        <v>9</v>
      </c>
      <c r="G30" s="25" t="n">
        <f aca="false">'Tuyến XD8'!L24</f>
        <v>30</v>
      </c>
    </row>
    <row r="31" customFormat="false" ht="31.5" hidden="false" customHeight="true" outlineLevel="0" collapsed="false">
      <c r="A31" s="21" t="n">
        <f aca="false">'Tuyến XD8'!A25</f>
        <v>106</v>
      </c>
      <c r="B31" s="22" t="str">
        <f aca="false">'Tuyến XD8'!B25</f>
        <v>Đắp cấp phối đá dăm loại 1 đoạn từ Km0+609,11 - Km0+724,11</v>
      </c>
      <c r="C31" s="23" t="n">
        <f aca="false">'Tuyến XD8'!C25</f>
        <v>46303</v>
      </c>
      <c r="D31" s="24" t="n">
        <f aca="false">'Tuyến XD8'!H25</f>
        <v>15</v>
      </c>
      <c r="E31" s="25" t="str">
        <f aca="false">'Tuyến XD8'!I25</f>
        <v>00</v>
      </c>
      <c r="F31" s="24" t="n">
        <f aca="false">'Tuyến XD8'!K25</f>
        <v>15</v>
      </c>
      <c r="G31" s="25" t="n">
        <f aca="false">'Tuyến XD8'!L25</f>
        <v>30</v>
      </c>
    </row>
    <row r="32" customFormat="false" ht="31.5" hidden="false" customHeight="true" outlineLevel="0" collapsed="false">
      <c r="A32" s="21" t="n">
        <f aca="false">'Tuyến XD8'!A26</f>
        <v>107</v>
      </c>
      <c r="B32" s="22" t="str">
        <f aca="false">'Tuyến XD8'!B26</f>
        <v>Vệ sinh, thổi bụi mặt đường </v>
      </c>
      <c r="C32" s="23" t="n">
        <f aca="false">'Tuyến XD8'!C26</f>
        <v>46305</v>
      </c>
      <c r="D32" s="24" t="n">
        <f aca="false">'Tuyến XD8'!H26</f>
        <v>16</v>
      </c>
      <c r="E32" s="25" t="str">
        <f aca="false">'Tuyến XD8'!I26</f>
        <v>00</v>
      </c>
      <c r="F32" s="24" t="n">
        <f aca="false">'Tuyến XD8'!K26</f>
        <v>16</v>
      </c>
      <c r="G32" s="25" t="n">
        <f aca="false">'Tuyến XD8'!L26</f>
        <v>30</v>
      </c>
    </row>
    <row r="33" customFormat="false" ht="31.5" hidden="false" customHeight="true" outlineLevel="0" collapsed="false">
      <c r="A33" s="21" t="n">
        <f aca="false">'Tuyến XD8'!A27</f>
        <v>108</v>
      </c>
      <c r="B33" s="22" t="str">
        <f aca="false">'Tuyến XD8'!B27</f>
        <v>Tưới lớp thấm bám mặt đường, nhựa MC70, lượng nhựa 1kg/m2</v>
      </c>
      <c r="C33" s="23" t="n">
        <f aca="false">'Tuyến XD8'!C27</f>
        <v>46307</v>
      </c>
      <c r="D33" s="24" t="n">
        <f aca="false">'Tuyến XD8'!H27</f>
        <v>16</v>
      </c>
      <c r="E33" s="25" t="str">
        <f aca="false">'Tuyến XD8'!I27</f>
        <v>00</v>
      </c>
      <c r="F33" s="24" t="n">
        <f aca="false">'Tuyến XD8'!K27</f>
        <v>16</v>
      </c>
      <c r="G33" s="25" t="n">
        <f aca="false">'Tuyến XD8'!L27</f>
        <v>30</v>
      </c>
    </row>
    <row r="34" customFormat="false" ht="31.5" hidden="false" customHeight="true" outlineLevel="0" collapsed="false">
      <c r="A34" s="21" t="n">
        <f aca="false">'Tuyến XD8'!A28</f>
        <v>109</v>
      </c>
      <c r="B34" s="22" t="str">
        <f aca="false">'Tuyến XD8'!B28</f>
        <v>Rải thảm mặt đường bê tông nhựa C16 - Chiều dày mặt đường đã lèn ép 6cm</v>
      </c>
      <c r="C34" s="23" t="n">
        <f aca="false">'Tuyến XD8'!C28</f>
        <v>46310</v>
      </c>
      <c r="D34" s="24" t="n">
        <f aca="false">'Tuyến XD8'!H28</f>
        <v>16</v>
      </c>
      <c r="E34" s="25" t="str">
        <f aca="false">'Tuyến XD8'!I28</f>
        <v>00</v>
      </c>
      <c r="F34" s="24" t="n">
        <f aca="false">'Tuyến XD8'!K28</f>
        <v>16</v>
      </c>
      <c r="G34" s="25" t="n">
        <f aca="false">'Tuyến XD8'!L28</f>
        <v>30</v>
      </c>
    </row>
    <row r="35" customFormat="false" ht="31.5" hidden="false" customHeight="true" outlineLevel="0" collapsed="false">
      <c r="A35" s="27" t="n">
        <f aca="false">'Tuyến XD8'!A29</f>
        <v>110</v>
      </c>
      <c r="B35" s="28" t="str">
        <f aca="false">'Tuyến XD8'!B29</f>
        <v>Bê tông nhựa C16 - Chiều dày mặt đường đã lèn ép 6cm</v>
      </c>
      <c r="C35" s="29" t="n">
        <f aca="false">'Tuyến XD8'!C29</f>
        <v>46312</v>
      </c>
      <c r="D35" s="30" t="n">
        <f aca="false">'Tuyến XD8'!H29</f>
        <v>16</v>
      </c>
      <c r="E35" s="31" t="str">
        <f aca="false">'Tuyến XD8'!I29</f>
        <v>00</v>
      </c>
      <c r="F35" s="30" t="n">
        <f aca="false">'Tuyến XD8'!K29</f>
        <v>16</v>
      </c>
      <c r="G35" s="31" t="n">
        <f aca="false">'Tuyến XD8'!L29</f>
        <v>30</v>
      </c>
    </row>
    <row r="36" customFormat="false" ht="31.5" hidden="false" customHeight="true" outlineLevel="0" collapsed="false">
      <c r="A36" s="21"/>
      <c r="B36" s="22"/>
      <c r="C36" s="23"/>
      <c r="D36" s="24"/>
      <c r="E36" s="25"/>
      <c r="F36" s="24"/>
      <c r="G36" s="25"/>
    </row>
  </sheetData>
  <mergeCells count="5">
    <mergeCell ref="A1:G1"/>
    <mergeCell ref="A2:G2"/>
    <mergeCell ref="A3:G3"/>
    <mergeCell ref="D7:E7"/>
    <mergeCell ref="F7:G7"/>
  </mergeCells>
  <printOptions headings="false" gridLines="false" gridLinesSet="true" horizontalCentered="true" verticalCentered="false"/>
  <pageMargins left="0.39375" right="0.0395833333333333" top="0.708333333333333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true" showOutlineSymbols="true" defaultGridColor="true" view="normal" topLeftCell="A35" colorId="64" zoomScale="70" zoomScaleNormal="70" zoomScalePageLayoutView="100" workbookViewId="0">
      <selection pane="topLeft" activeCell="C45" activeCellId="0" sqref="C45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41"/>
    <col collapsed="false" customWidth="true" hidden="false" outlineLevel="0" max="3" min="3" style="1" width="18"/>
    <col collapsed="false" customWidth="true" hidden="false" outlineLevel="0" max="4" min="4" style="1" width="28.42"/>
    <col collapsed="false" customWidth="true" hidden="false" outlineLevel="0" max="5" min="5" style="1" width="14.42"/>
    <col collapsed="false" customWidth="true" hidden="false" outlineLevel="0" max="6" min="6" style="1" width="16.57"/>
    <col collapsed="false" customWidth="true" hidden="false" outlineLevel="0" max="7" min="7" style="1" width="21.29"/>
    <col collapsed="false" customWidth="true" hidden="false" outlineLevel="0" max="8" min="8" style="32" width="11.57"/>
    <col collapsed="false" customWidth="true" hidden="false" outlineLevel="0" max="9" min="9" style="32" width="9.42"/>
    <col collapsed="false" customWidth="true" hidden="false" outlineLevel="0" max="10" min="10" style="1" width="41.15"/>
    <col collapsed="false" customWidth="true" hidden="false" outlineLevel="0" max="11" min="11" style="1" width="12.29"/>
    <col collapsed="false" customWidth="true" hidden="false" outlineLevel="0" max="12" min="12" style="1" width="10.29"/>
    <col collapsed="false" customWidth="true" hidden="false" outlineLevel="0" max="13" min="13" style="1" width="9"/>
    <col collapsed="false" customWidth="true" hidden="false" outlineLevel="0" max="14" min="14" style="1" width="8"/>
    <col collapsed="false" customWidth="true" hidden="false" outlineLevel="0" max="15" min="15" style="1" width="6.14"/>
    <col collapsed="false" customWidth="true" hidden="false" outlineLevel="0" max="16" min="16" style="1" width="20.14"/>
    <col collapsed="false" customWidth="true" hidden="false" outlineLevel="0" max="17" min="17" style="1" width="18.42"/>
    <col collapsed="false" customWidth="true" hidden="false" outlineLevel="0" max="18" min="18" style="1" width="21.43"/>
    <col collapsed="false" customWidth="true" hidden="false" outlineLevel="0" max="19" min="19" style="1" width="29.14"/>
    <col collapsed="false" customWidth="true" hidden="false" outlineLevel="0" max="20" min="20" style="1" width="10.42"/>
    <col collapsed="false" customWidth="false" hidden="false" outlineLevel="0" max="16384" min="21" style="1" width="9.14"/>
  </cols>
  <sheetData>
    <row r="1" customFormat="false" ht="33" hidden="false" customHeight="true" outlineLevel="0" collapsed="false">
      <c r="A1" s="33" t="s">
        <v>5</v>
      </c>
      <c r="B1" s="33" t="s">
        <v>6</v>
      </c>
      <c r="C1" s="33" t="s">
        <v>7</v>
      </c>
      <c r="D1" s="33" t="s">
        <v>10</v>
      </c>
      <c r="E1" s="8" t="s">
        <v>11</v>
      </c>
      <c r="F1" s="8" t="s">
        <v>12</v>
      </c>
      <c r="G1" s="8" t="s">
        <v>13</v>
      </c>
      <c r="H1" s="34" t="s">
        <v>14</v>
      </c>
      <c r="I1" s="34" t="s">
        <v>15</v>
      </c>
      <c r="J1" s="33" t="s">
        <v>16</v>
      </c>
      <c r="K1" s="34" t="s">
        <v>17</v>
      </c>
      <c r="L1" s="34" t="s">
        <v>18</v>
      </c>
      <c r="M1" s="33" t="s">
        <v>19</v>
      </c>
      <c r="N1" s="33" t="s">
        <v>20</v>
      </c>
      <c r="O1" s="33" t="s">
        <v>21</v>
      </c>
      <c r="P1" s="33" t="s">
        <v>22</v>
      </c>
      <c r="Q1" s="33" t="s">
        <v>23</v>
      </c>
      <c r="R1" s="35" t="s">
        <v>24</v>
      </c>
      <c r="S1" s="35" t="s">
        <v>25</v>
      </c>
    </row>
    <row r="2" customFormat="false" ht="16.5" hidden="false" customHeight="true" outlineLevel="0" collapsed="false">
      <c r="A2" s="36"/>
      <c r="B2" s="37"/>
      <c r="C2" s="38"/>
      <c r="D2" s="39"/>
      <c r="E2" s="38"/>
      <c r="F2" s="40"/>
      <c r="G2" s="41"/>
      <c r="H2" s="42"/>
      <c r="I2" s="43"/>
      <c r="M2" s="38"/>
      <c r="N2" s="38"/>
      <c r="O2" s="38"/>
    </row>
    <row r="3" customFormat="false" ht="49.5" hidden="false" customHeight="true" outlineLevel="0" collapsed="false">
      <c r="A3" s="36" t="n">
        <v>84</v>
      </c>
      <c r="B3" s="37" t="s">
        <v>26</v>
      </c>
      <c r="C3" s="44" t="n">
        <v>46291</v>
      </c>
      <c r="D3" s="39" t="str">
        <f aca="false">CONCATENATE("ngày ",TEXT(C3,"dd")," tháng ",TEXT(C3,"mm")," năm ",TEXT(C3,"yyyy"))</f>
        <v>ngày 26 tháng 09 năm 2026</v>
      </c>
      <c r="E3" s="38" t="s">
        <v>27</v>
      </c>
      <c r="F3" s="40" t="str">
        <f aca="false">TEXT(A3,"00") &amp; ".NĐ/YCNT"</f>
        <v>84.NĐ/YCNT</v>
      </c>
      <c r="G3" s="41" t="str">
        <f aca="false">TEXT(A3,"00") &amp; ".NĐXD8/CVXD "</f>
        <v>84.NĐXD8/CVXD </v>
      </c>
      <c r="H3" s="42" t="n">
        <v>9</v>
      </c>
      <c r="I3" s="45" t="s">
        <v>28</v>
      </c>
      <c r="J3" s="37"/>
      <c r="K3" s="42" t="n">
        <f aca="false">+H3</f>
        <v>9</v>
      </c>
      <c r="L3" s="45" t="n">
        <v>30</v>
      </c>
      <c r="M3" s="39" t="str">
        <f aca="false">CONCATENATE(TEXT(C3,"dd"))</f>
        <v>26</v>
      </c>
      <c r="N3" s="39" t="str">
        <f aca="false">CONCATENATE(TEXT(C3,"mm"))</f>
        <v>09</v>
      </c>
      <c r="O3" s="39" t="str">
        <f aca="false">CONCATENATE(TEXT(C3,"yyyy"))</f>
        <v>2026</v>
      </c>
      <c r="P3" s="46" t="s">
        <v>29</v>
      </c>
      <c r="Q3" s="46" t="s">
        <v>30</v>
      </c>
      <c r="R3" s="47"/>
      <c r="S3" s="48"/>
    </row>
    <row r="4" customFormat="false" ht="49.5" hidden="false" customHeight="true" outlineLevel="0" collapsed="false">
      <c r="A4" s="36" t="n">
        <f aca="false">+A3+1</f>
        <v>85</v>
      </c>
      <c r="B4" s="37" t="s">
        <v>31</v>
      </c>
      <c r="C4" s="44" t="n">
        <v>46292</v>
      </c>
      <c r="D4" s="39" t="str">
        <f aca="false">CONCATENATE("ngày ",TEXT(C4,"dd")," tháng ",TEXT(C4,"mm")," năm ",TEXT(C4,"yyyy"))</f>
        <v>ngày 27 tháng 09 năm 2026</v>
      </c>
      <c r="E4" s="38" t="s">
        <v>27</v>
      </c>
      <c r="F4" s="40" t="str">
        <f aca="false">TEXT(A4,"00") &amp; ".NĐ/YCNT"</f>
        <v>85.NĐ/YCNT</v>
      </c>
      <c r="G4" s="41" t="str">
        <f aca="false">TEXT(A4,"00") &amp; ".NĐXD8/CVXD "</f>
        <v>85.NĐXD8/CVXD </v>
      </c>
      <c r="H4" s="42" t="n">
        <v>11</v>
      </c>
      <c r="I4" s="45" t="s">
        <v>28</v>
      </c>
      <c r="J4" s="37" t="s">
        <v>32</v>
      </c>
      <c r="K4" s="42" t="n">
        <f aca="false">+H4</f>
        <v>11</v>
      </c>
      <c r="L4" s="45" t="n">
        <v>30</v>
      </c>
      <c r="M4" s="39" t="str">
        <f aca="false">CONCATENATE(TEXT(C4,"dd"))</f>
        <v>27</v>
      </c>
      <c r="N4" s="39" t="str">
        <f aca="false">CONCATENATE(TEXT(C4,"mm"))</f>
        <v>09</v>
      </c>
      <c r="O4" s="39" t="str">
        <f aca="false">CONCATENATE(TEXT(C4,"yyyy"))</f>
        <v>2026</v>
      </c>
      <c r="P4" s="46" t="s">
        <v>29</v>
      </c>
      <c r="Q4" s="46" t="s">
        <v>30</v>
      </c>
      <c r="R4" s="47"/>
      <c r="S4" s="48"/>
    </row>
    <row r="5" customFormat="false" ht="49.5" hidden="false" customHeight="true" outlineLevel="0" collapsed="false">
      <c r="A5" s="36" t="n">
        <f aca="false">+A4+1</f>
        <v>86</v>
      </c>
      <c r="B5" s="37" t="s">
        <v>33</v>
      </c>
      <c r="C5" s="44" t="n">
        <v>46293</v>
      </c>
      <c r="D5" s="39" t="str">
        <f aca="false">CONCATENATE("ngày ",TEXT(C5,"dd")," tháng ",TEXT(C5,"mm")," năm ",TEXT(C5,"yyyy"))</f>
        <v>ngày 28 tháng 09 năm 2026</v>
      </c>
      <c r="E5" s="38" t="s">
        <v>27</v>
      </c>
      <c r="F5" s="40" t="str">
        <f aca="false">TEXT(A5,"00") &amp; ".NĐ/YCNT"</f>
        <v>86.NĐ/YCNT</v>
      </c>
      <c r="G5" s="41" t="str">
        <f aca="false">TEXT(A5,"00") &amp; ".NĐXD8/CVXD "</f>
        <v>86.NĐXD8/CVXD </v>
      </c>
      <c r="H5" s="42" t="n">
        <v>14</v>
      </c>
      <c r="I5" s="45" t="s">
        <v>28</v>
      </c>
      <c r="J5" s="37" t="s">
        <v>34</v>
      </c>
      <c r="K5" s="42" t="n">
        <f aca="false">+H5</f>
        <v>14</v>
      </c>
      <c r="L5" s="45" t="n">
        <v>30</v>
      </c>
      <c r="M5" s="39" t="str">
        <f aca="false">CONCATENATE(TEXT(C5,"dd"))</f>
        <v>28</v>
      </c>
      <c r="N5" s="39" t="str">
        <f aca="false">CONCATENATE(TEXT(C5,"mm"))</f>
        <v>09</v>
      </c>
      <c r="O5" s="39" t="str">
        <f aca="false">CONCATENATE(TEXT(C5,"yyyy"))</f>
        <v>2026</v>
      </c>
      <c r="P5" s="46" t="s">
        <v>29</v>
      </c>
      <c r="Q5" s="46" t="s">
        <v>30</v>
      </c>
      <c r="R5" s="47"/>
      <c r="S5" s="48"/>
    </row>
    <row r="6" customFormat="false" ht="49.5" hidden="false" customHeight="true" outlineLevel="0" collapsed="false">
      <c r="A6" s="36" t="n">
        <f aca="false">+A5+1</f>
        <v>87</v>
      </c>
      <c r="B6" s="37" t="s">
        <v>35</v>
      </c>
      <c r="C6" s="44" t="n">
        <v>46293</v>
      </c>
      <c r="D6" s="39" t="str">
        <f aca="false">CONCATENATE("ngày ",TEXT(C6,"dd")," tháng ",TEXT(C6,"mm")," năm ",TEXT(C6,"yyyy"))</f>
        <v>ngày 28 tháng 09 năm 2026</v>
      </c>
      <c r="E6" s="38" t="s">
        <v>27</v>
      </c>
      <c r="F6" s="40" t="str">
        <f aca="false">TEXT(A6,"00") &amp; ".NĐ/YCNT"</f>
        <v>87.NĐ/YCNT</v>
      </c>
      <c r="G6" s="41" t="str">
        <f aca="false">TEXT(A6,"00") &amp; ".NĐXD8/CVXD "</f>
        <v>87.NĐXD8/CVXD </v>
      </c>
      <c r="H6" s="42" t="n">
        <v>17</v>
      </c>
      <c r="I6" s="45" t="s">
        <v>28</v>
      </c>
      <c r="J6" s="37" t="s">
        <v>32</v>
      </c>
      <c r="K6" s="42" t="n">
        <f aca="false">+H6</f>
        <v>17</v>
      </c>
      <c r="L6" s="45" t="n">
        <v>30</v>
      </c>
      <c r="M6" s="39" t="str">
        <f aca="false">CONCATENATE(TEXT(C6,"dd"))</f>
        <v>28</v>
      </c>
      <c r="N6" s="39" t="str">
        <f aca="false">CONCATENATE(TEXT(C6,"mm"))</f>
        <v>09</v>
      </c>
      <c r="O6" s="39" t="str">
        <f aca="false">CONCATENATE(TEXT(C6,"yyyy"))</f>
        <v>2026</v>
      </c>
      <c r="P6" s="46" t="s">
        <v>29</v>
      </c>
      <c r="Q6" s="46" t="s">
        <v>30</v>
      </c>
      <c r="R6" s="47"/>
      <c r="S6" s="48"/>
    </row>
    <row r="7" customFormat="false" ht="49.5" hidden="false" customHeight="true" outlineLevel="0" collapsed="false">
      <c r="A7" s="36" t="n">
        <f aca="false">+A6+1</f>
        <v>88</v>
      </c>
      <c r="B7" s="37" t="s">
        <v>36</v>
      </c>
      <c r="C7" s="44" t="n">
        <v>46294</v>
      </c>
      <c r="D7" s="39" t="str">
        <f aca="false">CONCATENATE("ngày ",TEXT(C7,"dd")," tháng ",TEXT(C7,"mm")," năm ",TEXT(C7,"yyyy"))</f>
        <v>ngày 29 tháng 09 năm 2026</v>
      </c>
      <c r="E7" s="38" t="s">
        <v>27</v>
      </c>
      <c r="F7" s="40" t="str">
        <f aca="false">TEXT(A7,"00") &amp; ".NĐ/YCNT"</f>
        <v>88.NĐ/YCNT</v>
      </c>
      <c r="G7" s="41" t="str">
        <f aca="false">TEXT(A7,"00") &amp; ".NĐXD8/CVXD "</f>
        <v>88.NĐXD8/CVXD </v>
      </c>
      <c r="H7" s="42" t="n">
        <v>9</v>
      </c>
      <c r="I7" s="45" t="s">
        <v>28</v>
      </c>
      <c r="J7" s="37" t="s">
        <v>32</v>
      </c>
      <c r="K7" s="42" t="n">
        <f aca="false">+H7</f>
        <v>9</v>
      </c>
      <c r="L7" s="45" t="n">
        <v>30</v>
      </c>
      <c r="M7" s="39" t="str">
        <f aca="false">CONCATENATE(TEXT(C7,"dd"))</f>
        <v>29</v>
      </c>
      <c r="N7" s="39" t="str">
        <f aca="false">CONCATENATE(TEXT(C7,"mm"))</f>
        <v>09</v>
      </c>
      <c r="O7" s="39" t="str">
        <f aca="false">CONCATENATE(TEXT(C7,"yyyy"))</f>
        <v>2026</v>
      </c>
      <c r="P7" s="46" t="s">
        <v>29</v>
      </c>
      <c r="Q7" s="46" t="s">
        <v>30</v>
      </c>
      <c r="R7" s="47"/>
      <c r="S7" s="48"/>
    </row>
    <row r="8" customFormat="false" ht="49.5" hidden="false" customHeight="true" outlineLevel="0" collapsed="false">
      <c r="A8" s="36" t="n">
        <f aca="false">+A7+1</f>
        <v>89</v>
      </c>
      <c r="B8" s="37" t="s">
        <v>37</v>
      </c>
      <c r="C8" s="44" t="n">
        <v>46294</v>
      </c>
      <c r="D8" s="39" t="str">
        <f aca="false">CONCATENATE("ngày ",TEXT(C8,"dd")," tháng ",TEXT(C8,"mm")," năm ",TEXT(C8,"yyyy"))</f>
        <v>ngày 29 tháng 09 năm 2026</v>
      </c>
      <c r="E8" s="38" t="s">
        <v>27</v>
      </c>
      <c r="F8" s="40" t="str">
        <f aca="false">TEXT(A8,"00") &amp; ".NĐ/YCNT"</f>
        <v>89.NĐ/YCNT</v>
      </c>
      <c r="G8" s="41" t="str">
        <f aca="false">TEXT(A8,"00") &amp; ".NĐXD8/CVXD "</f>
        <v>89.NĐXD8/CVXD </v>
      </c>
      <c r="H8" s="42" t="n">
        <v>15</v>
      </c>
      <c r="I8" s="45" t="s">
        <v>28</v>
      </c>
      <c r="J8" s="37" t="s">
        <v>32</v>
      </c>
      <c r="K8" s="42" t="n">
        <f aca="false">+H8</f>
        <v>15</v>
      </c>
      <c r="L8" s="45" t="n">
        <v>30</v>
      </c>
      <c r="M8" s="39" t="str">
        <f aca="false">CONCATENATE(TEXT(C8,"dd"))</f>
        <v>29</v>
      </c>
      <c r="N8" s="39" t="str">
        <f aca="false">CONCATENATE(TEXT(C8,"mm"))</f>
        <v>09</v>
      </c>
      <c r="O8" s="39" t="str">
        <f aca="false">CONCATENATE(TEXT(C8,"yyyy"))</f>
        <v>2026</v>
      </c>
      <c r="P8" s="46" t="s">
        <v>29</v>
      </c>
      <c r="Q8" s="46" t="s">
        <v>30</v>
      </c>
      <c r="R8" s="47"/>
      <c r="S8" s="48"/>
    </row>
    <row r="9" customFormat="false" ht="49.5" hidden="false" customHeight="true" outlineLevel="0" collapsed="false">
      <c r="A9" s="36" t="n">
        <f aca="false">+A8+1</f>
        <v>90</v>
      </c>
      <c r="B9" s="37" t="s">
        <v>38</v>
      </c>
      <c r="C9" s="44" t="n">
        <v>46295</v>
      </c>
      <c r="D9" s="39" t="str">
        <f aca="false">CONCATENATE("ngày ",TEXT(C9,"dd")," tháng ",TEXT(C9,"mm")," năm ",TEXT(C9,"yyyy"))</f>
        <v>ngày 30 tháng 09 năm 2026</v>
      </c>
      <c r="E9" s="38" t="s">
        <v>27</v>
      </c>
      <c r="F9" s="40" t="str">
        <f aca="false">TEXT(A9,"00") &amp; ".NĐ/YCNT"</f>
        <v>90.NĐ/YCNT</v>
      </c>
      <c r="G9" s="41" t="str">
        <f aca="false">TEXT(A9,"00") &amp; ".NĐXD8/CVXD "</f>
        <v>90.NĐXD8/CVXD </v>
      </c>
      <c r="H9" s="42" t="n">
        <v>9</v>
      </c>
      <c r="I9" s="45" t="s">
        <v>28</v>
      </c>
      <c r="J9" s="37" t="s">
        <v>32</v>
      </c>
      <c r="K9" s="42" t="n">
        <f aca="false">+H9</f>
        <v>9</v>
      </c>
      <c r="L9" s="45" t="n">
        <v>30</v>
      </c>
      <c r="M9" s="39" t="str">
        <f aca="false">CONCATENATE(TEXT(C9,"dd"))</f>
        <v>30</v>
      </c>
      <c r="N9" s="39" t="str">
        <f aca="false">CONCATENATE(TEXT(C9,"mm"))</f>
        <v>09</v>
      </c>
      <c r="O9" s="39" t="str">
        <f aca="false">CONCATENATE(TEXT(C9,"yyyy"))</f>
        <v>2026</v>
      </c>
      <c r="P9" s="46" t="s">
        <v>29</v>
      </c>
      <c r="Q9" s="46" t="s">
        <v>30</v>
      </c>
      <c r="R9" s="47"/>
      <c r="S9" s="48"/>
    </row>
    <row r="10" customFormat="false" ht="49.5" hidden="false" customHeight="true" outlineLevel="0" collapsed="false">
      <c r="A10" s="36" t="n">
        <f aca="false">+A9+1</f>
        <v>91</v>
      </c>
      <c r="B10" s="37" t="s">
        <v>39</v>
      </c>
      <c r="C10" s="44" t="n">
        <v>46295</v>
      </c>
      <c r="D10" s="39" t="str">
        <f aca="false">CONCATENATE("ngày ",TEXT(C10,"dd")," tháng ",TEXT(C10,"mm")," năm ",TEXT(C10,"yyyy"))</f>
        <v>ngày 30 tháng 09 năm 2026</v>
      </c>
      <c r="E10" s="38" t="s">
        <v>27</v>
      </c>
      <c r="F10" s="40" t="str">
        <f aca="false">TEXT(A10,"00") &amp; ".NĐ/YCNT"</f>
        <v>91.NĐ/YCNT</v>
      </c>
      <c r="G10" s="41" t="str">
        <f aca="false">TEXT(A10,"00") &amp; ".NĐXD8/CVXD "</f>
        <v>91.NĐXD8/CVXD </v>
      </c>
      <c r="H10" s="42" t="n">
        <v>15</v>
      </c>
      <c r="I10" s="45" t="s">
        <v>28</v>
      </c>
      <c r="J10" s="37" t="s">
        <v>32</v>
      </c>
      <c r="K10" s="42" t="n">
        <f aca="false">+H10</f>
        <v>15</v>
      </c>
      <c r="L10" s="45" t="n">
        <v>30</v>
      </c>
      <c r="M10" s="39" t="str">
        <f aca="false">CONCATENATE(TEXT(C10,"dd"))</f>
        <v>30</v>
      </c>
      <c r="N10" s="39" t="str">
        <f aca="false">CONCATENATE(TEXT(C10,"mm"))</f>
        <v>09</v>
      </c>
      <c r="O10" s="39" t="str">
        <f aca="false">CONCATENATE(TEXT(C10,"yyyy"))</f>
        <v>2026</v>
      </c>
      <c r="P10" s="46" t="s">
        <v>29</v>
      </c>
      <c r="Q10" s="46" t="s">
        <v>30</v>
      </c>
      <c r="R10" s="47"/>
      <c r="S10" s="48"/>
    </row>
    <row r="11" customFormat="false" ht="49.5" hidden="false" customHeight="true" outlineLevel="0" collapsed="false">
      <c r="A11" s="36" t="n">
        <f aca="false">+A10+1</f>
        <v>92</v>
      </c>
      <c r="B11" s="37" t="s">
        <v>40</v>
      </c>
      <c r="C11" s="44" t="n">
        <v>46296</v>
      </c>
      <c r="D11" s="39" t="str">
        <f aca="false">CONCATENATE("ngày ",TEXT(C11,"dd")," tháng ",TEXT(C11,"mm")," năm ",TEXT(C11,"yyyy"))</f>
        <v>ngày 01 tháng 10 năm 2026</v>
      </c>
      <c r="E11" s="38" t="s">
        <v>27</v>
      </c>
      <c r="F11" s="40" t="str">
        <f aca="false">TEXT(A11,"00") &amp; ".NĐ/YCNT"</f>
        <v>92.NĐ/YCNT</v>
      </c>
      <c r="G11" s="41" t="str">
        <f aca="false">TEXT(A11,"00") &amp; ".NĐXD8/CVXD "</f>
        <v>92.NĐXD8/CVXD </v>
      </c>
      <c r="H11" s="42" t="n">
        <v>9</v>
      </c>
      <c r="I11" s="45" t="s">
        <v>28</v>
      </c>
      <c r="J11" s="37" t="s">
        <v>32</v>
      </c>
      <c r="K11" s="42" t="n">
        <f aca="false">+H11</f>
        <v>9</v>
      </c>
      <c r="L11" s="45" t="n">
        <v>30</v>
      </c>
      <c r="M11" s="39" t="str">
        <f aca="false">CONCATENATE(TEXT(C11,"dd"))</f>
        <v>01</v>
      </c>
      <c r="N11" s="39" t="str">
        <f aca="false">CONCATENATE(TEXT(C11,"mm"))</f>
        <v>10</v>
      </c>
      <c r="O11" s="39" t="str">
        <f aca="false">CONCATENATE(TEXT(C11,"yyyy"))</f>
        <v>2026</v>
      </c>
      <c r="P11" s="46" t="s">
        <v>29</v>
      </c>
      <c r="Q11" s="46" t="s">
        <v>30</v>
      </c>
      <c r="R11" s="47"/>
      <c r="S11" s="48"/>
    </row>
    <row r="12" customFormat="false" ht="49.5" hidden="false" customHeight="true" outlineLevel="0" collapsed="false">
      <c r="A12" s="36" t="n">
        <f aca="false">+A11+1</f>
        <v>93</v>
      </c>
      <c r="B12" s="37" t="s">
        <v>41</v>
      </c>
      <c r="C12" s="44" t="n">
        <v>46296</v>
      </c>
      <c r="D12" s="39" t="str">
        <f aca="false">CONCATENATE("ngày ",TEXT(C12,"dd")," tháng ",TEXT(C12,"mm")," năm ",TEXT(C12,"yyyy"))</f>
        <v>ngày 01 tháng 10 năm 2026</v>
      </c>
      <c r="E12" s="38" t="s">
        <v>27</v>
      </c>
      <c r="F12" s="40" t="str">
        <f aca="false">TEXT(A12,"00") &amp; ".NĐ/YCNT"</f>
        <v>93.NĐ/YCNT</v>
      </c>
      <c r="G12" s="41" t="str">
        <f aca="false">TEXT(A12,"00") &amp; ".NĐXD8/CVXD "</f>
        <v>93.NĐXD8/CVXD </v>
      </c>
      <c r="H12" s="42" t="n">
        <v>15</v>
      </c>
      <c r="I12" s="45" t="s">
        <v>28</v>
      </c>
      <c r="J12" s="37" t="s">
        <v>32</v>
      </c>
      <c r="K12" s="42" t="n">
        <f aca="false">+H12</f>
        <v>15</v>
      </c>
      <c r="L12" s="45" t="n">
        <v>30</v>
      </c>
      <c r="M12" s="39" t="str">
        <f aca="false">CONCATENATE(TEXT(C12,"dd"))</f>
        <v>01</v>
      </c>
      <c r="N12" s="39" t="str">
        <f aca="false">CONCATENATE(TEXT(C12,"mm"))</f>
        <v>10</v>
      </c>
      <c r="O12" s="39" t="str">
        <f aca="false">CONCATENATE(TEXT(C12,"yyyy"))</f>
        <v>2026</v>
      </c>
      <c r="P12" s="46" t="s">
        <v>29</v>
      </c>
      <c r="Q12" s="46" t="s">
        <v>30</v>
      </c>
      <c r="R12" s="47"/>
      <c r="S12" s="48"/>
    </row>
    <row r="13" customFormat="false" ht="49.5" hidden="false" customHeight="true" outlineLevel="0" collapsed="false">
      <c r="A13" s="36" t="n">
        <f aca="false">+A12+1</f>
        <v>94</v>
      </c>
      <c r="B13" s="37" t="s">
        <v>42</v>
      </c>
      <c r="C13" s="44" t="n">
        <v>46297</v>
      </c>
      <c r="D13" s="39" t="str">
        <f aca="false">CONCATENATE("ngày ",TEXT(C13,"dd")," tháng ",TEXT(C13,"mm")," năm ",TEXT(C13,"yyyy"))</f>
        <v>ngày 02 tháng 10 năm 2026</v>
      </c>
      <c r="E13" s="38" t="s">
        <v>27</v>
      </c>
      <c r="F13" s="40" t="str">
        <f aca="false">TEXT(A13,"00") &amp; ".NĐ/YCNT"</f>
        <v>94.NĐ/YCNT</v>
      </c>
      <c r="G13" s="41" t="str">
        <f aca="false">TEXT(A13,"00") &amp; ".NĐXD8/CVXD "</f>
        <v>94.NĐXD8/CVXD </v>
      </c>
      <c r="H13" s="42" t="n">
        <v>9</v>
      </c>
      <c r="I13" s="45" t="s">
        <v>28</v>
      </c>
      <c r="J13" s="37" t="s">
        <v>32</v>
      </c>
      <c r="K13" s="42" t="n">
        <f aca="false">+H13</f>
        <v>9</v>
      </c>
      <c r="L13" s="45" t="n">
        <v>30</v>
      </c>
      <c r="M13" s="39" t="str">
        <f aca="false">CONCATENATE(TEXT(C13,"dd"))</f>
        <v>02</v>
      </c>
      <c r="N13" s="39" t="str">
        <f aca="false">CONCATENATE(TEXT(C13,"mm"))</f>
        <v>10</v>
      </c>
      <c r="O13" s="39" t="str">
        <f aca="false">CONCATENATE(TEXT(C13,"yyyy"))</f>
        <v>2026</v>
      </c>
      <c r="P13" s="46" t="s">
        <v>29</v>
      </c>
      <c r="Q13" s="46" t="s">
        <v>30</v>
      </c>
      <c r="R13" s="47"/>
      <c r="S13" s="48"/>
    </row>
    <row r="14" customFormat="false" ht="49.5" hidden="false" customHeight="true" outlineLevel="0" collapsed="false">
      <c r="A14" s="36" t="n">
        <f aca="false">+A13+1</f>
        <v>95</v>
      </c>
      <c r="B14" s="37" t="s">
        <v>43</v>
      </c>
      <c r="C14" s="44" t="n">
        <v>46297</v>
      </c>
      <c r="D14" s="39" t="str">
        <f aca="false">CONCATENATE("ngày ",TEXT(C14,"dd")," tháng ",TEXT(C14,"mm")," năm ",TEXT(C14,"yyyy"))</f>
        <v>ngày 02 tháng 10 năm 2026</v>
      </c>
      <c r="E14" s="38" t="s">
        <v>27</v>
      </c>
      <c r="F14" s="40" t="str">
        <f aca="false">TEXT(A14,"00") &amp; ".NĐ/YCNT"</f>
        <v>95.NĐ/YCNT</v>
      </c>
      <c r="G14" s="41" t="str">
        <f aca="false">TEXT(A14,"00") &amp; ".NĐXD8/CVXD "</f>
        <v>95.NĐXD8/CVXD </v>
      </c>
      <c r="H14" s="42" t="n">
        <v>15</v>
      </c>
      <c r="I14" s="45" t="s">
        <v>28</v>
      </c>
      <c r="J14" s="37" t="s">
        <v>32</v>
      </c>
      <c r="K14" s="42" t="n">
        <f aca="false">+H14</f>
        <v>15</v>
      </c>
      <c r="L14" s="45" t="n">
        <v>30</v>
      </c>
      <c r="M14" s="39" t="str">
        <f aca="false">CONCATENATE(TEXT(C14,"dd"))</f>
        <v>02</v>
      </c>
      <c r="N14" s="39" t="str">
        <f aca="false">CONCATENATE(TEXT(C14,"mm"))</f>
        <v>10</v>
      </c>
      <c r="O14" s="39" t="str">
        <f aca="false">CONCATENATE(TEXT(C14,"yyyy"))</f>
        <v>2026</v>
      </c>
      <c r="P14" s="46" t="s">
        <v>29</v>
      </c>
      <c r="Q14" s="46" t="s">
        <v>30</v>
      </c>
      <c r="R14" s="47"/>
      <c r="S14" s="48"/>
    </row>
    <row r="15" customFormat="false" ht="49.5" hidden="false" customHeight="true" outlineLevel="0" collapsed="false">
      <c r="A15" s="36" t="n">
        <f aca="false">+A14+1</f>
        <v>96</v>
      </c>
      <c r="B15" s="37" t="s">
        <v>44</v>
      </c>
      <c r="C15" s="44" t="n">
        <v>46298</v>
      </c>
      <c r="D15" s="39" t="str">
        <f aca="false">CONCATENATE("ngày ",TEXT(C15,"dd")," tháng ",TEXT(C15,"mm")," năm ",TEXT(C15,"yyyy"))</f>
        <v>ngày 03 tháng 10 năm 2026</v>
      </c>
      <c r="E15" s="38" t="s">
        <v>27</v>
      </c>
      <c r="F15" s="40" t="str">
        <f aca="false">TEXT(A15,"00") &amp; ".NĐ/YCNT"</f>
        <v>96.NĐ/YCNT</v>
      </c>
      <c r="G15" s="41" t="str">
        <f aca="false">TEXT(A15,"00") &amp; ".NĐXD8/CVXD "</f>
        <v>96.NĐXD8/CVXD </v>
      </c>
      <c r="H15" s="42" t="n">
        <v>9</v>
      </c>
      <c r="I15" s="45" t="s">
        <v>28</v>
      </c>
      <c r="J15" s="37" t="s">
        <v>32</v>
      </c>
      <c r="K15" s="42" t="n">
        <f aca="false">+H15</f>
        <v>9</v>
      </c>
      <c r="L15" s="45" t="n">
        <v>30</v>
      </c>
      <c r="M15" s="39" t="str">
        <f aca="false">CONCATENATE(TEXT(C15,"dd"))</f>
        <v>03</v>
      </c>
      <c r="N15" s="39" t="str">
        <f aca="false">CONCATENATE(TEXT(C15,"mm"))</f>
        <v>10</v>
      </c>
      <c r="O15" s="39" t="str">
        <f aca="false">CONCATENATE(TEXT(C15,"yyyy"))</f>
        <v>2026</v>
      </c>
      <c r="P15" s="46" t="s">
        <v>29</v>
      </c>
      <c r="Q15" s="46" t="s">
        <v>30</v>
      </c>
      <c r="R15" s="47"/>
      <c r="S15" s="48"/>
    </row>
    <row r="16" customFormat="false" ht="49.5" hidden="false" customHeight="true" outlineLevel="0" collapsed="false">
      <c r="A16" s="36" t="n">
        <f aca="false">+A15+1</f>
        <v>97</v>
      </c>
      <c r="B16" s="37" t="s">
        <v>45</v>
      </c>
      <c r="C16" s="44" t="n">
        <v>46298</v>
      </c>
      <c r="D16" s="39" t="str">
        <f aca="false">CONCATENATE("ngày ",TEXT(C16,"dd")," tháng ",TEXT(C16,"mm")," năm ",TEXT(C16,"yyyy"))</f>
        <v>ngày 03 tháng 10 năm 2026</v>
      </c>
      <c r="E16" s="38" t="s">
        <v>27</v>
      </c>
      <c r="F16" s="40" t="str">
        <f aca="false">TEXT(A16,"00") &amp; ".NĐ/YCNT"</f>
        <v>97.NĐ/YCNT</v>
      </c>
      <c r="G16" s="41" t="str">
        <f aca="false">TEXT(A16,"00") &amp; ".NĐXD8/CVXD "</f>
        <v>97.NĐXD8/CVXD </v>
      </c>
      <c r="H16" s="42" t="n">
        <v>15</v>
      </c>
      <c r="I16" s="45" t="s">
        <v>28</v>
      </c>
      <c r="J16" s="37" t="s">
        <v>32</v>
      </c>
      <c r="K16" s="42" t="n">
        <f aca="false">+H16</f>
        <v>15</v>
      </c>
      <c r="L16" s="45" t="n">
        <v>30</v>
      </c>
      <c r="M16" s="39" t="str">
        <f aca="false">CONCATENATE(TEXT(C16,"dd"))</f>
        <v>03</v>
      </c>
      <c r="N16" s="39" t="str">
        <f aca="false">CONCATENATE(TEXT(C16,"mm"))</f>
        <v>10</v>
      </c>
      <c r="O16" s="39" t="str">
        <f aca="false">CONCATENATE(TEXT(C16,"yyyy"))</f>
        <v>2026</v>
      </c>
      <c r="P16" s="46" t="s">
        <v>29</v>
      </c>
      <c r="Q16" s="46" t="s">
        <v>30</v>
      </c>
      <c r="R16" s="47"/>
      <c r="S16" s="48"/>
    </row>
    <row r="17" s="49" customFormat="true" ht="49.5" hidden="false" customHeight="true" outlineLevel="0" collapsed="false">
      <c r="A17" s="36" t="n">
        <f aca="false">+A16+1</f>
        <v>98</v>
      </c>
      <c r="B17" s="37" t="s">
        <v>46</v>
      </c>
      <c r="C17" s="44" t="n">
        <v>46299</v>
      </c>
      <c r="D17" s="39" t="str">
        <f aca="false">CONCATENATE("ngày ",TEXT(C17,"dd")," tháng ",TEXT(C17,"mm")," năm ",TEXT(C17,"yyyy"))</f>
        <v>ngày 04 tháng 10 năm 2026</v>
      </c>
      <c r="E17" s="38" t="s">
        <v>27</v>
      </c>
      <c r="F17" s="40" t="str">
        <f aca="false">TEXT(A17,"00") &amp; ".NĐ/YCNT"</f>
        <v>98.NĐ/YCNT</v>
      </c>
      <c r="G17" s="41" t="str">
        <f aca="false">TEXT(A17,"00") &amp; ".NĐXD8/CVXD "</f>
        <v>98.NĐXD8/CVXD </v>
      </c>
      <c r="H17" s="42" t="n">
        <v>9</v>
      </c>
      <c r="I17" s="45" t="s">
        <v>28</v>
      </c>
      <c r="J17" s="37" t="s">
        <v>32</v>
      </c>
      <c r="K17" s="42" t="n">
        <f aca="false">+H17</f>
        <v>9</v>
      </c>
      <c r="L17" s="45" t="n">
        <v>30</v>
      </c>
      <c r="M17" s="39" t="str">
        <f aca="false">CONCATENATE(TEXT(C17,"dd"))</f>
        <v>04</v>
      </c>
      <c r="N17" s="39" t="str">
        <f aca="false">CONCATENATE(TEXT(C17,"mm"))</f>
        <v>10</v>
      </c>
      <c r="O17" s="39" t="str">
        <f aca="false">CONCATENATE(TEXT(C17,"yyyy"))</f>
        <v>2026</v>
      </c>
      <c r="P17" s="46" t="s">
        <v>29</v>
      </c>
      <c r="Q17" s="46" t="s">
        <v>30</v>
      </c>
      <c r="R17" s="47"/>
      <c r="S17" s="48"/>
    </row>
    <row r="18" customFormat="false" ht="49.5" hidden="false" customHeight="true" outlineLevel="0" collapsed="false">
      <c r="A18" s="36" t="n">
        <f aca="false">+A17+1</f>
        <v>99</v>
      </c>
      <c r="B18" s="37" t="s">
        <v>47</v>
      </c>
      <c r="C18" s="44" t="n">
        <v>46300</v>
      </c>
      <c r="D18" s="39" t="str">
        <f aca="false">CONCATENATE("ngày ",TEXT(C18,"dd")," tháng ",TEXT(C18,"mm")," năm ",TEXT(C18,"yyyy"))</f>
        <v>ngày 05 tháng 10 năm 2026</v>
      </c>
      <c r="E18" s="38" t="s">
        <v>27</v>
      </c>
      <c r="F18" s="40" t="str">
        <f aca="false">TEXT(A18,"00") &amp; ".NĐ/YCNT"</f>
        <v>99.NĐ/YCNT</v>
      </c>
      <c r="G18" s="41" t="str">
        <f aca="false">TEXT(A18,"00") &amp; ".NĐXD8/CVXD "</f>
        <v>99.NĐXD8/CVXD </v>
      </c>
      <c r="H18" s="42" t="n">
        <v>9</v>
      </c>
      <c r="I18" s="45" t="s">
        <v>28</v>
      </c>
      <c r="J18" s="37" t="s">
        <v>32</v>
      </c>
      <c r="K18" s="42" t="n">
        <f aca="false">+H18</f>
        <v>9</v>
      </c>
      <c r="L18" s="45" t="n">
        <v>30</v>
      </c>
      <c r="M18" s="39" t="str">
        <f aca="false">CONCATENATE(TEXT(C18,"dd"))</f>
        <v>05</v>
      </c>
      <c r="N18" s="39" t="str">
        <f aca="false">CONCATENATE(TEXT(C18,"mm"))</f>
        <v>10</v>
      </c>
      <c r="O18" s="39" t="str">
        <f aca="false">CONCATENATE(TEXT(C18,"yyyy"))</f>
        <v>2026</v>
      </c>
      <c r="P18" s="46" t="s">
        <v>29</v>
      </c>
      <c r="Q18" s="46" t="s">
        <v>30</v>
      </c>
      <c r="R18" s="47"/>
      <c r="S18" s="48"/>
    </row>
    <row r="19" customFormat="false" ht="49.5" hidden="false" customHeight="true" outlineLevel="0" collapsed="false">
      <c r="A19" s="36" t="n">
        <f aca="false">+A18+1</f>
        <v>100</v>
      </c>
      <c r="B19" s="37" t="s">
        <v>48</v>
      </c>
      <c r="C19" s="44" t="n">
        <v>46300</v>
      </c>
      <c r="D19" s="39" t="str">
        <f aca="false">CONCATENATE("ngày ",TEXT(C19,"dd")," tháng ",TEXT(C19,"mm")," năm ",TEXT(C19,"yyyy"))</f>
        <v>ngày 05 tháng 10 năm 2026</v>
      </c>
      <c r="E19" s="38" t="s">
        <v>27</v>
      </c>
      <c r="F19" s="40" t="str">
        <f aca="false">TEXT(A19,"00") &amp; ".NĐ/YCNT"</f>
        <v>100.NĐ/YCNT</v>
      </c>
      <c r="G19" s="41" t="str">
        <f aca="false">TEXT(A19,"00") &amp; ".NĐXD8/CVXD "</f>
        <v>100.NĐXD8/CVXD </v>
      </c>
      <c r="H19" s="42" t="n">
        <v>15</v>
      </c>
      <c r="I19" s="45" t="s">
        <v>28</v>
      </c>
      <c r="J19" s="37" t="s">
        <v>32</v>
      </c>
      <c r="K19" s="42" t="n">
        <f aca="false">+H19</f>
        <v>15</v>
      </c>
      <c r="L19" s="45" t="n">
        <v>30</v>
      </c>
      <c r="M19" s="39" t="str">
        <f aca="false">CONCATENATE(TEXT(C19,"dd"))</f>
        <v>05</v>
      </c>
      <c r="N19" s="39" t="str">
        <f aca="false">CONCATENATE(TEXT(C19,"mm"))</f>
        <v>10</v>
      </c>
      <c r="O19" s="39" t="str">
        <f aca="false">CONCATENATE(TEXT(C19,"yyyy"))</f>
        <v>2026</v>
      </c>
      <c r="P19" s="46" t="s">
        <v>29</v>
      </c>
      <c r="Q19" s="46" t="s">
        <v>30</v>
      </c>
      <c r="R19" s="47"/>
      <c r="S19" s="48"/>
    </row>
    <row r="20" customFormat="false" ht="49.5" hidden="false" customHeight="true" outlineLevel="0" collapsed="false">
      <c r="A20" s="36" t="n">
        <f aca="false">+A19+1</f>
        <v>101</v>
      </c>
      <c r="B20" s="37" t="s">
        <v>49</v>
      </c>
      <c r="C20" s="44" t="n">
        <v>46301</v>
      </c>
      <c r="D20" s="39" t="str">
        <f aca="false">CONCATENATE("ngày ",TEXT(C20,"dd")," tháng ",TEXT(C20,"mm")," năm ",TEXT(C20,"yyyy"))</f>
        <v>ngày 06 tháng 10 năm 2026</v>
      </c>
      <c r="E20" s="38" t="s">
        <v>27</v>
      </c>
      <c r="F20" s="40" t="str">
        <f aca="false">TEXT(A20,"00") &amp; ".NĐ/YCNT"</f>
        <v>101.NĐ/YCNT</v>
      </c>
      <c r="G20" s="41" t="str">
        <f aca="false">TEXT(A20,"00") &amp; ".NĐXD8/CVXD "</f>
        <v>101.NĐXD8/CVXD </v>
      </c>
      <c r="H20" s="42" t="n">
        <v>9</v>
      </c>
      <c r="I20" s="45" t="s">
        <v>28</v>
      </c>
      <c r="J20" s="37" t="s">
        <v>32</v>
      </c>
      <c r="K20" s="42" t="n">
        <f aca="false">+H20</f>
        <v>9</v>
      </c>
      <c r="L20" s="45" t="n">
        <v>30</v>
      </c>
      <c r="M20" s="39" t="str">
        <f aca="false">CONCATENATE(TEXT(C20,"dd"))</f>
        <v>06</v>
      </c>
      <c r="N20" s="39" t="str">
        <f aca="false">CONCATENATE(TEXT(C20,"mm"))</f>
        <v>10</v>
      </c>
      <c r="O20" s="39" t="str">
        <f aca="false">CONCATENATE(TEXT(C20,"yyyy"))</f>
        <v>2026</v>
      </c>
      <c r="P20" s="46" t="s">
        <v>29</v>
      </c>
      <c r="Q20" s="46" t="s">
        <v>30</v>
      </c>
      <c r="R20" s="47"/>
      <c r="S20" s="48"/>
    </row>
    <row r="21" customFormat="false" ht="49.5" hidden="false" customHeight="true" outlineLevel="0" collapsed="false">
      <c r="A21" s="36" t="n">
        <f aca="false">+A20+1</f>
        <v>102</v>
      </c>
      <c r="B21" s="37" t="s">
        <v>50</v>
      </c>
      <c r="C21" s="44" t="n">
        <v>46301</v>
      </c>
      <c r="D21" s="39" t="str">
        <f aca="false">CONCATENATE("ngày ",TEXT(C21,"dd")," tháng ",TEXT(C21,"mm")," năm ",TEXT(C21,"yyyy"))</f>
        <v>ngày 06 tháng 10 năm 2026</v>
      </c>
      <c r="E21" s="38" t="s">
        <v>27</v>
      </c>
      <c r="F21" s="40" t="str">
        <f aca="false">TEXT(A21,"00") &amp; ".NĐ/YCNT"</f>
        <v>102.NĐ/YCNT</v>
      </c>
      <c r="G21" s="41" t="str">
        <f aca="false">TEXT(A21,"00") &amp; ".NĐXD8/CVXD "</f>
        <v>102.NĐXD8/CVXD </v>
      </c>
      <c r="H21" s="42" t="n">
        <v>15</v>
      </c>
      <c r="I21" s="45" t="s">
        <v>28</v>
      </c>
      <c r="J21" s="37" t="s">
        <v>32</v>
      </c>
      <c r="K21" s="42" t="n">
        <f aca="false">+H21</f>
        <v>15</v>
      </c>
      <c r="L21" s="45" t="n">
        <v>30</v>
      </c>
      <c r="M21" s="39" t="str">
        <f aca="false">CONCATENATE(TEXT(C21,"dd"))</f>
        <v>06</v>
      </c>
      <c r="N21" s="39" t="str">
        <f aca="false">CONCATENATE(TEXT(C21,"mm"))</f>
        <v>10</v>
      </c>
      <c r="O21" s="39" t="str">
        <f aca="false">CONCATENATE(TEXT(C21,"yyyy"))</f>
        <v>2026</v>
      </c>
      <c r="P21" s="46" t="s">
        <v>29</v>
      </c>
      <c r="Q21" s="46" t="s">
        <v>30</v>
      </c>
      <c r="R21" s="47"/>
      <c r="S21" s="48"/>
    </row>
    <row r="22" customFormat="false" ht="49.5" hidden="false" customHeight="true" outlineLevel="0" collapsed="false">
      <c r="A22" s="36" t="n">
        <f aca="false">+A21+1</f>
        <v>103</v>
      </c>
      <c r="B22" s="37" t="s">
        <v>51</v>
      </c>
      <c r="C22" s="44" t="n">
        <v>46302</v>
      </c>
      <c r="D22" s="39" t="str">
        <f aca="false">CONCATENATE("ngày ",TEXT(C22,"dd")," tháng ",TEXT(C22,"mm")," năm ",TEXT(C22,"yyyy"))</f>
        <v>ngày 07 tháng 10 năm 2026</v>
      </c>
      <c r="E22" s="38" t="s">
        <v>27</v>
      </c>
      <c r="F22" s="40" t="str">
        <f aca="false">TEXT(A22,"00") &amp; ".NĐ/YCNT"</f>
        <v>103.NĐ/YCNT</v>
      </c>
      <c r="G22" s="41" t="str">
        <f aca="false">TEXT(A22,"00") &amp; ".NĐXD8/CVXD "</f>
        <v>103.NĐXD8/CVXD </v>
      </c>
      <c r="H22" s="42" t="n">
        <v>9</v>
      </c>
      <c r="I22" s="45" t="s">
        <v>28</v>
      </c>
      <c r="J22" s="37" t="s">
        <v>52</v>
      </c>
      <c r="K22" s="42" t="n">
        <f aca="false">+H22</f>
        <v>9</v>
      </c>
      <c r="L22" s="45" t="n">
        <v>30</v>
      </c>
      <c r="M22" s="39" t="str">
        <f aca="false">CONCATENATE(TEXT(C22,"dd"))</f>
        <v>07</v>
      </c>
      <c r="N22" s="39" t="str">
        <f aca="false">CONCATENATE(TEXT(C22,"mm"))</f>
        <v>10</v>
      </c>
      <c r="O22" s="39" t="str">
        <f aca="false">CONCATENATE(TEXT(C22,"yyyy"))</f>
        <v>2026</v>
      </c>
      <c r="P22" s="46" t="s">
        <v>29</v>
      </c>
      <c r="Q22" s="46" t="s">
        <v>30</v>
      </c>
      <c r="R22" s="47"/>
      <c r="S22" s="48"/>
    </row>
    <row r="23" customFormat="false" ht="49.5" hidden="false" customHeight="true" outlineLevel="0" collapsed="false">
      <c r="A23" s="36" t="n">
        <f aca="false">+A22+1</f>
        <v>104</v>
      </c>
      <c r="B23" s="37" t="s">
        <v>53</v>
      </c>
      <c r="C23" s="44" t="n">
        <v>46302</v>
      </c>
      <c r="D23" s="39" t="str">
        <f aca="false">CONCATENATE("ngày ",TEXT(C23,"dd")," tháng ",TEXT(C23,"mm")," năm ",TEXT(C23,"yyyy"))</f>
        <v>ngày 07 tháng 10 năm 2026</v>
      </c>
      <c r="E23" s="38" t="s">
        <v>27</v>
      </c>
      <c r="F23" s="40" t="str">
        <f aca="false">TEXT(A23,"00") &amp; ".NĐ/YCNT"</f>
        <v>104.NĐ/YCNT</v>
      </c>
      <c r="G23" s="41" t="str">
        <f aca="false">TEXT(A23,"00") &amp; ".NĐXD8/CVXD "</f>
        <v>104.NĐXD8/CVXD </v>
      </c>
      <c r="H23" s="42" t="n">
        <v>15</v>
      </c>
      <c r="I23" s="45" t="s">
        <v>28</v>
      </c>
      <c r="J23" s="37" t="s">
        <v>32</v>
      </c>
      <c r="K23" s="42" t="n">
        <f aca="false">+H23</f>
        <v>15</v>
      </c>
      <c r="L23" s="45" t="n">
        <v>30</v>
      </c>
      <c r="M23" s="39" t="str">
        <f aca="false">CONCATENATE(TEXT(C23,"dd"))</f>
        <v>07</v>
      </c>
      <c r="N23" s="39" t="str">
        <f aca="false">CONCATENATE(TEXT(C23,"mm"))</f>
        <v>10</v>
      </c>
      <c r="O23" s="39" t="str">
        <f aca="false">CONCATENATE(TEXT(C23,"yyyy"))</f>
        <v>2026</v>
      </c>
      <c r="P23" s="46" t="s">
        <v>29</v>
      </c>
      <c r="Q23" s="46" t="s">
        <v>30</v>
      </c>
      <c r="R23" s="47"/>
      <c r="S23" s="48"/>
    </row>
    <row r="24" customFormat="false" ht="49.5" hidden="false" customHeight="true" outlineLevel="0" collapsed="false">
      <c r="A24" s="36" t="n">
        <f aca="false">+A23+1</f>
        <v>105</v>
      </c>
      <c r="B24" s="37" t="s">
        <v>54</v>
      </c>
      <c r="C24" s="44" t="n">
        <v>46303</v>
      </c>
      <c r="D24" s="39" t="str">
        <f aca="false">CONCATENATE("ngày ",TEXT(C24,"dd")," tháng ",TEXT(C24,"mm")," năm ",TEXT(C24,"yyyy"))</f>
        <v>ngày 08 tháng 10 năm 2026</v>
      </c>
      <c r="E24" s="38" t="s">
        <v>27</v>
      </c>
      <c r="F24" s="40" t="str">
        <f aca="false">TEXT(A24,"00") &amp; ".NĐ/YCNT"</f>
        <v>105.NĐ/YCNT</v>
      </c>
      <c r="G24" s="41" t="str">
        <f aca="false">TEXT(A24,"00") &amp; ".NĐXD8/CVXD "</f>
        <v>105.NĐXD8/CVXD </v>
      </c>
      <c r="H24" s="42" t="n">
        <v>9</v>
      </c>
      <c r="I24" s="45" t="s">
        <v>28</v>
      </c>
      <c r="J24" s="37" t="s">
        <v>32</v>
      </c>
      <c r="K24" s="42" t="n">
        <f aca="false">+H24</f>
        <v>9</v>
      </c>
      <c r="L24" s="45" t="n">
        <v>30</v>
      </c>
      <c r="M24" s="39" t="str">
        <f aca="false">CONCATENATE(TEXT(C24,"dd"))</f>
        <v>08</v>
      </c>
      <c r="N24" s="39" t="str">
        <f aca="false">CONCATENATE(TEXT(C24,"mm"))</f>
        <v>10</v>
      </c>
      <c r="O24" s="39" t="str">
        <f aca="false">CONCATENATE(TEXT(C24,"yyyy"))</f>
        <v>2026</v>
      </c>
      <c r="P24" s="46" t="s">
        <v>29</v>
      </c>
      <c r="Q24" s="46" t="s">
        <v>30</v>
      </c>
      <c r="R24" s="47"/>
      <c r="S24" s="48"/>
    </row>
    <row r="25" customFormat="false" ht="49.5" hidden="false" customHeight="true" outlineLevel="0" collapsed="false">
      <c r="A25" s="36" t="n">
        <f aca="false">+A24+1</f>
        <v>106</v>
      </c>
      <c r="B25" s="37" t="s">
        <v>55</v>
      </c>
      <c r="C25" s="44" t="n">
        <v>46303</v>
      </c>
      <c r="D25" s="39" t="str">
        <f aca="false">CONCATENATE("ngày ",TEXT(C25,"dd")," tháng ",TEXT(C25,"mm")," năm ",TEXT(C25,"yyyy"))</f>
        <v>ngày 08 tháng 10 năm 2026</v>
      </c>
      <c r="E25" s="38" t="s">
        <v>27</v>
      </c>
      <c r="F25" s="40" t="str">
        <f aca="false">TEXT(A25,"00") &amp; ".NĐ/YCNT"</f>
        <v>106.NĐ/YCNT</v>
      </c>
      <c r="G25" s="41" t="str">
        <f aca="false">TEXT(A25,"00") &amp; ".NĐXD8/CVXD "</f>
        <v>106.NĐXD8/CVXD </v>
      </c>
      <c r="H25" s="42" t="n">
        <v>15</v>
      </c>
      <c r="I25" s="45" t="s">
        <v>28</v>
      </c>
      <c r="J25" s="37" t="s">
        <v>52</v>
      </c>
      <c r="K25" s="42" t="n">
        <f aca="false">+H25</f>
        <v>15</v>
      </c>
      <c r="L25" s="45" t="n">
        <v>30</v>
      </c>
      <c r="M25" s="39" t="str">
        <f aca="false">CONCATENATE(TEXT(C25,"dd"))</f>
        <v>08</v>
      </c>
      <c r="N25" s="39" t="str">
        <f aca="false">CONCATENATE(TEXT(C25,"mm"))</f>
        <v>10</v>
      </c>
      <c r="O25" s="39" t="str">
        <f aca="false">CONCATENATE(TEXT(C25,"yyyy"))</f>
        <v>2026</v>
      </c>
      <c r="P25" s="46" t="s">
        <v>29</v>
      </c>
      <c r="Q25" s="46" t="s">
        <v>30</v>
      </c>
      <c r="R25" s="47"/>
      <c r="S25" s="48"/>
    </row>
    <row r="26" customFormat="false" ht="49.5" hidden="false" customHeight="true" outlineLevel="0" collapsed="false">
      <c r="A26" s="36" t="n">
        <f aca="false">+A25+1</f>
        <v>107</v>
      </c>
      <c r="B26" s="37" t="s">
        <v>56</v>
      </c>
      <c r="C26" s="44" t="n">
        <v>46305</v>
      </c>
      <c r="D26" s="39" t="str">
        <f aca="false">CONCATENATE("ngày ",TEXT(C26,"dd")," tháng ",TEXT(C26,"mm")," năm ",TEXT(C26,"yyyy"))</f>
        <v>ngày 10 tháng 10 năm 2026</v>
      </c>
      <c r="E26" s="38" t="s">
        <v>27</v>
      </c>
      <c r="F26" s="40" t="str">
        <f aca="false">TEXT(A26,"00") &amp; ".NĐ/YCNT"</f>
        <v>107.NĐ/YCNT</v>
      </c>
      <c r="G26" s="41" t="str">
        <f aca="false">TEXT(A26,"00") &amp; ".NĐXD8/CVXD "</f>
        <v>107.NĐXD8/CVXD </v>
      </c>
      <c r="H26" s="42" t="n">
        <v>16</v>
      </c>
      <c r="I26" s="45" t="s">
        <v>28</v>
      </c>
      <c r="J26" s="37"/>
      <c r="K26" s="42" t="n">
        <f aca="false">+H26</f>
        <v>16</v>
      </c>
      <c r="L26" s="45" t="n">
        <v>30</v>
      </c>
      <c r="M26" s="39" t="str">
        <f aca="false">CONCATENATE(TEXT(C26,"dd"))</f>
        <v>10</v>
      </c>
      <c r="N26" s="39" t="str">
        <f aca="false">CONCATENATE(TEXT(C26,"mm"))</f>
        <v>10</v>
      </c>
      <c r="O26" s="39" t="str">
        <f aca="false">CONCATENATE(TEXT(C26,"yyyy"))</f>
        <v>2026</v>
      </c>
      <c r="P26" s="46" t="s">
        <v>29</v>
      </c>
      <c r="Q26" s="46" t="s">
        <v>30</v>
      </c>
      <c r="R26" s="47"/>
      <c r="S26" s="48"/>
    </row>
    <row r="27" customFormat="false" ht="49.5" hidden="false" customHeight="true" outlineLevel="0" collapsed="false">
      <c r="A27" s="36" t="n">
        <f aca="false">+A26+1</f>
        <v>108</v>
      </c>
      <c r="B27" s="37" t="s">
        <v>57</v>
      </c>
      <c r="C27" s="44" t="n">
        <v>46307</v>
      </c>
      <c r="D27" s="39" t="str">
        <f aca="false">CONCATENATE("ngày ",TEXT(C27,"dd")," tháng ",TEXT(C27,"mm")," năm ",TEXT(C27,"yyyy"))</f>
        <v>ngày 12 tháng 10 năm 2026</v>
      </c>
      <c r="E27" s="38" t="s">
        <v>27</v>
      </c>
      <c r="F27" s="40" t="str">
        <f aca="false">TEXT(A27,"00") &amp; ".NĐ/YCNT"</f>
        <v>108.NĐ/YCNT</v>
      </c>
      <c r="G27" s="41" t="str">
        <f aca="false">TEXT(A27,"00") &amp; ".NĐXD8/CVXD "</f>
        <v>108.NĐXD8/CVXD </v>
      </c>
      <c r="H27" s="42" t="n">
        <v>16</v>
      </c>
      <c r="I27" s="45" t="s">
        <v>28</v>
      </c>
      <c r="J27" s="37" t="s">
        <v>58</v>
      </c>
      <c r="K27" s="42" t="n">
        <f aca="false">+H27</f>
        <v>16</v>
      </c>
      <c r="L27" s="45" t="n">
        <v>30</v>
      </c>
      <c r="M27" s="39" t="str">
        <f aca="false">CONCATENATE(TEXT(C27,"dd"))</f>
        <v>12</v>
      </c>
      <c r="N27" s="39" t="str">
        <f aca="false">CONCATENATE(TEXT(C27,"mm"))</f>
        <v>10</v>
      </c>
      <c r="O27" s="39" t="str">
        <f aca="false">CONCATENATE(TEXT(C27,"yyyy"))</f>
        <v>2026</v>
      </c>
      <c r="P27" s="46" t="s">
        <v>29</v>
      </c>
      <c r="Q27" s="46" t="s">
        <v>30</v>
      </c>
      <c r="R27" s="47"/>
      <c r="S27" s="48"/>
    </row>
    <row r="28" customFormat="false" ht="49.5" hidden="false" customHeight="true" outlineLevel="0" collapsed="false">
      <c r="A28" s="36" t="n">
        <f aca="false">+A27+1</f>
        <v>109</v>
      </c>
      <c r="B28" s="37" t="s">
        <v>59</v>
      </c>
      <c r="C28" s="44" t="n">
        <v>46310</v>
      </c>
      <c r="D28" s="39" t="str">
        <f aca="false">CONCATENATE("ngày ",TEXT(C28,"dd")," tháng ",TEXT(C28,"mm")," năm ",TEXT(C28,"yyyy"))</f>
        <v>ngày 15 tháng 10 năm 2026</v>
      </c>
      <c r="E28" s="38" t="s">
        <v>27</v>
      </c>
      <c r="F28" s="40" t="str">
        <f aca="false">TEXT(A28,"00") &amp; ".NĐ/YCNT"</f>
        <v>109.NĐ/YCNT</v>
      </c>
      <c r="G28" s="41" t="str">
        <f aca="false">TEXT(A28,"00") &amp; ".NĐXD8/CVXD "</f>
        <v>109.NĐXD8/CVXD </v>
      </c>
      <c r="H28" s="42" t="n">
        <v>16</v>
      </c>
      <c r="I28" s="45" t="s">
        <v>28</v>
      </c>
      <c r="J28" s="37" t="s">
        <v>58</v>
      </c>
      <c r="K28" s="42" t="n">
        <f aca="false">+H28</f>
        <v>16</v>
      </c>
      <c r="L28" s="45" t="n">
        <v>30</v>
      </c>
      <c r="M28" s="39" t="str">
        <f aca="false">CONCATENATE(TEXT(C28,"dd"))</f>
        <v>15</v>
      </c>
      <c r="N28" s="39" t="str">
        <f aca="false">CONCATENATE(TEXT(C28,"mm"))</f>
        <v>10</v>
      </c>
      <c r="O28" s="39" t="str">
        <f aca="false">CONCATENATE(TEXT(C28,"yyyy"))</f>
        <v>2026</v>
      </c>
      <c r="P28" s="46" t="s">
        <v>29</v>
      </c>
      <c r="Q28" s="46" t="s">
        <v>30</v>
      </c>
      <c r="R28" s="47"/>
      <c r="S28" s="48"/>
    </row>
    <row r="29" customFormat="false" ht="49.5" hidden="false" customHeight="true" outlineLevel="0" collapsed="false">
      <c r="A29" s="36" t="n">
        <f aca="false">+A28+1</f>
        <v>110</v>
      </c>
      <c r="B29" s="37" t="s">
        <v>60</v>
      </c>
      <c r="C29" s="44" t="n">
        <v>46312</v>
      </c>
      <c r="D29" s="39" t="str">
        <f aca="false">CONCATENATE("ngày ",TEXT(C29,"dd")," tháng ",TEXT(C29,"mm")," năm ",TEXT(C29,"yyyy"))</f>
        <v>ngày 17 tháng 10 năm 2026</v>
      </c>
      <c r="E29" s="38" t="s">
        <v>27</v>
      </c>
      <c r="F29" s="40" t="str">
        <f aca="false">TEXT(A29,"00") &amp; ".NĐ/YCNT"</f>
        <v>110.NĐ/YCNT</v>
      </c>
      <c r="G29" s="41" t="str">
        <f aca="false">TEXT(A29,"00") &amp; ".NĐXD8/CVXD "</f>
        <v>110.NĐXD8/CVXD </v>
      </c>
      <c r="H29" s="42" t="n">
        <v>16</v>
      </c>
      <c r="I29" s="45" t="s">
        <v>28</v>
      </c>
      <c r="J29" s="37" t="s">
        <v>58</v>
      </c>
      <c r="K29" s="42" t="n">
        <f aca="false">+H29</f>
        <v>16</v>
      </c>
      <c r="L29" s="45" t="n">
        <v>30</v>
      </c>
      <c r="M29" s="39" t="str">
        <f aca="false">CONCATENATE(TEXT(C29,"dd"))</f>
        <v>17</v>
      </c>
      <c r="N29" s="39" t="str">
        <f aca="false">CONCATENATE(TEXT(C29,"mm"))</f>
        <v>10</v>
      </c>
      <c r="O29" s="39" t="str">
        <f aca="false">CONCATENATE(TEXT(C29,"yyyy"))</f>
        <v>2026</v>
      </c>
      <c r="P29" s="46" t="s">
        <v>29</v>
      </c>
      <c r="Q29" s="46" t="s">
        <v>30</v>
      </c>
      <c r="R29" s="47"/>
      <c r="S29" s="48"/>
    </row>
    <row r="30" customFormat="false" ht="33" hidden="false" customHeight="true" outlineLevel="0" collapsed="false">
      <c r="A30" s="36"/>
      <c r="B30" s="37"/>
      <c r="C30" s="38"/>
      <c r="D30" s="39"/>
      <c r="E30" s="38"/>
      <c r="F30" s="40"/>
      <c r="G30" s="41"/>
      <c r="H30" s="42"/>
      <c r="I30" s="43"/>
      <c r="J30" s="50"/>
      <c r="K30" s="42"/>
      <c r="L30" s="51"/>
      <c r="M30" s="52"/>
      <c r="N30" s="52"/>
      <c r="O30" s="52"/>
      <c r="P30" s="46"/>
      <c r="Q30" s="46"/>
    </row>
    <row r="31" customFormat="false" ht="16.5" hidden="false" customHeight="true" outlineLevel="0" collapsed="false">
      <c r="A31" s="36"/>
      <c r="B31" s="37"/>
      <c r="C31" s="53"/>
      <c r="D31" s="39"/>
      <c r="E31" s="38"/>
      <c r="F31" s="40"/>
      <c r="G31" s="41"/>
      <c r="H31" s="42"/>
      <c r="I31" s="51"/>
      <c r="J31" s="37"/>
      <c r="K31" s="43"/>
      <c r="L31" s="45"/>
      <c r="M31" s="39"/>
      <c r="N31" s="39"/>
      <c r="O31" s="39"/>
      <c r="P31" s="46"/>
      <c r="Q31" s="46"/>
      <c r="R31" s="46"/>
      <c r="S31" s="46"/>
    </row>
    <row r="32" customFormat="false" ht="16.5" hidden="false" customHeight="true" outlineLevel="0" collapsed="false">
      <c r="A32" s="36"/>
      <c r="B32" s="37"/>
      <c r="C32" s="53"/>
      <c r="D32" s="39"/>
      <c r="E32" s="38"/>
      <c r="F32" s="40"/>
      <c r="G32" s="41"/>
      <c r="H32" s="42"/>
      <c r="I32" s="51"/>
      <c r="J32" s="37"/>
      <c r="K32" s="43"/>
      <c r="L32" s="45"/>
      <c r="M32" s="39"/>
      <c r="N32" s="39"/>
      <c r="O32" s="39"/>
      <c r="P32" s="46"/>
      <c r="Q32" s="46"/>
      <c r="R32" s="46"/>
      <c r="S32" s="46"/>
    </row>
    <row r="33" customFormat="false" ht="16.5" hidden="false" customHeight="true" outlineLevel="0" collapsed="false">
      <c r="A33" s="36"/>
      <c r="B33" s="37"/>
      <c r="C33" s="53"/>
      <c r="D33" s="39"/>
      <c r="E33" s="38"/>
      <c r="F33" s="40"/>
      <c r="G33" s="41"/>
      <c r="H33" s="42"/>
      <c r="I33" s="51"/>
      <c r="J33" s="37"/>
      <c r="K33" s="43"/>
      <c r="L33" s="45"/>
      <c r="M33" s="39"/>
      <c r="N33" s="39"/>
      <c r="O33" s="39"/>
      <c r="P33" s="46"/>
      <c r="Q33" s="46"/>
      <c r="R33" s="46"/>
      <c r="S33" s="46"/>
    </row>
    <row r="34" customFormat="false" ht="16.5" hidden="false" customHeight="true" outlineLevel="0" collapsed="false">
      <c r="A34" s="36"/>
      <c r="B34" s="37"/>
      <c r="C34" s="53"/>
      <c r="D34" s="39"/>
      <c r="E34" s="38"/>
      <c r="F34" s="40"/>
      <c r="G34" s="41"/>
      <c r="H34" s="42"/>
      <c r="I34" s="51"/>
      <c r="J34" s="37"/>
      <c r="K34" s="43"/>
      <c r="L34" s="45"/>
      <c r="M34" s="39"/>
      <c r="N34" s="39"/>
      <c r="O34" s="39"/>
      <c r="P34" s="46"/>
      <c r="Q34" s="46"/>
      <c r="R34" s="46"/>
      <c r="S34" s="46"/>
    </row>
    <row r="35" customFormat="false" ht="16.5" hidden="false" customHeight="true" outlineLevel="0" collapsed="false">
      <c r="A35" s="36"/>
      <c r="B35" s="37"/>
      <c r="C35" s="53"/>
      <c r="D35" s="39"/>
      <c r="E35" s="38"/>
      <c r="F35" s="40"/>
      <c r="G35" s="41"/>
      <c r="H35" s="42"/>
      <c r="I35" s="51"/>
      <c r="J35" s="37"/>
      <c r="K35" s="43"/>
      <c r="L35" s="45"/>
      <c r="M35" s="39"/>
      <c r="N35" s="39"/>
      <c r="O35" s="39"/>
      <c r="P35" s="46"/>
      <c r="Q35" s="46"/>
      <c r="R35" s="46"/>
      <c r="S35" s="46"/>
    </row>
    <row r="36" customFormat="false" ht="33" hidden="false" customHeight="true" outlineLevel="0" collapsed="false">
      <c r="A36" s="36"/>
      <c r="B36" s="37"/>
      <c r="C36" s="53"/>
      <c r="D36" s="39"/>
      <c r="E36" s="38"/>
      <c r="F36" s="40"/>
      <c r="G36" s="41"/>
      <c r="H36" s="42"/>
      <c r="I36" s="45"/>
      <c r="K36" s="42"/>
      <c r="L36" s="51"/>
      <c r="M36" s="39"/>
      <c r="N36" s="39"/>
      <c r="O36" s="39"/>
      <c r="P36" s="46"/>
      <c r="Q36" s="46"/>
      <c r="R36" s="47"/>
      <c r="S36" s="48"/>
    </row>
    <row r="37" customFormat="false" ht="49.5" hidden="false" customHeight="true" outlineLevel="0" collapsed="false">
      <c r="A37" s="36"/>
      <c r="B37" s="37"/>
      <c r="C37" s="53"/>
      <c r="D37" s="39"/>
      <c r="E37" s="38"/>
      <c r="F37" s="40"/>
      <c r="G37" s="41"/>
      <c r="H37" s="42"/>
      <c r="I37" s="45"/>
      <c r="J37" s="37"/>
      <c r="K37" s="42"/>
      <c r="L37" s="45"/>
      <c r="M37" s="39"/>
      <c r="N37" s="39"/>
      <c r="O37" s="39"/>
      <c r="P37" s="46"/>
      <c r="Q37" s="46"/>
      <c r="R37" s="47"/>
      <c r="S37" s="48"/>
    </row>
    <row r="38" customFormat="false" ht="33" hidden="false" customHeight="true" outlineLevel="0" collapsed="false">
      <c r="A38" s="36"/>
      <c r="B38" s="37"/>
      <c r="C38" s="53"/>
      <c r="D38" s="39"/>
      <c r="E38" s="38"/>
      <c r="F38" s="40"/>
      <c r="G38" s="41"/>
      <c r="H38" s="42"/>
      <c r="I38" s="45"/>
      <c r="J38" s="37"/>
      <c r="K38" s="42"/>
      <c r="L38" s="45"/>
      <c r="M38" s="39"/>
      <c r="N38" s="39"/>
      <c r="O38" s="39"/>
      <c r="P38" s="46"/>
      <c r="Q38" s="46"/>
      <c r="R38" s="47"/>
      <c r="S38" s="48"/>
    </row>
    <row r="39" customFormat="false" ht="33" hidden="false" customHeight="true" outlineLevel="0" collapsed="false">
      <c r="A39" s="36"/>
      <c r="B39" s="37"/>
      <c r="C39" s="53"/>
      <c r="D39" s="39"/>
      <c r="E39" s="38"/>
      <c r="F39" s="40"/>
      <c r="G39" s="41"/>
      <c r="H39" s="42"/>
      <c r="I39" s="45"/>
      <c r="J39" s="37"/>
      <c r="K39" s="42"/>
      <c r="L39" s="45"/>
      <c r="M39" s="39"/>
      <c r="N39" s="39"/>
      <c r="O39" s="39"/>
      <c r="P39" s="46"/>
      <c r="Q39" s="46"/>
      <c r="R39" s="47"/>
      <c r="S39" s="48"/>
    </row>
    <row r="40" customFormat="false" ht="33" hidden="false" customHeight="true" outlineLevel="0" collapsed="false">
      <c r="A40" s="36"/>
      <c r="B40" s="37"/>
      <c r="C40" s="53"/>
      <c r="D40" s="39"/>
      <c r="E40" s="38"/>
      <c r="F40" s="40"/>
      <c r="G40" s="41"/>
      <c r="H40" s="42"/>
      <c r="I40" s="45"/>
      <c r="J40" s="37"/>
      <c r="K40" s="42"/>
      <c r="L40" s="45"/>
      <c r="M40" s="39"/>
      <c r="N40" s="39"/>
      <c r="O40" s="39"/>
      <c r="P40" s="46"/>
      <c r="Q40" s="46"/>
      <c r="R40" s="47"/>
      <c r="S40" s="48"/>
    </row>
    <row r="41" customFormat="false" ht="33" hidden="false" customHeight="true" outlineLevel="0" collapsed="false">
      <c r="A41" s="36"/>
      <c r="B41" s="37"/>
      <c r="C41" s="53"/>
      <c r="D41" s="39"/>
      <c r="E41" s="38"/>
      <c r="F41" s="40"/>
      <c r="G41" s="41"/>
      <c r="H41" s="42"/>
      <c r="I41" s="45"/>
      <c r="J41" s="37"/>
      <c r="K41" s="42"/>
      <c r="L41" s="45"/>
      <c r="M41" s="39"/>
      <c r="N41" s="39"/>
      <c r="O41" s="39"/>
      <c r="P41" s="46"/>
      <c r="Q41" s="46"/>
      <c r="R41" s="47"/>
      <c r="S41" s="48"/>
    </row>
    <row r="42" customFormat="false" ht="33" hidden="false" customHeight="true" outlineLevel="0" collapsed="false">
      <c r="A42" s="36"/>
      <c r="B42" s="37"/>
      <c r="C42" s="53"/>
      <c r="D42" s="39"/>
      <c r="E42" s="38"/>
      <c r="F42" s="40"/>
      <c r="G42" s="41"/>
      <c r="H42" s="42"/>
      <c r="I42" s="45"/>
      <c r="J42" s="37"/>
      <c r="K42" s="42"/>
      <c r="L42" s="45"/>
      <c r="M42" s="39"/>
      <c r="N42" s="39"/>
      <c r="O42" s="39"/>
      <c r="P42" s="46"/>
      <c r="Q42" s="46"/>
      <c r="R42" s="47"/>
      <c r="S42" s="48"/>
    </row>
    <row r="43" customFormat="false" ht="33" hidden="false" customHeight="true" outlineLevel="0" collapsed="false">
      <c r="A43" s="36"/>
      <c r="B43" s="37"/>
      <c r="C43" s="53"/>
      <c r="D43" s="39"/>
      <c r="E43" s="38"/>
      <c r="F43" s="40"/>
      <c r="G43" s="41"/>
      <c r="H43" s="42"/>
      <c r="I43" s="45"/>
      <c r="J43" s="37"/>
      <c r="K43" s="42"/>
      <c r="L43" s="45"/>
      <c r="M43" s="39"/>
      <c r="N43" s="39"/>
      <c r="O43" s="39"/>
      <c r="P43" s="46"/>
      <c r="Q43" s="46"/>
      <c r="R43" s="47"/>
      <c r="S43" s="48"/>
    </row>
    <row r="44" customFormat="false" ht="33" hidden="false" customHeight="true" outlineLevel="0" collapsed="false">
      <c r="A44" s="36"/>
      <c r="B44" s="37"/>
      <c r="C44" s="53"/>
      <c r="D44" s="39"/>
      <c r="E44" s="38"/>
      <c r="F44" s="40"/>
      <c r="G44" s="41"/>
      <c r="H44" s="42"/>
      <c r="I44" s="45"/>
      <c r="J44" s="37"/>
      <c r="K44" s="42"/>
      <c r="L44" s="45"/>
      <c r="M44" s="39"/>
      <c r="N44" s="39"/>
      <c r="O44" s="39"/>
      <c r="P44" s="46"/>
      <c r="Q44" s="46"/>
      <c r="R44" s="47"/>
      <c r="S44" s="48"/>
    </row>
    <row r="45" customFormat="false" ht="49.5" hidden="false" customHeight="true" outlineLevel="0" collapsed="false">
      <c r="A45" s="36"/>
      <c r="B45" s="37"/>
      <c r="C45" s="38"/>
      <c r="D45" s="39"/>
      <c r="E45" s="38"/>
      <c r="F45" s="40"/>
      <c r="G45" s="41"/>
      <c r="H45" s="42"/>
      <c r="I45" s="45"/>
      <c r="J45" s="37"/>
      <c r="K45" s="42"/>
      <c r="L45" s="45"/>
      <c r="M45" s="39"/>
      <c r="N45" s="39"/>
      <c r="O45" s="39"/>
      <c r="P45" s="46"/>
      <c r="Q45" s="46"/>
      <c r="R45" s="46"/>
      <c r="S45" s="46"/>
    </row>
    <row r="46" customFormat="false" ht="49.5" hidden="false" customHeight="true" outlineLevel="0" collapsed="false">
      <c r="A46" s="36"/>
      <c r="B46" s="37"/>
      <c r="C46" s="38"/>
      <c r="D46" s="39"/>
      <c r="E46" s="38"/>
      <c r="F46" s="40"/>
      <c r="G46" s="41"/>
      <c r="H46" s="42"/>
      <c r="I46" s="45"/>
      <c r="J46" s="37"/>
      <c r="K46" s="42"/>
      <c r="L46" s="45"/>
      <c r="M46" s="39"/>
      <c r="N46" s="39"/>
      <c r="O46" s="39"/>
      <c r="P46" s="46"/>
      <c r="Q46" s="46"/>
      <c r="R46" s="46"/>
      <c r="S46" s="46"/>
    </row>
    <row r="47" customFormat="false" ht="49.5" hidden="false" customHeight="true" outlineLevel="0" collapsed="false">
      <c r="A47" s="36"/>
      <c r="B47" s="37"/>
      <c r="C47" s="38"/>
      <c r="D47" s="39"/>
      <c r="E47" s="38"/>
      <c r="F47" s="40"/>
      <c r="G47" s="41"/>
      <c r="H47" s="42"/>
      <c r="I47" s="45"/>
      <c r="J47" s="37"/>
      <c r="K47" s="42"/>
      <c r="L47" s="45"/>
      <c r="M47" s="39"/>
      <c r="N47" s="39"/>
      <c r="O47" s="39"/>
      <c r="P47" s="46"/>
      <c r="Q47" s="46"/>
      <c r="R47" s="46"/>
      <c r="S47" s="46"/>
    </row>
    <row r="48" customFormat="false" ht="49.5" hidden="false" customHeight="true" outlineLevel="0" collapsed="false">
      <c r="A48" s="36"/>
      <c r="B48" s="37"/>
      <c r="C48" s="38"/>
      <c r="D48" s="39"/>
      <c r="E48" s="38"/>
      <c r="F48" s="40"/>
      <c r="G48" s="41"/>
      <c r="H48" s="42"/>
      <c r="I48" s="45"/>
      <c r="J48" s="37"/>
      <c r="K48" s="42"/>
      <c r="L48" s="45"/>
      <c r="M48" s="39"/>
      <c r="N48" s="39"/>
      <c r="O48" s="39"/>
      <c r="P48" s="46"/>
      <c r="Q48" s="46"/>
      <c r="R48" s="46"/>
      <c r="S48" s="46"/>
    </row>
    <row r="49" customFormat="false" ht="33" hidden="false" customHeight="true" outlineLevel="0" collapsed="false">
      <c r="A49" s="36"/>
      <c r="B49" s="37"/>
      <c r="C49" s="38"/>
      <c r="D49" s="39"/>
      <c r="E49" s="38"/>
      <c r="F49" s="40"/>
      <c r="G49" s="41"/>
      <c r="H49" s="42"/>
      <c r="I49" s="45"/>
      <c r="J49" s="37"/>
      <c r="K49" s="42"/>
      <c r="L49" s="45"/>
      <c r="M49" s="39"/>
      <c r="N49" s="39"/>
      <c r="O49" s="39"/>
      <c r="P49" s="46"/>
      <c r="Q49" s="46"/>
      <c r="R49" s="46"/>
      <c r="S49" s="46"/>
    </row>
    <row r="50" customFormat="false" ht="49.5" hidden="false" customHeight="true" outlineLevel="0" collapsed="false">
      <c r="A50" s="36"/>
      <c r="B50" s="37"/>
      <c r="C50" s="38"/>
      <c r="D50" s="39"/>
      <c r="E50" s="38"/>
      <c r="F50" s="40"/>
      <c r="G50" s="41"/>
      <c r="H50" s="42"/>
      <c r="I50" s="45"/>
      <c r="J50" s="37"/>
      <c r="K50" s="42"/>
      <c r="L50" s="45"/>
      <c r="M50" s="39"/>
      <c r="N50" s="39"/>
      <c r="O50" s="39"/>
      <c r="P50" s="46"/>
      <c r="Q50" s="46"/>
      <c r="R50" s="46"/>
      <c r="S50" s="46"/>
    </row>
    <row r="51" customFormat="false" ht="49.5" hidden="false" customHeight="true" outlineLevel="0" collapsed="false">
      <c r="A51" s="36"/>
      <c r="B51" s="37"/>
      <c r="C51" s="38"/>
      <c r="D51" s="39"/>
      <c r="E51" s="38"/>
      <c r="F51" s="40"/>
      <c r="G51" s="41"/>
      <c r="H51" s="42"/>
      <c r="I51" s="45"/>
      <c r="J51" s="37"/>
      <c r="K51" s="42"/>
      <c r="L51" s="45"/>
      <c r="M51" s="39"/>
      <c r="N51" s="39"/>
      <c r="O51" s="39"/>
      <c r="P51" s="46"/>
      <c r="Q51" s="46"/>
      <c r="R51" s="46"/>
      <c r="S51" s="46"/>
    </row>
    <row r="52" customFormat="false" ht="33" hidden="false" customHeight="true" outlineLevel="0" collapsed="false">
      <c r="A52" s="36"/>
      <c r="B52" s="37"/>
      <c r="C52" s="38"/>
      <c r="D52" s="39"/>
      <c r="E52" s="38"/>
      <c r="F52" s="40"/>
      <c r="G52" s="41"/>
      <c r="H52" s="42"/>
      <c r="I52" s="45"/>
      <c r="J52" s="37"/>
      <c r="K52" s="42"/>
      <c r="L52" s="45"/>
      <c r="M52" s="39"/>
      <c r="N52" s="39"/>
      <c r="O52" s="39"/>
      <c r="P52" s="46"/>
      <c r="Q52" s="46"/>
      <c r="R52" s="46"/>
      <c r="S52" s="46"/>
    </row>
  </sheetData>
  <printOptions headings="false" gridLines="false" gridLinesSet="true" horizontalCentered="true" verticalCentered="false"/>
  <pageMargins left="0.39375" right="0.0395833333333333" top="0.39375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99"/>
  <sheetViews>
    <sheetView showFormulas="false" showGridLines="true" showRowColHeaders="true" showZeros="true" rightToLeft="false" tabSelected="false" showOutlineSymbols="true" defaultGridColor="true" view="normal" topLeftCell="A39" colorId="64" zoomScale="85" zoomScaleNormal="85" zoomScalePageLayoutView="100" workbookViewId="0">
      <selection pane="topLeft" activeCell="K58" activeCellId="0" sqref="K58"/>
    </sheetView>
  </sheetViews>
  <sheetFormatPr defaultColWidth="8.859375" defaultRowHeight="15" zeroHeight="false" outlineLevelRow="0" outlineLevelCol="0"/>
  <cols>
    <col collapsed="false" customWidth="true" hidden="false" outlineLevel="0" max="1" min="1" style="54" width="5.71"/>
    <col collapsed="false" customWidth="true" hidden="false" outlineLevel="0" max="2" min="2" style="54" width="6.57"/>
    <col collapsed="false" customWidth="true" hidden="false" outlineLevel="0" max="3" min="3" style="54" width="17.57"/>
    <col collapsed="false" customWidth="true" hidden="false" outlineLevel="0" max="4" min="4" style="54" width="9.71"/>
    <col collapsed="false" customWidth="true" hidden="false" outlineLevel="0" max="5" min="5" style="54" width="9.57"/>
    <col collapsed="false" customWidth="true" hidden="false" outlineLevel="0" max="7" min="6" style="54" width="9.71"/>
    <col collapsed="false" customWidth="true" hidden="false" outlineLevel="0" max="8" min="8" style="54" width="9.57"/>
    <col collapsed="false" customWidth="true" hidden="false" outlineLevel="0" max="9" min="9" style="54" width="10.14"/>
    <col collapsed="false" customWidth="true" hidden="false" outlineLevel="0" max="10" min="10" style="54" width="9.71"/>
    <col collapsed="false" customWidth="true" hidden="false" outlineLevel="0" max="11" min="11" style="54" width="9.57"/>
    <col collapsed="false" customWidth="true" hidden="false" outlineLevel="0" max="12" min="12" style="54" width="10.71"/>
    <col collapsed="false" customWidth="true" hidden="false" outlineLevel="0" max="13" min="13" style="54" width="9.71"/>
    <col collapsed="false" customWidth="true" hidden="false" outlineLevel="0" max="15" min="14" style="54" width="10.71"/>
    <col collapsed="false" customWidth="true" hidden="false" outlineLevel="0" max="16" min="16" style="54" width="9.71"/>
    <col collapsed="false" customWidth="true" hidden="false" outlineLevel="0" max="18" min="17" style="54" width="10.71"/>
    <col collapsed="false" customWidth="true" hidden="false" outlineLevel="0" max="19" min="19" style="54" width="6.85"/>
    <col collapsed="false" customWidth="false" hidden="false" outlineLevel="0" max="21" min="20" style="54" width="8.86"/>
    <col collapsed="false" customWidth="true" hidden="false" outlineLevel="0" max="22" min="22" style="54" width="12.57"/>
    <col collapsed="false" customWidth="false" hidden="false" outlineLevel="0" max="16384" min="23" style="54" width="8.86"/>
  </cols>
  <sheetData>
    <row r="1" customFormat="false" ht="25.5" hidden="false" customHeight="true" outlineLevel="0" collapsed="false">
      <c r="A1" s="55" t="s">
        <v>61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s="58" customFormat="true" ht="18.75" hidden="false" customHeight="true" outlineLevel="0" collapsed="false">
      <c r="A2" s="56" t="str">
        <f aca="false">"Kèm theo BBNT số: "&amp;VLOOKUP(T2,'Tuyến XD8'!$A$2:$G$60,7,0)&amp;VLOOKUP(T2,'Tuyến XD8'!$A$2:$G$60,4,0)</f>
        <v>Kèm theo BBNT số: 84.NĐXD8/CVXD ngày 26 tháng 09 năm 2026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7" t="n">
        <v>84</v>
      </c>
    </row>
    <row r="3" s="60" customFormat="true" ht="18.75" hidden="false" customHeight="true" outlineLevel="0" collapsed="false">
      <c r="A3" s="59" t="s">
        <v>62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</row>
    <row r="4" s="60" customFormat="true" ht="18.75" hidden="false" customHeight="true" outlineLevel="0" collapsed="false">
      <c r="A4" s="59" t="s">
        <v>63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</row>
    <row r="5" s="60" customFormat="true" ht="18.75" hidden="false" customHeight="true" outlineLevel="0" collapsed="false">
      <c r="A5" s="59" t="s">
        <v>64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</row>
    <row r="6" s="60" customFormat="true" ht="18.75" hidden="false" customHeight="true" outlineLevel="0" collapsed="false">
      <c r="A6" s="59" t="s">
        <v>65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</row>
    <row r="7" s="60" customFormat="true" ht="18.75" hidden="false" customHeight="true" outlineLevel="0" collapsed="false">
      <c r="A7" s="61" t="s">
        <v>66</v>
      </c>
      <c r="B7" s="59"/>
      <c r="C7" s="59"/>
      <c r="D7" s="59" t="str">
        <f aca="false">VLOOKUP(T2,'Tuyến XD8'!$A$2:$B$60,2,0)</f>
        <v>Kiểm tra cao độ đường đen đoạn từ Km0+609,11 -:- Km0+724,11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</row>
    <row r="8" s="60" customFormat="true" ht="18.75" hidden="false" customHeight="true" outlineLevel="0" collapsed="false">
      <c r="A8" s="61" t="s">
        <v>67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</row>
    <row r="9" customFormat="false" ht="151.5" hidden="false" customHeight="true" outlineLevel="0" collapsed="false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</row>
    <row r="10" customFormat="false" ht="24" hidden="false" customHeight="true" outlineLevel="0" collapsed="false">
      <c r="A10" s="63" t="s">
        <v>68</v>
      </c>
      <c r="B10" s="63" t="s">
        <v>69</v>
      </c>
      <c r="C10" s="63" t="s">
        <v>70</v>
      </c>
      <c r="D10" s="64" t="s">
        <v>71</v>
      </c>
      <c r="E10" s="64"/>
      <c r="F10" s="64"/>
      <c r="G10" s="64" t="s">
        <v>72</v>
      </c>
      <c r="H10" s="64"/>
      <c r="I10" s="64"/>
      <c r="J10" s="64" t="s">
        <v>73</v>
      </c>
      <c r="K10" s="64"/>
      <c r="L10" s="64"/>
      <c r="M10" s="64" t="s">
        <v>74</v>
      </c>
      <c r="N10" s="64"/>
      <c r="O10" s="64"/>
      <c r="P10" s="64" t="s">
        <v>75</v>
      </c>
      <c r="Q10" s="64"/>
      <c r="R10" s="64"/>
      <c r="S10" s="63" t="s">
        <v>76</v>
      </c>
    </row>
    <row r="11" customFormat="false" ht="30" hidden="false" customHeight="true" outlineLevel="0" collapsed="false">
      <c r="A11" s="63"/>
      <c r="B11" s="63"/>
      <c r="C11" s="63"/>
      <c r="D11" s="65" t="s">
        <v>77</v>
      </c>
      <c r="E11" s="65" t="s">
        <v>78</v>
      </c>
      <c r="F11" s="65" t="s">
        <v>79</v>
      </c>
      <c r="G11" s="65" t="s">
        <v>77</v>
      </c>
      <c r="H11" s="65" t="s">
        <v>78</v>
      </c>
      <c r="I11" s="65" t="s">
        <v>79</v>
      </c>
      <c r="J11" s="65" t="s">
        <v>77</v>
      </c>
      <c r="K11" s="65" t="s">
        <v>78</v>
      </c>
      <c r="L11" s="65" t="s">
        <v>79</v>
      </c>
      <c r="M11" s="65" t="s">
        <v>77</v>
      </c>
      <c r="N11" s="65" t="s">
        <v>78</v>
      </c>
      <c r="O11" s="65" t="s">
        <v>79</v>
      </c>
      <c r="P11" s="65" t="s">
        <v>77</v>
      </c>
      <c r="Q11" s="65" t="s">
        <v>78</v>
      </c>
      <c r="R11" s="65" t="s">
        <v>79</v>
      </c>
      <c r="S11" s="63"/>
    </row>
    <row r="12" customFormat="false" ht="19.5" hidden="false" customHeight="true" outlineLevel="0" collapsed="false">
      <c r="A12" s="66" t="n">
        <v>1</v>
      </c>
      <c r="B12" s="66" t="s">
        <v>80</v>
      </c>
      <c r="C12" s="67" t="n">
        <v>609.11</v>
      </c>
      <c r="D12" s="68" t="n">
        <v>0.12</v>
      </c>
      <c r="E12" s="68" t="n">
        <f aca="false">D12+F12</f>
        <v>0.072</v>
      </c>
      <c r="F12" s="69" t="n">
        <f aca="false">RANDBETWEEN(-105,125)/1000</f>
        <v>-0.048</v>
      </c>
      <c r="G12" s="68" t="n">
        <v>0.09</v>
      </c>
      <c r="H12" s="68" t="n">
        <f aca="false">G12+I12</f>
        <v>0.167</v>
      </c>
      <c r="I12" s="69" t="n">
        <f aca="false">RANDBETWEEN(-105,125)/1000</f>
        <v>0.077</v>
      </c>
      <c r="J12" s="68" t="n">
        <v>0.05</v>
      </c>
      <c r="K12" s="68" t="n">
        <f aca="false">J12+L12</f>
        <v>-0.015</v>
      </c>
      <c r="L12" s="69" t="n">
        <f aca="false">RANDBETWEEN(-105,125)/1000</f>
        <v>-0.065</v>
      </c>
      <c r="M12" s="68" t="n">
        <v>0.12</v>
      </c>
      <c r="N12" s="68" t="n">
        <f aca="false">M12+O12</f>
        <v>0.169</v>
      </c>
      <c r="O12" s="69" t="n">
        <f aca="false">RANDBETWEEN(-105,125)/1000</f>
        <v>0.049</v>
      </c>
      <c r="P12" s="68" t="n">
        <v>0.18</v>
      </c>
      <c r="Q12" s="68" t="n">
        <f aca="false">P12+R12</f>
        <v>0.159</v>
      </c>
      <c r="R12" s="69" t="n">
        <f aca="false">RANDBETWEEN(-105,125)/1000</f>
        <v>-0.021</v>
      </c>
      <c r="S12" s="68"/>
      <c r="T12" s="54" t="n">
        <v>11.75</v>
      </c>
    </row>
    <row r="13" customFormat="false" ht="19.5" hidden="false" customHeight="true" outlineLevel="0" collapsed="false">
      <c r="A13" s="66" t="n">
        <v>2</v>
      </c>
      <c r="B13" s="66" t="s">
        <v>81</v>
      </c>
      <c r="C13" s="67" t="n">
        <f aca="false">C12+T12</f>
        <v>620.86</v>
      </c>
      <c r="D13" s="68" t="n">
        <v>0.34</v>
      </c>
      <c r="E13" s="68" t="n">
        <f aca="false">D13+F13</f>
        <v>0.299</v>
      </c>
      <c r="F13" s="69" t="n">
        <f aca="false">RANDBETWEEN(-105,125)/1000</f>
        <v>-0.041</v>
      </c>
      <c r="G13" s="68" t="n">
        <v>0.32</v>
      </c>
      <c r="H13" s="68" t="n">
        <f aca="false">G13+I13</f>
        <v>0.401</v>
      </c>
      <c r="I13" s="69" t="n">
        <f aca="false">RANDBETWEEN(-105,125)/1000</f>
        <v>0.081</v>
      </c>
      <c r="J13" s="68" t="n">
        <v>0.29</v>
      </c>
      <c r="K13" s="68" t="n">
        <f aca="false">J13+L13</f>
        <v>0.195</v>
      </c>
      <c r="L13" s="69" t="n">
        <f aca="false">RANDBETWEEN(-105,125)/1000</f>
        <v>-0.095</v>
      </c>
      <c r="M13" s="68" t="n">
        <v>0.29</v>
      </c>
      <c r="N13" s="68" t="n">
        <f aca="false">M13+O13</f>
        <v>0.341</v>
      </c>
      <c r="O13" s="69" t="n">
        <f aca="false">RANDBETWEEN(-105,125)/1000</f>
        <v>0.051</v>
      </c>
      <c r="P13" s="68" t="n">
        <v>0.29</v>
      </c>
      <c r="Q13" s="68" t="n">
        <f aca="false">P13+R13</f>
        <v>0.189</v>
      </c>
      <c r="R13" s="69" t="n">
        <f aca="false">RANDBETWEEN(-105,125)/1000</f>
        <v>-0.101</v>
      </c>
      <c r="S13" s="68"/>
      <c r="T13" s="54" t="n">
        <v>11.75</v>
      </c>
    </row>
    <row r="14" customFormat="false" ht="19.5" hidden="false" customHeight="true" outlineLevel="0" collapsed="false">
      <c r="A14" s="66" t="n">
        <v>3</v>
      </c>
      <c r="B14" s="66" t="s">
        <v>82</v>
      </c>
      <c r="C14" s="67" t="n">
        <f aca="false">C13+T13</f>
        <v>632.61</v>
      </c>
      <c r="D14" s="68" t="n">
        <v>-0.06</v>
      </c>
      <c r="E14" s="68" t="n">
        <f aca="false">D14+F14</f>
        <v>0.041</v>
      </c>
      <c r="F14" s="69" t="n">
        <f aca="false">RANDBETWEEN(-105,125)/1000</f>
        <v>0.101</v>
      </c>
      <c r="G14" s="68" t="n">
        <v>-0.15</v>
      </c>
      <c r="H14" s="68" t="n">
        <f aca="false">G14+I14</f>
        <v>-0.2</v>
      </c>
      <c r="I14" s="69" t="n">
        <f aca="false">RANDBETWEEN(-105,125)/1000</f>
        <v>-0.05</v>
      </c>
      <c r="J14" s="68" t="n">
        <v>-0.25</v>
      </c>
      <c r="K14" s="68" t="n">
        <f aca="false">J14+L14</f>
        <v>-0.165</v>
      </c>
      <c r="L14" s="69" t="n">
        <f aca="false">RANDBETWEEN(-105,125)/1000</f>
        <v>0.085</v>
      </c>
      <c r="M14" s="68" t="n">
        <v>-0.18</v>
      </c>
      <c r="N14" s="68" t="n">
        <f aca="false">M14+O14</f>
        <v>-0.074</v>
      </c>
      <c r="O14" s="69" t="n">
        <f aca="false">RANDBETWEEN(-105,125)/1000</f>
        <v>0.106</v>
      </c>
      <c r="P14" s="68" t="n">
        <v>-0.12</v>
      </c>
      <c r="Q14" s="68" t="n">
        <f aca="false">P14+R14</f>
        <v>-0.178</v>
      </c>
      <c r="R14" s="69" t="n">
        <f aca="false">RANDBETWEEN(-105,125)/1000</f>
        <v>-0.058</v>
      </c>
      <c r="S14" s="68"/>
      <c r="T14" s="54" t="n">
        <v>20</v>
      </c>
    </row>
    <row r="15" customFormat="false" ht="19.5" hidden="false" customHeight="true" outlineLevel="0" collapsed="false">
      <c r="A15" s="66" t="n">
        <v>4</v>
      </c>
      <c r="B15" s="66" t="s">
        <v>83</v>
      </c>
      <c r="C15" s="67" t="n">
        <f aca="false">C14+T14</f>
        <v>652.61</v>
      </c>
      <c r="D15" s="68" t="n">
        <v>-0.32</v>
      </c>
      <c r="E15" s="68" t="n">
        <f aca="false">D15+F15</f>
        <v>-0.371</v>
      </c>
      <c r="F15" s="69" t="n">
        <f aca="false">RANDBETWEEN(-105,125)/1000</f>
        <v>-0.051</v>
      </c>
      <c r="G15" s="68" t="n">
        <v>-0.29</v>
      </c>
      <c r="H15" s="68" t="n">
        <f aca="false">G15+I15</f>
        <v>-0.214</v>
      </c>
      <c r="I15" s="69" t="n">
        <f aca="false">RANDBETWEEN(-105,125)/1000</f>
        <v>0.076</v>
      </c>
      <c r="J15" s="68" t="n">
        <v>-0.27</v>
      </c>
      <c r="K15" s="68" t="n">
        <f aca="false">J15+L15</f>
        <v>-0.221</v>
      </c>
      <c r="L15" s="69" t="n">
        <f aca="false">RANDBETWEEN(-105,125)/1000</f>
        <v>0.049</v>
      </c>
      <c r="M15" s="68" t="n">
        <v>-0.29</v>
      </c>
      <c r="N15" s="68" t="n">
        <f aca="false">M15+O15</f>
        <v>-0.388</v>
      </c>
      <c r="O15" s="69" t="n">
        <f aca="false">RANDBETWEEN(-105,125)/1000</f>
        <v>-0.098</v>
      </c>
      <c r="P15" s="68" t="n">
        <v>-0.31</v>
      </c>
      <c r="Q15" s="68" t="n">
        <f aca="false">P15+R15</f>
        <v>-0.278</v>
      </c>
      <c r="R15" s="69" t="n">
        <f aca="false">RANDBETWEEN(-105,125)/1000</f>
        <v>0.032</v>
      </c>
      <c r="S15" s="68"/>
      <c r="T15" s="54" t="n">
        <v>20</v>
      </c>
    </row>
    <row r="16" customFormat="false" ht="19.5" hidden="false" customHeight="true" outlineLevel="0" collapsed="false">
      <c r="A16" s="66" t="n">
        <v>5</v>
      </c>
      <c r="B16" s="66" t="s">
        <v>84</v>
      </c>
      <c r="C16" s="67" t="n">
        <f aca="false">C15+T15</f>
        <v>672.61</v>
      </c>
      <c r="D16" s="68" t="n">
        <v>-0.01</v>
      </c>
      <c r="E16" s="68" t="n">
        <f aca="false">D16+F16</f>
        <v>0.044</v>
      </c>
      <c r="F16" s="69" t="n">
        <f aca="false">RANDBETWEEN(-105,125)/1000</f>
        <v>0.054</v>
      </c>
      <c r="G16" s="68" t="n">
        <v>-0.06</v>
      </c>
      <c r="H16" s="68" t="n">
        <f aca="false">G16+I16</f>
        <v>-0.041</v>
      </c>
      <c r="I16" s="69" t="n">
        <f aca="false">RANDBETWEEN(-105,125)/1000</f>
        <v>0.019</v>
      </c>
      <c r="J16" s="68" t="n">
        <v>-0.12</v>
      </c>
      <c r="K16" s="68" t="n">
        <f aca="false">J16+L16</f>
        <v>-0.073</v>
      </c>
      <c r="L16" s="69" t="n">
        <f aca="false">RANDBETWEEN(-105,125)/1000</f>
        <v>0.047</v>
      </c>
      <c r="M16" s="68" t="n">
        <v>-0.07</v>
      </c>
      <c r="N16" s="68" t="n">
        <f aca="false">M16+O16</f>
        <v>0.031</v>
      </c>
      <c r="O16" s="69" t="n">
        <f aca="false">RANDBETWEEN(-105,125)/1000</f>
        <v>0.101</v>
      </c>
      <c r="P16" s="68" t="n">
        <v>-0.02</v>
      </c>
      <c r="Q16" s="68" t="n">
        <f aca="false">P16+R16</f>
        <v>-0.023</v>
      </c>
      <c r="R16" s="69" t="n">
        <f aca="false">RANDBETWEEN(-105,125)/1000</f>
        <v>-0.003</v>
      </c>
      <c r="S16" s="68"/>
      <c r="T16" s="54" t="n">
        <v>20</v>
      </c>
    </row>
    <row r="17" customFormat="false" ht="19.5" hidden="false" customHeight="true" outlineLevel="0" collapsed="false">
      <c r="A17" s="66" t="n">
        <v>6</v>
      </c>
      <c r="B17" s="66" t="s">
        <v>85</v>
      </c>
      <c r="C17" s="67" t="n">
        <f aca="false">C16+T16</f>
        <v>692.61</v>
      </c>
      <c r="D17" s="68" t="n">
        <v>-0.34</v>
      </c>
      <c r="E17" s="68" t="n">
        <f aca="false">D17+F17</f>
        <v>-0.315</v>
      </c>
      <c r="F17" s="69" t="n">
        <f aca="false">RANDBETWEEN(-105,125)/1000</f>
        <v>0.025</v>
      </c>
      <c r="G17" s="68" t="n">
        <v>-0.32</v>
      </c>
      <c r="H17" s="68" t="n">
        <f aca="false">G17+I17</f>
        <v>-0.395</v>
      </c>
      <c r="I17" s="69" t="n">
        <f aca="false">RANDBETWEEN(-105,125)/1000</f>
        <v>-0.075</v>
      </c>
      <c r="J17" s="68" t="n">
        <v>-0.31</v>
      </c>
      <c r="K17" s="68" t="n">
        <f aca="false">J17+L17</f>
        <v>-0.188</v>
      </c>
      <c r="L17" s="69" t="n">
        <f aca="false">RANDBETWEEN(-105,125)/1000</f>
        <v>0.122</v>
      </c>
      <c r="M17" s="68" t="n">
        <v>-0.31</v>
      </c>
      <c r="N17" s="68" t="n">
        <f aca="false">M17+O17</f>
        <v>-0.224</v>
      </c>
      <c r="O17" s="69" t="n">
        <f aca="false">RANDBETWEEN(-105,125)/1000</f>
        <v>0.086</v>
      </c>
      <c r="P17" s="68" t="n">
        <v>-0.32</v>
      </c>
      <c r="Q17" s="68" t="n">
        <f aca="false">P17+R17</f>
        <v>-0.252</v>
      </c>
      <c r="R17" s="69" t="n">
        <f aca="false">RANDBETWEEN(-105,125)/1000</f>
        <v>0.068</v>
      </c>
      <c r="S17" s="68"/>
      <c r="T17" s="54" t="n">
        <v>20</v>
      </c>
    </row>
    <row r="18" customFormat="false" ht="19.5" hidden="false" customHeight="true" outlineLevel="0" collapsed="false">
      <c r="A18" s="66" t="n">
        <v>7</v>
      </c>
      <c r="B18" s="66" t="s">
        <v>86</v>
      </c>
      <c r="C18" s="67" t="n">
        <f aca="false">C17+T17</f>
        <v>712.61</v>
      </c>
      <c r="D18" s="68" t="n">
        <v>1.42</v>
      </c>
      <c r="E18" s="68" t="n">
        <f aca="false">D18+F18</f>
        <v>1.364</v>
      </c>
      <c r="F18" s="69" t="n">
        <f aca="false">RANDBETWEEN(-105,125)/1000</f>
        <v>-0.056</v>
      </c>
      <c r="G18" s="68" t="n">
        <v>1.14</v>
      </c>
      <c r="H18" s="68" t="n">
        <f aca="false">G18+I18</f>
        <v>1.197</v>
      </c>
      <c r="I18" s="69" t="n">
        <f aca="false">RANDBETWEEN(-105,125)/1000</f>
        <v>0.057</v>
      </c>
      <c r="J18" s="68" t="n">
        <v>0.42</v>
      </c>
      <c r="K18" s="68" t="n">
        <f aca="false">J18+L18</f>
        <v>0.472</v>
      </c>
      <c r="L18" s="69" t="n">
        <f aca="false">RANDBETWEEN(-105,125)/1000</f>
        <v>0.052</v>
      </c>
      <c r="M18" s="68" t="n">
        <v>0.17</v>
      </c>
      <c r="N18" s="68" t="n">
        <f aca="false">M18+O18</f>
        <v>0.091</v>
      </c>
      <c r="O18" s="69" t="n">
        <f aca="false">RANDBETWEEN(-105,125)/1000</f>
        <v>-0.079</v>
      </c>
      <c r="P18" s="68" t="n">
        <v>-0.12</v>
      </c>
      <c r="Q18" s="68" t="n">
        <f aca="false">P18+R18</f>
        <v>-0.097</v>
      </c>
      <c r="R18" s="69" t="n">
        <f aca="false">RANDBETWEEN(-105,125)/1000</f>
        <v>0.023</v>
      </c>
      <c r="S18" s="68"/>
      <c r="T18" s="54" t="n">
        <v>11.5</v>
      </c>
    </row>
    <row r="19" customFormat="false" ht="19.5" hidden="false" customHeight="true" outlineLevel="0" collapsed="false">
      <c r="A19" s="66" t="n">
        <v>8</v>
      </c>
      <c r="B19" s="66" t="s">
        <v>87</v>
      </c>
      <c r="C19" s="67" t="n">
        <f aca="false">C18+T18</f>
        <v>724.11</v>
      </c>
      <c r="D19" s="68" t="n">
        <v>-0.59</v>
      </c>
      <c r="E19" s="68" t="n">
        <f aca="false">D19+F19</f>
        <v>-0.603</v>
      </c>
      <c r="F19" s="69" t="n">
        <f aca="false">RANDBETWEEN(-105,125)/1000</f>
        <v>-0.013</v>
      </c>
      <c r="G19" s="68" t="n">
        <v>-0.55</v>
      </c>
      <c r="H19" s="68" t="n">
        <f aca="false">G19+I19</f>
        <v>-0.639</v>
      </c>
      <c r="I19" s="69" t="n">
        <f aca="false">RANDBETWEEN(-105,125)/1000</f>
        <v>-0.089</v>
      </c>
      <c r="J19" s="68" t="n">
        <v>-0.52</v>
      </c>
      <c r="K19" s="68" t="n">
        <f aca="false">J19+L19</f>
        <v>-0.597</v>
      </c>
      <c r="L19" s="69" t="n">
        <f aca="false">RANDBETWEEN(-105,125)/1000</f>
        <v>-0.077</v>
      </c>
      <c r="M19" s="68" t="n">
        <v>-0.17</v>
      </c>
      <c r="N19" s="68" t="n">
        <f aca="false">M19+O19</f>
        <v>-0.061</v>
      </c>
      <c r="O19" s="69" t="n">
        <f aca="false">RANDBETWEEN(-105,125)/1000</f>
        <v>0.109</v>
      </c>
      <c r="P19" s="68" t="n">
        <v>0.17</v>
      </c>
      <c r="Q19" s="68" t="n">
        <f aca="false">P19+R19</f>
        <v>0.147</v>
      </c>
      <c r="R19" s="69" t="n">
        <f aca="false">RANDBETWEEN(-105,125)/1000</f>
        <v>-0.023</v>
      </c>
      <c r="S19" s="68"/>
    </row>
    <row r="20" customFormat="false" ht="19.5" hidden="true" customHeight="true" outlineLevel="0" collapsed="false">
      <c r="A20" s="66"/>
      <c r="B20" s="66"/>
      <c r="C20" s="67"/>
      <c r="D20" s="68"/>
      <c r="E20" s="68"/>
      <c r="F20" s="69"/>
      <c r="G20" s="68"/>
      <c r="H20" s="68"/>
      <c r="I20" s="69"/>
      <c r="J20" s="68"/>
      <c r="K20" s="68"/>
      <c r="L20" s="69"/>
      <c r="M20" s="68"/>
      <c r="N20" s="68"/>
      <c r="O20" s="69"/>
      <c r="P20" s="68"/>
      <c r="Q20" s="68"/>
      <c r="R20" s="69"/>
      <c r="S20" s="68"/>
    </row>
    <row r="21" customFormat="false" ht="19.5" hidden="true" customHeight="true" outlineLevel="0" collapsed="false">
      <c r="A21" s="66"/>
      <c r="B21" s="66"/>
      <c r="C21" s="67"/>
      <c r="D21" s="68"/>
      <c r="E21" s="68"/>
      <c r="F21" s="69"/>
      <c r="G21" s="68"/>
      <c r="H21" s="68"/>
      <c r="I21" s="69"/>
      <c r="J21" s="68"/>
      <c r="K21" s="68"/>
      <c r="L21" s="69"/>
      <c r="M21" s="68"/>
      <c r="N21" s="68"/>
      <c r="O21" s="69"/>
      <c r="P21" s="68"/>
      <c r="Q21" s="68"/>
      <c r="R21" s="69"/>
      <c r="S21" s="68"/>
    </row>
    <row r="22" customFormat="false" ht="19.5" hidden="true" customHeight="true" outlineLevel="0" collapsed="false">
      <c r="A22" s="66"/>
      <c r="B22" s="66"/>
      <c r="C22" s="67"/>
      <c r="D22" s="68"/>
      <c r="E22" s="68"/>
      <c r="F22" s="69"/>
      <c r="G22" s="68"/>
      <c r="H22" s="68"/>
      <c r="I22" s="69"/>
      <c r="J22" s="68"/>
      <c r="K22" s="68"/>
      <c r="L22" s="69"/>
      <c r="M22" s="68"/>
      <c r="N22" s="68"/>
      <c r="O22" s="69"/>
      <c r="P22" s="68"/>
      <c r="Q22" s="68"/>
      <c r="R22" s="69"/>
      <c r="S22" s="68"/>
    </row>
    <row r="23" customFormat="false" ht="19.5" hidden="true" customHeight="true" outlineLevel="0" collapsed="false">
      <c r="A23" s="66"/>
      <c r="B23" s="66"/>
      <c r="C23" s="67"/>
      <c r="D23" s="68"/>
      <c r="E23" s="68"/>
      <c r="F23" s="69"/>
      <c r="G23" s="68"/>
      <c r="H23" s="68"/>
      <c r="I23" s="69"/>
      <c r="J23" s="68"/>
      <c r="K23" s="68"/>
      <c r="L23" s="69"/>
      <c r="M23" s="68"/>
      <c r="N23" s="68"/>
      <c r="O23" s="69"/>
      <c r="P23" s="68"/>
      <c r="Q23" s="68"/>
      <c r="R23" s="69"/>
      <c r="S23" s="68"/>
    </row>
    <row r="24" customFormat="false" ht="19.5" hidden="true" customHeight="true" outlineLevel="0" collapsed="false">
      <c r="A24" s="66"/>
      <c r="B24" s="66"/>
      <c r="C24" s="67"/>
      <c r="D24" s="68"/>
      <c r="E24" s="68"/>
      <c r="F24" s="69"/>
      <c r="G24" s="68"/>
      <c r="H24" s="68"/>
      <c r="I24" s="69"/>
      <c r="J24" s="68"/>
      <c r="K24" s="68"/>
      <c r="L24" s="69"/>
      <c r="M24" s="68"/>
      <c r="N24" s="68"/>
      <c r="O24" s="69"/>
      <c r="P24" s="68"/>
      <c r="Q24" s="68"/>
      <c r="R24" s="69"/>
      <c r="S24" s="68"/>
    </row>
    <row r="25" customFormat="false" ht="19.5" hidden="true" customHeight="true" outlineLevel="0" collapsed="false">
      <c r="A25" s="66"/>
      <c r="B25" s="66"/>
      <c r="C25" s="67"/>
      <c r="D25" s="68"/>
      <c r="E25" s="68"/>
      <c r="F25" s="69"/>
      <c r="G25" s="68"/>
      <c r="H25" s="68"/>
      <c r="I25" s="69"/>
      <c r="J25" s="68"/>
      <c r="K25" s="68"/>
      <c r="L25" s="69"/>
      <c r="M25" s="68"/>
      <c r="N25" s="68"/>
      <c r="O25" s="69"/>
      <c r="P25" s="68"/>
      <c r="Q25" s="68"/>
      <c r="R25" s="69"/>
      <c r="S25" s="68"/>
    </row>
    <row r="26" customFormat="false" ht="19.5" hidden="true" customHeight="true" outlineLevel="0" collapsed="false">
      <c r="A26" s="66"/>
      <c r="B26" s="66"/>
      <c r="C26" s="67"/>
      <c r="D26" s="68"/>
      <c r="E26" s="68"/>
      <c r="F26" s="69"/>
      <c r="G26" s="68"/>
      <c r="H26" s="68"/>
      <c r="I26" s="69"/>
      <c r="J26" s="68"/>
      <c r="K26" s="68"/>
      <c r="L26" s="69"/>
      <c r="M26" s="68"/>
      <c r="N26" s="68"/>
      <c r="O26" s="69"/>
      <c r="P26" s="68"/>
      <c r="Q26" s="68"/>
      <c r="R26" s="69"/>
      <c r="S26" s="68"/>
    </row>
    <row r="27" customFormat="false" ht="19.5" hidden="true" customHeight="true" outlineLevel="0" collapsed="false">
      <c r="A27" s="66"/>
      <c r="B27" s="66"/>
      <c r="C27" s="67"/>
      <c r="D27" s="68"/>
      <c r="E27" s="68"/>
      <c r="F27" s="69"/>
      <c r="G27" s="68"/>
      <c r="H27" s="68"/>
      <c r="I27" s="69"/>
      <c r="J27" s="68"/>
      <c r="K27" s="68"/>
      <c r="L27" s="69"/>
      <c r="M27" s="68"/>
      <c r="N27" s="68"/>
      <c r="O27" s="69"/>
      <c r="P27" s="68"/>
      <c r="Q27" s="68"/>
      <c r="R27" s="69"/>
      <c r="S27" s="68"/>
    </row>
    <row r="28" customFormat="false" ht="19.5" hidden="true" customHeight="true" outlineLevel="0" collapsed="false">
      <c r="A28" s="66"/>
      <c r="B28" s="66"/>
      <c r="C28" s="67"/>
      <c r="D28" s="68"/>
      <c r="E28" s="68"/>
      <c r="F28" s="69"/>
      <c r="G28" s="68"/>
      <c r="H28" s="68"/>
      <c r="I28" s="69"/>
      <c r="J28" s="68"/>
      <c r="K28" s="68"/>
      <c r="L28" s="69"/>
      <c r="M28" s="68"/>
      <c r="N28" s="68"/>
      <c r="O28" s="69"/>
      <c r="P28" s="68"/>
      <c r="Q28" s="68"/>
      <c r="R28" s="69"/>
      <c r="S28" s="68"/>
    </row>
    <row r="29" customFormat="false" ht="19.5" hidden="true" customHeight="true" outlineLevel="0" collapsed="false">
      <c r="A29" s="66"/>
      <c r="B29" s="66"/>
      <c r="C29" s="67"/>
      <c r="D29" s="68"/>
      <c r="E29" s="68"/>
      <c r="F29" s="69"/>
      <c r="G29" s="68"/>
      <c r="H29" s="68"/>
      <c r="I29" s="69"/>
      <c r="J29" s="68"/>
      <c r="K29" s="68"/>
      <c r="L29" s="69"/>
      <c r="M29" s="68"/>
      <c r="N29" s="68"/>
      <c r="O29" s="69"/>
      <c r="P29" s="68"/>
      <c r="Q29" s="68"/>
      <c r="R29" s="69"/>
      <c r="S29" s="68"/>
    </row>
    <row r="30" customFormat="false" ht="19.5" hidden="true" customHeight="true" outlineLevel="0" collapsed="false">
      <c r="A30" s="66"/>
      <c r="B30" s="66"/>
      <c r="C30" s="67"/>
      <c r="D30" s="68"/>
      <c r="E30" s="68"/>
      <c r="F30" s="69"/>
      <c r="G30" s="68"/>
      <c r="H30" s="68"/>
      <c r="I30" s="69"/>
      <c r="J30" s="68"/>
      <c r="K30" s="68"/>
      <c r="L30" s="69"/>
      <c r="M30" s="68"/>
      <c r="N30" s="68"/>
      <c r="O30" s="69"/>
      <c r="P30" s="68"/>
      <c r="Q30" s="68"/>
      <c r="R30" s="69"/>
      <c r="S30" s="68"/>
    </row>
    <row r="31" customFormat="false" ht="19.5" hidden="true" customHeight="true" outlineLevel="0" collapsed="false">
      <c r="A31" s="66"/>
      <c r="B31" s="66"/>
      <c r="C31" s="67"/>
      <c r="D31" s="68"/>
      <c r="E31" s="68"/>
      <c r="F31" s="69"/>
      <c r="G31" s="68"/>
      <c r="H31" s="68"/>
      <c r="I31" s="69"/>
      <c r="J31" s="68"/>
      <c r="K31" s="68"/>
      <c r="L31" s="69"/>
      <c r="M31" s="68"/>
      <c r="N31" s="68"/>
      <c r="O31" s="69"/>
      <c r="P31" s="68"/>
      <c r="Q31" s="68"/>
      <c r="R31" s="69"/>
      <c r="S31" s="68"/>
    </row>
    <row r="32" customFormat="false" ht="19.5" hidden="true" customHeight="true" outlineLevel="0" collapsed="false">
      <c r="A32" s="66"/>
      <c r="B32" s="66"/>
      <c r="C32" s="67"/>
      <c r="D32" s="68"/>
      <c r="E32" s="68"/>
      <c r="F32" s="69"/>
      <c r="G32" s="68"/>
      <c r="H32" s="68"/>
      <c r="I32" s="69"/>
      <c r="J32" s="68"/>
      <c r="K32" s="68"/>
      <c r="L32" s="69"/>
      <c r="M32" s="68"/>
      <c r="N32" s="68"/>
      <c r="O32" s="69"/>
      <c r="P32" s="68"/>
      <c r="Q32" s="68"/>
      <c r="R32" s="69"/>
      <c r="S32" s="68"/>
    </row>
    <row r="33" customFormat="false" ht="19.5" hidden="true" customHeight="true" outlineLevel="0" collapsed="false">
      <c r="A33" s="66"/>
      <c r="B33" s="66"/>
      <c r="C33" s="67"/>
      <c r="D33" s="68"/>
      <c r="E33" s="68"/>
      <c r="F33" s="69"/>
      <c r="G33" s="68"/>
      <c r="H33" s="68"/>
      <c r="I33" s="69"/>
      <c r="J33" s="68"/>
      <c r="K33" s="68"/>
      <c r="L33" s="69"/>
      <c r="M33" s="68"/>
      <c r="N33" s="68"/>
      <c r="O33" s="69"/>
      <c r="P33" s="68"/>
      <c r="Q33" s="68"/>
      <c r="R33" s="69"/>
      <c r="S33" s="68"/>
    </row>
    <row r="34" customFormat="false" ht="19.5" hidden="true" customHeight="true" outlineLevel="0" collapsed="false">
      <c r="A34" s="66"/>
      <c r="B34" s="66"/>
      <c r="C34" s="67"/>
      <c r="D34" s="68"/>
      <c r="E34" s="68"/>
      <c r="F34" s="69"/>
      <c r="G34" s="68"/>
      <c r="H34" s="68"/>
      <c r="I34" s="69"/>
      <c r="J34" s="68"/>
      <c r="K34" s="68"/>
      <c r="L34" s="69"/>
      <c r="M34" s="68"/>
      <c r="N34" s="68"/>
      <c r="O34" s="69"/>
      <c r="P34" s="68"/>
      <c r="Q34" s="68"/>
      <c r="R34" s="69"/>
      <c r="S34" s="68"/>
    </row>
    <row r="35" customFormat="false" ht="19.5" hidden="true" customHeight="true" outlineLevel="0" collapsed="false">
      <c r="A35" s="66"/>
      <c r="B35" s="66"/>
      <c r="C35" s="67"/>
      <c r="D35" s="68"/>
      <c r="E35" s="68"/>
      <c r="F35" s="69"/>
      <c r="G35" s="68"/>
      <c r="H35" s="68"/>
      <c r="I35" s="69"/>
      <c r="J35" s="68"/>
      <c r="K35" s="68"/>
      <c r="L35" s="69"/>
      <c r="M35" s="68"/>
      <c r="N35" s="68"/>
      <c r="O35" s="69"/>
      <c r="P35" s="68"/>
      <c r="Q35" s="68"/>
      <c r="R35" s="69"/>
      <c r="S35" s="68"/>
    </row>
    <row r="36" customFormat="false" ht="19.5" hidden="true" customHeight="true" outlineLevel="0" collapsed="false">
      <c r="A36" s="66"/>
      <c r="B36" s="66"/>
      <c r="C36" s="67"/>
      <c r="D36" s="68"/>
      <c r="E36" s="68"/>
      <c r="F36" s="69"/>
      <c r="G36" s="68"/>
      <c r="H36" s="68"/>
      <c r="I36" s="69"/>
      <c r="J36" s="68"/>
      <c r="K36" s="68"/>
      <c r="L36" s="69"/>
      <c r="M36" s="68"/>
      <c r="N36" s="68"/>
      <c r="O36" s="69"/>
      <c r="P36" s="68"/>
      <c r="Q36" s="68"/>
      <c r="R36" s="69"/>
      <c r="S36" s="68"/>
    </row>
    <row r="37" customFormat="false" ht="19.5" hidden="true" customHeight="true" outlineLevel="0" collapsed="false">
      <c r="A37" s="66"/>
      <c r="B37" s="66"/>
      <c r="C37" s="67"/>
      <c r="D37" s="68"/>
      <c r="E37" s="68"/>
      <c r="F37" s="69"/>
      <c r="G37" s="68"/>
      <c r="H37" s="68"/>
      <c r="I37" s="69"/>
      <c r="J37" s="68"/>
      <c r="K37" s="68"/>
      <c r="L37" s="69"/>
      <c r="M37" s="68"/>
      <c r="N37" s="68"/>
      <c r="O37" s="69"/>
      <c r="P37" s="68"/>
      <c r="Q37" s="68"/>
      <c r="R37" s="69"/>
      <c r="S37" s="68"/>
    </row>
    <row r="38" customFormat="false" ht="19.5" hidden="true" customHeight="true" outlineLevel="0" collapsed="false">
      <c r="A38" s="66"/>
      <c r="B38" s="66"/>
      <c r="C38" s="67"/>
      <c r="D38" s="68"/>
      <c r="E38" s="68"/>
      <c r="F38" s="69"/>
      <c r="G38" s="68"/>
      <c r="H38" s="68"/>
      <c r="I38" s="69"/>
      <c r="J38" s="68"/>
      <c r="K38" s="68"/>
      <c r="L38" s="69"/>
      <c r="M38" s="68"/>
      <c r="N38" s="68"/>
      <c r="O38" s="69"/>
      <c r="P38" s="68"/>
      <c r="Q38" s="68"/>
      <c r="R38" s="69"/>
      <c r="S38" s="68"/>
    </row>
    <row r="39" customFormat="false" ht="19.5" hidden="true" customHeight="true" outlineLevel="0" collapsed="false">
      <c r="A39" s="66"/>
      <c r="B39" s="66"/>
      <c r="C39" s="67"/>
      <c r="D39" s="68"/>
      <c r="E39" s="68"/>
      <c r="F39" s="69"/>
      <c r="G39" s="68"/>
      <c r="H39" s="68"/>
      <c r="I39" s="69"/>
      <c r="J39" s="68"/>
      <c r="K39" s="68"/>
      <c r="L39" s="69"/>
      <c r="M39" s="68"/>
      <c r="N39" s="68"/>
      <c r="O39" s="69"/>
      <c r="P39" s="68"/>
      <c r="Q39" s="68"/>
      <c r="R39" s="69"/>
      <c r="S39" s="68"/>
    </row>
    <row r="40" customFormat="false" ht="19.5" hidden="true" customHeight="true" outlineLevel="0" collapsed="false">
      <c r="A40" s="66"/>
      <c r="B40" s="66"/>
      <c r="C40" s="67"/>
      <c r="D40" s="68"/>
      <c r="E40" s="68"/>
      <c r="F40" s="69"/>
      <c r="G40" s="68"/>
      <c r="H40" s="68"/>
      <c r="I40" s="69"/>
      <c r="J40" s="68"/>
      <c r="K40" s="68"/>
      <c r="L40" s="69"/>
      <c r="M40" s="68"/>
      <c r="N40" s="68"/>
      <c r="O40" s="69"/>
      <c r="P40" s="68"/>
      <c r="Q40" s="68"/>
      <c r="R40" s="69"/>
      <c r="S40" s="68"/>
    </row>
    <row r="41" customFormat="false" ht="19.5" hidden="true" customHeight="true" outlineLevel="0" collapsed="false">
      <c r="A41" s="66"/>
      <c r="B41" s="66"/>
      <c r="C41" s="67"/>
      <c r="D41" s="68"/>
      <c r="E41" s="68"/>
      <c r="F41" s="69"/>
      <c r="G41" s="68"/>
      <c r="H41" s="68"/>
      <c r="I41" s="69"/>
      <c r="J41" s="68"/>
      <c r="K41" s="68"/>
      <c r="L41" s="69"/>
      <c r="M41" s="68"/>
      <c r="N41" s="68"/>
      <c r="O41" s="69"/>
      <c r="P41" s="68"/>
      <c r="Q41" s="68"/>
      <c r="R41" s="69"/>
      <c r="S41" s="68"/>
    </row>
    <row r="42" customFormat="false" ht="19.5" hidden="true" customHeight="true" outlineLevel="0" collapsed="false">
      <c r="A42" s="66"/>
      <c r="B42" s="66"/>
      <c r="C42" s="67"/>
      <c r="D42" s="68"/>
      <c r="E42" s="68"/>
      <c r="F42" s="69"/>
      <c r="G42" s="68"/>
      <c r="H42" s="68"/>
      <c r="I42" s="69"/>
      <c r="J42" s="68"/>
      <c r="K42" s="68"/>
      <c r="L42" s="69"/>
      <c r="M42" s="68"/>
      <c r="N42" s="68"/>
      <c r="O42" s="69"/>
      <c r="P42" s="68"/>
      <c r="Q42" s="68"/>
      <c r="R42" s="69"/>
      <c r="S42" s="68"/>
    </row>
    <row r="43" customFormat="false" ht="19.5" hidden="true" customHeight="true" outlineLevel="0" collapsed="false">
      <c r="A43" s="66"/>
      <c r="B43" s="66"/>
      <c r="C43" s="67"/>
      <c r="D43" s="68"/>
      <c r="E43" s="68"/>
      <c r="F43" s="69"/>
      <c r="G43" s="68"/>
      <c r="H43" s="68"/>
      <c r="I43" s="69"/>
      <c r="J43" s="68"/>
      <c r="K43" s="68"/>
      <c r="L43" s="69"/>
      <c r="M43" s="68"/>
      <c r="N43" s="68"/>
      <c r="O43" s="69"/>
      <c r="P43" s="68"/>
      <c r="Q43" s="68"/>
      <c r="R43" s="69"/>
      <c r="S43" s="68"/>
    </row>
    <row r="44" customFormat="false" ht="19.5" hidden="true" customHeight="true" outlineLevel="0" collapsed="false">
      <c r="A44" s="66"/>
      <c r="B44" s="66"/>
      <c r="C44" s="67"/>
      <c r="D44" s="68"/>
      <c r="E44" s="68"/>
      <c r="F44" s="69"/>
      <c r="G44" s="68"/>
      <c r="H44" s="68"/>
      <c r="I44" s="69"/>
      <c r="J44" s="68"/>
      <c r="K44" s="68"/>
      <c r="L44" s="69"/>
      <c r="M44" s="68"/>
      <c r="N44" s="68"/>
      <c r="O44" s="69"/>
      <c r="P44" s="68"/>
      <c r="Q44" s="68"/>
      <c r="R44" s="69"/>
      <c r="S44" s="68"/>
    </row>
    <row r="45" customFormat="false" ht="19.5" hidden="true" customHeight="true" outlineLevel="0" collapsed="false">
      <c r="A45" s="66"/>
      <c r="B45" s="66"/>
      <c r="C45" s="67"/>
      <c r="D45" s="68"/>
      <c r="E45" s="68"/>
      <c r="F45" s="69"/>
      <c r="G45" s="68"/>
      <c r="H45" s="68"/>
      <c r="I45" s="69"/>
      <c r="J45" s="68"/>
      <c r="K45" s="68"/>
      <c r="L45" s="69"/>
      <c r="M45" s="68"/>
      <c r="N45" s="68"/>
      <c r="O45" s="69"/>
      <c r="P45" s="68"/>
      <c r="Q45" s="68"/>
      <c r="R45" s="69"/>
      <c r="S45" s="68"/>
    </row>
    <row r="46" customFormat="false" ht="19.5" hidden="true" customHeight="true" outlineLevel="0" collapsed="false">
      <c r="A46" s="66"/>
      <c r="B46" s="66"/>
      <c r="C46" s="67"/>
      <c r="D46" s="68"/>
      <c r="E46" s="68"/>
      <c r="F46" s="69"/>
      <c r="G46" s="68"/>
      <c r="H46" s="68"/>
      <c r="I46" s="69"/>
      <c r="J46" s="68"/>
      <c r="K46" s="68"/>
      <c r="L46" s="69"/>
      <c r="M46" s="68"/>
      <c r="N46" s="68"/>
      <c r="O46" s="69"/>
      <c r="P46" s="68"/>
      <c r="Q46" s="68"/>
      <c r="R46" s="69"/>
      <c r="S46" s="68"/>
    </row>
    <row r="47" customFormat="false" ht="19.5" hidden="true" customHeight="true" outlineLevel="0" collapsed="false">
      <c r="A47" s="66"/>
      <c r="B47" s="66"/>
      <c r="C47" s="67"/>
      <c r="D47" s="68"/>
      <c r="E47" s="68"/>
      <c r="F47" s="69"/>
      <c r="G47" s="68"/>
      <c r="H47" s="68"/>
      <c r="I47" s="69"/>
      <c r="J47" s="68"/>
      <c r="K47" s="68"/>
      <c r="L47" s="69"/>
      <c r="M47" s="68"/>
      <c r="N47" s="68"/>
      <c r="O47" s="69"/>
      <c r="P47" s="68"/>
      <c r="Q47" s="68"/>
      <c r="R47" s="69"/>
      <c r="S47" s="68"/>
    </row>
    <row r="48" customFormat="false" ht="19.5" hidden="true" customHeight="true" outlineLevel="0" collapsed="false">
      <c r="A48" s="66"/>
      <c r="B48" s="66"/>
      <c r="C48" s="67"/>
      <c r="D48" s="68"/>
      <c r="E48" s="68"/>
      <c r="F48" s="69"/>
      <c r="G48" s="68"/>
      <c r="H48" s="68"/>
      <c r="I48" s="69"/>
      <c r="J48" s="68"/>
      <c r="K48" s="68"/>
      <c r="L48" s="69"/>
      <c r="M48" s="68"/>
      <c r="N48" s="68"/>
      <c r="O48" s="69"/>
      <c r="P48" s="68"/>
      <c r="Q48" s="68"/>
      <c r="R48" s="69"/>
      <c r="S48" s="68"/>
    </row>
    <row r="49" customFormat="false" ht="19.5" hidden="true" customHeight="true" outlineLevel="0" collapsed="false">
      <c r="A49" s="66"/>
      <c r="B49" s="66"/>
      <c r="C49" s="67"/>
      <c r="D49" s="68"/>
      <c r="E49" s="68"/>
      <c r="F49" s="69"/>
      <c r="G49" s="68"/>
      <c r="H49" s="68"/>
      <c r="I49" s="69"/>
      <c r="J49" s="68"/>
      <c r="K49" s="68"/>
      <c r="L49" s="69"/>
      <c r="M49" s="68"/>
      <c r="N49" s="68"/>
      <c r="O49" s="69"/>
      <c r="P49" s="68"/>
      <c r="Q49" s="68"/>
      <c r="R49" s="69"/>
      <c r="S49" s="68"/>
    </row>
    <row r="50" customFormat="false" ht="19.5" hidden="true" customHeight="true" outlineLevel="0" collapsed="false">
      <c r="A50" s="66"/>
      <c r="B50" s="66"/>
      <c r="C50" s="67"/>
      <c r="D50" s="68"/>
      <c r="E50" s="68"/>
      <c r="F50" s="69"/>
      <c r="G50" s="68"/>
      <c r="H50" s="68"/>
      <c r="I50" s="69"/>
      <c r="J50" s="68"/>
      <c r="K50" s="68"/>
      <c r="L50" s="69"/>
      <c r="M50" s="68"/>
      <c r="N50" s="68"/>
      <c r="O50" s="69"/>
      <c r="P50" s="68"/>
      <c r="Q50" s="68"/>
      <c r="R50" s="69"/>
      <c r="S50" s="68"/>
    </row>
    <row r="51" customFormat="false" ht="19.5" hidden="true" customHeight="true" outlineLevel="0" collapsed="false">
      <c r="A51" s="66"/>
      <c r="B51" s="66"/>
      <c r="C51" s="67"/>
      <c r="D51" s="68"/>
      <c r="E51" s="68"/>
      <c r="F51" s="69"/>
      <c r="G51" s="68"/>
      <c r="H51" s="68"/>
      <c r="I51" s="69"/>
      <c r="J51" s="68"/>
      <c r="K51" s="68"/>
      <c r="L51" s="69"/>
      <c r="M51" s="68"/>
      <c r="N51" s="68"/>
      <c r="O51" s="69"/>
      <c r="P51" s="68"/>
      <c r="Q51" s="68"/>
      <c r="R51" s="69"/>
      <c r="S51" s="68"/>
    </row>
    <row r="52" customFormat="false" ht="15" hidden="false" customHeight="false" outlineLevel="0" collapsed="false">
      <c r="A52" s="70"/>
      <c r="B52" s="70"/>
      <c r="C52" s="71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</row>
    <row r="53" s="74" customFormat="true" ht="15" hidden="false" customHeight="false" outlineLevel="0" collapsed="false">
      <c r="A53" s="73" t="s">
        <v>88</v>
      </c>
      <c r="B53" s="73"/>
      <c r="C53" s="73"/>
      <c r="D53" s="73"/>
      <c r="E53" s="73"/>
      <c r="F53" s="73"/>
      <c r="G53" s="73"/>
      <c r="H53" s="73"/>
      <c r="I53" s="73"/>
      <c r="J53" s="73"/>
      <c r="K53" s="73" t="s">
        <v>89</v>
      </c>
      <c r="L53" s="73"/>
      <c r="M53" s="73"/>
      <c r="N53" s="73"/>
      <c r="O53" s="73"/>
      <c r="P53" s="73"/>
      <c r="Q53" s="73"/>
      <c r="R53" s="73"/>
      <c r="S53" s="73"/>
    </row>
    <row r="54" s="74" customFormat="true" ht="21" hidden="false" customHeight="true" outlineLevel="0" collapsed="false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</row>
    <row r="55" s="74" customFormat="true" ht="21" hidden="false" customHeight="true" outlineLevel="0" collapsed="false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</row>
    <row r="56" s="74" customFormat="true" ht="21" hidden="false" customHeight="true" outlineLevel="0" collapsed="false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</row>
    <row r="57" s="74" customFormat="true" ht="15" hidden="false" customHeight="false" outlineLevel="0" collapsed="false">
      <c r="A57" s="73" t="s">
        <v>29</v>
      </c>
      <c r="B57" s="73"/>
      <c r="C57" s="73"/>
      <c r="D57" s="73"/>
      <c r="E57" s="73"/>
      <c r="F57" s="73"/>
      <c r="G57" s="73"/>
      <c r="H57" s="73"/>
      <c r="I57" s="73"/>
      <c r="J57" s="73"/>
      <c r="K57" s="73" t="str">
        <f aca="false">'Tuyến XD8'!Q3</f>
        <v>Lê Quốc Huy</v>
      </c>
      <c r="L57" s="73"/>
      <c r="M57" s="73"/>
      <c r="N57" s="73"/>
      <c r="O57" s="73"/>
      <c r="P57" s="73"/>
      <c r="Q57" s="73"/>
      <c r="R57" s="73"/>
      <c r="S57" s="73"/>
    </row>
    <row r="64" customFormat="false" ht="15" hidden="false" customHeight="false" outlineLevel="0" collapsed="false">
      <c r="B64" s="76"/>
    </row>
    <row r="65" customFormat="false" ht="15" hidden="false" customHeight="false" outlineLevel="0" collapsed="false">
      <c r="B65" s="76"/>
    </row>
    <row r="66" customFormat="false" ht="15" hidden="false" customHeight="false" outlineLevel="0" collapsed="false">
      <c r="B66" s="76"/>
    </row>
    <row r="67" customFormat="false" ht="15" hidden="false" customHeight="false" outlineLevel="0" collapsed="false">
      <c r="B67" s="76"/>
    </row>
    <row r="68" customFormat="false" ht="15" hidden="false" customHeight="false" outlineLevel="0" collapsed="false">
      <c r="B68" s="76"/>
    </row>
    <row r="69" customFormat="false" ht="15" hidden="false" customHeight="false" outlineLevel="0" collapsed="false">
      <c r="B69" s="76"/>
    </row>
    <row r="70" customFormat="false" ht="15" hidden="false" customHeight="false" outlineLevel="0" collapsed="false">
      <c r="B70" s="76"/>
    </row>
    <row r="71" customFormat="false" ht="15" hidden="false" customHeight="false" outlineLevel="0" collapsed="false">
      <c r="B71" s="76"/>
    </row>
    <row r="72" customFormat="false" ht="15" hidden="false" customHeight="false" outlineLevel="0" collapsed="false">
      <c r="B72" s="76"/>
    </row>
    <row r="73" customFormat="false" ht="15" hidden="false" customHeight="false" outlineLevel="0" collapsed="false">
      <c r="B73" s="76"/>
    </row>
    <row r="74" customFormat="false" ht="15" hidden="false" customHeight="false" outlineLevel="0" collapsed="false">
      <c r="B74" s="76"/>
    </row>
    <row r="75" customFormat="false" ht="15" hidden="false" customHeight="false" outlineLevel="0" collapsed="false">
      <c r="B75" s="76"/>
    </row>
    <row r="76" customFormat="false" ht="15" hidden="false" customHeight="false" outlineLevel="0" collapsed="false">
      <c r="B76" s="76"/>
    </row>
    <row r="77" customFormat="false" ht="15" hidden="false" customHeight="false" outlineLevel="0" collapsed="false">
      <c r="B77" s="76"/>
    </row>
    <row r="78" customFormat="false" ht="15" hidden="false" customHeight="false" outlineLevel="0" collapsed="false">
      <c r="B78" s="76"/>
    </row>
    <row r="79" customFormat="false" ht="15" hidden="false" customHeight="false" outlineLevel="0" collapsed="false">
      <c r="B79" s="76"/>
    </row>
    <row r="80" customFormat="false" ht="15" hidden="false" customHeight="false" outlineLevel="0" collapsed="false">
      <c r="B80" s="76"/>
    </row>
    <row r="81" customFormat="false" ht="15" hidden="false" customHeight="false" outlineLevel="0" collapsed="false">
      <c r="B81" s="76"/>
    </row>
    <row r="82" customFormat="false" ht="15" hidden="false" customHeight="false" outlineLevel="0" collapsed="false">
      <c r="B82" s="76"/>
    </row>
    <row r="83" customFormat="false" ht="15" hidden="false" customHeight="false" outlineLevel="0" collapsed="false">
      <c r="B83" s="76"/>
    </row>
    <row r="84" customFormat="false" ht="15" hidden="false" customHeight="false" outlineLevel="0" collapsed="false">
      <c r="B84" s="76"/>
    </row>
    <row r="85" customFormat="false" ht="15" hidden="false" customHeight="false" outlineLevel="0" collapsed="false">
      <c r="B85" s="76"/>
    </row>
    <row r="86" customFormat="false" ht="15" hidden="false" customHeight="false" outlineLevel="0" collapsed="false">
      <c r="B86" s="76"/>
    </row>
    <row r="87" customFormat="false" ht="15" hidden="false" customHeight="false" outlineLevel="0" collapsed="false">
      <c r="B87" s="76"/>
    </row>
    <row r="88" customFormat="false" ht="15" hidden="false" customHeight="false" outlineLevel="0" collapsed="false">
      <c r="B88" s="76"/>
    </row>
    <row r="89" customFormat="false" ht="15" hidden="false" customHeight="false" outlineLevel="0" collapsed="false">
      <c r="B89" s="76"/>
    </row>
    <row r="90" customFormat="false" ht="15" hidden="false" customHeight="false" outlineLevel="0" collapsed="false">
      <c r="B90" s="76"/>
    </row>
    <row r="91" customFormat="false" ht="15" hidden="false" customHeight="false" outlineLevel="0" collapsed="false">
      <c r="B91" s="76"/>
    </row>
    <row r="92" customFormat="false" ht="15" hidden="false" customHeight="false" outlineLevel="0" collapsed="false">
      <c r="B92" s="76"/>
    </row>
    <row r="93" customFormat="false" ht="15" hidden="false" customHeight="false" outlineLevel="0" collapsed="false">
      <c r="B93" s="76"/>
    </row>
    <row r="94" customFormat="false" ht="15" hidden="false" customHeight="false" outlineLevel="0" collapsed="false">
      <c r="B94" s="76"/>
    </row>
    <row r="95" customFormat="false" ht="15" hidden="false" customHeight="false" outlineLevel="0" collapsed="false">
      <c r="B95" s="76"/>
    </row>
    <row r="96" customFormat="false" ht="15" hidden="false" customHeight="false" outlineLevel="0" collapsed="false">
      <c r="B96" s="76"/>
    </row>
    <row r="97" customFormat="false" ht="15" hidden="false" customHeight="false" outlineLevel="0" collapsed="false">
      <c r="B97" s="76"/>
    </row>
    <row r="98" customFormat="false" ht="15" hidden="false" customHeight="false" outlineLevel="0" collapsed="false">
      <c r="B98" s="76"/>
    </row>
    <row r="99" customFormat="false" ht="15" hidden="false" customHeight="false" outlineLevel="0" collapsed="false">
      <c r="B99" s="76"/>
    </row>
  </sheetData>
  <mergeCells count="16">
    <mergeCell ref="A1:S1"/>
    <mergeCell ref="A2:S2"/>
    <mergeCell ref="A9:S9"/>
    <mergeCell ref="A10:A11"/>
    <mergeCell ref="B10:B11"/>
    <mergeCell ref="C10:C11"/>
    <mergeCell ref="D10:F10"/>
    <mergeCell ref="G10:I10"/>
    <mergeCell ref="J10:L10"/>
    <mergeCell ref="M10:O10"/>
    <mergeCell ref="P10:R10"/>
    <mergeCell ref="S10:S11"/>
    <mergeCell ref="A53:J53"/>
    <mergeCell ref="K53:S53"/>
    <mergeCell ref="A57:J57"/>
    <mergeCell ref="K57:S57"/>
  </mergeCells>
  <printOptions headings="false" gridLines="false" gridLinesSet="true" horizontalCentered="true" verticalCentered="false"/>
  <pageMargins left="0.196527777777778" right="0.157638888888889" top="0.472222222222222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8"/>
  <sheetViews>
    <sheetView showFormulas="false" showGridLines="true" showRowColHeaders="true" showZeros="true" rightToLeft="false" tabSelected="false" showOutlineSymbols="true" defaultGridColor="true" view="normal" topLeftCell="A46" colorId="64" zoomScale="85" zoomScaleNormal="85" zoomScalePageLayoutView="100" workbookViewId="0">
      <selection pane="topLeft" activeCell="O68" activeCellId="0" sqref="O6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5.42"/>
    <col collapsed="false" customWidth="true" hidden="false" outlineLevel="0" max="4" min="4" style="1" width="9"/>
    <col collapsed="false" customWidth="true" hidden="false" outlineLevel="0" max="5" min="5" style="1" width="9.14"/>
    <col collapsed="false" customWidth="true" hidden="false" outlineLevel="0" max="9" min="6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21" min="12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7" t="s">
        <v>90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8"/>
      <c r="X1" s="78"/>
      <c r="Y1" s="78"/>
      <c r="Z1" s="78"/>
    </row>
    <row r="2" customFormat="false" ht="18.75" hidden="false" customHeight="true" outlineLevel="0" collapsed="false">
      <c r="A2" s="56" t="str">
        <f aca="false">"Kèm theo BBNT số: "&amp;VLOOKUP(W2,'Tuyến XD8'!$A$2:$G$60,7,0)&amp;VLOOKUP(W2,'Tuyến XD8'!$A$2:$G$60,4,0)</f>
        <v>Kèm theo BBNT số: 85.NĐXD8/CVXD ngày 27 tháng 09 năm 2026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0" t="n">
        <v>85</v>
      </c>
      <c r="X2" s="79"/>
      <c r="Y2" s="79"/>
      <c r="Z2" s="79"/>
    </row>
    <row r="3" customFormat="false" ht="18.75" hidden="false" customHeight="true" outlineLevel="0" collapsed="false">
      <c r="A3" s="59" t="s">
        <v>62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customFormat="false" ht="18.75" hidden="false" customHeight="true" outlineLevel="0" collapsed="false">
      <c r="A4" s="59" t="s">
        <v>63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customFormat="false" ht="18.75" hidden="false" customHeight="true" outlineLevel="0" collapsed="false">
      <c r="A5" s="59" t="s">
        <v>64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customFormat="false" ht="18.75" hidden="false" customHeight="true" outlineLevel="0" collapsed="false">
      <c r="A6" s="59" t="s">
        <v>65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customFormat="false" ht="18.75" hidden="false" customHeight="true" outlineLevel="0" collapsed="false">
      <c r="A7" s="61" t="s">
        <v>66</v>
      </c>
      <c r="C7" s="59"/>
      <c r="D7" s="59"/>
      <c r="E7" s="59" t="str">
        <f aca="false">VLOOKUP(W2,'Tuyến XD8'!$A$2:$B$60,2,0)</f>
        <v>Đào đất xử lý nền đường đoạn từ Km0+609,11 - Km0+724,11</v>
      </c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customFormat="false" ht="18.75" hidden="false" customHeight="true" outlineLevel="0" collapsed="false">
      <c r="A8" s="61" t="s">
        <v>67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20" customFormat="false" ht="15" hidden="false" customHeight="true" outlineLevel="0" collapsed="false">
      <c r="A20" s="80" t="s">
        <v>68</v>
      </c>
      <c r="B20" s="80" t="s">
        <v>69</v>
      </c>
      <c r="C20" s="80" t="s">
        <v>70</v>
      </c>
      <c r="D20" s="81" t="s">
        <v>71</v>
      </c>
      <c r="E20" s="81"/>
      <c r="F20" s="81"/>
      <c r="G20" s="81"/>
      <c r="H20" s="81"/>
      <c r="I20" s="81"/>
      <c r="J20" s="81" t="s">
        <v>91</v>
      </c>
      <c r="K20" s="81"/>
      <c r="L20" s="81"/>
      <c r="M20" s="81" t="s">
        <v>92</v>
      </c>
      <c r="N20" s="81"/>
      <c r="O20" s="81"/>
      <c r="P20" s="81"/>
      <c r="Q20" s="81"/>
      <c r="R20" s="81"/>
      <c r="S20" s="81" t="s">
        <v>93</v>
      </c>
      <c r="T20" s="81"/>
      <c r="U20" s="81"/>
      <c r="V20" s="80" t="s">
        <v>76</v>
      </c>
    </row>
    <row r="21" customFormat="false" ht="30" hidden="false" customHeight="true" outlineLevel="0" collapsed="false">
      <c r="A21" s="80"/>
      <c r="B21" s="80"/>
      <c r="C21" s="80"/>
      <c r="D21" s="64" t="s">
        <v>94</v>
      </c>
      <c r="E21" s="64" t="s">
        <v>95</v>
      </c>
      <c r="F21" s="64" t="s">
        <v>96</v>
      </c>
      <c r="G21" s="64" t="s">
        <v>97</v>
      </c>
      <c r="H21" s="64" t="s">
        <v>98</v>
      </c>
      <c r="I21" s="64" t="s">
        <v>99</v>
      </c>
      <c r="J21" s="64" t="s">
        <v>97</v>
      </c>
      <c r="K21" s="64" t="s">
        <v>98</v>
      </c>
      <c r="L21" s="64" t="s">
        <v>99</v>
      </c>
      <c r="M21" s="64" t="s">
        <v>94</v>
      </c>
      <c r="N21" s="64" t="s">
        <v>95</v>
      </c>
      <c r="O21" s="64" t="s">
        <v>96</v>
      </c>
      <c r="P21" s="64" t="s">
        <v>97</v>
      </c>
      <c r="Q21" s="64" t="s">
        <v>98</v>
      </c>
      <c r="R21" s="64" t="s">
        <v>99</v>
      </c>
      <c r="S21" s="64" t="s">
        <v>100</v>
      </c>
      <c r="T21" s="64" t="s">
        <v>101</v>
      </c>
      <c r="U21" s="64" t="s">
        <v>102</v>
      </c>
      <c r="V21" s="80"/>
    </row>
    <row r="22" customFormat="false" ht="15" hidden="true" customHeight="false" outlineLevel="0" collapsed="false">
      <c r="A22" s="82"/>
      <c r="B22" s="82"/>
      <c r="C22" s="83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5"/>
    </row>
    <row r="23" customFormat="false" ht="15" hidden="true" customHeight="false" outlineLevel="0" collapsed="false">
      <c r="A23" s="86"/>
      <c r="B23" s="86"/>
      <c r="C23" s="87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88"/>
    </row>
    <row r="24" customFormat="false" ht="20.25" hidden="false" customHeight="true" outlineLevel="0" collapsed="false">
      <c r="A24" s="86" t="n">
        <f aca="false">+'1. PL đường đen'!A12</f>
        <v>1</v>
      </c>
      <c r="B24" s="86" t="str">
        <f aca="false">+'1. PL đường đen'!B12</f>
        <v>31</v>
      </c>
      <c r="C24" s="87" t="n">
        <f aca="false">+'1. PL đường đen'!C12</f>
        <v>609.11</v>
      </c>
      <c r="D24" s="69" t="n">
        <v>-8.27</v>
      </c>
      <c r="E24" s="69" t="n">
        <f aca="false">D24+F24</f>
        <v>-8.302</v>
      </c>
      <c r="F24" s="69" t="n">
        <f aca="false">RANDBETWEEN(-105,115)/1000</f>
        <v>-0.032</v>
      </c>
      <c r="G24" s="69" t="n">
        <v>-1.45</v>
      </c>
      <c r="H24" s="69" t="n">
        <f aca="false">G24+I24</f>
        <v>-1.479</v>
      </c>
      <c r="I24" s="69" t="n">
        <f aca="false">RANDBETWEEN(-105,115)/1000</f>
        <v>-0.029</v>
      </c>
      <c r="J24" s="69" t="n">
        <v>-1.45</v>
      </c>
      <c r="K24" s="69" t="n">
        <f aca="false">J24+L24</f>
        <v>-1.41</v>
      </c>
      <c r="L24" s="69" t="n">
        <f aca="false">RANDBETWEEN(-105,115)/1000</f>
        <v>0.04</v>
      </c>
      <c r="M24" s="69" t="n">
        <v>8.13</v>
      </c>
      <c r="N24" s="69" t="n">
        <f aca="false">M24+O24</f>
        <v>8.226</v>
      </c>
      <c r="O24" s="69" t="n">
        <f aca="false">RANDBETWEEN(-105,115)/1000</f>
        <v>0.096</v>
      </c>
      <c r="P24" s="69" t="n">
        <v>-1.45</v>
      </c>
      <c r="Q24" s="69" t="n">
        <f aca="false">P24+R24</f>
        <v>-1.461</v>
      </c>
      <c r="R24" s="69" t="n">
        <f aca="false">RANDBETWEEN(-105,115)/1000</f>
        <v>-0.011</v>
      </c>
      <c r="S24" s="69" t="n">
        <f aca="false">ABS(D24)+ABS(M24)</f>
        <v>16.4</v>
      </c>
      <c r="T24" s="69" t="n">
        <f aca="false">S24+U24</f>
        <v>16.316</v>
      </c>
      <c r="U24" s="69" t="n">
        <f aca="false">RANDBETWEEN(-105,135)/1000</f>
        <v>-0.084</v>
      </c>
      <c r="V24" s="88"/>
    </row>
    <row r="25" customFormat="false" ht="20.25" hidden="false" customHeight="true" outlineLevel="0" collapsed="false">
      <c r="A25" s="86" t="n">
        <f aca="false">+'1. PL đường đen'!A13</f>
        <v>2</v>
      </c>
      <c r="B25" s="86" t="str">
        <f aca="false">+'1. PL đường đen'!B13</f>
        <v>E10</v>
      </c>
      <c r="C25" s="87" t="n">
        <f aca="false">+'1. PL đường đen'!C13</f>
        <v>620.86</v>
      </c>
      <c r="D25" s="69" t="n">
        <v>-8.05</v>
      </c>
      <c r="E25" s="69" t="n">
        <f aca="false">D25+F25</f>
        <v>-8.087</v>
      </c>
      <c r="F25" s="69" t="n">
        <f aca="false">RANDBETWEEN(-105,115)/1000</f>
        <v>-0.037</v>
      </c>
      <c r="G25" s="69" t="n">
        <v>-1.45</v>
      </c>
      <c r="H25" s="69" t="n">
        <f aca="false">G25+I25</f>
        <v>-1.397</v>
      </c>
      <c r="I25" s="69" t="n">
        <f aca="false">RANDBETWEEN(-105,115)/1000</f>
        <v>0.053</v>
      </c>
      <c r="J25" s="69" t="n">
        <v>-1.45</v>
      </c>
      <c r="K25" s="69" t="n">
        <f aca="false">J25+L25</f>
        <v>-1.39</v>
      </c>
      <c r="L25" s="69" t="n">
        <f aca="false">RANDBETWEEN(-105,115)/1000</f>
        <v>0.06</v>
      </c>
      <c r="M25" s="69" t="n">
        <v>8.19</v>
      </c>
      <c r="N25" s="69" t="n">
        <f aca="false">M25+O25</f>
        <v>8.177</v>
      </c>
      <c r="O25" s="69" t="n">
        <f aca="false">RANDBETWEEN(-105,115)/1000</f>
        <v>-0.013</v>
      </c>
      <c r="P25" s="69" t="n">
        <v>-1.45</v>
      </c>
      <c r="Q25" s="69" t="n">
        <f aca="false">P25+R25</f>
        <v>-1.546</v>
      </c>
      <c r="R25" s="69" t="n">
        <f aca="false">RANDBETWEEN(-105,115)/1000</f>
        <v>-0.096</v>
      </c>
      <c r="S25" s="69" t="n">
        <f aca="false">ABS(D25)+ABS(M25)</f>
        <v>16.24</v>
      </c>
      <c r="T25" s="69" t="n">
        <f aca="false">S25+U25</f>
        <v>16.166</v>
      </c>
      <c r="U25" s="69" t="n">
        <f aca="false">RANDBETWEEN(-105,135)/1000</f>
        <v>-0.074</v>
      </c>
      <c r="V25" s="88"/>
    </row>
    <row r="26" customFormat="false" ht="20.25" hidden="false" customHeight="true" outlineLevel="0" collapsed="false">
      <c r="A26" s="86" t="n">
        <f aca="false">+'1. PL đường đen'!A14</f>
        <v>3</v>
      </c>
      <c r="B26" s="86" t="str">
        <f aca="false">+'1. PL đường đen'!B14</f>
        <v>32</v>
      </c>
      <c r="C26" s="87" t="n">
        <f aca="false">+'1. PL đường đen'!C14</f>
        <v>632.61</v>
      </c>
      <c r="D26" s="69" t="n">
        <v>-8.78</v>
      </c>
      <c r="E26" s="69" t="n">
        <f aca="false">D26+F26</f>
        <v>-8.678</v>
      </c>
      <c r="F26" s="69" t="n">
        <f aca="false">RANDBETWEEN(-105,115)/1000</f>
        <v>0.102</v>
      </c>
      <c r="G26" s="69" t="n">
        <v>-1.45</v>
      </c>
      <c r="H26" s="69" t="n">
        <f aca="false">G26+I26</f>
        <v>-1.361</v>
      </c>
      <c r="I26" s="69" t="n">
        <f aca="false">RANDBETWEEN(-105,115)/1000</f>
        <v>0.089</v>
      </c>
      <c r="J26" s="69" t="n">
        <v>-1.45</v>
      </c>
      <c r="K26" s="69" t="n">
        <f aca="false">J26+L26</f>
        <v>-1.422</v>
      </c>
      <c r="L26" s="69" t="n">
        <f aca="false">RANDBETWEEN(-105,115)/1000</f>
        <v>0.028</v>
      </c>
      <c r="M26" s="69" t="n">
        <v>9.06</v>
      </c>
      <c r="N26" s="69" t="n">
        <f aca="false">M26+O26</f>
        <v>9.064</v>
      </c>
      <c r="O26" s="69" t="n">
        <f aca="false">RANDBETWEEN(-105,115)/1000</f>
        <v>0.004</v>
      </c>
      <c r="P26" s="69" t="n">
        <v>-1.45</v>
      </c>
      <c r="Q26" s="69" t="n">
        <f aca="false">P26+R26</f>
        <v>-1.36</v>
      </c>
      <c r="R26" s="69" t="n">
        <f aca="false">RANDBETWEEN(-105,115)/1000</f>
        <v>0.09</v>
      </c>
      <c r="S26" s="69" t="n">
        <f aca="false">ABS(D26)+ABS(M26)</f>
        <v>17.84</v>
      </c>
      <c r="T26" s="69" t="n">
        <f aca="false">S26+U26</f>
        <v>17.803</v>
      </c>
      <c r="U26" s="69" t="n">
        <f aca="false">RANDBETWEEN(-105,135)/1000</f>
        <v>-0.037</v>
      </c>
      <c r="V26" s="88"/>
    </row>
    <row r="27" customFormat="false" ht="20.25" hidden="false" customHeight="true" outlineLevel="0" collapsed="false">
      <c r="A27" s="86" t="n">
        <f aca="false">+'1. PL đường đen'!A15</f>
        <v>4</v>
      </c>
      <c r="B27" s="86" t="str">
        <f aca="false">+'1. PL đường đen'!B15</f>
        <v>33</v>
      </c>
      <c r="C27" s="87" t="n">
        <f aca="false">+'1. PL đường đen'!C15</f>
        <v>652.61</v>
      </c>
      <c r="D27" s="69" t="n">
        <v>-9.48</v>
      </c>
      <c r="E27" s="69" t="n">
        <f aca="false">D27+F27</f>
        <v>-9.563</v>
      </c>
      <c r="F27" s="69" t="n">
        <f aca="false">RANDBETWEEN(-105,115)/1000</f>
        <v>-0.083</v>
      </c>
      <c r="G27" s="69" t="n">
        <v>-1.45</v>
      </c>
      <c r="H27" s="69" t="n">
        <f aca="false">G27+I27</f>
        <v>-1.335</v>
      </c>
      <c r="I27" s="69" t="n">
        <f aca="false">RANDBETWEEN(-105,115)/1000</f>
        <v>0.115</v>
      </c>
      <c r="J27" s="69" t="n">
        <v>-1.45</v>
      </c>
      <c r="K27" s="69" t="n">
        <f aca="false">J27+L27</f>
        <v>-1.474</v>
      </c>
      <c r="L27" s="69" t="n">
        <f aca="false">RANDBETWEEN(-105,115)/1000</f>
        <v>-0.024</v>
      </c>
      <c r="M27" s="69" t="n">
        <v>9.47</v>
      </c>
      <c r="N27" s="69" t="n">
        <f aca="false">M27+O27</f>
        <v>9.519</v>
      </c>
      <c r="O27" s="69" t="n">
        <f aca="false">RANDBETWEEN(-105,115)/1000</f>
        <v>0.049</v>
      </c>
      <c r="P27" s="69" t="n">
        <v>-1.45</v>
      </c>
      <c r="Q27" s="69" t="n">
        <f aca="false">P27+R27</f>
        <v>-1.517</v>
      </c>
      <c r="R27" s="69" t="n">
        <f aca="false">RANDBETWEEN(-105,115)/1000</f>
        <v>-0.067</v>
      </c>
      <c r="S27" s="69" t="n">
        <f aca="false">ABS(D27)+ABS(M27)</f>
        <v>18.95</v>
      </c>
      <c r="T27" s="69" t="n">
        <f aca="false">S27+U27</f>
        <v>18.927</v>
      </c>
      <c r="U27" s="69" t="n">
        <f aca="false">RANDBETWEEN(-105,135)/1000</f>
        <v>-0.023</v>
      </c>
      <c r="V27" s="88"/>
    </row>
    <row r="28" customFormat="false" ht="20.25" hidden="false" customHeight="true" outlineLevel="0" collapsed="false">
      <c r="A28" s="86" t="n">
        <f aca="false">+'1. PL đường đen'!A16</f>
        <v>5</v>
      </c>
      <c r="B28" s="86" t="str">
        <f aca="false">+'1. PL đường đen'!B16</f>
        <v>34</v>
      </c>
      <c r="C28" s="87" t="n">
        <f aca="false">+'1. PL đường đen'!C16</f>
        <v>672.61</v>
      </c>
      <c r="D28" s="69" t="n">
        <v>-8.63</v>
      </c>
      <c r="E28" s="69" t="n">
        <f aca="false">D28+F28</f>
        <v>-8.618</v>
      </c>
      <c r="F28" s="69" t="n">
        <f aca="false">RANDBETWEEN(-105,115)/1000</f>
        <v>0.012</v>
      </c>
      <c r="G28" s="69" t="n">
        <v>-1.45</v>
      </c>
      <c r="H28" s="69" t="n">
        <f aca="false">G28+I28</f>
        <v>-1.419</v>
      </c>
      <c r="I28" s="69" t="n">
        <f aca="false">RANDBETWEEN(-105,115)/1000</f>
        <v>0.031</v>
      </c>
      <c r="J28" s="69" t="n">
        <v>-1.45</v>
      </c>
      <c r="K28" s="69" t="n">
        <f aca="false">J28+L28</f>
        <v>-1.491</v>
      </c>
      <c r="L28" s="69" t="n">
        <f aca="false">RANDBETWEEN(-105,115)/1000</f>
        <v>-0.041</v>
      </c>
      <c r="M28" s="69" t="n">
        <v>8.6</v>
      </c>
      <c r="N28" s="69" t="n">
        <f aca="false">M28+O28</f>
        <v>8.591</v>
      </c>
      <c r="O28" s="69" t="n">
        <f aca="false">RANDBETWEEN(-105,115)/1000</f>
        <v>-0.009</v>
      </c>
      <c r="P28" s="69" t="n">
        <v>-1.52</v>
      </c>
      <c r="Q28" s="69" t="n">
        <f aca="false">P28+R28</f>
        <v>-1.524</v>
      </c>
      <c r="R28" s="69" t="n">
        <f aca="false">RANDBETWEEN(-105,115)/1000</f>
        <v>-0.004</v>
      </c>
      <c r="S28" s="69" t="n">
        <f aca="false">ABS(D28)+ABS(M28)</f>
        <v>17.23</v>
      </c>
      <c r="T28" s="69" t="n">
        <f aca="false">S28+U28</f>
        <v>17.184</v>
      </c>
      <c r="U28" s="69" t="n">
        <f aca="false">RANDBETWEEN(-105,135)/1000</f>
        <v>-0.046</v>
      </c>
      <c r="V28" s="88"/>
    </row>
    <row r="29" customFormat="false" ht="20.25" hidden="false" customHeight="true" outlineLevel="0" collapsed="false">
      <c r="A29" s="86" t="n">
        <f aca="false">+'1. PL đường đen'!A17</f>
        <v>6</v>
      </c>
      <c r="B29" s="86" t="str">
        <f aca="false">+'1. PL đường đen'!B17</f>
        <v>35</v>
      </c>
      <c r="C29" s="87" t="n">
        <f aca="false">+'1. PL đường đen'!C17</f>
        <v>692.61</v>
      </c>
      <c r="D29" s="69" t="n">
        <v>-9.54</v>
      </c>
      <c r="E29" s="69" t="n">
        <f aca="false">D29+F29</f>
        <v>-9.444</v>
      </c>
      <c r="F29" s="69" t="n">
        <f aca="false">RANDBETWEEN(-105,115)/1000</f>
        <v>0.096</v>
      </c>
      <c r="G29" s="69" t="n">
        <v>-1.45</v>
      </c>
      <c r="H29" s="69" t="n">
        <f aca="false">G29+I29</f>
        <v>-1.336</v>
      </c>
      <c r="I29" s="69" t="n">
        <f aca="false">RANDBETWEEN(-105,115)/1000</f>
        <v>0.114</v>
      </c>
      <c r="J29" s="69" t="n">
        <v>-1.45</v>
      </c>
      <c r="K29" s="69" t="n">
        <f aca="false">J29+L29</f>
        <v>-1.346</v>
      </c>
      <c r="L29" s="69" t="n">
        <f aca="false">RANDBETWEEN(-105,115)/1000</f>
        <v>0.104</v>
      </c>
      <c r="M29" s="69" t="n">
        <v>9.49</v>
      </c>
      <c r="N29" s="69" t="n">
        <f aca="false">M29+O29</f>
        <v>9.602</v>
      </c>
      <c r="O29" s="69" t="n">
        <f aca="false">RANDBETWEEN(-105,115)/1000</f>
        <v>0.112</v>
      </c>
      <c r="P29" s="69" t="n">
        <v>-1.45</v>
      </c>
      <c r="Q29" s="69" t="n">
        <f aca="false">P29+R29</f>
        <v>-1.505</v>
      </c>
      <c r="R29" s="69" t="n">
        <f aca="false">RANDBETWEEN(-105,115)/1000</f>
        <v>-0.055</v>
      </c>
      <c r="S29" s="69" t="n">
        <f aca="false">ABS(D29)+ABS(M29)</f>
        <v>19.03</v>
      </c>
      <c r="T29" s="69" t="n">
        <f aca="false">S29+U29</f>
        <v>19.089</v>
      </c>
      <c r="U29" s="69" t="n">
        <f aca="false">RANDBETWEEN(-105,135)/1000</f>
        <v>0.059</v>
      </c>
      <c r="V29" s="88"/>
    </row>
    <row r="30" customFormat="false" ht="20.25" hidden="false" customHeight="true" outlineLevel="0" collapsed="false">
      <c r="A30" s="86" t="n">
        <f aca="false">+'1. PL đường đen'!A18</f>
        <v>7</v>
      </c>
      <c r="B30" s="86" t="str">
        <f aca="false">+'1. PL đường đen'!B18</f>
        <v>36</v>
      </c>
      <c r="C30" s="87" t="n">
        <f aca="false">+'1. PL đường đen'!C18</f>
        <v>712.61</v>
      </c>
      <c r="D30" s="69" t="n">
        <v>-5.25</v>
      </c>
      <c r="E30" s="69" t="n">
        <f aca="false">D30+F30</f>
        <v>-5.22</v>
      </c>
      <c r="F30" s="69" t="n">
        <f aca="false">RANDBETWEEN(-105,115)/1000</f>
        <v>0.03</v>
      </c>
      <c r="G30" s="69" t="n">
        <v>-1.45</v>
      </c>
      <c r="H30" s="69" t="n">
        <f aca="false">G30+I30</f>
        <v>-1.441</v>
      </c>
      <c r="I30" s="69" t="n">
        <f aca="false">RANDBETWEEN(-105,115)/1000</f>
        <v>0.009</v>
      </c>
      <c r="J30" s="69" t="n">
        <v>-1.45</v>
      </c>
      <c r="K30" s="69" t="n">
        <f aca="false">J30+L30</f>
        <v>-1.398</v>
      </c>
      <c r="L30" s="69" t="n">
        <f aca="false">RANDBETWEEN(-105,115)/1000</f>
        <v>0.052</v>
      </c>
      <c r="M30" s="69" t="n">
        <v>8.95</v>
      </c>
      <c r="N30" s="69" t="n">
        <f aca="false">M30+O30</f>
        <v>9.015</v>
      </c>
      <c r="O30" s="69" t="n">
        <f aca="false">RANDBETWEEN(-105,115)/1000</f>
        <v>0.065</v>
      </c>
      <c r="P30" s="69" t="n">
        <v>-1.45</v>
      </c>
      <c r="Q30" s="69" t="n">
        <f aca="false">P30+R30</f>
        <v>-1.418</v>
      </c>
      <c r="R30" s="69" t="n">
        <f aca="false">RANDBETWEEN(-105,115)/1000</f>
        <v>0.032</v>
      </c>
      <c r="S30" s="69" t="n">
        <f aca="false">ABS(D30)+ABS(M30)</f>
        <v>14.2</v>
      </c>
      <c r="T30" s="69" t="n">
        <f aca="false">S30+U30</f>
        <v>14.105</v>
      </c>
      <c r="U30" s="69" t="n">
        <f aca="false">RANDBETWEEN(-105,135)/1000</f>
        <v>-0.095</v>
      </c>
      <c r="V30" s="88"/>
    </row>
    <row r="31" customFormat="false" ht="20.25" hidden="false" customHeight="true" outlineLevel="0" collapsed="false">
      <c r="A31" s="86" t="n">
        <f aca="false">+'1. PL đường đen'!A19</f>
        <v>8</v>
      </c>
      <c r="B31" s="86" t="str">
        <f aca="false">+'1. PL đường đen'!B19</f>
        <v>37</v>
      </c>
      <c r="C31" s="87" t="n">
        <f aca="false">+'1. PL đường đen'!C19</f>
        <v>724.11</v>
      </c>
      <c r="D31" s="69" t="n">
        <v>-10.25</v>
      </c>
      <c r="E31" s="69" t="n">
        <f aca="false">D31+F31</f>
        <v>-10.247</v>
      </c>
      <c r="F31" s="69" t="n">
        <f aca="false">RANDBETWEEN(-105,115)/1000</f>
        <v>0.003</v>
      </c>
      <c r="G31" s="69" t="n">
        <v>-1.45</v>
      </c>
      <c r="H31" s="69" t="n">
        <f aca="false">G31+I31</f>
        <v>-1.551</v>
      </c>
      <c r="I31" s="69" t="n">
        <f aca="false">RANDBETWEEN(-105,115)/1000</f>
        <v>-0.101</v>
      </c>
      <c r="J31" s="69" t="n">
        <v>-1.45</v>
      </c>
      <c r="K31" s="69" t="n">
        <f aca="false">J31+L31</f>
        <v>-1.365</v>
      </c>
      <c r="L31" s="69" t="n">
        <f aca="false">RANDBETWEEN(-105,115)/1000</f>
        <v>0.085</v>
      </c>
      <c r="M31" s="69" t="n">
        <v>8.24</v>
      </c>
      <c r="N31" s="69" t="n">
        <f aca="false">M31+O31</f>
        <v>8.277</v>
      </c>
      <c r="O31" s="69" t="n">
        <f aca="false">RANDBETWEEN(-105,115)/1000</f>
        <v>0.037</v>
      </c>
      <c r="P31" s="69" t="n">
        <v>-1.45</v>
      </c>
      <c r="Q31" s="69" t="n">
        <f aca="false">P31+R31</f>
        <v>-1.491</v>
      </c>
      <c r="R31" s="69" t="n">
        <f aca="false">RANDBETWEEN(-105,115)/1000</f>
        <v>-0.041</v>
      </c>
      <c r="S31" s="69" t="n">
        <f aca="false">ABS(D31)+ABS(M31)</f>
        <v>18.49</v>
      </c>
      <c r="T31" s="69" t="n">
        <f aca="false">S31+U31</f>
        <v>18.39</v>
      </c>
      <c r="U31" s="69" t="n">
        <f aca="false">RANDBETWEEN(-105,135)/1000</f>
        <v>-0.1</v>
      </c>
      <c r="V31" s="88"/>
    </row>
    <row r="32" customFormat="false" ht="20.25" hidden="true" customHeight="true" outlineLevel="0" collapsed="false">
      <c r="A32" s="86"/>
      <c r="B32" s="86"/>
      <c r="C32" s="87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88"/>
    </row>
    <row r="33" customFormat="false" ht="20.25" hidden="true" customHeight="true" outlineLevel="0" collapsed="false">
      <c r="A33" s="86"/>
      <c r="B33" s="86"/>
      <c r="C33" s="87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88"/>
    </row>
    <row r="34" customFormat="false" ht="20.25" hidden="true" customHeight="true" outlineLevel="0" collapsed="false">
      <c r="A34" s="86"/>
      <c r="B34" s="86"/>
      <c r="C34" s="87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88"/>
    </row>
    <row r="35" customFormat="false" ht="20.25" hidden="true" customHeight="true" outlineLevel="0" collapsed="false">
      <c r="A35" s="86"/>
      <c r="B35" s="86"/>
      <c r="C35" s="87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88"/>
    </row>
    <row r="36" customFormat="false" ht="20.25" hidden="true" customHeight="true" outlineLevel="0" collapsed="false">
      <c r="A36" s="86"/>
      <c r="B36" s="86"/>
      <c r="C36" s="87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88"/>
    </row>
    <row r="37" customFormat="false" ht="20.25" hidden="true" customHeight="true" outlineLevel="0" collapsed="false">
      <c r="A37" s="86"/>
      <c r="B37" s="86"/>
      <c r="C37" s="87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88"/>
    </row>
    <row r="38" customFormat="false" ht="20.25" hidden="true" customHeight="true" outlineLevel="0" collapsed="false">
      <c r="A38" s="86"/>
      <c r="B38" s="86"/>
      <c r="C38" s="87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88"/>
    </row>
    <row r="39" customFormat="false" ht="20.25" hidden="true" customHeight="true" outlineLevel="0" collapsed="false">
      <c r="A39" s="86"/>
      <c r="B39" s="86"/>
      <c r="C39" s="87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88"/>
    </row>
    <row r="40" customFormat="false" ht="20.25" hidden="true" customHeight="true" outlineLevel="0" collapsed="false">
      <c r="A40" s="86"/>
      <c r="B40" s="86"/>
      <c r="C40" s="87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88"/>
    </row>
    <row r="41" customFormat="false" ht="20.25" hidden="true" customHeight="true" outlineLevel="0" collapsed="false">
      <c r="A41" s="86"/>
      <c r="B41" s="86"/>
      <c r="C41" s="87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88"/>
    </row>
    <row r="42" customFormat="false" ht="20.25" hidden="true" customHeight="true" outlineLevel="0" collapsed="false">
      <c r="A42" s="86"/>
      <c r="B42" s="86"/>
      <c r="C42" s="87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88"/>
    </row>
    <row r="43" customFormat="false" ht="20.25" hidden="true" customHeight="true" outlineLevel="0" collapsed="false">
      <c r="A43" s="86"/>
      <c r="B43" s="86"/>
      <c r="C43" s="87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88"/>
    </row>
    <row r="44" customFormat="false" ht="20.25" hidden="true" customHeight="true" outlineLevel="0" collapsed="false">
      <c r="A44" s="86"/>
      <c r="B44" s="86"/>
      <c r="C44" s="87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88"/>
    </row>
    <row r="45" customFormat="false" ht="20.25" hidden="true" customHeight="true" outlineLevel="0" collapsed="false">
      <c r="A45" s="86"/>
      <c r="B45" s="86"/>
      <c r="C45" s="87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88"/>
    </row>
    <row r="46" customFormat="false" ht="20.25" hidden="true" customHeight="true" outlineLevel="0" collapsed="false">
      <c r="A46" s="86"/>
      <c r="B46" s="86"/>
      <c r="C46" s="87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88"/>
    </row>
    <row r="47" customFormat="false" ht="20.25" hidden="true" customHeight="true" outlineLevel="0" collapsed="false">
      <c r="A47" s="86"/>
      <c r="B47" s="86"/>
      <c r="C47" s="87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88"/>
    </row>
    <row r="48" customFormat="false" ht="20.25" hidden="true" customHeight="true" outlineLevel="0" collapsed="false">
      <c r="A48" s="86"/>
      <c r="B48" s="86"/>
      <c r="C48" s="87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88"/>
    </row>
    <row r="49" customFormat="false" ht="20.25" hidden="true" customHeight="true" outlineLevel="0" collapsed="false">
      <c r="A49" s="86"/>
      <c r="B49" s="86"/>
      <c r="C49" s="87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88"/>
    </row>
    <row r="50" customFormat="false" ht="20.25" hidden="true" customHeight="true" outlineLevel="0" collapsed="false">
      <c r="A50" s="86"/>
      <c r="B50" s="86"/>
      <c r="C50" s="87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88"/>
    </row>
    <row r="51" customFormat="false" ht="20.25" hidden="true" customHeight="true" outlineLevel="0" collapsed="false">
      <c r="A51" s="86"/>
      <c r="B51" s="86"/>
      <c r="C51" s="87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88"/>
    </row>
    <row r="52" customFormat="false" ht="20.25" hidden="true" customHeight="true" outlineLevel="0" collapsed="false">
      <c r="A52" s="86"/>
      <c r="B52" s="86"/>
      <c r="C52" s="87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88"/>
    </row>
    <row r="53" customFormat="false" ht="20.25" hidden="true" customHeight="true" outlineLevel="0" collapsed="false">
      <c r="A53" s="86"/>
      <c r="B53" s="86"/>
      <c r="C53" s="87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88"/>
    </row>
    <row r="54" customFormat="false" ht="20.25" hidden="true" customHeight="true" outlineLevel="0" collapsed="false">
      <c r="A54" s="86"/>
      <c r="B54" s="86"/>
      <c r="C54" s="8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88"/>
    </row>
    <row r="55" customFormat="false" ht="20.25" hidden="true" customHeight="true" outlineLevel="0" collapsed="false">
      <c r="A55" s="86"/>
      <c r="B55" s="86"/>
      <c r="C55" s="87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88"/>
    </row>
    <row r="56" customFormat="false" ht="20.25" hidden="true" customHeight="true" outlineLevel="0" collapsed="false">
      <c r="A56" s="86"/>
      <c r="B56" s="86"/>
      <c r="C56" s="87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88"/>
    </row>
    <row r="57" customFormat="false" ht="20.25" hidden="true" customHeight="true" outlineLevel="0" collapsed="false">
      <c r="A57" s="86"/>
      <c r="B57" s="86"/>
      <c r="C57" s="87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88"/>
    </row>
    <row r="58" customFormat="false" ht="20.25" hidden="true" customHeight="true" outlineLevel="0" collapsed="false">
      <c r="A58" s="86"/>
      <c r="B58" s="86"/>
      <c r="C58" s="87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88"/>
    </row>
    <row r="59" customFormat="false" ht="20.25" hidden="true" customHeight="true" outlineLevel="0" collapsed="false">
      <c r="A59" s="86"/>
      <c r="B59" s="86"/>
      <c r="C59" s="87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88"/>
    </row>
    <row r="60" customFormat="false" ht="20.25" hidden="true" customHeight="true" outlineLevel="0" collapsed="false">
      <c r="A60" s="86"/>
      <c r="B60" s="86"/>
      <c r="C60" s="87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88"/>
    </row>
    <row r="61" customFormat="false" ht="20.25" hidden="true" customHeight="true" outlineLevel="0" collapsed="false">
      <c r="A61" s="86"/>
      <c r="B61" s="86"/>
      <c r="C61" s="87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88"/>
    </row>
    <row r="62" customFormat="false" ht="21" hidden="false" customHeight="true" outlineLevel="0" collapsed="false"/>
    <row r="63" customFormat="false" ht="15" hidden="false" customHeight="false" outlineLevel="0" collapsed="false">
      <c r="E63" s="73" t="s">
        <v>88</v>
      </c>
      <c r="F63" s="73"/>
      <c r="G63" s="73"/>
      <c r="H63" s="73"/>
      <c r="K63" s="89"/>
      <c r="L63" s="89"/>
      <c r="M63" s="89"/>
      <c r="N63" s="89"/>
      <c r="O63" s="73" t="s">
        <v>89</v>
      </c>
      <c r="P63" s="73"/>
      <c r="Q63" s="73"/>
      <c r="R63" s="73"/>
      <c r="S63" s="73"/>
    </row>
    <row r="64" customFormat="false" ht="15" hidden="false" customHeight="false" outlineLevel="0" collapsed="false">
      <c r="E64" s="75"/>
      <c r="F64" s="75"/>
      <c r="G64" s="75"/>
      <c r="H64" s="75"/>
      <c r="K64" s="75"/>
      <c r="L64" s="75"/>
      <c r="M64" s="75"/>
      <c r="N64" s="75"/>
      <c r="O64" s="75"/>
      <c r="P64" s="75"/>
      <c r="Q64" s="75"/>
      <c r="R64" s="75"/>
      <c r="S64" s="75"/>
    </row>
    <row r="65" customFormat="false" ht="15" hidden="false" customHeight="false" outlineLevel="0" collapsed="false">
      <c r="E65" s="75"/>
      <c r="F65" s="75"/>
      <c r="G65" s="75"/>
      <c r="H65" s="75"/>
      <c r="K65" s="75"/>
      <c r="L65" s="75"/>
      <c r="M65" s="75"/>
      <c r="N65" s="75"/>
      <c r="O65" s="75"/>
      <c r="P65" s="75"/>
      <c r="Q65" s="75"/>
      <c r="R65" s="75"/>
      <c r="S65" s="75"/>
    </row>
    <row r="66" customFormat="false" ht="15" hidden="false" customHeight="false" outlineLevel="0" collapsed="false">
      <c r="E66" s="75"/>
      <c r="F66" s="75"/>
      <c r="G66" s="75"/>
      <c r="H66" s="75"/>
      <c r="K66" s="75"/>
      <c r="L66" s="75"/>
      <c r="M66" s="75"/>
      <c r="N66" s="75"/>
      <c r="O66" s="75"/>
      <c r="P66" s="75"/>
      <c r="Q66" s="75"/>
      <c r="R66" s="75"/>
      <c r="S66" s="75"/>
    </row>
    <row r="67" customFormat="false" ht="15" hidden="false" customHeight="false" outlineLevel="0" collapsed="false">
      <c r="E67" s="75"/>
      <c r="F67" s="75"/>
      <c r="G67" s="75"/>
      <c r="H67" s="75"/>
      <c r="K67" s="75"/>
      <c r="L67" s="75"/>
      <c r="M67" s="75"/>
      <c r="N67" s="75"/>
      <c r="O67" s="75"/>
      <c r="P67" s="75"/>
      <c r="Q67" s="75"/>
      <c r="R67" s="75"/>
      <c r="S67" s="75"/>
    </row>
    <row r="68" customFormat="false" ht="15" hidden="false" customHeight="false" outlineLevel="0" collapsed="false">
      <c r="E68" s="73" t="s">
        <v>29</v>
      </c>
      <c r="F68" s="73"/>
      <c r="G68" s="73"/>
      <c r="H68" s="73"/>
      <c r="K68" s="89"/>
      <c r="L68" s="89"/>
      <c r="M68" s="89"/>
      <c r="N68" s="89"/>
      <c r="O68" s="73" t="str">
        <f aca="false">'1. PL đường đen'!K57</f>
        <v>Lê Quốc Huy</v>
      </c>
      <c r="P68" s="73"/>
      <c r="Q68" s="73"/>
      <c r="R68" s="73"/>
      <c r="S68" s="73"/>
    </row>
  </sheetData>
  <mergeCells count="14">
    <mergeCell ref="A1:V1"/>
    <mergeCell ref="A2:V2"/>
    <mergeCell ref="A20:A21"/>
    <mergeCell ref="B20:B21"/>
    <mergeCell ref="C20:C21"/>
    <mergeCell ref="D20:I20"/>
    <mergeCell ref="J20:L20"/>
    <mergeCell ref="M20:R20"/>
    <mergeCell ref="S20:U20"/>
    <mergeCell ref="V20:V21"/>
    <mergeCell ref="E63:H63"/>
    <mergeCell ref="O63:S63"/>
    <mergeCell ref="E68:H68"/>
    <mergeCell ref="O68:S68"/>
  </mergeCells>
  <printOptions headings="false" gridLines="false" gridLinesSet="true" horizontalCentered="true" verticalCentered="false"/>
  <pageMargins left="0.157638888888889" right="0" top="0.433333333333333" bottom="0.4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37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P47" activeCellId="0" sqref="P47"/>
    </sheetView>
  </sheetViews>
  <sheetFormatPr defaultColWidth="9.2890625" defaultRowHeight="12.75" zeroHeight="false" outlineLevelRow="0" outlineLevelCol="0"/>
  <cols>
    <col collapsed="false" customWidth="true" hidden="false" outlineLevel="0" max="1" min="1" style="90" width="5.29"/>
    <col collapsed="false" customWidth="true" hidden="false" outlineLevel="0" max="2" min="2" style="90" width="8.42"/>
    <col collapsed="false" customWidth="true" hidden="false" outlineLevel="0" max="3" min="3" style="90" width="11.85"/>
    <col collapsed="false" customWidth="true" hidden="false" outlineLevel="0" max="4" min="4" style="91" width="6.71"/>
    <col collapsed="false" customWidth="true" hidden="true" outlineLevel="0" max="5" min="5" style="91" width="8.42"/>
    <col collapsed="false" customWidth="true" hidden="true" outlineLevel="0" max="6" min="6" style="91" width="14.29"/>
    <col collapsed="false" customWidth="true" hidden="false" outlineLevel="0" max="7" min="7" style="91" width="7.71"/>
    <col collapsed="false" customWidth="true" hidden="false" outlineLevel="0" max="8" min="8" style="91" width="10"/>
    <col collapsed="false" customWidth="true" hidden="false" outlineLevel="0" max="9" min="9" style="91" width="6.85"/>
    <col collapsed="false" customWidth="true" hidden="false" outlineLevel="0" max="10" min="10" style="91" width="10.42"/>
    <col collapsed="false" customWidth="true" hidden="false" outlineLevel="0" max="11" min="11" style="91" width="9.42"/>
    <col collapsed="false" customWidth="true" hidden="false" outlineLevel="0" max="12" min="12" style="91" width="9"/>
    <col collapsed="false" customWidth="true" hidden="false" outlineLevel="0" max="13" min="13" style="91" width="4.57"/>
    <col collapsed="false" customWidth="true" hidden="false" outlineLevel="0" max="14" min="14" style="90" width="11.85"/>
    <col collapsed="false" customWidth="true" hidden="false" outlineLevel="0" max="15" min="15" style="90" width="13.15"/>
    <col collapsed="false" customWidth="true" hidden="false" outlineLevel="0" max="16" min="16" style="90" width="24.57"/>
    <col collapsed="false" customWidth="false" hidden="false" outlineLevel="0" max="16384" min="17" style="90" width="9.29"/>
  </cols>
  <sheetData>
    <row r="1" s="93" customFormat="true" ht="18.75" hidden="false" customHeight="true" outlineLevel="0" collapsed="false">
      <c r="A1" s="92" t="s">
        <v>103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="93" customFormat="true" ht="16.5" hidden="false" customHeight="true" outlineLevel="0" collapsed="false">
      <c r="A2" s="94" t="str">
        <f aca="false">"Kèm theo BBNT số: "&amp;VLOOKUP(N2,'Tuyến XD8'!$A$2:$G$60,7,0)&amp;VLOOKUP(N2,'Tuyến XD8'!$A$2:$G$60,4,0)</f>
        <v>Kèm theo BBNT số: 85.NĐXD8/CVXD ngày 27 tháng 09 năm 2026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3" t="n">
        <v>85</v>
      </c>
    </row>
    <row r="3" s="97" customFormat="true" ht="37.5" hidden="false" customHeight="true" outlineLevel="0" collapsed="false">
      <c r="A3" s="95" t="str">
        <f aca="false">'2. Cao độ đào nền'!A3</f>
        <v>Dự án: Xây dựng HTKT Khu tái định cư phục vụ di dân xã Hải Hà, thị xã Nghi Sơn, tỉnh Thanh Hóa.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</row>
    <row r="4" s="97" customFormat="true" ht="37.5" hidden="false" customHeight="true" outlineLevel="0" collapsed="false">
      <c r="A4" s="95" t="str">
        <f aca="false">'2. Cao độ đào nền'!A4</f>
        <v>Gói thầu số 12: Xây dựng HTKT khu vực Hải Bình và Xuân Lâm (bao gồm cả bảo hiểm xây dựng công trình)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96"/>
      <c r="CL4" s="96"/>
      <c r="CM4" s="96"/>
      <c r="CN4" s="96"/>
      <c r="CO4" s="96"/>
      <c r="CP4" s="96"/>
      <c r="CQ4" s="96"/>
      <c r="CR4" s="96"/>
      <c r="CS4" s="96"/>
      <c r="CT4" s="96"/>
      <c r="CU4" s="96"/>
      <c r="CV4" s="96"/>
      <c r="CW4" s="96"/>
      <c r="CX4" s="96"/>
      <c r="CY4" s="96"/>
      <c r="CZ4" s="96"/>
      <c r="DA4" s="96"/>
      <c r="DB4" s="96"/>
      <c r="DC4" s="96"/>
      <c r="DD4" s="96"/>
      <c r="DE4" s="96"/>
      <c r="DF4" s="96"/>
      <c r="DG4" s="96"/>
      <c r="DH4" s="96"/>
      <c r="DI4" s="96"/>
      <c r="DJ4" s="96"/>
      <c r="DK4" s="96"/>
      <c r="DL4" s="96"/>
      <c r="DM4" s="96"/>
      <c r="DN4" s="96"/>
      <c r="DO4" s="96"/>
      <c r="DP4" s="96"/>
      <c r="DQ4" s="96"/>
      <c r="DR4" s="96"/>
      <c r="DS4" s="96"/>
      <c r="DT4" s="96"/>
      <c r="DU4" s="96"/>
      <c r="DV4" s="96"/>
      <c r="DW4" s="96"/>
      <c r="DX4" s="96"/>
      <c r="DY4" s="96"/>
      <c r="DZ4" s="96"/>
      <c r="EA4" s="96"/>
      <c r="EB4" s="96"/>
      <c r="EC4" s="96"/>
      <c r="ED4" s="96"/>
      <c r="EE4" s="96"/>
      <c r="EF4" s="96"/>
      <c r="EG4" s="96"/>
      <c r="EH4" s="96"/>
      <c r="EI4" s="96"/>
      <c r="EJ4" s="96"/>
      <c r="EK4" s="96"/>
      <c r="EL4" s="96"/>
      <c r="EM4" s="96"/>
      <c r="EN4" s="96"/>
      <c r="EO4" s="96"/>
      <c r="EP4" s="96"/>
      <c r="EQ4" s="96"/>
      <c r="ER4" s="96"/>
      <c r="ES4" s="96"/>
      <c r="ET4" s="96"/>
      <c r="EU4" s="96"/>
      <c r="EV4" s="96"/>
      <c r="EW4" s="96"/>
      <c r="EX4" s="96"/>
      <c r="EY4" s="96"/>
      <c r="EZ4" s="96"/>
      <c r="FA4" s="96"/>
      <c r="FB4" s="96"/>
      <c r="FC4" s="96"/>
      <c r="FD4" s="96"/>
      <c r="FE4" s="96"/>
      <c r="FF4" s="96"/>
      <c r="FG4" s="96"/>
      <c r="FH4" s="96"/>
      <c r="FI4" s="96"/>
      <c r="FJ4" s="96"/>
      <c r="FK4" s="96"/>
      <c r="FL4" s="96"/>
      <c r="FM4" s="96"/>
      <c r="FN4" s="96"/>
      <c r="FO4" s="96"/>
      <c r="FP4" s="96"/>
      <c r="FQ4" s="96"/>
      <c r="FR4" s="96"/>
      <c r="FS4" s="96"/>
      <c r="FT4" s="96"/>
      <c r="FU4" s="96"/>
      <c r="FV4" s="96"/>
      <c r="FW4" s="96"/>
      <c r="FX4" s="96"/>
      <c r="FY4" s="96"/>
      <c r="FZ4" s="96"/>
      <c r="GA4" s="96"/>
      <c r="GB4" s="96"/>
      <c r="GC4" s="96"/>
      <c r="GD4" s="96"/>
      <c r="GE4" s="96"/>
      <c r="GF4" s="96"/>
      <c r="GG4" s="96"/>
      <c r="GH4" s="96"/>
      <c r="GI4" s="96"/>
      <c r="GJ4" s="96"/>
      <c r="GK4" s="96"/>
      <c r="GL4" s="96"/>
      <c r="GM4" s="96"/>
      <c r="GN4" s="96"/>
      <c r="GO4" s="96"/>
      <c r="GP4" s="96"/>
      <c r="GQ4" s="96"/>
      <c r="GR4" s="96"/>
      <c r="GS4" s="96"/>
      <c r="GT4" s="96"/>
      <c r="GU4" s="96"/>
      <c r="GV4" s="96"/>
      <c r="GW4" s="96"/>
      <c r="GX4" s="96"/>
      <c r="GY4" s="96"/>
      <c r="GZ4" s="96"/>
      <c r="HA4" s="96"/>
      <c r="HB4" s="96"/>
      <c r="HC4" s="96"/>
      <c r="HD4" s="96"/>
      <c r="HE4" s="96"/>
      <c r="HF4" s="96"/>
      <c r="HG4" s="96"/>
    </row>
    <row r="5" s="97" customFormat="true" ht="16.5" hidden="false" customHeight="true" outlineLevel="0" collapsed="false">
      <c r="A5" s="95" t="s">
        <v>64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  <c r="CJ5" s="96"/>
      <c r="CK5" s="96"/>
      <c r="CL5" s="96"/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  <c r="CX5" s="96"/>
      <c r="CY5" s="96"/>
      <c r="CZ5" s="96"/>
      <c r="DA5" s="96"/>
      <c r="DB5" s="96"/>
      <c r="DC5" s="96"/>
      <c r="DD5" s="96"/>
      <c r="DE5" s="96"/>
      <c r="DF5" s="96"/>
      <c r="DG5" s="96"/>
      <c r="DH5" s="96"/>
      <c r="DI5" s="96"/>
      <c r="DJ5" s="96"/>
      <c r="DK5" s="96"/>
      <c r="DL5" s="96"/>
      <c r="DM5" s="96"/>
      <c r="DN5" s="96"/>
      <c r="DO5" s="96"/>
      <c r="DP5" s="96"/>
      <c r="DQ5" s="96"/>
      <c r="DR5" s="96"/>
      <c r="DS5" s="96"/>
      <c r="DT5" s="96"/>
      <c r="DU5" s="96"/>
      <c r="DV5" s="96"/>
      <c r="DW5" s="96"/>
      <c r="DX5" s="96"/>
      <c r="DY5" s="96"/>
      <c r="DZ5" s="96"/>
      <c r="EA5" s="96"/>
      <c r="EB5" s="96"/>
      <c r="EC5" s="96"/>
      <c r="ED5" s="96"/>
      <c r="EE5" s="96"/>
      <c r="EF5" s="96"/>
      <c r="EG5" s="96"/>
      <c r="EH5" s="96"/>
      <c r="EI5" s="96"/>
      <c r="EJ5" s="96"/>
      <c r="EK5" s="96"/>
      <c r="EL5" s="96"/>
      <c r="EM5" s="96"/>
      <c r="EN5" s="96"/>
      <c r="EO5" s="96"/>
      <c r="EP5" s="96"/>
      <c r="EQ5" s="96"/>
      <c r="ER5" s="96"/>
      <c r="ES5" s="96"/>
      <c r="ET5" s="96"/>
      <c r="EU5" s="96"/>
      <c r="EV5" s="96"/>
      <c r="EW5" s="96"/>
      <c r="EX5" s="96"/>
      <c r="EY5" s="96"/>
      <c r="EZ5" s="96"/>
      <c r="FA5" s="96"/>
      <c r="FB5" s="96"/>
      <c r="FC5" s="96"/>
      <c r="FD5" s="96"/>
      <c r="FE5" s="96"/>
      <c r="FF5" s="96"/>
      <c r="FG5" s="96"/>
      <c r="FH5" s="96"/>
      <c r="FI5" s="96"/>
      <c r="FJ5" s="96"/>
      <c r="FK5" s="96"/>
      <c r="FL5" s="96"/>
      <c r="FM5" s="96"/>
      <c r="FN5" s="96"/>
      <c r="FO5" s="96"/>
      <c r="FP5" s="96"/>
      <c r="FQ5" s="96"/>
      <c r="FR5" s="96"/>
      <c r="FS5" s="96"/>
      <c r="FT5" s="96"/>
      <c r="FU5" s="96"/>
      <c r="FV5" s="96"/>
      <c r="FW5" s="96"/>
      <c r="FX5" s="96"/>
      <c r="FY5" s="96"/>
      <c r="FZ5" s="96"/>
      <c r="GA5" s="96"/>
      <c r="GB5" s="96"/>
      <c r="GC5" s="96"/>
      <c r="GD5" s="96"/>
      <c r="GE5" s="96"/>
      <c r="GF5" s="96"/>
      <c r="GG5" s="96"/>
      <c r="GH5" s="96"/>
      <c r="GI5" s="96"/>
      <c r="GJ5" s="96"/>
      <c r="GK5" s="96"/>
      <c r="GL5" s="96"/>
      <c r="GM5" s="96"/>
      <c r="GN5" s="96"/>
      <c r="GO5" s="96"/>
      <c r="GP5" s="96"/>
      <c r="GQ5" s="96"/>
      <c r="GR5" s="96"/>
      <c r="GS5" s="96"/>
      <c r="GT5" s="96"/>
      <c r="GU5" s="96"/>
      <c r="GV5" s="96"/>
      <c r="GW5" s="96"/>
      <c r="GX5" s="96"/>
      <c r="GY5" s="96"/>
      <c r="GZ5" s="96"/>
      <c r="HA5" s="96"/>
      <c r="HB5" s="96"/>
      <c r="HC5" s="96"/>
      <c r="HD5" s="96"/>
      <c r="HE5" s="96"/>
      <c r="HF5" s="96"/>
      <c r="HG5" s="96"/>
    </row>
    <row r="6" s="97" customFormat="true" ht="16.5" hidden="false" customHeight="true" outlineLevel="0" collapsed="false">
      <c r="A6" s="95" t="str">
        <f aca="false">'2. Cao độ đào nền'!A6</f>
        <v>Hạng mục:  Nền đường tuyến XD8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96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  <c r="DS6" s="96"/>
      <c r="DT6" s="96"/>
      <c r="DU6" s="96"/>
      <c r="DV6" s="96"/>
      <c r="DW6" s="96"/>
      <c r="DX6" s="96"/>
      <c r="DY6" s="96"/>
      <c r="DZ6" s="96"/>
      <c r="EA6" s="96"/>
      <c r="EB6" s="96"/>
      <c r="EC6" s="96"/>
      <c r="ED6" s="96"/>
      <c r="EE6" s="96"/>
      <c r="EF6" s="96"/>
      <c r="EG6" s="96"/>
      <c r="EH6" s="96"/>
      <c r="EI6" s="96"/>
      <c r="EJ6" s="96"/>
      <c r="EK6" s="96"/>
      <c r="EL6" s="96"/>
      <c r="EM6" s="96"/>
      <c r="EN6" s="96"/>
      <c r="EO6" s="96"/>
      <c r="EP6" s="96"/>
      <c r="EQ6" s="96"/>
      <c r="ER6" s="96"/>
      <c r="ES6" s="96"/>
      <c r="ET6" s="96"/>
      <c r="EU6" s="96"/>
      <c r="EV6" s="96"/>
      <c r="EW6" s="96"/>
      <c r="EX6" s="96"/>
      <c r="EY6" s="96"/>
      <c r="EZ6" s="96"/>
      <c r="FA6" s="96"/>
      <c r="FB6" s="96"/>
      <c r="FC6" s="96"/>
      <c r="FD6" s="96"/>
      <c r="FE6" s="96"/>
      <c r="FF6" s="96"/>
      <c r="FG6" s="96"/>
      <c r="FH6" s="96"/>
      <c r="FI6" s="96"/>
      <c r="FJ6" s="96"/>
      <c r="FK6" s="96"/>
      <c r="FL6" s="96"/>
      <c r="FM6" s="96"/>
      <c r="FN6" s="96"/>
      <c r="FO6" s="96"/>
      <c r="FP6" s="96"/>
      <c r="FQ6" s="96"/>
      <c r="FR6" s="96"/>
      <c r="FS6" s="96"/>
      <c r="FT6" s="96"/>
      <c r="FU6" s="96"/>
      <c r="FV6" s="96"/>
      <c r="FW6" s="96"/>
      <c r="FX6" s="96"/>
      <c r="FY6" s="96"/>
      <c r="FZ6" s="96"/>
      <c r="GA6" s="96"/>
      <c r="GB6" s="96"/>
      <c r="GC6" s="96"/>
      <c r="GD6" s="96"/>
      <c r="GE6" s="96"/>
      <c r="GF6" s="96"/>
      <c r="GG6" s="96"/>
      <c r="GH6" s="96"/>
      <c r="GI6" s="96"/>
      <c r="GJ6" s="96"/>
      <c r="GK6" s="96"/>
      <c r="GL6" s="96"/>
      <c r="GM6" s="96"/>
      <c r="GN6" s="96"/>
      <c r="GO6" s="96"/>
      <c r="GP6" s="96"/>
      <c r="GQ6" s="96"/>
      <c r="GR6" s="96"/>
      <c r="GS6" s="96"/>
      <c r="GT6" s="96"/>
      <c r="GU6" s="96"/>
      <c r="GV6" s="96"/>
      <c r="GW6" s="96"/>
      <c r="GX6" s="96"/>
      <c r="GY6" s="96"/>
      <c r="GZ6" s="96"/>
      <c r="HA6" s="96"/>
      <c r="HB6" s="96"/>
      <c r="HC6" s="96"/>
      <c r="HD6" s="96"/>
      <c r="HE6" s="96"/>
      <c r="HF6" s="96"/>
      <c r="HG6" s="96"/>
    </row>
    <row r="7" s="97" customFormat="true" ht="36" hidden="false" customHeight="true" outlineLevel="0" collapsed="false">
      <c r="A7" s="98" t="s">
        <v>66</v>
      </c>
      <c r="B7" s="99"/>
      <c r="D7" s="100" t="str">
        <f aca="false">VLOOKUP(N2,'Tuyến XD8'!$A$2:$B$60,2,0)</f>
        <v>Đào đất xử lý nền đường đoạn từ Km0+609,11 - Km0+724,11</v>
      </c>
      <c r="E7" s="100"/>
      <c r="F7" s="100"/>
      <c r="G7" s="100"/>
      <c r="H7" s="100"/>
      <c r="I7" s="100"/>
      <c r="J7" s="100"/>
      <c r="K7" s="100"/>
      <c r="L7" s="100"/>
      <c r="M7" s="100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6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96"/>
      <c r="DO7" s="96"/>
      <c r="DP7" s="96"/>
      <c r="DQ7" s="96"/>
      <c r="DR7" s="96"/>
      <c r="DS7" s="96"/>
      <c r="DT7" s="96"/>
      <c r="DU7" s="96"/>
      <c r="DV7" s="96"/>
      <c r="DW7" s="96"/>
      <c r="DX7" s="96"/>
      <c r="DY7" s="96"/>
      <c r="DZ7" s="96"/>
      <c r="EA7" s="96"/>
      <c r="EB7" s="96"/>
      <c r="EC7" s="96"/>
      <c r="ED7" s="96"/>
      <c r="EE7" s="96"/>
      <c r="EF7" s="96"/>
      <c r="EG7" s="96"/>
      <c r="EH7" s="96"/>
      <c r="EI7" s="96"/>
      <c r="EJ7" s="96"/>
      <c r="EK7" s="96"/>
      <c r="EL7" s="96"/>
      <c r="EM7" s="96"/>
      <c r="EN7" s="96"/>
      <c r="EO7" s="96"/>
      <c r="EP7" s="96"/>
      <c r="EQ7" s="96"/>
      <c r="ER7" s="96"/>
      <c r="ES7" s="96"/>
      <c r="ET7" s="96"/>
      <c r="EU7" s="96"/>
      <c r="EV7" s="96"/>
      <c r="EW7" s="96"/>
      <c r="EX7" s="96"/>
      <c r="EY7" s="96"/>
      <c r="EZ7" s="96"/>
      <c r="FA7" s="96"/>
      <c r="FB7" s="96"/>
      <c r="FC7" s="96"/>
      <c r="FD7" s="96"/>
      <c r="FE7" s="96"/>
      <c r="FF7" s="96"/>
      <c r="FG7" s="96"/>
      <c r="FH7" s="96"/>
      <c r="FI7" s="96"/>
      <c r="FJ7" s="96"/>
      <c r="FK7" s="96"/>
      <c r="FL7" s="96"/>
      <c r="FM7" s="96"/>
      <c r="FN7" s="96"/>
      <c r="FO7" s="96"/>
      <c r="FP7" s="96"/>
      <c r="FQ7" s="96"/>
      <c r="FR7" s="96"/>
      <c r="FS7" s="96"/>
      <c r="FT7" s="96"/>
      <c r="FU7" s="96"/>
      <c r="FV7" s="96"/>
      <c r="FW7" s="96"/>
      <c r="FX7" s="96"/>
      <c r="FY7" s="96"/>
      <c r="FZ7" s="96"/>
      <c r="GA7" s="96"/>
      <c r="GB7" s="96"/>
      <c r="GC7" s="96"/>
      <c r="GD7" s="96"/>
      <c r="GE7" s="96"/>
      <c r="GF7" s="96"/>
      <c r="GG7" s="96"/>
      <c r="GH7" s="96"/>
      <c r="GI7" s="96"/>
      <c r="GJ7" s="96"/>
      <c r="GK7" s="96"/>
      <c r="GL7" s="96"/>
      <c r="GM7" s="96"/>
      <c r="GN7" s="96"/>
      <c r="GO7" s="96"/>
      <c r="GP7" s="96"/>
      <c r="GQ7" s="96"/>
      <c r="GR7" s="96"/>
      <c r="GS7" s="96"/>
      <c r="GT7" s="96"/>
      <c r="GU7" s="96"/>
      <c r="GV7" s="96"/>
      <c r="GW7" s="96"/>
      <c r="GX7" s="96"/>
      <c r="GY7" s="96"/>
      <c r="GZ7" s="96"/>
      <c r="HA7" s="96"/>
      <c r="HB7" s="96"/>
      <c r="HC7" s="96"/>
      <c r="HD7" s="96"/>
      <c r="HE7" s="96"/>
      <c r="HF7" s="96"/>
      <c r="HG7" s="96"/>
    </row>
    <row r="8" s="96" customFormat="true" ht="13.5" hidden="false" customHeight="true" outlineLevel="0" collapsed="false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</row>
    <row r="9" s="108" customFormat="true" ht="22.5" hidden="false" customHeight="true" outlineLevel="0" collapsed="false">
      <c r="A9" s="102" t="s">
        <v>5</v>
      </c>
      <c r="B9" s="102" t="s">
        <v>69</v>
      </c>
      <c r="C9" s="102" t="s">
        <v>70</v>
      </c>
      <c r="D9" s="103" t="s">
        <v>104</v>
      </c>
      <c r="E9" s="104"/>
      <c r="F9" s="105" t="s">
        <v>105</v>
      </c>
      <c r="G9" s="106" t="s">
        <v>106</v>
      </c>
      <c r="H9" s="106"/>
      <c r="I9" s="106"/>
      <c r="J9" s="106" t="s">
        <v>107</v>
      </c>
      <c r="K9" s="106"/>
      <c r="L9" s="106"/>
      <c r="M9" s="107" t="s">
        <v>108</v>
      </c>
    </row>
    <row r="10" s="110" customFormat="true" ht="36.75" hidden="false" customHeight="true" outlineLevel="0" collapsed="false">
      <c r="A10" s="102"/>
      <c r="B10" s="102"/>
      <c r="C10" s="102"/>
      <c r="D10" s="102"/>
      <c r="E10" s="107"/>
      <c r="F10" s="107" t="s">
        <v>109</v>
      </c>
      <c r="G10" s="107" t="s">
        <v>110</v>
      </c>
      <c r="H10" s="107" t="s">
        <v>111</v>
      </c>
      <c r="I10" s="107" t="s">
        <v>112</v>
      </c>
      <c r="J10" s="107" t="s">
        <v>110</v>
      </c>
      <c r="K10" s="107" t="s">
        <v>111</v>
      </c>
      <c r="L10" s="107" t="s">
        <v>113</v>
      </c>
      <c r="M10" s="107"/>
      <c r="N10" s="109"/>
      <c r="O10" s="109"/>
    </row>
    <row r="11" s="110" customFormat="true" ht="15" hidden="false" customHeight="true" outlineLevel="0" collapsed="false">
      <c r="A11" s="86" t="n">
        <v>1</v>
      </c>
      <c r="B11" s="86" t="str">
        <f aca="false">'1. PL đường đen'!B12</f>
        <v>31</v>
      </c>
      <c r="C11" s="67" t="n">
        <f aca="false">'1. PL đường đen'!C12</f>
        <v>609.11</v>
      </c>
      <c r="D11" s="86" t="n">
        <f aca="false">'1. PL đường đen'!T12</f>
        <v>11.75</v>
      </c>
      <c r="E11" s="69" t="n">
        <f aca="false">RANDBETWEEN(1,7)/100</f>
        <v>0.06</v>
      </c>
      <c r="F11" s="111" t="n">
        <v>27.78</v>
      </c>
      <c r="G11" s="111" t="n">
        <f aca="false">+F11+E11</f>
        <v>27.84</v>
      </c>
      <c r="H11" s="111"/>
      <c r="I11" s="111"/>
      <c r="J11" s="112" t="n">
        <f aca="false">(G11+G12)*D11/2</f>
        <v>349.21</v>
      </c>
      <c r="K11" s="112"/>
      <c r="L11" s="112"/>
      <c r="M11" s="113"/>
      <c r="O11" s="114"/>
    </row>
    <row r="12" s="110" customFormat="true" ht="15" hidden="false" customHeight="true" outlineLevel="0" collapsed="false">
      <c r="A12" s="86" t="n">
        <v>2</v>
      </c>
      <c r="B12" s="86" t="str">
        <f aca="false">'1. PL đường đen'!B13</f>
        <v>E10</v>
      </c>
      <c r="C12" s="67" t="n">
        <f aca="false">'1. PL đường đen'!C13</f>
        <v>620.86</v>
      </c>
      <c r="D12" s="86" t="n">
        <f aca="false">'1. PL đường đen'!T13</f>
        <v>11.75</v>
      </c>
      <c r="E12" s="69" t="n">
        <f aca="false">RANDBETWEEN(1,7)/100</f>
        <v>0.06</v>
      </c>
      <c r="F12" s="111" t="n">
        <v>31.54</v>
      </c>
      <c r="G12" s="111" t="n">
        <f aca="false">+F12+E12</f>
        <v>31.6</v>
      </c>
      <c r="H12" s="111"/>
      <c r="I12" s="111"/>
      <c r="J12" s="112" t="n">
        <f aca="false">(G12+G13)*D12/2</f>
        <v>329.05875</v>
      </c>
      <c r="K12" s="112"/>
      <c r="L12" s="112"/>
      <c r="M12" s="113"/>
      <c r="O12" s="114"/>
    </row>
    <row r="13" s="110" customFormat="true" ht="15" hidden="false" customHeight="true" outlineLevel="0" collapsed="false">
      <c r="A13" s="86" t="n">
        <v>3</v>
      </c>
      <c r="B13" s="86" t="str">
        <f aca="false">'1. PL đường đen'!B14</f>
        <v>32</v>
      </c>
      <c r="C13" s="67" t="n">
        <f aca="false">'1. PL đường đen'!C14</f>
        <v>632.61</v>
      </c>
      <c r="D13" s="86" t="n">
        <f aca="false">'1. PL đường đen'!T14</f>
        <v>20</v>
      </c>
      <c r="E13" s="69" t="n">
        <f aca="false">RANDBETWEEN(1,7)/100</f>
        <v>0.03</v>
      </c>
      <c r="F13" s="111" t="n">
        <v>24.38</v>
      </c>
      <c r="G13" s="111" t="n">
        <f aca="false">+F13+E13</f>
        <v>24.41</v>
      </c>
      <c r="H13" s="111"/>
      <c r="I13" s="111"/>
      <c r="J13" s="112" t="n">
        <f aca="false">(G13+G14)*D13/2</f>
        <v>477.3</v>
      </c>
      <c r="K13" s="112"/>
      <c r="L13" s="112"/>
      <c r="M13" s="113"/>
      <c r="O13" s="114"/>
    </row>
    <row r="14" s="110" customFormat="true" ht="15" hidden="false" customHeight="true" outlineLevel="0" collapsed="false">
      <c r="A14" s="86" t="n">
        <v>4</v>
      </c>
      <c r="B14" s="86" t="str">
        <f aca="false">'1. PL đường đen'!B15</f>
        <v>33</v>
      </c>
      <c r="C14" s="67" t="n">
        <f aca="false">'1. PL đường đen'!C15</f>
        <v>652.61</v>
      </c>
      <c r="D14" s="86" t="n">
        <f aca="false">'1. PL đường đen'!T15</f>
        <v>20</v>
      </c>
      <c r="E14" s="69" t="n">
        <f aca="false">RANDBETWEEN(1,7)/100</f>
        <v>0.05</v>
      </c>
      <c r="F14" s="111" t="n">
        <v>23.27</v>
      </c>
      <c r="G14" s="111" t="n">
        <f aca="false">+F14+E14</f>
        <v>23.32</v>
      </c>
      <c r="H14" s="111"/>
      <c r="I14" s="111"/>
      <c r="J14" s="112" t="n">
        <f aca="false">(G14+G15)*D14/2</f>
        <v>498.2</v>
      </c>
      <c r="K14" s="112"/>
      <c r="L14" s="112"/>
      <c r="M14" s="113"/>
      <c r="O14" s="114"/>
    </row>
    <row r="15" s="110" customFormat="true" ht="15" hidden="false" customHeight="true" outlineLevel="0" collapsed="false">
      <c r="A15" s="86" t="n">
        <v>5</v>
      </c>
      <c r="B15" s="86" t="str">
        <f aca="false">'1. PL đường đen'!B16</f>
        <v>34</v>
      </c>
      <c r="C15" s="67" t="n">
        <f aca="false">'1. PL đường đen'!C16</f>
        <v>672.61</v>
      </c>
      <c r="D15" s="86" t="n">
        <f aca="false">'1. PL đường đen'!T16</f>
        <v>20</v>
      </c>
      <c r="E15" s="69" t="n">
        <f aca="false">RANDBETWEEN(1,7)/100</f>
        <v>0.05</v>
      </c>
      <c r="F15" s="111" t="n">
        <v>26.45</v>
      </c>
      <c r="G15" s="111" t="n">
        <f aca="false">+F15+E15</f>
        <v>26.5</v>
      </c>
      <c r="H15" s="111"/>
      <c r="I15" s="111"/>
      <c r="J15" s="112" t="n">
        <f aca="false">(G15+G16)*D15/2</f>
        <v>493.8</v>
      </c>
      <c r="K15" s="112"/>
      <c r="L15" s="112"/>
      <c r="M15" s="113"/>
      <c r="O15" s="114"/>
    </row>
    <row r="16" s="110" customFormat="true" ht="15" hidden="false" customHeight="true" outlineLevel="0" collapsed="false">
      <c r="A16" s="86" t="n">
        <v>6</v>
      </c>
      <c r="B16" s="86" t="str">
        <f aca="false">'1. PL đường đen'!B17</f>
        <v>35</v>
      </c>
      <c r="C16" s="67" t="n">
        <f aca="false">'1. PL đường đen'!C17</f>
        <v>692.61</v>
      </c>
      <c r="D16" s="86" t="n">
        <f aca="false">'1. PL đường đen'!T17</f>
        <v>20</v>
      </c>
      <c r="E16" s="69" t="n">
        <f aca="false">RANDBETWEEN(1,7)/100</f>
        <v>0.07</v>
      </c>
      <c r="F16" s="111" t="n">
        <v>22.81</v>
      </c>
      <c r="G16" s="111" t="n">
        <f aca="false">+F16+E16</f>
        <v>22.88</v>
      </c>
      <c r="H16" s="111"/>
      <c r="I16" s="111"/>
      <c r="J16" s="112" t="n">
        <f aca="false">(G16+G17)*D16/2</f>
        <v>542.2</v>
      </c>
      <c r="K16" s="112"/>
      <c r="L16" s="112"/>
      <c r="M16" s="113"/>
      <c r="O16" s="114"/>
    </row>
    <row r="17" s="110" customFormat="true" ht="15" hidden="false" customHeight="true" outlineLevel="0" collapsed="false">
      <c r="A17" s="86" t="n">
        <v>7</v>
      </c>
      <c r="B17" s="86" t="str">
        <f aca="false">'1. PL đường đen'!B18</f>
        <v>36</v>
      </c>
      <c r="C17" s="67" t="n">
        <f aca="false">'1. PL đường đen'!C18</f>
        <v>712.61</v>
      </c>
      <c r="D17" s="86" t="n">
        <f aca="false">'1. PL đường đen'!T18</f>
        <v>11.5</v>
      </c>
      <c r="E17" s="69" t="n">
        <f aca="false">RANDBETWEEN(1,7)/100</f>
        <v>0.04</v>
      </c>
      <c r="F17" s="111" t="n">
        <v>31.3</v>
      </c>
      <c r="G17" s="111" t="n">
        <f aca="false">+F17+E17</f>
        <v>31.34</v>
      </c>
      <c r="H17" s="111"/>
      <c r="I17" s="111"/>
      <c r="J17" s="112" t="n">
        <f aca="false">(G17+G18)*D17/2</f>
        <v>299.46</v>
      </c>
      <c r="K17" s="112"/>
      <c r="L17" s="112"/>
      <c r="M17" s="113"/>
      <c r="O17" s="114"/>
    </row>
    <row r="18" s="110" customFormat="true" ht="15" hidden="false" customHeight="true" outlineLevel="0" collapsed="false">
      <c r="A18" s="86" t="n">
        <v>8</v>
      </c>
      <c r="B18" s="86" t="str">
        <f aca="false">'1. PL đường đen'!B19</f>
        <v>37</v>
      </c>
      <c r="C18" s="67" t="n">
        <f aca="false">'1. PL đường đen'!C19</f>
        <v>724.11</v>
      </c>
      <c r="D18" s="86"/>
      <c r="E18" s="69" t="n">
        <f aca="false">RANDBETWEEN(1,7)/100</f>
        <v>0.07</v>
      </c>
      <c r="F18" s="111" t="n">
        <v>20.67</v>
      </c>
      <c r="G18" s="111" t="n">
        <f aca="false">+F18+E18</f>
        <v>20.74</v>
      </c>
      <c r="H18" s="111"/>
      <c r="I18" s="111"/>
      <c r="J18" s="112"/>
      <c r="K18" s="112"/>
      <c r="L18" s="112"/>
      <c r="M18" s="113"/>
      <c r="O18" s="114"/>
    </row>
    <row r="19" s="110" customFormat="true" ht="15" hidden="true" customHeight="true" outlineLevel="0" collapsed="false">
      <c r="A19" s="86"/>
      <c r="B19" s="86"/>
      <c r="C19" s="67"/>
      <c r="D19" s="86"/>
      <c r="E19" s="69"/>
      <c r="F19" s="111"/>
      <c r="G19" s="111"/>
      <c r="H19" s="111"/>
      <c r="I19" s="111"/>
      <c r="J19" s="112"/>
      <c r="K19" s="112"/>
      <c r="L19" s="112"/>
      <c r="M19" s="113"/>
      <c r="O19" s="114"/>
    </row>
    <row r="20" s="110" customFormat="true" ht="15" hidden="true" customHeight="true" outlineLevel="0" collapsed="false">
      <c r="A20" s="86"/>
      <c r="B20" s="86"/>
      <c r="C20" s="67"/>
      <c r="D20" s="86"/>
      <c r="E20" s="69"/>
      <c r="F20" s="111"/>
      <c r="G20" s="111"/>
      <c r="H20" s="111"/>
      <c r="I20" s="111"/>
      <c r="J20" s="112"/>
      <c r="K20" s="112"/>
      <c r="L20" s="112"/>
      <c r="M20" s="113"/>
      <c r="O20" s="114"/>
    </row>
    <row r="21" s="110" customFormat="true" ht="15" hidden="true" customHeight="true" outlineLevel="0" collapsed="false">
      <c r="A21" s="86"/>
      <c r="B21" s="86"/>
      <c r="C21" s="67"/>
      <c r="D21" s="86"/>
      <c r="E21" s="69"/>
      <c r="F21" s="111"/>
      <c r="G21" s="111"/>
      <c r="H21" s="111"/>
      <c r="I21" s="111"/>
      <c r="J21" s="112"/>
      <c r="K21" s="112"/>
      <c r="L21" s="112"/>
      <c r="M21" s="113"/>
      <c r="O21" s="114"/>
    </row>
    <row r="22" s="110" customFormat="true" ht="15" hidden="true" customHeight="true" outlineLevel="0" collapsed="false">
      <c r="A22" s="86"/>
      <c r="B22" s="86"/>
      <c r="C22" s="67"/>
      <c r="D22" s="86"/>
      <c r="E22" s="69"/>
      <c r="F22" s="111"/>
      <c r="G22" s="111"/>
      <c r="H22" s="111"/>
      <c r="I22" s="111"/>
      <c r="J22" s="112"/>
      <c r="K22" s="112"/>
      <c r="L22" s="112"/>
      <c r="M22" s="113"/>
      <c r="O22" s="114"/>
    </row>
    <row r="23" s="110" customFormat="true" ht="15" hidden="true" customHeight="true" outlineLevel="0" collapsed="false">
      <c r="A23" s="86"/>
      <c r="B23" s="86"/>
      <c r="C23" s="67"/>
      <c r="D23" s="86"/>
      <c r="E23" s="69"/>
      <c r="F23" s="111"/>
      <c r="G23" s="111"/>
      <c r="H23" s="111"/>
      <c r="I23" s="111"/>
      <c r="J23" s="112"/>
      <c r="K23" s="112"/>
      <c r="L23" s="112"/>
      <c r="M23" s="113"/>
      <c r="O23" s="114"/>
    </row>
    <row r="24" s="110" customFormat="true" ht="15" hidden="true" customHeight="true" outlineLevel="0" collapsed="false">
      <c r="A24" s="86"/>
      <c r="B24" s="86"/>
      <c r="C24" s="67"/>
      <c r="D24" s="86"/>
      <c r="E24" s="69"/>
      <c r="F24" s="111"/>
      <c r="G24" s="111"/>
      <c r="H24" s="111"/>
      <c r="I24" s="111"/>
      <c r="J24" s="112"/>
      <c r="K24" s="112"/>
      <c r="L24" s="112"/>
      <c r="M24" s="113"/>
      <c r="O24" s="114"/>
    </row>
    <row r="25" s="110" customFormat="true" ht="15" hidden="true" customHeight="true" outlineLevel="0" collapsed="false">
      <c r="A25" s="86"/>
      <c r="B25" s="86"/>
      <c r="C25" s="67"/>
      <c r="D25" s="86"/>
      <c r="E25" s="69"/>
      <c r="F25" s="111"/>
      <c r="G25" s="111"/>
      <c r="H25" s="111"/>
      <c r="I25" s="111"/>
      <c r="J25" s="112"/>
      <c r="K25" s="112"/>
      <c r="L25" s="112"/>
      <c r="M25" s="113"/>
      <c r="O25" s="114"/>
    </row>
    <row r="26" s="110" customFormat="true" ht="15" hidden="true" customHeight="true" outlineLevel="0" collapsed="false">
      <c r="A26" s="86"/>
      <c r="B26" s="86"/>
      <c r="C26" s="67"/>
      <c r="D26" s="86"/>
      <c r="E26" s="69"/>
      <c r="F26" s="111"/>
      <c r="G26" s="111"/>
      <c r="H26" s="111"/>
      <c r="I26" s="111"/>
      <c r="J26" s="112"/>
      <c r="K26" s="112"/>
      <c r="L26" s="112"/>
      <c r="M26" s="113"/>
      <c r="O26" s="114"/>
    </row>
    <row r="27" s="110" customFormat="true" ht="15" hidden="true" customHeight="true" outlineLevel="0" collapsed="false">
      <c r="A27" s="86"/>
      <c r="B27" s="86"/>
      <c r="C27" s="67"/>
      <c r="D27" s="86"/>
      <c r="E27" s="69"/>
      <c r="F27" s="111"/>
      <c r="G27" s="111"/>
      <c r="H27" s="111"/>
      <c r="I27" s="111"/>
      <c r="J27" s="112"/>
      <c r="K27" s="112"/>
      <c r="L27" s="112"/>
      <c r="M27" s="113"/>
      <c r="O27" s="114"/>
    </row>
    <row r="28" s="110" customFormat="true" ht="15" hidden="true" customHeight="true" outlineLevel="0" collapsed="false">
      <c r="A28" s="86"/>
      <c r="B28" s="86"/>
      <c r="C28" s="67"/>
      <c r="D28" s="86"/>
      <c r="E28" s="69"/>
      <c r="F28" s="111"/>
      <c r="G28" s="111"/>
      <c r="H28" s="111"/>
      <c r="I28" s="111"/>
      <c r="J28" s="112"/>
      <c r="K28" s="112"/>
      <c r="L28" s="112"/>
      <c r="M28" s="113"/>
      <c r="O28" s="114"/>
    </row>
    <row r="29" s="110" customFormat="true" ht="15" hidden="true" customHeight="true" outlineLevel="0" collapsed="false">
      <c r="A29" s="86"/>
      <c r="B29" s="86"/>
      <c r="C29" s="67"/>
      <c r="D29" s="86"/>
      <c r="E29" s="69"/>
      <c r="F29" s="111"/>
      <c r="G29" s="111"/>
      <c r="H29" s="111"/>
      <c r="I29" s="111"/>
      <c r="J29" s="112"/>
      <c r="K29" s="112"/>
      <c r="L29" s="112"/>
      <c r="M29" s="113"/>
      <c r="O29" s="114"/>
    </row>
    <row r="30" s="110" customFormat="true" ht="15" hidden="true" customHeight="true" outlineLevel="0" collapsed="false">
      <c r="A30" s="86"/>
      <c r="B30" s="86"/>
      <c r="C30" s="67"/>
      <c r="D30" s="86"/>
      <c r="E30" s="69"/>
      <c r="F30" s="111"/>
      <c r="G30" s="111"/>
      <c r="H30" s="111"/>
      <c r="I30" s="111"/>
      <c r="J30" s="112"/>
      <c r="K30" s="112"/>
      <c r="L30" s="112"/>
      <c r="M30" s="113"/>
      <c r="O30" s="114"/>
    </row>
    <row r="31" s="110" customFormat="true" ht="15" hidden="true" customHeight="true" outlineLevel="0" collapsed="false">
      <c r="A31" s="86"/>
      <c r="B31" s="86"/>
      <c r="C31" s="67"/>
      <c r="D31" s="86"/>
      <c r="E31" s="69"/>
      <c r="F31" s="111"/>
      <c r="G31" s="111"/>
      <c r="H31" s="111"/>
      <c r="I31" s="111"/>
      <c r="J31" s="112"/>
      <c r="K31" s="112"/>
      <c r="L31" s="112"/>
      <c r="M31" s="113"/>
      <c r="O31" s="114"/>
    </row>
    <row r="32" s="110" customFormat="true" ht="15" hidden="true" customHeight="true" outlineLevel="0" collapsed="false">
      <c r="A32" s="86"/>
      <c r="B32" s="86"/>
      <c r="C32" s="67"/>
      <c r="D32" s="86"/>
      <c r="E32" s="69"/>
      <c r="F32" s="111"/>
      <c r="G32" s="111"/>
      <c r="H32" s="111"/>
      <c r="I32" s="111"/>
      <c r="J32" s="112"/>
      <c r="K32" s="112"/>
      <c r="L32" s="112"/>
      <c r="M32" s="113"/>
      <c r="O32" s="114"/>
    </row>
    <row r="33" s="110" customFormat="true" ht="15" hidden="true" customHeight="true" outlineLevel="0" collapsed="false">
      <c r="A33" s="86"/>
      <c r="B33" s="86"/>
      <c r="C33" s="67"/>
      <c r="D33" s="86"/>
      <c r="E33" s="69"/>
      <c r="F33" s="111"/>
      <c r="G33" s="111"/>
      <c r="H33" s="111"/>
      <c r="I33" s="111"/>
      <c r="J33" s="112"/>
      <c r="K33" s="112"/>
      <c r="L33" s="112"/>
      <c r="M33" s="113"/>
      <c r="O33" s="114"/>
    </row>
    <row r="34" s="110" customFormat="true" ht="15" hidden="true" customHeight="true" outlineLevel="0" collapsed="false">
      <c r="A34" s="86"/>
      <c r="B34" s="86"/>
      <c r="C34" s="67"/>
      <c r="D34" s="86"/>
      <c r="E34" s="69"/>
      <c r="F34" s="111"/>
      <c r="G34" s="111"/>
      <c r="H34" s="111"/>
      <c r="I34" s="111"/>
      <c r="J34" s="112"/>
      <c r="K34" s="112"/>
      <c r="L34" s="112"/>
      <c r="M34" s="113"/>
      <c r="O34" s="114"/>
    </row>
    <row r="35" s="110" customFormat="true" ht="15" hidden="true" customHeight="true" outlineLevel="0" collapsed="false">
      <c r="A35" s="86"/>
      <c r="B35" s="86"/>
      <c r="C35" s="67"/>
      <c r="D35" s="86"/>
      <c r="E35" s="69"/>
      <c r="F35" s="111"/>
      <c r="G35" s="111"/>
      <c r="H35" s="111"/>
      <c r="I35" s="111"/>
      <c r="J35" s="112"/>
      <c r="K35" s="112"/>
      <c r="L35" s="112"/>
      <c r="M35" s="113"/>
      <c r="O35" s="114"/>
    </row>
    <row r="36" s="110" customFormat="true" ht="15" hidden="true" customHeight="true" outlineLevel="0" collapsed="false">
      <c r="A36" s="86"/>
      <c r="B36" s="86"/>
      <c r="C36" s="67"/>
      <c r="D36" s="86"/>
      <c r="E36" s="69"/>
      <c r="F36" s="111"/>
      <c r="G36" s="111"/>
      <c r="H36" s="111"/>
      <c r="I36" s="111"/>
      <c r="J36" s="112"/>
      <c r="K36" s="112"/>
      <c r="L36" s="112"/>
      <c r="M36" s="113"/>
      <c r="O36" s="114"/>
    </row>
    <row r="37" s="110" customFormat="true" ht="15" hidden="true" customHeight="true" outlineLevel="0" collapsed="false">
      <c r="A37" s="86"/>
      <c r="B37" s="86"/>
      <c r="C37" s="67"/>
      <c r="D37" s="86"/>
      <c r="E37" s="69"/>
      <c r="F37" s="111"/>
      <c r="G37" s="111"/>
      <c r="H37" s="111"/>
      <c r="I37" s="111"/>
      <c r="J37" s="112"/>
      <c r="K37" s="112"/>
      <c r="L37" s="112"/>
      <c r="M37" s="113"/>
      <c r="O37" s="114"/>
    </row>
    <row r="38" s="110" customFormat="true" ht="15" hidden="true" customHeight="true" outlineLevel="0" collapsed="false">
      <c r="A38" s="86"/>
      <c r="B38" s="86"/>
      <c r="C38" s="67"/>
      <c r="D38" s="86"/>
      <c r="E38" s="69"/>
      <c r="F38" s="111"/>
      <c r="G38" s="111"/>
      <c r="H38" s="111"/>
      <c r="I38" s="111"/>
      <c r="J38" s="112"/>
      <c r="K38" s="112"/>
      <c r="L38" s="112"/>
      <c r="M38" s="113"/>
      <c r="O38" s="114"/>
    </row>
    <row r="39" s="110" customFormat="true" ht="15" hidden="true" customHeight="true" outlineLevel="0" collapsed="false">
      <c r="A39" s="86"/>
      <c r="B39" s="86"/>
      <c r="C39" s="67"/>
      <c r="D39" s="86"/>
      <c r="E39" s="69"/>
      <c r="F39" s="111"/>
      <c r="G39" s="111"/>
      <c r="H39" s="111"/>
      <c r="I39" s="111"/>
      <c r="J39" s="112"/>
      <c r="K39" s="112"/>
      <c r="L39" s="112"/>
      <c r="M39" s="113"/>
      <c r="O39" s="114"/>
    </row>
    <row r="40" s="110" customFormat="true" ht="15" hidden="true" customHeight="true" outlineLevel="0" collapsed="false">
      <c r="A40" s="86"/>
      <c r="B40" s="86"/>
      <c r="C40" s="67"/>
      <c r="D40" s="86"/>
      <c r="E40" s="69"/>
      <c r="F40" s="111"/>
      <c r="G40" s="111"/>
      <c r="H40" s="111"/>
      <c r="I40" s="111"/>
      <c r="J40" s="112"/>
      <c r="K40" s="112"/>
      <c r="L40" s="112"/>
      <c r="M40" s="113"/>
      <c r="O40" s="114"/>
    </row>
    <row r="41" s="110" customFormat="true" ht="15" hidden="true" customHeight="true" outlineLevel="0" collapsed="false">
      <c r="A41" s="86"/>
      <c r="B41" s="86"/>
      <c r="C41" s="67"/>
      <c r="D41" s="86"/>
      <c r="E41" s="69"/>
      <c r="F41" s="111"/>
      <c r="G41" s="111"/>
      <c r="H41" s="111"/>
      <c r="I41" s="111"/>
      <c r="J41" s="112"/>
      <c r="K41" s="112"/>
      <c r="L41" s="112"/>
      <c r="M41" s="113"/>
      <c r="O41" s="114"/>
    </row>
    <row r="42" s="110" customFormat="true" ht="15" hidden="true" customHeight="true" outlineLevel="0" collapsed="false">
      <c r="A42" s="86"/>
      <c r="B42" s="86"/>
      <c r="C42" s="67"/>
      <c r="D42" s="86"/>
      <c r="E42" s="69"/>
      <c r="F42" s="111"/>
      <c r="G42" s="111"/>
      <c r="H42" s="111"/>
      <c r="I42" s="111"/>
      <c r="J42" s="112"/>
      <c r="K42" s="112"/>
      <c r="L42" s="112"/>
      <c r="M42" s="113"/>
      <c r="O42" s="114"/>
    </row>
    <row r="43" s="110" customFormat="true" ht="15" hidden="true" customHeight="true" outlineLevel="0" collapsed="false">
      <c r="A43" s="86"/>
      <c r="B43" s="86"/>
      <c r="C43" s="67"/>
      <c r="D43" s="86"/>
      <c r="E43" s="69"/>
      <c r="F43" s="111"/>
      <c r="G43" s="111"/>
      <c r="H43" s="111"/>
      <c r="I43" s="111"/>
      <c r="J43" s="112"/>
      <c r="K43" s="112"/>
      <c r="L43" s="112"/>
      <c r="M43" s="113"/>
      <c r="O43" s="114"/>
    </row>
    <row r="44" s="110" customFormat="true" ht="15" hidden="true" customHeight="true" outlineLevel="0" collapsed="false">
      <c r="A44" s="86"/>
      <c r="B44" s="86"/>
      <c r="C44" s="67"/>
      <c r="D44" s="86"/>
      <c r="E44" s="69"/>
      <c r="F44" s="111"/>
      <c r="G44" s="111"/>
      <c r="H44" s="111"/>
      <c r="I44" s="111"/>
      <c r="J44" s="112"/>
      <c r="K44" s="112"/>
      <c r="L44" s="112"/>
      <c r="M44" s="113"/>
      <c r="O44" s="114"/>
    </row>
    <row r="45" s="110" customFormat="true" ht="15" hidden="true" customHeight="true" outlineLevel="0" collapsed="false">
      <c r="A45" s="86"/>
      <c r="B45" s="86"/>
      <c r="C45" s="67"/>
      <c r="D45" s="86"/>
      <c r="E45" s="69"/>
      <c r="F45" s="111"/>
      <c r="G45" s="111"/>
      <c r="H45" s="111"/>
      <c r="I45" s="111"/>
      <c r="J45" s="112"/>
      <c r="K45" s="112"/>
      <c r="L45" s="112"/>
      <c r="M45" s="113"/>
      <c r="O45" s="114"/>
    </row>
    <row r="46" s="110" customFormat="true" ht="15" hidden="true" customHeight="true" outlineLevel="0" collapsed="false">
      <c r="A46" s="86"/>
      <c r="B46" s="86"/>
      <c r="C46" s="67"/>
      <c r="D46" s="86"/>
      <c r="E46" s="69"/>
      <c r="F46" s="111"/>
      <c r="G46" s="111"/>
      <c r="H46" s="111"/>
      <c r="I46" s="111"/>
      <c r="J46" s="112"/>
      <c r="K46" s="112"/>
      <c r="L46" s="112"/>
      <c r="M46" s="113"/>
      <c r="O46" s="114"/>
    </row>
    <row r="47" s="110" customFormat="true" ht="15" hidden="true" customHeight="true" outlineLevel="0" collapsed="false">
      <c r="A47" s="86"/>
      <c r="B47" s="86"/>
      <c r="C47" s="67"/>
      <c r="D47" s="86"/>
      <c r="E47" s="69"/>
      <c r="F47" s="111"/>
      <c r="G47" s="111"/>
      <c r="H47" s="111"/>
      <c r="I47" s="111"/>
      <c r="J47" s="112"/>
      <c r="K47" s="112"/>
      <c r="L47" s="112"/>
      <c r="M47" s="113"/>
      <c r="O47" s="114"/>
    </row>
    <row r="48" s="110" customFormat="true" ht="15" hidden="true" customHeight="true" outlineLevel="0" collapsed="false">
      <c r="A48" s="86"/>
      <c r="B48" s="86"/>
      <c r="C48" s="67"/>
      <c r="D48" s="86"/>
      <c r="E48" s="69"/>
      <c r="F48" s="111"/>
      <c r="G48" s="111"/>
      <c r="H48" s="111"/>
      <c r="I48" s="111"/>
      <c r="J48" s="112"/>
      <c r="K48" s="112"/>
      <c r="L48" s="112"/>
      <c r="M48" s="113"/>
      <c r="O48" s="114"/>
    </row>
    <row r="49" s="110" customFormat="true" ht="15" hidden="true" customHeight="true" outlineLevel="0" collapsed="false">
      <c r="A49" s="86"/>
      <c r="B49" s="86"/>
      <c r="C49" s="67"/>
      <c r="D49" s="86"/>
      <c r="E49" s="69"/>
      <c r="F49" s="111"/>
      <c r="G49" s="111"/>
      <c r="H49" s="111"/>
      <c r="I49" s="111"/>
      <c r="J49" s="112"/>
      <c r="K49" s="112"/>
      <c r="L49" s="112"/>
      <c r="M49" s="113"/>
      <c r="O49" s="114"/>
    </row>
    <row r="50" s="110" customFormat="true" ht="15" hidden="true" customHeight="true" outlineLevel="0" collapsed="false">
      <c r="A50" s="86"/>
      <c r="B50" s="86"/>
      <c r="C50" s="67"/>
      <c r="D50" s="86"/>
      <c r="E50" s="69"/>
      <c r="F50" s="111"/>
      <c r="G50" s="111"/>
      <c r="H50" s="111"/>
      <c r="I50" s="111"/>
      <c r="J50" s="112"/>
      <c r="K50" s="112"/>
      <c r="L50" s="112"/>
      <c r="M50" s="113"/>
      <c r="O50" s="114"/>
    </row>
    <row r="51" s="119" customFormat="true" ht="14.25" hidden="false" customHeight="true" outlineLevel="0" collapsed="false">
      <c r="A51" s="102" t="s">
        <v>114</v>
      </c>
      <c r="B51" s="102"/>
      <c r="C51" s="102"/>
      <c r="D51" s="102"/>
      <c r="E51" s="115"/>
      <c r="F51" s="116"/>
      <c r="G51" s="116"/>
      <c r="H51" s="116"/>
      <c r="I51" s="116"/>
      <c r="J51" s="117" t="n">
        <f aca="false">SUM(J11:J18)</f>
        <v>2989.22875</v>
      </c>
      <c r="K51" s="117"/>
      <c r="L51" s="117"/>
      <c r="M51" s="118"/>
      <c r="O51" s="120"/>
    </row>
    <row r="52" s="119" customFormat="true" ht="14.25" hidden="false" customHeight="true" outlineLevel="0" collapsed="false">
      <c r="A52" s="121"/>
      <c r="B52" s="121"/>
      <c r="C52" s="121"/>
      <c r="D52" s="121"/>
      <c r="J52" s="120"/>
      <c r="K52" s="120"/>
      <c r="L52" s="120"/>
      <c r="M52" s="120"/>
    </row>
    <row r="53" s="119" customFormat="true" ht="15" hidden="false" customHeight="true" outlineLevel="0" collapsed="false">
      <c r="A53" s="73" t="s">
        <v>88</v>
      </c>
      <c r="B53" s="73"/>
      <c r="C53" s="73"/>
      <c r="D53" s="122" t="s">
        <v>115</v>
      </c>
      <c r="E53" s="73" t="s">
        <v>89</v>
      </c>
      <c r="F53" s="73"/>
      <c r="G53" s="73"/>
      <c r="H53" s="73"/>
      <c r="I53" s="73"/>
      <c r="J53" s="73"/>
      <c r="K53" s="73"/>
      <c r="L53" s="73"/>
      <c r="M53" s="73"/>
    </row>
    <row r="54" s="119" customFormat="true" ht="15" hidden="false" customHeight="true" outlineLevel="0" collapsed="false">
      <c r="A54" s="123"/>
      <c r="B54" s="123"/>
      <c r="C54" s="123"/>
      <c r="D54" s="124"/>
      <c r="E54" s="75"/>
      <c r="F54" s="75"/>
      <c r="G54" s="75"/>
      <c r="H54" s="75"/>
      <c r="I54" s="75"/>
      <c r="J54" s="75"/>
      <c r="K54" s="75"/>
      <c r="L54" s="75"/>
      <c r="M54" s="75"/>
    </row>
    <row r="55" s="119" customFormat="true" ht="15" hidden="false" customHeight="true" outlineLevel="0" collapsed="false">
      <c r="A55" s="123"/>
      <c r="B55" s="123"/>
      <c r="C55" s="125"/>
      <c r="D55" s="125"/>
      <c r="E55" s="75"/>
      <c r="F55" s="75"/>
      <c r="G55" s="75"/>
      <c r="H55" s="75"/>
      <c r="I55" s="75"/>
      <c r="J55" s="75"/>
      <c r="K55" s="75"/>
      <c r="L55" s="75"/>
      <c r="M55" s="75"/>
    </row>
    <row r="56" s="119" customFormat="true" ht="15" hidden="false" customHeight="true" outlineLevel="0" collapsed="false">
      <c r="A56" s="123"/>
      <c r="B56" s="123"/>
      <c r="C56" s="126"/>
      <c r="D56" s="126"/>
      <c r="E56" s="75"/>
      <c r="F56" s="75"/>
      <c r="G56" s="75"/>
      <c r="H56" s="75"/>
      <c r="I56" s="75"/>
      <c r="J56" s="75"/>
      <c r="K56" s="75"/>
      <c r="L56" s="75"/>
      <c r="M56" s="75"/>
    </row>
    <row r="57" s="119" customFormat="true" ht="15" hidden="false" customHeight="true" outlineLevel="0" collapsed="false">
      <c r="A57" s="123"/>
      <c r="B57" s="123"/>
      <c r="C57" s="123"/>
      <c r="D57" s="124"/>
      <c r="E57" s="75"/>
      <c r="F57" s="75"/>
      <c r="G57" s="75"/>
      <c r="H57" s="75"/>
      <c r="I57" s="75"/>
      <c r="J57" s="75"/>
      <c r="K57" s="75"/>
      <c r="L57" s="75"/>
      <c r="M57" s="75"/>
    </row>
    <row r="58" s="119" customFormat="true" ht="14.25" hidden="false" customHeight="true" outlineLevel="0" collapsed="false">
      <c r="A58" s="73" t="str">
        <f aca="false">'2. Cao độ đào nền'!E68</f>
        <v>Nguyễn Xuân Hưng</v>
      </c>
      <c r="B58" s="73"/>
      <c r="C58" s="73"/>
      <c r="D58" s="124"/>
      <c r="E58" s="73" t="str">
        <f aca="false">+'2. Cao độ đào nền'!O68</f>
        <v>Lê Quốc Huy</v>
      </c>
      <c r="F58" s="73"/>
      <c r="G58" s="73"/>
      <c r="H58" s="73"/>
      <c r="I58" s="73"/>
      <c r="J58" s="73"/>
      <c r="K58" s="73"/>
      <c r="L58" s="73"/>
      <c r="M58" s="73"/>
    </row>
    <row r="59" s="129" customFormat="true" ht="15" hidden="false" customHeight="true" outlineLevel="0" collapsed="false">
      <c r="A59" s="127"/>
      <c r="B59" s="127"/>
      <c r="C59" s="127"/>
      <c r="D59" s="128"/>
      <c r="E59" s="128"/>
      <c r="F59" s="128"/>
      <c r="G59" s="128"/>
      <c r="H59" s="128"/>
      <c r="I59" s="128"/>
      <c r="J59" s="128"/>
      <c r="K59" s="128"/>
      <c r="L59" s="128"/>
    </row>
    <row r="60" s="129" customFormat="true" ht="16.5" hidden="false" customHeight="true" outlineLevel="0" collapsed="false">
      <c r="D60" s="130"/>
      <c r="E60" s="130"/>
      <c r="F60" s="131"/>
      <c r="G60" s="131"/>
      <c r="H60" s="131"/>
      <c r="I60" s="131"/>
      <c r="J60" s="131"/>
      <c r="K60" s="131"/>
      <c r="L60" s="131"/>
      <c r="M60" s="131"/>
    </row>
    <row r="61" customFormat="false" ht="12.75" hidden="false" customHeight="false" outlineLevel="0" collapsed="false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</row>
    <row r="62" customFormat="false" ht="12.75" hidden="false" customHeight="false" outlineLevel="0" collapsed="false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</row>
    <row r="63" customFormat="false" ht="12.75" hidden="false" customHeight="false" outlineLevel="0" collapsed="false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</row>
    <row r="64" customFormat="false" ht="18.75" hidden="false" customHeight="true" outlineLevel="0" collapsed="false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</row>
    <row r="65" customFormat="false" ht="16.5" hidden="false" customHeight="true" outlineLevel="0" collapsed="false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</row>
    <row r="66" customFormat="false" ht="12.75" hidden="false" customHeight="false" outlineLevel="0" collapsed="false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</row>
    <row r="67" customFormat="false" ht="16.5" hidden="false" customHeight="true" outlineLevel="0" collapsed="false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</row>
    <row r="68" customFormat="false" ht="16.5" hidden="false" customHeight="true" outlineLevel="0" collapsed="false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</row>
    <row r="69" customFormat="false" ht="16.5" hidden="false" customHeight="true" outlineLevel="0" collapsed="false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</row>
    <row r="70" customFormat="false" ht="12.75" hidden="false" customHeight="false" outlineLevel="0" collapsed="false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</row>
    <row r="71" customFormat="false" ht="12.75" hidden="false" customHeight="false" outlineLevel="0" collapsed="false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</row>
    <row r="72" customFormat="false" ht="16.5" hidden="false" customHeight="true" outlineLevel="0" collapsed="false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</row>
    <row r="73" customFormat="false" ht="12.75" hidden="false" customHeight="false" outlineLevel="0" collapsed="false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</row>
    <row r="74" customFormat="false" ht="12.75" hidden="false" customHeight="false" outlineLevel="0" collapsed="false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</row>
    <row r="75" customFormat="false" ht="12.75" hidden="false" customHeight="false" outlineLevel="0" collapsed="false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</row>
    <row r="76" customFormat="false" ht="12.75" hidden="false" customHeight="false" outlineLevel="0" collapsed="false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</row>
    <row r="77" customFormat="false" ht="12.75" hidden="false" customHeight="false" outlineLevel="0" collapsed="false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</row>
    <row r="78" customFormat="false" ht="12.75" hidden="false" customHeight="false" outlineLevel="0" collapsed="false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</row>
    <row r="79" customFormat="false" ht="12.75" hidden="false" customHeight="false" outlineLevel="0" collapsed="false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</row>
    <row r="80" customFormat="false" ht="12.75" hidden="false" customHeight="false" outlineLevel="0" collapsed="false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</row>
    <row r="81" customFormat="false" ht="12.75" hidden="false" customHeight="false" outlineLevel="0" collapsed="false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</row>
    <row r="82" customFormat="false" ht="12.75" hidden="false" customHeight="false" outlineLevel="0" collapsed="false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</row>
    <row r="83" customFormat="false" ht="12.75" hidden="false" customHeight="false" outlineLevel="0" collapsed="false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</row>
    <row r="84" customFormat="false" ht="12.75" hidden="false" customHeight="false" outlineLevel="0" collapsed="false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</row>
    <row r="85" customFormat="false" ht="12.75" hidden="false" customHeight="false" outlineLevel="0" collapsed="false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</row>
    <row r="86" customFormat="false" ht="12.75" hidden="false" customHeight="false" outlineLevel="0" collapsed="false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</row>
    <row r="87" customFormat="false" ht="12.75" hidden="false" customHeight="false" outlineLevel="0" collapsed="false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</row>
    <row r="88" customFormat="false" ht="12.75" hidden="false" customHeight="false" outlineLevel="0" collapsed="false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</row>
    <row r="89" customFormat="false" ht="12.75" hidden="false" customHeight="false" outlineLevel="0" collapsed="false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</row>
    <row r="90" customFormat="false" ht="12.75" hidden="false" customHeight="false" outlineLevel="0" collapsed="false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</row>
    <row r="91" customFormat="false" ht="12.75" hidden="false" customHeight="false" outlineLevel="0" collapsed="false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</row>
    <row r="92" customFormat="false" ht="12.75" hidden="false" customHeight="false" outlineLevel="0" collapsed="false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</row>
    <row r="93" customFormat="false" ht="12.75" hidden="false" customHeight="false" outlineLevel="0" collapsed="false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</row>
    <row r="94" customFormat="false" ht="12.75" hidden="false" customHeight="false" outlineLevel="0" collapsed="false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</row>
    <row r="95" customFormat="false" ht="12.75" hidden="false" customHeight="false" outlineLevel="0" collapsed="false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</row>
    <row r="96" customFormat="false" ht="12.75" hidden="false" customHeight="false" outlineLevel="0" collapsed="false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</row>
    <row r="97" customFormat="false" ht="12.75" hidden="false" customHeight="false" outlineLevel="0" collapsed="false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</row>
    <row r="98" customFormat="false" ht="12.75" hidden="false" customHeight="false" outlineLevel="0" collapsed="false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</row>
    <row r="99" customFormat="false" ht="12.75" hidden="false" customHeight="false" outlineLevel="0" collapsed="false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</row>
    <row r="100" customFormat="false" ht="12.75" hidden="false" customHeight="false" outlineLevel="0" collapsed="false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</row>
    <row r="101" customFormat="false" ht="12.75" hidden="false" customHeight="false" outlineLevel="0" collapsed="false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</row>
    <row r="102" customFormat="false" ht="12.75" hidden="false" customHeight="false" outlineLevel="0" collapsed="false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</row>
    <row r="103" customFormat="false" ht="12.75" hidden="false" customHeight="false" outlineLevel="0" collapsed="false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</row>
    <row r="104" customFormat="false" ht="12.75" hidden="false" customHeight="false" outlineLevel="0" collapsed="false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</row>
    <row r="105" customFormat="false" ht="12.75" hidden="false" customHeight="false" outlineLevel="0" collapsed="false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</row>
    <row r="106" customFormat="false" ht="12.75" hidden="false" customHeight="false" outlineLevel="0" collapsed="false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</row>
    <row r="107" customFormat="false" ht="12.75" hidden="false" customHeight="false" outlineLevel="0" collapsed="false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</row>
    <row r="108" customFormat="false" ht="12.75" hidden="false" customHeight="false" outlineLevel="0" collapsed="false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</row>
    <row r="109" customFormat="false" ht="12.75" hidden="false" customHeight="false" outlineLevel="0" collapsed="false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</row>
    <row r="110" s="91" customFormat="true" ht="12.75" hidden="false" customHeight="false" outlineLevel="0" collapsed="false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90"/>
      <c r="O110" s="90"/>
      <c r="P110" s="90"/>
      <c r="Q110" s="90"/>
    </row>
    <row r="111" s="91" customFormat="true" ht="12.75" hidden="false" customHeight="false" outlineLevel="0" collapsed="false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90"/>
      <c r="O111" s="90"/>
      <c r="P111" s="90"/>
      <c r="Q111" s="90"/>
    </row>
    <row r="112" s="91" customFormat="true" ht="12.75" hidden="false" customHeight="false" outlineLevel="0" collapsed="false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90"/>
      <c r="O112" s="90"/>
      <c r="P112" s="90"/>
      <c r="Q112" s="90"/>
    </row>
    <row r="113" s="91" customFormat="true" ht="12.75" hidden="false" customHeight="false" outlineLevel="0" collapsed="false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90"/>
      <c r="O113" s="90"/>
      <c r="P113" s="90"/>
      <c r="Q113" s="90"/>
    </row>
    <row r="114" s="91" customFormat="true" ht="12.75" hidden="false" customHeight="false" outlineLevel="0" collapsed="false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90"/>
      <c r="O114" s="90"/>
      <c r="P114" s="90"/>
      <c r="Q114" s="90"/>
    </row>
    <row r="115" s="91" customFormat="true" ht="12.75" hidden="false" customHeight="false" outlineLevel="0" collapsed="false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90"/>
      <c r="O115" s="90"/>
      <c r="P115" s="90"/>
      <c r="Q115" s="90"/>
    </row>
    <row r="116" s="91" customFormat="true" ht="12.75" hidden="false" customHeight="false" outlineLevel="0" collapsed="false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90"/>
      <c r="O116" s="90"/>
      <c r="P116" s="90"/>
      <c r="Q116" s="90"/>
    </row>
    <row r="117" s="91" customFormat="true" ht="12.75" hidden="false" customHeight="false" outlineLevel="0" collapsed="false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90"/>
      <c r="O117" s="90"/>
      <c r="P117" s="90"/>
      <c r="Q117" s="90"/>
    </row>
    <row r="118" s="91" customFormat="true" ht="12.75" hidden="false" customHeight="false" outlineLevel="0" collapsed="false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90"/>
      <c r="O118" s="90"/>
      <c r="P118" s="90"/>
      <c r="Q118" s="90"/>
    </row>
    <row r="119" s="91" customFormat="true" ht="12.75" hidden="false" customHeight="false" outlineLevel="0" collapsed="false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90"/>
      <c r="O119" s="90"/>
      <c r="P119" s="90"/>
      <c r="Q119" s="90"/>
    </row>
    <row r="120" s="91" customFormat="true" ht="12.75" hidden="false" customHeight="false" outlineLevel="0" collapsed="false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90"/>
      <c r="O120" s="90"/>
      <c r="P120" s="90"/>
      <c r="Q120" s="90"/>
    </row>
    <row r="121" s="91" customFormat="true" ht="12.75" hidden="false" customHeight="false" outlineLevel="0" collapsed="false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90"/>
      <c r="O121" s="90"/>
      <c r="P121" s="90"/>
      <c r="Q121" s="90"/>
    </row>
    <row r="122" s="91" customFormat="true" ht="12.75" hidden="false" customHeight="false" outlineLevel="0" collapsed="false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90"/>
      <c r="O122" s="90"/>
      <c r="P122" s="90"/>
      <c r="Q122" s="90"/>
    </row>
    <row r="123" s="91" customFormat="true" ht="12.75" hidden="false" customHeight="false" outlineLevel="0" collapsed="false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90"/>
      <c r="O123" s="90"/>
      <c r="P123" s="90"/>
      <c r="Q123" s="90"/>
    </row>
    <row r="124" s="91" customFormat="true" ht="12.75" hidden="false" customHeight="false" outlineLevel="0" collapsed="false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90"/>
      <c r="O124" s="90"/>
      <c r="P124" s="90"/>
      <c r="Q124" s="90"/>
    </row>
    <row r="125" s="91" customFormat="true" ht="12.75" hidden="false" customHeight="false" outlineLevel="0" collapsed="false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90"/>
      <c r="O125" s="90"/>
      <c r="P125" s="90"/>
      <c r="Q125" s="90"/>
    </row>
    <row r="126" s="91" customFormat="true" ht="12.75" hidden="false" customHeight="false" outlineLevel="0" collapsed="false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90"/>
      <c r="O126" s="90"/>
      <c r="P126" s="90"/>
      <c r="Q126" s="90"/>
    </row>
    <row r="127" s="91" customFormat="true" ht="12.75" hidden="false" customHeight="false" outlineLevel="0" collapsed="false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90"/>
      <c r="O127" s="90"/>
      <c r="P127" s="90"/>
      <c r="Q127" s="90"/>
    </row>
    <row r="128" s="91" customFormat="true" ht="12.75" hidden="false" customHeight="false" outlineLevel="0" collapsed="false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90"/>
      <c r="O128" s="90"/>
      <c r="P128" s="90"/>
      <c r="Q128" s="90"/>
    </row>
    <row r="129" s="91" customFormat="true" ht="12.75" hidden="false" customHeight="false" outlineLevel="0" collapsed="false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90"/>
      <c r="O129" s="90"/>
      <c r="P129" s="90"/>
      <c r="Q129" s="90"/>
    </row>
    <row r="130" s="91" customFormat="true" ht="12.75" hidden="false" customHeight="false" outlineLevel="0" collapsed="false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90"/>
      <c r="O130" s="90"/>
      <c r="P130" s="90"/>
      <c r="Q130" s="90"/>
    </row>
    <row r="131" s="91" customFormat="true" ht="12.75" hidden="false" customHeight="false" outlineLevel="0" collapsed="false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90"/>
      <c r="O131" s="90"/>
      <c r="P131" s="90"/>
      <c r="Q131" s="90"/>
    </row>
    <row r="132" s="91" customFormat="true" ht="12.75" hidden="false" customHeight="false" outlineLevel="0" collapsed="false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90"/>
      <c r="O132" s="90"/>
      <c r="P132" s="90"/>
      <c r="Q132" s="90"/>
    </row>
    <row r="133" s="91" customFormat="true" ht="12.75" hidden="false" customHeight="false" outlineLevel="0" collapsed="false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90"/>
      <c r="O133" s="90"/>
      <c r="P133" s="90"/>
      <c r="Q133" s="90"/>
    </row>
    <row r="134" s="91" customFormat="true" ht="12.75" hidden="false" customHeight="false" outlineLevel="0" collapsed="false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90"/>
      <c r="O134" s="90"/>
      <c r="P134" s="90"/>
      <c r="Q134" s="90"/>
    </row>
    <row r="135" s="91" customFormat="true" ht="12.75" hidden="false" customHeight="false" outlineLevel="0" collapsed="false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90"/>
      <c r="O135" s="90"/>
      <c r="P135" s="90"/>
      <c r="Q135" s="90"/>
    </row>
    <row r="136" s="91" customFormat="true" ht="12.75" hidden="false" customHeight="false" outlineLevel="0" collapsed="false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90"/>
      <c r="O136" s="90"/>
      <c r="P136" s="90"/>
      <c r="Q136" s="90"/>
    </row>
    <row r="137" s="91" customFormat="true" ht="12.75" hidden="false" customHeight="false" outlineLevel="0" collapsed="false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90"/>
      <c r="O137" s="90"/>
      <c r="P137" s="90"/>
      <c r="Q137" s="90"/>
    </row>
  </sheetData>
  <mergeCells count="22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G9:I9"/>
    <mergeCell ref="J9:L9"/>
    <mergeCell ref="M9:M10"/>
    <mergeCell ref="A51:D51"/>
    <mergeCell ref="A53:C53"/>
    <mergeCell ref="E53:M53"/>
    <mergeCell ref="C55:D55"/>
    <mergeCell ref="A58:C58"/>
    <mergeCell ref="E58:M58"/>
    <mergeCell ref="F60:M60"/>
  </mergeCells>
  <printOptions headings="false" gridLines="false" gridLinesSet="true" horizontalCentered="false" verticalCentered="false"/>
  <pageMargins left="0.708333333333333" right="0.157638888888889" top="0.551388888888889" bottom="0.490277777777778" header="0.511811023622047" footer="0.170138888888889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8"/>
  <sheetViews>
    <sheetView showFormulas="false" showGridLines="true" showRowColHeaders="true" showZeros="true" rightToLeft="false" tabSelected="false" showOutlineSymbols="true" defaultGridColor="true" view="normal" topLeftCell="A62" colorId="64" zoomScale="85" zoomScaleNormal="85" zoomScalePageLayoutView="100" workbookViewId="0">
      <selection pane="topLeft" activeCell="M73" activeCellId="0" sqref="M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4.29"/>
    <col collapsed="false" customWidth="true" hidden="false" outlineLevel="0" max="4" min="4" style="1" width="8.42"/>
    <col collapsed="false" customWidth="true" hidden="false" outlineLevel="0" max="6" min="5" style="1" width="8.57"/>
    <col collapsed="false" customWidth="true" hidden="false" outlineLevel="0" max="7" min="7" style="1" width="8"/>
    <col collapsed="false" customWidth="true" hidden="false" outlineLevel="0" max="8" min="8" style="1" width="7.71"/>
    <col collapsed="false" customWidth="true" hidden="false" outlineLevel="0" max="9" min="9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15" min="12" style="1" width="8.57"/>
    <col collapsed="false" customWidth="true" hidden="false" outlineLevel="0" max="16" min="16" style="1" width="7.71"/>
    <col collapsed="false" customWidth="true" hidden="false" outlineLevel="0" max="17" min="17" style="1" width="8"/>
    <col collapsed="false" customWidth="true" hidden="false" outlineLevel="0" max="21" min="18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7" t="s">
        <v>116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93"/>
      <c r="X1" s="93"/>
      <c r="Y1" s="78"/>
      <c r="Z1" s="78"/>
    </row>
    <row r="2" customFormat="false" ht="18.75" hidden="false" customHeight="true" outlineLevel="0" collapsed="false">
      <c r="A2" s="56" t="str">
        <f aca="false">"Kèm theo BBNT số: "&amp;VLOOKUP(W2,'Tuyến XD8'!$A$2:$G$60,7,0)&amp;VLOOKUP(W2,'Tuyến XD8'!$A$2:$G$60,4,0)</f>
        <v>Kèm theo BBNT số: 86.NĐXD8/CVXD ngày 28 tháng 09 năm 2026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0" t="n">
        <v>86</v>
      </c>
      <c r="X2" s="79"/>
      <c r="Y2" s="79"/>
      <c r="Z2" s="79"/>
    </row>
    <row r="3" customFormat="false" ht="18.75" hidden="false" customHeight="true" outlineLevel="0" collapsed="false">
      <c r="A3" s="59" t="s">
        <v>62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customFormat="false" ht="18.75" hidden="false" customHeight="true" outlineLevel="0" collapsed="false">
      <c r="A4" s="59" t="s">
        <v>63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customFormat="false" ht="18.75" hidden="false" customHeight="true" outlineLevel="0" collapsed="false">
      <c r="A5" s="59" t="s">
        <v>64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customFormat="false" ht="18.75" hidden="false" customHeight="true" outlineLevel="0" collapsed="false">
      <c r="A6" s="59" t="s">
        <v>65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customFormat="false" ht="18.75" hidden="false" customHeight="true" outlineLevel="0" collapsed="false">
      <c r="A7" s="61" t="s">
        <v>66</v>
      </c>
      <c r="C7" s="59"/>
      <c r="D7" s="59"/>
      <c r="E7" s="59" t="str">
        <f aca="false">VLOOKUP(W2,'Tuyến XD8'!$A$2:$B$60,2,0)</f>
        <v>Rải vải địa kỹ thuật đoạn từ Km0+609,11 - Km0+724,11</v>
      </c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customFormat="false" ht="18.75" hidden="false" customHeight="true" outlineLevel="0" collapsed="false">
      <c r="A8" s="61" t="s">
        <v>67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19" customFormat="false" ht="5.25" hidden="false" customHeight="true" outlineLevel="0" collapsed="false"/>
    <row r="20" customFormat="false" ht="17.25" hidden="false" customHeight="true" outlineLevel="0" collapsed="false">
      <c r="A20" s="80" t="s">
        <v>68</v>
      </c>
      <c r="B20" s="80" t="s">
        <v>69</v>
      </c>
      <c r="C20" s="80" t="s">
        <v>70</v>
      </c>
      <c r="D20" s="81" t="s">
        <v>117</v>
      </c>
      <c r="E20" s="81"/>
      <c r="F20" s="81"/>
      <c r="G20" s="81" t="s">
        <v>118</v>
      </c>
      <c r="H20" s="81"/>
      <c r="I20" s="81"/>
      <c r="J20" s="81" t="s">
        <v>119</v>
      </c>
      <c r="K20" s="81"/>
      <c r="L20" s="81"/>
      <c r="M20" s="81" t="s">
        <v>120</v>
      </c>
      <c r="N20" s="81"/>
      <c r="O20" s="81"/>
      <c r="P20" s="81" t="s">
        <v>121</v>
      </c>
      <c r="Q20" s="81"/>
      <c r="R20" s="81"/>
      <c r="S20" s="81" t="s">
        <v>122</v>
      </c>
      <c r="T20" s="81"/>
      <c r="U20" s="81"/>
      <c r="V20" s="80" t="s">
        <v>76</v>
      </c>
    </row>
    <row r="21" customFormat="false" ht="45" hidden="false" customHeight="true" outlineLevel="0" collapsed="false">
      <c r="A21" s="80"/>
      <c r="B21" s="80"/>
      <c r="C21" s="80"/>
      <c r="D21" s="64" t="s">
        <v>123</v>
      </c>
      <c r="E21" s="64" t="s">
        <v>124</v>
      </c>
      <c r="F21" s="64" t="s">
        <v>125</v>
      </c>
      <c r="G21" s="64" t="s">
        <v>123</v>
      </c>
      <c r="H21" s="64" t="s">
        <v>124</v>
      </c>
      <c r="I21" s="64" t="s">
        <v>125</v>
      </c>
      <c r="J21" s="64" t="s">
        <v>123</v>
      </c>
      <c r="K21" s="64" t="s">
        <v>124</v>
      </c>
      <c r="L21" s="64" t="s">
        <v>125</v>
      </c>
      <c r="M21" s="64" t="s">
        <v>123</v>
      </c>
      <c r="N21" s="64" t="s">
        <v>124</v>
      </c>
      <c r="O21" s="64" t="s">
        <v>125</v>
      </c>
      <c r="P21" s="64" t="s">
        <v>123</v>
      </c>
      <c r="Q21" s="64" t="s">
        <v>124</v>
      </c>
      <c r="R21" s="64" t="s">
        <v>125</v>
      </c>
      <c r="S21" s="64" t="s">
        <v>123</v>
      </c>
      <c r="T21" s="64" t="s">
        <v>124</v>
      </c>
      <c r="U21" s="64" t="s">
        <v>125</v>
      </c>
      <c r="V21" s="80"/>
    </row>
    <row r="22" customFormat="false" ht="15" hidden="false" customHeight="false" outlineLevel="0" collapsed="false">
      <c r="A22" s="82"/>
      <c r="B22" s="82"/>
      <c r="C22" s="83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5"/>
    </row>
    <row r="23" customFormat="false" ht="15" hidden="false" customHeight="false" outlineLevel="0" collapsed="false">
      <c r="A23" s="86"/>
      <c r="B23" s="86"/>
      <c r="C23" s="87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88"/>
    </row>
    <row r="24" customFormat="false" ht="15" hidden="false" customHeight="false" outlineLevel="0" collapsed="false">
      <c r="A24" s="86" t="n">
        <f aca="false">+'1. PL đường đen'!A12</f>
        <v>1</v>
      </c>
      <c r="B24" s="86" t="str">
        <f aca="false">+'1. PL đường đen'!B12</f>
        <v>31</v>
      </c>
      <c r="C24" s="87" t="n">
        <f aca="false">+'1. PL đường đen'!C12</f>
        <v>609.11</v>
      </c>
      <c r="D24" s="69" t="n">
        <v>2</v>
      </c>
      <c r="E24" s="69" t="n">
        <f aca="false">+D24+F24</f>
        <v>2.06</v>
      </c>
      <c r="F24" s="69" t="n">
        <f aca="false">RANDBETWEEN(5,10)/100</f>
        <v>0.06</v>
      </c>
      <c r="G24" s="69" t="n">
        <v>1.41</v>
      </c>
      <c r="H24" s="69" t="n">
        <f aca="false">+G24+I24</f>
        <v>1.51</v>
      </c>
      <c r="I24" s="69" t="n">
        <f aca="false">RANDBETWEEN(5,10)/100</f>
        <v>0.1</v>
      </c>
      <c r="J24" s="69" t="n">
        <v>8.27</v>
      </c>
      <c r="K24" s="69" t="n">
        <f aca="false">+J24+L24</f>
        <v>8.34</v>
      </c>
      <c r="L24" s="69" t="n">
        <f aca="false">RANDBETWEEN(5,10)/100</f>
        <v>0.07</v>
      </c>
      <c r="M24" s="69" t="n">
        <v>8.13</v>
      </c>
      <c r="N24" s="69" t="n">
        <f aca="false">+M24+O24</f>
        <v>8.19</v>
      </c>
      <c r="O24" s="69" t="n">
        <f aca="false">RANDBETWEEN(5,10)/100</f>
        <v>0.06</v>
      </c>
      <c r="P24" s="69" t="n">
        <v>1.41</v>
      </c>
      <c r="Q24" s="69" t="n">
        <f aca="false">+P24+R24</f>
        <v>1.49</v>
      </c>
      <c r="R24" s="69" t="n">
        <f aca="false">RANDBETWEEN(5,10)/100</f>
        <v>0.08</v>
      </c>
      <c r="S24" s="69" t="n">
        <v>2</v>
      </c>
      <c r="T24" s="69" t="n">
        <f aca="false">+S24+U24</f>
        <v>2.09</v>
      </c>
      <c r="U24" s="69" t="n">
        <f aca="false">RANDBETWEEN(5,10)/100</f>
        <v>0.09</v>
      </c>
      <c r="V24" s="88"/>
    </row>
    <row r="25" customFormat="false" ht="15" hidden="false" customHeight="false" outlineLevel="0" collapsed="false">
      <c r="A25" s="86" t="n">
        <f aca="false">+'1. PL đường đen'!A13</f>
        <v>2</v>
      </c>
      <c r="B25" s="86" t="str">
        <f aca="false">+'1. PL đường đen'!B13</f>
        <v>E10</v>
      </c>
      <c r="C25" s="87" t="n">
        <f aca="false">+'1. PL đường đen'!C13</f>
        <v>620.86</v>
      </c>
      <c r="D25" s="69" t="n">
        <v>2</v>
      </c>
      <c r="E25" s="69" t="n">
        <f aca="false">+D25+F25</f>
        <v>2.07</v>
      </c>
      <c r="F25" s="69" t="n">
        <f aca="false">RANDBETWEEN(5,10)/100</f>
        <v>0.07</v>
      </c>
      <c r="G25" s="69" t="n">
        <v>1.41</v>
      </c>
      <c r="H25" s="69" t="n">
        <f aca="false">+G25+I25</f>
        <v>1.5</v>
      </c>
      <c r="I25" s="69" t="n">
        <f aca="false">RANDBETWEEN(5,10)/100</f>
        <v>0.09</v>
      </c>
      <c r="J25" s="69" t="n">
        <v>8.05</v>
      </c>
      <c r="K25" s="69" t="n">
        <f aca="false">+J25+L25</f>
        <v>8.12</v>
      </c>
      <c r="L25" s="69" t="n">
        <f aca="false">RANDBETWEEN(5,10)/100</f>
        <v>0.07</v>
      </c>
      <c r="M25" s="69" t="n">
        <v>8.19</v>
      </c>
      <c r="N25" s="69" t="n">
        <f aca="false">+M25+O25</f>
        <v>8.26</v>
      </c>
      <c r="O25" s="69" t="n">
        <f aca="false">RANDBETWEEN(5,10)/100</f>
        <v>0.07</v>
      </c>
      <c r="P25" s="69" t="n">
        <v>1.41</v>
      </c>
      <c r="Q25" s="69" t="n">
        <f aca="false">+P25+R25</f>
        <v>1.48</v>
      </c>
      <c r="R25" s="69" t="n">
        <f aca="false">RANDBETWEEN(5,10)/100</f>
        <v>0.07</v>
      </c>
      <c r="S25" s="69" t="n">
        <v>2</v>
      </c>
      <c r="T25" s="69" t="n">
        <f aca="false">+S25+U25</f>
        <v>2.1</v>
      </c>
      <c r="U25" s="69" t="n">
        <f aca="false">RANDBETWEEN(5,10)/100</f>
        <v>0.1</v>
      </c>
      <c r="V25" s="88"/>
    </row>
    <row r="26" customFormat="false" ht="15" hidden="false" customHeight="false" outlineLevel="0" collapsed="false">
      <c r="A26" s="86" t="n">
        <f aca="false">+'1. PL đường đen'!A14</f>
        <v>3</v>
      </c>
      <c r="B26" s="86" t="str">
        <f aca="false">+'1. PL đường đen'!B14</f>
        <v>32</v>
      </c>
      <c r="C26" s="87" t="n">
        <f aca="false">+'1. PL đường đen'!C14</f>
        <v>632.61</v>
      </c>
      <c r="D26" s="69" t="n">
        <v>2</v>
      </c>
      <c r="E26" s="69" t="n">
        <f aca="false">+D26+F26</f>
        <v>2.06</v>
      </c>
      <c r="F26" s="69" t="n">
        <f aca="false">RANDBETWEEN(5,10)/100</f>
        <v>0.06</v>
      </c>
      <c r="G26" s="69" t="n">
        <v>1.41</v>
      </c>
      <c r="H26" s="69" t="n">
        <f aca="false">+G26+I26</f>
        <v>1.46</v>
      </c>
      <c r="I26" s="69" t="n">
        <f aca="false">RANDBETWEEN(5,10)/100</f>
        <v>0.05</v>
      </c>
      <c r="J26" s="69" t="n">
        <v>8.78</v>
      </c>
      <c r="K26" s="69" t="n">
        <f aca="false">+J26+L26</f>
        <v>8.83</v>
      </c>
      <c r="L26" s="69" t="n">
        <f aca="false">RANDBETWEEN(5,10)/100</f>
        <v>0.05</v>
      </c>
      <c r="M26" s="69" t="n">
        <v>9.06</v>
      </c>
      <c r="N26" s="69" t="n">
        <f aca="false">+M26+O26</f>
        <v>9.13</v>
      </c>
      <c r="O26" s="69" t="n">
        <f aca="false">RANDBETWEEN(5,10)/100</f>
        <v>0.07</v>
      </c>
      <c r="P26" s="69" t="n">
        <v>1.35</v>
      </c>
      <c r="Q26" s="69" t="n">
        <f aca="false">+P26+R26</f>
        <v>1.45</v>
      </c>
      <c r="R26" s="69" t="n">
        <f aca="false">RANDBETWEEN(5,10)/100</f>
        <v>0.1</v>
      </c>
      <c r="S26" s="69" t="n">
        <v>2</v>
      </c>
      <c r="T26" s="69" t="n">
        <f aca="false">+S26+U26</f>
        <v>2.05</v>
      </c>
      <c r="U26" s="69" t="n">
        <f aca="false">RANDBETWEEN(5,10)/100</f>
        <v>0.05</v>
      </c>
      <c r="V26" s="88"/>
    </row>
    <row r="27" customFormat="false" ht="15" hidden="false" customHeight="false" outlineLevel="0" collapsed="false">
      <c r="A27" s="86" t="n">
        <f aca="false">+'1. PL đường đen'!A15</f>
        <v>4</v>
      </c>
      <c r="B27" s="86" t="str">
        <f aca="false">+'1. PL đường đen'!B15</f>
        <v>33</v>
      </c>
      <c r="C27" s="87" t="n">
        <f aca="false">+'1. PL đường đen'!C15</f>
        <v>652.61</v>
      </c>
      <c r="D27" s="69" t="n">
        <v>2</v>
      </c>
      <c r="E27" s="69" t="n">
        <f aca="false">+D27+F27</f>
        <v>2.08</v>
      </c>
      <c r="F27" s="69" t="n">
        <f aca="false">RANDBETWEEN(5,10)/100</f>
        <v>0.08</v>
      </c>
      <c r="G27" s="69" t="n">
        <v>1.41</v>
      </c>
      <c r="H27" s="69" t="n">
        <f aca="false">+G27+I27</f>
        <v>1.48</v>
      </c>
      <c r="I27" s="69" t="n">
        <f aca="false">RANDBETWEEN(5,10)/100</f>
        <v>0.07</v>
      </c>
      <c r="J27" s="69" t="n">
        <v>9.48</v>
      </c>
      <c r="K27" s="69" t="n">
        <f aca="false">+J27+L27</f>
        <v>9.54</v>
      </c>
      <c r="L27" s="69" t="n">
        <f aca="false">RANDBETWEEN(5,10)/100</f>
        <v>0.06</v>
      </c>
      <c r="M27" s="69" t="n">
        <v>9.47</v>
      </c>
      <c r="N27" s="69" t="n">
        <f aca="false">+M27+O27</f>
        <v>9.56</v>
      </c>
      <c r="O27" s="69" t="n">
        <f aca="false">RANDBETWEEN(5,10)/100</f>
        <v>0.09</v>
      </c>
      <c r="P27" s="69" t="n">
        <v>1.41</v>
      </c>
      <c r="Q27" s="69" t="n">
        <f aca="false">+P27+R27</f>
        <v>1.51</v>
      </c>
      <c r="R27" s="69" t="n">
        <f aca="false">RANDBETWEEN(5,10)/100</f>
        <v>0.1</v>
      </c>
      <c r="S27" s="69" t="n">
        <v>2</v>
      </c>
      <c r="T27" s="69" t="n">
        <f aca="false">+S27+U27</f>
        <v>2.05</v>
      </c>
      <c r="U27" s="69" t="n">
        <f aca="false">RANDBETWEEN(5,10)/100</f>
        <v>0.05</v>
      </c>
      <c r="V27" s="88"/>
    </row>
    <row r="28" customFormat="false" ht="15" hidden="false" customHeight="false" outlineLevel="0" collapsed="false">
      <c r="A28" s="86" t="n">
        <f aca="false">+'1. PL đường đen'!A16</f>
        <v>5</v>
      </c>
      <c r="B28" s="86" t="str">
        <f aca="false">+'1. PL đường đen'!B16</f>
        <v>34</v>
      </c>
      <c r="C28" s="87" t="n">
        <f aca="false">+'1. PL đường đen'!C16</f>
        <v>672.61</v>
      </c>
      <c r="D28" s="69" t="n">
        <v>2</v>
      </c>
      <c r="E28" s="69" t="n">
        <f aca="false">+D28+F28</f>
        <v>2.06</v>
      </c>
      <c r="F28" s="69" t="n">
        <f aca="false">RANDBETWEEN(5,10)/100</f>
        <v>0.06</v>
      </c>
      <c r="G28" s="69" t="n">
        <v>1.41</v>
      </c>
      <c r="H28" s="69" t="n">
        <f aca="false">+G28+I28</f>
        <v>1.5</v>
      </c>
      <c r="I28" s="69" t="n">
        <f aca="false">RANDBETWEEN(5,10)/100</f>
        <v>0.09</v>
      </c>
      <c r="J28" s="69" t="n">
        <v>8.63</v>
      </c>
      <c r="K28" s="69" t="n">
        <f aca="false">+J28+L28</f>
        <v>8.69</v>
      </c>
      <c r="L28" s="69" t="n">
        <f aca="false">RANDBETWEEN(5,10)/100</f>
        <v>0.06</v>
      </c>
      <c r="M28" s="69" t="n">
        <v>8.6</v>
      </c>
      <c r="N28" s="69" t="n">
        <f aca="false">+M28+O28</f>
        <v>8.65</v>
      </c>
      <c r="O28" s="69" t="n">
        <f aca="false">RANDBETWEEN(5,10)/100</f>
        <v>0.05</v>
      </c>
      <c r="P28" s="69" t="n">
        <v>1.51</v>
      </c>
      <c r="Q28" s="69" t="n">
        <f aca="false">+P28+R28</f>
        <v>1.56</v>
      </c>
      <c r="R28" s="69" t="n">
        <f aca="false">RANDBETWEEN(5,10)/100</f>
        <v>0.05</v>
      </c>
      <c r="S28" s="69" t="n">
        <v>2</v>
      </c>
      <c r="T28" s="69" t="n">
        <f aca="false">+S28+U28</f>
        <v>2.06</v>
      </c>
      <c r="U28" s="69" t="n">
        <f aca="false">RANDBETWEEN(5,10)/100</f>
        <v>0.06</v>
      </c>
      <c r="V28" s="88"/>
    </row>
    <row r="29" customFormat="false" ht="15" hidden="false" customHeight="false" outlineLevel="0" collapsed="false">
      <c r="A29" s="86" t="n">
        <f aca="false">+'1. PL đường đen'!A17</f>
        <v>6</v>
      </c>
      <c r="B29" s="86" t="str">
        <f aca="false">+'1. PL đường đen'!B17</f>
        <v>35</v>
      </c>
      <c r="C29" s="87" t="n">
        <f aca="false">+'1. PL đường đen'!C17</f>
        <v>692.61</v>
      </c>
      <c r="D29" s="69" t="n">
        <v>2</v>
      </c>
      <c r="E29" s="69" t="n">
        <f aca="false">+D29+F29</f>
        <v>2.06</v>
      </c>
      <c r="F29" s="69" t="n">
        <f aca="false">RANDBETWEEN(5,10)/100</f>
        <v>0.06</v>
      </c>
      <c r="G29" s="69" t="n">
        <v>1.41</v>
      </c>
      <c r="H29" s="69" t="n">
        <f aca="false">+G29+I29</f>
        <v>1.5</v>
      </c>
      <c r="I29" s="69" t="n">
        <f aca="false">RANDBETWEEN(5,10)/100</f>
        <v>0.09</v>
      </c>
      <c r="J29" s="69" t="n">
        <v>9.54</v>
      </c>
      <c r="K29" s="69" t="n">
        <f aca="false">+J29+L29</f>
        <v>9.61</v>
      </c>
      <c r="L29" s="69" t="n">
        <f aca="false">RANDBETWEEN(5,10)/100</f>
        <v>0.07</v>
      </c>
      <c r="M29" s="69" t="n">
        <v>9.49</v>
      </c>
      <c r="N29" s="69" t="n">
        <f aca="false">+M29+O29</f>
        <v>9.56</v>
      </c>
      <c r="O29" s="69" t="n">
        <f aca="false">RANDBETWEEN(5,10)/100</f>
        <v>0.07</v>
      </c>
      <c r="P29" s="69" t="n">
        <v>1.41</v>
      </c>
      <c r="Q29" s="69" t="n">
        <f aca="false">+P29+R29</f>
        <v>1.49</v>
      </c>
      <c r="R29" s="69" t="n">
        <f aca="false">RANDBETWEEN(5,10)/100</f>
        <v>0.08</v>
      </c>
      <c r="S29" s="69" t="n">
        <v>2</v>
      </c>
      <c r="T29" s="69" t="n">
        <f aca="false">+S29+U29</f>
        <v>2.08</v>
      </c>
      <c r="U29" s="69" t="n">
        <f aca="false">RANDBETWEEN(5,10)/100</f>
        <v>0.08</v>
      </c>
      <c r="V29" s="88"/>
    </row>
    <row r="30" customFormat="false" ht="15" hidden="false" customHeight="false" outlineLevel="0" collapsed="false">
      <c r="A30" s="86" t="n">
        <f aca="false">+'1. PL đường đen'!A18</f>
        <v>7</v>
      </c>
      <c r="B30" s="86" t="str">
        <f aca="false">+'1. PL đường đen'!B18</f>
        <v>36</v>
      </c>
      <c r="C30" s="87" t="n">
        <f aca="false">+'1. PL đường đen'!C18</f>
        <v>712.61</v>
      </c>
      <c r="D30" s="69" t="n">
        <v>2</v>
      </c>
      <c r="E30" s="69" t="n">
        <f aca="false">+D30+F30</f>
        <v>2.09</v>
      </c>
      <c r="F30" s="69" t="n">
        <f aca="false">RANDBETWEEN(5,10)/100</f>
        <v>0.09</v>
      </c>
      <c r="G30" s="69" t="n">
        <v>1.41</v>
      </c>
      <c r="H30" s="69" t="n">
        <f aca="false">+G30+I30</f>
        <v>1.46</v>
      </c>
      <c r="I30" s="69" t="n">
        <f aca="false">RANDBETWEEN(5,10)/100</f>
        <v>0.05</v>
      </c>
      <c r="J30" s="69" t="n">
        <v>5.25</v>
      </c>
      <c r="K30" s="69" t="n">
        <f aca="false">+J30+L30</f>
        <v>5.31</v>
      </c>
      <c r="L30" s="69" t="n">
        <f aca="false">RANDBETWEEN(5,10)/100</f>
        <v>0.06</v>
      </c>
      <c r="M30" s="69" t="n">
        <v>8.95</v>
      </c>
      <c r="N30" s="69" t="n">
        <f aca="false">+M30+O30</f>
        <v>9.02</v>
      </c>
      <c r="O30" s="69" t="n">
        <f aca="false">RANDBETWEEN(5,10)/100</f>
        <v>0.07</v>
      </c>
      <c r="P30" s="69" t="n">
        <v>1.41</v>
      </c>
      <c r="Q30" s="69" t="n">
        <f aca="false">+P30+R30</f>
        <v>1.51</v>
      </c>
      <c r="R30" s="69" t="n">
        <f aca="false">RANDBETWEEN(5,10)/100</f>
        <v>0.1</v>
      </c>
      <c r="S30" s="69" t="n">
        <v>2</v>
      </c>
      <c r="T30" s="69" t="n">
        <f aca="false">+S30+U30</f>
        <v>2.07</v>
      </c>
      <c r="U30" s="69" t="n">
        <f aca="false">RANDBETWEEN(5,10)/100</f>
        <v>0.07</v>
      </c>
      <c r="V30" s="88"/>
    </row>
    <row r="31" customFormat="false" ht="15" hidden="false" customHeight="false" outlineLevel="0" collapsed="false">
      <c r="A31" s="86" t="n">
        <f aca="false">+'1. PL đường đen'!A19</f>
        <v>8</v>
      </c>
      <c r="B31" s="86" t="str">
        <f aca="false">+'1. PL đường đen'!B19</f>
        <v>37</v>
      </c>
      <c r="C31" s="87" t="n">
        <f aca="false">+'1. PL đường đen'!C19</f>
        <v>724.11</v>
      </c>
      <c r="D31" s="69" t="n">
        <v>2</v>
      </c>
      <c r="E31" s="69" t="n">
        <f aca="false">+D31+F31</f>
        <v>2.1</v>
      </c>
      <c r="F31" s="69" t="n">
        <f aca="false">RANDBETWEEN(5,10)/100</f>
        <v>0.1</v>
      </c>
      <c r="G31" s="69" t="n">
        <v>1.21</v>
      </c>
      <c r="H31" s="69" t="n">
        <f aca="false">+G31+I31</f>
        <v>1.29</v>
      </c>
      <c r="I31" s="69" t="n">
        <f aca="false">RANDBETWEEN(5,10)/100</f>
        <v>0.08</v>
      </c>
      <c r="J31" s="69" t="n">
        <v>10.25</v>
      </c>
      <c r="K31" s="69" t="n">
        <f aca="false">+J31+L31</f>
        <v>10.31</v>
      </c>
      <c r="L31" s="69" t="n">
        <f aca="false">RANDBETWEEN(5,10)/100</f>
        <v>0.06</v>
      </c>
      <c r="M31" s="69" t="n">
        <v>8.24</v>
      </c>
      <c r="N31" s="69" t="n">
        <f aca="false">+M31+O31</f>
        <v>8.29</v>
      </c>
      <c r="O31" s="69" t="n">
        <f aca="false">RANDBETWEEN(5,10)/100</f>
        <v>0.05</v>
      </c>
      <c r="P31" s="69" t="n">
        <v>1.41</v>
      </c>
      <c r="Q31" s="69" t="n">
        <f aca="false">+P31+R31</f>
        <v>1.5</v>
      </c>
      <c r="R31" s="69" t="n">
        <f aca="false">RANDBETWEEN(5,10)/100</f>
        <v>0.09</v>
      </c>
      <c r="S31" s="69" t="n">
        <v>2</v>
      </c>
      <c r="T31" s="69" t="n">
        <f aca="false">+S31+U31</f>
        <v>2.1</v>
      </c>
      <c r="U31" s="69" t="n">
        <f aca="false">RANDBETWEEN(5,10)/100</f>
        <v>0.1</v>
      </c>
      <c r="V31" s="88"/>
    </row>
    <row r="32" customFormat="false" ht="15" hidden="true" customHeight="false" outlineLevel="0" collapsed="false">
      <c r="A32" s="86"/>
      <c r="B32" s="86"/>
      <c r="C32" s="87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88"/>
    </row>
    <row r="33" customFormat="false" ht="15" hidden="true" customHeight="false" outlineLevel="0" collapsed="false">
      <c r="A33" s="86"/>
      <c r="B33" s="86"/>
      <c r="C33" s="87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88"/>
    </row>
    <row r="34" customFormat="false" ht="15" hidden="true" customHeight="false" outlineLevel="0" collapsed="false">
      <c r="A34" s="86"/>
      <c r="B34" s="86"/>
      <c r="C34" s="87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88"/>
    </row>
    <row r="35" customFormat="false" ht="15" hidden="true" customHeight="false" outlineLevel="0" collapsed="false">
      <c r="A35" s="86"/>
      <c r="B35" s="86"/>
      <c r="C35" s="87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88"/>
    </row>
    <row r="36" customFormat="false" ht="15" hidden="true" customHeight="false" outlineLevel="0" collapsed="false">
      <c r="A36" s="86"/>
      <c r="B36" s="86"/>
      <c r="C36" s="87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88"/>
    </row>
    <row r="37" customFormat="false" ht="15" hidden="true" customHeight="false" outlineLevel="0" collapsed="false">
      <c r="A37" s="86"/>
      <c r="B37" s="86"/>
      <c r="C37" s="87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88"/>
    </row>
    <row r="38" customFormat="false" ht="15" hidden="true" customHeight="false" outlineLevel="0" collapsed="false">
      <c r="A38" s="86"/>
      <c r="B38" s="86"/>
      <c r="C38" s="87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88"/>
    </row>
    <row r="39" customFormat="false" ht="15" hidden="true" customHeight="false" outlineLevel="0" collapsed="false">
      <c r="A39" s="86"/>
      <c r="B39" s="86"/>
      <c r="C39" s="87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88"/>
    </row>
    <row r="40" customFormat="false" ht="15" hidden="true" customHeight="false" outlineLevel="0" collapsed="false">
      <c r="A40" s="86"/>
      <c r="B40" s="86"/>
      <c r="C40" s="87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88"/>
    </row>
    <row r="41" customFormat="false" ht="15" hidden="true" customHeight="false" outlineLevel="0" collapsed="false">
      <c r="A41" s="86"/>
      <c r="B41" s="86"/>
      <c r="C41" s="87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88"/>
    </row>
    <row r="42" customFormat="false" ht="15" hidden="true" customHeight="false" outlineLevel="0" collapsed="false">
      <c r="A42" s="86"/>
      <c r="B42" s="86"/>
      <c r="C42" s="87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88"/>
    </row>
    <row r="43" customFormat="false" ht="15" hidden="true" customHeight="false" outlineLevel="0" collapsed="false">
      <c r="A43" s="86"/>
      <c r="B43" s="86"/>
      <c r="C43" s="87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88"/>
    </row>
    <row r="44" customFormat="false" ht="15" hidden="true" customHeight="false" outlineLevel="0" collapsed="false">
      <c r="A44" s="86"/>
      <c r="B44" s="86"/>
      <c r="C44" s="87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88"/>
    </row>
    <row r="45" customFormat="false" ht="15" hidden="true" customHeight="false" outlineLevel="0" collapsed="false">
      <c r="A45" s="86"/>
      <c r="B45" s="86"/>
      <c r="C45" s="87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88"/>
    </row>
    <row r="46" customFormat="false" ht="15" hidden="true" customHeight="false" outlineLevel="0" collapsed="false">
      <c r="A46" s="86"/>
      <c r="B46" s="86"/>
      <c r="C46" s="87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88"/>
    </row>
    <row r="47" customFormat="false" ht="15" hidden="true" customHeight="false" outlineLevel="0" collapsed="false">
      <c r="A47" s="86"/>
      <c r="B47" s="86"/>
      <c r="C47" s="87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88"/>
    </row>
    <row r="48" customFormat="false" ht="15" hidden="true" customHeight="false" outlineLevel="0" collapsed="false">
      <c r="A48" s="86"/>
      <c r="B48" s="86"/>
      <c r="C48" s="87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88"/>
    </row>
    <row r="49" customFormat="false" ht="15" hidden="true" customHeight="false" outlineLevel="0" collapsed="false">
      <c r="A49" s="86"/>
      <c r="B49" s="86"/>
      <c r="C49" s="87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88"/>
    </row>
    <row r="50" customFormat="false" ht="15" hidden="true" customHeight="false" outlineLevel="0" collapsed="false">
      <c r="A50" s="86"/>
      <c r="B50" s="86"/>
      <c r="C50" s="87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88"/>
    </row>
    <row r="51" customFormat="false" ht="15" hidden="true" customHeight="false" outlineLevel="0" collapsed="false">
      <c r="A51" s="86"/>
      <c r="B51" s="86"/>
      <c r="C51" s="87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88"/>
    </row>
    <row r="52" customFormat="false" ht="15" hidden="true" customHeight="false" outlineLevel="0" collapsed="false">
      <c r="A52" s="86"/>
      <c r="B52" s="86"/>
      <c r="C52" s="87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88"/>
    </row>
    <row r="53" customFormat="false" ht="15" hidden="true" customHeight="false" outlineLevel="0" collapsed="false">
      <c r="A53" s="86"/>
      <c r="B53" s="86"/>
      <c r="C53" s="87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88"/>
    </row>
    <row r="54" customFormat="false" ht="15" hidden="true" customHeight="false" outlineLevel="0" collapsed="false">
      <c r="A54" s="86"/>
      <c r="B54" s="86"/>
      <c r="C54" s="8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88"/>
    </row>
    <row r="55" customFormat="false" ht="15" hidden="true" customHeight="false" outlineLevel="0" collapsed="false">
      <c r="A55" s="86"/>
      <c r="B55" s="86"/>
      <c r="C55" s="87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88"/>
    </row>
    <row r="56" customFormat="false" ht="15" hidden="true" customHeight="false" outlineLevel="0" collapsed="false">
      <c r="A56" s="86"/>
      <c r="B56" s="86"/>
      <c r="C56" s="87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88"/>
    </row>
    <row r="57" customFormat="false" ht="15" hidden="true" customHeight="false" outlineLevel="0" collapsed="false">
      <c r="A57" s="86"/>
      <c r="B57" s="86"/>
      <c r="C57" s="87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88"/>
    </row>
    <row r="58" customFormat="false" ht="15" hidden="true" customHeight="false" outlineLevel="0" collapsed="false">
      <c r="A58" s="86"/>
      <c r="B58" s="86"/>
      <c r="C58" s="87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88"/>
    </row>
    <row r="59" customFormat="false" ht="15" hidden="true" customHeight="false" outlineLevel="0" collapsed="false">
      <c r="A59" s="86"/>
      <c r="B59" s="86"/>
      <c r="C59" s="87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88"/>
    </row>
    <row r="60" customFormat="false" ht="15" hidden="true" customHeight="false" outlineLevel="0" collapsed="false">
      <c r="A60" s="86"/>
      <c r="B60" s="86"/>
      <c r="C60" s="87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88"/>
    </row>
    <row r="61" customFormat="false" ht="15" hidden="true" customHeight="false" outlineLevel="0" collapsed="false">
      <c r="A61" s="86"/>
      <c r="B61" s="86"/>
      <c r="C61" s="87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88"/>
    </row>
    <row r="62" customFormat="false" ht="15" hidden="false" customHeight="false" outlineLevel="0" collapsed="false">
      <c r="A62" s="108"/>
      <c r="B62" s="108"/>
      <c r="C62" s="133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</row>
    <row r="63" customFormat="false" ht="15" hidden="false" customHeight="false" outlineLevel="0" collapsed="false">
      <c r="E63" s="73" t="s">
        <v>88</v>
      </c>
      <c r="F63" s="73"/>
      <c r="G63" s="73"/>
      <c r="H63" s="73"/>
      <c r="K63" s="89"/>
      <c r="L63" s="89"/>
      <c r="M63" s="89"/>
      <c r="N63" s="89"/>
      <c r="O63" s="73" t="s">
        <v>89</v>
      </c>
      <c r="P63" s="73"/>
      <c r="Q63" s="73"/>
      <c r="R63" s="73"/>
      <c r="S63" s="73"/>
      <c r="T63" s="134"/>
      <c r="U63" s="134"/>
      <c r="V63" s="134"/>
    </row>
    <row r="64" customFormat="false" ht="15" hidden="false" customHeight="false" outlineLevel="0" collapsed="false">
      <c r="E64" s="75"/>
      <c r="F64" s="75"/>
      <c r="G64" s="75"/>
      <c r="H64" s="75"/>
      <c r="K64" s="75"/>
      <c r="L64" s="75"/>
      <c r="M64" s="75"/>
      <c r="N64" s="75"/>
      <c r="O64" s="75"/>
      <c r="P64" s="75"/>
      <c r="Q64" s="75"/>
      <c r="R64" s="75"/>
      <c r="S64" s="75"/>
      <c r="T64" s="134"/>
      <c r="U64" s="134"/>
      <c r="V64" s="134"/>
    </row>
    <row r="65" customFormat="false" ht="15" hidden="false" customHeight="false" outlineLevel="0" collapsed="false">
      <c r="E65" s="75"/>
      <c r="F65" s="75"/>
      <c r="G65" s="75"/>
      <c r="H65" s="75"/>
      <c r="K65" s="75"/>
      <c r="L65" s="75"/>
      <c r="M65" s="75"/>
      <c r="N65" s="75"/>
      <c r="O65" s="75"/>
      <c r="P65" s="75"/>
      <c r="Q65" s="75"/>
      <c r="R65" s="75"/>
      <c r="S65" s="75"/>
    </row>
    <row r="66" customFormat="false" ht="15" hidden="false" customHeight="false" outlineLevel="0" collapsed="false">
      <c r="E66" s="75"/>
      <c r="F66" s="75"/>
      <c r="G66" s="75"/>
      <c r="H66" s="75"/>
      <c r="K66" s="75"/>
      <c r="L66" s="75"/>
      <c r="M66" s="75"/>
      <c r="N66" s="75"/>
      <c r="O66" s="75"/>
      <c r="P66" s="75"/>
      <c r="Q66" s="75"/>
      <c r="R66" s="75"/>
      <c r="S66" s="75"/>
    </row>
    <row r="67" customFormat="false" ht="15" hidden="false" customHeight="false" outlineLevel="0" collapsed="false">
      <c r="E67" s="75"/>
      <c r="F67" s="75"/>
      <c r="G67" s="75"/>
      <c r="H67" s="75"/>
      <c r="K67" s="75"/>
      <c r="L67" s="75"/>
      <c r="M67" s="75"/>
      <c r="N67" s="75"/>
      <c r="O67" s="75"/>
      <c r="P67" s="75"/>
      <c r="Q67" s="75"/>
      <c r="R67" s="75"/>
      <c r="S67" s="75"/>
    </row>
    <row r="68" customFormat="false" ht="15" hidden="false" customHeight="false" outlineLevel="0" collapsed="false">
      <c r="E68" s="73" t="s">
        <v>29</v>
      </c>
      <c r="F68" s="73"/>
      <c r="G68" s="73"/>
      <c r="H68" s="73"/>
      <c r="K68" s="89"/>
      <c r="L68" s="89"/>
      <c r="M68" s="89"/>
      <c r="N68" s="89"/>
      <c r="O68" s="73" t="s">
        <v>30</v>
      </c>
      <c r="P68" s="73"/>
      <c r="Q68" s="73"/>
      <c r="R68" s="73"/>
      <c r="S68" s="73"/>
    </row>
  </sheetData>
  <mergeCells count="16">
    <mergeCell ref="A1:V1"/>
    <mergeCell ref="A2:V2"/>
    <mergeCell ref="A20:A21"/>
    <mergeCell ref="B20:B21"/>
    <mergeCell ref="C20:C21"/>
    <mergeCell ref="D20:F20"/>
    <mergeCell ref="G20:I20"/>
    <mergeCell ref="J20:L20"/>
    <mergeCell ref="M20:O20"/>
    <mergeCell ref="P20:R20"/>
    <mergeCell ref="S20:U20"/>
    <mergeCell ref="V20:V21"/>
    <mergeCell ref="E63:H63"/>
    <mergeCell ref="O63:S63"/>
    <mergeCell ref="E68:H68"/>
    <mergeCell ref="O68:S68"/>
  </mergeCells>
  <printOptions headings="false" gridLines="false" gridLinesSet="true" horizontalCentered="false" verticalCentered="false"/>
  <pageMargins left="0.170138888888889" right="0.157638888888889" top="0.690277777777778" bottom="0.570138888888889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17" activeCellId="0" sqref="P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90" width="6.71"/>
    <col collapsed="false" customWidth="true" hidden="false" outlineLevel="0" max="2" min="2" style="90" width="12.29"/>
    <col collapsed="false" customWidth="true" hidden="false" outlineLevel="0" max="3" min="3" style="90" width="19.57"/>
    <col collapsed="false" customWidth="true" hidden="false" outlineLevel="0" max="4" min="4" style="91" width="12.71"/>
    <col collapsed="false" customWidth="true" hidden="true" outlineLevel="0" max="6" min="5" style="91" width="8.42"/>
    <col collapsed="false" customWidth="true" hidden="true" outlineLevel="0" max="7" min="7" style="91" width="11"/>
    <col collapsed="false" customWidth="true" hidden="true" outlineLevel="0" max="10" min="8" style="91" width="8.42"/>
    <col collapsed="false" customWidth="true" hidden="false" outlineLevel="0" max="11" min="11" style="91" width="15.42"/>
    <col collapsed="false" customWidth="true" hidden="false" outlineLevel="0" max="12" min="12" style="91" width="15.29"/>
    <col collapsed="false" customWidth="true" hidden="false" outlineLevel="0" max="13" min="13" style="91" width="10.29"/>
    <col collapsed="false" customWidth="false" hidden="false" outlineLevel="0" max="14" min="14" style="90" width="9.29"/>
    <col collapsed="false" customWidth="true" hidden="false" outlineLevel="0" max="15" min="15" style="90" width="11.85"/>
    <col collapsed="false" customWidth="true" hidden="false" outlineLevel="0" max="16" min="16" style="90" width="14.42"/>
    <col collapsed="false" customWidth="false" hidden="false" outlineLevel="0" max="16384" min="17" style="90" width="9.29"/>
  </cols>
  <sheetData>
    <row r="1" s="93" customFormat="true" ht="16.5" hidden="false" customHeight="true" outlineLevel="0" collapsed="false">
      <c r="A1" s="135" t="s">
        <v>103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</row>
    <row r="2" s="93" customFormat="true" ht="16.5" hidden="false" customHeight="true" outlineLevel="0" collapsed="false">
      <c r="A2" s="94" t="str">
        <f aca="false">"Kèm theo BBNT số: "&amp;VLOOKUP(O2,'Tuyến XD8'!$A$2:$G$60,7,0)&amp;VLOOKUP(O2,'Tuyến XD8'!$A$2:$G$60,4,0)</f>
        <v>Kèm theo BBNT số: 86.NĐXD8/CVXD ngày 28 tháng 09 năm 2026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O2" s="93" t="n">
        <v>86</v>
      </c>
    </row>
    <row r="3" s="97" customFormat="true" ht="37.5" hidden="false" customHeight="true" outlineLevel="0" collapsed="false">
      <c r="A3" s="95" t="str">
        <f aca="false">'2. Cao độ đào nền'!A3</f>
        <v>Dự án: Xây dựng HTKT Khu tái định cư phục vụ di dân xã Hải Hà, thị xã Nghi Sơn, tỉnh Thanh Hóa.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</row>
    <row r="4" s="97" customFormat="true" ht="37.5" hidden="false" customHeight="true" outlineLevel="0" collapsed="false">
      <c r="A4" s="95" t="str">
        <f aca="false">'2. Cao độ đào nền'!A4</f>
        <v>Gói thầu số 12: Xây dựng HTKT khu vực Hải Bình và Xuân Lâm (bao gồm cả bảo hiểm xây dựng công trình)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96"/>
      <c r="CL4" s="96"/>
      <c r="CM4" s="96"/>
      <c r="CN4" s="96"/>
      <c r="CO4" s="96"/>
      <c r="CP4" s="96"/>
      <c r="CQ4" s="96"/>
      <c r="CR4" s="96"/>
      <c r="CS4" s="96"/>
      <c r="CT4" s="96"/>
      <c r="CU4" s="96"/>
      <c r="CV4" s="96"/>
      <c r="CW4" s="96"/>
      <c r="CX4" s="96"/>
      <c r="CY4" s="96"/>
      <c r="CZ4" s="96"/>
      <c r="DA4" s="96"/>
      <c r="DB4" s="96"/>
      <c r="DC4" s="96"/>
      <c r="DD4" s="96"/>
      <c r="DE4" s="96"/>
      <c r="DF4" s="96"/>
      <c r="DG4" s="96"/>
      <c r="DH4" s="96"/>
      <c r="DI4" s="96"/>
      <c r="DJ4" s="96"/>
      <c r="DK4" s="96"/>
      <c r="DL4" s="96"/>
      <c r="DM4" s="96"/>
      <c r="DN4" s="96"/>
      <c r="DO4" s="96"/>
      <c r="DP4" s="96"/>
      <c r="DQ4" s="96"/>
      <c r="DR4" s="96"/>
      <c r="DS4" s="96"/>
      <c r="DT4" s="96"/>
      <c r="DU4" s="96"/>
      <c r="DV4" s="96"/>
      <c r="DW4" s="96"/>
      <c r="DX4" s="96"/>
      <c r="DY4" s="96"/>
      <c r="DZ4" s="96"/>
      <c r="EA4" s="96"/>
      <c r="EB4" s="96"/>
      <c r="EC4" s="96"/>
      <c r="ED4" s="96"/>
      <c r="EE4" s="96"/>
      <c r="EF4" s="96"/>
      <c r="EG4" s="96"/>
      <c r="EH4" s="96"/>
      <c r="EI4" s="96"/>
      <c r="EJ4" s="96"/>
      <c r="EK4" s="96"/>
      <c r="EL4" s="96"/>
      <c r="EM4" s="96"/>
      <c r="EN4" s="96"/>
      <c r="EO4" s="96"/>
      <c r="EP4" s="96"/>
      <c r="EQ4" s="96"/>
      <c r="ER4" s="96"/>
      <c r="ES4" s="96"/>
      <c r="ET4" s="96"/>
      <c r="EU4" s="96"/>
      <c r="EV4" s="96"/>
      <c r="EW4" s="96"/>
      <c r="EX4" s="96"/>
      <c r="EY4" s="96"/>
      <c r="EZ4" s="96"/>
      <c r="FA4" s="96"/>
      <c r="FB4" s="96"/>
      <c r="FC4" s="96"/>
      <c r="FD4" s="96"/>
      <c r="FE4" s="96"/>
      <c r="FF4" s="96"/>
      <c r="FG4" s="96"/>
      <c r="FH4" s="96"/>
      <c r="FI4" s="96"/>
      <c r="FJ4" s="96"/>
      <c r="FK4" s="96"/>
      <c r="FL4" s="96"/>
      <c r="FM4" s="96"/>
      <c r="FN4" s="96"/>
      <c r="FO4" s="96"/>
      <c r="FP4" s="96"/>
      <c r="FQ4" s="96"/>
      <c r="FR4" s="96"/>
      <c r="FS4" s="96"/>
      <c r="FT4" s="96"/>
      <c r="FU4" s="96"/>
      <c r="FV4" s="96"/>
      <c r="FW4" s="96"/>
      <c r="FX4" s="96"/>
      <c r="FY4" s="96"/>
      <c r="FZ4" s="96"/>
      <c r="GA4" s="96"/>
      <c r="GB4" s="96"/>
      <c r="GC4" s="96"/>
      <c r="GD4" s="96"/>
      <c r="GE4" s="96"/>
      <c r="GF4" s="96"/>
      <c r="GG4" s="96"/>
      <c r="GH4" s="96"/>
      <c r="GI4" s="96"/>
      <c r="GJ4" s="96"/>
      <c r="GK4" s="96"/>
      <c r="GL4" s="96"/>
      <c r="GM4" s="96"/>
      <c r="GN4" s="96"/>
      <c r="GO4" s="96"/>
      <c r="GP4" s="96"/>
      <c r="GQ4" s="96"/>
      <c r="GR4" s="96"/>
      <c r="GS4" s="96"/>
      <c r="GT4" s="96"/>
      <c r="GU4" s="96"/>
      <c r="GV4" s="96"/>
      <c r="GW4" s="96"/>
      <c r="GX4" s="96"/>
      <c r="GY4" s="96"/>
      <c r="GZ4" s="96"/>
      <c r="HA4" s="96"/>
      <c r="HB4" s="96"/>
      <c r="HC4" s="96"/>
      <c r="HD4" s="96"/>
      <c r="HE4" s="96"/>
      <c r="HF4" s="96"/>
      <c r="HG4" s="96"/>
    </row>
    <row r="5" s="97" customFormat="true" ht="16.5" hidden="false" customHeight="true" outlineLevel="0" collapsed="false">
      <c r="A5" s="95" t="s">
        <v>64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  <c r="CJ5" s="96"/>
      <c r="CK5" s="96"/>
      <c r="CL5" s="96"/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  <c r="CX5" s="96"/>
      <c r="CY5" s="96"/>
      <c r="CZ5" s="96"/>
      <c r="DA5" s="96"/>
      <c r="DB5" s="96"/>
      <c r="DC5" s="96"/>
      <c r="DD5" s="96"/>
      <c r="DE5" s="96"/>
      <c r="DF5" s="96"/>
      <c r="DG5" s="96"/>
      <c r="DH5" s="96"/>
      <c r="DI5" s="96"/>
      <c r="DJ5" s="96"/>
      <c r="DK5" s="96"/>
      <c r="DL5" s="96"/>
      <c r="DM5" s="96"/>
      <c r="DN5" s="96"/>
      <c r="DO5" s="96"/>
      <c r="DP5" s="96"/>
      <c r="DQ5" s="96"/>
      <c r="DR5" s="96"/>
      <c r="DS5" s="96"/>
      <c r="DT5" s="96"/>
      <c r="DU5" s="96"/>
      <c r="DV5" s="96"/>
      <c r="DW5" s="96"/>
      <c r="DX5" s="96"/>
      <c r="DY5" s="96"/>
      <c r="DZ5" s="96"/>
      <c r="EA5" s="96"/>
      <c r="EB5" s="96"/>
      <c r="EC5" s="96"/>
      <c r="ED5" s="96"/>
      <c r="EE5" s="96"/>
      <c r="EF5" s="96"/>
      <c r="EG5" s="96"/>
      <c r="EH5" s="96"/>
      <c r="EI5" s="96"/>
      <c r="EJ5" s="96"/>
      <c r="EK5" s="96"/>
      <c r="EL5" s="96"/>
      <c r="EM5" s="96"/>
      <c r="EN5" s="96"/>
      <c r="EO5" s="96"/>
      <c r="EP5" s="96"/>
      <c r="EQ5" s="96"/>
      <c r="ER5" s="96"/>
      <c r="ES5" s="96"/>
      <c r="ET5" s="96"/>
      <c r="EU5" s="96"/>
      <c r="EV5" s="96"/>
      <c r="EW5" s="96"/>
      <c r="EX5" s="96"/>
      <c r="EY5" s="96"/>
      <c r="EZ5" s="96"/>
      <c r="FA5" s="96"/>
      <c r="FB5" s="96"/>
      <c r="FC5" s="96"/>
      <c r="FD5" s="96"/>
      <c r="FE5" s="96"/>
      <c r="FF5" s="96"/>
      <c r="FG5" s="96"/>
      <c r="FH5" s="96"/>
      <c r="FI5" s="96"/>
      <c r="FJ5" s="96"/>
      <c r="FK5" s="96"/>
      <c r="FL5" s="96"/>
      <c r="FM5" s="96"/>
      <c r="FN5" s="96"/>
      <c r="FO5" s="96"/>
      <c r="FP5" s="96"/>
      <c r="FQ5" s="96"/>
      <c r="FR5" s="96"/>
      <c r="FS5" s="96"/>
      <c r="FT5" s="96"/>
      <c r="FU5" s="96"/>
      <c r="FV5" s="96"/>
      <c r="FW5" s="96"/>
      <c r="FX5" s="96"/>
      <c r="FY5" s="96"/>
      <c r="FZ5" s="96"/>
      <c r="GA5" s="96"/>
      <c r="GB5" s="96"/>
      <c r="GC5" s="96"/>
      <c r="GD5" s="96"/>
      <c r="GE5" s="96"/>
      <c r="GF5" s="96"/>
      <c r="GG5" s="96"/>
      <c r="GH5" s="96"/>
      <c r="GI5" s="96"/>
      <c r="GJ5" s="96"/>
      <c r="GK5" s="96"/>
      <c r="GL5" s="96"/>
      <c r="GM5" s="96"/>
      <c r="GN5" s="96"/>
      <c r="GO5" s="96"/>
      <c r="GP5" s="96"/>
      <c r="GQ5" s="96"/>
      <c r="GR5" s="96"/>
      <c r="GS5" s="96"/>
      <c r="GT5" s="96"/>
      <c r="GU5" s="96"/>
      <c r="GV5" s="96"/>
      <c r="GW5" s="96"/>
      <c r="GX5" s="96"/>
      <c r="GY5" s="96"/>
      <c r="GZ5" s="96"/>
      <c r="HA5" s="96"/>
      <c r="HB5" s="96"/>
      <c r="HC5" s="96"/>
      <c r="HD5" s="96"/>
      <c r="HE5" s="96"/>
      <c r="HF5" s="96"/>
      <c r="HG5" s="96"/>
    </row>
    <row r="6" s="97" customFormat="true" ht="16.5" hidden="false" customHeight="true" outlineLevel="0" collapsed="false">
      <c r="A6" s="95" t="str">
        <f aca="false">'2. Cao độ đào nền'!A6</f>
        <v>Hạng mục:  Nền đường tuyến XD8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96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  <c r="DS6" s="96"/>
      <c r="DT6" s="96"/>
      <c r="DU6" s="96"/>
      <c r="DV6" s="96"/>
      <c r="DW6" s="96"/>
      <c r="DX6" s="96"/>
      <c r="DY6" s="96"/>
      <c r="DZ6" s="96"/>
      <c r="EA6" s="96"/>
      <c r="EB6" s="96"/>
      <c r="EC6" s="96"/>
      <c r="ED6" s="96"/>
      <c r="EE6" s="96"/>
      <c r="EF6" s="96"/>
      <c r="EG6" s="96"/>
      <c r="EH6" s="96"/>
      <c r="EI6" s="96"/>
      <c r="EJ6" s="96"/>
      <c r="EK6" s="96"/>
      <c r="EL6" s="96"/>
      <c r="EM6" s="96"/>
      <c r="EN6" s="96"/>
      <c r="EO6" s="96"/>
      <c r="EP6" s="96"/>
      <c r="EQ6" s="96"/>
      <c r="ER6" s="96"/>
      <c r="ES6" s="96"/>
      <c r="ET6" s="96"/>
      <c r="EU6" s="96"/>
      <c r="EV6" s="96"/>
      <c r="EW6" s="96"/>
      <c r="EX6" s="96"/>
      <c r="EY6" s="96"/>
      <c r="EZ6" s="96"/>
      <c r="FA6" s="96"/>
      <c r="FB6" s="96"/>
      <c r="FC6" s="96"/>
      <c r="FD6" s="96"/>
      <c r="FE6" s="96"/>
      <c r="FF6" s="96"/>
      <c r="FG6" s="96"/>
      <c r="FH6" s="96"/>
      <c r="FI6" s="96"/>
      <c r="FJ6" s="96"/>
      <c r="FK6" s="96"/>
      <c r="FL6" s="96"/>
      <c r="FM6" s="96"/>
      <c r="FN6" s="96"/>
      <c r="FO6" s="96"/>
      <c r="FP6" s="96"/>
      <c r="FQ6" s="96"/>
      <c r="FR6" s="96"/>
      <c r="FS6" s="96"/>
      <c r="FT6" s="96"/>
      <c r="FU6" s="96"/>
      <c r="FV6" s="96"/>
      <c r="FW6" s="96"/>
      <c r="FX6" s="96"/>
      <c r="FY6" s="96"/>
      <c r="FZ6" s="96"/>
      <c r="GA6" s="96"/>
      <c r="GB6" s="96"/>
      <c r="GC6" s="96"/>
      <c r="GD6" s="96"/>
      <c r="GE6" s="96"/>
      <c r="GF6" s="96"/>
      <c r="GG6" s="96"/>
      <c r="GH6" s="96"/>
      <c r="GI6" s="96"/>
      <c r="GJ6" s="96"/>
      <c r="GK6" s="96"/>
      <c r="GL6" s="96"/>
      <c r="GM6" s="96"/>
      <c r="GN6" s="96"/>
      <c r="GO6" s="96"/>
      <c r="GP6" s="96"/>
      <c r="GQ6" s="96"/>
      <c r="GR6" s="96"/>
      <c r="GS6" s="96"/>
      <c r="GT6" s="96"/>
      <c r="GU6" s="96"/>
      <c r="GV6" s="96"/>
      <c r="GW6" s="96"/>
      <c r="GX6" s="96"/>
      <c r="GY6" s="96"/>
      <c r="GZ6" s="96"/>
      <c r="HA6" s="96"/>
      <c r="HB6" s="96"/>
      <c r="HC6" s="96"/>
      <c r="HD6" s="96"/>
      <c r="HE6" s="96"/>
      <c r="HF6" s="96"/>
      <c r="HG6" s="96"/>
    </row>
    <row r="7" s="97" customFormat="true" ht="31.5" hidden="false" customHeight="true" outlineLevel="0" collapsed="false">
      <c r="A7" s="98" t="s">
        <v>66</v>
      </c>
      <c r="B7" s="99"/>
      <c r="D7" s="100" t="str">
        <f aca="false">VLOOKUP(O2,'Tuyến XD8'!$A$2:$B$60,2,0)</f>
        <v>Rải vải địa kỹ thuật đoạn từ Km0+609,11 - Km0+724,11</v>
      </c>
      <c r="E7" s="100"/>
      <c r="F7" s="100"/>
      <c r="G7" s="100"/>
      <c r="H7" s="100"/>
      <c r="I7" s="100"/>
      <c r="J7" s="100"/>
      <c r="K7" s="100"/>
      <c r="L7" s="100"/>
      <c r="M7" s="100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6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96"/>
      <c r="DO7" s="96"/>
      <c r="DP7" s="96"/>
      <c r="DQ7" s="96"/>
      <c r="DR7" s="96"/>
      <c r="DS7" s="96"/>
      <c r="DT7" s="96"/>
      <c r="DU7" s="96"/>
      <c r="DV7" s="96"/>
      <c r="DW7" s="96"/>
      <c r="DX7" s="96"/>
      <c r="DY7" s="96"/>
      <c r="DZ7" s="96"/>
      <c r="EA7" s="96"/>
      <c r="EB7" s="96"/>
      <c r="EC7" s="96"/>
      <c r="ED7" s="96"/>
      <c r="EE7" s="96"/>
      <c r="EF7" s="96"/>
      <c r="EG7" s="96"/>
      <c r="EH7" s="96"/>
      <c r="EI7" s="96"/>
      <c r="EJ7" s="96"/>
      <c r="EK7" s="96"/>
      <c r="EL7" s="96"/>
      <c r="EM7" s="96"/>
      <c r="EN7" s="96"/>
      <c r="EO7" s="96"/>
      <c r="EP7" s="96"/>
      <c r="EQ7" s="96"/>
      <c r="ER7" s="96"/>
      <c r="ES7" s="96"/>
      <c r="ET7" s="96"/>
      <c r="EU7" s="96"/>
      <c r="EV7" s="96"/>
      <c r="EW7" s="96"/>
      <c r="EX7" s="96"/>
      <c r="EY7" s="96"/>
      <c r="EZ7" s="96"/>
      <c r="FA7" s="96"/>
      <c r="FB7" s="96"/>
      <c r="FC7" s="96"/>
      <c r="FD7" s="96"/>
      <c r="FE7" s="96"/>
      <c r="FF7" s="96"/>
      <c r="FG7" s="96"/>
      <c r="FH7" s="96"/>
      <c r="FI7" s="96"/>
      <c r="FJ7" s="96"/>
      <c r="FK7" s="96"/>
      <c r="FL7" s="96"/>
      <c r="FM7" s="96"/>
      <c r="FN7" s="96"/>
      <c r="FO7" s="96"/>
      <c r="FP7" s="96"/>
      <c r="FQ7" s="96"/>
      <c r="FR7" s="96"/>
      <c r="FS7" s="96"/>
      <c r="FT7" s="96"/>
      <c r="FU7" s="96"/>
      <c r="FV7" s="96"/>
      <c r="FW7" s="96"/>
      <c r="FX7" s="96"/>
      <c r="FY7" s="96"/>
      <c r="FZ7" s="96"/>
      <c r="GA7" s="96"/>
      <c r="GB7" s="96"/>
      <c r="GC7" s="96"/>
      <c r="GD7" s="96"/>
      <c r="GE7" s="96"/>
      <c r="GF7" s="96"/>
      <c r="GG7" s="96"/>
      <c r="GH7" s="96"/>
      <c r="GI7" s="96"/>
      <c r="GJ7" s="96"/>
      <c r="GK7" s="96"/>
      <c r="GL7" s="96"/>
      <c r="GM7" s="96"/>
      <c r="GN7" s="96"/>
      <c r="GO7" s="96"/>
      <c r="GP7" s="96"/>
      <c r="GQ7" s="96"/>
      <c r="GR7" s="96"/>
      <c r="GS7" s="96"/>
      <c r="GT7" s="96"/>
      <c r="GU7" s="96"/>
      <c r="GV7" s="96"/>
      <c r="GW7" s="96"/>
      <c r="GX7" s="96"/>
      <c r="GY7" s="96"/>
      <c r="GZ7" s="96"/>
      <c r="HA7" s="96"/>
      <c r="HB7" s="96"/>
      <c r="HC7" s="96"/>
      <c r="HD7" s="96"/>
      <c r="HE7" s="96"/>
      <c r="HF7" s="96"/>
      <c r="HG7" s="96"/>
    </row>
    <row r="8" s="96" customFormat="true" ht="13.5" hidden="false" customHeight="true" outlineLevel="0" collapsed="false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</row>
    <row r="9" s="108" customFormat="true" ht="22.5" hidden="false" customHeight="true" outlineLevel="0" collapsed="false">
      <c r="A9" s="102" t="s">
        <v>5</v>
      </c>
      <c r="B9" s="102" t="s">
        <v>69</v>
      </c>
      <c r="C9" s="102" t="s">
        <v>70</v>
      </c>
      <c r="D9" s="103" t="s">
        <v>104</v>
      </c>
      <c r="E9" s="136"/>
      <c r="F9" s="136"/>
      <c r="G9" s="103"/>
      <c r="H9" s="136"/>
      <c r="I9" s="136"/>
      <c r="J9" s="136"/>
      <c r="K9" s="107" t="s">
        <v>126</v>
      </c>
      <c r="L9" s="107"/>
      <c r="M9" s="103" t="s">
        <v>76</v>
      </c>
    </row>
    <row r="10" s="110" customFormat="true" ht="36" hidden="false" customHeight="true" outlineLevel="0" collapsed="false">
      <c r="A10" s="102"/>
      <c r="B10" s="102"/>
      <c r="C10" s="102"/>
      <c r="D10" s="102"/>
      <c r="E10" s="107" t="s">
        <v>127</v>
      </c>
      <c r="F10" s="107"/>
      <c r="G10" s="107"/>
      <c r="H10" s="107"/>
      <c r="I10" s="107"/>
      <c r="J10" s="107"/>
      <c r="K10" s="107" t="s">
        <v>128</v>
      </c>
      <c r="L10" s="107" t="s">
        <v>106</v>
      </c>
      <c r="M10" s="103"/>
      <c r="N10" s="109"/>
      <c r="O10" s="109"/>
    </row>
    <row r="11" s="110" customFormat="true" ht="15" hidden="false" customHeight="true" outlineLevel="0" collapsed="false">
      <c r="A11" s="86" t="n">
        <v>1</v>
      </c>
      <c r="B11" s="86" t="str">
        <f aca="false">'1. PL đường đen'!B12</f>
        <v>31</v>
      </c>
      <c r="C11" s="67" t="n">
        <f aca="false">'1. PL đường đen'!C12</f>
        <v>609.11</v>
      </c>
      <c r="D11" s="86" t="n">
        <f aca="false">'1. PL đường đen'!T12</f>
        <v>11.75</v>
      </c>
      <c r="E11" s="137" t="n">
        <f aca="false">'3. KTHH vải lọc'!E24</f>
        <v>2.06</v>
      </c>
      <c r="F11" s="137" t="n">
        <f aca="false">'3. KTHH vải lọc'!H24</f>
        <v>1.51</v>
      </c>
      <c r="G11" s="137" t="n">
        <f aca="false">'3. KTHH vải lọc'!K24</f>
        <v>8.34</v>
      </c>
      <c r="H11" s="137" t="n">
        <f aca="false">'3. KTHH vải lọc'!N24</f>
        <v>8.19</v>
      </c>
      <c r="I11" s="137" t="n">
        <f aca="false">'3. KTHH vải lọc'!Q24</f>
        <v>1.49</v>
      </c>
      <c r="J11" s="137" t="n">
        <f aca="false">'3. KTHH vải lọc'!T24</f>
        <v>2.09</v>
      </c>
      <c r="K11" s="138" t="n">
        <f aca="false">SUM(E11:J11)</f>
        <v>23.68</v>
      </c>
      <c r="L11" s="112" t="n">
        <f aca="false">(K11+K12)*D11/2</f>
        <v>277.35875</v>
      </c>
      <c r="M11" s="113"/>
      <c r="O11" s="139"/>
      <c r="P11" s="140"/>
    </row>
    <row r="12" s="110" customFormat="true" ht="15" hidden="false" customHeight="true" outlineLevel="0" collapsed="false">
      <c r="A12" s="86" t="n">
        <v>2</v>
      </c>
      <c r="B12" s="86" t="str">
        <f aca="false">'1. PL đường đen'!B13</f>
        <v>E10</v>
      </c>
      <c r="C12" s="67" t="n">
        <f aca="false">'1. PL đường đen'!C13</f>
        <v>620.86</v>
      </c>
      <c r="D12" s="86" t="n">
        <f aca="false">'1. PL đường đen'!T13</f>
        <v>11.75</v>
      </c>
      <c r="E12" s="137" t="n">
        <f aca="false">'3. KTHH vải lọc'!E25</f>
        <v>2.07</v>
      </c>
      <c r="F12" s="137" t="n">
        <f aca="false">'3. KTHH vải lọc'!H25</f>
        <v>1.5</v>
      </c>
      <c r="G12" s="137" t="n">
        <f aca="false">'3. KTHH vải lọc'!K25</f>
        <v>8.12</v>
      </c>
      <c r="H12" s="137" t="n">
        <f aca="false">'3. KTHH vải lọc'!N25</f>
        <v>8.26</v>
      </c>
      <c r="I12" s="137" t="n">
        <f aca="false">'3. KTHH vải lọc'!Q25</f>
        <v>1.48</v>
      </c>
      <c r="J12" s="137" t="n">
        <f aca="false">'3. KTHH vải lọc'!T25</f>
        <v>2.1</v>
      </c>
      <c r="K12" s="138" t="n">
        <f aca="false">SUM(E12:J12)</f>
        <v>23.53</v>
      </c>
      <c r="L12" s="112" t="n">
        <f aca="false">(K12+K13)*D12/2</f>
        <v>284.99625</v>
      </c>
      <c r="M12" s="113"/>
      <c r="O12" s="139"/>
      <c r="P12" s="140"/>
    </row>
    <row r="13" s="110" customFormat="true" ht="15" hidden="false" customHeight="true" outlineLevel="0" collapsed="false">
      <c r="A13" s="86" t="n">
        <v>3</v>
      </c>
      <c r="B13" s="86" t="str">
        <f aca="false">'1. PL đường đen'!B14</f>
        <v>32</v>
      </c>
      <c r="C13" s="67" t="n">
        <f aca="false">'1. PL đường đen'!C14</f>
        <v>632.61</v>
      </c>
      <c r="D13" s="86" t="n">
        <f aca="false">'1. PL đường đen'!T14</f>
        <v>20</v>
      </c>
      <c r="E13" s="137" t="n">
        <f aca="false">'3. KTHH vải lọc'!E26</f>
        <v>2.06</v>
      </c>
      <c r="F13" s="137" t="n">
        <f aca="false">'3. KTHH vải lọc'!H26</f>
        <v>1.46</v>
      </c>
      <c r="G13" s="137" t="n">
        <f aca="false">'3. KTHH vải lọc'!K26</f>
        <v>8.83</v>
      </c>
      <c r="H13" s="137" t="n">
        <f aca="false">'3. KTHH vải lọc'!N26</f>
        <v>9.13</v>
      </c>
      <c r="I13" s="137" t="n">
        <f aca="false">'3. KTHH vải lọc'!Q26</f>
        <v>1.45</v>
      </c>
      <c r="J13" s="137" t="n">
        <f aca="false">'3. KTHH vải lọc'!T26</f>
        <v>2.05</v>
      </c>
      <c r="K13" s="138" t="n">
        <f aca="false">SUM(E13:J13)</f>
        <v>24.98</v>
      </c>
      <c r="L13" s="112" t="n">
        <f aca="false">(K13+K14)*D13/2</f>
        <v>512</v>
      </c>
      <c r="M13" s="113"/>
      <c r="O13" s="139"/>
      <c r="P13" s="140"/>
    </row>
    <row r="14" s="110" customFormat="true" ht="15" hidden="false" customHeight="true" outlineLevel="0" collapsed="false">
      <c r="A14" s="86" t="n">
        <v>4</v>
      </c>
      <c r="B14" s="86" t="str">
        <f aca="false">'1. PL đường đen'!B15</f>
        <v>33</v>
      </c>
      <c r="C14" s="67" t="n">
        <f aca="false">'1. PL đường đen'!C15</f>
        <v>652.61</v>
      </c>
      <c r="D14" s="86" t="n">
        <f aca="false">'1. PL đường đen'!T15</f>
        <v>20</v>
      </c>
      <c r="E14" s="137" t="n">
        <f aca="false">'3. KTHH vải lọc'!E27</f>
        <v>2.08</v>
      </c>
      <c r="F14" s="137" t="n">
        <f aca="false">'3. KTHH vải lọc'!H27</f>
        <v>1.48</v>
      </c>
      <c r="G14" s="137" t="n">
        <f aca="false">'3. KTHH vải lọc'!K27</f>
        <v>9.54</v>
      </c>
      <c r="H14" s="137" t="n">
        <f aca="false">'3. KTHH vải lọc'!N27</f>
        <v>9.56</v>
      </c>
      <c r="I14" s="137" t="n">
        <f aca="false">'3. KTHH vải lọc'!Q27</f>
        <v>1.51</v>
      </c>
      <c r="J14" s="137" t="n">
        <f aca="false">'3. KTHH vải lọc'!T27</f>
        <v>2.05</v>
      </c>
      <c r="K14" s="138" t="n">
        <f aca="false">SUM(E14:J14)</f>
        <v>26.22</v>
      </c>
      <c r="L14" s="112" t="n">
        <f aca="false">(K14+K15)*D14/2</f>
        <v>507.4</v>
      </c>
      <c r="M14" s="113"/>
      <c r="O14" s="139"/>
      <c r="P14" s="140"/>
    </row>
    <row r="15" s="110" customFormat="true" ht="15" hidden="false" customHeight="true" outlineLevel="0" collapsed="false">
      <c r="A15" s="86" t="n">
        <v>5</v>
      </c>
      <c r="B15" s="86" t="str">
        <f aca="false">'1. PL đường đen'!B16</f>
        <v>34</v>
      </c>
      <c r="C15" s="67" t="n">
        <f aca="false">'1. PL đường đen'!C16</f>
        <v>672.61</v>
      </c>
      <c r="D15" s="86" t="n">
        <f aca="false">'1. PL đường đen'!T16</f>
        <v>20</v>
      </c>
      <c r="E15" s="137" t="n">
        <f aca="false">'3. KTHH vải lọc'!E28</f>
        <v>2.06</v>
      </c>
      <c r="F15" s="137" t="n">
        <f aca="false">'3. KTHH vải lọc'!H28</f>
        <v>1.5</v>
      </c>
      <c r="G15" s="137" t="n">
        <f aca="false">'3. KTHH vải lọc'!K28</f>
        <v>8.69</v>
      </c>
      <c r="H15" s="137" t="n">
        <f aca="false">'3. KTHH vải lọc'!N28</f>
        <v>8.65</v>
      </c>
      <c r="I15" s="137" t="n">
        <f aca="false">'3. KTHH vải lọc'!Q28</f>
        <v>1.56</v>
      </c>
      <c r="J15" s="137" t="n">
        <f aca="false">'3. KTHH vải lọc'!T28</f>
        <v>2.06</v>
      </c>
      <c r="K15" s="138" t="n">
        <f aca="false">SUM(E15:J15)</f>
        <v>24.52</v>
      </c>
      <c r="L15" s="112" t="n">
        <f aca="false">(K15+K16)*D15/2</f>
        <v>508.2</v>
      </c>
      <c r="M15" s="113"/>
      <c r="O15" s="139"/>
      <c r="P15" s="140"/>
    </row>
    <row r="16" s="110" customFormat="true" ht="15" hidden="false" customHeight="true" outlineLevel="0" collapsed="false">
      <c r="A16" s="86" t="n">
        <v>6</v>
      </c>
      <c r="B16" s="86" t="str">
        <f aca="false">'1. PL đường đen'!B17</f>
        <v>35</v>
      </c>
      <c r="C16" s="67" t="n">
        <f aca="false">'1. PL đường đen'!C17</f>
        <v>692.61</v>
      </c>
      <c r="D16" s="86" t="n">
        <f aca="false">'1. PL đường đen'!T17</f>
        <v>20</v>
      </c>
      <c r="E16" s="137" t="n">
        <f aca="false">'3. KTHH vải lọc'!E29</f>
        <v>2.06</v>
      </c>
      <c r="F16" s="137" t="n">
        <f aca="false">'3. KTHH vải lọc'!H29</f>
        <v>1.5</v>
      </c>
      <c r="G16" s="137" t="n">
        <f aca="false">'3. KTHH vải lọc'!K29</f>
        <v>9.61</v>
      </c>
      <c r="H16" s="137" t="n">
        <f aca="false">'3. KTHH vải lọc'!N29</f>
        <v>9.56</v>
      </c>
      <c r="I16" s="137" t="n">
        <f aca="false">'3. KTHH vải lọc'!Q29</f>
        <v>1.49</v>
      </c>
      <c r="J16" s="137" t="n">
        <f aca="false">'3. KTHH vải lọc'!T29</f>
        <v>2.08</v>
      </c>
      <c r="K16" s="138" t="n">
        <f aca="false">SUM(E16:J16)</f>
        <v>26.3</v>
      </c>
      <c r="L16" s="112" t="n">
        <f aca="false">(K16+K17)*D16/2</f>
        <v>477.6</v>
      </c>
      <c r="M16" s="113"/>
      <c r="O16" s="139"/>
      <c r="P16" s="140"/>
    </row>
    <row r="17" s="110" customFormat="true" ht="15" hidden="false" customHeight="true" outlineLevel="0" collapsed="false">
      <c r="A17" s="86" t="n">
        <v>7</v>
      </c>
      <c r="B17" s="86" t="str">
        <f aca="false">'1. PL đường đen'!B18</f>
        <v>36</v>
      </c>
      <c r="C17" s="67" t="n">
        <f aca="false">'1. PL đường đen'!C18</f>
        <v>712.61</v>
      </c>
      <c r="D17" s="86" t="n">
        <f aca="false">'1. PL đường đen'!T18</f>
        <v>11.5</v>
      </c>
      <c r="E17" s="137" t="n">
        <f aca="false">'3. KTHH vải lọc'!E30</f>
        <v>2.09</v>
      </c>
      <c r="F17" s="137" t="n">
        <f aca="false">'3. KTHH vải lọc'!H30</f>
        <v>1.46</v>
      </c>
      <c r="G17" s="137" t="n">
        <f aca="false">'3. KTHH vải lọc'!K30</f>
        <v>5.31</v>
      </c>
      <c r="H17" s="137" t="n">
        <f aca="false">'3. KTHH vải lọc'!N30</f>
        <v>9.02</v>
      </c>
      <c r="I17" s="137" t="n">
        <f aca="false">'3. KTHH vải lọc'!Q30</f>
        <v>1.51</v>
      </c>
      <c r="J17" s="137" t="n">
        <f aca="false">'3. KTHH vải lọc'!T30</f>
        <v>2.07</v>
      </c>
      <c r="K17" s="138" t="n">
        <f aca="false">SUM(E17:J17)</f>
        <v>21.46</v>
      </c>
      <c r="L17" s="112" t="n">
        <f aca="false">(K17+K18)*D17/2</f>
        <v>270.5375</v>
      </c>
      <c r="M17" s="113"/>
      <c r="O17" s="139"/>
      <c r="P17" s="140"/>
    </row>
    <row r="18" s="110" customFormat="true" ht="15" hidden="false" customHeight="true" outlineLevel="0" collapsed="false">
      <c r="A18" s="86" t="n">
        <v>8</v>
      </c>
      <c r="B18" s="86" t="str">
        <f aca="false">'1. PL đường đen'!B19</f>
        <v>37</v>
      </c>
      <c r="C18" s="67" t="n">
        <f aca="false">'1. PL đường đen'!C19</f>
        <v>724.11</v>
      </c>
      <c r="D18" s="86"/>
      <c r="E18" s="137" t="n">
        <f aca="false">'3. KTHH vải lọc'!E31</f>
        <v>2.1</v>
      </c>
      <c r="F18" s="137" t="n">
        <f aca="false">'3. KTHH vải lọc'!H31</f>
        <v>1.29</v>
      </c>
      <c r="G18" s="137" t="n">
        <f aca="false">'3. KTHH vải lọc'!K31</f>
        <v>10.31</v>
      </c>
      <c r="H18" s="137" t="n">
        <f aca="false">'3. KTHH vải lọc'!N31</f>
        <v>8.29</v>
      </c>
      <c r="I18" s="137" t="n">
        <f aca="false">'3. KTHH vải lọc'!Q31</f>
        <v>1.5</v>
      </c>
      <c r="J18" s="137" t="n">
        <f aca="false">'3. KTHH vải lọc'!T31</f>
        <v>2.1</v>
      </c>
      <c r="K18" s="138" t="n">
        <f aca="false">SUM(E18:J18)</f>
        <v>25.59</v>
      </c>
      <c r="L18" s="112"/>
      <c r="M18" s="113"/>
      <c r="O18" s="139"/>
      <c r="P18" s="140"/>
    </row>
    <row r="19" s="110" customFormat="true" ht="15" hidden="true" customHeight="true" outlineLevel="0" collapsed="false">
      <c r="A19" s="86"/>
      <c r="B19" s="86"/>
      <c r="C19" s="67"/>
      <c r="D19" s="86"/>
      <c r="E19" s="137"/>
      <c r="F19" s="137"/>
      <c r="G19" s="137"/>
      <c r="H19" s="137"/>
      <c r="I19" s="137"/>
      <c r="J19" s="137"/>
      <c r="K19" s="138"/>
      <c r="L19" s="112"/>
      <c r="M19" s="113"/>
      <c r="O19" s="139"/>
      <c r="P19" s="140"/>
    </row>
    <row r="20" s="110" customFormat="true" ht="15" hidden="true" customHeight="true" outlineLevel="0" collapsed="false">
      <c r="A20" s="86"/>
      <c r="B20" s="86"/>
      <c r="C20" s="67"/>
      <c r="D20" s="86"/>
      <c r="E20" s="137"/>
      <c r="F20" s="137"/>
      <c r="G20" s="137"/>
      <c r="H20" s="137"/>
      <c r="I20" s="137"/>
      <c r="J20" s="137"/>
      <c r="K20" s="138"/>
      <c r="L20" s="112"/>
      <c r="M20" s="113"/>
      <c r="O20" s="139"/>
      <c r="P20" s="140"/>
    </row>
    <row r="21" s="110" customFormat="true" ht="15" hidden="true" customHeight="true" outlineLevel="0" collapsed="false">
      <c r="A21" s="86"/>
      <c r="B21" s="86"/>
      <c r="C21" s="67"/>
      <c r="D21" s="86"/>
      <c r="E21" s="137"/>
      <c r="F21" s="137"/>
      <c r="G21" s="137"/>
      <c r="H21" s="137"/>
      <c r="I21" s="137"/>
      <c r="J21" s="137"/>
      <c r="K21" s="138"/>
      <c r="L21" s="112"/>
      <c r="M21" s="113"/>
      <c r="O21" s="139"/>
      <c r="P21" s="140"/>
    </row>
    <row r="22" s="110" customFormat="true" ht="15" hidden="true" customHeight="true" outlineLevel="0" collapsed="false">
      <c r="A22" s="86"/>
      <c r="B22" s="86"/>
      <c r="C22" s="67"/>
      <c r="D22" s="86"/>
      <c r="E22" s="137"/>
      <c r="F22" s="137"/>
      <c r="G22" s="137"/>
      <c r="H22" s="137"/>
      <c r="I22" s="137"/>
      <c r="J22" s="137"/>
      <c r="K22" s="138"/>
      <c r="L22" s="112"/>
      <c r="M22" s="113"/>
      <c r="O22" s="139"/>
      <c r="P22" s="140"/>
    </row>
    <row r="23" s="110" customFormat="true" ht="15" hidden="true" customHeight="true" outlineLevel="0" collapsed="false">
      <c r="A23" s="86"/>
      <c r="B23" s="86"/>
      <c r="C23" s="67"/>
      <c r="D23" s="86"/>
      <c r="E23" s="137"/>
      <c r="F23" s="137"/>
      <c r="G23" s="137"/>
      <c r="H23" s="137"/>
      <c r="I23" s="137"/>
      <c r="J23" s="137"/>
      <c r="K23" s="138"/>
      <c r="L23" s="112"/>
      <c r="M23" s="113"/>
      <c r="O23" s="139"/>
      <c r="P23" s="140"/>
    </row>
    <row r="24" s="110" customFormat="true" ht="15" hidden="true" customHeight="true" outlineLevel="0" collapsed="false">
      <c r="A24" s="86"/>
      <c r="B24" s="86"/>
      <c r="C24" s="67"/>
      <c r="D24" s="86"/>
      <c r="E24" s="137"/>
      <c r="F24" s="137"/>
      <c r="G24" s="137"/>
      <c r="H24" s="137"/>
      <c r="I24" s="137"/>
      <c r="J24" s="137"/>
      <c r="K24" s="138"/>
      <c r="L24" s="112"/>
      <c r="M24" s="113"/>
      <c r="O24" s="139"/>
      <c r="P24" s="140"/>
    </row>
    <row r="25" s="110" customFormat="true" ht="15" hidden="true" customHeight="true" outlineLevel="0" collapsed="false">
      <c r="A25" s="86"/>
      <c r="B25" s="86"/>
      <c r="C25" s="67"/>
      <c r="D25" s="86"/>
      <c r="E25" s="137"/>
      <c r="F25" s="137"/>
      <c r="G25" s="137"/>
      <c r="H25" s="137"/>
      <c r="I25" s="137"/>
      <c r="J25" s="137"/>
      <c r="K25" s="138"/>
      <c r="L25" s="112"/>
      <c r="M25" s="113"/>
      <c r="O25" s="139"/>
      <c r="P25" s="140"/>
    </row>
    <row r="26" s="110" customFormat="true" ht="15" hidden="true" customHeight="true" outlineLevel="0" collapsed="false">
      <c r="A26" s="86"/>
      <c r="B26" s="86"/>
      <c r="C26" s="67"/>
      <c r="D26" s="86"/>
      <c r="E26" s="137"/>
      <c r="F26" s="137"/>
      <c r="G26" s="137"/>
      <c r="H26" s="137"/>
      <c r="I26" s="137"/>
      <c r="J26" s="137"/>
      <c r="K26" s="138"/>
      <c r="L26" s="112"/>
      <c r="M26" s="113"/>
      <c r="O26" s="139"/>
      <c r="P26" s="140"/>
    </row>
    <row r="27" s="110" customFormat="true" ht="15" hidden="true" customHeight="true" outlineLevel="0" collapsed="false">
      <c r="A27" s="86"/>
      <c r="B27" s="86"/>
      <c r="C27" s="67"/>
      <c r="D27" s="86"/>
      <c r="E27" s="137"/>
      <c r="F27" s="137"/>
      <c r="G27" s="137"/>
      <c r="H27" s="137"/>
      <c r="I27" s="137"/>
      <c r="J27" s="137"/>
      <c r="K27" s="138"/>
      <c r="L27" s="112"/>
      <c r="M27" s="113"/>
      <c r="O27" s="139"/>
      <c r="P27" s="140"/>
    </row>
    <row r="28" s="110" customFormat="true" ht="15" hidden="true" customHeight="true" outlineLevel="0" collapsed="false">
      <c r="A28" s="86"/>
      <c r="B28" s="86"/>
      <c r="C28" s="67"/>
      <c r="D28" s="86"/>
      <c r="E28" s="137"/>
      <c r="F28" s="137"/>
      <c r="G28" s="137"/>
      <c r="H28" s="137"/>
      <c r="I28" s="137"/>
      <c r="J28" s="137"/>
      <c r="K28" s="138"/>
      <c r="L28" s="112"/>
      <c r="M28" s="113"/>
      <c r="O28" s="139"/>
      <c r="P28" s="140"/>
    </row>
    <row r="29" s="110" customFormat="true" ht="15" hidden="true" customHeight="true" outlineLevel="0" collapsed="false">
      <c r="A29" s="86"/>
      <c r="B29" s="86"/>
      <c r="C29" s="67"/>
      <c r="D29" s="86"/>
      <c r="E29" s="137"/>
      <c r="F29" s="137"/>
      <c r="G29" s="137"/>
      <c r="H29" s="137"/>
      <c r="I29" s="137"/>
      <c r="J29" s="137"/>
      <c r="K29" s="138"/>
      <c r="L29" s="112"/>
      <c r="M29" s="113"/>
      <c r="O29" s="139"/>
      <c r="P29" s="140"/>
    </row>
    <row r="30" s="110" customFormat="true" ht="15" hidden="true" customHeight="true" outlineLevel="0" collapsed="false">
      <c r="A30" s="86"/>
      <c r="B30" s="86"/>
      <c r="C30" s="67"/>
      <c r="D30" s="86"/>
      <c r="E30" s="137"/>
      <c r="F30" s="137"/>
      <c r="G30" s="137"/>
      <c r="H30" s="137"/>
      <c r="I30" s="137"/>
      <c r="J30" s="137"/>
      <c r="K30" s="138"/>
      <c r="L30" s="112"/>
      <c r="M30" s="113"/>
      <c r="O30" s="139"/>
      <c r="P30" s="140"/>
    </row>
    <row r="31" s="110" customFormat="true" ht="15" hidden="true" customHeight="true" outlineLevel="0" collapsed="false">
      <c r="A31" s="86"/>
      <c r="B31" s="86"/>
      <c r="C31" s="67"/>
      <c r="D31" s="86"/>
      <c r="E31" s="137"/>
      <c r="F31" s="137"/>
      <c r="G31" s="137"/>
      <c r="H31" s="137"/>
      <c r="I31" s="137"/>
      <c r="J31" s="137"/>
      <c r="K31" s="138"/>
      <c r="L31" s="112"/>
      <c r="M31" s="113"/>
      <c r="O31" s="139"/>
      <c r="P31" s="140"/>
    </row>
    <row r="32" s="110" customFormat="true" ht="15" hidden="true" customHeight="true" outlineLevel="0" collapsed="false">
      <c r="A32" s="86"/>
      <c r="B32" s="86"/>
      <c r="C32" s="67"/>
      <c r="D32" s="86"/>
      <c r="E32" s="137"/>
      <c r="F32" s="137"/>
      <c r="G32" s="137"/>
      <c r="H32" s="137"/>
      <c r="I32" s="137"/>
      <c r="J32" s="137"/>
      <c r="K32" s="138"/>
      <c r="L32" s="112"/>
      <c r="M32" s="113"/>
      <c r="O32" s="139"/>
      <c r="P32" s="140"/>
    </row>
    <row r="33" s="110" customFormat="true" ht="15" hidden="true" customHeight="true" outlineLevel="0" collapsed="false">
      <c r="A33" s="86"/>
      <c r="B33" s="86"/>
      <c r="C33" s="67"/>
      <c r="D33" s="86"/>
      <c r="E33" s="137"/>
      <c r="F33" s="137"/>
      <c r="G33" s="137"/>
      <c r="H33" s="137"/>
      <c r="I33" s="137"/>
      <c r="J33" s="137"/>
      <c r="K33" s="138"/>
      <c r="L33" s="112"/>
      <c r="M33" s="113"/>
      <c r="O33" s="139"/>
      <c r="P33" s="140"/>
    </row>
    <row r="34" s="110" customFormat="true" ht="15" hidden="true" customHeight="true" outlineLevel="0" collapsed="false">
      <c r="A34" s="86"/>
      <c r="B34" s="86"/>
      <c r="C34" s="67"/>
      <c r="D34" s="86"/>
      <c r="E34" s="137"/>
      <c r="F34" s="137"/>
      <c r="G34" s="137"/>
      <c r="H34" s="137"/>
      <c r="I34" s="137"/>
      <c r="J34" s="137"/>
      <c r="K34" s="138"/>
      <c r="L34" s="112"/>
      <c r="M34" s="113"/>
      <c r="O34" s="139"/>
      <c r="P34" s="140"/>
    </row>
    <row r="35" s="110" customFormat="true" ht="15" hidden="true" customHeight="true" outlineLevel="0" collapsed="false">
      <c r="A35" s="86"/>
      <c r="B35" s="86"/>
      <c r="C35" s="67"/>
      <c r="D35" s="86"/>
      <c r="E35" s="137"/>
      <c r="F35" s="137"/>
      <c r="G35" s="137"/>
      <c r="H35" s="137"/>
      <c r="I35" s="137"/>
      <c r="J35" s="137"/>
      <c r="K35" s="138"/>
      <c r="L35" s="112"/>
      <c r="M35" s="113"/>
      <c r="O35" s="139"/>
      <c r="P35" s="140"/>
    </row>
    <row r="36" s="110" customFormat="true" ht="15" hidden="true" customHeight="true" outlineLevel="0" collapsed="false">
      <c r="A36" s="86"/>
      <c r="B36" s="86"/>
      <c r="C36" s="67"/>
      <c r="D36" s="86"/>
      <c r="E36" s="137"/>
      <c r="F36" s="137"/>
      <c r="G36" s="137"/>
      <c r="H36" s="137"/>
      <c r="I36" s="137"/>
      <c r="J36" s="137"/>
      <c r="K36" s="138"/>
      <c r="L36" s="112"/>
      <c r="M36" s="113"/>
      <c r="O36" s="139"/>
      <c r="P36" s="140"/>
    </row>
    <row r="37" s="110" customFormat="true" ht="15" hidden="true" customHeight="true" outlineLevel="0" collapsed="false">
      <c r="A37" s="86"/>
      <c r="B37" s="86"/>
      <c r="C37" s="67"/>
      <c r="D37" s="86"/>
      <c r="E37" s="137"/>
      <c r="F37" s="137"/>
      <c r="G37" s="137"/>
      <c r="H37" s="137"/>
      <c r="I37" s="137"/>
      <c r="J37" s="137"/>
      <c r="K37" s="138"/>
      <c r="L37" s="112"/>
      <c r="M37" s="113"/>
      <c r="O37" s="139"/>
      <c r="P37" s="140"/>
    </row>
    <row r="38" s="110" customFormat="true" ht="15" hidden="true" customHeight="true" outlineLevel="0" collapsed="false">
      <c r="A38" s="86"/>
      <c r="B38" s="86"/>
      <c r="C38" s="67"/>
      <c r="D38" s="86"/>
      <c r="E38" s="137"/>
      <c r="F38" s="137"/>
      <c r="G38" s="137"/>
      <c r="H38" s="137"/>
      <c r="I38" s="137"/>
      <c r="J38" s="137"/>
      <c r="K38" s="138"/>
      <c r="L38" s="112"/>
      <c r="M38" s="113"/>
      <c r="O38" s="139"/>
      <c r="P38" s="140"/>
    </row>
    <row r="39" s="110" customFormat="true" ht="15" hidden="true" customHeight="true" outlineLevel="0" collapsed="false">
      <c r="A39" s="86"/>
      <c r="B39" s="86"/>
      <c r="C39" s="67"/>
      <c r="D39" s="86"/>
      <c r="E39" s="137"/>
      <c r="F39" s="137"/>
      <c r="G39" s="137"/>
      <c r="H39" s="137"/>
      <c r="I39" s="137"/>
      <c r="J39" s="137"/>
      <c r="K39" s="138"/>
      <c r="L39" s="112"/>
      <c r="M39" s="113"/>
      <c r="O39" s="139"/>
      <c r="P39" s="140"/>
    </row>
    <row r="40" s="110" customFormat="true" ht="15" hidden="true" customHeight="true" outlineLevel="0" collapsed="false">
      <c r="A40" s="86"/>
      <c r="B40" s="86"/>
      <c r="C40" s="67"/>
      <c r="D40" s="86"/>
      <c r="E40" s="137"/>
      <c r="F40" s="137"/>
      <c r="G40" s="137"/>
      <c r="H40" s="137"/>
      <c r="I40" s="137"/>
      <c r="J40" s="137"/>
      <c r="K40" s="138"/>
      <c r="L40" s="112"/>
      <c r="M40" s="113"/>
      <c r="O40" s="139"/>
      <c r="P40" s="140"/>
    </row>
    <row r="41" s="110" customFormat="true" ht="15" hidden="true" customHeight="true" outlineLevel="0" collapsed="false">
      <c r="A41" s="86"/>
      <c r="B41" s="86"/>
      <c r="C41" s="67"/>
      <c r="D41" s="86"/>
      <c r="E41" s="137"/>
      <c r="F41" s="137"/>
      <c r="G41" s="137"/>
      <c r="H41" s="137"/>
      <c r="I41" s="137"/>
      <c r="J41" s="137"/>
      <c r="K41" s="138"/>
      <c r="L41" s="112"/>
      <c r="M41" s="113"/>
      <c r="O41" s="139"/>
      <c r="P41" s="140"/>
    </row>
    <row r="42" s="110" customFormat="true" ht="15" hidden="true" customHeight="true" outlineLevel="0" collapsed="false">
      <c r="A42" s="86"/>
      <c r="B42" s="86"/>
      <c r="C42" s="67"/>
      <c r="D42" s="86"/>
      <c r="E42" s="137"/>
      <c r="F42" s="137"/>
      <c r="G42" s="137"/>
      <c r="H42" s="137"/>
      <c r="I42" s="137"/>
      <c r="J42" s="137"/>
      <c r="K42" s="138"/>
      <c r="L42" s="112"/>
      <c r="M42" s="113"/>
      <c r="O42" s="139"/>
      <c r="P42" s="140"/>
    </row>
    <row r="43" s="110" customFormat="true" ht="15" hidden="true" customHeight="true" outlineLevel="0" collapsed="false">
      <c r="A43" s="86"/>
      <c r="B43" s="86"/>
      <c r="C43" s="67"/>
      <c r="D43" s="86"/>
      <c r="E43" s="137"/>
      <c r="F43" s="137"/>
      <c r="G43" s="137"/>
      <c r="H43" s="137"/>
      <c r="I43" s="137"/>
      <c r="J43" s="137"/>
      <c r="K43" s="138"/>
      <c r="L43" s="112"/>
      <c r="M43" s="113"/>
      <c r="O43" s="139"/>
      <c r="P43" s="140"/>
    </row>
    <row r="44" s="110" customFormat="true" ht="15" hidden="true" customHeight="true" outlineLevel="0" collapsed="false">
      <c r="A44" s="86"/>
      <c r="B44" s="86"/>
      <c r="C44" s="67"/>
      <c r="D44" s="86"/>
      <c r="E44" s="137"/>
      <c r="F44" s="137"/>
      <c r="G44" s="137"/>
      <c r="H44" s="137"/>
      <c r="I44" s="137"/>
      <c r="J44" s="137"/>
      <c r="K44" s="138"/>
      <c r="L44" s="112"/>
      <c r="M44" s="113"/>
      <c r="O44" s="139"/>
      <c r="P44" s="140"/>
    </row>
    <row r="45" s="110" customFormat="true" ht="15" hidden="true" customHeight="true" outlineLevel="0" collapsed="false">
      <c r="A45" s="86"/>
      <c r="B45" s="86"/>
      <c r="C45" s="67"/>
      <c r="D45" s="86"/>
      <c r="E45" s="137"/>
      <c r="F45" s="137"/>
      <c r="G45" s="137"/>
      <c r="H45" s="137"/>
      <c r="I45" s="137"/>
      <c r="J45" s="137"/>
      <c r="K45" s="138"/>
      <c r="L45" s="112"/>
      <c r="M45" s="113"/>
      <c r="O45" s="139"/>
      <c r="P45" s="140"/>
    </row>
    <row r="46" s="110" customFormat="true" ht="15" hidden="true" customHeight="true" outlineLevel="0" collapsed="false">
      <c r="A46" s="86"/>
      <c r="B46" s="86"/>
      <c r="C46" s="67"/>
      <c r="D46" s="86"/>
      <c r="E46" s="137"/>
      <c r="F46" s="137"/>
      <c r="G46" s="137"/>
      <c r="H46" s="137"/>
      <c r="I46" s="137"/>
      <c r="J46" s="137"/>
      <c r="K46" s="138"/>
      <c r="L46" s="112"/>
      <c r="M46" s="113"/>
      <c r="O46" s="139"/>
      <c r="P46" s="140"/>
    </row>
    <row r="47" s="110" customFormat="true" ht="15" hidden="true" customHeight="true" outlineLevel="0" collapsed="false">
      <c r="A47" s="86"/>
      <c r="B47" s="86"/>
      <c r="C47" s="67"/>
      <c r="D47" s="86"/>
      <c r="E47" s="137"/>
      <c r="F47" s="137"/>
      <c r="G47" s="137"/>
      <c r="H47" s="137"/>
      <c r="I47" s="137"/>
      <c r="J47" s="137"/>
      <c r="K47" s="138"/>
      <c r="L47" s="112"/>
      <c r="M47" s="113"/>
      <c r="O47" s="139"/>
      <c r="P47" s="140"/>
    </row>
    <row r="48" s="110" customFormat="true" ht="15" hidden="true" customHeight="true" outlineLevel="0" collapsed="false">
      <c r="A48" s="86"/>
      <c r="B48" s="86"/>
      <c r="C48" s="67"/>
      <c r="D48" s="86"/>
      <c r="E48" s="137"/>
      <c r="F48" s="137"/>
      <c r="G48" s="137"/>
      <c r="H48" s="137"/>
      <c r="I48" s="137"/>
      <c r="J48" s="137"/>
      <c r="K48" s="138"/>
      <c r="L48" s="112"/>
      <c r="M48" s="113"/>
      <c r="O48" s="139"/>
      <c r="P48" s="140"/>
    </row>
    <row r="49" s="110" customFormat="true" ht="15" hidden="true" customHeight="true" outlineLevel="0" collapsed="false">
      <c r="A49" s="86"/>
      <c r="B49" s="86"/>
      <c r="C49" s="67"/>
      <c r="D49" s="86"/>
      <c r="E49" s="137"/>
      <c r="F49" s="137"/>
      <c r="G49" s="137"/>
      <c r="H49" s="137"/>
      <c r="I49" s="137"/>
      <c r="J49" s="137"/>
      <c r="K49" s="138"/>
      <c r="L49" s="112"/>
      <c r="M49" s="113"/>
      <c r="O49" s="139"/>
      <c r="P49" s="140"/>
    </row>
    <row r="50" s="110" customFormat="true" ht="15" hidden="true" customHeight="true" outlineLevel="0" collapsed="false">
      <c r="A50" s="86"/>
      <c r="B50" s="86"/>
      <c r="C50" s="67"/>
      <c r="D50" s="86"/>
      <c r="E50" s="137"/>
      <c r="F50" s="137"/>
      <c r="G50" s="137"/>
      <c r="H50" s="137"/>
      <c r="I50" s="137"/>
      <c r="J50" s="137"/>
      <c r="K50" s="138"/>
      <c r="L50" s="112"/>
      <c r="M50" s="113"/>
      <c r="O50" s="139"/>
      <c r="P50" s="140"/>
    </row>
    <row r="51" s="119" customFormat="true" ht="15" hidden="false" customHeight="true" outlineLevel="0" collapsed="false">
      <c r="A51" s="102" t="s">
        <v>114</v>
      </c>
      <c r="B51" s="102"/>
      <c r="C51" s="102"/>
      <c r="D51" s="102"/>
      <c r="E51" s="116"/>
      <c r="F51" s="116"/>
      <c r="G51" s="116"/>
      <c r="H51" s="116"/>
      <c r="I51" s="116"/>
      <c r="J51" s="116"/>
      <c r="K51" s="116"/>
      <c r="L51" s="117" t="n">
        <f aca="false">SUM(L11:L18)</f>
        <v>2838.0925</v>
      </c>
      <c r="M51" s="118"/>
      <c r="O51" s="141"/>
      <c r="P51" s="140"/>
    </row>
    <row r="52" s="119" customFormat="true" ht="6" hidden="false" customHeight="true" outlineLevel="0" collapsed="false">
      <c r="A52" s="121"/>
      <c r="B52" s="121"/>
      <c r="C52" s="121"/>
      <c r="D52" s="121"/>
      <c r="L52" s="120"/>
      <c r="M52" s="120"/>
    </row>
    <row r="53" s="119" customFormat="true" ht="15" hidden="false" customHeight="true" outlineLevel="0" collapsed="false">
      <c r="A53" s="73" t="s">
        <v>88</v>
      </c>
      <c r="B53" s="73"/>
      <c r="C53" s="73"/>
      <c r="D53" s="122" t="s">
        <v>115</v>
      </c>
      <c r="E53" s="73" t="s">
        <v>89</v>
      </c>
      <c r="F53" s="73"/>
      <c r="G53" s="73"/>
      <c r="H53" s="73"/>
      <c r="I53" s="73"/>
      <c r="J53" s="73"/>
      <c r="K53" s="73"/>
      <c r="L53" s="73"/>
      <c r="M53" s="73"/>
      <c r="O53" s="142"/>
    </row>
    <row r="54" s="119" customFormat="true" ht="9.75" hidden="false" customHeight="true" outlineLevel="0" collapsed="false">
      <c r="A54" s="123"/>
      <c r="B54" s="123"/>
      <c r="C54" s="123"/>
      <c r="D54" s="124"/>
      <c r="E54" s="124"/>
      <c r="F54" s="124"/>
      <c r="G54" s="124"/>
      <c r="H54" s="124"/>
      <c r="I54" s="124"/>
      <c r="J54" s="124"/>
      <c r="K54" s="124"/>
      <c r="L54" s="124"/>
    </row>
    <row r="55" s="119" customFormat="true" ht="14.25" hidden="false" customHeight="true" outlineLevel="0" collapsed="false">
      <c r="A55" s="123"/>
      <c r="B55" s="123"/>
      <c r="C55" s="125"/>
      <c r="D55" s="125"/>
      <c r="E55" s="124"/>
      <c r="F55" s="124"/>
      <c r="G55" s="124"/>
      <c r="H55" s="124"/>
      <c r="I55" s="124"/>
      <c r="J55" s="124"/>
      <c r="K55" s="124"/>
      <c r="L55" s="124"/>
    </row>
    <row r="56" s="119" customFormat="true" ht="15" hidden="false" customHeight="true" outlineLevel="0" collapsed="false">
      <c r="A56" s="123"/>
      <c r="B56" s="123"/>
      <c r="C56" s="126"/>
      <c r="D56" s="126"/>
      <c r="E56" s="124"/>
      <c r="F56" s="124"/>
      <c r="G56" s="124"/>
      <c r="H56" s="124"/>
      <c r="I56" s="124"/>
      <c r="J56" s="124"/>
      <c r="K56" s="124"/>
      <c r="L56" s="124"/>
      <c r="P56" s="143"/>
    </row>
    <row r="57" s="119" customFormat="true" ht="14.25" hidden="false" customHeight="true" outlineLevel="0" collapsed="false">
      <c r="A57" s="123"/>
      <c r="B57" s="123"/>
      <c r="C57" s="123"/>
      <c r="D57" s="124"/>
      <c r="E57" s="124"/>
      <c r="F57" s="124"/>
      <c r="G57" s="124"/>
      <c r="H57" s="124"/>
      <c r="I57" s="124"/>
      <c r="J57" s="124"/>
      <c r="K57" s="124"/>
      <c r="L57" s="124"/>
    </row>
    <row r="58" s="119" customFormat="true" ht="14.25" hidden="false" customHeight="true" outlineLevel="0" collapsed="false">
      <c r="A58" s="123"/>
      <c r="B58" s="123"/>
      <c r="C58" s="123"/>
      <c r="D58" s="124"/>
      <c r="E58" s="124"/>
      <c r="F58" s="124"/>
      <c r="G58" s="124"/>
      <c r="H58" s="124"/>
      <c r="I58" s="124"/>
      <c r="J58" s="124"/>
      <c r="K58" s="124"/>
      <c r="L58" s="124"/>
    </row>
    <row r="59" s="119" customFormat="true" ht="14.25" hidden="false" customHeight="true" outlineLevel="0" collapsed="false">
      <c r="A59" s="123"/>
      <c r="B59" s="123"/>
      <c r="C59" s="123"/>
      <c r="D59" s="124"/>
      <c r="E59" s="124"/>
      <c r="F59" s="124"/>
      <c r="G59" s="124"/>
      <c r="H59" s="124"/>
      <c r="I59" s="124"/>
      <c r="J59" s="124"/>
      <c r="K59" s="124"/>
      <c r="L59" s="124"/>
    </row>
    <row r="60" s="119" customFormat="true" ht="14.25" hidden="false" customHeight="true" outlineLevel="0" collapsed="false">
      <c r="A60" s="73" t="str">
        <f aca="false">'2. Cao độ đào nền'!E68</f>
        <v>Nguyễn Xuân Hưng</v>
      </c>
      <c r="B60" s="73"/>
      <c r="C60" s="73"/>
      <c r="D60" s="89"/>
      <c r="E60" s="89"/>
      <c r="F60" s="89"/>
      <c r="G60" s="89"/>
      <c r="H60" s="89"/>
      <c r="I60" s="89"/>
      <c r="J60" s="89"/>
      <c r="K60" s="73" t="s">
        <v>30</v>
      </c>
      <c r="L60" s="73"/>
      <c r="M60" s="73"/>
    </row>
    <row r="61" customFormat="false" ht="12.75" hidden="false" customHeight="false" outlineLevel="0" collapsed="false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</row>
    <row r="62" customFormat="false" ht="12.75" hidden="false" customHeight="false" outlineLevel="0" collapsed="false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</row>
    <row r="63" customFormat="false" ht="12.75" hidden="false" customHeight="false" outlineLevel="0" collapsed="false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</row>
    <row r="64" customFormat="false" ht="12.75" hidden="false" customHeight="false" outlineLevel="0" collapsed="false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</row>
    <row r="65" customFormat="false" ht="12.75" hidden="false" customHeight="false" outlineLevel="0" collapsed="false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</row>
    <row r="66" customFormat="false" ht="12.75" hidden="false" customHeight="false" outlineLevel="0" collapsed="false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</row>
    <row r="67" customFormat="false" ht="12.75" hidden="false" customHeight="false" outlineLevel="0" collapsed="false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</row>
    <row r="68" customFormat="false" ht="12.75" hidden="false" customHeight="false" outlineLevel="0" collapsed="false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</row>
    <row r="69" customFormat="false" ht="12.75" hidden="false" customHeight="false" outlineLevel="0" collapsed="false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</row>
    <row r="70" customFormat="false" ht="12.75" hidden="false" customHeight="false" outlineLevel="0" collapsed="false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</row>
    <row r="71" customFormat="false" ht="12.75" hidden="false" customHeight="false" outlineLevel="0" collapsed="false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</row>
    <row r="72" customFormat="false" ht="12.75" hidden="false" customHeight="false" outlineLevel="0" collapsed="false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</row>
    <row r="73" customFormat="false" ht="12.75" hidden="false" customHeight="false" outlineLevel="0" collapsed="false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</row>
    <row r="74" customFormat="false" ht="12.75" hidden="false" customHeight="false" outlineLevel="0" collapsed="false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</row>
    <row r="75" customFormat="false" ht="12.75" hidden="false" customHeight="false" outlineLevel="0" collapsed="false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</row>
    <row r="76" customFormat="false" ht="12.75" hidden="false" customHeight="false" outlineLevel="0" collapsed="false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</row>
    <row r="77" customFormat="false" ht="12.75" hidden="false" customHeight="false" outlineLevel="0" collapsed="false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</row>
    <row r="78" customFormat="false" ht="12.75" hidden="false" customHeight="false" outlineLevel="0" collapsed="false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</row>
    <row r="79" customFormat="false" ht="12.75" hidden="false" customHeight="false" outlineLevel="0" collapsed="false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</row>
    <row r="80" customFormat="false" ht="12.75" hidden="false" customHeight="false" outlineLevel="0" collapsed="false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</row>
    <row r="81" customFormat="false" ht="12.75" hidden="false" customHeight="false" outlineLevel="0" collapsed="false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</row>
    <row r="82" customFormat="false" ht="12.75" hidden="false" customHeight="false" outlineLevel="0" collapsed="false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</row>
    <row r="83" customFormat="false" ht="12.75" hidden="false" customHeight="false" outlineLevel="0" collapsed="false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</row>
    <row r="84" customFormat="false" ht="12.75" hidden="false" customHeight="false" outlineLevel="0" collapsed="false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</row>
    <row r="85" customFormat="false" ht="12.75" hidden="false" customHeight="false" outlineLevel="0" collapsed="false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</row>
    <row r="86" customFormat="false" ht="12.75" hidden="false" customHeight="false" outlineLevel="0" collapsed="false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</row>
    <row r="87" customFormat="false" ht="12.75" hidden="false" customHeight="false" outlineLevel="0" collapsed="false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</row>
    <row r="88" customFormat="false" ht="12.75" hidden="false" customHeight="false" outlineLevel="0" collapsed="false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</row>
    <row r="89" customFormat="false" ht="12.75" hidden="false" customHeight="false" outlineLevel="0" collapsed="false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</row>
    <row r="90" customFormat="false" ht="12.75" hidden="false" customHeight="false" outlineLevel="0" collapsed="false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</row>
    <row r="91" customFormat="false" ht="12.75" hidden="false" customHeight="false" outlineLevel="0" collapsed="false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</row>
    <row r="92" customFormat="false" ht="12.75" hidden="false" customHeight="false" outlineLevel="0" collapsed="false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</row>
    <row r="93" customFormat="false" ht="12.75" hidden="false" customHeight="false" outlineLevel="0" collapsed="false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</row>
    <row r="94" customFormat="false" ht="12.75" hidden="false" customHeight="false" outlineLevel="0" collapsed="false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</row>
    <row r="95" customFormat="false" ht="12.75" hidden="false" customHeight="false" outlineLevel="0" collapsed="false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</row>
    <row r="96" customFormat="false" ht="12.75" hidden="false" customHeight="false" outlineLevel="0" collapsed="false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</row>
    <row r="97" customFormat="false" ht="12.75" hidden="false" customHeight="false" outlineLevel="0" collapsed="false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</row>
    <row r="98" customFormat="false" ht="12.75" hidden="false" customHeight="false" outlineLevel="0" collapsed="false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</row>
    <row r="99" customFormat="false" ht="12.75" hidden="false" customHeight="false" outlineLevel="0" collapsed="false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</row>
    <row r="100" customFormat="false" ht="12.75" hidden="false" customHeight="false" outlineLevel="0" collapsed="false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</row>
    <row r="101" customFormat="false" ht="12.75" hidden="false" customHeight="false" outlineLevel="0" collapsed="false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</row>
    <row r="102" customFormat="false" ht="12.75" hidden="false" customHeight="false" outlineLevel="0" collapsed="false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</row>
    <row r="103" customFormat="false" ht="12.75" hidden="false" customHeight="false" outlineLevel="0" collapsed="false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</row>
    <row r="104" customFormat="false" ht="12.75" hidden="false" customHeight="false" outlineLevel="0" collapsed="false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</row>
    <row r="105" customFormat="false" ht="12.75" hidden="false" customHeight="false" outlineLevel="0" collapsed="false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</row>
    <row r="106" customFormat="false" ht="12.75" hidden="false" customHeight="false" outlineLevel="0" collapsed="false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</row>
    <row r="107" customFormat="false" ht="12.75" hidden="false" customHeight="false" outlineLevel="0" collapsed="false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</row>
    <row r="108" customFormat="false" ht="12.75" hidden="false" customHeight="false" outlineLevel="0" collapsed="false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</row>
    <row r="109" customFormat="false" ht="12.75" hidden="false" customHeight="false" outlineLevel="0" collapsed="false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</row>
    <row r="110" s="91" customFormat="true" ht="12.75" hidden="false" customHeight="false" outlineLevel="0" collapsed="false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90"/>
      <c r="O110" s="90"/>
      <c r="P110" s="90"/>
      <c r="Q110" s="90"/>
    </row>
    <row r="111" s="91" customFormat="true" ht="12.75" hidden="false" customHeight="false" outlineLevel="0" collapsed="false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90"/>
      <c r="O111" s="90"/>
      <c r="P111" s="90"/>
      <c r="Q111" s="90"/>
    </row>
    <row r="112" s="91" customFormat="true" ht="12.75" hidden="false" customHeight="false" outlineLevel="0" collapsed="false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90"/>
      <c r="O112" s="90"/>
      <c r="P112" s="90"/>
      <c r="Q112" s="90"/>
    </row>
    <row r="113" s="91" customFormat="true" ht="12.75" hidden="false" customHeight="false" outlineLevel="0" collapsed="false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90"/>
      <c r="O113" s="90"/>
      <c r="P113" s="90"/>
      <c r="Q113" s="90"/>
    </row>
    <row r="114" s="91" customFormat="true" ht="12.75" hidden="false" customHeight="false" outlineLevel="0" collapsed="false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90"/>
      <c r="O114" s="90"/>
      <c r="P114" s="90"/>
      <c r="Q114" s="90"/>
    </row>
    <row r="115" s="91" customFormat="true" ht="12.75" hidden="false" customHeight="false" outlineLevel="0" collapsed="false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90"/>
      <c r="O115" s="90"/>
      <c r="P115" s="90"/>
      <c r="Q115" s="90"/>
    </row>
    <row r="116" s="91" customFormat="true" ht="12.75" hidden="false" customHeight="false" outlineLevel="0" collapsed="false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90"/>
      <c r="O116" s="90"/>
      <c r="P116" s="90"/>
      <c r="Q116" s="90"/>
    </row>
    <row r="117" s="91" customFormat="true" ht="12.75" hidden="false" customHeight="false" outlineLevel="0" collapsed="false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90"/>
      <c r="O117" s="90"/>
      <c r="P117" s="90"/>
      <c r="Q117" s="90"/>
    </row>
    <row r="118" s="91" customFormat="true" ht="12.75" hidden="false" customHeight="false" outlineLevel="0" collapsed="false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90"/>
      <c r="O118" s="90"/>
      <c r="P118" s="90"/>
      <c r="Q118" s="90"/>
    </row>
    <row r="119" s="91" customFormat="true" ht="12.75" hidden="false" customHeight="false" outlineLevel="0" collapsed="false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90"/>
      <c r="O119" s="90"/>
      <c r="P119" s="90"/>
      <c r="Q119" s="90"/>
    </row>
    <row r="120" s="91" customFormat="true" ht="12.75" hidden="false" customHeight="false" outlineLevel="0" collapsed="false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90"/>
      <c r="O120" s="90"/>
      <c r="P120" s="90"/>
      <c r="Q120" s="90"/>
    </row>
    <row r="121" s="91" customFormat="true" ht="12.75" hidden="false" customHeight="false" outlineLevel="0" collapsed="false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90"/>
      <c r="O121" s="90"/>
      <c r="P121" s="90"/>
      <c r="Q121" s="90"/>
    </row>
    <row r="122" s="91" customFormat="true" ht="12.75" hidden="false" customHeight="false" outlineLevel="0" collapsed="false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90"/>
      <c r="O122" s="90"/>
      <c r="P122" s="90"/>
      <c r="Q122" s="90"/>
    </row>
    <row r="123" s="91" customFormat="true" ht="12.75" hidden="false" customHeight="false" outlineLevel="0" collapsed="false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90"/>
      <c r="O123" s="90"/>
      <c r="P123" s="90"/>
      <c r="Q123" s="90"/>
    </row>
    <row r="124" s="91" customFormat="true" ht="12.75" hidden="false" customHeight="false" outlineLevel="0" collapsed="false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90"/>
      <c r="O124" s="90"/>
      <c r="P124" s="90"/>
      <c r="Q124" s="90"/>
    </row>
    <row r="125" s="91" customFormat="true" ht="12.75" hidden="false" customHeight="false" outlineLevel="0" collapsed="false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90"/>
      <c r="O125" s="90"/>
      <c r="P125" s="90"/>
      <c r="Q125" s="90"/>
    </row>
    <row r="126" s="91" customFormat="true" ht="12.75" hidden="false" customHeight="false" outlineLevel="0" collapsed="false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90"/>
      <c r="O126" s="90"/>
      <c r="P126" s="90"/>
      <c r="Q126" s="90"/>
    </row>
    <row r="127" s="91" customFormat="true" ht="12.75" hidden="false" customHeight="false" outlineLevel="0" collapsed="false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90"/>
      <c r="O127" s="90"/>
      <c r="P127" s="90"/>
      <c r="Q127" s="90"/>
    </row>
    <row r="128" s="91" customFormat="true" ht="12.75" hidden="false" customHeight="false" outlineLevel="0" collapsed="false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90"/>
      <c r="O128" s="90"/>
      <c r="P128" s="90"/>
      <c r="Q128" s="90"/>
    </row>
    <row r="129" s="91" customFormat="true" ht="12.75" hidden="false" customHeight="false" outlineLevel="0" collapsed="false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90"/>
      <c r="O129" s="90"/>
      <c r="P129" s="90"/>
      <c r="Q129" s="90"/>
    </row>
    <row r="130" s="91" customFormat="true" ht="12.75" hidden="false" customHeight="false" outlineLevel="0" collapsed="false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90"/>
      <c r="O130" s="90"/>
      <c r="P130" s="90"/>
      <c r="Q130" s="90"/>
    </row>
    <row r="131" s="91" customFormat="true" ht="12.75" hidden="false" customHeight="false" outlineLevel="0" collapsed="false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90"/>
      <c r="O131" s="90"/>
      <c r="P131" s="90"/>
      <c r="Q131" s="90"/>
    </row>
    <row r="132" s="91" customFormat="true" ht="12.75" hidden="false" customHeight="false" outlineLevel="0" collapsed="false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90"/>
      <c r="O132" s="90"/>
      <c r="P132" s="90"/>
      <c r="Q132" s="90"/>
    </row>
    <row r="133" s="91" customFormat="true" ht="12.75" hidden="false" customHeight="false" outlineLevel="0" collapsed="false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90"/>
      <c r="O133" s="90"/>
      <c r="P133" s="90"/>
      <c r="Q133" s="90"/>
    </row>
    <row r="134" s="91" customFormat="true" ht="12.75" hidden="false" customHeight="false" outlineLevel="0" collapsed="false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90"/>
      <c r="O134" s="90"/>
      <c r="P134" s="90"/>
      <c r="Q134" s="90"/>
    </row>
    <row r="135" s="91" customFormat="true" ht="12.75" hidden="false" customHeight="false" outlineLevel="0" collapsed="false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90"/>
      <c r="O135" s="90"/>
      <c r="P135" s="90"/>
      <c r="Q135" s="90"/>
    </row>
    <row r="136" s="91" customFormat="true" ht="12.75" hidden="false" customHeight="false" outlineLevel="0" collapsed="false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90"/>
      <c r="O136" s="90"/>
      <c r="P136" s="90"/>
      <c r="Q136" s="90"/>
    </row>
    <row r="137" s="91" customFormat="true" ht="12.75" hidden="false" customHeight="false" outlineLevel="0" collapsed="false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90"/>
      <c r="O137" s="90"/>
      <c r="P137" s="90"/>
      <c r="Q137" s="90"/>
    </row>
  </sheetData>
  <mergeCells count="21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K9:L9"/>
    <mergeCell ref="M9:M10"/>
    <mergeCell ref="E10:J10"/>
    <mergeCell ref="A51:D51"/>
    <mergeCell ref="A53:C53"/>
    <mergeCell ref="E53:M53"/>
    <mergeCell ref="C55:D55"/>
    <mergeCell ref="A60:C60"/>
    <mergeCell ref="K60:M60"/>
  </mergeCells>
  <printOptions headings="false" gridLines="false" gridLinesSet="true" horizontalCentered="false" verticalCentered="false"/>
  <pageMargins left="0.7" right="0.25" top="0.440277777777778" bottom="0.2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K55" activeCellId="0" sqref="K55"/>
    </sheetView>
  </sheetViews>
  <sheetFormatPr defaultColWidth="9.1484375" defaultRowHeight="14.25" zeroHeight="false" outlineLevelRow="0" outlineLevelCol="0"/>
  <cols>
    <col collapsed="false" customWidth="false" hidden="false" outlineLevel="0" max="16384" min="1" style="144" width="9.14"/>
  </cols>
  <sheetData>
    <row r="1" customFormat="false" ht="14.25" hidden="false" customHeight="false" outlineLevel="0" collapsed="false">
      <c r="A1" s="145" t="s">
        <v>5</v>
      </c>
      <c r="B1" s="145" t="s">
        <v>69</v>
      </c>
      <c r="C1" s="145" t="s">
        <v>70</v>
      </c>
      <c r="D1" s="145" t="s">
        <v>129</v>
      </c>
      <c r="E1" s="145" t="s">
        <v>130</v>
      </c>
      <c r="F1" s="145" t="s">
        <v>131</v>
      </c>
      <c r="G1" s="145" t="s">
        <v>132</v>
      </c>
    </row>
    <row r="2" customFormat="false" ht="14.25" hidden="false" customHeight="false" outlineLevel="0" collapsed="false">
      <c r="A2" s="144" t="n">
        <v>1</v>
      </c>
      <c r="B2" s="144" t="s">
        <v>80</v>
      </c>
      <c r="C2" s="144" t="n">
        <v>609.11</v>
      </c>
      <c r="D2" s="144" t="n">
        <v>1</v>
      </c>
      <c r="E2" s="144" t="s">
        <v>133</v>
      </c>
      <c r="F2" s="144" t="n">
        <v>2</v>
      </c>
      <c r="G2" s="144" t="n">
        <v>2</v>
      </c>
    </row>
    <row r="3" customFormat="false" ht="14.25" hidden="false" customHeight="false" outlineLevel="0" collapsed="false">
      <c r="D3" s="144" t="n">
        <v>1</v>
      </c>
      <c r="E3" s="144" t="s">
        <v>134</v>
      </c>
      <c r="F3" s="144" t="n">
        <v>1.41</v>
      </c>
      <c r="G3" s="144" t="n">
        <v>1.41</v>
      </c>
    </row>
    <row r="4" customFormat="false" ht="14.25" hidden="false" customHeight="false" outlineLevel="0" collapsed="false">
      <c r="D4" s="144" t="n">
        <v>1</v>
      </c>
      <c r="E4" s="144" t="s">
        <v>135</v>
      </c>
      <c r="F4" s="144" t="n">
        <v>8.27</v>
      </c>
      <c r="G4" s="144" t="n">
        <v>8.13</v>
      </c>
    </row>
    <row r="5" customFormat="false" ht="14.25" hidden="false" customHeight="false" outlineLevel="0" collapsed="false">
      <c r="A5" s="144" t="n">
        <v>2</v>
      </c>
      <c r="B5" s="144" t="s">
        <v>81</v>
      </c>
      <c r="C5" s="144" t="n">
        <v>620.86</v>
      </c>
      <c r="D5" s="144" t="n">
        <v>1</v>
      </c>
      <c r="E5" s="144" t="s">
        <v>133</v>
      </c>
      <c r="F5" s="144" t="n">
        <v>2</v>
      </c>
      <c r="G5" s="144" t="n">
        <v>2</v>
      </c>
    </row>
    <row r="6" customFormat="false" ht="14.25" hidden="false" customHeight="false" outlineLevel="0" collapsed="false">
      <c r="D6" s="144" t="n">
        <v>1</v>
      </c>
      <c r="E6" s="144" t="s">
        <v>134</v>
      </c>
      <c r="F6" s="144" t="n">
        <v>1.41</v>
      </c>
      <c r="G6" s="144" t="n">
        <v>1.41</v>
      </c>
    </row>
    <row r="7" customFormat="false" ht="14.25" hidden="false" customHeight="false" outlineLevel="0" collapsed="false">
      <c r="D7" s="144" t="n">
        <v>1</v>
      </c>
      <c r="E7" s="144" t="s">
        <v>135</v>
      </c>
      <c r="F7" s="144" t="n">
        <v>8.05</v>
      </c>
      <c r="G7" s="144" t="n">
        <v>8.19</v>
      </c>
    </row>
    <row r="8" customFormat="false" ht="14.25" hidden="false" customHeight="false" outlineLevel="0" collapsed="false">
      <c r="A8" s="144" t="n">
        <v>3</v>
      </c>
      <c r="B8" s="144" t="s">
        <v>82</v>
      </c>
      <c r="C8" s="144" t="n">
        <v>632.61</v>
      </c>
      <c r="D8" s="144" t="n">
        <v>1</v>
      </c>
      <c r="E8" s="144" t="s">
        <v>133</v>
      </c>
      <c r="F8" s="144" t="n">
        <v>2</v>
      </c>
      <c r="G8" s="144" t="n">
        <v>2</v>
      </c>
    </row>
    <row r="9" customFormat="false" ht="14.25" hidden="false" customHeight="false" outlineLevel="0" collapsed="false">
      <c r="D9" s="144" t="n">
        <v>1</v>
      </c>
      <c r="E9" s="144" t="s">
        <v>134</v>
      </c>
      <c r="F9" s="144" t="n">
        <v>1.41</v>
      </c>
      <c r="G9" s="144" t="n">
        <v>1.35</v>
      </c>
    </row>
    <row r="10" customFormat="false" ht="14.25" hidden="false" customHeight="false" outlineLevel="0" collapsed="false">
      <c r="D10" s="144" t="n">
        <v>1</v>
      </c>
      <c r="E10" s="144" t="s">
        <v>135</v>
      </c>
      <c r="F10" s="144" t="n">
        <v>8.78</v>
      </c>
      <c r="G10" s="144" t="n">
        <v>9.06</v>
      </c>
    </row>
    <row r="11" customFormat="false" ht="14.25" hidden="false" customHeight="false" outlineLevel="0" collapsed="false">
      <c r="A11" s="144" t="n">
        <v>4</v>
      </c>
      <c r="B11" s="144" t="s">
        <v>83</v>
      </c>
      <c r="C11" s="144" t="n">
        <v>652.61</v>
      </c>
      <c r="D11" s="144" t="n">
        <v>1</v>
      </c>
      <c r="E11" s="144" t="s">
        <v>133</v>
      </c>
      <c r="F11" s="144" t="n">
        <v>2</v>
      </c>
      <c r="G11" s="144" t="n">
        <v>2</v>
      </c>
    </row>
    <row r="12" customFormat="false" ht="14.25" hidden="false" customHeight="false" outlineLevel="0" collapsed="false">
      <c r="D12" s="144" t="n">
        <v>1</v>
      </c>
      <c r="E12" s="144" t="s">
        <v>134</v>
      </c>
      <c r="F12" s="144" t="n">
        <v>1.41</v>
      </c>
      <c r="G12" s="144" t="n">
        <v>1.41</v>
      </c>
    </row>
    <row r="13" customFormat="false" ht="14.25" hidden="false" customHeight="false" outlineLevel="0" collapsed="false">
      <c r="D13" s="144" t="n">
        <v>1</v>
      </c>
      <c r="E13" s="144" t="s">
        <v>135</v>
      </c>
      <c r="F13" s="144" t="n">
        <v>9.48</v>
      </c>
      <c r="G13" s="144" t="n">
        <v>9.47</v>
      </c>
    </row>
    <row r="14" customFormat="false" ht="14.25" hidden="false" customHeight="false" outlineLevel="0" collapsed="false">
      <c r="A14" s="144" t="n">
        <v>5</v>
      </c>
      <c r="B14" s="144" t="s">
        <v>84</v>
      </c>
      <c r="C14" s="144" t="n">
        <v>672.61</v>
      </c>
      <c r="D14" s="144" t="n">
        <v>1</v>
      </c>
      <c r="E14" s="144" t="s">
        <v>133</v>
      </c>
      <c r="F14" s="144" t="n">
        <v>2</v>
      </c>
      <c r="G14" s="144" t="n">
        <v>2</v>
      </c>
    </row>
    <row r="15" customFormat="false" ht="14.25" hidden="false" customHeight="false" outlineLevel="0" collapsed="false">
      <c r="D15" s="144" t="n">
        <v>1</v>
      </c>
      <c r="E15" s="144" t="s">
        <v>134</v>
      </c>
      <c r="F15" s="144" t="n">
        <v>1.41</v>
      </c>
      <c r="G15" s="144" t="n">
        <v>1.51</v>
      </c>
    </row>
    <row r="16" customFormat="false" ht="14.25" hidden="false" customHeight="false" outlineLevel="0" collapsed="false">
      <c r="D16" s="144" t="n">
        <v>1</v>
      </c>
      <c r="E16" s="144" t="s">
        <v>135</v>
      </c>
      <c r="F16" s="144" t="n">
        <v>8.63</v>
      </c>
      <c r="G16" s="144" t="n">
        <v>8.6</v>
      </c>
    </row>
    <row r="17" customFormat="false" ht="14.25" hidden="false" customHeight="false" outlineLevel="0" collapsed="false">
      <c r="A17" s="144" t="n">
        <v>6</v>
      </c>
      <c r="B17" s="144" t="s">
        <v>85</v>
      </c>
      <c r="C17" s="144" t="n">
        <v>692.61</v>
      </c>
      <c r="D17" s="144" t="n">
        <v>1</v>
      </c>
      <c r="E17" s="144" t="s">
        <v>133</v>
      </c>
      <c r="F17" s="144" t="n">
        <v>2</v>
      </c>
      <c r="G17" s="144" t="n">
        <v>2</v>
      </c>
    </row>
    <row r="18" customFormat="false" ht="14.25" hidden="false" customHeight="false" outlineLevel="0" collapsed="false">
      <c r="D18" s="144" t="n">
        <v>1</v>
      </c>
      <c r="E18" s="144" t="s">
        <v>134</v>
      </c>
      <c r="F18" s="144" t="n">
        <v>1.41</v>
      </c>
      <c r="G18" s="144" t="n">
        <v>1.41</v>
      </c>
    </row>
    <row r="19" customFormat="false" ht="14.25" hidden="false" customHeight="false" outlineLevel="0" collapsed="false">
      <c r="D19" s="144" t="n">
        <v>1</v>
      </c>
      <c r="E19" s="144" t="s">
        <v>135</v>
      </c>
      <c r="F19" s="144" t="n">
        <v>9.54</v>
      </c>
      <c r="G19" s="144" t="n">
        <v>9.49</v>
      </c>
    </row>
    <row r="20" customFormat="false" ht="14.25" hidden="false" customHeight="false" outlineLevel="0" collapsed="false">
      <c r="A20" s="144" t="n">
        <v>7</v>
      </c>
      <c r="B20" s="144" t="s">
        <v>86</v>
      </c>
      <c r="C20" s="144" t="n">
        <v>712.61</v>
      </c>
      <c r="D20" s="144" t="n">
        <v>1</v>
      </c>
      <c r="E20" s="144" t="s">
        <v>133</v>
      </c>
      <c r="F20" s="144" t="n">
        <v>2</v>
      </c>
      <c r="G20" s="144" t="n">
        <v>2</v>
      </c>
    </row>
    <row r="21" customFormat="false" ht="14.25" hidden="false" customHeight="false" outlineLevel="0" collapsed="false">
      <c r="D21" s="144" t="n">
        <v>1</v>
      </c>
      <c r="E21" s="144" t="s">
        <v>134</v>
      </c>
      <c r="F21" s="144" t="n">
        <v>1.41</v>
      </c>
      <c r="G21" s="144" t="n">
        <v>1.41</v>
      </c>
    </row>
    <row r="22" customFormat="false" ht="14.25" hidden="false" customHeight="false" outlineLevel="0" collapsed="false">
      <c r="D22" s="144" t="n">
        <v>1</v>
      </c>
      <c r="E22" s="144" t="s">
        <v>135</v>
      </c>
      <c r="F22" s="144" t="n">
        <v>5.25</v>
      </c>
      <c r="G22" s="144" t="n">
        <v>8.95</v>
      </c>
    </row>
    <row r="23" customFormat="false" ht="14.25" hidden="false" customHeight="false" outlineLevel="0" collapsed="false">
      <c r="A23" s="144" t="n">
        <v>8</v>
      </c>
      <c r="B23" s="144" t="s">
        <v>87</v>
      </c>
      <c r="C23" s="144" t="n">
        <v>724.11</v>
      </c>
      <c r="D23" s="144" t="n">
        <v>1</v>
      </c>
      <c r="E23" s="144" t="s">
        <v>133</v>
      </c>
      <c r="F23" s="144" t="n">
        <v>2</v>
      </c>
      <c r="G23" s="144" t="n">
        <v>2</v>
      </c>
    </row>
    <row r="24" customFormat="false" ht="14.25" hidden="false" customHeight="false" outlineLevel="0" collapsed="false">
      <c r="D24" s="144" t="n">
        <v>1</v>
      </c>
      <c r="E24" s="144" t="s">
        <v>134</v>
      </c>
      <c r="F24" s="144" t="n">
        <v>1.21</v>
      </c>
      <c r="G24" s="144" t="n">
        <v>1.41</v>
      </c>
    </row>
    <row r="25" customFormat="false" ht="14.25" hidden="false" customHeight="false" outlineLevel="0" collapsed="false">
      <c r="D25" s="144" t="n">
        <v>1</v>
      </c>
      <c r="E25" s="144" t="s">
        <v>135</v>
      </c>
      <c r="F25" s="144" t="n">
        <v>10.25</v>
      </c>
      <c r="G25" s="144" t="n">
        <v>8.24</v>
      </c>
    </row>
    <row r="33" customFormat="false" ht="14.25" hidden="false" customHeight="false" outlineLevel="0" collapsed="false">
      <c r="F33" s="146"/>
      <c r="G33" s="14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33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O54" activeCellId="0" sqref="O54"/>
    </sheetView>
  </sheetViews>
  <sheetFormatPr defaultColWidth="9.2890625" defaultRowHeight="12.75" zeroHeight="false" outlineLevelRow="0" outlineLevelCol="0"/>
  <cols>
    <col collapsed="false" customWidth="true" hidden="false" outlineLevel="0" max="1" min="1" style="90" width="4.57"/>
    <col collapsed="false" customWidth="true" hidden="false" outlineLevel="0" max="2" min="2" style="90" width="5.71"/>
    <col collapsed="false" customWidth="true" hidden="false" outlineLevel="0" max="3" min="3" style="90" width="13.57"/>
    <col collapsed="false" customWidth="true" hidden="false" outlineLevel="0" max="4" min="4" style="91" width="6.85"/>
    <col collapsed="false" customWidth="true" hidden="false" outlineLevel="0" max="6" min="5" style="91" width="9"/>
    <col collapsed="false" customWidth="true" hidden="false" outlineLevel="0" max="7" min="7" style="91" width="8.29"/>
    <col collapsed="false" customWidth="true" hidden="false" outlineLevel="0" max="9" min="8" style="91" width="10.42"/>
    <col collapsed="false" customWidth="true" hidden="false" outlineLevel="0" max="10" min="10" style="91" width="8"/>
    <col collapsed="false" customWidth="true" hidden="false" outlineLevel="0" max="11" min="11" style="91" width="4.42"/>
    <col collapsed="false" customWidth="false" hidden="false" outlineLevel="0" max="12" min="12" style="90" width="9.29"/>
    <col collapsed="false" customWidth="true" hidden="false" outlineLevel="0" max="13" min="13" style="90" width="11.85"/>
    <col collapsed="false" customWidth="true" hidden="false" outlineLevel="0" max="14" min="14" style="90" width="6.71"/>
    <col collapsed="false" customWidth="true" hidden="false" outlineLevel="0" max="16" min="15" style="90" width="10.42"/>
    <col collapsed="false" customWidth="false" hidden="false" outlineLevel="0" max="16384" min="17" style="90" width="9.29"/>
  </cols>
  <sheetData>
    <row r="1" s="93" customFormat="true" ht="16.5" hidden="false" customHeight="true" outlineLevel="0" collapsed="false">
      <c r="A1" s="135" t="s">
        <v>136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</row>
    <row r="2" s="148" customFormat="true" ht="15.75" hidden="false" customHeight="true" outlineLevel="0" collapsed="false">
      <c r="A2" s="147" t="str">
        <f aca="false">"Kèm theo BBNT số: "&amp;VLOOKUP(L2,'Tuyến XD8'!$A$2:$G$60,7,0)&amp;VLOOKUP(L2,'Tuyến XD8'!$A$2:$G$60,4,0)</f>
        <v>Kèm theo BBNT số: 108.NĐXD8/CVXD ngày 12 tháng 10 năm 2026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8" t="n">
        <v>108</v>
      </c>
    </row>
    <row r="3" s="119" customFormat="true" ht="15.75" hidden="false" customHeight="true" outlineLevel="0" collapsed="false">
      <c r="A3" s="149" t="s">
        <v>62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/>
      <c r="CO3" s="150"/>
      <c r="CP3" s="150"/>
      <c r="CQ3" s="150"/>
      <c r="CR3" s="150"/>
      <c r="CS3" s="150"/>
      <c r="CT3" s="150"/>
      <c r="CU3" s="150"/>
      <c r="CV3" s="150"/>
      <c r="CW3" s="150"/>
      <c r="CX3" s="150"/>
      <c r="CY3" s="150"/>
      <c r="CZ3" s="150"/>
      <c r="DA3" s="150"/>
      <c r="DB3" s="150"/>
      <c r="DC3" s="150"/>
      <c r="DD3" s="150"/>
      <c r="DE3" s="150"/>
      <c r="DF3" s="150"/>
      <c r="DG3" s="150"/>
      <c r="DH3" s="150"/>
      <c r="DI3" s="150"/>
      <c r="DJ3" s="150"/>
      <c r="DK3" s="150"/>
      <c r="DL3" s="150"/>
      <c r="DM3" s="150"/>
      <c r="DN3" s="150"/>
      <c r="DO3" s="150"/>
      <c r="DP3" s="150"/>
      <c r="DQ3" s="150"/>
      <c r="DR3" s="150"/>
      <c r="DS3" s="150"/>
      <c r="DT3" s="150"/>
      <c r="DU3" s="150"/>
      <c r="DV3" s="150"/>
      <c r="DW3" s="150"/>
      <c r="DX3" s="150"/>
      <c r="DY3" s="150"/>
      <c r="DZ3" s="150"/>
      <c r="EA3" s="150"/>
      <c r="EB3" s="150"/>
      <c r="EC3" s="150"/>
      <c r="ED3" s="150"/>
      <c r="EE3" s="150"/>
      <c r="EF3" s="150"/>
      <c r="EG3" s="150"/>
      <c r="EH3" s="150"/>
      <c r="EI3" s="150"/>
      <c r="EJ3" s="150"/>
      <c r="EK3" s="150"/>
      <c r="EL3" s="150"/>
      <c r="EM3" s="150"/>
      <c r="EN3" s="150"/>
      <c r="EO3" s="150"/>
      <c r="EP3" s="150"/>
      <c r="EQ3" s="150"/>
      <c r="ER3" s="150"/>
      <c r="ES3" s="150"/>
      <c r="ET3" s="150"/>
      <c r="EU3" s="150"/>
      <c r="EV3" s="150"/>
      <c r="EW3" s="150"/>
      <c r="EX3" s="150"/>
      <c r="EY3" s="150"/>
      <c r="EZ3" s="150"/>
      <c r="FA3" s="150"/>
      <c r="FB3" s="150"/>
      <c r="FC3" s="150"/>
      <c r="FD3" s="150"/>
      <c r="FE3" s="150"/>
      <c r="FF3" s="150"/>
      <c r="FG3" s="150"/>
      <c r="FH3" s="150"/>
      <c r="FI3" s="150"/>
      <c r="FJ3" s="150"/>
      <c r="FK3" s="150"/>
      <c r="FL3" s="150"/>
      <c r="FM3" s="150"/>
      <c r="FN3" s="150"/>
      <c r="FO3" s="150"/>
      <c r="FP3" s="150"/>
      <c r="FQ3" s="150"/>
      <c r="FR3" s="150"/>
      <c r="FS3" s="150"/>
      <c r="FT3" s="150"/>
      <c r="FU3" s="150"/>
      <c r="FV3" s="150"/>
      <c r="FW3" s="150"/>
      <c r="FX3" s="150"/>
      <c r="FY3" s="150"/>
      <c r="FZ3" s="150"/>
      <c r="GA3" s="150"/>
      <c r="GB3" s="150"/>
      <c r="GC3" s="150"/>
      <c r="GD3" s="150"/>
      <c r="GE3" s="150"/>
      <c r="GF3" s="150"/>
      <c r="GG3" s="150"/>
      <c r="GH3" s="150"/>
      <c r="GI3" s="150"/>
      <c r="GJ3" s="150"/>
      <c r="GK3" s="150"/>
      <c r="GL3" s="150"/>
      <c r="GM3" s="150"/>
      <c r="GN3" s="150"/>
      <c r="GO3" s="150"/>
      <c r="GP3" s="150"/>
      <c r="GQ3" s="150"/>
      <c r="GR3" s="150"/>
      <c r="GS3" s="150"/>
      <c r="GT3" s="150"/>
      <c r="GU3" s="150"/>
      <c r="GV3" s="150"/>
      <c r="GW3" s="150"/>
      <c r="GX3" s="150"/>
      <c r="GY3" s="150"/>
      <c r="GZ3" s="150"/>
      <c r="HA3" s="150"/>
      <c r="HB3" s="150"/>
      <c r="HC3" s="150"/>
      <c r="HD3" s="150"/>
      <c r="HE3" s="150"/>
    </row>
    <row r="4" s="119" customFormat="true" ht="33.75" hidden="false" customHeight="true" outlineLevel="0" collapsed="false">
      <c r="A4" s="149" t="s">
        <v>63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  <c r="BM4" s="150"/>
      <c r="BN4" s="150"/>
      <c r="BO4" s="150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  <c r="CJ4" s="150"/>
      <c r="CK4" s="150"/>
      <c r="CL4" s="150"/>
      <c r="CM4" s="150"/>
      <c r="CN4" s="150"/>
      <c r="CO4" s="150"/>
      <c r="CP4" s="150"/>
      <c r="CQ4" s="150"/>
      <c r="CR4" s="150"/>
      <c r="CS4" s="150"/>
      <c r="CT4" s="150"/>
      <c r="CU4" s="150"/>
      <c r="CV4" s="150"/>
      <c r="CW4" s="150"/>
      <c r="CX4" s="150"/>
      <c r="CY4" s="150"/>
      <c r="CZ4" s="150"/>
      <c r="DA4" s="150"/>
      <c r="DB4" s="150"/>
      <c r="DC4" s="150"/>
      <c r="DD4" s="150"/>
      <c r="DE4" s="150"/>
      <c r="DF4" s="150"/>
      <c r="DG4" s="150"/>
      <c r="DH4" s="150"/>
      <c r="DI4" s="150"/>
      <c r="DJ4" s="150"/>
      <c r="DK4" s="150"/>
      <c r="DL4" s="150"/>
      <c r="DM4" s="150"/>
      <c r="DN4" s="150"/>
      <c r="DO4" s="150"/>
      <c r="DP4" s="150"/>
      <c r="DQ4" s="150"/>
      <c r="DR4" s="150"/>
      <c r="DS4" s="150"/>
      <c r="DT4" s="150"/>
      <c r="DU4" s="150"/>
      <c r="DV4" s="150"/>
      <c r="DW4" s="150"/>
      <c r="DX4" s="150"/>
      <c r="DY4" s="150"/>
      <c r="DZ4" s="150"/>
      <c r="EA4" s="150"/>
      <c r="EB4" s="150"/>
      <c r="EC4" s="150"/>
      <c r="ED4" s="150"/>
      <c r="EE4" s="150"/>
      <c r="EF4" s="150"/>
      <c r="EG4" s="150"/>
      <c r="EH4" s="150"/>
      <c r="EI4" s="150"/>
      <c r="EJ4" s="150"/>
      <c r="EK4" s="150"/>
      <c r="EL4" s="150"/>
      <c r="EM4" s="150"/>
      <c r="EN4" s="150"/>
      <c r="EO4" s="150"/>
      <c r="EP4" s="150"/>
      <c r="EQ4" s="150"/>
      <c r="ER4" s="150"/>
      <c r="ES4" s="150"/>
      <c r="ET4" s="150"/>
      <c r="EU4" s="150"/>
      <c r="EV4" s="150"/>
      <c r="EW4" s="150"/>
      <c r="EX4" s="150"/>
      <c r="EY4" s="150"/>
      <c r="EZ4" s="150"/>
      <c r="FA4" s="150"/>
      <c r="FB4" s="150"/>
      <c r="FC4" s="150"/>
      <c r="FD4" s="150"/>
      <c r="FE4" s="150"/>
      <c r="FF4" s="150"/>
      <c r="FG4" s="150"/>
      <c r="FH4" s="150"/>
      <c r="FI4" s="150"/>
      <c r="FJ4" s="150"/>
      <c r="FK4" s="150"/>
      <c r="FL4" s="150"/>
      <c r="FM4" s="150"/>
      <c r="FN4" s="150"/>
      <c r="FO4" s="150"/>
      <c r="FP4" s="150"/>
      <c r="FQ4" s="150"/>
      <c r="FR4" s="150"/>
      <c r="FS4" s="150"/>
      <c r="FT4" s="150"/>
      <c r="FU4" s="150"/>
      <c r="FV4" s="150"/>
      <c r="FW4" s="150"/>
      <c r="FX4" s="150"/>
      <c r="FY4" s="150"/>
      <c r="FZ4" s="150"/>
      <c r="GA4" s="150"/>
      <c r="GB4" s="150"/>
      <c r="GC4" s="150"/>
      <c r="GD4" s="150"/>
      <c r="GE4" s="150"/>
      <c r="GF4" s="150"/>
      <c r="GG4" s="150"/>
      <c r="GH4" s="150"/>
      <c r="GI4" s="150"/>
      <c r="GJ4" s="150"/>
      <c r="GK4" s="150"/>
      <c r="GL4" s="150"/>
      <c r="GM4" s="150"/>
      <c r="GN4" s="150"/>
      <c r="GO4" s="150"/>
      <c r="GP4" s="150"/>
      <c r="GQ4" s="150"/>
      <c r="GR4" s="150"/>
      <c r="GS4" s="150"/>
      <c r="GT4" s="150"/>
      <c r="GU4" s="150"/>
      <c r="GV4" s="150"/>
      <c r="GW4" s="150"/>
      <c r="GX4" s="150"/>
      <c r="GY4" s="150"/>
      <c r="GZ4" s="150"/>
      <c r="HA4" s="150"/>
      <c r="HB4" s="150"/>
      <c r="HC4" s="150"/>
      <c r="HD4" s="150"/>
      <c r="HE4" s="150"/>
    </row>
    <row r="5" s="119" customFormat="true" ht="15.75" hidden="false" customHeight="true" outlineLevel="0" collapsed="false">
      <c r="A5" s="149" t="s">
        <v>64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0"/>
      <c r="BO5" s="150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  <c r="CJ5" s="150"/>
      <c r="CK5" s="150"/>
      <c r="CL5" s="150"/>
      <c r="CM5" s="150"/>
      <c r="CN5" s="150"/>
      <c r="CO5" s="150"/>
      <c r="CP5" s="150"/>
      <c r="CQ5" s="150"/>
      <c r="CR5" s="150"/>
      <c r="CS5" s="150"/>
      <c r="CT5" s="150"/>
      <c r="CU5" s="150"/>
      <c r="CV5" s="150"/>
      <c r="CW5" s="150"/>
      <c r="CX5" s="150"/>
      <c r="CY5" s="150"/>
      <c r="CZ5" s="150"/>
      <c r="DA5" s="150"/>
      <c r="DB5" s="150"/>
      <c r="DC5" s="150"/>
      <c r="DD5" s="150"/>
      <c r="DE5" s="150"/>
      <c r="DF5" s="150"/>
      <c r="DG5" s="150"/>
      <c r="DH5" s="150"/>
      <c r="DI5" s="150"/>
      <c r="DJ5" s="150"/>
      <c r="DK5" s="150"/>
      <c r="DL5" s="150"/>
      <c r="DM5" s="150"/>
      <c r="DN5" s="150"/>
      <c r="DO5" s="150"/>
      <c r="DP5" s="150"/>
      <c r="DQ5" s="150"/>
      <c r="DR5" s="150"/>
      <c r="DS5" s="150"/>
      <c r="DT5" s="150"/>
      <c r="DU5" s="150"/>
      <c r="DV5" s="150"/>
      <c r="DW5" s="150"/>
      <c r="DX5" s="150"/>
      <c r="DY5" s="150"/>
      <c r="DZ5" s="150"/>
      <c r="EA5" s="150"/>
      <c r="EB5" s="150"/>
      <c r="EC5" s="150"/>
      <c r="ED5" s="150"/>
      <c r="EE5" s="150"/>
      <c r="EF5" s="150"/>
      <c r="EG5" s="150"/>
      <c r="EH5" s="150"/>
      <c r="EI5" s="150"/>
      <c r="EJ5" s="150"/>
      <c r="EK5" s="150"/>
      <c r="EL5" s="150"/>
      <c r="EM5" s="150"/>
      <c r="EN5" s="150"/>
      <c r="EO5" s="150"/>
      <c r="EP5" s="150"/>
      <c r="EQ5" s="150"/>
      <c r="ER5" s="150"/>
      <c r="ES5" s="150"/>
      <c r="ET5" s="150"/>
      <c r="EU5" s="150"/>
      <c r="EV5" s="150"/>
      <c r="EW5" s="150"/>
      <c r="EX5" s="150"/>
      <c r="EY5" s="150"/>
      <c r="EZ5" s="150"/>
      <c r="FA5" s="150"/>
      <c r="FB5" s="150"/>
      <c r="FC5" s="150"/>
      <c r="FD5" s="150"/>
      <c r="FE5" s="150"/>
      <c r="FF5" s="150"/>
      <c r="FG5" s="150"/>
      <c r="FH5" s="150"/>
      <c r="FI5" s="150"/>
      <c r="FJ5" s="150"/>
      <c r="FK5" s="150"/>
      <c r="FL5" s="150"/>
      <c r="FM5" s="150"/>
      <c r="FN5" s="150"/>
      <c r="FO5" s="150"/>
      <c r="FP5" s="150"/>
      <c r="FQ5" s="150"/>
      <c r="FR5" s="150"/>
      <c r="FS5" s="150"/>
      <c r="FT5" s="150"/>
      <c r="FU5" s="150"/>
      <c r="FV5" s="150"/>
      <c r="FW5" s="150"/>
      <c r="FX5" s="150"/>
      <c r="FY5" s="150"/>
      <c r="FZ5" s="150"/>
      <c r="GA5" s="150"/>
      <c r="GB5" s="150"/>
      <c r="GC5" s="150"/>
      <c r="GD5" s="150"/>
      <c r="GE5" s="150"/>
      <c r="GF5" s="150"/>
      <c r="GG5" s="150"/>
      <c r="GH5" s="150"/>
      <c r="GI5" s="150"/>
      <c r="GJ5" s="150"/>
      <c r="GK5" s="150"/>
      <c r="GL5" s="150"/>
      <c r="GM5" s="150"/>
      <c r="GN5" s="150"/>
      <c r="GO5" s="150"/>
      <c r="GP5" s="150"/>
      <c r="GQ5" s="150"/>
      <c r="GR5" s="150"/>
      <c r="GS5" s="150"/>
      <c r="GT5" s="150"/>
      <c r="GU5" s="150"/>
      <c r="GV5" s="150"/>
      <c r="GW5" s="150"/>
      <c r="GX5" s="150"/>
      <c r="GY5" s="150"/>
      <c r="GZ5" s="150"/>
      <c r="HA5" s="150"/>
      <c r="HB5" s="150"/>
      <c r="HC5" s="150"/>
      <c r="HD5" s="150"/>
      <c r="HE5" s="150"/>
    </row>
    <row r="6" s="119" customFormat="true" ht="15.75" hidden="false" customHeight="true" outlineLevel="0" collapsed="false">
      <c r="A6" s="149" t="s">
        <v>65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0"/>
      <c r="BF6" s="150"/>
      <c r="BG6" s="150"/>
      <c r="BH6" s="150"/>
      <c r="BI6" s="150"/>
      <c r="BJ6" s="150"/>
      <c r="BK6" s="150"/>
      <c r="BL6" s="150"/>
      <c r="BM6" s="150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  <c r="CJ6" s="150"/>
      <c r="CK6" s="150"/>
      <c r="CL6" s="150"/>
      <c r="CM6" s="150"/>
      <c r="CN6" s="150"/>
      <c r="CO6" s="150"/>
      <c r="CP6" s="150"/>
      <c r="CQ6" s="150"/>
      <c r="CR6" s="150"/>
      <c r="CS6" s="150"/>
      <c r="CT6" s="150"/>
      <c r="CU6" s="150"/>
      <c r="CV6" s="150"/>
      <c r="CW6" s="150"/>
      <c r="CX6" s="150"/>
      <c r="CY6" s="150"/>
      <c r="CZ6" s="150"/>
      <c r="DA6" s="150"/>
      <c r="DB6" s="150"/>
      <c r="DC6" s="150"/>
      <c r="DD6" s="150"/>
      <c r="DE6" s="150"/>
      <c r="DF6" s="150"/>
      <c r="DG6" s="150"/>
      <c r="DH6" s="150"/>
      <c r="DI6" s="150"/>
      <c r="DJ6" s="150"/>
      <c r="DK6" s="150"/>
      <c r="DL6" s="150"/>
      <c r="DM6" s="150"/>
      <c r="DN6" s="150"/>
      <c r="DO6" s="150"/>
      <c r="DP6" s="150"/>
      <c r="DQ6" s="150"/>
      <c r="DR6" s="150"/>
      <c r="DS6" s="150"/>
      <c r="DT6" s="150"/>
      <c r="DU6" s="150"/>
      <c r="DV6" s="150"/>
      <c r="DW6" s="150"/>
      <c r="DX6" s="150"/>
      <c r="DY6" s="150"/>
      <c r="DZ6" s="150"/>
      <c r="EA6" s="150"/>
      <c r="EB6" s="150"/>
      <c r="EC6" s="150"/>
      <c r="ED6" s="150"/>
      <c r="EE6" s="150"/>
      <c r="EF6" s="150"/>
      <c r="EG6" s="150"/>
      <c r="EH6" s="150"/>
      <c r="EI6" s="150"/>
      <c r="EJ6" s="150"/>
      <c r="EK6" s="150"/>
      <c r="EL6" s="150"/>
      <c r="EM6" s="150"/>
      <c r="EN6" s="150"/>
      <c r="EO6" s="150"/>
      <c r="EP6" s="150"/>
      <c r="EQ6" s="150"/>
      <c r="ER6" s="150"/>
      <c r="ES6" s="150"/>
      <c r="ET6" s="150"/>
      <c r="EU6" s="150"/>
      <c r="EV6" s="150"/>
      <c r="EW6" s="150"/>
      <c r="EX6" s="150"/>
      <c r="EY6" s="150"/>
      <c r="EZ6" s="150"/>
      <c r="FA6" s="150"/>
      <c r="FB6" s="150"/>
      <c r="FC6" s="150"/>
      <c r="FD6" s="150"/>
      <c r="FE6" s="150"/>
      <c r="FF6" s="150"/>
      <c r="FG6" s="150"/>
      <c r="FH6" s="150"/>
      <c r="FI6" s="150"/>
      <c r="FJ6" s="150"/>
      <c r="FK6" s="150"/>
      <c r="FL6" s="150"/>
      <c r="FM6" s="150"/>
      <c r="FN6" s="150"/>
      <c r="FO6" s="150"/>
      <c r="FP6" s="150"/>
      <c r="FQ6" s="150"/>
      <c r="FR6" s="150"/>
      <c r="FS6" s="150"/>
      <c r="FT6" s="150"/>
      <c r="FU6" s="150"/>
      <c r="FV6" s="150"/>
      <c r="FW6" s="150"/>
      <c r="FX6" s="150"/>
      <c r="FY6" s="150"/>
      <c r="FZ6" s="150"/>
      <c r="GA6" s="150"/>
      <c r="GB6" s="150"/>
      <c r="GC6" s="150"/>
      <c r="GD6" s="150"/>
      <c r="GE6" s="150"/>
      <c r="GF6" s="150"/>
      <c r="GG6" s="150"/>
      <c r="GH6" s="150"/>
      <c r="GI6" s="150"/>
      <c r="GJ6" s="150"/>
      <c r="GK6" s="150"/>
      <c r="GL6" s="150"/>
      <c r="GM6" s="150"/>
      <c r="GN6" s="150"/>
      <c r="GO6" s="150"/>
      <c r="GP6" s="150"/>
      <c r="GQ6" s="150"/>
      <c r="GR6" s="150"/>
      <c r="GS6" s="150"/>
      <c r="GT6" s="150"/>
      <c r="GU6" s="150"/>
      <c r="GV6" s="150"/>
      <c r="GW6" s="150"/>
      <c r="GX6" s="150"/>
      <c r="GY6" s="150"/>
      <c r="GZ6" s="150"/>
      <c r="HA6" s="150"/>
      <c r="HB6" s="150"/>
      <c r="HC6" s="150"/>
      <c r="HD6" s="150"/>
      <c r="HE6" s="150"/>
    </row>
    <row r="7" s="119" customFormat="true" ht="15.75" hidden="false" customHeight="true" outlineLevel="0" collapsed="false">
      <c r="A7" s="98" t="s">
        <v>66</v>
      </c>
      <c r="B7" s="99"/>
      <c r="C7" s="129"/>
      <c r="E7" s="100" t="str">
        <f aca="false">VLOOKUP(L2,'Tuyến XD8'!$A$2:$B$60,2,0)</f>
        <v>Tưới lớp thấm bám mặt đường, nhựa MC70, lượng nhựa 1kg/m2</v>
      </c>
      <c r="F7" s="100"/>
      <c r="G7" s="100"/>
      <c r="H7" s="100"/>
      <c r="I7" s="100"/>
      <c r="J7" s="100"/>
      <c r="K7" s="10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0"/>
      <c r="BF7" s="150"/>
      <c r="BG7" s="150"/>
      <c r="BH7" s="150"/>
      <c r="BI7" s="150"/>
      <c r="BJ7" s="150"/>
      <c r="BK7" s="150"/>
      <c r="BL7" s="150"/>
      <c r="BM7" s="150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  <c r="CJ7" s="150"/>
      <c r="CK7" s="150"/>
      <c r="CL7" s="150"/>
      <c r="CM7" s="150"/>
      <c r="CN7" s="150"/>
      <c r="CO7" s="150"/>
      <c r="CP7" s="150"/>
      <c r="CQ7" s="150"/>
      <c r="CR7" s="150"/>
      <c r="CS7" s="150"/>
      <c r="CT7" s="150"/>
      <c r="CU7" s="150"/>
      <c r="CV7" s="150"/>
      <c r="CW7" s="150"/>
      <c r="CX7" s="150"/>
      <c r="CY7" s="150"/>
      <c r="CZ7" s="150"/>
      <c r="DA7" s="150"/>
      <c r="DB7" s="150"/>
      <c r="DC7" s="150"/>
      <c r="DD7" s="150"/>
      <c r="DE7" s="150"/>
      <c r="DF7" s="150"/>
      <c r="DG7" s="150"/>
      <c r="DH7" s="150"/>
      <c r="DI7" s="150"/>
      <c r="DJ7" s="150"/>
      <c r="DK7" s="150"/>
      <c r="DL7" s="150"/>
      <c r="DM7" s="150"/>
      <c r="DN7" s="150"/>
      <c r="DO7" s="150"/>
      <c r="DP7" s="150"/>
      <c r="DQ7" s="150"/>
      <c r="DR7" s="150"/>
      <c r="DS7" s="150"/>
      <c r="DT7" s="150"/>
      <c r="DU7" s="150"/>
      <c r="DV7" s="150"/>
      <c r="DW7" s="150"/>
      <c r="DX7" s="150"/>
      <c r="DY7" s="150"/>
      <c r="DZ7" s="150"/>
      <c r="EA7" s="150"/>
      <c r="EB7" s="150"/>
      <c r="EC7" s="150"/>
      <c r="ED7" s="150"/>
      <c r="EE7" s="150"/>
      <c r="EF7" s="150"/>
      <c r="EG7" s="150"/>
      <c r="EH7" s="150"/>
      <c r="EI7" s="150"/>
      <c r="EJ7" s="150"/>
      <c r="EK7" s="150"/>
      <c r="EL7" s="150"/>
      <c r="EM7" s="150"/>
      <c r="EN7" s="150"/>
      <c r="EO7" s="150"/>
      <c r="EP7" s="150"/>
      <c r="EQ7" s="150"/>
      <c r="ER7" s="150"/>
      <c r="ES7" s="150"/>
      <c r="ET7" s="150"/>
      <c r="EU7" s="150"/>
      <c r="EV7" s="150"/>
      <c r="EW7" s="150"/>
      <c r="EX7" s="150"/>
      <c r="EY7" s="150"/>
      <c r="EZ7" s="150"/>
      <c r="FA7" s="150"/>
      <c r="FB7" s="150"/>
      <c r="FC7" s="150"/>
      <c r="FD7" s="150"/>
      <c r="FE7" s="150"/>
      <c r="FF7" s="150"/>
      <c r="FG7" s="150"/>
      <c r="FH7" s="150"/>
      <c r="FI7" s="150"/>
      <c r="FJ7" s="150"/>
      <c r="FK7" s="150"/>
      <c r="FL7" s="150"/>
      <c r="FM7" s="150"/>
      <c r="FN7" s="150"/>
      <c r="FO7" s="150"/>
      <c r="FP7" s="150"/>
      <c r="FQ7" s="150"/>
      <c r="FR7" s="150"/>
      <c r="FS7" s="150"/>
      <c r="FT7" s="150"/>
      <c r="FU7" s="150"/>
      <c r="FV7" s="150"/>
      <c r="FW7" s="150"/>
      <c r="FX7" s="150"/>
      <c r="FY7" s="150"/>
      <c r="FZ7" s="150"/>
      <c r="GA7" s="150"/>
      <c r="GB7" s="150"/>
      <c r="GC7" s="150"/>
      <c r="GD7" s="150"/>
      <c r="GE7" s="150"/>
      <c r="GF7" s="150"/>
      <c r="GG7" s="150"/>
      <c r="GH7" s="150"/>
      <c r="GI7" s="150"/>
      <c r="GJ7" s="150"/>
      <c r="GK7" s="150"/>
      <c r="GL7" s="150"/>
      <c r="GM7" s="150"/>
      <c r="GN7" s="150"/>
      <c r="GO7" s="150"/>
      <c r="GP7" s="150"/>
      <c r="GQ7" s="150"/>
      <c r="GR7" s="150"/>
      <c r="GS7" s="150"/>
      <c r="GT7" s="150"/>
      <c r="GU7" s="150"/>
      <c r="GV7" s="150"/>
      <c r="GW7" s="150"/>
      <c r="GX7" s="150"/>
      <c r="GY7" s="150"/>
      <c r="GZ7" s="150"/>
      <c r="HA7" s="150"/>
      <c r="HB7" s="150"/>
      <c r="HC7" s="150"/>
      <c r="HD7" s="150"/>
      <c r="HE7" s="150"/>
    </row>
    <row r="8" s="150" customFormat="true" ht="18" hidden="false" customHeight="true" outlineLevel="0" collapsed="false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</row>
    <row r="9" s="108" customFormat="true" ht="22.5" hidden="false" customHeight="true" outlineLevel="0" collapsed="false">
      <c r="A9" s="102" t="s">
        <v>5</v>
      </c>
      <c r="B9" s="152" t="s">
        <v>137</v>
      </c>
      <c r="C9" s="102" t="s">
        <v>70</v>
      </c>
      <c r="D9" s="103" t="s">
        <v>104</v>
      </c>
      <c r="E9" s="103" t="s">
        <v>138</v>
      </c>
      <c r="F9" s="103"/>
      <c r="G9" s="103"/>
      <c r="H9" s="103" t="s">
        <v>139</v>
      </c>
      <c r="I9" s="103"/>
      <c r="J9" s="103"/>
      <c r="K9" s="107" t="s">
        <v>108</v>
      </c>
    </row>
    <row r="10" s="110" customFormat="true" ht="36" hidden="false" customHeight="true" outlineLevel="0" collapsed="false">
      <c r="A10" s="102"/>
      <c r="B10" s="102"/>
      <c r="C10" s="102"/>
      <c r="D10" s="102"/>
      <c r="E10" s="107" t="s">
        <v>140</v>
      </c>
      <c r="F10" s="107" t="s">
        <v>141</v>
      </c>
      <c r="G10" s="107" t="s">
        <v>142</v>
      </c>
      <c r="H10" s="107" t="s">
        <v>140</v>
      </c>
      <c r="I10" s="107" t="s">
        <v>141</v>
      </c>
      <c r="J10" s="107" t="s">
        <v>143</v>
      </c>
      <c r="K10" s="107"/>
      <c r="L10" s="109"/>
      <c r="M10" s="109"/>
    </row>
    <row r="11" s="110" customFormat="true" ht="15" hidden="false" customHeight="true" outlineLevel="0" collapsed="false">
      <c r="A11" s="86" t="n">
        <v>1</v>
      </c>
      <c r="B11" s="86" t="str">
        <f aca="false">'1. PL đường đen'!B12</f>
        <v>31</v>
      </c>
      <c r="C11" s="67" t="n">
        <v>609.11</v>
      </c>
      <c r="D11" s="86" t="n">
        <f aca="false">'1. PL đường đen'!T12</f>
        <v>11.75</v>
      </c>
      <c r="E11" s="137" t="n">
        <v>10.5</v>
      </c>
      <c r="F11" s="137" t="n">
        <f aca="false">+E11+G11</f>
        <v>10.521</v>
      </c>
      <c r="G11" s="69" t="n">
        <f aca="false">RANDBETWEEN(-30,110)/1000</f>
        <v>0.021</v>
      </c>
      <c r="H11" s="112" t="n">
        <f aca="false">+(E11+E12)/2*D11</f>
        <v>123.375</v>
      </c>
      <c r="I11" s="112" t="n">
        <f aca="false">+(F11+F12)/2*D11</f>
        <v>124.1035</v>
      </c>
      <c r="J11" s="112" t="n">
        <f aca="false">+I11-H11</f>
        <v>0.728500000000011</v>
      </c>
      <c r="K11" s="113"/>
      <c r="L11" s="139"/>
    </row>
    <row r="12" s="110" customFormat="true" ht="15" hidden="false" customHeight="true" outlineLevel="0" collapsed="false">
      <c r="A12" s="86" t="n">
        <v>2</v>
      </c>
      <c r="B12" s="86" t="str">
        <f aca="false">'1. PL đường đen'!B13</f>
        <v>E10</v>
      </c>
      <c r="C12" s="67" t="n">
        <f aca="false">C11+D11</f>
        <v>620.86</v>
      </c>
      <c r="D12" s="86" t="n">
        <f aca="false">'1. PL đường đen'!T13</f>
        <v>11.75</v>
      </c>
      <c r="E12" s="137" t="n">
        <v>10.5</v>
      </c>
      <c r="F12" s="137" t="n">
        <f aca="false">+E12+G12</f>
        <v>10.603</v>
      </c>
      <c r="G12" s="69" t="n">
        <f aca="false">RANDBETWEEN(-30,110)/1000</f>
        <v>0.103</v>
      </c>
      <c r="H12" s="112" t="n">
        <f aca="false">+(E12+E13)/2*D12</f>
        <v>123.375</v>
      </c>
      <c r="I12" s="112" t="n">
        <f aca="false">+(F12+F13)/2*D12</f>
        <v>124.074125</v>
      </c>
      <c r="J12" s="112" t="n">
        <f aca="false">+I12-H12</f>
        <v>0.699124999999995</v>
      </c>
      <c r="K12" s="113"/>
      <c r="L12" s="139"/>
    </row>
    <row r="13" s="110" customFormat="true" ht="15" hidden="false" customHeight="true" outlineLevel="0" collapsed="false">
      <c r="A13" s="86" t="n">
        <v>3</v>
      </c>
      <c r="B13" s="86" t="str">
        <f aca="false">'1. PL đường đen'!B14</f>
        <v>32</v>
      </c>
      <c r="C13" s="67" t="n">
        <f aca="false">C12+D12</f>
        <v>632.61</v>
      </c>
      <c r="D13" s="86" t="n">
        <f aca="false">'1. PL đường đen'!T14</f>
        <v>20</v>
      </c>
      <c r="E13" s="137" t="n">
        <v>10.5</v>
      </c>
      <c r="F13" s="137" t="n">
        <f aca="false">+E13+G13</f>
        <v>10.516</v>
      </c>
      <c r="G13" s="69" t="n">
        <f aca="false">RANDBETWEEN(-30,110)/1000</f>
        <v>0.016</v>
      </c>
      <c r="H13" s="112" t="n">
        <f aca="false">+(E13+E14)/2*D13</f>
        <v>210</v>
      </c>
      <c r="I13" s="112" t="n">
        <f aca="false">+(F13+F14)/2*D13</f>
        <v>211.18</v>
      </c>
      <c r="J13" s="112" t="n">
        <f aca="false">+I13-H13</f>
        <v>1.18000000000001</v>
      </c>
      <c r="K13" s="113"/>
      <c r="L13" s="139"/>
    </row>
    <row r="14" s="110" customFormat="true" ht="15" hidden="false" customHeight="true" outlineLevel="0" collapsed="false">
      <c r="A14" s="86" t="n">
        <v>4</v>
      </c>
      <c r="B14" s="86" t="str">
        <f aca="false">'1. PL đường đen'!B15</f>
        <v>33</v>
      </c>
      <c r="C14" s="67" t="n">
        <f aca="false">C13+D13</f>
        <v>652.61</v>
      </c>
      <c r="D14" s="86" t="n">
        <f aca="false">'1. PL đường đen'!T15</f>
        <v>20</v>
      </c>
      <c r="E14" s="137" t="n">
        <v>10.5</v>
      </c>
      <c r="F14" s="137" t="n">
        <f aca="false">+E14+G14</f>
        <v>10.602</v>
      </c>
      <c r="G14" s="69" t="n">
        <f aca="false">RANDBETWEEN(-30,110)/1000</f>
        <v>0.102</v>
      </c>
      <c r="H14" s="112" t="n">
        <f aca="false">+(E14+E15)/2*D14</f>
        <v>210</v>
      </c>
      <c r="I14" s="112" t="n">
        <f aca="false">+(F14+F15)/2*D14</f>
        <v>211.16</v>
      </c>
      <c r="J14" s="112" t="n">
        <f aca="false">+I14-H14</f>
        <v>1.16</v>
      </c>
      <c r="K14" s="113"/>
      <c r="L14" s="139"/>
    </row>
    <row r="15" s="110" customFormat="true" ht="15" hidden="false" customHeight="true" outlineLevel="0" collapsed="false">
      <c r="A15" s="86" t="n">
        <v>5</v>
      </c>
      <c r="B15" s="86" t="str">
        <f aca="false">'1. PL đường đen'!B16</f>
        <v>34</v>
      </c>
      <c r="C15" s="67" t="n">
        <f aca="false">C14+D14</f>
        <v>672.61</v>
      </c>
      <c r="D15" s="86" t="n">
        <f aca="false">'1. PL đường đen'!T16</f>
        <v>20</v>
      </c>
      <c r="E15" s="137" t="n">
        <v>10.5</v>
      </c>
      <c r="F15" s="137" t="n">
        <f aca="false">+E15+G15</f>
        <v>10.514</v>
      </c>
      <c r="G15" s="69" t="n">
        <f aca="false">RANDBETWEEN(-30,110)/1000</f>
        <v>0.014</v>
      </c>
      <c r="H15" s="112" t="n">
        <f aca="false">+(E15+E16)/2*D15</f>
        <v>210</v>
      </c>
      <c r="I15" s="112" t="n">
        <f aca="false">+(F15+F16)/2*D15</f>
        <v>210.58</v>
      </c>
      <c r="J15" s="112" t="n">
        <f aca="false">+I15-H15</f>
        <v>0.579999999999984</v>
      </c>
      <c r="K15" s="113"/>
      <c r="L15" s="139"/>
    </row>
    <row r="16" s="110" customFormat="true" ht="15" hidden="false" customHeight="true" outlineLevel="0" collapsed="false">
      <c r="A16" s="86" t="n">
        <v>6</v>
      </c>
      <c r="B16" s="86" t="str">
        <f aca="false">'1. PL đường đen'!B17</f>
        <v>35</v>
      </c>
      <c r="C16" s="67" t="n">
        <f aca="false">C15+D15</f>
        <v>692.61</v>
      </c>
      <c r="D16" s="86" t="n">
        <f aca="false">'1. PL đường đen'!T17</f>
        <v>20</v>
      </c>
      <c r="E16" s="137" t="n">
        <v>10.5</v>
      </c>
      <c r="F16" s="137" t="n">
        <f aca="false">+E16+G16</f>
        <v>10.544</v>
      </c>
      <c r="G16" s="69" t="n">
        <f aca="false">RANDBETWEEN(-30,110)/1000</f>
        <v>0.044</v>
      </c>
      <c r="H16" s="112" t="n">
        <f aca="false">+(E16+E17)/2*D16</f>
        <v>210</v>
      </c>
      <c r="I16" s="112" t="n">
        <f aca="false">+(F16+F17)/2*D16</f>
        <v>211.39</v>
      </c>
      <c r="J16" s="112" t="n">
        <f aca="false">+I16-H16</f>
        <v>1.39000000000004</v>
      </c>
      <c r="K16" s="113"/>
      <c r="L16" s="139"/>
    </row>
    <row r="17" s="110" customFormat="true" ht="15" hidden="false" customHeight="true" outlineLevel="0" collapsed="false">
      <c r="A17" s="86" t="n">
        <v>7</v>
      </c>
      <c r="B17" s="86" t="str">
        <f aca="false">'1. PL đường đen'!B18</f>
        <v>36</v>
      </c>
      <c r="C17" s="67" t="n">
        <f aca="false">C16+D16</f>
        <v>712.61</v>
      </c>
      <c r="D17" s="86" t="n">
        <f aca="false">'1. PL đường đen'!T18</f>
        <v>11.5</v>
      </c>
      <c r="E17" s="137" t="n">
        <v>10.5</v>
      </c>
      <c r="F17" s="137" t="n">
        <f aca="false">+E17+G17</f>
        <v>10.595</v>
      </c>
      <c r="G17" s="69" t="n">
        <f aca="false">RANDBETWEEN(-30,110)/1000</f>
        <v>0.095</v>
      </c>
      <c r="H17" s="112" t="n">
        <f aca="false">+(E17+E18)/2*D17</f>
        <v>120.75</v>
      </c>
      <c r="I17" s="112" t="n">
        <f aca="false">+(F17+F18)/2*D17</f>
        <v>121.31925</v>
      </c>
      <c r="J17" s="112" t="n">
        <f aca="false">+I17-H17</f>
        <v>0.569249999999997</v>
      </c>
      <c r="K17" s="113"/>
      <c r="L17" s="139"/>
    </row>
    <row r="18" s="110" customFormat="true" ht="15" hidden="false" customHeight="true" outlineLevel="0" collapsed="false">
      <c r="A18" s="86" t="n">
        <v>8</v>
      </c>
      <c r="B18" s="86" t="str">
        <f aca="false">'1. PL đường đen'!B19</f>
        <v>37</v>
      </c>
      <c r="C18" s="67" t="n">
        <f aca="false">C17+D17</f>
        <v>724.11</v>
      </c>
      <c r="D18" s="86"/>
      <c r="E18" s="137" t="n">
        <v>10.5</v>
      </c>
      <c r="F18" s="137" t="n">
        <f aca="false">+E18+G18</f>
        <v>10.504</v>
      </c>
      <c r="G18" s="69" t="n">
        <f aca="false">RANDBETWEEN(-30,110)/1000</f>
        <v>0.004</v>
      </c>
      <c r="H18" s="112"/>
      <c r="I18" s="112"/>
      <c r="J18" s="112"/>
      <c r="K18" s="113"/>
      <c r="L18" s="139"/>
    </row>
    <row r="19" s="110" customFormat="true" ht="15" hidden="true" customHeight="true" outlineLevel="0" collapsed="false">
      <c r="A19" s="86"/>
      <c r="B19" s="86"/>
      <c r="C19" s="67"/>
      <c r="D19" s="86"/>
      <c r="E19" s="137"/>
      <c r="F19" s="137"/>
      <c r="G19" s="69"/>
      <c r="H19" s="112"/>
      <c r="I19" s="112"/>
      <c r="J19" s="112"/>
      <c r="K19" s="113"/>
      <c r="L19" s="139"/>
    </row>
    <row r="20" s="110" customFormat="true" ht="15" hidden="true" customHeight="true" outlineLevel="0" collapsed="false">
      <c r="A20" s="86"/>
      <c r="B20" s="86"/>
      <c r="C20" s="67"/>
      <c r="D20" s="86"/>
      <c r="E20" s="137"/>
      <c r="F20" s="137"/>
      <c r="G20" s="69"/>
      <c r="H20" s="112"/>
      <c r="I20" s="112"/>
      <c r="J20" s="112"/>
      <c r="K20" s="113"/>
      <c r="L20" s="139"/>
    </row>
    <row r="21" s="110" customFormat="true" ht="15" hidden="true" customHeight="true" outlineLevel="0" collapsed="false">
      <c r="A21" s="86"/>
      <c r="B21" s="86"/>
      <c r="C21" s="67"/>
      <c r="D21" s="86"/>
      <c r="E21" s="137"/>
      <c r="F21" s="137"/>
      <c r="G21" s="69"/>
      <c r="H21" s="112"/>
      <c r="I21" s="112"/>
      <c r="J21" s="112"/>
      <c r="K21" s="113"/>
      <c r="L21" s="139"/>
    </row>
    <row r="22" s="110" customFormat="true" ht="15" hidden="true" customHeight="true" outlineLevel="0" collapsed="false">
      <c r="A22" s="86"/>
      <c r="B22" s="86"/>
      <c r="C22" s="67"/>
      <c r="D22" s="86"/>
      <c r="E22" s="137"/>
      <c r="F22" s="137"/>
      <c r="G22" s="69"/>
      <c r="H22" s="112"/>
      <c r="I22" s="112"/>
      <c r="J22" s="112"/>
      <c r="K22" s="113"/>
      <c r="L22" s="139"/>
    </row>
    <row r="23" s="110" customFormat="true" ht="15" hidden="true" customHeight="true" outlineLevel="0" collapsed="false">
      <c r="A23" s="86"/>
      <c r="B23" s="86"/>
      <c r="C23" s="67"/>
      <c r="D23" s="86"/>
      <c r="E23" s="137"/>
      <c r="F23" s="137"/>
      <c r="G23" s="69"/>
      <c r="H23" s="112"/>
      <c r="I23" s="112"/>
      <c r="J23" s="112"/>
      <c r="K23" s="113"/>
      <c r="L23" s="139"/>
    </row>
    <row r="24" s="110" customFormat="true" ht="15" hidden="true" customHeight="true" outlineLevel="0" collapsed="false">
      <c r="A24" s="86"/>
      <c r="B24" s="86"/>
      <c r="C24" s="67"/>
      <c r="D24" s="86"/>
      <c r="E24" s="137"/>
      <c r="F24" s="137"/>
      <c r="G24" s="69"/>
      <c r="H24" s="112"/>
      <c r="I24" s="112"/>
      <c r="J24" s="112"/>
      <c r="K24" s="113"/>
      <c r="L24" s="139"/>
    </row>
    <row r="25" s="110" customFormat="true" ht="15" hidden="true" customHeight="true" outlineLevel="0" collapsed="false">
      <c r="A25" s="86"/>
      <c r="B25" s="86"/>
      <c r="C25" s="67"/>
      <c r="D25" s="86"/>
      <c r="E25" s="137"/>
      <c r="F25" s="137"/>
      <c r="G25" s="69"/>
      <c r="H25" s="112"/>
      <c r="I25" s="112"/>
      <c r="J25" s="112"/>
      <c r="K25" s="113"/>
      <c r="L25" s="139"/>
    </row>
    <row r="26" s="110" customFormat="true" ht="15" hidden="true" customHeight="true" outlineLevel="0" collapsed="false">
      <c r="A26" s="86"/>
      <c r="B26" s="86"/>
      <c r="C26" s="67"/>
      <c r="D26" s="86"/>
      <c r="E26" s="137"/>
      <c r="F26" s="137"/>
      <c r="G26" s="69"/>
      <c r="H26" s="112"/>
      <c r="I26" s="112"/>
      <c r="J26" s="112"/>
      <c r="K26" s="113"/>
      <c r="L26" s="139"/>
    </row>
    <row r="27" s="110" customFormat="true" ht="15" hidden="true" customHeight="true" outlineLevel="0" collapsed="false">
      <c r="A27" s="86"/>
      <c r="B27" s="86"/>
      <c r="C27" s="67"/>
      <c r="D27" s="86"/>
      <c r="E27" s="137"/>
      <c r="F27" s="137"/>
      <c r="G27" s="69"/>
      <c r="H27" s="112"/>
      <c r="I27" s="112"/>
      <c r="J27" s="112"/>
      <c r="K27" s="113"/>
      <c r="L27" s="139"/>
    </row>
    <row r="28" s="110" customFormat="true" ht="15" hidden="true" customHeight="true" outlineLevel="0" collapsed="false">
      <c r="A28" s="86"/>
      <c r="B28" s="86"/>
      <c r="C28" s="67"/>
      <c r="D28" s="86"/>
      <c r="E28" s="137"/>
      <c r="F28" s="137"/>
      <c r="G28" s="69"/>
      <c r="H28" s="112"/>
      <c r="I28" s="112"/>
      <c r="J28" s="112"/>
      <c r="K28" s="113"/>
      <c r="L28" s="139"/>
    </row>
    <row r="29" s="110" customFormat="true" ht="15" hidden="true" customHeight="true" outlineLevel="0" collapsed="false">
      <c r="A29" s="86"/>
      <c r="B29" s="86"/>
      <c r="C29" s="67"/>
      <c r="D29" s="86"/>
      <c r="E29" s="137"/>
      <c r="F29" s="137"/>
      <c r="G29" s="69"/>
      <c r="H29" s="112"/>
      <c r="I29" s="112"/>
      <c r="J29" s="112"/>
      <c r="K29" s="113"/>
      <c r="L29" s="139"/>
    </row>
    <row r="30" s="110" customFormat="true" ht="15" hidden="true" customHeight="true" outlineLevel="0" collapsed="false">
      <c r="A30" s="86"/>
      <c r="B30" s="86"/>
      <c r="C30" s="67"/>
      <c r="D30" s="86"/>
      <c r="E30" s="137"/>
      <c r="F30" s="137"/>
      <c r="G30" s="69"/>
      <c r="H30" s="112"/>
      <c r="I30" s="112"/>
      <c r="J30" s="112"/>
      <c r="K30" s="113"/>
      <c r="L30" s="139"/>
    </row>
    <row r="31" s="110" customFormat="true" ht="15" hidden="true" customHeight="true" outlineLevel="0" collapsed="false">
      <c r="A31" s="86"/>
      <c r="B31" s="86"/>
      <c r="C31" s="67"/>
      <c r="D31" s="86"/>
      <c r="E31" s="137"/>
      <c r="F31" s="137"/>
      <c r="G31" s="69"/>
      <c r="H31" s="112"/>
      <c r="I31" s="112"/>
      <c r="J31" s="112"/>
      <c r="K31" s="113"/>
      <c r="L31" s="139"/>
    </row>
    <row r="32" s="110" customFormat="true" ht="15" hidden="true" customHeight="true" outlineLevel="0" collapsed="false">
      <c r="A32" s="86"/>
      <c r="B32" s="86"/>
      <c r="C32" s="67"/>
      <c r="D32" s="86"/>
      <c r="E32" s="137"/>
      <c r="F32" s="137"/>
      <c r="G32" s="69"/>
      <c r="H32" s="112"/>
      <c r="I32" s="112"/>
      <c r="J32" s="112"/>
      <c r="K32" s="113"/>
      <c r="L32" s="139"/>
    </row>
    <row r="33" s="110" customFormat="true" ht="15" hidden="true" customHeight="true" outlineLevel="0" collapsed="false">
      <c r="A33" s="86"/>
      <c r="B33" s="86"/>
      <c r="C33" s="67"/>
      <c r="D33" s="86"/>
      <c r="E33" s="137"/>
      <c r="F33" s="137"/>
      <c r="G33" s="69"/>
      <c r="H33" s="112"/>
      <c r="I33" s="112"/>
      <c r="J33" s="112"/>
      <c r="K33" s="113"/>
      <c r="L33" s="139"/>
    </row>
    <row r="34" s="110" customFormat="true" ht="15" hidden="true" customHeight="true" outlineLevel="0" collapsed="false">
      <c r="A34" s="86"/>
      <c r="B34" s="86"/>
      <c r="C34" s="67"/>
      <c r="D34" s="86"/>
      <c r="E34" s="137"/>
      <c r="F34" s="137"/>
      <c r="G34" s="69"/>
      <c r="H34" s="112"/>
      <c r="I34" s="112"/>
      <c r="J34" s="112"/>
      <c r="K34" s="113"/>
      <c r="L34" s="139"/>
    </row>
    <row r="35" s="110" customFormat="true" ht="15" hidden="true" customHeight="true" outlineLevel="0" collapsed="false">
      <c r="A35" s="86"/>
      <c r="B35" s="86"/>
      <c r="C35" s="67"/>
      <c r="D35" s="86"/>
      <c r="E35" s="137"/>
      <c r="F35" s="137"/>
      <c r="G35" s="69"/>
      <c r="H35" s="112"/>
      <c r="I35" s="112"/>
      <c r="J35" s="112"/>
      <c r="K35" s="113"/>
      <c r="L35" s="139"/>
    </row>
    <row r="36" s="110" customFormat="true" ht="15" hidden="true" customHeight="true" outlineLevel="0" collapsed="false">
      <c r="A36" s="86"/>
      <c r="B36" s="86"/>
      <c r="C36" s="67"/>
      <c r="D36" s="86"/>
      <c r="E36" s="137"/>
      <c r="F36" s="137"/>
      <c r="G36" s="69"/>
      <c r="H36" s="112"/>
      <c r="I36" s="112"/>
      <c r="J36" s="112"/>
      <c r="K36" s="113"/>
      <c r="L36" s="139"/>
    </row>
    <row r="37" s="110" customFormat="true" ht="15" hidden="true" customHeight="true" outlineLevel="0" collapsed="false">
      <c r="A37" s="86"/>
      <c r="B37" s="86"/>
      <c r="C37" s="67"/>
      <c r="D37" s="86"/>
      <c r="E37" s="137"/>
      <c r="F37" s="137"/>
      <c r="G37" s="69"/>
      <c r="H37" s="112"/>
      <c r="I37" s="112"/>
      <c r="J37" s="112"/>
      <c r="K37" s="113"/>
      <c r="L37" s="139"/>
    </row>
    <row r="38" s="110" customFormat="true" ht="15" hidden="true" customHeight="true" outlineLevel="0" collapsed="false">
      <c r="A38" s="86"/>
      <c r="B38" s="86"/>
      <c r="C38" s="67"/>
      <c r="D38" s="86"/>
      <c r="E38" s="137"/>
      <c r="F38" s="137"/>
      <c r="G38" s="69"/>
      <c r="H38" s="112"/>
      <c r="I38" s="112"/>
      <c r="J38" s="112"/>
      <c r="K38" s="113"/>
      <c r="L38" s="139"/>
    </row>
    <row r="39" s="110" customFormat="true" ht="15" hidden="true" customHeight="true" outlineLevel="0" collapsed="false">
      <c r="A39" s="86"/>
      <c r="B39" s="86"/>
      <c r="C39" s="67"/>
      <c r="D39" s="86"/>
      <c r="E39" s="137"/>
      <c r="F39" s="137"/>
      <c r="G39" s="69"/>
      <c r="H39" s="112"/>
      <c r="I39" s="112"/>
      <c r="J39" s="112"/>
      <c r="K39" s="113"/>
      <c r="L39" s="139"/>
    </row>
    <row r="40" s="110" customFormat="true" ht="15" hidden="true" customHeight="true" outlineLevel="0" collapsed="false">
      <c r="A40" s="86"/>
      <c r="B40" s="86"/>
      <c r="C40" s="67"/>
      <c r="D40" s="86"/>
      <c r="E40" s="137"/>
      <c r="F40" s="137"/>
      <c r="G40" s="69"/>
      <c r="H40" s="112"/>
      <c r="I40" s="112"/>
      <c r="J40" s="112"/>
      <c r="K40" s="113"/>
      <c r="L40" s="139"/>
    </row>
    <row r="41" s="110" customFormat="true" ht="15" hidden="true" customHeight="true" outlineLevel="0" collapsed="false">
      <c r="A41" s="86"/>
      <c r="B41" s="86"/>
      <c r="C41" s="67"/>
      <c r="D41" s="86"/>
      <c r="E41" s="137"/>
      <c r="F41" s="137"/>
      <c r="G41" s="69"/>
      <c r="H41" s="112"/>
      <c r="I41" s="112"/>
      <c r="J41" s="112"/>
      <c r="K41" s="113"/>
      <c r="L41" s="139"/>
    </row>
    <row r="42" s="110" customFormat="true" ht="15" hidden="true" customHeight="true" outlineLevel="0" collapsed="false">
      <c r="A42" s="86"/>
      <c r="B42" s="86"/>
      <c r="C42" s="67"/>
      <c r="D42" s="86"/>
      <c r="E42" s="137"/>
      <c r="F42" s="137"/>
      <c r="G42" s="69"/>
      <c r="H42" s="112"/>
      <c r="I42" s="112"/>
      <c r="J42" s="112"/>
      <c r="K42" s="113"/>
      <c r="L42" s="139"/>
    </row>
    <row r="43" s="110" customFormat="true" ht="15" hidden="true" customHeight="true" outlineLevel="0" collapsed="false">
      <c r="A43" s="86"/>
      <c r="B43" s="86"/>
      <c r="C43" s="67"/>
      <c r="D43" s="86"/>
      <c r="E43" s="137"/>
      <c r="F43" s="137"/>
      <c r="G43" s="69"/>
      <c r="H43" s="112"/>
      <c r="I43" s="112"/>
      <c r="J43" s="112"/>
      <c r="K43" s="113"/>
      <c r="L43" s="139"/>
    </row>
    <row r="44" s="110" customFormat="true" ht="15" hidden="true" customHeight="true" outlineLevel="0" collapsed="false">
      <c r="A44" s="86"/>
      <c r="B44" s="86"/>
      <c r="C44" s="67"/>
      <c r="D44" s="86"/>
      <c r="E44" s="137"/>
      <c r="F44" s="137"/>
      <c r="G44" s="69"/>
      <c r="H44" s="112"/>
      <c r="I44" s="112"/>
      <c r="J44" s="112"/>
      <c r="K44" s="113"/>
      <c r="L44" s="139"/>
    </row>
    <row r="45" s="110" customFormat="true" ht="15" hidden="true" customHeight="true" outlineLevel="0" collapsed="false">
      <c r="A45" s="86"/>
      <c r="B45" s="86"/>
      <c r="C45" s="67"/>
      <c r="D45" s="86"/>
      <c r="E45" s="137"/>
      <c r="F45" s="137"/>
      <c r="G45" s="69"/>
      <c r="H45" s="112"/>
      <c r="I45" s="112"/>
      <c r="J45" s="112"/>
      <c r="K45" s="113"/>
      <c r="L45" s="139"/>
    </row>
    <row r="46" s="110" customFormat="true" ht="15" hidden="true" customHeight="true" outlineLevel="0" collapsed="false">
      <c r="A46" s="86"/>
      <c r="B46" s="86"/>
      <c r="C46" s="67"/>
      <c r="D46" s="86"/>
      <c r="E46" s="137"/>
      <c r="F46" s="137"/>
      <c r="G46" s="69"/>
      <c r="H46" s="112"/>
      <c r="I46" s="112"/>
      <c r="J46" s="112"/>
      <c r="K46" s="113"/>
      <c r="L46" s="139"/>
    </row>
    <row r="47" s="110" customFormat="true" ht="15" hidden="true" customHeight="true" outlineLevel="0" collapsed="false">
      <c r="A47" s="86"/>
      <c r="B47" s="86"/>
      <c r="C47" s="67"/>
      <c r="D47" s="86"/>
      <c r="E47" s="137"/>
      <c r="F47" s="137"/>
      <c r="G47" s="69"/>
      <c r="H47" s="112"/>
      <c r="I47" s="112"/>
      <c r="J47" s="112"/>
      <c r="K47" s="113"/>
      <c r="L47" s="139"/>
    </row>
    <row r="48" s="110" customFormat="true" ht="15" hidden="true" customHeight="true" outlineLevel="0" collapsed="false">
      <c r="A48" s="86"/>
      <c r="B48" s="86"/>
      <c r="C48" s="67"/>
      <c r="D48" s="86"/>
      <c r="E48" s="137"/>
      <c r="F48" s="137"/>
      <c r="G48" s="69"/>
      <c r="H48" s="112"/>
      <c r="I48" s="112"/>
      <c r="J48" s="112"/>
      <c r="K48" s="113"/>
      <c r="L48" s="139"/>
    </row>
    <row r="49" s="119" customFormat="true" ht="15" hidden="false" customHeight="true" outlineLevel="0" collapsed="false">
      <c r="A49" s="102" t="s">
        <v>114</v>
      </c>
      <c r="B49" s="102"/>
      <c r="C49" s="102"/>
      <c r="D49" s="102"/>
      <c r="E49" s="102"/>
      <c r="F49" s="102"/>
      <c r="G49" s="102"/>
      <c r="H49" s="153" t="n">
        <f aca="false">SUM(H11:H18)</f>
        <v>1207.5</v>
      </c>
      <c r="I49" s="153" t="n">
        <f aca="false">SUM(I11:I18)</f>
        <v>1213.806875</v>
      </c>
      <c r="J49" s="117" t="n">
        <f aca="false">+I49-H49</f>
        <v>6.30687499999999</v>
      </c>
      <c r="K49" s="118"/>
      <c r="M49" s="120"/>
      <c r="O49" s="154"/>
      <c r="P49" s="155"/>
    </row>
    <row r="50" s="119" customFormat="true" ht="14.25" hidden="false" customHeight="true" outlineLevel="0" collapsed="false">
      <c r="A50" s="121"/>
      <c r="B50" s="121"/>
      <c r="C50" s="121"/>
      <c r="D50" s="121"/>
      <c r="H50" s="120"/>
      <c r="I50" s="120"/>
      <c r="J50" s="120"/>
      <c r="K50" s="120"/>
    </row>
    <row r="51" s="119" customFormat="true" ht="14.25" hidden="false" customHeight="true" outlineLevel="0" collapsed="false">
      <c r="A51" s="73" t="s">
        <v>88</v>
      </c>
      <c r="B51" s="73"/>
      <c r="C51" s="73"/>
      <c r="D51" s="73"/>
      <c r="F51" s="89"/>
      <c r="G51" s="73" t="s">
        <v>89</v>
      </c>
      <c r="H51" s="73"/>
      <c r="I51" s="73"/>
      <c r="J51" s="73"/>
      <c r="K51" s="89"/>
    </row>
    <row r="52" s="119" customFormat="true" ht="15" hidden="false" customHeight="true" outlineLevel="0" collapsed="false">
      <c r="A52" s="123"/>
      <c r="B52" s="123"/>
      <c r="C52" s="126"/>
      <c r="D52" s="126"/>
      <c r="E52" s="124"/>
      <c r="F52" s="124"/>
      <c r="G52" s="124"/>
      <c r="H52" s="124"/>
      <c r="I52" s="124"/>
      <c r="J52" s="124"/>
      <c r="N52" s="143"/>
    </row>
    <row r="53" s="119" customFormat="true" ht="14.25" hidden="false" customHeight="true" outlineLevel="0" collapsed="false">
      <c r="A53" s="123"/>
      <c r="B53" s="123"/>
      <c r="C53" s="123"/>
      <c r="D53" s="124"/>
      <c r="E53" s="124"/>
      <c r="F53" s="124"/>
      <c r="G53" s="124"/>
      <c r="H53" s="124"/>
      <c r="I53" s="124"/>
      <c r="J53" s="124"/>
    </row>
    <row r="54" s="119" customFormat="true" ht="14.25" hidden="false" customHeight="true" outlineLevel="0" collapsed="false">
      <c r="A54" s="123"/>
      <c r="B54" s="123"/>
      <c r="C54" s="123"/>
      <c r="D54" s="124"/>
      <c r="E54" s="124"/>
      <c r="F54" s="124"/>
      <c r="G54" s="124"/>
      <c r="H54" s="124"/>
      <c r="I54" s="124"/>
      <c r="J54" s="124"/>
    </row>
    <row r="55" s="119" customFormat="true" ht="14.25" hidden="false" customHeight="true" outlineLevel="0" collapsed="false">
      <c r="A55" s="123"/>
      <c r="B55" s="123"/>
      <c r="C55" s="123"/>
      <c r="D55" s="124"/>
      <c r="E55" s="124"/>
      <c r="F55" s="124"/>
      <c r="G55" s="124"/>
      <c r="H55" s="124"/>
      <c r="I55" s="124"/>
      <c r="J55" s="124"/>
    </row>
    <row r="56" s="119" customFormat="true" ht="14.25" hidden="false" customHeight="true" outlineLevel="0" collapsed="false">
      <c r="A56" s="73" t="s">
        <v>29</v>
      </c>
      <c r="B56" s="73"/>
      <c r="C56" s="73"/>
      <c r="D56" s="73"/>
      <c r="F56" s="89"/>
      <c r="G56" s="73" t="s">
        <v>144</v>
      </c>
      <c r="H56" s="73"/>
      <c r="I56" s="73"/>
      <c r="J56" s="73"/>
      <c r="K56" s="89"/>
    </row>
    <row r="57" s="108" customFormat="true" ht="15" hidden="false" customHeight="true" outlineLevel="0" collapsed="false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</row>
    <row r="58" s="108" customFormat="true" ht="15" hidden="false" customHeight="true" outlineLevel="0" collapsed="false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</row>
    <row r="59" customFormat="false" ht="12.75" hidden="false" customHeight="false" outlineLevel="0" collapsed="false">
      <c r="A59" s="132"/>
      <c r="B59" s="132"/>
      <c r="C59" s="132"/>
      <c r="D59" s="132"/>
      <c r="E59" s="132"/>
      <c r="F59" s="132"/>
      <c r="G59" s="132"/>
      <c r="H59" s="132"/>
      <c r="I59" s="132"/>
      <c r="J59" s="132"/>
      <c r="K59" s="132"/>
    </row>
    <row r="60" customFormat="false" ht="12.75" hidden="false" customHeight="false" outlineLevel="0" collapsed="false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</row>
    <row r="61" customFormat="false" ht="12.75" hidden="false" customHeight="false" outlineLevel="0" collapsed="false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</row>
    <row r="62" customFormat="false" ht="12.75" hidden="false" customHeight="false" outlineLevel="0" collapsed="false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</row>
    <row r="63" customFormat="false" ht="12.75" hidden="false" customHeight="false" outlineLevel="0" collapsed="false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</row>
    <row r="64" customFormat="false" ht="12.75" hidden="false" customHeight="false" outlineLevel="0" collapsed="false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</row>
    <row r="65" customFormat="false" ht="12.75" hidden="false" customHeight="false" outlineLevel="0" collapsed="false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</row>
    <row r="66" customFormat="false" ht="12.75" hidden="false" customHeight="false" outlineLevel="0" collapsed="false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</row>
    <row r="67" customFormat="false" ht="12.75" hidden="false" customHeight="false" outlineLevel="0" collapsed="false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</row>
    <row r="68" customFormat="false" ht="12.75" hidden="false" customHeight="false" outlineLevel="0" collapsed="false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</row>
    <row r="69" customFormat="false" ht="12.75" hidden="false" customHeight="false" outlineLevel="0" collapsed="false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</row>
    <row r="70" customFormat="false" ht="12.75" hidden="false" customHeight="false" outlineLevel="0" collapsed="false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</row>
    <row r="71" customFormat="false" ht="12.75" hidden="false" customHeight="false" outlineLevel="0" collapsed="false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</row>
    <row r="72" customFormat="false" ht="12.75" hidden="false" customHeight="false" outlineLevel="0" collapsed="false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</row>
    <row r="73" customFormat="false" ht="12.75" hidden="false" customHeight="false" outlineLevel="0" collapsed="false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</row>
    <row r="74" customFormat="false" ht="12.75" hidden="false" customHeight="false" outlineLevel="0" collapsed="false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</row>
    <row r="75" customFormat="false" ht="12.75" hidden="false" customHeight="false" outlineLevel="0" collapsed="false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</row>
    <row r="76" customFormat="false" ht="12.75" hidden="false" customHeight="false" outlineLevel="0" collapsed="false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</row>
    <row r="77" customFormat="false" ht="12.75" hidden="false" customHeight="false" outlineLevel="0" collapsed="false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</row>
    <row r="78" customFormat="false" ht="12.75" hidden="false" customHeight="false" outlineLevel="0" collapsed="false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</row>
    <row r="79" customFormat="false" ht="12.75" hidden="false" customHeight="false" outlineLevel="0" collapsed="false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</row>
    <row r="80" customFormat="false" ht="12.75" hidden="false" customHeight="false" outlineLevel="0" collapsed="false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</row>
    <row r="81" customFormat="false" ht="12.75" hidden="false" customHeight="false" outlineLevel="0" collapsed="false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</row>
    <row r="82" customFormat="false" ht="12.75" hidden="false" customHeight="false" outlineLevel="0" collapsed="false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</row>
    <row r="83" customFormat="false" ht="12.75" hidden="false" customHeight="false" outlineLevel="0" collapsed="false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</row>
    <row r="84" customFormat="false" ht="12.75" hidden="false" customHeight="false" outlineLevel="0" collapsed="false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</row>
    <row r="85" customFormat="false" ht="12.75" hidden="false" customHeight="false" outlineLevel="0" collapsed="false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</row>
    <row r="86" customFormat="false" ht="12.75" hidden="false" customHeight="false" outlineLevel="0" collapsed="false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</row>
    <row r="87" customFormat="false" ht="12.75" hidden="false" customHeight="false" outlineLevel="0" collapsed="false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</row>
    <row r="88" customFormat="false" ht="12.75" hidden="false" customHeight="false" outlineLevel="0" collapsed="false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</row>
    <row r="89" customFormat="false" ht="12.75" hidden="false" customHeight="false" outlineLevel="0" collapsed="false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</row>
    <row r="90" customFormat="false" ht="12.75" hidden="false" customHeight="false" outlineLevel="0" collapsed="false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</row>
    <row r="91" customFormat="false" ht="12.75" hidden="false" customHeight="false" outlineLevel="0" collapsed="false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</row>
    <row r="92" customFormat="false" ht="12.75" hidden="false" customHeight="false" outlineLevel="0" collapsed="false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</row>
    <row r="93" customFormat="false" ht="12.75" hidden="false" customHeight="false" outlineLevel="0" collapsed="false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</row>
    <row r="94" customFormat="false" ht="12.75" hidden="false" customHeight="false" outlineLevel="0" collapsed="false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</row>
    <row r="95" customFormat="false" ht="12.75" hidden="false" customHeight="false" outlineLevel="0" collapsed="false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</row>
    <row r="96" customFormat="false" ht="12.75" hidden="false" customHeight="false" outlineLevel="0" collapsed="false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</row>
    <row r="97" customFormat="false" ht="12.75" hidden="false" customHeight="false" outlineLevel="0" collapsed="false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</row>
    <row r="98" customFormat="false" ht="12.75" hidden="false" customHeight="false" outlineLevel="0" collapsed="false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</row>
    <row r="99" customFormat="false" ht="12.75" hidden="false" customHeight="false" outlineLevel="0" collapsed="false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</row>
    <row r="100" customFormat="false" ht="12.75" hidden="false" customHeight="false" outlineLevel="0" collapsed="false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</row>
    <row r="101" customFormat="false" ht="12.75" hidden="false" customHeight="false" outlineLevel="0" collapsed="false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</row>
    <row r="102" customFormat="false" ht="12.75" hidden="false" customHeight="false" outlineLevel="0" collapsed="false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</row>
    <row r="103" customFormat="false" ht="12.75" hidden="false" customHeight="false" outlineLevel="0" collapsed="false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</row>
    <row r="104" customFormat="false" ht="12.75" hidden="false" customHeight="false" outlineLevel="0" collapsed="false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</row>
    <row r="105" customFormat="false" ht="12.75" hidden="false" customHeight="false" outlineLevel="0" collapsed="false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</row>
    <row r="106" s="91" customFormat="true" ht="12.75" hidden="false" customHeight="false" outlineLevel="0" collapsed="false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90"/>
      <c r="M106" s="90"/>
      <c r="N106" s="90"/>
      <c r="O106" s="90"/>
    </row>
    <row r="107" s="91" customFormat="true" ht="12.75" hidden="false" customHeight="false" outlineLevel="0" collapsed="false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90"/>
      <c r="M107" s="90"/>
      <c r="N107" s="90"/>
      <c r="O107" s="90"/>
    </row>
    <row r="108" s="91" customFormat="true" ht="12.75" hidden="false" customHeight="false" outlineLevel="0" collapsed="false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90"/>
      <c r="M108" s="90"/>
      <c r="N108" s="90"/>
      <c r="O108" s="90"/>
    </row>
    <row r="109" s="91" customFormat="true" ht="12.75" hidden="false" customHeight="false" outlineLevel="0" collapsed="false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90"/>
      <c r="M109" s="90"/>
      <c r="N109" s="90"/>
      <c r="O109" s="90"/>
    </row>
    <row r="110" s="91" customFormat="true" ht="12.75" hidden="false" customHeight="false" outlineLevel="0" collapsed="false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90"/>
      <c r="M110" s="90"/>
      <c r="N110" s="90"/>
      <c r="O110" s="90"/>
    </row>
    <row r="111" s="91" customFormat="true" ht="12.75" hidden="false" customHeight="false" outlineLevel="0" collapsed="false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90"/>
      <c r="M111" s="90"/>
      <c r="N111" s="90"/>
      <c r="O111" s="90"/>
    </row>
    <row r="112" s="91" customFormat="true" ht="12.75" hidden="false" customHeight="false" outlineLevel="0" collapsed="false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90"/>
      <c r="M112" s="90"/>
      <c r="N112" s="90"/>
      <c r="O112" s="90"/>
    </row>
    <row r="113" s="91" customFormat="true" ht="12.75" hidden="false" customHeight="false" outlineLevel="0" collapsed="false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90"/>
      <c r="M113" s="90"/>
      <c r="N113" s="90"/>
      <c r="O113" s="90"/>
    </row>
    <row r="114" s="91" customFormat="true" ht="12.75" hidden="false" customHeight="false" outlineLevel="0" collapsed="false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90"/>
      <c r="M114" s="90"/>
      <c r="N114" s="90"/>
      <c r="O114" s="90"/>
    </row>
    <row r="115" s="91" customFormat="true" ht="12.75" hidden="false" customHeight="false" outlineLevel="0" collapsed="false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90"/>
      <c r="M115" s="90"/>
      <c r="N115" s="90"/>
      <c r="O115" s="90"/>
    </row>
    <row r="116" s="91" customFormat="true" ht="12.75" hidden="false" customHeight="false" outlineLevel="0" collapsed="false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90"/>
      <c r="M116" s="90"/>
      <c r="N116" s="90"/>
      <c r="O116" s="90"/>
    </row>
    <row r="117" s="91" customFormat="true" ht="12.75" hidden="false" customHeight="false" outlineLevel="0" collapsed="false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90"/>
      <c r="M117" s="90"/>
      <c r="N117" s="90"/>
      <c r="O117" s="90"/>
    </row>
    <row r="118" s="91" customFormat="true" ht="12.75" hidden="false" customHeight="false" outlineLevel="0" collapsed="false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90"/>
      <c r="M118" s="90"/>
      <c r="N118" s="90"/>
      <c r="O118" s="90"/>
    </row>
    <row r="119" s="91" customFormat="true" ht="12.75" hidden="false" customHeight="false" outlineLevel="0" collapsed="false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90"/>
      <c r="M119" s="90"/>
      <c r="N119" s="90"/>
      <c r="O119" s="90"/>
    </row>
    <row r="120" s="91" customFormat="true" ht="12.75" hidden="false" customHeight="false" outlineLevel="0" collapsed="false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90"/>
      <c r="M120" s="90"/>
      <c r="N120" s="90"/>
      <c r="O120" s="90"/>
    </row>
    <row r="121" s="91" customFormat="true" ht="12.75" hidden="false" customHeight="false" outlineLevel="0" collapsed="false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90"/>
      <c r="M121" s="90"/>
      <c r="N121" s="90"/>
      <c r="O121" s="90"/>
    </row>
    <row r="122" s="91" customFormat="true" ht="12.75" hidden="false" customHeight="false" outlineLevel="0" collapsed="false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90"/>
      <c r="M122" s="90"/>
      <c r="N122" s="90"/>
      <c r="O122" s="90"/>
    </row>
    <row r="123" s="91" customFormat="true" ht="12.75" hidden="false" customHeight="false" outlineLevel="0" collapsed="false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90"/>
      <c r="M123" s="90"/>
      <c r="N123" s="90"/>
      <c r="O123" s="90"/>
    </row>
    <row r="124" s="91" customFormat="true" ht="12.75" hidden="false" customHeight="false" outlineLevel="0" collapsed="false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90"/>
      <c r="M124" s="90"/>
      <c r="N124" s="90"/>
      <c r="O124" s="90"/>
    </row>
    <row r="125" s="91" customFormat="true" ht="12.75" hidden="false" customHeight="false" outlineLevel="0" collapsed="false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90"/>
      <c r="M125" s="90"/>
      <c r="N125" s="90"/>
      <c r="O125" s="90"/>
    </row>
    <row r="126" s="91" customFormat="true" ht="12.75" hidden="false" customHeight="false" outlineLevel="0" collapsed="false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90"/>
      <c r="M126" s="90"/>
      <c r="N126" s="90"/>
      <c r="O126" s="90"/>
    </row>
    <row r="127" s="91" customFormat="true" ht="12.75" hidden="false" customHeight="false" outlineLevel="0" collapsed="false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90"/>
      <c r="M127" s="90"/>
      <c r="N127" s="90"/>
      <c r="O127" s="90"/>
    </row>
    <row r="128" s="91" customFormat="true" ht="12.75" hidden="false" customHeight="false" outlineLevel="0" collapsed="false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90"/>
      <c r="M128" s="90"/>
      <c r="N128" s="90"/>
      <c r="O128" s="90"/>
    </row>
    <row r="129" s="91" customFormat="true" ht="12.75" hidden="false" customHeight="false" outlineLevel="0" collapsed="false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90"/>
      <c r="M129" s="90"/>
      <c r="N129" s="90"/>
      <c r="O129" s="90"/>
    </row>
    <row r="130" s="91" customFormat="true" ht="12.75" hidden="false" customHeight="false" outlineLevel="0" collapsed="false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90"/>
      <c r="M130" s="90"/>
      <c r="N130" s="90"/>
      <c r="O130" s="90"/>
    </row>
    <row r="131" s="91" customFormat="true" ht="12.75" hidden="false" customHeight="false" outlineLevel="0" collapsed="false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90"/>
      <c r="M131" s="90"/>
      <c r="N131" s="90"/>
      <c r="O131" s="90"/>
    </row>
    <row r="132" s="91" customFormat="true" ht="12.75" hidden="false" customHeight="false" outlineLevel="0" collapsed="false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90"/>
      <c r="M132" s="90"/>
      <c r="N132" s="90"/>
      <c r="O132" s="90"/>
    </row>
    <row r="133" s="91" customFormat="true" ht="12.75" hidden="false" customHeight="false" outlineLevel="0" collapsed="false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90"/>
      <c r="M133" s="90"/>
      <c r="N133" s="90"/>
      <c r="O133" s="90"/>
    </row>
  </sheetData>
  <mergeCells count="20">
    <mergeCell ref="A1:K1"/>
    <mergeCell ref="A2:K2"/>
    <mergeCell ref="A3:K3"/>
    <mergeCell ref="A4:K4"/>
    <mergeCell ref="A5:K5"/>
    <mergeCell ref="A6:K6"/>
    <mergeCell ref="E7:K7"/>
    <mergeCell ref="A8:K8"/>
    <mergeCell ref="A9:A10"/>
    <mergeCell ref="B9:B10"/>
    <mergeCell ref="C9:C10"/>
    <mergeCell ref="D9:D10"/>
    <mergeCell ref="E9:G9"/>
    <mergeCell ref="H9:J9"/>
    <mergeCell ref="K9:K10"/>
    <mergeCell ref="A49:G49"/>
    <mergeCell ref="A51:D51"/>
    <mergeCell ref="G51:J51"/>
    <mergeCell ref="A56:D56"/>
    <mergeCell ref="G56:J56"/>
  </mergeCells>
  <printOptions headings="false" gridLines="false" gridLinesSet="true" horizontalCentered="false" verticalCentered="false"/>
  <pageMargins left="0.95" right="0.159722222222222" top="0.6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B7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26" activeCellId="0" sqref="L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90" width="4.57"/>
    <col collapsed="false" customWidth="true" hidden="false" outlineLevel="0" max="2" min="2" style="90" width="6.57"/>
    <col collapsed="false" customWidth="true" hidden="false" outlineLevel="0" max="3" min="3" style="90" width="16.14"/>
    <col collapsed="false" customWidth="false" hidden="false" outlineLevel="0" max="4" min="4" style="91" width="9.29"/>
    <col collapsed="false" customWidth="true" hidden="false" outlineLevel="0" max="10" min="5" style="91" width="10.29"/>
    <col collapsed="false" customWidth="true" hidden="false" outlineLevel="0" max="11" min="11" style="91" width="8.15"/>
    <col collapsed="false" customWidth="false" hidden="false" outlineLevel="0" max="12" min="12" style="90" width="9.29"/>
    <col collapsed="false" customWidth="true" hidden="false" outlineLevel="0" max="13" min="13" style="90" width="11.71"/>
    <col collapsed="false" customWidth="true" hidden="false" outlineLevel="0" max="14" min="14" style="90" width="8.29"/>
    <col collapsed="false" customWidth="true" hidden="false" outlineLevel="0" max="15" min="15" style="90" width="10.42"/>
    <col collapsed="false" customWidth="false" hidden="false" outlineLevel="0" max="18" min="16" style="90" width="9.29"/>
    <col collapsed="false" customWidth="true" hidden="false" outlineLevel="0" max="19" min="19" style="90" width="5.57"/>
    <col collapsed="false" customWidth="false" hidden="false" outlineLevel="0" max="16384" min="20" style="90" width="9.29"/>
  </cols>
  <sheetData>
    <row r="1" s="93" customFormat="true" ht="16.5" hidden="false" customHeight="true" outlineLevel="0" collapsed="false">
      <c r="A1" s="135" t="s">
        <v>145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</row>
    <row r="2" s="148" customFormat="true" ht="18.75" hidden="false" customHeight="true" outlineLevel="0" collapsed="false">
      <c r="A2" s="147" t="str">
        <f aca="false">"Kèm theo BBNT số: "&amp;VLOOKUP(T2,'Tuyến XD8'!$A$2:$G$60,7,0)&amp;VLOOKUP(T2,'Tuyến XD8'!$A$2:$G$60,4,0)</f>
        <v>Kèm theo BBNT số: 109.NĐXD8/CVXD ngày 15 tháng 10 năm 2026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8" t="n">
        <v>109</v>
      </c>
    </row>
    <row r="3" s="119" customFormat="true" ht="17.25" hidden="false" customHeight="true" outlineLevel="0" collapsed="false">
      <c r="A3" s="149" t="s">
        <v>62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/>
      <c r="CO3" s="150"/>
      <c r="CP3" s="150"/>
      <c r="CQ3" s="150"/>
      <c r="CR3" s="150"/>
      <c r="CS3" s="150"/>
      <c r="CT3" s="150"/>
      <c r="CU3" s="150"/>
      <c r="CV3" s="150"/>
      <c r="CW3" s="150"/>
      <c r="CX3" s="150"/>
      <c r="CY3" s="150"/>
      <c r="CZ3" s="150"/>
      <c r="DA3" s="150"/>
      <c r="DB3" s="150"/>
      <c r="DC3" s="150"/>
      <c r="DD3" s="150"/>
      <c r="DE3" s="150"/>
      <c r="DF3" s="150"/>
      <c r="DG3" s="150"/>
      <c r="DH3" s="150"/>
      <c r="DI3" s="150"/>
      <c r="DJ3" s="150"/>
      <c r="DK3" s="150"/>
      <c r="DL3" s="150"/>
      <c r="DM3" s="150"/>
      <c r="DN3" s="150"/>
      <c r="DO3" s="150"/>
      <c r="DP3" s="150"/>
      <c r="DQ3" s="150"/>
      <c r="DR3" s="150"/>
      <c r="DS3" s="150"/>
      <c r="DT3" s="150"/>
      <c r="DU3" s="150"/>
      <c r="DV3" s="150"/>
      <c r="DW3" s="150"/>
      <c r="DX3" s="150"/>
      <c r="DY3" s="150"/>
      <c r="DZ3" s="150"/>
      <c r="EA3" s="150"/>
      <c r="EB3" s="150"/>
      <c r="EC3" s="150"/>
      <c r="ED3" s="150"/>
      <c r="EE3" s="150"/>
      <c r="EF3" s="150"/>
      <c r="EG3" s="150"/>
      <c r="EH3" s="150"/>
      <c r="EI3" s="150"/>
      <c r="EJ3" s="150"/>
      <c r="EK3" s="150"/>
      <c r="EL3" s="150"/>
      <c r="EM3" s="150"/>
      <c r="EN3" s="150"/>
      <c r="EO3" s="150"/>
      <c r="EP3" s="150"/>
      <c r="EQ3" s="150"/>
      <c r="ER3" s="150"/>
      <c r="ES3" s="150"/>
      <c r="ET3" s="150"/>
      <c r="EU3" s="150"/>
      <c r="EV3" s="150"/>
      <c r="EW3" s="150"/>
      <c r="EX3" s="150"/>
      <c r="EY3" s="150"/>
      <c r="EZ3" s="150"/>
      <c r="FA3" s="150"/>
      <c r="FB3" s="150"/>
      <c r="FC3" s="150"/>
      <c r="FD3" s="150"/>
      <c r="FE3" s="150"/>
      <c r="FF3" s="150"/>
      <c r="FG3" s="150"/>
      <c r="FH3" s="150"/>
      <c r="FI3" s="150"/>
      <c r="FJ3" s="150"/>
      <c r="FK3" s="150"/>
      <c r="FL3" s="150"/>
      <c r="FM3" s="150"/>
      <c r="FN3" s="150"/>
      <c r="FO3" s="150"/>
      <c r="FP3" s="150"/>
      <c r="FQ3" s="150"/>
      <c r="FR3" s="150"/>
      <c r="FS3" s="150"/>
      <c r="FT3" s="150"/>
      <c r="FU3" s="150"/>
      <c r="FV3" s="150"/>
      <c r="FW3" s="150"/>
      <c r="FX3" s="150"/>
      <c r="FY3" s="150"/>
      <c r="FZ3" s="150"/>
      <c r="GA3" s="150"/>
      <c r="GB3" s="150"/>
      <c r="GC3" s="150"/>
      <c r="GD3" s="150"/>
      <c r="GE3" s="150"/>
      <c r="GF3" s="150"/>
      <c r="GG3" s="150"/>
      <c r="GH3" s="150"/>
      <c r="GI3" s="150"/>
      <c r="GJ3" s="150"/>
      <c r="GK3" s="150"/>
      <c r="GL3" s="150"/>
      <c r="GM3" s="150"/>
      <c r="GN3" s="150"/>
      <c r="GO3" s="150"/>
      <c r="GP3" s="150"/>
      <c r="GQ3" s="150"/>
      <c r="GR3" s="150"/>
      <c r="GS3" s="150"/>
      <c r="GT3" s="150"/>
      <c r="GU3" s="150"/>
      <c r="GV3" s="150"/>
      <c r="GW3" s="150"/>
      <c r="GX3" s="150"/>
      <c r="GY3" s="150"/>
      <c r="GZ3" s="150"/>
      <c r="HA3" s="150"/>
      <c r="HB3" s="150"/>
    </row>
    <row r="4" s="119" customFormat="true" ht="17.25" hidden="false" customHeight="true" outlineLevel="0" collapsed="false">
      <c r="A4" s="149" t="s">
        <v>63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  <c r="BM4" s="150"/>
      <c r="BN4" s="150"/>
      <c r="BO4" s="150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  <c r="CJ4" s="150"/>
      <c r="CK4" s="150"/>
      <c r="CL4" s="150"/>
      <c r="CM4" s="150"/>
      <c r="CN4" s="150"/>
      <c r="CO4" s="150"/>
      <c r="CP4" s="150"/>
      <c r="CQ4" s="150"/>
      <c r="CR4" s="150"/>
      <c r="CS4" s="150"/>
      <c r="CT4" s="150"/>
      <c r="CU4" s="150"/>
      <c r="CV4" s="150"/>
      <c r="CW4" s="150"/>
      <c r="CX4" s="150"/>
      <c r="CY4" s="150"/>
      <c r="CZ4" s="150"/>
      <c r="DA4" s="150"/>
      <c r="DB4" s="150"/>
      <c r="DC4" s="150"/>
      <c r="DD4" s="150"/>
      <c r="DE4" s="150"/>
      <c r="DF4" s="150"/>
      <c r="DG4" s="150"/>
      <c r="DH4" s="150"/>
      <c r="DI4" s="150"/>
      <c r="DJ4" s="150"/>
      <c r="DK4" s="150"/>
      <c r="DL4" s="150"/>
      <c r="DM4" s="150"/>
      <c r="DN4" s="150"/>
      <c r="DO4" s="150"/>
      <c r="DP4" s="150"/>
      <c r="DQ4" s="150"/>
      <c r="DR4" s="150"/>
      <c r="DS4" s="150"/>
      <c r="DT4" s="150"/>
      <c r="DU4" s="150"/>
      <c r="DV4" s="150"/>
      <c r="DW4" s="150"/>
      <c r="DX4" s="150"/>
      <c r="DY4" s="150"/>
      <c r="DZ4" s="150"/>
      <c r="EA4" s="150"/>
      <c r="EB4" s="150"/>
      <c r="EC4" s="150"/>
      <c r="ED4" s="150"/>
      <c r="EE4" s="150"/>
      <c r="EF4" s="150"/>
      <c r="EG4" s="150"/>
      <c r="EH4" s="150"/>
      <c r="EI4" s="150"/>
      <c r="EJ4" s="150"/>
      <c r="EK4" s="150"/>
      <c r="EL4" s="150"/>
      <c r="EM4" s="150"/>
      <c r="EN4" s="150"/>
      <c r="EO4" s="150"/>
      <c r="EP4" s="150"/>
      <c r="EQ4" s="150"/>
      <c r="ER4" s="150"/>
      <c r="ES4" s="150"/>
      <c r="ET4" s="150"/>
      <c r="EU4" s="150"/>
      <c r="EV4" s="150"/>
      <c r="EW4" s="150"/>
      <c r="EX4" s="150"/>
      <c r="EY4" s="150"/>
      <c r="EZ4" s="150"/>
      <c r="FA4" s="150"/>
      <c r="FB4" s="150"/>
      <c r="FC4" s="150"/>
      <c r="FD4" s="150"/>
      <c r="FE4" s="150"/>
      <c r="FF4" s="150"/>
      <c r="FG4" s="150"/>
      <c r="FH4" s="150"/>
      <c r="FI4" s="150"/>
      <c r="FJ4" s="150"/>
      <c r="FK4" s="150"/>
      <c r="FL4" s="150"/>
      <c r="FM4" s="150"/>
      <c r="FN4" s="150"/>
      <c r="FO4" s="150"/>
      <c r="FP4" s="150"/>
      <c r="FQ4" s="150"/>
      <c r="FR4" s="150"/>
      <c r="FS4" s="150"/>
      <c r="FT4" s="150"/>
      <c r="FU4" s="150"/>
      <c r="FV4" s="150"/>
      <c r="FW4" s="150"/>
      <c r="FX4" s="150"/>
      <c r="FY4" s="150"/>
      <c r="FZ4" s="150"/>
      <c r="GA4" s="150"/>
      <c r="GB4" s="150"/>
      <c r="GC4" s="150"/>
      <c r="GD4" s="150"/>
      <c r="GE4" s="150"/>
      <c r="GF4" s="150"/>
      <c r="GG4" s="150"/>
      <c r="GH4" s="150"/>
      <c r="GI4" s="150"/>
      <c r="GJ4" s="150"/>
      <c r="GK4" s="150"/>
      <c r="GL4" s="150"/>
      <c r="GM4" s="150"/>
      <c r="GN4" s="150"/>
      <c r="GO4" s="150"/>
      <c r="GP4" s="150"/>
      <c r="GQ4" s="150"/>
      <c r="GR4" s="150"/>
      <c r="GS4" s="150"/>
      <c r="GT4" s="150"/>
      <c r="GU4" s="150"/>
      <c r="GV4" s="150"/>
      <c r="GW4" s="150"/>
      <c r="GX4" s="150"/>
      <c r="GY4" s="150"/>
      <c r="GZ4" s="150"/>
      <c r="HA4" s="150"/>
      <c r="HB4" s="150"/>
    </row>
    <row r="5" s="119" customFormat="true" ht="17.25" hidden="false" customHeight="true" outlineLevel="0" collapsed="false">
      <c r="A5" s="149" t="s">
        <v>64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0"/>
      <c r="BO5" s="150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  <c r="CJ5" s="150"/>
      <c r="CK5" s="150"/>
      <c r="CL5" s="150"/>
      <c r="CM5" s="150"/>
      <c r="CN5" s="150"/>
      <c r="CO5" s="150"/>
      <c r="CP5" s="150"/>
      <c r="CQ5" s="150"/>
      <c r="CR5" s="150"/>
      <c r="CS5" s="150"/>
      <c r="CT5" s="150"/>
      <c r="CU5" s="150"/>
      <c r="CV5" s="150"/>
      <c r="CW5" s="150"/>
      <c r="CX5" s="150"/>
      <c r="CY5" s="150"/>
      <c r="CZ5" s="150"/>
      <c r="DA5" s="150"/>
      <c r="DB5" s="150"/>
      <c r="DC5" s="150"/>
      <c r="DD5" s="150"/>
      <c r="DE5" s="150"/>
      <c r="DF5" s="150"/>
      <c r="DG5" s="150"/>
      <c r="DH5" s="150"/>
      <c r="DI5" s="150"/>
      <c r="DJ5" s="150"/>
      <c r="DK5" s="150"/>
      <c r="DL5" s="150"/>
      <c r="DM5" s="150"/>
      <c r="DN5" s="150"/>
      <c r="DO5" s="150"/>
      <c r="DP5" s="150"/>
      <c r="DQ5" s="150"/>
      <c r="DR5" s="150"/>
      <c r="DS5" s="150"/>
      <c r="DT5" s="150"/>
      <c r="DU5" s="150"/>
      <c r="DV5" s="150"/>
      <c r="DW5" s="150"/>
      <c r="DX5" s="150"/>
      <c r="DY5" s="150"/>
      <c r="DZ5" s="150"/>
      <c r="EA5" s="150"/>
      <c r="EB5" s="150"/>
      <c r="EC5" s="150"/>
      <c r="ED5" s="150"/>
      <c r="EE5" s="150"/>
      <c r="EF5" s="150"/>
      <c r="EG5" s="150"/>
      <c r="EH5" s="150"/>
      <c r="EI5" s="150"/>
      <c r="EJ5" s="150"/>
      <c r="EK5" s="150"/>
      <c r="EL5" s="150"/>
      <c r="EM5" s="150"/>
      <c r="EN5" s="150"/>
      <c r="EO5" s="150"/>
      <c r="EP5" s="150"/>
      <c r="EQ5" s="150"/>
      <c r="ER5" s="150"/>
      <c r="ES5" s="150"/>
      <c r="ET5" s="150"/>
      <c r="EU5" s="150"/>
      <c r="EV5" s="150"/>
      <c r="EW5" s="150"/>
      <c r="EX5" s="150"/>
      <c r="EY5" s="150"/>
      <c r="EZ5" s="150"/>
      <c r="FA5" s="150"/>
      <c r="FB5" s="150"/>
      <c r="FC5" s="150"/>
      <c r="FD5" s="150"/>
      <c r="FE5" s="150"/>
      <c r="FF5" s="150"/>
      <c r="FG5" s="150"/>
      <c r="FH5" s="150"/>
      <c r="FI5" s="150"/>
      <c r="FJ5" s="150"/>
      <c r="FK5" s="150"/>
      <c r="FL5" s="150"/>
      <c r="FM5" s="150"/>
      <c r="FN5" s="150"/>
      <c r="FO5" s="150"/>
      <c r="FP5" s="150"/>
      <c r="FQ5" s="150"/>
      <c r="FR5" s="150"/>
      <c r="FS5" s="150"/>
      <c r="FT5" s="150"/>
      <c r="FU5" s="150"/>
      <c r="FV5" s="150"/>
      <c r="FW5" s="150"/>
      <c r="FX5" s="150"/>
      <c r="FY5" s="150"/>
      <c r="FZ5" s="150"/>
      <c r="GA5" s="150"/>
      <c r="GB5" s="150"/>
      <c r="GC5" s="150"/>
      <c r="GD5" s="150"/>
      <c r="GE5" s="150"/>
      <c r="GF5" s="150"/>
      <c r="GG5" s="150"/>
      <c r="GH5" s="150"/>
      <c r="GI5" s="150"/>
      <c r="GJ5" s="150"/>
      <c r="GK5" s="150"/>
      <c r="GL5" s="150"/>
      <c r="GM5" s="150"/>
      <c r="GN5" s="150"/>
      <c r="GO5" s="150"/>
      <c r="GP5" s="150"/>
      <c r="GQ5" s="150"/>
      <c r="GR5" s="150"/>
      <c r="GS5" s="150"/>
      <c r="GT5" s="150"/>
      <c r="GU5" s="150"/>
      <c r="GV5" s="150"/>
      <c r="GW5" s="150"/>
      <c r="GX5" s="150"/>
      <c r="GY5" s="150"/>
      <c r="GZ5" s="150"/>
      <c r="HA5" s="150"/>
      <c r="HB5" s="150"/>
    </row>
    <row r="6" s="119" customFormat="true" ht="17.25" hidden="false" customHeight="true" outlineLevel="0" collapsed="false">
      <c r="A6" s="149" t="s">
        <v>65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0"/>
      <c r="BF6" s="150"/>
      <c r="BG6" s="150"/>
      <c r="BH6" s="150"/>
      <c r="BI6" s="150"/>
      <c r="BJ6" s="150"/>
      <c r="BK6" s="150"/>
      <c r="BL6" s="150"/>
      <c r="BM6" s="150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  <c r="CJ6" s="150"/>
      <c r="CK6" s="150"/>
      <c r="CL6" s="150"/>
      <c r="CM6" s="150"/>
      <c r="CN6" s="150"/>
      <c r="CO6" s="150"/>
      <c r="CP6" s="150"/>
      <c r="CQ6" s="150"/>
      <c r="CR6" s="150"/>
      <c r="CS6" s="150"/>
      <c r="CT6" s="150"/>
      <c r="CU6" s="150"/>
      <c r="CV6" s="150"/>
      <c r="CW6" s="150"/>
      <c r="CX6" s="150"/>
      <c r="CY6" s="150"/>
      <c r="CZ6" s="150"/>
      <c r="DA6" s="150"/>
      <c r="DB6" s="150"/>
      <c r="DC6" s="150"/>
      <c r="DD6" s="150"/>
      <c r="DE6" s="150"/>
      <c r="DF6" s="150"/>
      <c r="DG6" s="150"/>
      <c r="DH6" s="150"/>
      <c r="DI6" s="150"/>
      <c r="DJ6" s="150"/>
      <c r="DK6" s="150"/>
      <c r="DL6" s="150"/>
      <c r="DM6" s="150"/>
      <c r="DN6" s="150"/>
      <c r="DO6" s="150"/>
      <c r="DP6" s="150"/>
      <c r="DQ6" s="150"/>
      <c r="DR6" s="150"/>
      <c r="DS6" s="150"/>
      <c r="DT6" s="150"/>
      <c r="DU6" s="150"/>
      <c r="DV6" s="150"/>
      <c r="DW6" s="150"/>
      <c r="DX6" s="150"/>
      <c r="DY6" s="150"/>
      <c r="DZ6" s="150"/>
      <c r="EA6" s="150"/>
      <c r="EB6" s="150"/>
      <c r="EC6" s="150"/>
      <c r="ED6" s="150"/>
      <c r="EE6" s="150"/>
      <c r="EF6" s="150"/>
      <c r="EG6" s="150"/>
      <c r="EH6" s="150"/>
      <c r="EI6" s="150"/>
      <c r="EJ6" s="150"/>
      <c r="EK6" s="150"/>
      <c r="EL6" s="150"/>
      <c r="EM6" s="150"/>
      <c r="EN6" s="150"/>
      <c r="EO6" s="150"/>
      <c r="EP6" s="150"/>
      <c r="EQ6" s="150"/>
      <c r="ER6" s="150"/>
      <c r="ES6" s="150"/>
      <c r="ET6" s="150"/>
      <c r="EU6" s="150"/>
      <c r="EV6" s="150"/>
      <c r="EW6" s="150"/>
      <c r="EX6" s="150"/>
      <c r="EY6" s="150"/>
      <c r="EZ6" s="150"/>
      <c r="FA6" s="150"/>
      <c r="FB6" s="150"/>
      <c r="FC6" s="150"/>
      <c r="FD6" s="150"/>
      <c r="FE6" s="150"/>
      <c r="FF6" s="150"/>
      <c r="FG6" s="150"/>
      <c r="FH6" s="150"/>
      <c r="FI6" s="150"/>
      <c r="FJ6" s="150"/>
      <c r="FK6" s="150"/>
      <c r="FL6" s="150"/>
      <c r="FM6" s="150"/>
      <c r="FN6" s="150"/>
      <c r="FO6" s="150"/>
      <c r="FP6" s="150"/>
      <c r="FQ6" s="150"/>
      <c r="FR6" s="150"/>
      <c r="FS6" s="150"/>
      <c r="FT6" s="150"/>
      <c r="FU6" s="150"/>
      <c r="FV6" s="150"/>
      <c r="FW6" s="150"/>
      <c r="FX6" s="150"/>
      <c r="FY6" s="150"/>
      <c r="FZ6" s="150"/>
      <c r="GA6" s="150"/>
      <c r="GB6" s="150"/>
      <c r="GC6" s="150"/>
      <c r="GD6" s="150"/>
      <c r="GE6" s="150"/>
      <c r="GF6" s="150"/>
      <c r="GG6" s="150"/>
      <c r="GH6" s="150"/>
      <c r="GI6" s="150"/>
      <c r="GJ6" s="150"/>
      <c r="GK6" s="150"/>
      <c r="GL6" s="150"/>
      <c r="GM6" s="150"/>
      <c r="GN6" s="150"/>
      <c r="GO6" s="150"/>
      <c r="GP6" s="150"/>
      <c r="GQ6" s="150"/>
      <c r="GR6" s="150"/>
      <c r="GS6" s="150"/>
      <c r="GT6" s="150"/>
      <c r="GU6" s="150"/>
      <c r="GV6" s="150"/>
      <c r="GW6" s="150"/>
      <c r="GX6" s="150"/>
      <c r="GY6" s="150"/>
      <c r="GZ6" s="150"/>
      <c r="HA6" s="150"/>
      <c r="HB6" s="150"/>
    </row>
    <row r="7" s="119" customFormat="true" ht="17.25" hidden="false" customHeight="true" outlineLevel="0" collapsed="false">
      <c r="A7" s="98" t="s">
        <v>66</v>
      </c>
      <c r="B7" s="99"/>
      <c r="C7" s="129"/>
      <c r="D7" s="100" t="str">
        <f aca="false">VLOOKUP(T2,'Tuyến XD8'!$A$2:$B$60,2,0)</f>
        <v>Rải thảm mặt đường bê tông nhựa C16 - Chiều dày mặt đường đã lèn ép 6cm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0"/>
      <c r="BF7" s="150"/>
      <c r="BG7" s="150"/>
      <c r="BH7" s="150"/>
      <c r="BI7" s="150"/>
      <c r="BJ7" s="150"/>
      <c r="BK7" s="150"/>
      <c r="BL7" s="150"/>
      <c r="BM7" s="150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  <c r="CJ7" s="150"/>
      <c r="CK7" s="150"/>
      <c r="CL7" s="150"/>
      <c r="CM7" s="150"/>
      <c r="CN7" s="150"/>
      <c r="CO7" s="150"/>
      <c r="CP7" s="150"/>
      <c r="CQ7" s="150"/>
      <c r="CR7" s="150"/>
      <c r="CS7" s="150"/>
      <c r="CT7" s="150"/>
      <c r="CU7" s="150"/>
      <c r="CV7" s="150"/>
      <c r="CW7" s="150"/>
      <c r="CX7" s="150"/>
      <c r="CY7" s="150"/>
      <c r="CZ7" s="150"/>
      <c r="DA7" s="150"/>
      <c r="DB7" s="150"/>
      <c r="DC7" s="150"/>
      <c r="DD7" s="150"/>
      <c r="DE7" s="150"/>
      <c r="DF7" s="150"/>
      <c r="DG7" s="150"/>
      <c r="DH7" s="150"/>
      <c r="DI7" s="150"/>
      <c r="DJ7" s="150"/>
      <c r="DK7" s="150"/>
      <c r="DL7" s="150"/>
      <c r="DM7" s="150"/>
      <c r="DN7" s="150"/>
      <c r="DO7" s="150"/>
      <c r="DP7" s="150"/>
      <c r="DQ7" s="150"/>
      <c r="DR7" s="150"/>
      <c r="DS7" s="150"/>
      <c r="DT7" s="150"/>
      <c r="DU7" s="150"/>
      <c r="DV7" s="150"/>
      <c r="DW7" s="150"/>
      <c r="DX7" s="150"/>
      <c r="DY7" s="150"/>
      <c r="DZ7" s="150"/>
      <c r="EA7" s="150"/>
      <c r="EB7" s="150"/>
      <c r="EC7" s="150"/>
      <c r="ED7" s="150"/>
      <c r="EE7" s="150"/>
      <c r="EF7" s="150"/>
      <c r="EG7" s="150"/>
      <c r="EH7" s="150"/>
      <c r="EI7" s="150"/>
      <c r="EJ7" s="150"/>
      <c r="EK7" s="150"/>
      <c r="EL7" s="150"/>
      <c r="EM7" s="150"/>
      <c r="EN7" s="150"/>
      <c r="EO7" s="150"/>
      <c r="EP7" s="150"/>
      <c r="EQ7" s="150"/>
      <c r="ER7" s="150"/>
      <c r="ES7" s="150"/>
      <c r="ET7" s="150"/>
      <c r="EU7" s="150"/>
      <c r="EV7" s="150"/>
      <c r="EW7" s="150"/>
      <c r="EX7" s="150"/>
      <c r="EY7" s="150"/>
      <c r="EZ7" s="150"/>
      <c r="FA7" s="150"/>
      <c r="FB7" s="150"/>
      <c r="FC7" s="150"/>
      <c r="FD7" s="150"/>
      <c r="FE7" s="150"/>
      <c r="FF7" s="150"/>
      <c r="FG7" s="150"/>
      <c r="FH7" s="150"/>
      <c r="FI7" s="150"/>
      <c r="FJ7" s="150"/>
      <c r="FK7" s="150"/>
      <c r="FL7" s="150"/>
      <c r="FM7" s="150"/>
      <c r="FN7" s="150"/>
      <c r="FO7" s="150"/>
      <c r="FP7" s="150"/>
      <c r="FQ7" s="150"/>
      <c r="FR7" s="150"/>
      <c r="FS7" s="150"/>
      <c r="FT7" s="150"/>
      <c r="FU7" s="150"/>
      <c r="FV7" s="150"/>
      <c r="FW7" s="150"/>
      <c r="FX7" s="150"/>
      <c r="FY7" s="150"/>
      <c r="FZ7" s="150"/>
      <c r="GA7" s="150"/>
      <c r="GB7" s="150"/>
      <c r="GC7" s="150"/>
      <c r="GD7" s="150"/>
      <c r="GE7" s="150"/>
      <c r="GF7" s="150"/>
      <c r="GG7" s="150"/>
      <c r="GH7" s="150"/>
      <c r="GI7" s="150"/>
      <c r="GJ7" s="150"/>
      <c r="GK7" s="150"/>
      <c r="GL7" s="150"/>
      <c r="GM7" s="150"/>
      <c r="GN7" s="150"/>
      <c r="GO7" s="150"/>
      <c r="GP7" s="150"/>
      <c r="GQ7" s="150"/>
      <c r="GR7" s="150"/>
      <c r="GS7" s="150"/>
      <c r="GT7" s="150"/>
      <c r="GU7" s="150"/>
      <c r="GV7" s="150"/>
      <c r="GW7" s="150"/>
      <c r="GX7" s="150"/>
      <c r="GY7" s="150"/>
      <c r="GZ7" s="150"/>
      <c r="HA7" s="150"/>
      <c r="HB7" s="150"/>
    </row>
    <row r="8" s="119" customFormat="true" ht="17.25" hidden="false" customHeight="true" outlineLevel="0" collapsed="false">
      <c r="A8" s="98" t="s">
        <v>146</v>
      </c>
      <c r="B8" s="99"/>
      <c r="C8" s="129"/>
      <c r="E8" s="156"/>
      <c r="F8" s="156"/>
      <c r="G8" s="156"/>
      <c r="H8" s="156"/>
      <c r="I8" s="156"/>
      <c r="J8" s="156"/>
      <c r="K8" s="156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0"/>
      <c r="AQ8" s="150"/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0"/>
      <c r="BF8" s="150"/>
      <c r="BG8" s="150"/>
      <c r="BH8" s="150"/>
      <c r="BI8" s="150"/>
      <c r="BJ8" s="150"/>
      <c r="BK8" s="150"/>
      <c r="BL8" s="150"/>
      <c r="BM8" s="150"/>
      <c r="BN8" s="150"/>
      <c r="BO8" s="150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  <c r="CJ8" s="150"/>
      <c r="CK8" s="150"/>
      <c r="CL8" s="150"/>
      <c r="CM8" s="150"/>
      <c r="CN8" s="150"/>
      <c r="CO8" s="150"/>
      <c r="CP8" s="150"/>
      <c r="CQ8" s="150"/>
      <c r="CR8" s="150"/>
      <c r="CS8" s="150"/>
      <c r="CT8" s="150"/>
      <c r="CU8" s="150"/>
      <c r="CV8" s="150"/>
      <c r="CW8" s="150"/>
      <c r="CX8" s="150"/>
      <c r="CY8" s="150"/>
      <c r="CZ8" s="150"/>
      <c r="DA8" s="150"/>
      <c r="DB8" s="150"/>
      <c r="DC8" s="150"/>
      <c r="DD8" s="150"/>
      <c r="DE8" s="150"/>
      <c r="DF8" s="150"/>
      <c r="DG8" s="150"/>
      <c r="DH8" s="150"/>
      <c r="DI8" s="150"/>
      <c r="DJ8" s="150"/>
      <c r="DK8" s="150"/>
      <c r="DL8" s="150"/>
      <c r="DM8" s="150"/>
      <c r="DN8" s="150"/>
      <c r="DO8" s="150"/>
      <c r="DP8" s="150"/>
      <c r="DQ8" s="150"/>
      <c r="DR8" s="150"/>
      <c r="DS8" s="150"/>
      <c r="DT8" s="150"/>
      <c r="DU8" s="150"/>
      <c r="DV8" s="150"/>
      <c r="DW8" s="150"/>
      <c r="DX8" s="150"/>
      <c r="DY8" s="150"/>
      <c r="DZ8" s="150"/>
      <c r="EA8" s="150"/>
      <c r="EB8" s="150"/>
      <c r="EC8" s="150"/>
      <c r="ED8" s="150"/>
      <c r="EE8" s="150"/>
      <c r="EF8" s="150"/>
      <c r="EG8" s="150"/>
      <c r="EH8" s="150"/>
      <c r="EI8" s="150"/>
      <c r="EJ8" s="150"/>
      <c r="EK8" s="150"/>
      <c r="EL8" s="150"/>
      <c r="EM8" s="150"/>
      <c r="EN8" s="150"/>
      <c r="EO8" s="150"/>
      <c r="EP8" s="150"/>
      <c r="EQ8" s="150"/>
      <c r="ER8" s="150"/>
      <c r="ES8" s="150"/>
      <c r="ET8" s="150"/>
      <c r="EU8" s="150"/>
      <c r="EV8" s="150"/>
      <c r="EW8" s="150"/>
      <c r="EX8" s="150"/>
      <c r="EY8" s="150"/>
      <c r="EZ8" s="150"/>
      <c r="FA8" s="150"/>
      <c r="FB8" s="150"/>
      <c r="FC8" s="150"/>
      <c r="FD8" s="150"/>
      <c r="FE8" s="150"/>
      <c r="FF8" s="150"/>
      <c r="FG8" s="150"/>
      <c r="FH8" s="150"/>
      <c r="FI8" s="150"/>
      <c r="FJ8" s="150"/>
      <c r="FK8" s="150"/>
      <c r="FL8" s="150"/>
      <c r="FM8" s="150"/>
      <c r="FN8" s="150"/>
      <c r="FO8" s="150"/>
      <c r="FP8" s="150"/>
      <c r="FQ8" s="150"/>
      <c r="FR8" s="150"/>
      <c r="FS8" s="150"/>
      <c r="FT8" s="150"/>
      <c r="FU8" s="150"/>
      <c r="FV8" s="150"/>
      <c r="FW8" s="150"/>
      <c r="FX8" s="150"/>
      <c r="FY8" s="150"/>
      <c r="FZ8" s="150"/>
      <c r="GA8" s="150"/>
      <c r="GB8" s="150"/>
      <c r="GC8" s="150"/>
      <c r="GD8" s="150"/>
      <c r="GE8" s="150"/>
      <c r="GF8" s="150"/>
      <c r="GG8" s="150"/>
      <c r="GH8" s="150"/>
      <c r="GI8" s="150"/>
      <c r="GJ8" s="150"/>
      <c r="GK8" s="150"/>
      <c r="GL8" s="150"/>
      <c r="GM8" s="150"/>
      <c r="GN8" s="150"/>
      <c r="GO8" s="150"/>
      <c r="GP8" s="150"/>
      <c r="GQ8" s="150"/>
      <c r="GR8" s="150"/>
      <c r="GS8" s="150"/>
      <c r="GT8" s="150"/>
      <c r="GU8" s="150"/>
      <c r="GV8" s="150"/>
      <c r="GW8" s="150"/>
      <c r="GX8" s="150"/>
      <c r="GY8" s="150"/>
      <c r="GZ8" s="150"/>
      <c r="HA8" s="150"/>
      <c r="HB8" s="150"/>
    </row>
    <row r="9" s="119" customFormat="true" ht="15.75" hidden="false" customHeight="true" outlineLevel="0" collapsed="false">
      <c r="A9" s="98"/>
      <c r="B9" s="99"/>
      <c r="C9" s="129"/>
      <c r="E9" s="156"/>
      <c r="F9" s="156"/>
      <c r="G9" s="156"/>
      <c r="H9" s="156"/>
      <c r="I9" s="156"/>
      <c r="J9" s="156"/>
      <c r="K9" s="156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0"/>
      <c r="BF9" s="150"/>
      <c r="BG9" s="150"/>
      <c r="BH9" s="150"/>
      <c r="BI9" s="150"/>
      <c r="BJ9" s="150"/>
      <c r="BK9" s="150"/>
      <c r="BL9" s="150"/>
      <c r="BM9" s="150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  <c r="CJ9" s="150"/>
      <c r="CK9" s="150"/>
      <c r="CL9" s="150"/>
      <c r="CM9" s="150"/>
      <c r="CN9" s="150"/>
      <c r="CO9" s="150"/>
      <c r="CP9" s="150"/>
      <c r="CQ9" s="150"/>
      <c r="CR9" s="150"/>
      <c r="CS9" s="150"/>
      <c r="CT9" s="150"/>
      <c r="CU9" s="150"/>
      <c r="CV9" s="150"/>
      <c r="CW9" s="150"/>
      <c r="CX9" s="150"/>
      <c r="CY9" s="150"/>
      <c r="CZ9" s="150"/>
      <c r="DA9" s="150"/>
      <c r="DB9" s="150"/>
      <c r="DC9" s="150"/>
      <c r="DD9" s="150"/>
      <c r="DE9" s="150"/>
      <c r="DF9" s="150"/>
      <c r="DG9" s="150"/>
      <c r="DH9" s="150"/>
      <c r="DI9" s="150"/>
      <c r="DJ9" s="150"/>
      <c r="DK9" s="150"/>
      <c r="DL9" s="150"/>
      <c r="DM9" s="150"/>
      <c r="DN9" s="150"/>
      <c r="DO9" s="150"/>
      <c r="DP9" s="150"/>
      <c r="DQ9" s="150"/>
      <c r="DR9" s="150"/>
      <c r="DS9" s="150"/>
      <c r="DT9" s="150"/>
      <c r="DU9" s="150"/>
      <c r="DV9" s="150"/>
      <c r="DW9" s="150"/>
      <c r="DX9" s="150"/>
      <c r="DY9" s="150"/>
      <c r="DZ9" s="150"/>
      <c r="EA9" s="150"/>
      <c r="EB9" s="150"/>
      <c r="EC9" s="150"/>
      <c r="ED9" s="150"/>
      <c r="EE9" s="150"/>
      <c r="EF9" s="150"/>
      <c r="EG9" s="150"/>
      <c r="EH9" s="150"/>
      <c r="EI9" s="150"/>
      <c r="EJ9" s="150"/>
      <c r="EK9" s="150"/>
      <c r="EL9" s="150"/>
      <c r="EM9" s="150"/>
      <c r="EN9" s="150"/>
      <c r="EO9" s="150"/>
      <c r="EP9" s="150"/>
      <c r="EQ9" s="150"/>
      <c r="ER9" s="150"/>
      <c r="ES9" s="150"/>
      <c r="ET9" s="150"/>
      <c r="EU9" s="150"/>
      <c r="EV9" s="150"/>
      <c r="EW9" s="150"/>
      <c r="EX9" s="150"/>
      <c r="EY9" s="150"/>
      <c r="EZ9" s="150"/>
      <c r="FA9" s="150"/>
      <c r="FB9" s="150"/>
      <c r="FC9" s="150"/>
      <c r="FD9" s="150"/>
      <c r="FE9" s="150"/>
      <c r="FF9" s="150"/>
      <c r="FG9" s="150"/>
      <c r="FH9" s="150"/>
      <c r="FI9" s="150"/>
      <c r="FJ9" s="150"/>
      <c r="FK9" s="150"/>
      <c r="FL9" s="150"/>
      <c r="FM9" s="150"/>
      <c r="FN9" s="150"/>
      <c r="FO9" s="150"/>
      <c r="FP9" s="150"/>
      <c r="FQ9" s="150"/>
      <c r="FR9" s="150"/>
      <c r="FS9" s="150"/>
      <c r="FT9" s="150"/>
      <c r="FU9" s="150"/>
      <c r="FV9" s="150"/>
      <c r="FW9" s="150"/>
      <c r="FX9" s="150"/>
      <c r="FY9" s="150"/>
      <c r="FZ9" s="150"/>
      <c r="GA9" s="150"/>
      <c r="GB9" s="150"/>
      <c r="GC9" s="150"/>
      <c r="GD9" s="150"/>
      <c r="GE9" s="150"/>
      <c r="GF9" s="150"/>
      <c r="GG9" s="150"/>
      <c r="GH9" s="150"/>
      <c r="GI9" s="150"/>
      <c r="GJ9" s="150"/>
      <c r="GK9" s="150"/>
      <c r="GL9" s="150"/>
      <c r="GM9" s="150"/>
      <c r="GN9" s="150"/>
      <c r="GO9" s="150"/>
      <c r="GP9" s="150"/>
      <c r="GQ9" s="150"/>
      <c r="GR9" s="150"/>
      <c r="GS9" s="150"/>
      <c r="GT9" s="150"/>
      <c r="GU9" s="150"/>
      <c r="GV9" s="150"/>
      <c r="GW9" s="150"/>
      <c r="GX9" s="150"/>
      <c r="GY9" s="150"/>
      <c r="GZ9" s="150"/>
      <c r="HA9" s="150"/>
      <c r="HB9" s="150"/>
    </row>
    <row r="10" s="119" customFormat="true" ht="15.75" hidden="false" customHeight="true" outlineLevel="0" collapsed="false">
      <c r="A10" s="98"/>
      <c r="B10" s="99"/>
      <c r="C10" s="129"/>
      <c r="E10" s="156"/>
      <c r="F10" s="156"/>
      <c r="G10" s="156"/>
      <c r="H10" s="156"/>
      <c r="I10" s="156"/>
      <c r="J10" s="156"/>
      <c r="K10" s="156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0"/>
      <c r="BF10" s="150"/>
      <c r="BG10" s="150"/>
      <c r="BH10" s="150"/>
      <c r="BI10" s="150"/>
      <c r="BJ10" s="150"/>
      <c r="BK10" s="150"/>
      <c r="BL10" s="150"/>
      <c r="BM10" s="150"/>
      <c r="BN10" s="150"/>
      <c r="BO10" s="150"/>
      <c r="BP10" s="150"/>
      <c r="BQ10" s="150"/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  <c r="CC10" s="150"/>
      <c r="CD10" s="150"/>
      <c r="CE10" s="150"/>
      <c r="CF10" s="150"/>
      <c r="CG10" s="150"/>
      <c r="CH10" s="150"/>
      <c r="CI10" s="150"/>
      <c r="CJ10" s="150"/>
      <c r="CK10" s="150"/>
      <c r="CL10" s="150"/>
      <c r="CM10" s="150"/>
      <c r="CN10" s="150"/>
      <c r="CO10" s="150"/>
      <c r="CP10" s="150"/>
      <c r="CQ10" s="150"/>
      <c r="CR10" s="150"/>
      <c r="CS10" s="150"/>
      <c r="CT10" s="150"/>
      <c r="CU10" s="150"/>
      <c r="CV10" s="150"/>
      <c r="CW10" s="150"/>
      <c r="CX10" s="150"/>
      <c r="CY10" s="150"/>
      <c r="CZ10" s="150"/>
      <c r="DA10" s="150"/>
      <c r="DB10" s="150"/>
      <c r="DC10" s="150"/>
      <c r="DD10" s="150"/>
      <c r="DE10" s="150"/>
      <c r="DF10" s="150"/>
      <c r="DG10" s="150"/>
      <c r="DH10" s="150"/>
      <c r="DI10" s="150"/>
      <c r="DJ10" s="150"/>
      <c r="DK10" s="150"/>
      <c r="DL10" s="150"/>
      <c r="DM10" s="150"/>
      <c r="DN10" s="150"/>
      <c r="DO10" s="150"/>
      <c r="DP10" s="150"/>
      <c r="DQ10" s="150"/>
      <c r="DR10" s="150"/>
      <c r="DS10" s="150"/>
      <c r="DT10" s="150"/>
      <c r="DU10" s="150"/>
      <c r="DV10" s="150"/>
      <c r="DW10" s="150"/>
      <c r="DX10" s="150"/>
      <c r="DY10" s="150"/>
      <c r="DZ10" s="150"/>
      <c r="EA10" s="150"/>
      <c r="EB10" s="150"/>
      <c r="EC10" s="150"/>
      <c r="ED10" s="150"/>
      <c r="EE10" s="150"/>
      <c r="EF10" s="150"/>
      <c r="EG10" s="150"/>
      <c r="EH10" s="150"/>
      <c r="EI10" s="150"/>
      <c r="EJ10" s="150"/>
      <c r="EK10" s="150"/>
      <c r="EL10" s="150"/>
      <c r="EM10" s="150"/>
      <c r="EN10" s="150"/>
      <c r="EO10" s="150"/>
      <c r="EP10" s="150"/>
      <c r="EQ10" s="150"/>
      <c r="ER10" s="150"/>
      <c r="ES10" s="150"/>
      <c r="ET10" s="150"/>
      <c r="EU10" s="150"/>
      <c r="EV10" s="150"/>
      <c r="EW10" s="150"/>
      <c r="EX10" s="150"/>
      <c r="EY10" s="150"/>
      <c r="EZ10" s="150"/>
      <c r="FA10" s="150"/>
      <c r="FB10" s="150"/>
      <c r="FC10" s="150"/>
      <c r="FD10" s="150"/>
      <c r="FE10" s="150"/>
      <c r="FF10" s="150"/>
      <c r="FG10" s="150"/>
      <c r="FH10" s="150"/>
      <c r="FI10" s="150"/>
      <c r="FJ10" s="150"/>
      <c r="FK10" s="150"/>
      <c r="FL10" s="150"/>
      <c r="FM10" s="150"/>
      <c r="FN10" s="150"/>
      <c r="FO10" s="150"/>
      <c r="FP10" s="150"/>
      <c r="FQ10" s="150"/>
      <c r="FR10" s="150"/>
      <c r="FS10" s="150"/>
      <c r="FT10" s="150"/>
      <c r="FU10" s="150"/>
      <c r="FV10" s="150"/>
      <c r="FW10" s="150"/>
      <c r="FX10" s="150"/>
      <c r="FY10" s="150"/>
      <c r="FZ10" s="150"/>
      <c r="GA10" s="150"/>
      <c r="GB10" s="150"/>
      <c r="GC10" s="150"/>
      <c r="GD10" s="150"/>
      <c r="GE10" s="150"/>
      <c r="GF10" s="150"/>
      <c r="GG10" s="150"/>
      <c r="GH10" s="150"/>
      <c r="GI10" s="150"/>
      <c r="GJ10" s="150"/>
      <c r="GK10" s="150"/>
      <c r="GL10" s="150"/>
      <c r="GM10" s="150"/>
      <c r="GN10" s="150"/>
      <c r="GO10" s="150"/>
      <c r="GP10" s="150"/>
      <c r="GQ10" s="150"/>
      <c r="GR10" s="150"/>
      <c r="GS10" s="150"/>
      <c r="GT10" s="150"/>
      <c r="GU10" s="150"/>
      <c r="GV10" s="150"/>
      <c r="GW10" s="150"/>
      <c r="GX10" s="150"/>
      <c r="GY10" s="150"/>
      <c r="GZ10" s="150"/>
      <c r="HA10" s="150"/>
      <c r="HB10" s="150"/>
    </row>
    <row r="11" s="119" customFormat="true" ht="15.75" hidden="false" customHeight="true" outlineLevel="0" collapsed="false">
      <c r="A11" s="98"/>
      <c r="B11" s="99"/>
      <c r="C11" s="129"/>
      <c r="E11" s="156"/>
      <c r="F11" s="156"/>
      <c r="G11" s="156"/>
      <c r="H11" s="156"/>
      <c r="I11" s="156"/>
      <c r="J11" s="156"/>
      <c r="K11" s="156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  <c r="BL11" s="150"/>
      <c r="BM11" s="150"/>
      <c r="BN11" s="150"/>
      <c r="BO11" s="150"/>
      <c r="BP11" s="150"/>
      <c r="BQ11" s="150"/>
      <c r="BR11" s="150"/>
      <c r="BS11" s="150"/>
      <c r="BT11" s="150"/>
      <c r="BU11" s="150"/>
      <c r="BV11" s="150"/>
      <c r="BW11" s="150"/>
      <c r="BX11" s="150"/>
      <c r="BY11" s="150"/>
      <c r="BZ11" s="150"/>
      <c r="CA11" s="150"/>
      <c r="CB11" s="150"/>
      <c r="CC11" s="150"/>
      <c r="CD11" s="150"/>
      <c r="CE11" s="150"/>
      <c r="CF11" s="150"/>
      <c r="CG11" s="150"/>
      <c r="CH11" s="150"/>
      <c r="CI11" s="150"/>
      <c r="CJ11" s="150"/>
      <c r="CK11" s="150"/>
      <c r="CL11" s="150"/>
      <c r="CM11" s="150"/>
      <c r="CN11" s="150"/>
      <c r="CO11" s="150"/>
      <c r="CP11" s="150"/>
      <c r="CQ11" s="150"/>
      <c r="CR11" s="150"/>
      <c r="CS11" s="150"/>
      <c r="CT11" s="150"/>
      <c r="CU11" s="150"/>
      <c r="CV11" s="150"/>
      <c r="CW11" s="150"/>
      <c r="CX11" s="150"/>
      <c r="CY11" s="150"/>
      <c r="CZ11" s="150"/>
      <c r="DA11" s="150"/>
      <c r="DB11" s="150"/>
      <c r="DC11" s="150"/>
      <c r="DD11" s="150"/>
      <c r="DE11" s="150"/>
      <c r="DF11" s="150"/>
      <c r="DG11" s="150"/>
      <c r="DH11" s="150"/>
      <c r="DI11" s="150"/>
      <c r="DJ11" s="150"/>
      <c r="DK11" s="150"/>
      <c r="DL11" s="150"/>
      <c r="DM11" s="150"/>
      <c r="DN11" s="150"/>
      <c r="DO11" s="150"/>
      <c r="DP11" s="150"/>
      <c r="DQ11" s="150"/>
      <c r="DR11" s="150"/>
      <c r="DS11" s="150"/>
      <c r="DT11" s="150"/>
      <c r="DU11" s="150"/>
      <c r="DV11" s="150"/>
      <c r="DW11" s="150"/>
      <c r="DX11" s="150"/>
      <c r="DY11" s="150"/>
      <c r="DZ11" s="150"/>
      <c r="EA11" s="150"/>
      <c r="EB11" s="150"/>
      <c r="EC11" s="150"/>
      <c r="ED11" s="150"/>
      <c r="EE11" s="150"/>
      <c r="EF11" s="150"/>
      <c r="EG11" s="150"/>
      <c r="EH11" s="150"/>
      <c r="EI11" s="150"/>
      <c r="EJ11" s="150"/>
      <c r="EK11" s="150"/>
      <c r="EL11" s="150"/>
      <c r="EM11" s="150"/>
      <c r="EN11" s="150"/>
      <c r="EO11" s="150"/>
      <c r="EP11" s="150"/>
      <c r="EQ11" s="150"/>
      <c r="ER11" s="150"/>
      <c r="ES11" s="150"/>
      <c r="ET11" s="150"/>
      <c r="EU11" s="150"/>
      <c r="EV11" s="150"/>
      <c r="EW11" s="150"/>
      <c r="EX11" s="150"/>
      <c r="EY11" s="150"/>
      <c r="EZ11" s="150"/>
      <c r="FA11" s="150"/>
      <c r="FB11" s="150"/>
      <c r="FC11" s="150"/>
      <c r="FD11" s="150"/>
      <c r="FE11" s="150"/>
      <c r="FF11" s="150"/>
      <c r="FG11" s="150"/>
      <c r="FH11" s="150"/>
      <c r="FI11" s="150"/>
      <c r="FJ11" s="150"/>
      <c r="FK11" s="150"/>
      <c r="FL11" s="150"/>
      <c r="FM11" s="150"/>
      <c r="FN11" s="150"/>
      <c r="FO11" s="150"/>
      <c r="FP11" s="150"/>
      <c r="FQ11" s="150"/>
      <c r="FR11" s="150"/>
      <c r="FS11" s="150"/>
      <c r="FT11" s="150"/>
      <c r="FU11" s="150"/>
      <c r="FV11" s="150"/>
      <c r="FW11" s="150"/>
      <c r="FX11" s="150"/>
      <c r="FY11" s="150"/>
      <c r="FZ11" s="150"/>
      <c r="GA11" s="150"/>
      <c r="GB11" s="150"/>
      <c r="GC11" s="150"/>
      <c r="GD11" s="150"/>
      <c r="GE11" s="150"/>
      <c r="GF11" s="150"/>
      <c r="GG11" s="150"/>
      <c r="GH11" s="150"/>
      <c r="GI11" s="150"/>
      <c r="GJ11" s="150"/>
      <c r="GK11" s="150"/>
      <c r="GL11" s="150"/>
      <c r="GM11" s="150"/>
      <c r="GN11" s="150"/>
      <c r="GO11" s="150"/>
      <c r="GP11" s="150"/>
      <c r="GQ11" s="150"/>
      <c r="GR11" s="150"/>
      <c r="GS11" s="150"/>
      <c r="GT11" s="150"/>
      <c r="GU11" s="150"/>
      <c r="GV11" s="150"/>
      <c r="GW11" s="150"/>
      <c r="GX11" s="150"/>
      <c r="GY11" s="150"/>
      <c r="GZ11" s="150"/>
      <c r="HA11" s="150"/>
      <c r="HB11" s="150"/>
    </row>
    <row r="12" s="119" customFormat="true" ht="15.75" hidden="false" customHeight="true" outlineLevel="0" collapsed="false">
      <c r="A12" s="98"/>
      <c r="B12" s="99"/>
      <c r="C12" s="129"/>
      <c r="E12" s="156"/>
      <c r="F12" s="156"/>
      <c r="G12" s="156"/>
      <c r="H12" s="156"/>
      <c r="I12" s="156"/>
      <c r="J12" s="156"/>
      <c r="K12" s="156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0"/>
      <c r="CO12" s="150"/>
      <c r="CP12" s="150"/>
      <c r="CQ12" s="150"/>
      <c r="CR12" s="150"/>
      <c r="CS12" s="150"/>
      <c r="CT12" s="150"/>
      <c r="CU12" s="150"/>
      <c r="CV12" s="150"/>
      <c r="CW12" s="150"/>
      <c r="CX12" s="150"/>
      <c r="CY12" s="150"/>
      <c r="CZ12" s="150"/>
      <c r="DA12" s="150"/>
      <c r="DB12" s="150"/>
      <c r="DC12" s="150"/>
      <c r="DD12" s="150"/>
      <c r="DE12" s="150"/>
      <c r="DF12" s="150"/>
      <c r="DG12" s="150"/>
      <c r="DH12" s="150"/>
      <c r="DI12" s="150"/>
      <c r="DJ12" s="150"/>
      <c r="DK12" s="150"/>
      <c r="DL12" s="150"/>
      <c r="DM12" s="150"/>
      <c r="DN12" s="150"/>
      <c r="DO12" s="150"/>
      <c r="DP12" s="150"/>
      <c r="DQ12" s="150"/>
      <c r="DR12" s="150"/>
      <c r="DS12" s="150"/>
      <c r="DT12" s="150"/>
      <c r="DU12" s="150"/>
      <c r="DV12" s="150"/>
      <c r="DW12" s="150"/>
      <c r="DX12" s="150"/>
      <c r="DY12" s="150"/>
      <c r="DZ12" s="150"/>
      <c r="EA12" s="150"/>
      <c r="EB12" s="150"/>
      <c r="EC12" s="150"/>
      <c r="ED12" s="150"/>
      <c r="EE12" s="150"/>
      <c r="EF12" s="150"/>
      <c r="EG12" s="150"/>
      <c r="EH12" s="150"/>
      <c r="EI12" s="150"/>
      <c r="EJ12" s="150"/>
      <c r="EK12" s="150"/>
      <c r="EL12" s="150"/>
      <c r="EM12" s="150"/>
      <c r="EN12" s="150"/>
      <c r="EO12" s="150"/>
      <c r="EP12" s="150"/>
      <c r="EQ12" s="150"/>
      <c r="ER12" s="150"/>
      <c r="ES12" s="150"/>
      <c r="ET12" s="150"/>
      <c r="EU12" s="150"/>
      <c r="EV12" s="150"/>
      <c r="EW12" s="150"/>
      <c r="EX12" s="150"/>
      <c r="EY12" s="150"/>
      <c r="EZ12" s="150"/>
      <c r="FA12" s="150"/>
      <c r="FB12" s="150"/>
      <c r="FC12" s="150"/>
      <c r="FD12" s="150"/>
      <c r="FE12" s="150"/>
      <c r="FF12" s="150"/>
      <c r="FG12" s="150"/>
      <c r="FH12" s="150"/>
      <c r="FI12" s="150"/>
      <c r="FJ12" s="150"/>
      <c r="FK12" s="150"/>
      <c r="FL12" s="150"/>
      <c r="FM12" s="150"/>
      <c r="FN12" s="150"/>
      <c r="FO12" s="150"/>
      <c r="FP12" s="150"/>
      <c r="FQ12" s="150"/>
      <c r="FR12" s="150"/>
      <c r="FS12" s="150"/>
      <c r="FT12" s="150"/>
      <c r="FU12" s="150"/>
      <c r="FV12" s="150"/>
      <c r="FW12" s="150"/>
      <c r="FX12" s="150"/>
      <c r="FY12" s="150"/>
      <c r="FZ12" s="150"/>
      <c r="GA12" s="150"/>
      <c r="GB12" s="150"/>
      <c r="GC12" s="150"/>
      <c r="GD12" s="150"/>
      <c r="GE12" s="150"/>
      <c r="GF12" s="150"/>
      <c r="GG12" s="150"/>
      <c r="GH12" s="150"/>
      <c r="GI12" s="150"/>
      <c r="GJ12" s="150"/>
      <c r="GK12" s="150"/>
      <c r="GL12" s="150"/>
      <c r="GM12" s="150"/>
      <c r="GN12" s="150"/>
      <c r="GO12" s="150"/>
      <c r="GP12" s="150"/>
      <c r="GQ12" s="150"/>
      <c r="GR12" s="150"/>
      <c r="GS12" s="150"/>
      <c r="GT12" s="150"/>
      <c r="GU12" s="150"/>
      <c r="GV12" s="150"/>
      <c r="GW12" s="150"/>
      <c r="GX12" s="150"/>
      <c r="GY12" s="150"/>
      <c r="GZ12" s="150"/>
      <c r="HA12" s="150"/>
      <c r="HB12" s="150"/>
    </row>
    <row r="13" s="119" customFormat="true" ht="15.75" hidden="false" customHeight="true" outlineLevel="0" collapsed="false">
      <c r="A13" s="98"/>
      <c r="B13" s="99"/>
      <c r="C13" s="129"/>
      <c r="E13" s="156"/>
      <c r="F13" s="156"/>
      <c r="G13" s="156"/>
      <c r="H13" s="156"/>
      <c r="I13" s="156"/>
      <c r="J13" s="156"/>
      <c r="K13" s="156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  <c r="CJ13" s="150"/>
      <c r="CK13" s="150"/>
      <c r="CL13" s="150"/>
      <c r="CM13" s="150"/>
      <c r="CN13" s="150"/>
      <c r="CO13" s="150"/>
      <c r="CP13" s="150"/>
      <c r="CQ13" s="150"/>
      <c r="CR13" s="150"/>
      <c r="CS13" s="150"/>
      <c r="CT13" s="150"/>
      <c r="CU13" s="150"/>
      <c r="CV13" s="150"/>
      <c r="CW13" s="150"/>
      <c r="CX13" s="150"/>
      <c r="CY13" s="150"/>
      <c r="CZ13" s="150"/>
      <c r="DA13" s="150"/>
      <c r="DB13" s="150"/>
      <c r="DC13" s="150"/>
      <c r="DD13" s="150"/>
      <c r="DE13" s="150"/>
      <c r="DF13" s="150"/>
      <c r="DG13" s="150"/>
      <c r="DH13" s="150"/>
      <c r="DI13" s="150"/>
      <c r="DJ13" s="150"/>
      <c r="DK13" s="150"/>
      <c r="DL13" s="150"/>
      <c r="DM13" s="150"/>
      <c r="DN13" s="150"/>
      <c r="DO13" s="150"/>
      <c r="DP13" s="150"/>
      <c r="DQ13" s="150"/>
      <c r="DR13" s="150"/>
      <c r="DS13" s="150"/>
      <c r="DT13" s="150"/>
      <c r="DU13" s="150"/>
      <c r="DV13" s="150"/>
      <c r="DW13" s="150"/>
      <c r="DX13" s="150"/>
      <c r="DY13" s="150"/>
      <c r="DZ13" s="150"/>
      <c r="EA13" s="150"/>
      <c r="EB13" s="150"/>
      <c r="EC13" s="150"/>
      <c r="ED13" s="150"/>
      <c r="EE13" s="150"/>
      <c r="EF13" s="150"/>
      <c r="EG13" s="150"/>
      <c r="EH13" s="150"/>
      <c r="EI13" s="150"/>
      <c r="EJ13" s="150"/>
      <c r="EK13" s="150"/>
      <c r="EL13" s="150"/>
      <c r="EM13" s="150"/>
      <c r="EN13" s="150"/>
      <c r="EO13" s="150"/>
      <c r="EP13" s="150"/>
      <c r="EQ13" s="150"/>
      <c r="ER13" s="150"/>
      <c r="ES13" s="150"/>
      <c r="ET13" s="150"/>
      <c r="EU13" s="150"/>
      <c r="EV13" s="150"/>
      <c r="EW13" s="150"/>
      <c r="EX13" s="150"/>
      <c r="EY13" s="150"/>
      <c r="EZ13" s="150"/>
      <c r="FA13" s="150"/>
      <c r="FB13" s="150"/>
      <c r="FC13" s="150"/>
      <c r="FD13" s="150"/>
      <c r="FE13" s="150"/>
      <c r="FF13" s="150"/>
      <c r="FG13" s="150"/>
      <c r="FH13" s="150"/>
      <c r="FI13" s="150"/>
      <c r="FJ13" s="150"/>
      <c r="FK13" s="150"/>
      <c r="FL13" s="150"/>
      <c r="FM13" s="150"/>
      <c r="FN13" s="150"/>
      <c r="FO13" s="150"/>
      <c r="FP13" s="150"/>
      <c r="FQ13" s="150"/>
      <c r="FR13" s="150"/>
      <c r="FS13" s="150"/>
      <c r="FT13" s="150"/>
      <c r="FU13" s="150"/>
      <c r="FV13" s="150"/>
      <c r="FW13" s="150"/>
      <c r="FX13" s="150"/>
      <c r="FY13" s="150"/>
      <c r="FZ13" s="150"/>
      <c r="GA13" s="150"/>
      <c r="GB13" s="150"/>
      <c r="GC13" s="150"/>
      <c r="GD13" s="150"/>
      <c r="GE13" s="150"/>
      <c r="GF13" s="150"/>
      <c r="GG13" s="150"/>
      <c r="GH13" s="150"/>
      <c r="GI13" s="150"/>
      <c r="GJ13" s="150"/>
      <c r="GK13" s="150"/>
      <c r="GL13" s="150"/>
      <c r="GM13" s="150"/>
      <c r="GN13" s="150"/>
      <c r="GO13" s="150"/>
      <c r="GP13" s="150"/>
      <c r="GQ13" s="150"/>
      <c r="GR13" s="150"/>
      <c r="GS13" s="150"/>
      <c r="GT13" s="150"/>
      <c r="GU13" s="150"/>
      <c r="GV13" s="150"/>
      <c r="GW13" s="150"/>
      <c r="GX13" s="150"/>
      <c r="GY13" s="150"/>
      <c r="GZ13" s="150"/>
      <c r="HA13" s="150"/>
      <c r="HB13" s="150"/>
    </row>
    <row r="14" s="119" customFormat="true" ht="15.75" hidden="false" customHeight="true" outlineLevel="0" collapsed="false">
      <c r="A14" s="98"/>
      <c r="B14" s="99"/>
      <c r="C14" s="129"/>
      <c r="E14" s="156"/>
      <c r="F14" s="156"/>
      <c r="G14" s="156"/>
      <c r="H14" s="156"/>
      <c r="I14" s="156"/>
      <c r="J14" s="156"/>
      <c r="K14" s="156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  <c r="CJ14" s="150"/>
      <c r="CK14" s="150"/>
      <c r="CL14" s="150"/>
      <c r="CM14" s="150"/>
      <c r="CN14" s="150"/>
      <c r="CO14" s="150"/>
      <c r="CP14" s="150"/>
      <c r="CQ14" s="150"/>
      <c r="CR14" s="150"/>
      <c r="CS14" s="150"/>
      <c r="CT14" s="150"/>
      <c r="CU14" s="150"/>
      <c r="CV14" s="150"/>
      <c r="CW14" s="150"/>
      <c r="CX14" s="150"/>
      <c r="CY14" s="150"/>
      <c r="CZ14" s="150"/>
      <c r="DA14" s="150"/>
      <c r="DB14" s="150"/>
      <c r="DC14" s="150"/>
      <c r="DD14" s="150"/>
      <c r="DE14" s="150"/>
      <c r="DF14" s="150"/>
      <c r="DG14" s="150"/>
      <c r="DH14" s="150"/>
      <c r="DI14" s="150"/>
      <c r="DJ14" s="150"/>
      <c r="DK14" s="150"/>
      <c r="DL14" s="150"/>
      <c r="DM14" s="150"/>
      <c r="DN14" s="150"/>
      <c r="DO14" s="150"/>
      <c r="DP14" s="150"/>
      <c r="DQ14" s="150"/>
      <c r="DR14" s="150"/>
      <c r="DS14" s="150"/>
      <c r="DT14" s="150"/>
      <c r="DU14" s="150"/>
      <c r="DV14" s="150"/>
      <c r="DW14" s="150"/>
      <c r="DX14" s="150"/>
      <c r="DY14" s="150"/>
      <c r="DZ14" s="150"/>
      <c r="EA14" s="150"/>
      <c r="EB14" s="150"/>
      <c r="EC14" s="150"/>
      <c r="ED14" s="150"/>
      <c r="EE14" s="150"/>
      <c r="EF14" s="150"/>
      <c r="EG14" s="150"/>
      <c r="EH14" s="150"/>
      <c r="EI14" s="150"/>
      <c r="EJ14" s="150"/>
      <c r="EK14" s="150"/>
      <c r="EL14" s="150"/>
      <c r="EM14" s="150"/>
      <c r="EN14" s="150"/>
      <c r="EO14" s="150"/>
      <c r="EP14" s="150"/>
      <c r="EQ14" s="150"/>
      <c r="ER14" s="150"/>
      <c r="ES14" s="150"/>
      <c r="ET14" s="150"/>
      <c r="EU14" s="150"/>
      <c r="EV14" s="150"/>
      <c r="EW14" s="150"/>
      <c r="EX14" s="150"/>
      <c r="EY14" s="150"/>
      <c r="EZ14" s="150"/>
      <c r="FA14" s="150"/>
      <c r="FB14" s="150"/>
      <c r="FC14" s="150"/>
      <c r="FD14" s="150"/>
      <c r="FE14" s="150"/>
      <c r="FF14" s="150"/>
      <c r="FG14" s="150"/>
      <c r="FH14" s="150"/>
      <c r="FI14" s="150"/>
      <c r="FJ14" s="150"/>
      <c r="FK14" s="150"/>
      <c r="FL14" s="150"/>
      <c r="FM14" s="150"/>
      <c r="FN14" s="150"/>
      <c r="FO14" s="150"/>
      <c r="FP14" s="150"/>
      <c r="FQ14" s="150"/>
      <c r="FR14" s="150"/>
      <c r="FS14" s="150"/>
      <c r="FT14" s="150"/>
      <c r="FU14" s="150"/>
      <c r="FV14" s="150"/>
      <c r="FW14" s="150"/>
      <c r="FX14" s="150"/>
      <c r="FY14" s="150"/>
      <c r="FZ14" s="150"/>
      <c r="GA14" s="150"/>
      <c r="GB14" s="150"/>
      <c r="GC14" s="150"/>
      <c r="GD14" s="150"/>
      <c r="GE14" s="150"/>
      <c r="GF14" s="150"/>
      <c r="GG14" s="150"/>
      <c r="GH14" s="150"/>
      <c r="GI14" s="150"/>
      <c r="GJ14" s="150"/>
      <c r="GK14" s="150"/>
      <c r="GL14" s="150"/>
      <c r="GM14" s="150"/>
      <c r="GN14" s="150"/>
      <c r="GO14" s="150"/>
      <c r="GP14" s="150"/>
      <c r="GQ14" s="150"/>
      <c r="GR14" s="150"/>
      <c r="GS14" s="150"/>
      <c r="GT14" s="150"/>
      <c r="GU14" s="150"/>
      <c r="GV14" s="150"/>
      <c r="GW14" s="150"/>
      <c r="GX14" s="150"/>
      <c r="GY14" s="150"/>
      <c r="GZ14" s="150"/>
      <c r="HA14" s="150"/>
      <c r="HB14" s="150"/>
    </row>
    <row r="15" s="119" customFormat="true" ht="15.75" hidden="false" customHeight="true" outlineLevel="0" collapsed="false">
      <c r="A15" s="98"/>
      <c r="B15" s="99"/>
      <c r="C15" s="129"/>
      <c r="E15" s="156"/>
      <c r="F15" s="156"/>
      <c r="G15" s="156"/>
      <c r="H15" s="156"/>
      <c r="I15" s="156"/>
      <c r="J15" s="156"/>
      <c r="K15" s="156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  <c r="CJ15" s="150"/>
      <c r="CK15" s="150"/>
      <c r="CL15" s="150"/>
      <c r="CM15" s="150"/>
      <c r="CN15" s="150"/>
      <c r="CO15" s="150"/>
      <c r="CP15" s="150"/>
      <c r="CQ15" s="150"/>
      <c r="CR15" s="150"/>
      <c r="CS15" s="150"/>
      <c r="CT15" s="150"/>
      <c r="CU15" s="150"/>
      <c r="CV15" s="150"/>
      <c r="CW15" s="150"/>
      <c r="CX15" s="150"/>
      <c r="CY15" s="150"/>
      <c r="CZ15" s="150"/>
      <c r="DA15" s="150"/>
      <c r="DB15" s="150"/>
      <c r="DC15" s="150"/>
      <c r="DD15" s="150"/>
      <c r="DE15" s="150"/>
      <c r="DF15" s="150"/>
      <c r="DG15" s="150"/>
      <c r="DH15" s="150"/>
      <c r="DI15" s="150"/>
      <c r="DJ15" s="150"/>
      <c r="DK15" s="150"/>
      <c r="DL15" s="150"/>
      <c r="DM15" s="150"/>
      <c r="DN15" s="150"/>
      <c r="DO15" s="150"/>
      <c r="DP15" s="150"/>
      <c r="DQ15" s="150"/>
      <c r="DR15" s="150"/>
      <c r="DS15" s="150"/>
      <c r="DT15" s="150"/>
      <c r="DU15" s="150"/>
      <c r="DV15" s="150"/>
      <c r="DW15" s="150"/>
      <c r="DX15" s="150"/>
      <c r="DY15" s="150"/>
      <c r="DZ15" s="150"/>
      <c r="EA15" s="150"/>
      <c r="EB15" s="150"/>
      <c r="EC15" s="150"/>
      <c r="ED15" s="150"/>
      <c r="EE15" s="150"/>
      <c r="EF15" s="150"/>
      <c r="EG15" s="150"/>
      <c r="EH15" s="150"/>
      <c r="EI15" s="150"/>
      <c r="EJ15" s="150"/>
      <c r="EK15" s="150"/>
      <c r="EL15" s="150"/>
      <c r="EM15" s="150"/>
      <c r="EN15" s="150"/>
      <c r="EO15" s="150"/>
      <c r="EP15" s="150"/>
      <c r="EQ15" s="150"/>
      <c r="ER15" s="150"/>
      <c r="ES15" s="150"/>
      <c r="ET15" s="150"/>
      <c r="EU15" s="150"/>
      <c r="EV15" s="150"/>
      <c r="EW15" s="150"/>
      <c r="EX15" s="150"/>
      <c r="EY15" s="150"/>
      <c r="EZ15" s="150"/>
      <c r="FA15" s="150"/>
      <c r="FB15" s="150"/>
      <c r="FC15" s="150"/>
      <c r="FD15" s="150"/>
      <c r="FE15" s="150"/>
      <c r="FF15" s="150"/>
      <c r="FG15" s="150"/>
      <c r="FH15" s="150"/>
      <c r="FI15" s="150"/>
      <c r="FJ15" s="150"/>
      <c r="FK15" s="150"/>
      <c r="FL15" s="150"/>
      <c r="FM15" s="150"/>
      <c r="FN15" s="150"/>
      <c r="FO15" s="150"/>
      <c r="FP15" s="150"/>
      <c r="FQ15" s="150"/>
      <c r="FR15" s="150"/>
      <c r="FS15" s="150"/>
      <c r="FT15" s="150"/>
      <c r="FU15" s="150"/>
      <c r="FV15" s="150"/>
      <c r="FW15" s="150"/>
      <c r="FX15" s="150"/>
      <c r="FY15" s="150"/>
      <c r="FZ15" s="150"/>
      <c r="GA15" s="150"/>
      <c r="GB15" s="150"/>
      <c r="GC15" s="150"/>
      <c r="GD15" s="150"/>
      <c r="GE15" s="150"/>
      <c r="GF15" s="150"/>
      <c r="GG15" s="150"/>
      <c r="GH15" s="150"/>
      <c r="GI15" s="150"/>
      <c r="GJ15" s="150"/>
      <c r="GK15" s="150"/>
      <c r="GL15" s="150"/>
      <c r="GM15" s="150"/>
      <c r="GN15" s="150"/>
      <c r="GO15" s="150"/>
      <c r="GP15" s="150"/>
      <c r="GQ15" s="150"/>
      <c r="GR15" s="150"/>
      <c r="GS15" s="150"/>
      <c r="GT15" s="150"/>
      <c r="GU15" s="150"/>
      <c r="GV15" s="150"/>
      <c r="GW15" s="150"/>
      <c r="GX15" s="150"/>
      <c r="GY15" s="150"/>
      <c r="GZ15" s="150"/>
      <c r="HA15" s="150"/>
      <c r="HB15" s="150"/>
    </row>
    <row r="16" s="119" customFormat="true" ht="15.75" hidden="false" customHeight="true" outlineLevel="0" collapsed="false">
      <c r="A16" s="98"/>
      <c r="B16" s="99"/>
      <c r="C16" s="129"/>
      <c r="E16" s="156"/>
      <c r="F16" s="156"/>
      <c r="G16" s="156"/>
      <c r="H16" s="156"/>
      <c r="I16" s="156"/>
      <c r="J16" s="156"/>
      <c r="K16" s="156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0"/>
      <c r="BF16" s="150"/>
      <c r="BG16" s="150"/>
      <c r="BH16" s="150"/>
      <c r="BI16" s="150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  <c r="CJ16" s="150"/>
      <c r="CK16" s="150"/>
      <c r="CL16" s="150"/>
      <c r="CM16" s="150"/>
      <c r="CN16" s="150"/>
      <c r="CO16" s="150"/>
      <c r="CP16" s="150"/>
      <c r="CQ16" s="150"/>
      <c r="CR16" s="150"/>
      <c r="CS16" s="150"/>
      <c r="CT16" s="150"/>
      <c r="CU16" s="150"/>
      <c r="CV16" s="150"/>
      <c r="CW16" s="150"/>
      <c r="CX16" s="150"/>
      <c r="CY16" s="150"/>
      <c r="CZ16" s="150"/>
      <c r="DA16" s="150"/>
      <c r="DB16" s="150"/>
      <c r="DC16" s="150"/>
      <c r="DD16" s="150"/>
      <c r="DE16" s="150"/>
      <c r="DF16" s="150"/>
      <c r="DG16" s="150"/>
      <c r="DH16" s="150"/>
      <c r="DI16" s="150"/>
      <c r="DJ16" s="150"/>
      <c r="DK16" s="150"/>
      <c r="DL16" s="150"/>
      <c r="DM16" s="150"/>
      <c r="DN16" s="150"/>
      <c r="DO16" s="150"/>
      <c r="DP16" s="150"/>
      <c r="DQ16" s="150"/>
      <c r="DR16" s="150"/>
      <c r="DS16" s="150"/>
      <c r="DT16" s="150"/>
      <c r="DU16" s="150"/>
      <c r="DV16" s="150"/>
      <c r="DW16" s="150"/>
      <c r="DX16" s="150"/>
      <c r="DY16" s="150"/>
      <c r="DZ16" s="150"/>
      <c r="EA16" s="150"/>
      <c r="EB16" s="150"/>
      <c r="EC16" s="150"/>
      <c r="ED16" s="150"/>
      <c r="EE16" s="150"/>
      <c r="EF16" s="150"/>
      <c r="EG16" s="150"/>
      <c r="EH16" s="150"/>
      <c r="EI16" s="150"/>
      <c r="EJ16" s="150"/>
      <c r="EK16" s="150"/>
      <c r="EL16" s="150"/>
      <c r="EM16" s="150"/>
      <c r="EN16" s="150"/>
      <c r="EO16" s="150"/>
      <c r="EP16" s="150"/>
      <c r="EQ16" s="150"/>
      <c r="ER16" s="150"/>
      <c r="ES16" s="150"/>
      <c r="ET16" s="150"/>
      <c r="EU16" s="150"/>
      <c r="EV16" s="150"/>
      <c r="EW16" s="150"/>
      <c r="EX16" s="150"/>
      <c r="EY16" s="150"/>
      <c r="EZ16" s="150"/>
      <c r="FA16" s="150"/>
      <c r="FB16" s="150"/>
      <c r="FC16" s="150"/>
      <c r="FD16" s="150"/>
      <c r="FE16" s="150"/>
      <c r="FF16" s="150"/>
      <c r="FG16" s="150"/>
      <c r="FH16" s="150"/>
      <c r="FI16" s="150"/>
      <c r="FJ16" s="150"/>
      <c r="FK16" s="150"/>
      <c r="FL16" s="150"/>
      <c r="FM16" s="150"/>
      <c r="FN16" s="150"/>
      <c r="FO16" s="150"/>
      <c r="FP16" s="150"/>
      <c r="FQ16" s="150"/>
      <c r="FR16" s="150"/>
      <c r="FS16" s="150"/>
      <c r="FT16" s="150"/>
      <c r="FU16" s="150"/>
      <c r="FV16" s="150"/>
      <c r="FW16" s="150"/>
      <c r="FX16" s="150"/>
      <c r="FY16" s="150"/>
      <c r="FZ16" s="150"/>
      <c r="GA16" s="150"/>
      <c r="GB16" s="150"/>
      <c r="GC16" s="150"/>
      <c r="GD16" s="150"/>
      <c r="GE16" s="150"/>
      <c r="GF16" s="150"/>
      <c r="GG16" s="150"/>
      <c r="GH16" s="150"/>
      <c r="GI16" s="150"/>
      <c r="GJ16" s="150"/>
      <c r="GK16" s="150"/>
      <c r="GL16" s="150"/>
      <c r="GM16" s="150"/>
      <c r="GN16" s="150"/>
      <c r="GO16" s="150"/>
      <c r="GP16" s="150"/>
      <c r="GQ16" s="150"/>
      <c r="GR16" s="150"/>
      <c r="GS16" s="150"/>
      <c r="GT16" s="150"/>
      <c r="GU16" s="150"/>
      <c r="GV16" s="150"/>
      <c r="GW16" s="150"/>
      <c r="GX16" s="150"/>
      <c r="GY16" s="150"/>
      <c r="GZ16" s="150"/>
      <c r="HA16" s="150"/>
      <c r="HB16" s="150"/>
    </row>
    <row r="17" s="119" customFormat="true" ht="15.75" hidden="false" customHeight="true" outlineLevel="0" collapsed="false">
      <c r="A17" s="98"/>
      <c r="B17" s="99"/>
      <c r="C17" s="129"/>
      <c r="E17" s="156"/>
      <c r="F17" s="156"/>
      <c r="G17" s="156"/>
      <c r="H17" s="156"/>
      <c r="I17" s="156"/>
      <c r="J17" s="156"/>
      <c r="K17" s="156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0"/>
      <c r="BF17" s="150"/>
      <c r="BG17" s="150"/>
      <c r="BH17" s="150"/>
      <c r="BI17" s="150"/>
      <c r="BJ17" s="150"/>
      <c r="BK17" s="150"/>
      <c r="BL17" s="150"/>
      <c r="BM17" s="150"/>
      <c r="BN17" s="150"/>
      <c r="BO17" s="150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  <c r="CJ17" s="150"/>
      <c r="CK17" s="150"/>
      <c r="CL17" s="150"/>
      <c r="CM17" s="150"/>
      <c r="CN17" s="150"/>
      <c r="CO17" s="150"/>
      <c r="CP17" s="150"/>
      <c r="CQ17" s="150"/>
      <c r="CR17" s="150"/>
      <c r="CS17" s="150"/>
      <c r="CT17" s="150"/>
      <c r="CU17" s="150"/>
      <c r="CV17" s="150"/>
      <c r="CW17" s="150"/>
      <c r="CX17" s="150"/>
      <c r="CY17" s="150"/>
      <c r="CZ17" s="150"/>
      <c r="DA17" s="150"/>
      <c r="DB17" s="150"/>
      <c r="DC17" s="150"/>
      <c r="DD17" s="150"/>
      <c r="DE17" s="150"/>
      <c r="DF17" s="150"/>
      <c r="DG17" s="150"/>
      <c r="DH17" s="150"/>
      <c r="DI17" s="150"/>
      <c r="DJ17" s="150"/>
      <c r="DK17" s="150"/>
      <c r="DL17" s="150"/>
      <c r="DM17" s="150"/>
      <c r="DN17" s="150"/>
      <c r="DO17" s="150"/>
      <c r="DP17" s="150"/>
      <c r="DQ17" s="150"/>
      <c r="DR17" s="150"/>
      <c r="DS17" s="150"/>
      <c r="DT17" s="150"/>
      <c r="DU17" s="150"/>
      <c r="DV17" s="150"/>
      <c r="DW17" s="150"/>
      <c r="DX17" s="150"/>
      <c r="DY17" s="150"/>
      <c r="DZ17" s="150"/>
      <c r="EA17" s="150"/>
      <c r="EB17" s="150"/>
      <c r="EC17" s="150"/>
      <c r="ED17" s="150"/>
      <c r="EE17" s="150"/>
      <c r="EF17" s="150"/>
      <c r="EG17" s="150"/>
      <c r="EH17" s="150"/>
      <c r="EI17" s="150"/>
      <c r="EJ17" s="150"/>
      <c r="EK17" s="150"/>
      <c r="EL17" s="150"/>
      <c r="EM17" s="150"/>
      <c r="EN17" s="150"/>
      <c r="EO17" s="150"/>
      <c r="EP17" s="150"/>
      <c r="EQ17" s="150"/>
      <c r="ER17" s="150"/>
      <c r="ES17" s="150"/>
      <c r="ET17" s="150"/>
      <c r="EU17" s="150"/>
      <c r="EV17" s="150"/>
      <c r="EW17" s="150"/>
      <c r="EX17" s="150"/>
      <c r="EY17" s="150"/>
      <c r="EZ17" s="150"/>
      <c r="FA17" s="150"/>
      <c r="FB17" s="150"/>
      <c r="FC17" s="150"/>
      <c r="FD17" s="150"/>
      <c r="FE17" s="150"/>
      <c r="FF17" s="150"/>
      <c r="FG17" s="150"/>
      <c r="FH17" s="150"/>
      <c r="FI17" s="150"/>
      <c r="FJ17" s="150"/>
      <c r="FK17" s="150"/>
      <c r="FL17" s="150"/>
      <c r="FM17" s="150"/>
      <c r="FN17" s="150"/>
      <c r="FO17" s="150"/>
      <c r="FP17" s="150"/>
      <c r="FQ17" s="150"/>
      <c r="FR17" s="150"/>
      <c r="FS17" s="150"/>
      <c r="FT17" s="150"/>
      <c r="FU17" s="150"/>
      <c r="FV17" s="150"/>
      <c r="FW17" s="150"/>
      <c r="FX17" s="150"/>
      <c r="FY17" s="150"/>
      <c r="FZ17" s="150"/>
      <c r="GA17" s="150"/>
      <c r="GB17" s="150"/>
      <c r="GC17" s="150"/>
      <c r="GD17" s="150"/>
      <c r="GE17" s="150"/>
      <c r="GF17" s="150"/>
      <c r="GG17" s="150"/>
      <c r="GH17" s="150"/>
      <c r="GI17" s="150"/>
      <c r="GJ17" s="150"/>
      <c r="GK17" s="150"/>
      <c r="GL17" s="150"/>
      <c r="GM17" s="150"/>
      <c r="GN17" s="150"/>
      <c r="GO17" s="150"/>
      <c r="GP17" s="150"/>
      <c r="GQ17" s="150"/>
      <c r="GR17" s="150"/>
      <c r="GS17" s="150"/>
      <c r="GT17" s="150"/>
      <c r="GU17" s="150"/>
      <c r="GV17" s="150"/>
      <c r="GW17" s="150"/>
      <c r="GX17" s="150"/>
      <c r="GY17" s="150"/>
      <c r="GZ17" s="150"/>
      <c r="HA17" s="150"/>
      <c r="HB17" s="150"/>
    </row>
    <row r="18" s="119" customFormat="true" ht="15.75" hidden="false" customHeight="true" outlineLevel="0" collapsed="false">
      <c r="A18" s="98"/>
      <c r="B18" s="99"/>
      <c r="C18" s="129"/>
      <c r="E18" s="156"/>
      <c r="F18" s="156"/>
      <c r="G18" s="156"/>
      <c r="H18" s="156"/>
      <c r="I18" s="156"/>
      <c r="J18" s="156"/>
      <c r="K18" s="156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50"/>
      <c r="CG18" s="150"/>
      <c r="CH18" s="150"/>
      <c r="CI18" s="150"/>
      <c r="CJ18" s="150"/>
      <c r="CK18" s="150"/>
      <c r="CL18" s="150"/>
      <c r="CM18" s="150"/>
      <c r="CN18" s="150"/>
      <c r="CO18" s="150"/>
      <c r="CP18" s="150"/>
      <c r="CQ18" s="150"/>
      <c r="CR18" s="150"/>
      <c r="CS18" s="150"/>
      <c r="CT18" s="150"/>
      <c r="CU18" s="150"/>
      <c r="CV18" s="150"/>
      <c r="CW18" s="150"/>
      <c r="CX18" s="150"/>
      <c r="CY18" s="150"/>
      <c r="CZ18" s="150"/>
      <c r="DA18" s="150"/>
      <c r="DB18" s="150"/>
      <c r="DC18" s="150"/>
      <c r="DD18" s="150"/>
      <c r="DE18" s="150"/>
      <c r="DF18" s="150"/>
      <c r="DG18" s="150"/>
      <c r="DH18" s="150"/>
      <c r="DI18" s="150"/>
      <c r="DJ18" s="150"/>
      <c r="DK18" s="150"/>
      <c r="DL18" s="150"/>
      <c r="DM18" s="150"/>
      <c r="DN18" s="150"/>
      <c r="DO18" s="150"/>
      <c r="DP18" s="150"/>
      <c r="DQ18" s="150"/>
      <c r="DR18" s="150"/>
      <c r="DS18" s="150"/>
      <c r="DT18" s="150"/>
      <c r="DU18" s="150"/>
      <c r="DV18" s="150"/>
      <c r="DW18" s="150"/>
      <c r="DX18" s="150"/>
      <c r="DY18" s="150"/>
      <c r="DZ18" s="150"/>
      <c r="EA18" s="150"/>
      <c r="EB18" s="150"/>
      <c r="EC18" s="150"/>
      <c r="ED18" s="150"/>
      <c r="EE18" s="150"/>
      <c r="EF18" s="150"/>
      <c r="EG18" s="150"/>
      <c r="EH18" s="150"/>
      <c r="EI18" s="150"/>
      <c r="EJ18" s="150"/>
      <c r="EK18" s="150"/>
      <c r="EL18" s="150"/>
      <c r="EM18" s="150"/>
      <c r="EN18" s="150"/>
      <c r="EO18" s="150"/>
      <c r="EP18" s="150"/>
      <c r="EQ18" s="150"/>
      <c r="ER18" s="150"/>
      <c r="ES18" s="150"/>
      <c r="ET18" s="150"/>
      <c r="EU18" s="150"/>
      <c r="EV18" s="150"/>
      <c r="EW18" s="150"/>
      <c r="EX18" s="150"/>
      <c r="EY18" s="150"/>
      <c r="EZ18" s="150"/>
      <c r="FA18" s="150"/>
      <c r="FB18" s="150"/>
      <c r="FC18" s="150"/>
      <c r="FD18" s="150"/>
      <c r="FE18" s="150"/>
      <c r="FF18" s="150"/>
      <c r="FG18" s="150"/>
      <c r="FH18" s="150"/>
      <c r="FI18" s="150"/>
      <c r="FJ18" s="150"/>
      <c r="FK18" s="150"/>
      <c r="FL18" s="150"/>
      <c r="FM18" s="150"/>
      <c r="FN18" s="150"/>
      <c r="FO18" s="150"/>
      <c r="FP18" s="150"/>
      <c r="FQ18" s="150"/>
      <c r="FR18" s="150"/>
      <c r="FS18" s="150"/>
      <c r="FT18" s="150"/>
      <c r="FU18" s="150"/>
      <c r="FV18" s="150"/>
      <c r="FW18" s="150"/>
      <c r="FX18" s="150"/>
      <c r="FY18" s="150"/>
      <c r="FZ18" s="150"/>
      <c r="GA18" s="150"/>
      <c r="GB18" s="150"/>
      <c r="GC18" s="150"/>
      <c r="GD18" s="150"/>
      <c r="GE18" s="150"/>
      <c r="GF18" s="150"/>
      <c r="GG18" s="150"/>
      <c r="GH18" s="150"/>
      <c r="GI18" s="150"/>
      <c r="GJ18" s="150"/>
      <c r="GK18" s="150"/>
      <c r="GL18" s="150"/>
      <c r="GM18" s="150"/>
      <c r="GN18" s="150"/>
      <c r="GO18" s="150"/>
      <c r="GP18" s="150"/>
      <c r="GQ18" s="150"/>
      <c r="GR18" s="150"/>
      <c r="GS18" s="150"/>
      <c r="GT18" s="150"/>
      <c r="GU18" s="150"/>
      <c r="GV18" s="150"/>
      <c r="GW18" s="150"/>
      <c r="GX18" s="150"/>
      <c r="GY18" s="150"/>
      <c r="GZ18" s="150"/>
      <c r="HA18" s="150"/>
      <c r="HB18" s="150"/>
    </row>
    <row r="19" s="119" customFormat="true" ht="9" hidden="false" customHeight="true" outlineLevel="0" collapsed="false">
      <c r="A19" s="98"/>
      <c r="B19" s="99"/>
      <c r="C19" s="129"/>
      <c r="E19" s="156"/>
      <c r="F19" s="156"/>
      <c r="G19" s="156"/>
      <c r="H19" s="156"/>
      <c r="I19" s="156"/>
      <c r="J19" s="156"/>
      <c r="K19" s="156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  <c r="CJ19" s="150"/>
      <c r="CK19" s="150"/>
      <c r="CL19" s="150"/>
      <c r="CM19" s="150"/>
      <c r="CN19" s="150"/>
      <c r="CO19" s="150"/>
      <c r="CP19" s="150"/>
      <c r="CQ19" s="150"/>
      <c r="CR19" s="150"/>
      <c r="CS19" s="150"/>
      <c r="CT19" s="150"/>
      <c r="CU19" s="150"/>
      <c r="CV19" s="150"/>
      <c r="CW19" s="150"/>
      <c r="CX19" s="150"/>
      <c r="CY19" s="150"/>
      <c r="CZ19" s="150"/>
      <c r="DA19" s="150"/>
      <c r="DB19" s="150"/>
      <c r="DC19" s="150"/>
      <c r="DD19" s="150"/>
      <c r="DE19" s="150"/>
      <c r="DF19" s="150"/>
      <c r="DG19" s="150"/>
      <c r="DH19" s="150"/>
      <c r="DI19" s="150"/>
      <c r="DJ19" s="150"/>
      <c r="DK19" s="150"/>
      <c r="DL19" s="150"/>
      <c r="DM19" s="150"/>
      <c r="DN19" s="150"/>
      <c r="DO19" s="150"/>
      <c r="DP19" s="150"/>
      <c r="DQ19" s="150"/>
      <c r="DR19" s="150"/>
      <c r="DS19" s="150"/>
      <c r="DT19" s="150"/>
      <c r="DU19" s="150"/>
      <c r="DV19" s="150"/>
      <c r="DW19" s="150"/>
      <c r="DX19" s="150"/>
      <c r="DY19" s="150"/>
      <c r="DZ19" s="150"/>
      <c r="EA19" s="150"/>
      <c r="EB19" s="150"/>
      <c r="EC19" s="150"/>
      <c r="ED19" s="150"/>
      <c r="EE19" s="150"/>
      <c r="EF19" s="150"/>
      <c r="EG19" s="150"/>
      <c r="EH19" s="150"/>
      <c r="EI19" s="150"/>
      <c r="EJ19" s="150"/>
      <c r="EK19" s="150"/>
      <c r="EL19" s="150"/>
      <c r="EM19" s="150"/>
      <c r="EN19" s="150"/>
      <c r="EO19" s="150"/>
      <c r="EP19" s="150"/>
      <c r="EQ19" s="150"/>
      <c r="ER19" s="150"/>
      <c r="ES19" s="150"/>
      <c r="ET19" s="150"/>
      <c r="EU19" s="150"/>
      <c r="EV19" s="150"/>
      <c r="EW19" s="150"/>
      <c r="EX19" s="150"/>
      <c r="EY19" s="150"/>
      <c r="EZ19" s="150"/>
      <c r="FA19" s="150"/>
      <c r="FB19" s="150"/>
      <c r="FC19" s="150"/>
      <c r="FD19" s="150"/>
      <c r="FE19" s="150"/>
      <c r="FF19" s="150"/>
      <c r="FG19" s="150"/>
      <c r="FH19" s="150"/>
      <c r="FI19" s="150"/>
      <c r="FJ19" s="150"/>
      <c r="FK19" s="150"/>
      <c r="FL19" s="150"/>
      <c r="FM19" s="150"/>
      <c r="FN19" s="150"/>
      <c r="FO19" s="150"/>
      <c r="FP19" s="150"/>
      <c r="FQ19" s="150"/>
      <c r="FR19" s="150"/>
      <c r="FS19" s="150"/>
      <c r="FT19" s="150"/>
      <c r="FU19" s="150"/>
      <c r="FV19" s="150"/>
      <c r="FW19" s="150"/>
      <c r="FX19" s="150"/>
      <c r="FY19" s="150"/>
      <c r="FZ19" s="150"/>
      <c r="GA19" s="150"/>
      <c r="GB19" s="150"/>
      <c r="GC19" s="150"/>
      <c r="GD19" s="150"/>
      <c r="GE19" s="150"/>
      <c r="GF19" s="150"/>
      <c r="GG19" s="150"/>
      <c r="GH19" s="150"/>
      <c r="GI19" s="150"/>
      <c r="GJ19" s="150"/>
      <c r="GK19" s="150"/>
      <c r="GL19" s="150"/>
      <c r="GM19" s="150"/>
      <c r="GN19" s="150"/>
      <c r="GO19" s="150"/>
      <c r="GP19" s="150"/>
      <c r="GQ19" s="150"/>
      <c r="GR19" s="150"/>
      <c r="GS19" s="150"/>
      <c r="GT19" s="150"/>
      <c r="GU19" s="150"/>
      <c r="GV19" s="150"/>
      <c r="GW19" s="150"/>
      <c r="GX19" s="150"/>
      <c r="GY19" s="150"/>
      <c r="GZ19" s="150"/>
      <c r="HA19" s="150"/>
      <c r="HB19" s="150"/>
    </row>
    <row r="20" customFormat="false" ht="17.25" hidden="false" customHeight="true" outlineLevel="0" collapsed="false">
      <c r="A20" s="80" t="s">
        <v>68</v>
      </c>
      <c r="B20" s="80" t="s">
        <v>69</v>
      </c>
      <c r="C20" s="80" t="s">
        <v>70</v>
      </c>
      <c r="D20" s="81" t="s">
        <v>71</v>
      </c>
      <c r="E20" s="81"/>
      <c r="F20" s="81"/>
      <c r="G20" s="81"/>
      <c r="H20" s="81"/>
      <c r="I20" s="81"/>
      <c r="J20" s="81" t="s">
        <v>91</v>
      </c>
      <c r="K20" s="81"/>
      <c r="L20" s="81"/>
      <c r="M20" s="81" t="s">
        <v>92</v>
      </c>
      <c r="N20" s="81"/>
      <c r="O20" s="81"/>
      <c r="P20" s="81"/>
      <c r="Q20" s="81"/>
      <c r="R20" s="81"/>
      <c r="S20" s="80" t="s">
        <v>76</v>
      </c>
    </row>
    <row r="21" customFormat="false" ht="30" hidden="false" customHeight="true" outlineLevel="0" collapsed="false">
      <c r="A21" s="80"/>
      <c r="B21" s="80"/>
      <c r="C21" s="80"/>
      <c r="D21" s="64" t="s">
        <v>94</v>
      </c>
      <c r="E21" s="64" t="s">
        <v>95</v>
      </c>
      <c r="F21" s="64" t="s">
        <v>96</v>
      </c>
      <c r="G21" s="64" t="s">
        <v>97</v>
      </c>
      <c r="H21" s="64" t="s">
        <v>98</v>
      </c>
      <c r="I21" s="64" t="s">
        <v>99</v>
      </c>
      <c r="J21" s="64" t="s">
        <v>97</v>
      </c>
      <c r="K21" s="64" t="s">
        <v>98</v>
      </c>
      <c r="L21" s="64" t="s">
        <v>99</v>
      </c>
      <c r="M21" s="64" t="s">
        <v>94</v>
      </c>
      <c r="N21" s="64" t="s">
        <v>95</v>
      </c>
      <c r="O21" s="64" t="s">
        <v>96</v>
      </c>
      <c r="P21" s="64" t="s">
        <v>97</v>
      </c>
      <c r="Q21" s="64" t="s">
        <v>98</v>
      </c>
      <c r="R21" s="64" t="s">
        <v>99</v>
      </c>
      <c r="S21" s="80"/>
    </row>
    <row r="22" customFormat="false" ht="15.75" hidden="false" customHeight="true" outlineLevel="0" collapsed="false">
      <c r="A22" s="86" t="n">
        <f aca="false">'1. PL đường đen'!A12</f>
        <v>1</v>
      </c>
      <c r="B22" s="86" t="str">
        <f aca="false">'1. PL đường đen'!B12</f>
        <v>31</v>
      </c>
      <c r="C22" s="87" t="n">
        <f aca="false">'1. PL đường đen'!C12</f>
        <v>609.11</v>
      </c>
      <c r="D22" s="69" t="n">
        <v>5.25</v>
      </c>
      <c r="E22" s="69" t="n">
        <f aca="false">+D22+F22</f>
        <v>5.255</v>
      </c>
      <c r="F22" s="69" t="n">
        <f aca="false">RANDBETWEEN(-20,20)/1000</f>
        <v>0.005</v>
      </c>
      <c r="G22" s="69" t="n">
        <f aca="false">+J22-4.95*2%-(D22-4.95)*6%</f>
        <v>2.731</v>
      </c>
      <c r="H22" s="69" t="n">
        <f aca="false">G22+I22</f>
        <v>2.799</v>
      </c>
      <c r="I22" s="69" t="n">
        <f aca="false">RANDBETWEEN(-30,70)/1000</f>
        <v>0.068</v>
      </c>
      <c r="J22" s="69" t="n">
        <v>2.848</v>
      </c>
      <c r="K22" s="69" t="n">
        <f aca="false">J22+L22</f>
        <v>2.857</v>
      </c>
      <c r="L22" s="69" t="n">
        <f aca="false">RANDBETWEEN(-30,70)/1000</f>
        <v>0.009</v>
      </c>
      <c r="M22" s="69" t="n">
        <f aca="false">D22</f>
        <v>5.25</v>
      </c>
      <c r="N22" s="69" t="n">
        <f aca="false">+M22+O22</f>
        <v>5.264</v>
      </c>
      <c r="O22" s="69" t="n">
        <f aca="false">RANDBETWEEN(-20,20)/1000</f>
        <v>0.014</v>
      </c>
      <c r="P22" s="69" t="n">
        <f aca="false">+J22-4.95*2%-(M22-4.95)*6%</f>
        <v>2.731</v>
      </c>
      <c r="Q22" s="69" t="n">
        <f aca="false">P22+R22</f>
        <v>2.712</v>
      </c>
      <c r="R22" s="69" t="n">
        <f aca="false">RANDBETWEEN(-20,20)/1000</f>
        <v>-0.019</v>
      </c>
      <c r="S22" s="88"/>
      <c r="T22" s="139"/>
      <c r="V22" s="157"/>
    </row>
    <row r="23" customFormat="false" ht="15.75" hidden="false" customHeight="true" outlineLevel="0" collapsed="false">
      <c r="A23" s="86" t="n">
        <f aca="false">'1. PL đường đen'!A13</f>
        <v>2</v>
      </c>
      <c r="B23" s="86" t="str">
        <f aca="false">'1. PL đường đen'!B13</f>
        <v>E10</v>
      </c>
      <c r="C23" s="87" t="n">
        <f aca="false">'1. PL đường đen'!C13</f>
        <v>620.86</v>
      </c>
      <c r="D23" s="69" t="n">
        <f aca="false">+D22</f>
        <v>5.25</v>
      </c>
      <c r="E23" s="69" t="n">
        <f aca="false">+D23+F23</f>
        <v>5.254</v>
      </c>
      <c r="F23" s="69" t="n">
        <f aca="false">RANDBETWEEN(-20,20)/1000</f>
        <v>0.004</v>
      </c>
      <c r="G23" s="69" t="n">
        <f aca="false">+J23-4.95*2%-(D23-4.95)*6%</f>
        <v>2.732</v>
      </c>
      <c r="H23" s="69" t="n">
        <f aca="false">G23+I23</f>
        <v>2.77</v>
      </c>
      <c r="I23" s="69" t="n">
        <f aca="false">RANDBETWEEN(-30,70)/1000</f>
        <v>0.038</v>
      </c>
      <c r="J23" s="69" t="n">
        <v>2.849</v>
      </c>
      <c r="K23" s="69" t="n">
        <f aca="false">J23+L23</f>
        <v>2.868</v>
      </c>
      <c r="L23" s="69" t="n">
        <f aca="false">RANDBETWEEN(-30,70)/1000</f>
        <v>0.019</v>
      </c>
      <c r="M23" s="69" t="n">
        <f aca="false">D23</f>
        <v>5.25</v>
      </c>
      <c r="N23" s="69" t="n">
        <f aca="false">+M23+O23</f>
        <v>5.25</v>
      </c>
      <c r="O23" s="69" t="n">
        <f aca="false">RANDBETWEEN(-20,20)/1000</f>
        <v>0</v>
      </c>
      <c r="P23" s="69" t="n">
        <f aca="false">+J23-4.95*2%-(M23-4.95)*6%</f>
        <v>2.732</v>
      </c>
      <c r="Q23" s="69" t="n">
        <f aca="false">P23+R23</f>
        <v>2.717</v>
      </c>
      <c r="R23" s="69" t="n">
        <f aca="false">RANDBETWEEN(-20,20)/1000</f>
        <v>-0.015</v>
      </c>
      <c r="S23" s="88"/>
      <c r="T23" s="139"/>
      <c r="V23" s="157"/>
    </row>
    <row r="24" customFormat="false" ht="15.75" hidden="false" customHeight="true" outlineLevel="0" collapsed="false">
      <c r="A24" s="86" t="n">
        <f aca="false">'1. PL đường đen'!A14</f>
        <v>3</v>
      </c>
      <c r="B24" s="86" t="str">
        <f aca="false">'1. PL đường đen'!B14</f>
        <v>32</v>
      </c>
      <c r="C24" s="87" t="n">
        <f aca="false">'1. PL đường đen'!C14</f>
        <v>632.61</v>
      </c>
      <c r="D24" s="69" t="n">
        <f aca="false">+D23</f>
        <v>5.25</v>
      </c>
      <c r="E24" s="69" t="n">
        <f aca="false">+D24+F24</f>
        <v>5.258</v>
      </c>
      <c r="F24" s="69" t="n">
        <f aca="false">RANDBETWEEN(-20,20)/1000</f>
        <v>0.008</v>
      </c>
      <c r="G24" s="69" t="n">
        <f aca="false">+J24-4.95*2%-(D24-4.95)*6%</f>
        <v>2.734</v>
      </c>
      <c r="H24" s="69" t="n">
        <f aca="false">G24+I24</f>
        <v>2.711</v>
      </c>
      <c r="I24" s="69" t="n">
        <f aca="false">RANDBETWEEN(-30,70)/1000</f>
        <v>-0.023</v>
      </c>
      <c r="J24" s="69" t="n">
        <v>2.851</v>
      </c>
      <c r="K24" s="69" t="n">
        <f aca="false">J24+L24</f>
        <v>2.896</v>
      </c>
      <c r="L24" s="69" t="n">
        <f aca="false">RANDBETWEEN(-30,70)/1000</f>
        <v>0.045</v>
      </c>
      <c r="M24" s="69" t="n">
        <f aca="false">D24</f>
        <v>5.25</v>
      </c>
      <c r="N24" s="69" t="n">
        <f aca="false">+M24+O24</f>
        <v>5.269</v>
      </c>
      <c r="O24" s="69" t="n">
        <f aca="false">RANDBETWEEN(-20,20)/1000</f>
        <v>0.019</v>
      </c>
      <c r="P24" s="69" t="n">
        <f aca="false">+J24-4.95*2%-(M24-4.95)*6%</f>
        <v>2.734</v>
      </c>
      <c r="Q24" s="69" t="n">
        <f aca="false">P24+R24</f>
        <v>2.739</v>
      </c>
      <c r="R24" s="69" t="n">
        <f aca="false">RANDBETWEEN(-20,20)/1000</f>
        <v>0.005</v>
      </c>
      <c r="S24" s="88"/>
      <c r="T24" s="139"/>
      <c r="V24" s="157"/>
    </row>
    <row r="25" customFormat="false" ht="15.75" hidden="false" customHeight="true" outlineLevel="0" collapsed="false">
      <c r="A25" s="86" t="n">
        <f aca="false">'1. PL đường đen'!A15</f>
        <v>4</v>
      </c>
      <c r="B25" s="86" t="str">
        <f aca="false">'1. PL đường đen'!B15</f>
        <v>33</v>
      </c>
      <c r="C25" s="87" t="n">
        <f aca="false">'1. PL đường đen'!C15</f>
        <v>652.61</v>
      </c>
      <c r="D25" s="69" t="n">
        <f aca="false">+D24</f>
        <v>5.25</v>
      </c>
      <c r="E25" s="69" t="n">
        <f aca="false">+D25+F25</f>
        <v>5.255</v>
      </c>
      <c r="F25" s="69" t="n">
        <f aca="false">RANDBETWEEN(-20,20)/1000</f>
        <v>0.005</v>
      </c>
      <c r="G25" s="69" t="n">
        <f aca="false">+J25-4.95*2%-(D25-4.95)*6%</f>
        <v>2.736</v>
      </c>
      <c r="H25" s="69" t="n">
        <f aca="false">G25+I25</f>
        <v>2.742</v>
      </c>
      <c r="I25" s="69" t="n">
        <f aca="false">RANDBETWEEN(-30,70)/1000</f>
        <v>0.006</v>
      </c>
      <c r="J25" s="69" t="n">
        <v>2.853</v>
      </c>
      <c r="K25" s="69" t="n">
        <f aca="false">J25+L25</f>
        <v>2.826</v>
      </c>
      <c r="L25" s="69" t="n">
        <f aca="false">RANDBETWEEN(-30,70)/1000</f>
        <v>-0.027</v>
      </c>
      <c r="M25" s="69" t="n">
        <f aca="false">D25</f>
        <v>5.25</v>
      </c>
      <c r="N25" s="69" t="n">
        <f aca="false">+M25+O25</f>
        <v>5.252</v>
      </c>
      <c r="O25" s="69" t="n">
        <f aca="false">RANDBETWEEN(-20,20)/1000</f>
        <v>0.002</v>
      </c>
      <c r="P25" s="69" t="n">
        <f aca="false">+J25-4.95*2%-(M25-4.95)*6%</f>
        <v>2.736</v>
      </c>
      <c r="Q25" s="69" t="n">
        <f aca="false">P25+R25</f>
        <v>2.75</v>
      </c>
      <c r="R25" s="69" t="n">
        <f aca="false">RANDBETWEEN(-20,20)/1000</f>
        <v>0.014</v>
      </c>
      <c r="S25" s="88"/>
      <c r="T25" s="139"/>
      <c r="V25" s="157"/>
    </row>
    <row r="26" customFormat="false" ht="15.75" hidden="false" customHeight="true" outlineLevel="0" collapsed="false">
      <c r="A26" s="86" t="n">
        <f aca="false">'1. PL đường đen'!A16</f>
        <v>5</v>
      </c>
      <c r="B26" s="86" t="str">
        <f aca="false">'1. PL đường đen'!B16</f>
        <v>34</v>
      </c>
      <c r="C26" s="87" t="n">
        <f aca="false">'1. PL đường đen'!C16</f>
        <v>672.61</v>
      </c>
      <c r="D26" s="69" t="n">
        <f aca="false">+D25</f>
        <v>5.25</v>
      </c>
      <c r="E26" s="69" t="n">
        <f aca="false">+D26+F26</f>
        <v>5.231</v>
      </c>
      <c r="F26" s="69" t="n">
        <f aca="false">RANDBETWEEN(-20,20)/1000</f>
        <v>-0.019</v>
      </c>
      <c r="G26" s="69" t="n">
        <f aca="false">+J26-4.95*2%-(D26-4.95)*6%</f>
        <v>2.737</v>
      </c>
      <c r="H26" s="69" t="n">
        <f aca="false">G26+I26</f>
        <v>2.71</v>
      </c>
      <c r="I26" s="69" t="n">
        <f aca="false">RANDBETWEEN(-30,70)/1000</f>
        <v>-0.027</v>
      </c>
      <c r="J26" s="69" t="n">
        <v>2.854</v>
      </c>
      <c r="K26" s="69" t="n">
        <f aca="false">J26+L26</f>
        <v>2.887</v>
      </c>
      <c r="L26" s="69" t="n">
        <f aca="false">RANDBETWEEN(-30,70)/1000</f>
        <v>0.033</v>
      </c>
      <c r="M26" s="69" t="n">
        <f aca="false">D26</f>
        <v>5.25</v>
      </c>
      <c r="N26" s="69" t="n">
        <f aca="false">+M26+O26</f>
        <v>5.231</v>
      </c>
      <c r="O26" s="69" t="n">
        <f aca="false">RANDBETWEEN(-20,20)/1000</f>
        <v>-0.019</v>
      </c>
      <c r="P26" s="69" t="n">
        <f aca="false">+J26-4.95*2%-(M26-4.95)*6%</f>
        <v>2.737</v>
      </c>
      <c r="Q26" s="69" t="n">
        <f aca="false">P26+R26</f>
        <v>2.756</v>
      </c>
      <c r="R26" s="69" t="n">
        <f aca="false">RANDBETWEEN(-20,20)/1000</f>
        <v>0.019</v>
      </c>
      <c r="S26" s="88"/>
      <c r="T26" s="139"/>
      <c r="V26" s="157"/>
    </row>
    <row r="27" customFormat="false" ht="15.75" hidden="false" customHeight="true" outlineLevel="0" collapsed="false">
      <c r="A27" s="86" t="n">
        <f aca="false">'1. PL đường đen'!A17</f>
        <v>6</v>
      </c>
      <c r="B27" s="86" t="str">
        <f aca="false">'1. PL đường đen'!B17</f>
        <v>35</v>
      </c>
      <c r="C27" s="87" t="n">
        <f aca="false">'1. PL đường đen'!C17</f>
        <v>692.61</v>
      </c>
      <c r="D27" s="69" t="n">
        <f aca="false">+D26</f>
        <v>5.25</v>
      </c>
      <c r="E27" s="69" t="n">
        <f aca="false">+D27+F27</f>
        <v>5.256</v>
      </c>
      <c r="F27" s="69" t="n">
        <f aca="false">RANDBETWEEN(-20,20)/1000</f>
        <v>0.006</v>
      </c>
      <c r="G27" s="69" t="n">
        <f aca="false">+J27-4.95*2%-(D27-4.95)*6%</f>
        <v>2.739</v>
      </c>
      <c r="H27" s="69" t="n">
        <f aca="false">G27+I27</f>
        <v>2.77</v>
      </c>
      <c r="I27" s="69" t="n">
        <f aca="false">RANDBETWEEN(-30,70)/1000</f>
        <v>0.031</v>
      </c>
      <c r="J27" s="69" t="n">
        <v>2.856</v>
      </c>
      <c r="K27" s="69" t="n">
        <f aca="false">J27+L27</f>
        <v>2.842</v>
      </c>
      <c r="L27" s="69" t="n">
        <f aca="false">RANDBETWEEN(-30,70)/1000</f>
        <v>-0.014</v>
      </c>
      <c r="M27" s="69" t="n">
        <f aca="false">D27</f>
        <v>5.25</v>
      </c>
      <c r="N27" s="69" t="n">
        <f aca="false">+M27+O27</f>
        <v>5.242</v>
      </c>
      <c r="O27" s="69" t="n">
        <f aca="false">RANDBETWEEN(-20,20)/1000</f>
        <v>-0.008</v>
      </c>
      <c r="P27" s="69" t="n">
        <f aca="false">+J27-4.95*2%-(M27-4.95)*6%</f>
        <v>2.739</v>
      </c>
      <c r="Q27" s="69" t="n">
        <f aca="false">P27+R27</f>
        <v>2.757</v>
      </c>
      <c r="R27" s="69" t="n">
        <f aca="false">RANDBETWEEN(-20,20)/1000</f>
        <v>0.018</v>
      </c>
      <c r="S27" s="88"/>
      <c r="T27" s="139"/>
      <c r="V27" s="157"/>
    </row>
    <row r="28" customFormat="false" ht="15.75" hidden="false" customHeight="true" outlineLevel="0" collapsed="false">
      <c r="A28" s="86" t="n">
        <f aca="false">'1. PL đường đen'!A18</f>
        <v>7</v>
      </c>
      <c r="B28" s="86" t="str">
        <f aca="false">'1. PL đường đen'!B18</f>
        <v>36</v>
      </c>
      <c r="C28" s="87" t="n">
        <f aca="false">'1. PL đường đen'!C18</f>
        <v>712.61</v>
      </c>
      <c r="D28" s="69" t="n">
        <f aca="false">+D27</f>
        <v>5.25</v>
      </c>
      <c r="E28" s="69" t="n">
        <f aca="false">+D28+F28</f>
        <v>5.267</v>
      </c>
      <c r="F28" s="69" t="n">
        <f aca="false">RANDBETWEEN(-20,20)/1000</f>
        <v>0.017</v>
      </c>
      <c r="G28" s="69" t="n">
        <f aca="false">+J28-4.95*2%-(D28-4.95)*6%</f>
        <v>2.741</v>
      </c>
      <c r="H28" s="69" t="n">
        <f aca="false">G28+I28</f>
        <v>2.782</v>
      </c>
      <c r="I28" s="69" t="n">
        <f aca="false">RANDBETWEEN(-30,70)/1000</f>
        <v>0.041</v>
      </c>
      <c r="J28" s="69" t="n">
        <v>2.858</v>
      </c>
      <c r="K28" s="69" t="n">
        <f aca="false">J28+L28</f>
        <v>2.928</v>
      </c>
      <c r="L28" s="69" t="n">
        <f aca="false">RANDBETWEEN(-30,70)/1000</f>
        <v>0.07</v>
      </c>
      <c r="M28" s="69" t="n">
        <f aca="false">D28</f>
        <v>5.25</v>
      </c>
      <c r="N28" s="69" t="n">
        <f aca="false">+M28+O28</f>
        <v>5.247</v>
      </c>
      <c r="O28" s="69" t="n">
        <f aca="false">RANDBETWEEN(-20,20)/1000</f>
        <v>-0.003</v>
      </c>
      <c r="P28" s="69" t="n">
        <f aca="false">+J28-4.95*2%-(M28-4.95)*6%</f>
        <v>2.741</v>
      </c>
      <c r="Q28" s="69" t="n">
        <f aca="false">P28+R28</f>
        <v>2.753</v>
      </c>
      <c r="R28" s="69" t="n">
        <f aca="false">RANDBETWEEN(-20,20)/1000</f>
        <v>0.012</v>
      </c>
      <c r="S28" s="88"/>
      <c r="T28" s="139"/>
      <c r="V28" s="157"/>
    </row>
    <row r="29" customFormat="false" ht="15.75" hidden="false" customHeight="true" outlineLevel="0" collapsed="false">
      <c r="A29" s="86" t="n">
        <f aca="false">'1. PL đường đen'!A19</f>
        <v>8</v>
      </c>
      <c r="B29" s="86" t="str">
        <f aca="false">'1. PL đường đen'!B19</f>
        <v>37</v>
      </c>
      <c r="C29" s="87" t="n">
        <f aca="false">'1. PL đường đen'!C19</f>
        <v>724.11</v>
      </c>
      <c r="D29" s="69" t="n">
        <f aca="false">+D28</f>
        <v>5.25</v>
      </c>
      <c r="E29" s="69" t="n">
        <f aca="false">+D29+F29</f>
        <v>5.258</v>
      </c>
      <c r="F29" s="69" t="n">
        <f aca="false">RANDBETWEEN(-20,20)/1000</f>
        <v>0.008</v>
      </c>
      <c r="G29" s="69" t="n">
        <f aca="false">+J29-4.95*2%-(D29-4.95)*6%</f>
        <v>2.742</v>
      </c>
      <c r="H29" s="69" t="n">
        <f aca="false">G29+I29</f>
        <v>2.722</v>
      </c>
      <c r="I29" s="69" t="n">
        <f aca="false">RANDBETWEEN(-30,70)/1000</f>
        <v>-0.02</v>
      </c>
      <c r="J29" s="69" t="n">
        <v>2.859</v>
      </c>
      <c r="K29" s="69" t="n">
        <f aca="false">J29+L29</f>
        <v>2.865</v>
      </c>
      <c r="L29" s="69" t="n">
        <f aca="false">RANDBETWEEN(-30,70)/1000</f>
        <v>0.006</v>
      </c>
      <c r="M29" s="69" t="n">
        <f aca="false">D29</f>
        <v>5.25</v>
      </c>
      <c r="N29" s="69" t="n">
        <f aca="false">+M29+O29</f>
        <v>5.265</v>
      </c>
      <c r="O29" s="69" t="n">
        <f aca="false">RANDBETWEEN(-20,20)/1000</f>
        <v>0.015</v>
      </c>
      <c r="P29" s="69" t="n">
        <f aca="false">+J29-4.95*2%-(M29-4.95)*6%</f>
        <v>2.742</v>
      </c>
      <c r="Q29" s="69" t="n">
        <f aca="false">P29+R29</f>
        <v>2.754</v>
      </c>
      <c r="R29" s="69" t="n">
        <f aca="false">RANDBETWEEN(-20,20)/1000</f>
        <v>0.012</v>
      </c>
      <c r="S29" s="88"/>
      <c r="T29" s="139"/>
      <c r="V29" s="157"/>
    </row>
    <row r="30" customFormat="false" ht="15.75" hidden="true" customHeight="true" outlineLevel="0" collapsed="false">
      <c r="A30" s="86"/>
      <c r="B30" s="86"/>
      <c r="C30" s="87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88"/>
      <c r="T30" s="139"/>
      <c r="V30" s="157"/>
    </row>
    <row r="31" customFormat="false" ht="15.75" hidden="true" customHeight="true" outlineLevel="0" collapsed="false">
      <c r="A31" s="86"/>
      <c r="B31" s="86"/>
      <c r="C31" s="87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88"/>
      <c r="T31" s="139"/>
      <c r="V31" s="157"/>
    </row>
    <row r="32" customFormat="false" ht="15.75" hidden="true" customHeight="true" outlineLevel="0" collapsed="false">
      <c r="A32" s="86"/>
      <c r="B32" s="86"/>
      <c r="C32" s="87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88"/>
      <c r="T32" s="139"/>
      <c r="V32" s="157"/>
    </row>
    <row r="33" customFormat="false" ht="15.75" hidden="true" customHeight="true" outlineLevel="0" collapsed="false">
      <c r="A33" s="86"/>
      <c r="B33" s="86"/>
      <c r="C33" s="87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88"/>
      <c r="T33" s="139"/>
      <c r="V33" s="157"/>
    </row>
    <row r="34" customFormat="false" ht="15.75" hidden="true" customHeight="true" outlineLevel="0" collapsed="false">
      <c r="A34" s="86"/>
      <c r="B34" s="86"/>
      <c r="C34" s="87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88"/>
      <c r="T34" s="139"/>
      <c r="V34" s="157"/>
    </row>
    <row r="35" customFormat="false" ht="15.75" hidden="true" customHeight="true" outlineLevel="0" collapsed="false">
      <c r="A35" s="86"/>
      <c r="B35" s="86"/>
      <c r="C35" s="87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88"/>
      <c r="T35" s="139"/>
      <c r="V35" s="157"/>
    </row>
    <row r="36" customFormat="false" ht="15.75" hidden="true" customHeight="true" outlineLevel="0" collapsed="false">
      <c r="A36" s="86"/>
      <c r="B36" s="86"/>
      <c r="C36" s="87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88"/>
      <c r="T36" s="139"/>
      <c r="V36" s="157"/>
    </row>
    <row r="37" customFormat="false" ht="15.75" hidden="true" customHeight="true" outlineLevel="0" collapsed="false">
      <c r="A37" s="86"/>
      <c r="B37" s="86"/>
      <c r="C37" s="87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88"/>
      <c r="T37" s="139"/>
      <c r="V37" s="157"/>
    </row>
    <row r="38" customFormat="false" ht="15.75" hidden="true" customHeight="true" outlineLevel="0" collapsed="false">
      <c r="A38" s="86"/>
      <c r="B38" s="86"/>
      <c r="C38" s="87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88"/>
      <c r="T38" s="139"/>
      <c r="V38" s="157"/>
    </row>
    <row r="39" customFormat="false" ht="15.75" hidden="true" customHeight="true" outlineLevel="0" collapsed="false">
      <c r="A39" s="86"/>
      <c r="B39" s="86"/>
      <c r="C39" s="87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88"/>
      <c r="T39" s="139"/>
      <c r="V39" s="157"/>
    </row>
    <row r="40" customFormat="false" ht="15.75" hidden="true" customHeight="true" outlineLevel="0" collapsed="false">
      <c r="A40" s="86"/>
      <c r="B40" s="86"/>
      <c r="C40" s="87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88"/>
      <c r="T40" s="139"/>
      <c r="V40" s="157"/>
    </row>
    <row r="41" customFormat="false" ht="15.75" hidden="true" customHeight="true" outlineLevel="0" collapsed="false">
      <c r="A41" s="86"/>
      <c r="B41" s="86"/>
      <c r="C41" s="87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88"/>
      <c r="T41" s="139"/>
      <c r="V41" s="157"/>
    </row>
    <row r="42" customFormat="false" ht="15.75" hidden="true" customHeight="true" outlineLevel="0" collapsed="false">
      <c r="A42" s="86"/>
      <c r="B42" s="86"/>
      <c r="C42" s="87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88"/>
      <c r="T42" s="139"/>
      <c r="V42" s="157"/>
    </row>
    <row r="43" customFormat="false" ht="15.75" hidden="true" customHeight="true" outlineLevel="0" collapsed="false">
      <c r="A43" s="86"/>
      <c r="B43" s="86"/>
      <c r="C43" s="87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88"/>
      <c r="T43" s="139"/>
      <c r="V43" s="157"/>
    </row>
    <row r="44" customFormat="false" ht="15.75" hidden="true" customHeight="true" outlineLevel="0" collapsed="false">
      <c r="A44" s="86"/>
      <c r="B44" s="86"/>
      <c r="C44" s="87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88"/>
      <c r="T44" s="139"/>
      <c r="V44" s="157"/>
    </row>
    <row r="45" customFormat="false" ht="15.75" hidden="true" customHeight="true" outlineLevel="0" collapsed="false">
      <c r="A45" s="86"/>
      <c r="B45" s="86"/>
      <c r="C45" s="87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88"/>
      <c r="T45" s="139"/>
      <c r="V45" s="157"/>
    </row>
    <row r="46" customFormat="false" ht="15.75" hidden="true" customHeight="true" outlineLevel="0" collapsed="false">
      <c r="A46" s="86"/>
      <c r="B46" s="86"/>
      <c r="C46" s="87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88"/>
      <c r="T46" s="139"/>
      <c r="V46" s="157"/>
    </row>
    <row r="47" customFormat="false" ht="15.75" hidden="true" customHeight="true" outlineLevel="0" collapsed="false">
      <c r="A47" s="86"/>
      <c r="B47" s="86"/>
      <c r="C47" s="87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88"/>
      <c r="T47" s="139"/>
      <c r="V47" s="157"/>
    </row>
    <row r="48" customFormat="false" ht="15.75" hidden="true" customHeight="true" outlineLevel="0" collapsed="false">
      <c r="A48" s="86"/>
      <c r="B48" s="86"/>
      <c r="C48" s="87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88"/>
      <c r="T48" s="139"/>
      <c r="V48" s="157"/>
    </row>
    <row r="49" customFormat="false" ht="15.75" hidden="true" customHeight="true" outlineLevel="0" collapsed="false">
      <c r="A49" s="86"/>
      <c r="B49" s="86"/>
      <c r="C49" s="87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88"/>
      <c r="T49" s="139"/>
      <c r="V49" s="157"/>
    </row>
    <row r="50" customFormat="false" ht="15.75" hidden="true" customHeight="true" outlineLevel="0" collapsed="false">
      <c r="A50" s="86"/>
      <c r="B50" s="86"/>
      <c r="C50" s="87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88"/>
      <c r="T50" s="139"/>
      <c r="V50" s="157"/>
    </row>
    <row r="51" customFormat="false" ht="15.75" hidden="true" customHeight="true" outlineLevel="0" collapsed="false">
      <c r="A51" s="86"/>
      <c r="B51" s="86"/>
      <c r="C51" s="87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88"/>
      <c r="T51" s="139"/>
      <c r="V51" s="157"/>
    </row>
    <row r="52" customFormat="false" ht="15.75" hidden="true" customHeight="true" outlineLevel="0" collapsed="false">
      <c r="A52" s="86"/>
      <c r="B52" s="86"/>
      <c r="C52" s="87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88"/>
      <c r="T52" s="139"/>
      <c r="V52" s="157"/>
    </row>
    <row r="53" customFormat="false" ht="15.75" hidden="true" customHeight="true" outlineLevel="0" collapsed="false">
      <c r="A53" s="86"/>
      <c r="B53" s="86"/>
      <c r="C53" s="87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88"/>
      <c r="T53" s="139"/>
      <c r="V53" s="157"/>
    </row>
    <row r="54" customFormat="false" ht="15.75" hidden="true" customHeight="true" outlineLevel="0" collapsed="false">
      <c r="A54" s="86"/>
      <c r="B54" s="86"/>
      <c r="C54" s="8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88"/>
      <c r="T54" s="139"/>
      <c r="V54" s="157"/>
    </row>
    <row r="55" customFormat="false" ht="15.75" hidden="true" customHeight="true" outlineLevel="0" collapsed="false">
      <c r="A55" s="86"/>
      <c r="B55" s="86"/>
      <c r="C55" s="87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88"/>
      <c r="T55" s="139"/>
      <c r="V55" s="157"/>
    </row>
    <row r="56" customFormat="false" ht="15.75" hidden="true" customHeight="true" outlineLevel="0" collapsed="false">
      <c r="A56" s="86"/>
      <c r="B56" s="86"/>
      <c r="C56" s="87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88"/>
      <c r="T56" s="139"/>
      <c r="V56" s="157"/>
    </row>
    <row r="57" customFormat="false" ht="15.75" hidden="true" customHeight="true" outlineLevel="0" collapsed="false">
      <c r="A57" s="86"/>
      <c r="B57" s="86"/>
      <c r="C57" s="87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88"/>
      <c r="T57" s="139"/>
      <c r="V57" s="157"/>
    </row>
    <row r="58" customFormat="false" ht="15.75" hidden="true" customHeight="true" outlineLevel="0" collapsed="false">
      <c r="A58" s="86"/>
      <c r="B58" s="86"/>
      <c r="C58" s="87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88"/>
      <c r="T58" s="139"/>
      <c r="V58" s="157"/>
    </row>
    <row r="59" customFormat="false" ht="15.75" hidden="true" customHeight="true" outlineLevel="0" collapsed="false">
      <c r="A59" s="86"/>
      <c r="B59" s="86"/>
      <c r="C59" s="87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88"/>
      <c r="T59" s="139"/>
      <c r="V59" s="157"/>
    </row>
    <row r="60" s="91" customFormat="true" ht="12.75" hidden="false" customHeight="false" outlineLevel="0" collapsed="false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90"/>
      <c r="M60" s="90"/>
      <c r="N60" s="90"/>
      <c r="O60" s="90"/>
    </row>
    <row r="61" s="91" customFormat="true" ht="14.25" hidden="false" customHeight="true" outlineLevel="0" collapsed="false">
      <c r="A61" s="73" t="s">
        <v>88</v>
      </c>
      <c r="B61" s="73"/>
      <c r="C61" s="73"/>
      <c r="D61" s="73"/>
      <c r="E61" s="73"/>
      <c r="F61" s="73"/>
      <c r="G61" s="73"/>
      <c r="H61" s="73"/>
      <c r="I61" s="89"/>
      <c r="J61" s="73" t="s">
        <v>89</v>
      </c>
      <c r="K61" s="73"/>
      <c r="L61" s="73"/>
      <c r="M61" s="73"/>
      <c r="N61" s="73"/>
      <c r="O61" s="73"/>
      <c r="P61" s="73"/>
      <c r="Q61" s="73"/>
      <c r="R61" s="73"/>
      <c r="S61" s="73"/>
      <c r="T61" s="89"/>
      <c r="U61" s="89"/>
      <c r="V61" s="89"/>
      <c r="W61" s="89"/>
      <c r="X61" s="89"/>
      <c r="Y61" s="89"/>
    </row>
    <row r="62" s="91" customFormat="true" ht="15" hidden="false" customHeight="true" outlineLevel="0" collapsed="false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</row>
    <row r="63" s="91" customFormat="true" ht="15" hidden="false" customHeight="true" outlineLevel="0" collapsed="false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s="91" customFormat="true" ht="15" hidden="false" customHeight="true" outlineLevel="0" collapsed="false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s="91" customFormat="true" ht="15" hidden="false" customHeight="true" outlineLevel="0" collapsed="false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s="91" customFormat="true" ht="14.25" hidden="false" customHeight="true" outlineLevel="0" collapsed="false">
      <c r="A66" s="73" t="s">
        <v>29</v>
      </c>
      <c r="B66" s="73"/>
      <c r="C66" s="73"/>
      <c r="D66" s="73"/>
      <c r="E66" s="73"/>
      <c r="F66" s="73"/>
      <c r="G66" s="73"/>
      <c r="H66" s="73"/>
      <c r="I66" s="89"/>
      <c r="J66" s="73" t="s">
        <v>144</v>
      </c>
      <c r="K66" s="73"/>
      <c r="L66" s="73"/>
      <c r="M66" s="73"/>
      <c r="N66" s="73"/>
      <c r="O66" s="73"/>
      <c r="P66" s="73"/>
      <c r="Q66" s="73"/>
      <c r="R66" s="73"/>
      <c r="S66" s="73"/>
      <c r="T66" s="89"/>
      <c r="U66" s="89"/>
      <c r="V66" s="89"/>
      <c r="W66" s="89"/>
      <c r="X66" s="89"/>
      <c r="Y66" s="89"/>
    </row>
    <row r="67" s="91" customFormat="true" ht="12.75" hidden="false" customHeight="false" outlineLevel="0" collapsed="false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90"/>
      <c r="M67" s="90"/>
      <c r="N67" s="90"/>
      <c r="O67" s="90"/>
    </row>
    <row r="68" s="91" customFormat="true" ht="12.75" hidden="false" customHeight="false" outlineLevel="0" collapsed="false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90"/>
      <c r="M68" s="90"/>
      <c r="N68" s="90"/>
      <c r="O68" s="90"/>
    </row>
    <row r="69" s="91" customFormat="true" ht="12.75" hidden="false" customHeight="false" outlineLevel="0" collapsed="false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90"/>
      <c r="M69" s="90"/>
      <c r="N69" s="90"/>
      <c r="O69" s="90"/>
    </row>
    <row r="70" s="91" customFormat="true" ht="12.75" hidden="false" customHeight="false" outlineLevel="0" collapsed="false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90"/>
      <c r="M70" s="90"/>
      <c r="N70" s="90"/>
      <c r="O70" s="90"/>
    </row>
    <row r="71" s="91" customFormat="true" ht="12.75" hidden="false" customHeight="false" outlineLevel="0" collapsed="false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90"/>
      <c r="M71" s="90"/>
      <c r="N71" s="90"/>
      <c r="O71" s="90"/>
    </row>
    <row r="72" s="91" customFormat="true" ht="12.75" hidden="false" customHeight="false" outlineLevel="0" collapsed="false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90"/>
      <c r="M72" s="90"/>
      <c r="N72" s="90"/>
      <c r="O72" s="90"/>
    </row>
  </sheetData>
  <mergeCells count="18">
    <mergeCell ref="A1:S1"/>
    <mergeCell ref="A2:S2"/>
    <mergeCell ref="A3:S3"/>
    <mergeCell ref="A4:S4"/>
    <mergeCell ref="A5:S5"/>
    <mergeCell ref="A6:S6"/>
    <mergeCell ref="D7:S7"/>
    <mergeCell ref="A20:A21"/>
    <mergeCell ref="B20:B21"/>
    <mergeCell ref="C20:C21"/>
    <mergeCell ref="D20:I20"/>
    <mergeCell ref="J20:L20"/>
    <mergeCell ref="M20:R20"/>
    <mergeCell ref="S20:S21"/>
    <mergeCell ref="A61:H61"/>
    <mergeCell ref="J61:S61"/>
    <mergeCell ref="A66:H66"/>
    <mergeCell ref="J66:S66"/>
  </mergeCells>
  <printOptions headings="false" gridLines="false" gridLinesSet="true" horizontalCentered="false" verticalCentered="false"/>
  <pageMargins left="0.157638888888889" right="0.157638888888889" top="0.590277777777778" bottom="0.748611111111111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7" activeCellId="0" sqref="S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90" width="4.57"/>
    <col collapsed="false" customWidth="true" hidden="false" outlineLevel="0" max="2" min="2" style="90" width="6.57"/>
    <col collapsed="false" customWidth="true" hidden="false" outlineLevel="0" max="3" min="3" style="90" width="11.71"/>
    <col collapsed="false" customWidth="true" hidden="false" outlineLevel="0" max="4" min="4" style="91" width="6.57"/>
    <col collapsed="false" customWidth="true" hidden="false" outlineLevel="0" max="5" min="5" style="91" width="10.29"/>
    <col collapsed="false" customWidth="true" hidden="false" outlineLevel="0" max="6" min="6" style="91" width="7.57"/>
    <col collapsed="false" customWidth="true" hidden="false" outlineLevel="0" max="7" min="7" style="91" width="9"/>
    <col collapsed="false" customWidth="true" hidden="false" outlineLevel="0" max="9" min="8" style="91" width="10.29"/>
    <col collapsed="false" customWidth="true" hidden="false" outlineLevel="0" max="10" min="10" style="91" width="8.71"/>
    <col collapsed="false" customWidth="true" hidden="false" outlineLevel="0" max="11" min="11" style="91" width="4.86"/>
    <col collapsed="false" customWidth="false" hidden="false" outlineLevel="0" max="12" min="12" style="90" width="9.29"/>
    <col collapsed="false" customWidth="true" hidden="false" outlineLevel="0" max="13" min="13" style="90" width="11.85"/>
    <col collapsed="false" customWidth="true" hidden="false" outlineLevel="0" max="14" min="14" style="90" width="6.71"/>
    <col collapsed="false" customWidth="true" hidden="false" outlineLevel="0" max="15" min="15" style="90" width="10.42"/>
    <col collapsed="false" customWidth="true" hidden="false" outlineLevel="0" max="16" min="16" style="90" width="12.15"/>
    <col collapsed="false" customWidth="false" hidden="false" outlineLevel="0" max="16384" min="17" style="90" width="9.29"/>
  </cols>
  <sheetData>
    <row r="1" s="93" customFormat="true" ht="16.5" hidden="false" customHeight="true" outlineLevel="0" collapsed="false">
      <c r="A1" s="135" t="s">
        <v>103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</row>
    <row r="2" s="148" customFormat="true" ht="15.75" hidden="false" customHeight="true" outlineLevel="0" collapsed="false">
      <c r="A2" s="147" t="str">
        <f aca="false">"Kèm theo BBNT số: "&amp;VLOOKUP(L2,'Tuyến XD8'!$A$2:$G$60,7,0)&amp;VLOOKUP(L2,'Tuyến XD8'!$A$2:$G$60,4,0)</f>
        <v>Kèm theo BBNT số: 110.NĐXD8/CVXD ngày 17 tháng 10 năm 2026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8" t="n">
        <v>110</v>
      </c>
    </row>
    <row r="3" s="119" customFormat="true" ht="15.75" hidden="false" customHeight="true" outlineLevel="0" collapsed="false">
      <c r="A3" s="149" t="s">
        <v>62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/>
      <c r="CO3" s="150"/>
      <c r="CP3" s="150"/>
      <c r="CQ3" s="150"/>
      <c r="CR3" s="150"/>
      <c r="CS3" s="150"/>
      <c r="CT3" s="150"/>
      <c r="CU3" s="150"/>
      <c r="CV3" s="150"/>
      <c r="CW3" s="150"/>
      <c r="CX3" s="150"/>
      <c r="CY3" s="150"/>
      <c r="CZ3" s="150"/>
      <c r="DA3" s="150"/>
      <c r="DB3" s="150"/>
      <c r="DC3" s="150"/>
      <c r="DD3" s="150"/>
      <c r="DE3" s="150"/>
      <c r="DF3" s="150"/>
      <c r="DG3" s="150"/>
      <c r="DH3" s="150"/>
      <c r="DI3" s="150"/>
      <c r="DJ3" s="150"/>
      <c r="DK3" s="150"/>
      <c r="DL3" s="150"/>
      <c r="DM3" s="150"/>
      <c r="DN3" s="150"/>
      <c r="DO3" s="150"/>
      <c r="DP3" s="150"/>
      <c r="DQ3" s="150"/>
      <c r="DR3" s="150"/>
      <c r="DS3" s="150"/>
      <c r="DT3" s="150"/>
      <c r="DU3" s="150"/>
      <c r="DV3" s="150"/>
      <c r="DW3" s="150"/>
      <c r="DX3" s="150"/>
      <c r="DY3" s="150"/>
      <c r="DZ3" s="150"/>
      <c r="EA3" s="150"/>
      <c r="EB3" s="150"/>
      <c r="EC3" s="150"/>
      <c r="ED3" s="150"/>
      <c r="EE3" s="150"/>
      <c r="EF3" s="150"/>
      <c r="EG3" s="150"/>
      <c r="EH3" s="150"/>
      <c r="EI3" s="150"/>
      <c r="EJ3" s="150"/>
      <c r="EK3" s="150"/>
      <c r="EL3" s="150"/>
      <c r="EM3" s="150"/>
      <c r="EN3" s="150"/>
      <c r="EO3" s="150"/>
      <c r="EP3" s="150"/>
      <c r="EQ3" s="150"/>
      <c r="ER3" s="150"/>
      <c r="ES3" s="150"/>
      <c r="ET3" s="150"/>
      <c r="EU3" s="150"/>
      <c r="EV3" s="150"/>
      <c r="EW3" s="150"/>
      <c r="EX3" s="150"/>
      <c r="EY3" s="150"/>
      <c r="EZ3" s="150"/>
      <c r="FA3" s="150"/>
      <c r="FB3" s="150"/>
      <c r="FC3" s="150"/>
      <c r="FD3" s="150"/>
      <c r="FE3" s="150"/>
      <c r="FF3" s="150"/>
      <c r="FG3" s="150"/>
      <c r="FH3" s="150"/>
      <c r="FI3" s="150"/>
      <c r="FJ3" s="150"/>
      <c r="FK3" s="150"/>
      <c r="FL3" s="150"/>
      <c r="FM3" s="150"/>
      <c r="FN3" s="150"/>
      <c r="FO3" s="150"/>
      <c r="FP3" s="150"/>
      <c r="FQ3" s="150"/>
      <c r="FR3" s="150"/>
      <c r="FS3" s="150"/>
      <c r="FT3" s="150"/>
      <c r="FU3" s="150"/>
      <c r="FV3" s="150"/>
      <c r="FW3" s="150"/>
      <c r="FX3" s="150"/>
      <c r="FY3" s="150"/>
      <c r="FZ3" s="150"/>
      <c r="GA3" s="150"/>
      <c r="GB3" s="150"/>
      <c r="GC3" s="150"/>
      <c r="GD3" s="150"/>
      <c r="GE3" s="150"/>
      <c r="GF3" s="150"/>
      <c r="GG3" s="150"/>
      <c r="GH3" s="150"/>
      <c r="GI3" s="150"/>
      <c r="GJ3" s="150"/>
      <c r="GK3" s="150"/>
      <c r="GL3" s="150"/>
      <c r="GM3" s="150"/>
      <c r="GN3" s="150"/>
      <c r="GO3" s="150"/>
      <c r="GP3" s="150"/>
      <c r="GQ3" s="150"/>
      <c r="GR3" s="150"/>
      <c r="GS3" s="150"/>
      <c r="GT3" s="150"/>
      <c r="GU3" s="150"/>
      <c r="GV3" s="150"/>
      <c r="GW3" s="150"/>
      <c r="GX3" s="150"/>
      <c r="GY3" s="150"/>
      <c r="GZ3" s="150"/>
      <c r="HA3" s="150"/>
      <c r="HB3" s="150"/>
      <c r="HC3" s="150"/>
      <c r="HD3" s="150"/>
      <c r="HE3" s="150"/>
    </row>
    <row r="4" s="119" customFormat="true" ht="33" hidden="false" customHeight="true" outlineLevel="0" collapsed="false">
      <c r="A4" s="149" t="s">
        <v>63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  <c r="BM4" s="150"/>
      <c r="BN4" s="150"/>
      <c r="BO4" s="150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  <c r="CJ4" s="150"/>
      <c r="CK4" s="150"/>
      <c r="CL4" s="150"/>
      <c r="CM4" s="150"/>
      <c r="CN4" s="150"/>
      <c r="CO4" s="150"/>
      <c r="CP4" s="150"/>
      <c r="CQ4" s="150"/>
      <c r="CR4" s="150"/>
      <c r="CS4" s="150"/>
      <c r="CT4" s="150"/>
      <c r="CU4" s="150"/>
      <c r="CV4" s="150"/>
      <c r="CW4" s="150"/>
      <c r="CX4" s="150"/>
      <c r="CY4" s="150"/>
      <c r="CZ4" s="150"/>
      <c r="DA4" s="150"/>
      <c r="DB4" s="150"/>
      <c r="DC4" s="150"/>
      <c r="DD4" s="150"/>
      <c r="DE4" s="150"/>
      <c r="DF4" s="150"/>
      <c r="DG4" s="150"/>
      <c r="DH4" s="150"/>
      <c r="DI4" s="150"/>
      <c r="DJ4" s="150"/>
      <c r="DK4" s="150"/>
      <c r="DL4" s="150"/>
      <c r="DM4" s="150"/>
      <c r="DN4" s="150"/>
      <c r="DO4" s="150"/>
      <c r="DP4" s="150"/>
      <c r="DQ4" s="150"/>
      <c r="DR4" s="150"/>
      <c r="DS4" s="150"/>
      <c r="DT4" s="150"/>
      <c r="DU4" s="150"/>
      <c r="DV4" s="150"/>
      <c r="DW4" s="150"/>
      <c r="DX4" s="150"/>
      <c r="DY4" s="150"/>
      <c r="DZ4" s="150"/>
      <c r="EA4" s="150"/>
      <c r="EB4" s="150"/>
      <c r="EC4" s="150"/>
      <c r="ED4" s="150"/>
      <c r="EE4" s="150"/>
      <c r="EF4" s="150"/>
      <c r="EG4" s="150"/>
      <c r="EH4" s="150"/>
      <c r="EI4" s="150"/>
      <c r="EJ4" s="150"/>
      <c r="EK4" s="150"/>
      <c r="EL4" s="150"/>
      <c r="EM4" s="150"/>
      <c r="EN4" s="150"/>
      <c r="EO4" s="150"/>
      <c r="EP4" s="150"/>
      <c r="EQ4" s="150"/>
      <c r="ER4" s="150"/>
      <c r="ES4" s="150"/>
      <c r="ET4" s="150"/>
      <c r="EU4" s="150"/>
      <c r="EV4" s="150"/>
      <c r="EW4" s="150"/>
      <c r="EX4" s="150"/>
      <c r="EY4" s="150"/>
      <c r="EZ4" s="150"/>
      <c r="FA4" s="150"/>
      <c r="FB4" s="150"/>
      <c r="FC4" s="150"/>
      <c r="FD4" s="150"/>
      <c r="FE4" s="150"/>
      <c r="FF4" s="150"/>
      <c r="FG4" s="150"/>
      <c r="FH4" s="150"/>
      <c r="FI4" s="150"/>
      <c r="FJ4" s="150"/>
      <c r="FK4" s="150"/>
      <c r="FL4" s="150"/>
      <c r="FM4" s="150"/>
      <c r="FN4" s="150"/>
      <c r="FO4" s="150"/>
      <c r="FP4" s="150"/>
      <c r="FQ4" s="150"/>
      <c r="FR4" s="150"/>
      <c r="FS4" s="150"/>
      <c r="FT4" s="150"/>
      <c r="FU4" s="150"/>
      <c r="FV4" s="150"/>
      <c r="FW4" s="150"/>
      <c r="FX4" s="150"/>
      <c r="FY4" s="150"/>
      <c r="FZ4" s="150"/>
      <c r="GA4" s="150"/>
      <c r="GB4" s="150"/>
      <c r="GC4" s="150"/>
      <c r="GD4" s="150"/>
      <c r="GE4" s="150"/>
      <c r="GF4" s="150"/>
      <c r="GG4" s="150"/>
      <c r="GH4" s="150"/>
      <c r="GI4" s="150"/>
      <c r="GJ4" s="150"/>
      <c r="GK4" s="150"/>
      <c r="GL4" s="150"/>
      <c r="GM4" s="150"/>
      <c r="GN4" s="150"/>
      <c r="GO4" s="150"/>
      <c r="GP4" s="150"/>
      <c r="GQ4" s="150"/>
      <c r="GR4" s="150"/>
      <c r="GS4" s="150"/>
      <c r="GT4" s="150"/>
      <c r="GU4" s="150"/>
      <c r="GV4" s="150"/>
      <c r="GW4" s="150"/>
      <c r="GX4" s="150"/>
      <c r="GY4" s="150"/>
      <c r="GZ4" s="150"/>
      <c r="HA4" s="150"/>
      <c r="HB4" s="150"/>
      <c r="HC4" s="150"/>
      <c r="HD4" s="150"/>
      <c r="HE4" s="150"/>
    </row>
    <row r="5" s="119" customFormat="true" ht="15.75" hidden="false" customHeight="true" outlineLevel="0" collapsed="false">
      <c r="A5" s="149" t="s">
        <v>64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0"/>
      <c r="BO5" s="150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  <c r="CJ5" s="150"/>
      <c r="CK5" s="150"/>
      <c r="CL5" s="150"/>
      <c r="CM5" s="150"/>
      <c r="CN5" s="150"/>
      <c r="CO5" s="150"/>
      <c r="CP5" s="150"/>
      <c r="CQ5" s="150"/>
      <c r="CR5" s="150"/>
      <c r="CS5" s="150"/>
      <c r="CT5" s="150"/>
      <c r="CU5" s="150"/>
      <c r="CV5" s="150"/>
      <c r="CW5" s="150"/>
      <c r="CX5" s="150"/>
      <c r="CY5" s="150"/>
      <c r="CZ5" s="150"/>
      <c r="DA5" s="150"/>
      <c r="DB5" s="150"/>
      <c r="DC5" s="150"/>
      <c r="DD5" s="150"/>
      <c r="DE5" s="150"/>
      <c r="DF5" s="150"/>
      <c r="DG5" s="150"/>
      <c r="DH5" s="150"/>
      <c r="DI5" s="150"/>
      <c r="DJ5" s="150"/>
      <c r="DK5" s="150"/>
      <c r="DL5" s="150"/>
      <c r="DM5" s="150"/>
      <c r="DN5" s="150"/>
      <c r="DO5" s="150"/>
      <c r="DP5" s="150"/>
      <c r="DQ5" s="150"/>
      <c r="DR5" s="150"/>
      <c r="DS5" s="150"/>
      <c r="DT5" s="150"/>
      <c r="DU5" s="150"/>
      <c r="DV5" s="150"/>
      <c r="DW5" s="150"/>
      <c r="DX5" s="150"/>
      <c r="DY5" s="150"/>
      <c r="DZ5" s="150"/>
      <c r="EA5" s="150"/>
      <c r="EB5" s="150"/>
      <c r="EC5" s="150"/>
      <c r="ED5" s="150"/>
      <c r="EE5" s="150"/>
      <c r="EF5" s="150"/>
      <c r="EG5" s="150"/>
      <c r="EH5" s="150"/>
      <c r="EI5" s="150"/>
      <c r="EJ5" s="150"/>
      <c r="EK5" s="150"/>
      <c r="EL5" s="150"/>
      <c r="EM5" s="150"/>
      <c r="EN5" s="150"/>
      <c r="EO5" s="150"/>
      <c r="EP5" s="150"/>
      <c r="EQ5" s="150"/>
      <c r="ER5" s="150"/>
      <c r="ES5" s="150"/>
      <c r="ET5" s="150"/>
      <c r="EU5" s="150"/>
      <c r="EV5" s="150"/>
      <c r="EW5" s="150"/>
      <c r="EX5" s="150"/>
      <c r="EY5" s="150"/>
      <c r="EZ5" s="150"/>
      <c r="FA5" s="150"/>
      <c r="FB5" s="150"/>
      <c r="FC5" s="150"/>
      <c r="FD5" s="150"/>
      <c r="FE5" s="150"/>
      <c r="FF5" s="150"/>
      <c r="FG5" s="150"/>
      <c r="FH5" s="150"/>
      <c r="FI5" s="150"/>
      <c r="FJ5" s="150"/>
      <c r="FK5" s="150"/>
      <c r="FL5" s="150"/>
      <c r="FM5" s="150"/>
      <c r="FN5" s="150"/>
      <c r="FO5" s="150"/>
      <c r="FP5" s="150"/>
      <c r="FQ5" s="150"/>
      <c r="FR5" s="150"/>
      <c r="FS5" s="150"/>
      <c r="FT5" s="150"/>
      <c r="FU5" s="150"/>
      <c r="FV5" s="150"/>
      <c r="FW5" s="150"/>
      <c r="FX5" s="150"/>
      <c r="FY5" s="150"/>
      <c r="FZ5" s="150"/>
      <c r="GA5" s="150"/>
      <c r="GB5" s="150"/>
      <c r="GC5" s="150"/>
      <c r="GD5" s="150"/>
      <c r="GE5" s="150"/>
      <c r="GF5" s="150"/>
      <c r="GG5" s="150"/>
      <c r="GH5" s="150"/>
      <c r="GI5" s="150"/>
      <c r="GJ5" s="150"/>
      <c r="GK5" s="150"/>
      <c r="GL5" s="150"/>
      <c r="GM5" s="150"/>
      <c r="GN5" s="150"/>
      <c r="GO5" s="150"/>
      <c r="GP5" s="150"/>
      <c r="GQ5" s="150"/>
      <c r="GR5" s="150"/>
      <c r="GS5" s="150"/>
      <c r="GT5" s="150"/>
      <c r="GU5" s="150"/>
      <c r="GV5" s="150"/>
      <c r="GW5" s="150"/>
      <c r="GX5" s="150"/>
      <c r="GY5" s="150"/>
      <c r="GZ5" s="150"/>
      <c r="HA5" s="150"/>
      <c r="HB5" s="150"/>
      <c r="HC5" s="150"/>
      <c r="HD5" s="150"/>
      <c r="HE5" s="150"/>
    </row>
    <row r="6" s="119" customFormat="true" ht="15.75" hidden="false" customHeight="true" outlineLevel="0" collapsed="false">
      <c r="A6" s="149" t="s">
        <v>65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0"/>
      <c r="BF6" s="150"/>
      <c r="BG6" s="150"/>
      <c r="BH6" s="150"/>
      <c r="BI6" s="150"/>
      <c r="BJ6" s="150"/>
      <c r="BK6" s="150"/>
      <c r="BL6" s="150"/>
      <c r="BM6" s="150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  <c r="CJ6" s="150"/>
      <c r="CK6" s="150"/>
      <c r="CL6" s="150"/>
      <c r="CM6" s="150"/>
      <c r="CN6" s="150"/>
      <c r="CO6" s="150"/>
      <c r="CP6" s="150"/>
      <c r="CQ6" s="150"/>
      <c r="CR6" s="150"/>
      <c r="CS6" s="150"/>
      <c r="CT6" s="150"/>
      <c r="CU6" s="150"/>
      <c r="CV6" s="150"/>
      <c r="CW6" s="150"/>
      <c r="CX6" s="150"/>
      <c r="CY6" s="150"/>
      <c r="CZ6" s="150"/>
      <c r="DA6" s="150"/>
      <c r="DB6" s="150"/>
      <c r="DC6" s="150"/>
      <c r="DD6" s="150"/>
      <c r="DE6" s="150"/>
      <c r="DF6" s="150"/>
      <c r="DG6" s="150"/>
      <c r="DH6" s="150"/>
      <c r="DI6" s="150"/>
      <c r="DJ6" s="150"/>
      <c r="DK6" s="150"/>
      <c r="DL6" s="150"/>
      <c r="DM6" s="150"/>
      <c r="DN6" s="150"/>
      <c r="DO6" s="150"/>
      <c r="DP6" s="150"/>
      <c r="DQ6" s="150"/>
      <c r="DR6" s="150"/>
      <c r="DS6" s="150"/>
      <c r="DT6" s="150"/>
      <c r="DU6" s="150"/>
      <c r="DV6" s="150"/>
      <c r="DW6" s="150"/>
      <c r="DX6" s="150"/>
      <c r="DY6" s="150"/>
      <c r="DZ6" s="150"/>
      <c r="EA6" s="150"/>
      <c r="EB6" s="150"/>
      <c r="EC6" s="150"/>
      <c r="ED6" s="150"/>
      <c r="EE6" s="150"/>
      <c r="EF6" s="150"/>
      <c r="EG6" s="150"/>
      <c r="EH6" s="150"/>
      <c r="EI6" s="150"/>
      <c r="EJ6" s="150"/>
      <c r="EK6" s="150"/>
      <c r="EL6" s="150"/>
      <c r="EM6" s="150"/>
      <c r="EN6" s="150"/>
      <c r="EO6" s="150"/>
      <c r="EP6" s="150"/>
      <c r="EQ6" s="150"/>
      <c r="ER6" s="150"/>
      <c r="ES6" s="150"/>
      <c r="ET6" s="150"/>
      <c r="EU6" s="150"/>
      <c r="EV6" s="150"/>
      <c r="EW6" s="150"/>
      <c r="EX6" s="150"/>
      <c r="EY6" s="150"/>
      <c r="EZ6" s="150"/>
      <c r="FA6" s="150"/>
      <c r="FB6" s="150"/>
      <c r="FC6" s="150"/>
      <c r="FD6" s="150"/>
      <c r="FE6" s="150"/>
      <c r="FF6" s="150"/>
      <c r="FG6" s="150"/>
      <c r="FH6" s="150"/>
      <c r="FI6" s="150"/>
      <c r="FJ6" s="150"/>
      <c r="FK6" s="150"/>
      <c r="FL6" s="150"/>
      <c r="FM6" s="150"/>
      <c r="FN6" s="150"/>
      <c r="FO6" s="150"/>
      <c r="FP6" s="150"/>
      <c r="FQ6" s="150"/>
      <c r="FR6" s="150"/>
      <c r="FS6" s="150"/>
      <c r="FT6" s="150"/>
      <c r="FU6" s="150"/>
      <c r="FV6" s="150"/>
      <c r="FW6" s="150"/>
      <c r="FX6" s="150"/>
      <c r="FY6" s="150"/>
      <c r="FZ6" s="150"/>
      <c r="GA6" s="150"/>
      <c r="GB6" s="150"/>
      <c r="GC6" s="150"/>
      <c r="GD6" s="150"/>
      <c r="GE6" s="150"/>
      <c r="GF6" s="150"/>
      <c r="GG6" s="150"/>
      <c r="GH6" s="150"/>
      <c r="GI6" s="150"/>
      <c r="GJ6" s="150"/>
      <c r="GK6" s="150"/>
      <c r="GL6" s="150"/>
      <c r="GM6" s="150"/>
      <c r="GN6" s="150"/>
      <c r="GO6" s="150"/>
      <c r="GP6" s="150"/>
      <c r="GQ6" s="150"/>
      <c r="GR6" s="150"/>
      <c r="GS6" s="150"/>
      <c r="GT6" s="150"/>
      <c r="GU6" s="150"/>
      <c r="GV6" s="150"/>
      <c r="GW6" s="150"/>
      <c r="GX6" s="150"/>
      <c r="GY6" s="150"/>
      <c r="GZ6" s="150"/>
      <c r="HA6" s="150"/>
      <c r="HB6" s="150"/>
      <c r="HC6" s="150"/>
      <c r="HD6" s="150"/>
      <c r="HE6" s="150"/>
    </row>
    <row r="7" s="119" customFormat="true" ht="29.25" hidden="false" customHeight="true" outlineLevel="0" collapsed="false">
      <c r="A7" s="98" t="s">
        <v>66</v>
      </c>
      <c r="B7" s="99"/>
      <c r="C7" s="129"/>
      <c r="D7" s="100" t="str">
        <f aca="false">VLOOKUP(L2,'Tuyến XD8'!$A$2:$B$60,2,0)</f>
        <v>Bê tông nhựa C16 - Chiều dày mặt đường đã lèn ép 6cm</v>
      </c>
      <c r="E7" s="100"/>
      <c r="F7" s="100"/>
      <c r="G7" s="100"/>
      <c r="H7" s="100"/>
      <c r="I7" s="100"/>
      <c r="J7" s="100"/>
      <c r="K7" s="10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0"/>
      <c r="BF7" s="150"/>
      <c r="BG7" s="150"/>
      <c r="BH7" s="150"/>
      <c r="BI7" s="150"/>
      <c r="BJ7" s="150"/>
      <c r="BK7" s="150"/>
      <c r="BL7" s="150"/>
      <c r="BM7" s="150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  <c r="CJ7" s="150"/>
      <c r="CK7" s="150"/>
      <c r="CL7" s="150"/>
      <c r="CM7" s="150"/>
      <c r="CN7" s="150"/>
      <c r="CO7" s="150"/>
      <c r="CP7" s="150"/>
      <c r="CQ7" s="150"/>
      <c r="CR7" s="150"/>
      <c r="CS7" s="150"/>
      <c r="CT7" s="150"/>
      <c r="CU7" s="150"/>
      <c r="CV7" s="150"/>
      <c r="CW7" s="150"/>
      <c r="CX7" s="150"/>
      <c r="CY7" s="150"/>
      <c r="CZ7" s="150"/>
      <c r="DA7" s="150"/>
      <c r="DB7" s="150"/>
      <c r="DC7" s="150"/>
      <c r="DD7" s="150"/>
      <c r="DE7" s="150"/>
      <c r="DF7" s="150"/>
      <c r="DG7" s="150"/>
      <c r="DH7" s="150"/>
      <c r="DI7" s="150"/>
      <c r="DJ7" s="150"/>
      <c r="DK7" s="150"/>
      <c r="DL7" s="150"/>
      <c r="DM7" s="150"/>
      <c r="DN7" s="150"/>
      <c r="DO7" s="150"/>
      <c r="DP7" s="150"/>
      <c r="DQ7" s="150"/>
      <c r="DR7" s="150"/>
      <c r="DS7" s="150"/>
      <c r="DT7" s="150"/>
      <c r="DU7" s="150"/>
      <c r="DV7" s="150"/>
      <c r="DW7" s="150"/>
      <c r="DX7" s="150"/>
      <c r="DY7" s="150"/>
      <c r="DZ7" s="150"/>
      <c r="EA7" s="150"/>
      <c r="EB7" s="150"/>
      <c r="EC7" s="150"/>
      <c r="ED7" s="150"/>
      <c r="EE7" s="150"/>
      <c r="EF7" s="150"/>
      <c r="EG7" s="150"/>
      <c r="EH7" s="150"/>
      <c r="EI7" s="150"/>
      <c r="EJ7" s="150"/>
      <c r="EK7" s="150"/>
      <c r="EL7" s="150"/>
      <c r="EM7" s="150"/>
      <c r="EN7" s="150"/>
      <c r="EO7" s="150"/>
      <c r="EP7" s="150"/>
      <c r="EQ7" s="150"/>
      <c r="ER7" s="150"/>
      <c r="ES7" s="150"/>
      <c r="ET7" s="150"/>
      <c r="EU7" s="150"/>
      <c r="EV7" s="150"/>
      <c r="EW7" s="150"/>
      <c r="EX7" s="150"/>
      <c r="EY7" s="150"/>
      <c r="EZ7" s="150"/>
      <c r="FA7" s="150"/>
      <c r="FB7" s="150"/>
      <c r="FC7" s="150"/>
      <c r="FD7" s="150"/>
      <c r="FE7" s="150"/>
      <c r="FF7" s="150"/>
      <c r="FG7" s="150"/>
      <c r="FH7" s="150"/>
      <c r="FI7" s="150"/>
      <c r="FJ7" s="150"/>
      <c r="FK7" s="150"/>
      <c r="FL7" s="150"/>
      <c r="FM7" s="150"/>
      <c r="FN7" s="150"/>
      <c r="FO7" s="150"/>
      <c r="FP7" s="150"/>
      <c r="FQ7" s="150"/>
      <c r="FR7" s="150"/>
      <c r="FS7" s="150"/>
      <c r="FT7" s="150"/>
      <c r="FU7" s="150"/>
      <c r="FV7" s="150"/>
      <c r="FW7" s="150"/>
      <c r="FX7" s="150"/>
      <c r="FY7" s="150"/>
      <c r="FZ7" s="150"/>
      <c r="GA7" s="150"/>
      <c r="GB7" s="150"/>
      <c r="GC7" s="150"/>
      <c r="GD7" s="150"/>
      <c r="GE7" s="150"/>
      <c r="GF7" s="150"/>
      <c r="GG7" s="150"/>
      <c r="GH7" s="150"/>
      <c r="GI7" s="150"/>
      <c r="GJ7" s="150"/>
      <c r="GK7" s="150"/>
      <c r="GL7" s="150"/>
      <c r="GM7" s="150"/>
      <c r="GN7" s="150"/>
      <c r="GO7" s="150"/>
      <c r="GP7" s="150"/>
      <c r="GQ7" s="150"/>
      <c r="GR7" s="150"/>
      <c r="GS7" s="150"/>
      <c r="GT7" s="150"/>
      <c r="GU7" s="150"/>
      <c r="GV7" s="150"/>
      <c r="GW7" s="150"/>
      <c r="GX7" s="150"/>
      <c r="GY7" s="150"/>
      <c r="GZ7" s="150"/>
      <c r="HA7" s="150"/>
      <c r="HB7" s="150"/>
      <c r="HC7" s="150"/>
      <c r="HD7" s="150"/>
      <c r="HE7" s="150"/>
    </row>
    <row r="8" s="150" customFormat="true" ht="18" hidden="false" customHeight="true" outlineLevel="0" collapsed="false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</row>
    <row r="9" s="108" customFormat="true" ht="22.5" hidden="false" customHeight="true" outlineLevel="0" collapsed="false">
      <c r="A9" s="102" t="s">
        <v>5</v>
      </c>
      <c r="B9" s="152" t="s">
        <v>137</v>
      </c>
      <c r="C9" s="102" t="s">
        <v>70</v>
      </c>
      <c r="D9" s="103" t="s">
        <v>104</v>
      </c>
      <c r="E9" s="103" t="s">
        <v>138</v>
      </c>
      <c r="F9" s="103"/>
      <c r="G9" s="103"/>
      <c r="H9" s="103" t="s">
        <v>139</v>
      </c>
      <c r="I9" s="103"/>
      <c r="J9" s="103"/>
      <c r="K9" s="107" t="s">
        <v>108</v>
      </c>
    </row>
    <row r="10" s="110" customFormat="true" ht="36" hidden="false" customHeight="true" outlineLevel="0" collapsed="false">
      <c r="A10" s="102"/>
      <c r="B10" s="102"/>
      <c r="C10" s="102"/>
      <c r="D10" s="102"/>
      <c r="E10" s="107" t="s">
        <v>140</v>
      </c>
      <c r="F10" s="107" t="s">
        <v>141</v>
      </c>
      <c r="G10" s="107" t="s">
        <v>142</v>
      </c>
      <c r="H10" s="107" t="s">
        <v>140</v>
      </c>
      <c r="I10" s="107" t="s">
        <v>141</v>
      </c>
      <c r="J10" s="107" t="s">
        <v>143</v>
      </c>
      <c r="K10" s="107"/>
      <c r="L10" s="109"/>
      <c r="M10" s="109"/>
    </row>
    <row r="11" s="110" customFormat="true" ht="15" hidden="false" customHeight="true" outlineLevel="0" collapsed="false">
      <c r="A11" s="86" t="n">
        <v>1</v>
      </c>
      <c r="B11" s="86" t="str">
        <f aca="false">'1. PL đường đen'!B12</f>
        <v>31</v>
      </c>
      <c r="C11" s="67" t="n">
        <v>609.11</v>
      </c>
      <c r="D11" s="86" t="n">
        <f aca="false">'1. PL đường đen'!T12</f>
        <v>11.75</v>
      </c>
      <c r="E11" s="137" t="n">
        <v>10.5</v>
      </c>
      <c r="F11" s="137" t="n">
        <f aca="false">+E11+G11</f>
        <v>10.571</v>
      </c>
      <c r="G11" s="69" t="n">
        <f aca="false">RANDBETWEEN(-30,110)/1000</f>
        <v>0.071</v>
      </c>
      <c r="H11" s="112" t="n">
        <f aca="false">+(E11+E12)/2*D11</f>
        <v>123.375</v>
      </c>
      <c r="I11" s="112" t="n">
        <f aca="false">+(F11+F12)/2*D11</f>
        <v>124.426625</v>
      </c>
      <c r="J11" s="112" t="n">
        <f aca="false">+I11-H11</f>
        <v>1.05162500000002</v>
      </c>
      <c r="K11" s="113"/>
      <c r="M11" s="114"/>
    </row>
    <row r="12" s="110" customFormat="true" ht="15" hidden="false" customHeight="true" outlineLevel="0" collapsed="false">
      <c r="A12" s="86" t="n">
        <v>2</v>
      </c>
      <c r="B12" s="86" t="str">
        <f aca="false">'1. PL đường đen'!B13</f>
        <v>E10</v>
      </c>
      <c r="C12" s="67" t="n">
        <f aca="false">C11+D11</f>
        <v>620.86</v>
      </c>
      <c r="D12" s="86" t="n">
        <f aca="false">'1. PL đường đen'!T13</f>
        <v>11.75</v>
      </c>
      <c r="E12" s="137" t="n">
        <v>10.5</v>
      </c>
      <c r="F12" s="137" t="n">
        <f aca="false">+E12+G12</f>
        <v>10.608</v>
      </c>
      <c r="G12" s="69" t="n">
        <f aca="false">RANDBETWEEN(-30,110)/1000</f>
        <v>0.108</v>
      </c>
      <c r="H12" s="112" t="n">
        <f aca="false">+(E12+E13)/2*D12</f>
        <v>123.375</v>
      </c>
      <c r="I12" s="112" t="n">
        <f aca="false">+(F12+F13)/2*D12</f>
        <v>123.97425</v>
      </c>
      <c r="J12" s="112" t="n">
        <f aca="false">+I12-H12</f>
        <v>0.599249999999998</v>
      </c>
      <c r="K12" s="113"/>
      <c r="M12" s="114"/>
    </row>
    <row r="13" s="110" customFormat="true" ht="15" hidden="false" customHeight="true" outlineLevel="0" collapsed="false">
      <c r="A13" s="86" t="n">
        <v>3</v>
      </c>
      <c r="B13" s="86" t="str">
        <f aca="false">'1. PL đường đen'!B14</f>
        <v>32</v>
      </c>
      <c r="C13" s="67" t="n">
        <f aca="false">C12+D12</f>
        <v>632.61</v>
      </c>
      <c r="D13" s="86" t="n">
        <f aca="false">'1. PL đường đen'!T14</f>
        <v>20</v>
      </c>
      <c r="E13" s="137" t="n">
        <v>10.5</v>
      </c>
      <c r="F13" s="137" t="n">
        <f aca="false">+E13+G13</f>
        <v>10.494</v>
      </c>
      <c r="G13" s="69" t="n">
        <f aca="false">RANDBETWEEN(-30,110)/1000</f>
        <v>-0.006</v>
      </c>
      <c r="H13" s="112" t="n">
        <f aca="false">+(E13+E14)/2*D13</f>
        <v>210</v>
      </c>
      <c r="I13" s="112" t="n">
        <f aca="false">+(F13+F14)/2*D13</f>
        <v>209.8</v>
      </c>
      <c r="J13" s="112" t="n">
        <f aca="false">+I13-H13</f>
        <v>-0.199999999999989</v>
      </c>
      <c r="K13" s="113"/>
      <c r="M13" s="114"/>
    </row>
    <row r="14" s="110" customFormat="true" ht="15" hidden="false" customHeight="true" outlineLevel="0" collapsed="false">
      <c r="A14" s="86" t="n">
        <v>4</v>
      </c>
      <c r="B14" s="86" t="str">
        <f aca="false">'1. PL đường đen'!B15</f>
        <v>33</v>
      </c>
      <c r="C14" s="67" t="n">
        <f aca="false">C13+D13</f>
        <v>652.61</v>
      </c>
      <c r="D14" s="86" t="n">
        <f aca="false">'1. PL đường đen'!T15</f>
        <v>20</v>
      </c>
      <c r="E14" s="137" t="n">
        <v>10.5</v>
      </c>
      <c r="F14" s="137" t="n">
        <f aca="false">+E14+G14</f>
        <v>10.486</v>
      </c>
      <c r="G14" s="69" t="n">
        <f aca="false">RANDBETWEEN(-30,110)/1000</f>
        <v>-0.014</v>
      </c>
      <c r="H14" s="112" t="n">
        <f aca="false">+(E14+E15)/2*D14</f>
        <v>210</v>
      </c>
      <c r="I14" s="112" t="n">
        <f aca="false">+(F14+F15)/2*D14</f>
        <v>209.75</v>
      </c>
      <c r="J14" s="112" t="n">
        <f aca="false">+I14-H14</f>
        <v>-0.25</v>
      </c>
      <c r="K14" s="113"/>
      <c r="M14" s="114"/>
    </row>
    <row r="15" s="110" customFormat="true" ht="15" hidden="false" customHeight="true" outlineLevel="0" collapsed="false">
      <c r="A15" s="86" t="n">
        <v>5</v>
      </c>
      <c r="B15" s="86" t="str">
        <f aca="false">'1. PL đường đen'!B16</f>
        <v>34</v>
      </c>
      <c r="C15" s="67" t="n">
        <f aca="false">C14+D14</f>
        <v>672.61</v>
      </c>
      <c r="D15" s="86" t="n">
        <f aca="false">'1. PL đường đen'!T16</f>
        <v>20</v>
      </c>
      <c r="E15" s="137" t="n">
        <v>10.5</v>
      </c>
      <c r="F15" s="137" t="n">
        <f aca="false">+E15+G15</f>
        <v>10.489</v>
      </c>
      <c r="G15" s="69" t="n">
        <f aca="false">RANDBETWEEN(-30,110)/1000</f>
        <v>-0.011</v>
      </c>
      <c r="H15" s="112" t="n">
        <f aca="false">+(E15+E16)/2*D15</f>
        <v>210</v>
      </c>
      <c r="I15" s="112" t="n">
        <f aca="false">+(F15+F16)/2*D15</f>
        <v>209.74</v>
      </c>
      <c r="J15" s="112" t="n">
        <f aca="false">+I15-H15</f>
        <v>-0.259999999999991</v>
      </c>
      <c r="K15" s="113"/>
      <c r="M15" s="114"/>
    </row>
    <row r="16" s="110" customFormat="true" ht="15" hidden="false" customHeight="true" outlineLevel="0" collapsed="false">
      <c r="A16" s="86" t="n">
        <v>6</v>
      </c>
      <c r="B16" s="86" t="str">
        <f aca="false">'1. PL đường đen'!B17</f>
        <v>35</v>
      </c>
      <c r="C16" s="67" t="n">
        <f aca="false">C15+D15</f>
        <v>692.61</v>
      </c>
      <c r="D16" s="86" t="n">
        <f aca="false">'1. PL đường đen'!T17</f>
        <v>20</v>
      </c>
      <c r="E16" s="137" t="n">
        <v>10.5</v>
      </c>
      <c r="F16" s="137" t="n">
        <f aca="false">+E16+G16</f>
        <v>10.485</v>
      </c>
      <c r="G16" s="69" t="n">
        <f aca="false">RANDBETWEEN(-30,110)/1000</f>
        <v>-0.015</v>
      </c>
      <c r="H16" s="112" t="n">
        <f aca="false">+(E16+E17)/2*D16</f>
        <v>210</v>
      </c>
      <c r="I16" s="112" t="n">
        <f aca="false">+(F16+F17)/2*D16</f>
        <v>210.2</v>
      </c>
      <c r="J16" s="112" t="n">
        <f aca="false">+I16-H16</f>
        <v>0.199999999999989</v>
      </c>
      <c r="K16" s="113"/>
      <c r="M16" s="114"/>
    </row>
    <row r="17" s="110" customFormat="true" ht="15" hidden="false" customHeight="true" outlineLevel="0" collapsed="false">
      <c r="A17" s="86" t="n">
        <v>7</v>
      </c>
      <c r="B17" s="86" t="str">
        <f aca="false">'1. PL đường đen'!B18</f>
        <v>36</v>
      </c>
      <c r="C17" s="67" t="n">
        <f aca="false">C16+D16</f>
        <v>712.61</v>
      </c>
      <c r="D17" s="86" t="n">
        <f aca="false">'1. PL đường đen'!T18</f>
        <v>11.5</v>
      </c>
      <c r="E17" s="137" t="n">
        <v>10.5</v>
      </c>
      <c r="F17" s="137" t="n">
        <f aca="false">+E17+G17</f>
        <v>10.535</v>
      </c>
      <c r="G17" s="69" t="n">
        <f aca="false">RANDBETWEEN(-30,110)/1000</f>
        <v>0.035</v>
      </c>
      <c r="H17" s="112" t="n">
        <f aca="false">+(E17+E18)/2*D17</f>
        <v>120.75</v>
      </c>
      <c r="I17" s="112" t="n">
        <f aca="false">+(F17+F18)/2*D17</f>
        <v>121.371</v>
      </c>
      <c r="J17" s="112" t="n">
        <f aca="false">+I17-H17</f>
        <v>0.621000000000009</v>
      </c>
      <c r="K17" s="113"/>
      <c r="M17" s="114"/>
    </row>
    <row r="18" s="110" customFormat="true" ht="15" hidden="false" customHeight="true" outlineLevel="0" collapsed="false">
      <c r="A18" s="86" t="n">
        <v>8</v>
      </c>
      <c r="B18" s="86" t="str">
        <f aca="false">'1. PL đường đen'!B19</f>
        <v>37</v>
      </c>
      <c r="C18" s="67" t="n">
        <f aca="false">C17+D17</f>
        <v>724.11</v>
      </c>
      <c r="D18" s="86"/>
      <c r="E18" s="137" t="n">
        <v>10.5</v>
      </c>
      <c r="F18" s="137" t="n">
        <f aca="false">+E18+G18</f>
        <v>10.573</v>
      </c>
      <c r="G18" s="69" t="n">
        <f aca="false">RANDBETWEEN(-30,110)/1000</f>
        <v>0.073</v>
      </c>
      <c r="H18" s="112"/>
      <c r="I18" s="112"/>
      <c r="J18" s="112"/>
      <c r="K18" s="113"/>
      <c r="M18" s="114"/>
    </row>
    <row r="19" s="110" customFormat="true" ht="15" hidden="true" customHeight="true" outlineLevel="0" collapsed="false">
      <c r="A19" s="86"/>
      <c r="B19" s="86"/>
      <c r="C19" s="67"/>
      <c r="D19" s="86"/>
      <c r="E19" s="137"/>
      <c r="F19" s="137"/>
      <c r="G19" s="69"/>
      <c r="H19" s="112"/>
      <c r="I19" s="112"/>
      <c r="J19" s="112"/>
      <c r="K19" s="113"/>
      <c r="M19" s="114"/>
    </row>
    <row r="20" s="110" customFormat="true" ht="15" hidden="true" customHeight="true" outlineLevel="0" collapsed="false">
      <c r="A20" s="86"/>
      <c r="B20" s="86"/>
      <c r="C20" s="67"/>
      <c r="D20" s="86"/>
      <c r="E20" s="137"/>
      <c r="F20" s="137"/>
      <c r="G20" s="69"/>
      <c r="H20" s="112"/>
      <c r="I20" s="112"/>
      <c r="J20" s="112"/>
      <c r="K20" s="113"/>
      <c r="M20" s="114"/>
    </row>
    <row r="21" s="110" customFormat="true" ht="15" hidden="true" customHeight="true" outlineLevel="0" collapsed="false">
      <c r="A21" s="86"/>
      <c r="B21" s="86"/>
      <c r="C21" s="67"/>
      <c r="D21" s="86"/>
      <c r="E21" s="137"/>
      <c r="F21" s="137"/>
      <c r="G21" s="69"/>
      <c r="H21" s="112"/>
      <c r="I21" s="112"/>
      <c r="J21" s="112"/>
      <c r="K21" s="113"/>
      <c r="M21" s="114"/>
    </row>
    <row r="22" s="110" customFormat="true" ht="15" hidden="true" customHeight="true" outlineLevel="0" collapsed="false">
      <c r="A22" s="86"/>
      <c r="B22" s="86"/>
      <c r="C22" s="67"/>
      <c r="D22" s="86"/>
      <c r="E22" s="137"/>
      <c r="F22" s="137"/>
      <c r="G22" s="69"/>
      <c r="H22" s="112"/>
      <c r="I22" s="112"/>
      <c r="J22" s="112"/>
      <c r="K22" s="113"/>
      <c r="M22" s="114"/>
    </row>
    <row r="23" s="110" customFormat="true" ht="15" hidden="true" customHeight="true" outlineLevel="0" collapsed="false">
      <c r="A23" s="86"/>
      <c r="B23" s="86"/>
      <c r="C23" s="67"/>
      <c r="D23" s="86"/>
      <c r="E23" s="137"/>
      <c r="F23" s="137"/>
      <c r="G23" s="69"/>
      <c r="H23" s="112"/>
      <c r="I23" s="112"/>
      <c r="J23" s="112"/>
      <c r="K23" s="113"/>
      <c r="M23" s="114"/>
    </row>
    <row r="24" s="110" customFormat="true" ht="15" hidden="true" customHeight="true" outlineLevel="0" collapsed="false">
      <c r="A24" s="86"/>
      <c r="B24" s="86"/>
      <c r="C24" s="67"/>
      <c r="D24" s="86"/>
      <c r="E24" s="137"/>
      <c r="F24" s="137"/>
      <c r="G24" s="69"/>
      <c r="H24" s="112"/>
      <c r="I24" s="112"/>
      <c r="J24" s="112"/>
      <c r="K24" s="113"/>
      <c r="M24" s="114"/>
    </row>
    <row r="25" s="110" customFormat="true" ht="15" hidden="true" customHeight="true" outlineLevel="0" collapsed="false">
      <c r="A25" s="86"/>
      <c r="B25" s="86"/>
      <c r="C25" s="67"/>
      <c r="D25" s="86"/>
      <c r="E25" s="137"/>
      <c r="F25" s="137"/>
      <c r="G25" s="69"/>
      <c r="H25" s="112"/>
      <c r="I25" s="112"/>
      <c r="J25" s="112"/>
      <c r="K25" s="113"/>
      <c r="M25" s="114"/>
    </row>
    <row r="26" s="110" customFormat="true" ht="15" hidden="true" customHeight="true" outlineLevel="0" collapsed="false">
      <c r="A26" s="86"/>
      <c r="B26" s="86"/>
      <c r="C26" s="67"/>
      <c r="D26" s="86"/>
      <c r="E26" s="137"/>
      <c r="F26" s="137"/>
      <c r="G26" s="69"/>
      <c r="H26" s="112"/>
      <c r="I26" s="112"/>
      <c r="J26" s="112"/>
      <c r="K26" s="113"/>
      <c r="M26" s="114"/>
    </row>
    <row r="27" s="110" customFormat="true" ht="15" hidden="true" customHeight="true" outlineLevel="0" collapsed="false">
      <c r="A27" s="86"/>
      <c r="B27" s="86"/>
      <c r="C27" s="67"/>
      <c r="D27" s="86"/>
      <c r="E27" s="137"/>
      <c r="F27" s="137"/>
      <c r="G27" s="69"/>
      <c r="H27" s="112"/>
      <c r="I27" s="112"/>
      <c r="J27" s="112"/>
      <c r="K27" s="113"/>
      <c r="M27" s="114"/>
    </row>
    <row r="28" s="110" customFormat="true" ht="15" hidden="true" customHeight="true" outlineLevel="0" collapsed="false">
      <c r="A28" s="86"/>
      <c r="B28" s="86"/>
      <c r="C28" s="67"/>
      <c r="D28" s="86"/>
      <c r="E28" s="137"/>
      <c r="F28" s="137"/>
      <c r="G28" s="69"/>
      <c r="H28" s="112"/>
      <c r="I28" s="112"/>
      <c r="J28" s="112"/>
      <c r="K28" s="113"/>
      <c r="M28" s="114"/>
    </row>
    <row r="29" s="110" customFormat="true" ht="15" hidden="true" customHeight="true" outlineLevel="0" collapsed="false">
      <c r="A29" s="86"/>
      <c r="B29" s="86"/>
      <c r="C29" s="67"/>
      <c r="D29" s="86"/>
      <c r="E29" s="137"/>
      <c r="F29" s="137"/>
      <c r="G29" s="69"/>
      <c r="H29" s="112"/>
      <c r="I29" s="112"/>
      <c r="J29" s="112"/>
      <c r="K29" s="113"/>
      <c r="M29" s="114"/>
    </row>
    <row r="30" s="110" customFormat="true" ht="15" hidden="true" customHeight="true" outlineLevel="0" collapsed="false">
      <c r="A30" s="86"/>
      <c r="B30" s="86"/>
      <c r="C30" s="67"/>
      <c r="D30" s="86"/>
      <c r="E30" s="137"/>
      <c r="F30" s="137"/>
      <c r="G30" s="69"/>
      <c r="H30" s="112"/>
      <c r="I30" s="112"/>
      <c r="J30" s="112"/>
      <c r="K30" s="113"/>
      <c r="M30" s="114"/>
    </row>
    <row r="31" s="110" customFormat="true" ht="15" hidden="true" customHeight="true" outlineLevel="0" collapsed="false">
      <c r="A31" s="86"/>
      <c r="B31" s="86"/>
      <c r="C31" s="67"/>
      <c r="D31" s="86"/>
      <c r="E31" s="137"/>
      <c r="F31" s="137"/>
      <c r="G31" s="69"/>
      <c r="H31" s="112"/>
      <c r="I31" s="112"/>
      <c r="J31" s="112"/>
      <c r="K31" s="113"/>
      <c r="M31" s="114"/>
    </row>
    <row r="32" s="110" customFormat="true" ht="15" hidden="true" customHeight="true" outlineLevel="0" collapsed="false">
      <c r="A32" s="86"/>
      <c r="B32" s="86"/>
      <c r="C32" s="67"/>
      <c r="D32" s="86"/>
      <c r="E32" s="137"/>
      <c r="F32" s="137"/>
      <c r="G32" s="69"/>
      <c r="H32" s="112"/>
      <c r="I32" s="112"/>
      <c r="J32" s="112"/>
      <c r="K32" s="113"/>
      <c r="M32" s="114"/>
    </row>
    <row r="33" s="110" customFormat="true" ht="15" hidden="true" customHeight="true" outlineLevel="0" collapsed="false">
      <c r="A33" s="86"/>
      <c r="B33" s="86"/>
      <c r="C33" s="67"/>
      <c r="D33" s="86"/>
      <c r="E33" s="137"/>
      <c r="F33" s="137"/>
      <c r="G33" s="69"/>
      <c r="H33" s="112"/>
      <c r="I33" s="112"/>
      <c r="J33" s="112"/>
      <c r="K33" s="113"/>
      <c r="M33" s="114"/>
    </row>
    <row r="34" s="110" customFormat="true" ht="15" hidden="true" customHeight="true" outlineLevel="0" collapsed="false">
      <c r="A34" s="86"/>
      <c r="B34" s="86"/>
      <c r="C34" s="67"/>
      <c r="D34" s="86"/>
      <c r="E34" s="137"/>
      <c r="F34" s="137"/>
      <c r="G34" s="69"/>
      <c r="H34" s="112"/>
      <c r="I34" s="112"/>
      <c r="J34" s="112"/>
      <c r="K34" s="113"/>
      <c r="M34" s="114"/>
    </row>
    <row r="35" s="110" customFormat="true" ht="15" hidden="true" customHeight="true" outlineLevel="0" collapsed="false">
      <c r="A35" s="86"/>
      <c r="B35" s="86"/>
      <c r="C35" s="67"/>
      <c r="D35" s="86"/>
      <c r="E35" s="137"/>
      <c r="F35" s="137"/>
      <c r="G35" s="69"/>
      <c r="H35" s="112"/>
      <c r="I35" s="112"/>
      <c r="J35" s="112"/>
      <c r="K35" s="113"/>
      <c r="M35" s="114"/>
    </row>
    <row r="36" s="110" customFormat="true" ht="15" hidden="true" customHeight="true" outlineLevel="0" collapsed="false">
      <c r="A36" s="86"/>
      <c r="B36" s="86"/>
      <c r="C36" s="67"/>
      <c r="D36" s="86"/>
      <c r="E36" s="137"/>
      <c r="F36" s="137"/>
      <c r="G36" s="69"/>
      <c r="H36" s="112"/>
      <c r="I36" s="112"/>
      <c r="J36" s="112"/>
      <c r="K36" s="113"/>
      <c r="M36" s="114"/>
    </row>
    <row r="37" s="110" customFormat="true" ht="15" hidden="true" customHeight="true" outlineLevel="0" collapsed="false">
      <c r="A37" s="86"/>
      <c r="B37" s="86"/>
      <c r="C37" s="67"/>
      <c r="D37" s="86"/>
      <c r="E37" s="137"/>
      <c r="F37" s="137"/>
      <c r="G37" s="69"/>
      <c r="H37" s="112"/>
      <c r="I37" s="112"/>
      <c r="J37" s="112"/>
      <c r="K37" s="113"/>
      <c r="M37" s="114"/>
    </row>
    <row r="38" s="110" customFormat="true" ht="15" hidden="true" customHeight="true" outlineLevel="0" collapsed="false">
      <c r="A38" s="86"/>
      <c r="B38" s="86"/>
      <c r="C38" s="67"/>
      <c r="D38" s="86"/>
      <c r="E38" s="137"/>
      <c r="F38" s="137"/>
      <c r="G38" s="69"/>
      <c r="H38" s="112"/>
      <c r="I38" s="112"/>
      <c r="J38" s="112"/>
      <c r="K38" s="113"/>
      <c r="M38" s="114"/>
    </row>
    <row r="39" s="110" customFormat="true" ht="15" hidden="true" customHeight="true" outlineLevel="0" collapsed="false">
      <c r="A39" s="86"/>
      <c r="B39" s="86"/>
      <c r="C39" s="67"/>
      <c r="D39" s="86"/>
      <c r="E39" s="137"/>
      <c r="F39" s="137"/>
      <c r="G39" s="69"/>
      <c r="H39" s="112"/>
      <c r="I39" s="112"/>
      <c r="J39" s="112"/>
      <c r="K39" s="113"/>
      <c r="M39" s="114"/>
    </row>
    <row r="40" s="110" customFormat="true" ht="15" hidden="true" customHeight="true" outlineLevel="0" collapsed="false">
      <c r="A40" s="86"/>
      <c r="B40" s="86"/>
      <c r="C40" s="67"/>
      <c r="D40" s="86"/>
      <c r="E40" s="137"/>
      <c r="F40" s="137"/>
      <c r="G40" s="69"/>
      <c r="H40" s="112"/>
      <c r="I40" s="112"/>
      <c r="J40" s="112"/>
      <c r="K40" s="113"/>
      <c r="M40" s="114"/>
    </row>
    <row r="41" s="110" customFormat="true" ht="15" hidden="true" customHeight="true" outlineLevel="0" collapsed="false">
      <c r="A41" s="86"/>
      <c r="B41" s="86"/>
      <c r="C41" s="67"/>
      <c r="D41" s="86"/>
      <c r="E41" s="137"/>
      <c r="F41" s="137"/>
      <c r="G41" s="69"/>
      <c r="H41" s="112"/>
      <c r="I41" s="112"/>
      <c r="J41" s="112"/>
      <c r="K41" s="113"/>
      <c r="M41" s="114"/>
    </row>
    <row r="42" s="110" customFormat="true" ht="15" hidden="true" customHeight="true" outlineLevel="0" collapsed="false">
      <c r="A42" s="86"/>
      <c r="B42" s="86"/>
      <c r="C42" s="67"/>
      <c r="D42" s="86"/>
      <c r="E42" s="137"/>
      <c r="F42" s="137"/>
      <c r="G42" s="69"/>
      <c r="H42" s="112"/>
      <c r="I42" s="112"/>
      <c r="J42" s="112"/>
      <c r="K42" s="113"/>
      <c r="M42" s="114"/>
    </row>
    <row r="43" s="110" customFormat="true" ht="15" hidden="true" customHeight="true" outlineLevel="0" collapsed="false">
      <c r="A43" s="86"/>
      <c r="B43" s="86"/>
      <c r="C43" s="67"/>
      <c r="D43" s="86"/>
      <c r="E43" s="137"/>
      <c r="F43" s="137"/>
      <c r="G43" s="69"/>
      <c r="H43" s="112"/>
      <c r="I43" s="112"/>
      <c r="J43" s="112"/>
      <c r="K43" s="113"/>
      <c r="M43" s="114"/>
    </row>
    <row r="44" s="110" customFormat="true" ht="15" hidden="true" customHeight="true" outlineLevel="0" collapsed="false">
      <c r="A44" s="86"/>
      <c r="B44" s="86"/>
      <c r="C44" s="67"/>
      <c r="D44" s="86"/>
      <c r="E44" s="137"/>
      <c r="F44" s="137"/>
      <c r="G44" s="69"/>
      <c r="H44" s="112"/>
      <c r="I44" s="112"/>
      <c r="J44" s="112"/>
      <c r="K44" s="113"/>
      <c r="M44" s="114"/>
    </row>
    <row r="45" s="110" customFormat="true" ht="15" hidden="true" customHeight="true" outlineLevel="0" collapsed="false">
      <c r="A45" s="86"/>
      <c r="B45" s="86"/>
      <c r="C45" s="67"/>
      <c r="D45" s="86"/>
      <c r="E45" s="137"/>
      <c r="F45" s="137"/>
      <c r="G45" s="69"/>
      <c r="H45" s="112"/>
      <c r="I45" s="112"/>
      <c r="J45" s="112"/>
      <c r="K45" s="113"/>
      <c r="M45" s="114"/>
    </row>
    <row r="46" s="110" customFormat="true" ht="15" hidden="true" customHeight="true" outlineLevel="0" collapsed="false">
      <c r="A46" s="86"/>
      <c r="B46" s="86"/>
      <c r="C46" s="67"/>
      <c r="D46" s="86"/>
      <c r="E46" s="137"/>
      <c r="F46" s="137"/>
      <c r="G46" s="69"/>
      <c r="H46" s="112"/>
      <c r="I46" s="112"/>
      <c r="J46" s="112"/>
      <c r="K46" s="113"/>
      <c r="M46" s="114"/>
    </row>
    <row r="47" s="110" customFormat="true" ht="15" hidden="true" customHeight="true" outlineLevel="0" collapsed="false">
      <c r="A47" s="86"/>
      <c r="B47" s="86"/>
      <c r="C47" s="67"/>
      <c r="D47" s="86"/>
      <c r="E47" s="137"/>
      <c r="F47" s="137"/>
      <c r="G47" s="69"/>
      <c r="H47" s="112"/>
      <c r="I47" s="112"/>
      <c r="J47" s="112"/>
      <c r="K47" s="113"/>
      <c r="M47" s="114"/>
    </row>
    <row r="48" s="110" customFormat="true" ht="15" hidden="true" customHeight="true" outlineLevel="0" collapsed="false">
      <c r="A48" s="86"/>
      <c r="B48" s="86"/>
      <c r="C48" s="67"/>
      <c r="D48" s="86"/>
      <c r="E48" s="137"/>
      <c r="F48" s="137"/>
      <c r="G48" s="69"/>
      <c r="H48" s="112"/>
      <c r="I48" s="112"/>
      <c r="J48" s="112"/>
      <c r="K48" s="113"/>
      <c r="M48" s="114"/>
    </row>
    <row r="49" s="119" customFormat="true" ht="15" hidden="false" customHeight="true" outlineLevel="0" collapsed="false">
      <c r="A49" s="102" t="s">
        <v>114</v>
      </c>
      <c r="B49" s="102"/>
      <c r="C49" s="102"/>
      <c r="D49" s="102"/>
      <c r="E49" s="102"/>
      <c r="F49" s="102"/>
      <c r="G49" s="102"/>
      <c r="H49" s="153" t="n">
        <f aca="false">SUM(H11:H18)</f>
        <v>1207.5</v>
      </c>
      <c r="I49" s="153" t="n">
        <f aca="false">SUM(I11:I18)</f>
        <v>1209.261875</v>
      </c>
      <c r="J49" s="117" t="n">
        <f aca="false">+I49-H49</f>
        <v>1.76187500000015</v>
      </c>
      <c r="K49" s="118"/>
      <c r="M49" s="120"/>
      <c r="O49" s="154"/>
      <c r="P49" s="155"/>
    </row>
    <row r="50" s="119" customFormat="true" ht="14.25" hidden="false" customHeight="true" outlineLevel="0" collapsed="false">
      <c r="A50" s="121"/>
      <c r="B50" s="121"/>
      <c r="C50" s="121"/>
      <c r="D50" s="121"/>
      <c r="H50" s="120"/>
      <c r="I50" s="120"/>
      <c r="J50" s="120"/>
      <c r="K50" s="120"/>
    </row>
    <row r="51" s="119" customFormat="true" ht="14.25" hidden="false" customHeight="true" outlineLevel="0" collapsed="false">
      <c r="A51" s="73" t="s">
        <v>88</v>
      </c>
      <c r="B51" s="73"/>
      <c r="C51" s="73"/>
      <c r="D51" s="73"/>
      <c r="F51" s="89"/>
      <c r="G51" s="73" t="s">
        <v>89</v>
      </c>
      <c r="H51" s="73"/>
      <c r="I51" s="73"/>
      <c r="J51" s="73"/>
      <c r="K51" s="89"/>
    </row>
    <row r="52" s="119" customFormat="true" ht="14.25" hidden="false" customHeight="true" outlineLevel="0" collapsed="false">
      <c r="A52" s="123"/>
      <c r="B52" s="123"/>
      <c r="C52" s="125"/>
      <c r="D52" s="125"/>
      <c r="E52" s="124"/>
      <c r="F52" s="124"/>
      <c r="G52" s="124"/>
      <c r="H52" s="124"/>
      <c r="I52" s="124"/>
      <c r="J52" s="124"/>
    </row>
    <row r="53" s="119" customFormat="true" ht="15" hidden="false" customHeight="true" outlineLevel="0" collapsed="false">
      <c r="A53" s="123"/>
      <c r="B53" s="123"/>
      <c r="C53" s="126"/>
      <c r="D53" s="126"/>
      <c r="E53" s="124"/>
      <c r="F53" s="124"/>
      <c r="G53" s="124"/>
      <c r="H53" s="124"/>
      <c r="I53" s="124"/>
      <c r="J53" s="124"/>
      <c r="N53" s="143"/>
    </row>
    <row r="54" s="119" customFormat="true" ht="14.25" hidden="false" customHeight="true" outlineLevel="0" collapsed="false">
      <c r="A54" s="123"/>
      <c r="B54" s="123"/>
      <c r="C54" s="123"/>
      <c r="D54" s="124"/>
      <c r="E54" s="124"/>
      <c r="F54" s="124"/>
      <c r="G54" s="124"/>
      <c r="H54" s="124"/>
      <c r="I54" s="124"/>
      <c r="J54" s="124"/>
    </row>
    <row r="55" s="119" customFormat="true" ht="14.25" hidden="false" customHeight="true" outlineLevel="0" collapsed="false">
      <c r="A55" s="123"/>
      <c r="B55" s="123"/>
      <c r="C55" s="123"/>
      <c r="D55" s="124"/>
      <c r="E55" s="124"/>
      <c r="F55" s="124"/>
      <c r="G55" s="124"/>
      <c r="H55" s="124"/>
      <c r="I55" s="124"/>
      <c r="J55" s="124"/>
    </row>
    <row r="56" s="119" customFormat="true" ht="14.25" hidden="false" customHeight="true" outlineLevel="0" collapsed="false">
      <c r="A56" s="123"/>
      <c r="B56" s="123"/>
      <c r="C56" s="123"/>
      <c r="D56" s="124"/>
      <c r="E56" s="124"/>
      <c r="F56" s="124"/>
      <c r="G56" s="124"/>
      <c r="H56" s="124"/>
      <c r="I56" s="124"/>
      <c r="J56" s="124"/>
    </row>
    <row r="57" s="119" customFormat="true" ht="14.25" hidden="false" customHeight="true" outlineLevel="0" collapsed="false">
      <c r="A57" s="73" t="s">
        <v>29</v>
      </c>
      <c r="B57" s="73"/>
      <c r="C57" s="73"/>
      <c r="D57" s="73"/>
      <c r="F57" s="89"/>
      <c r="G57" s="73" t="s">
        <v>144</v>
      </c>
      <c r="H57" s="73"/>
      <c r="I57" s="73"/>
      <c r="J57" s="73"/>
      <c r="K57" s="89"/>
    </row>
    <row r="58" s="108" customFormat="true" ht="15" hidden="false" customHeight="true" outlineLevel="0" collapsed="false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</row>
    <row r="59" s="108" customFormat="true" ht="15" hidden="false" customHeight="true" outlineLevel="0" collapsed="false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</row>
    <row r="60" customFormat="false" ht="12.75" hidden="false" customHeight="false" outlineLevel="0" collapsed="false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</row>
    <row r="61" customFormat="false" ht="12.75" hidden="false" customHeight="false" outlineLevel="0" collapsed="false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</row>
    <row r="62" customFormat="false" ht="12.75" hidden="false" customHeight="false" outlineLevel="0" collapsed="false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</row>
    <row r="63" customFormat="false" ht="12.75" hidden="false" customHeight="false" outlineLevel="0" collapsed="false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</row>
    <row r="64" customFormat="false" ht="12.75" hidden="false" customHeight="false" outlineLevel="0" collapsed="false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</row>
    <row r="65" customFormat="false" ht="12.75" hidden="false" customHeight="false" outlineLevel="0" collapsed="false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</row>
    <row r="66" customFormat="false" ht="12.75" hidden="false" customHeight="false" outlineLevel="0" collapsed="false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</row>
    <row r="67" customFormat="false" ht="12.75" hidden="false" customHeight="false" outlineLevel="0" collapsed="false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</row>
    <row r="68" customFormat="false" ht="12.75" hidden="false" customHeight="false" outlineLevel="0" collapsed="false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</row>
    <row r="69" customFormat="false" ht="12.75" hidden="false" customHeight="false" outlineLevel="0" collapsed="false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</row>
    <row r="70" customFormat="false" ht="12.75" hidden="false" customHeight="false" outlineLevel="0" collapsed="false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</row>
    <row r="71" customFormat="false" ht="12.75" hidden="false" customHeight="false" outlineLevel="0" collapsed="false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</row>
    <row r="72" customFormat="false" ht="12.75" hidden="false" customHeight="false" outlineLevel="0" collapsed="false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</row>
    <row r="73" customFormat="false" ht="12.75" hidden="false" customHeight="false" outlineLevel="0" collapsed="false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</row>
    <row r="74" customFormat="false" ht="12.75" hidden="false" customHeight="false" outlineLevel="0" collapsed="false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</row>
    <row r="75" customFormat="false" ht="12.75" hidden="false" customHeight="false" outlineLevel="0" collapsed="false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</row>
    <row r="76" customFormat="false" ht="12.75" hidden="false" customHeight="false" outlineLevel="0" collapsed="false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</row>
    <row r="77" customFormat="false" ht="12.75" hidden="false" customHeight="false" outlineLevel="0" collapsed="false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</row>
    <row r="78" customFormat="false" ht="12.75" hidden="false" customHeight="false" outlineLevel="0" collapsed="false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</row>
    <row r="79" customFormat="false" ht="12.75" hidden="false" customHeight="false" outlineLevel="0" collapsed="false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</row>
    <row r="80" customFormat="false" ht="12.75" hidden="false" customHeight="false" outlineLevel="0" collapsed="false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</row>
    <row r="81" customFormat="false" ht="12.75" hidden="false" customHeight="false" outlineLevel="0" collapsed="false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</row>
    <row r="82" customFormat="false" ht="12.75" hidden="false" customHeight="false" outlineLevel="0" collapsed="false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</row>
    <row r="83" customFormat="false" ht="12.75" hidden="false" customHeight="false" outlineLevel="0" collapsed="false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</row>
    <row r="84" customFormat="false" ht="12.75" hidden="false" customHeight="false" outlineLevel="0" collapsed="false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</row>
    <row r="85" customFormat="false" ht="12.75" hidden="false" customHeight="false" outlineLevel="0" collapsed="false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</row>
    <row r="86" customFormat="false" ht="12.75" hidden="false" customHeight="false" outlineLevel="0" collapsed="false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</row>
    <row r="87" customFormat="false" ht="12.75" hidden="false" customHeight="false" outlineLevel="0" collapsed="false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</row>
    <row r="88" customFormat="false" ht="12.75" hidden="false" customHeight="false" outlineLevel="0" collapsed="false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</row>
    <row r="89" customFormat="false" ht="12.75" hidden="false" customHeight="false" outlineLevel="0" collapsed="false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</row>
    <row r="90" customFormat="false" ht="12.75" hidden="false" customHeight="false" outlineLevel="0" collapsed="false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</row>
    <row r="91" customFormat="false" ht="12.75" hidden="false" customHeight="false" outlineLevel="0" collapsed="false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</row>
    <row r="92" customFormat="false" ht="12.75" hidden="false" customHeight="false" outlineLevel="0" collapsed="false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</row>
    <row r="93" customFormat="false" ht="12.75" hidden="false" customHeight="false" outlineLevel="0" collapsed="false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</row>
    <row r="94" customFormat="false" ht="12.75" hidden="false" customHeight="false" outlineLevel="0" collapsed="false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</row>
    <row r="95" customFormat="false" ht="12.75" hidden="false" customHeight="false" outlineLevel="0" collapsed="false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</row>
    <row r="96" customFormat="false" ht="12.75" hidden="false" customHeight="false" outlineLevel="0" collapsed="false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</row>
    <row r="97" customFormat="false" ht="12.75" hidden="false" customHeight="false" outlineLevel="0" collapsed="false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</row>
    <row r="98" customFormat="false" ht="12.75" hidden="false" customHeight="false" outlineLevel="0" collapsed="false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</row>
    <row r="99" customFormat="false" ht="12.75" hidden="false" customHeight="false" outlineLevel="0" collapsed="false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</row>
    <row r="100" customFormat="false" ht="12.75" hidden="false" customHeight="false" outlineLevel="0" collapsed="false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</row>
    <row r="101" customFormat="false" ht="12.75" hidden="false" customHeight="false" outlineLevel="0" collapsed="false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</row>
    <row r="102" customFormat="false" ht="12.75" hidden="false" customHeight="false" outlineLevel="0" collapsed="false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</row>
    <row r="103" customFormat="false" ht="12.75" hidden="false" customHeight="false" outlineLevel="0" collapsed="false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</row>
    <row r="104" customFormat="false" ht="12.75" hidden="false" customHeight="false" outlineLevel="0" collapsed="false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</row>
    <row r="105" customFormat="false" ht="12.75" hidden="false" customHeight="false" outlineLevel="0" collapsed="false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</row>
    <row r="106" customFormat="false" ht="12.75" hidden="false" customHeight="false" outlineLevel="0" collapsed="false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</row>
    <row r="107" s="91" customFormat="true" ht="12.75" hidden="false" customHeight="false" outlineLevel="0" collapsed="false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90"/>
      <c r="M107" s="90"/>
      <c r="N107" s="90"/>
      <c r="O107" s="90"/>
    </row>
    <row r="108" s="91" customFormat="true" ht="12.75" hidden="false" customHeight="false" outlineLevel="0" collapsed="false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90"/>
      <c r="M108" s="90"/>
      <c r="N108" s="90"/>
      <c r="O108" s="90"/>
    </row>
    <row r="109" s="91" customFormat="true" ht="12.75" hidden="false" customHeight="false" outlineLevel="0" collapsed="false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90"/>
      <c r="M109" s="90"/>
      <c r="N109" s="90"/>
      <c r="O109" s="90"/>
    </row>
    <row r="110" s="91" customFormat="true" ht="12.75" hidden="false" customHeight="false" outlineLevel="0" collapsed="false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90"/>
      <c r="M110" s="90"/>
      <c r="N110" s="90"/>
      <c r="O110" s="90"/>
    </row>
    <row r="111" s="91" customFormat="true" ht="12.75" hidden="false" customHeight="false" outlineLevel="0" collapsed="false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90"/>
      <c r="M111" s="90"/>
      <c r="N111" s="90"/>
      <c r="O111" s="90"/>
    </row>
    <row r="112" s="91" customFormat="true" ht="12.75" hidden="false" customHeight="false" outlineLevel="0" collapsed="false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90"/>
      <c r="M112" s="90"/>
      <c r="N112" s="90"/>
      <c r="O112" s="90"/>
    </row>
    <row r="113" s="91" customFormat="true" ht="12.75" hidden="false" customHeight="false" outlineLevel="0" collapsed="false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90"/>
      <c r="M113" s="90"/>
      <c r="N113" s="90"/>
      <c r="O113" s="90"/>
    </row>
    <row r="114" s="91" customFormat="true" ht="12.75" hidden="false" customHeight="false" outlineLevel="0" collapsed="false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90"/>
      <c r="M114" s="90"/>
      <c r="N114" s="90"/>
      <c r="O114" s="90"/>
    </row>
    <row r="115" s="91" customFormat="true" ht="12.75" hidden="false" customHeight="false" outlineLevel="0" collapsed="false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90"/>
      <c r="M115" s="90"/>
      <c r="N115" s="90"/>
      <c r="O115" s="90"/>
    </row>
    <row r="116" s="91" customFormat="true" ht="12.75" hidden="false" customHeight="false" outlineLevel="0" collapsed="false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90"/>
      <c r="M116" s="90"/>
      <c r="N116" s="90"/>
      <c r="O116" s="90"/>
    </row>
    <row r="117" s="91" customFormat="true" ht="12.75" hidden="false" customHeight="false" outlineLevel="0" collapsed="false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90"/>
      <c r="M117" s="90"/>
      <c r="N117" s="90"/>
      <c r="O117" s="90"/>
    </row>
    <row r="118" s="91" customFormat="true" ht="12.75" hidden="false" customHeight="false" outlineLevel="0" collapsed="false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90"/>
      <c r="M118" s="90"/>
      <c r="N118" s="90"/>
      <c r="O118" s="90"/>
    </row>
    <row r="119" s="91" customFormat="true" ht="12.75" hidden="false" customHeight="false" outlineLevel="0" collapsed="false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90"/>
      <c r="M119" s="90"/>
      <c r="N119" s="90"/>
      <c r="O119" s="90"/>
    </row>
    <row r="120" s="91" customFormat="true" ht="12.75" hidden="false" customHeight="false" outlineLevel="0" collapsed="false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90"/>
      <c r="M120" s="90"/>
      <c r="N120" s="90"/>
      <c r="O120" s="90"/>
    </row>
    <row r="121" s="91" customFormat="true" ht="12.75" hidden="false" customHeight="false" outlineLevel="0" collapsed="false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90"/>
      <c r="M121" s="90"/>
      <c r="N121" s="90"/>
      <c r="O121" s="90"/>
    </row>
    <row r="122" s="91" customFormat="true" ht="12.75" hidden="false" customHeight="false" outlineLevel="0" collapsed="false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90"/>
      <c r="M122" s="90"/>
      <c r="N122" s="90"/>
      <c r="O122" s="90"/>
    </row>
    <row r="123" s="91" customFormat="true" ht="12.75" hidden="false" customHeight="false" outlineLevel="0" collapsed="false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90"/>
      <c r="M123" s="90"/>
      <c r="N123" s="90"/>
      <c r="O123" s="90"/>
    </row>
    <row r="124" s="91" customFormat="true" ht="12.75" hidden="false" customHeight="false" outlineLevel="0" collapsed="false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90"/>
      <c r="M124" s="90"/>
      <c r="N124" s="90"/>
      <c r="O124" s="90"/>
    </row>
    <row r="125" s="91" customFormat="true" ht="12.75" hidden="false" customHeight="false" outlineLevel="0" collapsed="false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90"/>
      <c r="M125" s="90"/>
      <c r="N125" s="90"/>
      <c r="O125" s="90"/>
    </row>
    <row r="126" s="91" customFormat="true" ht="12.75" hidden="false" customHeight="false" outlineLevel="0" collapsed="false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90"/>
      <c r="M126" s="90"/>
      <c r="N126" s="90"/>
      <c r="O126" s="90"/>
    </row>
    <row r="127" s="91" customFormat="true" ht="12.75" hidden="false" customHeight="false" outlineLevel="0" collapsed="false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90"/>
      <c r="M127" s="90"/>
      <c r="N127" s="90"/>
      <c r="O127" s="90"/>
    </row>
    <row r="128" s="91" customFormat="true" ht="12.75" hidden="false" customHeight="false" outlineLevel="0" collapsed="false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90"/>
      <c r="M128" s="90"/>
      <c r="N128" s="90"/>
      <c r="O128" s="90"/>
    </row>
    <row r="129" s="91" customFormat="true" ht="12.75" hidden="false" customHeight="false" outlineLevel="0" collapsed="false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90"/>
      <c r="M129" s="90"/>
      <c r="N129" s="90"/>
      <c r="O129" s="90"/>
    </row>
    <row r="130" s="91" customFormat="true" ht="12.75" hidden="false" customHeight="false" outlineLevel="0" collapsed="false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90"/>
      <c r="M130" s="90"/>
      <c r="N130" s="90"/>
      <c r="O130" s="90"/>
    </row>
    <row r="131" s="91" customFormat="true" ht="12.75" hidden="false" customHeight="false" outlineLevel="0" collapsed="false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90"/>
      <c r="M131" s="90"/>
      <c r="N131" s="90"/>
      <c r="O131" s="90"/>
    </row>
    <row r="132" s="91" customFormat="true" ht="12.75" hidden="false" customHeight="false" outlineLevel="0" collapsed="false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90"/>
      <c r="M132" s="90"/>
      <c r="N132" s="90"/>
      <c r="O132" s="90"/>
    </row>
    <row r="133" s="91" customFormat="true" ht="12.75" hidden="false" customHeight="false" outlineLevel="0" collapsed="false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90"/>
      <c r="M133" s="90"/>
      <c r="N133" s="90"/>
      <c r="O133" s="90"/>
    </row>
    <row r="134" s="91" customFormat="true" ht="12.75" hidden="false" customHeight="false" outlineLevel="0" collapsed="false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90"/>
      <c r="M134" s="90"/>
      <c r="N134" s="90"/>
      <c r="O134" s="90"/>
    </row>
  </sheetData>
  <mergeCells count="21">
    <mergeCell ref="A1:K1"/>
    <mergeCell ref="A2:K2"/>
    <mergeCell ref="A3:K3"/>
    <mergeCell ref="A4:K4"/>
    <mergeCell ref="A5:K5"/>
    <mergeCell ref="A6:K6"/>
    <mergeCell ref="D7:K7"/>
    <mergeCell ref="A8:K8"/>
    <mergeCell ref="A9:A10"/>
    <mergeCell ref="B9:B10"/>
    <mergeCell ref="C9:C10"/>
    <mergeCell ref="D9:D10"/>
    <mergeCell ref="E9:G9"/>
    <mergeCell ref="H9:J9"/>
    <mergeCell ref="K9:K10"/>
    <mergeCell ref="A49:G49"/>
    <mergeCell ref="A51:D51"/>
    <mergeCell ref="G51:J51"/>
    <mergeCell ref="C52:D52"/>
    <mergeCell ref="A57:D57"/>
    <mergeCell ref="G57:J57"/>
  </mergeCells>
  <printOptions headings="false" gridLines="false" gridLinesSet="true" horizontalCentered="false" verticalCentered="false"/>
  <pageMargins left="0.990277777777778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2024-09-07T02:40:39Z</dcterms:created>
  <dc:creator>Microsoft Cop.</dc:creator>
  <dc:description/>
  <dc:language>en-US</dc:language>
  <cp:lastModifiedBy>Microsoft Cop.</cp:lastModifiedBy>
  <cp:lastPrinted>2026-09-10T06:26:16Z</cp:lastPrinted>
  <dcterms:modified xsi:type="dcterms:W3CDTF">2026-10-13T07:38:38Z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