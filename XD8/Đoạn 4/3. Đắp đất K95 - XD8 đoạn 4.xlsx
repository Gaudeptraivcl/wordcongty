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</sheets>
  <externalReferences>
    <externalReference r:id="rIdExt1"/>
  </externalReferences>
  <definedNames>
    <definedName function="false" hidden="false" localSheetId="2" name="_xlnm.Print_Area" vbProcedure="false">'1.KL L1'!$A$1:$AB$60</definedName>
    <definedName function="false" hidden="false" localSheetId="1" name="_xlnm.Print_Area" vbProcedure="false">'1.KTHH L1'!$A$1:$S$69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L2'!$A$1:$AB$60</definedName>
    <definedName function="false" hidden="false" localSheetId="3" name="_xlnm.Print_Area" vbProcedure="false">'2.KTHH L2'!$A$1:$S$69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L3'!$A$1:$AB$60</definedName>
    <definedName function="false" hidden="false" localSheetId="5" name="_xlnm.Print_Area" vbProcedure="false">'3.KTHH L3'!$A$1:$S$70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L4'!$A$1:$AB$60</definedName>
    <definedName function="false" hidden="false" localSheetId="7" name="_xlnm.Print_Area" vbProcedure="false">'4.KTHH L4'!$A$1:$S$70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L5'!$A$1:$AB$60</definedName>
    <definedName function="false" hidden="false" localSheetId="9" name="_xlnm.Print_Area" vbProcedure="false">'5.KTHH L5'!$A$1:$S$70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L6'!$A$1:$AB$60</definedName>
    <definedName function="false" hidden="false" localSheetId="11" name="_xlnm.Print_Area" vbProcedure="false">'6.KTHH L6'!$A$1:$S$70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L7'!$A$1:$AB$60</definedName>
    <definedName function="false" hidden="false" localSheetId="13" name="_xlnm.Print_Area" vbProcedure="false">'7.KTHH L7'!$A$1:$S$70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L8'!$A$1:$AB$60</definedName>
    <definedName function="false" hidden="false" localSheetId="15" name="_xlnm.Print_Area" vbProcedure="false">'8.KTHH L8'!$A$1:$S$70</definedName>
    <definedName function="false" hidden="false" localSheetId="15" name="_xlnm.Print_Titles" vbProcedure="false">'8.KTHH L8'!$20:$21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<sst xmlns="http://schemas.openxmlformats.org/spreadsheetml/2006/main" count="558" uniqueCount="74">
  <si>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</si>
  <si>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</si>
  <si>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</si>
  <si>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</si>
  <si>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</si>
  <si>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</si>
  <si>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</si>
  <si>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</si>
  <si>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</si>
  <si>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</si>
  <si>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</si>
  <si>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</si>
  <si>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</si>
  <si>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</si>
  <si>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</si>
  <si>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</si>
  <si>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</si>
  <si>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</si>
  <si>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</si>
  <si>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</si>
  <si>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</si>
  <si>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</si>
  <si>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</si>
  <si>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</si>
  <si>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</si>
  <si>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PHỤ LỤC KIỂM TRA CAO ĐỘ, KÍCH THƯỚC HÌNH HỌC</t>
  </si>
  <si>
    <t xml:space="preserve">Kèm theo BBNT số: 91.NĐXD8/CVXD ngày 30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</si>
  <si>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</si>
  <si>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</si>
  <si>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</si>
  <si>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</si>
  <si>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</si>
  <si>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nền đường lớp 1 đoạn từ Km0+609,11 - Km0+724,11,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</si>
  <si>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</si>
  <si>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</si>
  <si>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</si>
  <si>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</si>
  <si>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</si>
  <si>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</si>
  <si>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</si>
  <si>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</si>
  <si>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</si>
  <si>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</si>
  <si>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</si>
  <si>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</si>
  <si>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</si>
  <si>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</si>
  <si>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</si>
  <si>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</si>
  <si>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</si>
  <si>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</si>
  <si>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</si>
  <si>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</si>
  <si>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</si>
  <si>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</si>
  <si>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</si>
  <si>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</si>
  <si>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</si>
  <si>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</si>
  <si>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</si>
  <si>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92.NĐXD8/CVXD ngày 01 tháng 10 năm 2026</t>
  </si>
  <si>
    <t xml:space="preserve">Đắp đất nền đường lớp 2 đoạn từ Km0+609,11 - Km0+724,11, độ chặt K&gt;=0,95</t>
  </si>
  <si>
    <t xml:space="preserve">Kèm theo BBNT số: 93.NĐXD8/CVXD ngày 01 tháng 10 năm 2026</t>
  </si>
  <si>
    <t xml:space="preserve">Đắp đất nền đường lớp 3 đoạn từ Km0+609,11 - Km0+724,11, độ chặt K&gt;=0,95</t>
  </si>
  <si>
    <t xml:space="preserve">Kèm theo BBNT số: 94.NĐXD8/CVXD ngày 02 tháng 10 năm 2026</t>
  </si>
  <si>
    <t xml:space="preserve">Đắp đất nền đường lớp 4 đoạn từ Km0+609,11 - Km0+724,11, độ chặt K&gt;=0,95</t>
  </si>
  <si>
    <t xml:space="preserve">Kèm theo BBNT số: 95.NĐXD8/CVXD ngày 02 tháng 10 năm 2026</t>
  </si>
  <si>
    <t xml:space="preserve">Đắp đất nền đường lớp 5 đoạn từ Km0+609,11 - Km0+724,11, độ chặt K&gt;=0,95</t>
  </si>
  <si>
    <t xml:space="preserve">Kèm theo BBNT số: 96.NĐXD8/CVXD ngày 03 tháng 10 năm 2026</t>
  </si>
  <si>
    <t xml:space="preserve">Đắp đất nền đường lớp 6 đoạn từ Km0+609,11 - Km0+724,11, độ chặt K&gt;=0,95</t>
  </si>
  <si>
    <t xml:space="preserve">Kèm theo BBNT số: 97.NĐXD8/CVXD ngày 03 tháng 10 năm 2026</t>
  </si>
  <si>
    <t xml:space="preserve">Đắp đất nền đường lớp 7 đoạn từ Km0+609,11 - Km0+724,11, độ chặt K&gt;=0,95</t>
  </si>
  <si>
    <t xml:space="preserve">Kèm theo BBNT số: 98.NĐXD8/CVXD ngày 04 tháng 10 năm 2026</t>
  </si>
  <si>
    <t xml:space="preserve">Đắp đất nền đường lớp 8 đoạn từ Km0+609,11 - Km0+724,11,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</si>
</sst>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84</v>
          </cell>
          <cell r="B3" t="str">
            <v xml:space="preserve">Kiểm tra cao độ đường đen đoạn từ Km0+609,11 -:- Km0+724,11</v>
          </cell>
          <cell r="D3" t="str">
            <v xml:space="preserve">ngày 26 tháng 09 năm 2026</v>
          </cell>
          <cell r="G3" t="str">
            <v xml:space="preserve">84.NĐXD8/CVXD </v>
          </cell>
        </row>
        <row r="4">
          <cell r="A4">
            <v>85</v>
          </cell>
          <cell r="B4" t="str">
            <v xml:space="preserve">Đào đất xử lý nền đường đoạn từ Km0+609,11 - Km0+724,11</v>
          </cell>
          <cell r="D4" t="str">
            <v xml:space="preserve">ngày 27 tháng 09 năm 2026</v>
          </cell>
          <cell r="G4" t="str">
            <v xml:space="preserve">85.NĐXD8/CVXD </v>
          </cell>
        </row>
        <row r="5">
          <cell r="A5">
            <v>86</v>
          </cell>
          <cell r="B5" t="str">
            <v xml:space="preserve">Rải vải địa kỹ thuật đoạn từ Km0+609,11 - Km0+724,11</v>
          </cell>
          <cell r="D5" t="str">
            <v xml:space="preserve">ngày 28 tháng 09 năm 2026</v>
          </cell>
          <cell r="G5" t="str">
            <v xml:space="preserve">86.NĐXD8/CVXD </v>
          </cell>
        </row>
        <row r="6">
          <cell r="A6">
            <v>87</v>
          </cell>
          <cell r="B6" t="str">
            <v xml:space="preserve">Đắp cát nền đường lớp 1 đoạn từ Km0+609,11 - Km0+724,11, độ chặt K&gt;=0,95</v>
          </cell>
          <cell r="D6" t="str">
            <v xml:space="preserve">ngày 28 tháng 09 năm 2026</v>
          </cell>
          <cell r="G6" t="str">
            <v xml:space="preserve">87.NĐXD8/CVXD </v>
          </cell>
        </row>
        <row r="7">
          <cell r="A7">
            <v>88</v>
          </cell>
          <cell r="B7" t="str">
            <v xml:space="preserve">Đắp cát nền đường lớp 2 đoạn từ Km0+609,11 - Km0+724,11, độ chặt K&gt;=0,95</v>
          </cell>
          <cell r="D7" t="str">
            <v xml:space="preserve">ngày 29 tháng 09 năm 2026</v>
          </cell>
          <cell r="G7" t="str">
            <v xml:space="preserve">88.NĐXD8/CVXD </v>
          </cell>
        </row>
        <row r="8">
          <cell r="A8">
            <v>89</v>
          </cell>
          <cell r="B8" t="str">
            <v xml:space="preserve">Đắp cát nền đường lớp 3 đoạn từ Km0+609,11 - Km0+724,11, độ chặt K&gt;=0,95</v>
          </cell>
          <cell r="D8" t="str">
            <v xml:space="preserve">ngày 29 tháng 09 năm 2026</v>
          </cell>
          <cell r="G8" t="str">
            <v xml:space="preserve">89.NĐXD8/CVXD </v>
          </cell>
        </row>
        <row r="9">
          <cell r="A9">
            <v>90</v>
          </cell>
          <cell r="B9" t="str">
            <v xml:space="preserve">Đắp cát nền đường lớp 4 đoạn từ Km0+609,11 - Km0+724,11, độ chặt K&gt;=0,95</v>
          </cell>
          <cell r="D9" t="str">
            <v xml:space="preserve">ngày 30 tháng 09 năm 2026</v>
          </cell>
          <cell r="G9" t="str">
            <v xml:space="preserve">90.NĐXD8/CVXD </v>
          </cell>
        </row>
        <row r="10">
          <cell r="A10">
            <v>91</v>
          </cell>
          <cell r="B10" t="str">
            <v xml:space="preserve">Đắp đất nền đường lớp 1 đoạn từ Km0+609,11 - Km0+724,11, độ chặt K&gt;=0,95</v>
          </cell>
          <cell r="D10" t="str">
            <v xml:space="preserve">ngày 30 tháng 09 năm 2026</v>
          </cell>
          <cell r="G10" t="str">
            <v xml:space="preserve">91.NĐXD8/CVXD </v>
          </cell>
        </row>
        <row r="11">
          <cell r="A11">
            <v>92</v>
          </cell>
          <cell r="B11" t="str">
            <v xml:space="preserve">Đắp đất nền đường lớp 2 đoạn từ Km0+609,11 - Km0+724,11, độ chặt K&gt;=0,95</v>
          </cell>
          <cell r="D11" t="str">
            <v xml:space="preserve">ngày 01 tháng 10 năm 2026</v>
          </cell>
          <cell r="G11" t="str">
            <v xml:space="preserve">92.NĐXD8/CVXD </v>
          </cell>
        </row>
        <row r="12">
          <cell r="A12">
            <v>93</v>
          </cell>
          <cell r="B12" t="str">
            <v xml:space="preserve">Đắp đất nền đường lớp 3 đoạn từ Km0+609,11 - Km0+724,11, độ chặt K&gt;=0,95</v>
          </cell>
          <cell r="D12" t="str">
            <v xml:space="preserve">ngày 01 tháng 10 năm 2026</v>
          </cell>
          <cell r="G12" t="str">
            <v xml:space="preserve">93.NĐXD8/CVXD </v>
          </cell>
        </row>
        <row r="13">
          <cell r="A13">
            <v>94</v>
          </cell>
          <cell r="B13" t="str">
            <v xml:space="preserve">Đắp đất nền đường lớp 4 đoạn từ Km0+609,11 - Km0+724,11, độ chặt K&gt;=0,95</v>
          </cell>
          <cell r="D13" t="str">
            <v xml:space="preserve">ngày 02 tháng 10 năm 2026</v>
          </cell>
          <cell r="G13" t="str">
            <v xml:space="preserve">94.NĐXD8/CVXD </v>
          </cell>
        </row>
        <row r="14">
          <cell r="A14">
            <v>95</v>
          </cell>
          <cell r="B14" t="str">
            <v xml:space="preserve">Đắp đất nền đường lớp 5 đoạn từ Km0+609,11 - Km0+724,11, độ chặt K&gt;=0,95</v>
          </cell>
          <cell r="D14" t="str">
            <v xml:space="preserve">ngày 02 tháng 10 năm 2026</v>
          </cell>
          <cell r="G14" t="str">
            <v xml:space="preserve">95.NĐXD8/CVXD </v>
          </cell>
        </row>
        <row r="15">
          <cell r="A15">
            <v>96</v>
          </cell>
          <cell r="B15" t="str">
            <v xml:space="preserve">Đắp đất nền đường lớp 6 đoạn từ Km0+609,11 - Km0+724,11, độ chặt K&gt;=0,95</v>
          </cell>
          <cell r="D15" t="str">
            <v xml:space="preserve">ngày 03 tháng 10 năm 2026</v>
          </cell>
          <cell r="G15" t="str">
            <v xml:space="preserve">96.NĐXD8/CVXD </v>
          </cell>
        </row>
        <row r="16">
          <cell r="A16">
            <v>97</v>
          </cell>
          <cell r="B16" t="str">
            <v xml:space="preserve">Đắp đất nền đường lớp 7 đoạn từ Km0+609,11 - Km0+724,11, độ chặt K&gt;=0,95</v>
          </cell>
          <cell r="D16" t="str">
            <v xml:space="preserve">ngày 03 tháng 10 năm 2026</v>
          </cell>
          <cell r="G16" t="str">
            <v xml:space="preserve">97.NĐXD8/CVXD </v>
          </cell>
        </row>
        <row r="17">
          <cell r="A17">
            <v>98</v>
          </cell>
          <cell r="B17" t="str">
            <v xml:space="preserve">Đắp đất nền đường lớp 8 đoạn từ Km0+609,11 - Km0+724,11, độ chặt K&gt;=0,95</v>
          </cell>
          <cell r="D17" t="str">
            <v xml:space="preserve">ngày 04 tháng 10 năm 2026</v>
          </cell>
          <cell r="G17" t="str">
            <v xml:space="preserve">98.NĐXD8/CVXD </v>
          </cell>
        </row>
        <row r="18">
          <cell r="A18">
            <v>99</v>
          </cell>
          <cell r="B18" t="str">
            <v xml:space="preserve">Đắp đất nền đường lớp 1, độ chặt K&gt;=0,98 đoạn từ Km0+609,11 - Km0+724,11</v>
          </cell>
          <cell r="D18" t="str">
            <v xml:space="preserve">ngày 05 tháng 10 năm 2026</v>
          </cell>
          <cell r="G18" t="str">
            <v xml:space="preserve">99.NĐXD8/CVXD </v>
          </cell>
        </row>
        <row r="19">
          <cell r="A19">
            <v>100</v>
          </cell>
          <cell r="B19" t="str">
            <v xml:space="preserve">Đắp đất lề đường lớp 1, độ chặt K&gt;=0,95 đoạn từ Km0+609,11 - Km0+724,11</v>
          </cell>
          <cell r="D19" t="str">
            <v xml:space="preserve">ngày 05 tháng 10 năm 2026</v>
          </cell>
          <cell r="G19" t="str">
            <v xml:space="preserve">100.NĐXD8/CVXD </v>
          </cell>
        </row>
        <row r="20">
          <cell r="A20">
            <v>101</v>
          </cell>
          <cell r="B20" t="str">
            <v xml:space="preserve">Đắp đất nền đường lớp 2, độ chặt K&gt;=0,98 đoạn từ Km0+609,11 - Km0+724,11</v>
          </cell>
          <cell r="D20" t="str">
            <v xml:space="preserve">ngày 06 tháng 10 năm 2026</v>
          </cell>
          <cell r="G20" t="str">
            <v xml:space="preserve">101.NĐXD8/CVXD </v>
          </cell>
        </row>
        <row r="21">
          <cell r="A21">
            <v>102</v>
          </cell>
          <cell r="B21" t="str">
            <v xml:space="preserve">Đắp đất lề đường lớp 2, độ chặt K&gt;=0,95 đoạn từ Km0+609,11 - Km0+724,11</v>
          </cell>
          <cell r="D21" t="str">
            <v xml:space="preserve">ngày 06 tháng 10 năm 2026</v>
          </cell>
          <cell r="G21" t="str">
            <v xml:space="preserve">102.NĐXD8/CVXD </v>
          </cell>
        </row>
        <row r="22">
          <cell r="A22">
            <v>103</v>
          </cell>
          <cell r="B22" t="str">
            <v xml:space="preserve">Đắp cấp phối đá dăm loại 2 đoạn từ Km0+609,11 - Km0+724,11</v>
          </cell>
          <cell r="D22" t="str">
            <v xml:space="preserve">ngày 07 tháng 10 năm 2026</v>
          </cell>
          <cell r="G22" t="str">
            <v xml:space="preserve">103.NĐXD8/CVXD </v>
          </cell>
        </row>
        <row r="23">
          <cell r="A23">
            <v>104</v>
          </cell>
          <cell r="B23" t="str">
            <v xml:space="preserve">Đắp đất lề đường lớp 3, độ chặt K&gt;=0,95 đoạn từ Km0+609,11 - Km0+724,11</v>
          </cell>
          <cell r="D23" t="str">
            <v xml:space="preserve">ngày 07 tháng 10 năm 2026</v>
          </cell>
          <cell r="G23" t="str">
            <v xml:space="preserve">104.NĐXD8/CVXD </v>
          </cell>
        </row>
        <row r="24">
          <cell r="A24">
            <v>105</v>
          </cell>
          <cell r="B24" t="str">
            <v xml:space="preserve">Đắp đất lề đường lớp 4, độ chặt K&gt;=0,95 đoạn từ Km0+609,11 - Km0+724,11</v>
          </cell>
          <cell r="D24" t="str">
            <v xml:space="preserve">ngày 08 tháng 10 năm 2026</v>
          </cell>
          <cell r="G24" t="str">
            <v xml:space="preserve">105.NĐXD8/CVXD </v>
          </cell>
        </row>
        <row r="25">
          <cell r="A25">
            <v>106</v>
          </cell>
          <cell r="B25" t="str">
            <v xml:space="preserve">Đắp cấp phối đá dăm loại 1 đoạn từ Km0+609,11 - Km0+724,11</v>
          </cell>
          <cell r="D25" t="str">
            <v xml:space="preserve">ngày 08 tháng 10 năm 2026</v>
          </cell>
          <cell r="G25" t="str">
            <v xml:space="preserve">106.NĐXD8/CVXD </v>
          </cell>
        </row>
        <row r="26">
          <cell r="A26">
            <v>107</v>
          </cell>
          <cell r="B26" t="str">
            <v xml:space="preserve">Vệ sinh, thổi bụi mặt đường </v>
          </cell>
          <cell r="D26" t="str">
            <v xml:space="preserve">ngày 10 tháng 10 năm 2026</v>
          </cell>
          <cell r="G26" t="str">
            <v xml:space="preserve">107.NĐXD8/CVXD </v>
          </cell>
        </row>
        <row r="27">
          <cell r="A27">
            <v>108</v>
          </cell>
          <cell r="B27" t="str">
            <v xml:space="preserve">Tưới lớp thấm bám mặt đường, nhựa MC70, lượng nhựa 1kg/m2</v>
          </cell>
          <cell r="D27" t="str">
            <v xml:space="preserve">ngày 12 tháng 10 năm 2026</v>
          </cell>
          <cell r="G27" t="str">
            <v xml:space="preserve">108.NĐXD8/CVXD </v>
          </cell>
        </row>
        <row r="28">
          <cell r="A28">
            <v>109</v>
          </cell>
          <cell r="B28" t="str">
            <v xml:space="preserve">Rải thảm mặt đường bê tông nhựa C16 - Chiều dày mặt đường đã lèn ép 6cm</v>
          </cell>
          <cell r="D28" t="str">
            <v xml:space="preserve">ngày 15 tháng 10 năm 2026</v>
          </cell>
          <cell r="G28" t="str">
            <v xml:space="preserve">109.NĐXD8/CVXD </v>
          </cell>
        </row>
        <row r="29">
          <cell r="A29">
            <v>110</v>
          </cell>
          <cell r="B29" t="str">
            <v xml:space="preserve">Bê tông nhựa C16 - Chiều dày mặt đường đã lèn ép 6cm</v>
          </cell>
          <cell r="D29" t="str">
            <v xml:space="preserve">ngày 17 tháng 10 năm 2026</v>
          </cell>
          <cell r="G29" t="str">
            <v xml:space="preserve">110.NĐXD8/CVXD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1.5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1.5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609.11</v>
      </c>
      <c r="D2" s="0" t="n">
        <v>8</v>
      </c>
      <c r="E2" s="0" t="n">
        <v>7.31</v>
      </c>
      <c r="F2" s="0" t="n">
        <v>-11.95</v>
      </c>
      <c r="G2" s="2" t="n">
        <v>1.84</v>
      </c>
      <c r="H2" s="1" t="n">
        <v>-5.25</v>
      </c>
      <c r="I2" s="1" t="n">
        <v>1.84</v>
      </c>
      <c r="J2" s="0" t="n">
        <v>0</v>
      </c>
      <c r="K2" s="2" t="n">
        <v>1.96</v>
      </c>
      <c r="L2" s="0" t="n">
        <v>5.25</v>
      </c>
      <c r="M2" s="2" t="n">
        <v>1.84</v>
      </c>
      <c r="N2" s="1" t="n">
        <v>11.95</v>
      </c>
      <c r="O2" s="1" t="n">
        <v>1.84</v>
      </c>
      <c r="P2" s="0" t="n">
        <v>68.14</v>
      </c>
      <c r="Q2" s="0" t="n">
        <v>11.55</v>
      </c>
    </row>
    <row r="3" customFormat="false" ht="15" hidden="false" customHeight="false" outlineLevel="0" collapsed="false">
      <c r="D3" s="0" t="n">
        <v>7</v>
      </c>
      <c r="E3" s="0" t="n">
        <v>7.58</v>
      </c>
      <c r="F3" s="0" t="n">
        <v>-12.4</v>
      </c>
      <c r="G3" s="2" t="n">
        <v>1.54</v>
      </c>
      <c r="H3" s="1" t="n">
        <v>-5.25</v>
      </c>
      <c r="I3" s="1" t="n">
        <v>1.54</v>
      </c>
      <c r="J3" s="0" t="n">
        <v>0</v>
      </c>
      <c r="K3" s="2" t="n">
        <v>1.66</v>
      </c>
      <c r="L3" s="0" t="n">
        <v>5.25</v>
      </c>
      <c r="M3" s="2" t="n">
        <v>1.54</v>
      </c>
      <c r="N3" s="1" t="n">
        <v>12.4</v>
      </c>
      <c r="O3" s="1" t="n">
        <v>1.54</v>
      </c>
    </row>
    <row r="4" customFormat="false" ht="15" hidden="false" customHeight="false" outlineLevel="0" collapsed="false">
      <c r="D4" s="0" t="n">
        <v>6</v>
      </c>
      <c r="E4" s="0" t="n">
        <v>7.85</v>
      </c>
      <c r="F4" s="0" t="n">
        <v>-12.85</v>
      </c>
      <c r="G4" s="2" t="n">
        <v>1.24</v>
      </c>
      <c r="H4" s="1" t="n">
        <v>-5.25</v>
      </c>
      <c r="I4" s="1" t="n">
        <v>1.24</v>
      </c>
      <c r="J4" s="0" t="n">
        <v>0</v>
      </c>
      <c r="K4" s="2" t="n">
        <v>1.36</v>
      </c>
      <c r="L4" s="0" t="n">
        <v>5.25</v>
      </c>
      <c r="M4" s="2" t="n">
        <v>1.24</v>
      </c>
      <c r="N4" s="1" t="n">
        <v>12.85</v>
      </c>
      <c r="O4" s="1" t="n">
        <v>1.24</v>
      </c>
    </row>
    <row r="5" customFormat="false" ht="15" hidden="false" customHeight="false" outlineLevel="0" collapsed="false">
      <c r="D5" s="0" t="n">
        <v>5</v>
      </c>
      <c r="E5" s="0" t="n">
        <v>8.12</v>
      </c>
      <c r="F5" s="0" t="n">
        <v>-13.3</v>
      </c>
      <c r="G5" s="2" t="n">
        <v>0.94</v>
      </c>
      <c r="H5" s="1" t="n">
        <v>-5.25</v>
      </c>
      <c r="I5" s="1" t="n">
        <v>0.94</v>
      </c>
      <c r="J5" s="0" t="n">
        <v>0</v>
      </c>
      <c r="K5" s="2" t="n">
        <v>1.06</v>
      </c>
      <c r="L5" s="0" t="n">
        <v>5.25</v>
      </c>
      <c r="M5" s="2" t="n">
        <v>0.94</v>
      </c>
      <c r="N5" s="1" t="n">
        <v>13.3</v>
      </c>
      <c r="O5" s="1" t="n">
        <v>0.94</v>
      </c>
    </row>
    <row r="6" customFormat="false" ht="15" hidden="false" customHeight="false" outlineLevel="0" collapsed="false">
      <c r="D6" s="0" t="n">
        <v>4</v>
      </c>
      <c r="E6" s="0" t="n">
        <v>8.39</v>
      </c>
      <c r="F6" s="0" t="n">
        <v>-13.75</v>
      </c>
      <c r="G6" s="2" t="n">
        <v>0.64</v>
      </c>
      <c r="H6" s="1" t="n">
        <v>-5.25</v>
      </c>
      <c r="I6" s="1" t="n">
        <v>0.64</v>
      </c>
      <c r="J6" s="0" t="n">
        <v>0</v>
      </c>
      <c r="K6" s="2" t="n">
        <v>0.76</v>
      </c>
      <c r="L6" s="0" t="n">
        <v>5.25</v>
      </c>
      <c r="M6" s="2" t="n">
        <v>0.64</v>
      </c>
      <c r="N6" s="1" t="n">
        <v>13.75</v>
      </c>
      <c r="O6" s="1" t="n">
        <v>0.64</v>
      </c>
    </row>
    <row r="7" customFormat="false" ht="15" hidden="false" customHeight="false" outlineLevel="0" collapsed="false">
      <c r="D7" s="0" t="n">
        <v>3</v>
      </c>
      <c r="E7" s="0" t="n">
        <v>7.42</v>
      </c>
      <c r="F7" s="0" t="n">
        <v>-14.2</v>
      </c>
      <c r="G7" s="2" t="n">
        <v>0.34</v>
      </c>
      <c r="H7" s="1" t="n">
        <v>-5.25</v>
      </c>
      <c r="I7" s="1" t="n">
        <v>0.34</v>
      </c>
      <c r="J7" s="0" t="n">
        <v>0</v>
      </c>
      <c r="K7" s="2" t="n">
        <v>0.46</v>
      </c>
      <c r="L7" s="0" t="n">
        <v>5.25</v>
      </c>
      <c r="M7" s="2" t="n">
        <v>0.34</v>
      </c>
      <c r="N7" s="1" t="n">
        <v>14.2</v>
      </c>
      <c r="O7" s="1" t="n">
        <v>0.34</v>
      </c>
    </row>
    <row r="8" customFormat="false" ht="15" hidden="false" customHeight="false" outlineLevel="0" collapsed="false">
      <c r="D8" s="0" t="n">
        <v>2</v>
      </c>
      <c r="E8" s="0" t="n">
        <v>5.72</v>
      </c>
      <c r="F8" s="0" t="n">
        <v>-9.76</v>
      </c>
      <c r="G8" s="2" t="n">
        <v>0.04</v>
      </c>
      <c r="H8" s="1" t="n">
        <v>-5.25</v>
      </c>
      <c r="I8" s="1" t="n">
        <v>0.04</v>
      </c>
      <c r="J8" s="0" t="n">
        <v>0</v>
      </c>
      <c r="K8" s="2" t="n">
        <v>0.16</v>
      </c>
      <c r="L8" s="0" t="n">
        <v>5.25</v>
      </c>
      <c r="M8" s="2" t="n">
        <v>0.04</v>
      </c>
      <c r="N8" s="1" t="n">
        <v>9.62</v>
      </c>
      <c r="O8" s="1" t="n">
        <v>0.04</v>
      </c>
    </row>
    <row r="9" customFormat="false" ht="15" hidden="false" customHeight="false" outlineLevel="0" collapsed="false">
      <c r="D9" s="0" t="n">
        <v>1</v>
      </c>
      <c r="E9" s="0" t="n">
        <v>4.22</v>
      </c>
      <c r="F9" s="0" t="n">
        <v>-9.46</v>
      </c>
      <c r="G9" s="2" t="n">
        <v>-0.26</v>
      </c>
      <c r="H9" s="1" t="n">
        <v>-5.25</v>
      </c>
      <c r="I9" s="1" t="n">
        <v>-0.26</v>
      </c>
      <c r="J9" s="0" t="n">
        <v>0</v>
      </c>
      <c r="K9" s="2" t="n">
        <v>-0.14</v>
      </c>
      <c r="L9" s="0" t="n">
        <v>5.25</v>
      </c>
      <c r="M9" s="2" t="n">
        <v>-0.26</v>
      </c>
      <c r="N9" s="1" t="n">
        <v>9.32</v>
      </c>
      <c r="O9" s="1" t="n">
        <v>-0.26</v>
      </c>
    </row>
    <row r="10" customFormat="false" ht="15" hidden="false" customHeight="false" outlineLevel="0" collapsed="false">
      <c r="A10" s="1" t="n">
        <v>2</v>
      </c>
      <c r="B10" s="2" t="s">
        <v>18</v>
      </c>
      <c r="C10" s="0" t="n">
        <v>620.86</v>
      </c>
      <c r="D10" s="0" t="n">
        <v>8</v>
      </c>
      <c r="E10" s="0" t="n">
        <v>7.31</v>
      </c>
      <c r="F10" s="0" t="n">
        <v>-11.95</v>
      </c>
      <c r="G10" s="2" t="n">
        <v>1.84</v>
      </c>
      <c r="H10" s="1" t="n">
        <v>-5.25</v>
      </c>
      <c r="I10" s="1" t="n">
        <v>1.84</v>
      </c>
      <c r="J10" s="0" t="n">
        <v>0</v>
      </c>
      <c r="K10" s="2" t="n">
        <v>1.96</v>
      </c>
      <c r="L10" s="0" t="n">
        <v>5.25</v>
      </c>
      <c r="M10" s="2" t="n">
        <v>1.84</v>
      </c>
      <c r="N10" s="1" t="n">
        <v>11.95</v>
      </c>
      <c r="O10" s="1" t="n">
        <v>1.84</v>
      </c>
      <c r="P10" s="0" t="n">
        <v>66.71</v>
      </c>
      <c r="Q10" s="0" t="n">
        <v>11.55</v>
      </c>
    </row>
    <row r="11" customFormat="false" ht="15" hidden="false" customHeight="false" outlineLevel="0" collapsed="false">
      <c r="D11" s="0" t="n">
        <v>7</v>
      </c>
      <c r="E11" s="0" t="n">
        <v>7.58</v>
      </c>
      <c r="F11" s="0" t="n">
        <v>-12.4</v>
      </c>
      <c r="G11" s="2" t="n">
        <v>1.54</v>
      </c>
      <c r="H11" s="1" t="n">
        <v>-5.25</v>
      </c>
      <c r="I11" s="1" t="n">
        <v>1.54</v>
      </c>
      <c r="J11" s="0" t="n">
        <v>0</v>
      </c>
      <c r="K11" s="2" t="n">
        <v>1.66</v>
      </c>
      <c r="L11" s="0" t="n">
        <v>5.25</v>
      </c>
      <c r="M11" s="2" t="n">
        <v>1.54</v>
      </c>
      <c r="N11" s="1" t="n">
        <v>12.4</v>
      </c>
      <c r="O11" s="1" t="n">
        <v>1.54</v>
      </c>
    </row>
    <row r="12" customFormat="false" ht="15" hidden="false" customHeight="false" outlineLevel="0" collapsed="false">
      <c r="D12" s="0" t="n">
        <v>6</v>
      </c>
      <c r="E12" s="0" t="n">
        <v>7.85</v>
      </c>
      <c r="F12" s="0" t="n">
        <v>-12.85</v>
      </c>
      <c r="G12" s="2" t="n">
        <v>1.24</v>
      </c>
      <c r="H12" s="1" t="n">
        <v>-5.25</v>
      </c>
      <c r="I12" s="1" t="n">
        <v>1.24</v>
      </c>
      <c r="J12" s="0" t="n">
        <v>0</v>
      </c>
      <c r="K12" s="2" t="n">
        <v>1.36</v>
      </c>
      <c r="L12" s="0" t="n">
        <v>5.25</v>
      </c>
      <c r="M12" s="2" t="n">
        <v>1.24</v>
      </c>
      <c r="N12" s="1" t="n">
        <v>12.85</v>
      </c>
      <c r="O12" s="1" t="n">
        <v>1.24</v>
      </c>
    </row>
    <row r="13" customFormat="false" ht="15" hidden="false" customHeight="false" outlineLevel="0" collapsed="false">
      <c r="D13" s="0" t="n">
        <v>5</v>
      </c>
      <c r="E13" s="0" t="n">
        <v>8.12</v>
      </c>
      <c r="F13" s="0" t="n">
        <v>-13.3</v>
      </c>
      <c r="G13" s="2" t="n">
        <v>0.94</v>
      </c>
      <c r="H13" s="1" t="n">
        <v>-5.25</v>
      </c>
      <c r="I13" s="1" t="n">
        <v>0.94</v>
      </c>
      <c r="J13" s="0" t="n">
        <v>0</v>
      </c>
      <c r="K13" s="2" t="n">
        <v>1.06</v>
      </c>
      <c r="L13" s="0" t="n">
        <v>5.25</v>
      </c>
      <c r="M13" s="2" t="n">
        <v>0.94</v>
      </c>
      <c r="N13" s="1" t="n">
        <v>13.3</v>
      </c>
      <c r="O13" s="1" t="n">
        <v>0.94</v>
      </c>
    </row>
    <row r="14" customFormat="false" ht="15" hidden="false" customHeight="false" outlineLevel="0" collapsed="false">
      <c r="D14" s="0" t="n">
        <v>4</v>
      </c>
      <c r="E14" s="0" t="n">
        <v>8.34</v>
      </c>
      <c r="F14" s="0" t="n">
        <v>-13.75</v>
      </c>
      <c r="G14" s="2" t="n">
        <v>0.64</v>
      </c>
      <c r="H14" s="1" t="n">
        <v>-5.25</v>
      </c>
      <c r="I14" s="1" t="n">
        <v>0.64</v>
      </c>
      <c r="J14" s="0" t="n">
        <v>0</v>
      </c>
      <c r="K14" s="2" t="n">
        <v>0.76</v>
      </c>
      <c r="L14" s="0" t="n">
        <v>5.25</v>
      </c>
      <c r="M14" s="2" t="n">
        <v>0.64</v>
      </c>
      <c r="N14" s="1" t="n">
        <v>13.75</v>
      </c>
      <c r="O14" s="1" t="n">
        <v>0.64</v>
      </c>
    </row>
    <row r="15" customFormat="false" ht="15" hidden="false" customHeight="false" outlineLevel="0" collapsed="false">
      <c r="D15" s="0" t="n">
        <v>3</v>
      </c>
      <c r="E15" s="0" t="n">
        <v>6.08</v>
      </c>
      <c r="F15" s="0" t="n">
        <v>-10.01</v>
      </c>
      <c r="G15" s="2" t="n">
        <v>0.34</v>
      </c>
      <c r="H15" s="1" t="n">
        <v>-5.25</v>
      </c>
      <c r="I15" s="1" t="n">
        <v>0.34</v>
      </c>
      <c r="J15" s="0" t="n">
        <v>0</v>
      </c>
      <c r="K15" s="2" t="n">
        <v>0.46</v>
      </c>
      <c r="L15" s="0" t="n">
        <v>5.25</v>
      </c>
      <c r="M15" s="2" t="n">
        <v>0.34</v>
      </c>
      <c r="N15" s="1" t="n">
        <v>14.2</v>
      </c>
      <c r="O15" s="1" t="n">
        <v>0.34</v>
      </c>
    </row>
    <row r="16" customFormat="false" ht="15" hidden="false" customHeight="false" outlineLevel="0" collapsed="false">
      <c r="D16" s="0" t="n">
        <v>2</v>
      </c>
      <c r="E16" s="0" t="n">
        <v>5.68</v>
      </c>
      <c r="F16" s="0" t="n">
        <v>-9.54</v>
      </c>
      <c r="G16" s="2" t="n">
        <v>0.04</v>
      </c>
      <c r="H16" s="1" t="n">
        <v>-5.25</v>
      </c>
      <c r="I16" s="1" t="n">
        <v>0.04</v>
      </c>
      <c r="J16" s="0" t="n">
        <v>0</v>
      </c>
      <c r="K16" s="2" t="n">
        <v>0.16</v>
      </c>
      <c r="L16" s="0" t="n">
        <v>5.25</v>
      </c>
      <c r="M16" s="2" t="n">
        <v>0.04</v>
      </c>
      <c r="N16" s="1" t="n">
        <v>9.68</v>
      </c>
      <c r="O16" s="1" t="n">
        <v>0.04</v>
      </c>
    </row>
    <row r="17" customFormat="false" ht="15" hidden="false" customHeight="false" outlineLevel="0" collapsed="false">
      <c r="D17" s="0" t="n">
        <v>1</v>
      </c>
      <c r="E17" s="0" t="n">
        <v>4.22</v>
      </c>
      <c r="F17" s="0" t="n">
        <v>-9.24</v>
      </c>
      <c r="G17" s="2" t="n">
        <v>-0.26</v>
      </c>
      <c r="H17" s="1" t="n">
        <v>-5.25</v>
      </c>
      <c r="I17" s="1" t="n">
        <v>-0.26</v>
      </c>
      <c r="J17" s="0" t="n">
        <v>0</v>
      </c>
      <c r="K17" s="2" t="n">
        <v>-0.14</v>
      </c>
      <c r="L17" s="0" t="n">
        <v>5.25</v>
      </c>
      <c r="M17" s="2" t="n">
        <v>-0.26</v>
      </c>
      <c r="N17" s="1" t="n">
        <v>9.38</v>
      </c>
      <c r="O17" s="1" t="n">
        <v>-0.26</v>
      </c>
    </row>
    <row r="18" customFormat="false" ht="15" hidden="false" customHeight="false" outlineLevel="0" collapsed="false">
      <c r="A18" s="1" t="n">
        <v>3</v>
      </c>
      <c r="B18" s="2" t="s">
        <v>19</v>
      </c>
      <c r="C18" s="0" t="n">
        <v>632.61</v>
      </c>
      <c r="D18" s="0" t="n">
        <v>8</v>
      </c>
      <c r="E18" s="0" t="n">
        <v>7.31</v>
      </c>
      <c r="F18" s="0" t="n">
        <v>-11.95</v>
      </c>
      <c r="G18" s="2" t="n">
        <v>1.84</v>
      </c>
      <c r="H18" s="1" t="n">
        <v>-5.25</v>
      </c>
      <c r="I18" s="1" t="n">
        <v>1.84</v>
      </c>
      <c r="J18" s="0" t="n">
        <v>0</v>
      </c>
      <c r="K18" s="2" t="n">
        <v>1.96</v>
      </c>
      <c r="L18" s="0" t="n">
        <v>5.25</v>
      </c>
      <c r="M18" s="2" t="n">
        <v>1.84</v>
      </c>
      <c r="N18" s="1" t="n">
        <v>11.95</v>
      </c>
      <c r="O18" s="1" t="n">
        <v>1.84</v>
      </c>
      <c r="P18" s="0" t="n">
        <v>70.95</v>
      </c>
      <c r="Q18" s="0" t="n">
        <v>11.55</v>
      </c>
    </row>
    <row r="19" customFormat="false" ht="15" hidden="false" customHeight="false" outlineLevel="0" collapsed="false">
      <c r="D19" s="0" t="n">
        <v>7</v>
      </c>
      <c r="E19" s="0" t="n">
        <v>7.58</v>
      </c>
      <c r="F19" s="0" t="n">
        <v>-12.4</v>
      </c>
      <c r="G19" s="2" t="n">
        <v>1.54</v>
      </c>
      <c r="H19" s="1" t="n">
        <v>-5.25</v>
      </c>
      <c r="I19" s="1" t="n">
        <v>1.54</v>
      </c>
      <c r="J19" s="0" t="n">
        <v>0</v>
      </c>
      <c r="K19" s="2" t="n">
        <v>1.66</v>
      </c>
      <c r="L19" s="0" t="n">
        <v>5.25</v>
      </c>
      <c r="M19" s="2" t="n">
        <v>1.54</v>
      </c>
      <c r="N19" s="1" t="n">
        <v>12.4</v>
      </c>
      <c r="O19" s="1" t="n">
        <v>1.54</v>
      </c>
    </row>
    <row r="20" customFormat="false" ht="15" hidden="false" customHeight="false" outlineLevel="0" collapsed="false">
      <c r="D20" s="0" t="n">
        <v>6</v>
      </c>
      <c r="E20" s="0" t="n">
        <v>7.85</v>
      </c>
      <c r="F20" s="0" t="n">
        <v>-12.85</v>
      </c>
      <c r="G20" s="2" t="n">
        <v>1.24</v>
      </c>
      <c r="H20" s="1" t="n">
        <v>-5.25</v>
      </c>
      <c r="I20" s="1" t="n">
        <v>1.24</v>
      </c>
      <c r="J20" s="0" t="n">
        <v>0</v>
      </c>
      <c r="K20" s="2" t="n">
        <v>1.36</v>
      </c>
      <c r="L20" s="0" t="n">
        <v>5.25</v>
      </c>
      <c r="M20" s="2" t="n">
        <v>1.24</v>
      </c>
      <c r="N20" s="1" t="n">
        <v>12.85</v>
      </c>
      <c r="O20" s="1" t="n">
        <v>1.24</v>
      </c>
    </row>
    <row r="21" customFormat="false" ht="15" hidden="false" customHeight="false" outlineLevel="0" collapsed="false">
      <c r="D21" s="0" t="n">
        <v>5</v>
      </c>
      <c r="E21" s="0" t="n">
        <v>8.12</v>
      </c>
      <c r="F21" s="0" t="n">
        <v>-13.3</v>
      </c>
      <c r="G21" s="2" t="n">
        <v>0.94</v>
      </c>
      <c r="H21" s="1" t="n">
        <v>-5.25</v>
      </c>
      <c r="I21" s="1" t="n">
        <v>0.94</v>
      </c>
      <c r="J21" s="0" t="n">
        <v>0</v>
      </c>
      <c r="K21" s="2" t="n">
        <v>1.06</v>
      </c>
      <c r="L21" s="0" t="n">
        <v>5.25</v>
      </c>
      <c r="M21" s="2" t="n">
        <v>0.94</v>
      </c>
      <c r="N21" s="1" t="n">
        <v>13.3</v>
      </c>
      <c r="O21" s="1" t="n">
        <v>0.94</v>
      </c>
    </row>
    <row r="22" customFormat="false" ht="15" hidden="false" customHeight="false" outlineLevel="0" collapsed="false">
      <c r="D22" s="0" t="n">
        <v>4</v>
      </c>
      <c r="E22" s="0" t="n">
        <v>8.39</v>
      </c>
      <c r="F22" s="0" t="n">
        <v>-13.75</v>
      </c>
      <c r="G22" s="2" t="n">
        <v>0.64</v>
      </c>
      <c r="H22" s="1" t="n">
        <v>-5.25</v>
      </c>
      <c r="I22" s="1" t="n">
        <v>0.64</v>
      </c>
      <c r="J22" s="0" t="n">
        <v>0</v>
      </c>
      <c r="K22" s="2" t="n">
        <v>0.76</v>
      </c>
      <c r="L22" s="0" t="n">
        <v>5.25</v>
      </c>
      <c r="M22" s="2" t="n">
        <v>0.64</v>
      </c>
      <c r="N22" s="1" t="n">
        <v>13.75</v>
      </c>
      <c r="O22" s="1" t="n">
        <v>0.64</v>
      </c>
    </row>
    <row r="23" customFormat="false" ht="15" hidden="false" customHeight="false" outlineLevel="0" collapsed="false">
      <c r="D23" s="0" t="n">
        <v>3</v>
      </c>
      <c r="E23" s="0" t="n">
        <v>8.66</v>
      </c>
      <c r="F23" s="0" t="n">
        <v>-14.2</v>
      </c>
      <c r="G23" s="2" t="n">
        <v>0.34</v>
      </c>
      <c r="H23" s="1" t="n">
        <v>-5.25</v>
      </c>
      <c r="I23" s="1" t="n">
        <v>0.34</v>
      </c>
      <c r="J23" s="0" t="n">
        <v>0</v>
      </c>
      <c r="K23" s="2" t="n">
        <v>0.46</v>
      </c>
      <c r="L23" s="0" t="n">
        <v>5.25</v>
      </c>
      <c r="M23" s="2" t="n">
        <v>0.34</v>
      </c>
      <c r="N23" s="1" t="n">
        <v>14.2</v>
      </c>
      <c r="O23" s="1" t="n">
        <v>0.34</v>
      </c>
    </row>
    <row r="24" customFormat="false" ht="15" hidden="false" customHeight="false" outlineLevel="0" collapsed="false">
      <c r="D24" s="0" t="n">
        <v>2</v>
      </c>
      <c r="E24" s="0" t="n">
        <v>6.98</v>
      </c>
      <c r="F24" s="0" t="n">
        <v>-14.65</v>
      </c>
      <c r="G24" s="2" t="n">
        <v>0.04</v>
      </c>
      <c r="H24" s="1" t="n">
        <v>-5.25</v>
      </c>
      <c r="I24" s="1" t="n">
        <v>0.04</v>
      </c>
      <c r="J24" s="0" t="n">
        <v>0</v>
      </c>
      <c r="K24" s="2" t="n">
        <v>0.16</v>
      </c>
      <c r="L24" s="0" t="n">
        <v>5.25</v>
      </c>
      <c r="M24" s="2" t="n">
        <v>0.04</v>
      </c>
      <c r="N24" s="1" t="n">
        <v>14.65</v>
      </c>
      <c r="O24" s="1" t="n">
        <v>0.04</v>
      </c>
    </row>
    <row r="25" customFormat="false" ht="15" hidden="false" customHeight="false" outlineLevel="0" collapsed="false">
      <c r="D25" s="0" t="n">
        <v>1</v>
      </c>
      <c r="E25" s="0" t="n">
        <v>4.53</v>
      </c>
      <c r="F25" s="0" t="n">
        <v>-9.97</v>
      </c>
      <c r="G25" s="2" t="n">
        <v>-0.26</v>
      </c>
      <c r="H25" s="1" t="n">
        <v>-5.25</v>
      </c>
      <c r="I25" s="1" t="n">
        <v>-0.26</v>
      </c>
      <c r="J25" s="0" t="n">
        <v>0</v>
      </c>
      <c r="K25" s="2" t="n">
        <v>-0.14</v>
      </c>
      <c r="L25" s="0" t="n">
        <v>5.25</v>
      </c>
      <c r="M25" s="2" t="n">
        <v>-0.26</v>
      </c>
      <c r="N25" s="1" t="n">
        <v>10.13</v>
      </c>
      <c r="O25" s="1" t="n">
        <v>-0.26</v>
      </c>
    </row>
    <row r="26" customFormat="false" ht="15" hidden="false" customHeight="false" outlineLevel="0" collapsed="false">
      <c r="A26" s="1" t="n">
        <v>4</v>
      </c>
      <c r="B26" s="2" t="s">
        <v>20</v>
      </c>
      <c r="C26" s="0" t="n">
        <v>652.61</v>
      </c>
      <c r="D26" s="0" t="n">
        <v>8</v>
      </c>
      <c r="E26" s="0" t="n">
        <v>7.31</v>
      </c>
      <c r="F26" s="0" t="n">
        <v>-11.95</v>
      </c>
      <c r="G26" s="2" t="n">
        <v>1.85</v>
      </c>
      <c r="H26" s="1" t="n">
        <v>-5.25</v>
      </c>
      <c r="I26" s="1" t="n">
        <v>1.85</v>
      </c>
      <c r="J26" s="0" t="n">
        <v>0</v>
      </c>
      <c r="K26" s="2" t="n">
        <v>1.96</v>
      </c>
      <c r="L26" s="0" t="n">
        <v>5.25</v>
      </c>
      <c r="M26" s="2" t="n">
        <v>1.85</v>
      </c>
      <c r="N26" s="1" t="n">
        <v>11.95</v>
      </c>
      <c r="O26" s="1" t="n">
        <v>1.85</v>
      </c>
      <c r="P26" s="0" t="n">
        <v>73.81</v>
      </c>
      <c r="Q26" s="0" t="n">
        <v>11.55</v>
      </c>
    </row>
    <row r="27" customFormat="false" ht="15" hidden="false" customHeight="false" outlineLevel="0" collapsed="false">
      <c r="D27" s="0" t="n">
        <v>7</v>
      </c>
      <c r="E27" s="0" t="n">
        <v>7.58</v>
      </c>
      <c r="F27" s="0" t="n">
        <v>-12.4</v>
      </c>
      <c r="G27" s="2" t="n">
        <v>1.55</v>
      </c>
      <c r="H27" s="1" t="n">
        <v>-5.25</v>
      </c>
      <c r="I27" s="1" t="n">
        <v>1.55</v>
      </c>
      <c r="J27" s="0" t="n">
        <v>0</v>
      </c>
      <c r="K27" s="2" t="n">
        <v>1.66</v>
      </c>
      <c r="L27" s="0" t="n">
        <v>5.25</v>
      </c>
      <c r="M27" s="2" t="n">
        <v>1.55</v>
      </c>
      <c r="N27" s="1" t="n">
        <v>12.4</v>
      </c>
      <c r="O27" s="1" t="n">
        <v>1.55</v>
      </c>
    </row>
    <row r="28" customFormat="false" ht="15" hidden="false" customHeight="false" outlineLevel="0" collapsed="false">
      <c r="D28" s="0" t="n">
        <v>6</v>
      </c>
      <c r="E28" s="0" t="n">
        <v>7.85</v>
      </c>
      <c r="F28" s="0" t="n">
        <v>-12.85</v>
      </c>
      <c r="G28" s="2" t="n">
        <v>1.25</v>
      </c>
      <c r="H28" s="1" t="n">
        <v>-5.25</v>
      </c>
      <c r="I28" s="1" t="n">
        <v>1.25</v>
      </c>
      <c r="J28" s="0" t="n">
        <v>0</v>
      </c>
      <c r="K28" s="2" t="n">
        <v>1.36</v>
      </c>
      <c r="L28" s="0" t="n">
        <v>5.25</v>
      </c>
      <c r="M28" s="2" t="n">
        <v>1.25</v>
      </c>
      <c r="N28" s="1" t="n">
        <v>12.85</v>
      </c>
      <c r="O28" s="1" t="n">
        <v>1.25</v>
      </c>
    </row>
    <row r="29" customFormat="false" ht="15" hidden="false" customHeight="false" outlineLevel="0" collapsed="false">
      <c r="D29" s="0" t="n">
        <v>5</v>
      </c>
      <c r="E29" s="0" t="n">
        <v>8.12</v>
      </c>
      <c r="F29" s="0" t="n">
        <v>-13.3</v>
      </c>
      <c r="G29" s="2" t="n">
        <v>0.95</v>
      </c>
      <c r="H29" s="1" t="n">
        <v>-5.25</v>
      </c>
      <c r="I29" s="1" t="n">
        <v>0.95</v>
      </c>
      <c r="J29" s="0" t="n">
        <v>0</v>
      </c>
      <c r="K29" s="2" t="n">
        <v>1.06</v>
      </c>
      <c r="L29" s="0" t="n">
        <v>5.25</v>
      </c>
      <c r="M29" s="2" t="n">
        <v>0.95</v>
      </c>
      <c r="N29" s="1" t="n">
        <v>13.3</v>
      </c>
      <c r="O29" s="1" t="n">
        <v>0.95</v>
      </c>
    </row>
    <row r="30" customFormat="false" ht="15" hidden="false" customHeight="false" outlineLevel="0" collapsed="false">
      <c r="D30" s="0" t="n">
        <v>4</v>
      </c>
      <c r="E30" s="0" t="n">
        <v>8.39</v>
      </c>
      <c r="F30" s="0" t="n">
        <v>-13.75</v>
      </c>
      <c r="G30" s="2" t="n">
        <v>0.65</v>
      </c>
      <c r="H30" s="1" t="n">
        <v>-5.25</v>
      </c>
      <c r="I30" s="1" t="n">
        <v>0.65</v>
      </c>
      <c r="J30" s="0" t="n">
        <v>0</v>
      </c>
      <c r="K30" s="2" t="n">
        <v>0.76</v>
      </c>
      <c r="L30" s="0" t="n">
        <v>5.25</v>
      </c>
      <c r="M30" s="2" t="n">
        <v>0.65</v>
      </c>
      <c r="N30" s="1" t="n">
        <v>13.75</v>
      </c>
      <c r="O30" s="1" t="n">
        <v>0.65</v>
      </c>
    </row>
    <row r="31" customFormat="false" ht="15" hidden="false" customHeight="false" outlineLevel="0" collapsed="false">
      <c r="D31" s="0" t="n">
        <v>3</v>
      </c>
      <c r="E31" s="0" t="n">
        <v>8.66</v>
      </c>
      <c r="F31" s="0" t="n">
        <v>-14.2</v>
      </c>
      <c r="G31" s="2" t="n">
        <v>0.35</v>
      </c>
      <c r="H31" s="1" t="n">
        <v>-5.25</v>
      </c>
      <c r="I31" s="1" t="n">
        <v>0.35</v>
      </c>
      <c r="J31" s="0" t="n">
        <v>0</v>
      </c>
      <c r="K31" s="2" t="n">
        <v>0.46</v>
      </c>
      <c r="L31" s="0" t="n">
        <v>5.25</v>
      </c>
      <c r="M31" s="2" t="n">
        <v>0.35</v>
      </c>
      <c r="N31" s="1" t="n">
        <v>14.2</v>
      </c>
      <c r="O31" s="1" t="n">
        <v>0.35</v>
      </c>
    </row>
    <row r="32" customFormat="false" ht="15" hidden="false" customHeight="false" outlineLevel="0" collapsed="false">
      <c r="D32" s="0" t="n">
        <v>2</v>
      </c>
      <c r="E32" s="0" t="n">
        <v>8.93</v>
      </c>
      <c r="F32" s="0" t="n">
        <v>-14.65</v>
      </c>
      <c r="G32" s="2" t="n">
        <v>0.05</v>
      </c>
      <c r="H32" s="1" t="n">
        <v>-5.25</v>
      </c>
      <c r="I32" s="1" t="n">
        <v>0.05</v>
      </c>
      <c r="J32" s="0" t="n">
        <v>0</v>
      </c>
      <c r="K32" s="2" t="n">
        <v>0.16</v>
      </c>
      <c r="L32" s="0" t="n">
        <v>5.25</v>
      </c>
      <c r="M32" s="2" t="n">
        <v>0.05</v>
      </c>
      <c r="N32" s="1" t="n">
        <v>14.65</v>
      </c>
      <c r="O32" s="1" t="n">
        <v>0.05</v>
      </c>
    </row>
    <row r="33" customFormat="false" ht="15" hidden="false" customHeight="false" outlineLevel="0" collapsed="false">
      <c r="D33" s="0" t="n">
        <v>1</v>
      </c>
      <c r="E33" s="0" t="n">
        <v>5.44</v>
      </c>
      <c r="F33" s="0" t="n">
        <v>-15.1</v>
      </c>
      <c r="G33" s="2" t="n">
        <v>-0.25</v>
      </c>
      <c r="H33" s="1" t="n">
        <v>-5.25</v>
      </c>
      <c r="I33" s="1" t="n">
        <v>-0.25</v>
      </c>
      <c r="J33" s="0" t="n">
        <v>0</v>
      </c>
      <c r="K33" s="2" t="n">
        <v>-0.14</v>
      </c>
      <c r="L33" s="0" t="n">
        <v>5.25</v>
      </c>
      <c r="M33" s="2" t="n">
        <v>-0.25</v>
      </c>
      <c r="N33" s="1" t="n">
        <v>15.1</v>
      </c>
      <c r="O33" s="1" t="n">
        <v>-0.25</v>
      </c>
    </row>
    <row r="34" customFormat="false" ht="15" hidden="false" customHeight="false" outlineLevel="0" collapsed="false">
      <c r="A34" s="1" t="n">
        <v>5</v>
      </c>
      <c r="B34" s="2" t="s">
        <v>21</v>
      </c>
      <c r="C34" s="0" t="n">
        <v>672.61</v>
      </c>
      <c r="D34" s="0" t="n">
        <v>8</v>
      </c>
      <c r="E34" s="0" t="n">
        <v>7.31</v>
      </c>
      <c r="F34" s="0" t="n">
        <v>-11.95</v>
      </c>
      <c r="G34" s="2" t="n">
        <v>1.85</v>
      </c>
      <c r="H34" s="1" t="n">
        <v>-5.25</v>
      </c>
      <c r="I34" s="1" t="n">
        <v>1.85</v>
      </c>
      <c r="J34" s="0" t="n">
        <v>0</v>
      </c>
      <c r="K34" s="2" t="n">
        <v>1.96</v>
      </c>
      <c r="L34" s="0" t="n">
        <v>5.25</v>
      </c>
      <c r="M34" s="2" t="n">
        <v>1.85</v>
      </c>
      <c r="N34" s="1" t="n">
        <v>11.95</v>
      </c>
      <c r="O34" s="1" t="n">
        <v>1.85</v>
      </c>
      <c r="P34" s="0" t="n">
        <v>70.29</v>
      </c>
      <c r="Q34" s="0" t="n">
        <v>11.55</v>
      </c>
    </row>
    <row r="35" customFormat="false" ht="15" hidden="false" customHeight="false" outlineLevel="0" collapsed="false">
      <c r="D35" s="0" t="n">
        <v>7</v>
      </c>
      <c r="E35" s="0" t="n">
        <v>7.58</v>
      </c>
      <c r="F35" s="0" t="n">
        <v>-12.4</v>
      </c>
      <c r="G35" s="2" t="n">
        <v>1.55</v>
      </c>
      <c r="H35" s="1" t="n">
        <v>-5.25</v>
      </c>
      <c r="I35" s="1" t="n">
        <v>1.55</v>
      </c>
      <c r="J35" s="0" t="n">
        <v>0</v>
      </c>
      <c r="K35" s="2" t="n">
        <v>1.66</v>
      </c>
      <c r="L35" s="0" t="n">
        <v>5.25</v>
      </c>
      <c r="M35" s="2" t="n">
        <v>1.55</v>
      </c>
      <c r="N35" s="1" t="n">
        <v>12.4</v>
      </c>
      <c r="O35" s="1" t="n">
        <v>1.55</v>
      </c>
    </row>
    <row r="36" customFormat="false" ht="15" hidden="false" customHeight="false" outlineLevel="0" collapsed="false">
      <c r="D36" s="0" t="n">
        <v>6</v>
      </c>
      <c r="E36" s="0" t="n">
        <v>7.85</v>
      </c>
      <c r="F36" s="0" t="n">
        <v>-12.85</v>
      </c>
      <c r="G36" s="2" t="n">
        <v>1.25</v>
      </c>
      <c r="H36" s="1" t="n">
        <v>-5.25</v>
      </c>
      <c r="I36" s="1" t="n">
        <v>1.25</v>
      </c>
      <c r="J36" s="0" t="n">
        <v>0</v>
      </c>
      <c r="K36" s="2" t="n">
        <v>1.36</v>
      </c>
      <c r="L36" s="0" t="n">
        <v>5.25</v>
      </c>
      <c r="M36" s="2" t="n">
        <v>1.25</v>
      </c>
      <c r="N36" s="1" t="n">
        <v>12.85</v>
      </c>
      <c r="O36" s="1" t="n">
        <v>1.25</v>
      </c>
    </row>
    <row r="37" customFormat="false" ht="15" hidden="false" customHeight="false" outlineLevel="0" collapsed="false">
      <c r="D37" s="0" t="n">
        <v>5</v>
      </c>
      <c r="E37" s="0" t="n">
        <v>8.12</v>
      </c>
      <c r="F37" s="0" t="n">
        <v>-13.3</v>
      </c>
      <c r="G37" s="2" t="n">
        <v>0.95</v>
      </c>
      <c r="H37" s="1" t="n">
        <v>-5.25</v>
      </c>
      <c r="I37" s="1" t="n">
        <v>0.95</v>
      </c>
      <c r="J37" s="0" t="n">
        <v>0</v>
      </c>
      <c r="K37" s="2" t="n">
        <v>1.06</v>
      </c>
      <c r="L37" s="0" t="n">
        <v>5.25</v>
      </c>
      <c r="M37" s="2" t="n">
        <v>0.95</v>
      </c>
      <c r="N37" s="1" t="n">
        <v>13.3</v>
      </c>
      <c r="O37" s="1" t="n">
        <v>0.95</v>
      </c>
    </row>
    <row r="38" customFormat="false" ht="15" hidden="false" customHeight="false" outlineLevel="0" collapsed="false">
      <c r="D38" s="0" t="n">
        <v>4</v>
      </c>
      <c r="E38" s="0" t="n">
        <v>8.39</v>
      </c>
      <c r="F38" s="0" t="n">
        <v>-13.75</v>
      </c>
      <c r="G38" s="2" t="n">
        <v>0.65</v>
      </c>
      <c r="H38" s="1" t="n">
        <v>-5.25</v>
      </c>
      <c r="I38" s="1" t="n">
        <v>0.65</v>
      </c>
      <c r="J38" s="0" t="n">
        <v>0</v>
      </c>
      <c r="K38" s="2" t="n">
        <v>0.76</v>
      </c>
      <c r="L38" s="0" t="n">
        <v>5.25</v>
      </c>
      <c r="M38" s="2" t="n">
        <v>0.65</v>
      </c>
      <c r="N38" s="1" t="n">
        <v>13.75</v>
      </c>
      <c r="O38" s="1" t="n">
        <v>0.65</v>
      </c>
    </row>
    <row r="39" customFormat="false" ht="15" hidden="false" customHeight="false" outlineLevel="0" collapsed="false">
      <c r="D39" s="0" t="n">
        <v>3</v>
      </c>
      <c r="E39" s="0" t="n">
        <v>8.66</v>
      </c>
      <c r="F39" s="0" t="n">
        <v>-14.2</v>
      </c>
      <c r="G39" s="2" t="n">
        <v>0.35</v>
      </c>
      <c r="H39" s="1" t="n">
        <v>-5.25</v>
      </c>
      <c r="I39" s="1" t="n">
        <v>0.35</v>
      </c>
      <c r="J39" s="0" t="n">
        <v>0</v>
      </c>
      <c r="K39" s="2" t="n">
        <v>0.46</v>
      </c>
      <c r="L39" s="0" t="n">
        <v>5.25</v>
      </c>
      <c r="M39" s="2" t="n">
        <v>0.35</v>
      </c>
      <c r="N39" s="1" t="n">
        <v>14.2</v>
      </c>
      <c r="O39" s="1" t="n">
        <v>0.35</v>
      </c>
    </row>
    <row r="40" customFormat="false" ht="15" hidden="false" customHeight="false" outlineLevel="0" collapsed="false">
      <c r="D40" s="0" t="n">
        <v>2</v>
      </c>
      <c r="E40" s="0" t="n">
        <v>6.34</v>
      </c>
      <c r="F40" s="0" t="n">
        <v>-14.65</v>
      </c>
      <c r="G40" s="2" t="n">
        <v>0.05</v>
      </c>
      <c r="H40" s="1" t="n">
        <v>-5.25</v>
      </c>
      <c r="I40" s="1" t="n">
        <v>0.05</v>
      </c>
      <c r="J40" s="0" t="n">
        <v>0</v>
      </c>
      <c r="K40" s="2" t="n">
        <v>0.16</v>
      </c>
      <c r="L40" s="0" t="n">
        <v>5.25</v>
      </c>
      <c r="M40" s="2" t="n">
        <v>0.05</v>
      </c>
      <c r="N40" s="1" t="n">
        <v>14.65</v>
      </c>
      <c r="O40" s="1" t="n">
        <v>0.05</v>
      </c>
    </row>
    <row r="41" customFormat="false" ht="15" hidden="false" customHeight="false" outlineLevel="0" collapsed="false">
      <c r="D41" s="0" t="n">
        <v>1</v>
      </c>
      <c r="E41" s="0" t="n">
        <v>4.51</v>
      </c>
      <c r="F41" s="0" t="n">
        <v>-9.83</v>
      </c>
      <c r="G41" s="2" t="n">
        <v>-0.25</v>
      </c>
      <c r="H41" s="1" t="n">
        <v>-5.25</v>
      </c>
      <c r="I41" s="1" t="n">
        <v>-0.25</v>
      </c>
      <c r="J41" s="0" t="n">
        <v>0</v>
      </c>
      <c r="K41" s="2" t="n">
        <v>-0.14</v>
      </c>
      <c r="L41" s="0" t="n">
        <v>5.25</v>
      </c>
      <c r="M41" s="2" t="n">
        <v>-0.25</v>
      </c>
      <c r="N41" s="1" t="n">
        <v>9.87</v>
      </c>
      <c r="O41" s="1" t="n">
        <v>-0.25</v>
      </c>
    </row>
    <row r="42" customFormat="false" ht="15" hidden="false" customHeight="false" outlineLevel="0" collapsed="false">
      <c r="A42" s="1" t="n">
        <v>6</v>
      </c>
      <c r="B42" s="2" t="s">
        <v>22</v>
      </c>
      <c r="C42" s="0" t="n">
        <v>692.61</v>
      </c>
      <c r="D42" s="0" t="n">
        <v>8</v>
      </c>
      <c r="E42" s="0" t="n">
        <v>7.31</v>
      </c>
      <c r="F42" s="0" t="n">
        <v>-11.95</v>
      </c>
      <c r="G42" s="2" t="n">
        <v>1.85</v>
      </c>
      <c r="H42" s="1" t="n">
        <v>-5.25</v>
      </c>
      <c r="I42" s="1" t="n">
        <v>1.85</v>
      </c>
      <c r="J42" s="0" t="n">
        <v>0</v>
      </c>
      <c r="K42" s="2" t="n">
        <v>1.97</v>
      </c>
      <c r="L42" s="0" t="n">
        <v>5.25</v>
      </c>
      <c r="M42" s="2" t="n">
        <v>1.85</v>
      </c>
      <c r="N42" s="1" t="n">
        <v>11.95</v>
      </c>
      <c r="O42" s="1" t="n">
        <v>1.85</v>
      </c>
      <c r="P42" s="0" t="n">
        <v>73.98</v>
      </c>
      <c r="Q42" s="0" t="n">
        <v>11.55</v>
      </c>
    </row>
    <row r="43" customFormat="false" ht="15" hidden="false" customHeight="false" outlineLevel="0" collapsed="false">
      <c r="D43" s="0" t="n">
        <v>7</v>
      </c>
      <c r="E43" s="0" t="n">
        <v>7.58</v>
      </c>
      <c r="F43" s="0" t="n">
        <v>-12.4</v>
      </c>
      <c r="G43" s="2" t="n">
        <v>1.55</v>
      </c>
      <c r="H43" s="1" t="n">
        <v>-5.25</v>
      </c>
      <c r="I43" s="1" t="n">
        <v>1.55</v>
      </c>
      <c r="J43" s="0" t="n">
        <v>0</v>
      </c>
      <c r="K43" s="2" t="n">
        <v>1.67</v>
      </c>
      <c r="L43" s="0" t="n">
        <v>5.25</v>
      </c>
      <c r="M43" s="2" t="n">
        <v>1.55</v>
      </c>
      <c r="N43" s="1" t="n">
        <v>12.4</v>
      </c>
      <c r="O43" s="1" t="n">
        <v>1.55</v>
      </c>
    </row>
    <row r="44" customFormat="false" ht="15" hidden="false" customHeight="false" outlineLevel="0" collapsed="false">
      <c r="D44" s="0" t="n">
        <v>6</v>
      </c>
      <c r="E44" s="0" t="n">
        <v>7.85</v>
      </c>
      <c r="F44" s="0" t="n">
        <v>-12.85</v>
      </c>
      <c r="G44" s="2" t="n">
        <v>1.25</v>
      </c>
      <c r="H44" s="1" t="n">
        <v>-5.25</v>
      </c>
      <c r="I44" s="1" t="n">
        <v>1.25</v>
      </c>
      <c r="J44" s="0" t="n">
        <v>0</v>
      </c>
      <c r="K44" s="2" t="n">
        <v>1.37</v>
      </c>
      <c r="L44" s="0" t="n">
        <v>5.25</v>
      </c>
      <c r="M44" s="2" t="n">
        <v>1.25</v>
      </c>
      <c r="N44" s="1" t="n">
        <v>12.85</v>
      </c>
      <c r="O44" s="1" t="n">
        <v>1.25</v>
      </c>
    </row>
    <row r="45" customFormat="false" ht="15" hidden="false" customHeight="false" outlineLevel="0" collapsed="false">
      <c r="D45" s="0" t="n">
        <v>5</v>
      </c>
      <c r="E45" s="0" t="n">
        <v>8.12</v>
      </c>
      <c r="F45" s="0" t="n">
        <v>-13.3</v>
      </c>
      <c r="G45" s="2" t="n">
        <v>0.95</v>
      </c>
      <c r="H45" s="1" t="n">
        <v>-5.25</v>
      </c>
      <c r="I45" s="1" t="n">
        <v>0.95</v>
      </c>
      <c r="J45" s="0" t="n">
        <v>0</v>
      </c>
      <c r="K45" s="2" t="n">
        <v>1.07</v>
      </c>
      <c r="L45" s="0" t="n">
        <v>5.25</v>
      </c>
      <c r="M45" s="2" t="n">
        <v>0.95</v>
      </c>
      <c r="N45" s="1" t="n">
        <v>13.3</v>
      </c>
      <c r="O45" s="1" t="n">
        <v>0.95</v>
      </c>
    </row>
    <row r="46" customFormat="false" ht="15" hidden="false" customHeight="false" outlineLevel="0" collapsed="false">
      <c r="D46" s="0" t="n">
        <v>4</v>
      </c>
      <c r="E46" s="0" t="n">
        <v>8.39</v>
      </c>
      <c r="F46" s="0" t="n">
        <v>-13.75</v>
      </c>
      <c r="G46" s="2" t="n">
        <v>0.65</v>
      </c>
      <c r="H46" s="1" t="n">
        <v>-5.25</v>
      </c>
      <c r="I46" s="1" t="n">
        <v>0.65</v>
      </c>
      <c r="J46" s="0" t="n">
        <v>0</v>
      </c>
      <c r="K46" s="2" t="n">
        <v>0.77</v>
      </c>
      <c r="L46" s="0" t="n">
        <v>5.25</v>
      </c>
      <c r="M46" s="2" t="n">
        <v>0.65</v>
      </c>
      <c r="N46" s="1" t="n">
        <v>13.75</v>
      </c>
      <c r="O46" s="1" t="n">
        <v>0.65</v>
      </c>
    </row>
    <row r="47" customFormat="false" ht="15" hidden="false" customHeight="false" outlineLevel="0" collapsed="false">
      <c r="D47" s="0" t="n">
        <v>3</v>
      </c>
      <c r="E47" s="0" t="n">
        <v>8.66</v>
      </c>
      <c r="F47" s="0" t="n">
        <v>-14.2</v>
      </c>
      <c r="G47" s="2" t="n">
        <v>0.35</v>
      </c>
      <c r="H47" s="1" t="n">
        <v>-5.25</v>
      </c>
      <c r="I47" s="1" t="n">
        <v>0.35</v>
      </c>
      <c r="J47" s="0" t="n">
        <v>0</v>
      </c>
      <c r="K47" s="2" t="n">
        <v>0.47</v>
      </c>
      <c r="L47" s="0" t="n">
        <v>5.25</v>
      </c>
      <c r="M47" s="2" t="n">
        <v>0.35</v>
      </c>
      <c r="N47" s="1" t="n">
        <v>14.2</v>
      </c>
      <c r="O47" s="1" t="n">
        <v>0.35</v>
      </c>
    </row>
    <row r="48" customFormat="false" ht="15" hidden="false" customHeight="false" outlineLevel="0" collapsed="false">
      <c r="D48" s="0" t="n">
        <v>2</v>
      </c>
      <c r="E48" s="0" t="n">
        <v>8.93</v>
      </c>
      <c r="F48" s="0" t="n">
        <v>-14.65</v>
      </c>
      <c r="G48" s="2" t="n">
        <v>0.05</v>
      </c>
      <c r="H48" s="1" t="n">
        <v>-5.25</v>
      </c>
      <c r="I48" s="1" t="n">
        <v>0.05</v>
      </c>
      <c r="J48" s="0" t="n">
        <v>0</v>
      </c>
      <c r="K48" s="2" t="n">
        <v>0.17</v>
      </c>
      <c r="L48" s="0" t="n">
        <v>5.25</v>
      </c>
      <c r="M48" s="2" t="n">
        <v>0.05</v>
      </c>
      <c r="N48" s="1" t="n">
        <v>14.65</v>
      </c>
      <c r="O48" s="1" t="n">
        <v>0.05</v>
      </c>
    </row>
    <row r="49" customFormat="false" ht="15" hidden="false" customHeight="false" outlineLevel="0" collapsed="false">
      <c r="D49" s="0" t="n">
        <v>1</v>
      </c>
      <c r="E49" s="0" t="n">
        <v>5.61</v>
      </c>
      <c r="F49" s="0" t="n">
        <v>-15.1</v>
      </c>
      <c r="G49" s="2" t="n">
        <v>-0.25</v>
      </c>
      <c r="H49" s="1" t="n">
        <v>-5.25</v>
      </c>
      <c r="I49" s="1" t="n">
        <v>-0.25</v>
      </c>
      <c r="J49" s="0" t="n">
        <v>0</v>
      </c>
      <c r="K49" s="2" t="n">
        <v>-0.13</v>
      </c>
      <c r="L49" s="0" t="n">
        <v>5.25</v>
      </c>
      <c r="M49" s="2" t="n">
        <v>-0.25</v>
      </c>
      <c r="N49" s="1" t="n">
        <v>15.1</v>
      </c>
      <c r="O49" s="1" t="n">
        <v>-0.25</v>
      </c>
    </row>
    <row r="50" customFormat="false" ht="15" hidden="false" customHeight="false" outlineLevel="0" collapsed="false">
      <c r="A50" s="1" t="n">
        <v>7</v>
      </c>
      <c r="B50" s="2" t="s">
        <v>23</v>
      </c>
      <c r="C50" s="0" t="n">
        <v>712.61</v>
      </c>
      <c r="D50" s="0" t="n">
        <v>8</v>
      </c>
      <c r="E50" s="0" t="n">
        <v>7.31</v>
      </c>
      <c r="F50" s="0" t="n">
        <v>-11.95</v>
      </c>
      <c r="G50" s="2" t="n">
        <v>1.85</v>
      </c>
      <c r="H50" s="1" t="n">
        <v>-5.25</v>
      </c>
      <c r="I50" s="1" t="n">
        <v>1.85</v>
      </c>
      <c r="J50" s="0" t="n">
        <v>0</v>
      </c>
      <c r="K50" s="2" t="n">
        <v>1.97</v>
      </c>
      <c r="L50" s="0" t="n">
        <v>5.25</v>
      </c>
      <c r="M50" s="2" t="n">
        <v>1.85</v>
      </c>
      <c r="N50" s="1" t="n">
        <v>11.95</v>
      </c>
      <c r="O50" s="1" t="n">
        <v>1.85</v>
      </c>
      <c r="P50" s="0" t="n">
        <v>61.41</v>
      </c>
      <c r="Q50" s="0" t="n">
        <v>11.55</v>
      </c>
    </row>
    <row r="51" customFormat="false" ht="15" hidden="false" customHeight="false" outlineLevel="0" collapsed="false">
      <c r="D51" s="0" t="n">
        <v>7</v>
      </c>
      <c r="E51" s="0" t="n">
        <v>6.76</v>
      </c>
      <c r="F51" s="0" t="n">
        <v>-12.4</v>
      </c>
      <c r="G51" s="2" t="n">
        <v>1.55</v>
      </c>
      <c r="H51" s="1" t="n">
        <v>-5.25</v>
      </c>
      <c r="I51" s="1" t="n">
        <v>1.55</v>
      </c>
      <c r="J51" s="0" t="n">
        <v>0</v>
      </c>
      <c r="K51" s="2" t="n">
        <v>1.67</v>
      </c>
      <c r="L51" s="0" t="n">
        <v>5.25</v>
      </c>
      <c r="M51" s="2" t="n">
        <v>1.55</v>
      </c>
      <c r="N51" s="1" t="n">
        <v>12.4</v>
      </c>
      <c r="O51" s="1" t="n">
        <v>1.55</v>
      </c>
    </row>
    <row r="52" customFormat="false" ht="15" hidden="false" customHeight="false" outlineLevel="0" collapsed="false">
      <c r="D52" s="0" t="n">
        <v>6</v>
      </c>
      <c r="E52" s="0" t="n">
        <v>6.26</v>
      </c>
      <c r="F52" s="0" t="n">
        <v>-7.95</v>
      </c>
      <c r="G52" s="2" t="n">
        <v>1.25</v>
      </c>
      <c r="H52" s="1" t="n">
        <v>-5.25</v>
      </c>
      <c r="I52" s="1" t="n">
        <v>1.25</v>
      </c>
      <c r="J52" s="0" t="n">
        <v>0</v>
      </c>
      <c r="K52" s="2" t="n">
        <v>1.37</v>
      </c>
      <c r="L52" s="0" t="n">
        <v>5.25</v>
      </c>
      <c r="M52" s="2" t="n">
        <v>1.25</v>
      </c>
      <c r="N52" s="1" t="n">
        <v>12.85</v>
      </c>
      <c r="O52" s="1" t="n">
        <v>1.25</v>
      </c>
    </row>
    <row r="53" customFormat="false" ht="15" hidden="false" customHeight="false" outlineLevel="0" collapsed="false">
      <c r="D53" s="0" t="n">
        <v>5</v>
      </c>
      <c r="E53" s="0" t="n">
        <v>6.31</v>
      </c>
      <c r="F53" s="0" t="n">
        <v>-7.65</v>
      </c>
      <c r="G53" s="2" t="n">
        <v>0.95</v>
      </c>
      <c r="H53" s="1" t="n">
        <v>-5.25</v>
      </c>
      <c r="I53" s="1" t="n">
        <v>0.95</v>
      </c>
      <c r="J53" s="0" t="n">
        <v>0</v>
      </c>
      <c r="K53" s="2" t="n">
        <v>1.07</v>
      </c>
      <c r="L53" s="0" t="n">
        <v>5.25</v>
      </c>
      <c r="M53" s="2" t="n">
        <v>0.95</v>
      </c>
      <c r="N53" s="1" t="n">
        <v>13.3</v>
      </c>
      <c r="O53" s="1" t="n">
        <v>0.95</v>
      </c>
    </row>
    <row r="54" customFormat="false" ht="15" hidden="false" customHeight="false" outlineLevel="0" collapsed="false">
      <c r="D54" s="0" t="n">
        <v>4</v>
      </c>
      <c r="E54" s="0" t="n">
        <v>6.35</v>
      </c>
      <c r="F54" s="0" t="n">
        <v>-7.35</v>
      </c>
      <c r="G54" s="2" t="n">
        <v>0.65</v>
      </c>
      <c r="H54" s="1" t="n">
        <v>-5.25</v>
      </c>
      <c r="I54" s="1" t="n">
        <v>0.65</v>
      </c>
      <c r="J54" s="0" t="n">
        <v>0</v>
      </c>
      <c r="K54" s="2" t="n">
        <v>0.77</v>
      </c>
      <c r="L54" s="0" t="n">
        <v>5.25</v>
      </c>
      <c r="M54" s="2" t="n">
        <v>0.65</v>
      </c>
      <c r="N54" s="1" t="n">
        <v>13.75</v>
      </c>
      <c r="O54" s="1" t="n">
        <v>0.65</v>
      </c>
    </row>
    <row r="55" customFormat="false" ht="15" hidden="false" customHeight="false" outlineLevel="0" collapsed="false">
      <c r="D55" s="0" t="n">
        <v>3</v>
      </c>
      <c r="E55" s="0" t="n">
        <v>6.4</v>
      </c>
      <c r="F55" s="0" t="n">
        <v>-7.05</v>
      </c>
      <c r="G55" s="2" t="n">
        <v>0.35</v>
      </c>
      <c r="H55" s="1" t="n">
        <v>-5.25</v>
      </c>
      <c r="I55" s="1" t="n">
        <v>0.35</v>
      </c>
      <c r="J55" s="0" t="n">
        <v>0</v>
      </c>
      <c r="K55" s="2" t="n">
        <v>0.47</v>
      </c>
      <c r="L55" s="0" t="n">
        <v>5.25</v>
      </c>
      <c r="M55" s="2" t="n">
        <v>0.35</v>
      </c>
      <c r="N55" s="1" t="n">
        <v>14.2</v>
      </c>
      <c r="O55" s="1" t="n">
        <v>0.35</v>
      </c>
    </row>
    <row r="56" customFormat="false" ht="15" hidden="false" customHeight="false" outlineLevel="0" collapsed="false">
      <c r="D56" s="0" t="n">
        <v>2</v>
      </c>
      <c r="E56" s="0" t="n">
        <v>6.29</v>
      </c>
      <c r="F56" s="0" t="n">
        <v>-6.75</v>
      </c>
      <c r="G56" s="2" t="n">
        <v>0.05</v>
      </c>
      <c r="H56" s="1" t="n">
        <v>-5.25</v>
      </c>
      <c r="I56" s="1" t="n">
        <v>0.05</v>
      </c>
      <c r="J56" s="0" t="n">
        <v>0</v>
      </c>
      <c r="K56" s="2" t="n">
        <v>0.17</v>
      </c>
      <c r="L56" s="0" t="n">
        <v>5.25</v>
      </c>
      <c r="M56" s="2" t="n">
        <v>0.05</v>
      </c>
      <c r="N56" s="1" t="n">
        <v>14.65</v>
      </c>
      <c r="O56" s="1" t="n">
        <v>0.05</v>
      </c>
    </row>
    <row r="57" customFormat="false" ht="15" hidden="false" customHeight="false" outlineLevel="0" collapsed="false">
      <c r="D57" s="0" t="n">
        <v>1</v>
      </c>
      <c r="E57" s="0" t="n">
        <v>4.17</v>
      </c>
      <c r="F57" s="0" t="n">
        <v>-6.45</v>
      </c>
      <c r="G57" s="2" t="n">
        <v>-0.25</v>
      </c>
      <c r="H57" s="1" t="n">
        <v>-5.25</v>
      </c>
      <c r="I57" s="1" t="n">
        <v>-0.25</v>
      </c>
      <c r="J57" s="0" t="n">
        <v>0</v>
      </c>
      <c r="K57" s="2" t="n">
        <v>-0.13</v>
      </c>
      <c r="L57" s="0" t="n">
        <v>5.25</v>
      </c>
      <c r="M57" s="2" t="n">
        <v>-0.25</v>
      </c>
      <c r="N57" s="1" t="n">
        <v>15.1</v>
      </c>
      <c r="O57" s="1" t="n">
        <v>-0.25</v>
      </c>
    </row>
    <row r="58" customFormat="false" ht="15" hidden="false" customHeight="false" outlineLevel="0" collapsed="false">
      <c r="A58" s="1" t="n">
        <v>8</v>
      </c>
      <c r="B58" s="2" t="s">
        <v>24</v>
      </c>
      <c r="C58" s="0" t="n">
        <v>724.11</v>
      </c>
      <c r="D58" s="0" t="n">
        <v>8</v>
      </c>
      <c r="E58" s="0" t="n">
        <v>7.31</v>
      </c>
      <c r="F58" s="0" t="n">
        <v>-11.95</v>
      </c>
      <c r="G58" s="2" t="n">
        <v>1.85</v>
      </c>
      <c r="H58" s="1" t="n">
        <v>-5.25</v>
      </c>
      <c r="I58" s="1" t="n">
        <v>1.85</v>
      </c>
      <c r="J58" s="0" t="n">
        <v>0</v>
      </c>
      <c r="K58" s="2" t="n">
        <v>1.97</v>
      </c>
      <c r="L58" s="0" t="n">
        <v>5.25</v>
      </c>
      <c r="M58" s="2" t="n">
        <v>1.85</v>
      </c>
      <c r="N58" s="1" t="n">
        <v>11.95</v>
      </c>
      <c r="O58" s="1" t="n">
        <v>1.85</v>
      </c>
      <c r="P58" s="0" t="n">
        <v>71.33</v>
      </c>
      <c r="Q58" s="0" t="n">
        <v>11.55</v>
      </c>
    </row>
    <row r="59" customFormat="false" ht="15" hidden="false" customHeight="false" outlineLevel="0" collapsed="false">
      <c r="D59" s="0" t="n">
        <v>7</v>
      </c>
      <c r="E59" s="0" t="n">
        <v>7.58</v>
      </c>
      <c r="F59" s="0" t="n">
        <v>-12.4</v>
      </c>
      <c r="G59" s="2" t="n">
        <v>1.55</v>
      </c>
      <c r="H59" s="1" t="n">
        <v>-5.25</v>
      </c>
      <c r="I59" s="1" t="n">
        <v>1.55</v>
      </c>
      <c r="J59" s="0" t="n">
        <v>0</v>
      </c>
      <c r="K59" s="2" t="n">
        <v>1.67</v>
      </c>
      <c r="L59" s="0" t="n">
        <v>5.25</v>
      </c>
      <c r="M59" s="2" t="n">
        <v>1.55</v>
      </c>
      <c r="N59" s="1" t="n">
        <v>12.4</v>
      </c>
      <c r="O59" s="1" t="n">
        <v>1.55</v>
      </c>
    </row>
    <row r="60" customFormat="false" ht="15" hidden="false" customHeight="false" outlineLevel="0" collapsed="false">
      <c r="D60" s="0" t="n">
        <v>6</v>
      </c>
      <c r="E60" s="0" t="n">
        <v>7.85</v>
      </c>
      <c r="F60" s="0" t="n">
        <v>-12.85</v>
      </c>
      <c r="G60" s="2" t="n">
        <v>1.25</v>
      </c>
      <c r="H60" s="1" t="n">
        <v>-5.25</v>
      </c>
      <c r="I60" s="1" t="n">
        <v>1.25</v>
      </c>
      <c r="J60" s="0" t="n">
        <v>0</v>
      </c>
      <c r="K60" s="2" t="n">
        <v>1.37</v>
      </c>
      <c r="L60" s="0" t="n">
        <v>5.25</v>
      </c>
      <c r="M60" s="2" t="n">
        <v>1.25</v>
      </c>
      <c r="N60" s="1" t="n">
        <v>12.85</v>
      </c>
      <c r="O60" s="1" t="n">
        <v>1.25</v>
      </c>
    </row>
    <row r="61" customFormat="false" ht="15" hidden="false" customHeight="false" outlineLevel="0" collapsed="false">
      <c r="D61" s="0" t="n">
        <v>5</v>
      </c>
      <c r="E61" s="0" t="n">
        <v>8.12</v>
      </c>
      <c r="F61" s="0" t="n">
        <v>-13.3</v>
      </c>
      <c r="G61" s="2" t="n">
        <v>0.95</v>
      </c>
      <c r="H61" s="1" t="n">
        <v>-5.25</v>
      </c>
      <c r="I61" s="1" t="n">
        <v>0.95</v>
      </c>
      <c r="J61" s="0" t="n">
        <v>0</v>
      </c>
      <c r="K61" s="2" t="n">
        <v>1.07</v>
      </c>
      <c r="L61" s="0" t="n">
        <v>5.25</v>
      </c>
      <c r="M61" s="2" t="n">
        <v>0.95</v>
      </c>
      <c r="N61" s="1" t="n">
        <v>13.3</v>
      </c>
      <c r="O61" s="1" t="n">
        <v>0.95</v>
      </c>
    </row>
    <row r="62" customFormat="false" ht="15" hidden="false" customHeight="false" outlineLevel="0" collapsed="false">
      <c r="D62" s="0" t="n">
        <v>4</v>
      </c>
      <c r="E62" s="0" t="n">
        <v>8.34</v>
      </c>
      <c r="F62" s="0" t="n">
        <v>-13.75</v>
      </c>
      <c r="G62" s="2" t="n">
        <v>0.65</v>
      </c>
      <c r="H62" s="1" t="n">
        <v>-5.25</v>
      </c>
      <c r="I62" s="1" t="n">
        <v>0.65</v>
      </c>
      <c r="J62" s="0" t="n">
        <v>0</v>
      </c>
      <c r="K62" s="2" t="n">
        <v>0.77</v>
      </c>
      <c r="L62" s="0" t="n">
        <v>5.25</v>
      </c>
      <c r="M62" s="2" t="n">
        <v>0.65</v>
      </c>
      <c r="N62" s="1" t="n">
        <v>13.75</v>
      </c>
      <c r="O62" s="1" t="n">
        <v>0.65</v>
      </c>
    </row>
    <row r="63" customFormat="false" ht="15" hidden="false" customHeight="false" outlineLevel="0" collapsed="false">
      <c r="D63" s="0" t="n">
        <v>3</v>
      </c>
      <c r="E63" s="0" t="n">
        <v>7.62</v>
      </c>
      <c r="F63" s="0" t="n">
        <v>-14.2</v>
      </c>
      <c r="G63" s="2" t="n">
        <v>0.35</v>
      </c>
      <c r="H63" s="1" t="n">
        <v>-5.25</v>
      </c>
      <c r="I63" s="1" t="n">
        <v>0.35</v>
      </c>
      <c r="J63" s="0" t="n">
        <v>0</v>
      </c>
      <c r="K63" s="2" t="n">
        <v>0.47</v>
      </c>
      <c r="L63" s="0" t="n">
        <v>5.25</v>
      </c>
      <c r="M63" s="2" t="n">
        <v>0.35</v>
      </c>
      <c r="N63" s="1" t="n">
        <v>13.04</v>
      </c>
      <c r="O63" s="1" t="n">
        <v>0.35</v>
      </c>
    </row>
    <row r="64" customFormat="false" ht="15" hidden="false" customHeight="false" outlineLevel="0" collapsed="false">
      <c r="D64" s="0" t="n">
        <v>2</v>
      </c>
      <c r="E64" s="0" t="n">
        <v>7.34</v>
      </c>
      <c r="F64" s="0" t="n">
        <v>-14.65</v>
      </c>
      <c r="G64" s="2" t="n">
        <v>0.05</v>
      </c>
      <c r="H64" s="1" t="n">
        <v>-5.25</v>
      </c>
      <c r="I64" s="1" t="n">
        <v>0.05</v>
      </c>
      <c r="J64" s="0" t="n">
        <v>0</v>
      </c>
      <c r="K64" s="2" t="n">
        <v>0.17</v>
      </c>
      <c r="L64" s="0" t="n">
        <v>5.25</v>
      </c>
      <c r="M64" s="2" t="n">
        <v>0.05</v>
      </c>
      <c r="N64" s="1" t="n">
        <v>9.74</v>
      </c>
      <c r="O64" s="1" t="n">
        <v>0.05</v>
      </c>
    </row>
    <row r="65" customFormat="false" ht="15" hidden="false" customHeight="false" outlineLevel="0" collapsed="false">
      <c r="D65" s="0" t="n">
        <v>1</v>
      </c>
      <c r="E65" s="0" t="n">
        <v>5.62</v>
      </c>
      <c r="F65" s="0" t="n">
        <v>-15.1</v>
      </c>
      <c r="G65" s="2" t="n">
        <v>-0.25</v>
      </c>
      <c r="H65" s="1" t="n">
        <v>-5.25</v>
      </c>
      <c r="I65" s="1" t="n">
        <v>-0.25</v>
      </c>
      <c r="J65" s="0" t="n">
        <v>0</v>
      </c>
      <c r="K65" s="2" t="n">
        <v>-0.13</v>
      </c>
      <c r="L65" s="0" t="n">
        <v>5.25</v>
      </c>
      <c r="M65" s="2" t="n">
        <v>-0.25</v>
      </c>
      <c r="N65" s="1" t="n">
        <v>9.44</v>
      </c>
      <c r="O65" s="1" t="n">
        <v>-0.25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91.NĐXD8/CVXD ngày 30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91</v>
      </c>
    </row>
    <row r="3" customFormat="false" ht="18.75" hidden="false" customHeight="true" outlineLevel="0" collapsed="false">
      <c r="A3" s="7" t="s">
        <v>27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28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29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31</v>
      </c>
      <c r="C7" s="7"/>
      <c r="D7" s="7"/>
      <c r="F7" s="7"/>
      <c r="G7" s="7" t="str">
        <f>VLOOKUP(AZ2,'[1]Tuyến XD8'!$A$2:$B$60,2,0)</f>
        <v xml:space="preserve">Đắp đất nền đường lớp 1 đoạn từ Km0+609,11 - Km0+724,11,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34</v>
      </c>
      <c r="B19" s="9" t="s">
        <v>35</v>
      </c>
      <c r="C19" s="9" t="s">
        <v>36</v>
      </c>
      <c r="D19" s="10" t="s">
        <v>37</v>
      </c>
      <c r="E19" s="10"/>
      <c r="F19" s="10"/>
      <c r="G19" s="10"/>
      <c r="H19" s="10"/>
      <c r="I19" s="10"/>
      <c r="J19" s="10" t="s">
        <v>38</v>
      </c>
      <c r="K19" s="10"/>
      <c r="L19" s="10"/>
      <c r="M19" s="10" t="s">
        <v>39</v>
      </c>
      <c r="N19" s="10"/>
      <c r="O19" s="10"/>
      <c r="P19" s="10"/>
      <c r="Q19" s="10"/>
      <c r="R19" s="10"/>
      <c r="S19" s="9" t="s">
        <v>40</v>
      </c>
    </row>
    <row r="20" customFormat="false" ht="30" hidden="false" customHeight="true" outlineLevel="0" collapsed="false">
      <c r="A20" s="9"/>
      <c r="B20" s="9"/>
      <c r="C20" s="9"/>
      <c r="D20" s="11" t="s">
        <v>41</v>
      </c>
      <c r="E20" s="11" t="s">
        <v>42</v>
      </c>
      <c r="F20" s="11" t="s">
        <v>43</v>
      </c>
      <c r="G20" s="11" t="s">
        <v>44</v>
      </c>
      <c r="H20" s="11" t="s">
        <v>45</v>
      </c>
      <c r="I20" s="11" t="s">
        <v>46</v>
      </c>
      <c r="J20" s="11" t="s">
        <v>44</v>
      </c>
      <c r="K20" s="11" t="s">
        <v>45</v>
      </c>
      <c r="L20" s="11" t="s">
        <v>46</v>
      </c>
      <c r="M20" s="11" t="s">
        <v>41</v>
      </c>
      <c r="N20" s="11" t="s">
        <v>42</v>
      </c>
      <c r="O20" s="11" t="s">
        <v>43</v>
      </c>
      <c r="P20" s="11" t="s">
        <v>44</v>
      </c>
      <c r="Q20" s="11" t="s">
        <v>45</v>
      </c>
      <c r="R20" s="11" t="s">
        <v>46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609.11</v>
      </c>
      <c r="D21" s="16" t="n">
        <f aca="false">+Chạy!F9</f>
        <v>-9.46</v>
      </c>
      <c r="E21" s="16" t="n">
        <f aca="false">+D21+F21</f>
        <v>-9.4524</v>
      </c>
      <c r="F21" s="16" t="n">
        <f aca="false">RANDBETWEEN(-105,115)/10000</f>
        <v>0.0076</v>
      </c>
      <c r="G21" s="16" t="n">
        <f aca="false">+Chạy!G9</f>
        <v>-0.26</v>
      </c>
      <c r="H21" s="16" t="n">
        <f aca="false">G21+I21</f>
        <v>-0.283</v>
      </c>
      <c r="I21" s="16" t="n">
        <f aca="false">RANDBETWEEN(-30,90)/1000</f>
        <v>-0.023</v>
      </c>
      <c r="J21" s="16" t="n">
        <f aca="false">+Chạy!K9</f>
        <v>-0.14</v>
      </c>
      <c r="K21" s="16" t="n">
        <f aca="false">J21+L21</f>
        <v>-0.163</v>
      </c>
      <c r="L21" s="16" t="n">
        <f aca="false">RANDBETWEEN(-30,90)/1000</f>
        <v>-0.023</v>
      </c>
      <c r="M21" s="16" t="n">
        <f aca="false">+Chạy!N9</f>
        <v>9.32</v>
      </c>
      <c r="N21" s="16" t="n">
        <f aca="false">+M21+O21</f>
        <v>9.3262</v>
      </c>
      <c r="O21" s="16" t="n">
        <f aca="false">RANDBETWEEN(-105,115)/10000</f>
        <v>0.0062</v>
      </c>
      <c r="P21" s="16" t="n">
        <f aca="false">+Chạy!O9</f>
        <v>-0.26</v>
      </c>
      <c r="Q21" s="16" t="n">
        <f aca="false">P21+R21</f>
        <v>-0.269</v>
      </c>
      <c r="R21" s="16" t="n">
        <f aca="false">RANDBETWEEN(-30,90)/1000</f>
        <v>-0.009</v>
      </c>
      <c r="S21" s="17"/>
      <c r="T21" s="18" t="n">
        <v>11.75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620.86</v>
      </c>
      <c r="D22" s="16" t="n">
        <f aca="false">+Chạy!F17</f>
        <v>-9.24</v>
      </c>
      <c r="E22" s="16" t="n">
        <f aca="false">+D22+F22</f>
        <v>-9.2444</v>
      </c>
      <c r="F22" s="16" t="n">
        <f aca="false">RANDBETWEEN(-105,115)/10000</f>
        <v>-0.0044</v>
      </c>
      <c r="G22" s="16" t="n">
        <f aca="false">+Chạy!G17</f>
        <v>-0.26</v>
      </c>
      <c r="H22" s="16" t="n">
        <f aca="false">G22+I22</f>
        <v>-0.253</v>
      </c>
      <c r="I22" s="16" t="n">
        <f aca="false">RANDBETWEEN(-30,90)/1000</f>
        <v>0.007</v>
      </c>
      <c r="J22" s="16" t="n">
        <f aca="false">+Chạy!K17</f>
        <v>-0.14</v>
      </c>
      <c r="K22" s="16" t="n">
        <f aca="false">J22+L22</f>
        <v>-0.16</v>
      </c>
      <c r="L22" s="16" t="n">
        <f aca="false">RANDBETWEEN(-30,90)/1000</f>
        <v>-0.02</v>
      </c>
      <c r="M22" s="16" t="n">
        <f aca="false">+Chạy!N17</f>
        <v>9.38</v>
      </c>
      <c r="N22" s="16" t="n">
        <f aca="false">+M22+O22</f>
        <v>9.373</v>
      </c>
      <c r="O22" s="16" t="n">
        <f aca="false">RANDBETWEEN(-105,115)/10000</f>
        <v>-0.007</v>
      </c>
      <c r="P22" s="16" t="n">
        <f aca="false">+Chạy!O17</f>
        <v>-0.26</v>
      </c>
      <c r="Q22" s="16" t="n">
        <f aca="false">P22+R22</f>
        <v>-0.226</v>
      </c>
      <c r="R22" s="16" t="n">
        <f aca="false">RANDBETWEEN(-30,90)/1000</f>
        <v>0.034</v>
      </c>
      <c r="S22" s="17"/>
      <c r="T22" s="18" t="n">
        <v>11.75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632.61</v>
      </c>
      <c r="D23" s="16" t="n">
        <f aca="false">+Chạy!F25</f>
        <v>-9.97</v>
      </c>
      <c r="E23" s="16" t="n">
        <f aca="false">+D23+F23</f>
        <v>-9.9662</v>
      </c>
      <c r="F23" s="16" t="n">
        <f aca="false">RANDBETWEEN(-105,115)/10000</f>
        <v>0.0038</v>
      </c>
      <c r="G23" s="16" t="n">
        <f aca="false">+Chạy!G25</f>
        <v>-0.26</v>
      </c>
      <c r="H23" s="16" t="n">
        <f aca="false">G23+I23</f>
        <v>-0.279</v>
      </c>
      <c r="I23" s="16" t="n">
        <f aca="false">RANDBETWEEN(-30,90)/1000</f>
        <v>-0.019</v>
      </c>
      <c r="J23" s="16" t="n">
        <f aca="false">+Chạy!K25</f>
        <v>-0.14</v>
      </c>
      <c r="K23" s="16" t="n">
        <f aca="false">J23+L23</f>
        <v>-0.116</v>
      </c>
      <c r="L23" s="16" t="n">
        <f aca="false">RANDBETWEEN(-30,90)/1000</f>
        <v>0.024</v>
      </c>
      <c r="M23" s="16" t="n">
        <f aca="false">+Chạy!N25</f>
        <v>10.13</v>
      </c>
      <c r="N23" s="16" t="n">
        <f aca="false">+M23+O23</f>
        <v>10.1296</v>
      </c>
      <c r="O23" s="16" t="n">
        <f aca="false">RANDBETWEEN(-105,115)/10000</f>
        <v>-0.0004</v>
      </c>
      <c r="P23" s="16" t="n">
        <f aca="false">+Chạy!O25</f>
        <v>-0.26</v>
      </c>
      <c r="Q23" s="16" t="n">
        <f aca="false">P23+R23</f>
        <v>-0.209</v>
      </c>
      <c r="R23" s="16" t="n">
        <f aca="false">RANDBETWEEN(-30,90)/1000</f>
        <v>0.051</v>
      </c>
      <c r="S23" s="17"/>
      <c r="T23" s="18" t="n">
        <v>20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652.61</v>
      </c>
      <c r="D24" s="16" t="n">
        <f aca="false">+Chạy!F33</f>
        <v>-15.1</v>
      </c>
      <c r="E24" s="16" t="n">
        <f aca="false">+D24+F24</f>
        <v>-15.1037</v>
      </c>
      <c r="F24" s="16" t="n">
        <f aca="false">RANDBETWEEN(-105,115)/10000</f>
        <v>-0.0037</v>
      </c>
      <c r="G24" s="16" t="n">
        <f aca="false">+Chạy!G33</f>
        <v>-0.25</v>
      </c>
      <c r="H24" s="16" t="n">
        <f aca="false">G24+I24</f>
        <v>-0.161</v>
      </c>
      <c r="I24" s="16" t="n">
        <f aca="false">RANDBETWEEN(-30,90)/1000</f>
        <v>0.089</v>
      </c>
      <c r="J24" s="16" t="n">
        <f aca="false">+Chạy!K33</f>
        <v>-0.14</v>
      </c>
      <c r="K24" s="16" t="n">
        <f aca="false">J24+L24</f>
        <v>-0.121</v>
      </c>
      <c r="L24" s="16" t="n">
        <f aca="false">RANDBETWEEN(-30,90)/1000</f>
        <v>0.019</v>
      </c>
      <c r="M24" s="16" t="n">
        <f aca="false">+Chạy!N33</f>
        <v>15.1</v>
      </c>
      <c r="N24" s="16" t="n">
        <f aca="false">+M24+O24</f>
        <v>15.1024</v>
      </c>
      <c r="O24" s="16" t="n">
        <f aca="false">RANDBETWEEN(-105,115)/10000</f>
        <v>0.0024</v>
      </c>
      <c r="P24" s="16" t="n">
        <f aca="false">+Chạy!O33</f>
        <v>-0.25</v>
      </c>
      <c r="Q24" s="16" t="n">
        <f aca="false">P24+R24</f>
        <v>-0.191</v>
      </c>
      <c r="R24" s="16" t="n">
        <f aca="false">RANDBETWEEN(-30,90)/1000</f>
        <v>0.059</v>
      </c>
      <c r="S24" s="17"/>
      <c r="T24" s="18" t="n">
        <v>20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672.61</v>
      </c>
      <c r="D25" s="16" t="n">
        <f aca="false">+Chạy!F41</f>
        <v>-9.83</v>
      </c>
      <c r="E25" s="16" t="n">
        <f aca="false">+D25+F25</f>
        <v>-9.8247</v>
      </c>
      <c r="F25" s="16" t="n">
        <f aca="false">RANDBETWEEN(-105,115)/10000</f>
        <v>0.0053</v>
      </c>
      <c r="G25" s="16" t="n">
        <f aca="false">+Chạy!G41</f>
        <v>-0.25</v>
      </c>
      <c r="H25" s="16" t="n">
        <f aca="false">G25+I25</f>
        <v>-0.232</v>
      </c>
      <c r="I25" s="16" t="n">
        <f aca="false">RANDBETWEEN(-30,90)/1000</f>
        <v>0.018</v>
      </c>
      <c r="J25" s="16" t="n">
        <f aca="false">+Chạy!K41</f>
        <v>-0.14</v>
      </c>
      <c r="K25" s="16" t="n">
        <f aca="false">J25+L25</f>
        <v>-0.132</v>
      </c>
      <c r="L25" s="16" t="n">
        <f aca="false">RANDBETWEEN(-30,90)/1000</f>
        <v>0.008</v>
      </c>
      <c r="M25" s="16" t="n">
        <f aca="false">+Chạy!N41</f>
        <v>9.87</v>
      </c>
      <c r="N25" s="16" t="n">
        <f aca="false">+M25+O25</f>
        <v>9.8677</v>
      </c>
      <c r="O25" s="16" t="n">
        <f aca="false">RANDBETWEEN(-105,115)/10000</f>
        <v>-0.0023</v>
      </c>
      <c r="P25" s="16" t="n">
        <f aca="false">+Chạy!O41</f>
        <v>-0.25</v>
      </c>
      <c r="Q25" s="16" t="n">
        <f aca="false">P25+R25</f>
        <v>-0.271</v>
      </c>
      <c r="R25" s="16" t="n">
        <f aca="false">RANDBETWEEN(-30,90)/1000</f>
        <v>-0.021</v>
      </c>
      <c r="S25" s="17"/>
      <c r="T25" s="18" t="n">
        <v>20</v>
      </c>
    </row>
    <row r="26" customFormat="false" ht="17.25" hidden="false" customHeight="true" outlineLevel="0" collapsed="false">
      <c r="A26" s="13" t="n">
        <v>6</v>
      </c>
      <c r="B26" s="14" t="s">
        <v>22</v>
      </c>
      <c r="C26" s="15" t="n">
        <f aca="false">+C25+T25</f>
        <v>692.61</v>
      </c>
      <c r="D26" s="16" t="n">
        <f aca="false">+Chạy!F49</f>
        <v>-15.1</v>
      </c>
      <c r="E26" s="16" t="n">
        <f aca="false">+D26+F26</f>
        <v>-15.091</v>
      </c>
      <c r="F26" s="16" t="n">
        <f aca="false">RANDBETWEEN(-105,115)/10000</f>
        <v>0.009</v>
      </c>
      <c r="G26" s="16" t="n">
        <f aca="false">+Chạy!G49</f>
        <v>-0.25</v>
      </c>
      <c r="H26" s="16" t="n">
        <f aca="false">G26+I26</f>
        <v>-0.173</v>
      </c>
      <c r="I26" s="16" t="n">
        <f aca="false">RANDBETWEEN(-30,90)/1000</f>
        <v>0.077</v>
      </c>
      <c r="J26" s="16" t="n">
        <f aca="false">+Chạy!K49</f>
        <v>-0.13</v>
      </c>
      <c r="K26" s="16" t="n">
        <f aca="false">J26+L26</f>
        <v>-0.076</v>
      </c>
      <c r="L26" s="16" t="n">
        <f aca="false">RANDBETWEEN(-30,90)/1000</f>
        <v>0.054</v>
      </c>
      <c r="M26" s="16" t="n">
        <f aca="false">+Chạy!N49</f>
        <v>15.1</v>
      </c>
      <c r="N26" s="16" t="n">
        <f aca="false">+M26+O26</f>
        <v>15.108</v>
      </c>
      <c r="O26" s="16" t="n">
        <f aca="false">RANDBETWEEN(-105,115)/10000</f>
        <v>0.008</v>
      </c>
      <c r="P26" s="16" t="n">
        <f aca="false">+Chạy!O49</f>
        <v>-0.25</v>
      </c>
      <c r="Q26" s="16" t="n">
        <f aca="false">P26+R26</f>
        <v>-0.175</v>
      </c>
      <c r="R26" s="16" t="n">
        <f aca="false">RANDBETWEEN(-30,90)/1000</f>
        <v>0.075</v>
      </c>
      <c r="S26" s="17"/>
      <c r="T26" s="18" t="n">
        <v>20</v>
      </c>
    </row>
    <row r="27" customFormat="false" ht="17.25" hidden="false" customHeight="true" outlineLevel="0" collapsed="false">
      <c r="A27" s="13" t="n">
        <v>7</v>
      </c>
      <c r="B27" s="14" t="s">
        <v>23</v>
      </c>
      <c r="C27" s="15" t="n">
        <f aca="false">+C26+T26</f>
        <v>712.61</v>
      </c>
      <c r="D27" s="16" t="n">
        <f aca="false">+Chạy!F57</f>
        <v>-6.45</v>
      </c>
      <c r="E27" s="16" t="n">
        <f aca="false">+D27+F27</f>
        <v>-6.4466</v>
      </c>
      <c r="F27" s="16" t="n">
        <f aca="false">RANDBETWEEN(-105,115)/10000</f>
        <v>0.0034</v>
      </c>
      <c r="G27" s="16" t="n">
        <f aca="false">+Chạy!G57</f>
        <v>-0.25</v>
      </c>
      <c r="H27" s="16" t="n">
        <f aca="false">G27+I27</f>
        <v>-0.225</v>
      </c>
      <c r="I27" s="16" t="n">
        <f aca="false">RANDBETWEEN(-30,90)/1000</f>
        <v>0.025</v>
      </c>
      <c r="J27" s="16" t="n">
        <f aca="false">+Chạy!K57</f>
        <v>-0.13</v>
      </c>
      <c r="K27" s="16" t="n">
        <f aca="false">J27+L27</f>
        <v>-0.086</v>
      </c>
      <c r="L27" s="16" t="n">
        <f aca="false">RANDBETWEEN(-30,90)/1000</f>
        <v>0.044</v>
      </c>
      <c r="M27" s="16" t="n">
        <f aca="false">+Chạy!N57</f>
        <v>15.1</v>
      </c>
      <c r="N27" s="16" t="n">
        <f aca="false">+M27+O27</f>
        <v>15.0949</v>
      </c>
      <c r="O27" s="16" t="n">
        <f aca="false">RANDBETWEEN(-105,115)/10000</f>
        <v>-0.0051</v>
      </c>
      <c r="P27" s="16" t="n">
        <f aca="false">+Chạy!O57</f>
        <v>-0.25</v>
      </c>
      <c r="Q27" s="16" t="n">
        <f aca="false">P27+R27</f>
        <v>-0.232</v>
      </c>
      <c r="R27" s="16" t="n">
        <f aca="false">RANDBETWEEN(-30,90)/1000</f>
        <v>0.018</v>
      </c>
      <c r="S27" s="17"/>
      <c r="T27" s="18" t="n">
        <v>11.5</v>
      </c>
    </row>
    <row r="28" customFormat="false" ht="17.25" hidden="false" customHeight="true" outlineLevel="0" collapsed="false">
      <c r="A28" s="13" t="n">
        <v>8</v>
      </c>
      <c r="B28" s="14" t="s">
        <v>24</v>
      </c>
      <c r="C28" s="15" t="n">
        <f aca="false">+C27+T27</f>
        <v>724.11</v>
      </c>
      <c r="D28" s="16" t="n">
        <f aca="false">+Chạy!F65</f>
        <v>-15.1</v>
      </c>
      <c r="E28" s="16" t="n">
        <f aca="false">+D28+F28</f>
        <v>-15.0892</v>
      </c>
      <c r="F28" s="16" t="n">
        <f aca="false">RANDBETWEEN(-105,115)/10000</f>
        <v>0.0108</v>
      </c>
      <c r="G28" s="16" t="n">
        <f aca="false">+Chạy!G65</f>
        <v>-0.25</v>
      </c>
      <c r="H28" s="16" t="n">
        <f aca="false">G28+I28</f>
        <v>-0.209</v>
      </c>
      <c r="I28" s="16" t="n">
        <f aca="false">RANDBETWEEN(-30,90)/1000</f>
        <v>0.041</v>
      </c>
      <c r="J28" s="16" t="n">
        <f aca="false">+Chạy!K65</f>
        <v>-0.13</v>
      </c>
      <c r="K28" s="16" t="n">
        <f aca="false">J28+L28</f>
        <v>-0.056</v>
      </c>
      <c r="L28" s="16" t="n">
        <f aca="false">RANDBETWEEN(-30,90)/1000</f>
        <v>0.074</v>
      </c>
      <c r="M28" s="16" t="n">
        <f aca="false">+Chạy!N65</f>
        <v>9.44</v>
      </c>
      <c r="N28" s="16" t="n">
        <f aca="false">+M28+O28</f>
        <v>9.4492</v>
      </c>
      <c r="O28" s="16" t="n">
        <f aca="false">RANDBETWEEN(-105,115)/10000</f>
        <v>0.0092</v>
      </c>
      <c r="P28" s="16" t="n">
        <f aca="false">+Chạy!O65</f>
        <v>-0.25</v>
      </c>
      <c r="Q28" s="16" t="n">
        <f aca="false">P28+R28</f>
        <v>-0.26</v>
      </c>
      <c r="R28" s="16" t="n">
        <f aca="false">RANDBETWEEN(-30,90)/1000</f>
        <v>-0.01</v>
      </c>
      <c r="S28" s="17"/>
      <c r="T28" s="18"/>
    </row>
    <row r="29" customFormat="false" ht="17.25" hidden="true" customHeight="tru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</row>
    <row r="30" customFormat="false" ht="17.25" hidden="true" customHeight="tru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</row>
    <row r="31" customFormat="false" ht="17.25" hidden="true" customHeight="tru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</row>
    <row r="32" customFormat="false" ht="17.25" hidden="true" customHeight="tru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</row>
    <row r="33" customFormat="false" ht="17.25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</row>
    <row r="34" customFormat="false" ht="17.25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</row>
    <row r="35" customFormat="false" ht="17.25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</row>
    <row r="36" customFormat="false" ht="17.25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</row>
    <row r="37" customFormat="false" ht="17.25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</row>
    <row r="38" customFormat="false" ht="17.25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</row>
    <row r="39" customFormat="false" ht="17.25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</row>
    <row r="40" customFormat="false" ht="17.25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</row>
    <row r="41" customFormat="false" ht="17.25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</row>
    <row r="42" customFormat="false" ht="17.25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</row>
    <row r="43" customFormat="false" ht="17.25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</row>
    <row r="44" customFormat="false" ht="17.25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</row>
    <row r="45" customFormat="false" ht="17.25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</row>
    <row r="46" customFormat="false" ht="17.25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</row>
    <row r="47" customFormat="false" ht="17.25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</row>
    <row r="48" customFormat="false" ht="17.25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</row>
    <row r="49" customFormat="false" ht="17.25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</row>
    <row r="50" customFormat="false" ht="17.25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</row>
    <row r="51" customFormat="false" ht="17.25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</row>
    <row r="52" customFormat="false" ht="17.25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</row>
    <row r="53" customFormat="false" ht="17.25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</row>
    <row r="54" customFormat="false" ht="17.25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</row>
    <row r="55" customFormat="false" ht="17.25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</row>
    <row r="56" customFormat="false" ht="17.25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</row>
    <row r="57" customFormat="false" ht="17.25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</row>
    <row r="58" customFormat="false" ht="17.25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</row>
    <row r="59" customFormat="false" ht="17.25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</row>
    <row r="60" customFormat="false" ht="17.25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</row>
    <row r="62" customFormat="false" ht="15" hidden="false" customHeight="false" outlineLevel="0" collapsed="false">
      <c r="C62" s="19" t="s">
        <v>47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48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C67" s="19" t="s">
        <v>49</v>
      </c>
      <c r="D67" s="19"/>
      <c r="E67" s="19"/>
      <c r="F67" s="19"/>
      <c r="G67" s="19"/>
      <c r="H67" s="19"/>
      <c r="I67" s="19"/>
      <c r="K67" s="20"/>
      <c r="L67" s="20"/>
      <c r="M67" s="20"/>
      <c r="N67" s="20"/>
      <c r="O67" s="19" t="s">
        <v>50</v>
      </c>
      <c r="P67" s="19"/>
      <c r="Q67" s="19"/>
      <c r="R67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6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91.NĐXD8/CVXD ngày 30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  <c r="AZ2">
        <v>91</v>
      </c>
    </row>
    <row r="3" s="32" customFormat="true" ht="37.5" hidden="false" customHeight="true" outlineLevel="0" collapsed="false">
      <c r="A3" s="29" t="s">
        <v>27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28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29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30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31</v>
      </c>
      <c r="B7" s="34"/>
      <c r="D7" s="35" t="str">
        <f>VLOOKUP(AZ2,'[1]Tuyến XD8'!$A$2:$B$60,2,0)</f>
        <v xml:space="preserve">Đắp đất nền đường lớp 1 đoạn từ Km0+609,11 - Km0+724,11,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35</v>
      </c>
      <c r="C9" s="37" t="s">
        <v>36</v>
      </c>
      <c r="D9" s="38" t="s">
        <v>52</v>
      </c>
      <c r="E9" s="39"/>
      <c r="F9" s="39"/>
      <c r="G9" s="38"/>
      <c r="H9" s="39"/>
      <c r="I9" s="39"/>
      <c r="J9" s="39"/>
      <c r="K9" s="39"/>
      <c r="L9" s="39"/>
      <c r="M9" s="40" t="s">
        <v>53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40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54</v>
      </c>
      <c r="O10" s="40" t="s">
        <v>55</v>
      </c>
      <c r="P10" s="40" t="s">
        <v>54</v>
      </c>
      <c r="Q10" s="40" t="s">
        <v>54</v>
      </c>
      <c r="R10" s="40"/>
      <c r="S10" s="40"/>
      <c r="T10" s="40"/>
      <c r="U10" s="40" t="s">
        <v>56</v>
      </c>
      <c r="V10" s="40" t="s">
        <v>56</v>
      </c>
      <c r="W10" s="40" t="s">
        <v>57</v>
      </c>
      <c r="X10" s="40" t="s">
        <v>56</v>
      </c>
      <c r="Y10" s="40" t="s">
        <v>56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31</v>
      </c>
      <c r="C11" s="51" t="n">
        <f aca="false">'1.KTHH L1'!C21</f>
        <v>609.11</v>
      </c>
      <c r="D11" s="13" t="n">
        <f aca="false">'1.KTHH L1'!T21</f>
        <v>11.75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Chạy!E9</f>
        <v>4.22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49.585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E10</v>
      </c>
      <c r="C12" s="51" t="n">
        <f aca="false">'1.KTHH L1'!C22</f>
        <v>620.86</v>
      </c>
      <c r="D12" s="13" t="n">
        <f aca="false">'1.KTHH L1'!T22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4.22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51.40625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32</v>
      </c>
      <c r="C13" s="51" t="n">
        <f aca="false">'1.KTHH L1'!C23</f>
        <v>632.61</v>
      </c>
      <c r="D13" s="13" t="n">
        <f aca="false">'1.KTHH L1'!T23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4.53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99.7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33</v>
      </c>
      <c r="C14" s="51" t="n">
        <f aca="false">'1.KTHH L1'!C24</f>
        <v>652.61</v>
      </c>
      <c r="D14" s="13" t="n">
        <f aca="false">'1.KTHH L1'!T24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5.44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99.5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34</v>
      </c>
      <c r="C15" s="51" t="n">
        <f aca="false">'1.KTHH L1'!C25</f>
        <v>672.61</v>
      </c>
      <c r="D15" s="13" t="n">
        <f aca="false">'1.KTHH L1'!T25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4.51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101.2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35</v>
      </c>
      <c r="C16" s="51" t="n">
        <f aca="false">'1.KTHH L1'!C26</f>
        <v>692.61</v>
      </c>
      <c r="D16" s="13" t="n">
        <f aca="false">'1.KTHH L1'!T26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5.61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97.8</v>
      </c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false" customHeight="true" outlineLevel="0" collapsed="false">
      <c r="A17" s="13" t="n">
        <v>7</v>
      </c>
      <c r="B17" s="13" t="str">
        <f aca="false">'1.KTHH L1'!B27</f>
        <v>36</v>
      </c>
      <c r="C17" s="51" t="n">
        <f aca="false">'1.KTHH L1'!C27</f>
        <v>712.61</v>
      </c>
      <c r="D17" s="13" t="n">
        <f aca="false">'1.KTHH L1'!T27</f>
        <v>11.5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Chạy!E57</f>
        <v>4.17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56.2925</v>
      </c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false" customHeight="true" outlineLevel="0" collapsed="false">
      <c r="A18" s="13" t="n">
        <v>8</v>
      </c>
      <c r="B18" s="13" t="str">
        <f aca="false">'1.KTHH L1'!B28</f>
        <v>37</v>
      </c>
      <c r="C18" s="51" t="n">
        <f aca="false">'1.KTHH L1'!C28</f>
        <v>724.11</v>
      </c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Chạy!E65</f>
        <v>5.62</v>
      </c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  <c r="AE20" s="58"/>
      <c r="AF20" s="58"/>
      <c r="AG20" s="58"/>
      <c r="AH20" s="58"/>
      <c r="AI20" s="59"/>
      <c r="AJ20" s="60"/>
      <c r="AL20" s="58"/>
      <c r="AO20" s="59"/>
      <c r="AP20" s="59"/>
      <c r="AQ20" s="59"/>
      <c r="AR20" s="59"/>
      <c r="AS20" s="59"/>
      <c r="AT20" s="59"/>
      <c r="AU20" s="59"/>
      <c r="AV20" s="59"/>
      <c r="AX20" s="59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58"/>
      <c r="AF21" s="58"/>
      <c r="AG21" s="58"/>
      <c r="AH21" s="58"/>
      <c r="AI21" s="59"/>
      <c r="AJ21" s="60"/>
      <c r="AL21" s="58"/>
      <c r="AO21" s="59"/>
      <c r="AP21" s="59"/>
      <c r="AQ21" s="59"/>
      <c r="AR21" s="59"/>
      <c r="AS21" s="59"/>
      <c r="AT21" s="59"/>
      <c r="AU21" s="59"/>
      <c r="AV21" s="59"/>
      <c r="AX21" s="59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58"/>
      <c r="AF22" s="58"/>
      <c r="AG22" s="58"/>
      <c r="AH22" s="58"/>
      <c r="AI22" s="59"/>
      <c r="AJ22" s="60"/>
      <c r="AL22" s="58"/>
      <c r="AO22" s="59"/>
      <c r="AP22" s="59"/>
      <c r="AQ22" s="59"/>
      <c r="AR22" s="59"/>
      <c r="AS22" s="59"/>
      <c r="AT22" s="59"/>
      <c r="AU22" s="59"/>
      <c r="AV22" s="59"/>
      <c r="AX22" s="59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58"/>
      <c r="AF23" s="58"/>
      <c r="AG23" s="58"/>
      <c r="AH23" s="58"/>
      <c r="AI23" s="59"/>
      <c r="AJ23" s="60"/>
      <c r="AL23" s="58"/>
      <c r="AO23" s="59"/>
      <c r="AP23" s="59"/>
      <c r="AQ23" s="59"/>
      <c r="AR23" s="59"/>
      <c r="AS23" s="59"/>
      <c r="AT23" s="59"/>
      <c r="AU23" s="59"/>
      <c r="AV23" s="59"/>
      <c r="AX23" s="59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58"/>
      <c r="AF24" s="58"/>
      <c r="AG24" s="58"/>
      <c r="AH24" s="58"/>
      <c r="AI24" s="59"/>
      <c r="AJ24" s="60"/>
      <c r="AL24" s="58"/>
      <c r="AO24" s="59"/>
      <c r="AP24" s="59"/>
      <c r="AQ24" s="59"/>
      <c r="AR24" s="59"/>
      <c r="AS24" s="59"/>
      <c r="AT24" s="59"/>
      <c r="AU24" s="59"/>
      <c r="AV24" s="59"/>
      <c r="AX24" s="59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58"/>
      <c r="AF25" s="58"/>
      <c r="AG25" s="58"/>
      <c r="AH25" s="58"/>
      <c r="AI25" s="59"/>
      <c r="AJ25" s="60"/>
      <c r="AL25" s="58"/>
      <c r="AO25" s="59"/>
      <c r="AP25" s="59"/>
      <c r="AQ25" s="59"/>
      <c r="AR25" s="59"/>
      <c r="AS25" s="59"/>
      <c r="AT25" s="59"/>
      <c r="AU25" s="59"/>
      <c r="AV25" s="59"/>
      <c r="AX25" s="59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58"/>
      <c r="AF26" s="58"/>
      <c r="AG26" s="58"/>
      <c r="AH26" s="58"/>
      <c r="AI26" s="59"/>
      <c r="AJ26" s="60"/>
      <c r="AL26" s="58"/>
      <c r="AO26" s="59"/>
      <c r="AP26" s="59"/>
      <c r="AQ26" s="59"/>
      <c r="AR26" s="59"/>
      <c r="AS26" s="59"/>
      <c r="AT26" s="59"/>
      <c r="AU26" s="59"/>
      <c r="AV26" s="59"/>
      <c r="AX26" s="59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58"/>
      <c r="AF27" s="58"/>
      <c r="AG27" s="58"/>
      <c r="AH27" s="58"/>
      <c r="AI27" s="59"/>
      <c r="AJ27" s="60"/>
      <c r="AL27" s="58"/>
      <c r="AO27" s="59"/>
      <c r="AP27" s="59"/>
      <c r="AQ27" s="59"/>
      <c r="AR27" s="59"/>
      <c r="AS27" s="59"/>
      <c r="AT27" s="59"/>
      <c r="AU27" s="59"/>
      <c r="AV27" s="59"/>
      <c r="AX27" s="59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58"/>
      <c r="AF28" s="58"/>
      <c r="AG28" s="58"/>
      <c r="AH28" s="58"/>
      <c r="AI28" s="59"/>
      <c r="AJ28" s="60"/>
      <c r="AL28" s="58"/>
      <c r="AO28" s="59"/>
      <c r="AP28" s="59"/>
      <c r="AQ28" s="59"/>
      <c r="AR28" s="59"/>
      <c r="AS28" s="59"/>
      <c r="AT28" s="59"/>
      <c r="AU28" s="59"/>
      <c r="AV28" s="59"/>
      <c r="AX28" s="59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58"/>
      <c r="AF29" s="58"/>
      <c r="AG29" s="58"/>
      <c r="AH29" s="58"/>
      <c r="AI29" s="59"/>
      <c r="AJ29" s="60"/>
      <c r="AL29" s="58"/>
      <c r="AO29" s="59"/>
      <c r="AP29" s="59"/>
      <c r="AQ29" s="59"/>
      <c r="AR29" s="59"/>
      <c r="AS29" s="59"/>
      <c r="AT29" s="59"/>
      <c r="AU29" s="59"/>
      <c r="AV29" s="59"/>
      <c r="AX29" s="59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58"/>
      <c r="AF30" s="58"/>
      <c r="AG30" s="58"/>
      <c r="AH30" s="58"/>
      <c r="AI30" s="59"/>
      <c r="AJ30" s="60"/>
      <c r="AL30" s="58"/>
      <c r="AO30" s="59"/>
      <c r="AP30" s="59"/>
      <c r="AQ30" s="59"/>
      <c r="AR30" s="59"/>
      <c r="AS30" s="59"/>
      <c r="AT30" s="59"/>
      <c r="AU30" s="59"/>
      <c r="AV30" s="59"/>
      <c r="AX30" s="59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58"/>
      <c r="AF31" s="58"/>
      <c r="AG31" s="58"/>
      <c r="AH31" s="58"/>
      <c r="AI31" s="59"/>
      <c r="AJ31" s="60"/>
      <c r="AL31" s="58"/>
      <c r="AO31" s="59"/>
      <c r="AP31" s="59"/>
      <c r="AQ31" s="59"/>
      <c r="AR31" s="59"/>
      <c r="AS31" s="59"/>
      <c r="AT31" s="59"/>
      <c r="AU31" s="59"/>
      <c r="AV31" s="59"/>
      <c r="AX31" s="59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58"/>
      <c r="AF32" s="58"/>
      <c r="AG32" s="58"/>
      <c r="AH32" s="58"/>
      <c r="AI32" s="59"/>
      <c r="AJ32" s="60"/>
      <c r="AL32" s="58"/>
      <c r="AO32" s="59"/>
      <c r="AP32" s="59"/>
      <c r="AQ32" s="59"/>
      <c r="AR32" s="59"/>
      <c r="AS32" s="59"/>
      <c r="AT32" s="59"/>
      <c r="AU32" s="59"/>
      <c r="AV32" s="59"/>
      <c r="AX32" s="59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58"/>
      <c r="AF33" s="58"/>
      <c r="AG33" s="58"/>
      <c r="AH33" s="58"/>
      <c r="AI33" s="59"/>
      <c r="AJ33" s="60"/>
      <c r="AL33" s="58"/>
      <c r="AO33" s="59"/>
      <c r="AP33" s="59"/>
      <c r="AQ33" s="59"/>
      <c r="AR33" s="59"/>
      <c r="AS33" s="59"/>
      <c r="AT33" s="59"/>
      <c r="AU33" s="59"/>
      <c r="AV33" s="59"/>
      <c r="AX33" s="59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58"/>
      <c r="AF34" s="58"/>
      <c r="AG34" s="58"/>
      <c r="AH34" s="58"/>
      <c r="AI34" s="59"/>
      <c r="AJ34" s="60"/>
      <c r="AL34" s="58"/>
      <c r="AO34" s="59"/>
      <c r="AP34" s="59"/>
      <c r="AQ34" s="59"/>
      <c r="AR34" s="59"/>
      <c r="AS34" s="59"/>
      <c r="AT34" s="59"/>
      <c r="AU34" s="59"/>
      <c r="AV34" s="59"/>
      <c r="AX34" s="59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58"/>
      <c r="AF35" s="58"/>
      <c r="AG35" s="58"/>
      <c r="AH35" s="58"/>
      <c r="AI35" s="59"/>
      <c r="AJ35" s="60"/>
      <c r="AL35" s="58"/>
      <c r="AO35" s="59"/>
      <c r="AP35" s="59"/>
      <c r="AQ35" s="59"/>
      <c r="AR35" s="59"/>
      <c r="AS35" s="59"/>
      <c r="AT35" s="59"/>
      <c r="AU35" s="59"/>
      <c r="AV35" s="59"/>
      <c r="AX35" s="59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58"/>
      <c r="AF36" s="58"/>
      <c r="AG36" s="58"/>
      <c r="AH36" s="58"/>
      <c r="AI36" s="59"/>
      <c r="AJ36" s="60"/>
      <c r="AL36" s="58"/>
      <c r="AO36" s="59"/>
      <c r="AP36" s="59"/>
      <c r="AQ36" s="59"/>
      <c r="AR36" s="59"/>
      <c r="AS36" s="59"/>
      <c r="AT36" s="59"/>
      <c r="AU36" s="59"/>
      <c r="AV36" s="59"/>
      <c r="AX36" s="59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58"/>
      <c r="AF37" s="58"/>
      <c r="AG37" s="58"/>
      <c r="AH37" s="58"/>
      <c r="AI37" s="59"/>
      <c r="AJ37" s="60"/>
      <c r="AL37" s="58"/>
      <c r="AO37" s="59"/>
      <c r="AP37" s="59"/>
      <c r="AQ37" s="59"/>
      <c r="AR37" s="59"/>
      <c r="AS37" s="59"/>
      <c r="AT37" s="59"/>
      <c r="AU37" s="59"/>
      <c r="AV37" s="59"/>
      <c r="AX37" s="59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58"/>
      <c r="AF38" s="58"/>
      <c r="AG38" s="58"/>
      <c r="AH38" s="58"/>
      <c r="AI38" s="59"/>
      <c r="AJ38" s="60"/>
      <c r="AL38" s="58"/>
      <c r="AO38" s="59"/>
      <c r="AP38" s="59"/>
      <c r="AQ38" s="59"/>
      <c r="AR38" s="59"/>
      <c r="AS38" s="59"/>
      <c r="AT38" s="59"/>
      <c r="AU38" s="59"/>
      <c r="AV38" s="59"/>
      <c r="AX38" s="59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58"/>
      <c r="AF39" s="58"/>
      <c r="AG39" s="58"/>
      <c r="AH39" s="58"/>
      <c r="AI39" s="59"/>
      <c r="AJ39" s="60"/>
      <c r="AL39" s="58"/>
      <c r="AO39" s="59"/>
      <c r="AP39" s="59"/>
      <c r="AQ39" s="59"/>
      <c r="AR39" s="59"/>
      <c r="AS39" s="59"/>
      <c r="AT39" s="59"/>
      <c r="AU39" s="59"/>
      <c r="AV39" s="59"/>
      <c r="AX39" s="59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58"/>
      <c r="AF40" s="58"/>
      <c r="AG40" s="58"/>
      <c r="AH40" s="58"/>
      <c r="AI40" s="59"/>
      <c r="AJ40" s="60"/>
      <c r="AL40" s="58"/>
      <c r="AO40" s="59"/>
      <c r="AP40" s="59"/>
      <c r="AQ40" s="59"/>
      <c r="AR40" s="59"/>
      <c r="AS40" s="59"/>
      <c r="AT40" s="59"/>
      <c r="AU40" s="59"/>
      <c r="AV40" s="59"/>
      <c r="AX40" s="59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58"/>
      <c r="AF41" s="58"/>
      <c r="AG41" s="58"/>
      <c r="AH41" s="58"/>
      <c r="AI41" s="59"/>
      <c r="AJ41" s="60"/>
      <c r="AL41" s="58"/>
      <c r="AO41" s="59"/>
      <c r="AP41" s="59"/>
      <c r="AQ41" s="59"/>
      <c r="AR41" s="59"/>
      <c r="AS41" s="59"/>
      <c r="AT41" s="59"/>
      <c r="AU41" s="59"/>
      <c r="AV41" s="59"/>
      <c r="AX41" s="59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58"/>
      <c r="AF42" s="58"/>
      <c r="AG42" s="58"/>
      <c r="AH42" s="58"/>
      <c r="AI42" s="59"/>
      <c r="AJ42" s="60"/>
      <c r="AL42" s="58"/>
      <c r="AO42" s="59"/>
      <c r="AP42" s="59"/>
      <c r="AQ42" s="59"/>
      <c r="AR42" s="59"/>
      <c r="AS42" s="59"/>
      <c r="AT42" s="59"/>
      <c r="AU42" s="59"/>
      <c r="AV42" s="59"/>
      <c r="AX42" s="59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58"/>
      <c r="AF43" s="58"/>
      <c r="AG43" s="58"/>
      <c r="AH43" s="58"/>
      <c r="AI43" s="59"/>
      <c r="AJ43" s="60"/>
      <c r="AL43" s="58"/>
      <c r="AO43" s="59"/>
      <c r="AP43" s="59"/>
      <c r="AQ43" s="59"/>
      <c r="AR43" s="59"/>
      <c r="AS43" s="59"/>
      <c r="AT43" s="59"/>
      <c r="AU43" s="59"/>
      <c r="AV43" s="59"/>
      <c r="AX43" s="59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58"/>
      <c r="AF44" s="58"/>
      <c r="AG44" s="58"/>
      <c r="AH44" s="58"/>
      <c r="AI44" s="59"/>
      <c r="AJ44" s="60"/>
      <c r="AL44" s="58"/>
      <c r="AO44" s="59"/>
      <c r="AP44" s="59"/>
      <c r="AQ44" s="59"/>
      <c r="AR44" s="59"/>
      <c r="AS44" s="59"/>
      <c r="AT44" s="59"/>
      <c r="AU44" s="59"/>
      <c r="AV44" s="59"/>
      <c r="AX44" s="59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58"/>
      <c r="AF45" s="58"/>
      <c r="AG45" s="58"/>
      <c r="AH45" s="58"/>
      <c r="AI45" s="59"/>
      <c r="AJ45" s="60"/>
      <c r="AL45" s="58"/>
      <c r="AO45" s="59"/>
      <c r="AP45" s="59"/>
      <c r="AQ45" s="59"/>
      <c r="AR45" s="59"/>
      <c r="AS45" s="59"/>
      <c r="AT45" s="59"/>
      <c r="AU45" s="59"/>
      <c r="AV45" s="59"/>
      <c r="AX45" s="59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58"/>
      <c r="AF46" s="58"/>
      <c r="AG46" s="58"/>
      <c r="AH46" s="58"/>
      <c r="AI46" s="59"/>
      <c r="AJ46" s="60"/>
      <c r="AL46" s="58"/>
      <c r="AO46" s="59"/>
      <c r="AP46" s="59"/>
      <c r="AQ46" s="59"/>
      <c r="AR46" s="59"/>
      <c r="AS46" s="59"/>
      <c r="AT46" s="59"/>
      <c r="AU46" s="59"/>
      <c r="AV46" s="59"/>
      <c r="AX46" s="59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58"/>
      <c r="AF47" s="58"/>
      <c r="AG47" s="58"/>
      <c r="AH47" s="58"/>
      <c r="AI47" s="59"/>
      <c r="AJ47" s="60"/>
      <c r="AL47" s="58"/>
      <c r="AO47" s="59"/>
      <c r="AP47" s="59"/>
      <c r="AQ47" s="59"/>
      <c r="AR47" s="59"/>
      <c r="AS47" s="59"/>
      <c r="AT47" s="59"/>
      <c r="AU47" s="59"/>
      <c r="AV47" s="59"/>
      <c r="AX47" s="59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58"/>
      <c r="AF48" s="58"/>
      <c r="AG48" s="58"/>
      <c r="AH48" s="58"/>
      <c r="AI48" s="59"/>
      <c r="AJ48" s="60"/>
      <c r="AL48" s="58"/>
      <c r="AO48" s="59"/>
      <c r="AP48" s="59"/>
      <c r="AQ48" s="59"/>
      <c r="AR48" s="59"/>
      <c r="AS48" s="59"/>
      <c r="AT48" s="59"/>
      <c r="AU48" s="59"/>
      <c r="AV48" s="59"/>
      <c r="AX48" s="59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58"/>
      <c r="AF49" s="58"/>
      <c r="AG49" s="58"/>
      <c r="AH49" s="58"/>
      <c r="AI49" s="59"/>
      <c r="AJ49" s="60"/>
      <c r="AL49" s="58"/>
      <c r="AO49" s="59"/>
      <c r="AP49" s="59"/>
      <c r="AQ49" s="59"/>
      <c r="AR49" s="59"/>
      <c r="AS49" s="59"/>
      <c r="AT49" s="59"/>
      <c r="AU49" s="59"/>
      <c r="AV49" s="59"/>
      <c r="AX49" s="59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58"/>
      <c r="AF50" s="58"/>
      <c r="AG50" s="58"/>
      <c r="AH50" s="58"/>
      <c r="AI50" s="59"/>
      <c r="AJ50" s="60"/>
      <c r="AL50" s="58"/>
      <c r="AO50" s="59"/>
      <c r="AP50" s="59"/>
      <c r="AQ50" s="59"/>
      <c r="AR50" s="59"/>
      <c r="AS50" s="59"/>
      <c r="AT50" s="59"/>
      <c r="AU50" s="59"/>
      <c r="AV50" s="59"/>
      <c r="AX50" s="59"/>
    </row>
    <row r="51" s="32" customFormat="true" ht="16.5" hidden="false" customHeight="true" outlineLevel="0" collapsed="false">
      <c r="A51" s="61" t="s">
        <v>58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SUM(W11:W18)</f>
        <v>555.48375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N51" s="67"/>
    </row>
    <row r="52" s="72" customFormat="true" ht="15.7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  <c r="AE52" s="73"/>
      <c r="AF52" s="74"/>
      <c r="AG52" s="74"/>
      <c r="AH52" s="74"/>
      <c r="AK52" s="75"/>
      <c r="AL52" s="76"/>
    </row>
    <row r="53" s="72" customFormat="true" ht="15.75" hidden="false" customHeight="true" outlineLevel="0" collapsed="false">
      <c r="A53" s="19" t="s">
        <v>47</v>
      </c>
      <c r="B53" s="19"/>
      <c r="C53" s="19"/>
      <c r="D53" s="77" t="s">
        <v>59</v>
      </c>
      <c r="E53" s="19" t="s">
        <v>48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E53" s="73"/>
      <c r="AL53" s="76"/>
    </row>
    <row r="54" s="72" customFormat="true" ht="16.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  <c r="AD54" s="80"/>
      <c r="AE54" s="80"/>
      <c r="AF54" s="80"/>
      <c r="AG54" s="80"/>
      <c r="AH54" s="80"/>
      <c r="AI54" s="80"/>
      <c r="AJ54" s="80"/>
      <c r="AK54" s="80"/>
      <c r="AL54" s="67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E55" s="73"/>
      <c r="AF55" s="75"/>
      <c r="AK55" s="75"/>
      <c r="AL55" s="74"/>
      <c r="AM55" s="82"/>
    </row>
    <row r="56" s="72" customFormat="true" ht="15.7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  <c r="AE56" s="73"/>
      <c r="AL56" s="83"/>
      <c r="AN56" s="83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  <c r="AE57" s="73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  <c r="AE58" s="73"/>
    </row>
    <row r="59" s="72" customFormat="true" ht="15" hidden="false" customHeight="true" outlineLevel="0" collapsed="false">
      <c r="A59" s="19" t="s">
        <v>49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4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4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4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4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4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4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4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4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4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4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4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4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4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4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4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4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4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4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4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4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4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4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4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4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4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4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4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4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92.NĐXD8/CVXD ngày 01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92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31</v>
      </c>
      <c r="C7" s="7"/>
      <c r="D7" s="7"/>
      <c r="F7" s="7"/>
      <c r="G7" s="7" t="str">
        <f>VLOOKUP(AZ2,'[1]Tuyến XD8'!$A$2:$B$60,2,0)</f>
        <v xml:space="preserve">Đắp đất nền đường lớp 2 đoạn từ Km0+609,11 - Km0+724,11,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34</v>
      </c>
      <c r="B19" s="9" t="s">
        <v>35</v>
      </c>
      <c r="C19" s="9" t="s">
        <v>36</v>
      </c>
      <c r="D19" s="10" t="s">
        <v>37</v>
      </c>
      <c r="E19" s="10"/>
      <c r="F19" s="10"/>
      <c r="G19" s="10"/>
      <c r="H19" s="10"/>
      <c r="I19" s="10"/>
      <c r="J19" s="10" t="s">
        <v>38</v>
      </c>
      <c r="K19" s="10"/>
      <c r="L19" s="10"/>
      <c r="M19" s="10" t="s">
        <v>39</v>
      </c>
      <c r="N19" s="10"/>
      <c r="O19" s="10"/>
      <c r="P19" s="10"/>
      <c r="Q19" s="10"/>
      <c r="R19" s="10"/>
      <c r="S19" s="9" t="s">
        <v>40</v>
      </c>
    </row>
    <row r="20" customFormat="false" ht="30" hidden="false" customHeight="true" outlineLevel="0" collapsed="false">
      <c r="A20" s="9"/>
      <c r="B20" s="9"/>
      <c r="C20" s="9"/>
      <c r="D20" s="11" t="s">
        <v>41</v>
      </c>
      <c r="E20" s="11" t="s">
        <v>42</v>
      </c>
      <c r="F20" s="11" t="s">
        <v>43</v>
      </c>
      <c r="G20" s="11" t="s">
        <v>44</v>
      </c>
      <c r="H20" s="11" t="s">
        <v>45</v>
      </c>
      <c r="I20" s="11" t="s">
        <v>46</v>
      </c>
      <c r="J20" s="11" t="s">
        <v>44</v>
      </c>
      <c r="K20" s="11" t="s">
        <v>45</v>
      </c>
      <c r="L20" s="11" t="s">
        <v>46</v>
      </c>
      <c r="M20" s="11" t="s">
        <v>41</v>
      </c>
      <c r="N20" s="11" t="s">
        <v>42</v>
      </c>
      <c r="O20" s="11" t="s">
        <v>43</v>
      </c>
      <c r="P20" s="11" t="s">
        <v>44</v>
      </c>
      <c r="Q20" s="11" t="s">
        <v>45</v>
      </c>
      <c r="R20" s="11" t="s">
        <v>46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609.11</v>
      </c>
      <c r="D21" s="16" t="n">
        <f aca="false">+Chạy!F8</f>
        <v>-9.76</v>
      </c>
      <c r="E21" s="16" t="n">
        <f aca="false">+D21+F21</f>
        <v>-9.7663</v>
      </c>
      <c r="F21" s="16" t="n">
        <f aca="false">RANDBETWEEN(-105,115)/10000</f>
        <v>-0.0063</v>
      </c>
      <c r="G21" s="16" t="n">
        <f aca="false">+Chạy!G8</f>
        <v>0.04</v>
      </c>
      <c r="H21" s="16" t="n">
        <f aca="false">G21+I21</f>
        <v>0.018</v>
      </c>
      <c r="I21" s="16" t="n">
        <f aca="false">RANDBETWEEN(-30,90)/1000</f>
        <v>-0.022</v>
      </c>
      <c r="J21" s="16" t="n">
        <f aca="false">+Chạy!K8</f>
        <v>0.16</v>
      </c>
      <c r="K21" s="16" t="n">
        <f aca="false">J21+L21</f>
        <v>0.135</v>
      </c>
      <c r="L21" s="16" t="n">
        <f aca="false">RANDBETWEEN(-30,90)/1000</f>
        <v>-0.025</v>
      </c>
      <c r="M21" s="16" t="n">
        <f aca="false">+Chạy!N8</f>
        <v>9.62</v>
      </c>
      <c r="N21" s="16" t="n">
        <f aca="false">+M21+O21</f>
        <v>9.6213</v>
      </c>
      <c r="O21" s="16" t="n">
        <f aca="false">RANDBETWEEN(-105,115)/10000</f>
        <v>0.0013</v>
      </c>
      <c r="P21" s="16" t="n">
        <f aca="false">+Chạy!O8</f>
        <v>0.04</v>
      </c>
      <c r="Q21" s="16" t="n">
        <f aca="false">P21+R21</f>
        <v>0.112</v>
      </c>
      <c r="R21" s="16" t="n">
        <f aca="false">RANDBETWEEN(-30,90)/1000</f>
        <v>0.072</v>
      </c>
      <c r="S21" s="17"/>
      <c r="T21" s="0" t="n">
        <v>11.75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620.86</v>
      </c>
      <c r="D22" s="16" t="n">
        <f aca="false">+Chạy!F16</f>
        <v>-9.54</v>
      </c>
      <c r="E22" s="16" t="n">
        <f aca="false">+D22+F22</f>
        <v>-9.5388</v>
      </c>
      <c r="F22" s="16" t="n">
        <f aca="false">RANDBETWEEN(-105,115)/10000</f>
        <v>0.0012</v>
      </c>
      <c r="G22" s="16" t="n">
        <f aca="false">+Chạy!G16</f>
        <v>0.04</v>
      </c>
      <c r="H22" s="16" t="n">
        <f aca="false">G22+I22</f>
        <v>0.019</v>
      </c>
      <c r="I22" s="16" t="n">
        <f aca="false">RANDBETWEEN(-30,90)/1000</f>
        <v>-0.021</v>
      </c>
      <c r="J22" s="16" t="n">
        <f aca="false">+Chạy!K16</f>
        <v>0.16</v>
      </c>
      <c r="K22" s="16" t="n">
        <f aca="false">J22+L22</f>
        <v>0.173</v>
      </c>
      <c r="L22" s="16" t="n">
        <f aca="false">RANDBETWEEN(-30,90)/1000</f>
        <v>0.013</v>
      </c>
      <c r="M22" s="16" t="n">
        <f aca="false">+Chạy!N16</f>
        <v>9.68</v>
      </c>
      <c r="N22" s="16" t="n">
        <f aca="false">+M22+O22</f>
        <v>9.6783</v>
      </c>
      <c r="O22" s="16" t="n">
        <f aca="false">RANDBETWEEN(-105,115)/10000</f>
        <v>-0.0017</v>
      </c>
      <c r="P22" s="16" t="n">
        <f aca="false">+Chạy!O16</f>
        <v>0.04</v>
      </c>
      <c r="Q22" s="16" t="n">
        <f aca="false">P22+R22</f>
        <v>0.058</v>
      </c>
      <c r="R22" s="16" t="n">
        <f aca="false">RANDBETWEEN(-30,90)/1000</f>
        <v>0.018</v>
      </c>
      <c r="S22" s="17"/>
      <c r="T22" s="0" t="n">
        <v>11.75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632.61</v>
      </c>
      <c r="D23" s="16" t="n">
        <f aca="false">+Chạy!F24</f>
        <v>-14.65</v>
      </c>
      <c r="E23" s="16" t="n">
        <f aca="false">+D23+F23</f>
        <v>-14.6467</v>
      </c>
      <c r="F23" s="16" t="n">
        <f aca="false">RANDBETWEEN(-105,115)/10000</f>
        <v>0.0033</v>
      </c>
      <c r="G23" s="16" t="n">
        <f aca="false">+Chạy!G24</f>
        <v>0.04</v>
      </c>
      <c r="H23" s="16" t="n">
        <f aca="false">G23+I23</f>
        <v>0.028</v>
      </c>
      <c r="I23" s="16" t="n">
        <f aca="false">RANDBETWEEN(-30,90)/1000</f>
        <v>-0.012</v>
      </c>
      <c r="J23" s="16" t="n">
        <f aca="false">+Chạy!K24</f>
        <v>0.16</v>
      </c>
      <c r="K23" s="16" t="n">
        <f aca="false">J23+L23</f>
        <v>0.197</v>
      </c>
      <c r="L23" s="16" t="n">
        <f aca="false">RANDBETWEEN(-30,90)/1000</f>
        <v>0.037</v>
      </c>
      <c r="M23" s="16" t="n">
        <f aca="false">+Chạy!N24</f>
        <v>14.65</v>
      </c>
      <c r="N23" s="16" t="n">
        <f aca="false">+M23+O23</f>
        <v>14.6454</v>
      </c>
      <c r="O23" s="16" t="n">
        <f aca="false">RANDBETWEEN(-105,115)/10000</f>
        <v>-0.0046</v>
      </c>
      <c r="P23" s="16" t="n">
        <f aca="false">+Chạy!O24</f>
        <v>0.04</v>
      </c>
      <c r="Q23" s="16" t="n">
        <f aca="false">P23+R23</f>
        <v>0.076</v>
      </c>
      <c r="R23" s="16" t="n">
        <f aca="false">RANDBETWEEN(-30,90)/1000</f>
        <v>0.036</v>
      </c>
      <c r="S23" s="17"/>
      <c r="T23" s="0" t="n">
        <v>20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652.61</v>
      </c>
      <c r="D24" s="16" t="n">
        <f aca="false">+Chạy!F32</f>
        <v>-14.65</v>
      </c>
      <c r="E24" s="16" t="n">
        <f aca="false">+D24+F24</f>
        <v>-14.6497</v>
      </c>
      <c r="F24" s="16" t="n">
        <f aca="false">RANDBETWEEN(-105,115)/10000</f>
        <v>0.0003</v>
      </c>
      <c r="G24" s="16" t="n">
        <f aca="false">+Chạy!G32</f>
        <v>0.05</v>
      </c>
      <c r="H24" s="16" t="n">
        <f aca="false">G24+I24</f>
        <v>0.024</v>
      </c>
      <c r="I24" s="16" t="n">
        <f aca="false">RANDBETWEEN(-30,90)/1000</f>
        <v>-0.026</v>
      </c>
      <c r="J24" s="16" t="n">
        <f aca="false">+Chạy!K32</f>
        <v>0.16</v>
      </c>
      <c r="K24" s="16" t="n">
        <f aca="false">J24+L24</f>
        <v>0.162</v>
      </c>
      <c r="L24" s="16" t="n">
        <f aca="false">RANDBETWEEN(-30,90)/1000</f>
        <v>0.002</v>
      </c>
      <c r="M24" s="16" t="n">
        <f aca="false">+Chạy!N32</f>
        <v>14.65</v>
      </c>
      <c r="N24" s="16" t="n">
        <f aca="false">+M24+O24</f>
        <v>14.6424</v>
      </c>
      <c r="O24" s="16" t="n">
        <f aca="false">RANDBETWEEN(-105,115)/10000</f>
        <v>-0.0076</v>
      </c>
      <c r="P24" s="16" t="n">
        <f aca="false">+Chạy!O32</f>
        <v>0.05</v>
      </c>
      <c r="Q24" s="16" t="n">
        <f aca="false">P24+R24</f>
        <v>0.048</v>
      </c>
      <c r="R24" s="16" t="n">
        <f aca="false">RANDBETWEEN(-30,90)/1000</f>
        <v>-0.002</v>
      </c>
      <c r="S24" s="17"/>
      <c r="T24" s="0" t="n">
        <v>20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672.61</v>
      </c>
      <c r="D25" s="16" t="n">
        <f aca="false">+Chạy!F40</f>
        <v>-14.65</v>
      </c>
      <c r="E25" s="16" t="n">
        <f aca="false">+D25+F25</f>
        <v>-14.6599</v>
      </c>
      <c r="F25" s="16" t="n">
        <f aca="false">RANDBETWEEN(-105,115)/10000</f>
        <v>-0.0099</v>
      </c>
      <c r="G25" s="16" t="n">
        <f aca="false">+Chạy!G40</f>
        <v>0.05</v>
      </c>
      <c r="H25" s="16" t="n">
        <f aca="false">G25+I25</f>
        <v>0.107</v>
      </c>
      <c r="I25" s="16" t="n">
        <f aca="false">RANDBETWEEN(-30,90)/1000</f>
        <v>0.057</v>
      </c>
      <c r="J25" s="16" t="n">
        <f aca="false">+Chạy!K40</f>
        <v>0.16</v>
      </c>
      <c r="K25" s="16" t="n">
        <f aca="false">J25+L25</f>
        <v>0.17</v>
      </c>
      <c r="L25" s="16" t="n">
        <f aca="false">RANDBETWEEN(-30,90)/1000</f>
        <v>0.01</v>
      </c>
      <c r="M25" s="16" t="n">
        <f aca="false">+Chạy!N40</f>
        <v>14.65</v>
      </c>
      <c r="N25" s="16" t="n">
        <f aca="false">+M25+O25</f>
        <v>14.6506</v>
      </c>
      <c r="O25" s="16" t="n">
        <f aca="false">RANDBETWEEN(-105,115)/10000</f>
        <v>0.0006</v>
      </c>
      <c r="P25" s="16" t="n">
        <f aca="false">+Chạy!O40</f>
        <v>0.05</v>
      </c>
      <c r="Q25" s="16" t="n">
        <f aca="false">P25+R25</f>
        <v>0.077</v>
      </c>
      <c r="R25" s="16" t="n">
        <f aca="false">RANDBETWEEN(-30,90)/1000</f>
        <v>0.027</v>
      </c>
      <c r="S25" s="17"/>
      <c r="T25" s="0" t="n">
        <v>20</v>
      </c>
    </row>
    <row r="26" customFormat="false" ht="15" hidden="false" customHeight="false" outlineLevel="0" collapsed="false">
      <c r="A26" s="13" t="n">
        <v>6</v>
      </c>
      <c r="B26" s="13" t="s">
        <v>22</v>
      </c>
      <c r="C26" s="15" t="n">
        <f aca="false">+C25+T25</f>
        <v>692.61</v>
      </c>
      <c r="D26" s="16" t="n">
        <f aca="false">+Chạy!F48</f>
        <v>-14.65</v>
      </c>
      <c r="E26" s="16" t="n">
        <f aca="false">+D26+F26</f>
        <v>-14.6432</v>
      </c>
      <c r="F26" s="16" t="n">
        <f aca="false">RANDBETWEEN(-105,115)/10000</f>
        <v>0.0068</v>
      </c>
      <c r="G26" s="16" t="n">
        <f aca="false">+Chạy!G48</f>
        <v>0.05</v>
      </c>
      <c r="H26" s="16" t="n">
        <f aca="false">G26+I26</f>
        <v>0.044</v>
      </c>
      <c r="I26" s="16" t="n">
        <f aca="false">RANDBETWEEN(-30,90)/1000</f>
        <v>-0.006</v>
      </c>
      <c r="J26" s="16" t="n">
        <f aca="false">+Chạy!K48</f>
        <v>0.17</v>
      </c>
      <c r="K26" s="16" t="n">
        <f aca="false">J26+L26</f>
        <v>0.147</v>
      </c>
      <c r="L26" s="16" t="n">
        <f aca="false">RANDBETWEEN(-30,90)/1000</f>
        <v>-0.023</v>
      </c>
      <c r="M26" s="16" t="n">
        <f aca="false">+Chạy!N48</f>
        <v>14.65</v>
      </c>
      <c r="N26" s="16" t="n">
        <f aca="false">+M26+O26</f>
        <v>14.642</v>
      </c>
      <c r="O26" s="16" t="n">
        <f aca="false">RANDBETWEEN(-105,115)/10000</f>
        <v>-0.008</v>
      </c>
      <c r="P26" s="16" t="n">
        <f aca="false">+Chạy!O48</f>
        <v>0.05</v>
      </c>
      <c r="Q26" s="16" t="n">
        <f aca="false">P26+R26</f>
        <v>0.036</v>
      </c>
      <c r="R26" s="16" t="n">
        <f aca="false">RANDBETWEEN(-30,90)/1000</f>
        <v>-0.014</v>
      </c>
      <c r="S26" s="17"/>
      <c r="T26" s="0" t="n">
        <v>20</v>
      </c>
    </row>
    <row r="27" customFormat="false" ht="15" hidden="false" customHeight="false" outlineLevel="0" collapsed="false">
      <c r="A27" s="13" t="n">
        <v>7</v>
      </c>
      <c r="B27" s="13" t="s">
        <v>23</v>
      </c>
      <c r="C27" s="15" t="n">
        <f aca="false">+C26+T26</f>
        <v>712.61</v>
      </c>
      <c r="D27" s="16" t="n">
        <f aca="false">+Chạy!F56</f>
        <v>-6.75</v>
      </c>
      <c r="E27" s="16" t="n">
        <f aca="false">+D27+F27</f>
        <v>-6.7507</v>
      </c>
      <c r="F27" s="16" t="n">
        <f aca="false">RANDBETWEEN(-105,115)/10000</f>
        <v>-0.0007</v>
      </c>
      <c r="G27" s="16" t="n">
        <f aca="false">+Chạy!G56</f>
        <v>0.05</v>
      </c>
      <c r="H27" s="16" t="n">
        <f aca="false">G27+I27</f>
        <v>0.092</v>
      </c>
      <c r="I27" s="16" t="n">
        <f aca="false">RANDBETWEEN(-30,90)/1000</f>
        <v>0.042</v>
      </c>
      <c r="J27" s="16" t="n">
        <f aca="false">+Chạy!K56</f>
        <v>0.17</v>
      </c>
      <c r="K27" s="16" t="n">
        <f aca="false">J27+L27</f>
        <v>0.2</v>
      </c>
      <c r="L27" s="16" t="n">
        <f aca="false">RANDBETWEEN(-30,90)/1000</f>
        <v>0.03</v>
      </c>
      <c r="M27" s="16" t="n">
        <f aca="false">+Chạy!N56</f>
        <v>14.65</v>
      </c>
      <c r="N27" s="16" t="n">
        <f aca="false">+M27+O27</f>
        <v>14.6447</v>
      </c>
      <c r="O27" s="16" t="n">
        <f aca="false">RANDBETWEEN(-105,115)/10000</f>
        <v>-0.0053</v>
      </c>
      <c r="P27" s="16" t="n">
        <f aca="false">+Chạy!O56</f>
        <v>0.05</v>
      </c>
      <c r="Q27" s="16" t="n">
        <f aca="false">P27+R27</f>
        <v>0.099</v>
      </c>
      <c r="R27" s="16" t="n">
        <f aca="false">RANDBETWEEN(-30,90)/1000</f>
        <v>0.049</v>
      </c>
      <c r="S27" s="17"/>
      <c r="T27" s="0" t="n">
        <v>11.5</v>
      </c>
    </row>
    <row r="28" customFormat="false" ht="15" hidden="false" customHeight="false" outlineLevel="0" collapsed="false">
      <c r="A28" s="13" t="n">
        <v>8</v>
      </c>
      <c r="B28" s="13" t="s">
        <v>24</v>
      </c>
      <c r="C28" s="15" t="n">
        <f aca="false">+C27+T27</f>
        <v>724.11</v>
      </c>
      <c r="D28" s="16" t="n">
        <f aca="false">+Chạy!F64</f>
        <v>-14.65</v>
      </c>
      <c r="E28" s="16" t="n">
        <f aca="false">+D28+F28</f>
        <v>-14.6581</v>
      </c>
      <c r="F28" s="16" t="n">
        <f aca="false">RANDBETWEEN(-105,115)/10000</f>
        <v>-0.0081</v>
      </c>
      <c r="G28" s="16" t="n">
        <f aca="false">+Chạy!G64</f>
        <v>0.05</v>
      </c>
      <c r="H28" s="16" t="n">
        <f aca="false">G28+I28</f>
        <v>0.129</v>
      </c>
      <c r="I28" s="16" t="n">
        <f aca="false">RANDBETWEEN(-30,90)/1000</f>
        <v>0.079</v>
      </c>
      <c r="J28" s="16" t="n">
        <f aca="false">+Chạy!K64</f>
        <v>0.17</v>
      </c>
      <c r="K28" s="16" t="n">
        <f aca="false">J28+L28</f>
        <v>0.186</v>
      </c>
      <c r="L28" s="16" t="n">
        <f aca="false">RANDBETWEEN(-30,90)/1000</f>
        <v>0.016</v>
      </c>
      <c r="M28" s="16" t="n">
        <f aca="false">+Chạy!N64</f>
        <v>9.74</v>
      </c>
      <c r="N28" s="16" t="n">
        <f aca="false">+M28+O28</f>
        <v>9.7319</v>
      </c>
      <c r="O28" s="16" t="n">
        <f aca="false">RANDBETWEEN(-105,115)/10000</f>
        <v>-0.0081</v>
      </c>
      <c r="P28" s="16" t="n">
        <f aca="false">+Chạy!O64</f>
        <v>0.05</v>
      </c>
      <c r="Q28" s="16" t="n">
        <f aca="false">P28+R28</f>
        <v>0.115</v>
      </c>
      <c r="R28" s="16" t="n">
        <f aca="false">RANDBETWEEN(-30,90)/1000</f>
        <v>0.065</v>
      </c>
      <c r="S28" s="17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2" hidden="false" customHeight="true" outlineLevel="0" collapsed="false"/>
    <row r="62" customFormat="false" ht="15" hidden="false" customHeight="false" outlineLevel="0" collapsed="false">
      <c r="C62" s="19" t="s">
        <v>47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48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B67" s="88"/>
      <c r="C67" s="89" t="s">
        <v>49</v>
      </c>
      <c r="D67" s="89"/>
      <c r="E67" s="89"/>
      <c r="F67" s="89"/>
      <c r="G67" s="89"/>
      <c r="H67" s="89"/>
      <c r="I67" s="89"/>
      <c r="J67" s="88"/>
      <c r="K67" s="90"/>
      <c r="L67" s="90"/>
      <c r="M67" s="90"/>
      <c r="N67" s="90"/>
      <c r="O67" s="89" t="s">
        <v>50</v>
      </c>
      <c r="P67" s="89"/>
      <c r="Q67" s="89"/>
      <c r="R67" s="89"/>
      <c r="S67" s="88"/>
    </row>
    <row r="68" customFormat="false" ht="17.25" hidden="false" customHeight="true" outlineLevel="0" collapsed="false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92.NĐXD8/CVXD ngày 01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92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31</v>
      </c>
      <c r="B7" s="34"/>
      <c r="D7" s="35" t="str">
        <f>VLOOKUP(AZ2,'[1]Tuyến XD8'!$A$2:$B$60,2,0)</f>
        <v xml:space="preserve">Đắp đất nền đường lớp 2 đoạn từ Km0+609,11 - Km0+724,11,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35</v>
      </c>
      <c r="C9" s="37" t="s">
        <v>36</v>
      </c>
      <c r="D9" s="38" t="s">
        <v>52</v>
      </c>
      <c r="E9" s="39"/>
      <c r="F9" s="39"/>
      <c r="G9" s="38"/>
      <c r="H9" s="39"/>
      <c r="I9" s="39"/>
      <c r="J9" s="39"/>
      <c r="K9" s="39"/>
      <c r="L9" s="39"/>
      <c r="M9" s="40" t="s">
        <v>53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40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54</v>
      </c>
      <c r="O10" s="40" t="s">
        <v>55</v>
      </c>
      <c r="P10" s="40" t="s">
        <v>54</v>
      </c>
      <c r="Q10" s="40" t="s">
        <v>54</v>
      </c>
      <c r="R10" s="40"/>
      <c r="S10" s="40"/>
      <c r="T10" s="40"/>
      <c r="U10" s="40" t="s">
        <v>56</v>
      </c>
      <c r="V10" s="40" t="s">
        <v>56</v>
      </c>
      <c r="W10" s="40" t="s">
        <v>57</v>
      </c>
      <c r="X10" s="40" t="s">
        <v>56</v>
      </c>
      <c r="Y10" s="40" t="s">
        <v>56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31</v>
      </c>
      <c r="C11" s="51" t="n">
        <f aca="false">'2.KTHH L2'!C21</f>
        <v>609.11</v>
      </c>
      <c r="D11" s="13" t="n">
        <f aca="false">'2.KTHH L2'!T21</f>
        <v>11.75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5.72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66.975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E10</v>
      </c>
      <c r="C12" s="51" t="n">
        <f aca="false">'2.KTHH L2'!C22</f>
        <v>620.86</v>
      </c>
      <c r="D12" s="13" t="n">
        <f aca="false">'2.KTHH L2'!T22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5.68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74.3775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32</v>
      </c>
      <c r="C13" s="51" t="n">
        <f aca="false">'2.KTHH L2'!C23</f>
        <v>632.61</v>
      </c>
      <c r="D13" s="13" t="n">
        <f aca="false">'2.KTHH L2'!T23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6.98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159.1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33</v>
      </c>
      <c r="C14" s="51" t="n">
        <f aca="false">'2.KTHH L2'!C24</f>
        <v>652.61</v>
      </c>
      <c r="D14" s="13" t="n">
        <f aca="false">'2.KTHH L2'!T24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8.93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152.7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34</v>
      </c>
      <c r="C15" s="51" t="n">
        <f aca="false">'2.KTHH L2'!C25</f>
        <v>672.61</v>
      </c>
      <c r="D15" s="13" t="n">
        <f aca="false">'2.KTHH L2'!T25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6.34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152.7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35</v>
      </c>
      <c r="C16" s="51" t="n">
        <f aca="false">'2.KTHH L2'!C26</f>
        <v>692.61</v>
      </c>
      <c r="D16" s="13" t="n">
        <f aca="false">'2.KTHH L2'!T26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8.93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152.2</v>
      </c>
      <c r="X16" s="55"/>
      <c r="Y16" s="55"/>
      <c r="Z16" s="55"/>
      <c r="AA16" s="55"/>
      <c r="AB16" s="56"/>
      <c r="AC16" s="57"/>
      <c r="AE16" s="92"/>
    </row>
    <row r="17" s="49" customFormat="true" ht="15" hidden="false" customHeight="true" outlineLevel="0" collapsed="false">
      <c r="A17" s="13" t="n">
        <v>7</v>
      </c>
      <c r="B17" s="13" t="str">
        <f aca="false">'2.KTHH L2'!B27</f>
        <v>36</v>
      </c>
      <c r="C17" s="51" t="n">
        <f aca="false">'2.KTHH L2'!C27</f>
        <v>712.61</v>
      </c>
      <c r="D17" s="13" t="n">
        <f aca="false">'2.KTHH L2'!T27</f>
        <v>11.5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Chạy!E56</f>
        <v>6.29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78.3725</v>
      </c>
      <c r="X17" s="55"/>
      <c r="Y17" s="55"/>
      <c r="Z17" s="55"/>
      <c r="AA17" s="55"/>
      <c r="AB17" s="56"/>
      <c r="AC17" s="57"/>
      <c r="AE17" s="92"/>
    </row>
    <row r="18" s="49" customFormat="true" ht="15" hidden="false" customHeight="true" outlineLevel="0" collapsed="false">
      <c r="A18" s="13" t="n">
        <v>8</v>
      </c>
      <c r="B18" s="13" t="str">
        <f aca="false">'2.KTHH L2'!B28</f>
        <v>37</v>
      </c>
      <c r="C18" s="51" t="n">
        <f aca="false">'2.KTHH L2'!C28</f>
        <v>724.11</v>
      </c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Chạy!E64</f>
        <v>7.34</v>
      </c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  <c r="AE18" s="92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  <c r="AE19" s="92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  <c r="AE20" s="92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92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92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92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92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92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92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92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92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92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92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92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92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92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92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92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92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92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92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92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92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92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92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92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92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92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92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92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92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92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92"/>
    </row>
    <row r="51" s="32" customFormat="true" ht="16.5" hidden="false" customHeight="true" outlineLevel="0" collapsed="false">
      <c r="A51" s="61" t="s">
        <v>58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SUM(W11:W18)</f>
        <v>836.425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D51" s="93"/>
      <c r="AE51" s="74"/>
      <c r="AF51" s="94"/>
      <c r="AG51" s="95"/>
      <c r="AH51" s="95"/>
      <c r="AI51" s="95"/>
      <c r="AJ51" s="95"/>
      <c r="AK51" s="95"/>
      <c r="AL51" s="95"/>
      <c r="AM51" s="67"/>
      <c r="AN51" s="96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47</v>
      </c>
      <c r="B53" s="19"/>
      <c r="C53" s="19"/>
      <c r="D53" s="77" t="s">
        <v>59</v>
      </c>
      <c r="E53" s="19" t="s">
        <v>48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49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93.NĐXD8/CVXD ngày 01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93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31</v>
      </c>
      <c r="C7" s="7"/>
      <c r="D7" s="7"/>
      <c r="F7" s="7"/>
      <c r="G7" s="7" t="str">
        <f>VLOOKUP(AZ2,'[1]Tuyến XD8'!$A$2:$B$60,2,0)</f>
        <v xml:space="preserve">Đắp đất nền đường lớp 3 đoạn từ Km0+609,11 - Km0+724,11,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34</v>
      </c>
      <c r="B20" s="9" t="s">
        <v>35</v>
      </c>
      <c r="C20" s="9" t="s">
        <v>36</v>
      </c>
      <c r="D20" s="10" t="s">
        <v>37</v>
      </c>
      <c r="E20" s="10"/>
      <c r="F20" s="10"/>
      <c r="G20" s="10"/>
      <c r="H20" s="10"/>
      <c r="I20" s="10"/>
      <c r="J20" s="10" t="s">
        <v>38</v>
      </c>
      <c r="K20" s="10"/>
      <c r="L20" s="10"/>
      <c r="M20" s="10" t="s">
        <v>39</v>
      </c>
      <c r="N20" s="10"/>
      <c r="O20" s="10"/>
      <c r="P20" s="10"/>
      <c r="Q20" s="10"/>
      <c r="R20" s="10"/>
      <c r="S20" s="9" t="s">
        <v>40</v>
      </c>
    </row>
    <row r="21" customFormat="false" ht="30" hidden="false" customHeight="true" outlineLevel="0" collapsed="false">
      <c r="A21" s="9"/>
      <c r="B21" s="9"/>
      <c r="C21" s="9"/>
      <c r="D21" s="11" t="s">
        <v>41</v>
      </c>
      <c r="E21" s="11" t="s">
        <v>42</v>
      </c>
      <c r="F21" s="11" t="s">
        <v>43</v>
      </c>
      <c r="G21" s="11" t="s">
        <v>44</v>
      </c>
      <c r="H21" s="11" t="s">
        <v>45</v>
      </c>
      <c r="I21" s="11" t="s">
        <v>46</v>
      </c>
      <c r="J21" s="11" t="s">
        <v>44</v>
      </c>
      <c r="K21" s="11" t="s">
        <v>45</v>
      </c>
      <c r="L21" s="11" t="s">
        <v>46</v>
      </c>
      <c r="M21" s="11" t="s">
        <v>41</v>
      </c>
      <c r="N21" s="11" t="s">
        <v>42</v>
      </c>
      <c r="O21" s="11" t="s">
        <v>43</v>
      </c>
      <c r="P21" s="11" t="s">
        <v>44</v>
      </c>
      <c r="Q21" s="11" t="s">
        <v>45</v>
      </c>
      <c r="R21" s="11" t="s">
        <v>46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609.11</v>
      </c>
      <c r="D22" s="16" t="n">
        <f aca="false">+Chạy!F7</f>
        <v>-14.2</v>
      </c>
      <c r="E22" s="16" t="n">
        <f aca="false">+D22+F22</f>
        <v>-14.2087</v>
      </c>
      <c r="F22" s="16" t="n">
        <f aca="false">RANDBETWEEN(-105,115)/10000</f>
        <v>-0.0087</v>
      </c>
      <c r="G22" s="16" t="n">
        <f aca="false">+Chạy!G7</f>
        <v>0.34</v>
      </c>
      <c r="H22" s="16" t="n">
        <f aca="false">G22+I22</f>
        <v>0.394</v>
      </c>
      <c r="I22" s="16" t="n">
        <f aca="false">RANDBETWEEN(-30,90)/1000</f>
        <v>0.054</v>
      </c>
      <c r="J22" s="16" t="n">
        <f aca="false">+Chạy!K7</f>
        <v>0.46</v>
      </c>
      <c r="K22" s="16" t="n">
        <f aca="false">J22+L22</f>
        <v>0.54</v>
      </c>
      <c r="L22" s="16" t="n">
        <f aca="false">RANDBETWEEN(-30,90)/1000</f>
        <v>0.08</v>
      </c>
      <c r="M22" s="16" t="n">
        <f aca="false">+Chạy!N7</f>
        <v>14.2</v>
      </c>
      <c r="N22" s="16" t="n">
        <f aca="false">+M22+O22</f>
        <v>14.2042</v>
      </c>
      <c r="O22" s="16" t="n">
        <f aca="false">RANDBETWEEN(-105,115)/10000</f>
        <v>0.0042</v>
      </c>
      <c r="P22" s="16" t="n">
        <f aca="false">+Chạy!O7</f>
        <v>0.34</v>
      </c>
      <c r="Q22" s="16" t="n">
        <f aca="false">P22+R22</f>
        <v>0.366</v>
      </c>
      <c r="R22" s="16" t="n">
        <f aca="false">RANDBETWEEN(-30,90)/1000</f>
        <v>0.026</v>
      </c>
      <c r="S22" s="17"/>
      <c r="T22" s="0" t="n">
        <v>11.75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620.86</v>
      </c>
      <c r="D23" s="16" t="n">
        <f aca="false">+Chạy!F15</f>
        <v>-10.01</v>
      </c>
      <c r="E23" s="16" t="n">
        <f aca="false">+D23+F23</f>
        <v>-10.012</v>
      </c>
      <c r="F23" s="16" t="n">
        <f aca="false">RANDBETWEEN(-105,115)/10000</f>
        <v>-0.002</v>
      </c>
      <c r="G23" s="16" t="n">
        <f aca="false">+Chạy!G15</f>
        <v>0.34</v>
      </c>
      <c r="H23" s="16" t="n">
        <f aca="false">G23+I23</f>
        <v>0.424</v>
      </c>
      <c r="I23" s="16" t="n">
        <f aca="false">RANDBETWEEN(-30,90)/1000</f>
        <v>0.084</v>
      </c>
      <c r="J23" s="16" t="n">
        <f aca="false">+Chạy!K15</f>
        <v>0.46</v>
      </c>
      <c r="K23" s="16" t="n">
        <f aca="false">J23+L23</f>
        <v>0.514</v>
      </c>
      <c r="L23" s="16" t="n">
        <f aca="false">RANDBETWEEN(-30,90)/1000</f>
        <v>0.054</v>
      </c>
      <c r="M23" s="16" t="n">
        <f aca="false">+Chạy!N15</f>
        <v>14.2</v>
      </c>
      <c r="N23" s="16" t="n">
        <f aca="false">+M23+O23</f>
        <v>14.208</v>
      </c>
      <c r="O23" s="16" t="n">
        <f aca="false">RANDBETWEEN(-105,115)/10000</f>
        <v>0.008</v>
      </c>
      <c r="P23" s="16" t="n">
        <f aca="false">+Chạy!O15</f>
        <v>0.34</v>
      </c>
      <c r="Q23" s="16" t="n">
        <f aca="false">P23+R23</f>
        <v>0.315</v>
      </c>
      <c r="R23" s="16" t="n">
        <f aca="false">RANDBETWEEN(-30,90)/1000</f>
        <v>-0.025</v>
      </c>
      <c r="S23" s="17"/>
      <c r="T23" s="0" t="n">
        <v>11.75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632.61</v>
      </c>
      <c r="D24" s="16" t="n">
        <f aca="false">+Chạy!F23</f>
        <v>-14.2</v>
      </c>
      <c r="E24" s="16" t="n">
        <f aca="false">+D24+F24</f>
        <v>-14.1996</v>
      </c>
      <c r="F24" s="16" t="n">
        <f aca="false">RANDBETWEEN(-105,115)/10000</f>
        <v>0.0004</v>
      </c>
      <c r="G24" s="16" t="n">
        <f aca="false">+Chạy!G23</f>
        <v>0.34</v>
      </c>
      <c r="H24" s="16" t="n">
        <f aca="false">G24+I24</f>
        <v>0.416</v>
      </c>
      <c r="I24" s="16" t="n">
        <f aca="false">RANDBETWEEN(-30,90)/1000</f>
        <v>0.076</v>
      </c>
      <c r="J24" s="16" t="n">
        <f aca="false">+Chạy!K23</f>
        <v>0.46</v>
      </c>
      <c r="K24" s="16" t="n">
        <f aca="false">J24+L24</f>
        <v>0.512</v>
      </c>
      <c r="L24" s="16" t="n">
        <f aca="false">RANDBETWEEN(-30,90)/1000</f>
        <v>0.052</v>
      </c>
      <c r="M24" s="16" t="n">
        <f aca="false">+Chạy!N23</f>
        <v>14.2</v>
      </c>
      <c r="N24" s="16" t="n">
        <f aca="false">+M24+O24</f>
        <v>14.2031</v>
      </c>
      <c r="O24" s="16" t="n">
        <f aca="false">RANDBETWEEN(-105,115)/10000</f>
        <v>0.0031</v>
      </c>
      <c r="P24" s="16" t="n">
        <f aca="false">+Chạy!O23</f>
        <v>0.34</v>
      </c>
      <c r="Q24" s="16" t="n">
        <f aca="false">P24+R24</f>
        <v>0.425</v>
      </c>
      <c r="R24" s="16" t="n">
        <f aca="false">RANDBETWEEN(-30,90)/1000</f>
        <v>0.085</v>
      </c>
      <c r="S24" s="17"/>
      <c r="T24" s="0" t="n">
        <v>20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652.61</v>
      </c>
      <c r="D25" s="16" t="n">
        <f aca="false">+Chạy!F31</f>
        <v>-14.2</v>
      </c>
      <c r="E25" s="16" t="n">
        <f aca="false">+D25+F25</f>
        <v>-14.2088</v>
      </c>
      <c r="F25" s="16" t="n">
        <f aca="false">RANDBETWEEN(-105,115)/10000</f>
        <v>-0.0088</v>
      </c>
      <c r="G25" s="16" t="n">
        <f aca="false">+Chạy!G31</f>
        <v>0.35</v>
      </c>
      <c r="H25" s="16" t="n">
        <f aca="false">G25+I25</f>
        <v>0.32</v>
      </c>
      <c r="I25" s="16" t="n">
        <f aca="false">RANDBETWEEN(-30,90)/1000</f>
        <v>-0.03</v>
      </c>
      <c r="J25" s="16" t="n">
        <f aca="false">+Chạy!K31</f>
        <v>0.46</v>
      </c>
      <c r="K25" s="16" t="n">
        <f aca="false">J25+L25</f>
        <v>0.534</v>
      </c>
      <c r="L25" s="16" t="n">
        <f aca="false">RANDBETWEEN(-30,90)/1000</f>
        <v>0.074</v>
      </c>
      <c r="M25" s="16" t="n">
        <f aca="false">+Chạy!N31</f>
        <v>14.2</v>
      </c>
      <c r="N25" s="16" t="n">
        <f aca="false">+M25+O25</f>
        <v>14.1951</v>
      </c>
      <c r="O25" s="16" t="n">
        <f aca="false">RANDBETWEEN(-105,115)/10000</f>
        <v>-0.0049</v>
      </c>
      <c r="P25" s="16" t="n">
        <f aca="false">+Chạy!O31</f>
        <v>0.35</v>
      </c>
      <c r="Q25" s="16" t="n">
        <f aca="false">P25+R25</f>
        <v>0.435</v>
      </c>
      <c r="R25" s="16" t="n">
        <f aca="false">RANDBETWEEN(-30,90)/1000</f>
        <v>0.085</v>
      </c>
      <c r="S25" s="17"/>
      <c r="T25" s="0" t="n">
        <v>20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672.61</v>
      </c>
      <c r="D26" s="16" t="n">
        <f aca="false">+Chạy!F39</f>
        <v>-14.2</v>
      </c>
      <c r="E26" s="16" t="n">
        <f aca="false">+D26+F26</f>
        <v>-14.2092</v>
      </c>
      <c r="F26" s="16" t="n">
        <f aca="false">RANDBETWEEN(-105,115)/10000</f>
        <v>-0.0092</v>
      </c>
      <c r="G26" s="16" t="n">
        <f aca="false">+Chạy!G39</f>
        <v>0.35</v>
      </c>
      <c r="H26" s="16" t="n">
        <f aca="false">G26+I26</f>
        <v>0.37</v>
      </c>
      <c r="I26" s="16" t="n">
        <f aca="false">RANDBETWEEN(-30,90)/1000</f>
        <v>0.02</v>
      </c>
      <c r="J26" s="16" t="n">
        <f aca="false">+Chạy!K39</f>
        <v>0.46</v>
      </c>
      <c r="K26" s="16" t="n">
        <f aca="false">J26+L26</f>
        <v>0.549</v>
      </c>
      <c r="L26" s="16" t="n">
        <f aca="false">RANDBETWEEN(-30,90)/1000</f>
        <v>0.089</v>
      </c>
      <c r="M26" s="16" t="n">
        <f aca="false">+Chạy!N39</f>
        <v>14.2</v>
      </c>
      <c r="N26" s="16" t="n">
        <f aca="false">+M26+O26</f>
        <v>14.1953</v>
      </c>
      <c r="O26" s="16" t="n">
        <f aca="false">RANDBETWEEN(-105,115)/10000</f>
        <v>-0.0047</v>
      </c>
      <c r="P26" s="16" t="n">
        <f aca="false">+Chạy!O39</f>
        <v>0.35</v>
      </c>
      <c r="Q26" s="16" t="n">
        <f aca="false">P26+R26</f>
        <v>0.34</v>
      </c>
      <c r="R26" s="16" t="n">
        <f aca="false">RANDBETWEEN(-30,90)/1000</f>
        <v>-0.01</v>
      </c>
      <c r="S26" s="17"/>
      <c r="T26" s="0" t="n">
        <v>20</v>
      </c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692.61</v>
      </c>
      <c r="D27" s="16" t="n">
        <f aca="false">+Chạy!F47</f>
        <v>-14.2</v>
      </c>
      <c r="E27" s="16" t="n">
        <f aca="false">+D27+F27</f>
        <v>-14.1966</v>
      </c>
      <c r="F27" s="16" t="n">
        <f aca="false">RANDBETWEEN(-105,115)/10000</f>
        <v>0.0034</v>
      </c>
      <c r="G27" s="16" t="n">
        <f aca="false">+Chạy!G47</f>
        <v>0.35</v>
      </c>
      <c r="H27" s="16" t="n">
        <f aca="false">G27+I27</f>
        <v>0.351</v>
      </c>
      <c r="I27" s="16" t="n">
        <f aca="false">RANDBETWEEN(-30,90)/1000</f>
        <v>0.001</v>
      </c>
      <c r="J27" s="16" t="n">
        <f aca="false">+Chạy!K47</f>
        <v>0.47</v>
      </c>
      <c r="K27" s="16" t="n">
        <f aca="false">J27+L27</f>
        <v>0.49</v>
      </c>
      <c r="L27" s="16" t="n">
        <f aca="false">RANDBETWEEN(-30,90)/1000</f>
        <v>0.02</v>
      </c>
      <c r="M27" s="16" t="n">
        <f aca="false">+Chạy!N47</f>
        <v>14.2</v>
      </c>
      <c r="N27" s="16" t="n">
        <f aca="false">+M27+O27</f>
        <v>14.199</v>
      </c>
      <c r="O27" s="16" t="n">
        <f aca="false">RANDBETWEEN(-105,115)/10000</f>
        <v>-0.001</v>
      </c>
      <c r="P27" s="16" t="n">
        <f aca="false">+Chạy!O47</f>
        <v>0.35</v>
      </c>
      <c r="Q27" s="16" t="n">
        <f aca="false">P27+R27</f>
        <v>0.33</v>
      </c>
      <c r="R27" s="16" t="n">
        <f aca="false">RANDBETWEEN(-30,90)/1000</f>
        <v>-0.02</v>
      </c>
      <c r="S27" s="17"/>
      <c r="T27" s="0" t="n">
        <v>20</v>
      </c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712.61</v>
      </c>
      <c r="D28" s="16" t="n">
        <f aca="false">+Chạy!F55</f>
        <v>-7.05</v>
      </c>
      <c r="E28" s="16" t="n">
        <f aca="false">+D28+F28</f>
        <v>-7.054</v>
      </c>
      <c r="F28" s="16" t="n">
        <f aca="false">RANDBETWEEN(-105,115)/10000</f>
        <v>-0.004</v>
      </c>
      <c r="G28" s="16" t="n">
        <f aca="false">+Chạy!G55</f>
        <v>0.35</v>
      </c>
      <c r="H28" s="16" t="n">
        <f aca="false">G28+I28</f>
        <v>0.358</v>
      </c>
      <c r="I28" s="16" t="n">
        <f aca="false">RANDBETWEEN(-30,90)/1000</f>
        <v>0.008</v>
      </c>
      <c r="J28" s="16" t="n">
        <f aca="false">+Chạy!K55</f>
        <v>0.47</v>
      </c>
      <c r="K28" s="16" t="n">
        <f aca="false">J28+L28</f>
        <v>0.474</v>
      </c>
      <c r="L28" s="16" t="n">
        <f aca="false">RANDBETWEEN(-30,90)/1000</f>
        <v>0.004</v>
      </c>
      <c r="M28" s="16" t="n">
        <f aca="false">+Chạy!N55</f>
        <v>14.2</v>
      </c>
      <c r="N28" s="16" t="n">
        <f aca="false">+M28+O28</f>
        <v>14.1948</v>
      </c>
      <c r="O28" s="16" t="n">
        <f aca="false">RANDBETWEEN(-105,115)/10000</f>
        <v>-0.0052</v>
      </c>
      <c r="P28" s="16" t="n">
        <f aca="false">+Chạy!O55</f>
        <v>0.35</v>
      </c>
      <c r="Q28" s="16" t="n">
        <f aca="false">P28+R28</f>
        <v>0.36</v>
      </c>
      <c r="R28" s="16" t="n">
        <f aca="false">RANDBETWEEN(-30,90)/1000</f>
        <v>0.01</v>
      </c>
      <c r="S28" s="17"/>
      <c r="T28" s="0" t="n">
        <v>11.5</v>
      </c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724.11</v>
      </c>
      <c r="D29" s="16" t="n">
        <f aca="false">+Chạy!F63</f>
        <v>-14.2</v>
      </c>
      <c r="E29" s="16" t="n">
        <f aca="false">+D29+F29</f>
        <v>-14.2075</v>
      </c>
      <c r="F29" s="16" t="n">
        <f aca="false">RANDBETWEEN(-105,115)/10000</f>
        <v>-0.0075</v>
      </c>
      <c r="G29" s="16" t="n">
        <f aca="false">+Chạy!G63</f>
        <v>0.35</v>
      </c>
      <c r="H29" s="16" t="n">
        <f aca="false">G29+I29</f>
        <v>0.347</v>
      </c>
      <c r="I29" s="16" t="n">
        <f aca="false">RANDBETWEEN(-30,90)/1000</f>
        <v>-0.003</v>
      </c>
      <c r="J29" s="16" t="n">
        <f aca="false">+Chạy!K63</f>
        <v>0.47</v>
      </c>
      <c r="K29" s="16" t="n">
        <f aca="false">J29+L29</f>
        <v>0.462</v>
      </c>
      <c r="L29" s="16" t="n">
        <f aca="false">RANDBETWEEN(-30,90)/1000</f>
        <v>-0.008</v>
      </c>
      <c r="M29" s="16" t="n">
        <f aca="false">+Chạy!N63</f>
        <v>13.04</v>
      </c>
      <c r="N29" s="16" t="n">
        <f aca="false">+M29+O29</f>
        <v>13.0463</v>
      </c>
      <c r="O29" s="16" t="n">
        <f aca="false">RANDBETWEEN(-105,115)/10000</f>
        <v>0.0063</v>
      </c>
      <c r="P29" s="16" t="n">
        <f aca="false">+Chạy!O63</f>
        <v>0.35</v>
      </c>
      <c r="Q29" s="16" t="n">
        <f aca="false">P29+R29</f>
        <v>0.347</v>
      </c>
      <c r="R29" s="16" t="n">
        <f aca="false">RANDBETWEEN(-30,90)/1000</f>
        <v>-0.003</v>
      </c>
      <c r="S29" s="17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customFormat="false" ht="10.5" hidden="false" customHeight="true" outlineLevel="0" collapsed="false"/>
    <row r="63" customFormat="false" ht="15" hidden="false" customHeight="false" outlineLevel="0" collapsed="false">
      <c r="C63" s="19" t="s">
        <v>47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48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49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50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93.NĐXD8/CVXD ngày 01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93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31</v>
      </c>
      <c r="B7" s="34"/>
      <c r="D7" s="35" t="str">
        <f>VLOOKUP(AZ2,'[1]Tuyến XD8'!$A$2:$B$60,2,0)</f>
        <v xml:space="preserve">Đắp đất nền đường lớp 3 đoạn từ Km0+609,11 - Km0+724,11,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35</v>
      </c>
      <c r="C9" s="37" t="s">
        <v>36</v>
      </c>
      <c r="D9" s="38" t="s">
        <v>52</v>
      </c>
      <c r="E9" s="39"/>
      <c r="F9" s="39"/>
      <c r="G9" s="38"/>
      <c r="H9" s="39"/>
      <c r="I9" s="39"/>
      <c r="J9" s="39"/>
      <c r="K9" s="39"/>
      <c r="L9" s="39"/>
      <c r="M9" s="40" t="s">
        <v>53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40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54</v>
      </c>
      <c r="O10" s="40" t="s">
        <v>55</v>
      </c>
      <c r="P10" s="40" t="s">
        <v>54</v>
      </c>
      <c r="Q10" s="40" t="s">
        <v>54</v>
      </c>
      <c r="R10" s="40"/>
      <c r="S10" s="40"/>
      <c r="T10" s="40"/>
      <c r="U10" s="40" t="s">
        <v>56</v>
      </c>
      <c r="V10" s="40" t="s">
        <v>56</v>
      </c>
      <c r="W10" s="40" t="s">
        <v>57</v>
      </c>
      <c r="X10" s="40" t="s">
        <v>56</v>
      </c>
      <c r="Y10" s="40" t="s">
        <v>56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31</v>
      </c>
      <c r="C11" s="51" t="n">
        <f aca="false">'3.KTHH L3'!C22</f>
        <v>609.11</v>
      </c>
      <c r="D11" s="13" t="n">
        <f aca="false">'3.KTHH L3'!T22</f>
        <v>11.75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7.42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79.3125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E10</v>
      </c>
      <c r="C12" s="51" t="n">
        <f aca="false">'3.KTHH L3'!C23</f>
        <v>620.86</v>
      </c>
      <c r="D12" s="13" t="n">
        <f aca="false">'3.KTHH L3'!T23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6.08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86.5975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32</v>
      </c>
      <c r="C13" s="51" t="n">
        <f aca="false">'3.KTHH L3'!C24</f>
        <v>632.61</v>
      </c>
      <c r="D13" s="13" t="n">
        <f aca="false">'3.KTHH L3'!T24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8.66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173.2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33</v>
      </c>
      <c r="C14" s="51" t="n">
        <f aca="false">'3.KTHH L3'!C25</f>
        <v>652.61</v>
      </c>
      <c r="D14" s="13" t="n">
        <f aca="false">'3.KTHH L3'!T25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8.66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173.2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34</v>
      </c>
      <c r="C15" s="51" t="n">
        <f aca="false">'3.KTHH L3'!C26</f>
        <v>672.61</v>
      </c>
      <c r="D15" s="13" t="n">
        <f aca="false">'3.KTHH L3'!T26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8.66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173.2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35</v>
      </c>
      <c r="C16" s="51" t="n">
        <f aca="false">'3.KTHH L3'!C27</f>
        <v>692.61</v>
      </c>
      <c r="D16" s="13" t="n">
        <f aca="false">'3.KTHH L3'!T27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8.66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150.6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'3.KTHH L3'!B28</f>
        <v>36</v>
      </c>
      <c r="C17" s="51" t="n">
        <f aca="false">'3.KTHH L3'!C28</f>
        <v>712.61</v>
      </c>
      <c r="D17" s="13" t="n">
        <f aca="false">'3.KTHH L3'!T28</f>
        <v>11.5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Chạy!E55</f>
        <v>6.4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80.615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'3.KTHH L3'!B29</f>
        <v>37</v>
      </c>
      <c r="C18" s="51" t="n">
        <f aca="false">'3.KTHH L3'!C29</f>
        <v>724.11</v>
      </c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Chạy!E63</f>
        <v>7.62</v>
      </c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37" t="s">
        <v>58</v>
      </c>
      <c r="B51" s="37"/>
      <c r="C51" s="37"/>
      <c r="D51" s="3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 t="n">
        <f aca="false">SUM(R11:R50)</f>
        <v>0</v>
      </c>
      <c r="S51" s="98" t="n">
        <f aca="false">SUM(S11:S50)</f>
        <v>0</v>
      </c>
      <c r="T51" s="98"/>
      <c r="U51" s="99" t="n">
        <f aca="false">SUM(U11:U50)</f>
        <v>0</v>
      </c>
      <c r="V51" s="99" t="n">
        <f aca="false">SUM(V11:V50)</f>
        <v>0</v>
      </c>
      <c r="W51" s="100" t="n">
        <f aca="false">SUM(W11:W18)</f>
        <v>916.725</v>
      </c>
      <c r="X51" s="99" t="n">
        <f aca="false">SUM(X11:X50)</f>
        <v>0</v>
      </c>
      <c r="Y51" s="99" t="n">
        <f aca="false">SUM(Y11:Y50)</f>
        <v>0</v>
      </c>
      <c r="Z51" s="99" t="n">
        <f aca="false">SUM(Z11:Z50)</f>
        <v>0</v>
      </c>
      <c r="AA51" s="99" t="n">
        <f aca="false">SUM(AA11:AA50)</f>
        <v>0</v>
      </c>
      <c r="AB51" s="99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47</v>
      </c>
      <c r="B53" s="19"/>
      <c r="C53" s="19"/>
      <c r="D53" s="77" t="s">
        <v>59</v>
      </c>
      <c r="E53" s="19" t="s">
        <v>48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49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94.NĐXD8/CVXD ngày 02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94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31</v>
      </c>
      <c r="C7" s="7"/>
      <c r="D7" s="7"/>
      <c r="F7" s="7"/>
      <c r="G7" s="7" t="str">
        <f>VLOOKUP(AZ2,'[1]Tuyến XD8'!$A$2:$B$60,2,0)</f>
        <v xml:space="preserve">Đắp đất nền đường lớp 4 đoạn từ Km0+609,11 - Km0+724,11,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34</v>
      </c>
      <c r="B20" s="9" t="s">
        <v>35</v>
      </c>
      <c r="C20" s="9" t="s">
        <v>36</v>
      </c>
      <c r="D20" s="10" t="s">
        <v>37</v>
      </c>
      <c r="E20" s="10"/>
      <c r="F20" s="10"/>
      <c r="G20" s="10"/>
      <c r="H20" s="10"/>
      <c r="I20" s="10"/>
      <c r="J20" s="10" t="s">
        <v>38</v>
      </c>
      <c r="K20" s="10"/>
      <c r="L20" s="10"/>
      <c r="M20" s="10" t="s">
        <v>39</v>
      </c>
      <c r="N20" s="10"/>
      <c r="O20" s="10"/>
      <c r="P20" s="10"/>
      <c r="Q20" s="10"/>
      <c r="R20" s="10"/>
      <c r="S20" s="9" t="s">
        <v>40</v>
      </c>
    </row>
    <row r="21" customFormat="false" ht="30" hidden="false" customHeight="true" outlineLevel="0" collapsed="false">
      <c r="A21" s="9"/>
      <c r="B21" s="9"/>
      <c r="C21" s="9"/>
      <c r="D21" s="11" t="s">
        <v>41</v>
      </c>
      <c r="E21" s="11" t="s">
        <v>42</v>
      </c>
      <c r="F21" s="11" t="s">
        <v>43</v>
      </c>
      <c r="G21" s="11" t="s">
        <v>44</v>
      </c>
      <c r="H21" s="11" t="s">
        <v>45</v>
      </c>
      <c r="I21" s="11" t="s">
        <v>46</v>
      </c>
      <c r="J21" s="11" t="s">
        <v>44</v>
      </c>
      <c r="K21" s="11" t="s">
        <v>45</v>
      </c>
      <c r="L21" s="11" t="s">
        <v>46</v>
      </c>
      <c r="M21" s="11" t="s">
        <v>41</v>
      </c>
      <c r="N21" s="11" t="s">
        <v>42</v>
      </c>
      <c r="O21" s="11" t="s">
        <v>43</v>
      </c>
      <c r="P21" s="11" t="s">
        <v>44</v>
      </c>
      <c r="Q21" s="11" t="s">
        <v>45</v>
      </c>
      <c r="R21" s="11" t="s">
        <v>46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609.11</v>
      </c>
      <c r="D22" s="16" t="n">
        <f aca="false">+Chạy!F6</f>
        <v>-13.75</v>
      </c>
      <c r="E22" s="16" t="n">
        <f aca="false">+D22+F22</f>
        <v>-13.7526</v>
      </c>
      <c r="F22" s="16" t="n">
        <f aca="false">RANDBETWEEN(-105,115)/10000</f>
        <v>-0.0026</v>
      </c>
      <c r="G22" s="16" t="n">
        <f aca="false">+Chạy!G6</f>
        <v>0.64</v>
      </c>
      <c r="H22" s="16" t="n">
        <f aca="false">G22+I22</f>
        <v>0.662</v>
      </c>
      <c r="I22" s="16" t="n">
        <f aca="false">RANDBETWEEN(-30,90)/1000</f>
        <v>0.022</v>
      </c>
      <c r="J22" s="16" t="n">
        <f aca="false">+Chạy!K6</f>
        <v>0.76</v>
      </c>
      <c r="K22" s="16" t="n">
        <f aca="false">J22+L22</f>
        <v>0.779</v>
      </c>
      <c r="L22" s="16" t="n">
        <f aca="false">RANDBETWEEN(-30,90)/1000</f>
        <v>0.019</v>
      </c>
      <c r="M22" s="16" t="n">
        <f aca="false">+Chạy!N6</f>
        <v>13.75</v>
      </c>
      <c r="N22" s="16" t="n">
        <f aca="false">+M22+O22</f>
        <v>13.7547</v>
      </c>
      <c r="O22" s="16" t="n">
        <f aca="false">RANDBETWEEN(-105,115)/10000</f>
        <v>0.0047</v>
      </c>
      <c r="P22" s="16" t="n">
        <f aca="false">+Chạy!O6</f>
        <v>0.64</v>
      </c>
      <c r="Q22" s="16" t="n">
        <f aca="false">P22+R22</f>
        <v>0.661</v>
      </c>
      <c r="R22" s="16" t="n">
        <f aca="false">RANDBETWEEN(-30,90)/1000</f>
        <v>0.021</v>
      </c>
      <c r="S22" s="17"/>
      <c r="T22" s="1" t="n">
        <v>11.75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620.86</v>
      </c>
      <c r="D23" s="16" t="n">
        <f aca="false">+Chạy!F14</f>
        <v>-13.75</v>
      </c>
      <c r="E23" s="16" t="n">
        <f aca="false">+D23+F23</f>
        <v>-13.7545</v>
      </c>
      <c r="F23" s="16" t="n">
        <f aca="false">RANDBETWEEN(-105,115)/10000</f>
        <v>-0.0045</v>
      </c>
      <c r="G23" s="16" t="n">
        <f aca="false">+Chạy!G14</f>
        <v>0.64</v>
      </c>
      <c r="H23" s="16" t="n">
        <f aca="false">G23+I23</f>
        <v>0.628</v>
      </c>
      <c r="I23" s="16" t="n">
        <f aca="false">RANDBETWEEN(-30,90)/1000</f>
        <v>-0.012</v>
      </c>
      <c r="J23" s="16" t="n">
        <f aca="false">+Chạy!K14</f>
        <v>0.76</v>
      </c>
      <c r="K23" s="16" t="n">
        <f aca="false">J23+L23</f>
        <v>0.82</v>
      </c>
      <c r="L23" s="16" t="n">
        <f aca="false">RANDBETWEEN(-30,90)/1000</f>
        <v>0.06</v>
      </c>
      <c r="M23" s="16" t="n">
        <f aca="false">+Chạy!N14</f>
        <v>13.75</v>
      </c>
      <c r="N23" s="16" t="n">
        <f aca="false">+M23+O23</f>
        <v>13.7473</v>
      </c>
      <c r="O23" s="16" t="n">
        <f aca="false">RANDBETWEEN(-105,115)/10000</f>
        <v>-0.0027</v>
      </c>
      <c r="P23" s="16" t="n">
        <f aca="false">+Chạy!O14</f>
        <v>0.64</v>
      </c>
      <c r="Q23" s="16" t="n">
        <f aca="false">P23+R23</f>
        <v>0.66</v>
      </c>
      <c r="R23" s="16" t="n">
        <f aca="false">RANDBETWEEN(-30,90)/1000</f>
        <v>0.02</v>
      </c>
      <c r="S23" s="17"/>
      <c r="T23" s="1" t="n">
        <v>11.75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632.61</v>
      </c>
      <c r="D24" s="16" t="n">
        <f aca="false">+Chạy!F22</f>
        <v>-13.75</v>
      </c>
      <c r="E24" s="16" t="n">
        <f aca="false">+D24+F24</f>
        <v>-13.7504</v>
      </c>
      <c r="F24" s="16" t="n">
        <f aca="false">RANDBETWEEN(-105,115)/10000</f>
        <v>-0.0004</v>
      </c>
      <c r="G24" s="16" t="n">
        <f aca="false">+Chạy!G22</f>
        <v>0.64</v>
      </c>
      <c r="H24" s="16" t="n">
        <f aca="false">G24+I24</f>
        <v>0.63</v>
      </c>
      <c r="I24" s="16" t="n">
        <f aca="false">RANDBETWEEN(-30,90)/1000</f>
        <v>-0.01</v>
      </c>
      <c r="J24" s="16" t="n">
        <f aca="false">+Chạy!K22</f>
        <v>0.76</v>
      </c>
      <c r="K24" s="16" t="n">
        <f aca="false">J24+L24</f>
        <v>0.792</v>
      </c>
      <c r="L24" s="16" t="n">
        <f aca="false">RANDBETWEEN(-30,90)/1000</f>
        <v>0.032</v>
      </c>
      <c r="M24" s="16" t="n">
        <f aca="false">+Chạy!N22</f>
        <v>13.75</v>
      </c>
      <c r="N24" s="16" t="n">
        <f aca="false">+M24+O24</f>
        <v>13.7545</v>
      </c>
      <c r="O24" s="16" t="n">
        <f aca="false">RANDBETWEEN(-105,115)/10000</f>
        <v>0.0045</v>
      </c>
      <c r="P24" s="16" t="n">
        <f aca="false">+Chạy!O22</f>
        <v>0.64</v>
      </c>
      <c r="Q24" s="16" t="n">
        <f aca="false">P24+R24</f>
        <v>0.633</v>
      </c>
      <c r="R24" s="16" t="n">
        <f aca="false">RANDBETWEEN(-30,90)/1000</f>
        <v>-0.007</v>
      </c>
      <c r="S24" s="17"/>
      <c r="T24" s="1" t="n">
        <v>20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652.61</v>
      </c>
      <c r="D25" s="16" t="n">
        <f aca="false">+Chạy!F30</f>
        <v>-13.75</v>
      </c>
      <c r="E25" s="16" t="n">
        <f aca="false">+D25+F25</f>
        <v>-13.7491</v>
      </c>
      <c r="F25" s="16" t="n">
        <f aca="false">RANDBETWEEN(-105,115)/10000</f>
        <v>0.0009</v>
      </c>
      <c r="G25" s="16" t="n">
        <f aca="false">+Chạy!G30</f>
        <v>0.65</v>
      </c>
      <c r="H25" s="16" t="n">
        <f aca="false">G25+I25</f>
        <v>0.655</v>
      </c>
      <c r="I25" s="16" t="n">
        <f aca="false">RANDBETWEEN(-30,90)/1000</f>
        <v>0.005</v>
      </c>
      <c r="J25" s="16" t="n">
        <f aca="false">+Chạy!K30</f>
        <v>0.76</v>
      </c>
      <c r="K25" s="16" t="n">
        <f aca="false">J25+L25</f>
        <v>0.797</v>
      </c>
      <c r="L25" s="16" t="n">
        <f aca="false">RANDBETWEEN(-30,90)/1000</f>
        <v>0.037</v>
      </c>
      <c r="M25" s="16" t="n">
        <f aca="false">+Chạy!N30</f>
        <v>13.75</v>
      </c>
      <c r="N25" s="16" t="n">
        <f aca="false">+M25+O25</f>
        <v>13.7527</v>
      </c>
      <c r="O25" s="16" t="n">
        <f aca="false">RANDBETWEEN(-105,115)/10000</f>
        <v>0.0027</v>
      </c>
      <c r="P25" s="16" t="n">
        <f aca="false">+Chạy!O30</f>
        <v>0.65</v>
      </c>
      <c r="Q25" s="16" t="n">
        <f aca="false">P25+R25</f>
        <v>0.729</v>
      </c>
      <c r="R25" s="16" t="n">
        <f aca="false">RANDBETWEEN(-30,90)/1000</f>
        <v>0.079</v>
      </c>
      <c r="S25" s="17"/>
      <c r="T25" s="1" t="n">
        <v>20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672.61</v>
      </c>
      <c r="D26" s="16" t="n">
        <f aca="false">+Chạy!F38</f>
        <v>-13.75</v>
      </c>
      <c r="E26" s="16" t="n">
        <f aca="false">+D26+F26</f>
        <v>-13.7498</v>
      </c>
      <c r="F26" s="16" t="n">
        <f aca="false">RANDBETWEEN(-105,115)/10000</f>
        <v>0.0002</v>
      </c>
      <c r="G26" s="16" t="n">
        <f aca="false">+Chạy!G38</f>
        <v>0.65</v>
      </c>
      <c r="H26" s="16" t="n">
        <f aca="false">G26+I26</f>
        <v>0.697</v>
      </c>
      <c r="I26" s="16" t="n">
        <f aca="false">RANDBETWEEN(-30,90)/1000</f>
        <v>0.047</v>
      </c>
      <c r="J26" s="16" t="n">
        <f aca="false">+Chạy!K38</f>
        <v>0.76</v>
      </c>
      <c r="K26" s="16" t="n">
        <f aca="false">J26+L26</f>
        <v>0.841</v>
      </c>
      <c r="L26" s="16" t="n">
        <f aca="false">RANDBETWEEN(-30,90)/1000</f>
        <v>0.081</v>
      </c>
      <c r="M26" s="16" t="n">
        <f aca="false">+Chạy!N38</f>
        <v>13.75</v>
      </c>
      <c r="N26" s="16" t="n">
        <f aca="false">+M26+O26</f>
        <v>13.7593</v>
      </c>
      <c r="O26" s="16" t="n">
        <f aca="false">RANDBETWEEN(-105,115)/10000</f>
        <v>0.0093</v>
      </c>
      <c r="P26" s="16" t="n">
        <f aca="false">+Chạy!O38</f>
        <v>0.65</v>
      </c>
      <c r="Q26" s="16" t="n">
        <f aca="false">P26+R26</f>
        <v>0.692</v>
      </c>
      <c r="R26" s="16" t="n">
        <f aca="false">RANDBETWEEN(-30,90)/1000</f>
        <v>0.042</v>
      </c>
      <c r="S26" s="17"/>
      <c r="T26" s="1" t="n">
        <v>20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692.61</v>
      </c>
      <c r="D27" s="16" t="n">
        <f aca="false">+Chạy!F46</f>
        <v>-13.75</v>
      </c>
      <c r="E27" s="16" t="n">
        <f aca="false">+D27+F27</f>
        <v>-13.7536</v>
      </c>
      <c r="F27" s="16" t="n">
        <f aca="false">RANDBETWEEN(-105,115)/10000</f>
        <v>-0.0036</v>
      </c>
      <c r="G27" s="16" t="n">
        <f aca="false">+Chạy!G46</f>
        <v>0.65</v>
      </c>
      <c r="H27" s="16" t="n">
        <f aca="false">G27+I27</f>
        <v>0.664</v>
      </c>
      <c r="I27" s="16" t="n">
        <f aca="false">RANDBETWEEN(-30,90)/1000</f>
        <v>0.014</v>
      </c>
      <c r="J27" s="16" t="n">
        <f aca="false">+Chạy!K46</f>
        <v>0.77</v>
      </c>
      <c r="K27" s="16" t="n">
        <f aca="false">J27+L27</f>
        <v>0.829</v>
      </c>
      <c r="L27" s="16" t="n">
        <f aca="false">RANDBETWEEN(-30,90)/1000</f>
        <v>0.059</v>
      </c>
      <c r="M27" s="16" t="n">
        <f aca="false">+Chạy!N46</f>
        <v>13.75</v>
      </c>
      <c r="N27" s="16" t="n">
        <f aca="false">+M27+O27</f>
        <v>13.7513</v>
      </c>
      <c r="O27" s="16" t="n">
        <f aca="false">RANDBETWEEN(-105,115)/10000</f>
        <v>0.0013</v>
      </c>
      <c r="P27" s="16" t="n">
        <f aca="false">+Chạy!O46</f>
        <v>0.65</v>
      </c>
      <c r="Q27" s="16" t="n">
        <f aca="false">P27+R27</f>
        <v>0.672</v>
      </c>
      <c r="R27" s="16" t="n">
        <f aca="false">RANDBETWEEN(-30,90)/1000</f>
        <v>0.022</v>
      </c>
      <c r="S27" s="17"/>
      <c r="T27" s="1" t="n">
        <v>20</v>
      </c>
      <c r="W27" s="102"/>
      <c r="X27" s="103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712.61</v>
      </c>
      <c r="D28" s="16" t="n">
        <f aca="false">+Chạy!F54</f>
        <v>-7.35</v>
      </c>
      <c r="E28" s="16" t="n">
        <f aca="false">+D28+F28</f>
        <v>-7.3573</v>
      </c>
      <c r="F28" s="16" t="n">
        <f aca="false">RANDBETWEEN(-105,115)/10000</f>
        <v>-0.0073</v>
      </c>
      <c r="G28" s="16" t="n">
        <f aca="false">+Chạy!G54</f>
        <v>0.65</v>
      </c>
      <c r="H28" s="16" t="n">
        <f aca="false">G28+I28</f>
        <v>0.737</v>
      </c>
      <c r="I28" s="16" t="n">
        <f aca="false">RANDBETWEEN(-30,90)/1000</f>
        <v>0.087</v>
      </c>
      <c r="J28" s="16" t="n">
        <f aca="false">+Chạy!K54</f>
        <v>0.77</v>
      </c>
      <c r="K28" s="16" t="n">
        <f aca="false">J28+L28</f>
        <v>0.786</v>
      </c>
      <c r="L28" s="16" t="n">
        <f aca="false">RANDBETWEEN(-30,90)/1000</f>
        <v>0.016</v>
      </c>
      <c r="M28" s="16" t="n">
        <f aca="false">+Chạy!N54</f>
        <v>13.75</v>
      </c>
      <c r="N28" s="16" t="n">
        <f aca="false">+M28+O28</f>
        <v>13.755</v>
      </c>
      <c r="O28" s="16" t="n">
        <f aca="false">RANDBETWEEN(-105,115)/10000</f>
        <v>0.005</v>
      </c>
      <c r="P28" s="16" t="n">
        <f aca="false">+Chạy!O54</f>
        <v>0.65</v>
      </c>
      <c r="Q28" s="16" t="n">
        <f aca="false">P28+R28</f>
        <v>0.658</v>
      </c>
      <c r="R28" s="16" t="n">
        <f aca="false">RANDBETWEEN(-30,90)/1000</f>
        <v>0.008</v>
      </c>
      <c r="S28" s="17"/>
      <c r="T28" s="1" t="n">
        <v>11.5</v>
      </c>
      <c r="W28" s="102"/>
      <c r="X28" s="103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724.11</v>
      </c>
      <c r="D29" s="16" t="n">
        <f aca="false">+Chạy!F62</f>
        <v>-13.75</v>
      </c>
      <c r="E29" s="16" t="n">
        <f aca="false">+D29+F29</f>
        <v>-13.7549</v>
      </c>
      <c r="F29" s="16" t="n">
        <f aca="false">RANDBETWEEN(-105,115)/10000</f>
        <v>-0.0049</v>
      </c>
      <c r="G29" s="16" t="n">
        <f aca="false">+Chạy!G62</f>
        <v>0.65</v>
      </c>
      <c r="H29" s="16" t="n">
        <f aca="false">G29+I29</f>
        <v>0.73</v>
      </c>
      <c r="I29" s="16" t="n">
        <f aca="false">RANDBETWEEN(-30,90)/1000</f>
        <v>0.08</v>
      </c>
      <c r="J29" s="16" t="n">
        <f aca="false">+Chạy!K62</f>
        <v>0.77</v>
      </c>
      <c r="K29" s="16" t="n">
        <f aca="false">J29+L29</f>
        <v>0.767</v>
      </c>
      <c r="L29" s="16" t="n">
        <f aca="false">RANDBETWEEN(-30,90)/1000</f>
        <v>-0.003</v>
      </c>
      <c r="M29" s="16" t="n">
        <f aca="false">+Chạy!N62</f>
        <v>13.75</v>
      </c>
      <c r="N29" s="16" t="n">
        <f aca="false">+M29+O29</f>
        <v>13.7568</v>
      </c>
      <c r="O29" s="16" t="n">
        <f aca="false">RANDBETWEEN(-105,115)/10000</f>
        <v>0.0068</v>
      </c>
      <c r="P29" s="16" t="n">
        <f aca="false">+Chạy!O62</f>
        <v>0.65</v>
      </c>
      <c r="Q29" s="16" t="n">
        <f aca="false">P29+R29</f>
        <v>0.66</v>
      </c>
      <c r="R29" s="16" t="n">
        <f aca="false">RANDBETWEEN(-30,90)/1000</f>
        <v>0.01</v>
      </c>
      <c r="S29" s="17"/>
      <c r="W29" s="102"/>
      <c r="X29" s="103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3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3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3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3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3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3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3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3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3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3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3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3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3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3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3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3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3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3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3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3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3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3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3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3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3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3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3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3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3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3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3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3"/>
    </row>
    <row r="63" customFormat="false" ht="15" hidden="false" customHeight="false" outlineLevel="0" collapsed="false">
      <c r="C63" s="19" t="s">
        <v>47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48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49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50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94.NĐXD8/CVXD ngày 02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94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31</v>
      </c>
      <c r="B7" s="34"/>
      <c r="D7" s="35" t="str">
        <f>VLOOKUP(AZ2,'[1]Tuyến XD8'!$A$2:$B$60,2,0)</f>
        <v xml:space="preserve">Đắp đất nền đường lớp 4 đoạn từ Km0+609,11 - Km0+724,11,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35</v>
      </c>
      <c r="C9" s="37" t="s">
        <v>36</v>
      </c>
      <c r="D9" s="38" t="s">
        <v>52</v>
      </c>
      <c r="E9" s="39"/>
      <c r="F9" s="39"/>
      <c r="G9" s="38"/>
      <c r="H9" s="39"/>
      <c r="I9" s="39"/>
      <c r="J9" s="39"/>
      <c r="K9" s="39"/>
      <c r="L9" s="39"/>
      <c r="M9" s="40" t="s">
        <v>53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40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54</v>
      </c>
      <c r="O10" s="40" t="s">
        <v>55</v>
      </c>
      <c r="P10" s="40" t="s">
        <v>54</v>
      </c>
      <c r="Q10" s="40" t="s">
        <v>54</v>
      </c>
      <c r="R10" s="40"/>
      <c r="S10" s="40"/>
      <c r="T10" s="40"/>
      <c r="U10" s="40" t="s">
        <v>56</v>
      </c>
      <c r="V10" s="40" t="s">
        <v>56</v>
      </c>
      <c r="W10" s="40" t="s">
        <v>57</v>
      </c>
      <c r="X10" s="40" t="s">
        <v>56</v>
      </c>
      <c r="Y10" s="40" t="s">
        <v>56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31</v>
      </c>
      <c r="C11" s="51" t="n">
        <f aca="false">'4.KTHH L4'!C22</f>
        <v>609.11</v>
      </c>
      <c r="D11" s="13" t="n">
        <f aca="false">'4.KTHH L4'!T22</f>
        <v>11.75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8.39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98.28875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E10</v>
      </c>
      <c r="C12" s="51" t="n">
        <f aca="false">'4.KTHH L4'!C23</f>
        <v>620.86</v>
      </c>
      <c r="D12" s="13" t="n">
        <f aca="false">'4.KTHH L4'!T23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8.34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98.28875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32</v>
      </c>
      <c r="C13" s="51" t="n">
        <f aca="false">'4.KTHH L4'!C24</f>
        <v>632.61</v>
      </c>
      <c r="D13" s="13" t="n">
        <f aca="false">'4.KTHH L4'!T24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8.39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167.8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33</v>
      </c>
      <c r="C14" s="51" t="n">
        <f aca="false">'4.KTHH L4'!C25</f>
        <v>652.61</v>
      </c>
      <c r="D14" s="13" t="n">
        <f aca="false">'4.KTHH L4'!T25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8.39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167.8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34</v>
      </c>
      <c r="C15" s="51" t="n">
        <f aca="false">'4.KTHH L4'!C26</f>
        <v>672.61</v>
      </c>
      <c r="D15" s="13" t="n">
        <f aca="false">'4.KTHH L4'!T26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8.39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167.8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35</v>
      </c>
      <c r="C16" s="51" t="n">
        <f aca="false">'4.KTHH L4'!C27</f>
        <v>692.61</v>
      </c>
      <c r="D16" s="13" t="n">
        <f aca="false">'4.KTHH L4'!T27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Chạy!E46</f>
        <v>8.39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147.4</v>
      </c>
      <c r="X16" s="55"/>
      <c r="Y16" s="55"/>
      <c r="Z16" s="55"/>
      <c r="AA16" s="55"/>
      <c r="AB16" s="56"/>
      <c r="AC16" s="55"/>
    </row>
    <row r="17" s="84" customFormat="true" ht="15" hidden="false" customHeight="true" outlineLevel="0" collapsed="false">
      <c r="A17" s="13" t="n">
        <v>7</v>
      </c>
      <c r="B17" s="13" t="str">
        <f aca="false">'4.KTHH L4'!B28</f>
        <v>36</v>
      </c>
      <c r="C17" s="51" t="n">
        <f aca="false">'4.KTHH L4'!C28</f>
        <v>712.61</v>
      </c>
      <c r="D17" s="13" t="n">
        <f aca="false">'4.KTHH L4'!T28</f>
        <v>11.5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Chạy!E54</f>
        <v>6.35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84.4675</v>
      </c>
      <c r="X17" s="55"/>
      <c r="Y17" s="55"/>
      <c r="Z17" s="55"/>
      <c r="AA17" s="55"/>
      <c r="AB17" s="56"/>
      <c r="AC17" s="55"/>
    </row>
    <row r="18" s="84" customFormat="true" ht="15" hidden="false" customHeight="true" outlineLevel="0" collapsed="false">
      <c r="A18" s="13" t="n">
        <v>8</v>
      </c>
      <c r="B18" s="13" t="str">
        <f aca="false">'4.KTHH L4'!B29</f>
        <v>37</v>
      </c>
      <c r="C18" s="51" t="n">
        <f aca="false">'4.KTHH L4'!C29</f>
        <v>724.11</v>
      </c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Chạy!E62</f>
        <v>8.34</v>
      </c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5"/>
    </row>
    <row r="19" s="84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5"/>
    </row>
    <row r="20" s="84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5"/>
    </row>
    <row r="21" s="84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5"/>
    </row>
    <row r="22" s="84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5"/>
    </row>
    <row r="23" s="84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5"/>
    </row>
    <row r="24" s="84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5"/>
    </row>
    <row r="25" s="84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5"/>
    </row>
    <row r="26" s="84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5"/>
    </row>
    <row r="27" s="84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5"/>
    </row>
    <row r="28" s="84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5"/>
    </row>
    <row r="29" s="84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5"/>
    </row>
    <row r="30" s="84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5"/>
    </row>
    <row r="31" s="84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5"/>
    </row>
    <row r="32" s="84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5"/>
    </row>
    <row r="33" s="84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5"/>
    </row>
    <row r="34" s="84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5"/>
    </row>
    <row r="35" s="84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5"/>
    </row>
    <row r="36" s="84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5"/>
    </row>
    <row r="37" s="84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5"/>
    </row>
    <row r="38" s="84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5"/>
    </row>
    <row r="39" s="84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5"/>
    </row>
    <row r="40" s="84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5"/>
    </row>
    <row r="41" s="84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5"/>
    </row>
    <row r="42" s="84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5"/>
    </row>
    <row r="43" s="84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5"/>
    </row>
    <row r="44" s="84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5"/>
    </row>
    <row r="45" s="84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5"/>
    </row>
    <row r="46" s="84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5"/>
    </row>
    <row r="47" s="84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5"/>
    </row>
    <row r="48" s="84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5"/>
    </row>
    <row r="49" s="84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5"/>
    </row>
    <row r="50" s="84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5"/>
    </row>
    <row r="51" s="69" customFormat="true" ht="14.25" hidden="false" customHeight="true" outlineLevel="0" collapsed="false">
      <c r="A51" s="61" t="s">
        <v>58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SUM(W11:W18)</f>
        <v>931.845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71"/>
    </row>
    <row r="52" s="69" customFormat="true" ht="14.25" hidden="false" customHeight="true" outlineLevel="0" collapsed="false">
      <c r="A52" s="68"/>
      <c r="B52" s="68"/>
      <c r="C52" s="68"/>
      <c r="D52" s="68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69" customFormat="true" ht="15" hidden="false" customHeight="true" outlineLevel="0" collapsed="false">
      <c r="A53" s="19" t="s">
        <v>47</v>
      </c>
      <c r="B53" s="19"/>
      <c r="C53" s="19"/>
      <c r="D53" s="77" t="s">
        <v>59</v>
      </c>
      <c r="E53" s="19" t="s">
        <v>48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69" customFormat="true" ht="14.2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 s="69" customFormat="true" ht="1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AF55" s="108"/>
    </row>
    <row r="56" s="69" customFormat="true" ht="14.2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s="69" customFormat="true" ht="14.2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s="69" customFormat="true" ht="14.2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s="69" customFormat="true" ht="14.25" hidden="false" customHeight="true" outlineLevel="0" collapsed="false">
      <c r="A59" s="19" t="s">
        <v>49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95.NĐXD8/CVXD ngày 02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95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31</v>
      </c>
      <c r="C7" s="7"/>
      <c r="D7" s="7"/>
      <c r="F7" s="7"/>
      <c r="G7" s="7" t="str">
        <f>VLOOKUP(AZ2,'[1]Tuyến XD8'!$A$2:$B$60,2,0)</f>
        <v xml:space="preserve">Đắp đất nền đường lớp 5 đoạn từ Km0+609,11 - Km0+724,11,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34</v>
      </c>
      <c r="B20" s="9" t="s">
        <v>35</v>
      </c>
      <c r="C20" s="9" t="s">
        <v>36</v>
      </c>
      <c r="D20" s="10" t="s">
        <v>37</v>
      </c>
      <c r="E20" s="10"/>
      <c r="F20" s="10"/>
      <c r="G20" s="10"/>
      <c r="H20" s="10"/>
      <c r="I20" s="10"/>
      <c r="J20" s="10" t="s">
        <v>38</v>
      </c>
      <c r="K20" s="10"/>
      <c r="L20" s="10"/>
      <c r="M20" s="10" t="s">
        <v>39</v>
      </c>
      <c r="N20" s="10"/>
      <c r="O20" s="10"/>
      <c r="P20" s="10"/>
      <c r="Q20" s="10"/>
      <c r="R20" s="10"/>
      <c r="S20" s="9" t="s">
        <v>40</v>
      </c>
    </row>
    <row r="21" customFormat="false" ht="51.75" hidden="false" customHeight="true" outlineLevel="0" collapsed="false">
      <c r="A21" s="109"/>
      <c r="B21" s="109"/>
      <c r="C21" s="109"/>
      <c r="D21" s="11" t="s">
        <v>41</v>
      </c>
      <c r="E21" s="11" t="s">
        <v>42</v>
      </c>
      <c r="F21" s="11" t="s">
        <v>43</v>
      </c>
      <c r="G21" s="11" t="s">
        <v>44</v>
      </c>
      <c r="H21" s="11" t="s">
        <v>45</v>
      </c>
      <c r="I21" s="11" t="s">
        <v>46</v>
      </c>
      <c r="J21" s="11" t="s">
        <v>44</v>
      </c>
      <c r="K21" s="11" t="s">
        <v>45</v>
      </c>
      <c r="L21" s="11" t="s">
        <v>46</v>
      </c>
      <c r="M21" s="11" t="s">
        <v>41</v>
      </c>
      <c r="N21" s="11" t="s">
        <v>42</v>
      </c>
      <c r="O21" s="11" t="s">
        <v>43</v>
      </c>
      <c r="P21" s="11" t="s">
        <v>44</v>
      </c>
      <c r="Q21" s="11" t="s">
        <v>45</v>
      </c>
      <c r="R21" s="11" t="s">
        <v>46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609.11</v>
      </c>
      <c r="D22" s="16" t="n">
        <f aca="false">+Chạy!F5</f>
        <v>-13.3</v>
      </c>
      <c r="E22" s="16" t="n">
        <f aca="false">+D22+F22</f>
        <v>-13.3059</v>
      </c>
      <c r="F22" s="16" t="n">
        <f aca="false">RANDBETWEEN(-105,115)/10000</f>
        <v>-0.0059</v>
      </c>
      <c r="G22" s="16" t="n">
        <f aca="false">+Chạy!G5</f>
        <v>0.94</v>
      </c>
      <c r="H22" s="16" t="n">
        <f aca="false">G22+I22</f>
        <v>0.945</v>
      </c>
      <c r="I22" s="16" t="n">
        <f aca="false">RANDBETWEEN(-30,90)/1000</f>
        <v>0.005</v>
      </c>
      <c r="J22" s="16" t="n">
        <f aca="false">+Chạy!K5</f>
        <v>1.06</v>
      </c>
      <c r="K22" s="16" t="n">
        <f aca="false">J22+L22</f>
        <v>1.079</v>
      </c>
      <c r="L22" s="16" t="n">
        <f aca="false">RANDBETWEEN(-30,90)/1000</f>
        <v>0.019</v>
      </c>
      <c r="M22" s="16" t="n">
        <f aca="false">+Chạy!N5</f>
        <v>13.3</v>
      </c>
      <c r="N22" s="16" t="n">
        <f aca="false">+M22+O22</f>
        <v>13.3068</v>
      </c>
      <c r="O22" s="16" t="n">
        <f aca="false">RANDBETWEEN(-105,115)/10000</f>
        <v>0.0068</v>
      </c>
      <c r="P22" s="16" t="n">
        <f aca="false">+Chạy!O5</f>
        <v>0.94</v>
      </c>
      <c r="Q22" s="16" t="n">
        <f aca="false">P22+R22</f>
        <v>0.952</v>
      </c>
      <c r="R22" s="16" t="n">
        <f aca="false">RANDBETWEEN(-30,90)/1000</f>
        <v>0.012</v>
      </c>
      <c r="S22" s="17"/>
      <c r="T22" s="0" t="n">
        <v>11.75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620.86</v>
      </c>
      <c r="D23" s="16" t="n">
        <f aca="false">+Chạy!F13</f>
        <v>-13.3</v>
      </c>
      <c r="E23" s="16" t="n">
        <f aca="false">+D23+F23</f>
        <v>-13.3084</v>
      </c>
      <c r="F23" s="16" t="n">
        <f aca="false">RANDBETWEEN(-105,115)/10000</f>
        <v>-0.0084</v>
      </c>
      <c r="G23" s="16" t="n">
        <f aca="false">+Chạy!G13</f>
        <v>0.94</v>
      </c>
      <c r="H23" s="16" t="n">
        <f aca="false">G23+I23</f>
        <v>0.972</v>
      </c>
      <c r="I23" s="16" t="n">
        <f aca="false">RANDBETWEEN(-30,90)/1000</f>
        <v>0.032</v>
      </c>
      <c r="J23" s="16" t="n">
        <f aca="false">+Chạy!K13</f>
        <v>1.06</v>
      </c>
      <c r="K23" s="16" t="n">
        <f aca="false">J23+L23</f>
        <v>1.119</v>
      </c>
      <c r="L23" s="16" t="n">
        <f aca="false">RANDBETWEEN(-30,90)/1000</f>
        <v>0.059</v>
      </c>
      <c r="M23" s="16" t="n">
        <f aca="false">+Chạy!N13</f>
        <v>13.3</v>
      </c>
      <c r="N23" s="16" t="n">
        <f aca="false">+M23+O23</f>
        <v>13.2977</v>
      </c>
      <c r="O23" s="16" t="n">
        <f aca="false">RANDBETWEEN(-105,115)/10000</f>
        <v>-0.0023</v>
      </c>
      <c r="P23" s="16" t="n">
        <f aca="false">+Chạy!O13</f>
        <v>0.94</v>
      </c>
      <c r="Q23" s="16" t="n">
        <f aca="false">P23+R23</f>
        <v>1.011</v>
      </c>
      <c r="R23" s="16" t="n">
        <f aca="false">RANDBETWEEN(-30,90)/1000</f>
        <v>0.071</v>
      </c>
      <c r="S23" s="17"/>
      <c r="T23" s="0" t="n">
        <v>11.75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632.61</v>
      </c>
      <c r="D24" s="16" t="n">
        <f aca="false">+Chạy!F21</f>
        <v>-13.3</v>
      </c>
      <c r="E24" s="16" t="n">
        <f aca="false">+D24+F24</f>
        <v>-13.2967</v>
      </c>
      <c r="F24" s="16" t="n">
        <f aca="false">RANDBETWEEN(-105,115)/10000</f>
        <v>0.0033</v>
      </c>
      <c r="G24" s="16" t="n">
        <f aca="false">+Chạy!G21</f>
        <v>0.94</v>
      </c>
      <c r="H24" s="16" t="n">
        <f aca="false">G24+I24</f>
        <v>0.953</v>
      </c>
      <c r="I24" s="16" t="n">
        <f aca="false">RANDBETWEEN(-30,90)/1000</f>
        <v>0.013</v>
      </c>
      <c r="J24" s="16" t="n">
        <f aca="false">+Chạy!K21</f>
        <v>1.06</v>
      </c>
      <c r="K24" s="16" t="n">
        <f aca="false">J24+L24</f>
        <v>1.096</v>
      </c>
      <c r="L24" s="16" t="n">
        <f aca="false">RANDBETWEEN(-30,90)/1000</f>
        <v>0.036</v>
      </c>
      <c r="M24" s="16" t="n">
        <f aca="false">+Chạy!N21</f>
        <v>13.3</v>
      </c>
      <c r="N24" s="16" t="n">
        <f aca="false">+M24+O24</f>
        <v>13.2929</v>
      </c>
      <c r="O24" s="16" t="n">
        <f aca="false">RANDBETWEEN(-105,115)/10000</f>
        <v>-0.0071</v>
      </c>
      <c r="P24" s="16" t="n">
        <f aca="false">+Chạy!O21</f>
        <v>0.94</v>
      </c>
      <c r="Q24" s="16" t="n">
        <f aca="false">P24+R24</f>
        <v>0.989</v>
      </c>
      <c r="R24" s="16" t="n">
        <f aca="false">RANDBETWEEN(-30,90)/1000</f>
        <v>0.049</v>
      </c>
      <c r="S24" s="17"/>
      <c r="T24" s="0" t="n">
        <v>20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652.61</v>
      </c>
      <c r="D25" s="16" t="n">
        <f aca="false">+Chạy!F29</f>
        <v>-13.3</v>
      </c>
      <c r="E25" s="16" t="n">
        <f aca="false">+D25+F25</f>
        <v>-13.3031</v>
      </c>
      <c r="F25" s="16" t="n">
        <f aca="false">RANDBETWEEN(-105,115)/10000</f>
        <v>-0.0031</v>
      </c>
      <c r="G25" s="16" t="n">
        <f aca="false">+Chạy!G29</f>
        <v>0.95</v>
      </c>
      <c r="H25" s="16" t="n">
        <f aca="false">G25+I25</f>
        <v>0.963</v>
      </c>
      <c r="I25" s="16" t="n">
        <f aca="false">RANDBETWEEN(-30,90)/1000</f>
        <v>0.013</v>
      </c>
      <c r="J25" s="16" t="n">
        <f aca="false">+Chạy!K29</f>
        <v>1.06</v>
      </c>
      <c r="K25" s="16" t="n">
        <f aca="false">J25+L25</f>
        <v>1.091</v>
      </c>
      <c r="L25" s="16" t="n">
        <f aca="false">RANDBETWEEN(-30,90)/1000</f>
        <v>0.031</v>
      </c>
      <c r="M25" s="16" t="n">
        <f aca="false">+Chạy!N29</f>
        <v>13.3</v>
      </c>
      <c r="N25" s="16" t="n">
        <f aca="false">+M25+O25</f>
        <v>13.3031</v>
      </c>
      <c r="O25" s="16" t="n">
        <f aca="false">RANDBETWEEN(-105,115)/10000</f>
        <v>0.0031</v>
      </c>
      <c r="P25" s="16" t="n">
        <f aca="false">+Chạy!O29</f>
        <v>0.95</v>
      </c>
      <c r="Q25" s="16" t="n">
        <f aca="false">P25+R25</f>
        <v>0.966</v>
      </c>
      <c r="R25" s="16" t="n">
        <f aca="false">RANDBETWEEN(-30,90)/1000</f>
        <v>0.016</v>
      </c>
      <c r="S25" s="17"/>
      <c r="T25" s="0" t="n">
        <v>20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672.61</v>
      </c>
      <c r="D26" s="16" t="n">
        <f aca="false">+Chạy!F37</f>
        <v>-13.3</v>
      </c>
      <c r="E26" s="16" t="n">
        <f aca="false">+D26+F26</f>
        <v>-13.3044</v>
      </c>
      <c r="F26" s="16" t="n">
        <f aca="false">RANDBETWEEN(-105,115)/10000</f>
        <v>-0.0044</v>
      </c>
      <c r="G26" s="16" t="n">
        <f aca="false">+Chạy!G37</f>
        <v>0.95</v>
      </c>
      <c r="H26" s="16" t="n">
        <f aca="false">G26+I26</f>
        <v>1.029</v>
      </c>
      <c r="I26" s="16" t="n">
        <f aca="false">RANDBETWEEN(-30,90)/1000</f>
        <v>0.079</v>
      </c>
      <c r="J26" s="16" t="n">
        <f aca="false">+Chạy!K37</f>
        <v>1.06</v>
      </c>
      <c r="K26" s="16" t="n">
        <f aca="false">J26+L26</f>
        <v>1.069</v>
      </c>
      <c r="L26" s="16" t="n">
        <f aca="false">RANDBETWEEN(-30,90)/1000</f>
        <v>0.009</v>
      </c>
      <c r="M26" s="16" t="n">
        <f aca="false">+Chạy!N37</f>
        <v>13.3</v>
      </c>
      <c r="N26" s="16" t="n">
        <f aca="false">+M26+O26</f>
        <v>13.3004</v>
      </c>
      <c r="O26" s="16" t="n">
        <f aca="false">RANDBETWEEN(-105,115)/10000</f>
        <v>0.0004</v>
      </c>
      <c r="P26" s="16" t="n">
        <f aca="false">+Chạy!O37</f>
        <v>0.95</v>
      </c>
      <c r="Q26" s="16" t="n">
        <f aca="false">P26+R26</f>
        <v>0.944</v>
      </c>
      <c r="R26" s="16" t="n">
        <f aca="false">RANDBETWEEN(-30,90)/1000</f>
        <v>-0.006</v>
      </c>
      <c r="S26" s="17"/>
      <c r="T26" s="0" t="n">
        <v>20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22</v>
      </c>
      <c r="C27" s="15" t="n">
        <f aca="false">+C26+T26</f>
        <v>692.61</v>
      </c>
      <c r="D27" s="16" t="n">
        <f aca="false">+Chạy!F45</f>
        <v>-13.3</v>
      </c>
      <c r="E27" s="16" t="n">
        <f aca="false">+D27+F27</f>
        <v>-13.3004</v>
      </c>
      <c r="F27" s="16" t="n">
        <f aca="false">RANDBETWEEN(-105,115)/10000</f>
        <v>-0.0004</v>
      </c>
      <c r="G27" s="16" t="n">
        <f aca="false">+Chạy!G45</f>
        <v>0.95</v>
      </c>
      <c r="H27" s="16" t="n">
        <f aca="false">G27+I27</f>
        <v>0.942</v>
      </c>
      <c r="I27" s="16" t="n">
        <f aca="false">RANDBETWEEN(-30,90)/1000</f>
        <v>-0.008</v>
      </c>
      <c r="J27" s="16" t="n">
        <f aca="false">+Chạy!K45</f>
        <v>1.07</v>
      </c>
      <c r="K27" s="16" t="n">
        <f aca="false">J27+L27</f>
        <v>1.067</v>
      </c>
      <c r="L27" s="16" t="n">
        <f aca="false">RANDBETWEEN(-30,90)/1000</f>
        <v>-0.003</v>
      </c>
      <c r="M27" s="16" t="n">
        <f aca="false">+Chạy!N45</f>
        <v>13.3</v>
      </c>
      <c r="N27" s="16" t="n">
        <f aca="false">+M27+O27</f>
        <v>13.3017</v>
      </c>
      <c r="O27" s="16" t="n">
        <f aca="false">RANDBETWEEN(-105,115)/10000</f>
        <v>0.0017</v>
      </c>
      <c r="P27" s="16" t="n">
        <f aca="false">+Chạy!O45</f>
        <v>0.95</v>
      </c>
      <c r="Q27" s="16" t="n">
        <f aca="false">P27+R27</f>
        <v>0.956</v>
      </c>
      <c r="R27" s="16" t="n">
        <f aca="false">RANDBETWEEN(-30,90)/1000</f>
        <v>0.006</v>
      </c>
      <c r="S27" s="17"/>
      <c r="T27" s="0" t="n">
        <v>20</v>
      </c>
      <c r="W27" s="102"/>
      <c r="X27" s="102"/>
    </row>
    <row r="28" customFormat="false" ht="16.5" hidden="false" customHeight="true" outlineLevel="0" collapsed="false">
      <c r="A28" s="110" t="n">
        <v>7</v>
      </c>
      <c r="B28" s="13" t="s">
        <v>23</v>
      </c>
      <c r="C28" s="15" t="n">
        <f aca="false">+C27+T27</f>
        <v>712.61</v>
      </c>
      <c r="D28" s="16" t="n">
        <f aca="false">+Chạy!F53</f>
        <v>-7.65</v>
      </c>
      <c r="E28" s="16" t="n">
        <f aca="false">+D28+F28</f>
        <v>-7.6513</v>
      </c>
      <c r="F28" s="16" t="n">
        <f aca="false">RANDBETWEEN(-105,115)/10000</f>
        <v>-0.0013</v>
      </c>
      <c r="G28" s="16" t="n">
        <f aca="false">+Chạy!G53</f>
        <v>0.95</v>
      </c>
      <c r="H28" s="16" t="n">
        <f aca="false">G28+I28</f>
        <v>0.942</v>
      </c>
      <c r="I28" s="16" t="n">
        <f aca="false">RANDBETWEEN(-30,90)/1000</f>
        <v>-0.008</v>
      </c>
      <c r="J28" s="16" t="n">
        <f aca="false">+Chạy!K53</f>
        <v>1.07</v>
      </c>
      <c r="K28" s="16" t="n">
        <f aca="false">J28+L28</f>
        <v>1.134</v>
      </c>
      <c r="L28" s="16" t="n">
        <f aca="false">RANDBETWEEN(-30,90)/1000</f>
        <v>0.064</v>
      </c>
      <c r="M28" s="16" t="n">
        <f aca="false">+Chạy!N53</f>
        <v>13.3</v>
      </c>
      <c r="N28" s="16" t="n">
        <f aca="false">+M28+O28</f>
        <v>13.2953</v>
      </c>
      <c r="O28" s="16" t="n">
        <f aca="false">RANDBETWEEN(-105,115)/10000</f>
        <v>-0.0047</v>
      </c>
      <c r="P28" s="16" t="n">
        <f aca="false">+Chạy!O53</f>
        <v>0.95</v>
      </c>
      <c r="Q28" s="16" t="n">
        <f aca="false">P28+R28</f>
        <v>1.007</v>
      </c>
      <c r="R28" s="16" t="n">
        <f aca="false">RANDBETWEEN(-30,90)/1000</f>
        <v>0.057</v>
      </c>
      <c r="S28" s="17"/>
      <c r="T28" s="0" t="n">
        <v>11.5</v>
      </c>
      <c r="W28" s="102"/>
      <c r="X28" s="102"/>
    </row>
    <row r="29" customFormat="false" ht="16.5" hidden="false" customHeight="true" outlineLevel="0" collapsed="false">
      <c r="A29" s="110" t="n">
        <v>8</v>
      </c>
      <c r="B29" s="13" t="s">
        <v>24</v>
      </c>
      <c r="C29" s="15" t="n">
        <f aca="false">+C28+T28</f>
        <v>724.11</v>
      </c>
      <c r="D29" s="16" t="n">
        <f aca="false">+Chạy!F61</f>
        <v>-13.3</v>
      </c>
      <c r="E29" s="16" t="n">
        <f aca="false">+D29+F29</f>
        <v>-13.2975</v>
      </c>
      <c r="F29" s="16" t="n">
        <f aca="false">RANDBETWEEN(-105,115)/10000</f>
        <v>0.0025</v>
      </c>
      <c r="G29" s="16" t="n">
        <f aca="false">+Chạy!G61</f>
        <v>0.95</v>
      </c>
      <c r="H29" s="16" t="n">
        <f aca="false">G29+I29</f>
        <v>1.022</v>
      </c>
      <c r="I29" s="16" t="n">
        <f aca="false">RANDBETWEEN(-30,90)/1000</f>
        <v>0.072</v>
      </c>
      <c r="J29" s="16" t="n">
        <f aca="false">+Chạy!K61</f>
        <v>1.07</v>
      </c>
      <c r="K29" s="16" t="n">
        <f aca="false">J29+L29</f>
        <v>1.053</v>
      </c>
      <c r="L29" s="16" t="n">
        <f aca="false">RANDBETWEEN(-30,90)/1000</f>
        <v>-0.017</v>
      </c>
      <c r="M29" s="16" t="n">
        <f aca="false">+Chạy!N61</f>
        <v>13.3</v>
      </c>
      <c r="N29" s="16" t="n">
        <f aca="false">+M29+O29</f>
        <v>13.3046</v>
      </c>
      <c r="O29" s="16" t="n">
        <f aca="false">RANDBETWEEN(-105,115)/10000</f>
        <v>0.0046</v>
      </c>
      <c r="P29" s="16" t="n">
        <f aca="false">+Chạy!O61</f>
        <v>0.95</v>
      </c>
      <c r="Q29" s="16" t="n">
        <f aca="false">P29+R29</f>
        <v>0.993</v>
      </c>
      <c r="R29" s="16" t="n">
        <f aca="false">RANDBETWEEN(-30,90)/1000</f>
        <v>0.043</v>
      </c>
      <c r="S29" s="17"/>
      <c r="W29" s="102"/>
      <c r="X29" s="102"/>
    </row>
    <row r="30" customFormat="false" ht="16.5" hidden="true" customHeight="true" outlineLevel="0" collapsed="false">
      <c r="A30" s="110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2"/>
    </row>
    <row r="31" customFormat="false" ht="16.5" hidden="true" customHeight="true" outlineLevel="0" collapsed="false">
      <c r="A31" s="110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2"/>
    </row>
    <row r="32" customFormat="false" ht="16.5" hidden="true" customHeight="true" outlineLevel="0" collapsed="false">
      <c r="A32" s="110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2"/>
    </row>
    <row r="33" customFormat="false" ht="16.5" hidden="true" customHeight="true" outlineLevel="0" collapsed="false">
      <c r="A33" s="110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6.5" hidden="true" customHeight="true" outlineLevel="0" collapsed="false">
      <c r="A34" s="110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6.5" hidden="true" customHeight="true" outlineLevel="0" collapsed="false">
      <c r="A35" s="110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6.5" hidden="true" customHeight="true" outlineLevel="0" collapsed="false">
      <c r="A36" s="110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6.5" hidden="true" customHeight="true" outlineLevel="0" collapsed="false">
      <c r="A37" s="110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6.5" hidden="true" customHeight="true" outlineLevel="0" collapsed="false">
      <c r="A38" s="110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6.5" hidden="true" customHeight="true" outlineLevel="0" collapsed="false">
      <c r="A39" s="110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6.5" hidden="true" customHeight="true" outlineLevel="0" collapsed="false">
      <c r="A40" s="110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6.5" hidden="true" customHeight="true" outlineLevel="0" collapsed="false">
      <c r="A41" s="110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6.5" hidden="true" customHeight="true" outlineLevel="0" collapsed="false">
      <c r="A42" s="110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6.5" hidden="true" customHeight="true" outlineLevel="0" collapsed="false">
      <c r="A43" s="110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6.5" hidden="true" customHeight="true" outlineLevel="0" collapsed="false">
      <c r="A44" s="110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6.5" hidden="true" customHeight="true" outlineLevel="0" collapsed="false">
      <c r="A45" s="110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6.5" hidden="true" customHeight="true" outlineLevel="0" collapsed="false">
      <c r="A46" s="110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6.5" hidden="true" customHeight="true" outlineLevel="0" collapsed="false">
      <c r="A47" s="110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6.5" hidden="true" customHeight="true" outlineLevel="0" collapsed="false">
      <c r="A48" s="110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6.5" hidden="true" customHeight="true" outlineLevel="0" collapsed="false">
      <c r="A49" s="110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6.5" hidden="true" customHeight="true" outlineLevel="0" collapsed="false">
      <c r="A50" s="110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6.5" hidden="true" customHeight="true" outlineLevel="0" collapsed="false">
      <c r="A51" s="110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6.5" hidden="true" customHeight="true" outlineLevel="0" collapsed="false">
      <c r="A52" s="110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6.5" hidden="true" customHeight="true" outlineLevel="0" collapsed="false">
      <c r="A53" s="110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6.5" hidden="true" customHeight="true" outlineLevel="0" collapsed="false">
      <c r="A54" s="110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6.5" hidden="true" customHeight="true" outlineLevel="0" collapsed="false">
      <c r="A55" s="110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6.5" hidden="true" customHeight="true" outlineLevel="0" collapsed="false">
      <c r="A56" s="110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6.5" hidden="true" customHeight="true" outlineLevel="0" collapsed="false">
      <c r="A57" s="110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6.5" hidden="true" customHeight="true" outlineLevel="0" collapsed="false">
      <c r="A58" s="110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6.5" hidden="true" customHeight="true" outlineLevel="0" collapsed="false">
      <c r="A59" s="110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6.5" hidden="true" customHeight="true" outlineLevel="0" collapsed="false">
      <c r="A60" s="110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6.5" hidden="true" customHeight="true" outlineLevel="0" collapsed="false">
      <c r="A61" s="110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2" customFormat="false" ht="17.25" hidden="false" customHeight="true" outlineLevel="0" collapsed="false">
      <c r="A62" s="91"/>
    </row>
    <row r="63" customFormat="false" ht="17.25" hidden="false" customHeight="true" outlineLevel="0" collapsed="false">
      <c r="A63" s="91"/>
      <c r="C63" s="19" t="s">
        <v>47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48</v>
      </c>
      <c r="P63" s="19"/>
      <c r="Q63" s="19"/>
      <c r="R63" s="19"/>
    </row>
    <row r="64" customFormat="false" ht="17.25" hidden="false" customHeight="true" outlineLevel="0" collapsed="false">
      <c r="A64" s="91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7.25" hidden="false" customHeight="true" outlineLevel="0" collapsed="false">
      <c r="A65" s="91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7.25" hidden="false" customHeight="true" outlineLevel="0" collapsed="false">
      <c r="A66" s="91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7.25" hidden="false" customHeight="true" outlineLevel="0" collapsed="false">
      <c r="A67" s="91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7.25" hidden="false" customHeight="true" outlineLevel="0" collapsed="false">
      <c r="A68" s="91"/>
      <c r="C68" s="19" t="s">
        <v>49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50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95.NĐXD8/CVXD ngày 02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95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31</v>
      </c>
      <c r="B7" s="34"/>
      <c r="D7" s="35" t="str">
        <f>VLOOKUP(AZ2,'[1]Tuyến XD8'!$A$2:$B$60,2,0)</f>
        <v xml:space="preserve">Đắp đất nền đường lớp 5 đoạn từ Km0+609,11 - Km0+724,11,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35</v>
      </c>
      <c r="C9" s="37" t="s">
        <v>36</v>
      </c>
      <c r="D9" s="38" t="s">
        <v>52</v>
      </c>
      <c r="E9" s="39"/>
      <c r="F9" s="39"/>
      <c r="G9" s="38"/>
      <c r="H9" s="39"/>
      <c r="I9" s="39"/>
      <c r="J9" s="39"/>
      <c r="K9" s="39"/>
      <c r="L9" s="39"/>
      <c r="M9" s="40" t="s">
        <v>53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40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54</v>
      </c>
      <c r="O10" s="40" t="s">
        <v>55</v>
      </c>
      <c r="P10" s="40" t="s">
        <v>54</v>
      </c>
      <c r="Q10" s="40" t="s">
        <v>54</v>
      </c>
      <c r="R10" s="40"/>
      <c r="S10" s="40"/>
      <c r="T10" s="40"/>
      <c r="U10" s="40" t="s">
        <v>56</v>
      </c>
      <c r="V10" s="40" t="s">
        <v>56</v>
      </c>
      <c r="W10" s="40" t="s">
        <v>57</v>
      </c>
      <c r="X10" s="40" t="s">
        <v>56</v>
      </c>
      <c r="Y10" s="40" t="s">
        <v>56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31</v>
      </c>
      <c r="C11" s="51" t="n">
        <f aca="false">'5.KTHH L5'!C22</f>
        <v>609.11</v>
      </c>
      <c r="D11" s="13" t="n">
        <f aca="false">'5.KTHH L5'!T22</f>
        <v>11.75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8.12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95.41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E10</v>
      </c>
      <c r="C12" s="51" t="n">
        <f aca="false">'5.KTHH L5'!C23</f>
        <v>620.86</v>
      </c>
      <c r="D12" s="13" t="n">
        <f aca="false">'5.KTHH L5'!T23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8.12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95.41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32</v>
      </c>
      <c r="C13" s="51" t="n">
        <f aca="false">'5.KTHH L5'!C24</f>
        <v>632.61</v>
      </c>
      <c r="D13" s="13" t="n">
        <f aca="false">'5.KTHH L5'!T24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8.12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162.4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33</v>
      </c>
      <c r="C14" s="51" t="n">
        <f aca="false">'5.KTHH L5'!C25</f>
        <v>652.61</v>
      </c>
      <c r="D14" s="13" t="n">
        <f aca="false">'5.KTHH L5'!T25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8.12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162.4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34</v>
      </c>
      <c r="C15" s="51" t="n">
        <f aca="false">'5.KTHH L5'!C26</f>
        <v>672.61</v>
      </c>
      <c r="D15" s="13" t="n">
        <f aca="false">'5.KTHH L5'!T26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Chạy!E37</f>
        <v>8.12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162.4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35</v>
      </c>
      <c r="C16" s="51" t="n">
        <f aca="false">'5.KTHH L5'!C27</f>
        <v>692.61</v>
      </c>
      <c r="D16" s="13" t="n">
        <f aca="false">'5.KTHH L5'!T27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Chạy!E45</f>
        <v>8.12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144.3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'5.KTHH L5'!B28</f>
        <v>36</v>
      </c>
      <c r="C17" s="51" t="n">
        <f aca="false">'5.KTHH L5'!C28</f>
        <v>712.61</v>
      </c>
      <c r="D17" s="13" t="n">
        <f aca="false">'5.KTHH L5'!T28</f>
        <v>11.5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Chạy!E53</f>
        <v>6.31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82.9725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'5.KTHH L5'!B29</f>
        <v>37</v>
      </c>
      <c r="C18" s="51" t="n">
        <f aca="false">'5.KTHH L5'!C29</f>
        <v>724.11</v>
      </c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Chạy!E61</f>
        <v>8.12</v>
      </c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58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SUM(W11:W18)</f>
        <v>905.2925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3.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47</v>
      </c>
      <c r="B53" s="19"/>
      <c r="C53" s="19"/>
      <c r="D53" s="77" t="s">
        <v>59</v>
      </c>
      <c r="E53" s="19" t="s">
        <v>48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49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96.NĐXD8/CVXD ngày 03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96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31</v>
      </c>
      <c r="C7" s="7"/>
      <c r="D7" s="7"/>
      <c r="F7" s="7"/>
      <c r="G7" s="7" t="str">
        <f>VLOOKUP(AZ2,'[1]Tuyến XD8'!$A$2:$B$60,2,0)</f>
        <v xml:space="preserve">Đắp đất nền đường lớp 6 đoạn từ Km0+609,11 - Km0+724,11,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34</v>
      </c>
      <c r="B20" s="9" t="s">
        <v>35</v>
      </c>
      <c r="C20" s="9" t="s">
        <v>36</v>
      </c>
      <c r="D20" s="10" t="s">
        <v>37</v>
      </c>
      <c r="E20" s="10"/>
      <c r="F20" s="10"/>
      <c r="G20" s="10"/>
      <c r="H20" s="10"/>
      <c r="I20" s="10"/>
      <c r="J20" s="10" t="s">
        <v>38</v>
      </c>
      <c r="K20" s="10"/>
      <c r="L20" s="10"/>
      <c r="M20" s="10" t="s">
        <v>39</v>
      </c>
      <c r="N20" s="10"/>
      <c r="O20" s="10"/>
      <c r="P20" s="10"/>
      <c r="Q20" s="10"/>
      <c r="R20" s="10"/>
      <c r="S20" s="9" t="s">
        <v>40</v>
      </c>
    </row>
    <row r="21" customFormat="false" ht="30" hidden="false" customHeight="true" outlineLevel="0" collapsed="false">
      <c r="A21" s="9"/>
      <c r="B21" s="9"/>
      <c r="C21" s="9"/>
      <c r="D21" s="11" t="s">
        <v>41</v>
      </c>
      <c r="E21" s="11" t="s">
        <v>42</v>
      </c>
      <c r="F21" s="11" t="s">
        <v>43</v>
      </c>
      <c r="G21" s="11" t="s">
        <v>44</v>
      </c>
      <c r="H21" s="11" t="s">
        <v>45</v>
      </c>
      <c r="I21" s="11" t="s">
        <v>46</v>
      </c>
      <c r="J21" s="11" t="s">
        <v>44</v>
      </c>
      <c r="K21" s="11" t="s">
        <v>45</v>
      </c>
      <c r="L21" s="11" t="s">
        <v>46</v>
      </c>
      <c r="M21" s="11" t="s">
        <v>41</v>
      </c>
      <c r="N21" s="11" t="s">
        <v>42</v>
      </c>
      <c r="O21" s="11" t="s">
        <v>43</v>
      </c>
      <c r="P21" s="11" t="s">
        <v>44</v>
      </c>
      <c r="Q21" s="11" t="s">
        <v>45</v>
      </c>
      <c r="R21" s="11" t="s">
        <v>46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609.11</v>
      </c>
      <c r="D22" s="16" t="n">
        <f aca="false">+Chạy!F4</f>
        <v>-12.85</v>
      </c>
      <c r="E22" s="16" t="n">
        <f aca="false">+D22+F22</f>
        <v>-12.8591</v>
      </c>
      <c r="F22" s="16" t="n">
        <f aca="false">RANDBETWEEN(-105,115)/10000</f>
        <v>-0.0091</v>
      </c>
      <c r="G22" s="16" t="n">
        <f aca="false">+Chạy!G4</f>
        <v>1.24</v>
      </c>
      <c r="H22" s="16" t="n">
        <f aca="false">G22+I22</f>
        <v>1.247</v>
      </c>
      <c r="I22" s="16" t="n">
        <f aca="false">RANDBETWEEN(-30,90)/1000</f>
        <v>0.007</v>
      </c>
      <c r="J22" s="16" t="n">
        <f aca="false">+Chạy!K4</f>
        <v>1.36</v>
      </c>
      <c r="K22" s="16" t="n">
        <f aca="false">J22+L22</f>
        <v>1.347</v>
      </c>
      <c r="L22" s="16" t="n">
        <f aca="false">RANDBETWEEN(-30,90)/1000</f>
        <v>-0.013</v>
      </c>
      <c r="M22" s="16" t="n">
        <f aca="false">+Chạy!N4</f>
        <v>12.85</v>
      </c>
      <c r="N22" s="16" t="n">
        <f aca="false">+M22+O22</f>
        <v>12.8474</v>
      </c>
      <c r="O22" s="16" t="n">
        <f aca="false">RANDBETWEEN(-105,115)/10000</f>
        <v>-0.0026</v>
      </c>
      <c r="P22" s="16" t="n">
        <f aca="false">+Chạy!O4</f>
        <v>1.24</v>
      </c>
      <c r="Q22" s="16" t="n">
        <f aca="false">P22+R22</f>
        <v>1.272</v>
      </c>
      <c r="R22" s="16" t="n">
        <f aca="false">RANDBETWEEN(-30,90)/1000</f>
        <v>0.032</v>
      </c>
      <c r="S22" s="17"/>
      <c r="T22" s="0" t="n">
        <v>11.75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620.86</v>
      </c>
      <c r="D23" s="16" t="n">
        <f aca="false">+Chạy!F12</f>
        <v>-12.85</v>
      </c>
      <c r="E23" s="16" t="n">
        <f aca="false">+D23+F23</f>
        <v>-12.8471</v>
      </c>
      <c r="F23" s="16" t="n">
        <f aca="false">RANDBETWEEN(-105,115)/10000</f>
        <v>0.0029</v>
      </c>
      <c r="G23" s="16" t="n">
        <f aca="false">+Chạy!G12</f>
        <v>1.24</v>
      </c>
      <c r="H23" s="16" t="n">
        <f aca="false">G23+I23</f>
        <v>1.317</v>
      </c>
      <c r="I23" s="16" t="n">
        <f aca="false">RANDBETWEEN(-30,90)/1000</f>
        <v>0.077</v>
      </c>
      <c r="J23" s="16" t="n">
        <f aca="false">+Chạy!K12</f>
        <v>1.36</v>
      </c>
      <c r="K23" s="16" t="n">
        <f aca="false">J23+L23</f>
        <v>1.413</v>
      </c>
      <c r="L23" s="16" t="n">
        <f aca="false">RANDBETWEEN(-30,90)/1000</f>
        <v>0.053</v>
      </c>
      <c r="M23" s="16" t="n">
        <f aca="false">+Chạy!N12</f>
        <v>12.85</v>
      </c>
      <c r="N23" s="16" t="n">
        <f aca="false">+M23+O23</f>
        <v>12.8446</v>
      </c>
      <c r="O23" s="16" t="n">
        <f aca="false">RANDBETWEEN(-105,115)/10000</f>
        <v>-0.0054</v>
      </c>
      <c r="P23" s="16" t="n">
        <f aca="false">+Chạy!O12</f>
        <v>1.24</v>
      </c>
      <c r="Q23" s="16" t="n">
        <f aca="false">P23+R23</f>
        <v>1.273</v>
      </c>
      <c r="R23" s="16" t="n">
        <f aca="false">RANDBETWEEN(-30,90)/1000</f>
        <v>0.033</v>
      </c>
      <c r="S23" s="17"/>
      <c r="T23" s="0" t="n">
        <v>11.75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632.61</v>
      </c>
      <c r="D24" s="16" t="n">
        <f aca="false">+Chạy!F20</f>
        <v>-12.85</v>
      </c>
      <c r="E24" s="16" t="n">
        <f aca="false">+D24+F24</f>
        <v>-12.857</v>
      </c>
      <c r="F24" s="16" t="n">
        <f aca="false">RANDBETWEEN(-105,115)/10000</f>
        <v>-0.007</v>
      </c>
      <c r="G24" s="16" t="n">
        <f aca="false">+Chạy!G20</f>
        <v>1.24</v>
      </c>
      <c r="H24" s="16" t="n">
        <f aca="false">G24+I24</f>
        <v>1.272</v>
      </c>
      <c r="I24" s="16" t="n">
        <f aca="false">RANDBETWEEN(-30,90)/1000</f>
        <v>0.032</v>
      </c>
      <c r="J24" s="16" t="n">
        <f aca="false">+Chạy!K20</f>
        <v>1.36</v>
      </c>
      <c r="K24" s="16" t="n">
        <f aca="false">J24+L24</f>
        <v>1.35</v>
      </c>
      <c r="L24" s="16" t="n">
        <f aca="false">RANDBETWEEN(-30,90)/1000</f>
        <v>-0.01</v>
      </c>
      <c r="M24" s="16" t="n">
        <f aca="false">+Chạy!N20</f>
        <v>12.85</v>
      </c>
      <c r="N24" s="16" t="n">
        <f aca="false">+M24+O24</f>
        <v>12.8495</v>
      </c>
      <c r="O24" s="16" t="n">
        <f aca="false">RANDBETWEEN(-105,115)/10000</f>
        <v>-0.0005</v>
      </c>
      <c r="P24" s="16" t="n">
        <f aca="false">+Chạy!O20</f>
        <v>1.24</v>
      </c>
      <c r="Q24" s="16" t="n">
        <f aca="false">P24+R24</f>
        <v>1.23</v>
      </c>
      <c r="R24" s="16" t="n">
        <f aca="false">RANDBETWEEN(-30,90)/1000</f>
        <v>-0.01</v>
      </c>
      <c r="S24" s="17"/>
      <c r="T24" s="0" t="n">
        <v>20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652.61</v>
      </c>
      <c r="D25" s="16" t="n">
        <f aca="false">+Chạy!F28</f>
        <v>-12.85</v>
      </c>
      <c r="E25" s="16" t="n">
        <f aca="false">+D25+F25</f>
        <v>-12.8505</v>
      </c>
      <c r="F25" s="16" t="n">
        <f aca="false">RANDBETWEEN(-105,115)/10000</f>
        <v>-0.0005</v>
      </c>
      <c r="G25" s="16" t="n">
        <f aca="false">+Chạy!G28</f>
        <v>1.25</v>
      </c>
      <c r="H25" s="16" t="n">
        <f aca="false">G25+I25</f>
        <v>1.252</v>
      </c>
      <c r="I25" s="16" t="n">
        <f aca="false">RANDBETWEEN(-30,90)/1000</f>
        <v>0.002</v>
      </c>
      <c r="J25" s="16" t="n">
        <f aca="false">+Chạy!K28</f>
        <v>1.36</v>
      </c>
      <c r="K25" s="16" t="n">
        <f aca="false">J25+L25</f>
        <v>1.41</v>
      </c>
      <c r="L25" s="16" t="n">
        <f aca="false">RANDBETWEEN(-30,90)/1000</f>
        <v>0.05</v>
      </c>
      <c r="M25" s="16" t="n">
        <f aca="false">+Chạy!N28</f>
        <v>12.85</v>
      </c>
      <c r="N25" s="16" t="n">
        <f aca="false">+M25+O25</f>
        <v>12.8528</v>
      </c>
      <c r="O25" s="16" t="n">
        <f aca="false">RANDBETWEEN(-105,115)/10000</f>
        <v>0.0028</v>
      </c>
      <c r="P25" s="16" t="n">
        <f aca="false">+Chạy!O28</f>
        <v>1.25</v>
      </c>
      <c r="Q25" s="16" t="n">
        <f aca="false">P25+R25</f>
        <v>1.315</v>
      </c>
      <c r="R25" s="16" t="n">
        <f aca="false">RANDBETWEEN(-30,90)/1000</f>
        <v>0.065</v>
      </c>
      <c r="S25" s="17"/>
      <c r="T25" s="0" t="n">
        <v>20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672.61</v>
      </c>
      <c r="D26" s="16" t="n">
        <f aca="false">+Chạy!F36</f>
        <v>-12.85</v>
      </c>
      <c r="E26" s="16" t="n">
        <f aca="false">+D26+F26</f>
        <v>-12.848</v>
      </c>
      <c r="F26" s="16" t="n">
        <f aca="false">RANDBETWEEN(-105,115)/10000</f>
        <v>0.002</v>
      </c>
      <c r="G26" s="16" t="n">
        <f aca="false">+Chạy!G36</f>
        <v>1.25</v>
      </c>
      <c r="H26" s="16" t="n">
        <f aca="false">G26+I26</f>
        <v>1.278</v>
      </c>
      <c r="I26" s="16" t="n">
        <f aca="false">RANDBETWEEN(-30,90)/1000</f>
        <v>0.028</v>
      </c>
      <c r="J26" s="16" t="n">
        <f aca="false">+Chạy!K36</f>
        <v>1.36</v>
      </c>
      <c r="K26" s="16" t="n">
        <f aca="false">J26+L26</f>
        <v>1.346</v>
      </c>
      <c r="L26" s="16" t="n">
        <f aca="false">RANDBETWEEN(-30,90)/1000</f>
        <v>-0.014</v>
      </c>
      <c r="M26" s="16" t="n">
        <f aca="false">+Chạy!N36</f>
        <v>12.85</v>
      </c>
      <c r="N26" s="16" t="n">
        <f aca="false">+M26+O26</f>
        <v>12.8419</v>
      </c>
      <c r="O26" s="16" t="n">
        <f aca="false">RANDBETWEEN(-105,115)/10000</f>
        <v>-0.0081</v>
      </c>
      <c r="P26" s="16" t="n">
        <f aca="false">+Chạy!O36</f>
        <v>1.25</v>
      </c>
      <c r="Q26" s="16" t="n">
        <f aca="false">P26+R26</f>
        <v>1.273</v>
      </c>
      <c r="R26" s="16" t="n">
        <f aca="false">RANDBETWEEN(-30,90)/1000</f>
        <v>0.023</v>
      </c>
      <c r="S26" s="17"/>
      <c r="T26" s="0" t="n">
        <v>20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692.61</v>
      </c>
      <c r="D27" s="16" t="n">
        <f aca="false">+Chạy!F44</f>
        <v>-12.85</v>
      </c>
      <c r="E27" s="16" t="n">
        <f aca="false">+D27+F27</f>
        <v>-12.8574</v>
      </c>
      <c r="F27" s="16" t="n">
        <f aca="false">RANDBETWEEN(-105,115)/10000</f>
        <v>-0.0074</v>
      </c>
      <c r="G27" s="16" t="n">
        <f aca="false">+Chạy!G44</f>
        <v>1.25</v>
      </c>
      <c r="H27" s="16" t="n">
        <f aca="false">G27+I27</f>
        <v>1.248</v>
      </c>
      <c r="I27" s="16" t="n">
        <f aca="false">RANDBETWEEN(-30,90)/1000</f>
        <v>-0.002</v>
      </c>
      <c r="J27" s="16" t="n">
        <f aca="false">+Chạy!K44</f>
        <v>1.37</v>
      </c>
      <c r="K27" s="16" t="n">
        <f aca="false">J27+L27</f>
        <v>1.361</v>
      </c>
      <c r="L27" s="16" t="n">
        <f aca="false">RANDBETWEEN(-30,90)/1000</f>
        <v>-0.009</v>
      </c>
      <c r="M27" s="16" t="n">
        <f aca="false">+Chạy!N44</f>
        <v>12.85</v>
      </c>
      <c r="N27" s="16" t="n">
        <f aca="false">+M27+O27</f>
        <v>12.8533</v>
      </c>
      <c r="O27" s="16" t="n">
        <f aca="false">RANDBETWEEN(-105,115)/10000</f>
        <v>0.0033</v>
      </c>
      <c r="P27" s="16" t="n">
        <f aca="false">+Chạy!O44</f>
        <v>1.25</v>
      </c>
      <c r="Q27" s="16" t="n">
        <f aca="false">P27+R27</f>
        <v>1.262</v>
      </c>
      <c r="R27" s="16" t="n">
        <f aca="false">RANDBETWEEN(-30,90)/1000</f>
        <v>0.012</v>
      </c>
      <c r="S27" s="17"/>
      <c r="T27" s="0" t="n">
        <v>20</v>
      </c>
      <c r="W27" s="102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712.61</v>
      </c>
      <c r="D28" s="16" t="n">
        <f aca="false">+Chạy!F52</f>
        <v>-7.95</v>
      </c>
      <c r="E28" s="16" t="n">
        <f aca="false">+D28+F28</f>
        <v>-7.9429</v>
      </c>
      <c r="F28" s="16" t="n">
        <f aca="false">RANDBETWEEN(-105,115)/10000</f>
        <v>0.0071</v>
      </c>
      <c r="G28" s="16" t="n">
        <f aca="false">+Chạy!G52</f>
        <v>1.25</v>
      </c>
      <c r="H28" s="16" t="n">
        <f aca="false">G28+I28</f>
        <v>1.221</v>
      </c>
      <c r="I28" s="16" t="n">
        <f aca="false">RANDBETWEEN(-30,90)/1000</f>
        <v>-0.029</v>
      </c>
      <c r="J28" s="16" t="n">
        <f aca="false">+Chạy!K52</f>
        <v>1.37</v>
      </c>
      <c r="K28" s="16" t="n">
        <f aca="false">J28+L28</f>
        <v>1.438</v>
      </c>
      <c r="L28" s="16" t="n">
        <f aca="false">RANDBETWEEN(-30,90)/1000</f>
        <v>0.068</v>
      </c>
      <c r="M28" s="16" t="n">
        <f aca="false">+Chạy!N52</f>
        <v>12.85</v>
      </c>
      <c r="N28" s="16" t="n">
        <f aca="false">+M28+O28</f>
        <v>12.846</v>
      </c>
      <c r="O28" s="16" t="n">
        <f aca="false">RANDBETWEEN(-105,115)/10000</f>
        <v>-0.004</v>
      </c>
      <c r="P28" s="16" t="n">
        <f aca="false">+Chạy!O52</f>
        <v>1.25</v>
      </c>
      <c r="Q28" s="16" t="n">
        <f aca="false">P28+R28</f>
        <v>1.304</v>
      </c>
      <c r="R28" s="16" t="n">
        <f aca="false">RANDBETWEEN(-30,90)/1000</f>
        <v>0.054</v>
      </c>
      <c r="S28" s="17"/>
      <c r="T28" s="0" t="n">
        <v>11.5</v>
      </c>
      <c r="W28" s="102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724.11</v>
      </c>
      <c r="D29" s="16" t="n">
        <f aca="false">+Chạy!F60</f>
        <v>-12.85</v>
      </c>
      <c r="E29" s="16" t="n">
        <f aca="false">+D29+F29</f>
        <v>-12.85</v>
      </c>
      <c r="F29" s="16" t="n">
        <f aca="false">RANDBETWEEN(-105,115)/10000</f>
        <v>0</v>
      </c>
      <c r="G29" s="16" t="n">
        <f aca="false">+Chạy!G60</f>
        <v>1.25</v>
      </c>
      <c r="H29" s="16" t="n">
        <f aca="false">G29+I29</f>
        <v>1.243</v>
      </c>
      <c r="I29" s="16" t="n">
        <f aca="false">RANDBETWEEN(-30,90)/1000</f>
        <v>-0.007</v>
      </c>
      <c r="J29" s="16" t="n">
        <f aca="false">+Chạy!K60</f>
        <v>1.37</v>
      </c>
      <c r="K29" s="16" t="n">
        <f aca="false">J29+L29</f>
        <v>1.365</v>
      </c>
      <c r="L29" s="16" t="n">
        <f aca="false">RANDBETWEEN(-30,90)/1000</f>
        <v>-0.005</v>
      </c>
      <c r="M29" s="16" t="n">
        <f aca="false">+Chạy!N60</f>
        <v>12.85</v>
      </c>
      <c r="N29" s="16" t="n">
        <f aca="false">+M29+O29</f>
        <v>12.8521</v>
      </c>
      <c r="O29" s="16" t="n">
        <f aca="false">RANDBETWEEN(-105,115)/10000</f>
        <v>0.0021</v>
      </c>
      <c r="P29" s="16" t="n">
        <f aca="false">+Chạy!O60</f>
        <v>1.25</v>
      </c>
      <c r="Q29" s="16" t="n">
        <f aca="false">P29+R29</f>
        <v>1.299</v>
      </c>
      <c r="R29" s="16" t="n">
        <f aca="false">RANDBETWEEN(-30,90)/1000</f>
        <v>0.049</v>
      </c>
      <c r="S29" s="17"/>
      <c r="W29" s="102"/>
      <c r="X29" s="102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2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2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3" customFormat="false" ht="15" hidden="false" customHeight="false" outlineLevel="0" collapsed="false">
      <c r="C63" s="19" t="s">
        <v>47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48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49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50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96.NĐXD8/CVXD ngày 03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96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31</v>
      </c>
      <c r="B7" s="34"/>
      <c r="D7" s="35" t="str">
        <f>VLOOKUP(AZ2,'[1]Tuyến XD8'!$A$2:$B$60,2,0)</f>
        <v xml:space="preserve">Đắp đất nền đường lớp 6 đoạn từ Km0+609,11 - Km0+724,11,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35</v>
      </c>
      <c r="C9" s="37" t="s">
        <v>36</v>
      </c>
      <c r="D9" s="38" t="s">
        <v>52</v>
      </c>
      <c r="E9" s="39"/>
      <c r="F9" s="39"/>
      <c r="G9" s="38"/>
      <c r="H9" s="39"/>
      <c r="I9" s="39"/>
      <c r="J9" s="39"/>
      <c r="K9" s="39"/>
      <c r="L9" s="39"/>
      <c r="M9" s="40" t="s">
        <v>53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40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54</v>
      </c>
      <c r="O10" s="40" t="s">
        <v>55</v>
      </c>
      <c r="P10" s="40" t="s">
        <v>54</v>
      </c>
      <c r="Q10" s="40" t="s">
        <v>54</v>
      </c>
      <c r="R10" s="40"/>
      <c r="S10" s="40"/>
      <c r="T10" s="40"/>
      <c r="U10" s="40" t="s">
        <v>56</v>
      </c>
      <c r="V10" s="40" t="s">
        <v>56</v>
      </c>
      <c r="W10" s="40" t="s">
        <v>57</v>
      </c>
      <c r="X10" s="40" t="s">
        <v>56</v>
      </c>
      <c r="Y10" s="40" t="s">
        <v>56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31</v>
      </c>
      <c r="C11" s="51" t="n">
        <f aca="false">'6.KTHH L6'!C22</f>
        <v>609.11</v>
      </c>
      <c r="D11" s="13" t="n">
        <f aca="false">'6.KTHH L6'!T22</f>
        <v>11.75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7.85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92.2375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E10</v>
      </c>
      <c r="C12" s="51" t="n">
        <f aca="false">'6.KTHH L6'!C23</f>
        <v>620.86</v>
      </c>
      <c r="D12" s="13" t="n">
        <f aca="false">'6.KTHH L6'!T23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7.85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92.2375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32</v>
      </c>
      <c r="C13" s="51" t="n">
        <f aca="false">'6.KTHH L6'!C24</f>
        <v>632.61</v>
      </c>
      <c r="D13" s="13" t="n">
        <f aca="false">'6.KTHH L6'!T24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7.85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157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33</v>
      </c>
      <c r="C14" s="51" t="n">
        <f aca="false">'6.KTHH L6'!C25</f>
        <v>652.61</v>
      </c>
      <c r="D14" s="13" t="n">
        <f aca="false">'6.KTHH L6'!T25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Chạy!E28</f>
        <v>7.85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157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34</v>
      </c>
      <c r="C15" s="51" t="n">
        <f aca="false">'6.KTHH L6'!C26</f>
        <v>672.61</v>
      </c>
      <c r="D15" s="13" t="n">
        <f aca="false">'6.KTHH L6'!T26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Chạy!E36</f>
        <v>7.85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157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35</v>
      </c>
      <c r="C16" s="51" t="n">
        <f aca="false">'6.KTHH L6'!C27</f>
        <v>692.61</v>
      </c>
      <c r="D16" s="13" t="n">
        <f aca="false">'6.KTHH L6'!T27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Chạy!E44</f>
        <v>7.85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141.1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'6.KTHH L6'!B28</f>
        <v>36</v>
      </c>
      <c r="C17" s="51" t="n">
        <f aca="false">'6.KTHH L6'!C28</f>
        <v>712.61</v>
      </c>
      <c r="D17" s="13" t="n">
        <f aca="false">'6.KTHH L6'!T28</f>
        <v>11.5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Chạy!E52</f>
        <v>6.26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81.1325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'6.KTHH L6'!B29</f>
        <v>37</v>
      </c>
      <c r="C18" s="51" t="n">
        <f aca="false">'6.KTHH L6'!C29</f>
        <v>724.11</v>
      </c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Chạy!E60</f>
        <v>7.85</v>
      </c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58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SUM(W11:W18)</f>
        <v>877.7075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47</v>
      </c>
      <c r="B53" s="19"/>
      <c r="C53" s="19"/>
      <c r="D53" s="77" t="s">
        <v>59</v>
      </c>
      <c r="E53" s="19" t="s">
        <v>48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49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6.5" hidden="false" customHeight="true" outlineLevel="0" collapsed="false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97.NĐXD8/CVXD ngày 03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97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31</v>
      </c>
      <c r="C7" s="7"/>
      <c r="D7" s="7"/>
      <c r="F7" s="7"/>
      <c r="G7" s="7" t="str">
        <f>VLOOKUP(AZ2,'[1]Tuyến XD8'!$A$2:$B$60,2,0)</f>
        <v xml:space="preserve">Đắp đất nền đường lớp 7 đoạn từ Km0+609,11 - Km0+724,11,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34</v>
      </c>
      <c r="B20" s="9" t="s">
        <v>35</v>
      </c>
      <c r="C20" s="9" t="s">
        <v>36</v>
      </c>
      <c r="D20" s="10" t="s">
        <v>37</v>
      </c>
      <c r="E20" s="10"/>
      <c r="F20" s="10"/>
      <c r="G20" s="10"/>
      <c r="H20" s="10"/>
      <c r="I20" s="10"/>
      <c r="J20" s="10" t="s">
        <v>38</v>
      </c>
      <c r="K20" s="10"/>
      <c r="L20" s="10"/>
      <c r="M20" s="10" t="s">
        <v>39</v>
      </c>
      <c r="N20" s="10"/>
      <c r="O20" s="10"/>
      <c r="P20" s="10"/>
      <c r="Q20" s="10"/>
      <c r="R20" s="10"/>
      <c r="S20" s="9" t="s">
        <v>40</v>
      </c>
    </row>
    <row r="21" customFormat="false" ht="30" hidden="false" customHeight="true" outlineLevel="0" collapsed="false">
      <c r="A21" s="9"/>
      <c r="B21" s="9"/>
      <c r="C21" s="9"/>
      <c r="D21" s="11" t="s">
        <v>41</v>
      </c>
      <c r="E21" s="11" t="s">
        <v>42</v>
      </c>
      <c r="F21" s="11" t="s">
        <v>43</v>
      </c>
      <c r="G21" s="11" t="s">
        <v>44</v>
      </c>
      <c r="H21" s="11" t="s">
        <v>45</v>
      </c>
      <c r="I21" s="11" t="s">
        <v>46</v>
      </c>
      <c r="J21" s="11" t="s">
        <v>44</v>
      </c>
      <c r="K21" s="11" t="s">
        <v>45</v>
      </c>
      <c r="L21" s="11" t="s">
        <v>46</v>
      </c>
      <c r="M21" s="11" t="s">
        <v>41</v>
      </c>
      <c r="N21" s="11" t="s">
        <v>42</v>
      </c>
      <c r="O21" s="11" t="s">
        <v>43</v>
      </c>
      <c r="P21" s="11" t="s">
        <v>44</v>
      </c>
      <c r="Q21" s="11" t="s">
        <v>45</v>
      </c>
      <c r="R21" s="11" t="s">
        <v>46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609.11</v>
      </c>
      <c r="D22" s="16" t="n">
        <f aca="false">+Chạy!F3</f>
        <v>-12.4</v>
      </c>
      <c r="E22" s="16" t="n">
        <f aca="false">+D22+F22</f>
        <v>-12.3888</v>
      </c>
      <c r="F22" s="16" t="n">
        <f aca="false">RANDBETWEEN(-105,115)/10000</f>
        <v>0.0112</v>
      </c>
      <c r="G22" s="16" t="n">
        <f aca="false">+Chạy!G3</f>
        <v>1.54</v>
      </c>
      <c r="H22" s="16" t="n">
        <f aca="false">G22+I22</f>
        <v>1.559</v>
      </c>
      <c r="I22" s="16" t="n">
        <f aca="false">RANDBETWEEN(-30,90)/1000</f>
        <v>0.019</v>
      </c>
      <c r="J22" s="16" t="n">
        <f aca="false">+Chạy!K3</f>
        <v>1.66</v>
      </c>
      <c r="K22" s="16" t="n">
        <f aca="false">J22+L22</f>
        <v>1.65</v>
      </c>
      <c r="L22" s="16" t="n">
        <f aca="false">RANDBETWEEN(-30,90)/1000</f>
        <v>-0.01</v>
      </c>
      <c r="M22" s="16" t="n">
        <f aca="false">+Chạy!N3</f>
        <v>12.4</v>
      </c>
      <c r="N22" s="16" t="n">
        <f aca="false">+M22+O22</f>
        <v>12.396</v>
      </c>
      <c r="O22" s="16" t="n">
        <f aca="false">RANDBETWEEN(-105,115)/10000</f>
        <v>-0.004</v>
      </c>
      <c r="P22" s="16" t="n">
        <f aca="false">+Chạy!O3</f>
        <v>1.54</v>
      </c>
      <c r="Q22" s="16" t="n">
        <f aca="false">P22+R22</f>
        <v>1.563</v>
      </c>
      <c r="R22" s="16" t="n">
        <f aca="false">RANDBETWEEN(-30,90)/1000</f>
        <v>0.023</v>
      </c>
      <c r="S22" s="17"/>
      <c r="T22" s="0" t="n">
        <v>11.75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620.86</v>
      </c>
      <c r="D23" s="16" t="n">
        <f aca="false">+Chạy!F11</f>
        <v>-12.4</v>
      </c>
      <c r="E23" s="16" t="n">
        <f aca="false">+D23+F23</f>
        <v>-12.4083</v>
      </c>
      <c r="F23" s="16" t="n">
        <f aca="false">RANDBETWEEN(-105,115)/10000</f>
        <v>-0.0083</v>
      </c>
      <c r="G23" s="16" t="n">
        <f aca="false">+Chạy!G11</f>
        <v>1.54</v>
      </c>
      <c r="H23" s="16" t="n">
        <f aca="false">G23+I23</f>
        <v>1.562</v>
      </c>
      <c r="I23" s="16" t="n">
        <f aca="false">RANDBETWEEN(-30,90)/1000</f>
        <v>0.022</v>
      </c>
      <c r="J23" s="16" t="n">
        <f aca="false">+Chạy!K11</f>
        <v>1.66</v>
      </c>
      <c r="K23" s="16" t="n">
        <f aca="false">J23+L23</f>
        <v>1.692</v>
      </c>
      <c r="L23" s="16" t="n">
        <f aca="false">RANDBETWEEN(-30,90)/1000</f>
        <v>0.032</v>
      </c>
      <c r="M23" s="16" t="n">
        <f aca="false">+Chạy!N11</f>
        <v>12.4</v>
      </c>
      <c r="N23" s="16" t="n">
        <f aca="false">+M23+O23</f>
        <v>12.3965</v>
      </c>
      <c r="O23" s="16" t="n">
        <f aca="false">RANDBETWEEN(-105,115)/10000</f>
        <v>-0.0035</v>
      </c>
      <c r="P23" s="16" t="n">
        <f aca="false">+Chạy!O11</f>
        <v>1.54</v>
      </c>
      <c r="Q23" s="16" t="n">
        <f aca="false">P23+R23</f>
        <v>1.597</v>
      </c>
      <c r="R23" s="16" t="n">
        <f aca="false">RANDBETWEEN(-30,90)/1000</f>
        <v>0.057</v>
      </c>
      <c r="S23" s="17"/>
      <c r="T23" s="0" t="n">
        <v>11.75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632.61</v>
      </c>
      <c r="D24" s="16" t="n">
        <f aca="false">+Chạy!F19</f>
        <v>-12.4</v>
      </c>
      <c r="E24" s="16" t="n">
        <f aca="false">+D24+F24</f>
        <v>-12.3962</v>
      </c>
      <c r="F24" s="16" t="n">
        <f aca="false">RANDBETWEEN(-105,115)/10000</f>
        <v>0.0038</v>
      </c>
      <c r="G24" s="16" t="n">
        <f aca="false">+Chạy!G19</f>
        <v>1.54</v>
      </c>
      <c r="H24" s="16" t="n">
        <f aca="false">G24+I24</f>
        <v>1.554</v>
      </c>
      <c r="I24" s="16" t="n">
        <f aca="false">RANDBETWEEN(-30,90)/1000</f>
        <v>0.014</v>
      </c>
      <c r="J24" s="16" t="n">
        <f aca="false">+Chạy!K19</f>
        <v>1.66</v>
      </c>
      <c r="K24" s="16" t="n">
        <f aca="false">J24+L24</f>
        <v>1.647</v>
      </c>
      <c r="L24" s="16" t="n">
        <f aca="false">RANDBETWEEN(-30,90)/1000</f>
        <v>-0.013</v>
      </c>
      <c r="M24" s="16" t="n">
        <f aca="false">+Chạy!N19</f>
        <v>12.4</v>
      </c>
      <c r="N24" s="16" t="n">
        <f aca="false">+M24+O24</f>
        <v>12.4003</v>
      </c>
      <c r="O24" s="16" t="n">
        <f aca="false">RANDBETWEEN(-105,115)/10000</f>
        <v>0.0003</v>
      </c>
      <c r="P24" s="16" t="n">
        <f aca="false">+Chạy!O19</f>
        <v>1.54</v>
      </c>
      <c r="Q24" s="16" t="n">
        <f aca="false">P24+R24</f>
        <v>1.607</v>
      </c>
      <c r="R24" s="16" t="n">
        <f aca="false">RANDBETWEEN(-30,90)/1000</f>
        <v>0.067</v>
      </c>
      <c r="S24" s="17"/>
      <c r="T24" s="0" t="n">
        <v>20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652.61</v>
      </c>
      <c r="D25" s="16" t="n">
        <f aca="false">+Chạy!F27</f>
        <v>-12.4</v>
      </c>
      <c r="E25" s="16" t="n">
        <f aca="false">+D25+F25</f>
        <v>-12.4075</v>
      </c>
      <c r="F25" s="16" t="n">
        <f aca="false">RANDBETWEEN(-105,115)/10000</f>
        <v>-0.0075</v>
      </c>
      <c r="G25" s="16" t="n">
        <f aca="false">+Chạy!G27</f>
        <v>1.55</v>
      </c>
      <c r="H25" s="16" t="n">
        <f aca="false">G25+I25</f>
        <v>1.521</v>
      </c>
      <c r="I25" s="16" t="n">
        <f aca="false">RANDBETWEEN(-30,90)/1000</f>
        <v>-0.029</v>
      </c>
      <c r="J25" s="16" t="n">
        <f aca="false">+Chạy!K27</f>
        <v>1.66</v>
      </c>
      <c r="K25" s="16" t="n">
        <f aca="false">J25+L25</f>
        <v>1.72</v>
      </c>
      <c r="L25" s="16" t="n">
        <f aca="false">RANDBETWEEN(-30,90)/1000</f>
        <v>0.06</v>
      </c>
      <c r="M25" s="16" t="n">
        <f aca="false">+Chạy!N27</f>
        <v>12.4</v>
      </c>
      <c r="N25" s="16" t="n">
        <f aca="false">+M25+O25</f>
        <v>12.3976</v>
      </c>
      <c r="O25" s="16" t="n">
        <f aca="false">RANDBETWEEN(-105,115)/10000</f>
        <v>-0.0024</v>
      </c>
      <c r="P25" s="16" t="n">
        <f aca="false">+Chạy!O27</f>
        <v>1.55</v>
      </c>
      <c r="Q25" s="16" t="n">
        <f aca="false">P25+R25</f>
        <v>1.57</v>
      </c>
      <c r="R25" s="16" t="n">
        <f aca="false">RANDBETWEEN(-30,90)/1000</f>
        <v>0.02</v>
      </c>
      <c r="S25" s="17"/>
      <c r="T25" s="0" t="n">
        <v>20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672.61</v>
      </c>
      <c r="D26" s="16" t="n">
        <f aca="false">+Chạy!F35</f>
        <v>-12.4</v>
      </c>
      <c r="E26" s="16" t="n">
        <f aca="false">+D26+F26</f>
        <v>-12.408</v>
      </c>
      <c r="F26" s="16" t="n">
        <f aca="false">RANDBETWEEN(-105,115)/10000</f>
        <v>-0.008</v>
      </c>
      <c r="G26" s="16" t="n">
        <f aca="false">+Chạy!G35</f>
        <v>1.55</v>
      </c>
      <c r="H26" s="16" t="n">
        <f aca="false">G26+I26</f>
        <v>1.526</v>
      </c>
      <c r="I26" s="16" t="n">
        <f aca="false">RANDBETWEEN(-30,90)/1000</f>
        <v>-0.024</v>
      </c>
      <c r="J26" s="16" t="n">
        <f aca="false">+Chạy!K35</f>
        <v>1.66</v>
      </c>
      <c r="K26" s="16" t="n">
        <f aca="false">J26+L26</f>
        <v>1.674</v>
      </c>
      <c r="L26" s="16" t="n">
        <f aca="false">RANDBETWEEN(-30,90)/1000</f>
        <v>0.014</v>
      </c>
      <c r="M26" s="16" t="n">
        <f aca="false">+Chạy!N35</f>
        <v>12.4</v>
      </c>
      <c r="N26" s="16" t="n">
        <f aca="false">+M26+O26</f>
        <v>12.3936</v>
      </c>
      <c r="O26" s="16" t="n">
        <f aca="false">RANDBETWEEN(-105,115)/10000</f>
        <v>-0.0064</v>
      </c>
      <c r="P26" s="16" t="n">
        <f aca="false">+Chạy!O35</f>
        <v>1.55</v>
      </c>
      <c r="Q26" s="16" t="n">
        <f aca="false">P26+R26</f>
        <v>1.606</v>
      </c>
      <c r="R26" s="16" t="n">
        <f aca="false">RANDBETWEEN(-30,90)/1000</f>
        <v>0.056</v>
      </c>
      <c r="S26" s="17"/>
      <c r="T26" s="0" t="n">
        <v>20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692.61</v>
      </c>
      <c r="D27" s="16" t="n">
        <f aca="false">+Chạy!F43</f>
        <v>-12.4</v>
      </c>
      <c r="E27" s="16" t="n">
        <f aca="false">+D27+F27</f>
        <v>-12.4015</v>
      </c>
      <c r="F27" s="16" t="n">
        <f aca="false">RANDBETWEEN(-105,115)/10000</f>
        <v>-0.0015</v>
      </c>
      <c r="G27" s="16" t="n">
        <f aca="false">+Chạy!G43</f>
        <v>1.55</v>
      </c>
      <c r="H27" s="16" t="n">
        <f aca="false">G27+I27</f>
        <v>1.568</v>
      </c>
      <c r="I27" s="16" t="n">
        <f aca="false">RANDBETWEEN(-30,90)/1000</f>
        <v>0.018</v>
      </c>
      <c r="J27" s="16" t="n">
        <f aca="false">+Chạy!K43</f>
        <v>1.67</v>
      </c>
      <c r="K27" s="16" t="n">
        <f aca="false">J27+L27</f>
        <v>1.702</v>
      </c>
      <c r="L27" s="16" t="n">
        <f aca="false">RANDBETWEEN(-30,90)/1000</f>
        <v>0.032</v>
      </c>
      <c r="M27" s="16" t="n">
        <f aca="false">+Chạy!N43</f>
        <v>12.4</v>
      </c>
      <c r="N27" s="16" t="n">
        <f aca="false">+M27+O27</f>
        <v>12.3899</v>
      </c>
      <c r="O27" s="16" t="n">
        <f aca="false">RANDBETWEEN(-105,115)/10000</f>
        <v>-0.0101</v>
      </c>
      <c r="P27" s="16" t="n">
        <f aca="false">+Chạy!O43</f>
        <v>1.55</v>
      </c>
      <c r="Q27" s="16" t="n">
        <f aca="false">P27+R27</f>
        <v>1.615</v>
      </c>
      <c r="R27" s="16" t="n">
        <f aca="false">RANDBETWEEN(-30,90)/1000</f>
        <v>0.065</v>
      </c>
      <c r="S27" s="17"/>
      <c r="T27" s="0" t="n">
        <v>20</v>
      </c>
      <c r="W27" s="115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712.61</v>
      </c>
      <c r="D28" s="16" t="n">
        <f aca="false">+Chạy!F51</f>
        <v>-12.4</v>
      </c>
      <c r="E28" s="16" t="n">
        <f aca="false">+D28+F28</f>
        <v>-12.4056</v>
      </c>
      <c r="F28" s="16" t="n">
        <f aca="false">RANDBETWEEN(-105,115)/10000</f>
        <v>-0.0056</v>
      </c>
      <c r="G28" s="16" t="n">
        <f aca="false">+Chạy!G51</f>
        <v>1.55</v>
      </c>
      <c r="H28" s="16" t="n">
        <f aca="false">G28+I28</f>
        <v>1.638</v>
      </c>
      <c r="I28" s="16" t="n">
        <f aca="false">RANDBETWEEN(-30,90)/1000</f>
        <v>0.088</v>
      </c>
      <c r="J28" s="16" t="n">
        <f aca="false">+Chạy!K51</f>
        <v>1.67</v>
      </c>
      <c r="K28" s="16" t="n">
        <f aca="false">J28+L28</f>
        <v>1.684</v>
      </c>
      <c r="L28" s="16" t="n">
        <f aca="false">RANDBETWEEN(-30,90)/1000</f>
        <v>0.014</v>
      </c>
      <c r="M28" s="16" t="n">
        <f aca="false">+Chạy!N51</f>
        <v>12.4</v>
      </c>
      <c r="N28" s="16" t="n">
        <f aca="false">+M28+O28</f>
        <v>12.392</v>
      </c>
      <c r="O28" s="16" t="n">
        <f aca="false">RANDBETWEEN(-105,115)/10000</f>
        <v>-0.008</v>
      </c>
      <c r="P28" s="16" t="n">
        <f aca="false">+Chạy!O51</f>
        <v>1.55</v>
      </c>
      <c r="Q28" s="16" t="n">
        <f aca="false">P28+R28</f>
        <v>1.618</v>
      </c>
      <c r="R28" s="16" t="n">
        <f aca="false">RANDBETWEEN(-30,90)/1000</f>
        <v>0.068</v>
      </c>
      <c r="S28" s="17"/>
      <c r="T28" s="0" t="n">
        <v>11.5</v>
      </c>
      <c r="W28" s="115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724.11</v>
      </c>
      <c r="D29" s="16" t="n">
        <f aca="false">+Chạy!F59</f>
        <v>-12.4</v>
      </c>
      <c r="E29" s="16" t="n">
        <f aca="false">+D29+F29</f>
        <v>-12.3905</v>
      </c>
      <c r="F29" s="16" t="n">
        <f aca="false">RANDBETWEEN(-105,115)/10000</f>
        <v>0.0095</v>
      </c>
      <c r="G29" s="16" t="n">
        <f aca="false">+Chạy!G59</f>
        <v>1.55</v>
      </c>
      <c r="H29" s="16" t="n">
        <f aca="false">G29+I29</f>
        <v>1.625</v>
      </c>
      <c r="I29" s="16" t="n">
        <f aca="false">RANDBETWEEN(-30,90)/1000</f>
        <v>0.075</v>
      </c>
      <c r="J29" s="16" t="n">
        <f aca="false">+Chạy!K59</f>
        <v>1.67</v>
      </c>
      <c r="K29" s="16" t="n">
        <f aca="false">J29+L29</f>
        <v>1.665</v>
      </c>
      <c r="L29" s="16" t="n">
        <f aca="false">RANDBETWEEN(-30,90)/1000</f>
        <v>-0.005</v>
      </c>
      <c r="M29" s="16" t="n">
        <f aca="false">+Chạy!N59</f>
        <v>12.4</v>
      </c>
      <c r="N29" s="16" t="n">
        <f aca="false">+M29+O29</f>
        <v>12.3905</v>
      </c>
      <c r="O29" s="16" t="n">
        <f aca="false">RANDBETWEEN(-105,115)/10000</f>
        <v>-0.0095</v>
      </c>
      <c r="P29" s="16" t="n">
        <f aca="false">+Chạy!O59</f>
        <v>1.55</v>
      </c>
      <c r="Q29" s="16" t="n">
        <f aca="false">P29+R29</f>
        <v>1.537</v>
      </c>
      <c r="R29" s="16" t="n">
        <f aca="false">RANDBETWEEN(-30,90)/1000</f>
        <v>-0.013</v>
      </c>
      <c r="S29" s="17"/>
      <c r="W29" s="115"/>
      <c r="X29" s="102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15"/>
      <c r="X30" s="102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15"/>
      <c r="X31" s="102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15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15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15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15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15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15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15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15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15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15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15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15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15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15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15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15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15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15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15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15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15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15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15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15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15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15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15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15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15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15"/>
      <c r="X61" s="102"/>
    </row>
    <row r="63" customFormat="false" ht="15" hidden="false" customHeight="false" outlineLevel="0" collapsed="false">
      <c r="C63" s="19" t="s">
        <v>47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48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49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50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97.NĐXD8/CVXD ngày 03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97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31</v>
      </c>
      <c r="B7" s="34"/>
      <c r="D7" s="35" t="str">
        <f>VLOOKUP(AZ2,'[1]Tuyến XD8'!$A$2:$B$60,2,0)</f>
        <v xml:space="preserve">Đắp đất nền đường lớp 7 đoạn từ Km0+609,11 - Km0+724,11,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35</v>
      </c>
      <c r="C9" s="37" t="s">
        <v>36</v>
      </c>
      <c r="D9" s="38" t="s">
        <v>52</v>
      </c>
      <c r="E9" s="39"/>
      <c r="F9" s="39"/>
      <c r="G9" s="38"/>
      <c r="H9" s="39"/>
      <c r="I9" s="39"/>
      <c r="J9" s="39"/>
      <c r="K9" s="39"/>
      <c r="L9" s="39"/>
      <c r="M9" s="40" t="s">
        <v>53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40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54</v>
      </c>
      <c r="O10" s="40" t="s">
        <v>55</v>
      </c>
      <c r="P10" s="40" t="s">
        <v>54</v>
      </c>
      <c r="Q10" s="40" t="s">
        <v>54</v>
      </c>
      <c r="R10" s="40"/>
      <c r="S10" s="40"/>
      <c r="T10" s="40"/>
      <c r="U10" s="40" t="s">
        <v>56</v>
      </c>
      <c r="V10" s="40" t="s">
        <v>56</v>
      </c>
      <c r="W10" s="40" t="s">
        <v>57</v>
      </c>
      <c r="X10" s="40" t="s">
        <v>56</v>
      </c>
      <c r="Y10" s="40" t="s">
        <v>56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31</v>
      </c>
      <c r="C11" s="51" t="n">
        <f aca="false">'7.KTHH L7'!C22</f>
        <v>609.11</v>
      </c>
      <c r="D11" s="13" t="n">
        <f aca="false">'7.KTHH L7'!T22</f>
        <v>11.75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7.58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89.065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E10</v>
      </c>
      <c r="C12" s="51" t="n">
        <f aca="false">'7.KTHH L7'!C23</f>
        <v>620.86</v>
      </c>
      <c r="D12" s="13" t="n">
        <f aca="false">'7.KTHH L7'!T23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7.58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89.065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32</v>
      </c>
      <c r="C13" s="51" t="n">
        <f aca="false">'7.KTHH L7'!C24</f>
        <v>632.61</v>
      </c>
      <c r="D13" s="13" t="n">
        <f aca="false">'7.KTHH L7'!T24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Chạy!E19</f>
        <v>7.58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151.6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33</v>
      </c>
      <c r="C14" s="51" t="n">
        <f aca="false">'7.KTHH L7'!C25</f>
        <v>652.61</v>
      </c>
      <c r="D14" s="13" t="n">
        <f aca="false">'7.KTHH L7'!T25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Chạy!E27</f>
        <v>7.58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151.6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34</v>
      </c>
      <c r="C15" s="51" t="n">
        <f aca="false">'7.KTHH L7'!C26</f>
        <v>672.61</v>
      </c>
      <c r="D15" s="13" t="n">
        <f aca="false">'7.KTHH L7'!T26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Chạy!E35</f>
        <v>7.58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151.6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35</v>
      </c>
      <c r="C16" s="51" t="n">
        <f aca="false">'7.KTHH L7'!C27</f>
        <v>692.61</v>
      </c>
      <c r="D16" s="13" t="n">
        <f aca="false">'7.KTHH L7'!T27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Chạy!E43</f>
        <v>7.58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143.4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'7.KTHH L7'!B28</f>
        <v>36</v>
      </c>
      <c r="C17" s="51" t="n">
        <f aca="false">'7.KTHH L7'!C28</f>
        <v>712.61</v>
      </c>
      <c r="D17" s="13" t="n">
        <f aca="false">'7.KTHH L7'!T28</f>
        <v>11.5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Chạy!E51</f>
        <v>6.76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82.455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'7.KTHH L7'!B29</f>
        <v>37</v>
      </c>
      <c r="C18" s="51" t="n">
        <f aca="false">'7.KTHH L7'!C29</f>
        <v>724.11</v>
      </c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Chạy!E59</f>
        <v>7.58</v>
      </c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58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SUM(W11:W18)</f>
        <v>858.785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47</v>
      </c>
      <c r="B53" s="19"/>
      <c r="C53" s="19"/>
      <c r="D53" s="77" t="s">
        <v>59</v>
      </c>
      <c r="E53" s="19" t="s">
        <v>48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49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98.NĐXD8/CVXD ngày 04 tháng 10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98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31</v>
      </c>
      <c r="C7" s="7"/>
      <c r="D7" s="7"/>
      <c r="F7" s="7"/>
      <c r="G7" s="7" t="str">
        <f>VLOOKUP(AZ2,'[1]Tuyến XD8'!$A$2:$B$60,2,0)</f>
        <v xml:space="preserve">Đắp đất nền đường lớp 8 đoạn từ Km0+609,11 - Km0+724,11,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34</v>
      </c>
      <c r="B20" s="9" t="s">
        <v>35</v>
      </c>
      <c r="C20" s="9" t="s">
        <v>36</v>
      </c>
      <c r="D20" s="10" t="s">
        <v>37</v>
      </c>
      <c r="E20" s="10"/>
      <c r="F20" s="10"/>
      <c r="G20" s="10"/>
      <c r="H20" s="10"/>
      <c r="I20" s="10"/>
      <c r="J20" s="10" t="s">
        <v>38</v>
      </c>
      <c r="K20" s="10"/>
      <c r="L20" s="10"/>
      <c r="M20" s="10" t="s">
        <v>39</v>
      </c>
      <c r="N20" s="10"/>
      <c r="O20" s="10"/>
      <c r="P20" s="10"/>
      <c r="Q20" s="10"/>
      <c r="R20" s="10"/>
      <c r="S20" s="9" t="s">
        <v>40</v>
      </c>
    </row>
    <row r="21" customFormat="false" ht="51.75" hidden="false" customHeight="true" outlineLevel="0" collapsed="false">
      <c r="A21" s="116"/>
      <c r="B21" s="116"/>
      <c r="C21" s="116"/>
      <c r="D21" s="11" t="s">
        <v>41</v>
      </c>
      <c r="E21" s="11" t="s">
        <v>42</v>
      </c>
      <c r="F21" s="11" t="s">
        <v>43</v>
      </c>
      <c r="G21" s="11" t="s">
        <v>44</v>
      </c>
      <c r="H21" s="11" t="s">
        <v>45</v>
      </c>
      <c r="I21" s="11" t="s">
        <v>46</v>
      </c>
      <c r="J21" s="11" t="s">
        <v>44</v>
      </c>
      <c r="K21" s="11" t="s">
        <v>45</v>
      </c>
      <c r="L21" s="11" t="s">
        <v>46</v>
      </c>
      <c r="M21" s="11" t="s">
        <v>41</v>
      </c>
      <c r="N21" s="11" t="s">
        <v>42</v>
      </c>
      <c r="O21" s="11" t="s">
        <v>43</v>
      </c>
      <c r="P21" s="11" t="s">
        <v>44</v>
      </c>
      <c r="Q21" s="11" t="s">
        <v>45</v>
      </c>
      <c r="R21" s="11" t="s">
        <v>46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609.11</v>
      </c>
      <c r="D22" s="16" t="n">
        <f aca="false">+Chạy!F2</f>
        <v>-11.95</v>
      </c>
      <c r="E22" s="16" t="n">
        <f aca="false">+D22+F22</f>
        <v>-11.9425</v>
      </c>
      <c r="F22" s="16" t="n">
        <f aca="false">RANDBETWEEN(-105,115)/10000</f>
        <v>0.0075</v>
      </c>
      <c r="G22" s="16" t="n">
        <f aca="false">+Chạy!G2</f>
        <v>1.84</v>
      </c>
      <c r="H22" s="16" t="n">
        <f aca="false">G22+I22</f>
        <v>1.835</v>
      </c>
      <c r="I22" s="16" t="n">
        <f aca="false">RANDBETWEEN(-30,90)/1000</f>
        <v>-0.005</v>
      </c>
      <c r="J22" s="16" t="n">
        <f aca="false">+Chạy!K2</f>
        <v>1.96</v>
      </c>
      <c r="K22" s="16" t="n">
        <f aca="false">J22+L22</f>
        <v>2.019</v>
      </c>
      <c r="L22" s="16" t="n">
        <f aca="false">RANDBETWEEN(-30,90)/1000</f>
        <v>0.059</v>
      </c>
      <c r="M22" s="16" t="n">
        <f aca="false">+Chạy!N2</f>
        <v>11.95</v>
      </c>
      <c r="N22" s="16" t="n">
        <f aca="false">+M22+O22</f>
        <v>11.9457</v>
      </c>
      <c r="O22" s="16" t="n">
        <f aca="false">RANDBETWEEN(-105,115)/10000</f>
        <v>-0.0043</v>
      </c>
      <c r="P22" s="16" t="n">
        <f aca="false">+Chạy!O2</f>
        <v>1.84</v>
      </c>
      <c r="Q22" s="16" t="n">
        <f aca="false">P22+R22</f>
        <v>1.837</v>
      </c>
      <c r="R22" s="16" t="n">
        <f aca="false">RANDBETWEEN(-30,90)/1000</f>
        <v>-0.003</v>
      </c>
      <c r="S22" s="17"/>
      <c r="T22" s="0" t="n">
        <v>11.75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620.86</v>
      </c>
      <c r="D23" s="16" t="n">
        <f aca="false">+Chạy!F10</f>
        <v>-11.95</v>
      </c>
      <c r="E23" s="16" t="n">
        <f aca="false">+D23+F23</f>
        <v>-11.9513</v>
      </c>
      <c r="F23" s="16" t="n">
        <f aca="false">RANDBETWEEN(-105,115)/10000</f>
        <v>-0.0013</v>
      </c>
      <c r="G23" s="16" t="n">
        <f aca="false">+Chạy!G10</f>
        <v>1.84</v>
      </c>
      <c r="H23" s="16" t="n">
        <f aca="false">G23+I23</f>
        <v>1.93</v>
      </c>
      <c r="I23" s="16" t="n">
        <f aca="false">RANDBETWEEN(-30,90)/1000</f>
        <v>0.09</v>
      </c>
      <c r="J23" s="16" t="n">
        <f aca="false">+Chạy!K10</f>
        <v>1.96</v>
      </c>
      <c r="K23" s="16" t="n">
        <f aca="false">J23+L23</f>
        <v>1.941</v>
      </c>
      <c r="L23" s="16" t="n">
        <f aca="false">RANDBETWEEN(-30,90)/1000</f>
        <v>-0.019</v>
      </c>
      <c r="M23" s="16" t="n">
        <f aca="false">+Chạy!N10</f>
        <v>11.95</v>
      </c>
      <c r="N23" s="16" t="n">
        <f aca="false">+M23+O23</f>
        <v>11.9613</v>
      </c>
      <c r="O23" s="16" t="n">
        <f aca="false">RANDBETWEEN(-105,115)/10000</f>
        <v>0.0113</v>
      </c>
      <c r="P23" s="16" t="n">
        <f aca="false">+Chạy!O10</f>
        <v>1.84</v>
      </c>
      <c r="Q23" s="16" t="n">
        <f aca="false">P23+R23</f>
        <v>1.819</v>
      </c>
      <c r="R23" s="16" t="n">
        <f aca="false">RANDBETWEEN(-30,90)/1000</f>
        <v>-0.021</v>
      </c>
      <c r="S23" s="17"/>
      <c r="T23" s="0" t="n">
        <v>11.75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632.61</v>
      </c>
      <c r="D24" s="16" t="n">
        <f aca="false">+Chạy!F18</f>
        <v>-11.95</v>
      </c>
      <c r="E24" s="16" t="n">
        <f aca="false">+D24+F24</f>
        <v>-11.9482</v>
      </c>
      <c r="F24" s="16" t="n">
        <f aca="false">RANDBETWEEN(-105,115)/10000</f>
        <v>0.0018</v>
      </c>
      <c r="G24" s="16" t="n">
        <f aca="false">+Chạy!G18</f>
        <v>1.84</v>
      </c>
      <c r="H24" s="16" t="n">
        <f aca="false">G24+I24</f>
        <v>1.856</v>
      </c>
      <c r="I24" s="16" t="n">
        <f aca="false">RANDBETWEEN(-30,90)/1000</f>
        <v>0.016</v>
      </c>
      <c r="J24" s="16" t="n">
        <f aca="false">+Chạy!K18</f>
        <v>1.96</v>
      </c>
      <c r="K24" s="16" t="n">
        <f aca="false">J24+L24</f>
        <v>2.043</v>
      </c>
      <c r="L24" s="16" t="n">
        <f aca="false">RANDBETWEEN(-30,90)/1000</f>
        <v>0.083</v>
      </c>
      <c r="M24" s="16" t="n">
        <f aca="false">+Chạy!N18</f>
        <v>11.95</v>
      </c>
      <c r="N24" s="16" t="n">
        <f aca="false">+M24+O24</f>
        <v>11.948</v>
      </c>
      <c r="O24" s="16" t="n">
        <f aca="false">RANDBETWEEN(-105,115)/10000</f>
        <v>-0.002</v>
      </c>
      <c r="P24" s="16" t="n">
        <f aca="false">+Chạy!O18</f>
        <v>1.84</v>
      </c>
      <c r="Q24" s="16" t="n">
        <f aca="false">P24+R24</f>
        <v>1.892</v>
      </c>
      <c r="R24" s="16" t="n">
        <f aca="false">RANDBETWEEN(-30,90)/1000</f>
        <v>0.052</v>
      </c>
      <c r="S24" s="17"/>
      <c r="T24" s="0" t="n">
        <v>20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652.61</v>
      </c>
      <c r="D25" s="16" t="n">
        <f aca="false">+Chạy!F26</f>
        <v>-11.95</v>
      </c>
      <c r="E25" s="16" t="n">
        <f aca="false">+D25+F25</f>
        <v>-11.9573</v>
      </c>
      <c r="F25" s="16" t="n">
        <f aca="false">RANDBETWEEN(-105,115)/10000</f>
        <v>-0.0073</v>
      </c>
      <c r="G25" s="16" t="n">
        <f aca="false">+Chạy!G26</f>
        <v>1.85</v>
      </c>
      <c r="H25" s="16" t="n">
        <f aca="false">G25+I25</f>
        <v>1.824</v>
      </c>
      <c r="I25" s="16" t="n">
        <f aca="false">RANDBETWEEN(-30,90)/1000</f>
        <v>-0.026</v>
      </c>
      <c r="J25" s="16" t="n">
        <f aca="false">+Chạy!K26</f>
        <v>1.96</v>
      </c>
      <c r="K25" s="16" t="n">
        <f aca="false">J25+L25</f>
        <v>2.022</v>
      </c>
      <c r="L25" s="16" t="n">
        <f aca="false">RANDBETWEEN(-30,90)/1000</f>
        <v>0.062</v>
      </c>
      <c r="M25" s="16" t="n">
        <f aca="false">+Chạy!N26</f>
        <v>11.95</v>
      </c>
      <c r="N25" s="16" t="n">
        <f aca="false">+M25+O25</f>
        <v>11.9542</v>
      </c>
      <c r="O25" s="16" t="n">
        <f aca="false">RANDBETWEEN(-105,115)/10000</f>
        <v>0.0042</v>
      </c>
      <c r="P25" s="16" t="n">
        <f aca="false">+Chạy!O26</f>
        <v>1.85</v>
      </c>
      <c r="Q25" s="16" t="n">
        <f aca="false">P25+R25</f>
        <v>1.911</v>
      </c>
      <c r="R25" s="16" t="n">
        <f aca="false">RANDBETWEEN(-30,90)/1000</f>
        <v>0.061</v>
      </c>
      <c r="S25" s="17"/>
      <c r="T25" s="0" t="n">
        <v>20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672.61</v>
      </c>
      <c r="D26" s="16" t="n">
        <f aca="false">+Chạy!F34</f>
        <v>-11.95</v>
      </c>
      <c r="E26" s="16" t="n">
        <f aca="false">+D26+F26</f>
        <v>-11.9567</v>
      </c>
      <c r="F26" s="16" t="n">
        <f aca="false">RANDBETWEEN(-105,115)/10000</f>
        <v>-0.0067</v>
      </c>
      <c r="G26" s="16" t="n">
        <f aca="false">+Chạy!G34</f>
        <v>1.85</v>
      </c>
      <c r="H26" s="16" t="n">
        <f aca="false">G26+I26</f>
        <v>1.924</v>
      </c>
      <c r="I26" s="16" t="n">
        <f aca="false">RANDBETWEEN(-30,90)/1000</f>
        <v>0.074</v>
      </c>
      <c r="J26" s="16" t="n">
        <f aca="false">+Chạy!K34</f>
        <v>1.96</v>
      </c>
      <c r="K26" s="16" t="n">
        <f aca="false">J26+L26</f>
        <v>2.028</v>
      </c>
      <c r="L26" s="16" t="n">
        <f aca="false">RANDBETWEEN(-30,90)/1000</f>
        <v>0.068</v>
      </c>
      <c r="M26" s="16" t="n">
        <f aca="false">+Chạy!N34</f>
        <v>11.95</v>
      </c>
      <c r="N26" s="16" t="n">
        <f aca="false">+M26+O26</f>
        <v>11.9499</v>
      </c>
      <c r="O26" s="16" t="n">
        <f aca="false">RANDBETWEEN(-105,115)/10000</f>
        <v>-0.0001</v>
      </c>
      <c r="P26" s="16" t="n">
        <f aca="false">+Chạy!O34</f>
        <v>1.85</v>
      </c>
      <c r="Q26" s="16" t="n">
        <f aca="false">P26+R26</f>
        <v>1.845</v>
      </c>
      <c r="R26" s="16" t="n">
        <f aca="false">RANDBETWEEN(-30,90)/1000</f>
        <v>-0.005</v>
      </c>
      <c r="S26" s="17"/>
      <c r="T26" s="0" t="n">
        <v>20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692.61</v>
      </c>
      <c r="D27" s="16" t="n">
        <f aca="false">+Chạy!F42</f>
        <v>-11.95</v>
      </c>
      <c r="E27" s="16" t="n">
        <f aca="false">+D27+F27</f>
        <v>-11.9402</v>
      </c>
      <c r="F27" s="16" t="n">
        <f aca="false">RANDBETWEEN(-105,115)/10000</f>
        <v>0.0098</v>
      </c>
      <c r="G27" s="16" t="n">
        <f aca="false">+Chạy!G42</f>
        <v>1.85</v>
      </c>
      <c r="H27" s="16" t="n">
        <f aca="false">G27+I27</f>
        <v>1.935</v>
      </c>
      <c r="I27" s="16" t="n">
        <f aca="false">RANDBETWEEN(-30,90)/1000</f>
        <v>0.085</v>
      </c>
      <c r="J27" s="16" t="n">
        <f aca="false">+Chạy!K42</f>
        <v>1.97</v>
      </c>
      <c r="K27" s="16" t="n">
        <f aca="false">J27+L27</f>
        <v>2.052</v>
      </c>
      <c r="L27" s="16" t="n">
        <f aca="false">RANDBETWEEN(-30,90)/1000</f>
        <v>0.082</v>
      </c>
      <c r="M27" s="16" t="n">
        <f aca="false">+Chạy!N42</f>
        <v>11.95</v>
      </c>
      <c r="N27" s="16" t="n">
        <f aca="false">+M27+O27</f>
        <v>11.9515</v>
      </c>
      <c r="O27" s="16" t="n">
        <f aca="false">RANDBETWEEN(-105,115)/10000</f>
        <v>0.0015</v>
      </c>
      <c r="P27" s="16" t="n">
        <f aca="false">+Chạy!O42</f>
        <v>1.85</v>
      </c>
      <c r="Q27" s="16" t="n">
        <f aca="false">P27+R27</f>
        <v>1.86</v>
      </c>
      <c r="R27" s="16" t="n">
        <f aca="false">RANDBETWEEN(-30,90)/1000</f>
        <v>0.01</v>
      </c>
      <c r="S27" s="17"/>
      <c r="T27" s="0" t="n">
        <v>20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712.61</v>
      </c>
      <c r="D28" s="16" t="n">
        <f aca="false">+Chạy!F50</f>
        <v>-11.95</v>
      </c>
      <c r="E28" s="16" t="n">
        <f aca="false">+D28+F28</f>
        <v>-11.9486</v>
      </c>
      <c r="F28" s="16" t="n">
        <f aca="false">RANDBETWEEN(-105,115)/10000</f>
        <v>0.0014</v>
      </c>
      <c r="G28" s="16" t="n">
        <f aca="false">+Chạy!G50</f>
        <v>1.85</v>
      </c>
      <c r="H28" s="16" t="n">
        <f aca="false">G28+I28</f>
        <v>1.885</v>
      </c>
      <c r="I28" s="16" t="n">
        <f aca="false">RANDBETWEEN(-30,90)/1000</f>
        <v>0.035</v>
      </c>
      <c r="J28" s="16" t="n">
        <f aca="false">+Chạy!K50</f>
        <v>1.97</v>
      </c>
      <c r="K28" s="16" t="n">
        <f aca="false">J28+L28</f>
        <v>1.947</v>
      </c>
      <c r="L28" s="16" t="n">
        <f aca="false">RANDBETWEEN(-30,90)/1000</f>
        <v>-0.023</v>
      </c>
      <c r="M28" s="16" t="n">
        <f aca="false">+Chạy!N50</f>
        <v>11.95</v>
      </c>
      <c r="N28" s="16" t="n">
        <f aca="false">+M28+O28</f>
        <v>11.9442</v>
      </c>
      <c r="O28" s="16" t="n">
        <f aca="false">RANDBETWEEN(-105,115)/10000</f>
        <v>-0.0058</v>
      </c>
      <c r="P28" s="16" t="n">
        <f aca="false">+Chạy!O50</f>
        <v>1.85</v>
      </c>
      <c r="Q28" s="16" t="n">
        <f aca="false">P28+R28</f>
        <v>1.845</v>
      </c>
      <c r="R28" s="16" t="n">
        <f aca="false">RANDBETWEEN(-30,90)/1000</f>
        <v>-0.005</v>
      </c>
      <c r="S28" s="17"/>
      <c r="T28" s="0" t="n">
        <v>11.5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724.11</v>
      </c>
      <c r="D29" s="16" t="n">
        <f aca="false">+Chạy!F58</f>
        <v>-11.95</v>
      </c>
      <c r="E29" s="16" t="n">
        <f aca="false">+D29+F29</f>
        <v>-11.9491</v>
      </c>
      <c r="F29" s="16" t="n">
        <f aca="false">RANDBETWEEN(-105,115)/10000</f>
        <v>0.0009</v>
      </c>
      <c r="G29" s="16" t="n">
        <f aca="false">+Chạy!G58</f>
        <v>1.85</v>
      </c>
      <c r="H29" s="16" t="n">
        <f aca="false">G29+I29</f>
        <v>1.846</v>
      </c>
      <c r="I29" s="16" t="n">
        <f aca="false">RANDBETWEEN(-30,90)/1000</f>
        <v>-0.004</v>
      </c>
      <c r="J29" s="16" t="n">
        <f aca="false">+Chạy!K58</f>
        <v>1.97</v>
      </c>
      <c r="K29" s="16" t="n">
        <f aca="false">J29+L29</f>
        <v>2.059</v>
      </c>
      <c r="L29" s="16" t="n">
        <f aca="false">RANDBETWEEN(-30,90)/1000</f>
        <v>0.089</v>
      </c>
      <c r="M29" s="16" t="n">
        <f aca="false">+Chạy!N58</f>
        <v>11.95</v>
      </c>
      <c r="N29" s="16" t="n">
        <f aca="false">+M29+O29</f>
        <v>11.9587</v>
      </c>
      <c r="O29" s="16" t="n">
        <f aca="false">RANDBETWEEN(-105,115)/10000</f>
        <v>0.0087</v>
      </c>
      <c r="P29" s="16" t="n">
        <f aca="false">+Chạy!O58</f>
        <v>1.85</v>
      </c>
      <c r="Q29" s="16" t="n">
        <f aca="false">P29+R29</f>
        <v>1.89</v>
      </c>
      <c r="R29" s="16" t="n">
        <f aca="false">RANDBETWEEN(-30,90)/1000</f>
        <v>0.04</v>
      </c>
      <c r="S29" s="17"/>
      <c r="X29" s="119"/>
      <c r="Y29" s="102"/>
      <c r="AA29" s="120"/>
      <c r="AB29" s="121"/>
      <c r="AC29" s="122"/>
      <c r="AE29" s="122"/>
    </row>
    <row r="30" customFormat="false" ht="15.75" hidden="true" customHeight="true" outlineLevel="0" collapsed="false">
      <c r="A30" s="118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X30" s="119"/>
      <c r="Y30" s="102"/>
      <c r="AA30" s="120"/>
      <c r="AB30" s="121"/>
      <c r="AC30" s="122"/>
      <c r="AE30" s="122"/>
    </row>
    <row r="31" customFormat="false" ht="15.75" hidden="true" customHeight="true" outlineLevel="0" collapsed="false">
      <c r="A31" s="118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X31" s="119"/>
      <c r="Y31" s="102"/>
      <c r="AA31" s="120"/>
      <c r="AB31" s="121"/>
      <c r="AC31" s="122"/>
      <c r="AE31" s="122"/>
    </row>
    <row r="32" customFormat="false" ht="15.75" hidden="true" customHeight="true" outlineLevel="0" collapsed="false">
      <c r="A32" s="118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47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48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49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Lê Quốc Huy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98.NĐXD8/CVXD ngày 04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98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31</v>
      </c>
      <c r="B7" s="34"/>
      <c r="D7" s="35" t="str">
        <f>VLOOKUP(AZ2,'[1]Tuyến XD8'!$A$2:$B$60,2,0)</f>
        <v xml:space="preserve">Đắp đất nền đường lớp 8 đoạn từ Km0+609,11 - Km0+724,11,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35</v>
      </c>
      <c r="C9" s="37" t="s">
        <v>36</v>
      </c>
      <c r="D9" s="38" t="s">
        <v>52</v>
      </c>
      <c r="E9" s="39"/>
      <c r="F9" s="39"/>
      <c r="G9" s="38"/>
      <c r="H9" s="39"/>
      <c r="I9" s="39"/>
      <c r="J9" s="39"/>
      <c r="K9" s="39"/>
      <c r="L9" s="39"/>
      <c r="M9" s="40" t="s">
        <v>53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40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54</v>
      </c>
      <c r="O10" s="40" t="s">
        <v>55</v>
      </c>
      <c r="P10" s="40" t="s">
        <v>54</v>
      </c>
      <c r="Q10" s="40" t="s">
        <v>54</v>
      </c>
      <c r="R10" s="40"/>
      <c r="S10" s="40"/>
      <c r="T10" s="40"/>
      <c r="U10" s="40" t="s">
        <v>56</v>
      </c>
      <c r="V10" s="40" t="s">
        <v>56</v>
      </c>
      <c r="W10" s="40" t="s">
        <v>57</v>
      </c>
      <c r="X10" s="40" t="s">
        <v>56</v>
      </c>
      <c r="Y10" s="40" t="s">
        <v>56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31</v>
      </c>
      <c r="C11" s="51" t="n">
        <f aca="false">'8.KTHH L8'!C22</f>
        <v>609.11</v>
      </c>
      <c r="D11" s="13" t="n">
        <f aca="false">'8.KTHH L8'!T22</f>
        <v>11.75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7.31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85.8925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E10</v>
      </c>
      <c r="C12" s="51" t="n">
        <f aca="false">'8.KTHH L8'!C23</f>
        <v>620.86</v>
      </c>
      <c r="D12" s="13" t="n">
        <f aca="false">'8.KTHH L8'!T23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Chạy!E10</f>
        <v>7.31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85.8925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32</v>
      </c>
      <c r="C13" s="51" t="n">
        <f aca="false">'8.KTHH L8'!C24</f>
        <v>632.61</v>
      </c>
      <c r="D13" s="13" t="n">
        <f aca="false">'8.KTHH L8'!T24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Chạy!E18</f>
        <v>7.31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146.2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33</v>
      </c>
      <c r="C14" s="51" t="n">
        <f aca="false">'8.KTHH L8'!C25</f>
        <v>652.61</v>
      </c>
      <c r="D14" s="13" t="n">
        <f aca="false">'8.KTHH L8'!T25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Chạy!E26</f>
        <v>7.31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146.2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34</v>
      </c>
      <c r="C15" s="51" t="n">
        <f aca="false">'8.KTHH L8'!C26</f>
        <v>672.61</v>
      </c>
      <c r="D15" s="13" t="n">
        <f aca="false">'8.KTHH L8'!T26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Chạy!E34</f>
        <v>7.31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146.2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35</v>
      </c>
      <c r="C16" s="51" t="n">
        <f aca="false">'8.KTHH L8'!C27</f>
        <v>692.61</v>
      </c>
      <c r="D16" s="13" t="n">
        <f aca="false">'8.KTHH L8'!T27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Chạy!E42</f>
        <v>7.31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146.2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'8.KTHH L8'!B28</f>
        <v>36</v>
      </c>
      <c r="C17" s="51" t="n">
        <f aca="false">'8.KTHH L8'!C28</f>
        <v>712.61</v>
      </c>
      <c r="D17" s="13" t="n">
        <f aca="false">'8.KTHH L8'!T28</f>
        <v>11.5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Chạy!E50</f>
        <v>7.31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84.065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'8.KTHH L8'!B29</f>
        <v>37</v>
      </c>
      <c r="C18" s="51" t="n">
        <f aca="false">'8.KTHH L8'!C29</f>
        <v>724.11</v>
      </c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Chạy!E58</f>
        <v>7.31</v>
      </c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58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SUM(W11:W18)</f>
        <v>840.65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47</v>
      </c>
      <c r="B53" s="19"/>
      <c r="C53" s="19"/>
      <c r="D53" s="77" t="s">
        <v>59</v>
      </c>
      <c r="E53" s="19" t="s">
        <v>48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49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2026-10-13T07:38:44Z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