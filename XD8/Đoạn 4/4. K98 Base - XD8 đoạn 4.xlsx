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externalReferences>
    <externalReference r:id="rIdExt1"/>
  </externalReference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<sst xmlns="http://schemas.openxmlformats.org/spreadsheetml/2006/main" count="288" uniqueCount="50">
  <si>
    <t xml:space="preserve">PHỤ LỤC KIỂM TRA CAO ĐỘ, KÍCH THƯỚC HÌNH HỌC</t>
  </si>
  <si>
    <t xml:space="preserve">Kèm theo BBNT số: 99.NĐXD8/CVXD ngày 05 tháng 10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</si>
  <si>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</si>
  <si>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</si>
  <si>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</si>
  <si>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XD8</t>
  </si>
  <si>
    <t xml:space="preserve">- Đối tượng nghiệm thu:</t>
  </si>
  <si>
    <t xml:space="preserve">Đắp đất nền đường lớp 1, độ chặt K&gt;=0,98 đoạn từ Km0+609,11 - Km0+724,11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</si>
  <si>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</si>
  <si>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</si>
  <si>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</si>
  <si>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</si>
  <si>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</si>
  <si>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</si>
  <si>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</si>
  <si>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</si>
  <si>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</si>
  <si>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</si>
  <si>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</si>
  <si>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</si>
  <si>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</si>
  <si>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</si>
  <si>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</si>
  <si>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</si>
  <si>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</si>
  <si>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</si>
  <si>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</si>
  <si>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</si>
  <si>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</si>
  <si>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</si>
  <si>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</si>
  <si>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</si>
  <si>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</si>
  <si>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</si>
  <si>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</si>
  <si>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</si>
  <si>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</si>
  <si>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</si>
  <si>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</si>
  <si>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</si>
  <si>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</si>
  <si>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</si>
  <si>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</si>
  <si>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101.NĐXD8/CVXD ngày 06 tháng 10 năm 2026</t>
  </si>
  <si>
    <t xml:space="preserve">Đắp đất nền đường lớp 2, độ chặt K&gt;=0,98 đoạn từ Km0+609,11 - Km0+724,11</t>
  </si>
  <si>
    <t xml:space="preserve">Kèm theo BBNT số: 103.NĐXD8/CVXD ngày 07 tháng 10 năm 2026</t>
  </si>
  <si>
    <t xml:space="preserve">Đắp cấp phối đá dăm loại 2 đoạn từ Km0+609,11 - Km0+724,11</t>
  </si>
  <si>
    <t xml:space="preserve">Kèm theo BBNT số: 106.NĐXD8/CVXD ngày 08 tháng 10 năm 2026</t>
  </si>
  <si>
    <t xml:space="preserve">Đắp cấp phối đá dăm loại 1 đoạn từ Km0+609,11 - Km0+724,11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</si>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</sst>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84</v>
          </cell>
          <cell r="B3" t="str">
            <v xml:space="preserve">Kiểm tra cao độ đường đen đoạn từ Km0+609,11 -:- Km0+724,11</v>
          </cell>
          <cell r="D3" t="str">
            <v xml:space="preserve">ngày 26 tháng 09 năm 2026</v>
          </cell>
          <cell r="G3" t="str">
            <v xml:space="preserve">84.NĐXD8/CVXD </v>
          </cell>
        </row>
        <row r="4">
          <cell r="A4">
            <v>85</v>
          </cell>
          <cell r="B4" t="str">
            <v xml:space="preserve">Đào đất xử lý nền đường đoạn từ Km0+609,11 - Km0+724,11</v>
          </cell>
          <cell r="D4" t="str">
            <v xml:space="preserve">ngày 27 tháng 09 năm 2026</v>
          </cell>
          <cell r="G4" t="str">
            <v xml:space="preserve">85.NĐXD8/CVXD </v>
          </cell>
        </row>
        <row r="5">
          <cell r="A5">
            <v>86</v>
          </cell>
          <cell r="B5" t="str">
            <v xml:space="preserve">Rải vải địa kỹ thuật đoạn từ Km0+609,11 - Km0+724,11</v>
          </cell>
          <cell r="D5" t="str">
            <v xml:space="preserve">ngày 28 tháng 09 năm 2026</v>
          </cell>
          <cell r="G5" t="str">
            <v xml:space="preserve">86.NĐXD8/CVXD </v>
          </cell>
        </row>
        <row r="6">
          <cell r="A6">
            <v>87</v>
          </cell>
          <cell r="B6" t="str">
            <v xml:space="preserve">Đắp cát nền đường lớp 1 đoạn từ Km0+609,11 - Km0+724,11, độ chặt K&gt;=0,95</v>
          </cell>
          <cell r="D6" t="str">
            <v xml:space="preserve">ngày 28 tháng 09 năm 2026</v>
          </cell>
          <cell r="G6" t="str">
            <v xml:space="preserve">87.NĐXD8/CVXD </v>
          </cell>
        </row>
        <row r="7">
          <cell r="A7">
            <v>88</v>
          </cell>
          <cell r="B7" t="str">
            <v xml:space="preserve">Đắp cát nền đường lớp 2 đoạn từ Km0+609,11 - Km0+724,11, độ chặt K&gt;=0,95</v>
          </cell>
          <cell r="D7" t="str">
            <v xml:space="preserve">ngày 29 tháng 09 năm 2026</v>
          </cell>
          <cell r="G7" t="str">
            <v xml:space="preserve">88.NĐXD8/CVXD </v>
          </cell>
        </row>
        <row r="8">
          <cell r="A8">
            <v>89</v>
          </cell>
          <cell r="B8" t="str">
            <v xml:space="preserve">Đắp cát nền đường lớp 3 đoạn từ Km0+609,11 - Km0+724,11, độ chặt K&gt;=0,95</v>
          </cell>
          <cell r="D8" t="str">
            <v xml:space="preserve">ngày 29 tháng 09 năm 2026</v>
          </cell>
          <cell r="G8" t="str">
            <v xml:space="preserve">89.NĐXD8/CVXD </v>
          </cell>
        </row>
        <row r="9">
          <cell r="A9">
            <v>90</v>
          </cell>
          <cell r="B9" t="str">
            <v xml:space="preserve">Đắp cát nền đường lớp 4 đoạn từ Km0+609,11 - Km0+724,11, độ chặt K&gt;=0,95</v>
          </cell>
          <cell r="D9" t="str">
            <v xml:space="preserve">ngày 30 tháng 09 năm 2026</v>
          </cell>
          <cell r="G9" t="str">
            <v xml:space="preserve">90.NĐXD8/CVXD </v>
          </cell>
        </row>
        <row r="10">
          <cell r="A10">
            <v>91</v>
          </cell>
          <cell r="B10" t="str">
            <v xml:space="preserve">Đắp đất nền đường lớp 1 đoạn từ Km0+609,11 - Km0+724,11, độ chặt K&gt;=0,95</v>
          </cell>
          <cell r="D10" t="str">
            <v xml:space="preserve">ngày 30 tháng 09 năm 2026</v>
          </cell>
          <cell r="G10" t="str">
            <v xml:space="preserve">91.NĐXD8/CVXD </v>
          </cell>
        </row>
        <row r="11">
          <cell r="A11">
            <v>92</v>
          </cell>
          <cell r="B11" t="str">
            <v xml:space="preserve">Đắp đất nền đường lớp 2 đoạn từ Km0+609,11 - Km0+724,11, độ chặt K&gt;=0,95</v>
          </cell>
          <cell r="D11" t="str">
            <v xml:space="preserve">ngày 01 tháng 10 năm 2026</v>
          </cell>
          <cell r="G11" t="str">
            <v xml:space="preserve">92.NĐXD8/CVXD </v>
          </cell>
        </row>
        <row r="12">
          <cell r="A12">
            <v>93</v>
          </cell>
          <cell r="B12" t="str">
            <v xml:space="preserve">Đắp đất nền đường lớp 3 đoạn từ Km0+609,11 - Km0+724,11, độ chặt K&gt;=0,95</v>
          </cell>
          <cell r="D12" t="str">
            <v xml:space="preserve">ngày 01 tháng 10 năm 2026</v>
          </cell>
          <cell r="G12" t="str">
            <v xml:space="preserve">93.NĐXD8/CVXD </v>
          </cell>
        </row>
        <row r="13">
          <cell r="A13">
            <v>94</v>
          </cell>
          <cell r="B13" t="str">
            <v xml:space="preserve">Đắp đất nền đường lớp 4 đoạn từ Km0+609,11 - Km0+724,11, độ chặt K&gt;=0,95</v>
          </cell>
          <cell r="D13" t="str">
            <v xml:space="preserve">ngày 02 tháng 10 năm 2026</v>
          </cell>
          <cell r="G13" t="str">
            <v xml:space="preserve">94.NĐXD8/CVXD </v>
          </cell>
        </row>
        <row r="14">
          <cell r="A14">
            <v>95</v>
          </cell>
          <cell r="B14" t="str">
            <v xml:space="preserve">Đắp đất nền đường lớp 5 đoạn từ Km0+609,11 - Km0+724,11, độ chặt K&gt;=0,95</v>
          </cell>
          <cell r="D14" t="str">
            <v xml:space="preserve">ngày 02 tháng 10 năm 2026</v>
          </cell>
          <cell r="G14" t="str">
            <v xml:space="preserve">95.NĐXD8/CVXD </v>
          </cell>
        </row>
        <row r="15">
          <cell r="A15">
            <v>96</v>
          </cell>
          <cell r="B15" t="str">
            <v xml:space="preserve">Đắp đất nền đường lớp 6 đoạn từ Km0+609,11 - Km0+724,11, độ chặt K&gt;=0,95</v>
          </cell>
          <cell r="D15" t="str">
            <v xml:space="preserve">ngày 03 tháng 10 năm 2026</v>
          </cell>
          <cell r="G15" t="str">
            <v xml:space="preserve">96.NĐXD8/CVXD </v>
          </cell>
        </row>
        <row r="16">
          <cell r="A16">
            <v>97</v>
          </cell>
          <cell r="B16" t="str">
            <v xml:space="preserve">Đắp đất nền đường lớp 7 đoạn từ Km0+609,11 - Km0+724,11, độ chặt K&gt;=0,95</v>
          </cell>
          <cell r="D16" t="str">
            <v xml:space="preserve">ngày 03 tháng 10 năm 2026</v>
          </cell>
          <cell r="G16" t="str">
            <v xml:space="preserve">97.NĐXD8/CVXD </v>
          </cell>
        </row>
        <row r="17">
          <cell r="A17">
            <v>98</v>
          </cell>
          <cell r="B17" t="str">
            <v xml:space="preserve">Đắp đất nền đường lớp 8 đoạn từ Km0+609,11 - Km0+724,11, độ chặt K&gt;=0,95</v>
          </cell>
          <cell r="D17" t="str">
            <v xml:space="preserve">ngày 04 tháng 10 năm 2026</v>
          </cell>
          <cell r="G17" t="str">
            <v xml:space="preserve">98.NĐXD8/CVXD </v>
          </cell>
        </row>
        <row r="18">
          <cell r="A18">
            <v>99</v>
          </cell>
          <cell r="B18" t="str">
            <v xml:space="preserve">Đắp đất nền đường lớp 1, độ chặt K&gt;=0,98 đoạn từ Km0+609,11 - Km0+724,11</v>
          </cell>
          <cell r="D18" t="str">
            <v xml:space="preserve">ngày 05 tháng 10 năm 2026</v>
          </cell>
          <cell r="G18" t="str">
            <v xml:space="preserve">99.NĐXD8/CVXD </v>
          </cell>
        </row>
        <row r="19">
          <cell r="A19">
            <v>100</v>
          </cell>
          <cell r="B19" t="str">
            <v xml:space="preserve">Đắp đất lề đường lớp 1, độ chặt K&gt;=0,95 đoạn từ Km0+609,11 - Km0+724,11</v>
          </cell>
          <cell r="D19" t="str">
            <v xml:space="preserve">ngày 05 tháng 10 năm 2026</v>
          </cell>
          <cell r="G19" t="str">
            <v xml:space="preserve">100.NĐXD8/CVXD </v>
          </cell>
        </row>
        <row r="20">
          <cell r="A20">
            <v>101</v>
          </cell>
          <cell r="B20" t="str">
            <v xml:space="preserve">Đắp đất nền đường lớp 2, độ chặt K&gt;=0,98 đoạn từ Km0+609,11 - Km0+724,11</v>
          </cell>
          <cell r="D20" t="str">
            <v xml:space="preserve">ngày 06 tháng 10 năm 2026</v>
          </cell>
          <cell r="G20" t="str">
            <v xml:space="preserve">101.NĐXD8/CVXD </v>
          </cell>
        </row>
        <row r="21">
          <cell r="A21">
            <v>102</v>
          </cell>
          <cell r="B21" t="str">
            <v xml:space="preserve">Đắp đất lề đường lớp 2, độ chặt K&gt;=0,95 đoạn từ Km0+609,11 - Km0+724,11</v>
          </cell>
          <cell r="D21" t="str">
            <v xml:space="preserve">ngày 06 tháng 10 năm 2026</v>
          </cell>
          <cell r="G21" t="str">
            <v xml:space="preserve">102.NĐXD8/CVXD </v>
          </cell>
        </row>
        <row r="22">
          <cell r="A22">
            <v>103</v>
          </cell>
          <cell r="B22" t="str">
            <v xml:space="preserve">Đắp cấp phối đá dăm loại 2 đoạn từ Km0+609,11 - Km0+724,11</v>
          </cell>
          <cell r="D22" t="str">
            <v xml:space="preserve">ngày 07 tháng 10 năm 2026</v>
          </cell>
          <cell r="G22" t="str">
            <v xml:space="preserve">103.NĐXD8/CVXD </v>
          </cell>
        </row>
        <row r="23">
          <cell r="A23">
            <v>104</v>
          </cell>
          <cell r="B23" t="str">
            <v xml:space="preserve">Đắp đất lề đường lớp 3, độ chặt K&gt;=0,95 đoạn từ Km0+609,11 - Km0+724,11</v>
          </cell>
          <cell r="D23" t="str">
            <v xml:space="preserve">ngày 07 tháng 10 năm 2026</v>
          </cell>
          <cell r="G23" t="str">
            <v xml:space="preserve">104.NĐXD8/CVXD </v>
          </cell>
        </row>
        <row r="24">
          <cell r="A24">
            <v>105</v>
          </cell>
          <cell r="B24" t="str">
            <v xml:space="preserve">Đắp đất lề đường lớp 4, độ chặt K&gt;=0,95 đoạn từ Km0+609,11 - Km0+724,11</v>
          </cell>
          <cell r="D24" t="str">
            <v xml:space="preserve">ngày 08 tháng 10 năm 2026</v>
          </cell>
          <cell r="G24" t="str">
            <v xml:space="preserve">105.NĐXD8/CVXD </v>
          </cell>
        </row>
        <row r="25">
          <cell r="A25">
            <v>106</v>
          </cell>
          <cell r="B25" t="str">
            <v xml:space="preserve">Đắp cấp phối đá dăm loại 1 đoạn từ Km0+609,11 - Km0+724,11</v>
          </cell>
          <cell r="D25" t="str">
            <v xml:space="preserve">ngày 08 tháng 10 năm 2026</v>
          </cell>
          <cell r="G25" t="str">
            <v xml:space="preserve">106.NĐXD8/CVXD </v>
          </cell>
        </row>
        <row r="26">
          <cell r="A26">
            <v>107</v>
          </cell>
          <cell r="B26" t="str">
            <v xml:space="preserve">Vệ sinh, thổi bụi mặt đường </v>
          </cell>
          <cell r="D26" t="str">
            <v xml:space="preserve">ngày 10 tháng 10 năm 2026</v>
          </cell>
          <cell r="G26" t="str">
            <v xml:space="preserve">107.NĐXD8/CVXD </v>
          </cell>
        </row>
        <row r="27">
          <cell r="A27">
            <v>108</v>
          </cell>
          <cell r="B27" t="str">
            <v xml:space="preserve">Tưới lớp thấm bám mặt đường, nhựa MC70, lượng nhựa 1kg/m2</v>
          </cell>
          <cell r="D27" t="str">
            <v xml:space="preserve">ngày 12 tháng 10 năm 2026</v>
          </cell>
          <cell r="G27" t="str">
            <v xml:space="preserve">108.NĐXD8/CVXD </v>
          </cell>
        </row>
        <row r="28">
          <cell r="A28">
            <v>109</v>
          </cell>
          <cell r="B28" t="str">
            <v xml:space="preserve">Rải thảm mặt đường bê tông nhựa C16 - Chiều dày mặt đường đã lèn ép 6cm</v>
          </cell>
          <cell r="D28" t="str">
            <v xml:space="preserve">ngày 15 tháng 10 năm 2026</v>
          </cell>
          <cell r="G28" t="str">
            <v xml:space="preserve">109.NĐXD8/CVXD </v>
          </cell>
        </row>
        <row r="29">
          <cell r="A29">
            <v>110</v>
          </cell>
          <cell r="B29" t="str">
            <v xml:space="preserve">Bê tông nhựa C16 - Chiều dày mặt đường đã lèn ép 6cm</v>
          </cell>
          <cell r="D29" t="str">
            <v xml:space="preserve">ngày 17 tháng 10 năm 2026</v>
          </cell>
          <cell r="G29" t="str">
            <v xml:space="preserve">110.NĐXD8/CVXD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99.NĐXD8/CVXD ngày 05 tháng 10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99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đất nền đường lớp 1, độ chặt K&gt;=0,98 đoạn từ Km0+609,11 - Km0+724,11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609.11</v>
      </c>
      <c r="D23" s="16" t="n">
        <v>-5.25</v>
      </c>
      <c r="E23" s="16" t="n">
        <f aca="false">+D23+F23</f>
        <v>-5.2542</v>
      </c>
      <c r="F23" s="16" t="n">
        <f aca="false">RANDBETWEEN(-105,115)/10000</f>
        <v>-0.0042</v>
      </c>
      <c r="G23" s="16" t="n">
        <f aca="false">J23-4.95*2%-0.3*6%</f>
        <v>2.091</v>
      </c>
      <c r="H23" s="16" t="n">
        <f aca="false">G23+I23</f>
        <v>2.151</v>
      </c>
      <c r="I23" s="16" t="n">
        <f aca="false">RANDBETWEEN(-20,70)/1000</f>
        <v>0.06</v>
      </c>
      <c r="J23" s="16" t="n">
        <f aca="false">W23+0.25</f>
        <v>2.208</v>
      </c>
      <c r="K23" s="16" t="n">
        <f aca="false">J23+L23</f>
        <v>2.191</v>
      </c>
      <c r="L23" s="16" t="n">
        <f aca="false">RANDBETWEEN(-20,70)/1000</f>
        <v>-0.017</v>
      </c>
      <c r="M23" s="16" t="n">
        <v>5.25</v>
      </c>
      <c r="N23" s="16" t="n">
        <f aca="false">+M23+O23</f>
        <v>5.2448</v>
      </c>
      <c r="O23" s="16" t="n">
        <f aca="false">RANDBETWEEN(-105,115)/10000</f>
        <v>-0.0052</v>
      </c>
      <c r="P23" s="16" t="n">
        <f aca="false">G23</f>
        <v>2.091</v>
      </c>
      <c r="Q23" s="16" t="n">
        <f aca="false">P23+R23</f>
        <v>2.097</v>
      </c>
      <c r="R23" s="16" t="n">
        <f aca="false">RANDBETWEEN(-20,70)/1000</f>
        <v>0.006</v>
      </c>
      <c r="S23" s="17"/>
      <c r="T23" s="18" t="n">
        <v>11.75</v>
      </c>
      <c r="V23" s="19"/>
      <c r="W23" s="20" t="n">
        <v>1.958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620.86</v>
      </c>
      <c r="D24" s="16" t="n">
        <v>-5.25</v>
      </c>
      <c r="E24" s="16" t="n">
        <f aca="false">+D24+F24</f>
        <v>-5.2484</v>
      </c>
      <c r="F24" s="16" t="n">
        <f aca="false">RANDBETWEEN(-105,115)/10000</f>
        <v>0.0016</v>
      </c>
      <c r="G24" s="16" t="n">
        <f aca="false">J24-4.95*2%-0.3*6%</f>
        <v>2.092</v>
      </c>
      <c r="H24" s="16" t="n">
        <f aca="false">G24+I24</f>
        <v>2.092</v>
      </c>
      <c r="I24" s="16" t="n">
        <f aca="false">RANDBETWEEN(-20,70)/1000</f>
        <v>0</v>
      </c>
      <c r="J24" s="16" t="n">
        <f aca="false">W24+0.25</f>
        <v>2.209</v>
      </c>
      <c r="K24" s="16" t="n">
        <f aca="false">J24+L24</f>
        <v>2.243</v>
      </c>
      <c r="L24" s="16" t="n">
        <f aca="false">RANDBETWEEN(-20,70)/1000</f>
        <v>0.034</v>
      </c>
      <c r="M24" s="16" t="n">
        <v>5.25</v>
      </c>
      <c r="N24" s="16" t="n">
        <f aca="false">+M24+O24</f>
        <v>5.2457</v>
      </c>
      <c r="O24" s="16" t="n">
        <f aca="false">RANDBETWEEN(-105,115)/10000</f>
        <v>-0.0043</v>
      </c>
      <c r="P24" s="16" t="n">
        <f aca="false">G24</f>
        <v>2.092</v>
      </c>
      <c r="Q24" s="16" t="n">
        <f aca="false">P24+R24</f>
        <v>2.083</v>
      </c>
      <c r="R24" s="16" t="n">
        <f aca="false">RANDBETWEEN(-20,70)/1000</f>
        <v>-0.009</v>
      </c>
      <c r="S24" s="17"/>
      <c r="T24" s="18" t="n">
        <v>11.75</v>
      </c>
      <c r="V24" s="19"/>
      <c r="W24" s="20" t="n">
        <v>1.959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632.61</v>
      </c>
      <c r="D25" s="16" t="n">
        <v>-5.25</v>
      </c>
      <c r="E25" s="16" t="n">
        <f aca="false">+D25+F25</f>
        <v>-5.2505</v>
      </c>
      <c r="F25" s="16" t="n">
        <f aca="false">RANDBETWEEN(-105,115)/10000</f>
        <v>-0.0005</v>
      </c>
      <c r="G25" s="16" t="n">
        <f aca="false">J25-4.95*2%-0.3*6%</f>
        <v>2.094</v>
      </c>
      <c r="H25" s="16" t="n">
        <f aca="false">G25+I25</f>
        <v>2.079</v>
      </c>
      <c r="I25" s="16" t="n">
        <f aca="false">RANDBETWEEN(-20,70)/1000</f>
        <v>-0.015</v>
      </c>
      <c r="J25" s="16" t="n">
        <f aca="false">W25+0.25</f>
        <v>2.211</v>
      </c>
      <c r="K25" s="16" t="n">
        <f aca="false">J25+L25</f>
        <v>2.276</v>
      </c>
      <c r="L25" s="16" t="n">
        <f aca="false">RANDBETWEEN(-20,70)/1000</f>
        <v>0.065</v>
      </c>
      <c r="M25" s="16" t="n">
        <v>5.25</v>
      </c>
      <c r="N25" s="16" t="n">
        <f aca="false">+M25+O25</f>
        <v>5.2496</v>
      </c>
      <c r="O25" s="16" t="n">
        <f aca="false">RANDBETWEEN(-105,115)/10000</f>
        <v>-0.0004</v>
      </c>
      <c r="P25" s="16" t="n">
        <f aca="false">G25</f>
        <v>2.094</v>
      </c>
      <c r="Q25" s="16" t="n">
        <f aca="false">P25+R25</f>
        <v>2.1</v>
      </c>
      <c r="R25" s="16" t="n">
        <f aca="false">RANDBETWEEN(-20,70)/1000</f>
        <v>0.006</v>
      </c>
      <c r="S25" s="17"/>
      <c r="T25" s="18" t="n">
        <v>20</v>
      </c>
      <c r="V25" s="19"/>
      <c r="W25" s="20" t="n">
        <v>1.961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652.61</v>
      </c>
      <c r="D26" s="16" t="n">
        <v>-5.25</v>
      </c>
      <c r="E26" s="16" t="n">
        <f aca="false">+D26+F26</f>
        <v>-5.2418</v>
      </c>
      <c r="F26" s="16" t="n">
        <f aca="false">RANDBETWEEN(-105,115)/10000</f>
        <v>0.0082</v>
      </c>
      <c r="G26" s="16" t="n">
        <f aca="false">J26-4.95*2%-0.3*6%</f>
        <v>2.096</v>
      </c>
      <c r="H26" s="16" t="n">
        <f aca="false">G26+I26</f>
        <v>2.166</v>
      </c>
      <c r="I26" s="16" t="n">
        <f aca="false">RANDBETWEEN(-20,70)/1000</f>
        <v>0.07</v>
      </c>
      <c r="J26" s="16" t="n">
        <f aca="false">W26+0.25</f>
        <v>2.213</v>
      </c>
      <c r="K26" s="16" t="n">
        <f aca="false">J26+L26</f>
        <v>2.258</v>
      </c>
      <c r="L26" s="16" t="n">
        <f aca="false">RANDBETWEEN(-20,70)/1000</f>
        <v>0.045</v>
      </c>
      <c r="M26" s="16" t="n">
        <v>5.25</v>
      </c>
      <c r="N26" s="16" t="n">
        <f aca="false">+M26+O26</f>
        <v>5.2429</v>
      </c>
      <c r="O26" s="16" t="n">
        <f aca="false">RANDBETWEEN(-105,115)/10000</f>
        <v>-0.0071</v>
      </c>
      <c r="P26" s="16" t="n">
        <f aca="false">G26</f>
        <v>2.096</v>
      </c>
      <c r="Q26" s="16" t="n">
        <f aca="false">P26+R26</f>
        <v>2.144</v>
      </c>
      <c r="R26" s="16" t="n">
        <f aca="false">RANDBETWEEN(-20,70)/1000</f>
        <v>0.048</v>
      </c>
      <c r="S26" s="17"/>
      <c r="T26" s="18" t="n">
        <v>20</v>
      </c>
      <c r="V26" s="19"/>
      <c r="W26" s="20" t="n">
        <v>1.963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672.61</v>
      </c>
      <c r="D27" s="16" t="n">
        <v>-5.25</v>
      </c>
      <c r="E27" s="16" t="n">
        <f aca="false">+D27+F27</f>
        <v>-5.2396</v>
      </c>
      <c r="F27" s="16" t="n">
        <f aca="false">RANDBETWEEN(-105,115)/10000</f>
        <v>0.0104</v>
      </c>
      <c r="G27" s="16" t="n">
        <f aca="false">J27-4.95*2%-0.3*6%</f>
        <v>2.097</v>
      </c>
      <c r="H27" s="16" t="n">
        <f aca="false">G27+I27</f>
        <v>2.127</v>
      </c>
      <c r="I27" s="16" t="n">
        <f aca="false">RANDBETWEEN(-20,70)/1000</f>
        <v>0.03</v>
      </c>
      <c r="J27" s="16" t="n">
        <f aca="false">W27+0.25</f>
        <v>2.214</v>
      </c>
      <c r="K27" s="16" t="n">
        <f aca="false">J27+L27</f>
        <v>2.272</v>
      </c>
      <c r="L27" s="16" t="n">
        <f aca="false">RANDBETWEEN(-20,70)/1000</f>
        <v>0.058</v>
      </c>
      <c r="M27" s="16" t="n">
        <v>5.25</v>
      </c>
      <c r="N27" s="16" t="n">
        <f aca="false">+M27+O27</f>
        <v>5.2554</v>
      </c>
      <c r="O27" s="16" t="n">
        <f aca="false">RANDBETWEEN(-105,115)/10000</f>
        <v>0.0054</v>
      </c>
      <c r="P27" s="16" t="n">
        <f aca="false">G27</f>
        <v>2.097</v>
      </c>
      <c r="Q27" s="16" t="n">
        <f aca="false">P27+R27</f>
        <v>2.087</v>
      </c>
      <c r="R27" s="16" t="n">
        <f aca="false">RANDBETWEEN(-20,70)/1000</f>
        <v>-0.01</v>
      </c>
      <c r="S27" s="17"/>
      <c r="T27" s="18" t="n">
        <v>20</v>
      </c>
      <c r="V27" s="19"/>
      <c r="W27" s="20" t="n">
        <v>1.964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692.61</v>
      </c>
      <c r="D28" s="16" t="n">
        <v>-5.25</v>
      </c>
      <c r="E28" s="16" t="n">
        <f aca="false">+D28+F28</f>
        <v>-5.2388</v>
      </c>
      <c r="F28" s="16" t="n">
        <f aca="false">RANDBETWEEN(-105,115)/10000</f>
        <v>0.0112</v>
      </c>
      <c r="G28" s="16" t="n">
        <f aca="false">J28-4.95*2%-0.3*6%</f>
        <v>2.099</v>
      </c>
      <c r="H28" s="16" t="n">
        <f aca="false">G28+I28</f>
        <v>2.147</v>
      </c>
      <c r="I28" s="16" t="n">
        <f aca="false">RANDBETWEEN(-20,70)/1000</f>
        <v>0.048</v>
      </c>
      <c r="J28" s="16" t="n">
        <f aca="false">W28+0.25</f>
        <v>2.216</v>
      </c>
      <c r="K28" s="16" t="n">
        <f aca="false">J28+L28</f>
        <v>2.253</v>
      </c>
      <c r="L28" s="16" t="n">
        <f aca="false">RANDBETWEEN(-20,70)/1000</f>
        <v>0.037</v>
      </c>
      <c r="M28" s="16" t="n">
        <v>5.25</v>
      </c>
      <c r="N28" s="16" t="n">
        <f aca="false">+M28+O28</f>
        <v>5.2492</v>
      </c>
      <c r="O28" s="16" t="n">
        <f aca="false">RANDBETWEEN(-105,115)/10000</f>
        <v>-0.0008</v>
      </c>
      <c r="P28" s="16" t="n">
        <f aca="false">G28</f>
        <v>2.099</v>
      </c>
      <c r="Q28" s="16" t="n">
        <f aca="false">P28+R28</f>
        <v>2.084</v>
      </c>
      <c r="R28" s="16" t="n">
        <f aca="false">RANDBETWEEN(-20,70)/1000</f>
        <v>-0.015</v>
      </c>
      <c r="S28" s="17"/>
      <c r="T28" s="18" t="n">
        <v>20</v>
      </c>
      <c r="V28" s="19"/>
      <c r="W28" s="20" t="n">
        <v>1.966</v>
      </c>
    </row>
    <row r="29" s="10" customFormat="true" ht="18" hidden="false" customHeight="true" outlineLevel="0" collapsed="false">
      <c r="A29" s="13" t="n">
        <v>7</v>
      </c>
      <c r="B29" s="14" t="s">
        <v>29</v>
      </c>
      <c r="C29" s="15" t="n">
        <f aca="false">+C28+T28</f>
        <v>712.61</v>
      </c>
      <c r="D29" s="16" t="n">
        <v>-5.25</v>
      </c>
      <c r="E29" s="16" t="n">
        <f aca="false">+D29+F29</f>
        <v>-5.2405</v>
      </c>
      <c r="F29" s="16" t="n">
        <f aca="false">RANDBETWEEN(-105,115)/10000</f>
        <v>0.0095</v>
      </c>
      <c r="G29" s="16" t="n">
        <f aca="false">J29-4.95*2%-0.3*6%</f>
        <v>2.101</v>
      </c>
      <c r="H29" s="16" t="n">
        <f aca="false">G29+I29</f>
        <v>2.081</v>
      </c>
      <c r="I29" s="16" t="n">
        <f aca="false">RANDBETWEEN(-20,70)/1000</f>
        <v>-0.02</v>
      </c>
      <c r="J29" s="16" t="n">
        <f aca="false">W29+0.25</f>
        <v>2.218</v>
      </c>
      <c r="K29" s="16" t="n">
        <f aca="false">J29+L29</f>
        <v>2.25</v>
      </c>
      <c r="L29" s="16" t="n">
        <f aca="false">RANDBETWEEN(-20,70)/1000</f>
        <v>0.032</v>
      </c>
      <c r="M29" s="16" t="n">
        <v>5.25</v>
      </c>
      <c r="N29" s="16" t="n">
        <f aca="false">+M29+O29</f>
        <v>5.2577</v>
      </c>
      <c r="O29" s="16" t="n">
        <f aca="false">RANDBETWEEN(-105,115)/10000</f>
        <v>0.0077</v>
      </c>
      <c r="P29" s="16" t="n">
        <f aca="false">G29</f>
        <v>2.101</v>
      </c>
      <c r="Q29" s="16" t="n">
        <f aca="false">P29+R29</f>
        <v>2.102</v>
      </c>
      <c r="R29" s="16" t="n">
        <f aca="false">RANDBETWEEN(-20,70)/1000</f>
        <v>0.001</v>
      </c>
      <c r="S29" s="17"/>
      <c r="T29" s="18" t="n">
        <v>11.5</v>
      </c>
      <c r="V29" s="19"/>
      <c r="W29" s="20" t="n">
        <v>1.968</v>
      </c>
    </row>
    <row r="30" s="10" customFormat="true" ht="18" hidden="false" customHeight="true" outlineLevel="0" collapsed="false">
      <c r="A30" s="13" t="n">
        <v>8</v>
      </c>
      <c r="B30" s="14" t="s">
        <v>30</v>
      </c>
      <c r="C30" s="15" t="n">
        <f aca="false">+C29+T29</f>
        <v>724.11</v>
      </c>
      <c r="D30" s="16" t="n">
        <v>-5.25</v>
      </c>
      <c r="E30" s="16" t="n">
        <f aca="false">+D30+F30</f>
        <v>-5.2529</v>
      </c>
      <c r="F30" s="16" t="n">
        <f aca="false">RANDBETWEEN(-105,115)/10000</f>
        <v>-0.0029</v>
      </c>
      <c r="G30" s="16" t="n">
        <f aca="false">J30-4.95*2%-0.3*6%</f>
        <v>2.102</v>
      </c>
      <c r="H30" s="16" t="n">
        <f aca="false">G30+I30</f>
        <v>2.123</v>
      </c>
      <c r="I30" s="16" t="n">
        <f aca="false">RANDBETWEEN(-20,70)/1000</f>
        <v>0.021</v>
      </c>
      <c r="J30" s="16" t="n">
        <f aca="false">W30+0.25</f>
        <v>2.219</v>
      </c>
      <c r="K30" s="16" t="n">
        <f aca="false">J30+L30</f>
        <v>2.207</v>
      </c>
      <c r="L30" s="16" t="n">
        <f aca="false">RANDBETWEEN(-20,70)/1000</f>
        <v>-0.012</v>
      </c>
      <c r="M30" s="16" t="n">
        <v>5.25</v>
      </c>
      <c r="N30" s="16" t="n">
        <f aca="false">+M30+O30</f>
        <v>5.2449</v>
      </c>
      <c r="O30" s="16" t="n">
        <f aca="false">RANDBETWEEN(-105,115)/10000</f>
        <v>-0.0051</v>
      </c>
      <c r="P30" s="16" t="n">
        <f aca="false">G30</f>
        <v>2.102</v>
      </c>
      <c r="Q30" s="16" t="n">
        <f aca="false">P30+R30</f>
        <v>2.136</v>
      </c>
      <c r="R30" s="16" t="n">
        <f aca="false">RANDBETWEEN(-20,70)/1000</f>
        <v>0.034</v>
      </c>
      <c r="S30" s="17"/>
      <c r="T30" s="18"/>
      <c r="V30" s="19"/>
      <c r="W30" s="20" t="n">
        <v>1.969</v>
      </c>
    </row>
    <row r="31" s="10" customFormat="true" ht="18" hidden="true" customHeight="tru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  <c r="W31" s="20"/>
    </row>
    <row r="32" s="10" customFormat="true" ht="18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  <c r="W32" s="20"/>
    </row>
    <row r="33" s="10" customFormat="true" ht="18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  <c r="W33" s="20"/>
    </row>
    <row r="34" s="10" customFormat="true" ht="18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  <c r="W34" s="20"/>
    </row>
    <row r="35" s="10" customFormat="true" ht="18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  <c r="W35" s="20"/>
    </row>
    <row r="36" s="10" customFormat="true" ht="18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  <c r="W36" s="20"/>
    </row>
    <row r="37" s="10" customFormat="true" ht="18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  <c r="W37" s="20"/>
    </row>
    <row r="38" s="10" customFormat="true" ht="18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  <c r="W38" s="20"/>
    </row>
    <row r="39" s="10" customFormat="true" ht="18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  <c r="W39" s="20"/>
    </row>
    <row r="40" s="10" customFormat="true" ht="18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  <c r="W40" s="20"/>
    </row>
    <row r="41" s="10" customFormat="true" ht="18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  <c r="W41" s="20"/>
    </row>
    <row r="42" s="10" customFormat="true" ht="18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  <c r="W42" s="20"/>
    </row>
    <row r="43" s="10" customFormat="true" ht="18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  <c r="W43" s="20"/>
    </row>
    <row r="44" s="10" customFormat="true" ht="18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  <c r="W44" s="20"/>
    </row>
    <row r="45" s="10" customFormat="true" ht="18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  <c r="W45" s="20"/>
    </row>
    <row r="46" s="10" customFormat="true" ht="18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  <c r="W46" s="20"/>
    </row>
    <row r="47" s="10" customFormat="true" ht="18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  <c r="W47" s="20"/>
    </row>
    <row r="48" s="10" customFormat="true" ht="18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  <c r="W48" s="20"/>
    </row>
    <row r="49" s="10" customFormat="true" ht="18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  <c r="W49" s="20"/>
    </row>
    <row r="50" s="10" customFormat="true" ht="18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  <c r="W50" s="20"/>
    </row>
    <row r="51" s="10" customFormat="true" ht="18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  <c r="W51" s="20"/>
    </row>
    <row r="52" s="10" customFormat="true" ht="18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  <c r="W52" s="20"/>
    </row>
    <row r="53" s="10" customFormat="true" ht="18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  <c r="W53" s="20"/>
    </row>
    <row r="54" s="10" customFormat="true" ht="18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  <c r="W54" s="20"/>
    </row>
    <row r="55" s="10" customFormat="true" ht="18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  <c r="W55" s="20"/>
    </row>
    <row r="56" s="10" customFormat="true" ht="18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  <c r="W56" s="20"/>
    </row>
    <row r="57" s="10" customFormat="true" ht="18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  <c r="W57" s="20"/>
    </row>
    <row r="58" s="10" customFormat="true" ht="18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  <c r="W58" s="20"/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31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32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33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34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99.NĐXD8/CVXD ngày 05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99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đất nền đường lớp 1, độ chặt K&gt;=0,98 đoạn từ Km0+609,11 - Km0+724,11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36</v>
      </c>
      <c r="B9" s="36" t="s">
        <v>10</v>
      </c>
      <c r="C9" s="36" t="s">
        <v>11</v>
      </c>
      <c r="D9" s="37" t="s">
        <v>37</v>
      </c>
      <c r="E9" s="38"/>
      <c r="F9" s="38"/>
      <c r="G9" s="37"/>
      <c r="H9" s="38"/>
      <c r="I9" s="38"/>
      <c r="J9" s="38"/>
      <c r="K9" s="38"/>
      <c r="L9" s="38"/>
      <c r="M9" s="39" t="s">
        <v>38</v>
      </c>
      <c r="N9" s="40"/>
      <c r="O9" s="41" t="s">
        <v>39</v>
      </c>
      <c r="P9" s="42"/>
      <c r="Q9" s="42"/>
      <c r="R9" s="42"/>
      <c r="S9" s="42"/>
      <c r="T9" s="42"/>
      <c r="U9" s="42"/>
      <c r="V9" s="42"/>
      <c r="W9" s="41" t="s">
        <v>40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39</v>
      </c>
      <c r="O10" s="41"/>
      <c r="P10" s="41" t="s">
        <v>39</v>
      </c>
      <c r="Q10" s="41" t="s">
        <v>39</v>
      </c>
      <c r="R10" s="41"/>
      <c r="S10" s="41"/>
      <c r="T10" s="41"/>
      <c r="U10" s="41" t="s">
        <v>40</v>
      </c>
      <c r="V10" s="41" t="s">
        <v>40</v>
      </c>
      <c r="W10" s="41"/>
      <c r="X10" s="41" t="s">
        <v>40</v>
      </c>
      <c r="Y10" s="41" t="s">
        <v>40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31</v>
      </c>
      <c r="C11" s="15" t="n">
        <f aca="false">'KTHH Lớp 1'!C23</f>
        <v>609.11</v>
      </c>
      <c r="D11" s="13" t="n">
        <f aca="false">'KTHH Lớp 1'!T23</f>
        <v>11.75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30.84375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E10</v>
      </c>
      <c r="C12" s="15" t="n">
        <f aca="false">'KTHH Lớp 1'!C24</f>
        <v>620.86</v>
      </c>
      <c r="D12" s="13" t="n">
        <f aca="false">'KTHH Lớp 1'!T24</f>
        <v>11.75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30.84375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32</v>
      </c>
      <c r="C13" s="15" t="n">
        <f aca="false">'KTHH Lớp 1'!C25</f>
        <v>632.61</v>
      </c>
      <c r="D13" s="13" t="n">
        <f aca="false">'KTHH Lớp 1'!T25</f>
        <v>20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52.5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33</v>
      </c>
      <c r="C14" s="15" t="n">
        <f aca="false">'KTHH Lớp 1'!C26</f>
        <v>652.61</v>
      </c>
      <c r="D14" s="13" t="n">
        <f aca="false">'KTHH Lớp 1'!T26</f>
        <v>20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52.5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34</v>
      </c>
      <c r="C15" s="15" t="n">
        <f aca="false">'KTHH Lớp 1'!C27</f>
        <v>672.61</v>
      </c>
      <c r="D15" s="13" t="n">
        <f aca="false">'KTHH Lớp 1'!T27</f>
        <v>20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52.5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35</v>
      </c>
      <c r="C16" s="15" t="n">
        <f aca="false">'KTHH Lớp 1'!C28</f>
        <v>692.61</v>
      </c>
      <c r="D16" s="13" t="n">
        <f aca="false">'KTHH Lớp 1'!T28</f>
        <v>20</v>
      </c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 t="n">
        <f aca="false">(O16+O17)*D16/2</f>
        <v>52.5</v>
      </c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false" customHeight="true" outlineLevel="0" collapsed="false">
      <c r="A17" s="13" t="n">
        <v>7</v>
      </c>
      <c r="B17" s="13" t="str">
        <f aca="false">'KTHH Lớp 1'!B29</f>
        <v>36</v>
      </c>
      <c r="C17" s="15" t="n">
        <f aca="false">'KTHH Lớp 1'!C29</f>
        <v>712.61</v>
      </c>
      <c r="D17" s="13" t="n">
        <f aca="false">'KTHH Lớp 1'!T29</f>
        <v>11.5</v>
      </c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 t="n">
        <f aca="false">10.5*0.25</f>
        <v>2.625</v>
      </c>
      <c r="P17" s="52"/>
      <c r="Q17" s="52"/>
      <c r="R17" s="54"/>
      <c r="S17" s="54"/>
      <c r="T17" s="54"/>
      <c r="U17" s="54"/>
      <c r="V17" s="54"/>
      <c r="W17" s="54" t="n">
        <f aca="false">(O17+O18)*D17/2</f>
        <v>30.1875</v>
      </c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false" customHeight="true" outlineLevel="0" collapsed="false">
      <c r="A18" s="13" t="n">
        <v>8</v>
      </c>
      <c r="B18" s="13" t="str">
        <f aca="false">'KTHH Lớp 1'!B30</f>
        <v>37</v>
      </c>
      <c r="C18" s="15" t="n">
        <f aca="false">'KTHH Lớp 1'!C30</f>
        <v>724.11</v>
      </c>
      <c r="D18" s="13"/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 t="n">
        <f aca="false">10.5*0.25</f>
        <v>2.625</v>
      </c>
      <c r="P18" s="52"/>
      <c r="Q18" s="52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true" customHeight="true" outlineLevel="0" collapsed="false">
      <c r="A19" s="13"/>
      <c r="B19" s="13"/>
      <c r="C19" s="15"/>
      <c r="D19" s="13"/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/>
      <c r="P19" s="52"/>
      <c r="Q19" s="52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true" customHeight="true" outlineLevel="0" collapsed="false">
      <c r="A20" s="13"/>
      <c r="B20" s="13"/>
      <c r="C20" s="15"/>
      <c r="D20" s="13"/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/>
      <c r="P20" s="52"/>
      <c r="Q20" s="52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true" customHeight="true" outlineLevel="0" collapsed="false">
      <c r="A21" s="13"/>
      <c r="B21" s="13"/>
      <c r="C21" s="15"/>
      <c r="D21" s="13"/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/>
      <c r="P21" s="52"/>
      <c r="Q21" s="52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true" customHeight="true" outlineLevel="0" collapsed="false">
      <c r="A22" s="13"/>
      <c r="B22" s="13"/>
      <c r="C22" s="15"/>
      <c r="D22" s="13"/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/>
      <c r="P22" s="52"/>
      <c r="Q22" s="52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true" customHeight="true" outlineLevel="0" collapsed="false">
      <c r="A23" s="13"/>
      <c r="B23" s="13"/>
      <c r="C23" s="15"/>
      <c r="D23" s="13"/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/>
      <c r="P23" s="52"/>
      <c r="Q23" s="52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true" customHeight="true" outlineLevel="0" collapsed="false">
      <c r="A24" s="13"/>
      <c r="B24" s="13"/>
      <c r="C24" s="15"/>
      <c r="D24" s="13"/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/>
      <c r="P24" s="52"/>
      <c r="Q24" s="5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true" customHeight="true" outlineLevel="0" collapsed="false">
      <c r="A25" s="13"/>
      <c r="B25" s="13"/>
      <c r="C25" s="15"/>
      <c r="D25" s="13"/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/>
      <c r="P25" s="52"/>
      <c r="Q25" s="5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true" customHeight="true" outlineLevel="0" collapsed="false">
      <c r="A26" s="13"/>
      <c r="B26" s="13"/>
      <c r="C26" s="15"/>
      <c r="D26" s="13"/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/>
      <c r="P26" s="52"/>
      <c r="Q26" s="52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true" customHeight="true" outlineLevel="0" collapsed="false">
      <c r="A27" s="13"/>
      <c r="B27" s="13"/>
      <c r="C27" s="15"/>
      <c r="D27" s="13"/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/>
      <c r="P27" s="52"/>
      <c r="Q27" s="52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true" customHeight="true" outlineLevel="0" collapsed="false">
      <c r="A28" s="13"/>
      <c r="B28" s="13"/>
      <c r="C28" s="15"/>
      <c r="D28" s="13"/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/>
      <c r="P28" s="52"/>
      <c r="Q28" s="52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true" customHeight="true" outlineLevel="0" collapsed="false">
      <c r="A29" s="13"/>
      <c r="B29" s="13"/>
      <c r="C29" s="15"/>
      <c r="D29" s="13"/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/>
      <c r="P29" s="52"/>
      <c r="Q29" s="52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true" customHeight="true" outlineLevel="0" collapsed="false">
      <c r="A30" s="13"/>
      <c r="B30" s="13"/>
      <c r="C30" s="15"/>
      <c r="D30" s="13"/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/>
      <c r="P30" s="52"/>
      <c r="Q30" s="52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true" customHeight="true" outlineLevel="0" collapsed="false">
      <c r="A31" s="13"/>
      <c r="B31" s="13"/>
      <c r="C31" s="15"/>
      <c r="D31" s="13"/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/>
      <c r="P31" s="52"/>
      <c r="Q31" s="52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true" customHeight="true" outlineLevel="0" collapsed="false">
      <c r="A32" s="13"/>
      <c r="B32" s="13"/>
      <c r="C32" s="15"/>
      <c r="D32" s="13"/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/>
      <c r="P32" s="52"/>
      <c r="Q32" s="52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true" customHeight="true" outlineLevel="0" collapsed="false">
      <c r="A33" s="13"/>
      <c r="B33" s="13"/>
      <c r="C33" s="15"/>
      <c r="D33" s="13"/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/>
      <c r="P33" s="52"/>
      <c r="Q33" s="52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true" customHeight="true" outlineLevel="0" collapsed="false">
      <c r="A34" s="13"/>
      <c r="B34" s="13"/>
      <c r="C34" s="15"/>
      <c r="D34" s="13"/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/>
      <c r="P34" s="52"/>
      <c r="Q34" s="52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true" customHeight="true" outlineLevel="0" collapsed="false">
      <c r="A35" s="13"/>
      <c r="B35" s="13"/>
      <c r="C35" s="15"/>
      <c r="D35" s="13"/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/>
      <c r="P35" s="52"/>
      <c r="Q35" s="52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true" customHeight="true" outlineLevel="0" collapsed="false">
      <c r="A36" s="13"/>
      <c r="B36" s="13"/>
      <c r="C36" s="15"/>
      <c r="D36" s="13"/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/>
      <c r="P36" s="52"/>
      <c r="Q36" s="52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true" customHeight="true" outlineLevel="0" collapsed="false">
      <c r="A37" s="13"/>
      <c r="B37" s="13"/>
      <c r="C37" s="15"/>
      <c r="D37" s="13"/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/>
      <c r="P37" s="52"/>
      <c r="Q37" s="52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true" customHeight="true" outlineLevel="0" collapsed="false">
      <c r="A38" s="13"/>
      <c r="B38" s="13"/>
      <c r="C38" s="15"/>
      <c r="D38" s="13"/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/>
      <c r="P38" s="52"/>
      <c r="Q38" s="52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true" customHeight="true" outlineLevel="0" collapsed="false">
      <c r="A39" s="13"/>
      <c r="B39" s="13"/>
      <c r="C39" s="15"/>
      <c r="D39" s="13"/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/>
      <c r="P39" s="52"/>
      <c r="Q39" s="52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true" customHeight="true" outlineLevel="0" collapsed="false">
      <c r="A40" s="13"/>
      <c r="B40" s="13"/>
      <c r="C40" s="15"/>
      <c r="D40" s="13"/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/>
      <c r="P40" s="52"/>
      <c r="Q40" s="52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true" customHeight="true" outlineLevel="0" collapsed="false">
      <c r="A41" s="13"/>
      <c r="B41" s="13"/>
      <c r="C41" s="15"/>
      <c r="D41" s="13"/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/>
      <c r="P41" s="52"/>
      <c r="Q41" s="52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true" customHeight="true" outlineLevel="0" collapsed="false">
      <c r="A42" s="13"/>
      <c r="B42" s="13"/>
      <c r="C42" s="15"/>
      <c r="D42" s="13"/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/>
      <c r="P42" s="52"/>
      <c r="Q42" s="52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true" customHeight="true" outlineLevel="0" collapsed="false">
      <c r="A43" s="13"/>
      <c r="B43" s="13"/>
      <c r="C43" s="15"/>
      <c r="D43" s="13"/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/>
      <c r="P43" s="52"/>
      <c r="Q43" s="52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true" customHeight="true" outlineLevel="0" collapsed="false">
      <c r="A44" s="13"/>
      <c r="B44" s="13"/>
      <c r="C44" s="15"/>
      <c r="D44" s="13"/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/>
      <c r="P44" s="52"/>
      <c r="Q44" s="52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true" customHeight="true" outlineLevel="0" collapsed="false">
      <c r="A45" s="13"/>
      <c r="B45" s="13"/>
      <c r="C45" s="15"/>
      <c r="D45" s="13"/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/>
      <c r="P45" s="52"/>
      <c r="Q45" s="52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true" customHeight="true" outlineLevel="0" collapsed="false">
      <c r="A46" s="13"/>
      <c r="B46" s="13"/>
      <c r="C46" s="15"/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/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41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SUM(W11:W18)</f>
        <v>301.875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31</v>
      </c>
      <c r="B51" s="21"/>
      <c r="C51" s="21"/>
      <c r="D51" s="75" t="s">
        <v>42</v>
      </c>
      <c r="E51" s="21" t="s">
        <v>32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33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34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101.NĐXD8/CVXD ngày 06 tháng 10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101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đất nền đường lớp 2, độ chặt K&gt;=0,98 đoạn từ Km0+609,11 - Km0+724,11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609.11</v>
      </c>
      <c r="D23" s="16" t="n">
        <v>-5.25</v>
      </c>
      <c r="E23" s="16" t="n">
        <f aca="false">+D23+F23</f>
        <v>-5.2491</v>
      </c>
      <c r="F23" s="16" t="n">
        <f aca="false">RANDBETWEEN(-105,115)/10000</f>
        <v>0.0009</v>
      </c>
      <c r="G23" s="16" t="n">
        <f aca="false">W23+0.25</f>
        <v>2.341</v>
      </c>
      <c r="H23" s="16" t="n">
        <f aca="false">G23+I23</f>
        <v>2.358</v>
      </c>
      <c r="I23" s="16" t="n">
        <f aca="false">RANDBETWEEN(-20,70)/1000</f>
        <v>0.017</v>
      </c>
      <c r="J23" s="16" t="n">
        <f aca="false">X23+0.25</f>
        <v>2.458</v>
      </c>
      <c r="K23" s="16" t="n">
        <f aca="false">J23+L23</f>
        <v>2.451</v>
      </c>
      <c r="L23" s="16" t="n">
        <f aca="false">RANDBETWEEN(-20,70)/1000</f>
        <v>-0.007</v>
      </c>
      <c r="M23" s="16" t="n">
        <v>5.25</v>
      </c>
      <c r="N23" s="16" t="n">
        <f aca="false">+M23+O23</f>
        <v>5.244</v>
      </c>
      <c r="O23" s="16" t="n">
        <f aca="false">RANDBETWEEN(-105,115)/10000</f>
        <v>-0.006</v>
      </c>
      <c r="P23" s="16" t="n">
        <f aca="false">Y23+0.25</f>
        <v>2.341</v>
      </c>
      <c r="Q23" s="16" t="n">
        <f aca="false">P23+R23</f>
        <v>2.36</v>
      </c>
      <c r="R23" s="16" t="n">
        <f aca="false">RANDBETWEEN(-20,70)/1000</f>
        <v>0.019</v>
      </c>
      <c r="S23" s="17"/>
      <c r="T23" s="18" t="n">
        <v>11.75</v>
      </c>
      <c r="V23" s="19"/>
      <c r="W23" s="19" t="n">
        <f aca="false">'KTHH Lớp 1'!G23</f>
        <v>2.091</v>
      </c>
      <c r="X23" s="19" t="n">
        <f aca="false">'KTHH Lớp 1'!J23</f>
        <v>2.208</v>
      </c>
      <c r="Y23" s="19" t="n">
        <f aca="false">'KTHH Lớp 1'!P23</f>
        <v>2.091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620.86</v>
      </c>
      <c r="D24" s="16" t="n">
        <v>-5.25</v>
      </c>
      <c r="E24" s="16" t="n">
        <f aca="false">+D24+F24</f>
        <v>-5.2592</v>
      </c>
      <c r="F24" s="16" t="n">
        <f aca="false">RANDBETWEEN(-105,115)/10000</f>
        <v>-0.0092</v>
      </c>
      <c r="G24" s="16" t="n">
        <f aca="false">W24+0.25</f>
        <v>2.342</v>
      </c>
      <c r="H24" s="16" t="n">
        <f aca="false">G24+I24</f>
        <v>2.353</v>
      </c>
      <c r="I24" s="16" t="n">
        <f aca="false">RANDBETWEEN(-20,70)/1000</f>
        <v>0.011</v>
      </c>
      <c r="J24" s="16" t="n">
        <f aca="false">X24+0.25</f>
        <v>2.459</v>
      </c>
      <c r="K24" s="16" t="n">
        <f aca="false">J24+L24</f>
        <v>2.472</v>
      </c>
      <c r="L24" s="16" t="n">
        <f aca="false">RANDBETWEEN(-20,70)/1000</f>
        <v>0.013</v>
      </c>
      <c r="M24" s="16" t="n">
        <v>5.25</v>
      </c>
      <c r="N24" s="16" t="n">
        <f aca="false">+M24+O24</f>
        <v>5.2569</v>
      </c>
      <c r="O24" s="16" t="n">
        <f aca="false">RANDBETWEEN(-105,115)/10000</f>
        <v>0.0069</v>
      </c>
      <c r="P24" s="16" t="n">
        <f aca="false">Y24+0.25</f>
        <v>2.342</v>
      </c>
      <c r="Q24" s="16" t="n">
        <f aca="false">P24+R24</f>
        <v>2.341</v>
      </c>
      <c r="R24" s="16" t="n">
        <f aca="false">RANDBETWEEN(-20,70)/1000</f>
        <v>-0.001</v>
      </c>
      <c r="S24" s="17"/>
      <c r="T24" s="18" t="n">
        <v>11.75</v>
      </c>
      <c r="V24" s="19"/>
      <c r="W24" s="19" t="n">
        <f aca="false">'KTHH Lớp 1'!G24</f>
        <v>2.092</v>
      </c>
      <c r="X24" s="19" t="n">
        <f aca="false">'KTHH Lớp 1'!J24</f>
        <v>2.209</v>
      </c>
      <c r="Y24" s="19" t="n">
        <f aca="false">'KTHH Lớp 1'!P24</f>
        <v>2.092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632.61</v>
      </c>
      <c r="D25" s="16" t="n">
        <v>-5.25</v>
      </c>
      <c r="E25" s="16" t="n">
        <f aca="false">+D25+F25</f>
        <v>-5.2562</v>
      </c>
      <c r="F25" s="16" t="n">
        <f aca="false">RANDBETWEEN(-105,115)/10000</f>
        <v>-0.0062</v>
      </c>
      <c r="G25" s="16" t="n">
        <f aca="false">W25+0.25</f>
        <v>2.344</v>
      </c>
      <c r="H25" s="16" t="n">
        <f aca="false">G25+I25</f>
        <v>2.408</v>
      </c>
      <c r="I25" s="16" t="n">
        <f aca="false">RANDBETWEEN(-20,70)/1000</f>
        <v>0.064</v>
      </c>
      <c r="J25" s="16" t="n">
        <f aca="false">X25+0.25</f>
        <v>2.461</v>
      </c>
      <c r="K25" s="16" t="n">
        <f aca="false">J25+L25</f>
        <v>2.45</v>
      </c>
      <c r="L25" s="16" t="n">
        <f aca="false">RANDBETWEEN(-20,70)/1000</f>
        <v>-0.011</v>
      </c>
      <c r="M25" s="16" t="n">
        <v>5.25</v>
      </c>
      <c r="N25" s="16" t="n">
        <f aca="false">+M25+O25</f>
        <v>5.2405</v>
      </c>
      <c r="O25" s="16" t="n">
        <f aca="false">RANDBETWEEN(-105,115)/10000</f>
        <v>-0.0095</v>
      </c>
      <c r="P25" s="16" t="n">
        <f aca="false">Y25+0.25</f>
        <v>2.344</v>
      </c>
      <c r="Q25" s="16" t="n">
        <f aca="false">P25+R25</f>
        <v>2.383</v>
      </c>
      <c r="R25" s="16" t="n">
        <f aca="false">RANDBETWEEN(-20,70)/1000</f>
        <v>0.039</v>
      </c>
      <c r="S25" s="17"/>
      <c r="T25" s="18" t="n">
        <v>20</v>
      </c>
      <c r="V25" s="19"/>
      <c r="W25" s="19" t="n">
        <f aca="false">'KTHH Lớp 1'!G25</f>
        <v>2.094</v>
      </c>
      <c r="X25" s="19" t="n">
        <f aca="false">'KTHH Lớp 1'!J25</f>
        <v>2.211</v>
      </c>
      <c r="Y25" s="19" t="n">
        <f aca="false">'KTHH Lớp 1'!P25</f>
        <v>2.094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652.61</v>
      </c>
      <c r="D26" s="16" t="n">
        <v>-5.25</v>
      </c>
      <c r="E26" s="16" t="n">
        <f aca="false">+D26+F26</f>
        <v>-5.2554</v>
      </c>
      <c r="F26" s="16" t="n">
        <f aca="false">RANDBETWEEN(-105,115)/10000</f>
        <v>-0.0054</v>
      </c>
      <c r="G26" s="16" t="n">
        <f aca="false">W26+0.25</f>
        <v>2.346</v>
      </c>
      <c r="H26" s="16" t="n">
        <f aca="false">G26+I26</f>
        <v>2.399</v>
      </c>
      <c r="I26" s="16" t="n">
        <f aca="false">RANDBETWEEN(-20,70)/1000</f>
        <v>0.053</v>
      </c>
      <c r="J26" s="16" t="n">
        <f aca="false">X26+0.25</f>
        <v>2.463</v>
      </c>
      <c r="K26" s="16" t="n">
        <f aca="false">J26+L26</f>
        <v>2.522</v>
      </c>
      <c r="L26" s="16" t="n">
        <f aca="false">RANDBETWEEN(-20,70)/1000</f>
        <v>0.059</v>
      </c>
      <c r="M26" s="16" t="n">
        <v>5.25</v>
      </c>
      <c r="N26" s="16" t="n">
        <f aca="false">+M26+O26</f>
        <v>5.2506</v>
      </c>
      <c r="O26" s="16" t="n">
        <f aca="false">RANDBETWEEN(-105,115)/10000</f>
        <v>0.0006</v>
      </c>
      <c r="P26" s="16" t="n">
        <f aca="false">Y26+0.25</f>
        <v>2.346</v>
      </c>
      <c r="Q26" s="16" t="n">
        <f aca="false">P26+R26</f>
        <v>2.369</v>
      </c>
      <c r="R26" s="16" t="n">
        <f aca="false">RANDBETWEEN(-20,70)/1000</f>
        <v>0.023</v>
      </c>
      <c r="S26" s="17"/>
      <c r="T26" s="18" t="n">
        <v>20</v>
      </c>
      <c r="V26" s="19"/>
      <c r="W26" s="19" t="n">
        <f aca="false">'KTHH Lớp 1'!G26</f>
        <v>2.096</v>
      </c>
      <c r="X26" s="19" t="n">
        <f aca="false">'KTHH Lớp 1'!J26</f>
        <v>2.213</v>
      </c>
      <c r="Y26" s="19" t="n">
        <f aca="false">'KTHH Lớp 1'!P26</f>
        <v>2.096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672.61</v>
      </c>
      <c r="D27" s="16" t="n">
        <v>-5.25</v>
      </c>
      <c r="E27" s="16" t="n">
        <f aca="false">+D27+F27</f>
        <v>-5.2454</v>
      </c>
      <c r="F27" s="16" t="n">
        <f aca="false">RANDBETWEEN(-105,115)/10000</f>
        <v>0.0046</v>
      </c>
      <c r="G27" s="16" t="n">
        <f aca="false">W27+0.25</f>
        <v>2.347</v>
      </c>
      <c r="H27" s="16" t="n">
        <f aca="false">G27+I27</f>
        <v>2.327</v>
      </c>
      <c r="I27" s="16" t="n">
        <f aca="false">RANDBETWEEN(-20,70)/1000</f>
        <v>-0.02</v>
      </c>
      <c r="J27" s="16" t="n">
        <f aca="false">X27+0.25</f>
        <v>2.464</v>
      </c>
      <c r="K27" s="16" t="n">
        <f aca="false">J27+L27</f>
        <v>2.503</v>
      </c>
      <c r="L27" s="16" t="n">
        <f aca="false">RANDBETWEEN(-20,70)/1000</f>
        <v>0.039</v>
      </c>
      <c r="M27" s="16" t="n">
        <v>5.25</v>
      </c>
      <c r="N27" s="16" t="n">
        <f aca="false">+M27+O27</f>
        <v>5.2592</v>
      </c>
      <c r="O27" s="16" t="n">
        <f aca="false">RANDBETWEEN(-105,115)/10000</f>
        <v>0.0092</v>
      </c>
      <c r="P27" s="16" t="n">
        <f aca="false">Y27+0.25</f>
        <v>2.347</v>
      </c>
      <c r="Q27" s="16" t="n">
        <f aca="false">P27+R27</f>
        <v>2.342</v>
      </c>
      <c r="R27" s="16" t="n">
        <f aca="false">RANDBETWEEN(-20,70)/1000</f>
        <v>-0.005</v>
      </c>
      <c r="S27" s="17"/>
      <c r="T27" s="18" t="n">
        <v>20</v>
      </c>
      <c r="V27" s="19"/>
      <c r="W27" s="19" t="n">
        <f aca="false">'KTHH Lớp 1'!G27</f>
        <v>2.097</v>
      </c>
      <c r="X27" s="19" t="n">
        <f aca="false">'KTHH Lớp 1'!J27</f>
        <v>2.214</v>
      </c>
      <c r="Y27" s="19" t="n">
        <f aca="false">'KTHH Lớp 1'!P27</f>
        <v>2.097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692.61</v>
      </c>
      <c r="D28" s="16" t="n">
        <v>-5.25</v>
      </c>
      <c r="E28" s="16" t="n">
        <f aca="false">+D28+F28</f>
        <v>-5.2479</v>
      </c>
      <c r="F28" s="16" t="n">
        <f aca="false">RANDBETWEEN(-105,115)/10000</f>
        <v>0.0021</v>
      </c>
      <c r="G28" s="16" t="n">
        <f aca="false">W28+0.25</f>
        <v>2.349</v>
      </c>
      <c r="H28" s="16" t="n">
        <f aca="false">G28+I28</f>
        <v>2.33</v>
      </c>
      <c r="I28" s="16" t="n">
        <f aca="false">RANDBETWEEN(-20,70)/1000</f>
        <v>-0.019</v>
      </c>
      <c r="J28" s="16" t="n">
        <f aca="false">X28+0.25</f>
        <v>2.466</v>
      </c>
      <c r="K28" s="16" t="n">
        <f aca="false">J28+L28</f>
        <v>2.534</v>
      </c>
      <c r="L28" s="16" t="n">
        <f aca="false">RANDBETWEEN(-20,70)/1000</f>
        <v>0.068</v>
      </c>
      <c r="M28" s="16" t="n">
        <v>5.25</v>
      </c>
      <c r="N28" s="16" t="n">
        <f aca="false">+M28+O28</f>
        <v>5.2493</v>
      </c>
      <c r="O28" s="16" t="n">
        <f aca="false">RANDBETWEEN(-105,115)/10000</f>
        <v>-0.0007</v>
      </c>
      <c r="P28" s="16" t="n">
        <f aca="false">Y28+0.25</f>
        <v>2.349</v>
      </c>
      <c r="Q28" s="16" t="n">
        <f aca="false">P28+R28</f>
        <v>2.365</v>
      </c>
      <c r="R28" s="16" t="n">
        <f aca="false">RANDBETWEEN(-20,70)/1000</f>
        <v>0.016</v>
      </c>
      <c r="S28" s="17"/>
      <c r="T28" s="18" t="n">
        <v>20</v>
      </c>
      <c r="V28" s="19"/>
      <c r="W28" s="19" t="n">
        <f aca="false">'KTHH Lớp 1'!G28</f>
        <v>2.099</v>
      </c>
      <c r="X28" s="19" t="n">
        <f aca="false">'KTHH Lớp 1'!J28</f>
        <v>2.216</v>
      </c>
      <c r="Y28" s="19" t="n">
        <f aca="false">'KTHH Lớp 1'!P28</f>
        <v>2.099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712.61</v>
      </c>
      <c r="D29" s="16" t="n">
        <v>-5.25</v>
      </c>
      <c r="E29" s="16" t="n">
        <f aca="false">+D29+F29</f>
        <v>-5.2565</v>
      </c>
      <c r="F29" s="16" t="n">
        <f aca="false">RANDBETWEEN(-105,115)/10000</f>
        <v>-0.0065</v>
      </c>
      <c r="G29" s="16" t="n">
        <f aca="false">W29+0.25</f>
        <v>2.351</v>
      </c>
      <c r="H29" s="16" t="n">
        <f aca="false">G29+I29</f>
        <v>2.386</v>
      </c>
      <c r="I29" s="16" t="n">
        <f aca="false">RANDBETWEEN(-20,70)/1000</f>
        <v>0.035</v>
      </c>
      <c r="J29" s="16" t="n">
        <f aca="false">X29+0.25</f>
        <v>2.468</v>
      </c>
      <c r="K29" s="16" t="n">
        <f aca="false">J29+L29</f>
        <v>2.538</v>
      </c>
      <c r="L29" s="16" t="n">
        <f aca="false">RANDBETWEEN(-20,70)/1000</f>
        <v>0.07</v>
      </c>
      <c r="M29" s="16" t="n">
        <v>5.25</v>
      </c>
      <c r="N29" s="16" t="n">
        <f aca="false">+M29+O29</f>
        <v>5.2558</v>
      </c>
      <c r="O29" s="16" t="n">
        <f aca="false">RANDBETWEEN(-105,115)/10000</f>
        <v>0.0058</v>
      </c>
      <c r="P29" s="16" t="n">
        <f aca="false">Y29+0.25</f>
        <v>2.351</v>
      </c>
      <c r="Q29" s="16" t="n">
        <f aca="false">P29+R29</f>
        <v>2.369</v>
      </c>
      <c r="R29" s="16" t="n">
        <f aca="false">RANDBETWEEN(-20,70)/1000</f>
        <v>0.018</v>
      </c>
      <c r="S29" s="17"/>
      <c r="T29" s="18" t="n">
        <v>11.5</v>
      </c>
      <c r="V29" s="19"/>
      <c r="W29" s="19" t="n">
        <f aca="false">'KTHH Lớp 1'!G29</f>
        <v>2.101</v>
      </c>
      <c r="X29" s="19" t="n">
        <f aca="false">'KTHH Lớp 1'!J29</f>
        <v>2.218</v>
      </c>
      <c r="Y29" s="19" t="n">
        <f aca="false">'KTHH Lớp 1'!P29</f>
        <v>2.101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724.11</v>
      </c>
      <c r="D30" s="16" t="n">
        <v>-5.25</v>
      </c>
      <c r="E30" s="16" t="n">
        <f aca="false">+D30+F30</f>
        <v>-5.2473</v>
      </c>
      <c r="F30" s="16" t="n">
        <f aca="false">RANDBETWEEN(-105,115)/10000</f>
        <v>0.0027</v>
      </c>
      <c r="G30" s="16" t="n">
        <f aca="false">W30+0.25</f>
        <v>2.352</v>
      </c>
      <c r="H30" s="16" t="n">
        <f aca="false">G30+I30</f>
        <v>2.368</v>
      </c>
      <c r="I30" s="16" t="n">
        <f aca="false">RANDBETWEEN(-20,70)/1000</f>
        <v>0.016</v>
      </c>
      <c r="J30" s="16" t="n">
        <f aca="false">X30+0.25</f>
        <v>2.469</v>
      </c>
      <c r="K30" s="16" t="n">
        <f aca="false">J30+L30</f>
        <v>2.482</v>
      </c>
      <c r="L30" s="16" t="n">
        <f aca="false">RANDBETWEEN(-20,70)/1000</f>
        <v>0.013</v>
      </c>
      <c r="M30" s="16" t="n">
        <v>5.25</v>
      </c>
      <c r="N30" s="16" t="n">
        <f aca="false">+M30+O30</f>
        <v>5.2397</v>
      </c>
      <c r="O30" s="16" t="n">
        <f aca="false">RANDBETWEEN(-105,115)/10000</f>
        <v>-0.0103</v>
      </c>
      <c r="P30" s="16" t="n">
        <f aca="false">Y30+0.25</f>
        <v>2.352</v>
      </c>
      <c r="Q30" s="16" t="n">
        <f aca="false">P30+R30</f>
        <v>2.409</v>
      </c>
      <c r="R30" s="16" t="n">
        <f aca="false">RANDBETWEEN(-20,70)/1000</f>
        <v>0.057</v>
      </c>
      <c r="S30" s="17"/>
      <c r="T30" s="18"/>
      <c r="V30" s="19"/>
      <c r="W30" s="19" t="n">
        <f aca="false">'KTHH Lớp 1'!G30</f>
        <v>2.102</v>
      </c>
      <c r="X30" s="19" t="n">
        <f aca="false">'KTHH Lớp 1'!J30</f>
        <v>2.219</v>
      </c>
      <c r="Y30" s="19" t="n">
        <f aca="false">'KTHH Lớp 1'!P30</f>
        <v>2.102</v>
      </c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31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32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33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34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101.NĐXD8/CVXD ngày 06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101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đất nền đường lớp 2, độ chặt K&gt;=0,98 đoạn từ Km0+609,11 - Km0+724,11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36</v>
      </c>
      <c r="B9" s="83" t="s">
        <v>10</v>
      </c>
      <c r="C9" s="83" t="s">
        <v>11</v>
      </c>
      <c r="D9" s="84" t="s">
        <v>37</v>
      </c>
      <c r="E9" s="85"/>
      <c r="F9" s="85"/>
      <c r="G9" s="84"/>
      <c r="H9" s="85"/>
      <c r="I9" s="85"/>
      <c r="J9" s="85"/>
      <c r="K9" s="85"/>
      <c r="L9" s="85"/>
      <c r="M9" s="86" t="s">
        <v>38</v>
      </c>
      <c r="N9" s="87"/>
      <c r="O9" s="88" t="s">
        <v>39</v>
      </c>
      <c r="P9" s="89"/>
      <c r="Q9" s="89"/>
      <c r="R9" s="89"/>
      <c r="S9" s="89"/>
      <c r="T9" s="89"/>
      <c r="U9" s="89"/>
      <c r="V9" s="89"/>
      <c r="W9" s="88" t="s">
        <v>40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39</v>
      </c>
      <c r="O10" s="88"/>
      <c r="P10" s="88" t="s">
        <v>39</v>
      </c>
      <c r="Q10" s="88" t="s">
        <v>39</v>
      </c>
      <c r="R10" s="88"/>
      <c r="S10" s="88"/>
      <c r="T10" s="88"/>
      <c r="U10" s="88" t="s">
        <v>40</v>
      </c>
      <c r="V10" s="88" t="s">
        <v>40</v>
      </c>
      <c r="W10" s="88"/>
      <c r="X10" s="88" t="s">
        <v>40</v>
      </c>
      <c r="Y10" s="88" t="s">
        <v>40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31</v>
      </c>
      <c r="C11" s="94" t="n">
        <f aca="false">'KTHH Lớp 2'!C23</f>
        <v>609.11</v>
      </c>
      <c r="D11" s="93" t="n">
        <f aca="false">'KTHH Lớp 2'!T23</f>
        <v>11.75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30.84375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E10</v>
      </c>
      <c r="C12" s="94" t="n">
        <f aca="false">'KTHH Lớp 2'!C24</f>
        <v>620.86</v>
      </c>
      <c r="D12" s="93" t="n">
        <f aca="false">'KTHH Lớp 2'!T24</f>
        <v>11.75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30.84375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32</v>
      </c>
      <c r="C13" s="94" t="n">
        <f aca="false">'KTHH Lớp 2'!C25</f>
        <v>632.61</v>
      </c>
      <c r="D13" s="93" t="n">
        <f aca="false">'KTHH Lớp 2'!T25</f>
        <v>20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52.5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33</v>
      </c>
      <c r="C14" s="94" t="n">
        <f aca="false">'KTHH Lớp 2'!C26</f>
        <v>652.61</v>
      </c>
      <c r="D14" s="93" t="n">
        <f aca="false">'KTHH Lớp 2'!T26</f>
        <v>20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52.5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34</v>
      </c>
      <c r="C15" s="94" t="n">
        <f aca="false">'KTHH Lớp 2'!C27</f>
        <v>672.61</v>
      </c>
      <c r="D15" s="93" t="n">
        <f aca="false">'KTHH Lớp 2'!T27</f>
        <v>20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52.5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35</v>
      </c>
      <c r="C16" s="94" t="n">
        <f aca="false">'KTHH Lớp 2'!C28</f>
        <v>692.61</v>
      </c>
      <c r="D16" s="93" t="n">
        <f aca="false">'KTHH Lớp 2'!T28</f>
        <v>20</v>
      </c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 t="n">
        <f aca="false">(O16+O17)*D16/2</f>
        <v>52.5</v>
      </c>
      <c r="X16" s="56"/>
      <c r="Y16" s="56"/>
      <c r="Z16" s="56"/>
      <c r="AA16" s="56"/>
      <c r="AB16" s="100"/>
      <c r="AC16" s="56"/>
      <c r="AE16" s="73"/>
    </row>
    <row r="17" s="50" customFormat="true" ht="15" hidden="false" customHeight="true" outlineLevel="0" collapsed="false">
      <c r="A17" s="93" t="n">
        <v>7</v>
      </c>
      <c r="B17" s="93" t="str">
        <f aca="false">'KTHH Lớp 2'!B29</f>
        <v>36</v>
      </c>
      <c r="C17" s="94" t="n">
        <f aca="false">'KTHH Lớp 2'!C29</f>
        <v>712.61</v>
      </c>
      <c r="D17" s="93" t="n">
        <f aca="false">'KTHH Lớp 2'!T29</f>
        <v>11.5</v>
      </c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 t="n">
        <f aca="false">10.5*0.25</f>
        <v>2.625</v>
      </c>
      <c r="P17" s="96"/>
      <c r="Q17" s="96"/>
      <c r="R17" s="56"/>
      <c r="S17" s="56"/>
      <c r="T17" s="56"/>
      <c r="U17" s="56"/>
      <c r="V17" s="56"/>
      <c r="W17" s="56" t="n">
        <f aca="false">(O17+O18)*D17/2</f>
        <v>30.1875</v>
      </c>
      <c r="X17" s="56"/>
      <c r="Y17" s="56"/>
      <c r="Z17" s="56"/>
      <c r="AA17" s="56"/>
      <c r="AB17" s="100"/>
      <c r="AC17" s="56"/>
      <c r="AE17" s="73"/>
    </row>
    <row r="18" s="50" customFormat="true" ht="15" hidden="false" customHeight="true" outlineLevel="0" collapsed="false">
      <c r="A18" s="93" t="n">
        <v>8</v>
      </c>
      <c r="B18" s="93" t="str">
        <f aca="false">'KTHH Lớp 2'!B30</f>
        <v>37</v>
      </c>
      <c r="C18" s="94" t="n">
        <f aca="false">'KTHH Lớp 2'!C30</f>
        <v>724.11</v>
      </c>
      <c r="D18" s="93"/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 t="n">
        <f aca="false">10.5*0.25</f>
        <v>2.625</v>
      </c>
      <c r="P18" s="96"/>
      <c r="Q18" s="9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100"/>
      <c r="AC18" s="56"/>
      <c r="AE18" s="73"/>
    </row>
    <row r="19" s="50" customFormat="true" ht="15" hidden="true" customHeight="true" outlineLevel="0" collapsed="false">
      <c r="A19" s="93"/>
      <c r="B19" s="93"/>
      <c r="C19" s="94"/>
      <c r="D19" s="93"/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/>
      <c r="P19" s="96"/>
      <c r="Q19" s="9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100"/>
      <c r="AC19" s="56"/>
      <c r="AE19" s="73"/>
    </row>
    <row r="20" s="50" customFormat="true" ht="15" hidden="true" customHeight="true" outlineLevel="0" collapsed="false">
      <c r="A20" s="93"/>
      <c r="B20" s="93"/>
      <c r="C20" s="94"/>
      <c r="D20" s="93"/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/>
      <c r="P20" s="96"/>
      <c r="Q20" s="9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100"/>
      <c r="AC20" s="56"/>
      <c r="AE20" s="73"/>
    </row>
    <row r="21" s="50" customFormat="true" ht="15" hidden="true" customHeight="true" outlineLevel="0" collapsed="false">
      <c r="A21" s="93"/>
      <c r="B21" s="93"/>
      <c r="C21" s="94"/>
      <c r="D21" s="93"/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/>
      <c r="P21" s="96"/>
      <c r="Q21" s="9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100"/>
      <c r="AC21" s="56"/>
      <c r="AE21" s="73"/>
    </row>
    <row r="22" s="50" customFormat="true" ht="15" hidden="true" customHeight="true" outlineLevel="0" collapsed="false">
      <c r="A22" s="93"/>
      <c r="B22" s="93"/>
      <c r="C22" s="94"/>
      <c r="D22" s="93"/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/>
      <c r="P22" s="96"/>
      <c r="Q22" s="9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100"/>
      <c r="AC22" s="56"/>
      <c r="AE22" s="73"/>
    </row>
    <row r="23" s="50" customFormat="true" ht="15" hidden="true" customHeight="true" outlineLevel="0" collapsed="false">
      <c r="A23" s="93"/>
      <c r="B23" s="93"/>
      <c r="C23" s="94"/>
      <c r="D23" s="93"/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/>
      <c r="P23" s="96"/>
      <c r="Q23" s="9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100"/>
      <c r="AC23" s="56"/>
      <c r="AE23" s="73"/>
    </row>
    <row r="24" s="50" customFormat="true" ht="15" hidden="true" customHeight="true" outlineLevel="0" collapsed="false">
      <c r="A24" s="93"/>
      <c r="B24" s="93"/>
      <c r="C24" s="94"/>
      <c r="D24" s="93"/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/>
      <c r="P24" s="96"/>
      <c r="Q24" s="9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100"/>
      <c r="AC24" s="56"/>
      <c r="AE24" s="73"/>
    </row>
    <row r="25" s="50" customFormat="true" ht="15" hidden="true" customHeight="true" outlineLevel="0" collapsed="false">
      <c r="A25" s="93"/>
      <c r="B25" s="93"/>
      <c r="C25" s="94"/>
      <c r="D25" s="93"/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/>
      <c r="P25" s="96"/>
      <c r="Q25" s="9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100"/>
      <c r="AC25" s="56"/>
      <c r="AE25" s="73"/>
    </row>
    <row r="26" s="50" customFormat="true" ht="15" hidden="true" customHeight="true" outlineLevel="0" collapsed="false">
      <c r="A26" s="93"/>
      <c r="B26" s="93"/>
      <c r="C26" s="94"/>
      <c r="D26" s="93"/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/>
      <c r="P26" s="96"/>
      <c r="Q26" s="9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100"/>
      <c r="AC26" s="56"/>
      <c r="AE26" s="73"/>
    </row>
    <row r="27" s="50" customFormat="true" ht="15" hidden="true" customHeight="true" outlineLevel="0" collapsed="false">
      <c r="A27" s="93"/>
      <c r="B27" s="93"/>
      <c r="C27" s="94"/>
      <c r="D27" s="93"/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/>
      <c r="P27" s="96"/>
      <c r="Q27" s="9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100"/>
      <c r="AC27" s="56"/>
      <c r="AE27" s="73"/>
    </row>
    <row r="28" s="50" customFormat="true" ht="15" hidden="true" customHeight="true" outlineLevel="0" collapsed="false">
      <c r="A28" s="93"/>
      <c r="B28" s="93"/>
      <c r="C28" s="94"/>
      <c r="D28" s="93"/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/>
      <c r="P28" s="96"/>
      <c r="Q28" s="9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100"/>
      <c r="AC28" s="56"/>
      <c r="AE28" s="73"/>
    </row>
    <row r="29" s="50" customFormat="true" ht="15" hidden="true" customHeight="true" outlineLevel="0" collapsed="false">
      <c r="A29" s="93"/>
      <c r="B29" s="93"/>
      <c r="C29" s="94"/>
      <c r="D29" s="93"/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/>
      <c r="P29" s="96"/>
      <c r="Q29" s="9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100"/>
      <c r="AC29" s="56"/>
      <c r="AE29" s="73"/>
    </row>
    <row r="30" s="50" customFormat="true" ht="15" hidden="true" customHeight="true" outlineLevel="0" collapsed="false">
      <c r="A30" s="93"/>
      <c r="B30" s="93"/>
      <c r="C30" s="94"/>
      <c r="D30" s="93"/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/>
      <c r="P30" s="96"/>
      <c r="Q30" s="9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00"/>
      <c r="AC30" s="56"/>
      <c r="AE30" s="73"/>
    </row>
    <row r="31" s="50" customFormat="true" ht="15" hidden="true" customHeight="true" outlineLevel="0" collapsed="false">
      <c r="A31" s="93"/>
      <c r="B31" s="93"/>
      <c r="C31" s="94"/>
      <c r="D31" s="93"/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/>
      <c r="P31" s="96"/>
      <c r="Q31" s="9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00"/>
      <c r="AC31" s="56"/>
      <c r="AE31" s="73"/>
    </row>
    <row r="32" s="50" customFormat="true" ht="15" hidden="true" customHeight="true" outlineLevel="0" collapsed="false">
      <c r="A32" s="93"/>
      <c r="B32" s="93"/>
      <c r="C32" s="94"/>
      <c r="D32" s="93"/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/>
      <c r="P32" s="96"/>
      <c r="Q32" s="9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100"/>
      <c r="AC32" s="56"/>
      <c r="AE32" s="73"/>
    </row>
    <row r="33" s="50" customFormat="true" ht="15" hidden="true" customHeight="true" outlineLevel="0" collapsed="false">
      <c r="A33" s="93"/>
      <c r="B33" s="93"/>
      <c r="C33" s="94"/>
      <c r="D33" s="93"/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/>
      <c r="P33" s="96"/>
      <c r="Q33" s="9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100"/>
      <c r="AC33" s="56"/>
      <c r="AE33" s="73"/>
    </row>
    <row r="34" s="50" customFormat="true" ht="15" hidden="true" customHeight="true" outlineLevel="0" collapsed="false">
      <c r="A34" s="93"/>
      <c r="B34" s="93"/>
      <c r="C34" s="94"/>
      <c r="D34" s="93"/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/>
      <c r="P34" s="96"/>
      <c r="Q34" s="9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100"/>
      <c r="AC34" s="56"/>
      <c r="AE34" s="73"/>
    </row>
    <row r="35" s="50" customFormat="true" ht="15" hidden="true" customHeight="true" outlineLevel="0" collapsed="false">
      <c r="A35" s="93"/>
      <c r="B35" s="93"/>
      <c r="C35" s="94"/>
      <c r="D35" s="93"/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/>
      <c r="P35" s="96"/>
      <c r="Q35" s="9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100"/>
      <c r="AC35" s="56"/>
      <c r="AE35" s="73"/>
    </row>
    <row r="36" s="50" customFormat="true" ht="15" hidden="true" customHeight="true" outlineLevel="0" collapsed="false">
      <c r="A36" s="93"/>
      <c r="B36" s="93"/>
      <c r="C36" s="94"/>
      <c r="D36" s="93"/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/>
      <c r="P36" s="96"/>
      <c r="Q36" s="9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100"/>
      <c r="AC36" s="56"/>
      <c r="AE36" s="73"/>
    </row>
    <row r="37" s="50" customFormat="true" ht="15" hidden="true" customHeight="true" outlineLevel="0" collapsed="false">
      <c r="A37" s="93"/>
      <c r="B37" s="93"/>
      <c r="C37" s="94"/>
      <c r="D37" s="93"/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/>
      <c r="P37" s="96"/>
      <c r="Q37" s="9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100"/>
      <c r="AC37" s="56"/>
      <c r="AE37" s="73"/>
    </row>
    <row r="38" s="50" customFormat="true" ht="15" hidden="true" customHeight="true" outlineLevel="0" collapsed="false">
      <c r="A38" s="93"/>
      <c r="B38" s="93"/>
      <c r="C38" s="94"/>
      <c r="D38" s="93"/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/>
      <c r="P38" s="96"/>
      <c r="Q38" s="9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100"/>
      <c r="AC38" s="56"/>
      <c r="AE38" s="73"/>
    </row>
    <row r="39" s="50" customFormat="true" ht="15" hidden="true" customHeight="true" outlineLevel="0" collapsed="false">
      <c r="A39" s="93"/>
      <c r="B39" s="93"/>
      <c r="C39" s="94"/>
      <c r="D39" s="93"/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/>
      <c r="P39" s="96"/>
      <c r="Q39" s="9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100"/>
      <c r="AC39" s="56"/>
      <c r="AE39" s="73"/>
    </row>
    <row r="40" s="50" customFormat="true" ht="15" hidden="true" customHeight="true" outlineLevel="0" collapsed="false">
      <c r="A40" s="93"/>
      <c r="B40" s="93"/>
      <c r="C40" s="94"/>
      <c r="D40" s="93"/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/>
      <c r="P40" s="96"/>
      <c r="Q40" s="9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100"/>
      <c r="AC40" s="56"/>
      <c r="AE40" s="73"/>
    </row>
    <row r="41" s="50" customFormat="true" ht="15" hidden="true" customHeight="true" outlineLevel="0" collapsed="false">
      <c r="A41" s="93"/>
      <c r="B41" s="93"/>
      <c r="C41" s="94"/>
      <c r="D41" s="93"/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/>
      <c r="P41" s="96"/>
      <c r="Q41" s="9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100"/>
      <c r="AC41" s="56"/>
      <c r="AE41" s="73"/>
    </row>
    <row r="42" s="50" customFormat="true" ht="15" hidden="true" customHeight="true" outlineLevel="0" collapsed="false">
      <c r="A42" s="93"/>
      <c r="B42" s="93"/>
      <c r="C42" s="94"/>
      <c r="D42" s="93"/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/>
      <c r="P42" s="96"/>
      <c r="Q42" s="9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100"/>
      <c r="AC42" s="56"/>
      <c r="AE42" s="73"/>
    </row>
    <row r="43" s="50" customFormat="true" ht="15" hidden="true" customHeight="true" outlineLevel="0" collapsed="false">
      <c r="A43" s="93"/>
      <c r="B43" s="93"/>
      <c r="C43" s="94"/>
      <c r="D43" s="93"/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/>
      <c r="P43" s="96"/>
      <c r="Q43" s="9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100"/>
      <c r="AC43" s="56"/>
      <c r="AE43" s="73"/>
    </row>
    <row r="44" s="50" customFormat="true" ht="15" hidden="true" customHeight="true" outlineLevel="0" collapsed="false">
      <c r="A44" s="93"/>
      <c r="B44" s="93"/>
      <c r="C44" s="94"/>
      <c r="D44" s="93"/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/>
      <c r="P44" s="96"/>
      <c r="Q44" s="9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00"/>
      <c r="AC44" s="56"/>
      <c r="AE44" s="73"/>
    </row>
    <row r="45" s="50" customFormat="true" ht="15" hidden="true" customHeight="true" outlineLevel="0" collapsed="false">
      <c r="A45" s="93"/>
      <c r="B45" s="93"/>
      <c r="C45" s="94"/>
      <c r="D45" s="93"/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/>
      <c r="P45" s="96"/>
      <c r="Q45" s="9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00"/>
      <c r="AC45" s="56"/>
      <c r="AE45" s="73"/>
    </row>
    <row r="46" s="50" customFormat="true" ht="15" hidden="true" customHeight="true" outlineLevel="0" collapsed="false">
      <c r="A46" s="93"/>
      <c r="B46" s="93"/>
      <c r="C46" s="94"/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/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41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SUM(W11:W18)</f>
        <v>301.875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31</v>
      </c>
      <c r="B51" s="111"/>
      <c r="C51" s="111"/>
      <c r="D51" s="112" t="s">
        <v>42</v>
      </c>
      <c r="E51" s="111" t="s">
        <v>32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33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34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103.NĐXD8/CVXD ngày 07 tháng 10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103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cấp phối đá dăm loại 2 đoạn từ Km0+609,11 - Km0+724,11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609.11</v>
      </c>
      <c r="D23" s="16" t="n">
        <v>-5.25</v>
      </c>
      <c r="E23" s="16" t="n">
        <f aca="false">+D23+F23</f>
        <v>-5.258</v>
      </c>
      <c r="F23" s="16" t="n">
        <f aca="false">RANDBETWEEN(-105,115)/10000</f>
        <v>-0.008</v>
      </c>
      <c r="G23" s="16" t="n">
        <f aca="false">W23+0.18</f>
        <v>2.521</v>
      </c>
      <c r="H23" s="16" t="n">
        <f aca="false">G23+I23</f>
        <v>2.51</v>
      </c>
      <c r="I23" s="16" t="n">
        <f aca="false">RANDBETWEEN(-20,70)/1000</f>
        <v>-0.011</v>
      </c>
      <c r="J23" s="16" t="n">
        <f aca="false">X23+0.18</f>
        <v>2.638</v>
      </c>
      <c r="K23" s="16" t="n">
        <f aca="false">J23+L23</f>
        <v>2.655</v>
      </c>
      <c r="L23" s="16" t="n">
        <f aca="false">RANDBETWEEN(-20,70)/1000</f>
        <v>0.017</v>
      </c>
      <c r="M23" s="16" t="n">
        <v>5.25</v>
      </c>
      <c r="N23" s="16" t="n">
        <f aca="false">+M23+O23</f>
        <v>5.2508</v>
      </c>
      <c r="O23" s="16" t="n">
        <f aca="false">RANDBETWEEN(-105,115)/10000</f>
        <v>0.0008</v>
      </c>
      <c r="P23" s="16" t="n">
        <f aca="false">Y23+0.18</f>
        <v>2.521</v>
      </c>
      <c r="Q23" s="16" t="n">
        <f aca="false">P23+R23</f>
        <v>2.562</v>
      </c>
      <c r="R23" s="16" t="n">
        <f aca="false">RANDBETWEEN(-20,70)/1000</f>
        <v>0.041</v>
      </c>
      <c r="S23" s="17"/>
      <c r="T23" s="18" t="n">
        <v>11.75</v>
      </c>
      <c r="V23" s="19"/>
      <c r="W23" s="19" t="n">
        <f aca="false">'KTHH Lớp 2'!G23</f>
        <v>2.341</v>
      </c>
      <c r="X23" s="19" t="n">
        <f aca="false">'KTHH Lớp 2'!J23</f>
        <v>2.458</v>
      </c>
      <c r="Y23" s="19" t="n">
        <f aca="false">'KTHH Lớp 2'!P23</f>
        <v>2.341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620.86</v>
      </c>
      <c r="D24" s="16" t="n">
        <v>-5.25</v>
      </c>
      <c r="E24" s="16" t="n">
        <f aca="false">+D24+F24</f>
        <v>-5.2565</v>
      </c>
      <c r="F24" s="16" t="n">
        <f aca="false">RANDBETWEEN(-105,115)/10000</f>
        <v>-0.0065</v>
      </c>
      <c r="G24" s="16" t="n">
        <f aca="false">W24+0.18</f>
        <v>2.522</v>
      </c>
      <c r="H24" s="16" t="n">
        <f aca="false">G24+I24</f>
        <v>2.524</v>
      </c>
      <c r="I24" s="16" t="n">
        <f aca="false">RANDBETWEEN(-20,70)/1000</f>
        <v>0.002</v>
      </c>
      <c r="J24" s="16" t="n">
        <f aca="false">X24+0.18</f>
        <v>2.639</v>
      </c>
      <c r="K24" s="16" t="n">
        <f aca="false">J24+L24</f>
        <v>2.658</v>
      </c>
      <c r="L24" s="16" t="n">
        <f aca="false">RANDBETWEEN(-20,70)/1000</f>
        <v>0.019</v>
      </c>
      <c r="M24" s="16" t="n">
        <v>5.25</v>
      </c>
      <c r="N24" s="16" t="n">
        <f aca="false">+M24+O24</f>
        <v>5.2568</v>
      </c>
      <c r="O24" s="16" t="n">
        <f aca="false">RANDBETWEEN(-105,115)/10000</f>
        <v>0.0068</v>
      </c>
      <c r="P24" s="16" t="n">
        <f aca="false">Y24+0.18</f>
        <v>2.522</v>
      </c>
      <c r="Q24" s="16" t="n">
        <f aca="false">P24+R24</f>
        <v>2.515</v>
      </c>
      <c r="R24" s="16" t="n">
        <f aca="false">RANDBETWEEN(-20,70)/1000</f>
        <v>-0.007</v>
      </c>
      <c r="S24" s="17"/>
      <c r="T24" s="18" t="n">
        <v>11.75</v>
      </c>
      <c r="V24" s="19"/>
      <c r="W24" s="19" t="n">
        <f aca="false">'KTHH Lớp 2'!G24</f>
        <v>2.342</v>
      </c>
      <c r="X24" s="19" t="n">
        <f aca="false">'KTHH Lớp 2'!J24</f>
        <v>2.459</v>
      </c>
      <c r="Y24" s="19" t="n">
        <f aca="false">'KTHH Lớp 2'!P24</f>
        <v>2.342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632.61</v>
      </c>
      <c r="D25" s="16" t="n">
        <v>-5.25</v>
      </c>
      <c r="E25" s="16" t="n">
        <f aca="false">+D25+F25</f>
        <v>-5.2454</v>
      </c>
      <c r="F25" s="16" t="n">
        <f aca="false">RANDBETWEEN(-105,115)/10000</f>
        <v>0.0046</v>
      </c>
      <c r="G25" s="16" t="n">
        <f aca="false">W25+0.18</f>
        <v>2.524</v>
      </c>
      <c r="H25" s="16" t="n">
        <f aca="false">G25+I25</f>
        <v>2.589</v>
      </c>
      <c r="I25" s="16" t="n">
        <f aca="false">RANDBETWEEN(-20,70)/1000</f>
        <v>0.065</v>
      </c>
      <c r="J25" s="16" t="n">
        <f aca="false">X25+0.18</f>
        <v>2.641</v>
      </c>
      <c r="K25" s="16" t="n">
        <f aca="false">J25+L25</f>
        <v>2.692</v>
      </c>
      <c r="L25" s="16" t="n">
        <f aca="false">RANDBETWEEN(-20,70)/1000</f>
        <v>0.051</v>
      </c>
      <c r="M25" s="16" t="n">
        <v>5.25</v>
      </c>
      <c r="N25" s="16" t="n">
        <f aca="false">+M25+O25</f>
        <v>5.2434</v>
      </c>
      <c r="O25" s="16" t="n">
        <f aca="false">RANDBETWEEN(-105,115)/10000</f>
        <v>-0.0066</v>
      </c>
      <c r="P25" s="16" t="n">
        <f aca="false">Y25+0.18</f>
        <v>2.524</v>
      </c>
      <c r="Q25" s="16" t="n">
        <f aca="false">P25+R25</f>
        <v>2.547</v>
      </c>
      <c r="R25" s="16" t="n">
        <f aca="false">RANDBETWEEN(-20,70)/1000</f>
        <v>0.023</v>
      </c>
      <c r="S25" s="17"/>
      <c r="T25" s="18" t="n">
        <v>20</v>
      </c>
      <c r="V25" s="19"/>
      <c r="W25" s="19" t="n">
        <f aca="false">'KTHH Lớp 2'!G25</f>
        <v>2.344</v>
      </c>
      <c r="X25" s="19" t="n">
        <f aca="false">'KTHH Lớp 2'!J25</f>
        <v>2.461</v>
      </c>
      <c r="Y25" s="19" t="n">
        <f aca="false">'KTHH Lớp 2'!P25</f>
        <v>2.344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652.61</v>
      </c>
      <c r="D26" s="16" t="n">
        <v>-5.25</v>
      </c>
      <c r="E26" s="16" t="n">
        <f aca="false">+D26+F26</f>
        <v>-5.2397</v>
      </c>
      <c r="F26" s="16" t="n">
        <f aca="false">RANDBETWEEN(-105,115)/10000</f>
        <v>0.0103</v>
      </c>
      <c r="G26" s="16" t="n">
        <f aca="false">W26+0.18</f>
        <v>2.526</v>
      </c>
      <c r="H26" s="16" t="n">
        <f aca="false">G26+I26</f>
        <v>2.519</v>
      </c>
      <c r="I26" s="16" t="n">
        <f aca="false">RANDBETWEEN(-20,70)/1000</f>
        <v>-0.007</v>
      </c>
      <c r="J26" s="16" t="n">
        <f aca="false">X26+0.18</f>
        <v>2.643</v>
      </c>
      <c r="K26" s="16" t="n">
        <f aca="false">J26+L26</f>
        <v>2.711</v>
      </c>
      <c r="L26" s="16" t="n">
        <f aca="false">RANDBETWEEN(-20,70)/1000</f>
        <v>0.068</v>
      </c>
      <c r="M26" s="16" t="n">
        <v>5.25</v>
      </c>
      <c r="N26" s="16" t="n">
        <f aca="false">+M26+O26</f>
        <v>5.2435</v>
      </c>
      <c r="O26" s="16" t="n">
        <f aca="false">RANDBETWEEN(-105,115)/10000</f>
        <v>-0.0065</v>
      </c>
      <c r="P26" s="16" t="n">
        <f aca="false">Y26+0.18</f>
        <v>2.526</v>
      </c>
      <c r="Q26" s="16" t="n">
        <f aca="false">P26+R26</f>
        <v>2.536</v>
      </c>
      <c r="R26" s="16" t="n">
        <f aca="false">RANDBETWEEN(-20,70)/1000</f>
        <v>0.01</v>
      </c>
      <c r="S26" s="17"/>
      <c r="T26" s="18" t="n">
        <v>20</v>
      </c>
      <c r="V26" s="19"/>
      <c r="W26" s="19" t="n">
        <f aca="false">'KTHH Lớp 2'!G26</f>
        <v>2.346</v>
      </c>
      <c r="X26" s="19" t="n">
        <f aca="false">'KTHH Lớp 2'!J26</f>
        <v>2.463</v>
      </c>
      <c r="Y26" s="19" t="n">
        <f aca="false">'KTHH Lớp 2'!P26</f>
        <v>2.346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672.61</v>
      </c>
      <c r="D27" s="16" t="n">
        <v>-5.25</v>
      </c>
      <c r="E27" s="16" t="n">
        <f aca="false">+D27+F27</f>
        <v>-5.2564</v>
      </c>
      <c r="F27" s="16" t="n">
        <f aca="false">RANDBETWEEN(-105,115)/10000</f>
        <v>-0.0064</v>
      </c>
      <c r="G27" s="16" t="n">
        <f aca="false">W27+0.18</f>
        <v>2.527</v>
      </c>
      <c r="H27" s="16" t="n">
        <f aca="false">G27+I27</f>
        <v>2.53</v>
      </c>
      <c r="I27" s="16" t="n">
        <f aca="false">RANDBETWEEN(-20,70)/1000</f>
        <v>0.003</v>
      </c>
      <c r="J27" s="16" t="n">
        <f aca="false">X27+0.18</f>
        <v>2.644</v>
      </c>
      <c r="K27" s="16" t="n">
        <f aca="false">J27+L27</f>
        <v>2.702</v>
      </c>
      <c r="L27" s="16" t="n">
        <f aca="false">RANDBETWEEN(-20,70)/1000</f>
        <v>0.058</v>
      </c>
      <c r="M27" s="16" t="n">
        <v>5.25</v>
      </c>
      <c r="N27" s="16" t="n">
        <f aca="false">+M27+O27</f>
        <v>5.2435</v>
      </c>
      <c r="O27" s="16" t="n">
        <f aca="false">RANDBETWEEN(-105,115)/10000</f>
        <v>-0.0065</v>
      </c>
      <c r="P27" s="16" t="n">
        <f aca="false">Y27+0.18</f>
        <v>2.527</v>
      </c>
      <c r="Q27" s="16" t="n">
        <f aca="false">P27+R27</f>
        <v>2.573</v>
      </c>
      <c r="R27" s="16" t="n">
        <f aca="false">RANDBETWEEN(-20,70)/1000</f>
        <v>0.046</v>
      </c>
      <c r="S27" s="17"/>
      <c r="T27" s="18" t="n">
        <v>20</v>
      </c>
      <c r="V27" s="19"/>
      <c r="W27" s="19" t="n">
        <f aca="false">'KTHH Lớp 2'!G27</f>
        <v>2.347</v>
      </c>
      <c r="X27" s="19" t="n">
        <f aca="false">'KTHH Lớp 2'!J27</f>
        <v>2.464</v>
      </c>
      <c r="Y27" s="19" t="n">
        <f aca="false">'KTHH Lớp 2'!P27</f>
        <v>2.347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692.61</v>
      </c>
      <c r="D28" s="16" t="n">
        <v>-5.25</v>
      </c>
      <c r="E28" s="16" t="n">
        <f aca="false">+D28+F28</f>
        <v>-5.2496</v>
      </c>
      <c r="F28" s="16" t="n">
        <f aca="false">RANDBETWEEN(-105,115)/10000</f>
        <v>0.0004</v>
      </c>
      <c r="G28" s="16" t="n">
        <f aca="false">W28+0.18</f>
        <v>2.529</v>
      </c>
      <c r="H28" s="16" t="n">
        <f aca="false">G28+I28</f>
        <v>2.56</v>
      </c>
      <c r="I28" s="16" t="n">
        <f aca="false">RANDBETWEEN(-20,70)/1000</f>
        <v>0.031</v>
      </c>
      <c r="J28" s="16" t="n">
        <f aca="false">X28+0.18</f>
        <v>2.646</v>
      </c>
      <c r="K28" s="16" t="n">
        <f aca="false">J28+L28</f>
        <v>2.702</v>
      </c>
      <c r="L28" s="16" t="n">
        <f aca="false">RANDBETWEEN(-20,70)/1000</f>
        <v>0.056</v>
      </c>
      <c r="M28" s="16" t="n">
        <v>5.25</v>
      </c>
      <c r="N28" s="16" t="n">
        <f aca="false">+M28+O28</f>
        <v>5.2605</v>
      </c>
      <c r="O28" s="16" t="n">
        <f aca="false">RANDBETWEEN(-105,115)/10000</f>
        <v>0.0105</v>
      </c>
      <c r="P28" s="16" t="n">
        <f aca="false">Y28+0.18</f>
        <v>2.529</v>
      </c>
      <c r="Q28" s="16" t="n">
        <f aca="false">P28+R28</f>
        <v>2.547</v>
      </c>
      <c r="R28" s="16" t="n">
        <f aca="false">RANDBETWEEN(-20,70)/1000</f>
        <v>0.018</v>
      </c>
      <c r="S28" s="17"/>
      <c r="T28" s="18" t="n">
        <v>20</v>
      </c>
      <c r="V28" s="19"/>
      <c r="W28" s="19" t="n">
        <f aca="false">'KTHH Lớp 2'!G28</f>
        <v>2.349</v>
      </c>
      <c r="X28" s="19" t="n">
        <f aca="false">'KTHH Lớp 2'!J28</f>
        <v>2.466</v>
      </c>
      <c r="Y28" s="19" t="n">
        <f aca="false">'KTHH Lớp 2'!P28</f>
        <v>2.349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712.61</v>
      </c>
      <c r="D29" s="16" t="n">
        <v>-5.25</v>
      </c>
      <c r="E29" s="16" t="n">
        <f aca="false">+D29+F29</f>
        <v>-5.255</v>
      </c>
      <c r="F29" s="16" t="n">
        <f aca="false">RANDBETWEEN(-105,115)/10000</f>
        <v>-0.005</v>
      </c>
      <c r="G29" s="16" t="n">
        <f aca="false">W29+0.18</f>
        <v>2.531</v>
      </c>
      <c r="H29" s="16" t="n">
        <f aca="false">G29+I29</f>
        <v>2.566</v>
      </c>
      <c r="I29" s="16" t="n">
        <f aca="false">RANDBETWEEN(-20,70)/1000</f>
        <v>0.035</v>
      </c>
      <c r="J29" s="16" t="n">
        <f aca="false">X29+0.18</f>
        <v>2.648</v>
      </c>
      <c r="K29" s="16" t="n">
        <f aca="false">J29+L29</f>
        <v>2.688</v>
      </c>
      <c r="L29" s="16" t="n">
        <f aca="false">RANDBETWEEN(-20,70)/1000</f>
        <v>0.04</v>
      </c>
      <c r="M29" s="16" t="n">
        <v>5.25</v>
      </c>
      <c r="N29" s="16" t="n">
        <f aca="false">+M29+O29</f>
        <v>5.259</v>
      </c>
      <c r="O29" s="16" t="n">
        <f aca="false">RANDBETWEEN(-105,115)/10000</f>
        <v>0.009</v>
      </c>
      <c r="P29" s="16" t="n">
        <f aca="false">Y29+0.18</f>
        <v>2.531</v>
      </c>
      <c r="Q29" s="16" t="n">
        <f aca="false">P29+R29</f>
        <v>2.525</v>
      </c>
      <c r="R29" s="16" t="n">
        <f aca="false">RANDBETWEEN(-20,70)/1000</f>
        <v>-0.006</v>
      </c>
      <c r="S29" s="17"/>
      <c r="T29" s="18" t="n">
        <v>11.5</v>
      </c>
      <c r="V29" s="19"/>
      <c r="W29" s="19" t="n">
        <f aca="false">'KTHH Lớp 2'!G29</f>
        <v>2.351</v>
      </c>
      <c r="X29" s="19" t="n">
        <f aca="false">'KTHH Lớp 2'!J29</f>
        <v>2.468</v>
      </c>
      <c r="Y29" s="19" t="n">
        <f aca="false">'KTHH Lớp 2'!P29</f>
        <v>2.351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724.11</v>
      </c>
      <c r="D30" s="16" t="n">
        <v>-5.25</v>
      </c>
      <c r="E30" s="16" t="n">
        <f aca="false">+D30+F30</f>
        <v>-5.2591</v>
      </c>
      <c r="F30" s="16" t="n">
        <f aca="false">RANDBETWEEN(-105,115)/10000</f>
        <v>-0.0091</v>
      </c>
      <c r="G30" s="16" t="n">
        <f aca="false">W30+0.18</f>
        <v>2.532</v>
      </c>
      <c r="H30" s="16" t="n">
        <f aca="false">G30+I30</f>
        <v>2.536</v>
      </c>
      <c r="I30" s="16" t="n">
        <f aca="false">RANDBETWEEN(-20,70)/1000</f>
        <v>0.004</v>
      </c>
      <c r="J30" s="16" t="n">
        <f aca="false">X30+0.18</f>
        <v>2.649</v>
      </c>
      <c r="K30" s="16" t="n">
        <f aca="false">J30+L30</f>
        <v>2.689</v>
      </c>
      <c r="L30" s="16" t="n">
        <f aca="false">RANDBETWEEN(-20,70)/1000</f>
        <v>0.04</v>
      </c>
      <c r="M30" s="16" t="n">
        <v>5.25</v>
      </c>
      <c r="N30" s="16" t="n">
        <f aca="false">+M30+O30</f>
        <v>5.2402</v>
      </c>
      <c r="O30" s="16" t="n">
        <f aca="false">RANDBETWEEN(-105,115)/10000</f>
        <v>-0.0098</v>
      </c>
      <c r="P30" s="16" t="n">
        <f aca="false">Y30+0.18</f>
        <v>2.532</v>
      </c>
      <c r="Q30" s="16" t="n">
        <f aca="false">P30+R30</f>
        <v>2.513</v>
      </c>
      <c r="R30" s="16" t="n">
        <f aca="false">RANDBETWEEN(-20,70)/1000</f>
        <v>-0.019</v>
      </c>
      <c r="S30" s="17"/>
      <c r="T30" s="18"/>
      <c r="V30" s="19"/>
      <c r="W30" s="19" t="n">
        <f aca="false">'KTHH Lớp 2'!G30</f>
        <v>2.352</v>
      </c>
      <c r="X30" s="19" t="n">
        <f aca="false">'KTHH Lớp 2'!J30</f>
        <v>2.469</v>
      </c>
      <c r="Y30" s="19" t="n">
        <f aca="false">'KTHH Lớp 2'!P30</f>
        <v>2.352</v>
      </c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31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32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33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34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103.NĐXD8/CVXD ngày 07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103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cấp phối đá dăm loại 2 đoạn từ Km0+609,11 - Km0+724,11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36</v>
      </c>
      <c r="B9" s="117" t="s">
        <v>10</v>
      </c>
      <c r="C9" s="117" t="s">
        <v>11</v>
      </c>
      <c r="D9" s="118" t="s">
        <v>37</v>
      </c>
      <c r="E9" s="119"/>
      <c r="F9" s="119"/>
      <c r="G9" s="118"/>
      <c r="H9" s="119"/>
      <c r="I9" s="119"/>
      <c r="J9" s="119"/>
      <c r="K9" s="119"/>
      <c r="L9" s="119"/>
      <c r="M9" s="120" t="s">
        <v>38</v>
      </c>
      <c r="N9" s="121"/>
      <c r="O9" s="122" t="s">
        <v>39</v>
      </c>
      <c r="P9" s="123"/>
      <c r="Q9" s="123"/>
      <c r="R9" s="123"/>
      <c r="S9" s="123"/>
      <c r="T9" s="123"/>
      <c r="U9" s="123"/>
      <c r="V9" s="123"/>
      <c r="W9" s="122" t="s">
        <v>40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39</v>
      </c>
      <c r="O10" s="122"/>
      <c r="P10" s="122" t="s">
        <v>39</v>
      </c>
      <c r="Q10" s="122" t="s">
        <v>39</v>
      </c>
      <c r="R10" s="122"/>
      <c r="S10" s="122"/>
      <c r="T10" s="122"/>
      <c r="U10" s="122" t="s">
        <v>40</v>
      </c>
      <c r="V10" s="122" t="s">
        <v>40</v>
      </c>
      <c r="W10" s="122"/>
      <c r="X10" s="122" t="s">
        <v>40</v>
      </c>
      <c r="Y10" s="122" t="s">
        <v>40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31</v>
      </c>
      <c r="C11" s="133" t="n">
        <f aca="false">'Base A'!C23</f>
        <v>609.11</v>
      </c>
      <c r="D11" s="132" t="n">
        <f aca="false">'Base A'!T23</f>
        <v>11.75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22.2075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E10</v>
      </c>
      <c r="C12" s="133" t="n">
        <f aca="false">'Base A'!C24</f>
        <v>620.86</v>
      </c>
      <c r="D12" s="132" t="n">
        <f aca="false">'Base A'!T24</f>
        <v>11.75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22.2075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32</v>
      </c>
      <c r="C13" s="133" t="n">
        <f aca="false">'Base A'!C25</f>
        <v>632.61</v>
      </c>
      <c r="D13" s="132" t="n">
        <f aca="false">'Base A'!T25</f>
        <v>20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37.8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33</v>
      </c>
      <c r="C14" s="133" t="n">
        <f aca="false">'Base A'!C26</f>
        <v>652.61</v>
      </c>
      <c r="D14" s="132" t="n">
        <f aca="false">'Base A'!T26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37.8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34</v>
      </c>
      <c r="C15" s="133" t="n">
        <f aca="false">'Base A'!C27</f>
        <v>672.61</v>
      </c>
      <c r="D15" s="132" t="n">
        <f aca="false">'Base A'!T27</f>
        <v>20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37.8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35</v>
      </c>
      <c r="C16" s="133" t="n">
        <f aca="false">'Base A'!C28</f>
        <v>692.61</v>
      </c>
      <c r="D16" s="132" t="n">
        <f aca="false">'Base A'!T28</f>
        <v>20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37.8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A'!B29</f>
        <v>36</v>
      </c>
      <c r="C17" s="133" t="n">
        <f aca="false">'Base A'!C29</f>
        <v>712.61</v>
      </c>
      <c r="D17" s="132" t="n">
        <f aca="false">'Base A'!T29</f>
        <v>11.5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10.5*0.18</f>
        <v>1.89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21.735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A'!B30</f>
        <v>37</v>
      </c>
      <c r="C18" s="133" t="n">
        <f aca="false">'Base A'!C30</f>
        <v>724.11</v>
      </c>
      <c r="D18" s="132"/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10.5*0.18</f>
        <v>1.89</v>
      </c>
      <c r="P18" s="135"/>
      <c r="Q18" s="135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  <c r="AC18" s="139"/>
      <c r="AE18" s="141"/>
    </row>
    <row r="19" s="131" customFormat="true" ht="15" hidden="true" customHeight="true" outlineLevel="0" collapsed="false">
      <c r="A19" s="132"/>
      <c r="B19" s="132"/>
      <c r="C19" s="133"/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/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s="131" customFormat="true" ht="15" hidden="true" customHeight="true" outlineLevel="0" collapsed="false">
      <c r="A20" s="132"/>
      <c r="B20" s="132"/>
      <c r="C20" s="133"/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/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41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SUM(W11:W18)</f>
        <v>217.35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31</v>
      </c>
      <c r="B51" s="153"/>
      <c r="C51" s="153"/>
      <c r="D51" s="154" t="s">
        <v>42</v>
      </c>
      <c r="E51" s="153" t="s">
        <v>32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33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34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XD8'!$A$2:$G$60,7,0)&amp;VLOOKUP(AZ2,'[1]Tuyến XD8'!$A$2:$G$60,4,0)</f>
        <v xml:space="preserve">Kèm theo BBNT số: 106.NĐXD8/CVXD ngày 08 tháng 10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106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XD8'!$A$2:$B$60,2,0)</f>
        <v xml:space="preserve">Đắp cấp phối đá dăm loại 1 đoạn từ Km0+609,11 - Km0+724,11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609.11</v>
      </c>
      <c r="D23" s="16" t="n">
        <v>-5.25</v>
      </c>
      <c r="E23" s="16" t="n">
        <f aca="false">+D23+F23</f>
        <v>-5.2599</v>
      </c>
      <c r="F23" s="16" t="n">
        <f aca="false">RANDBETWEEN(-105,115)/10000</f>
        <v>-0.0099</v>
      </c>
      <c r="G23" s="16" t="n">
        <f aca="false">W23+0.15</f>
        <v>2.671</v>
      </c>
      <c r="H23" s="16" t="n">
        <f aca="false">G23+I23</f>
        <v>2.716</v>
      </c>
      <c r="I23" s="16" t="n">
        <f aca="false">RANDBETWEEN(-20,70)/1000</f>
        <v>0.045</v>
      </c>
      <c r="J23" s="16" t="n">
        <f aca="false">X23+0.15</f>
        <v>2.788</v>
      </c>
      <c r="K23" s="16" t="n">
        <f aca="false">J23+L23</f>
        <v>2.83</v>
      </c>
      <c r="L23" s="16" t="n">
        <f aca="false">RANDBETWEEN(-20,70)/1000</f>
        <v>0.042</v>
      </c>
      <c r="M23" s="16" t="n">
        <v>5.25</v>
      </c>
      <c r="N23" s="16" t="n">
        <f aca="false">+M23+O23</f>
        <v>5.2476</v>
      </c>
      <c r="O23" s="16" t="n">
        <f aca="false">RANDBETWEEN(-105,115)/10000</f>
        <v>-0.0024</v>
      </c>
      <c r="P23" s="16" t="n">
        <f aca="false">Y23+0.15</f>
        <v>2.671</v>
      </c>
      <c r="Q23" s="16" t="n">
        <f aca="false">P23+R23</f>
        <v>2.737</v>
      </c>
      <c r="R23" s="16" t="n">
        <f aca="false">RANDBETWEEN(-20,70)/1000</f>
        <v>0.066</v>
      </c>
      <c r="S23" s="17"/>
      <c r="T23" s="18" t="n">
        <v>11.75</v>
      </c>
      <c r="V23" s="19"/>
      <c r="W23" s="19" t="n">
        <f aca="false">'Base A'!G23</f>
        <v>2.521</v>
      </c>
      <c r="X23" s="19" t="n">
        <f aca="false">'Base A'!J23</f>
        <v>2.638</v>
      </c>
      <c r="Y23" s="19" t="n">
        <f aca="false">'Base A'!P23</f>
        <v>2.521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620.86</v>
      </c>
      <c r="D24" s="16" t="n">
        <v>-5.25</v>
      </c>
      <c r="E24" s="16" t="n">
        <f aca="false">+D24+F24</f>
        <v>-5.2579</v>
      </c>
      <c r="F24" s="16" t="n">
        <f aca="false">RANDBETWEEN(-105,115)/10000</f>
        <v>-0.0079</v>
      </c>
      <c r="G24" s="16" t="n">
        <f aca="false">W24+0.15</f>
        <v>2.672</v>
      </c>
      <c r="H24" s="16" t="n">
        <f aca="false">G24+I24</f>
        <v>2.701</v>
      </c>
      <c r="I24" s="16" t="n">
        <f aca="false">RANDBETWEEN(-20,70)/1000</f>
        <v>0.029</v>
      </c>
      <c r="J24" s="16" t="n">
        <f aca="false">X24+0.15</f>
        <v>2.789</v>
      </c>
      <c r="K24" s="16" t="n">
        <f aca="false">J24+L24</f>
        <v>2.777</v>
      </c>
      <c r="L24" s="16" t="n">
        <f aca="false">RANDBETWEEN(-20,70)/1000</f>
        <v>-0.012</v>
      </c>
      <c r="M24" s="16" t="n">
        <v>5.25</v>
      </c>
      <c r="N24" s="16" t="n">
        <f aca="false">+M24+O24</f>
        <v>5.2531</v>
      </c>
      <c r="O24" s="16" t="n">
        <f aca="false">RANDBETWEEN(-105,115)/10000</f>
        <v>0.0031</v>
      </c>
      <c r="P24" s="16" t="n">
        <f aca="false">Y24+0.15</f>
        <v>2.672</v>
      </c>
      <c r="Q24" s="16" t="n">
        <f aca="false">P24+R24</f>
        <v>2.706</v>
      </c>
      <c r="R24" s="16" t="n">
        <f aca="false">RANDBETWEEN(-20,70)/1000</f>
        <v>0.034</v>
      </c>
      <c r="S24" s="17"/>
      <c r="T24" s="18" t="n">
        <v>11.75</v>
      </c>
      <c r="V24" s="19"/>
      <c r="W24" s="19" t="n">
        <f aca="false">'Base A'!G24</f>
        <v>2.522</v>
      </c>
      <c r="X24" s="19" t="n">
        <f aca="false">'Base A'!J24</f>
        <v>2.639</v>
      </c>
      <c r="Y24" s="19" t="n">
        <f aca="false">'Base A'!P24</f>
        <v>2.522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632.61</v>
      </c>
      <c r="D25" s="16" t="n">
        <v>-5.25</v>
      </c>
      <c r="E25" s="16" t="n">
        <f aca="false">+D25+F25</f>
        <v>-5.2559</v>
      </c>
      <c r="F25" s="16" t="n">
        <f aca="false">RANDBETWEEN(-105,115)/10000</f>
        <v>-0.0059</v>
      </c>
      <c r="G25" s="16" t="n">
        <f aca="false">W25+0.15</f>
        <v>2.674</v>
      </c>
      <c r="H25" s="16" t="n">
        <f aca="false">G25+I25</f>
        <v>2.713</v>
      </c>
      <c r="I25" s="16" t="n">
        <f aca="false">RANDBETWEEN(-20,70)/1000</f>
        <v>0.039</v>
      </c>
      <c r="J25" s="16" t="n">
        <f aca="false">X25+0.15</f>
        <v>2.791</v>
      </c>
      <c r="K25" s="16" t="n">
        <f aca="false">J25+L25</f>
        <v>2.797</v>
      </c>
      <c r="L25" s="16" t="n">
        <f aca="false">RANDBETWEEN(-20,70)/1000</f>
        <v>0.006</v>
      </c>
      <c r="M25" s="16" t="n">
        <v>5.25</v>
      </c>
      <c r="N25" s="16" t="n">
        <f aca="false">+M25+O25</f>
        <v>5.2484</v>
      </c>
      <c r="O25" s="16" t="n">
        <f aca="false">RANDBETWEEN(-105,115)/10000</f>
        <v>-0.0016</v>
      </c>
      <c r="P25" s="16" t="n">
        <f aca="false">Y25+0.15</f>
        <v>2.674</v>
      </c>
      <c r="Q25" s="16" t="n">
        <f aca="false">P25+R25</f>
        <v>2.716</v>
      </c>
      <c r="R25" s="16" t="n">
        <f aca="false">RANDBETWEEN(-20,70)/1000</f>
        <v>0.042</v>
      </c>
      <c r="S25" s="17"/>
      <c r="T25" s="18" t="n">
        <v>20</v>
      </c>
      <c r="V25" s="19"/>
      <c r="W25" s="19" t="n">
        <f aca="false">'Base A'!G25</f>
        <v>2.524</v>
      </c>
      <c r="X25" s="19" t="n">
        <f aca="false">'Base A'!J25</f>
        <v>2.641</v>
      </c>
      <c r="Y25" s="19" t="n">
        <f aca="false">'Base A'!P25</f>
        <v>2.524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652.61</v>
      </c>
      <c r="D26" s="16" t="n">
        <v>-5.25</v>
      </c>
      <c r="E26" s="16" t="n">
        <f aca="false">+D26+F26</f>
        <v>-5.2536</v>
      </c>
      <c r="F26" s="16" t="n">
        <f aca="false">RANDBETWEEN(-105,115)/10000</f>
        <v>-0.0036</v>
      </c>
      <c r="G26" s="16" t="n">
        <f aca="false">W26+0.15</f>
        <v>2.676</v>
      </c>
      <c r="H26" s="16" t="n">
        <f aca="false">G26+I26</f>
        <v>2.696</v>
      </c>
      <c r="I26" s="16" t="n">
        <f aca="false">RANDBETWEEN(-20,70)/1000</f>
        <v>0.02</v>
      </c>
      <c r="J26" s="16" t="n">
        <f aca="false">X26+0.15</f>
        <v>2.793</v>
      </c>
      <c r="K26" s="16" t="n">
        <f aca="false">J26+L26</f>
        <v>2.796</v>
      </c>
      <c r="L26" s="16" t="n">
        <f aca="false">RANDBETWEEN(-20,70)/1000</f>
        <v>0.003</v>
      </c>
      <c r="M26" s="16" t="n">
        <v>5.25</v>
      </c>
      <c r="N26" s="16" t="n">
        <f aca="false">+M26+O26</f>
        <v>5.2452</v>
      </c>
      <c r="O26" s="16" t="n">
        <f aca="false">RANDBETWEEN(-105,115)/10000</f>
        <v>-0.0048</v>
      </c>
      <c r="P26" s="16" t="n">
        <f aca="false">Y26+0.15</f>
        <v>2.676</v>
      </c>
      <c r="Q26" s="16" t="n">
        <f aca="false">P26+R26</f>
        <v>2.717</v>
      </c>
      <c r="R26" s="16" t="n">
        <f aca="false">RANDBETWEEN(-20,70)/1000</f>
        <v>0.041</v>
      </c>
      <c r="S26" s="17"/>
      <c r="T26" s="18" t="n">
        <v>20</v>
      </c>
      <c r="V26" s="19"/>
      <c r="W26" s="19" t="n">
        <f aca="false">'Base A'!G26</f>
        <v>2.526</v>
      </c>
      <c r="X26" s="19" t="n">
        <f aca="false">'Base A'!J26</f>
        <v>2.643</v>
      </c>
      <c r="Y26" s="19" t="n">
        <f aca="false">'Base A'!P26</f>
        <v>2.526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672.61</v>
      </c>
      <c r="D27" s="16" t="n">
        <v>-5.25</v>
      </c>
      <c r="E27" s="16" t="n">
        <f aca="false">+D27+F27</f>
        <v>-5.2524</v>
      </c>
      <c r="F27" s="16" t="n">
        <f aca="false">RANDBETWEEN(-105,115)/10000</f>
        <v>-0.0024</v>
      </c>
      <c r="G27" s="16" t="n">
        <f aca="false">W27+0.15</f>
        <v>2.677</v>
      </c>
      <c r="H27" s="16" t="n">
        <f aca="false">G27+I27</f>
        <v>2.732</v>
      </c>
      <c r="I27" s="16" t="n">
        <f aca="false">RANDBETWEEN(-20,70)/1000</f>
        <v>0.055</v>
      </c>
      <c r="J27" s="16" t="n">
        <f aca="false">X27+0.15</f>
        <v>2.794</v>
      </c>
      <c r="K27" s="16" t="n">
        <f aca="false">J27+L27</f>
        <v>2.839</v>
      </c>
      <c r="L27" s="16" t="n">
        <f aca="false">RANDBETWEEN(-20,70)/1000</f>
        <v>0.045</v>
      </c>
      <c r="M27" s="16" t="n">
        <v>5.25</v>
      </c>
      <c r="N27" s="16" t="n">
        <f aca="false">+M27+O27</f>
        <v>5.2397</v>
      </c>
      <c r="O27" s="16" t="n">
        <f aca="false">RANDBETWEEN(-105,115)/10000</f>
        <v>-0.0103</v>
      </c>
      <c r="P27" s="16" t="n">
        <f aca="false">Y27+0.15</f>
        <v>2.677</v>
      </c>
      <c r="Q27" s="16" t="n">
        <f aca="false">P27+R27</f>
        <v>2.706</v>
      </c>
      <c r="R27" s="16" t="n">
        <f aca="false">RANDBETWEEN(-20,70)/1000</f>
        <v>0.029</v>
      </c>
      <c r="S27" s="17"/>
      <c r="T27" s="18" t="n">
        <v>20</v>
      </c>
      <c r="V27" s="19"/>
      <c r="W27" s="19" t="n">
        <f aca="false">'Base A'!G27</f>
        <v>2.527</v>
      </c>
      <c r="X27" s="19" t="n">
        <f aca="false">'Base A'!J27</f>
        <v>2.644</v>
      </c>
      <c r="Y27" s="19" t="n">
        <f aca="false">'Base A'!P27</f>
        <v>2.527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692.61</v>
      </c>
      <c r="D28" s="16" t="n">
        <v>-5.25</v>
      </c>
      <c r="E28" s="16" t="n">
        <f aca="false">+D28+F28</f>
        <v>-5.2409</v>
      </c>
      <c r="F28" s="16" t="n">
        <f aca="false">RANDBETWEEN(-105,115)/10000</f>
        <v>0.0091</v>
      </c>
      <c r="G28" s="16" t="n">
        <f aca="false">W28+0.15</f>
        <v>2.679</v>
      </c>
      <c r="H28" s="16" t="n">
        <f aca="false">G28+I28</f>
        <v>2.715</v>
      </c>
      <c r="I28" s="16" t="n">
        <f aca="false">RANDBETWEEN(-20,70)/1000</f>
        <v>0.036</v>
      </c>
      <c r="J28" s="16" t="n">
        <f aca="false">X28+0.15</f>
        <v>2.796</v>
      </c>
      <c r="K28" s="16" t="n">
        <f aca="false">J28+L28</f>
        <v>2.863</v>
      </c>
      <c r="L28" s="16" t="n">
        <f aca="false">RANDBETWEEN(-20,70)/1000</f>
        <v>0.067</v>
      </c>
      <c r="M28" s="16" t="n">
        <v>5.25</v>
      </c>
      <c r="N28" s="16" t="n">
        <f aca="false">+M28+O28</f>
        <v>5.2579</v>
      </c>
      <c r="O28" s="16" t="n">
        <f aca="false">RANDBETWEEN(-105,115)/10000</f>
        <v>0.0079</v>
      </c>
      <c r="P28" s="16" t="n">
        <f aca="false">Y28+0.15</f>
        <v>2.679</v>
      </c>
      <c r="Q28" s="16" t="n">
        <f aca="false">P28+R28</f>
        <v>2.717</v>
      </c>
      <c r="R28" s="16" t="n">
        <f aca="false">RANDBETWEEN(-20,70)/1000</f>
        <v>0.038</v>
      </c>
      <c r="S28" s="17"/>
      <c r="T28" s="18" t="n">
        <v>20</v>
      </c>
      <c r="V28" s="19"/>
      <c r="W28" s="19" t="n">
        <f aca="false">'Base A'!G28</f>
        <v>2.529</v>
      </c>
      <c r="X28" s="19" t="n">
        <f aca="false">'Base A'!J28</f>
        <v>2.646</v>
      </c>
      <c r="Y28" s="19" t="n">
        <f aca="false">'Base A'!P28</f>
        <v>2.529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712.61</v>
      </c>
      <c r="D29" s="16" t="n">
        <v>-5.25</v>
      </c>
      <c r="E29" s="16" t="n">
        <f aca="false">+D29+F29</f>
        <v>-5.2504</v>
      </c>
      <c r="F29" s="16" t="n">
        <f aca="false">RANDBETWEEN(-105,115)/10000</f>
        <v>-0.0004</v>
      </c>
      <c r="G29" s="16" t="n">
        <f aca="false">W29+0.15</f>
        <v>2.681</v>
      </c>
      <c r="H29" s="16" t="n">
        <f aca="false">G29+I29</f>
        <v>2.682</v>
      </c>
      <c r="I29" s="16" t="n">
        <f aca="false">RANDBETWEEN(-20,70)/1000</f>
        <v>0.001</v>
      </c>
      <c r="J29" s="16" t="n">
        <f aca="false">X29+0.15</f>
        <v>2.798</v>
      </c>
      <c r="K29" s="16" t="n">
        <f aca="false">J29+L29</f>
        <v>2.855</v>
      </c>
      <c r="L29" s="16" t="n">
        <f aca="false">RANDBETWEEN(-20,70)/1000</f>
        <v>0.057</v>
      </c>
      <c r="M29" s="16" t="n">
        <v>5.25</v>
      </c>
      <c r="N29" s="16" t="n">
        <f aca="false">+M29+O29</f>
        <v>5.2451</v>
      </c>
      <c r="O29" s="16" t="n">
        <f aca="false">RANDBETWEEN(-105,115)/10000</f>
        <v>-0.0049</v>
      </c>
      <c r="P29" s="16" t="n">
        <f aca="false">Y29+0.15</f>
        <v>2.681</v>
      </c>
      <c r="Q29" s="16" t="n">
        <f aca="false">P29+R29</f>
        <v>2.717</v>
      </c>
      <c r="R29" s="16" t="n">
        <f aca="false">RANDBETWEEN(-20,70)/1000</f>
        <v>0.036</v>
      </c>
      <c r="S29" s="17"/>
      <c r="T29" s="18" t="n">
        <v>11.5</v>
      </c>
      <c r="V29" s="19"/>
      <c r="W29" s="19" t="n">
        <f aca="false">'Base A'!G29</f>
        <v>2.531</v>
      </c>
      <c r="X29" s="19" t="n">
        <f aca="false">'Base A'!J29</f>
        <v>2.648</v>
      </c>
      <c r="Y29" s="19" t="n">
        <f aca="false">'Base A'!P29</f>
        <v>2.531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724.11</v>
      </c>
      <c r="D30" s="16" t="n">
        <v>-5.25</v>
      </c>
      <c r="E30" s="16" t="n">
        <f aca="false">+D30+F30</f>
        <v>-5.2411</v>
      </c>
      <c r="F30" s="16" t="n">
        <f aca="false">RANDBETWEEN(-105,115)/10000</f>
        <v>0.0089</v>
      </c>
      <c r="G30" s="16" t="n">
        <f aca="false">W30+0.15</f>
        <v>2.682</v>
      </c>
      <c r="H30" s="16" t="n">
        <f aca="false">G30+I30</f>
        <v>2.74</v>
      </c>
      <c r="I30" s="16" t="n">
        <f aca="false">RANDBETWEEN(-20,70)/1000</f>
        <v>0.058</v>
      </c>
      <c r="J30" s="16" t="n">
        <f aca="false">X30+0.15</f>
        <v>2.799</v>
      </c>
      <c r="K30" s="16" t="n">
        <f aca="false">J30+L30</f>
        <v>2.791</v>
      </c>
      <c r="L30" s="16" t="n">
        <f aca="false">RANDBETWEEN(-20,70)/1000</f>
        <v>-0.008</v>
      </c>
      <c r="M30" s="16" t="n">
        <v>5.25</v>
      </c>
      <c r="N30" s="16" t="n">
        <f aca="false">+M30+O30</f>
        <v>5.2577</v>
      </c>
      <c r="O30" s="16" t="n">
        <f aca="false">RANDBETWEEN(-105,115)/10000</f>
        <v>0.0077</v>
      </c>
      <c r="P30" s="16" t="n">
        <f aca="false">Y30+0.15</f>
        <v>2.682</v>
      </c>
      <c r="Q30" s="16" t="n">
        <f aca="false">P30+R30</f>
        <v>2.662</v>
      </c>
      <c r="R30" s="16" t="n">
        <f aca="false">RANDBETWEEN(-20,70)/1000</f>
        <v>-0.02</v>
      </c>
      <c r="S30" s="17"/>
      <c r="T30" s="18"/>
      <c r="V30" s="19"/>
      <c r="W30" s="19" t="n">
        <f aca="false">'Base A'!G30</f>
        <v>2.532</v>
      </c>
      <c r="X30" s="19" t="n">
        <f aca="false">'Base A'!J30</f>
        <v>2.649</v>
      </c>
      <c r="Y30" s="19" t="n">
        <f aca="false">'Base A'!P30</f>
        <v>2.532</v>
      </c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31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32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33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49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106.NĐXD8/CVXD ngày 08 tháng 10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106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XD8'!$A$2:$B$60,2,0)</f>
        <v xml:space="preserve">Đắp cấp phối đá dăm loại 1 đoạn từ Km0+609,11 - Km0+724,11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36</v>
      </c>
      <c r="B9" s="117" t="s">
        <v>10</v>
      </c>
      <c r="C9" s="117" t="s">
        <v>11</v>
      </c>
      <c r="D9" s="118" t="s">
        <v>37</v>
      </c>
      <c r="E9" s="119"/>
      <c r="F9" s="119"/>
      <c r="G9" s="118"/>
      <c r="H9" s="119"/>
      <c r="I9" s="119"/>
      <c r="J9" s="119"/>
      <c r="K9" s="119"/>
      <c r="L9" s="119"/>
      <c r="M9" s="120" t="s">
        <v>38</v>
      </c>
      <c r="N9" s="121"/>
      <c r="O9" s="122" t="s">
        <v>39</v>
      </c>
      <c r="P9" s="123"/>
      <c r="Q9" s="123"/>
      <c r="R9" s="123"/>
      <c r="S9" s="123"/>
      <c r="T9" s="123"/>
      <c r="U9" s="123"/>
      <c r="V9" s="123"/>
      <c r="W9" s="122" t="s">
        <v>40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39</v>
      </c>
      <c r="O10" s="122"/>
      <c r="P10" s="122" t="s">
        <v>39</v>
      </c>
      <c r="Q10" s="122" t="s">
        <v>39</v>
      </c>
      <c r="R10" s="122"/>
      <c r="S10" s="122"/>
      <c r="T10" s="122"/>
      <c r="U10" s="122" t="s">
        <v>40</v>
      </c>
      <c r="V10" s="122" t="s">
        <v>40</v>
      </c>
      <c r="W10" s="122"/>
      <c r="X10" s="122" t="s">
        <v>40</v>
      </c>
      <c r="Y10" s="122" t="s">
        <v>40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31</v>
      </c>
      <c r="C11" s="133" t="n">
        <f aca="false">'Base B'!C23</f>
        <v>609.11</v>
      </c>
      <c r="D11" s="132" t="n">
        <f aca="false">'Base B'!T23</f>
        <v>11.75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18.50625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E10</v>
      </c>
      <c r="C12" s="133" t="n">
        <f aca="false">'Base B'!C24</f>
        <v>620.86</v>
      </c>
      <c r="D12" s="132" t="n">
        <f aca="false">'Base B'!T24</f>
        <v>11.75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18.50625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32</v>
      </c>
      <c r="C13" s="133" t="n">
        <f aca="false">'Base B'!C25</f>
        <v>632.61</v>
      </c>
      <c r="D13" s="132" t="n">
        <f aca="false">'Base B'!T25</f>
        <v>20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31.5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33</v>
      </c>
      <c r="C14" s="133" t="n">
        <f aca="false">'Base B'!C26</f>
        <v>652.61</v>
      </c>
      <c r="D14" s="132" t="n">
        <f aca="false">'Base B'!T26</f>
        <v>20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31.5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34</v>
      </c>
      <c r="C15" s="133" t="n">
        <f aca="false">'Base B'!C27</f>
        <v>672.61</v>
      </c>
      <c r="D15" s="132" t="n">
        <f aca="false">'Base B'!T27</f>
        <v>20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31.5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35</v>
      </c>
      <c r="C16" s="133" t="n">
        <f aca="false">'Base B'!C28</f>
        <v>692.61</v>
      </c>
      <c r="D16" s="132" t="n">
        <f aca="false">'Base B'!T28</f>
        <v>20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31.5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B'!B29</f>
        <v>36</v>
      </c>
      <c r="C17" s="133" t="n">
        <f aca="false">'Base B'!C29</f>
        <v>712.61</v>
      </c>
      <c r="D17" s="132" t="n">
        <f aca="false">'Base B'!T29</f>
        <v>11.5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10.5*0.15</f>
        <v>1.575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18.1125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B'!B30</f>
        <v>37</v>
      </c>
      <c r="C18" s="133" t="n">
        <f aca="false">'Base B'!C30</f>
        <v>724.11</v>
      </c>
      <c r="D18" s="132"/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10.5*0.15</f>
        <v>1.575</v>
      </c>
      <c r="P18" s="135"/>
      <c r="Q18" s="135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  <c r="AC18" s="139"/>
      <c r="AE18" s="141"/>
    </row>
    <row r="19" s="131" customFormat="true" ht="15" hidden="true" customHeight="true" outlineLevel="0" collapsed="false">
      <c r="A19" s="132"/>
      <c r="B19" s="132"/>
      <c r="C19" s="133"/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/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s="131" customFormat="true" ht="15" hidden="true" customHeight="true" outlineLevel="0" collapsed="false">
      <c r="A20" s="132"/>
      <c r="B20" s="132"/>
      <c r="C20" s="133"/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/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41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SUM(W11:W18)</f>
        <v>181.125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31</v>
      </c>
      <c r="B51" s="153"/>
      <c r="C51" s="153"/>
      <c r="D51" s="154" t="s">
        <v>42</v>
      </c>
      <c r="E51" s="153" t="s">
        <v>32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33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2026-10-13T07:38:46Z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