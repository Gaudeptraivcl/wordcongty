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KTHH Lớp 1" sheetId="1" state="visible" r:id="rId3"/>
    <sheet name="KL lớp 1" sheetId="2" state="visible" r:id="rId4"/>
    <sheet name="KTHH Lớp 2" sheetId="3" state="visible" r:id="rId5"/>
    <sheet name="KL lớp 2" sheetId="4" state="visible" r:id="rId6"/>
    <sheet name="Base A" sheetId="5" state="visible" r:id="rId7"/>
    <sheet name="KL Basa A" sheetId="6" state="visible" r:id="rId8"/>
    <sheet name="Base B" sheetId="7" state="visible" r:id="rId9"/>
    <sheet name="KL Basa B" sheetId="8" state="visible" r:id="rId10"/>
  </sheets>
  <definedNames>
    <definedName function="false" hidden="false" localSheetId="4" name="_xlnm.Print_Area" vbProcedure="false">'Base A'!$A$1:$S$69</definedName>
    <definedName function="false" hidden="false" localSheetId="4" name="_xlnm.Print_Titles" vbProcedure="false">'Base A'!$21:$22</definedName>
    <definedName function="false" hidden="false" localSheetId="6" name="_xlnm.Print_Area" vbProcedure="false">'Base B'!$A$1:$S$69</definedName>
    <definedName function="false" hidden="false" localSheetId="6" name="_xlnm.Print_Titles" vbProcedure="false">'Base B'!$21:$22</definedName>
    <definedName function="false" hidden="false" localSheetId="5" name="_xlnm.Print_Area" vbProcedure="false">'KL Basa A'!$A$1:$AB$58</definedName>
    <definedName function="false" hidden="false" localSheetId="7" name="_xlnm.Print_Area" vbProcedure="false">'KL Basa B'!$A$1:$AB$58</definedName>
    <definedName function="false" hidden="false" localSheetId="1" name="_xlnm.Print_Area" vbProcedure="false">'KL lớp 1'!$A$1:$AB$58</definedName>
    <definedName function="false" hidden="false" localSheetId="3" name="_xlnm.Print_Area" vbProcedure="false">'KL lớp 2'!$A$1:$AB$58</definedName>
    <definedName function="false" hidden="false" localSheetId="0" name="_xlnm.Print_Area" vbProcedure="false">'KTHH Lớp 1'!$A$1:$S$69</definedName>
    <definedName function="false" hidden="false" localSheetId="0" name="_xlnm.Print_Titles" vbProcedure="false">'KTHH Lớp 1'!$21:$22</definedName>
    <definedName function="false" hidden="false" localSheetId="2" name="_xlnm.Print_Area" vbProcedure="false">'KTHH Lớp 2'!$A$1:$S$69</definedName>
    <definedName function="false" hidden="false" localSheetId="2" name="_xlnm.Print_Titles" vbProcedure="false">'KTHH Lớp 2'!$21:$22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<sst xmlns="http://schemas.openxmlformats.org/spreadsheetml/2006/main" count="288" uniqueCount="50">
  <si>
    <t xml:space="preserve">PHỤ LỤC KIỂM TRA CAO ĐỘ, KÍCH THƯỚC HÌNH HỌC</t>
  </si>
  <si>
    <t xml:space="preserve">Kèm theo BBNT số: 99.NĐXD8/CVXD ngày 05 tháng 10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</si>
  <si>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</si>
  <si>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</si>
  <si>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</si>
  <si>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Móng đường tuyến XD8</t>
  </si>
  <si>
    <t xml:space="preserve">- Đối tượng nghiệm thu:</t>
  </si>
  <si>
    <t xml:space="preserve">Đắp đất nền đường lớp 1, độ chặt K&gt;=0,98 đoạn từ Km0+609,11 - Km0+724,11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</si>
  <si>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</si>
  <si>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</si>
  <si>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</si>
  <si>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</si>
  <si>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</si>
  <si>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</si>
  <si>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</si>
  <si>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</si>
  <si>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CĐ đỉnh K95 tại tim (từ CAD)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</si>
  <si>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</si>
  <si>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</si>
  <si>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</si>
  <si>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</si>
  <si>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</si>
  <si>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</si>
  <si>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31</t>
  </si>
  <si>
    <t xml:space="preserve">E10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</si>
  <si>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</si>
  <si>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</si>
  <si>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</si>
  <si>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</si>
  <si>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</si>
  <si>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</si>
  <si>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</si>
  <si>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</si>
  <si>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</si>
  <si>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</si>
  <si>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</si>
  <si>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STT</t>
  </si>
  <si>
    <t xml:space="preserve">K/c lẻ</t>
  </si>
  <si>
    <t xml:space="preserve">Đào xử lý nền đường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</si>
  <si>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</si>
  <si>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</si>
  <si>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</si>
  <si>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</si>
  <si>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101.NĐXD8/CVXD ngày 06 tháng 10 năm 2026</t>
  </si>
  <si>
    <t xml:space="preserve">Đắp đất nền đường lớp 2, độ chặt K&gt;=0,98 đoạn từ Km0+609,11 - Km0+724,11</t>
  </si>
  <si>
    <t xml:space="preserve">Kèm theo BBNT số: 103.NĐXD8/CVXD ngày 07 tháng 10 năm 2026</t>
  </si>
  <si>
    <t xml:space="preserve">Đắp cấp phối đá dăm loại 2 đoạn từ Km0+609,11 - Km0+724,11</t>
  </si>
  <si>
    <t xml:space="preserve">Kèm theo BBNT số: 106.NĐXD8/CVXD ngày 08 tháng 10 năm 2026</t>
  </si>
  <si>
    <t xml:space="preserve">Đắp cấp phối đá dăm loại 1 đoạn từ Km0+609,11 - Km0+724,11</t>
  </si>
  <si>
    <t xml:space="preserve">Lê Minh Hải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</si>
</sst>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  <numFmt numFmtId="174" formatCode="_(* #,##0_);_(* \(#,##0\);_(* \-??_);_(@_)"/>
    <numFmt numFmtId="175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1"/>
      <name val=".vntime"/>
      <family val="2"/>
      <charset val="1"/>
    </font>
    <font>
      <b val="true"/>
      <sz val="12"/>
      <name val=".VnTime"/>
      <family val="2"/>
      <charset val="1"/>
    </font>
    <font>
      <sz val="13"/>
      <name val="Arial"/>
      <family val="2"/>
      <charset val="1"/>
    </font>
    <font>
      <b val="true"/>
      <sz val="13"/>
      <name val=".vntime"/>
      <family val="2"/>
      <charset val="1"/>
    </font>
    <font>
      <sz val="12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9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4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228600</xdr:colOff>
      <xdr:row>7</xdr:row>
      <xdr:rowOff>228600</xdr:rowOff>
    </xdr:from>
    <xdr:to>
      <xdr:col>18</xdr:col>
      <xdr:colOff>130680</xdr:colOff>
      <xdr:row>19</xdr:row>
      <xdr:rowOff>56880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701640" y="1914480"/>
          <a:ext cx="9355320" cy="2161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530640</xdr:colOff>
      <xdr:row>7</xdr:row>
      <xdr:rowOff>204120</xdr:rowOff>
    </xdr:from>
    <xdr:to>
      <xdr:col>17</xdr:col>
      <xdr:colOff>108360</xdr:colOff>
      <xdr:row>18</xdr:row>
      <xdr:rowOff>59760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003680" y="1890000"/>
          <a:ext cx="8205480" cy="1998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612360</xdr:colOff>
      <xdr:row>7</xdr:row>
      <xdr:rowOff>149760</xdr:rowOff>
    </xdr:from>
    <xdr:to>
      <xdr:col>17</xdr:col>
      <xdr:colOff>494640</xdr:colOff>
      <xdr:row>18</xdr:row>
      <xdr:rowOff>108720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1085400" y="1835640"/>
          <a:ext cx="8510040" cy="2102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585000</xdr:colOff>
      <xdr:row>7</xdr:row>
      <xdr:rowOff>136080</xdr:rowOff>
    </xdr:from>
    <xdr:to>
      <xdr:col>18</xdr:col>
      <xdr:colOff>103320</xdr:colOff>
      <xdr:row>17</xdr:row>
      <xdr:rowOff>135720</xdr:rowOff>
    </xdr:to>
    <xdr:pic>
      <xdr:nvPicPr>
        <xdr:cNvPr id="3" name="Picture 3" descr=""/>
        <xdr:cNvPicPr/>
      </xdr:nvPicPr>
      <xdr:blipFill>
        <a:blip r:embed="rId1"/>
        <a:stretch/>
      </xdr:blipFill>
      <xdr:spPr>
        <a:xfrm>
          <a:off x="1058040" y="1821960"/>
          <a:ext cx="8971560" cy="1952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I73" activeCellId="0" sqref="I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">
        <v>7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  <c r="W21" s="10" t="s">
        <v>16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14" t="s">
        <v>23</v>
      </c>
      <c r="C23" s="15" t="n">
        <v>609.11</v>
      </c>
      <c r="D23" s="16" t="n">
        <v>-5.25</v>
      </c>
      <c r="E23" s="16" t="n">
        <f aca="false">+D23+F23</f>
        <v>-5.2542</v>
      </c>
      <c r="F23" s="16" t="n">
        <f aca="false">RANDBETWEEN(-105,115)/10000</f>
        <v>-0.0042</v>
      </c>
      <c r="G23" s="16" t="n">
        <f aca="false">J23-4.95*2%-0.3*6%</f>
        <v>2.091</v>
      </c>
      <c r="H23" s="16" t="n">
        <f aca="false">G23+I23</f>
        <v>2.151</v>
      </c>
      <c r="I23" s="16" t="n">
        <f aca="false">RANDBETWEEN(-20,70)/1000</f>
        <v>0.06</v>
      </c>
      <c r="J23" s="16" t="n">
        <f aca="false">W23+0.25</f>
        <v>2.208</v>
      </c>
      <c r="K23" s="16" t="n">
        <f aca="false">J23+L23</f>
        <v>2.191</v>
      </c>
      <c r="L23" s="16" t="n">
        <f aca="false">RANDBETWEEN(-20,70)/1000</f>
        <v>-0.017</v>
      </c>
      <c r="M23" s="16" t="n">
        <v>5.25</v>
      </c>
      <c r="N23" s="16" t="n">
        <f aca="false">+M23+O23</f>
        <v>5.2448</v>
      </c>
      <c r="O23" s="16" t="n">
        <f aca="false">RANDBETWEEN(-105,115)/10000</f>
        <v>-0.0052</v>
      </c>
      <c r="P23" s="16" t="n">
        <f aca="false">G23</f>
        <v>2.091</v>
      </c>
      <c r="Q23" s="16" t="n">
        <f aca="false">P23+R23</f>
        <v>2.097</v>
      </c>
      <c r="R23" s="16" t="n">
        <f aca="false">RANDBETWEEN(-20,70)/1000</f>
        <v>0.006</v>
      </c>
      <c r="S23" s="17"/>
      <c r="T23" s="18" t="n">
        <v>11.75</v>
      </c>
      <c r="V23" s="19"/>
      <c r="W23" s="20" t="n">
        <v>1.958</v>
      </c>
    </row>
    <row r="24" s="10" customFormat="true" ht="18" hidden="false" customHeight="true" outlineLevel="0" collapsed="false">
      <c r="A24" s="13" t="n">
        <v>2</v>
      </c>
      <c r="B24" s="14" t="s">
        <v>24</v>
      </c>
      <c r="C24" s="15" t="n">
        <f aca="false">+C23+T23</f>
        <v>620.86</v>
      </c>
      <c r="D24" s="16" t="n">
        <v>-5.25</v>
      </c>
      <c r="E24" s="16" t="n">
        <f aca="false">+D24+F24</f>
        <v>-5.2484</v>
      </c>
      <c r="F24" s="16" t="n">
        <f aca="false">RANDBETWEEN(-105,115)/10000</f>
        <v>0.0016</v>
      </c>
      <c r="G24" s="16" t="n">
        <f aca="false">J24-4.95*2%-0.3*6%</f>
        <v>2.092</v>
      </c>
      <c r="H24" s="16" t="n">
        <f aca="false">G24+I24</f>
        <v>2.092</v>
      </c>
      <c r="I24" s="16" t="n">
        <f aca="false">RANDBETWEEN(-20,70)/1000</f>
        <v>0</v>
      </c>
      <c r="J24" s="16" t="n">
        <f aca="false">W24+0.25</f>
        <v>2.209</v>
      </c>
      <c r="K24" s="16" t="n">
        <f aca="false">J24+L24</f>
        <v>2.243</v>
      </c>
      <c r="L24" s="16" t="n">
        <f aca="false">RANDBETWEEN(-20,70)/1000</f>
        <v>0.034</v>
      </c>
      <c r="M24" s="16" t="n">
        <v>5.25</v>
      </c>
      <c r="N24" s="16" t="n">
        <f aca="false">+M24+O24</f>
        <v>5.2457</v>
      </c>
      <c r="O24" s="16" t="n">
        <f aca="false">RANDBETWEEN(-105,115)/10000</f>
        <v>-0.0043</v>
      </c>
      <c r="P24" s="16" t="n">
        <f aca="false">G24</f>
        <v>2.092</v>
      </c>
      <c r="Q24" s="16" t="n">
        <f aca="false">P24+R24</f>
        <v>2.083</v>
      </c>
      <c r="R24" s="16" t="n">
        <f aca="false">RANDBETWEEN(-20,70)/1000</f>
        <v>-0.009</v>
      </c>
      <c r="S24" s="17"/>
      <c r="T24" s="18" t="n">
        <v>11.75</v>
      </c>
      <c r="V24" s="19"/>
      <c r="W24" s="20" t="n">
        <v>1.959</v>
      </c>
    </row>
    <row r="25" s="10" customFormat="true" ht="18" hidden="false" customHeight="true" outlineLevel="0" collapsed="false">
      <c r="A25" s="13" t="n">
        <v>3</v>
      </c>
      <c r="B25" s="14" t="s">
        <v>25</v>
      </c>
      <c r="C25" s="15" t="n">
        <f aca="false">+C24+T24</f>
        <v>632.61</v>
      </c>
      <c r="D25" s="16" t="n">
        <v>-5.25</v>
      </c>
      <c r="E25" s="16" t="n">
        <f aca="false">+D25+F25</f>
        <v>-5.2505</v>
      </c>
      <c r="F25" s="16" t="n">
        <f aca="false">RANDBETWEEN(-105,115)/10000</f>
        <v>-0.0005</v>
      </c>
      <c r="G25" s="16" t="n">
        <f aca="false">J25-4.95*2%-0.3*6%</f>
        <v>2.094</v>
      </c>
      <c r="H25" s="16" t="n">
        <f aca="false">G25+I25</f>
        <v>2.079</v>
      </c>
      <c r="I25" s="16" t="n">
        <f aca="false">RANDBETWEEN(-20,70)/1000</f>
        <v>-0.015</v>
      </c>
      <c r="J25" s="16" t="n">
        <f aca="false">W25+0.25</f>
        <v>2.211</v>
      </c>
      <c r="K25" s="16" t="n">
        <f aca="false">J25+L25</f>
        <v>2.276</v>
      </c>
      <c r="L25" s="16" t="n">
        <f aca="false">RANDBETWEEN(-20,70)/1000</f>
        <v>0.065</v>
      </c>
      <c r="M25" s="16" t="n">
        <v>5.25</v>
      </c>
      <c r="N25" s="16" t="n">
        <f aca="false">+M25+O25</f>
        <v>5.2496</v>
      </c>
      <c r="O25" s="16" t="n">
        <f aca="false">RANDBETWEEN(-105,115)/10000</f>
        <v>-0.0004</v>
      </c>
      <c r="P25" s="16" t="n">
        <f aca="false">G25</f>
        <v>2.094</v>
      </c>
      <c r="Q25" s="16" t="n">
        <f aca="false">P25+R25</f>
        <v>2.1</v>
      </c>
      <c r="R25" s="16" t="n">
        <f aca="false">RANDBETWEEN(-20,70)/1000</f>
        <v>0.006</v>
      </c>
      <c r="S25" s="17"/>
      <c r="T25" s="18" t="n">
        <v>20</v>
      </c>
      <c r="V25" s="19"/>
      <c r="W25" s="20" t="n">
        <v>1.961</v>
      </c>
    </row>
    <row r="26" s="10" customFormat="true" ht="18" hidden="false" customHeight="true" outlineLevel="0" collapsed="false">
      <c r="A26" s="13" t="n">
        <v>4</v>
      </c>
      <c r="B26" s="14" t="s">
        <v>26</v>
      </c>
      <c r="C26" s="15" t="n">
        <f aca="false">+C25+T25</f>
        <v>652.61</v>
      </c>
      <c r="D26" s="16" t="n">
        <v>-5.25</v>
      </c>
      <c r="E26" s="16" t="n">
        <f aca="false">+D26+F26</f>
        <v>-5.2418</v>
      </c>
      <c r="F26" s="16" t="n">
        <f aca="false">RANDBETWEEN(-105,115)/10000</f>
        <v>0.0082</v>
      </c>
      <c r="G26" s="16" t="n">
        <f aca="false">J26-4.95*2%-0.3*6%</f>
        <v>2.096</v>
      </c>
      <c r="H26" s="16" t="n">
        <f aca="false">G26+I26</f>
        <v>2.166</v>
      </c>
      <c r="I26" s="16" t="n">
        <f aca="false">RANDBETWEEN(-20,70)/1000</f>
        <v>0.07</v>
      </c>
      <c r="J26" s="16" t="n">
        <f aca="false">W26+0.25</f>
        <v>2.213</v>
      </c>
      <c r="K26" s="16" t="n">
        <f aca="false">J26+L26</f>
        <v>2.258</v>
      </c>
      <c r="L26" s="16" t="n">
        <f aca="false">RANDBETWEEN(-20,70)/1000</f>
        <v>0.045</v>
      </c>
      <c r="M26" s="16" t="n">
        <v>5.25</v>
      </c>
      <c r="N26" s="16" t="n">
        <f aca="false">+M26+O26</f>
        <v>5.2429</v>
      </c>
      <c r="O26" s="16" t="n">
        <f aca="false">RANDBETWEEN(-105,115)/10000</f>
        <v>-0.0071</v>
      </c>
      <c r="P26" s="16" t="n">
        <f aca="false">G26</f>
        <v>2.096</v>
      </c>
      <c r="Q26" s="16" t="n">
        <f aca="false">P26+R26</f>
        <v>2.144</v>
      </c>
      <c r="R26" s="16" t="n">
        <f aca="false">RANDBETWEEN(-20,70)/1000</f>
        <v>0.048</v>
      </c>
      <c r="S26" s="17"/>
      <c r="T26" s="18" t="n">
        <v>20</v>
      </c>
      <c r="V26" s="19"/>
      <c r="W26" s="20" t="n">
        <v>1.963</v>
      </c>
    </row>
    <row r="27" s="10" customFormat="true" ht="18" hidden="false" customHeight="true" outlineLevel="0" collapsed="false">
      <c r="A27" s="13" t="n">
        <v>5</v>
      </c>
      <c r="B27" s="14" t="s">
        <v>27</v>
      </c>
      <c r="C27" s="15" t="n">
        <f aca="false">+C26+T26</f>
        <v>672.61</v>
      </c>
      <c r="D27" s="16" t="n">
        <v>-5.25</v>
      </c>
      <c r="E27" s="16" t="n">
        <f aca="false">+D27+F27</f>
        <v>-5.2396</v>
      </c>
      <c r="F27" s="16" t="n">
        <f aca="false">RANDBETWEEN(-105,115)/10000</f>
        <v>0.0104</v>
      </c>
      <c r="G27" s="16" t="n">
        <f aca="false">J27-4.95*2%-0.3*6%</f>
        <v>2.097</v>
      </c>
      <c r="H27" s="16" t="n">
        <f aca="false">G27+I27</f>
        <v>2.127</v>
      </c>
      <c r="I27" s="16" t="n">
        <f aca="false">RANDBETWEEN(-20,70)/1000</f>
        <v>0.03</v>
      </c>
      <c r="J27" s="16" t="n">
        <f aca="false">W27+0.25</f>
        <v>2.214</v>
      </c>
      <c r="K27" s="16" t="n">
        <f aca="false">J27+L27</f>
        <v>2.272</v>
      </c>
      <c r="L27" s="16" t="n">
        <f aca="false">RANDBETWEEN(-20,70)/1000</f>
        <v>0.058</v>
      </c>
      <c r="M27" s="16" t="n">
        <v>5.25</v>
      </c>
      <c r="N27" s="16" t="n">
        <f aca="false">+M27+O27</f>
        <v>5.2554</v>
      </c>
      <c r="O27" s="16" t="n">
        <f aca="false">RANDBETWEEN(-105,115)/10000</f>
        <v>0.0054</v>
      </c>
      <c r="P27" s="16" t="n">
        <f aca="false">G27</f>
        <v>2.097</v>
      </c>
      <c r="Q27" s="16" t="n">
        <f aca="false">P27+R27</f>
        <v>2.087</v>
      </c>
      <c r="R27" s="16" t="n">
        <f aca="false">RANDBETWEEN(-20,70)/1000</f>
        <v>-0.01</v>
      </c>
      <c r="S27" s="17"/>
      <c r="T27" s="18" t="n">
        <v>20</v>
      </c>
      <c r="V27" s="19"/>
      <c r="W27" s="20" t="n">
        <v>1.964</v>
      </c>
    </row>
    <row r="28" s="10" customFormat="true" ht="18" hidden="false" customHeight="true" outlineLevel="0" collapsed="false">
      <c r="A28" s="13" t="n">
        <v>6</v>
      </c>
      <c r="B28" s="14" t="s">
        <v>28</v>
      </c>
      <c r="C28" s="15" t="n">
        <f aca="false">+C27+T27</f>
        <v>692.61</v>
      </c>
      <c r="D28" s="16" t="n">
        <v>-5.25</v>
      </c>
      <c r="E28" s="16" t="n">
        <f aca="false">+D28+F28</f>
        <v>-5.2388</v>
      </c>
      <c r="F28" s="16" t="n">
        <f aca="false">RANDBETWEEN(-105,115)/10000</f>
        <v>0.0112</v>
      </c>
      <c r="G28" s="16" t="n">
        <f aca="false">J28-4.95*2%-0.3*6%</f>
        <v>2.099</v>
      </c>
      <c r="H28" s="16" t="n">
        <f aca="false">G28+I28</f>
        <v>2.147</v>
      </c>
      <c r="I28" s="16" t="n">
        <f aca="false">RANDBETWEEN(-20,70)/1000</f>
        <v>0.048</v>
      </c>
      <c r="J28" s="16" t="n">
        <f aca="false">W28+0.25</f>
        <v>2.216</v>
      </c>
      <c r="K28" s="16" t="n">
        <f aca="false">J28+L28</f>
        <v>2.253</v>
      </c>
      <c r="L28" s="16" t="n">
        <f aca="false">RANDBETWEEN(-20,70)/1000</f>
        <v>0.037</v>
      </c>
      <c r="M28" s="16" t="n">
        <v>5.25</v>
      </c>
      <c r="N28" s="16" t="n">
        <f aca="false">+M28+O28</f>
        <v>5.2492</v>
      </c>
      <c r="O28" s="16" t="n">
        <f aca="false">RANDBETWEEN(-105,115)/10000</f>
        <v>-0.0008</v>
      </c>
      <c r="P28" s="16" t="n">
        <f aca="false">G28</f>
        <v>2.099</v>
      </c>
      <c r="Q28" s="16" t="n">
        <f aca="false">P28+R28</f>
        <v>2.084</v>
      </c>
      <c r="R28" s="16" t="n">
        <f aca="false">RANDBETWEEN(-20,70)/1000</f>
        <v>-0.015</v>
      </c>
      <c r="S28" s="17"/>
      <c r="T28" s="18" t="n">
        <v>20</v>
      </c>
      <c r="V28" s="19"/>
      <c r="W28" s="20" t="n">
        <v>1.966</v>
      </c>
    </row>
    <row r="29" s="10" customFormat="true" ht="18" hidden="false" customHeight="true" outlineLevel="0" collapsed="false">
      <c r="A29" s="13" t="n">
        <v>7</v>
      </c>
      <c r="B29" s="14" t="s">
        <v>29</v>
      </c>
      <c r="C29" s="15" t="n">
        <f aca="false">+C28+T28</f>
        <v>712.61</v>
      </c>
      <c r="D29" s="16" t="n">
        <v>-5.25</v>
      </c>
      <c r="E29" s="16" t="n">
        <f aca="false">+D29+F29</f>
        <v>-5.2405</v>
      </c>
      <c r="F29" s="16" t="n">
        <f aca="false">RANDBETWEEN(-105,115)/10000</f>
        <v>0.0095</v>
      </c>
      <c r="G29" s="16" t="n">
        <f aca="false">J29-4.95*2%-0.3*6%</f>
        <v>2.101</v>
      </c>
      <c r="H29" s="16" t="n">
        <f aca="false">G29+I29</f>
        <v>2.081</v>
      </c>
      <c r="I29" s="16" t="n">
        <f aca="false">RANDBETWEEN(-20,70)/1000</f>
        <v>-0.02</v>
      </c>
      <c r="J29" s="16" t="n">
        <f aca="false">W29+0.25</f>
        <v>2.218</v>
      </c>
      <c r="K29" s="16" t="n">
        <f aca="false">J29+L29</f>
        <v>2.25</v>
      </c>
      <c r="L29" s="16" t="n">
        <f aca="false">RANDBETWEEN(-20,70)/1000</f>
        <v>0.032</v>
      </c>
      <c r="M29" s="16" t="n">
        <v>5.25</v>
      </c>
      <c r="N29" s="16" t="n">
        <f aca="false">+M29+O29</f>
        <v>5.2577</v>
      </c>
      <c r="O29" s="16" t="n">
        <f aca="false">RANDBETWEEN(-105,115)/10000</f>
        <v>0.0077</v>
      </c>
      <c r="P29" s="16" t="n">
        <f aca="false">G29</f>
        <v>2.101</v>
      </c>
      <c r="Q29" s="16" t="n">
        <f aca="false">P29+R29</f>
        <v>2.102</v>
      </c>
      <c r="R29" s="16" t="n">
        <f aca="false">RANDBETWEEN(-20,70)/1000</f>
        <v>0.001</v>
      </c>
      <c r="S29" s="17"/>
      <c r="T29" s="18" t="n">
        <v>11.5</v>
      </c>
      <c r="V29" s="19"/>
      <c r="W29" s="20" t="n">
        <v>1.968</v>
      </c>
    </row>
    <row r="30" s="10" customFormat="true" ht="18" hidden="false" customHeight="true" outlineLevel="0" collapsed="false">
      <c r="A30" s="13" t="n">
        <v>8</v>
      </c>
      <c r="B30" s="14" t="s">
        <v>30</v>
      </c>
      <c r="C30" s="15" t="n">
        <f aca="false">+C29+T29</f>
        <v>724.11</v>
      </c>
      <c r="D30" s="16" t="n">
        <v>-5.25</v>
      </c>
      <c r="E30" s="16" t="n">
        <f aca="false">+D30+F30</f>
        <v>-5.2529</v>
      </c>
      <c r="F30" s="16" t="n">
        <f aca="false">RANDBETWEEN(-105,115)/10000</f>
        <v>-0.0029</v>
      </c>
      <c r="G30" s="16" t="n">
        <f aca="false">J30-4.95*2%-0.3*6%</f>
        <v>2.102</v>
      </c>
      <c r="H30" s="16" t="n">
        <f aca="false">G30+I30</f>
        <v>2.123</v>
      </c>
      <c r="I30" s="16" t="n">
        <f aca="false">RANDBETWEEN(-20,70)/1000</f>
        <v>0.021</v>
      </c>
      <c r="J30" s="16" t="n">
        <f aca="false">W30+0.25</f>
        <v>2.219</v>
      </c>
      <c r="K30" s="16" t="n">
        <f aca="false">J30+L30</f>
        <v>2.207</v>
      </c>
      <c r="L30" s="16" t="n">
        <f aca="false">RANDBETWEEN(-20,70)/1000</f>
        <v>-0.012</v>
      </c>
      <c r="M30" s="16" t="n">
        <v>5.25</v>
      </c>
      <c r="N30" s="16" t="n">
        <f aca="false">+M30+O30</f>
        <v>5.2449</v>
      </c>
      <c r="O30" s="16" t="n">
        <f aca="false">RANDBETWEEN(-105,115)/10000</f>
        <v>-0.0051</v>
      </c>
      <c r="P30" s="16" t="n">
        <f aca="false">G30</f>
        <v>2.102</v>
      </c>
      <c r="Q30" s="16" t="n">
        <f aca="false">P30+R30</f>
        <v>2.136</v>
      </c>
      <c r="R30" s="16" t="n">
        <f aca="false">RANDBETWEEN(-20,70)/1000</f>
        <v>0.034</v>
      </c>
      <c r="S30" s="17"/>
      <c r="T30" s="18"/>
      <c r="V30" s="19"/>
      <c r="W30" s="20" t="n">
        <v>1.969</v>
      </c>
    </row>
    <row r="31" s="10" customFormat="true" ht="18" hidden="true" customHeight="tru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  <c r="W31" s="20"/>
    </row>
    <row r="32" s="10" customFormat="true" ht="18" hidden="true" customHeight="tru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  <c r="W32" s="20"/>
    </row>
    <row r="33" s="10" customFormat="true" ht="18" hidden="true" customHeight="tru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  <c r="W33" s="20"/>
    </row>
    <row r="34" s="10" customFormat="true" ht="18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  <c r="W34" s="20"/>
    </row>
    <row r="35" s="10" customFormat="true" ht="18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  <c r="W35" s="20"/>
    </row>
    <row r="36" s="10" customFormat="true" ht="18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  <c r="W36" s="20"/>
    </row>
    <row r="37" s="10" customFormat="true" ht="18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  <c r="W37" s="20"/>
    </row>
    <row r="38" s="10" customFormat="true" ht="18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  <c r="W38" s="20"/>
    </row>
    <row r="39" s="10" customFormat="true" ht="18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  <c r="W39" s="20"/>
    </row>
    <row r="40" s="10" customFormat="true" ht="18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  <c r="W40" s="20"/>
    </row>
    <row r="41" s="10" customFormat="true" ht="18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  <c r="W41" s="20"/>
    </row>
    <row r="42" s="10" customFormat="true" ht="18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  <c r="W42" s="20"/>
    </row>
    <row r="43" s="10" customFormat="true" ht="18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  <c r="W43" s="20"/>
    </row>
    <row r="44" s="10" customFormat="true" ht="18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  <c r="W44" s="20"/>
    </row>
    <row r="45" s="10" customFormat="true" ht="18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  <c r="W45" s="20"/>
    </row>
    <row r="46" s="10" customFormat="true" ht="18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  <c r="W46" s="20"/>
    </row>
    <row r="47" s="10" customFormat="true" ht="18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  <c r="W47" s="20"/>
    </row>
    <row r="48" s="10" customFormat="true" ht="18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  <c r="W48" s="20"/>
    </row>
    <row r="49" s="10" customFormat="true" ht="18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  <c r="W49" s="20"/>
    </row>
    <row r="50" s="10" customFormat="true" ht="18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  <c r="W50" s="20"/>
    </row>
    <row r="51" s="10" customFormat="true" ht="18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  <c r="W51" s="20"/>
    </row>
    <row r="52" s="10" customFormat="true" ht="18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  <c r="W52" s="20"/>
    </row>
    <row r="53" s="10" customFormat="true" ht="18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  <c r="W53" s="20"/>
    </row>
    <row r="54" s="10" customFormat="true" ht="18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  <c r="W54" s="20"/>
    </row>
    <row r="55" s="10" customFormat="true" ht="18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  <c r="W55" s="20"/>
    </row>
    <row r="56" s="10" customFormat="true" ht="18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  <c r="W56" s="20"/>
    </row>
    <row r="57" s="10" customFormat="true" ht="18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  <c r="W57" s="20"/>
    </row>
    <row r="58" s="10" customFormat="true" ht="18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  <c r="W58" s="20"/>
    </row>
    <row r="59" s="10" customFormat="true" ht="18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  <c r="W59" s="20"/>
    </row>
    <row r="60" s="10" customFormat="true" ht="18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  <c r="W60" s="20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31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32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33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34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1" colorId="64" zoomScale="70" zoomScaleNormal="70" zoomScalePageLayoutView="100" workbookViewId="0">
      <selection pane="topLeft" activeCell="AH55" activeCellId="0" sqref="AH55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">
        <v>7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36" t="s">
        <v>36</v>
      </c>
      <c r="B9" s="36" t="s">
        <v>10</v>
      </c>
      <c r="C9" s="36" t="s">
        <v>11</v>
      </c>
      <c r="D9" s="37" t="s">
        <v>37</v>
      </c>
      <c r="E9" s="38"/>
      <c r="F9" s="38"/>
      <c r="G9" s="37"/>
      <c r="H9" s="38"/>
      <c r="I9" s="38"/>
      <c r="J9" s="38"/>
      <c r="K9" s="38"/>
      <c r="L9" s="38"/>
      <c r="M9" s="39" t="s">
        <v>38</v>
      </c>
      <c r="N9" s="40"/>
      <c r="O9" s="41" t="s">
        <v>39</v>
      </c>
      <c r="P9" s="42"/>
      <c r="Q9" s="42"/>
      <c r="R9" s="42"/>
      <c r="S9" s="42"/>
      <c r="T9" s="42"/>
      <c r="U9" s="42"/>
      <c r="V9" s="42"/>
      <c r="W9" s="41" t="s">
        <v>40</v>
      </c>
      <c r="X9" s="40"/>
      <c r="Y9" s="43"/>
      <c r="Z9" s="44"/>
      <c r="AA9" s="44"/>
      <c r="AB9" s="37" t="s">
        <v>15</v>
      </c>
      <c r="AC9" s="45"/>
    </row>
    <row r="10" s="50" customFormat="true" ht="22.5" hidden="false" customHeight="true" outlineLevel="0" collapsed="false">
      <c r="A10" s="36"/>
      <c r="B10" s="36"/>
      <c r="C10" s="36"/>
      <c r="D10" s="36"/>
      <c r="E10" s="41"/>
      <c r="F10" s="41"/>
      <c r="G10" s="41"/>
      <c r="H10" s="41"/>
      <c r="I10" s="41"/>
      <c r="J10" s="41"/>
      <c r="K10" s="41"/>
      <c r="L10" s="41"/>
      <c r="M10" s="41"/>
      <c r="N10" s="41" t="s">
        <v>39</v>
      </c>
      <c r="O10" s="41"/>
      <c r="P10" s="41" t="s">
        <v>39</v>
      </c>
      <c r="Q10" s="41" t="s">
        <v>39</v>
      </c>
      <c r="R10" s="41"/>
      <c r="S10" s="41"/>
      <c r="T10" s="41"/>
      <c r="U10" s="41" t="s">
        <v>40</v>
      </c>
      <c r="V10" s="41" t="s">
        <v>40</v>
      </c>
      <c r="W10" s="41"/>
      <c r="X10" s="41" t="s">
        <v>40</v>
      </c>
      <c r="Y10" s="41" t="s">
        <v>40</v>
      </c>
      <c r="Z10" s="47"/>
      <c r="AA10" s="47"/>
      <c r="AB10" s="37"/>
      <c r="AC10" s="48"/>
      <c r="AD10" s="49"/>
      <c r="AE10" s="49"/>
    </row>
    <row r="11" s="50" customFormat="true" ht="15" hidden="false" customHeight="true" outlineLevel="0" collapsed="false">
      <c r="A11" s="13" t="n">
        <v>1</v>
      </c>
      <c r="B11" s="13" t="str">
        <f aca="false">'KTHH Lớp 1'!B23</f>
        <v>31</v>
      </c>
      <c r="C11" s="15" t="n">
        <f aca="false">'KTHH Lớp 1'!C23</f>
        <v>609.11</v>
      </c>
      <c r="D11" s="13" t="n">
        <f aca="false">'KTHH Lớp 1'!T23</f>
        <v>11.75</v>
      </c>
      <c r="E11" s="51"/>
      <c r="F11" s="51"/>
      <c r="G11" s="51"/>
      <c r="H11" s="51"/>
      <c r="I11" s="51"/>
      <c r="J11" s="51"/>
      <c r="K11" s="52"/>
      <c r="L11" s="16"/>
      <c r="M11" s="17"/>
      <c r="N11" s="53"/>
      <c r="O11" s="52" t="n">
        <f aca="false">10.5*0.25</f>
        <v>2.625</v>
      </c>
      <c r="P11" s="52"/>
      <c r="Q11" s="52"/>
      <c r="R11" s="54"/>
      <c r="S11" s="54"/>
      <c r="T11" s="54"/>
      <c r="U11" s="54"/>
      <c r="V11" s="54"/>
      <c r="W11" s="54" t="n">
        <f aca="false">(O11+O12)*D11/2</f>
        <v>30.84375</v>
      </c>
      <c r="X11" s="54"/>
      <c r="Y11" s="54"/>
      <c r="Z11" s="54"/>
      <c r="AA11" s="54"/>
      <c r="AB11" s="55"/>
      <c r="AC11" s="56"/>
      <c r="AE11" s="57"/>
      <c r="AF11" s="57"/>
    </row>
    <row r="12" s="50" customFormat="true" ht="15" hidden="false" customHeight="true" outlineLevel="0" collapsed="false">
      <c r="A12" s="13" t="n">
        <v>2</v>
      </c>
      <c r="B12" s="13" t="str">
        <f aca="false">'KTHH Lớp 1'!B24</f>
        <v>E10</v>
      </c>
      <c r="C12" s="15" t="n">
        <f aca="false">'KTHH Lớp 1'!C24</f>
        <v>620.86</v>
      </c>
      <c r="D12" s="13" t="n">
        <f aca="false">'KTHH Lớp 1'!T24</f>
        <v>11.75</v>
      </c>
      <c r="E12" s="51"/>
      <c r="F12" s="51"/>
      <c r="G12" s="51"/>
      <c r="H12" s="51"/>
      <c r="I12" s="51"/>
      <c r="J12" s="51"/>
      <c r="K12" s="52"/>
      <c r="L12" s="16"/>
      <c r="M12" s="17"/>
      <c r="N12" s="53"/>
      <c r="O12" s="52" t="n">
        <f aca="false">10.5*0.25</f>
        <v>2.625</v>
      </c>
      <c r="P12" s="52"/>
      <c r="Q12" s="52"/>
      <c r="R12" s="54"/>
      <c r="S12" s="54"/>
      <c r="T12" s="54"/>
      <c r="U12" s="54"/>
      <c r="V12" s="54"/>
      <c r="W12" s="54" t="n">
        <f aca="false">(O12+O13)*D12/2</f>
        <v>30.84375</v>
      </c>
      <c r="X12" s="54"/>
      <c r="Y12" s="54"/>
      <c r="Z12" s="54"/>
      <c r="AA12" s="54"/>
      <c r="AB12" s="55"/>
      <c r="AC12" s="56"/>
      <c r="AE12" s="57"/>
      <c r="AF12" s="57"/>
    </row>
    <row r="13" s="50" customFormat="true" ht="15" hidden="false" customHeight="true" outlineLevel="0" collapsed="false">
      <c r="A13" s="13" t="n">
        <v>3</v>
      </c>
      <c r="B13" s="13" t="str">
        <f aca="false">'KTHH Lớp 1'!B25</f>
        <v>32</v>
      </c>
      <c r="C13" s="15" t="n">
        <f aca="false">'KTHH Lớp 1'!C25</f>
        <v>632.61</v>
      </c>
      <c r="D13" s="13" t="n">
        <f aca="false">'KTHH Lớp 1'!T25</f>
        <v>20</v>
      </c>
      <c r="E13" s="51"/>
      <c r="F13" s="51"/>
      <c r="G13" s="51"/>
      <c r="H13" s="51"/>
      <c r="I13" s="51"/>
      <c r="J13" s="51"/>
      <c r="K13" s="52"/>
      <c r="L13" s="16"/>
      <c r="M13" s="17"/>
      <c r="N13" s="53"/>
      <c r="O13" s="52" t="n">
        <f aca="false">10.5*0.25</f>
        <v>2.625</v>
      </c>
      <c r="P13" s="52"/>
      <c r="Q13" s="52"/>
      <c r="R13" s="54"/>
      <c r="S13" s="54"/>
      <c r="T13" s="54"/>
      <c r="U13" s="54"/>
      <c r="V13" s="54"/>
      <c r="W13" s="54" t="n">
        <f aca="false">(O13+O14)*D13/2</f>
        <v>52.5</v>
      </c>
      <c r="X13" s="54"/>
      <c r="Y13" s="54"/>
      <c r="Z13" s="54"/>
      <c r="AA13" s="54"/>
      <c r="AB13" s="55"/>
      <c r="AC13" s="56"/>
      <c r="AE13" s="57"/>
      <c r="AF13" s="57"/>
    </row>
    <row r="14" s="50" customFormat="true" ht="15" hidden="false" customHeight="true" outlineLevel="0" collapsed="false">
      <c r="A14" s="13" t="n">
        <v>4</v>
      </c>
      <c r="B14" s="13" t="str">
        <f aca="false">'KTHH Lớp 1'!B26</f>
        <v>33</v>
      </c>
      <c r="C14" s="15" t="n">
        <f aca="false">'KTHH Lớp 1'!C26</f>
        <v>652.61</v>
      </c>
      <c r="D14" s="13" t="n">
        <f aca="false">'KTHH Lớp 1'!T26</f>
        <v>20</v>
      </c>
      <c r="E14" s="51"/>
      <c r="F14" s="51"/>
      <c r="G14" s="51"/>
      <c r="H14" s="51"/>
      <c r="I14" s="51"/>
      <c r="J14" s="51"/>
      <c r="K14" s="52"/>
      <c r="L14" s="16"/>
      <c r="M14" s="17"/>
      <c r="N14" s="53"/>
      <c r="O14" s="52" t="n">
        <f aca="false">10.5*0.25</f>
        <v>2.625</v>
      </c>
      <c r="P14" s="52"/>
      <c r="Q14" s="52"/>
      <c r="R14" s="54"/>
      <c r="S14" s="54"/>
      <c r="T14" s="54"/>
      <c r="U14" s="54"/>
      <c r="V14" s="54"/>
      <c r="W14" s="54" t="n">
        <f aca="false">(O14+O15)*D14/2</f>
        <v>52.5</v>
      </c>
      <c r="X14" s="54"/>
      <c r="Y14" s="54"/>
      <c r="Z14" s="54"/>
      <c r="AA14" s="54"/>
      <c r="AB14" s="55"/>
      <c r="AC14" s="56"/>
      <c r="AE14" s="57"/>
      <c r="AF14" s="57"/>
    </row>
    <row r="15" s="50" customFormat="true" ht="15" hidden="false" customHeight="true" outlineLevel="0" collapsed="false">
      <c r="A15" s="13" t="n">
        <v>5</v>
      </c>
      <c r="B15" s="13" t="str">
        <f aca="false">'KTHH Lớp 1'!B27</f>
        <v>34</v>
      </c>
      <c r="C15" s="15" t="n">
        <f aca="false">'KTHH Lớp 1'!C27</f>
        <v>672.61</v>
      </c>
      <c r="D15" s="13" t="n">
        <f aca="false">'KTHH Lớp 1'!T27</f>
        <v>20</v>
      </c>
      <c r="E15" s="51"/>
      <c r="F15" s="51"/>
      <c r="G15" s="51"/>
      <c r="H15" s="51"/>
      <c r="I15" s="51"/>
      <c r="J15" s="51"/>
      <c r="K15" s="52"/>
      <c r="L15" s="16"/>
      <c r="M15" s="17"/>
      <c r="N15" s="53"/>
      <c r="O15" s="52" t="n">
        <f aca="false">10.5*0.25</f>
        <v>2.625</v>
      </c>
      <c r="P15" s="52"/>
      <c r="Q15" s="52"/>
      <c r="R15" s="54"/>
      <c r="S15" s="54"/>
      <c r="T15" s="54"/>
      <c r="U15" s="54"/>
      <c r="V15" s="54"/>
      <c r="W15" s="54" t="n">
        <f aca="false">(O15+O16)*D15/2</f>
        <v>52.5</v>
      </c>
      <c r="X15" s="54"/>
      <c r="Y15" s="54"/>
      <c r="Z15" s="54"/>
      <c r="AA15" s="54"/>
      <c r="AB15" s="55"/>
      <c r="AC15" s="56"/>
      <c r="AE15" s="57"/>
      <c r="AF15" s="57"/>
    </row>
    <row r="16" s="50" customFormat="true" ht="15" hidden="false" customHeight="true" outlineLevel="0" collapsed="false">
      <c r="A16" s="13" t="n">
        <v>6</v>
      </c>
      <c r="B16" s="13" t="str">
        <f aca="false">'KTHH Lớp 1'!B28</f>
        <v>35</v>
      </c>
      <c r="C16" s="15" t="n">
        <f aca="false">'KTHH Lớp 1'!C28</f>
        <v>692.61</v>
      </c>
      <c r="D16" s="13" t="n">
        <f aca="false">'KTHH Lớp 1'!T28</f>
        <v>20</v>
      </c>
      <c r="E16" s="51"/>
      <c r="F16" s="51"/>
      <c r="G16" s="51"/>
      <c r="H16" s="51"/>
      <c r="I16" s="51"/>
      <c r="J16" s="51"/>
      <c r="K16" s="52"/>
      <c r="L16" s="16"/>
      <c r="M16" s="17"/>
      <c r="N16" s="53"/>
      <c r="O16" s="52" t="n">
        <f aca="false">10.5*0.25</f>
        <v>2.625</v>
      </c>
      <c r="P16" s="52"/>
      <c r="Q16" s="52"/>
      <c r="R16" s="54"/>
      <c r="S16" s="54"/>
      <c r="T16" s="54"/>
      <c r="U16" s="54"/>
      <c r="V16" s="54"/>
      <c r="W16" s="54" t="n">
        <f aca="false">(O16+O17)*D16/2</f>
        <v>52.5</v>
      </c>
      <c r="X16" s="54"/>
      <c r="Y16" s="54"/>
      <c r="Z16" s="54"/>
      <c r="AA16" s="54"/>
      <c r="AB16" s="55"/>
      <c r="AC16" s="56"/>
      <c r="AE16" s="57"/>
      <c r="AF16" s="57"/>
    </row>
    <row r="17" s="50" customFormat="true" ht="15" hidden="false" customHeight="true" outlineLevel="0" collapsed="false">
      <c r="A17" s="13" t="n">
        <v>7</v>
      </c>
      <c r="B17" s="13" t="str">
        <f aca="false">'KTHH Lớp 1'!B29</f>
        <v>36</v>
      </c>
      <c r="C17" s="15" t="n">
        <f aca="false">'KTHH Lớp 1'!C29</f>
        <v>712.61</v>
      </c>
      <c r="D17" s="13" t="n">
        <f aca="false">'KTHH Lớp 1'!T29</f>
        <v>11.5</v>
      </c>
      <c r="E17" s="51"/>
      <c r="F17" s="51"/>
      <c r="G17" s="51"/>
      <c r="H17" s="51"/>
      <c r="I17" s="51"/>
      <c r="J17" s="51"/>
      <c r="K17" s="52"/>
      <c r="L17" s="16"/>
      <c r="M17" s="17"/>
      <c r="N17" s="53"/>
      <c r="O17" s="52" t="n">
        <f aca="false">10.5*0.25</f>
        <v>2.625</v>
      </c>
      <c r="P17" s="52"/>
      <c r="Q17" s="52"/>
      <c r="R17" s="54"/>
      <c r="S17" s="54"/>
      <c r="T17" s="54"/>
      <c r="U17" s="54"/>
      <c r="V17" s="54"/>
      <c r="W17" s="54" t="n">
        <f aca="false">(O17+O18)*D17/2</f>
        <v>30.1875</v>
      </c>
      <c r="X17" s="54"/>
      <c r="Y17" s="54"/>
      <c r="Z17" s="54"/>
      <c r="AA17" s="54"/>
      <c r="AB17" s="55"/>
      <c r="AC17" s="56"/>
      <c r="AE17" s="57"/>
      <c r="AF17" s="57"/>
    </row>
    <row r="18" s="50" customFormat="true" ht="15" hidden="false" customHeight="true" outlineLevel="0" collapsed="false">
      <c r="A18" s="13" t="n">
        <v>8</v>
      </c>
      <c r="B18" s="13" t="str">
        <f aca="false">'KTHH Lớp 1'!B30</f>
        <v>37</v>
      </c>
      <c r="C18" s="15" t="n">
        <f aca="false">'KTHH Lớp 1'!C30</f>
        <v>724.11</v>
      </c>
      <c r="D18" s="13"/>
      <c r="E18" s="51"/>
      <c r="F18" s="51"/>
      <c r="G18" s="51"/>
      <c r="H18" s="51"/>
      <c r="I18" s="51"/>
      <c r="J18" s="51"/>
      <c r="K18" s="52"/>
      <c r="L18" s="16"/>
      <c r="M18" s="17"/>
      <c r="N18" s="53"/>
      <c r="O18" s="52" t="n">
        <f aca="false">10.5*0.25</f>
        <v>2.625</v>
      </c>
      <c r="P18" s="52"/>
      <c r="Q18" s="52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5"/>
      <c r="AC18" s="56"/>
      <c r="AE18" s="57"/>
      <c r="AF18" s="57"/>
    </row>
    <row r="19" s="50" customFormat="true" ht="15" hidden="true" customHeight="true" outlineLevel="0" collapsed="false">
      <c r="A19" s="13"/>
      <c r="B19" s="13"/>
      <c r="C19" s="15"/>
      <c r="D19" s="13"/>
      <c r="E19" s="51"/>
      <c r="F19" s="51"/>
      <c r="G19" s="51"/>
      <c r="H19" s="51"/>
      <c r="I19" s="51"/>
      <c r="J19" s="51"/>
      <c r="K19" s="52"/>
      <c r="L19" s="16"/>
      <c r="M19" s="17"/>
      <c r="N19" s="53"/>
      <c r="O19" s="52"/>
      <c r="P19" s="52"/>
      <c r="Q19" s="52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5"/>
      <c r="AC19" s="56"/>
      <c r="AE19" s="57"/>
      <c r="AF19" s="57"/>
    </row>
    <row r="20" s="50" customFormat="true" ht="15" hidden="true" customHeight="true" outlineLevel="0" collapsed="false">
      <c r="A20" s="13"/>
      <c r="B20" s="13"/>
      <c r="C20" s="15"/>
      <c r="D20" s="13"/>
      <c r="E20" s="51"/>
      <c r="F20" s="51"/>
      <c r="G20" s="51"/>
      <c r="H20" s="51"/>
      <c r="I20" s="51"/>
      <c r="J20" s="51"/>
      <c r="K20" s="52"/>
      <c r="L20" s="16"/>
      <c r="M20" s="17"/>
      <c r="N20" s="53"/>
      <c r="O20" s="52"/>
      <c r="P20" s="52"/>
      <c r="Q20" s="52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5"/>
      <c r="AC20" s="56"/>
      <c r="AE20" s="57"/>
      <c r="AF20" s="57"/>
    </row>
    <row r="21" s="50" customFormat="true" ht="15" hidden="true" customHeight="true" outlineLevel="0" collapsed="false">
      <c r="A21" s="13"/>
      <c r="B21" s="13"/>
      <c r="C21" s="15"/>
      <c r="D21" s="13"/>
      <c r="E21" s="51"/>
      <c r="F21" s="51"/>
      <c r="G21" s="51"/>
      <c r="H21" s="51"/>
      <c r="I21" s="51"/>
      <c r="J21" s="51"/>
      <c r="K21" s="52"/>
      <c r="L21" s="16"/>
      <c r="M21" s="17"/>
      <c r="N21" s="53"/>
      <c r="O21" s="52"/>
      <c r="P21" s="52"/>
      <c r="Q21" s="52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5"/>
      <c r="AC21" s="56"/>
      <c r="AE21" s="57"/>
      <c r="AF21" s="57"/>
    </row>
    <row r="22" s="50" customFormat="true" ht="15" hidden="true" customHeight="true" outlineLevel="0" collapsed="false">
      <c r="A22" s="13"/>
      <c r="B22" s="13"/>
      <c r="C22" s="15"/>
      <c r="D22" s="13"/>
      <c r="E22" s="51"/>
      <c r="F22" s="51"/>
      <c r="G22" s="51"/>
      <c r="H22" s="51"/>
      <c r="I22" s="51"/>
      <c r="J22" s="51"/>
      <c r="K22" s="52"/>
      <c r="L22" s="16"/>
      <c r="M22" s="17"/>
      <c r="N22" s="53"/>
      <c r="O22" s="52"/>
      <c r="P22" s="52"/>
      <c r="Q22" s="52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5"/>
      <c r="AC22" s="56"/>
      <c r="AE22" s="57"/>
      <c r="AF22" s="57"/>
    </row>
    <row r="23" s="50" customFormat="true" ht="15" hidden="true" customHeight="true" outlineLevel="0" collapsed="false">
      <c r="A23" s="13"/>
      <c r="B23" s="13"/>
      <c r="C23" s="15"/>
      <c r="D23" s="13"/>
      <c r="E23" s="51"/>
      <c r="F23" s="51"/>
      <c r="G23" s="51"/>
      <c r="H23" s="51"/>
      <c r="I23" s="51"/>
      <c r="J23" s="51"/>
      <c r="K23" s="52"/>
      <c r="L23" s="16"/>
      <c r="M23" s="17"/>
      <c r="N23" s="53"/>
      <c r="O23" s="52"/>
      <c r="P23" s="52"/>
      <c r="Q23" s="52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5"/>
      <c r="AC23" s="56"/>
      <c r="AE23" s="57"/>
      <c r="AF23" s="57"/>
    </row>
    <row r="24" s="50" customFormat="true" ht="15" hidden="true" customHeight="true" outlineLevel="0" collapsed="false">
      <c r="A24" s="13"/>
      <c r="B24" s="13"/>
      <c r="C24" s="15"/>
      <c r="D24" s="13"/>
      <c r="E24" s="51"/>
      <c r="F24" s="51"/>
      <c r="G24" s="51"/>
      <c r="H24" s="51"/>
      <c r="I24" s="51"/>
      <c r="J24" s="51"/>
      <c r="K24" s="52"/>
      <c r="L24" s="16"/>
      <c r="M24" s="17"/>
      <c r="N24" s="53"/>
      <c r="O24" s="52"/>
      <c r="P24" s="52"/>
      <c r="Q24" s="52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5"/>
      <c r="AC24" s="56"/>
      <c r="AE24" s="57"/>
      <c r="AF24" s="57"/>
    </row>
    <row r="25" s="50" customFormat="true" ht="15" hidden="true" customHeight="true" outlineLevel="0" collapsed="false">
      <c r="A25" s="13"/>
      <c r="B25" s="13"/>
      <c r="C25" s="15"/>
      <c r="D25" s="13"/>
      <c r="E25" s="51"/>
      <c r="F25" s="51"/>
      <c r="G25" s="51"/>
      <c r="H25" s="51"/>
      <c r="I25" s="51"/>
      <c r="J25" s="51"/>
      <c r="K25" s="52"/>
      <c r="L25" s="16"/>
      <c r="M25" s="17"/>
      <c r="N25" s="53"/>
      <c r="O25" s="52"/>
      <c r="P25" s="52"/>
      <c r="Q25" s="52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5"/>
      <c r="AC25" s="56"/>
      <c r="AE25" s="57"/>
      <c r="AF25" s="57"/>
    </row>
    <row r="26" s="50" customFormat="true" ht="15" hidden="true" customHeight="true" outlineLevel="0" collapsed="false">
      <c r="A26" s="13"/>
      <c r="B26" s="13"/>
      <c r="C26" s="15"/>
      <c r="D26" s="13"/>
      <c r="E26" s="51"/>
      <c r="F26" s="51"/>
      <c r="G26" s="51"/>
      <c r="H26" s="51"/>
      <c r="I26" s="51"/>
      <c r="J26" s="51"/>
      <c r="K26" s="52"/>
      <c r="L26" s="16"/>
      <c r="M26" s="17"/>
      <c r="N26" s="53"/>
      <c r="O26" s="52"/>
      <c r="P26" s="52"/>
      <c r="Q26" s="52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5"/>
      <c r="AC26" s="56"/>
      <c r="AE26" s="57"/>
      <c r="AF26" s="57"/>
    </row>
    <row r="27" s="50" customFormat="true" ht="15" hidden="true" customHeight="true" outlineLevel="0" collapsed="false">
      <c r="A27" s="13"/>
      <c r="B27" s="13"/>
      <c r="C27" s="15"/>
      <c r="D27" s="13"/>
      <c r="E27" s="51"/>
      <c r="F27" s="51"/>
      <c r="G27" s="51"/>
      <c r="H27" s="51"/>
      <c r="I27" s="51"/>
      <c r="J27" s="51"/>
      <c r="K27" s="52"/>
      <c r="L27" s="16"/>
      <c r="M27" s="17"/>
      <c r="N27" s="53"/>
      <c r="O27" s="52"/>
      <c r="P27" s="52"/>
      <c r="Q27" s="52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5"/>
      <c r="AC27" s="56"/>
      <c r="AE27" s="57"/>
      <c r="AF27" s="57"/>
    </row>
    <row r="28" s="50" customFormat="true" ht="15" hidden="true" customHeight="true" outlineLevel="0" collapsed="false">
      <c r="A28" s="13"/>
      <c r="B28" s="13"/>
      <c r="C28" s="15"/>
      <c r="D28" s="13"/>
      <c r="E28" s="51"/>
      <c r="F28" s="51"/>
      <c r="G28" s="51"/>
      <c r="H28" s="51"/>
      <c r="I28" s="51"/>
      <c r="J28" s="51"/>
      <c r="K28" s="52"/>
      <c r="L28" s="16"/>
      <c r="M28" s="17"/>
      <c r="N28" s="53"/>
      <c r="O28" s="52"/>
      <c r="P28" s="52"/>
      <c r="Q28" s="52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5"/>
      <c r="AC28" s="56"/>
      <c r="AE28" s="57"/>
      <c r="AF28" s="57"/>
    </row>
    <row r="29" s="50" customFormat="true" ht="15" hidden="true" customHeight="true" outlineLevel="0" collapsed="false">
      <c r="A29" s="13"/>
      <c r="B29" s="13"/>
      <c r="C29" s="15"/>
      <c r="D29" s="13"/>
      <c r="E29" s="51"/>
      <c r="F29" s="51"/>
      <c r="G29" s="51"/>
      <c r="H29" s="51"/>
      <c r="I29" s="51"/>
      <c r="J29" s="51"/>
      <c r="K29" s="52"/>
      <c r="L29" s="16"/>
      <c r="M29" s="17"/>
      <c r="N29" s="53"/>
      <c r="O29" s="52"/>
      <c r="P29" s="52"/>
      <c r="Q29" s="52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5"/>
      <c r="AC29" s="56"/>
      <c r="AE29" s="57"/>
      <c r="AF29" s="57"/>
    </row>
    <row r="30" s="50" customFormat="true" ht="15" hidden="true" customHeight="true" outlineLevel="0" collapsed="false">
      <c r="A30" s="13"/>
      <c r="B30" s="13"/>
      <c r="C30" s="15"/>
      <c r="D30" s="13"/>
      <c r="E30" s="51"/>
      <c r="F30" s="51"/>
      <c r="G30" s="51"/>
      <c r="H30" s="51"/>
      <c r="I30" s="51"/>
      <c r="J30" s="51"/>
      <c r="K30" s="52"/>
      <c r="L30" s="16"/>
      <c r="M30" s="17"/>
      <c r="N30" s="53"/>
      <c r="O30" s="52"/>
      <c r="P30" s="52"/>
      <c r="Q30" s="52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5"/>
      <c r="AC30" s="56"/>
      <c r="AE30" s="57"/>
      <c r="AF30" s="57"/>
    </row>
    <row r="31" s="50" customFormat="true" ht="15" hidden="true" customHeight="true" outlineLevel="0" collapsed="false">
      <c r="A31" s="13"/>
      <c r="B31" s="13"/>
      <c r="C31" s="15"/>
      <c r="D31" s="13"/>
      <c r="E31" s="51"/>
      <c r="F31" s="51"/>
      <c r="G31" s="51"/>
      <c r="H31" s="51"/>
      <c r="I31" s="51"/>
      <c r="J31" s="51"/>
      <c r="K31" s="52"/>
      <c r="L31" s="16"/>
      <c r="M31" s="17"/>
      <c r="N31" s="53"/>
      <c r="O31" s="52"/>
      <c r="P31" s="52"/>
      <c r="Q31" s="52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5"/>
      <c r="AC31" s="56"/>
      <c r="AE31" s="57"/>
      <c r="AF31" s="57"/>
    </row>
    <row r="32" s="50" customFormat="true" ht="15" hidden="true" customHeight="true" outlineLevel="0" collapsed="false">
      <c r="A32" s="13"/>
      <c r="B32" s="13"/>
      <c r="C32" s="15"/>
      <c r="D32" s="13"/>
      <c r="E32" s="51"/>
      <c r="F32" s="51"/>
      <c r="G32" s="51"/>
      <c r="H32" s="51"/>
      <c r="I32" s="51"/>
      <c r="J32" s="51"/>
      <c r="K32" s="52"/>
      <c r="L32" s="16"/>
      <c r="M32" s="17"/>
      <c r="N32" s="53"/>
      <c r="O32" s="52"/>
      <c r="P32" s="52"/>
      <c r="Q32" s="52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5"/>
      <c r="AC32" s="56"/>
      <c r="AE32" s="57"/>
      <c r="AF32" s="57"/>
    </row>
    <row r="33" s="50" customFormat="true" ht="15" hidden="true" customHeight="true" outlineLevel="0" collapsed="false">
      <c r="A33" s="13"/>
      <c r="B33" s="13"/>
      <c r="C33" s="15"/>
      <c r="D33" s="13"/>
      <c r="E33" s="51"/>
      <c r="F33" s="51"/>
      <c r="G33" s="51"/>
      <c r="H33" s="51"/>
      <c r="I33" s="51"/>
      <c r="J33" s="51"/>
      <c r="K33" s="52"/>
      <c r="L33" s="16"/>
      <c r="M33" s="17"/>
      <c r="N33" s="53"/>
      <c r="O33" s="52"/>
      <c r="P33" s="52"/>
      <c r="Q33" s="52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5"/>
      <c r="AC33" s="56"/>
      <c r="AE33" s="57"/>
      <c r="AF33" s="57"/>
    </row>
    <row r="34" s="50" customFormat="true" ht="15" hidden="true" customHeight="true" outlineLevel="0" collapsed="false">
      <c r="A34" s="13"/>
      <c r="B34" s="13"/>
      <c r="C34" s="15"/>
      <c r="D34" s="13"/>
      <c r="E34" s="51"/>
      <c r="F34" s="51"/>
      <c r="G34" s="51"/>
      <c r="H34" s="51"/>
      <c r="I34" s="51"/>
      <c r="J34" s="51"/>
      <c r="K34" s="52"/>
      <c r="L34" s="16"/>
      <c r="M34" s="17"/>
      <c r="N34" s="53"/>
      <c r="O34" s="52"/>
      <c r="P34" s="52"/>
      <c r="Q34" s="52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5"/>
      <c r="AC34" s="56"/>
      <c r="AE34" s="57"/>
      <c r="AF34" s="57"/>
    </row>
    <row r="35" s="50" customFormat="true" ht="15" hidden="true" customHeight="true" outlineLevel="0" collapsed="false">
      <c r="A35" s="13"/>
      <c r="B35" s="13"/>
      <c r="C35" s="15"/>
      <c r="D35" s="13"/>
      <c r="E35" s="51"/>
      <c r="F35" s="51"/>
      <c r="G35" s="51"/>
      <c r="H35" s="51"/>
      <c r="I35" s="51"/>
      <c r="J35" s="51"/>
      <c r="K35" s="52"/>
      <c r="L35" s="16"/>
      <c r="M35" s="17"/>
      <c r="N35" s="53"/>
      <c r="O35" s="52"/>
      <c r="P35" s="52"/>
      <c r="Q35" s="52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5"/>
      <c r="AC35" s="56"/>
      <c r="AE35" s="57"/>
      <c r="AF35" s="57"/>
    </row>
    <row r="36" s="50" customFormat="true" ht="15" hidden="true" customHeight="true" outlineLevel="0" collapsed="false">
      <c r="A36" s="13"/>
      <c r="B36" s="13"/>
      <c r="C36" s="15"/>
      <c r="D36" s="13"/>
      <c r="E36" s="51"/>
      <c r="F36" s="51"/>
      <c r="G36" s="51"/>
      <c r="H36" s="51"/>
      <c r="I36" s="51"/>
      <c r="J36" s="51"/>
      <c r="K36" s="52"/>
      <c r="L36" s="16"/>
      <c r="M36" s="17"/>
      <c r="N36" s="53"/>
      <c r="O36" s="52"/>
      <c r="P36" s="52"/>
      <c r="Q36" s="52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5"/>
      <c r="AC36" s="56"/>
      <c r="AE36" s="57"/>
      <c r="AF36" s="57"/>
    </row>
    <row r="37" s="50" customFormat="true" ht="15" hidden="true" customHeight="true" outlineLevel="0" collapsed="false">
      <c r="A37" s="13"/>
      <c r="B37" s="13"/>
      <c r="C37" s="15"/>
      <c r="D37" s="13"/>
      <c r="E37" s="51"/>
      <c r="F37" s="51"/>
      <c r="G37" s="51"/>
      <c r="H37" s="51"/>
      <c r="I37" s="51"/>
      <c r="J37" s="51"/>
      <c r="K37" s="52"/>
      <c r="L37" s="16"/>
      <c r="M37" s="17"/>
      <c r="N37" s="53"/>
      <c r="O37" s="52"/>
      <c r="P37" s="52"/>
      <c r="Q37" s="52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5"/>
      <c r="AC37" s="56"/>
      <c r="AE37" s="57"/>
      <c r="AF37" s="57"/>
    </row>
    <row r="38" s="50" customFormat="true" ht="15" hidden="true" customHeight="true" outlineLevel="0" collapsed="false">
      <c r="A38" s="13"/>
      <c r="B38" s="13"/>
      <c r="C38" s="15"/>
      <c r="D38" s="13"/>
      <c r="E38" s="51"/>
      <c r="F38" s="51"/>
      <c r="G38" s="51"/>
      <c r="H38" s="51"/>
      <c r="I38" s="51"/>
      <c r="J38" s="51"/>
      <c r="K38" s="52"/>
      <c r="L38" s="16"/>
      <c r="M38" s="17"/>
      <c r="N38" s="53"/>
      <c r="O38" s="52"/>
      <c r="P38" s="52"/>
      <c r="Q38" s="52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5"/>
      <c r="AC38" s="56"/>
      <c r="AE38" s="57"/>
      <c r="AF38" s="57"/>
    </row>
    <row r="39" s="50" customFormat="true" ht="15" hidden="true" customHeight="true" outlineLevel="0" collapsed="false">
      <c r="A39" s="13"/>
      <c r="B39" s="13"/>
      <c r="C39" s="15"/>
      <c r="D39" s="13"/>
      <c r="E39" s="51"/>
      <c r="F39" s="51"/>
      <c r="G39" s="51"/>
      <c r="H39" s="51"/>
      <c r="I39" s="51"/>
      <c r="J39" s="51"/>
      <c r="K39" s="52"/>
      <c r="L39" s="16"/>
      <c r="M39" s="17"/>
      <c r="N39" s="53"/>
      <c r="O39" s="52"/>
      <c r="P39" s="52"/>
      <c r="Q39" s="52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5"/>
      <c r="AC39" s="56"/>
      <c r="AE39" s="57"/>
      <c r="AF39" s="57"/>
    </row>
    <row r="40" s="50" customFormat="true" ht="15" hidden="true" customHeight="true" outlineLevel="0" collapsed="false">
      <c r="A40" s="13"/>
      <c r="B40" s="13"/>
      <c r="C40" s="15"/>
      <c r="D40" s="13"/>
      <c r="E40" s="51"/>
      <c r="F40" s="51"/>
      <c r="G40" s="51"/>
      <c r="H40" s="51"/>
      <c r="I40" s="51"/>
      <c r="J40" s="51"/>
      <c r="K40" s="52"/>
      <c r="L40" s="16"/>
      <c r="M40" s="17"/>
      <c r="N40" s="53"/>
      <c r="O40" s="52"/>
      <c r="P40" s="52"/>
      <c r="Q40" s="52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5"/>
      <c r="AC40" s="56"/>
      <c r="AE40" s="57"/>
      <c r="AF40" s="57"/>
    </row>
    <row r="41" s="50" customFormat="true" ht="15" hidden="true" customHeight="true" outlineLevel="0" collapsed="false">
      <c r="A41" s="13"/>
      <c r="B41" s="13"/>
      <c r="C41" s="15"/>
      <c r="D41" s="13"/>
      <c r="E41" s="51"/>
      <c r="F41" s="51"/>
      <c r="G41" s="51"/>
      <c r="H41" s="51"/>
      <c r="I41" s="51"/>
      <c r="J41" s="51"/>
      <c r="K41" s="52"/>
      <c r="L41" s="16"/>
      <c r="M41" s="17"/>
      <c r="N41" s="53"/>
      <c r="O41" s="52"/>
      <c r="P41" s="52"/>
      <c r="Q41" s="52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5"/>
      <c r="AC41" s="56"/>
      <c r="AE41" s="57"/>
      <c r="AF41" s="57"/>
    </row>
    <row r="42" s="50" customFormat="true" ht="15" hidden="true" customHeight="true" outlineLevel="0" collapsed="false">
      <c r="A42" s="13"/>
      <c r="B42" s="13"/>
      <c r="C42" s="15"/>
      <c r="D42" s="13"/>
      <c r="E42" s="51"/>
      <c r="F42" s="51"/>
      <c r="G42" s="51"/>
      <c r="H42" s="51"/>
      <c r="I42" s="51"/>
      <c r="J42" s="51"/>
      <c r="K42" s="52"/>
      <c r="L42" s="16"/>
      <c r="M42" s="17"/>
      <c r="N42" s="53"/>
      <c r="O42" s="52"/>
      <c r="P42" s="52"/>
      <c r="Q42" s="52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5"/>
      <c r="AC42" s="56"/>
      <c r="AE42" s="57"/>
      <c r="AF42" s="57"/>
    </row>
    <row r="43" s="50" customFormat="true" ht="15" hidden="true" customHeight="true" outlineLevel="0" collapsed="false">
      <c r="A43" s="13"/>
      <c r="B43" s="13"/>
      <c r="C43" s="15"/>
      <c r="D43" s="13"/>
      <c r="E43" s="51"/>
      <c r="F43" s="51"/>
      <c r="G43" s="51"/>
      <c r="H43" s="51"/>
      <c r="I43" s="51"/>
      <c r="J43" s="51"/>
      <c r="K43" s="52"/>
      <c r="L43" s="16"/>
      <c r="M43" s="17"/>
      <c r="N43" s="53"/>
      <c r="O43" s="52"/>
      <c r="P43" s="52"/>
      <c r="Q43" s="52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5"/>
      <c r="AC43" s="56"/>
      <c r="AE43" s="57"/>
      <c r="AF43" s="57"/>
    </row>
    <row r="44" s="50" customFormat="true" ht="15" hidden="true" customHeight="true" outlineLevel="0" collapsed="false">
      <c r="A44" s="13"/>
      <c r="B44" s="13"/>
      <c r="C44" s="15"/>
      <c r="D44" s="13"/>
      <c r="E44" s="51"/>
      <c r="F44" s="51"/>
      <c r="G44" s="51"/>
      <c r="H44" s="51"/>
      <c r="I44" s="51"/>
      <c r="J44" s="51"/>
      <c r="K44" s="52"/>
      <c r="L44" s="16"/>
      <c r="M44" s="17"/>
      <c r="N44" s="53"/>
      <c r="O44" s="52"/>
      <c r="P44" s="52"/>
      <c r="Q44" s="52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5"/>
      <c r="AC44" s="56"/>
      <c r="AE44" s="57"/>
      <c r="AF44" s="57"/>
    </row>
    <row r="45" s="50" customFormat="true" ht="15" hidden="true" customHeight="true" outlineLevel="0" collapsed="false">
      <c r="A45" s="13"/>
      <c r="B45" s="13"/>
      <c r="C45" s="15"/>
      <c r="D45" s="13"/>
      <c r="E45" s="51"/>
      <c r="F45" s="51"/>
      <c r="G45" s="51"/>
      <c r="H45" s="51"/>
      <c r="I45" s="51"/>
      <c r="J45" s="51"/>
      <c r="K45" s="52"/>
      <c r="L45" s="16"/>
      <c r="M45" s="17"/>
      <c r="N45" s="53"/>
      <c r="O45" s="52"/>
      <c r="P45" s="52"/>
      <c r="Q45" s="52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5"/>
      <c r="AC45" s="56"/>
      <c r="AE45" s="57"/>
      <c r="AF45" s="57"/>
    </row>
    <row r="46" s="50" customFormat="true" ht="15" hidden="true" customHeight="true" outlineLevel="0" collapsed="false">
      <c r="A46" s="13"/>
      <c r="B46" s="13"/>
      <c r="C46" s="15"/>
      <c r="D46" s="13"/>
      <c r="E46" s="51"/>
      <c r="F46" s="51"/>
      <c r="G46" s="51"/>
      <c r="H46" s="51"/>
      <c r="I46" s="51"/>
      <c r="J46" s="51"/>
      <c r="K46" s="52"/>
      <c r="L46" s="16"/>
      <c r="M46" s="17"/>
      <c r="N46" s="53"/>
      <c r="O46" s="52"/>
      <c r="P46" s="52"/>
      <c r="Q46" s="52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5"/>
      <c r="AC46" s="56"/>
      <c r="AE46" s="57"/>
      <c r="AF46" s="57"/>
    </row>
    <row r="47" s="50" customFormat="true" ht="15" hidden="true" customHeight="true" outlineLevel="0" collapsed="false">
      <c r="A47" s="13"/>
      <c r="B47" s="13"/>
      <c r="C47" s="15"/>
      <c r="D47" s="13"/>
      <c r="E47" s="51"/>
      <c r="F47" s="51"/>
      <c r="G47" s="51"/>
      <c r="H47" s="51"/>
      <c r="I47" s="51"/>
      <c r="J47" s="51"/>
      <c r="K47" s="52"/>
      <c r="L47" s="16"/>
      <c r="M47" s="17"/>
      <c r="N47" s="53"/>
      <c r="O47" s="52"/>
      <c r="P47" s="52"/>
      <c r="Q47" s="52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5"/>
      <c r="AC47" s="56"/>
      <c r="AE47" s="57"/>
      <c r="AF47" s="57"/>
    </row>
    <row r="48" s="50" customFormat="true" ht="15" hidden="true" customHeight="true" outlineLevel="0" collapsed="false">
      <c r="A48" s="13"/>
      <c r="B48" s="13"/>
      <c r="C48" s="15"/>
      <c r="D48" s="13"/>
      <c r="E48" s="51"/>
      <c r="F48" s="51"/>
      <c r="G48" s="51"/>
      <c r="H48" s="51"/>
      <c r="I48" s="51"/>
      <c r="J48" s="51"/>
      <c r="K48" s="52"/>
      <c r="L48" s="16"/>
      <c r="M48" s="17"/>
      <c r="N48" s="53"/>
      <c r="O48" s="52"/>
      <c r="P48" s="52"/>
      <c r="Q48" s="52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5"/>
      <c r="AC48" s="56"/>
      <c r="AE48" s="57"/>
      <c r="AF48" s="57"/>
    </row>
    <row r="49" s="31" customFormat="true" ht="16.5" hidden="false" customHeight="true" outlineLevel="0" collapsed="false">
      <c r="A49" s="58" t="s">
        <v>41</v>
      </c>
      <c r="B49" s="58"/>
      <c r="C49" s="58"/>
      <c r="D49" s="58"/>
      <c r="E49" s="59"/>
      <c r="F49" s="59"/>
      <c r="G49" s="59"/>
      <c r="H49" s="59"/>
      <c r="I49" s="59"/>
      <c r="J49" s="59"/>
      <c r="K49" s="59"/>
      <c r="L49" s="59"/>
      <c r="M49" s="60"/>
      <c r="N49" s="60"/>
      <c r="O49" s="60"/>
      <c r="P49" s="60"/>
      <c r="Q49" s="60"/>
      <c r="R49" s="61" t="n">
        <f aca="false">SUM(R11:R34)</f>
        <v>0</v>
      </c>
      <c r="S49" s="61" t="n">
        <f aca="false">SUM(S11:S34)</f>
        <v>0</v>
      </c>
      <c r="T49" s="61"/>
      <c r="U49" s="62" t="n">
        <f aca="false">SUM(U11:U34)</f>
        <v>0</v>
      </c>
      <c r="V49" s="62" t="n">
        <f aca="false">SUM(V11:V34)</f>
        <v>0</v>
      </c>
      <c r="W49" s="63" t="n">
        <f aca="false">SUM(W11:W18)</f>
        <v>301.875</v>
      </c>
      <c r="X49" s="62" t="n">
        <f aca="false">SUM(X11:X34)</f>
        <v>0</v>
      </c>
      <c r="Y49" s="62" t="n">
        <f aca="false">SUM(Y11:Y34)</f>
        <v>0</v>
      </c>
      <c r="Z49" s="62" t="n">
        <f aca="false">SUM(Z11:Z34)</f>
        <v>0</v>
      </c>
      <c r="AA49" s="62" t="n">
        <f aca="false">SUM(AA11:AA34)</f>
        <v>0</v>
      </c>
      <c r="AB49" s="62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66"/>
      <c r="B50" s="66"/>
      <c r="C50" s="66"/>
      <c r="D50" s="66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8"/>
      <c r="S50" s="68"/>
      <c r="T50" s="68"/>
      <c r="U50" s="69"/>
      <c r="V50" s="69"/>
      <c r="W50" s="69"/>
      <c r="X50" s="69"/>
      <c r="Y50" s="69"/>
      <c r="Z50" s="69"/>
      <c r="AA50" s="69"/>
      <c r="AB50" s="69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21" t="s">
        <v>31</v>
      </c>
      <c r="B51" s="21"/>
      <c r="C51" s="21"/>
      <c r="D51" s="75" t="s">
        <v>42</v>
      </c>
      <c r="E51" s="21" t="s">
        <v>32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76"/>
      <c r="B52" s="76"/>
      <c r="C52" s="76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67"/>
      <c r="Y52" s="67"/>
      <c r="Z52" s="67"/>
      <c r="AA52" s="67"/>
      <c r="AB52" s="67"/>
      <c r="AI52" s="50"/>
      <c r="AJ52" s="50"/>
      <c r="AK52" s="50"/>
      <c r="AL52" s="50"/>
    </row>
    <row r="53" s="70" customFormat="true" ht="15.75" hidden="false" customHeight="true" outlineLevel="0" collapsed="false">
      <c r="A53" s="76"/>
      <c r="B53" s="76"/>
      <c r="C53" s="78"/>
      <c r="D53" s="78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67"/>
      <c r="Y53" s="67"/>
      <c r="Z53" s="67"/>
      <c r="AA53" s="67"/>
      <c r="AB53" s="67"/>
      <c r="AF53" s="79"/>
    </row>
    <row r="54" s="70" customFormat="true" ht="15" hidden="false" customHeight="true" outlineLevel="0" collapsed="false">
      <c r="A54" s="76"/>
      <c r="B54" s="76"/>
      <c r="C54" s="76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67"/>
      <c r="Y54" s="67"/>
      <c r="Z54" s="67"/>
      <c r="AA54" s="67"/>
      <c r="AB54" s="67"/>
    </row>
    <row r="55" s="70" customFormat="true" ht="15" hidden="false" customHeight="true" outlineLevel="0" collapsed="false">
      <c r="A55" s="76"/>
      <c r="B55" s="76"/>
      <c r="C55" s="76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67"/>
      <c r="Y55" s="67"/>
      <c r="Z55" s="67"/>
      <c r="AA55" s="67"/>
      <c r="AB55" s="67"/>
    </row>
    <row r="56" s="70" customFormat="true" ht="15" hidden="false" customHeight="true" outlineLevel="0" collapsed="false">
      <c r="A56" s="76"/>
      <c r="B56" s="76"/>
      <c r="C56" s="76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67"/>
      <c r="Y56" s="67"/>
      <c r="Z56" s="67"/>
      <c r="AA56" s="67"/>
      <c r="AB56" s="67"/>
    </row>
    <row r="57" s="70" customFormat="true" ht="15" hidden="false" customHeight="true" outlineLevel="0" collapsed="false">
      <c r="A57" s="21" t="s">
        <v>33</v>
      </c>
      <c r="B57" s="21"/>
      <c r="C57" s="21"/>
      <c r="D57" s="22"/>
      <c r="E57" s="22"/>
      <c r="F57" s="22"/>
      <c r="G57" s="22"/>
      <c r="H57" s="22"/>
      <c r="I57" s="22"/>
      <c r="J57" s="22"/>
      <c r="K57" s="22"/>
      <c r="L57" s="22"/>
      <c r="M57" s="21" t="s">
        <v>34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customFormat="false" ht="15" hidden="false" customHeight="true" outlineLevel="0" collapsed="false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290277777777778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34" colorId="64" zoomScale="70" zoomScaleNormal="70" zoomScalePageLayoutView="100" workbookViewId="0">
      <selection pane="topLeft" activeCell="T3" activeCellId="0" sqref="T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">
        <v>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">
        <v>44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609.11</v>
      </c>
      <c r="D23" s="16" t="n">
        <v>-5.25</v>
      </c>
      <c r="E23" s="16" t="n">
        <f aca="false">+D23+F23</f>
        <v>-5.2491</v>
      </c>
      <c r="F23" s="16" t="n">
        <f aca="false">RANDBETWEEN(-105,115)/10000</f>
        <v>0.0009</v>
      </c>
      <c r="G23" s="16" t="n">
        <f aca="false">W23+0.25</f>
        <v>2.341</v>
      </c>
      <c r="H23" s="16" t="n">
        <f aca="false">G23+I23</f>
        <v>2.358</v>
      </c>
      <c r="I23" s="16" t="n">
        <f aca="false">RANDBETWEEN(-20,70)/1000</f>
        <v>0.017</v>
      </c>
      <c r="J23" s="16" t="n">
        <f aca="false">X23+0.25</f>
        <v>2.458</v>
      </c>
      <c r="K23" s="16" t="n">
        <f aca="false">J23+L23</f>
        <v>2.451</v>
      </c>
      <c r="L23" s="16" t="n">
        <f aca="false">RANDBETWEEN(-20,70)/1000</f>
        <v>-0.007</v>
      </c>
      <c r="M23" s="16" t="n">
        <v>5.25</v>
      </c>
      <c r="N23" s="16" t="n">
        <f aca="false">+M23+O23</f>
        <v>5.244</v>
      </c>
      <c r="O23" s="16" t="n">
        <f aca="false">RANDBETWEEN(-105,115)/10000</f>
        <v>-0.006</v>
      </c>
      <c r="P23" s="16" t="n">
        <f aca="false">Y23+0.25</f>
        <v>2.341</v>
      </c>
      <c r="Q23" s="16" t="n">
        <f aca="false">P23+R23</f>
        <v>2.36</v>
      </c>
      <c r="R23" s="16" t="n">
        <f aca="false">RANDBETWEEN(-20,70)/1000</f>
        <v>0.019</v>
      </c>
      <c r="S23" s="17"/>
      <c r="T23" s="18" t="n">
        <v>11.75</v>
      </c>
      <c r="V23" s="19"/>
      <c r="W23" s="19" t="n">
        <f aca="false">'KTHH Lớp 1'!G23</f>
        <v>2.091</v>
      </c>
      <c r="X23" s="19" t="n">
        <f aca="false">'KTHH Lớp 1'!J23</f>
        <v>2.208</v>
      </c>
      <c r="Y23" s="19" t="n">
        <f aca="false">'KTHH Lớp 1'!P23</f>
        <v>2.091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620.86</v>
      </c>
      <c r="D24" s="16" t="n">
        <v>-5.25</v>
      </c>
      <c r="E24" s="16" t="n">
        <f aca="false">+D24+F24</f>
        <v>-5.2592</v>
      </c>
      <c r="F24" s="16" t="n">
        <f aca="false">RANDBETWEEN(-105,115)/10000</f>
        <v>-0.0092</v>
      </c>
      <c r="G24" s="16" t="n">
        <f aca="false">W24+0.25</f>
        <v>2.342</v>
      </c>
      <c r="H24" s="16" t="n">
        <f aca="false">G24+I24</f>
        <v>2.353</v>
      </c>
      <c r="I24" s="16" t="n">
        <f aca="false">RANDBETWEEN(-20,70)/1000</f>
        <v>0.011</v>
      </c>
      <c r="J24" s="16" t="n">
        <f aca="false">X24+0.25</f>
        <v>2.459</v>
      </c>
      <c r="K24" s="16" t="n">
        <f aca="false">J24+L24</f>
        <v>2.472</v>
      </c>
      <c r="L24" s="16" t="n">
        <f aca="false">RANDBETWEEN(-20,70)/1000</f>
        <v>0.013</v>
      </c>
      <c r="M24" s="16" t="n">
        <v>5.25</v>
      </c>
      <c r="N24" s="16" t="n">
        <f aca="false">+M24+O24</f>
        <v>5.2569</v>
      </c>
      <c r="O24" s="16" t="n">
        <f aca="false">RANDBETWEEN(-105,115)/10000</f>
        <v>0.0069</v>
      </c>
      <c r="P24" s="16" t="n">
        <f aca="false">Y24+0.25</f>
        <v>2.342</v>
      </c>
      <c r="Q24" s="16" t="n">
        <f aca="false">P24+R24</f>
        <v>2.341</v>
      </c>
      <c r="R24" s="16" t="n">
        <f aca="false">RANDBETWEEN(-20,70)/1000</f>
        <v>-0.001</v>
      </c>
      <c r="S24" s="17"/>
      <c r="T24" s="18" t="n">
        <v>11.75</v>
      </c>
      <c r="V24" s="19"/>
      <c r="W24" s="19" t="n">
        <f aca="false">'KTHH Lớp 1'!G24</f>
        <v>2.092</v>
      </c>
      <c r="X24" s="19" t="n">
        <f aca="false">'KTHH Lớp 1'!J24</f>
        <v>2.209</v>
      </c>
      <c r="Y24" s="19" t="n">
        <f aca="false">'KTHH Lớp 1'!P24</f>
        <v>2.092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632.61</v>
      </c>
      <c r="D25" s="16" t="n">
        <v>-5.25</v>
      </c>
      <c r="E25" s="16" t="n">
        <f aca="false">+D25+F25</f>
        <v>-5.2562</v>
      </c>
      <c r="F25" s="16" t="n">
        <f aca="false">RANDBETWEEN(-105,115)/10000</f>
        <v>-0.0062</v>
      </c>
      <c r="G25" s="16" t="n">
        <f aca="false">W25+0.25</f>
        <v>2.344</v>
      </c>
      <c r="H25" s="16" t="n">
        <f aca="false">G25+I25</f>
        <v>2.408</v>
      </c>
      <c r="I25" s="16" t="n">
        <f aca="false">RANDBETWEEN(-20,70)/1000</f>
        <v>0.064</v>
      </c>
      <c r="J25" s="16" t="n">
        <f aca="false">X25+0.25</f>
        <v>2.461</v>
      </c>
      <c r="K25" s="16" t="n">
        <f aca="false">J25+L25</f>
        <v>2.45</v>
      </c>
      <c r="L25" s="16" t="n">
        <f aca="false">RANDBETWEEN(-20,70)/1000</f>
        <v>-0.011</v>
      </c>
      <c r="M25" s="16" t="n">
        <v>5.25</v>
      </c>
      <c r="N25" s="16" t="n">
        <f aca="false">+M25+O25</f>
        <v>5.2405</v>
      </c>
      <c r="O25" s="16" t="n">
        <f aca="false">RANDBETWEEN(-105,115)/10000</f>
        <v>-0.0095</v>
      </c>
      <c r="P25" s="16" t="n">
        <f aca="false">Y25+0.25</f>
        <v>2.344</v>
      </c>
      <c r="Q25" s="16" t="n">
        <f aca="false">P25+R25</f>
        <v>2.383</v>
      </c>
      <c r="R25" s="16" t="n">
        <f aca="false">RANDBETWEEN(-20,70)/1000</f>
        <v>0.039</v>
      </c>
      <c r="S25" s="17"/>
      <c r="T25" s="18" t="n">
        <v>20</v>
      </c>
      <c r="V25" s="19"/>
      <c r="W25" s="19" t="n">
        <f aca="false">'KTHH Lớp 1'!G25</f>
        <v>2.094</v>
      </c>
      <c r="X25" s="19" t="n">
        <f aca="false">'KTHH Lớp 1'!J25</f>
        <v>2.211</v>
      </c>
      <c r="Y25" s="19" t="n">
        <f aca="false">'KTHH Lớp 1'!P25</f>
        <v>2.094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652.61</v>
      </c>
      <c r="D26" s="16" t="n">
        <v>-5.25</v>
      </c>
      <c r="E26" s="16" t="n">
        <f aca="false">+D26+F26</f>
        <v>-5.2554</v>
      </c>
      <c r="F26" s="16" t="n">
        <f aca="false">RANDBETWEEN(-105,115)/10000</f>
        <v>-0.0054</v>
      </c>
      <c r="G26" s="16" t="n">
        <f aca="false">W26+0.25</f>
        <v>2.346</v>
      </c>
      <c r="H26" s="16" t="n">
        <f aca="false">G26+I26</f>
        <v>2.399</v>
      </c>
      <c r="I26" s="16" t="n">
        <f aca="false">RANDBETWEEN(-20,70)/1000</f>
        <v>0.053</v>
      </c>
      <c r="J26" s="16" t="n">
        <f aca="false">X26+0.25</f>
        <v>2.463</v>
      </c>
      <c r="K26" s="16" t="n">
        <f aca="false">J26+L26</f>
        <v>2.522</v>
      </c>
      <c r="L26" s="16" t="n">
        <f aca="false">RANDBETWEEN(-20,70)/1000</f>
        <v>0.059</v>
      </c>
      <c r="M26" s="16" t="n">
        <v>5.25</v>
      </c>
      <c r="N26" s="16" t="n">
        <f aca="false">+M26+O26</f>
        <v>5.2506</v>
      </c>
      <c r="O26" s="16" t="n">
        <f aca="false">RANDBETWEEN(-105,115)/10000</f>
        <v>0.0006</v>
      </c>
      <c r="P26" s="16" t="n">
        <f aca="false">Y26+0.25</f>
        <v>2.346</v>
      </c>
      <c r="Q26" s="16" t="n">
        <f aca="false">P26+R26</f>
        <v>2.369</v>
      </c>
      <c r="R26" s="16" t="n">
        <f aca="false">RANDBETWEEN(-20,70)/1000</f>
        <v>0.023</v>
      </c>
      <c r="S26" s="17"/>
      <c r="T26" s="18" t="n">
        <v>20</v>
      </c>
      <c r="V26" s="19"/>
      <c r="W26" s="19" t="n">
        <f aca="false">'KTHH Lớp 1'!G26</f>
        <v>2.096</v>
      </c>
      <c r="X26" s="19" t="n">
        <f aca="false">'KTHH Lớp 1'!J26</f>
        <v>2.213</v>
      </c>
      <c r="Y26" s="19" t="n">
        <f aca="false">'KTHH Lớp 1'!P26</f>
        <v>2.096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672.61</v>
      </c>
      <c r="D27" s="16" t="n">
        <v>-5.25</v>
      </c>
      <c r="E27" s="16" t="n">
        <f aca="false">+D27+F27</f>
        <v>-5.2454</v>
      </c>
      <c r="F27" s="16" t="n">
        <f aca="false">RANDBETWEEN(-105,115)/10000</f>
        <v>0.0046</v>
      </c>
      <c r="G27" s="16" t="n">
        <f aca="false">W27+0.25</f>
        <v>2.347</v>
      </c>
      <c r="H27" s="16" t="n">
        <f aca="false">G27+I27</f>
        <v>2.327</v>
      </c>
      <c r="I27" s="16" t="n">
        <f aca="false">RANDBETWEEN(-20,70)/1000</f>
        <v>-0.02</v>
      </c>
      <c r="J27" s="16" t="n">
        <f aca="false">X27+0.25</f>
        <v>2.464</v>
      </c>
      <c r="K27" s="16" t="n">
        <f aca="false">J27+L27</f>
        <v>2.503</v>
      </c>
      <c r="L27" s="16" t="n">
        <f aca="false">RANDBETWEEN(-20,70)/1000</f>
        <v>0.039</v>
      </c>
      <c r="M27" s="16" t="n">
        <v>5.25</v>
      </c>
      <c r="N27" s="16" t="n">
        <f aca="false">+M27+O27</f>
        <v>5.2592</v>
      </c>
      <c r="O27" s="16" t="n">
        <f aca="false">RANDBETWEEN(-105,115)/10000</f>
        <v>0.0092</v>
      </c>
      <c r="P27" s="16" t="n">
        <f aca="false">Y27+0.25</f>
        <v>2.347</v>
      </c>
      <c r="Q27" s="16" t="n">
        <f aca="false">P27+R27</f>
        <v>2.342</v>
      </c>
      <c r="R27" s="16" t="n">
        <f aca="false">RANDBETWEEN(-20,70)/1000</f>
        <v>-0.005</v>
      </c>
      <c r="S27" s="17"/>
      <c r="T27" s="18" t="n">
        <v>20</v>
      </c>
      <c r="V27" s="19"/>
      <c r="W27" s="19" t="n">
        <f aca="false">'KTHH Lớp 1'!G27</f>
        <v>2.097</v>
      </c>
      <c r="X27" s="19" t="n">
        <f aca="false">'KTHH Lớp 1'!J27</f>
        <v>2.214</v>
      </c>
      <c r="Y27" s="19" t="n">
        <f aca="false">'KTHH Lớp 1'!P27</f>
        <v>2.097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692.61</v>
      </c>
      <c r="D28" s="16" t="n">
        <v>-5.25</v>
      </c>
      <c r="E28" s="16" t="n">
        <f aca="false">+D28+F28</f>
        <v>-5.2479</v>
      </c>
      <c r="F28" s="16" t="n">
        <f aca="false">RANDBETWEEN(-105,115)/10000</f>
        <v>0.0021</v>
      </c>
      <c r="G28" s="16" t="n">
        <f aca="false">W28+0.25</f>
        <v>2.349</v>
      </c>
      <c r="H28" s="16" t="n">
        <f aca="false">G28+I28</f>
        <v>2.33</v>
      </c>
      <c r="I28" s="16" t="n">
        <f aca="false">RANDBETWEEN(-20,70)/1000</f>
        <v>-0.019</v>
      </c>
      <c r="J28" s="16" t="n">
        <f aca="false">X28+0.25</f>
        <v>2.466</v>
      </c>
      <c r="K28" s="16" t="n">
        <f aca="false">J28+L28</f>
        <v>2.534</v>
      </c>
      <c r="L28" s="16" t="n">
        <f aca="false">RANDBETWEEN(-20,70)/1000</f>
        <v>0.068</v>
      </c>
      <c r="M28" s="16" t="n">
        <v>5.25</v>
      </c>
      <c r="N28" s="16" t="n">
        <f aca="false">+M28+O28</f>
        <v>5.2493</v>
      </c>
      <c r="O28" s="16" t="n">
        <f aca="false">RANDBETWEEN(-105,115)/10000</f>
        <v>-0.0007</v>
      </c>
      <c r="P28" s="16" t="n">
        <f aca="false">Y28+0.25</f>
        <v>2.349</v>
      </c>
      <c r="Q28" s="16" t="n">
        <f aca="false">P28+R28</f>
        <v>2.365</v>
      </c>
      <c r="R28" s="16" t="n">
        <f aca="false">RANDBETWEEN(-20,70)/1000</f>
        <v>0.016</v>
      </c>
      <c r="S28" s="17"/>
      <c r="T28" s="18" t="n">
        <v>20</v>
      </c>
      <c r="V28" s="19"/>
      <c r="W28" s="19" t="n">
        <f aca="false">'KTHH Lớp 1'!G28</f>
        <v>2.099</v>
      </c>
      <c r="X28" s="19" t="n">
        <f aca="false">'KTHH Lớp 1'!J28</f>
        <v>2.216</v>
      </c>
      <c r="Y28" s="19" t="n">
        <f aca="false">'KTHH Lớp 1'!P28</f>
        <v>2.099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712.61</v>
      </c>
      <c r="D29" s="16" t="n">
        <v>-5.25</v>
      </c>
      <c r="E29" s="16" t="n">
        <f aca="false">+D29+F29</f>
        <v>-5.2565</v>
      </c>
      <c r="F29" s="16" t="n">
        <f aca="false">RANDBETWEEN(-105,115)/10000</f>
        <v>-0.0065</v>
      </c>
      <c r="G29" s="16" t="n">
        <f aca="false">W29+0.25</f>
        <v>2.351</v>
      </c>
      <c r="H29" s="16" t="n">
        <f aca="false">G29+I29</f>
        <v>2.386</v>
      </c>
      <c r="I29" s="16" t="n">
        <f aca="false">RANDBETWEEN(-20,70)/1000</f>
        <v>0.035</v>
      </c>
      <c r="J29" s="16" t="n">
        <f aca="false">X29+0.25</f>
        <v>2.468</v>
      </c>
      <c r="K29" s="16" t="n">
        <f aca="false">J29+L29</f>
        <v>2.538</v>
      </c>
      <c r="L29" s="16" t="n">
        <f aca="false">RANDBETWEEN(-20,70)/1000</f>
        <v>0.07</v>
      </c>
      <c r="M29" s="16" t="n">
        <v>5.25</v>
      </c>
      <c r="N29" s="16" t="n">
        <f aca="false">+M29+O29</f>
        <v>5.2558</v>
      </c>
      <c r="O29" s="16" t="n">
        <f aca="false">RANDBETWEEN(-105,115)/10000</f>
        <v>0.0058</v>
      </c>
      <c r="P29" s="16" t="n">
        <f aca="false">Y29+0.25</f>
        <v>2.351</v>
      </c>
      <c r="Q29" s="16" t="n">
        <f aca="false">P29+R29</f>
        <v>2.369</v>
      </c>
      <c r="R29" s="16" t="n">
        <f aca="false">RANDBETWEEN(-20,70)/1000</f>
        <v>0.018</v>
      </c>
      <c r="S29" s="17"/>
      <c r="T29" s="18" t="n">
        <v>11.5</v>
      </c>
      <c r="V29" s="19"/>
      <c r="W29" s="19" t="n">
        <f aca="false">'KTHH Lớp 1'!G29</f>
        <v>2.101</v>
      </c>
      <c r="X29" s="19" t="n">
        <f aca="false">'KTHH Lớp 1'!J29</f>
        <v>2.218</v>
      </c>
      <c r="Y29" s="19" t="n">
        <f aca="false">'KTHH Lớp 1'!P29</f>
        <v>2.101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724.11</v>
      </c>
      <c r="D30" s="16" t="n">
        <v>-5.25</v>
      </c>
      <c r="E30" s="16" t="n">
        <f aca="false">+D30+F30</f>
        <v>-5.2473</v>
      </c>
      <c r="F30" s="16" t="n">
        <f aca="false">RANDBETWEEN(-105,115)/10000</f>
        <v>0.0027</v>
      </c>
      <c r="G30" s="16" t="n">
        <f aca="false">W30+0.25</f>
        <v>2.352</v>
      </c>
      <c r="H30" s="16" t="n">
        <f aca="false">G30+I30</f>
        <v>2.368</v>
      </c>
      <c r="I30" s="16" t="n">
        <f aca="false">RANDBETWEEN(-20,70)/1000</f>
        <v>0.016</v>
      </c>
      <c r="J30" s="16" t="n">
        <f aca="false">X30+0.25</f>
        <v>2.469</v>
      </c>
      <c r="K30" s="16" t="n">
        <f aca="false">J30+L30</f>
        <v>2.482</v>
      </c>
      <c r="L30" s="16" t="n">
        <f aca="false">RANDBETWEEN(-20,70)/1000</f>
        <v>0.013</v>
      </c>
      <c r="M30" s="16" t="n">
        <v>5.25</v>
      </c>
      <c r="N30" s="16" t="n">
        <f aca="false">+M30+O30</f>
        <v>5.2397</v>
      </c>
      <c r="O30" s="16" t="n">
        <f aca="false">RANDBETWEEN(-105,115)/10000</f>
        <v>-0.0103</v>
      </c>
      <c r="P30" s="16" t="n">
        <f aca="false">Y30+0.25</f>
        <v>2.352</v>
      </c>
      <c r="Q30" s="16" t="n">
        <f aca="false">P30+R30</f>
        <v>2.409</v>
      </c>
      <c r="R30" s="16" t="n">
        <f aca="false">RANDBETWEEN(-20,70)/1000</f>
        <v>0.057</v>
      </c>
      <c r="S30" s="17"/>
      <c r="T30" s="18"/>
      <c r="V30" s="19"/>
      <c r="W30" s="19" t="n">
        <f aca="false">'KTHH Lớp 1'!G30</f>
        <v>2.102</v>
      </c>
      <c r="X30" s="19" t="n">
        <f aca="false">'KTHH Lớp 1'!J30</f>
        <v>2.219</v>
      </c>
      <c r="Y30" s="19" t="n">
        <f aca="false">'KTHH Lớp 1'!P30</f>
        <v>2.102</v>
      </c>
    </row>
    <row r="31" s="10" customFormat="true" ht="18" hidden="true" customHeight="true" outlineLevel="0" collapsed="false">
      <c r="A31" s="13"/>
      <c r="B31" s="82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</row>
    <row r="32" s="10" customFormat="true" ht="18" hidden="true" customHeight="true" outlineLevel="0" collapsed="false">
      <c r="A32" s="13"/>
      <c r="B32" s="82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</row>
    <row r="33" s="10" customFormat="true" ht="18" hidden="true" customHeight="true" outlineLevel="0" collapsed="false">
      <c r="A33" s="13"/>
      <c r="B33" s="82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31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32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33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34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AK50" activeCellId="0" sqref="AK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">
        <v>43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">
        <v>44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83" t="s">
        <v>36</v>
      </c>
      <c r="B9" s="83" t="s">
        <v>10</v>
      </c>
      <c r="C9" s="83" t="s">
        <v>11</v>
      </c>
      <c r="D9" s="84" t="s">
        <v>37</v>
      </c>
      <c r="E9" s="85"/>
      <c r="F9" s="85"/>
      <c r="G9" s="84"/>
      <c r="H9" s="85"/>
      <c r="I9" s="85"/>
      <c r="J9" s="85"/>
      <c r="K9" s="85"/>
      <c r="L9" s="85"/>
      <c r="M9" s="86" t="s">
        <v>38</v>
      </c>
      <c r="N9" s="87"/>
      <c r="O9" s="88" t="s">
        <v>39</v>
      </c>
      <c r="P9" s="89"/>
      <c r="Q9" s="89"/>
      <c r="R9" s="89"/>
      <c r="S9" s="89"/>
      <c r="T9" s="89"/>
      <c r="U9" s="89"/>
      <c r="V9" s="89"/>
      <c r="W9" s="88" t="s">
        <v>40</v>
      </c>
      <c r="X9" s="87"/>
      <c r="Y9" s="90"/>
      <c r="Z9" s="91"/>
      <c r="AA9" s="91"/>
      <c r="AB9" s="84" t="s">
        <v>15</v>
      </c>
      <c r="AC9" s="45"/>
    </row>
    <row r="10" s="50" customFormat="true" ht="22.5" hidden="false" customHeight="true" outlineLevel="0" collapsed="false">
      <c r="A10" s="83"/>
      <c r="B10" s="83"/>
      <c r="C10" s="83"/>
      <c r="D10" s="83"/>
      <c r="E10" s="88"/>
      <c r="F10" s="88"/>
      <c r="G10" s="88"/>
      <c r="H10" s="88"/>
      <c r="I10" s="88"/>
      <c r="J10" s="88"/>
      <c r="K10" s="88"/>
      <c r="L10" s="88"/>
      <c r="M10" s="88"/>
      <c r="N10" s="88" t="s">
        <v>39</v>
      </c>
      <c r="O10" s="88"/>
      <c r="P10" s="88" t="s">
        <v>39</v>
      </c>
      <c r="Q10" s="88" t="s">
        <v>39</v>
      </c>
      <c r="R10" s="88"/>
      <c r="S10" s="88"/>
      <c r="T10" s="88"/>
      <c r="U10" s="88" t="s">
        <v>40</v>
      </c>
      <c r="V10" s="88" t="s">
        <v>40</v>
      </c>
      <c r="W10" s="88"/>
      <c r="X10" s="88" t="s">
        <v>40</v>
      </c>
      <c r="Y10" s="88" t="s">
        <v>40</v>
      </c>
      <c r="Z10" s="92"/>
      <c r="AA10" s="92"/>
      <c r="AB10" s="84"/>
      <c r="AC10" s="48"/>
      <c r="AD10" s="49"/>
      <c r="AE10" s="49"/>
    </row>
    <row r="11" s="50" customFormat="true" ht="15" hidden="false" customHeight="true" outlineLevel="0" collapsed="false">
      <c r="A11" s="93" t="n">
        <v>1</v>
      </c>
      <c r="B11" s="93" t="str">
        <f aca="false">'KTHH Lớp 2'!B23</f>
        <v>31</v>
      </c>
      <c r="C11" s="94" t="n">
        <f aca="false">'KTHH Lớp 2'!C23</f>
        <v>609.11</v>
      </c>
      <c r="D11" s="93" t="n">
        <f aca="false">'KTHH Lớp 2'!T23</f>
        <v>11.75</v>
      </c>
      <c r="E11" s="95"/>
      <c r="F11" s="95"/>
      <c r="G11" s="95"/>
      <c r="H11" s="95"/>
      <c r="I11" s="95"/>
      <c r="J11" s="95"/>
      <c r="K11" s="96"/>
      <c r="L11" s="97"/>
      <c r="M11" s="98"/>
      <c r="N11" s="99"/>
      <c r="O11" s="96" t="n">
        <f aca="false">10.5*0.25</f>
        <v>2.625</v>
      </c>
      <c r="P11" s="96"/>
      <c r="Q11" s="96"/>
      <c r="R11" s="56"/>
      <c r="S11" s="56"/>
      <c r="T11" s="56"/>
      <c r="U11" s="56"/>
      <c r="V11" s="56"/>
      <c r="W11" s="56" t="n">
        <f aca="false">(O11+O12)*D11/2</f>
        <v>30.84375</v>
      </c>
      <c r="X11" s="56"/>
      <c r="Y11" s="56"/>
      <c r="Z11" s="56"/>
      <c r="AA11" s="56"/>
      <c r="AB11" s="100"/>
      <c r="AC11" s="56"/>
      <c r="AE11" s="73"/>
    </row>
    <row r="12" s="50" customFormat="true" ht="15" hidden="false" customHeight="true" outlineLevel="0" collapsed="false">
      <c r="A12" s="93" t="n">
        <v>2</v>
      </c>
      <c r="B12" s="93" t="str">
        <f aca="false">'KTHH Lớp 2'!B24</f>
        <v>E10</v>
      </c>
      <c r="C12" s="94" t="n">
        <f aca="false">'KTHH Lớp 2'!C24</f>
        <v>620.86</v>
      </c>
      <c r="D12" s="93" t="n">
        <f aca="false">'KTHH Lớp 2'!T24</f>
        <v>11.75</v>
      </c>
      <c r="E12" s="95"/>
      <c r="F12" s="95"/>
      <c r="G12" s="95"/>
      <c r="H12" s="95"/>
      <c r="I12" s="95"/>
      <c r="J12" s="95"/>
      <c r="K12" s="96"/>
      <c r="L12" s="97"/>
      <c r="M12" s="98"/>
      <c r="N12" s="99"/>
      <c r="O12" s="96" t="n">
        <f aca="false">10.5*0.25</f>
        <v>2.625</v>
      </c>
      <c r="P12" s="96"/>
      <c r="Q12" s="96"/>
      <c r="R12" s="56"/>
      <c r="S12" s="56"/>
      <c r="T12" s="56"/>
      <c r="U12" s="56"/>
      <c r="V12" s="56"/>
      <c r="W12" s="56" t="n">
        <f aca="false">(O12+O13)*D12/2</f>
        <v>30.84375</v>
      </c>
      <c r="X12" s="56"/>
      <c r="Y12" s="56"/>
      <c r="Z12" s="56"/>
      <c r="AA12" s="56"/>
      <c r="AB12" s="100"/>
      <c r="AC12" s="56"/>
      <c r="AE12" s="73"/>
    </row>
    <row r="13" s="50" customFormat="true" ht="15" hidden="false" customHeight="true" outlineLevel="0" collapsed="false">
      <c r="A13" s="93" t="n">
        <v>3</v>
      </c>
      <c r="B13" s="93" t="str">
        <f aca="false">'KTHH Lớp 2'!B25</f>
        <v>32</v>
      </c>
      <c r="C13" s="94" t="n">
        <f aca="false">'KTHH Lớp 2'!C25</f>
        <v>632.61</v>
      </c>
      <c r="D13" s="93" t="n">
        <f aca="false">'KTHH Lớp 2'!T25</f>
        <v>20</v>
      </c>
      <c r="E13" s="95"/>
      <c r="F13" s="95"/>
      <c r="G13" s="95"/>
      <c r="H13" s="95"/>
      <c r="I13" s="95"/>
      <c r="J13" s="95"/>
      <c r="K13" s="96"/>
      <c r="L13" s="97"/>
      <c r="M13" s="98"/>
      <c r="N13" s="99"/>
      <c r="O13" s="96" t="n">
        <f aca="false">10.5*0.25</f>
        <v>2.625</v>
      </c>
      <c r="P13" s="96"/>
      <c r="Q13" s="96"/>
      <c r="R13" s="56"/>
      <c r="S13" s="56"/>
      <c r="T13" s="56"/>
      <c r="U13" s="56"/>
      <c r="V13" s="56"/>
      <c r="W13" s="56" t="n">
        <f aca="false">(O13+O14)*D13/2</f>
        <v>52.5</v>
      </c>
      <c r="X13" s="56"/>
      <c r="Y13" s="56"/>
      <c r="Z13" s="56"/>
      <c r="AA13" s="56"/>
      <c r="AB13" s="100"/>
      <c r="AC13" s="56"/>
      <c r="AE13" s="73"/>
    </row>
    <row r="14" s="50" customFormat="true" ht="15" hidden="false" customHeight="true" outlineLevel="0" collapsed="false">
      <c r="A14" s="93" t="n">
        <v>4</v>
      </c>
      <c r="B14" s="93" t="str">
        <f aca="false">'KTHH Lớp 2'!B26</f>
        <v>33</v>
      </c>
      <c r="C14" s="94" t="n">
        <f aca="false">'KTHH Lớp 2'!C26</f>
        <v>652.61</v>
      </c>
      <c r="D14" s="93" t="n">
        <f aca="false">'KTHH Lớp 2'!T26</f>
        <v>20</v>
      </c>
      <c r="E14" s="95"/>
      <c r="F14" s="95"/>
      <c r="G14" s="95"/>
      <c r="H14" s="95"/>
      <c r="I14" s="95"/>
      <c r="J14" s="95"/>
      <c r="K14" s="96"/>
      <c r="L14" s="97"/>
      <c r="M14" s="98"/>
      <c r="N14" s="99"/>
      <c r="O14" s="96" t="n">
        <f aca="false">10.5*0.25</f>
        <v>2.625</v>
      </c>
      <c r="P14" s="96"/>
      <c r="Q14" s="96"/>
      <c r="R14" s="56"/>
      <c r="S14" s="56"/>
      <c r="T14" s="56"/>
      <c r="U14" s="56"/>
      <c r="V14" s="56"/>
      <c r="W14" s="56" t="n">
        <f aca="false">(O14+O15)*D14/2</f>
        <v>52.5</v>
      </c>
      <c r="X14" s="56"/>
      <c r="Y14" s="56"/>
      <c r="Z14" s="56"/>
      <c r="AA14" s="56"/>
      <c r="AB14" s="100"/>
      <c r="AC14" s="56"/>
      <c r="AE14" s="73"/>
    </row>
    <row r="15" s="50" customFormat="true" ht="15" hidden="false" customHeight="true" outlineLevel="0" collapsed="false">
      <c r="A15" s="93" t="n">
        <v>5</v>
      </c>
      <c r="B15" s="93" t="str">
        <f aca="false">'KTHH Lớp 2'!B27</f>
        <v>34</v>
      </c>
      <c r="C15" s="94" t="n">
        <f aca="false">'KTHH Lớp 2'!C27</f>
        <v>672.61</v>
      </c>
      <c r="D15" s="93" t="n">
        <f aca="false">'KTHH Lớp 2'!T27</f>
        <v>20</v>
      </c>
      <c r="E15" s="95"/>
      <c r="F15" s="95"/>
      <c r="G15" s="95"/>
      <c r="H15" s="95"/>
      <c r="I15" s="95"/>
      <c r="J15" s="95"/>
      <c r="K15" s="96"/>
      <c r="L15" s="97"/>
      <c r="M15" s="98"/>
      <c r="N15" s="99"/>
      <c r="O15" s="96" t="n">
        <f aca="false">10.5*0.25</f>
        <v>2.625</v>
      </c>
      <c r="P15" s="96"/>
      <c r="Q15" s="96"/>
      <c r="R15" s="56"/>
      <c r="S15" s="56"/>
      <c r="T15" s="56"/>
      <c r="U15" s="56"/>
      <c r="V15" s="56"/>
      <c r="W15" s="56" t="n">
        <f aca="false">(O15+O16)*D15/2</f>
        <v>52.5</v>
      </c>
      <c r="X15" s="56"/>
      <c r="Y15" s="56"/>
      <c r="Z15" s="56"/>
      <c r="AA15" s="56"/>
      <c r="AB15" s="100"/>
      <c r="AC15" s="56"/>
      <c r="AE15" s="73"/>
    </row>
    <row r="16" s="50" customFormat="true" ht="15" hidden="false" customHeight="true" outlineLevel="0" collapsed="false">
      <c r="A16" s="93" t="n">
        <v>6</v>
      </c>
      <c r="B16" s="93" t="str">
        <f aca="false">'KTHH Lớp 2'!B28</f>
        <v>35</v>
      </c>
      <c r="C16" s="94" t="n">
        <f aca="false">'KTHH Lớp 2'!C28</f>
        <v>692.61</v>
      </c>
      <c r="D16" s="93" t="n">
        <f aca="false">'KTHH Lớp 2'!T28</f>
        <v>20</v>
      </c>
      <c r="E16" s="95"/>
      <c r="F16" s="95"/>
      <c r="G16" s="95"/>
      <c r="H16" s="95"/>
      <c r="I16" s="95"/>
      <c r="J16" s="95"/>
      <c r="K16" s="96"/>
      <c r="L16" s="97"/>
      <c r="M16" s="98"/>
      <c r="N16" s="99"/>
      <c r="O16" s="96" t="n">
        <f aca="false">10.5*0.25</f>
        <v>2.625</v>
      </c>
      <c r="P16" s="96"/>
      <c r="Q16" s="96"/>
      <c r="R16" s="56"/>
      <c r="S16" s="56"/>
      <c r="T16" s="56"/>
      <c r="U16" s="56"/>
      <c r="V16" s="56"/>
      <c r="W16" s="56" t="n">
        <f aca="false">(O16+O17)*D16/2</f>
        <v>52.5</v>
      </c>
      <c r="X16" s="56"/>
      <c r="Y16" s="56"/>
      <c r="Z16" s="56"/>
      <c r="AA16" s="56"/>
      <c r="AB16" s="100"/>
      <c r="AC16" s="56"/>
      <c r="AE16" s="73"/>
    </row>
    <row r="17" s="50" customFormat="true" ht="15" hidden="false" customHeight="true" outlineLevel="0" collapsed="false">
      <c r="A17" s="93" t="n">
        <v>7</v>
      </c>
      <c r="B17" s="93" t="str">
        <f aca="false">'KTHH Lớp 2'!B29</f>
        <v>36</v>
      </c>
      <c r="C17" s="94" t="n">
        <f aca="false">'KTHH Lớp 2'!C29</f>
        <v>712.61</v>
      </c>
      <c r="D17" s="93" t="n">
        <f aca="false">'KTHH Lớp 2'!T29</f>
        <v>11.5</v>
      </c>
      <c r="E17" s="95"/>
      <c r="F17" s="95"/>
      <c r="G17" s="95"/>
      <c r="H17" s="95"/>
      <c r="I17" s="95"/>
      <c r="J17" s="95"/>
      <c r="K17" s="96"/>
      <c r="L17" s="97"/>
      <c r="M17" s="98"/>
      <c r="N17" s="99"/>
      <c r="O17" s="96" t="n">
        <f aca="false">10.5*0.25</f>
        <v>2.625</v>
      </c>
      <c r="P17" s="96"/>
      <c r="Q17" s="96"/>
      <c r="R17" s="56"/>
      <c r="S17" s="56"/>
      <c r="T17" s="56"/>
      <c r="U17" s="56"/>
      <c r="V17" s="56"/>
      <c r="W17" s="56" t="n">
        <f aca="false">(O17+O18)*D17/2</f>
        <v>30.1875</v>
      </c>
      <c r="X17" s="56"/>
      <c r="Y17" s="56"/>
      <c r="Z17" s="56"/>
      <c r="AA17" s="56"/>
      <c r="AB17" s="100"/>
      <c r="AC17" s="56"/>
      <c r="AE17" s="73"/>
    </row>
    <row r="18" s="50" customFormat="true" ht="15" hidden="false" customHeight="true" outlineLevel="0" collapsed="false">
      <c r="A18" s="93" t="n">
        <v>8</v>
      </c>
      <c r="B18" s="93" t="str">
        <f aca="false">'KTHH Lớp 2'!B30</f>
        <v>37</v>
      </c>
      <c r="C18" s="94" t="n">
        <f aca="false">'KTHH Lớp 2'!C30</f>
        <v>724.11</v>
      </c>
      <c r="D18" s="93"/>
      <c r="E18" s="95"/>
      <c r="F18" s="95"/>
      <c r="G18" s="95"/>
      <c r="H18" s="95"/>
      <c r="I18" s="95"/>
      <c r="J18" s="95"/>
      <c r="K18" s="96"/>
      <c r="L18" s="97"/>
      <c r="M18" s="98"/>
      <c r="N18" s="99"/>
      <c r="O18" s="96" t="n">
        <f aca="false">10.5*0.25</f>
        <v>2.625</v>
      </c>
      <c r="P18" s="96"/>
      <c r="Q18" s="9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100"/>
      <c r="AC18" s="56"/>
      <c r="AE18" s="73"/>
    </row>
    <row r="19" s="50" customFormat="true" ht="15" hidden="true" customHeight="true" outlineLevel="0" collapsed="false">
      <c r="A19" s="93"/>
      <c r="B19" s="93"/>
      <c r="C19" s="94"/>
      <c r="D19" s="93"/>
      <c r="E19" s="95"/>
      <c r="F19" s="95"/>
      <c r="G19" s="95"/>
      <c r="H19" s="95"/>
      <c r="I19" s="95"/>
      <c r="J19" s="95"/>
      <c r="K19" s="96"/>
      <c r="L19" s="97"/>
      <c r="M19" s="98"/>
      <c r="N19" s="99"/>
      <c r="O19" s="96"/>
      <c r="P19" s="96"/>
      <c r="Q19" s="9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100"/>
      <c r="AC19" s="56"/>
      <c r="AE19" s="73"/>
    </row>
    <row r="20" s="50" customFormat="true" ht="15" hidden="true" customHeight="true" outlineLevel="0" collapsed="false">
      <c r="A20" s="93"/>
      <c r="B20" s="93"/>
      <c r="C20" s="94"/>
      <c r="D20" s="93"/>
      <c r="E20" s="95"/>
      <c r="F20" s="95"/>
      <c r="G20" s="95"/>
      <c r="H20" s="95"/>
      <c r="I20" s="95"/>
      <c r="J20" s="95"/>
      <c r="K20" s="96"/>
      <c r="L20" s="97"/>
      <c r="M20" s="98"/>
      <c r="N20" s="99"/>
      <c r="O20" s="96"/>
      <c r="P20" s="96"/>
      <c r="Q20" s="9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100"/>
      <c r="AC20" s="56"/>
      <c r="AE20" s="73"/>
    </row>
    <row r="21" s="50" customFormat="true" ht="15" hidden="true" customHeight="true" outlineLevel="0" collapsed="false">
      <c r="A21" s="93"/>
      <c r="B21" s="93"/>
      <c r="C21" s="94"/>
      <c r="D21" s="93"/>
      <c r="E21" s="95"/>
      <c r="F21" s="95"/>
      <c r="G21" s="95"/>
      <c r="H21" s="95"/>
      <c r="I21" s="95"/>
      <c r="J21" s="95"/>
      <c r="K21" s="96"/>
      <c r="L21" s="97"/>
      <c r="M21" s="98"/>
      <c r="N21" s="99"/>
      <c r="O21" s="96"/>
      <c r="P21" s="96"/>
      <c r="Q21" s="9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100"/>
      <c r="AC21" s="56"/>
      <c r="AE21" s="73"/>
    </row>
    <row r="22" s="50" customFormat="true" ht="15" hidden="true" customHeight="true" outlineLevel="0" collapsed="false">
      <c r="A22" s="93"/>
      <c r="B22" s="93"/>
      <c r="C22" s="94"/>
      <c r="D22" s="93"/>
      <c r="E22" s="95"/>
      <c r="F22" s="95"/>
      <c r="G22" s="95"/>
      <c r="H22" s="95"/>
      <c r="I22" s="95"/>
      <c r="J22" s="95"/>
      <c r="K22" s="96"/>
      <c r="L22" s="97"/>
      <c r="M22" s="98"/>
      <c r="N22" s="99"/>
      <c r="O22" s="96"/>
      <c r="P22" s="96"/>
      <c r="Q22" s="9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100"/>
      <c r="AC22" s="56"/>
      <c r="AE22" s="73"/>
    </row>
    <row r="23" s="50" customFormat="true" ht="15" hidden="true" customHeight="true" outlineLevel="0" collapsed="false">
      <c r="A23" s="93"/>
      <c r="B23" s="93"/>
      <c r="C23" s="94"/>
      <c r="D23" s="93"/>
      <c r="E23" s="95"/>
      <c r="F23" s="95"/>
      <c r="G23" s="95"/>
      <c r="H23" s="95"/>
      <c r="I23" s="95"/>
      <c r="J23" s="95"/>
      <c r="K23" s="96"/>
      <c r="L23" s="97"/>
      <c r="M23" s="98"/>
      <c r="N23" s="99"/>
      <c r="O23" s="96"/>
      <c r="P23" s="96"/>
      <c r="Q23" s="9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100"/>
      <c r="AC23" s="56"/>
      <c r="AE23" s="73"/>
    </row>
    <row r="24" s="50" customFormat="true" ht="15" hidden="true" customHeight="true" outlineLevel="0" collapsed="false">
      <c r="A24" s="93"/>
      <c r="B24" s="93"/>
      <c r="C24" s="94"/>
      <c r="D24" s="93"/>
      <c r="E24" s="95"/>
      <c r="F24" s="95"/>
      <c r="G24" s="95"/>
      <c r="H24" s="95"/>
      <c r="I24" s="95"/>
      <c r="J24" s="95"/>
      <c r="K24" s="96"/>
      <c r="L24" s="97"/>
      <c r="M24" s="98"/>
      <c r="N24" s="99"/>
      <c r="O24" s="96"/>
      <c r="P24" s="96"/>
      <c r="Q24" s="9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100"/>
      <c r="AC24" s="56"/>
      <c r="AE24" s="73"/>
    </row>
    <row r="25" s="50" customFormat="true" ht="15" hidden="true" customHeight="true" outlineLevel="0" collapsed="false">
      <c r="A25" s="93"/>
      <c r="B25" s="93"/>
      <c r="C25" s="94"/>
      <c r="D25" s="93"/>
      <c r="E25" s="95"/>
      <c r="F25" s="95"/>
      <c r="G25" s="95"/>
      <c r="H25" s="95"/>
      <c r="I25" s="95"/>
      <c r="J25" s="95"/>
      <c r="K25" s="96"/>
      <c r="L25" s="97"/>
      <c r="M25" s="98"/>
      <c r="N25" s="99"/>
      <c r="O25" s="96"/>
      <c r="P25" s="96"/>
      <c r="Q25" s="9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100"/>
      <c r="AC25" s="56"/>
      <c r="AE25" s="73"/>
    </row>
    <row r="26" s="50" customFormat="true" ht="15" hidden="true" customHeight="true" outlineLevel="0" collapsed="false">
      <c r="A26" s="93"/>
      <c r="B26" s="93"/>
      <c r="C26" s="94"/>
      <c r="D26" s="93"/>
      <c r="E26" s="95"/>
      <c r="F26" s="95"/>
      <c r="G26" s="95"/>
      <c r="H26" s="95"/>
      <c r="I26" s="95"/>
      <c r="J26" s="95"/>
      <c r="K26" s="96"/>
      <c r="L26" s="97"/>
      <c r="M26" s="98"/>
      <c r="N26" s="99"/>
      <c r="O26" s="96"/>
      <c r="P26" s="96"/>
      <c r="Q26" s="9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100"/>
      <c r="AC26" s="56"/>
      <c r="AE26" s="73"/>
    </row>
    <row r="27" s="50" customFormat="true" ht="15" hidden="true" customHeight="true" outlineLevel="0" collapsed="false">
      <c r="A27" s="93"/>
      <c r="B27" s="93"/>
      <c r="C27" s="94"/>
      <c r="D27" s="93"/>
      <c r="E27" s="95"/>
      <c r="F27" s="95"/>
      <c r="G27" s="95"/>
      <c r="H27" s="95"/>
      <c r="I27" s="95"/>
      <c r="J27" s="95"/>
      <c r="K27" s="96"/>
      <c r="L27" s="97"/>
      <c r="M27" s="98"/>
      <c r="N27" s="99"/>
      <c r="O27" s="96"/>
      <c r="P27" s="96"/>
      <c r="Q27" s="9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100"/>
      <c r="AC27" s="56"/>
      <c r="AE27" s="73"/>
    </row>
    <row r="28" s="50" customFormat="true" ht="15" hidden="true" customHeight="true" outlineLevel="0" collapsed="false">
      <c r="A28" s="93"/>
      <c r="B28" s="93"/>
      <c r="C28" s="94"/>
      <c r="D28" s="93"/>
      <c r="E28" s="95"/>
      <c r="F28" s="95"/>
      <c r="G28" s="95"/>
      <c r="H28" s="95"/>
      <c r="I28" s="95"/>
      <c r="J28" s="95"/>
      <c r="K28" s="96"/>
      <c r="L28" s="97"/>
      <c r="M28" s="98"/>
      <c r="N28" s="99"/>
      <c r="O28" s="96"/>
      <c r="P28" s="96"/>
      <c r="Q28" s="9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100"/>
      <c r="AC28" s="56"/>
      <c r="AE28" s="73"/>
    </row>
    <row r="29" s="50" customFormat="true" ht="15" hidden="true" customHeight="true" outlineLevel="0" collapsed="false">
      <c r="A29" s="93"/>
      <c r="B29" s="93"/>
      <c r="C29" s="94"/>
      <c r="D29" s="93"/>
      <c r="E29" s="95"/>
      <c r="F29" s="95"/>
      <c r="G29" s="95"/>
      <c r="H29" s="95"/>
      <c r="I29" s="95"/>
      <c r="J29" s="95"/>
      <c r="K29" s="96"/>
      <c r="L29" s="97"/>
      <c r="M29" s="98"/>
      <c r="N29" s="99"/>
      <c r="O29" s="96"/>
      <c r="P29" s="96"/>
      <c r="Q29" s="9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100"/>
      <c r="AC29" s="56"/>
      <c r="AE29" s="73"/>
    </row>
    <row r="30" s="50" customFormat="true" ht="15" hidden="true" customHeight="true" outlineLevel="0" collapsed="false">
      <c r="A30" s="93"/>
      <c r="B30" s="93"/>
      <c r="C30" s="94"/>
      <c r="D30" s="93"/>
      <c r="E30" s="95"/>
      <c r="F30" s="95"/>
      <c r="G30" s="95"/>
      <c r="H30" s="95"/>
      <c r="I30" s="95"/>
      <c r="J30" s="95"/>
      <c r="K30" s="96"/>
      <c r="L30" s="97"/>
      <c r="M30" s="98"/>
      <c r="N30" s="99"/>
      <c r="O30" s="96"/>
      <c r="P30" s="96"/>
      <c r="Q30" s="9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100"/>
      <c r="AC30" s="56"/>
      <c r="AE30" s="73"/>
    </row>
    <row r="31" s="50" customFormat="true" ht="15" hidden="true" customHeight="true" outlineLevel="0" collapsed="false">
      <c r="A31" s="93"/>
      <c r="B31" s="93"/>
      <c r="C31" s="94"/>
      <c r="D31" s="93"/>
      <c r="E31" s="95"/>
      <c r="F31" s="95"/>
      <c r="G31" s="95"/>
      <c r="H31" s="95"/>
      <c r="I31" s="95"/>
      <c r="J31" s="95"/>
      <c r="K31" s="96"/>
      <c r="L31" s="97"/>
      <c r="M31" s="98"/>
      <c r="N31" s="99"/>
      <c r="O31" s="96"/>
      <c r="P31" s="96"/>
      <c r="Q31" s="9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100"/>
      <c r="AC31" s="56"/>
      <c r="AE31" s="73"/>
    </row>
    <row r="32" s="50" customFormat="true" ht="15" hidden="true" customHeight="true" outlineLevel="0" collapsed="false">
      <c r="A32" s="93"/>
      <c r="B32" s="93"/>
      <c r="C32" s="94"/>
      <c r="D32" s="93"/>
      <c r="E32" s="95"/>
      <c r="F32" s="95"/>
      <c r="G32" s="95"/>
      <c r="H32" s="95"/>
      <c r="I32" s="95"/>
      <c r="J32" s="95"/>
      <c r="K32" s="96"/>
      <c r="L32" s="97"/>
      <c r="M32" s="98"/>
      <c r="N32" s="99"/>
      <c r="O32" s="96"/>
      <c r="P32" s="96"/>
      <c r="Q32" s="9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100"/>
      <c r="AC32" s="56"/>
      <c r="AE32" s="73"/>
    </row>
    <row r="33" s="50" customFormat="true" ht="15" hidden="true" customHeight="true" outlineLevel="0" collapsed="false">
      <c r="A33" s="93"/>
      <c r="B33" s="93"/>
      <c r="C33" s="94"/>
      <c r="D33" s="93"/>
      <c r="E33" s="95"/>
      <c r="F33" s="95"/>
      <c r="G33" s="95"/>
      <c r="H33" s="95"/>
      <c r="I33" s="95"/>
      <c r="J33" s="95"/>
      <c r="K33" s="96"/>
      <c r="L33" s="97"/>
      <c r="M33" s="98"/>
      <c r="N33" s="99"/>
      <c r="O33" s="96"/>
      <c r="P33" s="96"/>
      <c r="Q33" s="9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100"/>
      <c r="AC33" s="56"/>
      <c r="AE33" s="73"/>
    </row>
    <row r="34" s="50" customFormat="true" ht="15" hidden="true" customHeight="true" outlineLevel="0" collapsed="false">
      <c r="A34" s="93"/>
      <c r="B34" s="93"/>
      <c r="C34" s="94"/>
      <c r="D34" s="93"/>
      <c r="E34" s="95"/>
      <c r="F34" s="95"/>
      <c r="G34" s="95"/>
      <c r="H34" s="95"/>
      <c r="I34" s="95"/>
      <c r="J34" s="95"/>
      <c r="K34" s="96"/>
      <c r="L34" s="97"/>
      <c r="M34" s="98"/>
      <c r="N34" s="99"/>
      <c r="O34" s="96"/>
      <c r="P34" s="96"/>
      <c r="Q34" s="9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100"/>
      <c r="AC34" s="56"/>
      <c r="AE34" s="73"/>
    </row>
    <row r="35" s="50" customFormat="true" ht="15" hidden="true" customHeight="true" outlineLevel="0" collapsed="false">
      <c r="A35" s="93"/>
      <c r="B35" s="93"/>
      <c r="C35" s="94"/>
      <c r="D35" s="93"/>
      <c r="E35" s="95"/>
      <c r="F35" s="95"/>
      <c r="G35" s="95"/>
      <c r="H35" s="95"/>
      <c r="I35" s="95"/>
      <c r="J35" s="95"/>
      <c r="K35" s="96"/>
      <c r="L35" s="97"/>
      <c r="M35" s="98"/>
      <c r="N35" s="99"/>
      <c r="O35" s="96"/>
      <c r="P35" s="96"/>
      <c r="Q35" s="9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100"/>
      <c r="AC35" s="56"/>
      <c r="AE35" s="73"/>
    </row>
    <row r="36" s="50" customFormat="true" ht="15" hidden="true" customHeight="true" outlineLevel="0" collapsed="false">
      <c r="A36" s="93"/>
      <c r="B36" s="93"/>
      <c r="C36" s="94"/>
      <c r="D36" s="93"/>
      <c r="E36" s="95"/>
      <c r="F36" s="95"/>
      <c r="G36" s="95"/>
      <c r="H36" s="95"/>
      <c r="I36" s="95"/>
      <c r="J36" s="95"/>
      <c r="K36" s="96"/>
      <c r="L36" s="97"/>
      <c r="M36" s="98"/>
      <c r="N36" s="99"/>
      <c r="O36" s="96"/>
      <c r="P36" s="96"/>
      <c r="Q36" s="9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100"/>
      <c r="AC36" s="56"/>
      <c r="AE36" s="73"/>
    </row>
    <row r="37" s="50" customFormat="true" ht="15" hidden="true" customHeight="true" outlineLevel="0" collapsed="false">
      <c r="A37" s="93"/>
      <c r="B37" s="93"/>
      <c r="C37" s="94"/>
      <c r="D37" s="93"/>
      <c r="E37" s="95"/>
      <c r="F37" s="95"/>
      <c r="G37" s="95"/>
      <c r="H37" s="95"/>
      <c r="I37" s="95"/>
      <c r="J37" s="95"/>
      <c r="K37" s="96"/>
      <c r="L37" s="97"/>
      <c r="M37" s="98"/>
      <c r="N37" s="99"/>
      <c r="O37" s="96"/>
      <c r="P37" s="96"/>
      <c r="Q37" s="9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100"/>
      <c r="AC37" s="56"/>
      <c r="AE37" s="73"/>
    </row>
    <row r="38" s="50" customFormat="true" ht="15" hidden="true" customHeight="true" outlineLevel="0" collapsed="false">
      <c r="A38" s="93"/>
      <c r="B38" s="93"/>
      <c r="C38" s="94"/>
      <c r="D38" s="93"/>
      <c r="E38" s="95"/>
      <c r="F38" s="95"/>
      <c r="G38" s="95"/>
      <c r="H38" s="95"/>
      <c r="I38" s="95"/>
      <c r="J38" s="95"/>
      <c r="K38" s="96"/>
      <c r="L38" s="97"/>
      <c r="M38" s="98"/>
      <c r="N38" s="99"/>
      <c r="O38" s="96"/>
      <c r="P38" s="96"/>
      <c r="Q38" s="9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100"/>
      <c r="AC38" s="56"/>
      <c r="AE38" s="73"/>
    </row>
    <row r="39" s="50" customFormat="true" ht="15" hidden="true" customHeight="true" outlineLevel="0" collapsed="false">
      <c r="A39" s="93"/>
      <c r="B39" s="93"/>
      <c r="C39" s="94"/>
      <c r="D39" s="93"/>
      <c r="E39" s="95"/>
      <c r="F39" s="95"/>
      <c r="G39" s="95"/>
      <c r="H39" s="95"/>
      <c r="I39" s="95"/>
      <c r="J39" s="95"/>
      <c r="K39" s="96"/>
      <c r="L39" s="97"/>
      <c r="M39" s="98"/>
      <c r="N39" s="99"/>
      <c r="O39" s="96"/>
      <c r="P39" s="96"/>
      <c r="Q39" s="9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100"/>
      <c r="AC39" s="56"/>
      <c r="AE39" s="73"/>
    </row>
    <row r="40" s="50" customFormat="true" ht="15" hidden="true" customHeight="true" outlineLevel="0" collapsed="false">
      <c r="A40" s="93"/>
      <c r="B40" s="93"/>
      <c r="C40" s="94"/>
      <c r="D40" s="93"/>
      <c r="E40" s="95"/>
      <c r="F40" s="95"/>
      <c r="G40" s="95"/>
      <c r="H40" s="95"/>
      <c r="I40" s="95"/>
      <c r="J40" s="95"/>
      <c r="K40" s="96"/>
      <c r="L40" s="97"/>
      <c r="M40" s="98"/>
      <c r="N40" s="99"/>
      <c r="O40" s="96"/>
      <c r="P40" s="96"/>
      <c r="Q40" s="9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100"/>
      <c r="AC40" s="56"/>
      <c r="AE40" s="73"/>
    </row>
    <row r="41" s="50" customFormat="true" ht="15" hidden="true" customHeight="true" outlineLevel="0" collapsed="false">
      <c r="A41" s="93"/>
      <c r="B41" s="93"/>
      <c r="C41" s="94"/>
      <c r="D41" s="93"/>
      <c r="E41" s="95"/>
      <c r="F41" s="95"/>
      <c r="G41" s="95"/>
      <c r="H41" s="95"/>
      <c r="I41" s="95"/>
      <c r="J41" s="95"/>
      <c r="K41" s="96"/>
      <c r="L41" s="97"/>
      <c r="M41" s="98"/>
      <c r="N41" s="99"/>
      <c r="O41" s="96"/>
      <c r="P41" s="96"/>
      <c r="Q41" s="9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100"/>
      <c r="AC41" s="56"/>
      <c r="AE41" s="73"/>
    </row>
    <row r="42" s="50" customFormat="true" ht="15" hidden="true" customHeight="true" outlineLevel="0" collapsed="false">
      <c r="A42" s="93"/>
      <c r="B42" s="93"/>
      <c r="C42" s="94"/>
      <c r="D42" s="93"/>
      <c r="E42" s="95"/>
      <c r="F42" s="95"/>
      <c r="G42" s="95"/>
      <c r="H42" s="95"/>
      <c r="I42" s="95"/>
      <c r="J42" s="95"/>
      <c r="K42" s="96"/>
      <c r="L42" s="97"/>
      <c r="M42" s="98"/>
      <c r="N42" s="99"/>
      <c r="O42" s="96"/>
      <c r="P42" s="96"/>
      <c r="Q42" s="9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100"/>
      <c r="AC42" s="56"/>
      <c r="AE42" s="73"/>
    </row>
    <row r="43" s="50" customFormat="true" ht="15" hidden="true" customHeight="true" outlineLevel="0" collapsed="false">
      <c r="A43" s="93"/>
      <c r="B43" s="93"/>
      <c r="C43" s="94"/>
      <c r="D43" s="93"/>
      <c r="E43" s="95"/>
      <c r="F43" s="95"/>
      <c r="G43" s="95"/>
      <c r="H43" s="95"/>
      <c r="I43" s="95"/>
      <c r="J43" s="95"/>
      <c r="K43" s="96"/>
      <c r="L43" s="97"/>
      <c r="M43" s="98"/>
      <c r="N43" s="99"/>
      <c r="O43" s="96"/>
      <c r="P43" s="96"/>
      <c r="Q43" s="9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100"/>
      <c r="AC43" s="56"/>
      <c r="AE43" s="73"/>
    </row>
    <row r="44" s="50" customFormat="true" ht="15" hidden="true" customHeight="true" outlineLevel="0" collapsed="false">
      <c r="A44" s="93"/>
      <c r="B44" s="93"/>
      <c r="C44" s="94"/>
      <c r="D44" s="93"/>
      <c r="E44" s="95"/>
      <c r="F44" s="95"/>
      <c r="G44" s="95"/>
      <c r="H44" s="95"/>
      <c r="I44" s="95"/>
      <c r="J44" s="95"/>
      <c r="K44" s="96"/>
      <c r="L44" s="97"/>
      <c r="M44" s="98"/>
      <c r="N44" s="99"/>
      <c r="O44" s="96"/>
      <c r="P44" s="96"/>
      <c r="Q44" s="9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100"/>
      <c r="AC44" s="56"/>
      <c r="AE44" s="73"/>
    </row>
    <row r="45" s="50" customFormat="true" ht="15" hidden="true" customHeight="true" outlineLevel="0" collapsed="false">
      <c r="A45" s="93"/>
      <c r="B45" s="93"/>
      <c r="C45" s="94"/>
      <c r="D45" s="93"/>
      <c r="E45" s="95"/>
      <c r="F45" s="95"/>
      <c r="G45" s="95"/>
      <c r="H45" s="95"/>
      <c r="I45" s="95"/>
      <c r="J45" s="95"/>
      <c r="K45" s="96"/>
      <c r="L45" s="97"/>
      <c r="M45" s="98"/>
      <c r="N45" s="99"/>
      <c r="O45" s="96"/>
      <c r="P45" s="96"/>
      <c r="Q45" s="9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100"/>
      <c r="AC45" s="56"/>
      <c r="AE45" s="73"/>
    </row>
    <row r="46" s="50" customFormat="true" ht="15" hidden="true" customHeight="true" outlineLevel="0" collapsed="false">
      <c r="A46" s="93"/>
      <c r="B46" s="93"/>
      <c r="C46" s="94"/>
      <c r="D46" s="93"/>
      <c r="E46" s="95"/>
      <c r="F46" s="95"/>
      <c r="G46" s="95"/>
      <c r="H46" s="95"/>
      <c r="I46" s="95"/>
      <c r="J46" s="95"/>
      <c r="K46" s="96"/>
      <c r="L46" s="97"/>
      <c r="M46" s="98"/>
      <c r="N46" s="99"/>
      <c r="O46" s="96"/>
      <c r="P46" s="96"/>
      <c r="Q46" s="9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100"/>
      <c r="AC46" s="56"/>
      <c r="AE46" s="73"/>
    </row>
    <row r="47" s="50" customFormat="true" ht="15" hidden="true" customHeight="true" outlineLevel="0" collapsed="false">
      <c r="A47" s="93"/>
      <c r="B47" s="93"/>
      <c r="C47" s="94"/>
      <c r="D47" s="93"/>
      <c r="E47" s="95"/>
      <c r="F47" s="95"/>
      <c r="G47" s="95"/>
      <c r="H47" s="95"/>
      <c r="I47" s="95"/>
      <c r="J47" s="95"/>
      <c r="K47" s="96"/>
      <c r="L47" s="97"/>
      <c r="M47" s="98"/>
      <c r="N47" s="99"/>
      <c r="O47" s="96"/>
      <c r="P47" s="96"/>
      <c r="Q47" s="9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100"/>
      <c r="AC47" s="56"/>
      <c r="AE47" s="73"/>
    </row>
    <row r="48" s="50" customFormat="true" ht="15" hidden="true" customHeight="true" outlineLevel="0" collapsed="false">
      <c r="A48" s="93"/>
      <c r="B48" s="93"/>
      <c r="C48" s="94"/>
      <c r="D48" s="93"/>
      <c r="E48" s="95"/>
      <c r="F48" s="95"/>
      <c r="G48" s="95"/>
      <c r="H48" s="95"/>
      <c r="I48" s="95"/>
      <c r="J48" s="95"/>
      <c r="K48" s="96"/>
      <c r="L48" s="97"/>
      <c r="M48" s="98"/>
      <c r="N48" s="99"/>
      <c r="O48" s="96"/>
      <c r="P48" s="96"/>
      <c r="Q48" s="9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100"/>
      <c r="AC48" s="56"/>
      <c r="AE48" s="73"/>
    </row>
    <row r="49" s="31" customFormat="true" ht="16.5" hidden="false" customHeight="true" outlineLevel="0" collapsed="false">
      <c r="A49" s="101" t="s">
        <v>41</v>
      </c>
      <c r="B49" s="101"/>
      <c r="C49" s="101"/>
      <c r="D49" s="101"/>
      <c r="E49" s="102"/>
      <c r="F49" s="102"/>
      <c r="G49" s="102"/>
      <c r="H49" s="102"/>
      <c r="I49" s="102"/>
      <c r="J49" s="102"/>
      <c r="K49" s="102"/>
      <c r="L49" s="102"/>
      <c r="M49" s="103"/>
      <c r="N49" s="103"/>
      <c r="O49" s="104"/>
      <c r="P49" s="104"/>
      <c r="Q49" s="104"/>
      <c r="R49" s="105" t="n">
        <f aca="false">SUM(R11:R34)</f>
        <v>0</v>
      </c>
      <c r="S49" s="105" t="n">
        <f aca="false">SUM(S11:S34)</f>
        <v>0</v>
      </c>
      <c r="T49" s="105"/>
      <c r="U49" s="106" t="n">
        <f aca="false">SUM(U11:U34)</f>
        <v>0</v>
      </c>
      <c r="V49" s="106" t="n">
        <f aca="false">SUM(V11:V34)</f>
        <v>0</v>
      </c>
      <c r="W49" s="107" t="n">
        <f aca="false">SUM(W11:W18)</f>
        <v>301.875</v>
      </c>
      <c r="X49" s="106" t="n">
        <f aca="false">SUM(X11:X34)</f>
        <v>0</v>
      </c>
      <c r="Y49" s="106" t="n">
        <f aca="false">SUM(Y11:Y34)</f>
        <v>0</v>
      </c>
      <c r="Z49" s="106" t="n">
        <f aca="false">SUM(Z11:Z34)</f>
        <v>0</v>
      </c>
      <c r="AA49" s="106" t="n">
        <f aca="false">SUM(AA11:AA34)</f>
        <v>0</v>
      </c>
      <c r="AB49" s="106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111" t="s">
        <v>31</v>
      </c>
      <c r="B51" s="111"/>
      <c r="C51" s="111"/>
      <c r="D51" s="112" t="s">
        <v>42</v>
      </c>
      <c r="E51" s="111" t="s">
        <v>32</v>
      </c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50"/>
      <c r="AJ52" s="50"/>
      <c r="AK52" s="50"/>
      <c r="AL52" s="50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6.5" hidden="false" customHeight="true" outlineLevel="0" collapsed="false">
      <c r="A57" s="111" t="s">
        <v>33</v>
      </c>
      <c r="B57" s="111"/>
      <c r="C57" s="111"/>
      <c r="D57" s="116"/>
      <c r="E57" s="116"/>
      <c r="F57" s="116"/>
      <c r="G57" s="116"/>
      <c r="H57" s="116"/>
      <c r="I57" s="116"/>
      <c r="J57" s="116"/>
      <c r="K57" s="116"/>
      <c r="L57" s="116"/>
      <c r="M57" s="111" t="s">
        <v>34</v>
      </c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</row>
    <row r="58" customFormat="false" ht="12.75" hidden="false" customHeight="false" outlineLevel="0" collapsed="false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G23" activeCellId="0" sqref="G2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">
        <v>45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">
        <v>46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609.11</v>
      </c>
      <c r="D23" s="16" t="n">
        <v>-5.25</v>
      </c>
      <c r="E23" s="16" t="n">
        <f aca="false">+D23+F23</f>
        <v>-5.258</v>
      </c>
      <c r="F23" s="16" t="n">
        <f aca="false">RANDBETWEEN(-105,115)/10000</f>
        <v>-0.008</v>
      </c>
      <c r="G23" s="16" t="n">
        <f aca="false">W23+0.18</f>
        <v>2.521</v>
      </c>
      <c r="H23" s="16" t="n">
        <f aca="false">G23+I23</f>
        <v>2.51</v>
      </c>
      <c r="I23" s="16" t="n">
        <f aca="false">RANDBETWEEN(-20,70)/1000</f>
        <v>-0.011</v>
      </c>
      <c r="J23" s="16" t="n">
        <f aca="false">X23+0.18</f>
        <v>2.638</v>
      </c>
      <c r="K23" s="16" t="n">
        <f aca="false">J23+L23</f>
        <v>2.655</v>
      </c>
      <c r="L23" s="16" t="n">
        <f aca="false">RANDBETWEEN(-20,70)/1000</f>
        <v>0.017</v>
      </c>
      <c r="M23" s="16" t="n">
        <v>5.25</v>
      </c>
      <c r="N23" s="16" t="n">
        <f aca="false">+M23+O23</f>
        <v>5.2508</v>
      </c>
      <c r="O23" s="16" t="n">
        <f aca="false">RANDBETWEEN(-105,115)/10000</f>
        <v>0.0008</v>
      </c>
      <c r="P23" s="16" t="n">
        <f aca="false">Y23+0.18</f>
        <v>2.521</v>
      </c>
      <c r="Q23" s="16" t="n">
        <f aca="false">P23+R23</f>
        <v>2.562</v>
      </c>
      <c r="R23" s="16" t="n">
        <f aca="false">RANDBETWEEN(-20,70)/1000</f>
        <v>0.041</v>
      </c>
      <c r="S23" s="17"/>
      <c r="T23" s="18" t="n">
        <v>11.75</v>
      </c>
      <c r="V23" s="19"/>
      <c r="W23" s="19" t="n">
        <f aca="false">'KTHH Lớp 2'!G23</f>
        <v>2.341</v>
      </c>
      <c r="X23" s="19" t="n">
        <f aca="false">'KTHH Lớp 2'!J23</f>
        <v>2.458</v>
      </c>
      <c r="Y23" s="19" t="n">
        <f aca="false">'KTHH Lớp 2'!P23</f>
        <v>2.341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620.86</v>
      </c>
      <c r="D24" s="16" t="n">
        <v>-5.25</v>
      </c>
      <c r="E24" s="16" t="n">
        <f aca="false">+D24+F24</f>
        <v>-5.2565</v>
      </c>
      <c r="F24" s="16" t="n">
        <f aca="false">RANDBETWEEN(-105,115)/10000</f>
        <v>-0.0065</v>
      </c>
      <c r="G24" s="16" t="n">
        <f aca="false">W24+0.18</f>
        <v>2.522</v>
      </c>
      <c r="H24" s="16" t="n">
        <f aca="false">G24+I24</f>
        <v>2.524</v>
      </c>
      <c r="I24" s="16" t="n">
        <f aca="false">RANDBETWEEN(-20,70)/1000</f>
        <v>0.002</v>
      </c>
      <c r="J24" s="16" t="n">
        <f aca="false">X24+0.18</f>
        <v>2.639</v>
      </c>
      <c r="K24" s="16" t="n">
        <f aca="false">J24+L24</f>
        <v>2.658</v>
      </c>
      <c r="L24" s="16" t="n">
        <f aca="false">RANDBETWEEN(-20,70)/1000</f>
        <v>0.019</v>
      </c>
      <c r="M24" s="16" t="n">
        <v>5.25</v>
      </c>
      <c r="N24" s="16" t="n">
        <f aca="false">+M24+O24</f>
        <v>5.2568</v>
      </c>
      <c r="O24" s="16" t="n">
        <f aca="false">RANDBETWEEN(-105,115)/10000</f>
        <v>0.0068</v>
      </c>
      <c r="P24" s="16" t="n">
        <f aca="false">Y24+0.18</f>
        <v>2.522</v>
      </c>
      <c r="Q24" s="16" t="n">
        <f aca="false">P24+R24</f>
        <v>2.515</v>
      </c>
      <c r="R24" s="16" t="n">
        <f aca="false">RANDBETWEEN(-20,70)/1000</f>
        <v>-0.007</v>
      </c>
      <c r="S24" s="17"/>
      <c r="T24" s="18" t="n">
        <v>11.75</v>
      </c>
      <c r="V24" s="19"/>
      <c r="W24" s="19" t="n">
        <f aca="false">'KTHH Lớp 2'!G24</f>
        <v>2.342</v>
      </c>
      <c r="X24" s="19" t="n">
        <f aca="false">'KTHH Lớp 2'!J24</f>
        <v>2.459</v>
      </c>
      <c r="Y24" s="19" t="n">
        <f aca="false">'KTHH Lớp 2'!P24</f>
        <v>2.342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632.61</v>
      </c>
      <c r="D25" s="16" t="n">
        <v>-5.25</v>
      </c>
      <c r="E25" s="16" t="n">
        <f aca="false">+D25+F25</f>
        <v>-5.2454</v>
      </c>
      <c r="F25" s="16" t="n">
        <f aca="false">RANDBETWEEN(-105,115)/10000</f>
        <v>0.0046</v>
      </c>
      <c r="G25" s="16" t="n">
        <f aca="false">W25+0.18</f>
        <v>2.524</v>
      </c>
      <c r="H25" s="16" t="n">
        <f aca="false">G25+I25</f>
        <v>2.589</v>
      </c>
      <c r="I25" s="16" t="n">
        <f aca="false">RANDBETWEEN(-20,70)/1000</f>
        <v>0.065</v>
      </c>
      <c r="J25" s="16" t="n">
        <f aca="false">X25+0.18</f>
        <v>2.641</v>
      </c>
      <c r="K25" s="16" t="n">
        <f aca="false">J25+L25</f>
        <v>2.692</v>
      </c>
      <c r="L25" s="16" t="n">
        <f aca="false">RANDBETWEEN(-20,70)/1000</f>
        <v>0.051</v>
      </c>
      <c r="M25" s="16" t="n">
        <v>5.25</v>
      </c>
      <c r="N25" s="16" t="n">
        <f aca="false">+M25+O25</f>
        <v>5.2434</v>
      </c>
      <c r="O25" s="16" t="n">
        <f aca="false">RANDBETWEEN(-105,115)/10000</f>
        <v>-0.0066</v>
      </c>
      <c r="P25" s="16" t="n">
        <f aca="false">Y25+0.18</f>
        <v>2.524</v>
      </c>
      <c r="Q25" s="16" t="n">
        <f aca="false">P25+R25</f>
        <v>2.547</v>
      </c>
      <c r="R25" s="16" t="n">
        <f aca="false">RANDBETWEEN(-20,70)/1000</f>
        <v>0.023</v>
      </c>
      <c r="S25" s="17"/>
      <c r="T25" s="18" t="n">
        <v>20</v>
      </c>
      <c r="V25" s="19"/>
      <c r="W25" s="19" t="n">
        <f aca="false">'KTHH Lớp 2'!G25</f>
        <v>2.344</v>
      </c>
      <c r="X25" s="19" t="n">
        <f aca="false">'KTHH Lớp 2'!J25</f>
        <v>2.461</v>
      </c>
      <c r="Y25" s="19" t="n">
        <f aca="false">'KTHH Lớp 2'!P25</f>
        <v>2.344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652.61</v>
      </c>
      <c r="D26" s="16" t="n">
        <v>-5.25</v>
      </c>
      <c r="E26" s="16" t="n">
        <f aca="false">+D26+F26</f>
        <v>-5.2397</v>
      </c>
      <c r="F26" s="16" t="n">
        <f aca="false">RANDBETWEEN(-105,115)/10000</f>
        <v>0.0103</v>
      </c>
      <c r="G26" s="16" t="n">
        <f aca="false">W26+0.18</f>
        <v>2.526</v>
      </c>
      <c r="H26" s="16" t="n">
        <f aca="false">G26+I26</f>
        <v>2.519</v>
      </c>
      <c r="I26" s="16" t="n">
        <f aca="false">RANDBETWEEN(-20,70)/1000</f>
        <v>-0.007</v>
      </c>
      <c r="J26" s="16" t="n">
        <f aca="false">X26+0.18</f>
        <v>2.643</v>
      </c>
      <c r="K26" s="16" t="n">
        <f aca="false">J26+L26</f>
        <v>2.711</v>
      </c>
      <c r="L26" s="16" t="n">
        <f aca="false">RANDBETWEEN(-20,70)/1000</f>
        <v>0.068</v>
      </c>
      <c r="M26" s="16" t="n">
        <v>5.25</v>
      </c>
      <c r="N26" s="16" t="n">
        <f aca="false">+M26+O26</f>
        <v>5.2435</v>
      </c>
      <c r="O26" s="16" t="n">
        <f aca="false">RANDBETWEEN(-105,115)/10000</f>
        <v>-0.0065</v>
      </c>
      <c r="P26" s="16" t="n">
        <f aca="false">Y26+0.18</f>
        <v>2.526</v>
      </c>
      <c r="Q26" s="16" t="n">
        <f aca="false">P26+R26</f>
        <v>2.536</v>
      </c>
      <c r="R26" s="16" t="n">
        <f aca="false">RANDBETWEEN(-20,70)/1000</f>
        <v>0.01</v>
      </c>
      <c r="S26" s="17"/>
      <c r="T26" s="18" t="n">
        <v>20</v>
      </c>
      <c r="V26" s="19"/>
      <c r="W26" s="19" t="n">
        <f aca="false">'KTHH Lớp 2'!G26</f>
        <v>2.346</v>
      </c>
      <c r="X26" s="19" t="n">
        <f aca="false">'KTHH Lớp 2'!J26</f>
        <v>2.463</v>
      </c>
      <c r="Y26" s="19" t="n">
        <f aca="false">'KTHH Lớp 2'!P26</f>
        <v>2.346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672.61</v>
      </c>
      <c r="D27" s="16" t="n">
        <v>-5.25</v>
      </c>
      <c r="E27" s="16" t="n">
        <f aca="false">+D27+F27</f>
        <v>-5.2564</v>
      </c>
      <c r="F27" s="16" t="n">
        <f aca="false">RANDBETWEEN(-105,115)/10000</f>
        <v>-0.0064</v>
      </c>
      <c r="G27" s="16" t="n">
        <f aca="false">W27+0.18</f>
        <v>2.527</v>
      </c>
      <c r="H27" s="16" t="n">
        <f aca="false">G27+I27</f>
        <v>2.53</v>
      </c>
      <c r="I27" s="16" t="n">
        <f aca="false">RANDBETWEEN(-20,70)/1000</f>
        <v>0.003</v>
      </c>
      <c r="J27" s="16" t="n">
        <f aca="false">X27+0.18</f>
        <v>2.644</v>
      </c>
      <c r="K27" s="16" t="n">
        <f aca="false">J27+L27</f>
        <v>2.702</v>
      </c>
      <c r="L27" s="16" t="n">
        <f aca="false">RANDBETWEEN(-20,70)/1000</f>
        <v>0.058</v>
      </c>
      <c r="M27" s="16" t="n">
        <v>5.25</v>
      </c>
      <c r="N27" s="16" t="n">
        <f aca="false">+M27+O27</f>
        <v>5.2435</v>
      </c>
      <c r="O27" s="16" t="n">
        <f aca="false">RANDBETWEEN(-105,115)/10000</f>
        <v>-0.0065</v>
      </c>
      <c r="P27" s="16" t="n">
        <f aca="false">Y27+0.18</f>
        <v>2.527</v>
      </c>
      <c r="Q27" s="16" t="n">
        <f aca="false">P27+R27</f>
        <v>2.573</v>
      </c>
      <c r="R27" s="16" t="n">
        <f aca="false">RANDBETWEEN(-20,70)/1000</f>
        <v>0.046</v>
      </c>
      <c r="S27" s="17"/>
      <c r="T27" s="18" t="n">
        <v>20</v>
      </c>
      <c r="V27" s="19"/>
      <c r="W27" s="19" t="n">
        <f aca="false">'KTHH Lớp 2'!G27</f>
        <v>2.347</v>
      </c>
      <c r="X27" s="19" t="n">
        <f aca="false">'KTHH Lớp 2'!J27</f>
        <v>2.464</v>
      </c>
      <c r="Y27" s="19" t="n">
        <f aca="false">'KTHH Lớp 2'!P27</f>
        <v>2.347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692.61</v>
      </c>
      <c r="D28" s="16" t="n">
        <v>-5.25</v>
      </c>
      <c r="E28" s="16" t="n">
        <f aca="false">+D28+F28</f>
        <v>-5.2496</v>
      </c>
      <c r="F28" s="16" t="n">
        <f aca="false">RANDBETWEEN(-105,115)/10000</f>
        <v>0.0004</v>
      </c>
      <c r="G28" s="16" t="n">
        <f aca="false">W28+0.18</f>
        <v>2.529</v>
      </c>
      <c r="H28" s="16" t="n">
        <f aca="false">G28+I28</f>
        <v>2.56</v>
      </c>
      <c r="I28" s="16" t="n">
        <f aca="false">RANDBETWEEN(-20,70)/1000</f>
        <v>0.031</v>
      </c>
      <c r="J28" s="16" t="n">
        <f aca="false">X28+0.18</f>
        <v>2.646</v>
      </c>
      <c r="K28" s="16" t="n">
        <f aca="false">J28+L28</f>
        <v>2.702</v>
      </c>
      <c r="L28" s="16" t="n">
        <f aca="false">RANDBETWEEN(-20,70)/1000</f>
        <v>0.056</v>
      </c>
      <c r="M28" s="16" t="n">
        <v>5.25</v>
      </c>
      <c r="N28" s="16" t="n">
        <f aca="false">+M28+O28</f>
        <v>5.2605</v>
      </c>
      <c r="O28" s="16" t="n">
        <f aca="false">RANDBETWEEN(-105,115)/10000</f>
        <v>0.0105</v>
      </c>
      <c r="P28" s="16" t="n">
        <f aca="false">Y28+0.18</f>
        <v>2.529</v>
      </c>
      <c r="Q28" s="16" t="n">
        <f aca="false">P28+R28</f>
        <v>2.547</v>
      </c>
      <c r="R28" s="16" t="n">
        <f aca="false">RANDBETWEEN(-20,70)/1000</f>
        <v>0.018</v>
      </c>
      <c r="S28" s="17"/>
      <c r="T28" s="18" t="n">
        <v>20</v>
      </c>
      <c r="V28" s="19"/>
      <c r="W28" s="19" t="n">
        <f aca="false">'KTHH Lớp 2'!G28</f>
        <v>2.349</v>
      </c>
      <c r="X28" s="19" t="n">
        <f aca="false">'KTHH Lớp 2'!J28</f>
        <v>2.466</v>
      </c>
      <c r="Y28" s="19" t="n">
        <f aca="false">'KTHH Lớp 2'!P28</f>
        <v>2.349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712.61</v>
      </c>
      <c r="D29" s="16" t="n">
        <v>-5.25</v>
      </c>
      <c r="E29" s="16" t="n">
        <f aca="false">+D29+F29</f>
        <v>-5.255</v>
      </c>
      <c r="F29" s="16" t="n">
        <f aca="false">RANDBETWEEN(-105,115)/10000</f>
        <v>-0.005</v>
      </c>
      <c r="G29" s="16" t="n">
        <f aca="false">W29+0.18</f>
        <v>2.531</v>
      </c>
      <c r="H29" s="16" t="n">
        <f aca="false">G29+I29</f>
        <v>2.566</v>
      </c>
      <c r="I29" s="16" t="n">
        <f aca="false">RANDBETWEEN(-20,70)/1000</f>
        <v>0.035</v>
      </c>
      <c r="J29" s="16" t="n">
        <f aca="false">X29+0.18</f>
        <v>2.648</v>
      </c>
      <c r="K29" s="16" t="n">
        <f aca="false">J29+L29</f>
        <v>2.688</v>
      </c>
      <c r="L29" s="16" t="n">
        <f aca="false">RANDBETWEEN(-20,70)/1000</f>
        <v>0.04</v>
      </c>
      <c r="M29" s="16" t="n">
        <v>5.25</v>
      </c>
      <c r="N29" s="16" t="n">
        <f aca="false">+M29+O29</f>
        <v>5.259</v>
      </c>
      <c r="O29" s="16" t="n">
        <f aca="false">RANDBETWEEN(-105,115)/10000</f>
        <v>0.009</v>
      </c>
      <c r="P29" s="16" t="n">
        <f aca="false">Y29+0.18</f>
        <v>2.531</v>
      </c>
      <c r="Q29" s="16" t="n">
        <f aca="false">P29+R29</f>
        <v>2.525</v>
      </c>
      <c r="R29" s="16" t="n">
        <f aca="false">RANDBETWEEN(-20,70)/1000</f>
        <v>-0.006</v>
      </c>
      <c r="S29" s="17"/>
      <c r="T29" s="18" t="n">
        <v>11.5</v>
      </c>
      <c r="V29" s="19"/>
      <c r="W29" s="19" t="n">
        <f aca="false">'KTHH Lớp 2'!G29</f>
        <v>2.351</v>
      </c>
      <c r="X29" s="19" t="n">
        <f aca="false">'KTHH Lớp 2'!J29</f>
        <v>2.468</v>
      </c>
      <c r="Y29" s="19" t="n">
        <f aca="false">'KTHH Lớp 2'!P29</f>
        <v>2.351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724.11</v>
      </c>
      <c r="D30" s="16" t="n">
        <v>-5.25</v>
      </c>
      <c r="E30" s="16" t="n">
        <f aca="false">+D30+F30</f>
        <v>-5.2591</v>
      </c>
      <c r="F30" s="16" t="n">
        <f aca="false">RANDBETWEEN(-105,115)/10000</f>
        <v>-0.0091</v>
      </c>
      <c r="G30" s="16" t="n">
        <f aca="false">W30+0.18</f>
        <v>2.532</v>
      </c>
      <c r="H30" s="16" t="n">
        <f aca="false">G30+I30</f>
        <v>2.536</v>
      </c>
      <c r="I30" s="16" t="n">
        <f aca="false">RANDBETWEEN(-20,70)/1000</f>
        <v>0.004</v>
      </c>
      <c r="J30" s="16" t="n">
        <f aca="false">X30+0.18</f>
        <v>2.649</v>
      </c>
      <c r="K30" s="16" t="n">
        <f aca="false">J30+L30</f>
        <v>2.689</v>
      </c>
      <c r="L30" s="16" t="n">
        <f aca="false">RANDBETWEEN(-20,70)/1000</f>
        <v>0.04</v>
      </c>
      <c r="M30" s="16" t="n">
        <v>5.25</v>
      </c>
      <c r="N30" s="16" t="n">
        <f aca="false">+M30+O30</f>
        <v>5.2402</v>
      </c>
      <c r="O30" s="16" t="n">
        <f aca="false">RANDBETWEEN(-105,115)/10000</f>
        <v>-0.0098</v>
      </c>
      <c r="P30" s="16" t="n">
        <f aca="false">Y30+0.18</f>
        <v>2.532</v>
      </c>
      <c r="Q30" s="16" t="n">
        <f aca="false">P30+R30</f>
        <v>2.513</v>
      </c>
      <c r="R30" s="16" t="n">
        <f aca="false">RANDBETWEEN(-20,70)/1000</f>
        <v>-0.019</v>
      </c>
      <c r="S30" s="17"/>
      <c r="T30" s="18"/>
      <c r="V30" s="19"/>
      <c r="W30" s="19" t="n">
        <f aca="false">'KTHH Lớp 2'!G30</f>
        <v>2.352</v>
      </c>
      <c r="X30" s="19" t="n">
        <f aca="false">'KTHH Lớp 2'!J30</f>
        <v>2.469</v>
      </c>
      <c r="Y30" s="19" t="n">
        <f aca="false">'KTHH Lớp 2'!P30</f>
        <v>2.352</v>
      </c>
    </row>
    <row r="31" s="10" customFormat="true" ht="18" hidden="true" customHeight="true" outlineLevel="0" collapsed="false">
      <c r="A31" s="13"/>
      <c r="B31" s="82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</row>
    <row r="32" s="10" customFormat="true" ht="18" hidden="true" customHeight="true" outlineLevel="0" collapsed="false">
      <c r="A32" s="13"/>
      <c r="B32" s="82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</row>
    <row r="33" s="10" customFormat="true" ht="18" hidden="true" customHeight="true" outlineLevel="0" collapsed="false">
      <c r="A33" s="13"/>
      <c r="B33" s="82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31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32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33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34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7" colorId="64" zoomScale="70" zoomScaleNormal="70" zoomScalePageLayoutView="100" workbookViewId="0">
      <selection pane="topLeft" activeCell="O11" activeCellId="0" sqref="O1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">
        <v>45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">
        <v>46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36</v>
      </c>
      <c r="B9" s="117" t="s">
        <v>10</v>
      </c>
      <c r="C9" s="117" t="s">
        <v>11</v>
      </c>
      <c r="D9" s="118" t="s">
        <v>37</v>
      </c>
      <c r="E9" s="119"/>
      <c r="F9" s="119"/>
      <c r="G9" s="118"/>
      <c r="H9" s="119"/>
      <c r="I9" s="119"/>
      <c r="J9" s="119"/>
      <c r="K9" s="119"/>
      <c r="L9" s="119"/>
      <c r="M9" s="120" t="s">
        <v>38</v>
      </c>
      <c r="N9" s="121"/>
      <c r="O9" s="122" t="s">
        <v>39</v>
      </c>
      <c r="P9" s="123"/>
      <c r="Q9" s="123"/>
      <c r="R9" s="123"/>
      <c r="S9" s="123"/>
      <c r="T9" s="123"/>
      <c r="U9" s="123"/>
      <c r="V9" s="123"/>
      <c r="W9" s="122" t="s">
        <v>40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39</v>
      </c>
      <c r="O10" s="122"/>
      <c r="P10" s="122" t="s">
        <v>39</v>
      </c>
      <c r="Q10" s="122" t="s">
        <v>39</v>
      </c>
      <c r="R10" s="122"/>
      <c r="S10" s="122"/>
      <c r="T10" s="122"/>
      <c r="U10" s="122" t="s">
        <v>40</v>
      </c>
      <c r="V10" s="122" t="s">
        <v>40</v>
      </c>
      <c r="W10" s="122"/>
      <c r="X10" s="122" t="s">
        <v>40</v>
      </c>
      <c r="Y10" s="122" t="s">
        <v>40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A'!B23</f>
        <v>31</v>
      </c>
      <c r="C11" s="133" t="n">
        <f aca="false">'Base A'!C23</f>
        <v>609.11</v>
      </c>
      <c r="D11" s="132" t="n">
        <f aca="false">'Base A'!T23</f>
        <v>11.75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10.5*0.18</f>
        <v>1.89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22.2075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A'!B24</f>
        <v>E10</v>
      </c>
      <c r="C12" s="133" t="n">
        <f aca="false">'Base A'!C24</f>
        <v>620.86</v>
      </c>
      <c r="D12" s="132" t="n">
        <f aca="false">'Base A'!T24</f>
        <v>11.75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10.5*0.18</f>
        <v>1.89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22.2075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A'!B25</f>
        <v>32</v>
      </c>
      <c r="C13" s="133" t="n">
        <f aca="false">'Base A'!C25</f>
        <v>632.61</v>
      </c>
      <c r="D13" s="132" t="n">
        <f aca="false">'Base A'!T25</f>
        <v>20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10.5*0.18</f>
        <v>1.89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37.8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A'!B26</f>
        <v>33</v>
      </c>
      <c r="C14" s="133" t="n">
        <f aca="false">'Base A'!C26</f>
        <v>652.61</v>
      </c>
      <c r="D14" s="132" t="n">
        <f aca="false">'Base A'!T26</f>
        <v>20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10.5*0.18</f>
        <v>1.89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37.8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A'!B27</f>
        <v>34</v>
      </c>
      <c r="C15" s="133" t="n">
        <f aca="false">'Base A'!C27</f>
        <v>672.61</v>
      </c>
      <c r="D15" s="132" t="n">
        <f aca="false">'Base A'!T27</f>
        <v>20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10.5*0.18</f>
        <v>1.89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37.8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A'!B28</f>
        <v>35</v>
      </c>
      <c r="C16" s="133" t="n">
        <f aca="false">'Base A'!C28</f>
        <v>692.61</v>
      </c>
      <c r="D16" s="132" t="n">
        <f aca="false">'Base A'!T28</f>
        <v>20</v>
      </c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10.5*0.18</f>
        <v>1.89</v>
      </c>
      <c r="P16" s="135"/>
      <c r="Q16" s="135"/>
      <c r="R16" s="139"/>
      <c r="S16" s="139"/>
      <c r="T16" s="139"/>
      <c r="U16" s="139"/>
      <c r="V16" s="139"/>
      <c r="W16" s="139" t="n">
        <f aca="false">(O16+O17)*D16/2</f>
        <v>37.8</v>
      </c>
      <c r="X16" s="139"/>
      <c r="Y16" s="139"/>
      <c r="Z16" s="139"/>
      <c r="AA16" s="139"/>
      <c r="AB16" s="140"/>
      <c r="AC16" s="139"/>
      <c r="AE16" s="141"/>
    </row>
    <row r="17" s="131" customFormat="true" ht="15" hidden="false" customHeight="true" outlineLevel="0" collapsed="false">
      <c r="A17" s="132" t="n">
        <v>7</v>
      </c>
      <c r="B17" s="132" t="str">
        <f aca="false">'Base A'!B29</f>
        <v>36</v>
      </c>
      <c r="C17" s="133" t="n">
        <f aca="false">'Base A'!C29</f>
        <v>712.61</v>
      </c>
      <c r="D17" s="132" t="n">
        <f aca="false">'Base A'!T29</f>
        <v>11.5</v>
      </c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 t="n">
        <f aca="false">10.5*0.18</f>
        <v>1.89</v>
      </c>
      <c r="P17" s="135"/>
      <c r="Q17" s="135"/>
      <c r="R17" s="139"/>
      <c r="S17" s="139"/>
      <c r="T17" s="139"/>
      <c r="U17" s="139"/>
      <c r="V17" s="139"/>
      <c r="W17" s="139" t="n">
        <f aca="false">(O17+O18)*D17/2</f>
        <v>21.735</v>
      </c>
      <c r="X17" s="139"/>
      <c r="Y17" s="139"/>
      <c r="Z17" s="139"/>
      <c r="AA17" s="139"/>
      <c r="AB17" s="140"/>
      <c r="AC17" s="139"/>
      <c r="AE17" s="141"/>
    </row>
    <row r="18" s="131" customFormat="true" ht="15" hidden="false" customHeight="true" outlineLevel="0" collapsed="false">
      <c r="A18" s="132" t="n">
        <v>8</v>
      </c>
      <c r="B18" s="132" t="str">
        <f aca="false">'Base A'!B30</f>
        <v>37</v>
      </c>
      <c r="C18" s="133" t="n">
        <f aca="false">'Base A'!C30</f>
        <v>724.11</v>
      </c>
      <c r="D18" s="132"/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 t="n">
        <f aca="false">10.5*0.18</f>
        <v>1.89</v>
      </c>
      <c r="P18" s="135"/>
      <c r="Q18" s="135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40"/>
      <c r="AC18" s="139"/>
      <c r="AE18" s="141"/>
    </row>
    <row r="19" s="131" customFormat="true" ht="15" hidden="true" customHeight="true" outlineLevel="0" collapsed="false">
      <c r="A19" s="132"/>
      <c r="B19" s="132"/>
      <c r="C19" s="133"/>
      <c r="D19" s="132"/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/>
      <c r="P19" s="135"/>
      <c r="Q19" s="135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40"/>
      <c r="AC19" s="139"/>
      <c r="AE19" s="141"/>
    </row>
    <row r="20" s="131" customFormat="true" ht="15" hidden="true" customHeight="true" outlineLevel="0" collapsed="false">
      <c r="A20" s="132"/>
      <c r="B20" s="132"/>
      <c r="C20" s="133"/>
      <c r="D20" s="132"/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/>
      <c r="P20" s="135"/>
      <c r="Q20" s="135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40"/>
      <c r="AC20" s="139"/>
      <c r="AE20" s="141"/>
    </row>
    <row r="21" s="131" customFormat="true" ht="15" hidden="true" customHeight="true" outlineLevel="0" collapsed="false">
      <c r="A21" s="132"/>
      <c r="B21" s="132"/>
      <c r="C21" s="133"/>
      <c r="D21" s="132"/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/>
      <c r="P21" s="135"/>
      <c r="Q21" s="135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40"/>
      <c r="AC21" s="139"/>
      <c r="AE21" s="141"/>
    </row>
    <row r="22" s="131" customFormat="true" ht="15" hidden="true" customHeight="true" outlineLevel="0" collapsed="false">
      <c r="A22" s="132"/>
      <c r="B22" s="132"/>
      <c r="C22" s="133"/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/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41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SUM(W11:W18)</f>
        <v>217.35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31</v>
      </c>
      <c r="B51" s="153"/>
      <c r="C51" s="153"/>
      <c r="D51" s="154" t="s">
        <v>42</v>
      </c>
      <c r="E51" s="153" t="s">
        <v>32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33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">
        <v>34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K32" activeCellId="0" sqref="K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">
        <v>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">
        <v>48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609.11</v>
      </c>
      <c r="D23" s="16" t="n">
        <v>-5.25</v>
      </c>
      <c r="E23" s="16" t="n">
        <f aca="false">+D23+F23</f>
        <v>-5.2599</v>
      </c>
      <c r="F23" s="16" t="n">
        <f aca="false">RANDBETWEEN(-105,115)/10000</f>
        <v>-0.0099</v>
      </c>
      <c r="G23" s="16" t="n">
        <f aca="false">W23+0.15</f>
        <v>2.671</v>
      </c>
      <c r="H23" s="16" t="n">
        <f aca="false">G23+I23</f>
        <v>2.716</v>
      </c>
      <c r="I23" s="16" t="n">
        <f aca="false">RANDBETWEEN(-20,70)/1000</f>
        <v>0.045</v>
      </c>
      <c r="J23" s="16" t="n">
        <f aca="false">X23+0.15</f>
        <v>2.788</v>
      </c>
      <c r="K23" s="16" t="n">
        <f aca="false">J23+L23</f>
        <v>2.83</v>
      </c>
      <c r="L23" s="16" t="n">
        <f aca="false">RANDBETWEEN(-20,70)/1000</f>
        <v>0.042</v>
      </c>
      <c r="M23" s="16" t="n">
        <v>5.25</v>
      </c>
      <c r="N23" s="16" t="n">
        <f aca="false">+M23+O23</f>
        <v>5.2476</v>
      </c>
      <c r="O23" s="16" t="n">
        <f aca="false">RANDBETWEEN(-105,115)/10000</f>
        <v>-0.0024</v>
      </c>
      <c r="P23" s="16" t="n">
        <f aca="false">Y23+0.15</f>
        <v>2.671</v>
      </c>
      <c r="Q23" s="16" t="n">
        <f aca="false">P23+R23</f>
        <v>2.737</v>
      </c>
      <c r="R23" s="16" t="n">
        <f aca="false">RANDBETWEEN(-20,70)/1000</f>
        <v>0.066</v>
      </c>
      <c r="S23" s="17"/>
      <c r="T23" s="18" t="n">
        <v>11.75</v>
      </c>
      <c r="V23" s="19"/>
      <c r="W23" s="19" t="n">
        <f aca="false">'Base A'!G23</f>
        <v>2.521</v>
      </c>
      <c r="X23" s="19" t="n">
        <f aca="false">'Base A'!J23</f>
        <v>2.638</v>
      </c>
      <c r="Y23" s="19" t="n">
        <f aca="false">'Base A'!P23</f>
        <v>2.521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620.86</v>
      </c>
      <c r="D24" s="16" t="n">
        <v>-5.25</v>
      </c>
      <c r="E24" s="16" t="n">
        <f aca="false">+D24+F24</f>
        <v>-5.2579</v>
      </c>
      <c r="F24" s="16" t="n">
        <f aca="false">RANDBETWEEN(-105,115)/10000</f>
        <v>-0.0079</v>
      </c>
      <c r="G24" s="16" t="n">
        <f aca="false">W24+0.15</f>
        <v>2.672</v>
      </c>
      <c r="H24" s="16" t="n">
        <f aca="false">G24+I24</f>
        <v>2.701</v>
      </c>
      <c r="I24" s="16" t="n">
        <f aca="false">RANDBETWEEN(-20,70)/1000</f>
        <v>0.029</v>
      </c>
      <c r="J24" s="16" t="n">
        <f aca="false">X24+0.15</f>
        <v>2.789</v>
      </c>
      <c r="K24" s="16" t="n">
        <f aca="false">J24+L24</f>
        <v>2.777</v>
      </c>
      <c r="L24" s="16" t="n">
        <f aca="false">RANDBETWEEN(-20,70)/1000</f>
        <v>-0.012</v>
      </c>
      <c r="M24" s="16" t="n">
        <v>5.25</v>
      </c>
      <c r="N24" s="16" t="n">
        <f aca="false">+M24+O24</f>
        <v>5.2531</v>
      </c>
      <c r="O24" s="16" t="n">
        <f aca="false">RANDBETWEEN(-105,115)/10000</f>
        <v>0.0031</v>
      </c>
      <c r="P24" s="16" t="n">
        <f aca="false">Y24+0.15</f>
        <v>2.672</v>
      </c>
      <c r="Q24" s="16" t="n">
        <f aca="false">P24+R24</f>
        <v>2.706</v>
      </c>
      <c r="R24" s="16" t="n">
        <f aca="false">RANDBETWEEN(-20,70)/1000</f>
        <v>0.034</v>
      </c>
      <c r="S24" s="17"/>
      <c r="T24" s="18" t="n">
        <v>11.75</v>
      </c>
      <c r="V24" s="19"/>
      <c r="W24" s="19" t="n">
        <f aca="false">'Base A'!G24</f>
        <v>2.522</v>
      </c>
      <c r="X24" s="19" t="n">
        <f aca="false">'Base A'!J24</f>
        <v>2.639</v>
      </c>
      <c r="Y24" s="19" t="n">
        <f aca="false">'Base A'!P24</f>
        <v>2.522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632.61</v>
      </c>
      <c r="D25" s="16" t="n">
        <v>-5.25</v>
      </c>
      <c r="E25" s="16" t="n">
        <f aca="false">+D25+F25</f>
        <v>-5.2559</v>
      </c>
      <c r="F25" s="16" t="n">
        <f aca="false">RANDBETWEEN(-105,115)/10000</f>
        <v>-0.0059</v>
      </c>
      <c r="G25" s="16" t="n">
        <f aca="false">W25+0.15</f>
        <v>2.674</v>
      </c>
      <c r="H25" s="16" t="n">
        <f aca="false">G25+I25</f>
        <v>2.713</v>
      </c>
      <c r="I25" s="16" t="n">
        <f aca="false">RANDBETWEEN(-20,70)/1000</f>
        <v>0.039</v>
      </c>
      <c r="J25" s="16" t="n">
        <f aca="false">X25+0.15</f>
        <v>2.791</v>
      </c>
      <c r="K25" s="16" t="n">
        <f aca="false">J25+L25</f>
        <v>2.797</v>
      </c>
      <c r="L25" s="16" t="n">
        <f aca="false">RANDBETWEEN(-20,70)/1000</f>
        <v>0.006</v>
      </c>
      <c r="M25" s="16" t="n">
        <v>5.25</v>
      </c>
      <c r="N25" s="16" t="n">
        <f aca="false">+M25+O25</f>
        <v>5.2484</v>
      </c>
      <c r="O25" s="16" t="n">
        <f aca="false">RANDBETWEEN(-105,115)/10000</f>
        <v>-0.0016</v>
      </c>
      <c r="P25" s="16" t="n">
        <f aca="false">Y25+0.15</f>
        <v>2.674</v>
      </c>
      <c r="Q25" s="16" t="n">
        <f aca="false">P25+R25</f>
        <v>2.716</v>
      </c>
      <c r="R25" s="16" t="n">
        <f aca="false">RANDBETWEEN(-20,70)/1000</f>
        <v>0.042</v>
      </c>
      <c r="S25" s="17"/>
      <c r="T25" s="18" t="n">
        <v>20</v>
      </c>
      <c r="V25" s="19"/>
      <c r="W25" s="19" t="n">
        <f aca="false">'Base A'!G25</f>
        <v>2.524</v>
      </c>
      <c r="X25" s="19" t="n">
        <f aca="false">'Base A'!J25</f>
        <v>2.641</v>
      </c>
      <c r="Y25" s="19" t="n">
        <f aca="false">'Base A'!P25</f>
        <v>2.524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652.61</v>
      </c>
      <c r="D26" s="16" t="n">
        <v>-5.25</v>
      </c>
      <c r="E26" s="16" t="n">
        <f aca="false">+D26+F26</f>
        <v>-5.2536</v>
      </c>
      <c r="F26" s="16" t="n">
        <f aca="false">RANDBETWEEN(-105,115)/10000</f>
        <v>-0.0036</v>
      </c>
      <c r="G26" s="16" t="n">
        <f aca="false">W26+0.15</f>
        <v>2.676</v>
      </c>
      <c r="H26" s="16" t="n">
        <f aca="false">G26+I26</f>
        <v>2.696</v>
      </c>
      <c r="I26" s="16" t="n">
        <f aca="false">RANDBETWEEN(-20,70)/1000</f>
        <v>0.02</v>
      </c>
      <c r="J26" s="16" t="n">
        <f aca="false">X26+0.15</f>
        <v>2.793</v>
      </c>
      <c r="K26" s="16" t="n">
        <f aca="false">J26+L26</f>
        <v>2.796</v>
      </c>
      <c r="L26" s="16" t="n">
        <f aca="false">RANDBETWEEN(-20,70)/1000</f>
        <v>0.003</v>
      </c>
      <c r="M26" s="16" t="n">
        <v>5.25</v>
      </c>
      <c r="N26" s="16" t="n">
        <f aca="false">+M26+O26</f>
        <v>5.2452</v>
      </c>
      <c r="O26" s="16" t="n">
        <f aca="false">RANDBETWEEN(-105,115)/10000</f>
        <v>-0.0048</v>
      </c>
      <c r="P26" s="16" t="n">
        <f aca="false">Y26+0.15</f>
        <v>2.676</v>
      </c>
      <c r="Q26" s="16" t="n">
        <f aca="false">P26+R26</f>
        <v>2.717</v>
      </c>
      <c r="R26" s="16" t="n">
        <f aca="false">RANDBETWEEN(-20,70)/1000</f>
        <v>0.041</v>
      </c>
      <c r="S26" s="17"/>
      <c r="T26" s="18" t="n">
        <v>20</v>
      </c>
      <c r="V26" s="19"/>
      <c r="W26" s="19" t="n">
        <f aca="false">'Base A'!G26</f>
        <v>2.526</v>
      </c>
      <c r="X26" s="19" t="n">
        <f aca="false">'Base A'!J26</f>
        <v>2.643</v>
      </c>
      <c r="Y26" s="19" t="n">
        <f aca="false">'Base A'!P26</f>
        <v>2.526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672.61</v>
      </c>
      <c r="D27" s="16" t="n">
        <v>-5.25</v>
      </c>
      <c r="E27" s="16" t="n">
        <f aca="false">+D27+F27</f>
        <v>-5.2524</v>
      </c>
      <c r="F27" s="16" t="n">
        <f aca="false">RANDBETWEEN(-105,115)/10000</f>
        <v>-0.0024</v>
      </c>
      <c r="G27" s="16" t="n">
        <f aca="false">W27+0.15</f>
        <v>2.677</v>
      </c>
      <c r="H27" s="16" t="n">
        <f aca="false">G27+I27</f>
        <v>2.732</v>
      </c>
      <c r="I27" s="16" t="n">
        <f aca="false">RANDBETWEEN(-20,70)/1000</f>
        <v>0.055</v>
      </c>
      <c r="J27" s="16" t="n">
        <f aca="false">X27+0.15</f>
        <v>2.794</v>
      </c>
      <c r="K27" s="16" t="n">
        <f aca="false">J27+L27</f>
        <v>2.839</v>
      </c>
      <c r="L27" s="16" t="n">
        <f aca="false">RANDBETWEEN(-20,70)/1000</f>
        <v>0.045</v>
      </c>
      <c r="M27" s="16" t="n">
        <v>5.25</v>
      </c>
      <c r="N27" s="16" t="n">
        <f aca="false">+M27+O27</f>
        <v>5.2397</v>
      </c>
      <c r="O27" s="16" t="n">
        <f aca="false">RANDBETWEEN(-105,115)/10000</f>
        <v>-0.0103</v>
      </c>
      <c r="P27" s="16" t="n">
        <f aca="false">Y27+0.15</f>
        <v>2.677</v>
      </c>
      <c r="Q27" s="16" t="n">
        <f aca="false">P27+R27</f>
        <v>2.706</v>
      </c>
      <c r="R27" s="16" t="n">
        <f aca="false">RANDBETWEEN(-20,70)/1000</f>
        <v>0.029</v>
      </c>
      <c r="S27" s="17"/>
      <c r="T27" s="18" t="n">
        <v>20</v>
      </c>
      <c r="V27" s="19"/>
      <c r="W27" s="19" t="n">
        <f aca="false">'Base A'!G27</f>
        <v>2.527</v>
      </c>
      <c r="X27" s="19" t="n">
        <f aca="false">'Base A'!J27</f>
        <v>2.644</v>
      </c>
      <c r="Y27" s="19" t="n">
        <f aca="false">'Base A'!P27</f>
        <v>2.527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692.61</v>
      </c>
      <c r="D28" s="16" t="n">
        <v>-5.25</v>
      </c>
      <c r="E28" s="16" t="n">
        <f aca="false">+D28+F28</f>
        <v>-5.2409</v>
      </c>
      <c r="F28" s="16" t="n">
        <f aca="false">RANDBETWEEN(-105,115)/10000</f>
        <v>0.0091</v>
      </c>
      <c r="G28" s="16" t="n">
        <f aca="false">W28+0.15</f>
        <v>2.679</v>
      </c>
      <c r="H28" s="16" t="n">
        <f aca="false">G28+I28</f>
        <v>2.715</v>
      </c>
      <c r="I28" s="16" t="n">
        <f aca="false">RANDBETWEEN(-20,70)/1000</f>
        <v>0.036</v>
      </c>
      <c r="J28" s="16" t="n">
        <f aca="false">X28+0.15</f>
        <v>2.796</v>
      </c>
      <c r="K28" s="16" t="n">
        <f aca="false">J28+L28</f>
        <v>2.863</v>
      </c>
      <c r="L28" s="16" t="n">
        <f aca="false">RANDBETWEEN(-20,70)/1000</f>
        <v>0.067</v>
      </c>
      <c r="M28" s="16" t="n">
        <v>5.25</v>
      </c>
      <c r="N28" s="16" t="n">
        <f aca="false">+M28+O28</f>
        <v>5.2579</v>
      </c>
      <c r="O28" s="16" t="n">
        <f aca="false">RANDBETWEEN(-105,115)/10000</f>
        <v>0.0079</v>
      </c>
      <c r="P28" s="16" t="n">
        <f aca="false">Y28+0.15</f>
        <v>2.679</v>
      </c>
      <c r="Q28" s="16" t="n">
        <f aca="false">P28+R28</f>
        <v>2.717</v>
      </c>
      <c r="R28" s="16" t="n">
        <f aca="false">RANDBETWEEN(-20,70)/1000</f>
        <v>0.038</v>
      </c>
      <c r="S28" s="17"/>
      <c r="T28" s="18" t="n">
        <v>20</v>
      </c>
      <c r="V28" s="19"/>
      <c r="W28" s="19" t="n">
        <f aca="false">'Base A'!G28</f>
        <v>2.529</v>
      </c>
      <c r="X28" s="19" t="n">
        <f aca="false">'Base A'!J28</f>
        <v>2.646</v>
      </c>
      <c r="Y28" s="19" t="n">
        <f aca="false">'Base A'!P28</f>
        <v>2.529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712.61</v>
      </c>
      <c r="D29" s="16" t="n">
        <v>-5.25</v>
      </c>
      <c r="E29" s="16" t="n">
        <f aca="false">+D29+F29</f>
        <v>-5.2504</v>
      </c>
      <c r="F29" s="16" t="n">
        <f aca="false">RANDBETWEEN(-105,115)/10000</f>
        <v>-0.0004</v>
      </c>
      <c r="G29" s="16" t="n">
        <f aca="false">W29+0.15</f>
        <v>2.681</v>
      </c>
      <c r="H29" s="16" t="n">
        <f aca="false">G29+I29</f>
        <v>2.682</v>
      </c>
      <c r="I29" s="16" t="n">
        <f aca="false">RANDBETWEEN(-20,70)/1000</f>
        <v>0.001</v>
      </c>
      <c r="J29" s="16" t="n">
        <f aca="false">X29+0.15</f>
        <v>2.798</v>
      </c>
      <c r="K29" s="16" t="n">
        <f aca="false">J29+L29</f>
        <v>2.855</v>
      </c>
      <c r="L29" s="16" t="n">
        <f aca="false">RANDBETWEEN(-20,70)/1000</f>
        <v>0.057</v>
      </c>
      <c r="M29" s="16" t="n">
        <v>5.25</v>
      </c>
      <c r="N29" s="16" t="n">
        <f aca="false">+M29+O29</f>
        <v>5.2451</v>
      </c>
      <c r="O29" s="16" t="n">
        <f aca="false">RANDBETWEEN(-105,115)/10000</f>
        <v>-0.0049</v>
      </c>
      <c r="P29" s="16" t="n">
        <f aca="false">Y29+0.15</f>
        <v>2.681</v>
      </c>
      <c r="Q29" s="16" t="n">
        <f aca="false">P29+R29</f>
        <v>2.717</v>
      </c>
      <c r="R29" s="16" t="n">
        <f aca="false">RANDBETWEEN(-20,70)/1000</f>
        <v>0.036</v>
      </c>
      <c r="S29" s="17"/>
      <c r="T29" s="18" t="n">
        <v>11.5</v>
      </c>
      <c r="V29" s="19"/>
      <c r="W29" s="19" t="n">
        <f aca="false">'Base A'!G29</f>
        <v>2.531</v>
      </c>
      <c r="X29" s="19" t="n">
        <f aca="false">'Base A'!J29</f>
        <v>2.648</v>
      </c>
      <c r="Y29" s="19" t="n">
        <f aca="false">'Base A'!P29</f>
        <v>2.531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724.11</v>
      </c>
      <c r="D30" s="16" t="n">
        <v>-5.25</v>
      </c>
      <c r="E30" s="16" t="n">
        <f aca="false">+D30+F30</f>
        <v>-5.2411</v>
      </c>
      <c r="F30" s="16" t="n">
        <f aca="false">RANDBETWEEN(-105,115)/10000</f>
        <v>0.0089</v>
      </c>
      <c r="G30" s="16" t="n">
        <f aca="false">W30+0.15</f>
        <v>2.682</v>
      </c>
      <c r="H30" s="16" t="n">
        <f aca="false">G30+I30</f>
        <v>2.74</v>
      </c>
      <c r="I30" s="16" t="n">
        <f aca="false">RANDBETWEEN(-20,70)/1000</f>
        <v>0.058</v>
      </c>
      <c r="J30" s="16" t="n">
        <f aca="false">X30+0.15</f>
        <v>2.799</v>
      </c>
      <c r="K30" s="16" t="n">
        <f aca="false">J30+L30</f>
        <v>2.791</v>
      </c>
      <c r="L30" s="16" t="n">
        <f aca="false">RANDBETWEEN(-20,70)/1000</f>
        <v>-0.008</v>
      </c>
      <c r="M30" s="16" t="n">
        <v>5.25</v>
      </c>
      <c r="N30" s="16" t="n">
        <f aca="false">+M30+O30</f>
        <v>5.2577</v>
      </c>
      <c r="O30" s="16" t="n">
        <f aca="false">RANDBETWEEN(-105,115)/10000</f>
        <v>0.0077</v>
      </c>
      <c r="P30" s="16" t="n">
        <f aca="false">Y30+0.15</f>
        <v>2.682</v>
      </c>
      <c r="Q30" s="16" t="n">
        <f aca="false">P30+R30</f>
        <v>2.662</v>
      </c>
      <c r="R30" s="16" t="n">
        <f aca="false">RANDBETWEEN(-20,70)/1000</f>
        <v>-0.02</v>
      </c>
      <c r="S30" s="17"/>
      <c r="T30" s="18"/>
      <c r="V30" s="19"/>
      <c r="W30" s="19" t="n">
        <f aca="false">'Base A'!G30</f>
        <v>2.532</v>
      </c>
      <c r="X30" s="19" t="n">
        <f aca="false">'Base A'!J30</f>
        <v>2.649</v>
      </c>
      <c r="Y30" s="19" t="n">
        <f aca="false">'Base A'!P30</f>
        <v>2.532</v>
      </c>
    </row>
    <row r="31" s="10" customFormat="true" ht="18" hidden="true" customHeight="true" outlineLevel="0" collapsed="false">
      <c r="A31" s="13"/>
      <c r="B31" s="82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</row>
    <row r="32" s="10" customFormat="true" ht="18" hidden="true" customHeight="true" outlineLevel="0" collapsed="false">
      <c r="A32" s="13"/>
      <c r="B32" s="82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</row>
    <row r="33" s="10" customFormat="true" ht="18" hidden="true" customHeight="true" outlineLevel="0" collapsed="false">
      <c r="A33" s="13"/>
      <c r="B33" s="82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31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32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33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49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true" showOutlineSymbols="true" defaultGridColor="true" view="normal" topLeftCell="A13" colorId="64" zoomScale="70" zoomScaleNormal="70" zoomScalePageLayoutView="100" workbookViewId="0">
      <selection pane="topLeft" activeCell="O27" activeCellId="0" sqref="O2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8.71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">
        <v>47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">
        <v>48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36</v>
      </c>
      <c r="B9" s="117" t="s">
        <v>10</v>
      </c>
      <c r="C9" s="117" t="s">
        <v>11</v>
      </c>
      <c r="D9" s="118" t="s">
        <v>37</v>
      </c>
      <c r="E9" s="119"/>
      <c r="F9" s="119"/>
      <c r="G9" s="118"/>
      <c r="H9" s="119"/>
      <c r="I9" s="119"/>
      <c r="J9" s="119"/>
      <c r="K9" s="119"/>
      <c r="L9" s="119"/>
      <c r="M9" s="120" t="s">
        <v>38</v>
      </c>
      <c r="N9" s="121"/>
      <c r="O9" s="122" t="s">
        <v>39</v>
      </c>
      <c r="P9" s="123"/>
      <c r="Q9" s="123"/>
      <c r="R9" s="123"/>
      <c r="S9" s="123"/>
      <c r="T9" s="123"/>
      <c r="U9" s="123"/>
      <c r="V9" s="123"/>
      <c r="W9" s="122" t="s">
        <v>40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39</v>
      </c>
      <c r="O10" s="122"/>
      <c r="P10" s="122" t="s">
        <v>39</v>
      </c>
      <c r="Q10" s="122" t="s">
        <v>39</v>
      </c>
      <c r="R10" s="122"/>
      <c r="S10" s="122"/>
      <c r="T10" s="122"/>
      <c r="U10" s="122" t="s">
        <v>40</v>
      </c>
      <c r="V10" s="122" t="s">
        <v>40</v>
      </c>
      <c r="W10" s="122"/>
      <c r="X10" s="122" t="s">
        <v>40</v>
      </c>
      <c r="Y10" s="122" t="s">
        <v>40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B'!B23</f>
        <v>31</v>
      </c>
      <c r="C11" s="133" t="n">
        <f aca="false">'Base B'!C23</f>
        <v>609.11</v>
      </c>
      <c r="D11" s="132" t="n">
        <f aca="false">'Base B'!T23</f>
        <v>11.75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10.5*0.15</f>
        <v>1.575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18.50625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B'!B24</f>
        <v>E10</v>
      </c>
      <c r="C12" s="133" t="n">
        <f aca="false">'Base B'!C24</f>
        <v>620.86</v>
      </c>
      <c r="D12" s="132" t="n">
        <f aca="false">'Base B'!T24</f>
        <v>11.75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10.5*0.15</f>
        <v>1.575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18.50625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B'!B25</f>
        <v>32</v>
      </c>
      <c r="C13" s="133" t="n">
        <f aca="false">'Base B'!C25</f>
        <v>632.61</v>
      </c>
      <c r="D13" s="132" t="n">
        <f aca="false">'Base B'!T25</f>
        <v>20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10.5*0.15</f>
        <v>1.575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31.5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B'!B26</f>
        <v>33</v>
      </c>
      <c r="C14" s="133" t="n">
        <f aca="false">'Base B'!C26</f>
        <v>652.61</v>
      </c>
      <c r="D14" s="132" t="n">
        <f aca="false">'Base B'!T26</f>
        <v>20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10.5*0.15</f>
        <v>1.575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31.5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B'!B27</f>
        <v>34</v>
      </c>
      <c r="C15" s="133" t="n">
        <f aca="false">'Base B'!C27</f>
        <v>672.61</v>
      </c>
      <c r="D15" s="132" t="n">
        <f aca="false">'Base B'!T27</f>
        <v>20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10.5*0.15</f>
        <v>1.575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31.5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B'!B28</f>
        <v>35</v>
      </c>
      <c r="C16" s="133" t="n">
        <f aca="false">'Base B'!C28</f>
        <v>692.61</v>
      </c>
      <c r="D16" s="132" t="n">
        <f aca="false">'Base B'!T28</f>
        <v>20</v>
      </c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10.5*0.15</f>
        <v>1.575</v>
      </c>
      <c r="P16" s="135"/>
      <c r="Q16" s="135"/>
      <c r="R16" s="139"/>
      <c r="S16" s="139"/>
      <c r="T16" s="139"/>
      <c r="U16" s="139"/>
      <c r="V16" s="139"/>
      <c r="W16" s="139" t="n">
        <f aca="false">(O16+O17)*D16/2</f>
        <v>31.5</v>
      </c>
      <c r="X16" s="139"/>
      <c r="Y16" s="139"/>
      <c r="Z16" s="139"/>
      <c r="AA16" s="139"/>
      <c r="AB16" s="140"/>
      <c r="AC16" s="139"/>
      <c r="AE16" s="141"/>
    </row>
    <row r="17" s="131" customFormat="true" ht="15" hidden="false" customHeight="true" outlineLevel="0" collapsed="false">
      <c r="A17" s="132" t="n">
        <v>7</v>
      </c>
      <c r="B17" s="132" t="str">
        <f aca="false">'Base B'!B29</f>
        <v>36</v>
      </c>
      <c r="C17" s="133" t="n">
        <f aca="false">'Base B'!C29</f>
        <v>712.61</v>
      </c>
      <c r="D17" s="132" t="n">
        <f aca="false">'Base B'!T29</f>
        <v>11.5</v>
      </c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 t="n">
        <f aca="false">10.5*0.15</f>
        <v>1.575</v>
      </c>
      <c r="P17" s="135"/>
      <c r="Q17" s="135"/>
      <c r="R17" s="139"/>
      <c r="S17" s="139"/>
      <c r="T17" s="139"/>
      <c r="U17" s="139"/>
      <c r="V17" s="139"/>
      <c r="W17" s="139" t="n">
        <f aca="false">(O17+O18)*D17/2</f>
        <v>18.1125</v>
      </c>
      <c r="X17" s="139"/>
      <c r="Y17" s="139"/>
      <c r="Z17" s="139"/>
      <c r="AA17" s="139"/>
      <c r="AB17" s="140"/>
      <c r="AC17" s="139"/>
      <c r="AE17" s="141"/>
    </row>
    <row r="18" s="131" customFormat="true" ht="15" hidden="false" customHeight="true" outlineLevel="0" collapsed="false">
      <c r="A18" s="132" t="n">
        <v>8</v>
      </c>
      <c r="B18" s="132" t="str">
        <f aca="false">'Base B'!B30</f>
        <v>37</v>
      </c>
      <c r="C18" s="133" t="n">
        <f aca="false">'Base B'!C30</f>
        <v>724.11</v>
      </c>
      <c r="D18" s="132"/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 t="n">
        <f aca="false">10.5*0.15</f>
        <v>1.575</v>
      </c>
      <c r="P18" s="135"/>
      <c r="Q18" s="135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40"/>
      <c r="AC18" s="139"/>
      <c r="AE18" s="141"/>
    </row>
    <row r="19" s="131" customFormat="true" ht="15" hidden="true" customHeight="true" outlineLevel="0" collapsed="false">
      <c r="A19" s="132"/>
      <c r="B19" s="132"/>
      <c r="C19" s="133"/>
      <c r="D19" s="132"/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/>
      <c r="P19" s="135"/>
      <c r="Q19" s="135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40"/>
      <c r="AC19" s="139"/>
      <c r="AE19" s="141"/>
    </row>
    <row r="20" s="131" customFormat="true" ht="15" hidden="true" customHeight="true" outlineLevel="0" collapsed="false">
      <c r="A20" s="132"/>
      <c r="B20" s="132"/>
      <c r="C20" s="133"/>
      <c r="D20" s="132"/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/>
      <c r="P20" s="135"/>
      <c r="Q20" s="135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40"/>
      <c r="AC20" s="139"/>
      <c r="AE20" s="141"/>
    </row>
    <row r="21" s="131" customFormat="true" ht="15" hidden="true" customHeight="true" outlineLevel="0" collapsed="false">
      <c r="A21" s="132"/>
      <c r="B21" s="132"/>
      <c r="C21" s="133"/>
      <c r="D21" s="132"/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/>
      <c r="P21" s="135"/>
      <c r="Q21" s="135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40"/>
      <c r="AC21" s="139"/>
      <c r="AE21" s="141"/>
    </row>
    <row r="22" s="131" customFormat="true" ht="15" hidden="true" customHeight="true" outlineLevel="0" collapsed="false">
      <c r="A22" s="132"/>
      <c r="B22" s="132"/>
      <c r="C22" s="133"/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/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41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SUM(W11:W18)</f>
        <v>181.125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31</v>
      </c>
      <c r="B51" s="153"/>
      <c r="C51" s="153"/>
      <c r="D51" s="154" t="s">
        <v>42</v>
      </c>
      <c r="E51" s="153" t="s">
        <v>32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33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tr">
        <f aca="false">'Base B'!O67</f>
        <v>Lê Minh Hải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95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2024-11-23T01:27:50Z</dcterms:created>
  <dc:creator>Microsoft Cop.</dc:creator>
  <dc:description/>
  <dc:language>en-US</dc:language>
  <cp:lastModifiedBy>Microsoft Cop.</cp:lastModifiedBy>
  <cp:lastPrinted>2025-10-21T07:16:07Z</cp:lastPrinted>
  <dcterms:modified xsi:type="dcterms:W3CDTF">2026-10-13T07:38:46Z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