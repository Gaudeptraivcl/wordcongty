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3'!$A$1:$AB$60</definedName>
    <definedName function="false" hidden="false" localSheetId="5" name="_xlnm.Print_Area" vbProcedure="false">'3.KTHH L3'!$A$1:$S$71</definedName>
    <definedName function="false" hidden="false" localSheetId="8" name="_xlnm.Print_Area" vbProcedure="false">'4.KL lớp 4'!$A$1:$AB$60</definedName>
    <definedName function="false" hidden="false" localSheetId="7" name="_xlnm.Print_Area" vbProcedure="false">'4.KTHH L4'!$A$1:$S$71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<sst xmlns="http://schemas.openxmlformats.org/spreadsheetml/2006/main" count="453" uniqueCount="93">
  <si>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</si>
  <si>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</si>
  <si>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</si>
  <si>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</si>
  <si>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</si>
  <si>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</si>
  <si>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</si>
  <si>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</si>
  <si>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</si>
  <si>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</si>
  <si>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</si>
  <si>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</si>
  <si>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</si>
  <si>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</si>
  <si>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</si>
  <si>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</si>
  <si>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</si>
  <si>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B4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</si>
  <si>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</si>
  <si>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</si>
  <si>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</si>
  <si>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</si>
  <si>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</si>
  <si>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</si>
  <si>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</si>
  <si>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</si>
  <si>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</si>
  <si>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</si>
  <si>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</si>
  <si>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</si>
  <si>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</si>
  <si>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</si>
  <si>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</si>
  <si>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</si>
  <si>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</si>
  <si>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</si>
  <si>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</si>
  <si>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</si>
  <si>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</si>
  <si>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</si>
  <si>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</si>
  <si>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</si>
  <si>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</si>
  <si>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</si>
  <si>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</si>
  <si>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</si>
  <si>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</si>
  <si>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</si>
  <si>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</si>
  <si>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</si>
  <si>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</si>
  <si>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G6</t>
  </si>
  <si>
    <t xml:space="preserve">PHỤ LỤC KIỂM TRA CAO ĐỘ, KÍCH THƯỚC HÌNH HỌC ĐẮP CÁT</t>
  </si>
  <si>
    <t xml:space="preserve">Kèm theo BBNT số: 04.NĐXD8/CVXD ngày 17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</si>
  <si>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</si>
  <si>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</si>
  <si>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</si>
  <si>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</si>
  <si>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</si>
  <si>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cát nền đường lớp 1 đoạn từ Km0+211,00 - Km0+737,36,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</si>
  <si>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</si>
  <si>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</si>
  <si>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</si>
  <si>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</si>
  <si>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</si>
  <si>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</si>
  <si>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</si>
  <si>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</si>
  <si>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</si>
  <si>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</si>
  <si>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</si>
  <si>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</si>
  <si>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</si>
  <si>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</si>
  <si>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</si>
  <si>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</si>
  <si>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</si>
  <si>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</si>
  <si>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</si>
  <si>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</si>
  <si>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</si>
  <si>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</si>
  <si>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</si>
  <si>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</si>
  <si>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</si>
  <si>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</si>
  <si>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</si>
  <si>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05.NĐXD8/CVXD ngày 18 tháng 08 năm 2026</t>
  </si>
  <si>
    <t xml:space="preserve">Đắp cát nền đường lớp 2 đoạn từ Km0+211,00 - Km0+737,36, độ chặt K&gt;=0,95</t>
  </si>
  <si>
    <t xml:space="preserve">Kèm theo BBNT số: 06.NĐXD8/CVXD ngày 18 tháng 08 năm 2026</t>
  </si>
  <si>
    <t xml:space="preserve">Đắp cát nền đường lớp 3 đoạn từ Km0+211,00 - Km0+737,36, độ chặt K&gt;=0,95</t>
  </si>
  <si>
    <t xml:space="preserve">Kèm theo BBNT số: 07.NĐXD8/CVXD ngày 19 tháng 08 năm 2026</t>
  </si>
  <si>
    <t xml:space="preserve">Đắp cát nền đường lớp 4 đoạn từ Km0+211,00 - Km0+737,36,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</si>
</sst>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29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397520" y="1887480"/>
          <a:ext cx="607212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21800" y="1820520"/>
          <a:ext cx="608436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5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1.53"/>
    <col collapsed="false" customWidth="true" hidden="true" outlineLevel="0" max="13" min="1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211</v>
      </c>
      <c r="D2" s="0" t="n">
        <v>4</v>
      </c>
      <c r="E2" s="0" t="n">
        <v>4.81</v>
      </c>
      <c r="F2" s="0" t="n">
        <v>-10.1</v>
      </c>
      <c r="G2" s="0" t="n">
        <v>-0.45</v>
      </c>
      <c r="H2" s="1" t="n">
        <v>0</v>
      </c>
      <c r="I2" s="1" t="n">
        <v>-0.45</v>
      </c>
      <c r="J2" s="0" t="n">
        <v>0</v>
      </c>
      <c r="K2" s="0" t="n">
        <v>-0.45</v>
      </c>
      <c r="L2" s="1" t="n">
        <v>0</v>
      </c>
      <c r="M2" s="1" t="n">
        <v>-0.45</v>
      </c>
      <c r="N2" s="0" t="n">
        <v>6.25</v>
      </c>
      <c r="O2" s="0" t="n">
        <v>-0.45</v>
      </c>
      <c r="P2" s="0" t="n">
        <v>15.35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4.63</v>
      </c>
      <c r="F3" s="0" t="n">
        <v>-9.8</v>
      </c>
      <c r="G3" s="0" t="n">
        <v>-0.75</v>
      </c>
      <c r="H3" s="1" t="n">
        <v>0</v>
      </c>
      <c r="I3" s="1" t="n">
        <v>-0.75</v>
      </c>
      <c r="J3" s="0" t="n">
        <v>0</v>
      </c>
      <c r="K3" s="0" t="n">
        <v>-0.75</v>
      </c>
      <c r="L3" s="1" t="n">
        <v>0</v>
      </c>
      <c r="M3" s="1" t="n">
        <v>-0.75</v>
      </c>
      <c r="N3" s="0" t="n">
        <v>5.95</v>
      </c>
      <c r="O3" s="0" t="n">
        <v>-0.75</v>
      </c>
    </row>
    <row r="4" customFormat="false" ht="15" hidden="false" customHeight="false" outlineLevel="0" collapsed="false">
      <c r="D4" s="0" t="n">
        <v>2</v>
      </c>
      <c r="E4" s="0" t="n">
        <v>4.45</v>
      </c>
      <c r="F4" s="0" t="n">
        <v>-9.5</v>
      </c>
      <c r="G4" s="0" t="n">
        <v>-1.05</v>
      </c>
      <c r="H4" s="1" t="n">
        <v>0</v>
      </c>
      <c r="I4" s="1" t="n">
        <v>-1.05</v>
      </c>
      <c r="J4" s="0" t="n">
        <v>0</v>
      </c>
      <c r="K4" s="0" t="n">
        <v>-1.05</v>
      </c>
      <c r="L4" s="1" t="n">
        <v>0</v>
      </c>
      <c r="M4" s="1" t="n">
        <v>-1.05</v>
      </c>
      <c r="N4" s="0" t="n">
        <v>5.65</v>
      </c>
      <c r="O4" s="0" t="n">
        <v>-1.05</v>
      </c>
    </row>
    <row r="5" customFormat="false" ht="15" hidden="false" customHeight="false" outlineLevel="0" collapsed="false">
      <c r="D5" s="0" t="n">
        <v>1</v>
      </c>
      <c r="E5" s="0" t="n">
        <v>1.44</v>
      </c>
      <c r="F5" s="0" t="n">
        <v>-9.2</v>
      </c>
      <c r="G5" s="0" t="n">
        <v>-1.35</v>
      </c>
      <c r="H5" s="1" t="n">
        <v>0</v>
      </c>
      <c r="I5" s="1" t="n">
        <v>-1.35</v>
      </c>
      <c r="J5" s="0" t="n">
        <v>0</v>
      </c>
      <c r="K5" s="0" t="n">
        <v>-1.35</v>
      </c>
      <c r="L5" s="1" t="n">
        <v>0</v>
      </c>
      <c r="M5" s="1" t="n">
        <v>-1.35</v>
      </c>
      <c r="N5" s="0" t="n">
        <v>5.35</v>
      </c>
      <c r="O5" s="0" t="n">
        <v>-1.35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224.25</v>
      </c>
      <c r="D6" s="0" t="n">
        <v>4</v>
      </c>
      <c r="E6" s="0" t="n">
        <v>4.91</v>
      </c>
      <c r="F6" s="0" t="n">
        <v>-10.15</v>
      </c>
      <c r="G6" s="0" t="n">
        <v>-0.45</v>
      </c>
      <c r="H6" s="1" t="n">
        <v>0</v>
      </c>
      <c r="I6" s="1" t="n">
        <v>-0.45</v>
      </c>
      <c r="J6" s="0" t="n">
        <v>0</v>
      </c>
      <c r="K6" s="0" t="n">
        <v>-0.45</v>
      </c>
      <c r="L6" s="1" t="n">
        <v>0</v>
      </c>
      <c r="M6" s="1" t="n">
        <v>-0.45</v>
      </c>
      <c r="N6" s="0" t="n">
        <v>6.5</v>
      </c>
      <c r="O6" s="0" t="n">
        <v>-0.45</v>
      </c>
      <c r="P6" s="0" t="n">
        <v>15.65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4.73</v>
      </c>
      <c r="F7" s="0" t="n">
        <v>-9.85</v>
      </c>
      <c r="G7" s="0" t="n">
        <v>-0.75</v>
      </c>
      <c r="H7" s="1" t="n">
        <v>0</v>
      </c>
      <c r="I7" s="1" t="n">
        <v>-0.75</v>
      </c>
      <c r="J7" s="0" t="n">
        <v>0</v>
      </c>
      <c r="K7" s="0" t="n">
        <v>-0.75</v>
      </c>
      <c r="L7" s="1" t="n">
        <v>0</v>
      </c>
      <c r="M7" s="1" t="n">
        <v>-0.75</v>
      </c>
      <c r="N7" s="0" t="n">
        <v>6.2</v>
      </c>
      <c r="O7" s="0" t="n">
        <v>-0.75</v>
      </c>
    </row>
    <row r="8" customFormat="false" ht="15" hidden="false" customHeight="false" outlineLevel="0" collapsed="false">
      <c r="D8" s="0" t="n">
        <v>2</v>
      </c>
      <c r="E8" s="0" t="n">
        <v>4.55</v>
      </c>
      <c r="F8" s="0" t="n">
        <v>-9.55</v>
      </c>
      <c r="G8" s="0" t="n">
        <v>-1.05</v>
      </c>
      <c r="H8" s="1" t="n">
        <v>0</v>
      </c>
      <c r="I8" s="1" t="n">
        <v>-1.05</v>
      </c>
      <c r="J8" s="0" t="n">
        <v>0</v>
      </c>
      <c r="K8" s="0" t="n">
        <v>-1.05</v>
      </c>
      <c r="L8" s="1" t="n">
        <v>0</v>
      </c>
      <c r="M8" s="1" t="n">
        <v>-1.05</v>
      </c>
      <c r="N8" s="0" t="n">
        <v>5.9</v>
      </c>
      <c r="O8" s="0" t="n">
        <v>-1.05</v>
      </c>
    </row>
    <row r="9" customFormat="false" ht="15" hidden="false" customHeight="false" outlineLevel="0" collapsed="false">
      <c r="D9" s="0" t="n">
        <v>1</v>
      </c>
      <c r="E9" s="0" t="n">
        <v>1.48</v>
      </c>
      <c r="F9" s="0" t="n">
        <v>-9.25</v>
      </c>
      <c r="G9" s="0" t="n">
        <v>-1.35</v>
      </c>
      <c r="H9" s="1" t="n">
        <v>0</v>
      </c>
      <c r="I9" s="1" t="n">
        <v>-1.35</v>
      </c>
      <c r="J9" s="0" t="n">
        <v>0</v>
      </c>
      <c r="K9" s="0" t="n">
        <v>-1.35</v>
      </c>
      <c r="L9" s="1" t="n">
        <v>0</v>
      </c>
      <c r="M9" s="1" t="n">
        <v>-1.35</v>
      </c>
      <c r="N9" s="0" t="n">
        <v>5.6</v>
      </c>
      <c r="O9" s="0" t="n">
        <v>-1.35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245.75</v>
      </c>
      <c r="D10" s="0" t="n">
        <v>4</v>
      </c>
      <c r="E10" s="0" t="n">
        <v>3.66</v>
      </c>
      <c r="F10" s="0" t="n">
        <v>-6.25</v>
      </c>
      <c r="G10" s="0" t="n">
        <v>-0.45</v>
      </c>
      <c r="H10" s="1" t="n">
        <v>0</v>
      </c>
      <c r="I10" s="1" t="n">
        <v>-0.45</v>
      </c>
      <c r="J10" s="0" t="n">
        <v>0</v>
      </c>
      <c r="K10" s="0" t="n">
        <v>-0.45</v>
      </c>
      <c r="L10" s="1" t="n">
        <v>0</v>
      </c>
      <c r="M10" s="1" t="n">
        <v>-0.45</v>
      </c>
      <c r="N10" s="0" t="n">
        <v>6.25</v>
      </c>
      <c r="O10" s="0" t="n">
        <v>-0.45</v>
      </c>
      <c r="P10" s="0" t="n">
        <v>11.5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3.48</v>
      </c>
      <c r="F11" s="0" t="n">
        <v>-5.95</v>
      </c>
      <c r="G11" s="0" t="n">
        <v>-0.75</v>
      </c>
      <c r="H11" s="1" t="n">
        <v>0</v>
      </c>
      <c r="I11" s="1" t="n">
        <v>-0.75</v>
      </c>
      <c r="J11" s="0" t="n">
        <v>0</v>
      </c>
      <c r="K11" s="0" t="n">
        <v>-0.75</v>
      </c>
      <c r="L11" s="1" t="n">
        <v>0</v>
      </c>
      <c r="M11" s="1" t="n">
        <v>-0.75</v>
      </c>
      <c r="N11" s="0" t="n">
        <v>5.95</v>
      </c>
      <c r="O11" s="0" t="n">
        <v>-0.75</v>
      </c>
    </row>
    <row r="12" customFormat="false" ht="15" hidden="false" customHeight="false" outlineLevel="0" collapsed="false">
      <c r="D12" s="0" t="n">
        <v>2</v>
      </c>
      <c r="E12" s="0" t="n">
        <v>3.3</v>
      </c>
      <c r="F12" s="0" t="n">
        <v>-5.65</v>
      </c>
      <c r="G12" s="0" t="n">
        <v>-1.05</v>
      </c>
      <c r="H12" s="1" t="n">
        <v>0</v>
      </c>
      <c r="I12" s="1" t="n">
        <v>-1.05</v>
      </c>
      <c r="J12" s="0" t="n">
        <v>0</v>
      </c>
      <c r="K12" s="0" t="n">
        <v>-1.05</v>
      </c>
      <c r="L12" s="1" t="n">
        <v>0</v>
      </c>
      <c r="M12" s="1" t="n">
        <v>-1.05</v>
      </c>
      <c r="N12" s="0" t="n">
        <v>5.65</v>
      </c>
      <c r="O12" s="0" t="n">
        <v>-1.05</v>
      </c>
    </row>
    <row r="13" customFormat="false" ht="15" hidden="false" customHeight="false" outlineLevel="0" collapsed="false">
      <c r="D13" s="0" t="n">
        <v>1</v>
      </c>
      <c r="E13" s="0" t="n">
        <v>1.06</v>
      </c>
      <c r="F13" s="0" t="n">
        <v>-5.35</v>
      </c>
      <c r="G13" s="0" t="n">
        <v>-1.35</v>
      </c>
      <c r="H13" s="1" t="n">
        <v>0</v>
      </c>
      <c r="I13" s="1" t="n">
        <v>-1.35</v>
      </c>
      <c r="J13" s="0" t="n">
        <v>0</v>
      </c>
      <c r="K13" s="0" t="n">
        <v>-1.35</v>
      </c>
      <c r="L13" s="1" t="n">
        <v>0</v>
      </c>
      <c r="M13" s="1" t="n">
        <v>-1.35</v>
      </c>
      <c r="N13" s="0" t="n">
        <v>5.35</v>
      </c>
      <c r="O13" s="0" t="n">
        <v>-1.35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257.5</v>
      </c>
      <c r="D14" s="0" t="n">
        <v>4</v>
      </c>
      <c r="E14" s="0" t="n">
        <v>3.66</v>
      </c>
      <c r="F14" s="0" t="n">
        <v>-6.25</v>
      </c>
      <c r="G14" s="0" t="n">
        <v>-0.45</v>
      </c>
      <c r="H14" s="1" t="n">
        <v>0</v>
      </c>
      <c r="I14" s="1" t="n">
        <v>-0.45</v>
      </c>
      <c r="J14" s="0" t="n">
        <v>0</v>
      </c>
      <c r="K14" s="0" t="n">
        <v>-0.45</v>
      </c>
      <c r="L14" s="1" t="n">
        <v>0</v>
      </c>
      <c r="M14" s="1" t="n">
        <v>-0.45</v>
      </c>
      <c r="N14" s="0" t="n">
        <v>6.25</v>
      </c>
      <c r="O14" s="0" t="n">
        <v>-0.45</v>
      </c>
      <c r="P14" s="0" t="n">
        <v>11.61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3.48</v>
      </c>
      <c r="F15" s="0" t="n">
        <v>-5.95</v>
      </c>
      <c r="G15" s="0" t="n">
        <v>-0.75</v>
      </c>
      <c r="H15" s="1" t="n">
        <v>0</v>
      </c>
      <c r="I15" s="1" t="n">
        <v>-0.75</v>
      </c>
      <c r="J15" s="0" t="n">
        <v>0</v>
      </c>
      <c r="K15" s="0" t="n">
        <v>-0.75</v>
      </c>
      <c r="L15" s="1" t="n">
        <v>0</v>
      </c>
      <c r="M15" s="1" t="n">
        <v>-0.75</v>
      </c>
      <c r="N15" s="0" t="n">
        <v>5.95</v>
      </c>
      <c r="O15" s="0" t="n">
        <v>-0.75</v>
      </c>
    </row>
    <row r="16" customFormat="false" ht="15" hidden="false" customHeight="false" outlineLevel="0" collapsed="false">
      <c r="D16" s="0" t="n">
        <v>2</v>
      </c>
      <c r="E16" s="0" t="n">
        <v>3.3</v>
      </c>
      <c r="F16" s="0" t="n">
        <v>-5.65</v>
      </c>
      <c r="G16" s="0" t="n">
        <v>-1.05</v>
      </c>
      <c r="H16" s="1" t="n">
        <v>0</v>
      </c>
      <c r="I16" s="1" t="n">
        <v>-1.05</v>
      </c>
      <c r="J16" s="0" t="n">
        <v>0</v>
      </c>
      <c r="K16" s="0" t="n">
        <v>-1.05</v>
      </c>
      <c r="L16" s="1" t="n">
        <v>0</v>
      </c>
      <c r="M16" s="1" t="n">
        <v>-1.05</v>
      </c>
      <c r="N16" s="0" t="n">
        <v>5.65</v>
      </c>
      <c r="O16" s="0" t="n">
        <v>-1.05</v>
      </c>
    </row>
    <row r="17" customFormat="false" ht="15" hidden="false" customHeight="false" outlineLevel="0" collapsed="false">
      <c r="D17" s="0" t="n">
        <v>1</v>
      </c>
      <c r="E17" s="0" t="n">
        <v>1.16</v>
      </c>
      <c r="F17" s="0" t="n">
        <v>-5.35</v>
      </c>
      <c r="G17" s="0" t="n">
        <v>-1.35</v>
      </c>
      <c r="H17" s="1" t="n">
        <v>0</v>
      </c>
      <c r="I17" s="1" t="n">
        <v>-1.35</v>
      </c>
      <c r="J17" s="0" t="n">
        <v>0</v>
      </c>
      <c r="K17" s="0" t="n">
        <v>-1.35</v>
      </c>
      <c r="L17" s="1" t="n">
        <v>0</v>
      </c>
      <c r="M17" s="1" t="n">
        <v>-1.35</v>
      </c>
      <c r="N17" s="0" t="n">
        <v>5.35</v>
      </c>
      <c r="O17" s="0" t="n">
        <v>-1.35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269.25</v>
      </c>
      <c r="D18" s="0" t="n">
        <v>4</v>
      </c>
      <c r="E18" s="0" t="n">
        <v>3.66</v>
      </c>
      <c r="F18" s="0" t="n">
        <v>-6.25</v>
      </c>
      <c r="G18" s="0" t="n">
        <v>-0.45</v>
      </c>
      <c r="H18" s="1" t="n">
        <v>0</v>
      </c>
      <c r="I18" s="1" t="n">
        <v>-0.45</v>
      </c>
      <c r="J18" s="0" t="n">
        <v>0</v>
      </c>
      <c r="K18" s="0" t="n">
        <v>-0.45</v>
      </c>
      <c r="L18" s="1" t="n">
        <v>0</v>
      </c>
      <c r="M18" s="1" t="n">
        <v>-0.45</v>
      </c>
      <c r="N18" s="0" t="n">
        <v>6.25</v>
      </c>
      <c r="O18" s="0" t="n">
        <v>-0.45</v>
      </c>
      <c r="P18" s="0" t="n">
        <v>11.5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3.48</v>
      </c>
      <c r="F19" s="0" t="n">
        <v>-5.95</v>
      </c>
      <c r="G19" s="0" t="n">
        <v>-0.75</v>
      </c>
      <c r="H19" s="1" t="n">
        <v>0</v>
      </c>
      <c r="I19" s="1" t="n">
        <v>-0.75</v>
      </c>
      <c r="J19" s="0" t="n">
        <v>0</v>
      </c>
      <c r="K19" s="0" t="n">
        <v>-0.75</v>
      </c>
      <c r="L19" s="1" t="n">
        <v>0</v>
      </c>
      <c r="M19" s="1" t="n">
        <v>-0.75</v>
      </c>
      <c r="N19" s="0" t="n">
        <v>5.95</v>
      </c>
      <c r="O19" s="0" t="n">
        <v>-0.75</v>
      </c>
    </row>
    <row r="20" customFormat="false" ht="15" hidden="false" customHeight="false" outlineLevel="0" collapsed="false">
      <c r="D20" s="0" t="n">
        <v>2</v>
      </c>
      <c r="E20" s="0" t="n">
        <v>3.3</v>
      </c>
      <c r="F20" s="0" t="n">
        <v>-5.65</v>
      </c>
      <c r="G20" s="0" t="n">
        <v>-1.05</v>
      </c>
      <c r="H20" s="1" t="n">
        <v>0</v>
      </c>
      <c r="I20" s="1" t="n">
        <v>-1.05</v>
      </c>
      <c r="J20" s="0" t="n">
        <v>0</v>
      </c>
      <c r="K20" s="0" t="n">
        <v>-1.05</v>
      </c>
      <c r="L20" s="1" t="n">
        <v>0</v>
      </c>
      <c r="M20" s="1" t="n">
        <v>-1.05</v>
      </c>
      <c r="N20" s="0" t="n">
        <v>5.65</v>
      </c>
      <c r="O20" s="0" t="n">
        <v>-1.05</v>
      </c>
    </row>
    <row r="21" customFormat="false" ht="15" hidden="false" customHeight="false" outlineLevel="0" collapsed="false">
      <c r="D21" s="0" t="n">
        <v>1</v>
      </c>
      <c r="E21" s="0" t="n">
        <v>1.06</v>
      </c>
      <c r="F21" s="0" t="n">
        <v>-5.35</v>
      </c>
      <c r="G21" s="0" t="n">
        <v>-1.35</v>
      </c>
      <c r="H21" s="1" t="n">
        <v>0</v>
      </c>
      <c r="I21" s="1" t="n">
        <v>-1.35</v>
      </c>
      <c r="J21" s="0" t="n">
        <v>0</v>
      </c>
      <c r="K21" s="0" t="n">
        <v>-1.35</v>
      </c>
      <c r="L21" s="1" t="n">
        <v>0</v>
      </c>
      <c r="M21" s="1" t="n">
        <v>-1.35</v>
      </c>
      <c r="N21" s="0" t="n">
        <v>5.35</v>
      </c>
      <c r="O21" s="0" t="n">
        <v>-1.35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289.25</v>
      </c>
      <c r="D22" s="0" t="n">
        <v>4</v>
      </c>
      <c r="E22" s="0" t="n">
        <v>3.66</v>
      </c>
      <c r="F22" s="0" t="n">
        <v>-6.25</v>
      </c>
      <c r="G22" s="0" t="n">
        <v>-0.45</v>
      </c>
      <c r="H22" s="1" t="n">
        <v>0</v>
      </c>
      <c r="I22" s="1" t="n">
        <v>-0.45</v>
      </c>
      <c r="J22" s="0" t="n">
        <v>0</v>
      </c>
      <c r="K22" s="0" t="n">
        <v>-0.45</v>
      </c>
      <c r="L22" s="1" t="n">
        <v>0</v>
      </c>
      <c r="M22" s="1" t="n">
        <v>-0.45</v>
      </c>
      <c r="N22" s="0" t="n">
        <v>6.25</v>
      </c>
      <c r="O22" s="0" t="n">
        <v>-0.45</v>
      </c>
      <c r="P22" s="0" t="n">
        <v>11.5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3.48</v>
      </c>
      <c r="F23" s="0" t="n">
        <v>-5.95</v>
      </c>
      <c r="G23" s="0" t="n">
        <v>-0.75</v>
      </c>
      <c r="H23" s="1" t="n">
        <v>0</v>
      </c>
      <c r="I23" s="1" t="n">
        <v>-0.75</v>
      </c>
      <c r="J23" s="0" t="n">
        <v>0</v>
      </c>
      <c r="K23" s="0" t="n">
        <v>-0.75</v>
      </c>
      <c r="L23" s="1" t="n">
        <v>0</v>
      </c>
      <c r="M23" s="1" t="n">
        <v>-0.75</v>
      </c>
      <c r="N23" s="0" t="n">
        <v>5.95</v>
      </c>
      <c r="O23" s="0" t="n">
        <v>-0.75</v>
      </c>
    </row>
    <row r="24" customFormat="false" ht="15" hidden="false" customHeight="false" outlineLevel="0" collapsed="false">
      <c r="D24" s="0" t="n">
        <v>2</v>
      </c>
      <c r="E24" s="0" t="n">
        <v>3.3</v>
      </c>
      <c r="F24" s="0" t="n">
        <v>-5.65</v>
      </c>
      <c r="G24" s="0" t="n">
        <v>-1.05</v>
      </c>
      <c r="H24" s="1" t="n">
        <v>0</v>
      </c>
      <c r="I24" s="1" t="n">
        <v>-1.05</v>
      </c>
      <c r="J24" s="0" t="n">
        <v>0</v>
      </c>
      <c r="K24" s="0" t="n">
        <v>-1.05</v>
      </c>
      <c r="L24" s="1" t="n">
        <v>0</v>
      </c>
      <c r="M24" s="1" t="n">
        <v>-1.05</v>
      </c>
      <c r="N24" s="0" t="n">
        <v>5.65</v>
      </c>
      <c r="O24" s="0" t="n">
        <v>-1.05</v>
      </c>
    </row>
    <row r="25" customFormat="false" ht="15" hidden="false" customHeight="false" outlineLevel="0" collapsed="false">
      <c r="D25" s="0" t="n">
        <v>1</v>
      </c>
      <c r="E25" s="0" t="n">
        <v>1.06</v>
      </c>
      <c r="F25" s="0" t="n">
        <v>-5.35</v>
      </c>
      <c r="G25" s="0" t="n">
        <v>-1.35</v>
      </c>
      <c r="H25" s="1" t="n">
        <v>0</v>
      </c>
      <c r="I25" s="1" t="n">
        <v>-1.35</v>
      </c>
      <c r="J25" s="0" t="n">
        <v>0</v>
      </c>
      <c r="K25" s="0" t="n">
        <v>-1.35</v>
      </c>
      <c r="L25" s="1" t="n">
        <v>0</v>
      </c>
      <c r="M25" s="1" t="n">
        <v>-1.35</v>
      </c>
      <c r="N25" s="0" t="n">
        <v>5.35</v>
      </c>
      <c r="O25" s="0" t="n">
        <v>-1.35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309.25</v>
      </c>
      <c r="D26" s="0" t="n">
        <v>4</v>
      </c>
      <c r="E26" s="0" t="n">
        <v>3.66</v>
      </c>
      <c r="F26" s="0" t="n">
        <v>-6.25</v>
      </c>
      <c r="G26" s="0" t="n">
        <v>-0.45</v>
      </c>
      <c r="H26" s="1" t="n">
        <v>0</v>
      </c>
      <c r="I26" s="1" t="n">
        <v>-0.45</v>
      </c>
      <c r="J26" s="0" t="n">
        <v>0</v>
      </c>
      <c r="K26" s="0" t="n">
        <v>-0.45</v>
      </c>
      <c r="L26" s="1" t="n">
        <v>0</v>
      </c>
      <c r="M26" s="1" t="n">
        <v>-0.45</v>
      </c>
      <c r="N26" s="0" t="n">
        <v>6.25</v>
      </c>
      <c r="O26" s="0" t="n">
        <v>-0.45</v>
      </c>
      <c r="P26" s="0" t="n">
        <v>11.5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3.48</v>
      </c>
      <c r="F27" s="0" t="n">
        <v>-5.95</v>
      </c>
      <c r="G27" s="0" t="n">
        <v>-0.75</v>
      </c>
      <c r="H27" s="1" t="n">
        <v>0</v>
      </c>
      <c r="I27" s="1" t="n">
        <v>-0.75</v>
      </c>
      <c r="J27" s="0" t="n">
        <v>0</v>
      </c>
      <c r="K27" s="0" t="n">
        <v>-0.75</v>
      </c>
      <c r="L27" s="1" t="n">
        <v>0</v>
      </c>
      <c r="M27" s="1" t="n">
        <v>-0.75</v>
      </c>
      <c r="N27" s="0" t="n">
        <v>5.95</v>
      </c>
      <c r="O27" s="0" t="n">
        <v>-0.75</v>
      </c>
    </row>
    <row r="28" customFormat="false" ht="15" hidden="false" customHeight="false" outlineLevel="0" collapsed="false">
      <c r="D28" s="0" t="n">
        <v>2</v>
      </c>
      <c r="E28" s="0" t="n">
        <v>3.3</v>
      </c>
      <c r="F28" s="0" t="n">
        <v>-5.65</v>
      </c>
      <c r="G28" s="0" t="n">
        <v>-1.05</v>
      </c>
      <c r="H28" s="1" t="n">
        <v>0</v>
      </c>
      <c r="I28" s="1" t="n">
        <v>-1.05</v>
      </c>
      <c r="J28" s="0" t="n">
        <v>0</v>
      </c>
      <c r="K28" s="0" t="n">
        <v>-1.05</v>
      </c>
      <c r="L28" s="1" t="n">
        <v>0</v>
      </c>
      <c r="M28" s="1" t="n">
        <v>-1.05</v>
      </c>
      <c r="N28" s="0" t="n">
        <v>5.65</v>
      </c>
      <c r="O28" s="0" t="n">
        <v>-1.05</v>
      </c>
    </row>
    <row r="29" customFormat="false" ht="15" hidden="false" customHeight="false" outlineLevel="0" collapsed="false">
      <c r="D29" s="0" t="n">
        <v>1</v>
      </c>
      <c r="E29" s="0" t="n">
        <v>1.06</v>
      </c>
      <c r="F29" s="0" t="n">
        <v>-5.35</v>
      </c>
      <c r="G29" s="0" t="n">
        <v>-1.35</v>
      </c>
      <c r="H29" s="1" t="n">
        <v>0</v>
      </c>
      <c r="I29" s="1" t="n">
        <v>-1.35</v>
      </c>
      <c r="J29" s="0" t="n">
        <v>0</v>
      </c>
      <c r="K29" s="0" t="n">
        <v>-1.35</v>
      </c>
      <c r="L29" s="1" t="n">
        <v>0</v>
      </c>
      <c r="M29" s="1" t="n">
        <v>-1.35</v>
      </c>
      <c r="N29" s="0" t="n">
        <v>5.35</v>
      </c>
      <c r="O29" s="0" t="n">
        <v>-1.35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329.25</v>
      </c>
      <c r="D30" s="0" t="n">
        <v>4</v>
      </c>
      <c r="E30" s="0" t="n">
        <v>3.66</v>
      </c>
      <c r="F30" s="0" t="n">
        <v>-6.25</v>
      </c>
      <c r="G30" s="0" t="n">
        <v>-0.45</v>
      </c>
      <c r="H30" s="1" t="n">
        <v>0</v>
      </c>
      <c r="I30" s="1" t="n">
        <v>-0.45</v>
      </c>
      <c r="J30" s="0" t="n">
        <v>0</v>
      </c>
      <c r="K30" s="0" t="n">
        <v>-0.45</v>
      </c>
      <c r="L30" s="1" t="n">
        <v>0</v>
      </c>
      <c r="M30" s="1" t="n">
        <v>-0.45</v>
      </c>
      <c r="N30" s="0" t="n">
        <v>6.25</v>
      </c>
      <c r="O30" s="0" t="n">
        <v>-0.45</v>
      </c>
      <c r="P30" s="0" t="n">
        <v>11.5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3.48</v>
      </c>
      <c r="F31" s="0" t="n">
        <v>-5.95</v>
      </c>
      <c r="G31" s="0" t="n">
        <v>-0.75</v>
      </c>
      <c r="H31" s="1" t="n">
        <v>0</v>
      </c>
      <c r="I31" s="1" t="n">
        <v>-0.75</v>
      </c>
      <c r="J31" s="0" t="n">
        <v>0</v>
      </c>
      <c r="K31" s="0" t="n">
        <v>-0.75</v>
      </c>
      <c r="L31" s="1" t="n">
        <v>0</v>
      </c>
      <c r="M31" s="1" t="n">
        <v>-0.75</v>
      </c>
      <c r="N31" s="0" t="n">
        <v>5.95</v>
      </c>
      <c r="O31" s="0" t="n">
        <v>-0.75</v>
      </c>
    </row>
    <row r="32" customFormat="false" ht="15" hidden="false" customHeight="false" outlineLevel="0" collapsed="false">
      <c r="D32" s="0" t="n">
        <v>2</v>
      </c>
      <c r="E32" s="0" t="n">
        <v>3.3</v>
      </c>
      <c r="F32" s="0" t="n">
        <v>-5.65</v>
      </c>
      <c r="G32" s="0" t="n">
        <v>-1.05</v>
      </c>
      <c r="H32" s="1" t="n">
        <v>0</v>
      </c>
      <c r="I32" s="1" t="n">
        <v>-1.05</v>
      </c>
      <c r="J32" s="0" t="n">
        <v>0</v>
      </c>
      <c r="K32" s="0" t="n">
        <v>-1.05</v>
      </c>
      <c r="L32" s="1" t="n">
        <v>0</v>
      </c>
      <c r="M32" s="1" t="n">
        <v>-1.05</v>
      </c>
      <c r="N32" s="0" t="n">
        <v>5.65</v>
      </c>
      <c r="O32" s="0" t="n">
        <v>-1.05</v>
      </c>
    </row>
    <row r="33" customFormat="false" ht="15" hidden="false" customHeight="false" outlineLevel="0" collapsed="false">
      <c r="D33" s="0" t="n">
        <v>1</v>
      </c>
      <c r="E33" s="0" t="n">
        <v>1.06</v>
      </c>
      <c r="F33" s="0" t="n">
        <v>-5.35</v>
      </c>
      <c r="G33" s="0" t="n">
        <v>-1.35</v>
      </c>
      <c r="H33" s="1" t="n">
        <v>0</v>
      </c>
      <c r="I33" s="1" t="n">
        <v>-1.35</v>
      </c>
      <c r="J33" s="0" t="n">
        <v>0</v>
      </c>
      <c r="K33" s="0" t="n">
        <v>-1.35</v>
      </c>
      <c r="L33" s="1" t="n">
        <v>0</v>
      </c>
      <c r="M33" s="1" t="n">
        <v>-1.35</v>
      </c>
      <c r="N33" s="0" t="n">
        <v>5.35</v>
      </c>
      <c r="O33" s="0" t="n">
        <v>-1.35</v>
      </c>
    </row>
    <row r="34" customFormat="false" ht="15" hidden="false" customHeight="false" outlineLevel="0" collapsed="false">
      <c r="A34" s="1" t="n">
        <v>9</v>
      </c>
      <c r="B34" s="1" t="s">
        <v>25</v>
      </c>
      <c r="C34" s="0" t="n">
        <v>349.25</v>
      </c>
      <c r="D34" s="0" t="n">
        <v>4</v>
      </c>
      <c r="E34" s="0" t="n">
        <v>3.66</v>
      </c>
      <c r="F34" s="0" t="n">
        <v>-6.25</v>
      </c>
      <c r="G34" s="0" t="n">
        <v>-0.45</v>
      </c>
      <c r="H34" s="1" t="n">
        <v>0</v>
      </c>
      <c r="I34" s="1" t="n">
        <v>-0.45</v>
      </c>
      <c r="J34" s="0" t="n">
        <v>0</v>
      </c>
      <c r="K34" s="0" t="n">
        <v>-0.45</v>
      </c>
      <c r="L34" s="1" t="n">
        <v>0</v>
      </c>
      <c r="M34" s="1" t="n">
        <v>-0.45</v>
      </c>
      <c r="N34" s="0" t="n">
        <v>6.25</v>
      </c>
      <c r="O34" s="0" t="n">
        <v>-0.45</v>
      </c>
      <c r="P34" s="0" t="n">
        <v>11.5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3.48</v>
      </c>
      <c r="F35" s="0" t="n">
        <v>-5.95</v>
      </c>
      <c r="G35" s="0" t="n">
        <v>-0.75</v>
      </c>
      <c r="H35" s="1" t="n">
        <v>0</v>
      </c>
      <c r="I35" s="1" t="n">
        <v>-0.75</v>
      </c>
      <c r="J35" s="0" t="n">
        <v>0</v>
      </c>
      <c r="K35" s="0" t="n">
        <v>-0.75</v>
      </c>
      <c r="L35" s="1" t="n">
        <v>0</v>
      </c>
      <c r="M35" s="1" t="n">
        <v>-0.75</v>
      </c>
      <c r="N35" s="0" t="n">
        <v>5.95</v>
      </c>
      <c r="O35" s="0" t="n">
        <v>-0.75</v>
      </c>
    </row>
    <row r="36" customFormat="false" ht="15" hidden="false" customHeight="false" outlineLevel="0" collapsed="false">
      <c r="D36" s="0" t="n">
        <v>2</v>
      </c>
      <c r="E36" s="0" t="n">
        <v>3.3</v>
      </c>
      <c r="F36" s="0" t="n">
        <v>-5.65</v>
      </c>
      <c r="G36" s="0" t="n">
        <v>-1.05</v>
      </c>
      <c r="H36" s="1" t="n">
        <v>0</v>
      </c>
      <c r="I36" s="1" t="n">
        <v>-1.05</v>
      </c>
      <c r="J36" s="0" t="n">
        <v>0</v>
      </c>
      <c r="K36" s="0" t="n">
        <v>-1.05</v>
      </c>
      <c r="L36" s="1" t="n">
        <v>0</v>
      </c>
      <c r="M36" s="1" t="n">
        <v>-1.05</v>
      </c>
      <c r="N36" s="0" t="n">
        <v>5.65</v>
      </c>
      <c r="O36" s="0" t="n">
        <v>-1.05</v>
      </c>
    </row>
    <row r="37" customFormat="false" ht="15" hidden="false" customHeight="false" outlineLevel="0" collapsed="false">
      <c r="D37" s="0" t="n">
        <v>1</v>
      </c>
      <c r="E37" s="0" t="n">
        <v>1.06</v>
      </c>
      <c r="F37" s="0" t="n">
        <v>-5.35</v>
      </c>
      <c r="G37" s="0" t="n">
        <v>-1.35</v>
      </c>
      <c r="H37" s="1" t="n">
        <v>0</v>
      </c>
      <c r="I37" s="1" t="n">
        <v>-1.35</v>
      </c>
      <c r="J37" s="0" t="n">
        <v>0</v>
      </c>
      <c r="K37" s="0" t="n">
        <v>-1.35</v>
      </c>
      <c r="L37" s="1" t="n">
        <v>0</v>
      </c>
      <c r="M37" s="1" t="n">
        <v>-1.35</v>
      </c>
      <c r="N37" s="0" t="n">
        <v>5.35</v>
      </c>
      <c r="O37" s="0" t="n">
        <v>-1.35</v>
      </c>
    </row>
    <row r="38" customFormat="false" ht="15" hidden="false" customHeight="false" outlineLevel="0" collapsed="false">
      <c r="A38" s="1" t="n">
        <v>10</v>
      </c>
      <c r="B38" s="1" t="s">
        <v>26</v>
      </c>
      <c r="C38" s="0" t="n">
        <v>368.25</v>
      </c>
      <c r="D38" s="0" t="n">
        <v>4</v>
      </c>
      <c r="E38" s="0" t="n">
        <v>4.75</v>
      </c>
      <c r="F38" s="0" t="n">
        <v>-9.86</v>
      </c>
      <c r="G38" s="0" t="n">
        <v>-0.45</v>
      </c>
      <c r="H38" s="1" t="n">
        <v>0</v>
      </c>
      <c r="I38" s="1" t="n">
        <v>-0.45</v>
      </c>
      <c r="J38" s="0" t="n">
        <v>0</v>
      </c>
      <c r="K38" s="0" t="n">
        <v>-0.45</v>
      </c>
      <c r="L38" s="1" t="n">
        <v>0</v>
      </c>
      <c r="M38" s="1" t="n">
        <v>-0.45</v>
      </c>
      <c r="N38" s="0" t="n">
        <v>6.25</v>
      </c>
      <c r="O38" s="0" t="n">
        <v>-0.45</v>
      </c>
      <c r="P38" s="0" t="n">
        <v>15.15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4.57</v>
      </c>
      <c r="F39" s="0" t="n">
        <v>-9.58</v>
      </c>
      <c r="G39" s="0" t="n">
        <v>-0.75</v>
      </c>
      <c r="H39" s="1" t="n">
        <v>0</v>
      </c>
      <c r="I39" s="1" t="n">
        <v>-0.75</v>
      </c>
      <c r="J39" s="0" t="n">
        <v>0</v>
      </c>
      <c r="K39" s="0" t="n">
        <v>-0.75</v>
      </c>
      <c r="L39" s="1" t="n">
        <v>0</v>
      </c>
      <c r="M39" s="1" t="n">
        <v>-0.75</v>
      </c>
      <c r="N39" s="0" t="n">
        <v>5.95</v>
      </c>
      <c r="O39" s="0" t="n">
        <v>-0.75</v>
      </c>
    </row>
    <row r="40" customFormat="false" ht="15" hidden="false" customHeight="false" outlineLevel="0" collapsed="false">
      <c r="D40" s="0" t="n">
        <v>2</v>
      </c>
      <c r="E40" s="0" t="n">
        <v>4.4</v>
      </c>
      <c r="F40" s="0" t="n">
        <v>-9.3</v>
      </c>
      <c r="G40" s="0" t="n">
        <v>-1.05</v>
      </c>
      <c r="H40" s="1" t="n">
        <v>0</v>
      </c>
      <c r="I40" s="1" t="n">
        <v>-1.05</v>
      </c>
      <c r="J40" s="0" t="n">
        <v>0</v>
      </c>
      <c r="K40" s="0" t="n">
        <v>-1.05</v>
      </c>
      <c r="L40" s="1" t="n">
        <v>0</v>
      </c>
      <c r="M40" s="1" t="n">
        <v>-1.05</v>
      </c>
      <c r="N40" s="0" t="n">
        <v>5.65</v>
      </c>
      <c r="O40" s="0" t="n">
        <v>-1.05</v>
      </c>
    </row>
    <row r="41" customFormat="false" ht="15" hidden="false" customHeight="false" outlineLevel="0" collapsed="false">
      <c r="D41" s="0" t="n">
        <v>1</v>
      </c>
      <c r="E41" s="0" t="n">
        <v>1.43</v>
      </c>
      <c r="F41" s="0" t="n">
        <v>-9.03</v>
      </c>
      <c r="G41" s="0" t="n">
        <v>-1.35</v>
      </c>
      <c r="H41" s="1" t="n">
        <v>0</v>
      </c>
      <c r="I41" s="1" t="n">
        <v>-1.35</v>
      </c>
      <c r="J41" s="0" t="n">
        <v>0</v>
      </c>
      <c r="K41" s="0" t="n">
        <v>-1.35</v>
      </c>
      <c r="L41" s="1" t="n">
        <v>0</v>
      </c>
      <c r="M41" s="1" t="n">
        <v>-1.35</v>
      </c>
      <c r="N41" s="0" t="n">
        <v>5.35</v>
      </c>
      <c r="O41" s="0" t="n">
        <v>-1.35</v>
      </c>
    </row>
    <row r="42" customFormat="false" ht="15" hidden="false" customHeight="false" outlineLevel="0" collapsed="false">
      <c r="A42" s="1" t="n">
        <v>11</v>
      </c>
      <c r="B42" s="1" t="s">
        <v>27</v>
      </c>
      <c r="C42" s="0" t="n">
        <v>381.5</v>
      </c>
      <c r="D42" s="0" t="n">
        <v>4</v>
      </c>
      <c r="E42" s="0" t="n">
        <v>5.97</v>
      </c>
      <c r="F42" s="0" t="n">
        <v>-10.19</v>
      </c>
      <c r="G42" s="0" t="n">
        <v>-0.45</v>
      </c>
      <c r="H42" s="1" t="n">
        <v>0</v>
      </c>
      <c r="I42" s="1" t="n">
        <v>-0.45</v>
      </c>
      <c r="J42" s="0" t="n">
        <v>0</v>
      </c>
      <c r="K42" s="0" t="n">
        <v>-0.45</v>
      </c>
      <c r="L42" s="1" t="n">
        <v>0</v>
      </c>
      <c r="M42" s="1" t="n">
        <v>-0.45</v>
      </c>
      <c r="N42" s="0" t="n">
        <v>10.02</v>
      </c>
      <c r="O42" s="0" t="n">
        <v>-0.45</v>
      </c>
      <c r="P42" s="0" t="n">
        <v>19.21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5.79</v>
      </c>
      <c r="F43" s="0" t="n">
        <v>-9.89</v>
      </c>
      <c r="G43" s="0" t="n">
        <v>-0.75</v>
      </c>
      <c r="H43" s="1" t="n">
        <v>0</v>
      </c>
      <c r="I43" s="1" t="n">
        <v>-0.75</v>
      </c>
      <c r="J43" s="0" t="n">
        <v>0</v>
      </c>
      <c r="K43" s="0" t="n">
        <v>-0.75</v>
      </c>
      <c r="L43" s="1" t="n">
        <v>0</v>
      </c>
      <c r="M43" s="1" t="n">
        <v>-0.75</v>
      </c>
      <c r="N43" s="0" t="n">
        <v>9.72</v>
      </c>
      <c r="O43" s="0" t="n">
        <v>-0.75</v>
      </c>
    </row>
    <row r="44" customFormat="false" ht="15" hidden="false" customHeight="false" outlineLevel="0" collapsed="false">
      <c r="D44" s="0" t="n">
        <v>2</v>
      </c>
      <c r="E44" s="0" t="n">
        <v>5.61</v>
      </c>
      <c r="F44" s="0" t="n">
        <v>-9.59</v>
      </c>
      <c r="G44" s="0" t="n">
        <v>-1.05</v>
      </c>
      <c r="H44" s="1" t="n">
        <v>0</v>
      </c>
      <c r="I44" s="1" t="n">
        <v>-1.05</v>
      </c>
      <c r="J44" s="0" t="n">
        <v>0</v>
      </c>
      <c r="K44" s="0" t="n">
        <v>-1.05</v>
      </c>
      <c r="L44" s="1" t="n">
        <v>0</v>
      </c>
      <c r="M44" s="1" t="n">
        <v>-1.05</v>
      </c>
      <c r="N44" s="0" t="n">
        <v>9.42</v>
      </c>
      <c r="O44" s="0" t="n">
        <v>-1.05</v>
      </c>
    </row>
    <row r="45" customFormat="false" ht="15" hidden="false" customHeight="false" outlineLevel="0" collapsed="false">
      <c r="D45" s="0" t="n">
        <v>1</v>
      </c>
      <c r="E45" s="0" t="n">
        <v>1.83</v>
      </c>
      <c r="F45" s="0" t="n">
        <v>-9.29</v>
      </c>
      <c r="G45" s="0" t="n">
        <v>-1.35</v>
      </c>
      <c r="H45" s="1" t="n">
        <v>0</v>
      </c>
      <c r="I45" s="1" t="n">
        <v>-1.35</v>
      </c>
      <c r="J45" s="0" t="n">
        <v>0</v>
      </c>
      <c r="K45" s="0" t="n">
        <v>-1.35</v>
      </c>
      <c r="L45" s="1" t="n">
        <v>0</v>
      </c>
      <c r="M45" s="1" t="n">
        <v>-1.35</v>
      </c>
      <c r="N45" s="0" t="n">
        <v>9.12</v>
      </c>
      <c r="O45" s="0" t="n">
        <v>-1.35</v>
      </c>
    </row>
    <row r="46" customFormat="false" ht="15" hidden="false" customHeight="false" outlineLevel="0" collapsed="false">
      <c r="A46" s="1" t="n">
        <v>12</v>
      </c>
      <c r="B46" s="1" t="s">
        <v>28</v>
      </c>
      <c r="C46" s="0" t="n">
        <v>394.75</v>
      </c>
      <c r="D46" s="0" t="n">
        <v>4</v>
      </c>
      <c r="E46" s="0" t="n">
        <v>5.87</v>
      </c>
      <c r="F46" s="0" t="n">
        <v>-9.86</v>
      </c>
      <c r="G46" s="0" t="n">
        <v>-0.45</v>
      </c>
      <c r="H46" s="1" t="n">
        <v>0</v>
      </c>
      <c r="I46" s="1" t="n">
        <v>-0.45</v>
      </c>
      <c r="J46" s="0" t="n">
        <v>0</v>
      </c>
      <c r="K46" s="0" t="n">
        <v>-0.45</v>
      </c>
      <c r="L46" s="1" t="n">
        <v>0</v>
      </c>
      <c r="M46" s="1" t="n">
        <v>-0.45</v>
      </c>
      <c r="N46" s="0" t="n">
        <v>9.99</v>
      </c>
      <c r="O46" s="0" t="n">
        <v>-0.45</v>
      </c>
      <c r="P46" s="0" t="n">
        <v>18.86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5.69</v>
      </c>
      <c r="F47" s="0" t="n">
        <v>-9.56</v>
      </c>
      <c r="G47" s="0" t="n">
        <v>-0.75</v>
      </c>
      <c r="H47" s="1" t="n">
        <v>0</v>
      </c>
      <c r="I47" s="1" t="n">
        <v>-0.75</v>
      </c>
      <c r="J47" s="0" t="n">
        <v>0</v>
      </c>
      <c r="K47" s="0" t="n">
        <v>-0.75</v>
      </c>
      <c r="L47" s="1" t="n">
        <v>0</v>
      </c>
      <c r="M47" s="1" t="n">
        <v>-0.75</v>
      </c>
      <c r="N47" s="0" t="n">
        <v>9.69</v>
      </c>
      <c r="O47" s="0" t="n">
        <v>-0.75</v>
      </c>
    </row>
    <row r="48" customFormat="false" ht="15" hidden="false" customHeight="false" outlineLevel="0" collapsed="false">
      <c r="D48" s="0" t="n">
        <v>2</v>
      </c>
      <c r="E48" s="0" t="n">
        <v>5.51</v>
      </c>
      <c r="F48" s="0" t="n">
        <v>-9.26</v>
      </c>
      <c r="G48" s="0" t="n">
        <v>-1.05</v>
      </c>
      <c r="H48" s="1" t="n">
        <v>0</v>
      </c>
      <c r="I48" s="1" t="n">
        <v>-1.05</v>
      </c>
      <c r="J48" s="0" t="n">
        <v>0</v>
      </c>
      <c r="K48" s="0" t="n">
        <v>-1.05</v>
      </c>
      <c r="L48" s="1" t="n">
        <v>0</v>
      </c>
      <c r="M48" s="1" t="n">
        <v>-1.05</v>
      </c>
      <c r="N48" s="0" t="n">
        <v>9.39</v>
      </c>
      <c r="O48" s="0" t="n">
        <v>-1.05</v>
      </c>
    </row>
    <row r="49" customFormat="false" ht="15" hidden="false" customHeight="false" outlineLevel="0" collapsed="false">
      <c r="D49" s="0" t="n">
        <v>1</v>
      </c>
      <c r="E49" s="0" t="n">
        <v>1.8</v>
      </c>
      <c r="F49" s="0" t="n">
        <v>-8.96</v>
      </c>
      <c r="G49" s="0" t="n">
        <v>-1.35</v>
      </c>
      <c r="H49" s="1" t="n">
        <v>0</v>
      </c>
      <c r="I49" s="1" t="n">
        <v>-1.35</v>
      </c>
      <c r="J49" s="0" t="n">
        <v>0</v>
      </c>
      <c r="K49" s="0" t="n">
        <v>-1.35</v>
      </c>
      <c r="L49" s="1" t="n">
        <v>0</v>
      </c>
      <c r="M49" s="1" t="n">
        <v>-1.35</v>
      </c>
      <c r="N49" s="0" t="n">
        <v>9.09</v>
      </c>
      <c r="O49" s="0" t="n">
        <v>-1.35</v>
      </c>
    </row>
    <row r="50" customFormat="false" ht="15" hidden="false" customHeight="false" outlineLevel="0" collapsed="false">
      <c r="A50" s="1" t="n">
        <v>13</v>
      </c>
      <c r="B50" s="1" t="s">
        <v>29</v>
      </c>
      <c r="C50" s="0" t="n">
        <v>414.75</v>
      </c>
      <c r="D50" s="0" t="n">
        <v>4</v>
      </c>
      <c r="E50" s="0" t="n">
        <v>5.9</v>
      </c>
      <c r="F50" s="0" t="n">
        <v>-9.91</v>
      </c>
      <c r="G50" s="0" t="n">
        <v>-0.45</v>
      </c>
      <c r="H50" s="1" t="n">
        <v>0</v>
      </c>
      <c r="I50" s="1" t="n">
        <v>-0.45</v>
      </c>
      <c r="J50" s="0" t="n">
        <v>0</v>
      </c>
      <c r="K50" s="0" t="n">
        <v>-0.45</v>
      </c>
      <c r="L50" s="1" t="n">
        <v>0</v>
      </c>
      <c r="M50" s="1" t="n">
        <v>-0.45</v>
      </c>
      <c r="N50" s="0" t="n">
        <v>10.05</v>
      </c>
      <c r="O50" s="0" t="n">
        <v>-0.45</v>
      </c>
      <c r="P50" s="0" t="n">
        <v>18.96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5.72</v>
      </c>
      <c r="F51" s="0" t="n">
        <v>-9.61</v>
      </c>
      <c r="G51" s="0" t="n">
        <v>-0.75</v>
      </c>
      <c r="H51" s="1" t="n">
        <v>0</v>
      </c>
      <c r="I51" s="1" t="n">
        <v>-0.75</v>
      </c>
      <c r="J51" s="0" t="n">
        <v>0</v>
      </c>
      <c r="K51" s="0" t="n">
        <v>-0.75</v>
      </c>
      <c r="L51" s="1" t="n">
        <v>0</v>
      </c>
      <c r="M51" s="1" t="n">
        <v>-0.75</v>
      </c>
      <c r="N51" s="0" t="n">
        <v>9.75</v>
      </c>
      <c r="O51" s="0" t="n">
        <v>-0.75</v>
      </c>
    </row>
    <row r="52" customFormat="false" ht="15" hidden="false" customHeight="false" outlineLevel="0" collapsed="false">
      <c r="D52" s="0" t="n">
        <v>2</v>
      </c>
      <c r="E52" s="0" t="n">
        <v>5.54</v>
      </c>
      <c r="F52" s="0" t="n">
        <v>-9.31</v>
      </c>
      <c r="G52" s="0" t="n">
        <v>-1.05</v>
      </c>
      <c r="H52" s="1" t="n">
        <v>0</v>
      </c>
      <c r="I52" s="1" t="n">
        <v>-1.05</v>
      </c>
      <c r="J52" s="0" t="n">
        <v>0</v>
      </c>
      <c r="K52" s="0" t="n">
        <v>-1.05</v>
      </c>
      <c r="L52" s="1" t="n">
        <v>0</v>
      </c>
      <c r="M52" s="1" t="n">
        <v>-1.05</v>
      </c>
      <c r="N52" s="0" t="n">
        <v>9.45</v>
      </c>
      <c r="O52" s="0" t="n">
        <v>-1.05</v>
      </c>
    </row>
    <row r="53" customFormat="false" ht="15" hidden="false" customHeight="false" outlineLevel="0" collapsed="false">
      <c r="D53" s="0" t="n">
        <v>1</v>
      </c>
      <c r="E53" s="0" t="n">
        <v>1.81</v>
      </c>
      <c r="F53" s="0" t="n">
        <v>-9.01</v>
      </c>
      <c r="G53" s="0" t="n">
        <v>-1.35</v>
      </c>
      <c r="H53" s="1" t="n">
        <v>0</v>
      </c>
      <c r="I53" s="1" t="n">
        <v>-1.35</v>
      </c>
      <c r="J53" s="0" t="n">
        <v>0</v>
      </c>
      <c r="K53" s="0" t="n">
        <v>-1.35</v>
      </c>
      <c r="L53" s="1" t="n">
        <v>0</v>
      </c>
      <c r="M53" s="1" t="n">
        <v>-1.35</v>
      </c>
      <c r="N53" s="0" t="n">
        <v>9.15</v>
      </c>
      <c r="O53" s="0" t="n">
        <v>-1.35</v>
      </c>
    </row>
    <row r="54" customFormat="false" ht="15" hidden="false" customHeight="false" outlineLevel="0" collapsed="false">
      <c r="A54" s="1" t="n">
        <v>14</v>
      </c>
      <c r="B54" s="1" t="s">
        <v>30</v>
      </c>
      <c r="C54" s="0" t="n">
        <v>434.75</v>
      </c>
      <c r="D54" s="0" t="n">
        <v>4</v>
      </c>
      <c r="E54" s="0" t="n">
        <v>5.79</v>
      </c>
      <c r="F54" s="0" t="n">
        <v>-9.84</v>
      </c>
      <c r="G54" s="0" t="n">
        <v>-0.45</v>
      </c>
      <c r="H54" s="1" t="n">
        <v>0</v>
      </c>
      <c r="I54" s="1" t="n">
        <v>-0.45</v>
      </c>
      <c r="J54" s="0" t="n">
        <v>0</v>
      </c>
      <c r="K54" s="0" t="n">
        <v>-0.45</v>
      </c>
      <c r="L54" s="1" t="n">
        <v>0</v>
      </c>
      <c r="M54" s="1" t="n">
        <v>-0.45</v>
      </c>
      <c r="N54" s="0" t="n">
        <v>9.76</v>
      </c>
      <c r="O54" s="0" t="n">
        <v>-0.45</v>
      </c>
      <c r="P54" s="0" t="n">
        <v>18.6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5.61</v>
      </c>
      <c r="F55" s="0" t="n">
        <v>-9.54</v>
      </c>
      <c r="G55" s="0" t="n">
        <v>-0.75</v>
      </c>
      <c r="H55" s="1" t="n">
        <v>0</v>
      </c>
      <c r="I55" s="1" t="n">
        <v>-0.75</v>
      </c>
      <c r="J55" s="0" t="n">
        <v>0</v>
      </c>
      <c r="K55" s="0" t="n">
        <v>-0.75</v>
      </c>
      <c r="L55" s="1" t="n">
        <v>0</v>
      </c>
      <c r="M55" s="1" t="n">
        <v>-0.75</v>
      </c>
      <c r="N55" s="0" t="n">
        <v>9.46</v>
      </c>
      <c r="O55" s="0" t="n">
        <v>-0.75</v>
      </c>
    </row>
    <row r="56" customFormat="false" ht="15" hidden="false" customHeight="false" outlineLevel="0" collapsed="false">
      <c r="D56" s="0" t="n">
        <v>2</v>
      </c>
      <c r="E56" s="0" t="n">
        <v>5.43</v>
      </c>
      <c r="F56" s="0" t="n">
        <v>-9.24</v>
      </c>
      <c r="G56" s="0" t="n">
        <v>-1.05</v>
      </c>
      <c r="H56" s="1" t="n">
        <v>0</v>
      </c>
      <c r="I56" s="1" t="n">
        <v>-1.05</v>
      </c>
      <c r="J56" s="0" t="n">
        <v>0</v>
      </c>
      <c r="K56" s="0" t="n">
        <v>-1.05</v>
      </c>
      <c r="L56" s="1" t="n">
        <v>0</v>
      </c>
      <c r="M56" s="1" t="n">
        <v>-1.05</v>
      </c>
      <c r="N56" s="0" t="n">
        <v>9.16</v>
      </c>
      <c r="O56" s="0" t="n">
        <v>-1.05</v>
      </c>
    </row>
    <row r="57" customFormat="false" ht="15" hidden="false" customHeight="false" outlineLevel="0" collapsed="false">
      <c r="D57" s="0" t="n">
        <v>1</v>
      </c>
      <c r="E57" s="0" t="n">
        <v>1.77</v>
      </c>
      <c r="F57" s="0" t="n">
        <v>-8.94</v>
      </c>
      <c r="G57" s="0" t="n">
        <v>-1.35</v>
      </c>
      <c r="H57" s="1" t="n">
        <v>0</v>
      </c>
      <c r="I57" s="1" t="n">
        <v>-1.35</v>
      </c>
      <c r="J57" s="0" t="n">
        <v>0</v>
      </c>
      <c r="K57" s="0" t="n">
        <v>-1.35</v>
      </c>
      <c r="L57" s="1" t="n">
        <v>0</v>
      </c>
      <c r="M57" s="1" t="n">
        <v>-1.35</v>
      </c>
      <c r="N57" s="0" t="n">
        <v>8.86</v>
      </c>
      <c r="O57" s="0" t="n">
        <v>-1.35</v>
      </c>
    </row>
    <row r="58" customFormat="false" ht="15" hidden="false" customHeight="false" outlineLevel="0" collapsed="false">
      <c r="A58" s="1" t="n">
        <v>15</v>
      </c>
      <c r="B58" s="1" t="s">
        <v>31</v>
      </c>
      <c r="C58" s="0" t="n">
        <v>454.75</v>
      </c>
      <c r="D58" s="0" t="n">
        <v>4</v>
      </c>
      <c r="E58" s="0" t="n">
        <v>5.44</v>
      </c>
      <c r="F58" s="0" t="n">
        <v>-9.05</v>
      </c>
      <c r="G58" s="0" t="n">
        <v>-0.45</v>
      </c>
      <c r="H58" s="1" t="n">
        <v>0</v>
      </c>
      <c r="I58" s="1" t="n">
        <v>-0.45</v>
      </c>
      <c r="J58" s="0" t="n">
        <v>0</v>
      </c>
      <c r="K58" s="0" t="n">
        <v>-0.45</v>
      </c>
      <c r="L58" s="1" t="n">
        <v>0</v>
      </c>
      <c r="M58" s="1" t="n">
        <v>-0.45</v>
      </c>
      <c r="N58" s="0" t="n">
        <v>9.39</v>
      </c>
      <c r="O58" s="0" t="n">
        <v>-0.45</v>
      </c>
      <c r="P58" s="0" t="n">
        <v>17.44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5.26</v>
      </c>
      <c r="F59" s="0" t="n">
        <v>-8.75</v>
      </c>
      <c r="G59" s="0" t="n">
        <v>-0.75</v>
      </c>
      <c r="H59" s="1" t="n">
        <v>0</v>
      </c>
      <c r="I59" s="1" t="n">
        <v>-0.75</v>
      </c>
      <c r="J59" s="0" t="n">
        <v>0</v>
      </c>
      <c r="K59" s="0" t="n">
        <v>-0.75</v>
      </c>
      <c r="L59" s="1" t="n">
        <v>0</v>
      </c>
      <c r="M59" s="1" t="n">
        <v>-0.75</v>
      </c>
      <c r="N59" s="0" t="n">
        <v>9.09</v>
      </c>
      <c r="O59" s="0" t="n">
        <v>-0.75</v>
      </c>
    </row>
    <row r="60" customFormat="false" ht="15" hidden="false" customHeight="false" outlineLevel="0" collapsed="false">
      <c r="D60" s="0" t="n">
        <v>2</v>
      </c>
      <c r="E60" s="0" t="n">
        <v>5.08</v>
      </c>
      <c r="F60" s="0" t="n">
        <v>-8.45</v>
      </c>
      <c r="G60" s="0" t="n">
        <v>-1.05</v>
      </c>
      <c r="H60" s="1" t="n">
        <v>0</v>
      </c>
      <c r="I60" s="1" t="n">
        <v>-1.05</v>
      </c>
      <c r="J60" s="0" t="n">
        <v>0</v>
      </c>
      <c r="K60" s="0" t="n">
        <v>-1.05</v>
      </c>
      <c r="L60" s="1" t="n">
        <v>0</v>
      </c>
      <c r="M60" s="1" t="n">
        <v>-1.05</v>
      </c>
      <c r="N60" s="0" t="n">
        <v>8.79</v>
      </c>
      <c r="O60" s="0" t="n">
        <v>-1.05</v>
      </c>
    </row>
    <row r="61" customFormat="false" ht="15" hidden="false" customHeight="false" outlineLevel="0" collapsed="false">
      <c r="D61" s="0" t="n">
        <v>1</v>
      </c>
      <c r="E61" s="0" t="n">
        <v>1.65</v>
      </c>
      <c r="F61" s="0" t="n">
        <v>-8.15</v>
      </c>
      <c r="G61" s="0" t="n">
        <v>-1.35</v>
      </c>
      <c r="H61" s="1" t="n">
        <v>0</v>
      </c>
      <c r="I61" s="1" t="n">
        <v>-1.35</v>
      </c>
      <c r="J61" s="0" t="n">
        <v>0</v>
      </c>
      <c r="K61" s="0" t="n">
        <v>-1.35</v>
      </c>
      <c r="L61" s="1" t="n">
        <v>0</v>
      </c>
      <c r="M61" s="1" t="n">
        <v>-1.35</v>
      </c>
      <c r="N61" s="0" t="n">
        <v>8.49</v>
      </c>
      <c r="O61" s="0" t="n">
        <v>-1.35</v>
      </c>
    </row>
    <row r="62" customFormat="false" ht="15" hidden="false" customHeight="false" outlineLevel="0" collapsed="false">
      <c r="A62" s="1" t="n">
        <v>16</v>
      </c>
      <c r="B62" s="1" t="s">
        <v>32</v>
      </c>
      <c r="C62" s="0" t="n">
        <v>474.75</v>
      </c>
      <c r="D62" s="0" t="n">
        <v>4</v>
      </c>
      <c r="E62" s="0" t="n">
        <v>5.64</v>
      </c>
      <c r="F62" s="0" t="n">
        <v>-9.57</v>
      </c>
      <c r="G62" s="0" t="n">
        <v>-0.45</v>
      </c>
      <c r="H62" s="1" t="n">
        <v>0</v>
      </c>
      <c r="I62" s="1" t="n">
        <v>-0.45</v>
      </c>
      <c r="J62" s="0" t="n">
        <v>0</v>
      </c>
      <c r="K62" s="0" t="n">
        <v>-0.45</v>
      </c>
      <c r="L62" s="1" t="n">
        <v>0</v>
      </c>
      <c r="M62" s="1" t="n">
        <v>-0.45</v>
      </c>
      <c r="N62" s="0" t="n">
        <v>9.52</v>
      </c>
      <c r="O62" s="0" t="n">
        <v>-0.45</v>
      </c>
      <c r="P62" s="0" t="n">
        <v>18.08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5.46</v>
      </c>
      <c r="F63" s="0" t="n">
        <v>-9.27</v>
      </c>
      <c r="G63" s="0" t="n">
        <v>-0.75</v>
      </c>
      <c r="H63" s="1" t="n">
        <v>0</v>
      </c>
      <c r="I63" s="1" t="n">
        <v>-0.75</v>
      </c>
      <c r="J63" s="0" t="n">
        <v>0</v>
      </c>
      <c r="K63" s="0" t="n">
        <v>-0.75</v>
      </c>
      <c r="L63" s="1" t="n">
        <v>0</v>
      </c>
      <c r="M63" s="1" t="n">
        <v>-0.75</v>
      </c>
      <c r="N63" s="0" t="n">
        <v>9.22</v>
      </c>
      <c r="O63" s="0" t="n">
        <v>-0.75</v>
      </c>
    </row>
    <row r="64" customFormat="false" ht="15" hidden="false" customHeight="false" outlineLevel="0" collapsed="false">
      <c r="D64" s="0" t="n">
        <v>2</v>
      </c>
      <c r="E64" s="0" t="n">
        <v>5.28</v>
      </c>
      <c r="F64" s="0" t="n">
        <v>-8.97</v>
      </c>
      <c r="G64" s="0" t="n">
        <v>-1.05</v>
      </c>
      <c r="H64" s="1" t="n">
        <v>0</v>
      </c>
      <c r="I64" s="1" t="n">
        <v>-1.05</v>
      </c>
      <c r="J64" s="0" t="n">
        <v>0</v>
      </c>
      <c r="K64" s="0" t="n">
        <v>-1.05</v>
      </c>
      <c r="L64" s="1" t="n">
        <v>0</v>
      </c>
      <c r="M64" s="1" t="n">
        <v>-1.05</v>
      </c>
      <c r="N64" s="0" t="n">
        <v>8.92</v>
      </c>
      <c r="O64" s="0" t="n">
        <v>-1.05</v>
      </c>
    </row>
    <row r="65" customFormat="false" ht="15" hidden="false" customHeight="false" outlineLevel="0" collapsed="false">
      <c r="D65" s="0" t="n">
        <v>1</v>
      </c>
      <c r="E65" s="0" t="n">
        <v>1.72</v>
      </c>
      <c r="F65" s="0" t="n">
        <v>-8.67</v>
      </c>
      <c r="G65" s="0" t="n">
        <v>-1.35</v>
      </c>
      <c r="H65" s="1" t="n">
        <v>0</v>
      </c>
      <c r="I65" s="1" t="n">
        <v>-1.35</v>
      </c>
      <c r="J65" s="0" t="n">
        <v>0</v>
      </c>
      <c r="K65" s="0" t="n">
        <v>-1.35</v>
      </c>
      <c r="L65" s="1" t="n">
        <v>0</v>
      </c>
      <c r="M65" s="1" t="n">
        <v>-1.35</v>
      </c>
      <c r="N65" s="0" t="n">
        <v>8.62</v>
      </c>
      <c r="O65" s="0" t="n">
        <v>-1.35</v>
      </c>
    </row>
    <row r="66" customFormat="false" ht="15" hidden="false" customHeight="false" outlineLevel="0" collapsed="false">
      <c r="A66" s="1" t="n">
        <v>17</v>
      </c>
      <c r="B66" s="1" t="s">
        <v>33</v>
      </c>
      <c r="C66" s="0" t="n">
        <v>489.19</v>
      </c>
      <c r="D66" s="0" t="n">
        <v>4</v>
      </c>
      <c r="E66" s="0" t="n">
        <v>4.62</v>
      </c>
      <c r="F66" s="0" t="n">
        <v>-9.45</v>
      </c>
      <c r="G66" s="0" t="n">
        <v>-0.45</v>
      </c>
      <c r="H66" s="1" t="n">
        <v>0</v>
      </c>
      <c r="I66" s="1" t="n">
        <v>-0.45</v>
      </c>
      <c r="J66" s="0" t="n">
        <v>0</v>
      </c>
      <c r="K66" s="0" t="n">
        <v>-0.45</v>
      </c>
      <c r="L66" s="1" t="n">
        <v>0</v>
      </c>
      <c r="M66" s="1" t="n">
        <v>-0.45</v>
      </c>
      <c r="N66" s="0" t="n">
        <v>6.25</v>
      </c>
      <c r="O66" s="0" t="n">
        <v>-0.45</v>
      </c>
      <c r="P66" s="0" t="n">
        <v>14.7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4.44</v>
      </c>
      <c r="F67" s="0" t="n">
        <v>-9.15</v>
      </c>
      <c r="G67" s="0" t="n">
        <v>-0.75</v>
      </c>
      <c r="H67" s="1" t="n">
        <v>0</v>
      </c>
      <c r="I67" s="1" t="n">
        <v>-0.75</v>
      </c>
      <c r="J67" s="0" t="n">
        <v>0</v>
      </c>
      <c r="K67" s="0" t="n">
        <v>-0.75</v>
      </c>
      <c r="L67" s="1" t="n">
        <v>0</v>
      </c>
      <c r="M67" s="1" t="n">
        <v>-0.75</v>
      </c>
      <c r="N67" s="0" t="n">
        <v>5.95</v>
      </c>
      <c r="O67" s="0" t="n">
        <v>-0.75</v>
      </c>
    </row>
    <row r="68" customFormat="false" ht="15" hidden="false" customHeight="false" outlineLevel="0" collapsed="false">
      <c r="D68" s="0" t="n">
        <v>2</v>
      </c>
      <c r="E68" s="0" t="n">
        <v>4.26</v>
      </c>
      <c r="F68" s="0" t="n">
        <v>-8.85</v>
      </c>
      <c r="G68" s="0" t="n">
        <v>-1.05</v>
      </c>
      <c r="H68" s="1" t="n">
        <v>0</v>
      </c>
      <c r="I68" s="1" t="n">
        <v>-1.05</v>
      </c>
      <c r="J68" s="0" t="n">
        <v>0</v>
      </c>
      <c r="K68" s="0" t="n">
        <v>-1.05</v>
      </c>
      <c r="L68" s="1" t="n">
        <v>0</v>
      </c>
      <c r="M68" s="1" t="n">
        <v>-1.05</v>
      </c>
      <c r="N68" s="0" t="n">
        <v>5.65</v>
      </c>
      <c r="O68" s="0" t="n">
        <v>-1.05</v>
      </c>
    </row>
    <row r="69" customFormat="false" ht="15" hidden="false" customHeight="false" outlineLevel="0" collapsed="false">
      <c r="D69" s="0" t="n">
        <v>1</v>
      </c>
      <c r="E69" s="0" t="n">
        <v>1.38</v>
      </c>
      <c r="F69" s="0" t="n">
        <v>-8.55</v>
      </c>
      <c r="G69" s="0" t="n">
        <v>-1.35</v>
      </c>
      <c r="H69" s="1" t="n">
        <v>0</v>
      </c>
      <c r="I69" s="1" t="n">
        <v>-1.35</v>
      </c>
      <c r="J69" s="0" t="n">
        <v>0</v>
      </c>
      <c r="K69" s="0" t="n">
        <v>-1.35</v>
      </c>
      <c r="L69" s="1" t="n">
        <v>0</v>
      </c>
      <c r="M69" s="1" t="n">
        <v>-1.35</v>
      </c>
      <c r="N69" s="0" t="n">
        <v>5.35</v>
      </c>
      <c r="O69" s="0" t="n">
        <v>-1.35</v>
      </c>
    </row>
    <row r="70" customFormat="false" ht="15" hidden="false" customHeight="false" outlineLevel="0" collapsed="false">
      <c r="A70" s="1" t="n">
        <v>18</v>
      </c>
      <c r="B70" s="1" t="s">
        <v>34</v>
      </c>
      <c r="C70" s="0" t="n">
        <v>502.36</v>
      </c>
      <c r="D70" s="0" t="n">
        <v>4</v>
      </c>
      <c r="E70" s="0" t="n">
        <v>6.16</v>
      </c>
      <c r="F70" s="0" t="n">
        <v>-10.47</v>
      </c>
      <c r="G70" s="0" t="n">
        <v>-0.45</v>
      </c>
      <c r="H70" s="1" t="n">
        <v>0</v>
      </c>
      <c r="I70" s="1" t="n">
        <v>-0.45</v>
      </c>
      <c r="J70" s="0" t="n">
        <v>0</v>
      </c>
      <c r="K70" s="0" t="n">
        <v>-0.45</v>
      </c>
      <c r="L70" s="1" t="n">
        <v>0</v>
      </c>
      <c r="M70" s="1" t="n">
        <v>-0.45</v>
      </c>
      <c r="N70" s="0" t="n">
        <v>10.37</v>
      </c>
      <c r="O70" s="0" t="n">
        <v>-0.45</v>
      </c>
      <c r="P70" s="0" t="n">
        <v>19.84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5.98</v>
      </c>
      <c r="F71" s="0" t="n">
        <v>-10.17</v>
      </c>
      <c r="G71" s="0" t="n">
        <v>-0.75</v>
      </c>
      <c r="H71" s="1" t="n">
        <v>0</v>
      </c>
      <c r="I71" s="1" t="n">
        <v>-0.75</v>
      </c>
      <c r="J71" s="0" t="n">
        <v>0</v>
      </c>
      <c r="K71" s="0" t="n">
        <v>-0.75</v>
      </c>
      <c r="L71" s="1" t="n">
        <v>0</v>
      </c>
      <c r="M71" s="1" t="n">
        <v>-0.75</v>
      </c>
      <c r="N71" s="0" t="n">
        <v>10.07</v>
      </c>
      <c r="O71" s="0" t="n">
        <v>-0.75</v>
      </c>
    </row>
    <row r="72" customFormat="false" ht="15" hidden="false" customHeight="false" outlineLevel="0" collapsed="false">
      <c r="D72" s="0" t="n">
        <v>2</v>
      </c>
      <c r="E72" s="0" t="n">
        <v>5.8</v>
      </c>
      <c r="F72" s="0" t="n">
        <v>-9.87</v>
      </c>
      <c r="G72" s="0" t="n">
        <v>-1.05</v>
      </c>
      <c r="H72" s="1" t="n">
        <v>0</v>
      </c>
      <c r="I72" s="1" t="n">
        <v>-1.05</v>
      </c>
      <c r="J72" s="0" t="n">
        <v>0</v>
      </c>
      <c r="K72" s="0" t="n">
        <v>-1.05</v>
      </c>
      <c r="L72" s="1" t="n">
        <v>0</v>
      </c>
      <c r="M72" s="1" t="n">
        <v>-1.05</v>
      </c>
      <c r="N72" s="0" t="n">
        <v>9.77</v>
      </c>
      <c r="O72" s="0" t="n">
        <v>-1.05</v>
      </c>
    </row>
    <row r="73" customFormat="false" ht="15" hidden="false" customHeight="false" outlineLevel="0" collapsed="false">
      <c r="D73" s="0" t="n">
        <v>1</v>
      </c>
      <c r="E73" s="0" t="n">
        <v>1.89</v>
      </c>
      <c r="F73" s="0" t="n">
        <v>-9.57</v>
      </c>
      <c r="G73" s="0" t="n">
        <v>-1.35</v>
      </c>
      <c r="H73" s="1" t="n">
        <v>0</v>
      </c>
      <c r="I73" s="1" t="n">
        <v>-1.35</v>
      </c>
      <c r="J73" s="0" t="n">
        <v>0</v>
      </c>
      <c r="K73" s="0" t="n">
        <v>-1.35</v>
      </c>
      <c r="L73" s="1" t="n">
        <v>0</v>
      </c>
      <c r="M73" s="1" t="n">
        <v>-1.35</v>
      </c>
      <c r="N73" s="0" t="n">
        <v>9.47</v>
      </c>
      <c r="O73" s="0" t="n">
        <v>-1.35</v>
      </c>
    </row>
    <row r="74" customFormat="false" ht="15" hidden="false" customHeight="false" outlineLevel="0" collapsed="false">
      <c r="A74" s="1" t="n">
        <v>19</v>
      </c>
      <c r="B74" s="1" t="s">
        <v>35</v>
      </c>
      <c r="C74" s="0" t="n">
        <v>512.84</v>
      </c>
      <c r="D74" s="0" t="n">
        <v>4</v>
      </c>
      <c r="E74" s="0" t="n">
        <v>5.97</v>
      </c>
      <c r="F74" s="0" t="n">
        <v>-9.91</v>
      </c>
      <c r="G74" s="0" t="n">
        <v>-0.45</v>
      </c>
      <c r="H74" s="1" t="n">
        <v>0</v>
      </c>
      <c r="I74" s="1" t="n">
        <v>-0.45</v>
      </c>
      <c r="J74" s="0" t="n">
        <v>0</v>
      </c>
      <c r="K74" s="0" t="n">
        <v>-0.45</v>
      </c>
      <c r="L74" s="1" t="n">
        <v>0</v>
      </c>
      <c r="M74" s="1" t="n">
        <v>-0.45</v>
      </c>
      <c r="N74" s="0" t="n">
        <v>10.28</v>
      </c>
      <c r="O74" s="0" t="n">
        <v>-0.45</v>
      </c>
      <c r="P74" s="0" t="n">
        <v>19.19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5.79</v>
      </c>
      <c r="F75" s="0" t="n">
        <v>-9.61</v>
      </c>
      <c r="G75" s="0" t="n">
        <v>-0.75</v>
      </c>
      <c r="H75" s="1" t="n">
        <v>0</v>
      </c>
      <c r="I75" s="1" t="n">
        <v>-0.75</v>
      </c>
      <c r="J75" s="0" t="n">
        <v>0</v>
      </c>
      <c r="K75" s="0" t="n">
        <v>-0.75</v>
      </c>
      <c r="L75" s="1" t="n">
        <v>0</v>
      </c>
      <c r="M75" s="1" t="n">
        <v>-0.75</v>
      </c>
      <c r="N75" s="0" t="n">
        <v>9.98</v>
      </c>
      <c r="O75" s="0" t="n">
        <v>-0.75</v>
      </c>
    </row>
    <row r="76" customFormat="false" ht="15" hidden="false" customHeight="false" outlineLevel="0" collapsed="false">
      <c r="D76" s="0" t="n">
        <v>2</v>
      </c>
      <c r="E76" s="0" t="n">
        <v>5.61</v>
      </c>
      <c r="F76" s="0" t="n">
        <v>-9.31</v>
      </c>
      <c r="G76" s="0" t="n">
        <v>-1.05</v>
      </c>
      <c r="H76" s="1" t="n">
        <v>0</v>
      </c>
      <c r="I76" s="1" t="n">
        <v>-1.05</v>
      </c>
      <c r="J76" s="0" t="n">
        <v>0</v>
      </c>
      <c r="K76" s="0" t="n">
        <v>-1.05</v>
      </c>
      <c r="L76" s="1" t="n">
        <v>0</v>
      </c>
      <c r="M76" s="1" t="n">
        <v>-1.05</v>
      </c>
      <c r="N76" s="0" t="n">
        <v>9.68</v>
      </c>
      <c r="O76" s="0" t="n">
        <v>-1.05</v>
      </c>
    </row>
    <row r="77" customFormat="false" ht="15" hidden="false" customHeight="false" outlineLevel="0" collapsed="false">
      <c r="D77" s="0" t="n">
        <v>1</v>
      </c>
      <c r="E77" s="0" t="n">
        <v>1.83</v>
      </c>
      <c r="F77" s="0" t="n">
        <v>-9.01</v>
      </c>
      <c r="G77" s="0" t="n">
        <v>-1.35</v>
      </c>
      <c r="H77" s="1" t="n">
        <v>0</v>
      </c>
      <c r="I77" s="1" t="n">
        <v>-1.35</v>
      </c>
      <c r="J77" s="0" t="n">
        <v>0</v>
      </c>
      <c r="K77" s="0" t="n">
        <v>-1.35</v>
      </c>
      <c r="L77" s="1" t="n">
        <v>0</v>
      </c>
      <c r="M77" s="1" t="n">
        <v>-1.35</v>
      </c>
      <c r="N77" s="0" t="n">
        <v>9.38</v>
      </c>
      <c r="O77" s="0" t="n">
        <v>-1.35</v>
      </c>
    </row>
    <row r="78" customFormat="false" ht="15" hidden="false" customHeight="false" outlineLevel="0" collapsed="false">
      <c r="A78" s="1" t="n">
        <v>20</v>
      </c>
      <c r="B78" s="1" t="s">
        <v>36</v>
      </c>
      <c r="C78" s="0" t="n">
        <v>529.62</v>
      </c>
      <c r="D78" s="0" t="n">
        <v>4</v>
      </c>
      <c r="E78" s="0" t="n">
        <v>6.14</v>
      </c>
      <c r="F78" s="0" t="n">
        <v>-10.34</v>
      </c>
      <c r="G78" s="0" t="n">
        <v>-0.45</v>
      </c>
      <c r="H78" s="1" t="n">
        <v>0</v>
      </c>
      <c r="I78" s="1" t="n">
        <v>-0.45</v>
      </c>
      <c r="J78" s="0" t="n">
        <v>0</v>
      </c>
      <c r="K78" s="0" t="n">
        <v>-0.45</v>
      </c>
      <c r="L78" s="1" t="n">
        <v>0</v>
      </c>
      <c r="M78" s="1" t="n">
        <v>-0.45</v>
      </c>
      <c r="N78" s="0" t="n">
        <v>10.42</v>
      </c>
      <c r="O78" s="0" t="n">
        <v>-0.45</v>
      </c>
      <c r="P78" s="0" t="n">
        <v>19.77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5.96</v>
      </c>
      <c r="F79" s="0" t="n">
        <v>-10.04</v>
      </c>
      <c r="G79" s="0" t="n">
        <v>-0.75</v>
      </c>
      <c r="H79" s="1" t="n">
        <v>0</v>
      </c>
      <c r="I79" s="1" t="n">
        <v>-0.75</v>
      </c>
      <c r="J79" s="0" t="n">
        <v>0</v>
      </c>
      <c r="K79" s="0" t="n">
        <v>-0.75</v>
      </c>
      <c r="L79" s="1" t="n">
        <v>0</v>
      </c>
      <c r="M79" s="1" t="n">
        <v>-0.75</v>
      </c>
      <c r="N79" s="0" t="n">
        <v>10.12</v>
      </c>
      <c r="O79" s="0" t="n">
        <v>-0.75</v>
      </c>
    </row>
    <row r="80" customFormat="false" ht="15" hidden="false" customHeight="false" outlineLevel="0" collapsed="false">
      <c r="D80" s="0" t="n">
        <v>2</v>
      </c>
      <c r="E80" s="0" t="n">
        <v>5.78</v>
      </c>
      <c r="F80" s="0" t="n">
        <v>-9.74</v>
      </c>
      <c r="G80" s="0" t="n">
        <v>-1.05</v>
      </c>
      <c r="H80" s="1" t="n">
        <v>0</v>
      </c>
      <c r="I80" s="1" t="n">
        <v>-1.05</v>
      </c>
      <c r="J80" s="0" t="n">
        <v>0</v>
      </c>
      <c r="K80" s="0" t="n">
        <v>-1.05</v>
      </c>
      <c r="L80" s="1" t="n">
        <v>0</v>
      </c>
      <c r="M80" s="1" t="n">
        <v>-1.05</v>
      </c>
      <c r="N80" s="0" t="n">
        <v>9.82</v>
      </c>
      <c r="O80" s="0" t="n">
        <v>-1.05</v>
      </c>
    </row>
    <row r="81" customFormat="false" ht="15" hidden="false" customHeight="false" outlineLevel="0" collapsed="false">
      <c r="D81" s="0" t="n">
        <v>1</v>
      </c>
      <c r="E81" s="0" t="n">
        <v>1.89</v>
      </c>
      <c r="F81" s="0" t="n">
        <v>-9.44</v>
      </c>
      <c r="G81" s="0" t="n">
        <v>-1.35</v>
      </c>
      <c r="H81" s="1" t="n">
        <v>0</v>
      </c>
      <c r="I81" s="1" t="n">
        <v>-1.35</v>
      </c>
      <c r="J81" s="0" t="n">
        <v>0</v>
      </c>
      <c r="K81" s="0" t="n">
        <v>-1.35</v>
      </c>
      <c r="L81" s="1" t="n">
        <v>0</v>
      </c>
      <c r="M81" s="1" t="n">
        <v>-1.35</v>
      </c>
      <c r="N81" s="0" t="n">
        <v>9.52</v>
      </c>
      <c r="O81" s="0" t="n">
        <v>-1.35</v>
      </c>
    </row>
    <row r="82" customFormat="false" ht="15" hidden="false" customHeight="false" outlineLevel="0" collapsed="false">
      <c r="A82" s="1" t="n">
        <v>21</v>
      </c>
      <c r="B82" s="1" t="s">
        <v>37</v>
      </c>
      <c r="C82" s="0" t="n">
        <v>546.72</v>
      </c>
      <c r="D82" s="0" t="n">
        <v>4</v>
      </c>
      <c r="E82" s="0" t="n">
        <v>4.63</v>
      </c>
      <c r="F82" s="0" t="n">
        <v>-6.25</v>
      </c>
      <c r="G82" s="0" t="n">
        <v>-0.45</v>
      </c>
      <c r="H82" s="1" t="n">
        <v>0</v>
      </c>
      <c r="I82" s="1" t="n">
        <v>-0.45</v>
      </c>
      <c r="J82" s="0" t="n">
        <v>0</v>
      </c>
      <c r="K82" s="0" t="n">
        <v>-0.45</v>
      </c>
      <c r="L82" s="1" t="n">
        <v>0</v>
      </c>
      <c r="M82" s="1" t="n">
        <v>-0.45</v>
      </c>
      <c r="N82" s="0" t="n">
        <v>9.49</v>
      </c>
      <c r="O82" s="0" t="n">
        <v>-0.45</v>
      </c>
      <c r="P82" s="0" t="n">
        <v>14.74</v>
      </c>
      <c r="Q82" s="0" t="n">
        <v>0</v>
      </c>
    </row>
    <row r="83" customFormat="false" ht="15" hidden="false" customHeight="false" outlineLevel="0" collapsed="false">
      <c r="D83" s="0" t="n">
        <v>3</v>
      </c>
      <c r="E83" s="0" t="n">
        <v>4.45</v>
      </c>
      <c r="F83" s="0" t="n">
        <v>-5.95</v>
      </c>
      <c r="G83" s="0" t="n">
        <v>-0.75</v>
      </c>
      <c r="H83" s="1" t="n">
        <v>0</v>
      </c>
      <c r="I83" s="1" t="n">
        <v>-0.75</v>
      </c>
      <c r="J83" s="0" t="n">
        <v>0</v>
      </c>
      <c r="K83" s="0" t="n">
        <v>-0.75</v>
      </c>
      <c r="L83" s="1" t="n">
        <v>0</v>
      </c>
      <c r="M83" s="1" t="n">
        <v>-0.75</v>
      </c>
      <c r="N83" s="0" t="n">
        <v>9.19</v>
      </c>
      <c r="O83" s="0" t="n">
        <v>-0.75</v>
      </c>
    </row>
    <row r="84" customFormat="false" ht="15" hidden="false" customHeight="false" outlineLevel="0" collapsed="false">
      <c r="D84" s="0" t="n">
        <v>2</v>
      </c>
      <c r="E84" s="0" t="n">
        <v>4.27</v>
      </c>
      <c r="F84" s="0" t="n">
        <v>-5.65</v>
      </c>
      <c r="G84" s="0" t="n">
        <v>-1.05</v>
      </c>
      <c r="H84" s="1" t="n">
        <v>0</v>
      </c>
      <c r="I84" s="1" t="n">
        <v>-1.05</v>
      </c>
      <c r="J84" s="0" t="n">
        <v>0</v>
      </c>
      <c r="K84" s="0" t="n">
        <v>-1.05</v>
      </c>
      <c r="L84" s="1" t="n">
        <v>0</v>
      </c>
      <c r="M84" s="1" t="n">
        <v>-1.05</v>
      </c>
      <c r="N84" s="0" t="n">
        <v>8.89</v>
      </c>
      <c r="O84" s="0" t="n">
        <v>-1.05</v>
      </c>
    </row>
    <row r="85" customFormat="false" ht="15" hidden="false" customHeight="false" outlineLevel="0" collapsed="false">
      <c r="D85" s="0" t="n">
        <v>1</v>
      </c>
      <c r="E85" s="0" t="n">
        <v>1.38</v>
      </c>
      <c r="F85" s="0" t="n">
        <v>-5.35</v>
      </c>
      <c r="G85" s="0" t="n">
        <v>-1.35</v>
      </c>
      <c r="H85" s="1" t="n">
        <v>0</v>
      </c>
      <c r="I85" s="1" t="n">
        <v>-1.35</v>
      </c>
      <c r="J85" s="0" t="n">
        <v>0</v>
      </c>
      <c r="K85" s="0" t="n">
        <v>-1.35</v>
      </c>
      <c r="L85" s="1" t="n">
        <v>0</v>
      </c>
      <c r="M85" s="1" t="n">
        <v>-1.35</v>
      </c>
      <c r="N85" s="0" t="n">
        <v>8.59</v>
      </c>
      <c r="O85" s="0" t="n">
        <v>-1.35</v>
      </c>
    </row>
    <row r="86" customFormat="false" ht="15" hidden="false" customHeight="false" outlineLevel="0" collapsed="false">
      <c r="A86" s="1" t="n">
        <v>22</v>
      </c>
      <c r="B86" s="1" t="s">
        <v>38</v>
      </c>
      <c r="C86" s="0" t="n">
        <v>561.87</v>
      </c>
      <c r="D86" s="0" t="n">
        <v>4</v>
      </c>
      <c r="E86" s="0" t="n">
        <v>5.94</v>
      </c>
      <c r="F86" s="0" t="n">
        <v>-9.99</v>
      </c>
      <c r="G86" s="0" t="n">
        <v>-0.45</v>
      </c>
      <c r="H86" s="1" t="n">
        <v>0</v>
      </c>
      <c r="I86" s="1" t="n">
        <v>-0.45</v>
      </c>
      <c r="J86" s="0" t="n">
        <v>0</v>
      </c>
      <c r="K86" s="0" t="n">
        <v>-0.45</v>
      </c>
      <c r="L86" s="1" t="n">
        <v>0</v>
      </c>
      <c r="M86" s="1" t="n">
        <v>-0.45</v>
      </c>
      <c r="N86" s="0" t="n">
        <v>10.12</v>
      </c>
      <c r="O86" s="0" t="n">
        <v>-0.45</v>
      </c>
      <c r="P86" s="0" t="n">
        <v>19.11</v>
      </c>
      <c r="Q86" s="0" t="n">
        <v>0</v>
      </c>
    </row>
    <row r="87" customFormat="false" ht="15" hidden="false" customHeight="false" outlineLevel="0" collapsed="false">
      <c r="D87" s="0" t="n">
        <v>3</v>
      </c>
      <c r="E87" s="0" t="n">
        <v>5.76</v>
      </c>
      <c r="F87" s="0" t="n">
        <v>-9.69</v>
      </c>
      <c r="G87" s="0" t="n">
        <v>-0.75</v>
      </c>
      <c r="H87" s="1" t="n">
        <v>0</v>
      </c>
      <c r="I87" s="1" t="n">
        <v>-0.75</v>
      </c>
      <c r="J87" s="0" t="n">
        <v>0</v>
      </c>
      <c r="K87" s="0" t="n">
        <v>-0.75</v>
      </c>
      <c r="L87" s="1" t="n">
        <v>0</v>
      </c>
      <c r="M87" s="1" t="n">
        <v>-0.75</v>
      </c>
      <c r="N87" s="0" t="n">
        <v>9.82</v>
      </c>
      <c r="O87" s="0" t="n">
        <v>-0.75</v>
      </c>
    </row>
    <row r="88" customFormat="false" ht="15" hidden="false" customHeight="false" outlineLevel="0" collapsed="false">
      <c r="D88" s="0" t="n">
        <v>2</v>
      </c>
      <c r="E88" s="0" t="n">
        <v>5.58</v>
      </c>
      <c r="F88" s="0" t="n">
        <v>-9.39</v>
      </c>
      <c r="G88" s="0" t="n">
        <v>-1.05</v>
      </c>
      <c r="H88" s="1" t="n">
        <v>0</v>
      </c>
      <c r="I88" s="1" t="n">
        <v>-1.05</v>
      </c>
      <c r="J88" s="0" t="n">
        <v>0</v>
      </c>
      <c r="K88" s="0" t="n">
        <v>-1.05</v>
      </c>
      <c r="L88" s="1" t="n">
        <v>0</v>
      </c>
      <c r="M88" s="1" t="n">
        <v>-1.05</v>
      </c>
      <c r="N88" s="0" t="n">
        <v>9.52</v>
      </c>
      <c r="O88" s="0" t="n">
        <v>-1.05</v>
      </c>
    </row>
    <row r="89" customFormat="false" ht="15" hidden="false" customHeight="false" outlineLevel="0" collapsed="false">
      <c r="D89" s="0" t="n">
        <v>1</v>
      </c>
      <c r="E89" s="0" t="n">
        <v>1.82</v>
      </c>
      <c r="F89" s="0" t="n">
        <v>-9.09</v>
      </c>
      <c r="G89" s="0" t="n">
        <v>-1.35</v>
      </c>
      <c r="H89" s="1" t="n">
        <v>0</v>
      </c>
      <c r="I89" s="1" t="n">
        <v>-1.35</v>
      </c>
      <c r="J89" s="0" t="n">
        <v>0</v>
      </c>
      <c r="K89" s="0" t="n">
        <v>-1.35</v>
      </c>
      <c r="L89" s="1" t="n">
        <v>0</v>
      </c>
      <c r="M89" s="1" t="n">
        <v>-1.35</v>
      </c>
      <c r="N89" s="0" t="n">
        <v>9.22</v>
      </c>
      <c r="O89" s="0" t="n">
        <v>-1.35</v>
      </c>
    </row>
    <row r="90" customFormat="false" ht="15" hidden="false" customHeight="false" outlineLevel="0" collapsed="false">
      <c r="A90" s="1" t="n">
        <v>23</v>
      </c>
      <c r="B90" s="1" t="s">
        <v>39</v>
      </c>
      <c r="C90" s="0" t="n">
        <v>562.02</v>
      </c>
      <c r="D90" s="0" t="n">
        <v>4</v>
      </c>
      <c r="E90" s="0" t="n">
        <v>5.95</v>
      </c>
      <c r="F90" s="0" t="n">
        <v>-9.99</v>
      </c>
      <c r="G90" s="0" t="n">
        <v>-0.45</v>
      </c>
      <c r="H90" s="1" t="n">
        <v>0</v>
      </c>
      <c r="I90" s="1" t="n">
        <v>-0.45</v>
      </c>
      <c r="J90" s="0" t="n">
        <v>0</v>
      </c>
      <c r="K90" s="0" t="n">
        <v>-0.45</v>
      </c>
      <c r="L90" s="1" t="n">
        <v>0</v>
      </c>
      <c r="M90" s="1" t="n">
        <v>-0.45</v>
      </c>
      <c r="N90" s="0" t="n">
        <v>10.13</v>
      </c>
      <c r="O90" s="0" t="n">
        <v>-0.45</v>
      </c>
      <c r="P90" s="0" t="n">
        <v>19.12</v>
      </c>
      <c r="Q90" s="0" t="n">
        <v>0</v>
      </c>
    </row>
    <row r="91" customFormat="false" ht="15" hidden="false" customHeight="false" outlineLevel="0" collapsed="false">
      <c r="D91" s="0" t="n">
        <v>3</v>
      </c>
      <c r="E91" s="0" t="n">
        <v>5.77</v>
      </c>
      <c r="F91" s="0" t="n">
        <v>-9.69</v>
      </c>
      <c r="G91" s="0" t="n">
        <v>-0.75</v>
      </c>
      <c r="H91" s="1" t="n">
        <v>0</v>
      </c>
      <c r="I91" s="1" t="n">
        <v>-0.75</v>
      </c>
      <c r="J91" s="0" t="n">
        <v>0</v>
      </c>
      <c r="K91" s="0" t="n">
        <v>-0.75</v>
      </c>
      <c r="L91" s="1" t="n">
        <v>0</v>
      </c>
      <c r="M91" s="1" t="n">
        <v>-0.75</v>
      </c>
      <c r="N91" s="0" t="n">
        <v>9.83</v>
      </c>
      <c r="O91" s="0" t="n">
        <v>-0.75</v>
      </c>
    </row>
    <row r="92" customFormat="false" ht="15" hidden="false" customHeight="false" outlineLevel="0" collapsed="false">
      <c r="D92" s="0" t="n">
        <v>2</v>
      </c>
      <c r="E92" s="0" t="n">
        <v>5.59</v>
      </c>
      <c r="F92" s="0" t="n">
        <v>-9.39</v>
      </c>
      <c r="G92" s="0" t="n">
        <v>-1.05</v>
      </c>
      <c r="H92" s="1" t="n">
        <v>0</v>
      </c>
      <c r="I92" s="1" t="n">
        <v>-1.05</v>
      </c>
      <c r="J92" s="0" t="n">
        <v>0</v>
      </c>
      <c r="K92" s="0" t="n">
        <v>-1.05</v>
      </c>
      <c r="L92" s="1" t="n">
        <v>0</v>
      </c>
      <c r="M92" s="1" t="n">
        <v>-1.05</v>
      </c>
      <c r="N92" s="0" t="n">
        <v>9.53</v>
      </c>
      <c r="O92" s="0" t="n">
        <v>-1.05</v>
      </c>
    </row>
    <row r="93" customFormat="false" ht="15" hidden="false" customHeight="false" outlineLevel="0" collapsed="false">
      <c r="D93" s="0" t="n">
        <v>1</v>
      </c>
      <c r="E93" s="0" t="n">
        <v>1.82</v>
      </c>
      <c r="F93" s="0" t="n">
        <v>-9.09</v>
      </c>
      <c r="G93" s="0" t="n">
        <v>-1.35</v>
      </c>
      <c r="H93" s="1" t="n">
        <v>0</v>
      </c>
      <c r="I93" s="1" t="n">
        <v>-1.35</v>
      </c>
      <c r="J93" s="0" t="n">
        <v>0</v>
      </c>
      <c r="K93" s="0" t="n">
        <v>-1.35</v>
      </c>
      <c r="L93" s="1" t="n">
        <v>0</v>
      </c>
      <c r="M93" s="1" t="n">
        <v>-1.35</v>
      </c>
      <c r="N93" s="0" t="n">
        <v>9.23</v>
      </c>
      <c r="O93" s="0" t="n">
        <v>-1.35</v>
      </c>
    </row>
    <row r="94" customFormat="false" ht="15" hidden="false" customHeight="false" outlineLevel="0" collapsed="false">
      <c r="A94" s="1" t="n">
        <v>24</v>
      </c>
      <c r="B94" s="1" t="s">
        <v>40</v>
      </c>
      <c r="C94" s="0" t="n">
        <v>568.57</v>
      </c>
      <c r="D94" s="0" t="n">
        <v>4</v>
      </c>
      <c r="E94" s="0" t="n">
        <v>6.1</v>
      </c>
      <c r="F94" s="0" t="n">
        <v>-10.16</v>
      </c>
      <c r="G94" s="0" t="n">
        <v>-0.45</v>
      </c>
      <c r="H94" s="1" t="n">
        <v>0</v>
      </c>
      <c r="I94" s="1" t="n">
        <v>-0.45</v>
      </c>
      <c r="J94" s="0" t="n">
        <v>0</v>
      </c>
      <c r="K94" s="0" t="n">
        <v>-0.45</v>
      </c>
      <c r="L94" s="1" t="n">
        <v>0</v>
      </c>
      <c r="M94" s="1" t="n">
        <v>-0.45</v>
      </c>
      <c r="N94" s="0" t="n">
        <v>10.48</v>
      </c>
      <c r="O94" s="0" t="n">
        <v>-0.45</v>
      </c>
      <c r="P94" s="0" t="n">
        <v>19.64</v>
      </c>
      <c r="Q94" s="0" t="n">
        <v>0</v>
      </c>
    </row>
    <row r="95" customFormat="false" ht="15" hidden="false" customHeight="false" outlineLevel="0" collapsed="false">
      <c r="D95" s="0" t="n">
        <v>3</v>
      </c>
      <c r="E95" s="0" t="n">
        <v>5.92</v>
      </c>
      <c r="F95" s="0" t="n">
        <v>-9.86</v>
      </c>
      <c r="G95" s="0" t="n">
        <v>-0.75</v>
      </c>
      <c r="H95" s="1" t="n">
        <v>0</v>
      </c>
      <c r="I95" s="1" t="n">
        <v>-0.75</v>
      </c>
      <c r="J95" s="0" t="n">
        <v>0</v>
      </c>
      <c r="K95" s="0" t="n">
        <v>-0.75</v>
      </c>
      <c r="L95" s="1" t="n">
        <v>0</v>
      </c>
      <c r="M95" s="1" t="n">
        <v>-0.75</v>
      </c>
      <c r="N95" s="0" t="n">
        <v>10.18</v>
      </c>
      <c r="O95" s="0" t="n">
        <v>-0.75</v>
      </c>
    </row>
    <row r="96" customFormat="false" ht="15" hidden="false" customHeight="false" outlineLevel="0" collapsed="false">
      <c r="D96" s="0" t="n">
        <v>2</v>
      </c>
      <c r="E96" s="0" t="n">
        <v>5.74</v>
      </c>
      <c r="F96" s="0" t="n">
        <v>-9.56</v>
      </c>
      <c r="G96" s="0" t="n">
        <v>-1.05</v>
      </c>
      <c r="H96" s="1" t="n">
        <v>0</v>
      </c>
      <c r="I96" s="1" t="n">
        <v>-1.05</v>
      </c>
      <c r="J96" s="0" t="n">
        <v>0</v>
      </c>
      <c r="K96" s="0" t="n">
        <v>-1.05</v>
      </c>
      <c r="L96" s="1" t="n">
        <v>0</v>
      </c>
      <c r="M96" s="1" t="n">
        <v>-1.05</v>
      </c>
      <c r="N96" s="0" t="n">
        <v>9.88</v>
      </c>
      <c r="O96" s="0" t="n">
        <v>-1.05</v>
      </c>
    </row>
    <row r="97" customFormat="false" ht="15" hidden="false" customHeight="false" outlineLevel="0" collapsed="false">
      <c r="D97" s="0" t="n">
        <v>1</v>
      </c>
      <c r="E97" s="0" t="n">
        <v>1.87</v>
      </c>
      <c r="F97" s="0" t="n">
        <v>-9.26</v>
      </c>
      <c r="G97" s="0" t="n">
        <v>-1.35</v>
      </c>
      <c r="H97" s="1" t="n">
        <v>0</v>
      </c>
      <c r="I97" s="1" t="n">
        <v>-1.35</v>
      </c>
      <c r="J97" s="0" t="n">
        <v>0</v>
      </c>
      <c r="K97" s="0" t="n">
        <v>-1.35</v>
      </c>
      <c r="L97" s="1" t="n">
        <v>0</v>
      </c>
      <c r="M97" s="1" t="n">
        <v>-1.35</v>
      </c>
      <c r="N97" s="0" t="n">
        <v>9.58</v>
      </c>
      <c r="O97" s="0" t="n">
        <v>-1.35</v>
      </c>
    </row>
    <row r="98" customFormat="false" ht="15" hidden="false" customHeight="false" outlineLevel="0" collapsed="false">
      <c r="A98" s="1" t="n">
        <v>25</v>
      </c>
      <c r="B98" s="1" t="s">
        <v>1</v>
      </c>
      <c r="C98" s="0" t="n">
        <v>575.12</v>
      </c>
      <c r="D98" s="0" t="n">
        <v>4</v>
      </c>
      <c r="E98" s="0" t="n">
        <v>5.74</v>
      </c>
      <c r="F98" s="0" t="n">
        <v>-9.88</v>
      </c>
      <c r="G98" s="0" t="n">
        <v>-0.45</v>
      </c>
      <c r="H98" s="1" t="n">
        <v>0</v>
      </c>
      <c r="I98" s="1" t="n">
        <v>-0.45</v>
      </c>
      <c r="J98" s="0" t="n">
        <v>0</v>
      </c>
      <c r="K98" s="0" t="n">
        <v>-0.45</v>
      </c>
      <c r="L98" s="1" t="n">
        <v>0</v>
      </c>
      <c r="M98" s="1" t="n">
        <v>-0.45</v>
      </c>
      <c r="N98" s="0" t="n">
        <v>9.56</v>
      </c>
      <c r="O98" s="0" t="n">
        <v>-0.45</v>
      </c>
      <c r="P98" s="0" t="n">
        <v>18.44</v>
      </c>
      <c r="Q98" s="0" t="n">
        <v>0</v>
      </c>
    </row>
    <row r="99" customFormat="false" ht="15" hidden="false" customHeight="false" outlineLevel="0" collapsed="false">
      <c r="D99" s="0" t="n">
        <v>3</v>
      </c>
      <c r="E99" s="0" t="n">
        <v>5.56</v>
      </c>
      <c r="F99" s="0" t="n">
        <v>-9.58</v>
      </c>
      <c r="G99" s="0" t="n">
        <v>-0.75</v>
      </c>
      <c r="H99" s="1" t="n">
        <v>0</v>
      </c>
      <c r="I99" s="1" t="n">
        <v>-0.75</v>
      </c>
      <c r="J99" s="0" t="n">
        <v>0</v>
      </c>
      <c r="K99" s="0" t="n">
        <v>-0.75</v>
      </c>
      <c r="L99" s="1" t="n">
        <v>0</v>
      </c>
      <c r="M99" s="1" t="n">
        <v>-0.75</v>
      </c>
      <c r="N99" s="0" t="n">
        <v>9.26</v>
      </c>
      <c r="O99" s="0" t="n">
        <v>-0.75</v>
      </c>
    </row>
    <row r="100" customFormat="false" ht="15" hidden="false" customHeight="false" outlineLevel="0" collapsed="false">
      <c r="D100" s="0" t="n">
        <v>2</v>
      </c>
      <c r="E100" s="0" t="n">
        <v>5.38</v>
      </c>
      <c r="F100" s="0" t="n">
        <v>-9.28</v>
      </c>
      <c r="G100" s="0" t="n">
        <v>-1.05</v>
      </c>
      <c r="H100" s="1" t="n">
        <v>0</v>
      </c>
      <c r="I100" s="1" t="n">
        <v>-1.05</v>
      </c>
      <c r="J100" s="0" t="n">
        <v>0</v>
      </c>
      <c r="K100" s="0" t="n">
        <v>-1.05</v>
      </c>
      <c r="L100" s="1" t="n">
        <v>0</v>
      </c>
      <c r="M100" s="1" t="n">
        <v>-1.05</v>
      </c>
      <c r="N100" s="0" t="n">
        <v>8.96</v>
      </c>
      <c r="O100" s="0" t="n">
        <v>-1.05</v>
      </c>
    </row>
    <row r="101" customFormat="false" ht="15" hidden="false" customHeight="false" outlineLevel="0" collapsed="false">
      <c r="D101" s="0" t="n">
        <v>1</v>
      </c>
      <c r="E101" s="0" t="n">
        <v>1.75</v>
      </c>
      <c r="F101" s="0" t="n">
        <v>-8.98</v>
      </c>
      <c r="G101" s="0" t="n">
        <v>-1.35</v>
      </c>
      <c r="H101" s="1" t="n">
        <v>0</v>
      </c>
      <c r="I101" s="1" t="n">
        <v>-1.35</v>
      </c>
      <c r="J101" s="0" t="n">
        <v>0</v>
      </c>
      <c r="K101" s="0" t="n">
        <v>-1.35</v>
      </c>
      <c r="L101" s="1" t="n">
        <v>0</v>
      </c>
      <c r="M101" s="1" t="n">
        <v>-1.35</v>
      </c>
      <c r="N101" s="0" t="n">
        <v>8.66</v>
      </c>
      <c r="O101" s="0" t="n">
        <v>-1.35</v>
      </c>
    </row>
    <row r="102" customFormat="false" ht="15" hidden="false" customHeight="false" outlineLevel="0" collapsed="false">
      <c r="A102" s="1" t="n">
        <v>26</v>
      </c>
      <c r="B102" s="1" t="s">
        <v>41</v>
      </c>
      <c r="C102" s="0" t="n">
        <v>575.16</v>
      </c>
      <c r="D102" s="0" t="n">
        <v>4</v>
      </c>
      <c r="E102" s="0" t="n">
        <v>5.67</v>
      </c>
      <c r="F102" s="0" t="n">
        <v>-9.88</v>
      </c>
      <c r="G102" s="0" t="n">
        <v>-0.45</v>
      </c>
      <c r="H102" s="1" t="n">
        <v>0</v>
      </c>
      <c r="I102" s="1" t="n">
        <v>-0.45</v>
      </c>
      <c r="J102" s="0" t="n">
        <v>0</v>
      </c>
      <c r="K102" s="0" t="n">
        <v>-0.45</v>
      </c>
      <c r="L102" s="1" t="n">
        <v>0</v>
      </c>
      <c r="M102" s="1" t="n">
        <v>-0.45</v>
      </c>
      <c r="N102" s="0" t="n">
        <v>9.33</v>
      </c>
      <c r="O102" s="0" t="n">
        <v>-0.45</v>
      </c>
      <c r="P102" s="0" t="n">
        <v>18.21</v>
      </c>
      <c r="Q102" s="0" t="n">
        <v>0</v>
      </c>
    </row>
    <row r="103" customFormat="false" ht="15" hidden="false" customHeight="false" outlineLevel="0" collapsed="false">
      <c r="D103" s="0" t="n">
        <v>3</v>
      </c>
      <c r="E103" s="0" t="n">
        <v>5.49</v>
      </c>
      <c r="F103" s="0" t="n">
        <v>-9.58</v>
      </c>
      <c r="G103" s="0" t="n">
        <v>-0.75</v>
      </c>
      <c r="H103" s="1" t="n">
        <v>0</v>
      </c>
      <c r="I103" s="1" t="n">
        <v>-0.75</v>
      </c>
      <c r="J103" s="0" t="n">
        <v>0</v>
      </c>
      <c r="K103" s="0" t="n">
        <v>-0.75</v>
      </c>
      <c r="L103" s="1" t="n">
        <v>0</v>
      </c>
      <c r="M103" s="1" t="n">
        <v>-0.75</v>
      </c>
      <c r="N103" s="0" t="n">
        <v>9.03</v>
      </c>
      <c r="O103" s="0" t="n">
        <v>-0.75</v>
      </c>
    </row>
    <row r="104" customFormat="false" ht="15" hidden="false" customHeight="false" outlineLevel="0" collapsed="false">
      <c r="D104" s="0" t="n">
        <v>2</v>
      </c>
      <c r="E104" s="0" t="n">
        <v>5.31</v>
      </c>
      <c r="F104" s="0" t="n">
        <v>-9.28</v>
      </c>
      <c r="G104" s="0" t="n">
        <v>-1.05</v>
      </c>
      <c r="H104" s="1" t="n">
        <v>0</v>
      </c>
      <c r="I104" s="1" t="n">
        <v>-1.05</v>
      </c>
      <c r="J104" s="0" t="n">
        <v>0</v>
      </c>
      <c r="K104" s="0" t="n">
        <v>-1.05</v>
      </c>
      <c r="L104" s="1" t="n">
        <v>0</v>
      </c>
      <c r="M104" s="1" t="n">
        <v>-1.05</v>
      </c>
      <c r="N104" s="0" t="n">
        <v>8.73</v>
      </c>
      <c r="O104" s="0" t="n">
        <v>-1.05</v>
      </c>
    </row>
    <row r="105" customFormat="false" ht="15" hidden="false" customHeight="false" outlineLevel="0" collapsed="false">
      <c r="D105" s="0" t="n">
        <v>1</v>
      </c>
      <c r="E105" s="0" t="n">
        <v>1.73</v>
      </c>
      <c r="F105" s="0" t="n">
        <v>-8.98</v>
      </c>
      <c r="G105" s="0" t="n">
        <v>-1.35</v>
      </c>
      <c r="H105" s="1" t="n">
        <v>0</v>
      </c>
      <c r="I105" s="1" t="n">
        <v>-1.35</v>
      </c>
      <c r="J105" s="0" t="n">
        <v>0</v>
      </c>
      <c r="K105" s="0" t="n">
        <v>-1.35</v>
      </c>
      <c r="L105" s="1" t="n">
        <v>0</v>
      </c>
      <c r="M105" s="1" t="n">
        <v>-1.35</v>
      </c>
      <c r="N105" s="0" t="n">
        <v>8.43</v>
      </c>
      <c r="O105" s="0" t="n">
        <v>-1.35</v>
      </c>
    </row>
    <row r="106" customFormat="false" ht="15" hidden="false" customHeight="false" outlineLevel="0" collapsed="false">
      <c r="A106" s="1" t="n">
        <v>27</v>
      </c>
      <c r="B106" s="1" t="s">
        <v>42</v>
      </c>
      <c r="C106" s="0" t="n">
        <v>592.11</v>
      </c>
      <c r="D106" s="0" t="n">
        <v>4</v>
      </c>
      <c r="E106" s="0" t="n">
        <v>5.96</v>
      </c>
      <c r="F106" s="0" t="n">
        <v>-10.06</v>
      </c>
      <c r="G106" s="0" t="n">
        <v>-0.45</v>
      </c>
      <c r="H106" s="1" t="n">
        <v>0</v>
      </c>
      <c r="I106" s="1" t="n">
        <v>-0.45</v>
      </c>
      <c r="J106" s="0" t="n">
        <v>0</v>
      </c>
      <c r="K106" s="0" t="n">
        <v>-0.45</v>
      </c>
      <c r="L106" s="1" t="n">
        <v>0</v>
      </c>
      <c r="M106" s="1" t="n">
        <v>-0.45</v>
      </c>
      <c r="N106" s="0" t="n">
        <v>10.11</v>
      </c>
      <c r="O106" s="0" t="n">
        <v>-0.45</v>
      </c>
      <c r="P106" s="0" t="n">
        <v>19.17</v>
      </c>
      <c r="Q106" s="0" t="n">
        <v>0</v>
      </c>
    </row>
    <row r="107" customFormat="false" ht="15" hidden="false" customHeight="false" outlineLevel="0" collapsed="false">
      <c r="D107" s="0" t="n">
        <v>3</v>
      </c>
      <c r="E107" s="0" t="n">
        <v>5.78</v>
      </c>
      <c r="F107" s="0" t="n">
        <v>-9.76</v>
      </c>
      <c r="G107" s="0" t="n">
        <v>-0.75</v>
      </c>
      <c r="H107" s="1" t="n">
        <v>0</v>
      </c>
      <c r="I107" s="1" t="n">
        <v>-0.75</v>
      </c>
      <c r="J107" s="0" t="n">
        <v>0</v>
      </c>
      <c r="K107" s="0" t="n">
        <v>-0.75</v>
      </c>
      <c r="L107" s="1" t="n">
        <v>0</v>
      </c>
      <c r="M107" s="1" t="n">
        <v>-0.75</v>
      </c>
      <c r="N107" s="0" t="n">
        <v>9.81</v>
      </c>
      <c r="O107" s="0" t="n">
        <v>-0.75</v>
      </c>
    </row>
    <row r="108" customFormat="false" ht="15" hidden="false" customHeight="false" outlineLevel="0" collapsed="false">
      <c r="D108" s="0" t="n">
        <v>2</v>
      </c>
      <c r="E108" s="0" t="n">
        <v>5.6</v>
      </c>
      <c r="F108" s="0" t="n">
        <v>-9.46</v>
      </c>
      <c r="G108" s="0" t="n">
        <v>-1.05</v>
      </c>
      <c r="H108" s="1" t="n">
        <v>0</v>
      </c>
      <c r="I108" s="1" t="n">
        <v>-1.05</v>
      </c>
      <c r="J108" s="0" t="n">
        <v>0</v>
      </c>
      <c r="K108" s="0" t="n">
        <v>-1.05</v>
      </c>
      <c r="L108" s="1" t="n">
        <v>0</v>
      </c>
      <c r="M108" s="1" t="n">
        <v>-1.05</v>
      </c>
      <c r="N108" s="0" t="n">
        <v>9.51</v>
      </c>
      <c r="O108" s="0" t="n">
        <v>-1.05</v>
      </c>
    </row>
    <row r="109" customFormat="false" ht="15" hidden="false" customHeight="false" outlineLevel="0" collapsed="false">
      <c r="D109" s="0" t="n">
        <v>1</v>
      </c>
      <c r="E109" s="0" t="n">
        <v>1.83</v>
      </c>
      <c r="F109" s="0" t="n">
        <v>-9.16</v>
      </c>
      <c r="G109" s="0" t="n">
        <v>-1.35</v>
      </c>
      <c r="H109" s="1" t="n">
        <v>0</v>
      </c>
      <c r="I109" s="1" t="n">
        <v>-1.35</v>
      </c>
      <c r="J109" s="0" t="n">
        <v>0</v>
      </c>
      <c r="K109" s="0" t="n">
        <v>-1.35</v>
      </c>
      <c r="L109" s="1" t="n">
        <v>0</v>
      </c>
      <c r="M109" s="1" t="n">
        <v>-1.35</v>
      </c>
      <c r="N109" s="0" t="n">
        <v>9.21</v>
      </c>
      <c r="O109" s="0" t="n">
        <v>-1.35</v>
      </c>
    </row>
    <row r="110" customFormat="false" ht="15" hidden="false" customHeight="false" outlineLevel="0" collapsed="false">
      <c r="A110" s="1" t="n">
        <v>28</v>
      </c>
      <c r="B110" s="1" t="s">
        <v>43</v>
      </c>
      <c r="C110" s="0" t="n">
        <v>609.11</v>
      </c>
      <c r="D110" s="0" t="n">
        <v>4</v>
      </c>
      <c r="E110" s="0" t="n">
        <v>5.43</v>
      </c>
      <c r="F110" s="0" t="n">
        <v>-9.27</v>
      </c>
      <c r="G110" s="0" t="n">
        <v>-0.45</v>
      </c>
      <c r="H110" s="1" t="n">
        <v>0</v>
      </c>
      <c r="I110" s="1" t="n">
        <v>-0.45</v>
      </c>
      <c r="J110" s="0" t="n">
        <v>0</v>
      </c>
      <c r="K110" s="0" t="n">
        <v>-0.45</v>
      </c>
      <c r="L110" s="1" t="n">
        <v>0</v>
      </c>
      <c r="M110" s="1" t="n">
        <v>-0.45</v>
      </c>
      <c r="N110" s="0" t="n">
        <v>9.13</v>
      </c>
      <c r="O110" s="0" t="n">
        <v>-0.45</v>
      </c>
      <c r="P110" s="0" t="n">
        <v>17.4</v>
      </c>
      <c r="Q110" s="0" t="n">
        <v>0</v>
      </c>
    </row>
    <row r="111" customFormat="false" ht="15" hidden="false" customHeight="false" outlineLevel="0" collapsed="false">
      <c r="D111" s="0" t="n">
        <v>3</v>
      </c>
      <c r="E111" s="0" t="n">
        <v>5.25</v>
      </c>
      <c r="F111" s="0" t="n">
        <v>-8.97</v>
      </c>
      <c r="G111" s="0" t="n">
        <v>-0.75</v>
      </c>
      <c r="H111" s="1" t="n">
        <v>0</v>
      </c>
      <c r="I111" s="1" t="n">
        <v>-0.75</v>
      </c>
      <c r="J111" s="0" t="n">
        <v>0</v>
      </c>
      <c r="K111" s="0" t="n">
        <v>-0.75</v>
      </c>
      <c r="L111" s="1" t="n">
        <v>0</v>
      </c>
      <c r="M111" s="1" t="n">
        <v>-0.75</v>
      </c>
      <c r="N111" s="0" t="n">
        <v>8.83</v>
      </c>
      <c r="O111" s="0" t="n">
        <v>-0.75</v>
      </c>
    </row>
    <row r="112" customFormat="false" ht="15" hidden="false" customHeight="false" outlineLevel="0" collapsed="false">
      <c r="D112" s="0" t="n">
        <v>2</v>
      </c>
      <c r="E112" s="0" t="n">
        <v>5.07</v>
      </c>
      <c r="F112" s="0" t="n">
        <v>-8.67</v>
      </c>
      <c r="G112" s="0" t="n">
        <v>-1.05</v>
      </c>
      <c r="H112" s="1" t="n">
        <v>0</v>
      </c>
      <c r="I112" s="1" t="n">
        <v>-1.05</v>
      </c>
      <c r="J112" s="0" t="n">
        <v>0</v>
      </c>
      <c r="K112" s="0" t="n">
        <v>-1.05</v>
      </c>
      <c r="L112" s="1" t="n">
        <v>0</v>
      </c>
      <c r="M112" s="1" t="n">
        <v>-1.05</v>
      </c>
      <c r="N112" s="0" t="n">
        <v>8.53</v>
      </c>
      <c r="O112" s="0" t="n">
        <v>-1.05</v>
      </c>
    </row>
    <row r="113" customFormat="false" ht="15" hidden="false" customHeight="false" outlineLevel="0" collapsed="false">
      <c r="D113" s="0" t="n">
        <v>1</v>
      </c>
      <c r="E113" s="0" t="n">
        <v>1.65</v>
      </c>
      <c r="F113" s="0" t="n">
        <v>-8.37</v>
      </c>
      <c r="G113" s="0" t="n">
        <v>-1.35</v>
      </c>
      <c r="H113" s="1" t="n">
        <v>0</v>
      </c>
      <c r="I113" s="1" t="n">
        <v>-1.35</v>
      </c>
      <c r="J113" s="0" t="n">
        <v>0</v>
      </c>
      <c r="K113" s="0" t="n">
        <v>-1.35</v>
      </c>
      <c r="L113" s="1" t="n">
        <v>0</v>
      </c>
      <c r="M113" s="1" t="n">
        <v>-1.35</v>
      </c>
      <c r="N113" s="0" t="n">
        <v>8.23</v>
      </c>
      <c r="O113" s="0" t="n">
        <v>-1.35</v>
      </c>
    </row>
    <row r="114" customFormat="false" ht="15" hidden="false" customHeight="false" outlineLevel="0" collapsed="false">
      <c r="A114" s="1" t="n">
        <v>29</v>
      </c>
      <c r="B114" s="1" t="s">
        <v>44</v>
      </c>
      <c r="C114" s="0" t="n">
        <v>620.86</v>
      </c>
      <c r="D114" s="0" t="n">
        <v>4</v>
      </c>
      <c r="E114" s="0" t="n">
        <v>5.38</v>
      </c>
      <c r="F114" s="0" t="n">
        <v>-9.05</v>
      </c>
      <c r="G114" s="0" t="n">
        <v>-0.45</v>
      </c>
      <c r="H114" s="1" t="n">
        <v>0</v>
      </c>
      <c r="I114" s="1" t="n">
        <v>-0.45</v>
      </c>
      <c r="J114" s="0" t="n">
        <v>0</v>
      </c>
      <c r="K114" s="0" t="n">
        <v>-0.45</v>
      </c>
      <c r="L114" s="1" t="n">
        <v>0</v>
      </c>
      <c r="M114" s="1" t="n">
        <v>-0.45</v>
      </c>
      <c r="N114" s="0" t="n">
        <v>9.19</v>
      </c>
      <c r="O114" s="0" t="n">
        <v>-0.45</v>
      </c>
      <c r="P114" s="0" t="n">
        <v>17.24</v>
      </c>
      <c r="Q114" s="0" t="n">
        <v>0</v>
      </c>
    </row>
    <row r="115" customFormat="false" ht="15" hidden="false" customHeight="false" outlineLevel="0" collapsed="false">
      <c r="D115" s="0" t="n">
        <v>3</v>
      </c>
      <c r="E115" s="0" t="n">
        <v>5.2</v>
      </c>
      <c r="F115" s="0" t="n">
        <v>-8.75</v>
      </c>
      <c r="G115" s="0" t="n">
        <v>-0.75</v>
      </c>
      <c r="H115" s="1" t="n">
        <v>0</v>
      </c>
      <c r="I115" s="1" t="n">
        <v>-0.75</v>
      </c>
      <c r="J115" s="0" t="n">
        <v>0</v>
      </c>
      <c r="K115" s="0" t="n">
        <v>-0.75</v>
      </c>
      <c r="L115" s="1" t="n">
        <v>0</v>
      </c>
      <c r="M115" s="1" t="n">
        <v>-0.75</v>
      </c>
      <c r="N115" s="0" t="n">
        <v>8.89</v>
      </c>
      <c r="O115" s="0" t="n">
        <v>-0.75</v>
      </c>
    </row>
    <row r="116" customFormat="false" ht="15" hidden="false" customHeight="false" outlineLevel="0" collapsed="false">
      <c r="D116" s="0" t="n">
        <v>2</v>
      </c>
      <c r="E116" s="0" t="n">
        <v>5.02</v>
      </c>
      <c r="F116" s="0" t="n">
        <v>-8.45</v>
      </c>
      <c r="G116" s="0" t="n">
        <v>-1.05</v>
      </c>
      <c r="H116" s="1" t="n">
        <v>0</v>
      </c>
      <c r="I116" s="1" t="n">
        <v>-1.05</v>
      </c>
      <c r="J116" s="0" t="n">
        <v>0</v>
      </c>
      <c r="K116" s="0" t="n">
        <v>-1.05</v>
      </c>
      <c r="L116" s="1" t="n">
        <v>0</v>
      </c>
      <c r="M116" s="1" t="n">
        <v>-1.05</v>
      </c>
      <c r="N116" s="0" t="n">
        <v>8.59</v>
      </c>
      <c r="O116" s="0" t="n">
        <v>-1.05</v>
      </c>
    </row>
    <row r="117" customFormat="false" ht="15" hidden="false" customHeight="false" outlineLevel="0" collapsed="false">
      <c r="D117" s="0" t="n">
        <v>1</v>
      </c>
      <c r="E117" s="0" t="n">
        <v>1.63</v>
      </c>
      <c r="F117" s="0" t="n">
        <v>-8.15</v>
      </c>
      <c r="G117" s="0" t="n">
        <v>-1.35</v>
      </c>
      <c r="H117" s="1" t="n">
        <v>0</v>
      </c>
      <c r="I117" s="1" t="n">
        <v>-1.35</v>
      </c>
      <c r="J117" s="0" t="n">
        <v>0</v>
      </c>
      <c r="K117" s="0" t="n">
        <v>-1.35</v>
      </c>
      <c r="L117" s="1" t="n">
        <v>0</v>
      </c>
      <c r="M117" s="1" t="n">
        <v>-1.35</v>
      </c>
      <c r="N117" s="0" t="n">
        <v>8.29</v>
      </c>
      <c r="O117" s="0" t="n">
        <v>-1.35</v>
      </c>
    </row>
    <row r="118" customFormat="false" ht="15" hidden="false" customHeight="false" outlineLevel="0" collapsed="false">
      <c r="A118" s="1" t="n">
        <v>30</v>
      </c>
      <c r="B118" s="1" t="s">
        <v>45</v>
      </c>
      <c r="C118" s="0" t="n">
        <v>632.61</v>
      </c>
      <c r="D118" s="0" t="n">
        <v>4</v>
      </c>
      <c r="E118" s="0" t="n">
        <v>5.84</v>
      </c>
      <c r="F118" s="0" t="n">
        <v>-9.78</v>
      </c>
      <c r="G118" s="0" t="n">
        <v>-0.45</v>
      </c>
      <c r="H118" s="1" t="n">
        <v>0</v>
      </c>
      <c r="I118" s="1" t="n">
        <v>-0.45</v>
      </c>
      <c r="J118" s="0" t="n">
        <v>0</v>
      </c>
      <c r="K118" s="0" t="n">
        <v>-0.45</v>
      </c>
      <c r="L118" s="1" t="n">
        <v>0</v>
      </c>
      <c r="M118" s="1" t="n">
        <v>-0.45</v>
      </c>
      <c r="N118" s="0" t="n">
        <v>9.96</v>
      </c>
      <c r="O118" s="0" t="n">
        <v>-0.45</v>
      </c>
      <c r="P118" s="0" t="n">
        <v>18.79</v>
      </c>
      <c r="Q118" s="0" t="n">
        <v>0</v>
      </c>
    </row>
    <row r="119" customFormat="false" ht="15" hidden="false" customHeight="false" outlineLevel="0" collapsed="false">
      <c r="D119" s="0" t="n">
        <v>3</v>
      </c>
      <c r="E119" s="0" t="n">
        <v>5.66</v>
      </c>
      <c r="F119" s="0" t="n">
        <v>-9.48</v>
      </c>
      <c r="G119" s="0" t="n">
        <v>-0.75</v>
      </c>
      <c r="H119" s="1" t="n">
        <v>0</v>
      </c>
      <c r="I119" s="1" t="n">
        <v>-0.75</v>
      </c>
      <c r="J119" s="0" t="n">
        <v>0</v>
      </c>
      <c r="K119" s="0" t="n">
        <v>-0.75</v>
      </c>
      <c r="L119" s="1" t="n">
        <v>0</v>
      </c>
      <c r="M119" s="1" t="n">
        <v>-0.75</v>
      </c>
      <c r="N119" s="0" t="n">
        <v>9.69</v>
      </c>
      <c r="O119" s="0" t="n">
        <v>-0.75</v>
      </c>
    </row>
    <row r="120" customFormat="false" ht="15" hidden="false" customHeight="false" outlineLevel="0" collapsed="false">
      <c r="D120" s="0" t="n">
        <v>2</v>
      </c>
      <c r="E120" s="0" t="n">
        <v>5.49</v>
      </c>
      <c r="F120" s="0" t="n">
        <v>-9.18</v>
      </c>
      <c r="G120" s="0" t="n">
        <v>-1.05</v>
      </c>
      <c r="H120" s="1" t="n">
        <v>0</v>
      </c>
      <c r="I120" s="1" t="n">
        <v>-1.05</v>
      </c>
      <c r="J120" s="0" t="n">
        <v>0</v>
      </c>
      <c r="K120" s="0" t="n">
        <v>-1.05</v>
      </c>
      <c r="L120" s="1" t="n">
        <v>0</v>
      </c>
      <c r="M120" s="1" t="n">
        <v>-1.05</v>
      </c>
      <c r="N120" s="0" t="n">
        <v>9.42</v>
      </c>
      <c r="O120" s="0" t="n">
        <v>-1.05</v>
      </c>
    </row>
    <row r="121" customFormat="false" ht="15" hidden="false" customHeight="false" outlineLevel="0" collapsed="false">
      <c r="D121" s="0" t="n">
        <v>1</v>
      </c>
      <c r="E121" s="0" t="n">
        <v>1.79</v>
      </c>
      <c r="F121" s="0" t="n">
        <v>-8.88</v>
      </c>
      <c r="G121" s="0" t="n">
        <v>-1.35</v>
      </c>
      <c r="H121" s="1" t="n">
        <v>0</v>
      </c>
      <c r="I121" s="1" t="n">
        <v>-1.35</v>
      </c>
      <c r="J121" s="0" t="n">
        <v>0</v>
      </c>
      <c r="K121" s="0" t="n">
        <v>-1.35</v>
      </c>
      <c r="L121" s="1" t="n">
        <v>0</v>
      </c>
      <c r="M121" s="1" t="n">
        <v>-1.35</v>
      </c>
      <c r="N121" s="0" t="n">
        <v>9.15</v>
      </c>
      <c r="O121" s="0" t="n">
        <v>-1.35</v>
      </c>
    </row>
    <row r="122" customFormat="false" ht="15" hidden="false" customHeight="false" outlineLevel="0" collapsed="false">
      <c r="A122" s="1" t="n">
        <v>31</v>
      </c>
      <c r="B122" s="1" t="s">
        <v>46</v>
      </c>
      <c r="C122" s="0" t="n">
        <v>652.61</v>
      </c>
      <c r="D122" s="0" t="n">
        <v>4</v>
      </c>
      <c r="E122" s="0" t="n">
        <v>6.2</v>
      </c>
      <c r="F122" s="0" t="n">
        <v>-10.49</v>
      </c>
      <c r="G122" s="0" t="n">
        <v>-0.45</v>
      </c>
      <c r="H122" s="1" t="n">
        <v>0</v>
      </c>
      <c r="I122" s="1" t="n">
        <v>-0.45</v>
      </c>
      <c r="J122" s="0" t="n">
        <v>0</v>
      </c>
      <c r="K122" s="0" t="n">
        <v>-0.45</v>
      </c>
      <c r="L122" s="1" t="n">
        <v>0</v>
      </c>
      <c r="M122" s="1" t="n">
        <v>-0.45</v>
      </c>
      <c r="N122" s="0" t="n">
        <v>10.47</v>
      </c>
      <c r="O122" s="0" t="n">
        <v>-0.45</v>
      </c>
      <c r="P122" s="0" t="n">
        <v>19.95</v>
      </c>
      <c r="Q122" s="0" t="n">
        <v>0</v>
      </c>
    </row>
    <row r="123" customFormat="false" ht="15" hidden="false" customHeight="false" outlineLevel="0" collapsed="false">
      <c r="D123" s="0" t="n">
        <v>3</v>
      </c>
      <c r="E123" s="0" t="n">
        <v>6.02</v>
      </c>
      <c r="F123" s="0" t="n">
        <v>-10.19</v>
      </c>
      <c r="G123" s="0" t="n">
        <v>-0.75</v>
      </c>
      <c r="H123" s="1" t="n">
        <v>0</v>
      </c>
      <c r="I123" s="1" t="n">
        <v>-0.75</v>
      </c>
      <c r="J123" s="0" t="n">
        <v>0</v>
      </c>
      <c r="K123" s="0" t="n">
        <v>-0.75</v>
      </c>
      <c r="L123" s="1" t="n">
        <v>0</v>
      </c>
      <c r="M123" s="1" t="n">
        <v>-0.75</v>
      </c>
      <c r="N123" s="0" t="n">
        <v>10.17</v>
      </c>
      <c r="O123" s="0" t="n">
        <v>-0.75</v>
      </c>
    </row>
    <row r="124" customFormat="false" ht="15" hidden="false" customHeight="false" outlineLevel="0" collapsed="false">
      <c r="D124" s="0" t="n">
        <v>2</v>
      </c>
      <c r="E124" s="0" t="n">
        <v>5.84</v>
      </c>
      <c r="F124" s="0" t="n">
        <v>-9.89</v>
      </c>
      <c r="G124" s="0" t="n">
        <v>-1.05</v>
      </c>
      <c r="H124" s="1" t="n">
        <v>0</v>
      </c>
      <c r="I124" s="1" t="n">
        <v>-1.05</v>
      </c>
      <c r="J124" s="0" t="n">
        <v>0</v>
      </c>
      <c r="K124" s="0" t="n">
        <v>-1.05</v>
      </c>
      <c r="L124" s="1" t="n">
        <v>0</v>
      </c>
      <c r="M124" s="1" t="n">
        <v>-1.05</v>
      </c>
      <c r="N124" s="0" t="n">
        <v>9.87</v>
      </c>
      <c r="O124" s="0" t="n">
        <v>-1.05</v>
      </c>
    </row>
    <row r="125" customFormat="false" ht="15" hidden="false" customHeight="false" outlineLevel="0" collapsed="false">
      <c r="D125" s="0" t="n">
        <v>1</v>
      </c>
      <c r="E125" s="0" t="n">
        <v>1.91</v>
      </c>
      <c r="F125" s="0" t="n">
        <v>-9.59</v>
      </c>
      <c r="G125" s="0" t="n">
        <v>-1.35</v>
      </c>
      <c r="H125" s="1" t="n">
        <v>0</v>
      </c>
      <c r="I125" s="1" t="n">
        <v>-1.35</v>
      </c>
      <c r="J125" s="0" t="n">
        <v>0</v>
      </c>
      <c r="K125" s="0" t="n">
        <v>-1.35</v>
      </c>
      <c r="L125" s="1" t="n">
        <v>0</v>
      </c>
      <c r="M125" s="1" t="n">
        <v>-1.35</v>
      </c>
      <c r="N125" s="0" t="n">
        <v>9.57</v>
      </c>
      <c r="O125" s="0" t="n">
        <v>-1.35</v>
      </c>
    </row>
    <row r="126" customFormat="false" ht="15" hidden="false" customHeight="false" outlineLevel="0" collapsed="false">
      <c r="A126" s="1" t="n">
        <v>32</v>
      </c>
      <c r="B126" s="1" t="s">
        <v>47</v>
      </c>
      <c r="C126" s="0" t="n">
        <v>672.61</v>
      </c>
      <c r="D126" s="0" t="n">
        <v>4</v>
      </c>
      <c r="E126" s="0" t="n">
        <v>5.7</v>
      </c>
      <c r="F126" s="0" t="n">
        <v>-9.63</v>
      </c>
      <c r="G126" s="0" t="n">
        <v>-0.45</v>
      </c>
      <c r="H126" s="1" t="n">
        <v>0</v>
      </c>
      <c r="I126" s="1" t="n">
        <v>-0.45</v>
      </c>
      <c r="J126" s="0" t="n">
        <v>0</v>
      </c>
      <c r="K126" s="0" t="n">
        <v>-0.45</v>
      </c>
      <c r="L126" s="1" t="n">
        <v>0</v>
      </c>
      <c r="M126" s="1" t="n">
        <v>-0.45</v>
      </c>
      <c r="N126" s="0" t="n">
        <v>9.67</v>
      </c>
      <c r="O126" s="0" t="n">
        <v>-0.45</v>
      </c>
      <c r="P126" s="0" t="n">
        <v>18.91</v>
      </c>
      <c r="Q126" s="0" t="n">
        <v>0</v>
      </c>
    </row>
    <row r="127" customFormat="false" ht="15" hidden="false" customHeight="false" outlineLevel="0" collapsed="false">
      <c r="D127" s="0" t="n">
        <v>3</v>
      </c>
      <c r="E127" s="0" t="n">
        <v>5.52</v>
      </c>
      <c r="F127" s="0" t="n">
        <v>-9.33</v>
      </c>
      <c r="G127" s="0" t="n">
        <v>-0.75</v>
      </c>
      <c r="H127" s="1" t="n">
        <v>0</v>
      </c>
      <c r="I127" s="1" t="n">
        <v>-0.75</v>
      </c>
      <c r="J127" s="0" t="n">
        <v>0</v>
      </c>
      <c r="K127" s="0" t="n">
        <v>-0.75</v>
      </c>
      <c r="L127" s="1" t="n">
        <v>0</v>
      </c>
      <c r="M127" s="1" t="n">
        <v>-0.75</v>
      </c>
      <c r="N127" s="0" t="n">
        <v>9.37</v>
      </c>
      <c r="O127" s="0" t="n">
        <v>-0.75</v>
      </c>
    </row>
    <row r="128" customFormat="false" ht="15" hidden="false" customHeight="false" outlineLevel="0" collapsed="false">
      <c r="D128" s="0" t="n">
        <v>2</v>
      </c>
      <c r="E128" s="0" t="n">
        <v>5.34</v>
      </c>
      <c r="F128" s="0" t="n">
        <v>-9.03</v>
      </c>
      <c r="G128" s="0" t="n">
        <v>-1.05</v>
      </c>
      <c r="H128" s="1" t="n">
        <v>0</v>
      </c>
      <c r="I128" s="1" t="n">
        <v>-1.05</v>
      </c>
      <c r="J128" s="0" t="n">
        <v>0</v>
      </c>
      <c r="K128" s="0" t="n">
        <v>-1.05</v>
      </c>
      <c r="L128" s="1" t="n">
        <v>0</v>
      </c>
      <c r="M128" s="1" t="n">
        <v>-1.05</v>
      </c>
      <c r="N128" s="0" t="n">
        <v>9.07</v>
      </c>
      <c r="O128" s="0" t="n">
        <v>-1.05</v>
      </c>
    </row>
    <row r="129" customFormat="false" ht="15" hidden="false" customHeight="false" outlineLevel="0" collapsed="false">
      <c r="D129" s="0" t="n">
        <v>1</v>
      </c>
      <c r="E129" s="0" t="n">
        <v>2.35</v>
      </c>
      <c r="F129" s="0" t="n">
        <v>-8.73</v>
      </c>
      <c r="G129" s="0" t="n">
        <v>-1.35</v>
      </c>
      <c r="H129" s="1" t="n">
        <v>0</v>
      </c>
      <c r="I129" s="1" t="n">
        <v>-1.35</v>
      </c>
      <c r="J129" s="0" t="n">
        <v>0</v>
      </c>
      <c r="K129" s="0" t="n">
        <v>-1.35</v>
      </c>
      <c r="L129" s="1" t="n">
        <v>0</v>
      </c>
      <c r="M129" s="1" t="n">
        <v>-1.35</v>
      </c>
      <c r="N129" s="0" t="n">
        <v>8.77</v>
      </c>
      <c r="O129" s="0" t="n">
        <v>-1.35</v>
      </c>
    </row>
    <row r="130" customFormat="false" ht="15" hidden="false" customHeight="false" outlineLevel="0" collapsed="false">
      <c r="A130" s="1" t="n">
        <v>33</v>
      </c>
      <c r="B130" s="1" t="s">
        <v>48</v>
      </c>
      <c r="C130" s="0" t="n">
        <v>692.61</v>
      </c>
      <c r="D130" s="0" t="n">
        <v>4</v>
      </c>
      <c r="E130" s="0" t="n">
        <v>6.22</v>
      </c>
      <c r="F130" s="0" t="n">
        <v>-10.54</v>
      </c>
      <c r="G130" s="0" t="n">
        <v>-0.45</v>
      </c>
      <c r="H130" s="1" t="n">
        <v>0</v>
      </c>
      <c r="I130" s="1" t="n">
        <v>-0.45</v>
      </c>
      <c r="J130" s="0" t="n">
        <v>0</v>
      </c>
      <c r="K130" s="0" t="n">
        <v>-0.45</v>
      </c>
      <c r="L130" s="1" t="n">
        <v>0</v>
      </c>
      <c r="M130" s="1" t="n">
        <v>-0.45</v>
      </c>
      <c r="N130" s="0" t="n">
        <v>10.49</v>
      </c>
      <c r="O130" s="0" t="n">
        <v>-0.45</v>
      </c>
      <c r="P130" s="0" t="n">
        <v>20.03</v>
      </c>
      <c r="Q130" s="0" t="n">
        <v>0</v>
      </c>
    </row>
    <row r="131" customFormat="false" ht="15" hidden="false" customHeight="false" outlineLevel="0" collapsed="false">
      <c r="D131" s="0" t="n">
        <v>3</v>
      </c>
      <c r="E131" s="0" t="n">
        <v>6.04</v>
      </c>
      <c r="F131" s="0" t="n">
        <v>-10.24</v>
      </c>
      <c r="G131" s="0" t="n">
        <v>-0.75</v>
      </c>
      <c r="H131" s="1" t="n">
        <v>0</v>
      </c>
      <c r="I131" s="1" t="n">
        <v>-0.75</v>
      </c>
      <c r="J131" s="0" t="n">
        <v>0</v>
      </c>
      <c r="K131" s="0" t="n">
        <v>-0.75</v>
      </c>
      <c r="L131" s="1" t="n">
        <v>0</v>
      </c>
      <c r="M131" s="1" t="n">
        <v>-0.75</v>
      </c>
      <c r="N131" s="0" t="n">
        <v>10.19</v>
      </c>
      <c r="O131" s="0" t="n">
        <v>-0.75</v>
      </c>
    </row>
    <row r="132" customFormat="false" ht="15" hidden="false" customHeight="false" outlineLevel="0" collapsed="false">
      <c r="D132" s="0" t="n">
        <v>2</v>
      </c>
      <c r="E132" s="0" t="n">
        <v>5.86</v>
      </c>
      <c r="F132" s="0" t="n">
        <v>-9.94</v>
      </c>
      <c r="G132" s="0" t="n">
        <v>-1.05</v>
      </c>
      <c r="H132" s="1" t="n">
        <v>0</v>
      </c>
      <c r="I132" s="1" t="n">
        <v>-1.05</v>
      </c>
      <c r="J132" s="0" t="n">
        <v>0</v>
      </c>
      <c r="K132" s="0" t="n">
        <v>-1.05</v>
      </c>
      <c r="L132" s="1" t="n">
        <v>0</v>
      </c>
      <c r="M132" s="1" t="n">
        <v>-1.05</v>
      </c>
      <c r="N132" s="0" t="n">
        <v>9.89</v>
      </c>
      <c r="O132" s="0" t="n">
        <v>-1.05</v>
      </c>
    </row>
    <row r="133" customFormat="false" ht="15" hidden="false" customHeight="false" outlineLevel="0" collapsed="false">
      <c r="D133" s="0" t="n">
        <v>1</v>
      </c>
      <c r="E133" s="0" t="n">
        <v>1.91</v>
      </c>
      <c r="F133" s="0" t="n">
        <v>-9.64</v>
      </c>
      <c r="G133" s="0" t="n">
        <v>-1.35</v>
      </c>
      <c r="H133" s="1" t="n">
        <v>0</v>
      </c>
      <c r="I133" s="1" t="n">
        <v>-1.35</v>
      </c>
      <c r="J133" s="0" t="n">
        <v>0</v>
      </c>
      <c r="K133" s="0" t="n">
        <v>-1.35</v>
      </c>
      <c r="L133" s="1" t="n">
        <v>0</v>
      </c>
      <c r="M133" s="1" t="n">
        <v>-1.35</v>
      </c>
      <c r="N133" s="0" t="n">
        <v>9.59</v>
      </c>
      <c r="O133" s="0" t="n">
        <v>-1.35</v>
      </c>
    </row>
    <row r="134" customFormat="false" ht="15" hidden="false" customHeight="false" outlineLevel="0" collapsed="false">
      <c r="A134" s="1" t="n">
        <v>34</v>
      </c>
      <c r="B134" s="1" t="s">
        <v>49</v>
      </c>
      <c r="C134" s="0" t="n">
        <v>712.61</v>
      </c>
      <c r="D134" s="0" t="n">
        <v>4</v>
      </c>
      <c r="E134" s="0" t="n">
        <v>4.77</v>
      </c>
      <c r="F134" s="0" t="n">
        <v>-6.25</v>
      </c>
      <c r="G134" s="0" t="n">
        <v>-0.45</v>
      </c>
      <c r="H134" s="1" t="n">
        <v>0</v>
      </c>
      <c r="I134" s="1" t="n">
        <v>-0.45</v>
      </c>
      <c r="J134" s="0" t="n">
        <v>0</v>
      </c>
      <c r="K134" s="0" t="n">
        <v>-0.45</v>
      </c>
      <c r="L134" s="1" t="n">
        <v>0</v>
      </c>
      <c r="M134" s="1" t="n">
        <v>-0.45</v>
      </c>
      <c r="N134" s="0" t="n">
        <v>9.95</v>
      </c>
      <c r="O134" s="0" t="n">
        <v>-0.45</v>
      </c>
      <c r="P134" s="0" t="n">
        <v>15.2</v>
      </c>
      <c r="Q134" s="0" t="n">
        <v>0</v>
      </c>
    </row>
    <row r="135" customFormat="false" ht="15" hidden="false" customHeight="false" outlineLevel="0" collapsed="false">
      <c r="D135" s="0" t="n">
        <v>3</v>
      </c>
      <c r="E135" s="0" t="n">
        <v>4.59</v>
      </c>
      <c r="F135" s="0" t="n">
        <v>-5.95</v>
      </c>
      <c r="G135" s="0" t="n">
        <v>-0.75</v>
      </c>
      <c r="H135" s="1" t="n">
        <v>0</v>
      </c>
      <c r="I135" s="1" t="n">
        <v>-0.75</v>
      </c>
      <c r="J135" s="0" t="n">
        <v>0</v>
      </c>
      <c r="K135" s="0" t="n">
        <v>-0.75</v>
      </c>
      <c r="L135" s="1" t="n">
        <v>0</v>
      </c>
      <c r="M135" s="1" t="n">
        <v>-0.75</v>
      </c>
      <c r="N135" s="0" t="n">
        <v>9.65</v>
      </c>
      <c r="O135" s="0" t="n">
        <v>-0.75</v>
      </c>
    </row>
    <row r="136" customFormat="false" ht="15" hidden="false" customHeight="false" outlineLevel="0" collapsed="false">
      <c r="D136" s="0" t="n">
        <v>2</v>
      </c>
      <c r="E136" s="0" t="n">
        <v>4.41</v>
      </c>
      <c r="F136" s="0" t="n">
        <v>-5.65</v>
      </c>
      <c r="G136" s="0" t="n">
        <v>-1.05</v>
      </c>
      <c r="H136" s="1" t="n">
        <v>0</v>
      </c>
      <c r="I136" s="1" t="n">
        <v>-1.05</v>
      </c>
      <c r="J136" s="0" t="n">
        <v>0</v>
      </c>
      <c r="K136" s="0" t="n">
        <v>-1.05</v>
      </c>
      <c r="L136" s="1" t="n">
        <v>0</v>
      </c>
      <c r="M136" s="1" t="n">
        <v>-1.05</v>
      </c>
      <c r="N136" s="0" t="n">
        <v>9.35</v>
      </c>
      <c r="O136" s="0" t="n">
        <v>-1.05</v>
      </c>
    </row>
    <row r="137" customFormat="false" ht="15" hidden="false" customHeight="false" outlineLevel="0" collapsed="false">
      <c r="D137" s="0" t="n">
        <v>1</v>
      </c>
      <c r="E137" s="0" t="n">
        <v>1.43</v>
      </c>
      <c r="F137" s="0" t="n">
        <v>-5.35</v>
      </c>
      <c r="G137" s="0" t="n">
        <v>-1.35</v>
      </c>
      <c r="H137" s="1" t="n">
        <v>0</v>
      </c>
      <c r="I137" s="1" t="n">
        <v>-1.35</v>
      </c>
      <c r="J137" s="0" t="n">
        <v>0</v>
      </c>
      <c r="K137" s="0" t="n">
        <v>-1.35</v>
      </c>
      <c r="L137" s="1" t="n">
        <v>0</v>
      </c>
      <c r="M137" s="1" t="n">
        <v>-1.35</v>
      </c>
      <c r="N137" s="0" t="n">
        <v>9.05</v>
      </c>
      <c r="O137" s="0" t="n">
        <v>-1.35</v>
      </c>
    </row>
    <row r="138" customFormat="false" ht="15" hidden="false" customHeight="false" outlineLevel="0" collapsed="false">
      <c r="A138" s="1" t="n">
        <v>35</v>
      </c>
      <c r="B138" s="1" t="s">
        <v>50</v>
      </c>
      <c r="C138" s="0" t="n">
        <v>724.11</v>
      </c>
      <c r="D138" s="0" t="n">
        <v>4</v>
      </c>
      <c r="E138" s="0" t="n">
        <v>6.74</v>
      </c>
      <c r="F138" s="0" t="n">
        <v>-15.4</v>
      </c>
      <c r="G138" s="0" t="n">
        <v>-0.45</v>
      </c>
      <c r="H138" s="1" t="n">
        <v>0</v>
      </c>
      <c r="I138" s="1" t="n">
        <v>-0.45</v>
      </c>
      <c r="J138" s="0" t="n">
        <v>0</v>
      </c>
      <c r="K138" s="0" t="n">
        <v>-0.45</v>
      </c>
      <c r="L138" s="1" t="n">
        <v>0</v>
      </c>
      <c r="M138" s="1" t="n">
        <v>-0.45</v>
      </c>
      <c r="N138" s="0" t="n">
        <v>9.24</v>
      </c>
      <c r="O138" s="0" t="n">
        <v>-0.45</v>
      </c>
      <c r="P138" s="0" t="n">
        <v>20.18</v>
      </c>
      <c r="Q138" s="0" t="n">
        <v>0</v>
      </c>
    </row>
    <row r="139" customFormat="false" ht="15" hidden="false" customHeight="false" outlineLevel="0" collapsed="false">
      <c r="D139" s="0" t="n">
        <v>3</v>
      </c>
      <c r="E139" s="0" t="n">
        <v>5.88</v>
      </c>
      <c r="F139" s="0" t="n">
        <v>-10.95</v>
      </c>
      <c r="G139" s="0" t="n">
        <v>-0.75</v>
      </c>
      <c r="H139" s="1" t="n">
        <v>0</v>
      </c>
      <c r="I139" s="1" t="n">
        <v>-0.75</v>
      </c>
      <c r="J139" s="0" t="n">
        <v>0</v>
      </c>
      <c r="K139" s="0" t="n">
        <v>-0.75</v>
      </c>
      <c r="L139" s="1" t="n">
        <v>0</v>
      </c>
      <c r="M139" s="1" t="n">
        <v>-0.75</v>
      </c>
      <c r="N139" s="0" t="n">
        <v>8.94</v>
      </c>
      <c r="O139" s="0" t="n">
        <v>-0.75</v>
      </c>
    </row>
    <row r="140" customFormat="false" ht="15" hidden="false" customHeight="false" outlineLevel="0" collapsed="false">
      <c r="D140" s="0" t="n">
        <v>2</v>
      </c>
      <c r="E140" s="0" t="n">
        <v>5.7</v>
      </c>
      <c r="F140" s="0" t="n">
        <v>-10.65</v>
      </c>
      <c r="G140" s="0" t="n">
        <v>-1.05</v>
      </c>
      <c r="H140" s="1" t="n">
        <v>0</v>
      </c>
      <c r="I140" s="1" t="n">
        <v>-1.05</v>
      </c>
      <c r="J140" s="0" t="n">
        <v>0</v>
      </c>
      <c r="K140" s="0" t="n">
        <v>-1.05</v>
      </c>
      <c r="L140" s="1" t="n">
        <v>0</v>
      </c>
      <c r="M140" s="1" t="n">
        <v>-1.05</v>
      </c>
      <c r="N140" s="0" t="n">
        <v>8.64</v>
      </c>
      <c r="O140" s="0" t="n">
        <v>-1.05</v>
      </c>
    </row>
    <row r="141" customFormat="false" ht="15" hidden="false" customHeight="false" outlineLevel="0" collapsed="false">
      <c r="D141" s="0" t="n">
        <v>1</v>
      </c>
      <c r="E141" s="0" t="n">
        <v>1.86</v>
      </c>
      <c r="F141" s="0" t="n">
        <v>-10.35</v>
      </c>
      <c r="G141" s="0" t="n">
        <v>-1.35</v>
      </c>
      <c r="H141" s="1" t="n">
        <v>0</v>
      </c>
      <c r="I141" s="1" t="n">
        <v>-1.35</v>
      </c>
      <c r="J141" s="0" t="n">
        <v>0</v>
      </c>
      <c r="K141" s="0" t="n">
        <v>-1.35</v>
      </c>
      <c r="L141" s="1" t="n">
        <v>0</v>
      </c>
      <c r="M141" s="1" t="n">
        <v>-1.35</v>
      </c>
      <c r="N141" s="0" t="n">
        <v>8.34</v>
      </c>
      <c r="O141" s="0" t="n">
        <v>-1.35</v>
      </c>
    </row>
    <row r="142" customFormat="false" ht="15" hidden="false" customHeight="false" outlineLevel="0" collapsed="false">
      <c r="A142" s="1" t="n">
        <v>36</v>
      </c>
      <c r="B142" s="1" t="s">
        <v>51</v>
      </c>
      <c r="C142" s="0" t="n">
        <v>737.36</v>
      </c>
      <c r="D142" s="0" t="n">
        <v>4</v>
      </c>
      <c r="E142" s="0" t="n">
        <v>5.69</v>
      </c>
      <c r="F142" s="0" t="n">
        <v>-9.58</v>
      </c>
      <c r="G142" s="0" t="n">
        <v>-0.45</v>
      </c>
      <c r="H142" s="1" t="n">
        <v>0</v>
      </c>
      <c r="I142" s="1" t="n">
        <v>-0.45</v>
      </c>
      <c r="J142" s="0" t="n">
        <v>0</v>
      </c>
      <c r="K142" s="0" t="n">
        <v>-0.45</v>
      </c>
      <c r="L142" s="1" t="n">
        <v>0</v>
      </c>
      <c r="M142" s="1" t="n">
        <v>-0.45</v>
      </c>
      <c r="N142" s="0" t="n">
        <v>9.7</v>
      </c>
      <c r="O142" s="0" t="n">
        <v>-0.45</v>
      </c>
      <c r="P142" s="0" t="n">
        <v>18.63</v>
      </c>
      <c r="Q142" s="0" t="n">
        <v>0</v>
      </c>
    </row>
    <row r="143" customFormat="false" ht="15" hidden="false" customHeight="false" outlineLevel="0" collapsed="false">
      <c r="D143" s="0" t="n">
        <v>3</v>
      </c>
      <c r="E143" s="0" t="n">
        <v>5.51</v>
      </c>
      <c r="F143" s="0" t="n">
        <v>-9.28</v>
      </c>
      <c r="G143" s="0" t="n">
        <v>-0.75</v>
      </c>
      <c r="H143" s="1" t="n">
        <v>0</v>
      </c>
      <c r="I143" s="1" t="n">
        <v>-0.75</v>
      </c>
      <c r="J143" s="0" t="n">
        <v>0</v>
      </c>
      <c r="K143" s="0" t="n">
        <v>-0.75</v>
      </c>
      <c r="L143" s="1" t="n">
        <v>0</v>
      </c>
      <c r="M143" s="1" t="n">
        <v>-0.75</v>
      </c>
      <c r="N143" s="0" t="n">
        <v>9.4</v>
      </c>
      <c r="O143" s="0" t="n">
        <v>-0.75</v>
      </c>
    </row>
    <row r="144" customFormat="false" ht="15" hidden="false" customHeight="false" outlineLevel="0" collapsed="false">
      <c r="D144" s="0" t="n">
        <v>2</v>
      </c>
      <c r="E144" s="0" t="n">
        <v>5.33</v>
      </c>
      <c r="F144" s="0" t="n">
        <v>-8.98</v>
      </c>
      <c r="G144" s="0" t="n">
        <v>-1.05</v>
      </c>
      <c r="H144" s="1" t="n">
        <v>0</v>
      </c>
      <c r="I144" s="1" t="n">
        <v>-1.05</v>
      </c>
      <c r="J144" s="0" t="n">
        <v>0</v>
      </c>
      <c r="K144" s="0" t="n">
        <v>-1.05</v>
      </c>
      <c r="L144" s="1" t="n">
        <v>0</v>
      </c>
      <c r="M144" s="1" t="n">
        <v>-1.05</v>
      </c>
      <c r="N144" s="0" t="n">
        <v>9.1</v>
      </c>
      <c r="O144" s="0" t="n">
        <v>-1.05</v>
      </c>
    </row>
    <row r="145" customFormat="false" ht="15" hidden="false" customHeight="false" outlineLevel="0" collapsed="false">
      <c r="D145" s="0" t="n">
        <v>1</v>
      </c>
      <c r="E145" s="0" t="n">
        <v>2.09</v>
      </c>
      <c r="F145" s="0" t="n">
        <v>-8.68</v>
      </c>
      <c r="G145" s="0" t="n">
        <v>-1.35</v>
      </c>
      <c r="H145" s="1" t="n">
        <v>0</v>
      </c>
      <c r="I145" s="1" t="n">
        <v>-1.35</v>
      </c>
      <c r="J145" s="0" t="n">
        <v>0</v>
      </c>
      <c r="K145" s="0" t="n">
        <v>-1.35</v>
      </c>
      <c r="L145" s="1" t="n">
        <v>0</v>
      </c>
      <c r="M145" s="1" t="n">
        <v>-1.35</v>
      </c>
      <c r="N145" s="0" t="n">
        <v>8.8</v>
      </c>
      <c r="O145" s="0" t="n">
        <v>-1.35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56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58</v>
      </c>
      <c r="C7" s="8"/>
      <c r="D7" s="8"/>
      <c r="E7" s="8"/>
      <c r="F7" s="8"/>
      <c r="G7" s="8" t="s">
        <v>59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61</v>
      </c>
      <c r="B21" s="10" t="s">
        <v>62</v>
      </c>
      <c r="C21" s="10" t="s">
        <v>63</v>
      </c>
      <c r="D21" s="11" t="s">
        <v>64</v>
      </c>
      <c r="E21" s="11"/>
      <c r="F21" s="11"/>
      <c r="G21" s="11"/>
      <c r="H21" s="11"/>
      <c r="I21" s="11"/>
      <c r="J21" s="11" t="s">
        <v>65</v>
      </c>
      <c r="K21" s="11"/>
      <c r="L21" s="11"/>
      <c r="M21" s="11" t="s">
        <v>66</v>
      </c>
      <c r="N21" s="11"/>
      <c r="O21" s="11"/>
      <c r="P21" s="11"/>
      <c r="Q21" s="11"/>
      <c r="R21" s="11"/>
      <c r="S21" s="10" t="s">
        <v>67</v>
      </c>
    </row>
    <row r="22" customFormat="false" ht="30" hidden="false" customHeight="true" outlineLevel="0" collapsed="false">
      <c r="A22" s="10"/>
      <c r="B22" s="10"/>
      <c r="C22" s="10"/>
      <c r="D22" s="12" t="s">
        <v>68</v>
      </c>
      <c r="E22" s="12" t="s">
        <v>69</v>
      </c>
      <c r="F22" s="12" t="s">
        <v>70</v>
      </c>
      <c r="G22" s="12" t="s">
        <v>71</v>
      </c>
      <c r="H22" s="12" t="s">
        <v>72</v>
      </c>
      <c r="I22" s="12" t="s">
        <v>73</v>
      </c>
      <c r="J22" s="12" t="s">
        <v>71</v>
      </c>
      <c r="K22" s="12" t="s">
        <v>72</v>
      </c>
      <c r="L22" s="12" t="s">
        <v>73</v>
      </c>
      <c r="M22" s="12" t="s">
        <v>68</v>
      </c>
      <c r="N22" s="12" t="s">
        <v>69</v>
      </c>
      <c r="O22" s="12" t="s">
        <v>70</v>
      </c>
      <c r="P22" s="12" t="s">
        <v>71</v>
      </c>
      <c r="Q22" s="12" t="s">
        <v>72</v>
      </c>
      <c r="R22" s="12" t="s">
        <v>73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211</v>
      </c>
      <c r="D23" s="17" t="n">
        <f aca="false">+Chạy!F5</f>
        <v>-9.2</v>
      </c>
      <c r="E23" s="17" t="n">
        <f aca="false">+D23+F23</f>
        <v>-9.2074</v>
      </c>
      <c r="F23" s="17" t="n">
        <f aca="false">RANDBETWEEN(-105,115)/10000</f>
        <v>-0.0074</v>
      </c>
      <c r="G23" s="17" t="n">
        <f aca="false">+Chạy!G5</f>
        <v>-1.35</v>
      </c>
      <c r="H23" s="17" t="n">
        <f aca="false">G23+I23</f>
        <v>-1.28</v>
      </c>
      <c r="I23" s="17" t="n">
        <f aca="false">RANDBETWEEN(-30,90)/1000</f>
        <v>0.07</v>
      </c>
      <c r="J23" s="17" t="n">
        <f aca="false">+Chạy!K5</f>
        <v>-1.35</v>
      </c>
      <c r="K23" s="17" t="n">
        <f aca="false">J23+L23</f>
        <v>-1.296</v>
      </c>
      <c r="L23" s="17" t="n">
        <f aca="false">RANDBETWEEN(-30,90)/1000</f>
        <v>0.054</v>
      </c>
      <c r="M23" s="17" t="n">
        <f aca="false">+Chạy!N5</f>
        <v>5.35</v>
      </c>
      <c r="N23" s="17" t="n">
        <f aca="false">+M23+O23</f>
        <v>5.3397</v>
      </c>
      <c r="O23" s="17" t="n">
        <f aca="false">RANDBETWEEN(-105,115)/10000</f>
        <v>-0.0103</v>
      </c>
      <c r="P23" s="17" t="n">
        <f aca="false">+Chạy!O5</f>
        <v>-1.35</v>
      </c>
      <c r="Q23" s="17" t="n">
        <f aca="false">P23+R23</f>
        <v>-1.3</v>
      </c>
      <c r="R23" s="17" t="n">
        <f aca="false">RANDBETWEEN(-30,90)/1000</f>
        <v>0.05</v>
      </c>
      <c r="S23" s="18"/>
      <c r="T23" s="19" t="n">
        <v>13.25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224.25</v>
      </c>
      <c r="D24" s="17" t="n">
        <f aca="false">+Chạy!F9</f>
        <v>-9.25</v>
      </c>
      <c r="E24" s="17" t="n">
        <f aca="false">+D24+F24</f>
        <v>-9.25</v>
      </c>
      <c r="F24" s="17" t="n">
        <f aca="false">RANDBETWEEN(-105,115)/10000</f>
        <v>0</v>
      </c>
      <c r="G24" s="17" t="n">
        <f aca="false">+Chạy!G9</f>
        <v>-1.35</v>
      </c>
      <c r="H24" s="17" t="n">
        <f aca="false">G24+I24</f>
        <v>-1.286</v>
      </c>
      <c r="I24" s="17" t="n">
        <f aca="false">RANDBETWEEN(-30,90)/1000</f>
        <v>0.064</v>
      </c>
      <c r="J24" s="17" t="n">
        <f aca="false">+Chạy!K9</f>
        <v>-1.35</v>
      </c>
      <c r="K24" s="17" t="n">
        <f aca="false">J24+L24</f>
        <v>-1.295</v>
      </c>
      <c r="L24" s="17" t="n">
        <f aca="false">RANDBETWEEN(-30,90)/1000</f>
        <v>0.055</v>
      </c>
      <c r="M24" s="17" t="n">
        <f aca="false">+Chạy!N9</f>
        <v>5.6</v>
      </c>
      <c r="N24" s="17" t="n">
        <f aca="false">+M24+O24</f>
        <v>5.5953</v>
      </c>
      <c r="O24" s="17" t="n">
        <f aca="false">RANDBETWEEN(-105,115)/10000</f>
        <v>-0.0047</v>
      </c>
      <c r="P24" s="17" t="n">
        <f aca="false">+Chạy!O9</f>
        <v>-1.35</v>
      </c>
      <c r="Q24" s="17" t="n">
        <f aca="false">P24+R24</f>
        <v>-1.365</v>
      </c>
      <c r="R24" s="17" t="n">
        <f aca="false">RANDBETWEEN(-30,90)/1000</f>
        <v>-0.015</v>
      </c>
      <c r="S24" s="18"/>
      <c r="T24" s="19" t="n">
        <v>21.5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245.75</v>
      </c>
      <c r="D25" s="17" t="n">
        <f aca="false">+Chạy!F13</f>
        <v>-5.35</v>
      </c>
      <c r="E25" s="17" t="n">
        <f aca="false">+D25+F25</f>
        <v>-5.3447</v>
      </c>
      <c r="F25" s="17" t="n">
        <f aca="false">RANDBETWEEN(-105,115)/10000</f>
        <v>0.0053</v>
      </c>
      <c r="G25" s="17" t="n">
        <f aca="false">+Chạy!G13</f>
        <v>-1.35</v>
      </c>
      <c r="H25" s="17" t="n">
        <f aca="false">G25+I25</f>
        <v>-1.331</v>
      </c>
      <c r="I25" s="17" t="n">
        <f aca="false">RANDBETWEEN(-30,90)/1000</f>
        <v>0.019</v>
      </c>
      <c r="J25" s="17" t="n">
        <f aca="false">+Chạy!K13</f>
        <v>-1.35</v>
      </c>
      <c r="K25" s="17" t="n">
        <f aca="false">J25+L25</f>
        <v>-1.359</v>
      </c>
      <c r="L25" s="17" t="n">
        <f aca="false">RANDBETWEEN(-30,90)/1000</f>
        <v>-0.009</v>
      </c>
      <c r="M25" s="17" t="n">
        <f aca="false">+Chạy!N13</f>
        <v>5.35</v>
      </c>
      <c r="N25" s="17" t="n">
        <f aca="false">+M25+O25</f>
        <v>5.3444</v>
      </c>
      <c r="O25" s="17" t="n">
        <f aca="false">RANDBETWEEN(-105,115)/10000</f>
        <v>-0.0056</v>
      </c>
      <c r="P25" s="17" t="n">
        <f aca="false">+Chạy!O13</f>
        <v>-1.35</v>
      </c>
      <c r="Q25" s="17" t="n">
        <f aca="false">P25+R25</f>
        <v>-1.35</v>
      </c>
      <c r="R25" s="17" t="n">
        <f aca="false">RANDBETWEEN(-30,90)/1000</f>
        <v>0</v>
      </c>
      <c r="S25" s="18"/>
      <c r="T25" s="19" t="n">
        <v>11.75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257.5</v>
      </c>
      <c r="D26" s="17" t="n">
        <f aca="false">+Chạy!F17</f>
        <v>-5.35</v>
      </c>
      <c r="E26" s="17" t="n">
        <f aca="false">+D26+F26</f>
        <v>-5.3577</v>
      </c>
      <c r="F26" s="17" t="n">
        <f aca="false">RANDBETWEEN(-105,115)/10000</f>
        <v>-0.0077</v>
      </c>
      <c r="G26" s="17" t="n">
        <f aca="false">+Chạy!G17</f>
        <v>-1.35</v>
      </c>
      <c r="H26" s="17" t="n">
        <f aca="false">G26+I26</f>
        <v>-1.294</v>
      </c>
      <c r="I26" s="17" t="n">
        <f aca="false">RANDBETWEEN(-30,90)/1000</f>
        <v>0.056</v>
      </c>
      <c r="J26" s="17" t="n">
        <f aca="false">+Chạy!K17</f>
        <v>-1.35</v>
      </c>
      <c r="K26" s="17" t="n">
        <f aca="false">J26+L26</f>
        <v>-1.368</v>
      </c>
      <c r="L26" s="17" t="n">
        <f aca="false">RANDBETWEEN(-30,90)/1000</f>
        <v>-0.018</v>
      </c>
      <c r="M26" s="17" t="n">
        <f aca="false">+Chạy!N17</f>
        <v>5.35</v>
      </c>
      <c r="N26" s="17" t="n">
        <f aca="false">+M26+O26</f>
        <v>5.3396</v>
      </c>
      <c r="O26" s="17" t="n">
        <f aca="false">RANDBETWEEN(-105,115)/10000</f>
        <v>-0.0104</v>
      </c>
      <c r="P26" s="17" t="n">
        <f aca="false">+Chạy!O17</f>
        <v>-1.35</v>
      </c>
      <c r="Q26" s="17" t="n">
        <f aca="false">P26+R26</f>
        <v>-1.357</v>
      </c>
      <c r="R26" s="17" t="n">
        <f aca="false">RANDBETWEEN(-30,90)/1000</f>
        <v>-0.007</v>
      </c>
      <c r="S26" s="18"/>
      <c r="T26" s="19" t="n">
        <v>11.75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269.25</v>
      </c>
      <c r="D27" s="17" t="n">
        <f aca="false">+Chạy!F21</f>
        <v>-5.35</v>
      </c>
      <c r="E27" s="17" t="n">
        <f aca="false">+D27+F27</f>
        <v>-5.3594</v>
      </c>
      <c r="F27" s="17" t="n">
        <f aca="false">RANDBETWEEN(-105,115)/10000</f>
        <v>-0.0094</v>
      </c>
      <c r="G27" s="17" t="n">
        <f aca="false">+Chạy!G21</f>
        <v>-1.35</v>
      </c>
      <c r="H27" s="17" t="n">
        <f aca="false">G27+I27</f>
        <v>-1.28</v>
      </c>
      <c r="I27" s="17" t="n">
        <f aca="false">RANDBETWEEN(-30,90)/1000</f>
        <v>0.07</v>
      </c>
      <c r="J27" s="17" t="n">
        <f aca="false">+Chạy!K21</f>
        <v>-1.35</v>
      </c>
      <c r="K27" s="17" t="n">
        <f aca="false">J27+L27</f>
        <v>-1.345</v>
      </c>
      <c r="L27" s="17" t="n">
        <f aca="false">RANDBETWEEN(-30,90)/1000</f>
        <v>0.005</v>
      </c>
      <c r="M27" s="17" t="n">
        <f aca="false">+Chạy!N21</f>
        <v>5.35</v>
      </c>
      <c r="N27" s="17" t="n">
        <f aca="false">+M27+O27</f>
        <v>5.345</v>
      </c>
      <c r="O27" s="17" t="n">
        <f aca="false">RANDBETWEEN(-105,115)/10000</f>
        <v>-0.005</v>
      </c>
      <c r="P27" s="17" t="n">
        <f aca="false">+Chạy!O21</f>
        <v>-1.35</v>
      </c>
      <c r="Q27" s="17" t="n">
        <f aca="false">P27+R27</f>
        <v>-1.336</v>
      </c>
      <c r="R27" s="17" t="n">
        <f aca="false">RANDBETWEEN(-30,90)/1000</f>
        <v>0.014</v>
      </c>
      <c r="S27" s="18"/>
      <c r="T27" s="19" t="n">
        <v>20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289.25</v>
      </c>
      <c r="D28" s="17" t="n">
        <f aca="false">+Chạy!F25</f>
        <v>-5.35</v>
      </c>
      <c r="E28" s="17" t="n">
        <f aca="false">+D28+F28</f>
        <v>-5.356</v>
      </c>
      <c r="F28" s="17" t="n">
        <f aca="false">RANDBETWEEN(-105,115)/10000</f>
        <v>-0.006</v>
      </c>
      <c r="G28" s="17" t="n">
        <f aca="false">+Chạy!G25</f>
        <v>-1.35</v>
      </c>
      <c r="H28" s="17" t="n">
        <f aca="false">G28+I28</f>
        <v>-1.34</v>
      </c>
      <c r="I28" s="17" t="n">
        <f aca="false">RANDBETWEEN(-30,90)/1000</f>
        <v>0.01</v>
      </c>
      <c r="J28" s="17" t="n">
        <f aca="false">+Chạy!K25</f>
        <v>-1.35</v>
      </c>
      <c r="K28" s="17" t="n">
        <f aca="false">J28+L28</f>
        <v>-1.289</v>
      </c>
      <c r="L28" s="17" t="n">
        <f aca="false">RANDBETWEEN(-30,90)/1000</f>
        <v>0.061</v>
      </c>
      <c r="M28" s="17" t="n">
        <f aca="false">+Chạy!N25</f>
        <v>5.35</v>
      </c>
      <c r="N28" s="17" t="n">
        <f aca="false">+M28+O28</f>
        <v>5.3444</v>
      </c>
      <c r="O28" s="17" t="n">
        <f aca="false">RANDBETWEEN(-105,115)/10000</f>
        <v>-0.0056</v>
      </c>
      <c r="P28" s="17" t="n">
        <f aca="false">+Chạy!O25</f>
        <v>-1.35</v>
      </c>
      <c r="Q28" s="17" t="n">
        <f aca="false">P28+R28</f>
        <v>-1.38</v>
      </c>
      <c r="R28" s="17" t="n">
        <f aca="false">RANDBETWEEN(-30,90)/1000</f>
        <v>-0.03</v>
      </c>
      <c r="S28" s="18"/>
      <c r="T28" s="19" t="n">
        <v>20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309.25</v>
      </c>
      <c r="D29" s="17" t="n">
        <f aca="false">+Chạy!F29</f>
        <v>-5.35</v>
      </c>
      <c r="E29" s="17" t="n">
        <f aca="false">+D29+F29</f>
        <v>-5.3581</v>
      </c>
      <c r="F29" s="17" t="n">
        <f aca="false">RANDBETWEEN(-105,115)/10000</f>
        <v>-0.0081</v>
      </c>
      <c r="G29" s="17" t="n">
        <f aca="false">+Chạy!G29</f>
        <v>-1.35</v>
      </c>
      <c r="H29" s="17" t="n">
        <f aca="false">G29+I29</f>
        <v>-1.261</v>
      </c>
      <c r="I29" s="17" t="n">
        <f aca="false">RANDBETWEEN(-30,90)/1000</f>
        <v>0.089</v>
      </c>
      <c r="J29" s="17" t="n">
        <f aca="false">+Chạy!K29</f>
        <v>-1.35</v>
      </c>
      <c r="K29" s="17" t="n">
        <f aca="false">J29+L29</f>
        <v>-1.273</v>
      </c>
      <c r="L29" s="17" t="n">
        <f aca="false">RANDBETWEEN(-30,90)/1000</f>
        <v>0.077</v>
      </c>
      <c r="M29" s="17" t="n">
        <f aca="false">+Chạy!N29</f>
        <v>5.35</v>
      </c>
      <c r="N29" s="17" t="n">
        <f aca="false">+M29+O29</f>
        <v>5.3464</v>
      </c>
      <c r="O29" s="17" t="n">
        <f aca="false">RANDBETWEEN(-105,115)/10000</f>
        <v>-0.0036</v>
      </c>
      <c r="P29" s="17" t="n">
        <f aca="false">+Chạy!O29</f>
        <v>-1.35</v>
      </c>
      <c r="Q29" s="17" t="n">
        <f aca="false">P29+R29</f>
        <v>-1.335</v>
      </c>
      <c r="R29" s="17" t="n">
        <f aca="false">RANDBETWEEN(-30,90)/1000</f>
        <v>0.015</v>
      </c>
      <c r="S29" s="18"/>
      <c r="T29" s="19" t="n">
        <v>20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329.25</v>
      </c>
      <c r="D30" s="17" t="n">
        <f aca="false">+Chạy!F33</f>
        <v>-5.35</v>
      </c>
      <c r="E30" s="17" t="n">
        <f aca="false">+D30+F30</f>
        <v>-5.3426</v>
      </c>
      <c r="F30" s="17" t="n">
        <f aca="false">RANDBETWEEN(-105,115)/10000</f>
        <v>0.0074</v>
      </c>
      <c r="G30" s="17" t="n">
        <f aca="false">+Chạy!G33</f>
        <v>-1.35</v>
      </c>
      <c r="H30" s="17" t="n">
        <f aca="false">G30+I30</f>
        <v>-1.34</v>
      </c>
      <c r="I30" s="17" t="n">
        <f aca="false">RANDBETWEEN(-30,90)/1000</f>
        <v>0.01</v>
      </c>
      <c r="J30" s="17" t="n">
        <f aca="false">+Chạy!K33</f>
        <v>-1.35</v>
      </c>
      <c r="K30" s="17" t="n">
        <f aca="false">J30+L30</f>
        <v>-1.31</v>
      </c>
      <c r="L30" s="17" t="n">
        <f aca="false">RANDBETWEEN(-30,90)/1000</f>
        <v>0.04</v>
      </c>
      <c r="M30" s="17" t="n">
        <f aca="false">+Chạy!N33</f>
        <v>5.35</v>
      </c>
      <c r="N30" s="17" t="n">
        <f aca="false">+M30+O30</f>
        <v>5.343</v>
      </c>
      <c r="O30" s="17" t="n">
        <f aca="false">RANDBETWEEN(-105,115)/10000</f>
        <v>-0.007</v>
      </c>
      <c r="P30" s="17" t="n">
        <f aca="false">+Chạy!O33</f>
        <v>-1.35</v>
      </c>
      <c r="Q30" s="17" t="n">
        <f aca="false">P30+R30</f>
        <v>-1.357</v>
      </c>
      <c r="R30" s="17" t="n">
        <f aca="false">RANDBETWEEN(-30,90)/1000</f>
        <v>-0.007</v>
      </c>
      <c r="S30" s="18"/>
      <c r="T30" s="19" t="n">
        <v>20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349.25</v>
      </c>
      <c r="D31" s="17" t="n">
        <f aca="false">+Chạy!F37</f>
        <v>-5.35</v>
      </c>
      <c r="E31" s="17" t="n">
        <f aca="false">+D31+F31</f>
        <v>-5.3555</v>
      </c>
      <c r="F31" s="17" t="n">
        <f aca="false">RANDBETWEEN(-105,115)/10000</f>
        <v>-0.0055</v>
      </c>
      <c r="G31" s="17" t="n">
        <f aca="false">+Chạy!G37</f>
        <v>-1.35</v>
      </c>
      <c r="H31" s="17" t="n">
        <f aca="false">G31+I31</f>
        <v>-1.292</v>
      </c>
      <c r="I31" s="17" t="n">
        <f aca="false">RANDBETWEEN(-30,90)/1000</f>
        <v>0.058</v>
      </c>
      <c r="J31" s="17" t="n">
        <f aca="false">+Chạy!K37</f>
        <v>-1.35</v>
      </c>
      <c r="K31" s="17" t="n">
        <f aca="false">J31+L31</f>
        <v>-1.297</v>
      </c>
      <c r="L31" s="17" t="n">
        <f aca="false">RANDBETWEEN(-30,90)/1000</f>
        <v>0.053</v>
      </c>
      <c r="M31" s="17" t="n">
        <f aca="false">+Chạy!N37</f>
        <v>5.35</v>
      </c>
      <c r="N31" s="17" t="n">
        <f aca="false">+M31+O31</f>
        <v>5.3471</v>
      </c>
      <c r="O31" s="17" t="n">
        <f aca="false">RANDBETWEEN(-105,115)/10000</f>
        <v>-0.0029</v>
      </c>
      <c r="P31" s="17" t="n">
        <f aca="false">+Chạy!O37</f>
        <v>-1.35</v>
      </c>
      <c r="Q31" s="17" t="n">
        <f aca="false">P31+R31</f>
        <v>-1.288</v>
      </c>
      <c r="R31" s="17" t="n">
        <f aca="false">RANDBETWEEN(-30,90)/1000</f>
        <v>0.062</v>
      </c>
      <c r="S31" s="18"/>
      <c r="T31" s="19" t="n">
        <v>19</v>
      </c>
    </row>
    <row r="32" customFormat="false" ht="15" hidden="false" customHeight="false" outlineLevel="0" collapsed="false">
      <c r="A32" s="14" t="n">
        <v>10</v>
      </c>
      <c r="B32" s="15" t="s">
        <v>26</v>
      </c>
      <c r="C32" s="16" t="n">
        <f aca="false">+C31+T31</f>
        <v>368.25</v>
      </c>
      <c r="D32" s="17" t="n">
        <f aca="false">+Chạy!F41</f>
        <v>-9.03</v>
      </c>
      <c r="E32" s="17" t="n">
        <f aca="false">+D32+F32</f>
        <v>-9.0229</v>
      </c>
      <c r="F32" s="17" t="n">
        <f aca="false">RANDBETWEEN(-105,115)/10000</f>
        <v>0.0071</v>
      </c>
      <c r="G32" s="17" t="n">
        <f aca="false">+Chạy!G41</f>
        <v>-1.35</v>
      </c>
      <c r="H32" s="17" t="n">
        <f aca="false">G32+I32</f>
        <v>-1.368</v>
      </c>
      <c r="I32" s="17" t="n">
        <f aca="false">RANDBETWEEN(-30,90)/1000</f>
        <v>-0.018</v>
      </c>
      <c r="J32" s="17" t="n">
        <f aca="false">+Chạy!K41</f>
        <v>-1.35</v>
      </c>
      <c r="K32" s="17" t="n">
        <f aca="false">J32+L32</f>
        <v>-1.343</v>
      </c>
      <c r="L32" s="17" t="n">
        <f aca="false">RANDBETWEEN(-30,90)/1000</f>
        <v>0.007</v>
      </c>
      <c r="M32" s="17" t="n">
        <f aca="false">+Chạy!N41</f>
        <v>5.35</v>
      </c>
      <c r="N32" s="17" t="n">
        <f aca="false">+M32+O32</f>
        <v>5.3609</v>
      </c>
      <c r="O32" s="17" t="n">
        <f aca="false">RANDBETWEEN(-105,115)/10000</f>
        <v>0.0109</v>
      </c>
      <c r="P32" s="17" t="n">
        <f aca="false">+Chạy!O41</f>
        <v>-1.35</v>
      </c>
      <c r="Q32" s="17" t="n">
        <f aca="false">P32+R32</f>
        <v>-1.346</v>
      </c>
      <c r="R32" s="17" t="n">
        <f aca="false">RANDBETWEEN(-30,90)/1000</f>
        <v>0.004</v>
      </c>
      <c r="S32" s="18"/>
      <c r="T32" s="19" t="n">
        <v>13.25</v>
      </c>
    </row>
    <row r="33" customFormat="false" ht="15" hidden="false" customHeight="false" outlineLevel="0" collapsed="false">
      <c r="A33" s="14" t="n">
        <v>11</v>
      </c>
      <c r="B33" s="15" t="s">
        <v>27</v>
      </c>
      <c r="C33" s="16" t="n">
        <f aca="false">+C32+T32</f>
        <v>381.5</v>
      </c>
      <c r="D33" s="17" t="n">
        <f aca="false">+Chạy!F45</f>
        <v>-9.29</v>
      </c>
      <c r="E33" s="17" t="n">
        <f aca="false">+D33+F33</f>
        <v>-9.3002</v>
      </c>
      <c r="F33" s="17" t="n">
        <f aca="false">RANDBETWEEN(-105,115)/10000</f>
        <v>-0.0102</v>
      </c>
      <c r="G33" s="17" t="n">
        <f aca="false">+Chạy!G45</f>
        <v>-1.35</v>
      </c>
      <c r="H33" s="17" t="n">
        <f aca="false">G33+I33</f>
        <v>-1.265</v>
      </c>
      <c r="I33" s="17" t="n">
        <f aca="false">RANDBETWEEN(-30,90)/1000</f>
        <v>0.085</v>
      </c>
      <c r="J33" s="17" t="n">
        <f aca="false">+Chạy!K45</f>
        <v>-1.35</v>
      </c>
      <c r="K33" s="17" t="n">
        <f aca="false">J33+L33</f>
        <v>-1.352</v>
      </c>
      <c r="L33" s="17" t="n">
        <f aca="false">RANDBETWEEN(-30,90)/1000</f>
        <v>-0.002</v>
      </c>
      <c r="M33" s="17" t="n">
        <f aca="false">+Chạy!N45</f>
        <v>9.12</v>
      </c>
      <c r="N33" s="17" t="n">
        <f aca="false">+M33+O33</f>
        <v>9.1215</v>
      </c>
      <c r="O33" s="17" t="n">
        <f aca="false">RANDBETWEEN(-105,115)/10000</f>
        <v>0.0015</v>
      </c>
      <c r="P33" s="17" t="n">
        <f aca="false">+Chạy!O45</f>
        <v>-1.35</v>
      </c>
      <c r="Q33" s="17" t="n">
        <f aca="false">P33+R33</f>
        <v>-1.298</v>
      </c>
      <c r="R33" s="17" t="n">
        <f aca="false">RANDBETWEEN(-30,90)/1000</f>
        <v>0.052</v>
      </c>
      <c r="S33" s="18"/>
      <c r="T33" s="19" t="n">
        <v>13.25</v>
      </c>
    </row>
    <row r="34" customFormat="false" ht="15" hidden="false" customHeight="false" outlineLevel="0" collapsed="false">
      <c r="A34" s="14" t="n">
        <v>12</v>
      </c>
      <c r="B34" s="15" t="s">
        <v>28</v>
      </c>
      <c r="C34" s="16" t="n">
        <f aca="false">+C33+T33</f>
        <v>394.75</v>
      </c>
      <c r="D34" s="17" t="n">
        <f aca="false">+Chạy!F49</f>
        <v>-8.96</v>
      </c>
      <c r="E34" s="17" t="n">
        <f aca="false">+D34+F34</f>
        <v>-8.9518</v>
      </c>
      <c r="F34" s="17" t="n">
        <f aca="false">RANDBETWEEN(-105,115)/10000</f>
        <v>0.0082</v>
      </c>
      <c r="G34" s="17" t="n">
        <f aca="false">+Chạy!G49</f>
        <v>-1.35</v>
      </c>
      <c r="H34" s="17" t="n">
        <f aca="false">G34+I34</f>
        <v>-1.278</v>
      </c>
      <c r="I34" s="17" t="n">
        <f aca="false">RANDBETWEEN(-30,90)/1000</f>
        <v>0.072</v>
      </c>
      <c r="J34" s="17" t="n">
        <f aca="false">+Chạy!K49</f>
        <v>-1.35</v>
      </c>
      <c r="K34" s="17" t="n">
        <f aca="false">J34+L34</f>
        <v>-1.378</v>
      </c>
      <c r="L34" s="17" t="n">
        <f aca="false">RANDBETWEEN(-30,90)/1000</f>
        <v>-0.028</v>
      </c>
      <c r="M34" s="17" t="n">
        <f aca="false">+Chạy!N49</f>
        <v>9.09</v>
      </c>
      <c r="N34" s="17" t="n">
        <f aca="false">+M34+O34</f>
        <v>9.0979</v>
      </c>
      <c r="O34" s="17" t="n">
        <f aca="false">RANDBETWEEN(-105,115)/10000</f>
        <v>0.0079</v>
      </c>
      <c r="P34" s="17" t="n">
        <f aca="false">+Chạy!O49</f>
        <v>-1.35</v>
      </c>
      <c r="Q34" s="17" t="n">
        <f aca="false">P34+R34</f>
        <v>-1.342</v>
      </c>
      <c r="R34" s="17" t="n">
        <f aca="false">RANDBETWEEN(-30,90)/1000</f>
        <v>0.008</v>
      </c>
      <c r="S34" s="18"/>
      <c r="T34" s="19" t="n">
        <v>20</v>
      </c>
    </row>
    <row r="35" customFormat="false" ht="15" hidden="false" customHeight="false" outlineLevel="0" collapsed="false">
      <c r="A35" s="14" t="n">
        <v>13</v>
      </c>
      <c r="B35" s="15" t="s">
        <v>29</v>
      </c>
      <c r="C35" s="16" t="n">
        <f aca="false">+C34+T34</f>
        <v>414.75</v>
      </c>
      <c r="D35" s="17" t="n">
        <f aca="false">+Chạy!F53</f>
        <v>-9.01</v>
      </c>
      <c r="E35" s="17" t="n">
        <f aca="false">+D35+F35</f>
        <v>-9.0143</v>
      </c>
      <c r="F35" s="17" t="n">
        <f aca="false">RANDBETWEEN(-105,115)/10000</f>
        <v>-0.0043</v>
      </c>
      <c r="G35" s="17" t="n">
        <f aca="false">+Chạy!G53</f>
        <v>-1.35</v>
      </c>
      <c r="H35" s="17" t="n">
        <f aca="false">G35+I35</f>
        <v>-1.297</v>
      </c>
      <c r="I35" s="17" t="n">
        <f aca="false">RANDBETWEEN(-30,90)/1000</f>
        <v>0.053</v>
      </c>
      <c r="J35" s="17" t="n">
        <f aca="false">+Chạy!K53</f>
        <v>-1.35</v>
      </c>
      <c r="K35" s="17" t="n">
        <f aca="false">J35+L35</f>
        <v>-1.358</v>
      </c>
      <c r="L35" s="17" t="n">
        <f aca="false">RANDBETWEEN(-30,90)/1000</f>
        <v>-0.008</v>
      </c>
      <c r="M35" s="17" t="n">
        <f aca="false">+Chạy!N53</f>
        <v>9.15</v>
      </c>
      <c r="N35" s="17" t="n">
        <f aca="false">+M35+O35</f>
        <v>9.1571</v>
      </c>
      <c r="O35" s="17" t="n">
        <f aca="false">RANDBETWEEN(-105,115)/10000</f>
        <v>0.0071</v>
      </c>
      <c r="P35" s="17" t="n">
        <f aca="false">+Chạy!O53</f>
        <v>-1.35</v>
      </c>
      <c r="Q35" s="17" t="n">
        <f aca="false">P35+R35</f>
        <v>-1.321</v>
      </c>
      <c r="R35" s="17" t="n">
        <f aca="false">RANDBETWEEN(-30,90)/1000</f>
        <v>0.029</v>
      </c>
      <c r="S35" s="18"/>
      <c r="T35" s="19" t="n">
        <v>20</v>
      </c>
    </row>
    <row r="36" customFormat="false" ht="15" hidden="false" customHeight="false" outlineLevel="0" collapsed="false">
      <c r="A36" s="14" t="n">
        <v>14</v>
      </c>
      <c r="B36" s="15" t="s">
        <v>30</v>
      </c>
      <c r="C36" s="16" t="n">
        <f aca="false">+C35+T35</f>
        <v>434.75</v>
      </c>
      <c r="D36" s="17" t="n">
        <f aca="false">+Chạy!F57</f>
        <v>-8.94</v>
      </c>
      <c r="E36" s="17" t="n">
        <f aca="false">+D36+F36</f>
        <v>-8.9396</v>
      </c>
      <c r="F36" s="17" t="n">
        <f aca="false">RANDBETWEEN(-105,115)/10000</f>
        <v>0.0004</v>
      </c>
      <c r="G36" s="17" t="n">
        <f aca="false">+Chạy!G57</f>
        <v>-1.35</v>
      </c>
      <c r="H36" s="17" t="n">
        <f aca="false">G36+I36</f>
        <v>-1.292</v>
      </c>
      <c r="I36" s="17" t="n">
        <f aca="false">RANDBETWEEN(-30,90)/1000</f>
        <v>0.058</v>
      </c>
      <c r="J36" s="17" t="n">
        <f aca="false">+Chạy!K57</f>
        <v>-1.35</v>
      </c>
      <c r="K36" s="17" t="n">
        <f aca="false">J36+L36</f>
        <v>-1.304</v>
      </c>
      <c r="L36" s="17" t="n">
        <f aca="false">RANDBETWEEN(-30,90)/1000</f>
        <v>0.046</v>
      </c>
      <c r="M36" s="17" t="n">
        <f aca="false">+Chạy!N57</f>
        <v>8.86</v>
      </c>
      <c r="N36" s="17" t="n">
        <f aca="false">+M36+O36</f>
        <v>8.8632</v>
      </c>
      <c r="O36" s="17" t="n">
        <f aca="false">RANDBETWEEN(-105,115)/10000</f>
        <v>0.0032</v>
      </c>
      <c r="P36" s="17" t="n">
        <f aca="false">+Chạy!O57</f>
        <v>-1.35</v>
      </c>
      <c r="Q36" s="17" t="n">
        <f aca="false">P36+R36</f>
        <v>-1.351</v>
      </c>
      <c r="R36" s="17" t="n">
        <f aca="false">RANDBETWEEN(-30,90)/1000</f>
        <v>-0.001</v>
      </c>
      <c r="S36" s="18"/>
      <c r="T36" s="19" t="n">
        <v>20</v>
      </c>
    </row>
    <row r="37" customFormat="false" ht="15" hidden="false" customHeight="false" outlineLevel="0" collapsed="false">
      <c r="A37" s="14" t="n">
        <v>15</v>
      </c>
      <c r="B37" s="15" t="s">
        <v>31</v>
      </c>
      <c r="C37" s="16" t="n">
        <f aca="false">+C36+T36</f>
        <v>454.75</v>
      </c>
      <c r="D37" s="17" t="n">
        <f aca="false">+Chạy!F61</f>
        <v>-8.15</v>
      </c>
      <c r="E37" s="17" t="n">
        <f aca="false">+D37+F37</f>
        <v>-8.1406</v>
      </c>
      <c r="F37" s="17" t="n">
        <f aca="false">RANDBETWEEN(-105,115)/10000</f>
        <v>0.0094</v>
      </c>
      <c r="G37" s="17" t="n">
        <f aca="false">+Chạy!G61</f>
        <v>-1.35</v>
      </c>
      <c r="H37" s="17" t="n">
        <f aca="false">G37+I37</f>
        <v>-1.321</v>
      </c>
      <c r="I37" s="17" t="n">
        <f aca="false">RANDBETWEEN(-30,90)/1000</f>
        <v>0.029</v>
      </c>
      <c r="J37" s="17" t="n">
        <f aca="false">+Chạy!K61</f>
        <v>-1.35</v>
      </c>
      <c r="K37" s="17" t="n">
        <f aca="false">J37+L37</f>
        <v>-1.282</v>
      </c>
      <c r="L37" s="17" t="n">
        <f aca="false">RANDBETWEEN(-30,90)/1000</f>
        <v>0.068</v>
      </c>
      <c r="M37" s="17" t="n">
        <f aca="false">+Chạy!N61</f>
        <v>8.49</v>
      </c>
      <c r="N37" s="17" t="n">
        <f aca="false">+M37+O37</f>
        <v>8.495</v>
      </c>
      <c r="O37" s="17" t="n">
        <f aca="false">RANDBETWEEN(-105,115)/10000</f>
        <v>0.005</v>
      </c>
      <c r="P37" s="17" t="n">
        <f aca="false">+Chạy!O61</f>
        <v>-1.35</v>
      </c>
      <c r="Q37" s="17" t="n">
        <f aca="false">P37+R37</f>
        <v>-1.279</v>
      </c>
      <c r="R37" s="17" t="n">
        <f aca="false">RANDBETWEEN(-30,90)/1000</f>
        <v>0.071</v>
      </c>
      <c r="S37" s="18"/>
      <c r="T37" s="19" t="n">
        <v>20</v>
      </c>
    </row>
    <row r="38" customFormat="false" ht="15" hidden="false" customHeight="false" outlineLevel="0" collapsed="false">
      <c r="A38" s="14" t="n">
        <v>16</v>
      </c>
      <c r="B38" s="15" t="s">
        <v>32</v>
      </c>
      <c r="C38" s="16" t="n">
        <f aca="false">+C37+T37</f>
        <v>474.75</v>
      </c>
      <c r="D38" s="17" t="n">
        <f aca="false">+Chạy!F65</f>
        <v>-8.67</v>
      </c>
      <c r="E38" s="17" t="n">
        <f aca="false">+D38+F38</f>
        <v>-8.6617</v>
      </c>
      <c r="F38" s="17" t="n">
        <f aca="false">RANDBETWEEN(-105,115)/10000</f>
        <v>0.0083</v>
      </c>
      <c r="G38" s="17" t="n">
        <f aca="false">+Chạy!G65</f>
        <v>-1.35</v>
      </c>
      <c r="H38" s="17" t="n">
        <f aca="false">G38+I38</f>
        <v>-1.369</v>
      </c>
      <c r="I38" s="17" t="n">
        <f aca="false">RANDBETWEEN(-30,90)/1000</f>
        <v>-0.019</v>
      </c>
      <c r="J38" s="17" t="n">
        <f aca="false">+Chạy!K65</f>
        <v>-1.35</v>
      </c>
      <c r="K38" s="17" t="n">
        <f aca="false">J38+L38</f>
        <v>-1.322</v>
      </c>
      <c r="L38" s="17" t="n">
        <f aca="false">RANDBETWEEN(-30,90)/1000</f>
        <v>0.028</v>
      </c>
      <c r="M38" s="17" t="n">
        <f aca="false">+Chạy!N65</f>
        <v>8.62</v>
      </c>
      <c r="N38" s="17" t="n">
        <f aca="false">+M38+O38</f>
        <v>8.6221</v>
      </c>
      <c r="O38" s="17" t="n">
        <f aca="false">RANDBETWEEN(-105,115)/10000</f>
        <v>0.0021</v>
      </c>
      <c r="P38" s="17" t="n">
        <f aca="false">+Chạy!O65</f>
        <v>-1.35</v>
      </c>
      <c r="Q38" s="17" t="n">
        <f aca="false">P38+R38</f>
        <v>-1.263</v>
      </c>
      <c r="R38" s="17" t="n">
        <f aca="false">RANDBETWEEN(-30,90)/1000</f>
        <v>0.087</v>
      </c>
      <c r="S38" s="18"/>
      <c r="T38" s="19" t="n">
        <v>14.44</v>
      </c>
    </row>
    <row r="39" customFormat="false" ht="15" hidden="false" customHeight="false" outlineLevel="0" collapsed="false">
      <c r="A39" s="14" t="n">
        <v>17</v>
      </c>
      <c r="B39" s="15" t="s">
        <v>33</v>
      </c>
      <c r="C39" s="16" t="n">
        <f aca="false">+C38+T38</f>
        <v>489.19</v>
      </c>
      <c r="D39" s="17" t="n">
        <f aca="false">+Chạy!F69</f>
        <v>-8.55</v>
      </c>
      <c r="E39" s="17" t="n">
        <f aca="false">+D39+F39</f>
        <v>-8.5446</v>
      </c>
      <c r="F39" s="17" t="n">
        <f aca="false">RANDBETWEEN(-105,115)/10000</f>
        <v>0.0054</v>
      </c>
      <c r="G39" s="17" t="n">
        <f aca="false">+Chạy!G69</f>
        <v>-1.35</v>
      </c>
      <c r="H39" s="17" t="n">
        <f aca="false">G39+I39</f>
        <v>-1.294</v>
      </c>
      <c r="I39" s="17" t="n">
        <f aca="false">RANDBETWEEN(-30,90)/1000</f>
        <v>0.056</v>
      </c>
      <c r="J39" s="17" t="n">
        <f aca="false">+Chạy!K69</f>
        <v>-1.35</v>
      </c>
      <c r="K39" s="17" t="n">
        <f aca="false">J39+L39</f>
        <v>-1.37</v>
      </c>
      <c r="L39" s="17" t="n">
        <f aca="false">RANDBETWEEN(-30,90)/1000</f>
        <v>-0.02</v>
      </c>
      <c r="M39" s="17" t="n">
        <f aca="false">+Chạy!N69</f>
        <v>5.35</v>
      </c>
      <c r="N39" s="17" t="n">
        <f aca="false">+M39+O39</f>
        <v>5.3461</v>
      </c>
      <c r="O39" s="17" t="n">
        <f aca="false">RANDBETWEEN(-105,115)/10000</f>
        <v>-0.0039</v>
      </c>
      <c r="P39" s="17" t="n">
        <f aca="false">+Chạy!O69</f>
        <v>-1.35</v>
      </c>
      <c r="Q39" s="17" t="n">
        <f aca="false">P39+R39</f>
        <v>-1.361</v>
      </c>
      <c r="R39" s="17" t="n">
        <f aca="false">RANDBETWEEN(-30,90)/1000</f>
        <v>-0.011</v>
      </c>
      <c r="S39" s="18"/>
      <c r="T39" s="19" t="n">
        <v>13.17</v>
      </c>
    </row>
    <row r="40" customFormat="false" ht="15" hidden="false" customHeight="false" outlineLevel="0" collapsed="false">
      <c r="A40" s="14" t="n">
        <v>18</v>
      </c>
      <c r="B40" s="15" t="s">
        <v>34</v>
      </c>
      <c r="C40" s="16" t="n">
        <f aca="false">+C39+T39</f>
        <v>502.36</v>
      </c>
      <c r="D40" s="17" t="n">
        <f aca="false">+Chạy!F73</f>
        <v>-9.57</v>
      </c>
      <c r="E40" s="17" t="n">
        <f aca="false">+D40+F40</f>
        <v>-9.5774</v>
      </c>
      <c r="F40" s="17" t="n">
        <f aca="false">RANDBETWEEN(-105,115)/10000</f>
        <v>-0.0074</v>
      </c>
      <c r="G40" s="17" t="n">
        <f aca="false">+Chạy!G73</f>
        <v>-1.35</v>
      </c>
      <c r="H40" s="17" t="n">
        <f aca="false">G40+I40</f>
        <v>-1.36</v>
      </c>
      <c r="I40" s="17" t="n">
        <f aca="false">RANDBETWEEN(-30,90)/1000</f>
        <v>-0.01</v>
      </c>
      <c r="J40" s="17" t="n">
        <f aca="false">+Chạy!K73</f>
        <v>-1.35</v>
      </c>
      <c r="K40" s="17" t="n">
        <f aca="false">J40+L40</f>
        <v>-1.285</v>
      </c>
      <c r="L40" s="17" t="n">
        <f aca="false">RANDBETWEEN(-30,90)/1000</f>
        <v>0.065</v>
      </c>
      <c r="M40" s="17" t="n">
        <f aca="false">+Chạy!N73</f>
        <v>9.47</v>
      </c>
      <c r="N40" s="17" t="n">
        <f aca="false">+M40+O40</f>
        <v>9.467</v>
      </c>
      <c r="O40" s="17" t="n">
        <f aca="false">RANDBETWEEN(-105,115)/10000</f>
        <v>-0.003</v>
      </c>
      <c r="P40" s="17" t="n">
        <f aca="false">+Chạy!O73</f>
        <v>-1.35</v>
      </c>
      <c r="Q40" s="17" t="n">
        <f aca="false">P40+R40</f>
        <v>-1.357</v>
      </c>
      <c r="R40" s="17" t="n">
        <f aca="false">RANDBETWEEN(-30,90)/1000</f>
        <v>-0.007</v>
      </c>
      <c r="S40" s="18"/>
      <c r="T40" s="19" t="n">
        <v>10.48</v>
      </c>
    </row>
    <row r="41" customFormat="false" ht="15" hidden="false" customHeight="false" outlineLevel="0" collapsed="false">
      <c r="A41" s="14" t="n">
        <v>19</v>
      </c>
      <c r="B41" s="15" t="s">
        <v>35</v>
      </c>
      <c r="C41" s="16" t="n">
        <f aca="false">+C40+T40</f>
        <v>512.84</v>
      </c>
      <c r="D41" s="17" t="n">
        <f aca="false">+Chạy!F77</f>
        <v>-9.01</v>
      </c>
      <c r="E41" s="17" t="n">
        <f aca="false">+D41+F41</f>
        <v>-9.0084</v>
      </c>
      <c r="F41" s="17" t="n">
        <f aca="false">RANDBETWEEN(-105,115)/10000</f>
        <v>0.0016</v>
      </c>
      <c r="G41" s="17" t="n">
        <f aca="false">+Chạy!G77</f>
        <v>-1.35</v>
      </c>
      <c r="H41" s="17" t="n">
        <f aca="false">G41+I41</f>
        <v>-1.289</v>
      </c>
      <c r="I41" s="17" t="n">
        <f aca="false">RANDBETWEEN(-30,90)/1000</f>
        <v>0.061</v>
      </c>
      <c r="J41" s="17" t="n">
        <f aca="false">+Chạy!K77</f>
        <v>-1.35</v>
      </c>
      <c r="K41" s="17" t="n">
        <f aca="false">J41+L41</f>
        <v>-1.327</v>
      </c>
      <c r="L41" s="17" t="n">
        <f aca="false">RANDBETWEEN(-30,90)/1000</f>
        <v>0.023</v>
      </c>
      <c r="M41" s="17" t="n">
        <f aca="false">+Chạy!N77</f>
        <v>9.38</v>
      </c>
      <c r="N41" s="17" t="n">
        <f aca="false">+M41+O41</f>
        <v>9.3781</v>
      </c>
      <c r="O41" s="17" t="n">
        <f aca="false">RANDBETWEEN(-105,115)/10000</f>
        <v>-0.0019</v>
      </c>
      <c r="P41" s="17" t="n">
        <f aca="false">+Chạy!O77</f>
        <v>-1.35</v>
      </c>
      <c r="Q41" s="17" t="n">
        <f aca="false">P41+R41</f>
        <v>-1.366</v>
      </c>
      <c r="R41" s="17" t="n">
        <f aca="false">RANDBETWEEN(-30,90)/1000</f>
        <v>-0.016</v>
      </c>
      <c r="S41" s="18"/>
      <c r="T41" s="19" t="n">
        <v>16.78</v>
      </c>
    </row>
    <row r="42" customFormat="false" ht="15" hidden="false" customHeight="false" outlineLevel="0" collapsed="false">
      <c r="A42" s="14" t="n">
        <v>20</v>
      </c>
      <c r="B42" s="15" t="s">
        <v>36</v>
      </c>
      <c r="C42" s="16" t="n">
        <f aca="false">+C41+T41</f>
        <v>529.62</v>
      </c>
      <c r="D42" s="17" t="n">
        <f aca="false">+Chạy!F81</f>
        <v>-9.44</v>
      </c>
      <c r="E42" s="17" t="n">
        <f aca="false">+D42+F42</f>
        <v>-9.4422</v>
      </c>
      <c r="F42" s="17" t="n">
        <f aca="false">RANDBETWEEN(-105,115)/10000</f>
        <v>-0.0022</v>
      </c>
      <c r="G42" s="17" t="n">
        <f aca="false">+Chạy!G81</f>
        <v>-1.35</v>
      </c>
      <c r="H42" s="17" t="n">
        <f aca="false">G42+I42</f>
        <v>-1.375</v>
      </c>
      <c r="I42" s="17" t="n">
        <f aca="false">RANDBETWEEN(-30,90)/1000</f>
        <v>-0.025</v>
      </c>
      <c r="J42" s="17" t="n">
        <f aca="false">+Chạy!K81</f>
        <v>-1.35</v>
      </c>
      <c r="K42" s="17" t="n">
        <f aca="false">J42+L42</f>
        <v>-1.302</v>
      </c>
      <c r="L42" s="17" t="n">
        <f aca="false">RANDBETWEEN(-30,90)/1000</f>
        <v>0.048</v>
      </c>
      <c r="M42" s="17" t="n">
        <f aca="false">+Chạy!N81</f>
        <v>9.52</v>
      </c>
      <c r="N42" s="17" t="n">
        <f aca="false">+M42+O42</f>
        <v>9.5149</v>
      </c>
      <c r="O42" s="17" t="n">
        <f aca="false">RANDBETWEEN(-105,115)/10000</f>
        <v>-0.0051</v>
      </c>
      <c r="P42" s="17" t="n">
        <f aca="false">+Chạy!O81</f>
        <v>-1.35</v>
      </c>
      <c r="Q42" s="17" t="n">
        <f aca="false">P42+R42</f>
        <v>-1.303</v>
      </c>
      <c r="R42" s="17" t="n">
        <f aca="false">RANDBETWEEN(-30,90)/1000</f>
        <v>0.047</v>
      </c>
      <c r="S42" s="18"/>
      <c r="T42" s="19" t="n">
        <v>17.1</v>
      </c>
    </row>
    <row r="43" customFormat="false" ht="15" hidden="false" customHeight="false" outlineLevel="0" collapsed="false">
      <c r="A43" s="14" t="n">
        <v>21</v>
      </c>
      <c r="B43" s="15" t="s">
        <v>37</v>
      </c>
      <c r="C43" s="16" t="n">
        <f aca="false">+C42+T42</f>
        <v>546.72</v>
      </c>
      <c r="D43" s="17" t="n">
        <f aca="false">+Chạy!F85</f>
        <v>-5.35</v>
      </c>
      <c r="E43" s="17" t="n">
        <f aca="false">+D43+F43</f>
        <v>-5.3389</v>
      </c>
      <c r="F43" s="17" t="n">
        <f aca="false">RANDBETWEEN(-105,115)/10000</f>
        <v>0.0111</v>
      </c>
      <c r="G43" s="17" t="n">
        <f aca="false">+Chạy!G85</f>
        <v>-1.35</v>
      </c>
      <c r="H43" s="17" t="n">
        <f aca="false">G43+I43</f>
        <v>-1.282</v>
      </c>
      <c r="I43" s="17" t="n">
        <f aca="false">RANDBETWEEN(-30,90)/1000</f>
        <v>0.068</v>
      </c>
      <c r="J43" s="17" t="n">
        <f aca="false">+Chạy!K85</f>
        <v>-1.35</v>
      </c>
      <c r="K43" s="17" t="n">
        <f aca="false">J43+L43</f>
        <v>-1.292</v>
      </c>
      <c r="L43" s="17" t="n">
        <f aca="false">RANDBETWEEN(-30,90)/1000</f>
        <v>0.058</v>
      </c>
      <c r="M43" s="17" t="n">
        <f aca="false">+Chạy!N85</f>
        <v>8.59</v>
      </c>
      <c r="N43" s="17" t="n">
        <f aca="false">+M43+O43</f>
        <v>8.6003</v>
      </c>
      <c r="O43" s="17" t="n">
        <f aca="false">RANDBETWEEN(-105,115)/10000</f>
        <v>0.0103</v>
      </c>
      <c r="P43" s="17" t="n">
        <f aca="false">+Chạy!O85</f>
        <v>-1.35</v>
      </c>
      <c r="Q43" s="17" t="n">
        <f aca="false">P43+R43</f>
        <v>-1.281</v>
      </c>
      <c r="R43" s="17" t="n">
        <f aca="false">RANDBETWEEN(-30,90)/1000</f>
        <v>0.069</v>
      </c>
      <c r="S43" s="18"/>
      <c r="T43" s="19" t="n">
        <v>15.15</v>
      </c>
    </row>
    <row r="44" customFormat="false" ht="15" hidden="false" customHeight="false" outlineLevel="0" collapsed="false">
      <c r="A44" s="14" t="n">
        <v>22</v>
      </c>
      <c r="B44" s="15" t="s">
        <v>38</v>
      </c>
      <c r="C44" s="16" t="n">
        <f aca="false">+C43+T43</f>
        <v>561.87</v>
      </c>
      <c r="D44" s="17" t="n">
        <f aca="false">+Chạy!F89</f>
        <v>-9.09</v>
      </c>
      <c r="E44" s="17" t="n">
        <f aca="false">+D44+F44</f>
        <v>-9.0856</v>
      </c>
      <c r="F44" s="17" t="n">
        <f aca="false">RANDBETWEEN(-105,115)/10000</f>
        <v>0.0044</v>
      </c>
      <c r="G44" s="17" t="n">
        <f aca="false">+Chạy!G89</f>
        <v>-1.35</v>
      </c>
      <c r="H44" s="17" t="n">
        <f aca="false">G44+I44</f>
        <v>-1.343</v>
      </c>
      <c r="I44" s="17" t="n">
        <f aca="false">RANDBETWEEN(-30,90)/1000</f>
        <v>0.007</v>
      </c>
      <c r="J44" s="17" t="n">
        <f aca="false">+Chạy!K89</f>
        <v>-1.35</v>
      </c>
      <c r="K44" s="17" t="n">
        <f aca="false">J44+L44</f>
        <v>-1.332</v>
      </c>
      <c r="L44" s="17" t="n">
        <f aca="false">RANDBETWEEN(-30,90)/1000</f>
        <v>0.018</v>
      </c>
      <c r="M44" s="17" t="n">
        <f aca="false">+Chạy!N89</f>
        <v>9.22</v>
      </c>
      <c r="N44" s="17" t="n">
        <f aca="false">+M44+O44</f>
        <v>9.2205</v>
      </c>
      <c r="O44" s="17" t="n">
        <f aca="false">RANDBETWEEN(-105,115)/10000</f>
        <v>0.0005</v>
      </c>
      <c r="P44" s="17" t="n">
        <f aca="false">+Chạy!O89</f>
        <v>-1.35</v>
      </c>
      <c r="Q44" s="17" t="n">
        <f aca="false">P44+R44</f>
        <v>-1.342</v>
      </c>
      <c r="R44" s="17" t="n">
        <f aca="false">RANDBETWEEN(-30,90)/1000</f>
        <v>0.008</v>
      </c>
      <c r="S44" s="18"/>
      <c r="T44" s="19" t="n">
        <v>0.15</v>
      </c>
    </row>
    <row r="45" customFormat="false" ht="15" hidden="false" customHeight="false" outlineLevel="0" collapsed="false">
      <c r="A45" s="14" t="n">
        <v>23</v>
      </c>
      <c r="B45" s="15" t="s">
        <v>39</v>
      </c>
      <c r="C45" s="16" t="n">
        <f aca="false">+C44+T44</f>
        <v>562.02</v>
      </c>
      <c r="D45" s="17" t="n">
        <f aca="false">+Chạy!F93</f>
        <v>-9.09</v>
      </c>
      <c r="E45" s="17" t="n">
        <f aca="false">+D45+F45</f>
        <v>-9.0824</v>
      </c>
      <c r="F45" s="17" t="n">
        <f aca="false">RANDBETWEEN(-105,115)/10000</f>
        <v>0.0076</v>
      </c>
      <c r="G45" s="17" t="n">
        <f aca="false">+Chạy!G93</f>
        <v>-1.35</v>
      </c>
      <c r="H45" s="17" t="n">
        <f aca="false">G45+I45</f>
        <v>-1.35</v>
      </c>
      <c r="I45" s="17" t="n">
        <f aca="false">RANDBETWEEN(-30,90)/1000</f>
        <v>0</v>
      </c>
      <c r="J45" s="17" t="n">
        <f aca="false">+Chạy!K93</f>
        <v>-1.35</v>
      </c>
      <c r="K45" s="17" t="n">
        <f aca="false">J45+L45</f>
        <v>-1.271</v>
      </c>
      <c r="L45" s="17" t="n">
        <f aca="false">RANDBETWEEN(-30,90)/1000</f>
        <v>0.079</v>
      </c>
      <c r="M45" s="17" t="n">
        <f aca="false">+Chạy!N93</f>
        <v>9.23</v>
      </c>
      <c r="N45" s="17" t="n">
        <f aca="false">+M45+O45</f>
        <v>9.2204</v>
      </c>
      <c r="O45" s="17" t="n">
        <f aca="false">RANDBETWEEN(-105,115)/10000</f>
        <v>-0.0096</v>
      </c>
      <c r="P45" s="17" t="n">
        <f aca="false">+Chạy!O93</f>
        <v>-1.35</v>
      </c>
      <c r="Q45" s="17" t="n">
        <f aca="false">P45+R45</f>
        <v>-1.37</v>
      </c>
      <c r="R45" s="17" t="n">
        <f aca="false">RANDBETWEEN(-30,90)/1000</f>
        <v>-0.02</v>
      </c>
      <c r="S45" s="18"/>
      <c r="T45" s="19" t="n">
        <v>6.55</v>
      </c>
    </row>
    <row r="46" customFormat="false" ht="15" hidden="false" customHeight="false" outlineLevel="0" collapsed="false">
      <c r="A46" s="14" t="n">
        <v>24</v>
      </c>
      <c r="B46" s="15" t="s">
        <v>40</v>
      </c>
      <c r="C46" s="16" t="n">
        <f aca="false">+C45+T45</f>
        <v>568.57</v>
      </c>
      <c r="D46" s="17" t="n">
        <f aca="false">+Chạy!F97</f>
        <v>-9.26</v>
      </c>
      <c r="E46" s="17" t="n">
        <f aca="false">+D46+F46</f>
        <v>-9.2573</v>
      </c>
      <c r="F46" s="17" t="n">
        <f aca="false">RANDBETWEEN(-105,115)/10000</f>
        <v>0.0027</v>
      </c>
      <c r="G46" s="17" t="n">
        <f aca="false">+Chạy!G97</f>
        <v>-1.35</v>
      </c>
      <c r="H46" s="17" t="n">
        <f aca="false">G46+I46</f>
        <v>-1.308</v>
      </c>
      <c r="I46" s="17" t="n">
        <f aca="false">RANDBETWEEN(-30,90)/1000</f>
        <v>0.042</v>
      </c>
      <c r="J46" s="17" t="n">
        <f aca="false">+Chạy!K97</f>
        <v>-1.35</v>
      </c>
      <c r="K46" s="17" t="n">
        <f aca="false">J46+L46</f>
        <v>-1.271</v>
      </c>
      <c r="L46" s="17" t="n">
        <f aca="false">RANDBETWEEN(-30,90)/1000</f>
        <v>0.079</v>
      </c>
      <c r="M46" s="17" t="n">
        <f aca="false">+Chạy!N97</f>
        <v>9.58</v>
      </c>
      <c r="N46" s="17" t="n">
        <f aca="false">+M46+O46</f>
        <v>9.5895</v>
      </c>
      <c r="O46" s="17" t="n">
        <f aca="false">RANDBETWEEN(-105,115)/10000</f>
        <v>0.0095</v>
      </c>
      <c r="P46" s="17" t="n">
        <f aca="false">+Chạy!O97</f>
        <v>-1.35</v>
      </c>
      <c r="Q46" s="17" t="n">
        <f aca="false">P46+R46</f>
        <v>-1.367</v>
      </c>
      <c r="R46" s="17" t="n">
        <f aca="false">RANDBETWEEN(-30,90)/1000</f>
        <v>-0.017</v>
      </c>
      <c r="S46" s="18"/>
      <c r="T46" s="19" t="n">
        <v>6.55</v>
      </c>
    </row>
    <row r="47" customFormat="false" ht="15" hidden="false" customHeight="false" outlineLevel="0" collapsed="false">
      <c r="A47" s="14" t="n">
        <v>25</v>
      </c>
      <c r="B47" s="15" t="s">
        <v>1</v>
      </c>
      <c r="C47" s="16" t="n">
        <f aca="false">+C46+T46</f>
        <v>575.12</v>
      </c>
      <c r="D47" s="17" t="n">
        <f aca="false">+Chạy!F101</f>
        <v>-8.98</v>
      </c>
      <c r="E47" s="17" t="n">
        <f aca="false">+D47+F47</f>
        <v>-8.9696</v>
      </c>
      <c r="F47" s="17" t="n">
        <f aca="false">RANDBETWEEN(-105,115)/10000</f>
        <v>0.0104</v>
      </c>
      <c r="G47" s="17" t="n">
        <f aca="false">+Chạy!G101</f>
        <v>-1.35</v>
      </c>
      <c r="H47" s="17" t="n">
        <f aca="false">G47+I47</f>
        <v>-1.346</v>
      </c>
      <c r="I47" s="17" t="n">
        <f aca="false">RANDBETWEEN(-30,90)/1000</f>
        <v>0.004</v>
      </c>
      <c r="J47" s="17" t="n">
        <f aca="false">+Chạy!K101</f>
        <v>-1.35</v>
      </c>
      <c r="K47" s="17" t="n">
        <f aca="false">J47+L47</f>
        <v>-1.353</v>
      </c>
      <c r="L47" s="17" t="n">
        <f aca="false">RANDBETWEEN(-30,90)/1000</f>
        <v>-0.003</v>
      </c>
      <c r="M47" s="17" t="n">
        <f aca="false">+Chạy!N101</f>
        <v>8.66</v>
      </c>
      <c r="N47" s="17" t="n">
        <f aca="false">+M47+O47</f>
        <v>8.6712</v>
      </c>
      <c r="O47" s="17" t="n">
        <f aca="false">RANDBETWEEN(-105,115)/10000</f>
        <v>0.0112</v>
      </c>
      <c r="P47" s="17" t="n">
        <f aca="false">+Chạy!O101</f>
        <v>-1.35</v>
      </c>
      <c r="Q47" s="17" t="n">
        <f aca="false">P47+R47</f>
        <v>-1.296</v>
      </c>
      <c r="R47" s="17" t="n">
        <f aca="false">RANDBETWEEN(-30,90)/1000</f>
        <v>0.054</v>
      </c>
      <c r="S47" s="18"/>
      <c r="T47" s="19" t="n">
        <v>0.04</v>
      </c>
    </row>
    <row r="48" customFormat="false" ht="15" hidden="false" customHeight="false" outlineLevel="0" collapsed="false">
      <c r="A48" s="14" t="n">
        <v>26</v>
      </c>
      <c r="B48" s="15" t="s">
        <v>41</v>
      </c>
      <c r="C48" s="16" t="n">
        <f aca="false">+C47+T47</f>
        <v>575.16</v>
      </c>
      <c r="D48" s="17" t="n">
        <f aca="false">+Chạy!F105</f>
        <v>-8.98</v>
      </c>
      <c r="E48" s="17" t="n">
        <f aca="false">+D48+F48</f>
        <v>-8.9833</v>
      </c>
      <c r="F48" s="17" t="n">
        <f aca="false">RANDBETWEEN(-105,115)/10000</f>
        <v>-0.0033</v>
      </c>
      <c r="G48" s="17" t="n">
        <f aca="false">+Chạy!G105</f>
        <v>-1.35</v>
      </c>
      <c r="H48" s="17" t="n">
        <f aca="false">G48+I48</f>
        <v>-1.351</v>
      </c>
      <c r="I48" s="17" t="n">
        <f aca="false">RANDBETWEEN(-30,90)/1000</f>
        <v>-0.001</v>
      </c>
      <c r="J48" s="17" t="n">
        <f aca="false">+Chạy!K105</f>
        <v>-1.35</v>
      </c>
      <c r="K48" s="17" t="n">
        <f aca="false">J48+L48</f>
        <v>-1.377</v>
      </c>
      <c r="L48" s="17" t="n">
        <f aca="false">RANDBETWEEN(-30,90)/1000</f>
        <v>-0.027</v>
      </c>
      <c r="M48" s="17" t="n">
        <f aca="false">+Chạy!N105</f>
        <v>8.43</v>
      </c>
      <c r="N48" s="17" t="n">
        <f aca="false">+M48+O48</f>
        <v>8.4358</v>
      </c>
      <c r="O48" s="17" t="n">
        <f aca="false">RANDBETWEEN(-105,115)/10000</f>
        <v>0.0058</v>
      </c>
      <c r="P48" s="17" t="n">
        <f aca="false">+Chạy!O105</f>
        <v>-1.35</v>
      </c>
      <c r="Q48" s="17" t="n">
        <f aca="false">P48+R48</f>
        <v>-1.289</v>
      </c>
      <c r="R48" s="17" t="n">
        <f aca="false">RANDBETWEEN(-30,90)/1000</f>
        <v>0.061</v>
      </c>
      <c r="S48" s="18"/>
      <c r="T48" s="19" t="n">
        <v>16.95</v>
      </c>
    </row>
    <row r="49" customFormat="false" ht="15" hidden="false" customHeight="false" outlineLevel="0" collapsed="false">
      <c r="A49" s="14" t="n">
        <v>27</v>
      </c>
      <c r="B49" s="15" t="s">
        <v>42</v>
      </c>
      <c r="C49" s="16" t="n">
        <f aca="false">+C48+T48</f>
        <v>592.11</v>
      </c>
      <c r="D49" s="17" t="n">
        <f aca="false">+Chạy!F109</f>
        <v>-9.16</v>
      </c>
      <c r="E49" s="17" t="n">
        <f aca="false">+D49+F49</f>
        <v>-9.1631</v>
      </c>
      <c r="F49" s="17" t="n">
        <f aca="false">RANDBETWEEN(-105,115)/10000</f>
        <v>-0.0031</v>
      </c>
      <c r="G49" s="17" t="n">
        <f aca="false">+Chạy!G109</f>
        <v>-1.35</v>
      </c>
      <c r="H49" s="17" t="n">
        <f aca="false">G49+I49</f>
        <v>-1.289</v>
      </c>
      <c r="I49" s="17" t="n">
        <f aca="false">RANDBETWEEN(-30,90)/1000</f>
        <v>0.061</v>
      </c>
      <c r="J49" s="17" t="n">
        <f aca="false">+Chạy!K109</f>
        <v>-1.35</v>
      </c>
      <c r="K49" s="17" t="n">
        <f aca="false">J49+L49</f>
        <v>-1.332</v>
      </c>
      <c r="L49" s="17" t="n">
        <f aca="false">RANDBETWEEN(-30,90)/1000</f>
        <v>0.018</v>
      </c>
      <c r="M49" s="17" t="n">
        <f aca="false">+Chạy!N109</f>
        <v>9.21</v>
      </c>
      <c r="N49" s="17" t="n">
        <f aca="false">+M49+O49</f>
        <v>9.2193</v>
      </c>
      <c r="O49" s="17" t="n">
        <f aca="false">RANDBETWEEN(-105,115)/10000</f>
        <v>0.0093</v>
      </c>
      <c r="P49" s="17" t="n">
        <f aca="false">+Chạy!O109</f>
        <v>-1.35</v>
      </c>
      <c r="Q49" s="17" t="n">
        <f aca="false">P49+R49</f>
        <v>-1.322</v>
      </c>
      <c r="R49" s="17" t="n">
        <f aca="false">RANDBETWEEN(-30,90)/1000</f>
        <v>0.028</v>
      </c>
      <c r="S49" s="18"/>
      <c r="T49" s="19" t="n">
        <v>17</v>
      </c>
    </row>
    <row r="50" customFormat="false" ht="15" hidden="false" customHeight="false" outlineLevel="0" collapsed="false">
      <c r="A50" s="14" t="n">
        <v>28</v>
      </c>
      <c r="B50" s="15" t="s">
        <v>43</v>
      </c>
      <c r="C50" s="16" t="n">
        <f aca="false">+C49+T49</f>
        <v>609.11</v>
      </c>
      <c r="D50" s="17" t="n">
        <f aca="false">+Chạy!F113</f>
        <v>-8.37</v>
      </c>
      <c r="E50" s="17" t="n">
        <f aca="false">+D50+F50</f>
        <v>-8.3595</v>
      </c>
      <c r="F50" s="17" t="n">
        <f aca="false">RANDBETWEEN(-105,115)/10000</f>
        <v>0.0105</v>
      </c>
      <c r="G50" s="17" t="n">
        <f aca="false">+Chạy!G113</f>
        <v>-1.35</v>
      </c>
      <c r="H50" s="17" t="n">
        <f aca="false">G50+I50</f>
        <v>-1.293</v>
      </c>
      <c r="I50" s="17" t="n">
        <f aca="false">RANDBETWEEN(-30,90)/1000</f>
        <v>0.057</v>
      </c>
      <c r="J50" s="17" t="n">
        <f aca="false">+Chạy!K113</f>
        <v>-1.35</v>
      </c>
      <c r="K50" s="17" t="n">
        <f aca="false">J50+L50</f>
        <v>-1.365</v>
      </c>
      <c r="L50" s="17" t="n">
        <f aca="false">RANDBETWEEN(-30,90)/1000</f>
        <v>-0.015</v>
      </c>
      <c r="M50" s="17" t="n">
        <f aca="false">+Chạy!N113</f>
        <v>8.23</v>
      </c>
      <c r="N50" s="17" t="n">
        <f aca="false">+M50+O50</f>
        <v>8.2307</v>
      </c>
      <c r="O50" s="17" t="n">
        <f aca="false">RANDBETWEEN(-105,115)/10000</f>
        <v>0.0007</v>
      </c>
      <c r="P50" s="17" t="n">
        <f aca="false">+Chạy!O113</f>
        <v>-1.35</v>
      </c>
      <c r="Q50" s="17" t="n">
        <f aca="false">P50+R50</f>
        <v>-1.378</v>
      </c>
      <c r="R50" s="17" t="n">
        <f aca="false">RANDBETWEEN(-30,90)/1000</f>
        <v>-0.028</v>
      </c>
      <c r="S50" s="18"/>
      <c r="T50" s="19" t="n">
        <v>11.75</v>
      </c>
    </row>
    <row r="51" customFormat="false" ht="15" hidden="false" customHeight="false" outlineLevel="0" collapsed="false">
      <c r="A51" s="14" t="n">
        <v>29</v>
      </c>
      <c r="B51" s="15" t="s">
        <v>44</v>
      </c>
      <c r="C51" s="16" t="n">
        <f aca="false">+C50+T50</f>
        <v>620.86</v>
      </c>
      <c r="D51" s="17" t="n">
        <f aca="false">+Chạy!F117</f>
        <v>-8.15</v>
      </c>
      <c r="E51" s="17" t="n">
        <f aca="false">+D51+F51</f>
        <v>-8.1605</v>
      </c>
      <c r="F51" s="17" t="n">
        <f aca="false">RANDBETWEEN(-105,115)/10000</f>
        <v>-0.0105</v>
      </c>
      <c r="G51" s="17" t="n">
        <f aca="false">+Chạy!G117</f>
        <v>-1.35</v>
      </c>
      <c r="H51" s="17" t="n">
        <f aca="false">G51+I51</f>
        <v>-1.322</v>
      </c>
      <c r="I51" s="17" t="n">
        <f aca="false">RANDBETWEEN(-30,90)/1000</f>
        <v>0.028</v>
      </c>
      <c r="J51" s="17" t="n">
        <f aca="false">+Chạy!K117</f>
        <v>-1.35</v>
      </c>
      <c r="K51" s="17" t="n">
        <f aca="false">J51+L51</f>
        <v>-1.319</v>
      </c>
      <c r="L51" s="17" t="n">
        <f aca="false">RANDBETWEEN(-30,90)/1000</f>
        <v>0.031</v>
      </c>
      <c r="M51" s="17" t="n">
        <f aca="false">+Chạy!N117</f>
        <v>8.29</v>
      </c>
      <c r="N51" s="17" t="n">
        <f aca="false">+M51+O51</f>
        <v>8.2871</v>
      </c>
      <c r="O51" s="17" t="n">
        <f aca="false">RANDBETWEEN(-105,115)/10000</f>
        <v>-0.0029</v>
      </c>
      <c r="P51" s="17" t="n">
        <f aca="false">+Chạy!O117</f>
        <v>-1.35</v>
      </c>
      <c r="Q51" s="17" t="n">
        <f aca="false">P51+R51</f>
        <v>-1.345</v>
      </c>
      <c r="R51" s="17" t="n">
        <f aca="false">RANDBETWEEN(-30,90)/1000</f>
        <v>0.005</v>
      </c>
      <c r="S51" s="18"/>
      <c r="T51" s="19" t="n">
        <v>11.75</v>
      </c>
    </row>
    <row r="52" customFormat="false" ht="15" hidden="false" customHeight="false" outlineLevel="0" collapsed="false">
      <c r="A52" s="14" t="n">
        <v>30</v>
      </c>
      <c r="B52" s="15" t="s">
        <v>45</v>
      </c>
      <c r="C52" s="16" t="n">
        <f aca="false">+C51+T51</f>
        <v>632.61</v>
      </c>
      <c r="D52" s="17" t="n">
        <f aca="false">+Chạy!F121</f>
        <v>-8.88</v>
      </c>
      <c r="E52" s="17" t="n">
        <f aca="false">+D52+F52</f>
        <v>-8.8733</v>
      </c>
      <c r="F52" s="17" t="n">
        <f aca="false">RANDBETWEEN(-105,115)/10000</f>
        <v>0.0067</v>
      </c>
      <c r="G52" s="17" t="n">
        <f aca="false">+Chạy!G121</f>
        <v>-1.35</v>
      </c>
      <c r="H52" s="17" t="n">
        <f aca="false">G52+I52</f>
        <v>-1.314</v>
      </c>
      <c r="I52" s="17" t="n">
        <f aca="false">RANDBETWEEN(-30,90)/1000</f>
        <v>0.036</v>
      </c>
      <c r="J52" s="17" t="n">
        <f aca="false">+Chạy!K121</f>
        <v>-1.35</v>
      </c>
      <c r="K52" s="17" t="n">
        <f aca="false">J52+L52</f>
        <v>-1.272</v>
      </c>
      <c r="L52" s="17" t="n">
        <f aca="false">RANDBETWEEN(-30,90)/1000</f>
        <v>0.078</v>
      </c>
      <c r="M52" s="17" t="n">
        <f aca="false">+Chạy!N121</f>
        <v>9.15</v>
      </c>
      <c r="N52" s="17" t="n">
        <f aca="false">+M52+O52</f>
        <v>9.1467</v>
      </c>
      <c r="O52" s="17" t="n">
        <f aca="false">RANDBETWEEN(-105,115)/10000</f>
        <v>-0.0033</v>
      </c>
      <c r="P52" s="17" t="n">
        <f aca="false">+Chạy!O121</f>
        <v>-1.35</v>
      </c>
      <c r="Q52" s="17" t="n">
        <f aca="false">P52+R52</f>
        <v>-1.27</v>
      </c>
      <c r="R52" s="17" t="n">
        <f aca="false">RANDBETWEEN(-30,90)/1000</f>
        <v>0.08</v>
      </c>
      <c r="S52" s="18"/>
      <c r="T52" s="19" t="n">
        <v>20</v>
      </c>
    </row>
    <row r="53" customFormat="false" ht="15" hidden="false" customHeight="false" outlineLevel="0" collapsed="false">
      <c r="A53" s="14" t="n">
        <v>31</v>
      </c>
      <c r="B53" s="15" t="s">
        <v>46</v>
      </c>
      <c r="C53" s="16" t="n">
        <f aca="false">+C52+T52</f>
        <v>652.61</v>
      </c>
      <c r="D53" s="17" t="n">
        <f aca="false">+Chạy!F125</f>
        <v>-9.59</v>
      </c>
      <c r="E53" s="17" t="n">
        <f aca="false">+D53+F53</f>
        <v>-9.5911</v>
      </c>
      <c r="F53" s="17" t="n">
        <f aca="false">RANDBETWEEN(-105,115)/10000</f>
        <v>-0.0011</v>
      </c>
      <c r="G53" s="17" t="n">
        <f aca="false">+Chạy!G125</f>
        <v>-1.35</v>
      </c>
      <c r="H53" s="17" t="n">
        <f aca="false">G53+I53</f>
        <v>-1.357</v>
      </c>
      <c r="I53" s="17" t="n">
        <f aca="false">RANDBETWEEN(-30,90)/1000</f>
        <v>-0.007</v>
      </c>
      <c r="J53" s="17" t="n">
        <f aca="false">+Chạy!K125</f>
        <v>-1.35</v>
      </c>
      <c r="K53" s="17" t="n">
        <f aca="false">J53+L53</f>
        <v>-1.334</v>
      </c>
      <c r="L53" s="17" t="n">
        <f aca="false">RANDBETWEEN(-30,90)/1000</f>
        <v>0.016</v>
      </c>
      <c r="M53" s="17" t="n">
        <f aca="false">+Chạy!N125</f>
        <v>9.57</v>
      </c>
      <c r="N53" s="17" t="n">
        <f aca="false">+M53+O53</f>
        <v>9.5635</v>
      </c>
      <c r="O53" s="17" t="n">
        <f aca="false">RANDBETWEEN(-105,115)/10000</f>
        <v>-0.0065</v>
      </c>
      <c r="P53" s="17" t="n">
        <f aca="false">+Chạy!O125</f>
        <v>-1.35</v>
      </c>
      <c r="Q53" s="17" t="n">
        <f aca="false">P53+R53</f>
        <v>-1.271</v>
      </c>
      <c r="R53" s="17" t="n">
        <f aca="false">RANDBETWEEN(-30,90)/1000</f>
        <v>0.079</v>
      </c>
      <c r="S53" s="18"/>
      <c r="T53" s="19" t="n">
        <v>20</v>
      </c>
    </row>
    <row r="54" customFormat="false" ht="15" hidden="false" customHeight="false" outlineLevel="0" collapsed="false">
      <c r="A54" s="14" t="n">
        <v>32</v>
      </c>
      <c r="B54" s="15" t="s">
        <v>47</v>
      </c>
      <c r="C54" s="16" t="n">
        <f aca="false">+C53+T53</f>
        <v>672.61</v>
      </c>
      <c r="D54" s="17" t="n">
        <f aca="false">+Chạy!F129</f>
        <v>-8.73</v>
      </c>
      <c r="E54" s="17" t="n">
        <f aca="false">+D54+F54</f>
        <v>-8.7258</v>
      </c>
      <c r="F54" s="17" t="n">
        <f aca="false">RANDBETWEEN(-105,115)/10000</f>
        <v>0.0042</v>
      </c>
      <c r="G54" s="17" t="n">
        <f aca="false">+Chạy!G129</f>
        <v>-1.35</v>
      </c>
      <c r="H54" s="17" t="n">
        <f aca="false">G54+I54</f>
        <v>-1.372</v>
      </c>
      <c r="I54" s="17" t="n">
        <f aca="false">RANDBETWEEN(-30,90)/1000</f>
        <v>-0.022</v>
      </c>
      <c r="J54" s="17" t="n">
        <f aca="false">+Chạy!K129</f>
        <v>-1.35</v>
      </c>
      <c r="K54" s="17" t="n">
        <f aca="false">J54+L54</f>
        <v>-1.295</v>
      </c>
      <c r="L54" s="17" t="n">
        <f aca="false">RANDBETWEEN(-30,90)/1000</f>
        <v>0.055</v>
      </c>
      <c r="M54" s="17" t="n">
        <f aca="false">+Chạy!N129</f>
        <v>8.77</v>
      </c>
      <c r="N54" s="17" t="n">
        <f aca="false">+M54+O54</f>
        <v>8.7682</v>
      </c>
      <c r="O54" s="17" t="n">
        <f aca="false">RANDBETWEEN(-105,115)/10000</f>
        <v>-0.0018</v>
      </c>
      <c r="P54" s="17" t="n">
        <f aca="false">+Chạy!O129</f>
        <v>-1.35</v>
      </c>
      <c r="Q54" s="17" t="n">
        <f aca="false">P54+R54</f>
        <v>-1.308</v>
      </c>
      <c r="R54" s="17" t="n">
        <f aca="false">RANDBETWEEN(-30,90)/1000</f>
        <v>0.042</v>
      </c>
      <c r="S54" s="18"/>
      <c r="T54" s="19" t="n">
        <v>20</v>
      </c>
    </row>
    <row r="55" customFormat="false" ht="15" hidden="false" customHeight="false" outlineLevel="0" collapsed="false">
      <c r="A55" s="14" t="n">
        <v>33</v>
      </c>
      <c r="B55" s="15" t="s">
        <v>48</v>
      </c>
      <c r="C55" s="16" t="n">
        <f aca="false">+C54+T54</f>
        <v>692.61</v>
      </c>
      <c r="D55" s="17" t="n">
        <f aca="false">+Chạy!F133</f>
        <v>-9.64</v>
      </c>
      <c r="E55" s="17" t="n">
        <f aca="false">+D55+F55</f>
        <v>-9.6433</v>
      </c>
      <c r="F55" s="17" t="n">
        <f aca="false">RANDBETWEEN(-105,115)/10000</f>
        <v>-0.0033</v>
      </c>
      <c r="G55" s="17" t="n">
        <f aca="false">+Chạy!G133</f>
        <v>-1.35</v>
      </c>
      <c r="H55" s="17" t="n">
        <f aca="false">G55+I55</f>
        <v>-1.289</v>
      </c>
      <c r="I55" s="17" t="n">
        <f aca="false">RANDBETWEEN(-30,90)/1000</f>
        <v>0.061</v>
      </c>
      <c r="J55" s="17" t="n">
        <f aca="false">+Chạy!K133</f>
        <v>-1.35</v>
      </c>
      <c r="K55" s="17" t="n">
        <f aca="false">J55+L55</f>
        <v>-1.261</v>
      </c>
      <c r="L55" s="17" t="n">
        <f aca="false">RANDBETWEEN(-30,90)/1000</f>
        <v>0.089</v>
      </c>
      <c r="M55" s="17" t="n">
        <f aca="false">+Chạy!N133</f>
        <v>9.59</v>
      </c>
      <c r="N55" s="17" t="n">
        <f aca="false">+M55+O55</f>
        <v>9.5856</v>
      </c>
      <c r="O55" s="17" t="n">
        <f aca="false">RANDBETWEEN(-105,115)/10000</f>
        <v>-0.0044</v>
      </c>
      <c r="P55" s="17" t="n">
        <f aca="false">+Chạy!O133</f>
        <v>-1.35</v>
      </c>
      <c r="Q55" s="17" t="n">
        <f aca="false">P55+R55</f>
        <v>-1.339</v>
      </c>
      <c r="R55" s="17" t="n">
        <f aca="false">RANDBETWEEN(-30,90)/1000</f>
        <v>0.011</v>
      </c>
      <c r="S55" s="18"/>
      <c r="T55" s="19" t="n">
        <v>20</v>
      </c>
    </row>
    <row r="56" customFormat="false" ht="15" hidden="false" customHeight="false" outlineLevel="0" collapsed="false">
      <c r="A56" s="14" t="n">
        <v>34</v>
      </c>
      <c r="B56" s="15" t="s">
        <v>49</v>
      </c>
      <c r="C56" s="16" t="n">
        <f aca="false">+C55+T55</f>
        <v>712.61</v>
      </c>
      <c r="D56" s="17" t="n">
        <f aca="false">+Chạy!F137</f>
        <v>-5.35</v>
      </c>
      <c r="E56" s="17" t="n">
        <f aca="false">+D56+F56</f>
        <v>-5.3437</v>
      </c>
      <c r="F56" s="17" t="n">
        <f aca="false">RANDBETWEEN(-105,115)/10000</f>
        <v>0.0063</v>
      </c>
      <c r="G56" s="17" t="n">
        <f aca="false">+Chạy!G137</f>
        <v>-1.35</v>
      </c>
      <c r="H56" s="17" t="n">
        <f aca="false">G56+I56</f>
        <v>-1.333</v>
      </c>
      <c r="I56" s="17" t="n">
        <f aca="false">RANDBETWEEN(-30,90)/1000</f>
        <v>0.017</v>
      </c>
      <c r="J56" s="17" t="n">
        <f aca="false">+Chạy!K137</f>
        <v>-1.35</v>
      </c>
      <c r="K56" s="17" t="n">
        <f aca="false">J56+L56</f>
        <v>-1.27</v>
      </c>
      <c r="L56" s="17" t="n">
        <f aca="false">RANDBETWEEN(-30,90)/1000</f>
        <v>0.08</v>
      </c>
      <c r="M56" s="17" t="n">
        <f aca="false">+Chạy!N137</f>
        <v>9.05</v>
      </c>
      <c r="N56" s="17" t="n">
        <f aca="false">+M56+O56</f>
        <v>9.0535</v>
      </c>
      <c r="O56" s="17" t="n">
        <f aca="false">RANDBETWEEN(-105,115)/10000</f>
        <v>0.0035</v>
      </c>
      <c r="P56" s="17" t="n">
        <f aca="false">+Chạy!O137</f>
        <v>-1.35</v>
      </c>
      <c r="Q56" s="17" t="n">
        <f aca="false">P56+R56</f>
        <v>-1.375</v>
      </c>
      <c r="R56" s="17" t="n">
        <f aca="false">RANDBETWEEN(-30,90)/1000</f>
        <v>-0.025</v>
      </c>
      <c r="S56" s="18"/>
      <c r="T56" s="19" t="n">
        <v>11.5</v>
      </c>
    </row>
    <row r="57" customFormat="false" ht="15" hidden="false" customHeight="false" outlineLevel="0" collapsed="false">
      <c r="A57" s="14" t="n">
        <v>35</v>
      </c>
      <c r="B57" s="15" t="s">
        <v>50</v>
      </c>
      <c r="C57" s="16" t="n">
        <f aca="false">+C56+T56</f>
        <v>724.11</v>
      </c>
      <c r="D57" s="17" t="n">
        <f aca="false">+Chạy!F141</f>
        <v>-10.35</v>
      </c>
      <c r="E57" s="17" t="n">
        <f aca="false">+D57+F57</f>
        <v>-10.3468</v>
      </c>
      <c r="F57" s="17" t="n">
        <f aca="false">RANDBETWEEN(-105,115)/10000</f>
        <v>0.0032</v>
      </c>
      <c r="G57" s="17" t="n">
        <f aca="false">+Chạy!G141</f>
        <v>-1.35</v>
      </c>
      <c r="H57" s="17" t="n">
        <f aca="false">G57+I57</f>
        <v>-1.372</v>
      </c>
      <c r="I57" s="17" t="n">
        <f aca="false">RANDBETWEEN(-30,90)/1000</f>
        <v>-0.022</v>
      </c>
      <c r="J57" s="17" t="n">
        <f aca="false">+Chạy!K141</f>
        <v>-1.35</v>
      </c>
      <c r="K57" s="17" t="n">
        <f aca="false">J57+L57</f>
        <v>-1.373</v>
      </c>
      <c r="L57" s="17" t="n">
        <f aca="false">RANDBETWEEN(-30,90)/1000</f>
        <v>-0.023</v>
      </c>
      <c r="M57" s="17" t="n">
        <f aca="false">+Chạy!N141</f>
        <v>8.34</v>
      </c>
      <c r="N57" s="17" t="n">
        <f aca="false">+M57+O57</f>
        <v>8.3442</v>
      </c>
      <c r="O57" s="17" t="n">
        <f aca="false">RANDBETWEEN(-105,115)/10000</f>
        <v>0.0042</v>
      </c>
      <c r="P57" s="17" t="n">
        <f aca="false">+Chạy!O141</f>
        <v>-1.35</v>
      </c>
      <c r="Q57" s="17" t="n">
        <f aca="false">P57+R57</f>
        <v>-1.357</v>
      </c>
      <c r="R57" s="17" t="n">
        <f aca="false">RANDBETWEEN(-30,90)/1000</f>
        <v>-0.007</v>
      </c>
      <c r="S57" s="18"/>
      <c r="T57" s="19" t="n">
        <v>13.25</v>
      </c>
    </row>
    <row r="58" customFormat="false" ht="15" hidden="false" customHeight="false" outlineLevel="0" collapsed="false">
      <c r="A58" s="14" t="n">
        <v>36</v>
      </c>
      <c r="B58" s="15" t="s">
        <v>51</v>
      </c>
      <c r="C58" s="16" t="n">
        <f aca="false">+C57+T57</f>
        <v>737.36</v>
      </c>
      <c r="D58" s="17" t="n">
        <f aca="false">+Chạy!F145</f>
        <v>-8.68</v>
      </c>
      <c r="E58" s="17" t="n">
        <f aca="false">+D58+F58</f>
        <v>-8.6735</v>
      </c>
      <c r="F58" s="17" t="n">
        <f aca="false">RANDBETWEEN(-105,115)/10000</f>
        <v>0.0065</v>
      </c>
      <c r="G58" s="17" t="n">
        <f aca="false">+Chạy!G145</f>
        <v>-1.35</v>
      </c>
      <c r="H58" s="17" t="n">
        <f aca="false">G58+I58</f>
        <v>-1.312</v>
      </c>
      <c r="I58" s="17" t="n">
        <f aca="false">RANDBETWEEN(-30,90)/1000</f>
        <v>0.038</v>
      </c>
      <c r="J58" s="17" t="n">
        <f aca="false">+Chạy!K145</f>
        <v>-1.35</v>
      </c>
      <c r="K58" s="17" t="n">
        <f aca="false">J58+L58</f>
        <v>-1.367</v>
      </c>
      <c r="L58" s="17" t="n">
        <f aca="false">RANDBETWEEN(-30,90)/1000</f>
        <v>-0.017</v>
      </c>
      <c r="M58" s="17" t="n">
        <f aca="false">+Chạy!N145</f>
        <v>8.8</v>
      </c>
      <c r="N58" s="17" t="n">
        <f aca="false">+M58+O58</f>
        <v>8.8097</v>
      </c>
      <c r="O58" s="17" t="n">
        <f aca="false">RANDBETWEEN(-105,115)/10000</f>
        <v>0.0097</v>
      </c>
      <c r="P58" s="17" t="n">
        <f aca="false">+Chạy!O145</f>
        <v>-1.35</v>
      </c>
      <c r="Q58" s="17" t="n">
        <f aca="false">P58+R58</f>
        <v>-1.309</v>
      </c>
      <c r="R58" s="17" t="n">
        <f aca="false">RANDBETWEEN(-30,90)/1000</f>
        <v>0.041</v>
      </c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74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75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76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77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">
        <v>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</row>
    <row r="3" s="30" customFormat="true" ht="37.5" hidden="false" customHeight="true" outlineLevel="0" collapsed="false">
      <c r="A3" s="28" t="s">
        <v>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56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57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58</v>
      </c>
      <c r="B7" s="32"/>
      <c r="D7" s="33" t="s">
        <v>59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62</v>
      </c>
      <c r="C9" s="35" t="s">
        <v>63</v>
      </c>
      <c r="D9" s="36" t="s">
        <v>79</v>
      </c>
      <c r="E9" s="37"/>
      <c r="F9" s="37"/>
      <c r="G9" s="36"/>
      <c r="H9" s="37"/>
      <c r="I9" s="37"/>
      <c r="J9" s="37"/>
      <c r="K9" s="37"/>
      <c r="L9" s="37"/>
      <c r="M9" s="38" t="s">
        <v>80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67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81</v>
      </c>
      <c r="O10" s="38" t="s">
        <v>82</v>
      </c>
      <c r="P10" s="38" t="s">
        <v>81</v>
      </c>
      <c r="Q10" s="38" t="s">
        <v>81</v>
      </c>
      <c r="R10" s="38"/>
      <c r="S10" s="38"/>
      <c r="T10" s="38"/>
      <c r="U10" s="38" t="s">
        <v>83</v>
      </c>
      <c r="V10" s="38" t="s">
        <v>83</v>
      </c>
      <c r="W10" s="38" t="s">
        <v>84</v>
      </c>
      <c r="X10" s="38" t="s">
        <v>83</v>
      </c>
      <c r="Y10" s="38" t="s">
        <v>83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B4</v>
      </c>
      <c r="C11" s="16" t="n">
        <f aca="false">'1.KTHH L1'!C23</f>
        <v>211</v>
      </c>
      <c r="D11" s="14" t="n">
        <f aca="false">'1.KTHH L1'!T23</f>
        <v>13.25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1.44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19.345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12</v>
      </c>
      <c r="C12" s="16" t="n">
        <f aca="false">'1.KTHH L1'!C24</f>
        <v>224.25</v>
      </c>
      <c r="D12" s="14" t="n">
        <f aca="false">'1.KTHH L1'!T24</f>
        <v>21.5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1.48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27.305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13</v>
      </c>
      <c r="C13" s="16" t="n">
        <f aca="false">'1.KTHH L1'!C25</f>
        <v>245.75</v>
      </c>
      <c r="D13" s="14" t="n">
        <f aca="false">'1.KTHH L1'!T25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1.06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13.0425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B5</v>
      </c>
      <c r="C14" s="16" t="n">
        <f aca="false">'1.KTHH L1'!C26</f>
        <v>257.5</v>
      </c>
      <c r="D14" s="14" t="n">
        <f aca="false">'1.KTHH L1'!T26</f>
        <v>11.75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1.16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13.0425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14</v>
      </c>
      <c r="C15" s="16" t="n">
        <f aca="false">'1.KTHH L1'!C27</f>
        <v>269.25</v>
      </c>
      <c r="D15" s="14" t="n">
        <f aca="false">'1.KTHH L1'!T27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1.06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21.2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15</v>
      </c>
      <c r="C16" s="16" t="n">
        <f aca="false">'1.KTHH L1'!C28</f>
        <v>289.25</v>
      </c>
      <c r="D16" s="14" t="n">
        <f aca="false">'1.KTHH L1'!T28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1.06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21.2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16</v>
      </c>
      <c r="C17" s="16" t="n">
        <f aca="false">'1.KTHH L1'!C29</f>
        <v>309.25</v>
      </c>
      <c r="D17" s="14" t="n">
        <f aca="false">'1.KTHH L1'!T29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1.06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21.2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17</v>
      </c>
      <c r="C18" s="16" t="n">
        <f aca="false">'1.KTHH L1'!C30</f>
        <v>329.25</v>
      </c>
      <c r="D18" s="14" t="n">
        <f aca="false">'1.KTHH L1'!T30</f>
        <v>20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1.06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21.2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18</v>
      </c>
      <c r="C19" s="16" t="n">
        <f aca="false">'1.KTHH L1'!C31</f>
        <v>349.25</v>
      </c>
      <c r="D19" s="14" t="n">
        <f aca="false">'1.KTHH L1'!T31</f>
        <v>19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Chạy!E37</f>
        <v>1.06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23.655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'1.KTHH L1'!B32</f>
        <v>19</v>
      </c>
      <c r="C20" s="16" t="n">
        <f aca="false">'1.KTHH L1'!C32</f>
        <v>368.25</v>
      </c>
      <c r="D20" s="14" t="n">
        <f aca="false">'1.KTHH L1'!T32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Chạy!E41</f>
        <v>1.43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21.5975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'1.KTHH L1'!B33</f>
        <v>C2</v>
      </c>
      <c r="C21" s="16" t="n">
        <f aca="false">'1.KTHH L1'!C33</f>
        <v>381.5</v>
      </c>
      <c r="D21" s="14" t="n">
        <f aca="false">'1.KTHH L1'!T33</f>
        <v>13.25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Chạy!E45</f>
        <v>1.83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24.04875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'1.KTHH L1'!B34</f>
        <v>20</v>
      </c>
      <c r="C22" s="16" t="n">
        <f aca="false">'1.KTHH L1'!C34</f>
        <v>394.75</v>
      </c>
      <c r="D22" s="14" t="n">
        <f aca="false">'1.KTHH L1'!T34</f>
        <v>20</v>
      </c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Chạy!E49</f>
        <v>1.8</v>
      </c>
      <c r="P22" s="47"/>
      <c r="Q22" s="47"/>
      <c r="R22" s="50"/>
      <c r="S22" s="50"/>
      <c r="T22" s="50"/>
      <c r="U22" s="50"/>
      <c r="V22" s="50"/>
      <c r="W22" s="50" t="n">
        <f aca="false">(O22+O23)*D22/2</f>
        <v>36.1</v>
      </c>
      <c r="X22" s="50"/>
      <c r="Y22" s="50"/>
      <c r="Z22" s="50"/>
      <c r="AA22" s="50"/>
      <c r="AB22" s="51"/>
      <c r="AC22" s="50"/>
      <c r="AE22" s="52"/>
    </row>
    <row r="23" s="45" customFormat="true" ht="15" hidden="false" customHeight="true" outlineLevel="0" collapsed="false">
      <c r="A23" s="14" t="n">
        <v>13</v>
      </c>
      <c r="B23" s="14" t="str">
        <f aca="false">'1.KTHH L1'!B35</f>
        <v>21</v>
      </c>
      <c r="C23" s="16" t="n">
        <f aca="false">'1.KTHH L1'!C35</f>
        <v>414.75</v>
      </c>
      <c r="D23" s="14" t="n">
        <f aca="false">'1.KTHH L1'!T35</f>
        <v>20</v>
      </c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 t="n">
        <f aca="false">Chạy!E53</f>
        <v>1.81</v>
      </c>
      <c r="P23" s="47"/>
      <c r="Q23" s="47"/>
      <c r="R23" s="50"/>
      <c r="S23" s="50"/>
      <c r="T23" s="50"/>
      <c r="U23" s="50"/>
      <c r="V23" s="50"/>
      <c r="W23" s="50" t="n">
        <f aca="false">(O23+O24)*D23/2</f>
        <v>35.8</v>
      </c>
      <c r="X23" s="50"/>
      <c r="Y23" s="50"/>
      <c r="Z23" s="50"/>
      <c r="AA23" s="50"/>
      <c r="AB23" s="51"/>
      <c r="AC23" s="50"/>
      <c r="AE23" s="52"/>
    </row>
    <row r="24" s="45" customFormat="true" ht="15" hidden="false" customHeight="true" outlineLevel="0" collapsed="false">
      <c r="A24" s="14" t="n">
        <v>14</v>
      </c>
      <c r="B24" s="14" t="str">
        <f aca="false">'1.KTHH L1'!B36</f>
        <v>22</v>
      </c>
      <c r="C24" s="16" t="n">
        <f aca="false">'1.KTHH L1'!C36</f>
        <v>434.75</v>
      </c>
      <c r="D24" s="14" t="n">
        <f aca="false">'1.KTHH L1'!T36</f>
        <v>20</v>
      </c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 t="n">
        <f aca="false">Chạy!E57</f>
        <v>1.77</v>
      </c>
      <c r="P24" s="47"/>
      <c r="Q24" s="47"/>
      <c r="R24" s="50"/>
      <c r="S24" s="50"/>
      <c r="T24" s="50"/>
      <c r="U24" s="50"/>
      <c r="V24" s="50"/>
      <c r="W24" s="50" t="n">
        <f aca="false">(O24+O25)*D24/2</f>
        <v>34.2</v>
      </c>
      <c r="X24" s="50"/>
      <c r="Y24" s="50"/>
      <c r="Z24" s="50"/>
      <c r="AA24" s="50"/>
      <c r="AB24" s="51"/>
      <c r="AC24" s="50"/>
      <c r="AE24" s="52"/>
    </row>
    <row r="25" s="45" customFormat="true" ht="15" hidden="false" customHeight="true" outlineLevel="0" collapsed="false">
      <c r="A25" s="14" t="n">
        <v>15</v>
      </c>
      <c r="B25" s="14" t="str">
        <f aca="false">'1.KTHH L1'!B37</f>
        <v>23</v>
      </c>
      <c r="C25" s="16" t="n">
        <f aca="false">'1.KTHH L1'!C37</f>
        <v>454.75</v>
      </c>
      <c r="D25" s="14" t="n">
        <f aca="false">'1.KTHH L1'!T37</f>
        <v>20</v>
      </c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 t="n">
        <f aca="false">Chạy!E61</f>
        <v>1.65</v>
      </c>
      <c r="P25" s="47"/>
      <c r="Q25" s="47"/>
      <c r="R25" s="50"/>
      <c r="S25" s="50"/>
      <c r="T25" s="50"/>
      <c r="U25" s="50"/>
      <c r="V25" s="50"/>
      <c r="W25" s="50" t="n">
        <f aca="false">(O25+O26)*D25/2</f>
        <v>33.7</v>
      </c>
      <c r="X25" s="50"/>
      <c r="Y25" s="50"/>
      <c r="Z25" s="50"/>
      <c r="AA25" s="50"/>
      <c r="AB25" s="51"/>
      <c r="AC25" s="50"/>
      <c r="AE25" s="52"/>
    </row>
    <row r="26" s="45" customFormat="true" ht="15" hidden="false" customHeight="true" outlineLevel="0" collapsed="false">
      <c r="A26" s="14" t="n">
        <v>16</v>
      </c>
      <c r="B26" s="14" t="str">
        <f aca="false">'1.KTHH L1'!B38</f>
        <v>24</v>
      </c>
      <c r="C26" s="16" t="n">
        <f aca="false">'1.KTHH L1'!C38</f>
        <v>474.75</v>
      </c>
      <c r="D26" s="14" t="n">
        <f aca="false">'1.KTHH L1'!T38</f>
        <v>14.44</v>
      </c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 t="n">
        <f aca="false">Chạy!E65</f>
        <v>1.72</v>
      </c>
      <c r="P26" s="47"/>
      <c r="Q26" s="47"/>
      <c r="R26" s="50"/>
      <c r="S26" s="50"/>
      <c r="T26" s="50"/>
      <c r="U26" s="50"/>
      <c r="V26" s="50"/>
      <c r="W26" s="50" t="n">
        <f aca="false">(O26+O27)*D26/2</f>
        <v>22.382</v>
      </c>
      <c r="X26" s="50"/>
      <c r="Y26" s="50"/>
      <c r="Z26" s="50"/>
      <c r="AA26" s="50"/>
      <c r="AB26" s="51"/>
      <c r="AC26" s="50"/>
      <c r="AE26" s="52"/>
    </row>
    <row r="27" s="45" customFormat="true" ht="15" hidden="false" customHeight="true" outlineLevel="0" collapsed="false">
      <c r="A27" s="14" t="n">
        <v>17</v>
      </c>
      <c r="B27" s="14" t="str">
        <f aca="false">'1.KTHH L1'!B39</f>
        <v>25</v>
      </c>
      <c r="C27" s="16" t="n">
        <f aca="false">'1.KTHH L1'!C39</f>
        <v>489.19</v>
      </c>
      <c r="D27" s="14" t="n">
        <f aca="false">'1.KTHH L1'!T39</f>
        <v>13.17</v>
      </c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 t="n">
        <f aca="false">Chạy!E69</f>
        <v>1.38</v>
      </c>
      <c r="P27" s="47"/>
      <c r="Q27" s="47"/>
      <c r="R27" s="50"/>
      <c r="S27" s="50"/>
      <c r="T27" s="50"/>
      <c r="U27" s="50"/>
      <c r="V27" s="50"/>
      <c r="W27" s="50" t="n">
        <f aca="false">(O27+O28)*D27/2</f>
        <v>21.53295</v>
      </c>
      <c r="X27" s="50"/>
      <c r="Y27" s="50"/>
      <c r="Z27" s="50"/>
      <c r="AA27" s="50"/>
      <c r="AB27" s="51"/>
      <c r="AC27" s="50"/>
      <c r="AE27" s="52"/>
    </row>
    <row r="28" s="45" customFormat="true" ht="15" hidden="false" customHeight="true" outlineLevel="0" collapsed="false">
      <c r="A28" s="14" t="n">
        <v>18</v>
      </c>
      <c r="B28" s="14" t="str">
        <f aca="false">'1.KTHH L1'!B40</f>
        <v>D1</v>
      </c>
      <c r="C28" s="16" t="n">
        <f aca="false">'1.KTHH L1'!C40</f>
        <v>502.36</v>
      </c>
      <c r="D28" s="14" t="n">
        <f aca="false">'1.KTHH L1'!T40</f>
        <v>10.48</v>
      </c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 t="n">
        <f aca="false">Chạy!E73</f>
        <v>1.89</v>
      </c>
      <c r="P28" s="47"/>
      <c r="Q28" s="47"/>
      <c r="R28" s="50"/>
      <c r="S28" s="50"/>
      <c r="T28" s="50"/>
      <c r="U28" s="50"/>
      <c r="V28" s="50"/>
      <c r="W28" s="50" t="n">
        <f aca="false">(O28+O29)*D28/2</f>
        <v>19.4928</v>
      </c>
      <c r="X28" s="50"/>
      <c r="Y28" s="50"/>
      <c r="Z28" s="50"/>
      <c r="AA28" s="50"/>
      <c r="AB28" s="51"/>
      <c r="AC28" s="50"/>
      <c r="AE28" s="52"/>
    </row>
    <row r="29" s="45" customFormat="true" ht="15" hidden="false" customHeight="true" outlineLevel="0" collapsed="false">
      <c r="A29" s="14" t="n">
        <v>19</v>
      </c>
      <c r="B29" s="14" t="str">
        <f aca="false">'1.KTHH L1'!B41</f>
        <v>26</v>
      </c>
      <c r="C29" s="16" t="n">
        <f aca="false">'1.KTHH L1'!C41</f>
        <v>512.84</v>
      </c>
      <c r="D29" s="14" t="n">
        <f aca="false">'1.KTHH L1'!T41</f>
        <v>16.78</v>
      </c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 t="n">
        <f aca="false">Chạy!E77</f>
        <v>1.83</v>
      </c>
      <c r="P29" s="47"/>
      <c r="Q29" s="47"/>
      <c r="R29" s="50"/>
      <c r="S29" s="50"/>
      <c r="T29" s="50"/>
      <c r="U29" s="50"/>
      <c r="V29" s="50"/>
      <c r="W29" s="50" t="n">
        <f aca="false">(O29+O30)*D29/2</f>
        <v>31.2108</v>
      </c>
      <c r="X29" s="50"/>
      <c r="Y29" s="50"/>
      <c r="Z29" s="50"/>
      <c r="AA29" s="50"/>
      <c r="AB29" s="51"/>
      <c r="AC29" s="50"/>
      <c r="AE29" s="52"/>
    </row>
    <row r="30" s="45" customFormat="true" ht="15" hidden="false" customHeight="true" outlineLevel="0" collapsed="false">
      <c r="A30" s="14" t="n">
        <v>20</v>
      </c>
      <c r="B30" s="14" t="str">
        <f aca="false">'1.KTHH L1'!B42</f>
        <v>27</v>
      </c>
      <c r="C30" s="16" t="n">
        <f aca="false">'1.KTHH L1'!C42</f>
        <v>529.62</v>
      </c>
      <c r="D30" s="14" t="n">
        <f aca="false">'1.KTHH L1'!T42</f>
        <v>17.1</v>
      </c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 t="n">
        <f aca="false">Chạy!E81</f>
        <v>1.89</v>
      </c>
      <c r="P30" s="47"/>
      <c r="Q30" s="47"/>
      <c r="R30" s="50"/>
      <c r="S30" s="50"/>
      <c r="T30" s="50"/>
      <c r="U30" s="50"/>
      <c r="V30" s="50"/>
      <c r="W30" s="50" t="n">
        <f aca="false">(O30+O31)*D30/2</f>
        <v>27.9585</v>
      </c>
      <c r="X30" s="50"/>
      <c r="Y30" s="50"/>
      <c r="Z30" s="50"/>
      <c r="AA30" s="50"/>
      <c r="AB30" s="51"/>
      <c r="AC30" s="50"/>
      <c r="AE30" s="52"/>
    </row>
    <row r="31" s="45" customFormat="true" ht="15" hidden="false" customHeight="true" outlineLevel="0" collapsed="false">
      <c r="A31" s="14" t="n">
        <v>21</v>
      </c>
      <c r="B31" s="14" t="str">
        <f aca="false">'1.KTHH L1'!B43</f>
        <v>28</v>
      </c>
      <c r="C31" s="16" t="n">
        <f aca="false">'1.KTHH L1'!C43</f>
        <v>546.72</v>
      </c>
      <c r="D31" s="14" t="n">
        <f aca="false">'1.KTHH L1'!T43</f>
        <v>15.15</v>
      </c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 t="n">
        <f aca="false">Chạy!E85</f>
        <v>1.38</v>
      </c>
      <c r="P31" s="47"/>
      <c r="Q31" s="47"/>
      <c r="R31" s="50"/>
      <c r="S31" s="50"/>
      <c r="T31" s="50"/>
      <c r="U31" s="50"/>
      <c r="V31" s="50"/>
      <c r="W31" s="50" t="n">
        <f aca="false">(O31+O32)*D31/2</f>
        <v>24.24</v>
      </c>
      <c r="X31" s="50"/>
      <c r="Y31" s="50"/>
      <c r="Z31" s="50"/>
      <c r="AA31" s="50"/>
      <c r="AB31" s="51"/>
      <c r="AC31" s="50"/>
      <c r="AE31" s="52"/>
    </row>
    <row r="32" s="45" customFormat="true" ht="15" hidden="false" customHeight="true" outlineLevel="0" collapsed="false">
      <c r="A32" s="14" t="n">
        <v>22</v>
      </c>
      <c r="B32" s="14" t="str">
        <f aca="false">'1.KTHH L1'!B44</f>
        <v>E5</v>
      </c>
      <c r="C32" s="16" t="n">
        <f aca="false">'1.KTHH L1'!C44</f>
        <v>561.87</v>
      </c>
      <c r="D32" s="14" t="n">
        <f aca="false">'1.KTHH L1'!T44</f>
        <v>0.15</v>
      </c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 t="n">
        <f aca="false">Chạy!E89</f>
        <v>1.82</v>
      </c>
      <c r="P32" s="47"/>
      <c r="Q32" s="47"/>
      <c r="R32" s="50"/>
      <c r="S32" s="50"/>
      <c r="T32" s="50"/>
      <c r="U32" s="50"/>
      <c r="V32" s="50"/>
      <c r="W32" s="50" t="n">
        <f aca="false">(O32+O33)*D32/2</f>
        <v>0.273</v>
      </c>
      <c r="X32" s="50"/>
      <c r="Y32" s="50"/>
      <c r="Z32" s="50"/>
      <c r="AA32" s="50"/>
      <c r="AB32" s="51"/>
      <c r="AC32" s="50"/>
      <c r="AE32" s="52"/>
    </row>
    <row r="33" s="45" customFormat="true" ht="15" hidden="false" customHeight="true" outlineLevel="0" collapsed="false">
      <c r="A33" s="14" t="n">
        <v>23</v>
      </c>
      <c r="B33" s="14" t="str">
        <f aca="false">'1.KTHH L1'!B45</f>
        <v>TD</v>
      </c>
      <c r="C33" s="16" t="n">
        <f aca="false">'1.KTHH L1'!C45</f>
        <v>562.02</v>
      </c>
      <c r="D33" s="14" t="n">
        <f aca="false">'1.KTHH L1'!T45</f>
        <v>6.55</v>
      </c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 t="n">
        <f aca="false">Chạy!E93</f>
        <v>1.82</v>
      </c>
      <c r="P33" s="47"/>
      <c r="Q33" s="47"/>
      <c r="R33" s="50"/>
      <c r="S33" s="50"/>
      <c r="T33" s="50"/>
      <c r="U33" s="50"/>
      <c r="V33" s="50"/>
      <c r="W33" s="50" t="n">
        <f aca="false">(O33+O34)*D33/2</f>
        <v>12.08475</v>
      </c>
      <c r="X33" s="50"/>
      <c r="Y33" s="50"/>
      <c r="Z33" s="50"/>
      <c r="AA33" s="50"/>
      <c r="AB33" s="51"/>
      <c r="AC33" s="50"/>
      <c r="AE33" s="52"/>
    </row>
    <row r="34" s="45" customFormat="true" ht="15" hidden="false" customHeight="true" outlineLevel="0" collapsed="false">
      <c r="A34" s="14" t="n">
        <v>24</v>
      </c>
      <c r="B34" s="14" t="str">
        <f aca="false">'1.KTHH L1'!B46</f>
        <v>P</v>
      </c>
      <c r="C34" s="16" t="n">
        <f aca="false">'1.KTHH L1'!C46</f>
        <v>568.57</v>
      </c>
      <c r="D34" s="14" t="n">
        <f aca="false">'1.KTHH L1'!T46</f>
        <v>6.55</v>
      </c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 t="n">
        <f aca="false">Chạy!E97</f>
        <v>1.87</v>
      </c>
      <c r="P34" s="47"/>
      <c r="Q34" s="47"/>
      <c r="R34" s="50"/>
      <c r="S34" s="50"/>
      <c r="T34" s="50"/>
      <c r="U34" s="50"/>
      <c r="V34" s="50"/>
      <c r="W34" s="50" t="n">
        <f aca="false">(O34+O35)*D34/2</f>
        <v>11.8555</v>
      </c>
      <c r="X34" s="50"/>
      <c r="Y34" s="50"/>
      <c r="Z34" s="50"/>
      <c r="AA34" s="50"/>
      <c r="AB34" s="51"/>
      <c r="AC34" s="50"/>
      <c r="AE34" s="52"/>
    </row>
    <row r="35" s="45" customFormat="true" ht="15" hidden="false" customHeight="true" outlineLevel="0" collapsed="false">
      <c r="A35" s="14" t="n">
        <v>25</v>
      </c>
      <c r="B35" s="14" t="str">
        <f aca="false">'1.KTHH L1'!B47</f>
        <v>TC</v>
      </c>
      <c r="C35" s="16" t="n">
        <f aca="false">'1.KTHH L1'!C47</f>
        <v>575.12</v>
      </c>
      <c r="D35" s="14" t="n">
        <f aca="false">'1.KTHH L1'!T47</f>
        <v>0.04</v>
      </c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 t="n">
        <f aca="false">Chạy!E101</f>
        <v>1.75</v>
      </c>
      <c r="P35" s="47"/>
      <c r="Q35" s="47"/>
      <c r="R35" s="50"/>
      <c r="S35" s="50"/>
      <c r="T35" s="50"/>
      <c r="U35" s="50"/>
      <c r="V35" s="50"/>
      <c r="W35" s="50" t="n">
        <f aca="false">(O35+O36)*D35/2</f>
        <v>0.0696</v>
      </c>
      <c r="X35" s="50"/>
      <c r="Y35" s="50"/>
      <c r="Z35" s="50"/>
      <c r="AA35" s="50"/>
      <c r="AB35" s="51"/>
      <c r="AC35" s="50"/>
      <c r="AE35" s="52"/>
    </row>
    <row r="36" s="45" customFormat="true" ht="15" hidden="false" customHeight="true" outlineLevel="0" collapsed="false">
      <c r="A36" s="14" t="n">
        <v>26</v>
      </c>
      <c r="B36" s="14" t="str">
        <f aca="false">'1.KTHH L1'!B48</f>
        <v>29</v>
      </c>
      <c r="C36" s="16" t="n">
        <f aca="false">'1.KTHH L1'!C48</f>
        <v>575.16</v>
      </c>
      <c r="D36" s="14" t="n">
        <f aca="false">'1.KTHH L1'!T48</f>
        <v>16.95</v>
      </c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 t="n">
        <f aca="false">Chạy!E105</f>
        <v>1.73</v>
      </c>
      <c r="P36" s="47"/>
      <c r="Q36" s="47"/>
      <c r="R36" s="50"/>
      <c r="S36" s="50"/>
      <c r="T36" s="50"/>
      <c r="U36" s="50"/>
      <c r="V36" s="50"/>
      <c r="W36" s="50" t="n">
        <f aca="false">(O36+O37)*D36/2</f>
        <v>30.171</v>
      </c>
      <c r="X36" s="50"/>
      <c r="Y36" s="50"/>
      <c r="Z36" s="50"/>
      <c r="AA36" s="50"/>
      <c r="AB36" s="51"/>
      <c r="AC36" s="50"/>
      <c r="AE36" s="52"/>
    </row>
    <row r="37" s="45" customFormat="true" ht="15" hidden="false" customHeight="true" outlineLevel="0" collapsed="false">
      <c r="A37" s="14" t="n">
        <v>27</v>
      </c>
      <c r="B37" s="14" t="str">
        <f aca="false">'1.KTHH L1'!B49</f>
        <v>30</v>
      </c>
      <c r="C37" s="16" t="n">
        <f aca="false">'1.KTHH L1'!C49</f>
        <v>592.11</v>
      </c>
      <c r="D37" s="14" t="n">
        <f aca="false">'1.KTHH L1'!T49</f>
        <v>17</v>
      </c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 t="n">
        <f aca="false">Chạy!E109</f>
        <v>1.83</v>
      </c>
      <c r="P37" s="47"/>
      <c r="Q37" s="47"/>
      <c r="R37" s="50"/>
      <c r="S37" s="50"/>
      <c r="T37" s="50"/>
      <c r="U37" s="50"/>
      <c r="V37" s="50"/>
      <c r="W37" s="50" t="n">
        <f aca="false">(O37+O38)*D37/2</f>
        <v>29.58</v>
      </c>
      <c r="X37" s="50"/>
      <c r="Y37" s="50"/>
      <c r="Z37" s="50"/>
      <c r="AA37" s="50"/>
      <c r="AB37" s="51"/>
      <c r="AC37" s="50"/>
      <c r="AE37" s="52"/>
    </row>
    <row r="38" s="45" customFormat="true" ht="15" hidden="false" customHeight="true" outlineLevel="0" collapsed="false">
      <c r="A38" s="14" t="n">
        <v>28</v>
      </c>
      <c r="B38" s="14" t="str">
        <f aca="false">'1.KTHH L1'!B50</f>
        <v>31</v>
      </c>
      <c r="C38" s="16" t="n">
        <f aca="false">'1.KTHH L1'!C50</f>
        <v>609.11</v>
      </c>
      <c r="D38" s="14" t="n">
        <f aca="false">'1.KTHH L1'!T50</f>
        <v>11.75</v>
      </c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 t="n">
        <f aca="false">Chạy!E113</f>
        <v>1.65</v>
      </c>
      <c r="P38" s="47"/>
      <c r="Q38" s="47"/>
      <c r="R38" s="50"/>
      <c r="S38" s="50"/>
      <c r="T38" s="50"/>
      <c r="U38" s="50"/>
      <c r="V38" s="50"/>
      <c r="W38" s="50" t="n">
        <f aca="false">(O38+O39)*D38/2</f>
        <v>19.27</v>
      </c>
      <c r="X38" s="50"/>
      <c r="Y38" s="50"/>
      <c r="Z38" s="50"/>
      <c r="AA38" s="50"/>
      <c r="AB38" s="51"/>
      <c r="AC38" s="50"/>
      <c r="AE38" s="52"/>
    </row>
    <row r="39" s="45" customFormat="true" ht="15" hidden="false" customHeight="true" outlineLevel="0" collapsed="false">
      <c r="A39" s="14" t="n">
        <v>29</v>
      </c>
      <c r="B39" s="14" t="str">
        <f aca="false">'1.KTHH L1'!B51</f>
        <v>E10</v>
      </c>
      <c r="C39" s="16" t="n">
        <f aca="false">'1.KTHH L1'!C51</f>
        <v>620.86</v>
      </c>
      <c r="D39" s="14" t="n">
        <f aca="false">'1.KTHH L1'!T51</f>
        <v>11.75</v>
      </c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 t="n">
        <f aca="false">Chạy!E117</f>
        <v>1.63</v>
      </c>
      <c r="P39" s="47"/>
      <c r="Q39" s="47"/>
      <c r="R39" s="50"/>
      <c r="S39" s="50"/>
      <c r="T39" s="50"/>
      <c r="U39" s="50"/>
      <c r="V39" s="50"/>
      <c r="W39" s="50" t="n">
        <f aca="false">(O39+O40)*D39/2</f>
        <v>20.0925</v>
      </c>
      <c r="X39" s="50"/>
      <c r="Y39" s="50"/>
      <c r="Z39" s="50"/>
      <c r="AA39" s="50"/>
      <c r="AB39" s="51"/>
      <c r="AC39" s="50"/>
      <c r="AE39" s="52"/>
    </row>
    <row r="40" s="45" customFormat="true" ht="15" hidden="false" customHeight="true" outlineLevel="0" collapsed="false">
      <c r="A40" s="14" t="n">
        <v>30</v>
      </c>
      <c r="B40" s="14" t="str">
        <f aca="false">'1.KTHH L1'!B52</f>
        <v>32</v>
      </c>
      <c r="C40" s="16" t="n">
        <f aca="false">'1.KTHH L1'!C52</f>
        <v>632.61</v>
      </c>
      <c r="D40" s="14" t="n">
        <f aca="false">'1.KTHH L1'!T52</f>
        <v>20</v>
      </c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 t="n">
        <f aca="false">Chạy!E121</f>
        <v>1.79</v>
      </c>
      <c r="P40" s="47"/>
      <c r="Q40" s="47"/>
      <c r="R40" s="50"/>
      <c r="S40" s="50"/>
      <c r="T40" s="50"/>
      <c r="U40" s="50"/>
      <c r="V40" s="50"/>
      <c r="W40" s="50" t="n">
        <f aca="false">(O40+O41)*D40/2</f>
        <v>37</v>
      </c>
      <c r="X40" s="50"/>
      <c r="Y40" s="50"/>
      <c r="Z40" s="50"/>
      <c r="AA40" s="50"/>
      <c r="AB40" s="51"/>
      <c r="AC40" s="50"/>
      <c r="AE40" s="52"/>
    </row>
    <row r="41" s="45" customFormat="true" ht="15" hidden="false" customHeight="true" outlineLevel="0" collapsed="false">
      <c r="A41" s="14" t="n">
        <v>31</v>
      </c>
      <c r="B41" s="14" t="str">
        <f aca="false">'1.KTHH L1'!B53</f>
        <v>33</v>
      </c>
      <c r="C41" s="16" t="n">
        <f aca="false">'1.KTHH L1'!C53</f>
        <v>652.61</v>
      </c>
      <c r="D41" s="14" t="n">
        <f aca="false">'1.KTHH L1'!T53</f>
        <v>20</v>
      </c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 t="n">
        <f aca="false">Chạy!E125</f>
        <v>1.91</v>
      </c>
      <c r="P41" s="47"/>
      <c r="Q41" s="47"/>
      <c r="R41" s="50"/>
      <c r="S41" s="50"/>
      <c r="T41" s="50"/>
      <c r="U41" s="50"/>
      <c r="V41" s="50"/>
      <c r="W41" s="50" t="n">
        <f aca="false">(O41+O42)*D41/2</f>
        <v>42.6</v>
      </c>
      <c r="X41" s="50"/>
      <c r="Y41" s="50"/>
      <c r="Z41" s="50"/>
      <c r="AA41" s="50"/>
      <c r="AB41" s="51"/>
      <c r="AC41" s="50"/>
      <c r="AE41" s="52"/>
    </row>
    <row r="42" s="45" customFormat="true" ht="15" hidden="false" customHeight="true" outlineLevel="0" collapsed="false">
      <c r="A42" s="14" t="n">
        <v>32</v>
      </c>
      <c r="B42" s="14" t="str">
        <f aca="false">'1.KTHH L1'!B54</f>
        <v>34</v>
      </c>
      <c r="C42" s="16" t="n">
        <f aca="false">'1.KTHH L1'!C54</f>
        <v>672.61</v>
      </c>
      <c r="D42" s="14" t="n">
        <f aca="false">'1.KTHH L1'!T54</f>
        <v>20</v>
      </c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 t="n">
        <f aca="false">Chạy!E129</f>
        <v>2.35</v>
      </c>
      <c r="P42" s="47"/>
      <c r="Q42" s="47"/>
      <c r="R42" s="50"/>
      <c r="S42" s="50"/>
      <c r="T42" s="50"/>
      <c r="U42" s="50"/>
      <c r="V42" s="50"/>
      <c r="W42" s="50" t="n">
        <f aca="false">(O42+O43)*D42/2</f>
        <v>42.6</v>
      </c>
      <c r="X42" s="50"/>
      <c r="Y42" s="50"/>
      <c r="Z42" s="50"/>
      <c r="AA42" s="50"/>
      <c r="AB42" s="51"/>
      <c r="AC42" s="50"/>
      <c r="AE42" s="52"/>
    </row>
    <row r="43" s="45" customFormat="true" ht="15" hidden="false" customHeight="true" outlineLevel="0" collapsed="false">
      <c r="A43" s="14" t="n">
        <v>33</v>
      </c>
      <c r="B43" s="14" t="str">
        <f aca="false">'1.KTHH L1'!B55</f>
        <v>35</v>
      </c>
      <c r="C43" s="16" t="n">
        <f aca="false">'1.KTHH L1'!C55</f>
        <v>692.61</v>
      </c>
      <c r="D43" s="14" t="n">
        <f aca="false">'1.KTHH L1'!T55</f>
        <v>20</v>
      </c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 t="n">
        <f aca="false">Chạy!E133</f>
        <v>1.91</v>
      </c>
      <c r="P43" s="47"/>
      <c r="Q43" s="47"/>
      <c r="R43" s="50"/>
      <c r="S43" s="50"/>
      <c r="T43" s="50"/>
      <c r="U43" s="50"/>
      <c r="V43" s="50"/>
      <c r="W43" s="50" t="n">
        <f aca="false">(O43+O44)*D43/2</f>
        <v>33.4</v>
      </c>
      <c r="X43" s="50"/>
      <c r="Y43" s="50"/>
      <c r="Z43" s="50"/>
      <c r="AA43" s="50"/>
      <c r="AB43" s="51"/>
      <c r="AC43" s="50"/>
      <c r="AE43" s="52"/>
    </row>
    <row r="44" s="45" customFormat="true" ht="15" hidden="false" customHeight="true" outlineLevel="0" collapsed="false">
      <c r="A44" s="14" t="n">
        <v>34</v>
      </c>
      <c r="B44" s="14" t="str">
        <f aca="false">'1.KTHH L1'!B56</f>
        <v>36</v>
      </c>
      <c r="C44" s="16" t="n">
        <f aca="false">'1.KTHH L1'!C56</f>
        <v>712.61</v>
      </c>
      <c r="D44" s="14" t="n">
        <f aca="false">'1.KTHH L1'!T56</f>
        <v>11.5</v>
      </c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 t="n">
        <f aca="false">Chạy!E137</f>
        <v>1.43</v>
      </c>
      <c r="P44" s="47"/>
      <c r="Q44" s="47"/>
      <c r="R44" s="50"/>
      <c r="S44" s="50"/>
      <c r="T44" s="50"/>
      <c r="U44" s="50"/>
      <c r="V44" s="50"/>
      <c r="W44" s="50" t="n">
        <f aca="false">(O44+O45)*D44/2</f>
        <v>18.9175</v>
      </c>
      <c r="X44" s="50"/>
      <c r="Y44" s="50"/>
      <c r="Z44" s="50"/>
      <c r="AA44" s="50"/>
      <c r="AB44" s="51"/>
      <c r="AC44" s="50"/>
      <c r="AE44" s="52"/>
    </row>
    <row r="45" s="45" customFormat="true" ht="15" hidden="false" customHeight="true" outlineLevel="0" collapsed="false">
      <c r="A45" s="14" t="n">
        <v>35</v>
      </c>
      <c r="B45" s="14" t="str">
        <f aca="false">'1.KTHH L1'!B57</f>
        <v>37</v>
      </c>
      <c r="C45" s="16" t="n">
        <f aca="false">'1.KTHH L1'!C57</f>
        <v>724.11</v>
      </c>
      <c r="D45" s="14" t="n">
        <f aca="false">'1.KTHH L1'!T57</f>
        <v>13.25</v>
      </c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 t="n">
        <f aca="false">Chạy!E141</f>
        <v>1.86</v>
      </c>
      <c r="P45" s="47"/>
      <c r="Q45" s="47"/>
      <c r="R45" s="50"/>
      <c r="S45" s="50"/>
      <c r="T45" s="50"/>
      <c r="U45" s="50"/>
      <c r="V45" s="50"/>
      <c r="W45" s="50" t="n">
        <f aca="false">(O45+O46)*D45/2</f>
        <v>26.16875</v>
      </c>
      <c r="X45" s="50"/>
      <c r="Y45" s="50"/>
      <c r="Z45" s="50"/>
      <c r="AA45" s="50"/>
      <c r="AB45" s="51"/>
      <c r="AC45" s="50"/>
      <c r="AE45" s="52"/>
    </row>
    <row r="46" s="45" customFormat="true" ht="15" hidden="false" customHeight="true" outlineLevel="0" collapsed="false">
      <c r="A46" s="14" t="n">
        <v>36</v>
      </c>
      <c r="B46" s="14" t="str">
        <f aca="false">'1.KTHH L1'!B58</f>
        <v>G6</v>
      </c>
      <c r="C46" s="16" t="n">
        <f aca="false">'1.KTHH L1'!C58</f>
        <v>737.36</v>
      </c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 t="n">
        <f aca="false">Chạy!E145</f>
        <v>2.09</v>
      </c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85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SUM(W11:W46)</f>
        <v>837.5359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74</v>
      </c>
      <c r="B53" s="20"/>
      <c r="C53" s="20"/>
      <c r="D53" s="65" t="s">
        <v>86</v>
      </c>
      <c r="E53" s="20" t="s">
        <v>75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76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77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87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56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58</v>
      </c>
      <c r="C7" s="8"/>
      <c r="D7" s="8"/>
      <c r="E7" s="8"/>
      <c r="F7" s="8"/>
      <c r="G7" s="8" t="s">
        <v>88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61</v>
      </c>
      <c r="B21" s="10" t="s">
        <v>62</v>
      </c>
      <c r="C21" s="10" t="s">
        <v>63</v>
      </c>
      <c r="D21" s="11" t="s">
        <v>64</v>
      </c>
      <c r="E21" s="11"/>
      <c r="F21" s="11"/>
      <c r="G21" s="11"/>
      <c r="H21" s="11"/>
      <c r="I21" s="11"/>
      <c r="J21" s="11" t="s">
        <v>65</v>
      </c>
      <c r="K21" s="11"/>
      <c r="L21" s="11"/>
      <c r="M21" s="11" t="s">
        <v>66</v>
      </c>
      <c r="N21" s="11"/>
      <c r="O21" s="11"/>
      <c r="P21" s="11"/>
      <c r="Q21" s="11"/>
      <c r="R21" s="11"/>
      <c r="S21" s="10" t="s">
        <v>67</v>
      </c>
    </row>
    <row r="22" customFormat="false" ht="30" hidden="false" customHeight="true" outlineLevel="0" collapsed="false">
      <c r="A22" s="10"/>
      <c r="B22" s="10"/>
      <c r="C22" s="10"/>
      <c r="D22" s="12" t="s">
        <v>68</v>
      </c>
      <c r="E22" s="12" t="s">
        <v>69</v>
      </c>
      <c r="F22" s="12" t="s">
        <v>70</v>
      </c>
      <c r="G22" s="12" t="s">
        <v>71</v>
      </c>
      <c r="H22" s="12" t="s">
        <v>72</v>
      </c>
      <c r="I22" s="12" t="s">
        <v>73</v>
      </c>
      <c r="J22" s="12" t="s">
        <v>71</v>
      </c>
      <c r="K22" s="12" t="s">
        <v>72</v>
      </c>
      <c r="L22" s="12" t="s">
        <v>73</v>
      </c>
      <c r="M22" s="12" t="s">
        <v>68</v>
      </c>
      <c r="N22" s="12" t="s">
        <v>69</v>
      </c>
      <c r="O22" s="12" t="s">
        <v>70</v>
      </c>
      <c r="P22" s="12" t="s">
        <v>71</v>
      </c>
      <c r="Q22" s="12" t="s">
        <v>72</v>
      </c>
      <c r="R22" s="12" t="s">
        <v>73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211</v>
      </c>
      <c r="D23" s="17" t="n">
        <f aca="false">+Chạy!F4</f>
        <v>-9.5</v>
      </c>
      <c r="E23" s="17" t="n">
        <f aca="false">+D23+F23</f>
        <v>-9.5002</v>
      </c>
      <c r="F23" s="17" t="n">
        <f aca="false">RANDBETWEEN(-105,115)/10000</f>
        <v>-0.0002</v>
      </c>
      <c r="G23" s="17" t="n">
        <f aca="false">+Chạy!G4</f>
        <v>-1.05</v>
      </c>
      <c r="H23" s="17" t="n">
        <f aca="false">G23+I23</f>
        <v>-1.035</v>
      </c>
      <c r="I23" s="17" t="n">
        <f aca="false">RANDBETWEEN(-30,90)/1000</f>
        <v>0.015</v>
      </c>
      <c r="J23" s="17" t="n">
        <f aca="false">+Chạy!K4</f>
        <v>-1.05</v>
      </c>
      <c r="K23" s="17" t="n">
        <f aca="false">J23+L23</f>
        <v>-1.047</v>
      </c>
      <c r="L23" s="17" t="n">
        <f aca="false">RANDBETWEEN(-30,90)/1000</f>
        <v>0.003</v>
      </c>
      <c r="M23" s="17" t="n">
        <f aca="false">+Chạy!N4</f>
        <v>5.65</v>
      </c>
      <c r="N23" s="17" t="n">
        <f aca="false">+M23+O23</f>
        <v>5.6479</v>
      </c>
      <c r="O23" s="17" t="n">
        <f aca="false">RANDBETWEEN(-105,115)/10000</f>
        <v>-0.0021</v>
      </c>
      <c r="P23" s="17" t="n">
        <f aca="false">+Chạy!O4</f>
        <v>-1.05</v>
      </c>
      <c r="Q23" s="17" t="n">
        <f aca="false">P23+R23</f>
        <v>-1.066</v>
      </c>
      <c r="R23" s="17" t="n">
        <f aca="false">RANDBETWEEN(-30,90)/1000</f>
        <v>-0.016</v>
      </c>
      <c r="S23" s="18"/>
      <c r="T23" s="0" t="n">
        <v>13.25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224.25</v>
      </c>
      <c r="D24" s="17" t="n">
        <f aca="false">+Chạy!F8</f>
        <v>-9.55</v>
      </c>
      <c r="E24" s="17" t="n">
        <f aca="false">+D24+F24</f>
        <v>-9.5469</v>
      </c>
      <c r="F24" s="17" t="n">
        <f aca="false">RANDBETWEEN(-105,115)/10000</f>
        <v>0.0031</v>
      </c>
      <c r="G24" s="17" t="n">
        <f aca="false">+Chạy!G8</f>
        <v>-1.05</v>
      </c>
      <c r="H24" s="17" t="n">
        <f aca="false">G24+I24</f>
        <v>-0.989</v>
      </c>
      <c r="I24" s="17" t="n">
        <f aca="false">RANDBETWEEN(-30,90)/1000</f>
        <v>0.061</v>
      </c>
      <c r="J24" s="17" t="n">
        <f aca="false">+Chạy!K8</f>
        <v>-1.05</v>
      </c>
      <c r="K24" s="17" t="n">
        <f aca="false">J24+L24</f>
        <v>-0.963</v>
      </c>
      <c r="L24" s="17" t="n">
        <f aca="false">RANDBETWEEN(-30,90)/1000</f>
        <v>0.087</v>
      </c>
      <c r="M24" s="17" t="n">
        <f aca="false">+Chạy!N8</f>
        <v>5.9</v>
      </c>
      <c r="N24" s="17" t="n">
        <f aca="false">+M24+O24</f>
        <v>5.9041</v>
      </c>
      <c r="O24" s="17" t="n">
        <f aca="false">RANDBETWEEN(-105,115)/10000</f>
        <v>0.0041</v>
      </c>
      <c r="P24" s="17" t="n">
        <f aca="false">+Chạy!O8</f>
        <v>-1.05</v>
      </c>
      <c r="Q24" s="17" t="n">
        <f aca="false">P24+R24</f>
        <v>-0.992</v>
      </c>
      <c r="R24" s="17" t="n">
        <f aca="false">RANDBETWEEN(-30,90)/1000</f>
        <v>0.058</v>
      </c>
      <c r="S24" s="18"/>
      <c r="T24" s="0" t="n">
        <v>21.5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245.75</v>
      </c>
      <c r="D25" s="17" t="n">
        <f aca="false">+Chạy!F12</f>
        <v>-5.65</v>
      </c>
      <c r="E25" s="17" t="n">
        <f aca="false">+D25+F25</f>
        <v>-5.6469</v>
      </c>
      <c r="F25" s="17" t="n">
        <f aca="false">RANDBETWEEN(-105,115)/10000</f>
        <v>0.0031</v>
      </c>
      <c r="G25" s="17" t="n">
        <f aca="false">+Chạy!G12</f>
        <v>-1.05</v>
      </c>
      <c r="H25" s="17" t="n">
        <f aca="false">G25+I25</f>
        <v>-1.018</v>
      </c>
      <c r="I25" s="17" t="n">
        <f aca="false">RANDBETWEEN(-30,90)/1000</f>
        <v>0.032</v>
      </c>
      <c r="J25" s="17" t="n">
        <f aca="false">+Chạy!K12</f>
        <v>-1.05</v>
      </c>
      <c r="K25" s="17" t="n">
        <f aca="false">J25+L25</f>
        <v>-1.018</v>
      </c>
      <c r="L25" s="17" t="n">
        <f aca="false">RANDBETWEEN(-30,90)/1000</f>
        <v>0.032</v>
      </c>
      <c r="M25" s="17" t="n">
        <f aca="false">+Chạy!N12</f>
        <v>5.65</v>
      </c>
      <c r="N25" s="17" t="n">
        <f aca="false">+M25+O25</f>
        <v>5.6409</v>
      </c>
      <c r="O25" s="17" t="n">
        <f aca="false">RANDBETWEEN(-105,115)/10000</f>
        <v>-0.0091</v>
      </c>
      <c r="P25" s="17" t="n">
        <f aca="false">+Chạy!O12</f>
        <v>-1.05</v>
      </c>
      <c r="Q25" s="17" t="n">
        <f aca="false">P25+R25</f>
        <v>-0.974</v>
      </c>
      <c r="R25" s="17" t="n">
        <f aca="false">RANDBETWEEN(-30,90)/1000</f>
        <v>0.076</v>
      </c>
      <c r="S25" s="18"/>
      <c r="T25" s="0" t="n">
        <v>11.75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257.5</v>
      </c>
      <c r="D26" s="17" t="n">
        <f aca="false">+Chạy!F16</f>
        <v>-5.65</v>
      </c>
      <c r="E26" s="17" t="n">
        <f aca="false">+D26+F26</f>
        <v>-5.6507</v>
      </c>
      <c r="F26" s="17" t="n">
        <f aca="false">RANDBETWEEN(-105,115)/10000</f>
        <v>-0.0007</v>
      </c>
      <c r="G26" s="17" t="n">
        <f aca="false">+Chạy!G16</f>
        <v>-1.05</v>
      </c>
      <c r="H26" s="17" t="n">
        <f aca="false">G26+I26</f>
        <v>-0.967</v>
      </c>
      <c r="I26" s="17" t="n">
        <f aca="false">RANDBETWEEN(-30,90)/1000</f>
        <v>0.083</v>
      </c>
      <c r="J26" s="17" t="n">
        <f aca="false">+Chạy!K16</f>
        <v>-1.05</v>
      </c>
      <c r="K26" s="17" t="n">
        <f aca="false">J26+L26</f>
        <v>-1.078</v>
      </c>
      <c r="L26" s="17" t="n">
        <f aca="false">RANDBETWEEN(-30,90)/1000</f>
        <v>-0.028</v>
      </c>
      <c r="M26" s="17" t="n">
        <f aca="false">+Chạy!N16</f>
        <v>5.65</v>
      </c>
      <c r="N26" s="17" t="n">
        <f aca="false">+M26+O26</f>
        <v>5.6446</v>
      </c>
      <c r="O26" s="17" t="n">
        <f aca="false">RANDBETWEEN(-105,115)/10000</f>
        <v>-0.0054</v>
      </c>
      <c r="P26" s="17" t="n">
        <f aca="false">+Chạy!O16</f>
        <v>-1.05</v>
      </c>
      <c r="Q26" s="17" t="n">
        <f aca="false">P26+R26</f>
        <v>-1.078</v>
      </c>
      <c r="R26" s="17" t="n">
        <f aca="false">RANDBETWEEN(-30,90)/1000</f>
        <v>-0.028</v>
      </c>
      <c r="S26" s="18"/>
      <c r="T26" s="0" t="n">
        <v>11.75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269.25</v>
      </c>
      <c r="D27" s="17" t="n">
        <f aca="false">+Chạy!F20</f>
        <v>-5.65</v>
      </c>
      <c r="E27" s="17" t="n">
        <f aca="false">+D27+F27</f>
        <v>-5.6513</v>
      </c>
      <c r="F27" s="17" t="n">
        <f aca="false">RANDBETWEEN(-105,115)/10000</f>
        <v>-0.0013</v>
      </c>
      <c r="G27" s="17" t="n">
        <f aca="false">+Chạy!G20</f>
        <v>-1.05</v>
      </c>
      <c r="H27" s="17" t="n">
        <f aca="false">G27+I27</f>
        <v>-1.065</v>
      </c>
      <c r="I27" s="17" t="n">
        <f aca="false">RANDBETWEEN(-30,90)/1000</f>
        <v>-0.015</v>
      </c>
      <c r="J27" s="17" t="n">
        <f aca="false">+Chạy!K20</f>
        <v>-1.05</v>
      </c>
      <c r="K27" s="17" t="n">
        <f aca="false">J27+L27</f>
        <v>-0.963</v>
      </c>
      <c r="L27" s="17" t="n">
        <f aca="false">RANDBETWEEN(-30,90)/1000</f>
        <v>0.087</v>
      </c>
      <c r="M27" s="17" t="n">
        <f aca="false">+Chạy!N20</f>
        <v>5.65</v>
      </c>
      <c r="N27" s="17" t="n">
        <f aca="false">+M27+O27</f>
        <v>5.6524</v>
      </c>
      <c r="O27" s="17" t="n">
        <f aca="false">RANDBETWEEN(-105,115)/10000</f>
        <v>0.0024</v>
      </c>
      <c r="P27" s="17" t="n">
        <f aca="false">+Chạy!O20</f>
        <v>-1.05</v>
      </c>
      <c r="Q27" s="17" t="n">
        <f aca="false">P27+R27</f>
        <v>-1.054</v>
      </c>
      <c r="R27" s="17" t="n">
        <f aca="false">RANDBETWEEN(-30,90)/1000</f>
        <v>-0.004</v>
      </c>
      <c r="S27" s="18"/>
      <c r="T27" s="0" t="n">
        <v>20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289.25</v>
      </c>
      <c r="D28" s="17" t="n">
        <f aca="false">+Chạy!F24</f>
        <v>-5.65</v>
      </c>
      <c r="E28" s="17" t="n">
        <f aca="false">+D28+F28</f>
        <v>-5.6576</v>
      </c>
      <c r="F28" s="17" t="n">
        <f aca="false">RANDBETWEEN(-105,115)/10000</f>
        <v>-0.0076</v>
      </c>
      <c r="G28" s="17" t="n">
        <f aca="false">+Chạy!G24</f>
        <v>-1.05</v>
      </c>
      <c r="H28" s="17" t="n">
        <f aca="false">G28+I28</f>
        <v>-1.062</v>
      </c>
      <c r="I28" s="17" t="n">
        <f aca="false">RANDBETWEEN(-30,90)/1000</f>
        <v>-0.012</v>
      </c>
      <c r="J28" s="17" t="n">
        <f aca="false">+Chạy!K24</f>
        <v>-1.05</v>
      </c>
      <c r="K28" s="17" t="n">
        <f aca="false">J28+L28</f>
        <v>-1.022</v>
      </c>
      <c r="L28" s="17" t="n">
        <f aca="false">RANDBETWEEN(-30,90)/1000</f>
        <v>0.028</v>
      </c>
      <c r="M28" s="17" t="n">
        <f aca="false">+Chạy!N24</f>
        <v>5.65</v>
      </c>
      <c r="N28" s="17" t="n">
        <f aca="false">+M28+O28</f>
        <v>5.6572</v>
      </c>
      <c r="O28" s="17" t="n">
        <f aca="false">RANDBETWEEN(-105,115)/10000</f>
        <v>0.0072</v>
      </c>
      <c r="P28" s="17" t="n">
        <f aca="false">+Chạy!O24</f>
        <v>-1.05</v>
      </c>
      <c r="Q28" s="17" t="n">
        <f aca="false">P28+R28</f>
        <v>-1.071</v>
      </c>
      <c r="R28" s="17" t="n">
        <f aca="false">RANDBETWEEN(-30,90)/1000</f>
        <v>-0.021</v>
      </c>
      <c r="S28" s="18"/>
      <c r="T28" s="0" t="n">
        <v>20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309.25</v>
      </c>
      <c r="D29" s="17" t="n">
        <f aca="false">+Chạy!F28</f>
        <v>-5.65</v>
      </c>
      <c r="E29" s="17" t="n">
        <f aca="false">+D29+F29</f>
        <v>-5.653</v>
      </c>
      <c r="F29" s="17" t="n">
        <f aca="false">RANDBETWEEN(-105,115)/10000</f>
        <v>-0.003</v>
      </c>
      <c r="G29" s="17" t="n">
        <f aca="false">+Chạy!G28</f>
        <v>-1.05</v>
      </c>
      <c r="H29" s="17" t="n">
        <f aca="false">G29+I29</f>
        <v>-1.061</v>
      </c>
      <c r="I29" s="17" t="n">
        <f aca="false">RANDBETWEEN(-30,90)/1000</f>
        <v>-0.011</v>
      </c>
      <c r="J29" s="17" t="n">
        <f aca="false">+Chạy!K28</f>
        <v>-1.05</v>
      </c>
      <c r="K29" s="17" t="n">
        <f aca="false">J29+L29</f>
        <v>-1.022</v>
      </c>
      <c r="L29" s="17" t="n">
        <f aca="false">RANDBETWEEN(-30,90)/1000</f>
        <v>0.028</v>
      </c>
      <c r="M29" s="17" t="n">
        <f aca="false">+Chạy!N28</f>
        <v>5.65</v>
      </c>
      <c r="N29" s="17" t="n">
        <f aca="false">+M29+O29</f>
        <v>5.648</v>
      </c>
      <c r="O29" s="17" t="n">
        <f aca="false">RANDBETWEEN(-105,115)/10000</f>
        <v>-0.002</v>
      </c>
      <c r="P29" s="17" t="n">
        <f aca="false">+Chạy!O28</f>
        <v>-1.05</v>
      </c>
      <c r="Q29" s="17" t="n">
        <f aca="false">P29+R29</f>
        <v>-1</v>
      </c>
      <c r="R29" s="17" t="n">
        <f aca="false">RANDBETWEEN(-30,90)/1000</f>
        <v>0.05</v>
      </c>
      <c r="S29" s="18"/>
      <c r="T29" s="0" t="n">
        <v>20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329.25</v>
      </c>
      <c r="D30" s="17" t="n">
        <f aca="false">+Chạy!F32</f>
        <v>-5.65</v>
      </c>
      <c r="E30" s="17" t="n">
        <f aca="false">+D30+F30</f>
        <v>-5.6389</v>
      </c>
      <c r="F30" s="17" t="n">
        <f aca="false">RANDBETWEEN(-105,115)/10000</f>
        <v>0.0111</v>
      </c>
      <c r="G30" s="17" t="n">
        <f aca="false">+Chạy!G32</f>
        <v>-1.05</v>
      </c>
      <c r="H30" s="17" t="n">
        <f aca="false">G30+I30</f>
        <v>-0.98</v>
      </c>
      <c r="I30" s="17" t="n">
        <f aca="false">RANDBETWEEN(-30,90)/1000</f>
        <v>0.07</v>
      </c>
      <c r="J30" s="17" t="n">
        <f aca="false">+Chạy!K32</f>
        <v>-1.05</v>
      </c>
      <c r="K30" s="17" t="n">
        <f aca="false">J30+L30</f>
        <v>-0.988</v>
      </c>
      <c r="L30" s="17" t="n">
        <f aca="false">RANDBETWEEN(-30,90)/1000</f>
        <v>0.062</v>
      </c>
      <c r="M30" s="17" t="n">
        <f aca="false">+Chạy!N32</f>
        <v>5.65</v>
      </c>
      <c r="N30" s="17" t="n">
        <f aca="false">+M30+O30</f>
        <v>5.6483</v>
      </c>
      <c r="O30" s="17" t="n">
        <f aca="false">RANDBETWEEN(-105,115)/10000</f>
        <v>-0.0017</v>
      </c>
      <c r="P30" s="17" t="n">
        <f aca="false">+Chạy!O32</f>
        <v>-1.05</v>
      </c>
      <c r="Q30" s="17" t="n">
        <f aca="false">P30+R30</f>
        <v>-0.981</v>
      </c>
      <c r="R30" s="17" t="n">
        <f aca="false">RANDBETWEEN(-30,90)/1000</f>
        <v>0.069</v>
      </c>
      <c r="S30" s="18"/>
      <c r="T30" s="0" t="n">
        <v>20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349.25</v>
      </c>
      <c r="D31" s="17" t="n">
        <f aca="false">+Chạy!F36</f>
        <v>-5.65</v>
      </c>
      <c r="E31" s="17" t="n">
        <f aca="false">+D31+F31</f>
        <v>-5.6502</v>
      </c>
      <c r="F31" s="17" t="n">
        <f aca="false">RANDBETWEEN(-105,115)/10000</f>
        <v>-0.0002</v>
      </c>
      <c r="G31" s="17" t="n">
        <f aca="false">+Chạy!G36</f>
        <v>-1.05</v>
      </c>
      <c r="H31" s="17" t="n">
        <f aca="false">G31+I31</f>
        <v>-1.021</v>
      </c>
      <c r="I31" s="17" t="n">
        <f aca="false">RANDBETWEEN(-30,90)/1000</f>
        <v>0.029</v>
      </c>
      <c r="J31" s="17" t="n">
        <f aca="false">+Chạy!K36</f>
        <v>-1.05</v>
      </c>
      <c r="K31" s="17" t="n">
        <f aca="false">J31+L31</f>
        <v>-0.999</v>
      </c>
      <c r="L31" s="17" t="n">
        <f aca="false">RANDBETWEEN(-30,90)/1000</f>
        <v>0.051</v>
      </c>
      <c r="M31" s="17" t="n">
        <f aca="false">+Chạy!N36</f>
        <v>5.65</v>
      </c>
      <c r="N31" s="17" t="n">
        <f aca="false">+M31+O31</f>
        <v>5.6606</v>
      </c>
      <c r="O31" s="17" t="n">
        <f aca="false">RANDBETWEEN(-105,115)/10000</f>
        <v>0.0106</v>
      </c>
      <c r="P31" s="17" t="n">
        <f aca="false">+Chạy!O36</f>
        <v>-1.05</v>
      </c>
      <c r="Q31" s="17" t="n">
        <f aca="false">P31+R31</f>
        <v>-1.032</v>
      </c>
      <c r="R31" s="17" t="n">
        <f aca="false">RANDBETWEEN(-30,90)/1000</f>
        <v>0.018</v>
      </c>
      <c r="S31" s="18"/>
      <c r="T31" s="0" t="n">
        <v>19</v>
      </c>
    </row>
    <row r="32" customFormat="false" ht="15" hidden="false" customHeight="false" outlineLevel="0" collapsed="false">
      <c r="A32" s="14" t="n">
        <v>10</v>
      </c>
      <c r="B32" s="14" t="s">
        <v>26</v>
      </c>
      <c r="C32" s="71" t="n">
        <f aca="false">+C31+T31</f>
        <v>368.25</v>
      </c>
      <c r="D32" s="17" t="n">
        <f aca="false">+Chạy!F40</f>
        <v>-9.3</v>
      </c>
      <c r="E32" s="17" t="n">
        <f aca="false">+D32+F32</f>
        <v>-9.3055</v>
      </c>
      <c r="F32" s="17" t="n">
        <f aca="false">RANDBETWEEN(-105,115)/10000</f>
        <v>-0.0055</v>
      </c>
      <c r="G32" s="17" t="n">
        <f aca="false">+Chạy!G40</f>
        <v>-1.05</v>
      </c>
      <c r="H32" s="17" t="n">
        <f aca="false">G32+I32</f>
        <v>-1.042</v>
      </c>
      <c r="I32" s="17" t="n">
        <f aca="false">RANDBETWEEN(-30,90)/1000</f>
        <v>0.008</v>
      </c>
      <c r="J32" s="17" t="n">
        <f aca="false">+Chạy!K40</f>
        <v>-1.05</v>
      </c>
      <c r="K32" s="17" t="n">
        <f aca="false">J32+L32</f>
        <v>-1.054</v>
      </c>
      <c r="L32" s="17" t="n">
        <f aca="false">RANDBETWEEN(-30,90)/1000</f>
        <v>-0.004</v>
      </c>
      <c r="M32" s="17" t="n">
        <f aca="false">+Chạy!N40</f>
        <v>5.65</v>
      </c>
      <c r="N32" s="17" t="n">
        <f aca="false">+M32+O32</f>
        <v>5.6523</v>
      </c>
      <c r="O32" s="17" t="n">
        <f aca="false">RANDBETWEEN(-105,115)/10000</f>
        <v>0.0023</v>
      </c>
      <c r="P32" s="17" t="n">
        <f aca="false">+Chạy!O40</f>
        <v>-1.05</v>
      </c>
      <c r="Q32" s="17" t="n">
        <f aca="false">P32+R32</f>
        <v>-1.005</v>
      </c>
      <c r="R32" s="17" t="n">
        <f aca="false">RANDBETWEEN(-30,90)/1000</f>
        <v>0.045</v>
      </c>
      <c r="S32" s="18"/>
      <c r="T32" s="0" t="n">
        <v>13.25</v>
      </c>
    </row>
    <row r="33" customFormat="false" ht="15" hidden="false" customHeight="false" outlineLevel="0" collapsed="false">
      <c r="A33" s="14" t="n">
        <v>11</v>
      </c>
      <c r="B33" s="14" t="s">
        <v>27</v>
      </c>
      <c r="C33" s="71" t="n">
        <f aca="false">+C32+T32</f>
        <v>381.5</v>
      </c>
      <c r="D33" s="17" t="n">
        <f aca="false">+Chạy!F44</f>
        <v>-9.59</v>
      </c>
      <c r="E33" s="17" t="n">
        <f aca="false">+D33+F33</f>
        <v>-9.5853</v>
      </c>
      <c r="F33" s="17" t="n">
        <f aca="false">RANDBETWEEN(-105,115)/10000</f>
        <v>0.0047</v>
      </c>
      <c r="G33" s="17" t="n">
        <f aca="false">+Chạy!G44</f>
        <v>-1.05</v>
      </c>
      <c r="H33" s="17" t="n">
        <f aca="false">G33+I33</f>
        <v>-1.057</v>
      </c>
      <c r="I33" s="17" t="n">
        <f aca="false">RANDBETWEEN(-30,90)/1000</f>
        <v>-0.007</v>
      </c>
      <c r="J33" s="17" t="n">
        <f aca="false">+Chạy!K44</f>
        <v>-1.05</v>
      </c>
      <c r="K33" s="17" t="n">
        <f aca="false">J33+L33</f>
        <v>-0.982</v>
      </c>
      <c r="L33" s="17" t="n">
        <f aca="false">RANDBETWEEN(-30,90)/1000</f>
        <v>0.068</v>
      </c>
      <c r="M33" s="17" t="n">
        <f aca="false">+Chạy!N44</f>
        <v>9.42</v>
      </c>
      <c r="N33" s="17" t="n">
        <f aca="false">+M33+O33</f>
        <v>9.4222</v>
      </c>
      <c r="O33" s="17" t="n">
        <f aca="false">RANDBETWEEN(-105,115)/10000</f>
        <v>0.0022</v>
      </c>
      <c r="P33" s="17" t="n">
        <f aca="false">+Chạy!O44</f>
        <v>-1.05</v>
      </c>
      <c r="Q33" s="17" t="n">
        <f aca="false">P33+R33</f>
        <v>-1.038</v>
      </c>
      <c r="R33" s="17" t="n">
        <f aca="false">RANDBETWEEN(-30,90)/1000</f>
        <v>0.012</v>
      </c>
      <c r="S33" s="18"/>
      <c r="T33" s="0" t="n">
        <v>13.25</v>
      </c>
    </row>
    <row r="34" customFormat="false" ht="15" hidden="false" customHeight="false" outlineLevel="0" collapsed="false">
      <c r="A34" s="14" t="n">
        <v>12</v>
      </c>
      <c r="B34" s="14" t="s">
        <v>28</v>
      </c>
      <c r="C34" s="71" t="n">
        <f aca="false">+C33+T33</f>
        <v>394.75</v>
      </c>
      <c r="D34" s="17" t="n">
        <f aca="false">+Chạy!F48</f>
        <v>-9.26</v>
      </c>
      <c r="E34" s="17" t="n">
        <f aca="false">+D34+F34</f>
        <v>-9.2596</v>
      </c>
      <c r="F34" s="17" t="n">
        <f aca="false">RANDBETWEEN(-105,115)/10000</f>
        <v>0.0004</v>
      </c>
      <c r="G34" s="17" t="n">
        <f aca="false">+Chạy!G48</f>
        <v>-1.05</v>
      </c>
      <c r="H34" s="17" t="n">
        <f aca="false">G34+I34</f>
        <v>-1.011</v>
      </c>
      <c r="I34" s="17" t="n">
        <f aca="false">RANDBETWEEN(-30,90)/1000</f>
        <v>0.039</v>
      </c>
      <c r="J34" s="17" t="n">
        <f aca="false">+Chạy!K48</f>
        <v>-1.05</v>
      </c>
      <c r="K34" s="17" t="n">
        <f aca="false">J34+L34</f>
        <v>-1.057</v>
      </c>
      <c r="L34" s="17" t="n">
        <f aca="false">RANDBETWEEN(-30,90)/1000</f>
        <v>-0.007</v>
      </c>
      <c r="M34" s="17" t="n">
        <f aca="false">+Chạy!N48</f>
        <v>9.39</v>
      </c>
      <c r="N34" s="17" t="n">
        <f aca="false">+M34+O34</f>
        <v>9.3934</v>
      </c>
      <c r="O34" s="17" t="n">
        <f aca="false">RANDBETWEEN(-105,115)/10000</f>
        <v>0.0034</v>
      </c>
      <c r="P34" s="17" t="n">
        <f aca="false">+Chạy!O48</f>
        <v>-1.05</v>
      </c>
      <c r="Q34" s="17" t="n">
        <f aca="false">P34+R34</f>
        <v>-1.019</v>
      </c>
      <c r="R34" s="17" t="n">
        <f aca="false">RANDBETWEEN(-30,90)/1000</f>
        <v>0.031</v>
      </c>
      <c r="S34" s="18"/>
      <c r="T34" s="0" t="n">
        <v>20</v>
      </c>
    </row>
    <row r="35" customFormat="false" ht="15" hidden="false" customHeight="false" outlineLevel="0" collapsed="false">
      <c r="A35" s="14" t="n">
        <v>13</v>
      </c>
      <c r="B35" s="14" t="s">
        <v>29</v>
      </c>
      <c r="C35" s="71" t="n">
        <f aca="false">+C34+T34</f>
        <v>414.75</v>
      </c>
      <c r="D35" s="17" t="n">
        <f aca="false">+Chạy!F52</f>
        <v>-9.31</v>
      </c>
      <c r="E35" s="17" t="n">
        <f aca="false">+D35+F35</f>
        <v>-9.2996</v>
      </c>
      <c r="F35" s="17" t="n">
        <f aca="false">RANDBETWEEN(-105,115)/10000</f>
        <v>0.0104</v>
      </c>
      <c r="G35" s="17" t="n">
        <f aca="false">+Chạy!G52</f>
        <v>-1.05</v>
      </c>
      <c r="H35" s="17" t="n">
        <f aca="false">G35+I35</f>
        <v>-1.025</v>
      </c>
      <c r="I35" s="17" t="n">
        <f aca="false">RANDBETWEEN(-30,90)/1000</f>
        <v>0.025</v>
      </c>
      <c r="J35" s="17" t="n">
        <f aca="false">+Chạy!K52</f>
        <v>-1.05</v>
      </c>
      <c r="K35" s="17" t="n">
        <f aca="false">J35+L35</f>
        <v>-0.985</v>
      </c>
      <c r="L35" s="17" t="n">
        <f aca="false">RANDBETWEEN(-30,90)/1000</f>
        <v>0.065</v>
      </c>
      <c r="M35" s="17" t="n">
        <f aca="false">+Chạy!N52</f>
        <v>9.45</v>
      </c>
      <c r="N35" s="17" t="n">
        <f aca="false">+M35+O35</f>
        <v>9.4449</v>
      </c>
      <c r="O35" s="17" t="n">
        <f aca="false">RANDBETWEEN(-105,115)/10000</f>
        <v>-0.0051</v>
      </c>
      <c r="P35" s="17" t="n">
        <f aca="false">+Chạy!O52</f>
        <v>-1.05</v>
      </c>
      <c r="Q35" s="17" t="n">
        <f aca="false">P35+R35</f>
        <v>-1.028</v>
      </c>
      <c r="R35" s="17" t="n">
        <f aca="false">RANDBETWEEN(-30,90)/1000</f>
        <v>0.022</v>
      </c>
      <c r="S35" s="18"/>
      <c r="T35" s="0" t="n">
        <v>20</v>
      </c>
    </row>
    <row r="36" customFormat="false" ht="15" hidden="false" customHeight="false" outlineLevel="0" collapsed="false">
      <c r="A36" s="14" t="n">
        <v>14</v>
      </c>
      <c r="B36" s="14" t="s">
        <v>30</v>
      </c>
      <c r="C36" s="71" t="n">
        <f aca="false">+C35+T35</f>
        <v>434.75</v>
      </c>
      <c r="D36" s="17" t="n">
        <f aca="false">+Chạy!F56</f>
        <v>-9.24</v>
      </c>
      <c r="E36" s="17" t="n">
        <f aca="false">+D36+F36</f>
        <v>-9.2314</v>
      </c>
      <c r="F36" s="17" t="n">
        <f aca="false">RANDBETWEEN(-105,115)/10000</f>
        <v>0.0086</v>
      </c>
      <c r="G36" s="17" t="n">
        <f aca="false">+Chạy!G56</f>
        <v>-1.05</v>
      </c>
      <c r="H36" s="17" t="n">
        <f aca="false">G36+I36</f>
        <v>-1.05</v>
      </c>
      <c r="I36" s="17" t="n">
        <f aca="false">RANDBETWEEN(-30,90)/1000</f>
        <v>0</v>
      </c>
      <c r="J36" s="17" t="n">
        <f aca="false">+Chạy!K56</f>
        <v>-1.05</v>
      </c>
      <c r="K36" s="17" t="n">
        <f aca="false">J36+L36</f>
        <v>-0.986</v>
      </c>
      <c r="L36" s="17" t="n">
        <f aca="false">RANDBETWEEN(-30,90)/1000</f>
        <v>0.064</v>
      </c>
      <c r="M36" s="17" t="n">
        <f aca="false">+Chạy!N56</f>
        <v>9.16</v>
      </c>
      <c r="N36" s="17" t="n">
        <f aca="false">+M36+O36</f>
        <v>9.1524</v>
      </c>
      <c r="O36" s="17" t="n">
        <f aca="false">RANDBETWEEN(-105,115)/10000</f>
        <v>-0.0076</v>
      </c>
      <c r="P36" s="17" t="n">
        <f aca="false">+Chạy!O56</f>
        <v>-1.05</v>
      </c>
      <c r="Q36" s="17" t="n">
        <f aca="false">P36+R36</f>
        <v>-0.972</v>
      </c>
      <c r="R36" s="17" t="n">
        <f aca="false">RANDBETWEEN(-30,90)/1000</f>
        <v>0.078</v>
      </c>
      <c r="S36" s="18"/>
      <c r="T36" s="0" t="n">
        <v>20</v>
      </c>
    </row>
    <row r="37" customFormat="false" ht="15" hidden="false" customHeight="false" outlineLevel="0" collapsed="false">
      <c r="A37" s="14" t="n">
        <v>15</v>
      </c>
      <c r="B37" s="14" t="s">
        <v>31</v>
      </c>
      <c r="C37" s="71" t="n">
        <f aca="false">+C36+T36</f>
        <v>454.75</v>
      </c>
      <c r="D37" s="17" t="n">
        <f aca="false">+Chạy!F60</f>
        <v>-8.45</v>
      </c>
      <c r="E37" s="17" t="n">
        <f aca="false">+D37+F37</f>
        <v>-8.453</v>
      </c>
      <c r="F37" s="17" t="n">
        <f aca="false">RANDBETWEEN(-105,115)/10000</f>
        <v>-0.003</v>
      </c>
      <c r="G37" s="17" t="n">
        <f aca="false">+Chạy!G60</f>
        <v>-1.05</v>
      </c>
      <c r="H37" s="17" t="n">
        <f aca="false">G37+I37</f>
        <v>-1.005</v>
      </c>
      <c r="I37" s="17" t="n">
        <f aca="false">RANDBETWEEN(-30,90)/1000</f>
        <v>0.045</v>
      </c>
      <c r="J37" s="17" t="n">
        <f aca="false">+Chạy!K60</f>
        <v>-1.05</v>
      </c>
      <c r="K37" s="17" t="n">
        <f aca="false">J37+L37</f>
        <v>-0.985</v>
      </c>
      <c r="L37" s="17" t="n">
        <f aca="false">RANDBETWEEN(-30,90)/1000</f>
        <v>0.065</v>
      </c>
      <c r="M37" s="17" t="n">
        <f aca="false">+Chạy!N60</f>
        <v>8.79</v>
      </c>
      <c r="N37" s="17" t="n">
        <f aca="false">+M37+O37</f>
        <v>8.7988</v>
      </c>
      <c r="O37" s="17" t="n">
        <f aca="false">RANDBETWEEN(-105,115)/10000</f>
        <v>0.0088</v>
      </c>
      <c r="P37" s="17" t="n">
        <f aca="false">+Chạy!O60</f>
        <v>-1.05</v>
      </c>
      <c r="Q37" s="17" t="n">
        <f aca="false">P37+R37</f>
        <v>-0.961</v>
      </c>
      <c r="R37" s="17" t="n">
        <f aca="false">RANDBETWEEN(-30,90)/1000</f>
        <v>0.089</v>
      </c>
      <c r="S37" s="18"/>
      <c r="T37" s="0" t="n">
        <v>20</v>
      </c>
    </row>
    <row r="38" customFormat="false" ht="15" hidden="false" customHeight="false" outlineLevel="0" collapsed="false">
      <c r="A38" s="14" t="n">
        <v>16</v>
      </c>
      <c r="B38" s="14" t="s">
        <v>32</v>
      </c>
      <c r="C38" s="71" t="n">
        <f aca="false">+C37+T37</f>
        <v>474.75</v>
      </c>
      <c r="D38" s="17" t="n">
        <f aca="false">+Chạy!F64</f>
        <v>-8.97</v>
      </c>
      <c r="E38" s="17" t="n">
        <f aca="false">+D38+F38</f>
        <v>-8.9629</v>
      </c>
      <c r="F38" s="17" t="n">
        <f aca="false">RANDBETWEEN(-105,115)/10000</f>
        <v>0.0071</v>
      </c>
      <c r="G38" s="17" t="n">
        <f aca="false">+Chạy!G64</f>
        <v>-1.05</v>
      </c>
      <c r="H38" s="17" t="n">
        <f aca="false">G38+I38</f>
        <v>-1.077</v>
      </c>
      <c r="I38" s="17" t="n">
        <f aca="false">RANDBETWEEN(-30,90)/1000</f>
        <v>-0.027</v>
      </c>
      <c r="J38" s="17" t="n">
        <f aca="false">+Chạy!K64</f>
        <v>-1.05</v>
      </c>
      <c r="K38" s="17" t="n">
        <f aca="false">J38+L38</f>
        <v>-1.062</v>
      </c>
      <c r="L38" s="17" t="n">
        <f aca="false">RANDBETWEEN(-30,90)/1000</f>
        <v>-0.012</v>
      </c>
      <c r="M38" s="17" t="n">
        <f aca="false">+Chạy!N64</f>
        <v>8.92</v>
      </c>
      <c r="N38" s="17" t="n">
        <f aca="false">+M38+O38</f>
        <v>8.9233</v>
      </c>
      <c r="O38" s="17" t="n">
        <f aca="false">RANDBETWEEN(-105,115)/10000</f>
        <v>0.0033</v>
      </c>
      <c r="P38" s="17" t="n">
        <f aca="false">+Chạy!O64</f>
        <v>-1.05</v>
      </c>
      <c r="Q38" s="17" t="n">
        <f aca="false">P38+R38</f>
        <v>-0.999</v>
      </c>
      <c r="R38" s="17" t="n">
        <f aca="false">RANDBETWEEN(-30,90)/1000</f>
        <v>0.051</v>
      </c>
      <c r="S38" s="18"/>
      <c r="T38" s="0" t="n">
        <v>14.44</v>
      </c>
    </row>
    <row r="39" customFormat="false" ht="15" hidden="false" customHeight="false" outlineLevel="0" collapsed="false">
      <c r="A39" s="14" t="n">
        <v>17</v>
      </c>
      <c r="B39" s="14" t="s">
        <v>33</v>
      </c>
      <c r="C39" s="71" t="n">
        <f aca="false">+C38+T38</f>
        <v>489.19</v>
      </c>
      <c r="D39" s="17" t="n">
        <f aca="false">+Chạy!F68</f>
        <v>-8.85</v>
      </c>
      <c r="E39" s="17" t="n">
        <f aca="false">+D39+F39</f>
        <v>-8.8414</v>
      </c>
      <c r="F39" s="17" t="n">
        <f aca="false">RANDBETWEEN(-105,115)/10000</f>
        <v>0.0086</v>
      </c>
      <c r="G39" s="17" t="n">
        <f aca="false">+Chạy!G68</f>
        <v>-1.05</v>
      </c>
      <c r="H39" s="17" t="n">
        <f aca="false">G39+I39</f>
        <v>-0.977</v>
      </c>
      <c r="I39" s="17" t="n">
        <f aca="false">RANDBETWEEN(-30,90)/1000</f>
        <v>0.073</v>
      </c>
      <c r="J39" s="17" t="n">
        <f aca="false">+Chạy!K68</f>
        <v>-1.05</v>
      </c>
      <c r="K39" s="17" t="n">
        <f aca="false">J39+L39</f>
        <v>-1.065</v>
      </c>
      <c r="L39" s="17" t="n">
        <f aca="false">RANDBETWEEN(-30,90)/1000</f>
        <v>-0.015</v>
      </c>
      <c r="M39" s="17" t="n">
        <f aca="false">+Chạy!N68</f>
        <v>5.65</v>
      </c>
      <c r="N39" s="17" t="n">
        <f aca="false">+M39+O39</f>
        <v>5.6529</v>
      </c>
      <c r="O39" s="17" t="n">
        <f aca="false">RANDBETWEEN(-105,115)/10000</f>
        <v>0.0029</v>
      </c>
      <c r="P39" s="17" t="n">
        <f aca="false">+Chạy!O68</f>
        <v>-1.05</v>
      </c>
      <c r="Q39" s="17" t="n">
        <f aca="false">P39+R39</f>
        <v>-1.076</v>
      </c>
      <c r="R39" s="17" t="n">
        <f aca="false">RANDBETWEEN(-30,90)/1000</f>
        <v>-0.026</v>
      </c>
      <c r="S39" s="18"/>
      <c r="T39" s="0" t="n">
        <v>13.17</v>
      </c>
    </row>
    <row r="40" customFormat="false" ht="15" hidden="false" customHeight="false" outlineLevel="0" collapsed="false">
      <c r="A40" s="14" t="n">
        <v>18</v>
      </c>
      <c r="B40" s="14" t="s">
        <v>34</v>
      </c>
      <c r="C40" s="71" t="n">
        <f aca="false">+C39+T39</f>
        <v>502.36</v>
      </c>
      <c r="D40" s="17" t="n">
        <f aca="false">+Chạy!F72</f>
        <v>-9.87</v>
      </c>
      <c r="E40" s="17" t="n">
        <f aca="false">+D40+F40</f>
        <v>-9.8622</v>
      </c>
      <c r="F40" s="17" t="n">
        <f aca="false">RANDBETWEEN(-105,115)/10000</f>
        <v>0.0078</v>
      </c>
      <c r="G40" s="17" t="n">
        <f aca="false">+Chạy!G72</f>
        <v>-1.05</v>
      </c>
      <c r="H40" s="17" t="n">
        <f aca="false">G40+I40</f>
        <v>-1</v>
      </c>
      <c r="I40" s="17" t="n">
        <f aca="false">RANDBETWEEN(-30,90)/1000</f>
        <v>0.05</v>
      </c>
      <c r="J40" s="17" t="n">
        <f aca="false">+Chạy!K72</f>
        <v>-1.05</v>
      </c>
      <c r="K40" s="17" t="n">
        <f aca="false">J40+L40</f>
        <v>-0.997</v>
      </c>
      <c r="L40" s="17" t="n">
        <f aca="false">RANDBETWEEN(-30,90)/1000</f>
        <v>0.053</v>
      </c>
      <c r="M40" s="17" t="n">
        <f aca="false">+Chạy!N72</f>
        <v>9.77</v>
      </c>
      <c r="N40" s="17" t="n">
        <f aca="false">+M40+O40</f>
        <v>9.7719</v>
      </c>
      <c r="O40" s="17" t="n">
        <f aca="false">RANDBETWEEN(-105,115)/10000</f>
        <v>0.0019</v>
      </c>
      <c r="P40" s="17" t="n">
        <f aca="false">+Chạy!O72</f>
        <v>-1.05</v>
      </c>
      <c r="Q40" s="17" t="n">
        <f aca="false">P40+R40</f>
        <v>-0.989</v>
      </c>
      <c r="R40" s="17" t="n">
        <f aca="false">RANDBETWEEN(-30,90)/1000</f>
        <v>0.061</v>
      </c>
      <c r="S40" s="18"/>
      <c r="T40" s="0" t="n">
        <v>10.48</v>
      </c>
    </row>
    <row r="41" customFormat="false" ht="15" hidden="false" customHeight="false" outlineLevel="0" collapsed="false">
      <c r="A41" s="14" t="n">
        <v>19</v>
      </c>
      <c r="B41" s="14" t="s">
        <v>35</v>
      </c>
      <c r="C41" s="71" t="n">
        <f aca="false">+C40+T40</f>
        <v>512.84</v>
      </c>
      <c r="D41" s="17" t="n">
        <f aca="false">+Chạy!F76</f>
        <v>-9.31</v>
      </c>
      <c r="E41" s="17" t="n">
        <f aca="false">+D41+F41</f>
        <v>-9.3182</v>
      </c>
      <c r="F41" s="17" t="n">
        <f aca="false">RANDBETWEEN(-105,115)/10000</f>
        <v>-0.0082</v>
      </c>
      <c r="G41" s="17" t="n">
        <f aca="false">+Chạy!G76</f>
        <v>-1.05</v>
      </c>
      <c r="H41" s="17" t="n">
        <f aca="false">G41+I41</f>
        <v>-0.96</v>
      </c>
      <c r="I41" s="17" t="n">
        <f aca="false">RANDBETWEEN(-30,90)/1000</f>
        <v>0.09</v>
      </c>
      <c r="J41" s="17" t="n">
        <f aca="false">+Chạy!K76</f>
        <v>-1.05</v>
      </c>
      <c r="K41" s="17" t="n">
        <f aca="false">J41+L41</f>
        <v>-1.073</v>
      </c>
      <c r="L41" s="17" t="n">
        <f aca="false">RANDBETWEEN(-30,90)/1000</f>
        <v>-0.023</v>
      </c>
      <c r="M41" s="17" t="n">
        <f aca="false">+Chạy!N76</f>
        <v>9.68</v>
      </c>
      <c r="N41" s="17" t="n">
        <f aca="false">+M41+O41</f>
        <v>9.6768</v>
      </c>
      <c r="O41" s="17" t="n">
        <f aca="false">RANDBETWEEN(-105,115)/10000</f>
        <v>-0.0032</v>
      </c>
      <c r="P41" s="17" t="n">
        <f aca="false">+Chạy!O76</f>
        <v>-1.05</v>
      </c>
      <c r="Q41" s="17" t="n">
        <f aca="false">P41+R41</f>
        <v>-1.073</v>
      </c>
      <c r="R41" s="17" t="n">
        <f aca="false">RANDBETWEEN(-30,90)/1000</f>
        <v>-0.023</v>
      </c>
      <c r="S41" s="18"/>
      <c r="T41" s="0" t="n">
        <v>16.78</v>
      </c>
    </row>
    <row r="42" customFormat="false" ht="15" hidden="false" customHeight="false" outlineLevel="0" collapsed="false">
      <c r="A42" s="14" t="n">
        <v>20</v>
      </c>
      <c r="B42" s="14" t="s">
        <v>36</v>
      </c>
      <c r="C42" s="71" t="n">
        <f aca="false">+C41+T41</f>
        <v>529.62</v>
      </c>
      <c r="D42" s="17" t="n">
        <f aca="false">+Chạy!F80</f>
        <v>-9.74</v>
      </c>
      <c r="E42" s="17" t="n">
        <f aca="false">+D42+F42</f>
        <v>-9.7449</v>
      </c>
      <c r="F42" s="17" t="n">
        <f aca="false">RANDBETWEEN(-105,115)/10000</f>
        <v>-0.0049</v>
      </c>
      <c r="G42" s="17" t="n">
        <f aca="false">+Chạy!G80</f>
        <v>-1.05</v>
      </c>
      <c r="H42" s="17" t="n">
        <f aca="false">G42+I42</f>
        <v>-1.046</v>
      </c>
      <c r="I42" s="17" t="n">
        <f aca="false">RANDBETWEEN(-30,90)/1000</f>
        <v>0.004</v>
      </c>
      <c r="J42" s="17" t="n">
        <f aca="false">+Chạy!K80</f>
        <v>-1.05</v>
      </c>
      <c r="K42" s="17" t="n">
        <f aca="false">J42+L42</f>
        <v>-1.052</v>
      </c>
      <c r="L42" s="17" t="n">
        <f aca="false">RANDBETWEEN(-30,90)/1000</f>
        <v>-0.002</v>
      </c>
      <c r="M42" s="17" t="n">
        <f aca="false">+Chạy!N80</f>
        <v>9.82</v>
      </c>
      <c r="N42" s="17" t="n">
        <f aca="false">+M42+O42</f>
        <v>9.8191</v>
      </c>
      <c r="O42" s="17" t="n">
        <f aca="false">RANDBETWEEN(-105,115)/10000</f>
        <v>-0.0009</v>
      </c>
      <c r="P42" s="17" t="n">
        <f aca="false">+Chạy!O80</f>
        <v>-1.05</v>
      </c>
      <c r="Q42" s="17" t="n">
        <f aca="false">P42+R42</f>
        <v>-0.996</v>
      </c>
      <c r="R42" s="17" t="n">
        <f aca="false">RANDBETWEEN(-30,90)/1000</f>
        <v>0.054</v>
      </c>
      <c r="S42" s="18"/>
      <c r="T42" s="0" t="n">
        <v>17.1</v>
      </c>
    </row>
    <row r="43" customFormat="false" ht="15" hidden="false" customHeight="false" outlineLevel="0" collapsed="false">
      <c r="A43" s="14" t="n">
        <v>21</v>
      </c>
      <c r="B43" s="14" t="s">
        <v>37</v>
      </c>
      <c r="C43" s="71" t="n">
        <f aca="false">+C42+T42</f>
        <v>546.72</v>
      </c>
      <c r="D43" s="17" t="n">
        <f aca="false">+Chạy!F84</f>
        <v>-5.65</v>
      </c>
      <c r="E43" s="17" t="n">
        <f aca="false">+D43+F43</f>
        <v>-5.6544</v>
      </c>
      <c r="F43" s="17" t="n">
        <f aca="false">RANDBETWEEN(-105,115)/10000</f>
        <v>-0.0044</v>
      </c>
      <c r="G43" s="17" t="n">
        <f aca="false">+Chạy!G84</f>
        <v>-1.05</v>
      </c>
      <c r="H43" s="17" t="n">
        <f aca="false">G43+I43</f>
        <v>-0.969</v>
      </c>
      <c r="I43" s="17" t="n">
        <f aca="false">RANDBETWEEN(-30,90)/1000</f>
        <v>0.081</v>
      </c>
      <c r="J43" s="17" t="n">
        <f aca="false">+Chạy!K84</f>
        <v>-1.05</v>
      </c>
      <c r="K43" s="17" t="n">
        <f aca="false">J43+L43</f>
        <v>-1.051</v>
      </c>
      <c r="L43" s="17" t="n">
        <f aca="false">RANDBETWEEN(-30,90)/1000</f>
        <v>-0.001</v>
      </c>
      <c r="M43" s="17" t="n">
        <f aca="false">+Chạy!N84</f>
        <v>8.89</v>
      </c>
      <c r="N43" s="17" t="n">
        <f aca="false">+M43+O43</f>
        <v>8.8813</v>
      </c>
      <c r="O43" s="17" t="n">
        <f aca="false">RANDBETWEEN(-105,115)/10000</f>
        <v>-0.0087</v>
      </c>
      <c r="P43" s="17" t="n">
        <f aca="false">+Chạy!O84</f>
        <v>-1.05</v>
      </c>
      <c r="Q43" s="17" t="n">
        <f aca="false">P43+R43</f>
        <v>-1.035</v>
      </c>
      <c r="R43" s="17" t="n">
        <f aca="false">RANDBETWEEN(-30,90)/1000</f>
        <v>0.015</v>
      </c>
      <c r="S43" s="18"/>
      <c r="T43" s="0" t="n">
        <v>15.15</v>
      </c>
    </row>
    <row r="44" customFormat="false" ht="15" hidden="false" customHeight="false" outlineLevel="0" collapsed="false">
      <c r="A44" s="14" t="n">
        <v>22</v>
      </c>
      <c r="B44" s="14" t="s">
        <v>38</v>
      </c>
      <c r="C44" s="71" t="n">
        <f aca="false">+C43+T43</f>
        <v>561.87</v>
      </c>
      <c r="D44" s="17" t="n">
        <f aca="false">+Chạy!F88</f>
        <v>-9.39</v>
      </c>
      <c r="E44" s="17" t="n">
        <f aca="false">+D44+F44</f>
        <v>-9.3938</v>
      </c>
      <c r="F44" s="17" t="n">
        <f aca="false">RANDBETWEEN(-105,115)/10000</f>
        <v>-0.0038</v>
      </c>
      <c r="G44" s="17" t="n">
        <f aca="false">+Chạy!G88</f>
        <v>-1.05</v>
      </c>
      <c r="H44" s="17" t="n">
        <f aca="false">G44+I44</f>
        <v>-1.001</v>
      </c>
      <c r="I44" s="17" t="n">
        <f aca="false">RANDBETWEEN(-30,90)/1000</f>
        <v>0.049</v>
      </c>
      <c r="J44" s="17" t="n">
        <f aca="false">+Chạy!K88</f>
        <v>-1.05</v>
      </c>
      <c r="K44" s="17" t="n">
        <f aca="false">J44+L44</f>
        <v>-1.049</v>
      </c>
      <c r="L44" s="17" t="n">
        <f aca="false">RANDBETWEEN(-30,90)/1000</f>
        <v>0.001</v>
      </c>
      <c r="M44" s="17" t="n">
        <f aca="false">+Chạy!N88</f>
        <v>9.52</v>
      </c>
      <c r="N44" s="17" t="n">
        <f aca="false">+M44+O44</f>
        <v>9.511</v>
      </c>
      <c r="O44" s="17" t="n">
        <f aca="false">RANDBETWEEN(-105,115)/10000</f>
        <v>-0.009</v>
      </c>
      <c r="P44" s="17" t="n">
        <f aca="false">+Chạy!O88</f>
        <v>-1.05</v>
      </c>
      <c r="Q44" s="17" t="n">
        <f aca="false">P44+R44</f>
        <v>-0.99</v>
      </c>
      <c r="R44" s="17" t="n">
        <f aca="false">RANDBETWEEN(-30,90)/1000</f>
        <v>0.06</v>
      </c>
      <c r="S44" s="18"/>
      <c r="T44" s="0" t="n">
        <v>0.15</v>
      </c>
    </row>
    <row r="45" customFormat="false" ht="15" hidden="false" customHeight="false" outlineLevel="0" collapsed="false">
      <c r="A45" s="14" t="n">
        <v>23</v>
      </c>
      <c r="B45" s="14" t="s">
        <v>39</v>
      </c>
      <c r="C45" s="71" t="n">
        <f aca="false">+C44+T44</f>
        <v>562.02</v>
      </c>
      <c r="D45" s="17" t="n">
        <f aca="false">+Chạy!F92</f>
        <v>-9.39</v>
      </c>
      <c r="E45" s="17" t="n">
        <f aca="false">+D45+F45</f>
        <v>-9.381</v>
      </c>
      <c r="F45" s="17" t="n">
        <f aca="false">RANDBETWEEN(-105,115)/10000</f>
        <v>0.009</v>
      </c>
      <c r="G45" s="17" t="n">
        <f aca="false">+Chạy!G92</f>
        <v>-1.05</v>
      </c>
      <c r="H45" s="17" t="n">
        <f aca="false">G45+I45</f>
        <v>-1.032</v>
      </c>
      <c r="I45" s="17" t="n">
        <f aca="false">RANDBETWEEN(-30,90)/1000</f>
        <v>0.018</v>
      </c>
      <c r="J45" s="17" t="n">
        <f aca="false">+Chạy!K92</f>
        <v>-1.05</v>
      </c>
      <c r="K45" s="17" t="n">
        <f aca="false">J45+L45</f>
        <v>-1.001</v>
      </c>
      <c r="L45" s="17" t="n">
        <f aca="false">RANDBETWEEN(-30,90)/1000</f>
        <v>0.049</v>
      </c>
      <c r="M45" s="17" t="n">
        <f aca="false">+Chạy!N92</f>
        <v>9.53</v>
      </c>
      <c r="N45" s="17" t="n">
        <f aca="false">+M45+O45</f>
        <v>9.5231</v>
      </c>
      <c r="O45" s="17" t="n">
        <f aca="false">RANDBETWEEN(-105,115)/10000</f>
        <v>-0.0069</v>
      </c>
      <c r="P45" s="17" t="n">
        <f aca="false">+Chạy!O92</f>
        <v>-1.05</v>
      </c>
      <c r="Q45" s="17" t="n">
        <f aca="false">P45+R45</f>
        <v>-0.965</v>
      </c>
      <c r="R45" s="17" t="n">
        <f aca="false">RANDBETWEEN(-30,90)/1000</f>
        <v>0.085</v>
      </c>
      <c r="S45" s="18"/>
      <c r="T45" s="0" t="n">
        <v>6.55</v>
      </c>
    </row>
    <row r="46" customFormat="false" ht="15" hidden="false" customHeight="false" outlineLevel="0" collapsed="false">
      <c r="A46" s="14" t="n">
        <v>24</v>
      </c>
      <c r="B46" s="14" t="s">
        <v>40</v>
      </c>
      <c r="C46" s="71" t="n">
        <f aca="false">+C45+T45</f>
        <v>568.57</v>
      </c>
      <c r="D46" s="17" t="n">
        <f aca="false">+Chạy!F96</f>
        <v>-9.56</v>
      </c>
      <c r="E46" s="17" t="n">
        <f aca="false">+D46+F46</f>
        <v>-9.5538</v>
      </c>
      <c r="F46" s="17" t="n">
        <f aca="false">RANDBETWEEN(-105,115)/10000</f>
        <v>0.0062</v>
      </c>
      <c r="G46" s="17" t="n">
        <f aca="false">+Chạy!G96</f>
        <v>-1.05</v>
      </c>
      <c r="H46" s="17" t="n">
        <f aca="false">G46+I46</f>
        <v>-1.003</v>
      </c>
      <c r="I46" s="17" t="n">
        <f aca="false">RANDBETWEEN(-30,90)/1000</f>
        <v>0.047</v>
      </c>
      <c r="J46" s="17" t="n">
        <f aca="false">+Chạy!K96</f>
        <v>-1.05</v>
      </c>
      <c r="K46" s="17" t="n">
        <f aca="false">J46+L46</f>
        <v>-0.961</v>
      </c>
      <c r="L46" s="17" t="n">
        <f aca="false">RANDBETWEEN(-30,90)/1000</f>
        <v>0.089</v>
      </c>
      <c r="M46" s="17" t="n">
        <f aca="false">+Chạy!N96</f>
        <v>9.88</v>
      </c>
      <c r="N46" s="17" t="n">
        <f aca="false">+M46+O46</f>
        <v>9.88</v>
      </c>
      <c r="O46" s="17" t="n">
        <f aca="false">RANDBETWEEN(-105,115)/10000</f>
        <v>0</v>
      </c>
      <c r="P46" s="17" t="n">
        <f aca="false">+Chạy!O96</f>
        <v>-1.05</v>
      </c>
      <c r="Q46" s="17" t="n">
        <f aca="false">P46+R46</f>
        <v>-1.034</v>
      </c>
      <c r="R46" s="17" t="n">
        <f aca="false">RANDBETWEEN(-30,90)/1000</f>
        <v>0.016</v>
      </c>
      <c r="S46" s="18"/>
      <c r="T46" s="0" t="n">
        <v>6.55</v>
      </c>
    </row>
    <row r="47" customFormat="false" ht="15" hidden="false" customHeight="false" outlineLevel="0" collapsed="false">
      <c r="A47" s="14" t="n">
        <v>25</v>
      </c>
      <c r="B47" s="14" t="s">
        <v>1</v>
      </c>
      <c r="C47" s="71" t="n">
        <f aca="false">+C46+T46</f>
        <v>575.12</v>
      </c>
      <c r="D47" s="17" t="n">
        <f aca="false">+Chạy!F100</f>
        <v>-9.28</v>
      </c>
      <c r="E47" s="17" t="n">
        <f aca="false">+D47+F47</f>
        <v>-9.2757</v>
      </c>
      <c r="F47" s="17" t="n">
        <f aca="false">RANDBETWEEN(-105,115)/10000</f>
        <v>0.0043</v>
      </c>
      <c r="G47" s="17" t="n">
        <f aca="false">+Chạy!G100</f>
        <v>-1.05</v>
      </c>
      <c r="H47" s="17" t="n">
        <f aca="false">G47+I47</f>
        <v>-1.073</v>
      </c>
      <c r="I47" s="17" t="n">
        <f aca="false">RANDBETWEEN(-30,90)/1000</f>
        <v>-0.023</v>
      </c>
      <c r="J47" s="17" t="n">
        <f aca="false">+Chạy!K100</f>
        <v>-1.05</v>
      </c>
      <c r="K47" s="17" t="n">
        <f aca="false">J47+L47</f>
        <v>-1.003</v>
      </c>
      <c r="L47" s="17" t="n">
        <f aca="false">RANDBETWEEN(-30,90)/1000</f>
        <v>0.047</v>
      </c>
      <c r="M47" s="17" t="n">
        <f aca="false">+Chạy!N100</f>
        <v>8.96</v>
      </c>
      <c r="N47" s="17" t="n">
        <f aca="false">+M47+O47</f>
        <v>8.956</v>
      </c>
      <c r="O47" s="17" t="n">
        <f aca="false">RANDBETWEEN(-105,115)/10000</f>
        <v>-0.004</v>
      </c>
      <c r="P47" s="17" t="n">
        <f aca="false">+Chạy!O100</f>
        <v>-1.05</v>
      </c>
      <c r="Q47" s="17" t="n">
        <f aca="false">P47+R47</f>
        <v>-1.021</v>
      </c>
      <c r="R47" s="17" t="n">
        <f aca="false">RANDBETWEEN(-30,90)/1000</f>
        <v>0.029</v>
      </c>
      <c r="S47" s="18"/>
      <c r="T47" s="0" t="n">
        <v>0.04</v>
      </c>
    </row>
    <row r="48" customFormat="false" ht="15" hidden="false" customHeight="false" outlineLevel="0" collapsed="false">
      <c r="A48" s="14" t="n">
        <v>26</v>
      </c>
      <c r="B48" s="14" t="s">
        <v>41</v>
      </c>
      <c r="C48" s="71" t="n">
        <f aca="false">+C47+T47</f>
        <v>575.16</v>
      </c>
      <c r="D48" s="17" t="n">
        <f aca="false">+Chạy!F104</f>
        <v>-9.28</v>
      </c>
      <c r="E48" s="17" t="n">
        <f aca="false">+D48+F48</f>
        <v>-9.2754</v>
      </c>
      <c r="F48" s="17" t="n">
        <f aca="false">RANDBETWEEN(-105,115)/10000</f>
        <v>0.0046</v>
      </c>
      <c r="G48" s="17" t="n">
        <f aca="false">+Chạy!G104</f>
        <v>-1.05</v>
      </c>
      <c r="H48" s="17" t="n">
        <f aca="false">G48+I48</f>
        <v>-1.005</v>
      </c>
      <c r="I48" s="17" t="n">
        <f aca="false">RANDBETWEEN(-30,90)/1000</f>
        <v>0.045</v>
      </c>
      <c r="J48" s="17" t="n">
        <f aca="false">+Chạy!K104</f>
        <v>-1.05</v>
      </c>
      <c r="K48" s="17" t="n">
        <f aca="false">J48+L48</f>
        <v>-1.059</v>
      </c>
      <c r="L48" s="17" t="n">
        <f aca="false">RANDBETWEEN(-30,90)/1000</f>
        <v>-0.009</v>
      </c>
      <c r="M48" s="17" t="n">
        <f aca="false">+Chạy!N104</f>
        <v>8.73</v>
      </c>
      <c r="N48" s="17" t="n">
        <f aca="false">+M48+O48</f>
        <v>8.7305</v>
      </c>
      <c r="O48" s="17" t="n">
        <f aca="false">RANDBETWEEN(-105,115)/10000</f>
        <v>0.0005</v>
      </c>
      <c r="P48" s="17" t="n">
        <f aca="false">+Chạy!O104</f>
        <v>-1.05</v>
      </c>
      <c r="Q48" s="17" t="n">
        <f aca="false">P48+R48</f>
        <v>-0.968</v>
      </c>
      <c r="R48" s="17" t="n">
        <f aca="false">RANDBETWEEN(-30,90)/1000</f>
        <v>0.082</v>
      </c>
      <c r="S48" s="18"/>
      <c r="T48" s="0" t="n">
        <v>16.95</v>
      </c>
    </row>
    <row r="49" customFormat="false" ht="15" hidden="false" customHeight="false" outlineLevel="0" collapsed="false">
      <c r="A49" s="14" t="n">
        <v>27</v>
      </c>
      <c r="B49" s="14" t="s">
        <v>42</v>
      </c>
      <c r="C49" s="71" t="n">
        <f aca="false">+C48+T48</f>
        <v>592.11</v>
      </c>
      <c r="D49" s="17" t="n">
        <f aca="false">+Chạy!F108</f>
        <v>-9.46</v>
      </c>
      <c r="E49" s="17" t="n">
        <f aca="false">+D49+F49</f>
        <v>-9.4659</v>
      </c>
      <c r="F49" s="17" t="n">
        <f aca="false">RANDBETWEEN(-105,115)/10000</f>
        <v>-0.0059</v>
      </c>
      <c r="G49" s="17" t="n">
        <f aca="false">+Chạy!G108</f>
        <v>-1.05</v>
      </c>
      <c r="H49" s="17" t="n">
        <f aca="false">G49+I49</f>
        <v>-0.977</v>
      </c>
      <c r="I49" s="17" t="n">
        <f aca="false">RANDBETWEEN(-30,90)/1000</f>
        <v>0.073</v>
      </c>
      <c r="J49" s="17" t="n">
        <f aca="false">+Chạy!K108</f>
        <v>-1.05</v>
      </c>
      <c r="K49" s="17" t="n">
        <f aca="false">J49+L49</f>
        <v>-1.008</v>
      </c>
      <c r="L49" s="17" t="n">
        <f aca="false">RANDBETWEEN(-30,90)/1000</f>
        <v>0.042</v>
      </c>
      <c r="M49" s="17" t="n">
        <f aca="false">+Chạy!N108</f>
        <v>9.51</v>
      </c>
      <c r="N49" s="17" t="n">
        <f aca="false">+M49+O49</f>
        <v>9.5004</v>
      </c>
      <c r="O49" s="17" t="n">
        <f aca="false">RANDBETWEEN(-105,115)/10000</f>
        <v>-0.0096</v>
      </c>
      <c r="P49" s="17" t="n">
        <f aca="false">+Chạy!O108</f>
        <v>-1.05</v>
      </c>
      <c r="Q49" s="17" t="n">
        <f aca="false">P49+R49</f>
        <v>-1.024</v>
      </c>
      <c r="R49" s="17" t="n">
        <f aca="false">RANDBETWEEN(-30,90)/1000</f>
        <v>0.026</v>
      </c>
      <c r="S49" s="18"/>
      <c r="T49" s="0" t="n">
        <v>17</v>
      </c>
    </row>
    <row r="50" customFormat="false" ht="15" hidden="false" customHeight="false" outlineLevel="0" collapsed="false">
      <c r="A50" s="14" t="n">
        <v>28</v>
      </c>
      <c r="B50" s="14" t="s">
        <v>43</v>
      </c>
      <c r="C50" s="71" t="n">
        <f aca="false">+C49+T49</f>
        <v>609.11</v>
      </c>
      <c r="D50" s="17" t="n">
        <f aca="false">+Chạy!F112</f>
        <v>-8.67</v>
      </c>
      <c r="E50" s="17" t="n">
        <f aca="false">+D50+F50</f>
        <v>-8.6645</v>
      </c>
      <c r="F50" s="17" t="n">
        <f aca="false">RANDBETWEEN(-105,115)/10000</f>
        <v>0.0055</v>
      </c>
      <c r="G50" s="17" t="n">
        <f aca="false">+Chạy!G112</f>
        <v>-1.05</v>
      </c>
      <c r="H50" s="17" t="n">
        <f aca="false">G50+I50</f>
        <v>-1.02</v>
      </c>
      <c r="I50" s="17" t="n">
        <f aca="false">RANDBETWEEN(-30,90)/1000</f>
        <v>0.03</v>
      </c>
      <c r="J50" s="17" t="n">
        <f aca="false">+Chạy!K112</f>
        <v>-1.05</v>
      </c>
      <c r="K50" s="17" t="n">
        <f aca="false">J50+L50</f>
        <v>-1.03</v>
      </c>
      <c r="L50" s="17" t="n">
        <f aca="false">RANDBETWEEN(-30,90)/1000</f>
        <v>0.02</v>
      </c>
      <c r="M50" s="17" t="n">
        <f aca="false">+Chạy!N112</f>
        <v>8.53</v>
      </c>
      <c r="N50" s="17" t="n">
        <f aca="false">+M50+O50</f>
        <v>8.5325</v>
      </c>
      <c r="O50" s="17" t="n">
        <f aca="false">RANDBETWEEN(-105,115)/10000</f>
        <v>0.0025</v>
      </c>
      <c r="P50" s="17" t="n">
        <f aca="false">+Chạy!O112</f>
        <v>-1.05</v>
      </c>
      <c r="Q50" s="17" t="n">
        <f aca="false">P50+R50</f>
        <v>-1.046</v>
      </c>
      <c r="R50" s="17" t="n">
        <f aca="false">RANDBETWEEN(-30,90)/1000</f>
        <v>0.004</v>
      </c>
      <c r="S50" s="18"/>
      <c r="T50" s="0" t="n">
        <v>11.75</v>
      </c>
    </row>
    <row r="51" customFormat="false" ht="15" hidden="false" customHeight="false" outlineLevel="0" collapsed="false">
      <c r="A51" s="14" t="n">
        <v>29</v>
      </c>
      <c r="B51" s="14" t="s">
        <v>44</v>
      </c>
      <c r="C51" s="71" t="n">
        <f aca="false">+C50+T50</f>
        <v>620.86</v>
      </c>
      <c r="D51" s="17" t="n">
        <f aca="false">+Chạy!F116</f>
        <v>-8.45</v>
      </c>
      <c r="E51" s="17" t="n">
        <f aca="false">+D51+F51</f>
        <v>-8.4525</v>
      </c>
      <c r="F51" s="17" t="n">
        <f aca="false">RANDBETWEEN(-105,115)/10000</f>
        <v>-0.0025</v>
      </c>
      <c r="G51" s="17" t="n">
        <f aca="false">+Chạy!G116</f>
        <v>-1.05</v>
      </c>
      <c r="H51" s="17" t="n">
        <f aca="false">G51+I51</f>
        <v>-1.066</v>
      </c>
      <c r="I51" s="17" t="n">
        <f aca="false">RANDBETWEEN(-30,90)/1000</f>
        <v>-0.016</v>
      </c>
      <c r="J51" s="17" t="n">
        <f aca="false">+Chạy!K116</f>
        <v>-1.05</v>
      </c>
      <c r="K51" s="17" t="n">
        <f aca="false">J51+L51</f>
        <v>-1.036</v>
      </c>
      <c r="L51" s="17" t="n">
        <f aca="false">RANDBETWEEN(-30,90)/1000</f>
        <v>0.014</v>
      </c>
      <c r="M51" s="17" t="n">
        <f aca="false">+Chạy!N116</f>
        <v>8.59</v>
      </c>
      <c r="N51" s="17" t="n">
        <f aca="false">+M51+O51</f>
        <v>8.6009</v>
      </c>
      <c r="O51" s="17" t="n">
        <f aca="false">RANDBETWEEN(-105,115)/10000</f>
        <v>0.0109</v>
      </c>
      <c r="P51" s="17" t="n">
        <f aca="false">+Chạy!O116</f>
        <v>-1.05</v>
      </c>
      <c r="Q51" s="17" t="n">
        <f aca="false">P51+R51</f>
        <v>-1.075</v>
      </c>
      <c r="R51" s="17" t="n">
        <f aca="false">RANDBETWEEN(-30,90)/1000</f>
        <v>-0.025</v>
      </c>
      <c r="S51" s="18"/>
      <c r="T51" s="0" t="n">
        <v>11.75</v>
      </c>
    </row>
    <row r="52" customFormat="false" ht="15" hidden="false" customHeight="false" outlineLevel="0" collapsed="false">
      <c r="A52" s="14" t="n">
        <v>30</v>
      </c>
      <c r="B52" s="14" t="s">
        <v>45</v>
      </c>
      <c r="C52" s="71" t="n">
        <f aca="false">+C51+T51</f>
        <v>632.61</v>
      </c>
      <c r="D52" s="17" t="n">
        <f aca="false">+Chạy!F120</f>
        <v>-9.18</v>
      </c>
      <c r="E52" s="17" t="n">
        <f aca="false">+D52+F52</f>
        <v>-9.1827</v>
      </c>
      <c r="F52" s="17" t="n">
        <f aca="false">RANDBETWEEN(-105,115)/10000</f>
        <v>-0.0027</v>
      </c>
      <c r="G52" s="17" t="n">
        <f aca="false">+Chạy!G120</f>
        <v>-1.05</v>
      </c>
      <c r="H52" s="17" t="n">
        <f aca="false">G52+I52</f>
        <v>-1.059</v>
      </c>
      <c r="I52" s="17" t="n">
        <f aca="false">RANDBETWEEN(-30,90)/1000</f>
        <v>-0.009</v>
      </c>
      <c r="J52" s="17" t="n">
        <f aca="false">+Chạy!K120</f>
        <v>-1.05</v>
      </c>
      <c r="K52" s="17" t="n">
        <f aca="false">J52+L52</f>
        <v>-1.045</v>
      </c>
      <c r="L52" s="17" t="n">
        <f aca="false">RANDBETWEEN(-30,90)/1000</f>
        <v>0.005</v>
      </c>
      <c r="M52" s="17" t="n">
        <f aca="false">+Chạy!N120</f>
        <v>9.42</v>
      </c>
      <c r="N52" s="17" t="n">
        <f aca="false">+M52+O52</f>
        <v>9.4315</v>
      </c>
      <c r="O52" s="17" t="n">
        <f aca="false">RANDBETWEEN(-105,115)/10000</f>
        <v>0.0115</v>
      </c>
      <c r="P52" s="17" t="n">
        <f aca="false">+Chạy!O120</f>
        <v>-1.05</v>
      </c>
      <c r="Q52" s="17" t="n">
        <f aca="false">P52+R52</f>
        <v>-0.998</v>
      </c>
      <c r="R52" s="17" t="n">
        <f aca="false">RANDBETWEEN(-30,90)/1000</f>
        <v>0.052</v>
      </c>
      <c r="S52" s="18"/>
      <c r="T52" s="0" t="n">
        <v>20</v>
      </c>
    </row>
    <row r="53" customFormat="false" ht="15" hidden="false" customHeight="false" outlineLevel="0" collapsed="false">
      <c r="A53" s="14" t="n">
        <v>31</v>
      </c>
      <c r="B53" s="14" t="s">
        <v>46</v>
      </c>
      <c r="C53" s="71" t="n">
        <f aca="false">+C52+T52</f>
        <v>652.61</v>
      </c>
      <c r="D53" s="17" t="n">
        <f aca="false">+Chạy!F124</f>
        <v>-9.89</v>
      </c>
      <c r="E53" s="17" t="n">
        <f aca="false">+D53+F53</f>
        <v>-9.8804</v>
      </c>
      <c r="F53" s="17" t="n">
        <f aca="false">RANDBETWEEN(-105,115)/10000</f>
        <v>0.0096</v>
      </c>
      <c r="G53" s="17" t="n">
        <f aca="false">+Chạy!G124</f>
        <v>-1.05</v>
      </c>
      <c r="H53" s="17" t="n">
        <f aca="false">G53+I53</f>
        <v>-0.984</v>
      </c>
      <c r="I53" s="17" t="n">
        <f aca="false">RANDBETWEEN(-30,90)/1000</f>
        <v>0.066</v>
      </c>
      <c r="J53" s="17" t="n">
        <f aca="false">+Chạy!K124</f>
        <v>-1.05</v>
      </c>
      <c r="K53" s="17" t="n">
        <f aca="false">J53+L53</f>
        <v>-1.029</v>
      </c>
      <c r="L53" s="17" t="n">
        <f aca="false">RANDBETWEEN(-30,90)/1000</f>
        <v>0.021</v>
      </c>
      <c r="M53" s="17" t="n">
        <f aca="false">+Chạy!N124</f>
        <v>9.87</v>
      </c>
      <c r="N53" s="17" t="n">
        <f aca="false">+M53+O53</f>
        <v>9.8688</v>
      </c>
      <c r="O53" s="17" t="n">
        <f aca="false">RANDBETWEEN(-105,115)/10000</f>
        <v>-0.0012</v>
      </c>
      <c r="P53" s="17" t="n">
        <f aca="false">+Chạy!O124</f>
        <v>-1.05</v>
      </c>
      <c r="Q53" s="17" t="n">
        <f aca="false">P53+R53</f>
        <v>-1.037</v>
      </c>
      <c r="R53" s="17" t="n">
        <f aca="false">RANDBETWEEN(-30,90)/1000</f>
        <v>0.013</v>
      </c>
      <c r="S53" s="18"/>
      <c r="T53" s="0" t="n">
        <v>20</v>
      </c>
    </row>
    <row r="54" customFormat="false" ht="15" hidden="false" customHeight="false" outlineLevel="0" collapsed="false">
      <c r="A54" s="14" t="n">
        <v>32</v>
      </c>
      <c r="B54" s="14" t="s">
        <v>47</v>
      </c>
      <c r="C54" s="71" t="n">
        <f aca="false">+C53+T53</f>
        <v>672.61</v>
      </c>
      <c r="D54" s="17" t="n">
        <f aca="false">+Chạy!F128</f>
        <v>-9.03</v>
      </c>
      <c r="E54" s="17" t="n">
        <f aca="false">+D54+F54</f>
        <v>-9.0356</v>
      </c>
      <c r="F54" s="17" t="n">
        <f aca="false">RANDBETWEEN(-105,115)/10000</f>
        <v>-0.0056</v>
      </c>
      <c r="G54" s="17" t="n">
        <f aca="false">+Chạy!G128</f>
        <v>-1.05</v>
      </c>
      <c r="H54" s="17" t="n">
        <f aca="false">G54+I54</f>
        <v>-1.064</v>
      </c>
      <c r="I54" s="17" t="n">
        <f aca="false">RANDBETWEEN(-30,90)/1000</f>
        <v>-0.014</v>
      </c>
      <c r="J54" s="17" t="n">
        <f aca="false">+Chạy!K128</f>
        <v>-1.05</v>
      </c>
      <c r="K54" s="17" t="n">
        <f aca="false">J54+L54</f>
        <v>-0.994</v>
      </c>
      <c r="L54" s="17" t="n">
        <f aca="false">RANDBETWEEN(-30,90)/1000</f>
        <v>0.056</v>
      </c>
      <c r="M54" s="17" t="n">
        <f aca="false">+Chạy!N128</f>
        <v>9.07</v>
      </c>
      <c r="N54" s="17" t="n">
        <f aca="false">+M54+O54</f>
        <v>9.0707</v>
      </c>
      <c r="O54" s="17" t="n">
        <f aca="false">RANDBETWEEN(-105,115)/10000</f>
        <v>0.0007</v>
      </c>
      <c r="P54" s="17" t="n">
        <f aca="false">+Chạy!O128</f>
        <v>-1.05</v>
      </c>
      <c r="Q54" s="17" t="n">
        <f aca="false">P54+R54</f>
        <v>-1.027</v>
      </c>
      <c r="R54" s="17" t="n">
        <f aca="false">RANDBETWEEN(-30,90)/1000</f>
        <v>0.023</v>
      </c>
      <c r="S54" s="18"/>
      <c r="T54" s="0" t="n">
        <v>20</v>
      </c>
    </row>
    <row r="55" customFormat="false" ht="15" hidden="false" customHeight="false" outlineLevel="0" collapsed="false">
      <c r="A55" s="14" t="n">
        <v>33</v>
      </c>
      <c r="B55" s="14" t="s">
        <v>48</v>
      </c>
      <c r="C55" s="71" t="n">
        <f aca="false">+C54+T54</f>
        <v>692.61</v>
      </c>
      <c r="D55" s="17" t="n">
        <f aca="false">+Chạy!F132</f>
        <v>-9.94</v>
      </c>
      <c r="E55" s="17" t="n">
        <f aca="false">+D55+F55</f>
        <v>-9.9503</v>
      </c>
      <c r="F55" s="17" t="n">
        <f aca="false">RANDBETWEEN(-105,115)/10000</f>
        <v>-0.0103</v>
      </c>
      <c r="G55" s="17" t="n">
        <f aca="false">+Chạy!G132</f>
        <v>-1.05</v>
      </c>
      <c r="H55" s="17" t="n">
        <f aca="false">G55+I55</f>
        <v>-1.019</v>
      </c>
      <c r="I55" s="17" t="n">
        <f aca="false">RANDBETWEEN(-30,90)/1000</f>
        <v>0.031</v>
      </c>
      <c r="J55" s="17" t="n">
        <f aca="false">+Chạy!K132</f>
        <v>-1.05</v>
      </c>
      <c r="K55" s="17" t="n">
        <f aca="false">J55+L55</f>
        <v>-1.003</v>
      </c>
      <c r="L55" s="17" t="n">
        <f aca="false">RANDBETWEEN(-30,90)/1000</f>
        <v>0.047</v>
      </c>
      <c r="M55" s="17" t="n">
        <f aca="false">+Chạy!N132</f>
        <v>9.89</v>
      </c>
      <c r="N55" s="17" t="n">
        <f aca="false">+M55+O55</f>
        <v>9.8998</v>
      </c>
      <c r="O55" s="17" t="n">
        <f aca="false">RANDBETWEEN(-105,115)/10000</f>
        <v>0.0098</v>
      </c>
      <c r="P55" s="17" t="n">
        <f aca="false">+Chạy!O132</f>
        <v>-1.05</v>
      </c>
      <c r="Q55" s="17" t="n">
        <f aca="false">P55+R55</f>
        <v>-1.064</v>
      </c>
      <c r="R55" s="17" t="n">
        <f aca="false">RANDBETWEEN(-30,90)/1000</f>
        <v>-0.014</v>
      </c>
      <c r="S55" s="18"/>
      <c r="T55" s="0" t="n">
        <v>20</v>
      </c>
    </row>
    <row r="56" customFormat="false" ht="15" hidden="false" customHeight="false" outlineLevel="0" collapsed="false">
      <c r="A56" s="14" t="n">
        <v>34</v>
      </c>
      <c r="B56" s="14" t="s">
        <v>49</v>
      </c>
      <c r="C56" s="71" t="n">
        <f aca="false">+C55+T55</f>
        <v>712.61</v>
      </c>
      <c r="D56" s="17" t="n">
        <f aca="false">+Chạy!F136</f>
        <v>-5.65</v>
      </c>
      <c r="E56" s="17" t="n">
        <f aca="false">+D56+F56</f>
        <v>-5.6512</v>
      </c>
      <c r="F56" s="17" t="n">
        <f aca="false">RANDBETWEEN(-105,115)/10000</f>
        <v>-0.0012</v>
      </c>
      <c r="G56" s="17" t="n">
        <f aca="false">+Chạy!G136</f>
        <v>-1.05</v>
      </c>
      <c r="H56" s="17" t="n">
        <f aca="false">G56+I56</f>
        <v>-0.989</v>
      </c>
      <c r="I56" s="17" t="n">
        <f aca="false">RANDBETWEEN(-30,90)/1000</f>
        <v>0.061</v>
      </c>
      <c r="J56" s="17" t="n">
        <f aca="false">+Chạy!K136</f>
        <v>-1.05</v>
      </c>
      <c r="K56" s="17" t="n">
        <f aca="false">J56+L56</f>
        <v>-1.003</v>
      </c>
      <c r="L56" s="17" t="n">
        <f aca="false">RANDBETWEEN(-30,90)/1000</f>
        <v>0.047</v>
      </c>
      <c r="M56" s="17" t="n">
        <f aca="false">+Chạy!N136</f>
        <v>9.35</v>
      </c>
      <c r="N56" s="17" t="n">
        <f aca="false">+M56+O56</f>
        <v>9.3595</v>
      </c>
      <c r="O56" s="17" t="n">
        <f aca="false">RANDBETWEEN(-105,115)/10000</f>
        <v>0.0095</v>
      </c>
      <c r="P56" s="17" t="n">
        <f aca="false">+Chạy!O136</f>
        <v>-1.05</v>
      </c>
      <c r="Q56" s="17" t="n">
        <f aca="false">P56+R56</f>
        <v>-1.045</v>
      </c>
      <c r="R56" s="17" t="n">
        <f aca="false">RANDBETWEEN(-30,90)/1000</f>
        <v>0.005</v>
      </c>
      <c r="S56" s="18"/>
      <c r="T56" s="0" t="n">
        <v>11.5</v>
      </c>
    </row>
    <row r="57" customFormat="false" ht="15" hidden="false" customHeight="false" outlineLevel="0" collapsed="false">
      <c r="A57" s="14" t="n">
        <v>35</v>
      </c>
      <c r="B57" s="14" t="s">
        <v>50</v>
      </c>
      <c r="C57" s="71" t="n">
        <f aca="false">+C56+T56</f>
        <v>724.11</v>
      </c>
      <c r="D57" s="17" t="n">
        <f aca="false">+Chạy!F140</f>
        <v>-10.65</v>
      </c>
      <c r="E57" s="17" t="n">
        <f aca="false">+D57+F57</f>
        <v>-10.649</v>
      </c>
      <c r="F57" s="17" t="n">
        <f aca="false">RANDBETWEEN(-105,115)/10000</f>
        <v>0.001</v>
      </c>
      <c r="G57" s="17" t="n">
        <f aca="false">+Chạy!G140</f>
        <v>-1.05</v>
      </c>
      <c r="H57" s="17" t="n">
        <f aca="false">G57+I57</f>
        <v>-0.989</v>
      </c>
      <c r="I57" s="17" t="n">
        <f aca="false">RANDBETWEEN(-30,90)/1000</f>
        <v>0.061</v>
      </c>
      <c r="J57" s="17" t="n">
        <f aca="false">+Chạy!K140</f>
        <v>-1.05</v>
      </c>
      <c r="K57" s="17" t="n">
        <f aca="false">J57+L57</f>
        <v>-1.003</v>
      </c>
      <c r="L57" s="17" t="n">
        <f aca="false">RANDBETWEEN(-30,90)/1000</f>
        <v>0.047</v>
      </c>
      <c r="M57" s="17" t="n">
        <f aca="false">+Chạy!N140</f>
        <v>8.64</v>
      </c>
      <c r="N57" s="17" t="n">
        <f aca="false">+M57+O57</f>
        <v>8.6421</v>
      </c>
      <c r="O57" s="17" t="n">
        <f aca="false">RANDBETWEEN(-105,115)/10000</f>
        <v>0.0021</v>
      </c>
      <c r="P57" s="17" t="n">
        <f aca="false">+Chạy!O140</f>
        <v>-1.05</v>
      </c>
      <c r="Q57" s="17" t="n">
        <f aca="false">P57+R57</f>
        <v>-1.005</v>
      </c>
      <c r="R57" s="17" t="n">
        <f aca="false">RANDBETWEEN(-30,90)/1000</f>
        <v>0.045</v>
      </c>
      <c r="S57" s="18"/>
      <c r="T57" s="0" t="n">
        <v>13.25</v>
      </c>
    </row>
    <row r="58" customFormat="false" ht="15" hidden="false" customHeight="false" outlineLevel="0" collapsed="false">
      <c r="A58" s="14" t="n">
        <v>36</v>
      </c>
      <c r="B58" s="14" t="s">
        <v>51</v>
      </c>
      <c r="C58" s="71" t="n">
        <f aca="false">+C57+T57</f>
        <v>737.36</v>
      </c>
      <c r="D58" s="17" t="n">
        <f aca="false">+Chạy!F144</f>
        <v>-8.98</v>
      </c>
      <c r="E58" s="17" t="n">
        <f aca="false">+D58+F58</f>
        <v>-8.98</v>
      </c>
      <c r="F58" s="17" t="n">
        <f aca="false">RANDBETWEEN(-105,115)/10000</f>
        <v>0</v>
      </c>
      <c r="G58" s="17" t="n">
        <f aca="false">+Chạy!G144</f>
        <v>-1.05</v>
      </c>
      <c r="H58" s="17" t="n">
        <f aca="false">G58+I58</f>
        <v>-1.023</v>
      </c>
      <c r="I58" s="17" t="n">
        <f aca="false">RANDBETWEEN(-30,90)/1000</f>
        <v>0.027</v>
      </c>
      <c r="J58" s="17" t="n">
        <f aca="false">+Chạy!K144</f>
        <v>-1.05</v>
      </c>
      <c r="K58" s="17" t="n">
        <f aca="false">J58+L58</f>
        <v>-1.051</v>
      </c>
      <c r="L58" s="17" t="n">
        <f aca="false">RANDBETWEEN(-30,90)/1000</f>
        <v>-0.001</v>
      </c>
      <c r="M58" s="17" t="n">
        <f aca="false">+Chạy!N144</f>
        <v>9.1</v>
      </c>
      <c r="N58" s="17" t="n">
        <f aca="false">+M58+O58</f>
        <v>9.0921</v>
      </c>
      <c r="O58" s="17" t="n">
        <f aca="false">RANDBETWEEN(-105,115)/10000</f>
        <v>-0.0079</v>
      </c>
      <c r="P58" s="17" t="n">
        <f aca="false">+Chạy!O144</f>
        <v>-1.05</v>
      </c>
      <c r="Q58" s="17" t="n">
        <f aca="false">P58+R58</f>
        <v>-0.992</v>
      </c>
      <c r="R58" s="17" t="n">
        <f aca="false">RANDBETWEEN(-30,90)/1000</f>
        <v>0.058</v>
      </c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74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75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76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77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">
        <v>87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="30" customFormat="true" ht="37.5" hidden="false" customHeight="true" outlineLevel="0" collapsed="false">
      <c r="A3" s="28" t="s">
        <v>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56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57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58</v>
      </c>
      <c r="B7" s="32"/>
      <c r="D7" s="33" t="s">
        <v>88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62</v>
      </c>
      <c r="C9" s="35" t="s">
        <v>63</v>
      </c>
      <c r="D9" s="36" t="s">
        <v>79</v>
      </c>
      <c r="E9" s="37"/>
      <c r="F9" s="37"/>
      <c r="G9" s="36"/>
      <c r="H9" s="37"/>
      <c r="I9" s="37"/>
      <c r="J9" s="37"/>
      <c r="K9" s="37"/>
      <c r="L9" s="37"/>
      <c r="M9" s="38" t="s">
        <v>80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67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81</v>
      </c>
      <c r="O10" s="38" t="s">
        <v>82</v>
      </c>
      <c r="P10" s="38" t="s">
        <v>81</v>
      </c>
      <c r="Q10" s="38" t="s">
        <v>81</v>
      </c>
      <c r="R10" s="38"/>
      <c r="S10" s="38"/>
      <c r="T10" s="38"/>
      <c r="U10" s="38" t="s">
        <v>83</v>
      </c>
      <c r="V10" s="38" t="s">
        <v>83</v>
      </c>
      <c r="W10" s="38" t="s">
        <v>84</v>
      </c>
      <c r="X10" s="38" t="s">
        <v>83</v>
      </c>
      <c r="Y10" s="38" t="s">
        <v>83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B4</v>
      </c>
      <c r="C11" s="16" t="n">
        <f aca="false">'2.KTHH L2'!C23</f>
        <v>211</v>
      </c>
      <c r="D11" s="14" t="n">
        <f aca="false">'2.KTHH L2'!T23</f>
        <v>13.25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4.45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59.625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12</v>
      </c>
      <c r="C12" s="16" t="n">
        <f aca="false">'2.KTHH L2'!C24</f>
        <v>224.25</v>
      </c>
      <c r="D12" s="14" t="n">
        <f aca="false">'2.KTHH L2'!T24</f>
        <v>21.5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4.55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84.3875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13</v>
      </c>
      <c r="C13" s="16" t="n">
        <f aca="false">'2.KTHH L2'!C25</f>
        <v>245.75</v>
      </c>
      <c r="D13" s="14" t="n">
        <f aca="false">'2.KTHH L2'!T25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3.3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38.775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B5</v>
      </c>
      <c r="C14" s="16" t="n">
        <f aca="false">'2.KTHH L2'!C26</f>
        <v>257.5</v>
      </c>
      <c r="D14" s="14" t="n">
        <f aca="false">'2.KTHH L2'!T26</f>
        <v>11.75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3.3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38.775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14</v>
      </c>
      <c r="C15" s="16" t="n">
        <f aca="false">'2.KTHH L2'!C27</f>
        <v>269.25</v>
      </c>
      <c r="D15" s="14" t="n">
        <f aca="false">'2.KTHH L2'!T27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3.3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15</v>
      </c>
      <c r="C16" s="16" t="n">
        <f aca="false">'2.KTHH L2'!C28</f>
        <v>289.25</v>
      </c>
      <c r="D16" s="14" t="n">
        <f aca="false">'2.KTHH L2'!T28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3.3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66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16</v>
      </c>
      <c r="C17" s="16" t="n">
        <f aca="false">'2.KTHH L2'!C29</f>
        <v>309.25</v>
      </c>
      <c r="D17" s="14" t="n">
        <f aca="false">'2.KTHH L2'!T29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3.3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66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17</v>
      </c>
      <c r="C18" s="16" t="n">
        <f aca="false">'2.KTHH L2'!C30</f>
        <v>329.25</v>
      </c>
      <c r="D18" s="14" t="n">
        <f aca="false">'2.KTHH L2'!T30</f>
        <v>20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3.3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66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18</v>
      </c>
      <c r="C19" s="16" t="n">
        <f aca="false">'2.KTHH L2'!C31</f>
        <v>349.25</v>
      </c>
      <c r="D19" s="14" t="n">
        <f aca="false">'2.KTHH L2'!T31</f>
        <v>19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Chạy!E36</f>
        <v>3.3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73.15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'2.KTHH L2'!B32</f>
        <v>19</v>
      </c>
      <c r="C20" s="16" t="n">
        <f aca="false">'2.KTHH L2'!C32</f>
        <v>368.25</v>
      </c>
      <c r="D20" s="14" t="n">
        <f aca="false">'2.KTHH L2'!T32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Chạy!E40</f>
        <v>4.4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66.31625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'2.KTHH L2'!B33</f>
        <v>C2</v>
      </c>
      <c r="C21" s="16" t="n">
        <f aca="false">'2.KTHH L2'!C33</f>
        <v>381.5</v>
      </c>
      <c r="D21" s="14" t="n">
        <f aca="false">'2.KTHH L2'!T33</f>
        <v>13.25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Chạy!E44</f>
        <v>5.61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73.67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'2.KTHH L2'!B34</f>
        <v>20</v>
      </c>
      <c r="C22" s="16" t="n">
        <f aca="false">'2.KTHH L2'!C34</f>
        <v>394.75</v>
      </c>
      <c r="D22" s="14" t="n">
        <f aca="false">'2.KTHH L2'!T34</f>
        <v>20</v>
      </c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 t="n">
        <f aca="false">Chạy!E48</f>
        <v>5.51</v>
      </c>
      <c r="P22" s="47"/>
      <c r="Q22" s="47"/>
      <c r="R22" s="50"/>
      <c r="S22" s="50"/>
      <c r="T22" s="50"/>
      <c r="U22" s="50"/>
      <c r="V22" s="50"/>
      <c r="W22" s="50" t="n">
        <f aca="false">(O22+O23)*D22/2</f>
        <v>110.5</v>
      </c>
      <c r="X22" s="50"/>
      <c r="Y22" s="50"/>
      <c r="Z22" s="50"/>
      <c r="AA22" s="50"/>
      <c r="AB22" s="51"/>
      <c r="AC22" s="50"/>
      <c r="AE22" s="52"/>
    </row>
    <row r="23" s="45" customFormat="true" ht="15" hidden="false" customHeight="true" outlineLevel="0" collapsed="false">
      <c r="A23" s="14" t="n">
        <v>13</v>
      </c>
      <c r="B23" s="14" t="str">
        <f aca="false">'2.KTHH L2'!B35</f>
        <v>21</v>
      </c>
      <c r="C23" s="16" t="n">
        <f aca="false">'2.KTHH L2'!C35</f>
        <v>414.75</v>
      </c>
      <c r="D23" s="14" t="n">
        <f aca="false">'2.KTHH L2'!T35</f>
        <v>20</v>
      </c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 t="n">
        <f aca="false">Chạy!E52</f>
        <v>5.54</v>
      </c>
      <c r="P23" s="47"/>
      <c r="Q23" s="47"/>
      <c r="R23" s="50"/>
      <c r="S23" s="50"/>
      <c r="T23" s="50"/>
      <c r="U23" s="50"/>
      <c r="V23" s="50"/>
      <c r="W23" s="50" t="n">
        <f aca="false">(O23+O24)*D23/2</f>
        <v>109.7</v>
      </c>
      <c r="X23" s="50"/>
      <c r="Y23" s="50"/>
      <c r="Z23" s="50"/>
      <c r="AA23" s="50"/>
      <c r="AB23" s="51"/>
      <c r="AC23" s="50"/>
      <c r="AE23" s="52"/>
    </row>
    <row r="24" s="45" customFormat="true" ht="15" hidden="false" customHeight="true" outlineLevel="0" collapsed="false">
      <c r="A24" s="14" t="n">
        <v>14</v>
      </c>
      <c r="B24" s="14" t="str">
        <f aca="false">'2.KTHH L2'!B36</f>
        <v>22</v>
      </c>
      <c r="C24" s="16" t="n">
        <f aca="false">'2.KTHH L2'!C36</f>
        <v>434.75</v>
      </c>
      <c r="D24" s="14" t="n">
        <f aca="false">'2.KTHH L2'!T36</f>
        <v>20</v>
      </c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 t="n">
        <f aca="false">Chạy!E56</f>
        <v>5.43</v>
      </c>
      <c r="P24" s="47"/>
      <c r="Q24" s="47"/>
      <c r="R24" s="50"/>
      <c r="S24" s="50"/>
      <c r="T24" s="50"/>
      <c r="U24" s="50"/>
      <c r="V24" s="50"/>
      <c r="W24" s="50" t="n">
        <f aca="false">(O24+O25)*D24/2</f>
        <v>105.1</v>
      </c>
      <c r="X24" s="50"/>
      <c r="Y24" s="50"/>
      <c r="Z24" s="50"/>
      <c r="AA24" s="50"/>
      <c r="AB24" s="51"/>
      <c r="AC24" s="50"/>
      <c r="AE24" s="52"/>
    </row>
    <row r="25" s="45" customFormat="true" ht="15" hidden="false" customHeight="true" outlineLevel="0" collapsed="false">
      <c r="A25" s="14" t="n">
        <v>15</v>
      </c>
      <c r="B25" s="14" t="str">
        <f aca="false">'2.KTHH L2'!B37</f>
        <v>23</v>
      </c>
      <c r="C25" s="16" t="n">
        <f aca="false">'2.KTHH L2'!C37</f>
        <v>454.75</v>
      </c>
      <c r="D25" s="14" t="n">
        <f aca="false">'2.KTHH L2'!T37</f>
        <v>20</v>
      </c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 t="n">
        <f aca="false">Chạy!E60</f>
        <v>5.08</v>
      </c>
      <c r="P25" s="47"/>
      <c r="Q25" s="47"/>
      <c r="R25" s="50"/>
      <c r="S25" s="50"/>
      <c r="T25" s="50"/>
      <c r="U25" s="50"/>
      <c r="V25" s="50"/>
      <c r="W25" s="50" t="n">
        <f aca="false">(O25+O26)*D25/2</f>
        <v>103.6</v>
      </c>
      <c r="X25" s="50"/>
      <c r="Y25" s="50"/>
      <c r="Z25" s="50"/>
      <c r="AA25" s="50"/>
      <c r="AB25" s="51"/>
      <c r="AC25" s="50"/>
      <c r="AE25" s="52"/>
    </row>
    <row r="26" s="45" customFormat="true" ht="15" hidden="false" customHeight="true" outlineLevel="0" collapsed="false">
      <c r="A26" s="14" t="n">
        <v>16</v>
      </c>
      <c r="B26" s="14" t="str">
        <f aca="false">'2.KTHH L2'!B38</f>
        <v>24</v>
      </c>
      <c r="C26" s="16" t="n">
        <f aca="false">'2.KTHH L2'!C38</f>
        <v>474.75</v>
      </c>
      <c r="D26" s="14" t="n">
        <f aca="false">'2.KTHH L2'!T38</f>
        <v>14.44</v>
      </c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 t="n">
        <f aca="false">Chạy!E64</f>
        <v>5.28</v>
      </c>
      <c r="P26" s="47"/>
      <c r="Q26" s="47"/>
      <c r="R26" s="50"/>
      <c r="S26" s="50"/>
      <c r="T26" s="50"/>
      <c r="U26" s="50"/>
      <c r="V26" s="50"/>
      <c r="W26" s="50" t="n">
        <f aca="false">(O26+O27)*D26/2</f>
        <v>68.8788</v>
      </c>
      <c r="X26" s="50"/>
      <c r="Y26" s="50"/>
      <c r="Z26" s="50"/>
      <c r="AA26" s="50"/>
      <c r="AB26" s="51"/>
      <c r="AC26" s="50"/>
      <c r="AE26" s="52"/>
    </row>
    <row r="27" s="45" customFormat="true" ht="15" hidden="false" customHeight="true" outlineLevel="0" collapsed="false">
      <c r="A27" s="14" t="n">
        <v>17</v>
      </c>
      <c r="B27" s="14" t="str">
        <f aca="false">'2.KTHH L2'!B39</f>
        <v>25</v>
      </c>
      <c r="C27" s="16" t="n">
        <f aca="false">'2.KTHH L2'!C39</f>
        <v>489.19</v>
      </c>
      <c r="D27" s="14" t="n">
        <f aca="false">'2.KTHH L2'!T39</f>
        <v>13.17</v>
      </c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 t="n">
        <f aca="false">Chạy!E68</f>
        <v>4.26</v>
      </c>
      <c r="P27" s="47"/>
      <c r="Q27" s="47"/>
      <c r="R27" s="50"/>
      <c r="S27" s="50"/>
      <c r="T27" s="50"/>
      <c r="U27" s="50"/>
      <c r="V27" s="50"/>
      <c r="W27" s="50" t="n">
        <f aca="false">(O27+O28)*D27/2</f>
        <v>66.2451</v>
      </c>
      <c r="X27" s="50"/>
      <c r="Y27" s="50"/>
      <c r="Z27" s="50"/>
      <c r="AA27" s="50"/>
      <c r="AB27" s="51"/>
      <c r="AC27" s="50"/>
      <c r="AE27" s="52"/>
    </row>
    <row r="28" s="45" customFormat="true" ht="15" hidden="false" customHeight="true" outlineLevel="0" collapsed="false">
      <c r="A28" s="14" t="n">
        <v>18</v>
      </c>
      <c r="B28" s="14" t="str">
        <f aca="false">'2.KTHH L2'!B40</f>
        <v>D1</v>
      </c>
      <c r="C28" s="16" t="n">
        <f aca="false">'2.KTHH L2'!C40</f>
        <v>502.36</v>
      </c>
      <c r="D28" s="14" t="n">
        <f aca="false">'2.KTHH L2'!T40</f>
        <v>10.48</v>
      </c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 t="n">
        <f aca="false">Chạy!E72</f>
        <v>5.8</v>
      </c>
      <c r="P28" s="47"/>
      <c r="Q28" s="47"/>
      <c r="R28" s="50"/>
      <c r="S28" s="50"/>
      <c r="T28" s="50"/>
      <c r="U28" s="50"/>
      <c r="V28" s="50"/>
      <c r="W28" s="50" t="n">
        <f aca="false">(O28+O29)*D28/2</f>
        <v>59.7884</v>
      </c>
      <c r="X28" s="50"/>
      <c r="Y28" s="50"/>
      <c r="Z28" s="50"/>
      <c r="AA28" s="50"/>
      <c r="AB28" s="51"/>
      <c r="AC28" s="50"/>
      <c r="AE28" s="52"/>
    </row>
    <row r="29" s="45" customFormat="true" ht="15" hidden="false" customHeight="true" outlineLevel="0" collapsed="false">
      <c r="A29" s="14" t="n">
        <v>19</v>
      </c>
      <c r="B29" s="14" t="str">
        <f aca="false">'2.KTHH L2'!B41</f>
        <v>26</v>
      </c>
      <c r="C29" s="16" t="n">
        <f aca="false">'2.KTHH L2'!C41</f>
        <v>512.84</v>
      </c>
      <c r="D29" s="14" t="n">
        <f aca="false">'2.KTHH L2'!T41</f>
        <v>16.78</v>
      </c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 t="n">
        <f aca="false">Chạy!E76</f>
        <v>5.61</v>
      </c>
      <c r="P29" s="47"/>
      <c r="Q29" s="47"/>
      <c r="R29" s="50"/>
      <c r="S29" s="50"/>
      <c r="T29" s="50"/>
      <c r="U29" s="50"/>
      <c r="V29" s="50"/>
      <c r="W29" s="50" t="n">
        <f aca="false">(O29+O30)*D29/2</f>
        <v>95.5621</v>
      </c>
      <c r="X29" s="50"/>
      <c r="Y29" s="50"/>
      <c r="Z29" s="50"/>
      <c r="AA29" s="50"/>
      <c r="AB29" s="51"/>
      <c r="AC29" s="50"/>
      <c r="AE29" s="52"/>
    </row>
    <row r="30" s="45" customFormat="true" ht="15" hidden="false" customHeight="true" outlineLevel="0" collapsed="false">
      <c r="A30" s="14" t="n">
        <v>20</v>
      </c>
      <c r="B30" s="14" t="str">
        <f aca="false">'2.KTHH L2'!B42</f>
        <v>27</v>
      </c>
      <c r="C30" s="16" t="n">
        <f aca="false">'2.KTHH L2'!C42</f>
        <v>529.62</v>
      </c>
      <c r="D30" s="14" t="n">
        <f aca="false">'2.KTHH L2'!T42</f>
        <v>17.1</v>
      </c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 t="n">
        <f aca="false">Chạy!E80</f>
        <v>5.78</v>
      </c>
      <c r="P30" s="47"/>
      <c r="Q30" s="47"/>
      <c r="R30" s="50"/>
      <c r="S30" s="50"/>
      <c r="T30" s="50"/>
      <c r="U30" s="50"/>
      <c r="V30" s="50"/>
      <c r="W30" s="50" t="n">
        <f aca="false">(O30+O31)*D30/2</f>
        <v>85.9275</v>
      </c>
      <c r="X30" s="50"/>
      <c r="Y30" s="50"/>
      <c r="Z30" s="50"/>
      <c r="AA30" s="50"/>
      <c r="AB30" s="51"/>
      <c r="AC30" s="50"/>
      <c r="AE30" s="52"/>
    </row>
    <row r="31" s="45" customFormat="true" ht="15" hidden="false" customHeight="true" outlineLevel="0" collapsed="false">
      <c r="A31" s="14" t="n">
        <v>21</v>
      </c>
      <c r="B31" s="14" t="str">
        <f aca="false">'2.KTHH L2'!B43</f>
        <v>28</v>
      </c>
      <c r="C31" s="16" t="n">
        <f aca="false">'2.KTHH L2'!C43</f>
        <v>546.72</v>
      </c>
      <c r="D31" s="14" t="n">
        <f aca="false">'2.KTHH L2'!T43</f>
        <v>15.15</v>
      </c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 t="n">
        <f aca="false">Chạy!E84</f>
        <v>4.27</v>
      </c>
      <c r="P31" s="47"/>
      <c r="Q31" s="47"/>
      <c r="R31" s="50"/>
      <c r="S31" s="50"/>
      <c r="T31" s="50"/>
      <c r="U31" s="50"/>
      <c r="V31" s="50"/>
      <c r="W31" s="50" t="n">
        <f aca="false">(O31+O32)*D31/2</f>
        <v>74.61375</v>
      </c>
      <c r="X31" s="50"/>
      <c r="Y31" s="50"/>
      <c r="Z31" s="50"/>
      <c r="AA31" s="50"/>
      <c r="AB31" s="51"/>
      <c r="AC31" s="50"/>
      <c r="AE31" s="52"/>
    </row>
    <row r="32" s="45" customFormat="true" ht="15" hidden="false" customHeight="true" outlineLevel="0" collapsed="false">
      <c r="A32" s="14" t="n">
        <v>22</v>
      </c>
      <c r="B32" s="14" t="str">
        <f aca="false">'2.KTHH L2'!B44</f>
        <v>E5</v>
      </c>
      <c r="C32" s="16" t="n">
        <f aca="false">'2.KTHH L2'!C44</f>
        <v>561.87</v>
      </c>
      <c r="D32" s="14" t="n">
        <f aca="false">'2.KTHH L2'!T44</f>
        <v>0.15</v>
      </c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 t="n">
        <f aca="false">Chạy!E88</f>
        <v>5.58</v>
      </c>
      <c r="P32" s="47"/>
      <c r="Q32" s="47"/>
      <c r="R32" s="50"/>
      <c r="S32" s="50"/>
      <c r="T32" s="50"/>
      <c r="U32" s="50"/>
      <c r="V32" s="50"/>
      <c r="W32" s="50" t="n">
        <f aca="false">(O32+O33)*D32/2</f>
        <v>0.83775</v>
      </c>
      <c r="X32" s="50"/>
      <c r="Y32" s="50"/>
      <c r="Z32" s="50"/>
      <c r="AA32" s="50"/>
      <c r="AB32" s="51"/>
      <c r="AC32" s="50"/>
      <c r="AE32" s="52"/>
    </row>
    <row r="33" s="45" customFormat="true" ht="15" hidden="false" customHeight="true" outlineLevel="0" collapsed="false">
      <c r="A33" s="14" t="n">
        <v>23</v>
      </c>
      <c r="B33" s="14" t="str">
        <f aca="false">'2.KTHH L2'!B45</f>
        <v>TD</v>
      </c>
      <c r="C33" s="16" t="n">
        <f aca="false">'2.KTHH L2'!C45</f>
        <v>562.02</v>
      </c>
      <c r="D33" s="14" t="n">
        <f aca="false">'2.KTHH L2'!T45</f>
        <v>6.55</v>
      </c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 t="n">
        <f aca="false">Chạy!E92</f>
        <v>5.59</v>
      </c>
      <c r="P33" s="47"/>
      <c r="Q33" s="47"/>
      <c r="R33" s="50"/>
      <c r="S33" s="50"/>
      <c r="T33" s="50"/>
      <c r="U33" s="50"/>
      <c r="V33" s="50"/>
      <c r="W33" s="50" t="n">
        <f aca="false">(O33+O34)*D33/2</f>
        <v>37.10575</v>
      </c>
      <c r="X33" s="50"/>
      <c r="Y33" s="50"/>
      <c r="Z33" s="50"/>
      <c r="AA33" s="50"/>
      <c r="AB33" s="51"/>
      <c r="AC33" s="50"/>
      <c r="AE33" s="52"/>
    </row>
    <row r="34" s="45" customFormat="true" ht="15" hidden="false" customHeight="true" outlineLevel="0" collapsed="false">
      <c r="A34" s="14" t="n">
        <v>24</v>
      </c>
      <c r="B34" s="14" t="str">
        <f aca="false">'2.KTHH L2'!B46</f>
        <v>P</v>
      </c>
      <c r="C34" s="16" t="n">
        <f aca="false">'2.KTHH L2'!C46</f>
        <v>568.57</v>
      </c>
      <c r="D34" s="14" t="n">
        <f aca="false">'2.KTHH L2'!T46</f>
        <v>6.55</v>
      </c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 t="n">
        <f aca="false">Chạy!E96</f>
        <v>5.74</v>
      </c>
      <c r="P34" s="47"/>
      <c r="Q34" s="47"/>
      <c r="R34" s="50"/>
      <c r="S34" s="50"/>
      <c r="T34" s="50"/>
      <c r="U34" s="50"/>
      <c r="V34" s="50"/>
      <c r="W34" s="50" t="n">
        <f aca="false">(O34+O35)*D34/2</f>
        <v>36.418</v>
      </c>
      <c r="X34" s="50"/>
      <c r="Y34" s="50"/>
      <c r="Z34" s="50"/>
      <c r="AA34" s="50"/>
      <c r="AB34" s="51"/>
      <c r="AC34" s="50"/>
      <c r="AE34" s="52"/>
    </row>
    <row r="35" s="45" customFormat="true" ht="15" hidden="false" customHeight="true" outlineLevel="0" collapsed="false">
      <c r="A35" s="14" t="n">
        <v>25</v>
      </c>
      <c r="B35" s="14" t="str">
        <f aca="false">'2.KTHH L2'!B47</f>
        <v>TC</v>
      </c>
      <c r="C35" s="16" t="n">
        <f aca="false">'2.KTHH L2'!C47</f>
        <v>575.12</v>
      </c>
      <c r="D35" s="14" t="n">
        <f aca="false">'2.KTHH L2'!T47</f>
        <v>0.04</v>
      </c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 t="n">
        <f aca="false">Chạy!E100</f>
        <v>5.38</v>
      </c>
      <c r="P35" s="47"/>
      <c r="Q35" s="47"/>
      <c r="R35" s="50"/>
      <c r="S35" s="50"/>
      <c r="T35" s="50"/>
      <c r="U35" s="50"/>
      <c r="V35" s="50"/>
      <c r="W35" s="50" t="n">
        <f aca="false">(O35+O36)*D35/2</f>
        <v>0.2138</v>
      </c>
      <c r="X35" s="50"/>
      <c r="Y35" s="50"/>
      <c r="Z35" s="50"/>
      <c r="AA35" s="50"/>
      <c r="AB35" s="51"/>
      <c r="AC35" s="50"/>
      <c r="AE35" s="52"/>
    </row>
    <row r="36" s="45" customFormat="true" ht="15" hidden="false" customHeight="true" outlineLevel="0" collapsed="false">
      <c r="A36" s="14" t="n">
        <v>26</v>
      </c>
      <c r="B36" s="14" t="str">
        <f aca="false">'2.KTHH L2'!B48</f>
        <v>29</v>
      </c>
      <c r="C36" s="16" t="n">
        <f aca="false">'2.KTHH L2'!C48</f>
        <v>575.16</v>
      </c>
      <c r="D36" s="14" t="n">
        <f aca="false">'2.KTHH L2'!T48</f>
        <v>16.95</v>
      </c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 t="n">
        <f aca="false">Chạy!E104</f>
        <v>5.31</v>
      </c>
      <c r="P36" s="47"/>
      <c r="Q36" s="47"/>
      <c r="R36" s="50"/>
      <c r="S36" s="50"/>
      <c r="T36" s="50"/>
      <c r="U36" s="50"/>
      <c r="V36" s="50"/>
      <c r="W36" s="50" t="n">
        <f aca="false">(O36+O37)*D36/2</f>
        <v>92.46225</v>
      </c>
      <c r="X36" s="50"/>
      <c r="Y36" s="50"/>
      <c r="Z36" s="50"/>
      <c r="AA36" s="50"/>
      <c r="AB36" s="51"/>
      <c r="AC36" s="50"/>
      <c r="AE36" s="52"/>
    </row>
    <row r="37" s="45" customFormat="true" ht="15" hidden="false" customHeight="true" outlineLevel="0" collapsed="false">
      <c r="A37" s="14" t="n">
        <v>27</v>
      </c>
      <c r="B37" s="14" t="str">
        <f aca="false">'2.KTHH L2'!B49</f>
        <v>30</v>
      </c>
      <c r="C37" s="16" t="n">
        <f aca="false">'2.KTHH L2'!C49</f>
        <v>592.11</v>
      </c>
      <c r="D37" s="14" t="n">
        <f aca="false">'2.KTHH L2'!T49</f>
        <v>17</v>
      </c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 t="n">
        <f aca="false">Chạy!E108</f>
        <v>5.6</v>
      </c>
      <c r="P37" s="47"/>
      <c r="Q37" s="47"/>
      <c r="R37" s="50"/>
      <c r="S37" s="50"/>
      <c r="T37" s="50"/>
      <c r="U37" s="50"/>
      <c r="V37" s="50"/>
      <c r="W37" s="50" t="n">
        <f aca="false">(O37+O38)*D37/2</f>
        <v>90.695</v>
      </c>
      <c r="X37" s="50"/>
      <c r="Y37" s="50"/>
      <c r="Z37" s="50"/>
      <c r="AA37" s="50"/>
      <c r="AB37" s="51"/>
      <c r="AC37" s="50"/>
      <c r="AE37" s="52"/>
    </row>
    <row r="38" s="45" customFormat="true" ht="15" hidden="false" customHeight="true" outlineLevel="0" collapsed="false">
      <c r="A38" s="14" t="n">
        <v>28</v>
      </c>
      <c r="B38" s="14" t="str">
        <f aca="false">'2.KTHH L2'!B50</f>
        <v>31</v>
      </c>
      <c r="C38" s="16" t="n">
        <f aca="false">'2.KTHH L2'!C50</f>
        <v>609.11</v>
      </c>
      <c r="D38" s="14" t="n">
        <f aca="false">'2.KTHH L2'!T50</f>
        <v>11.75</v>
      </c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 t="n">
        <f aca="false">Chạy!E112</f>
        <v>5.07</v>
      </c>
      <c r="P38" s="47"/>
      <c r="Q38" s="47"/>
      <c r="R38" s="50"/>
      <c r="S38" s="50"/>
      <c r="T38" s="50"/>
      <c r="U38" s="50"/>
      <c r="V38" s="50"/>
      <c r="W38" s="50" t="n">
        <f aca="false">(O38+O39)*D38/2</f>
        <v>59.27875</v>
      </c>
      <c r="X38" s="50"/>
      <c r="Y38" s="50"/>
      <c r="Z38" s="50"/>
      <c r="AA38" s="50"/>
      <c r="AB38" s="51"/>
      <c r="AC38" s="50"/>
      <c r="AE38" s="52"/>
    </row>
    <row r="39" s="45" customFormat="true" ht="15" hidden="false" customHeight="true" outlineLevel="0" collapsed="false">
      <c r="A39" s="14" t="n">
        <v>29</v>
      </c>
      <c r="B39" s="14" t="str">
        <f aca="false">'2.KTHH L2'!B51</f>
        <v>E10</v>
      </c>
      <c r="C39" s="16" t="n">
        <f aca="false">'2.KTHH L2'!C51</f>
        <v>620.86</v>
      </c>
      <c r="D39" s="14" t="n">
        <f aca="false">'2.KTHH L2'!T51</f>
        <v>11.75</v>
      </c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 t="n">
        <f aca="false">Chạy!E116</f>
        <v>5.02</v>
      </c>
      <c r="P39" s="47"/>
      <c r="Q39" s="47"/>
      <c r="R39" s="50"/>
      <c r="S39" s="50"/>
      <c r="T39" s="50"/>
      <c r="U39" s="50"/>
      <c r="V39" s="50"/>
      <c r="W39" s="50" t="n">
        <f aca="false">(O39+O40)*D39/2</f>
        <v>61.74625</v>
      </c>
      <c r="X39" s="50"/>
      <c r="Y39" s="50"/>
      <c r="Z39" s="50"/>
      <c r="AA39" s="50"/>
      <c r="AB39" s="51"/>
      <c r="AC39" s="50"/>
      <c r="AE39" s="52"/>
    </row>
    <row r="40" s="45" customFormat="true" ht="15" hidden="false" customHeight="true" outlineLevel="0" collapsed="false">
      <c r="A40" s="14" t="n">
        <v>30</v>
      </c>
      <c r="B40" s="14" t="str">
        <f aca="false">'2.KTHH L2'!B52</f>
        <v>32</v>
      </c>
      <c r="C40" s="16" t="n">
        <f aca="false">'2.KTHH L2'!C52</f>
        <v>632.61</v>
      </c>
      <c r="D40" s="14" t="n">
        <f aca="false">'2.KTHH L2'!T52</f>
        <v>20</v>
      </c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 t="n">
        <f aca="false">Chạy!E120</f>
        <v>5.49</v>
      </c>
      <c r="P40" s="47"/>
      <c r="Q40" s="47"/>
      <c r="R40" s="50"/>
      <c r="S40" s="50"/>
      <c r="T40" s="50"/>
      <c r="U40" s="50"/>
      <c r="V40" s="50"/>
      <c r="W40" s="50" t="n">
        <f aca="false">(O40+O41)*D40/2</f>
        <v>113.3</v>
      </c>
      <c r="X40" s="50"/>
      <c r="Y40" s="50"/>
      <c r="Z40" s="50"/>
      <c r="AA40" s="50"/>
      <c r="AB40" s="51"/>
      <c r="AC40" s="50"/>
      <c r="AE40" s="52"/>
    </row>
    <row r="41" s="45" customFormat="true" ht="15" hidden="false" customHeight="true" outlineLevel="0" collapsed="false">
      <c r="A41" s="14" t="n">
        <v>31</v>
      </c>
      <c r="B41" s="14" t="str">
        <f aca="false">'2.KTHH L2'!B53</f>
        <v>33</v>
      </c>
      <c r="C41" s="16" t="n">
        <f aca="false">'2.KTHH L2'!C53</f>
        <v>652.61</v>
      </c>
      <c r="D41" s="14" t="n">
        <f aca="false">'2.KTHH L2'!T53</f>
        <v>20</v>
      </c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 t="n">
        <f aca="false">Chạy!E124</f>
        <v>5.84</v>
      </c>
      <c r="P41" s="47"/>
      <c r="Q41" s="47"/>
      <c r="R41" s="50"/>
      <c r="S41" s="50"/>
      <c r="T41" s="50"/>
      <c r="U41" s="50"/>
      <c r="V41" s="50"/>
      <c r="W41" s="50" t="n">
        <f aca="false">(O41+O42)*D41/2</f>
        <v>111.8</v>
      </c>
      <c r="X41" s="50"/>
      <c r="Y41" s="50"/>
      <c r="Z41" s="50"/>
      <c r="AA41" s="50"/>
      <c r="AB41" s="51"/>
      <c r="AC41" s="50"/>
      <c r="AE41" s="52"/>
    </row>
    <row r="42" s="45" customFormat="true" ht="15" hidden="false" customHeight="true" outlineLevel="0" collapsed="false">
      <c r="A42" s="14" t="n">
        <v>32</v>
      </c>
      <c r="B42" s="14" t="str">
        <f aca="false">'2.KTHH L2'!B54</f>
        <v>34</v>
      </c>
      <c r="C42" s="16" t="n">
        <f aca="false">'2.KTHH L2'!C54</f>
        <v>672.61</v>
      </c>
      <c r="D42" s="14" t="n">
        <f aca="false">'2.KTHH L2'!T54</f>
        <v>20</v>
      </c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 t="n">
        <f aca="false">Chạy!E128</f>
        <v>5.34</v>
      </c>
      <c r="P42" s="47"/>
      <c r="Q42" s="47"/>
      <c r="R42" s="50"/>
      <c r="S42" s="50"/>
      <c r="T42" s="50"/>
      <c r="U42" s="50"/>
      <c r="V42" s="50"/>
      <c r="W42" s="50" t="n">
        <f aca="false">(O42+O43)*D42/2</f>
        <v>112</v>
      </c>
      <c r="X42" s="50"/>
      <c r="Y42" s="50"/>
      <c r="Z42" s="50"/>
      <c r="AA42" s="50"/>
      <c r="AB42" s="51"/>
      <c r="AC42" s="50"/>
      <c r="AE42" s="52"/>
    </row>
    <row r="43" s="45" customFormat="true" ht="15" hidden="false" customHeight="true" outlineLevel="0" collapsed="false">
      <c r="A43" s="14" t="n">
        <v>33</v>
      </c>
      <c r="B43" s="14" t="str">
        <f aca="false">'2.KTHH L2'!B55</f>
        <v>35</v>
      </c>
      <c r="C43" s="16" t="n">
        <f aca="false">'2.KTHH L2'!C55</f>
        <v>692.61</v>
      </c>
      <c r="D43" s="14" t="n">
        <f aca="false">'2.KTHH L2'!T55</f>
        <v>20</v>
      </c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 t="n">
        <f aca="false">Chạy!E132</f>
        <v>5.86</v>
      </c>
      <c r="P43" s="47"/>
      <c r="Q43" s="47"/>
      <c r="R43" s="50"/>
      <c r="S43" s="50"/>
      <c r="T43" s="50"/>
      <c r="U43" s="50"/>
      <c r="V43" s="50"/>
      <c r="W43" s="50" t="n">
        <f aca="false">(O43+O44)*D43/2</f>
        <v>102.7</v>
      </c>
      <c r="X43" s="50"/>
      <c r="Y43" s="50"/>
      <c r="Z43" s="50"/>
      <c r="AA43" s="50"/>
      <c r="AB43" s="51"/>
      <c r="AC43" s="50"/>
      <c r="AE43" s="52"/>
    </row>
    <row r="44" s="45" customFormat="true" ht="15" hidden="false" customHeight="true" outlineLevel="0" collapsed="false">
      <c r="A44" s="14" t="n">
        <v>34</v>
      </c>
      <c r="B44" s="14" t="str">
        <f aca="false">'2.KTHH L2'!B56</f>
        <v>36</v>
      </c>
      <c r="C44" s="16" t="n">
        <f aca="false">'2.KTHH L2'!C56</f>
        <v>712.61</v>
      </c>
      <c r="D44" s="14" t="n">
        <f aca="false">'2.KTHH L2'!T56</f>
        <v>11.5</v>
      </c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 t="n">
        <f aca="false">Chạy!E136</f>
        <v>4.41</v>
      </c>
      <c r="P44" s="47"/>
      <c r="Q44" s="47"/>
      <c r="R44" s="50"/>
      <c r="S44" s="50"/>
      <c r="T44" s="50"/>
      <c r="U44" s="50"/>
      <c r="V44" s="50"/>
      <c r="W44" s="50" t="n">
        <f aca="false">(O44+O45)*D44/2</f>
        <v>58.1325</v>
      </c>
      <c r="X44" s="50"/>
      <c r="Y44" s="50"/>
      <c r="Z44" s="50"/>
      <c r="AA44" s="50"/>
      <c r="AB44" s="51"/>
      <c r="AC44" s="50"/>
      <c r="AE44" s="52"/>
    </row>
    <row r="45" s="45" customFormat="true" ht="15" hidden="false" customHeight="true" outlineLevel="0" collapsed="false">
      <c r="A45" s="14" t="n">
        <v>35</v>
      </c>
      <c r="B45" s="14" t="str">
        <f aca="false">'2.KTHH L2'!B57</f>
        <v>37</v>
      </c>
      <c r="C45" s="16" t="n">
        <f aca="false">'2.KTHH L2'!C57</f>
        <v>724.11</v>
      </c>
      <c r="D45" s="14" t="n">
        <f aca="false">'2.KTHH L2'!T57</f>
        <v>13.25</v>
      </c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 t="n">
        <f aca="false">Chạy!E140</f>
        <v>5.7</v>
      </c>
      <c r="P45" s="47"/>
      <c r="Q45" s="47"/>
      <c r="R45" s="50"/>
      <c r="S45" s="50"/>
      <c r="T45" s="50"/>
      <c r="U45" s="50"/>
      <c r="V45" s="50"/>
      <c r="W45" s="50" t="n">
        <f aca="false">(O45+O46)*D45/2</f>
        <v>73.07375</v>
      </c>
      <c r="X45" s="50"/>
      <c r="Y45" s="50"/>
      <c r="Z45" s="50"/>
      <c r="AA45" s="50"/>
      <c r="AB45" s="51"/>
      <c r="AC45" s="50"/>
      <c r="AE45" s="52"/>
    </row>
    <row r="46" s="45" customFormat="true" ht="15" hidden="false" customHeight="true" outlineLevel="0" collapsed="false">
      <c r="A46" s="14" t="n">
        <v>36</v>
      </c>
      <c r="B46" s="14" t="str">
        <f aca="false">'2.KTHH L2'!B58</f>
        <v>G6</v>
      </c>
      <c r="C46" s="16" t="n">
        <f aca="false">'2.KTHH L2'!C58</f>
        <v>737.36</v>
      </c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 t="n">
        <f aca="false">Chạy!E144</f>
        <v>5.33</v>
      </c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85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SUM(W11:W46)</f>
        <v>2528.3782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74</v>
      </c>
      <c r="B53" s="20"/>
      <c r="C53" s="20"/>
      <c r="D53" s="65" t="s">
        <v>86</v>
      </c>
      <c r="E53" s="20" t="s">
        <v>75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76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77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56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58</v>
      </c>
      <c r="C7" s="8"/>
      <c r="D7" s="8"/>
      <c r="E7" s="8"/>
      <c r="F7" s="8"/>
      <c r="G7" s="8" t="s">
        <v>90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61</v>
      </c>
      <c r="B21" s="10" t="s">
        <v>62</v>
      </c>
      <c r="C21" s="10" t="s">
        <v>63</v>
      </c>
      <c r="D21" s="11" t="s">
        <v>64</v>
      </c>
      <c r="E21" s="11"/>
      <c r="F21" s="11"/>
      <c r="G21" s="11"/>
      <c r="H21" s="11"/>
      <c r="I21" s="11"/>
      <c r="J21" s="11" t="s">
        <v>65</v>
      </c>
      <c r="K21" s="11"/>
      <c r="L21" s="11"/>
      <c r="M21" s="11" t="s">
        <v>66</v>
      </c>
      <c r="N21" s="11"/>
      <c r="O21" s="11"/>
      <c r="P21" s="11"/>
      <c r="Q21" s="11"/>
      <c r="R21" s="11"/>
      <c r="S21" s="10" t="s">
        <v>67</v>
      </c>
    </row>
    <row r="22" customFormat="false" ht="30" hidden="false" customHeight="true" outlineLevel="0" collapsed="false">
      <c r="A22" s="10"/>
      <c r="B22" s="10"/>
      <c r="C22" s="10"/>
      <c r="D22" s="12" t="s">
        <v>68</v>
      </c>
      <c r="E22" s="12" t="s">
        <v>69</v>
      </c>
      <c r="F22" s="12" t="s">
        <v>70</v>
      </c>
      <c r="G22" s="12" t="s">
        <v>71</v>
      </c>
      <c r="H22" s="12" t="s">
        <v>72</v>
      </c>
      <c r="I22" s="12" t="s">
        <v>73</v>
      </c>
      <c r="J22" s="12" t="s">
        <v>71</v>
      </c>
      <c r="K22" s="12" t="s">
        <v>72</v>
      </c>
      <c r="L22" s="12" t="s">
        <v>73</v>
      </c>
      <c r="M22" s="12" t="s">
        <v>68</v>
      </c>
      <c r="N22" s="12" t="s">
        <v>69</v>
      </c>
      <c r="O22" s="12" t="s">
        <v>70</v>
      </c>
      <c r="P22" s="12" t="s">
        <v>71</v>
      </c>
      <c r="Q22" s="12" t="s">
        <v>72</v>
      </c>
      <c r="R22" s="12" t="s">
        <v>73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211</v>
      </c>
      <c r="D23" s="17" t="n">
        <f aca="false">+Chạy!F3</f>
        <v>-9.8</v>
      </c>
      <c r="E23" s="17" t="n">
        <f aca="false">+D23+F23</f>
        <v>-9.8029</v>
      </c>
      <c r="F23" s="17" t="n">
        <f aca="false">RANDBETWEEN(-105,115)/10000</f>
        <v>-0.0029</v>
      </c>
      <c r="G23" s="17" t="n">
        <f aca="false">+Chạy!G3</f>
        <v>-0.75</v>
      </c>
      <c r="H23" s="17" t="n">
        <f aca="false">G23+I23</f>
        <v>-0.718</v>
      </c>
      <c r="I23" s="17" t="n">
        <f aca="false">RANDBETWEEN(-30,90)/1000</f>
        <v>0.032</v>
      </c>
      <c r="J23" s="17" t="n">
        <f aca="false">+Chạy!K3</f>
        <v>-0.75</v>
      </c>
      <c r="K23" s="17" t="n">
        <f aca="false">J23+L23</f>
        <v>-0.698</v>
      </c>
      <c r="L23" s="17" t="n">
        <f aca="false">RANDBETWEEN(-30,90)/1000</f>
        <v>0.052</v>
      </c>
      <c r="M23" s="17" t="n">
        <f aca="false">+Chạy!N3</f>
        <v>5.95</v>
      </c>
      <c r="N23" s="17" t="n">
        <f aca="false">+M23+O23</f>
        <v>5.9415</v>
      </c>
      <c r="O23" s="17" t="n">
        <f aca="false">RANDBETWEEN(-105,115)/10000</f>
        <v>-0.0085</v>
      </c>
      <c r="P23" s="17" t="n">
        <f aca="false">+Chạy!O3</f>
        <v>-0.75</v>
      </c>
      <c r="Q23" s="17" t="n">
        <f aca="false">P23+R23</f>
        <v>-0.743</v>
      </c>
      <c r="R23" s="17" t="n">
        <f aca="false">RANDBETWEEN(-30,90)/1000</f>
        <v>0.007</v>
      </c>
      <c r="S23" s="18"/>
      <c r="T23" s="19" t="n">
        <v>13.25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224.25</v>
      </c>
      <c r="D24" s="17" t="n">
        <f aca="false">+Chạy!F7</f>
        <v>-9.85</v>
      </c>
      <c r="E24" s="17" t="n">
        <f aca="false">+D24+F24</f>
        <v>-9.8498</v>
      </c>
      <c r="F24" s="17" t="n">
        <f aca="false">RANDBETWEEN(-105,115)/10000</f>
        <v>0.0002</v>
      </c>
      <c r="G24" s="17" t="n">
        <f aca="false">+Chạy!G7</f>
        <v>-0.75</v>
      </c>
      <c r="H24" s="17" t="n">
        <f aca="false">G24+I24</f>
        <v>-0.697</v>
      </c>
      <c r="I24" s="17" t="n">
        <f aca="false">RANDBETWEEN(-30,90)/1000</f>
        <v>0.053</v>
      </c>
      <c r="J24" s="17" t="n">
        <f aca="false">+Chạy!K7</f>
        <v>-0.75</v>
      </c>
      <c r="K24" s="17" t="n">
        <f aca="false">J24+L24</f>
        <v>-0.684</v>
      </c>
      <c r="L24" s="17" t="n">
        <f aca="false">RANDBETWEEN(-30,90)/1000</f>
        <v>0.066</v>
      </c>
      <c r="M24" s="17" t="n">
        <f aca="false">+Chạy!N7</f>
        <v>6.2</v>
      </c>
      <c r="N24" s="17" t="n">
        <f aca="false">+M24+O24</f>
        <v>6.2113</v>
      </c>
      <c r="O24" s="17" t="n">
        <f aca="false">RANDBETWEEN(-105,115)/10000</f>
        <v>0.0113</v>
      </c>
      <c r="P24" s="17" t="n">
        <f aca="false">+Chạy!O7</f>
        <v>-0.75</v>
      </c>
      <c r="Q24" s="17" t="n">
        <f aca="false">P24+R24</f>
        <v>-0.746</v>
      </c>
      <c r="R24" s="17" t="n">
        <f aca="false">RANDBETWEEN(-30,90)/1000</f>
        <v>0.004</v>
      </c>
      <c r="S24" s="18"/>
      <c r="T24" s="19" t="n">
        <v>21.5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245.75</v>
      </c>
      <c r="D25" s="17" t="n">
        <f aca="false">+Chạy!F11</f>
        <v>-5.95</v>
      </c>
      <c r="E25" s="17" t="n">
        <f aca="false">+D25+F25</f>
        <v>-5.9476</v>
      </c>
      <c r="F25" s="17" t="n">
        <f aca="false">RANDBETWEEN(-105,115)/10000</f>
        <v>0.0024</v>
      </c>
      <c r="G25" s="17" t="n">
        <f aca="false">+Chạy!G11</f>
        <v>-0.75</v>
      </c>
      <c r="H25" s="17" t="n">
        <f aca="false">G25+I25</f>
        <v>-0.66</v>
      </c>
      <c r="I25" s="17" t="n">
        <f aca="false">RANDBETWEEN(-30,90)/1000</f>
        <v>0.09</v>
      </c>
      <c r="J25" s="17" t="n">
        <f aca="false">+Chạy!K11</f>
        <v>-0.75</v>
      </c>
      <c r="K25" s="17" t="n">
        <f aca="false">J25+L25</f>
        <v>-0.744</v>
      </c>
      <c r="L25" s="17" t="n">
        <f aca="false">RANDBETWEEN(-30,90)/1000</f>
        <v>0.006</v>
      </c>
      <c r="M25" s="17" t="n">
        <f aca="false">+Chạy!N11</f>
        <v>5.95</v>
      </c>
      <c r="N25" s="17" t="n">
        <f aca="false">+M25+O25</f>
        <v>5.9403</v>
      </c>
      <c r="O25" s="17" t="n">
        <f aca="false">RANDBETWEEN(-105,115)/10000</f>
        <v>-0.0097</v>
      </c>
      <c r="P25" s="17" t="n">
        <f aca="false">+Chạy!O11</f>
        <v>-0.75</v>
      </c>
      <c r="Q25" s="17" t="n">
        <f aca="false">P25+R25</f>
        <v>-0.721</v>
      </c>
      <c r="R25" s="17" t="n">
        <f aca="false">RANDBETWEEN(-30,90)/1000</f>
        <v>0.029</v>
      </c>
      <c r="S25" s="18"/>
      <c r="T25" s="19" t="n">
        <v>11.75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257.5</v>
      </c>
      <c r="D26" s="17" t="n">
        <f aca="false">+Chạy!F15</f>
        <v>-5.95</v>
      </c>
      <c r="E26" s="17" t="n">
        <f aca="false">+D26+F26</f>
        <v>-5.943</v>
      </c>
      <c r="F26" s="17" t="n">
        <f aca="false">RANDBETWEEN(-105,115)/10000</f>
        <v>0.007</v>
      </c>
      <c r="G26" s="17" t="n">
        <f aca="false">+Chạy!G15</f>
        <v>-0.75</v>
      </c>
      <c r="H26" s="17" t="n">
        <f aca="false">G26+I26</f>
        <v>-0.662</v>
      </c>
      <c r="I26" s="17" t="n">
        <f aca="false">RANDBETWEEN(-30,90)/1000</f>
        <v>0.088</v>
      </c>
      <c r="J26" s="17" t="n">
        <f aca="false">+Chạy!K15</f>
        <v>-0.75</v>
      </c>
      <c r="K26" s="17" t="n">
        <f aca="false">J26+L26</f>
        <v>-0.69</v>
      </c>
      <c r="L26" s="17" t="n">
        <f aca="false">RANDBETWEEN(-30,90)/1000</f>
        <v>0.06</v>
      </c>
      <c r="M26" s="17" t="n">
        <f aca="false">+Chạy!N15</f>
        <v>5.95</v>
      </c>
      <c r="N26" s="17" t="n">
        <f aca="false">+M26+O26</f>
        <v>5.9592</v>
      </c>
      <c r="O26" s="17" t="n">
        <f aca="false">RANDBETWEEN(-105,115)/10000</f>
        <v>0.0092</v>
      </c>
      <c r="P26" s="17" t="n">
        <f aca="false">+Chạy!O15</f>
        <v>-0.75</v>
      </c>
      <c r="Q26" s="17" t="n">
        <f aca="false">P26+R26</f>
        <v>-0.719</v>
      </c>
      <c r="R26" s="17" t="n">
        <f aca="false">RANDBETWEEN(-30,90)/1000</f>
        <v>0.031</v>
      </c>
      <c r="S26" s="18"/>
      <c r="T26" s="19" t="n">
        <v>11.75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269.25</v>
      </c>
      <c r="D27" s="17" t="n">
        <f aca="false">+Chạy!F19</f>
        <v>-5.95</v>
      </c>
      <c r="E27" s="17" t="n">
        <f aca="false">+D27+F27</f>
        <v>-5.9455</v>
      </c>
      <c r="F27" s="17" t="n">
        <f aca="false">RANDBETWEEN(-105,115)/10000</f>
        <v>0.0045</v>
      </c>
      <c r="G27" s="17" t="n">
        <f aca="false">+Chạy!G19</f>
        <v>-0.75</v>
      </c>
      <c r="H27" s="17" t="n">
        <f aca="false">G27+I27</f>
        <v>-0.671</v>
      </c>
      <c r="I27" s="17" t="n">
        <f aca="false">RANDBETWEEN(-30,90)/1000</f>
        <v>0.079</v>
      </c>
      <c r="J27" s="17" t="n">
        <f aca="false">+Chạy!K19</f>
        <v>-0.75</v>
      </c>
      <c r="K27" s="17" t="n">
        <f aca="false">J27+L27</f>
        <v>-0.667</v>
      </c>
      <c r="L27" s="17" t="n">
        <f aca="false">RANDBETWEEN(-30,90)/1000</f>
        <v>0.083</v>
      </c>
      <c r="M27" s="17" t="n">
        <f aca="false">+Chạy!N19</f>
        <v>5.95</v>
      </c>
      <c r="N27" s="17" t="n">
        <f aca="false">+M27+O27</f>
        <v>5.9407</v>
      </c>
      <c r="O27" s="17" t="n">
        <f aca="false">RANDBETWEEN(-105,115)/10000</f>
        <v>-0.0093</v>
      </c>
      <c r="P27" s="17" t="n">
        <f aca="false">+Chạy!O19</f>
        <v>-0.75</v>
      </c>
      <c r="Q27" s="17" t="n">
        <f aca="false">P27+R27</f>
        <v>-0.716</v>
      </c>
      <c r="R27" s="17" t="n">
        <f aca="false">RANDBETWEEN(-30,90)/1000</f>
        <v>0.034</v>
      </c>
      <c r="S27" s="18"/>
      <c r="T27" s="19" t="n">
        <v>20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289.25</v>
      </c>
      <c r="D28" s="17" t="n">
        <f aca="false">+Chạy!F23</f>
        <v>-5.95</v>
      </c>
      <c r="E28" s="17" t="n">
        <f aca="false">+D28+F28</f>
        <v>-5.9533</v>
      </c>
      <c r="F28" s="17" t="n">
        <f aca="false">RANDBETWEEN(-105,115)/10000</f>
        <v>-0.0033</v>
      </c>
      <c r="G28" s="17" t="n">
        <f aca="false">+Chạy!G23</f>
        <v>-0.75</v>
      </c>
      <c r="H28" s="17" t="n">
        <f aca="false">G28+I28</f>
        <v>-0.737</v>
      </c>
      <c r="I28" s="17" t="n">
        <f aca="false">RANDBETWEEN(-30,90)/1000</f>
        <v>0.013</v>
      </c>
      <c r="J28" s="17" t="n">
        <f aca="false">+Chạy!K23</f>
        <v>-0.75</v>
      </c>
      <c r="K28" s="17" t="n">
        <f aca="false">J28+L28</f>
        <v>-0.742</v>
      </c>
      <c r="L28" s="17" t="n">
        <f aca="false">RANDBETWEEN(-30,90)/1000</f>
        <v>0.008</v>
      </c>
      <c r="M28" s="17" t="n">
        <f aca="false">+Chạy!N23</f>
        <v>5.95</v>
      </c>
      <c r="N28" s="17" t="n">
        <f aca="false">+M28+O28</f>
        <v>5.9448</v>
      </c>
      <c r="O28" s="17" t="n">
        <f aca="false">RANDBETWEEN(-105,115)/10000</f>
        <v>-0.0052</v>
      </c>
      <c r="P28" s="17" t="n">
        <f aca="false">+Chạy!O23</f>
        <v>-0.75</v>
      </c>
      <c r="Q28" s="17" t="n">
        <f aca="false">P28+R28</f>
        <v>-0.751</v>
      </c>
      <c r="R28" s="17" t="n">
        <f aca="false">RANDBETWEEN(-30,90)/1000</f>
        <v>-0.001</v>
      </c>
      <c r="S28" s="18"/>
      <c r="T28" s="19" t="n">
        <v>20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309.25</v>
      </c>
      <c r="D29" s="17" t="n">
        <f aca="false">+Chạy!F27</f>
        <v>-5.95</v>
      </c>
      <c r="E29" s="17" t="n">
        <f aca="false">+D29+F29</f>
        <v>-5.9582</v>
      </c>
      <c r="F29" s="17" t="n">
        <f aca="false">RANDBETWEEN(-105,115)/10000</f>
        <v>-0.0082</v>
      </c>
      <c r="G29" s="17" t="n">
        <f aca="false">+Chạy!G27</f>
        <v>-0.75</v>
      </c>
      <c r="H29" s="17" t="n">
        <f aca="false">G29+I29</f>
        <v>-0.759</v>
      </c>
      <c r="I29" s="17" t="n">
        <f aca="false">RANDBETWEEN(-30,90)/1000</f>
        <v>-0.009</v>
      </c>
      <c r="J29" s="17" t="n">
        <f aca="false">+Chạy!K27</f>
        <v>-0.75</v>
      </c>
      <c r="K29" s="17" t="n">
        <f aca="false">J29+L29</f>
        <v>-0.732</v>
      </c>
      <c r="L29" s="17" t="n">
        <f aca="false">RANDBETWEEN(-30,90)/1000</f>
        <v>0.018</v>
      </c>
      <c r="M29" s="17" t="n">
        <f aca="false">+Chạy!N27</f>
        <v>5.95</v>
      </c>
      <c r="N29" s="17" t="n">
        <f aca="false">+M29+O29</f>
        <v>5.9537</v>
      </c>
      <c r="O29" s="17" t="n">
        <f aca="false">RANDBETWEEN(-105,115)/10000</f>
        <v>0.0037</v>
      </c>
      <c r="P29" s="17" t="n">
        <f aca="false">+Chạy!O27</f>
        <v>-0.75</v>
      </c>
      <c r="Q29" s="17" t="n">
        <f aca="false">P29+R29</f>
        <v>-0.755</v>
      </c>
      <c r="R29" s="17" t="n">
        <f aca="false">RANDBETWEEN(-30,90)/1000</f>
        <v>-0.005</v>
      </c>
      <c r="S29" s="18"/>
      <c r="T29" s="19" t="n">
        <v>20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329.25</v>
      </c>
      <c r="D30" s="17" t="n">
        <f aca="false">+Chạy!F31</f>
        <v>-5.95</v>
      </c>
      <c r="E30" s="17" t="n">
        <f aca="false">+D30+F30</f>
        <v>-5.9604</v>
      </c>
      <c r="F30" s="17" t="n">
        <f aca="false">RANDBETWEEN(-105,115)/10000</f>
        <v>-0.0104</v>
      </c>
      <c r="G30" s="17" t="n">
        <f aca="false">+Chạy!G31</f>
        <v>-0.75</v>
      </c>
      <c r="H30" s="17" t="n">
        <f aca="false">G30+I30</f>
        <v>-0.745</v>
      </c>
      <c r="I30" s="17" t="n">
        <f aca="false">RANDBETWEEN(-30,90)/1000</f>
        <v>0.005</v>
      </c>
      <c r="J30" s="17" t="n">
        <f aca="false">+Chạy!K31</f>
        <v>-0.75</v>
      </c>
      <c r="K30" s="17" t="n">
        <f aca="false">J30+L30</f>
        <v>-0.704</v>
      </c>
      <c r="L30" s="17" t="n">
        <f aca="false">RANDBETWEEN(-30,90)/1000</f>
        <v>0.046</v>
      </c>
      <c r="M30" s="17" t="n">
        <f aca="false">+Chạy!N31</f>
        <v>5.95</v>
      </c>
      <c r="N30" s="17" t="n">
        <f aca="false">+M30+O30</f>
        <v>5.9543</v>
      </c>
      <c r="O30" s="17" t="n">
        <f aca="false">RANDBETWEEN(-105,115)/10000</f>
        <v>0.0043</v>
      </c>
      <c r="P30" s="17" t="n">
        <f aca="false">+Chạy!O31</f>
        <v>-0.75</v>
      </c>
      <c r="Q30" s="17" t="n">
        <f aca="false">P30+R30</f>
        <v>-0.671</v>
      </c>
      <c r="R30" s="17" t="n">
        <f aca="false">RANDBETWEEN(-30,90)/1000</f>
        <v>0.079</v>
      </c>
      <c r="S30" s="18"/>
      <c r="T30" s="19" t="n">
        <v>20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349.25</v>
      </c>
      <c r="D31" s="17" t="n">
        <f aca="false">+Chạy!F35</f>
        <v>-5.95</v>
      </c>
      <c r="E31" s="17" t="n">
        <f aca="false">+D31+F31</f>
        <v>-5.9401</v>
      </c>
      <c r="F31" s="17" t="n">
        <f aca="false">RANDBETWEEN(-105,115)/10000</f>
        <v>0.0099</v>
      </c>
      <c r="G31" s="17" t="n">
        <f aca="false">+Chạy!G35</f>
        <v>-0.75</v>
      </c>
      <c r="H31" s="17" t="n">
        <f aca="false">G31+I31</f>
        <v>-0.673</v>
      </c>
      <c r="I31" s="17" t="n">
        <f aca="false">RANDBETWEEN(-30,90)/1000</f>
        <v>0.077</v>
      </c>
      <c r="J31" s="17" t="n">
        <f aca="false">+Chạy!K35</f>
        <v>-0.75</v>
      </c>
      <c r="K31" s="17" t="n">
        <f aca="false">J31+L31</f>
        <v>-0.701</v>
      </c>
      <c r="L31" s="17" t="n">
        <f aca="false">RANDBETWEEN(-30,90)/1000</f>
        <v>0.049</v>
      </c>
      <c r="M31" s="17" t="n">
        <f aca="false">+Chạy!N35</f>
        <v>5.95</v>
      </c>
      <c r="N31" s="17" t="n">
        <f aca="false">+M31+O31</f>
        <v>5.952</v>
      </c>
      <c r="O31" s="17" t="n">
        <f aca="false">RANDBETWEEN(-105,115)/10000</f>
        <v>0.002</v>
      </c>
      <c r="P31" s="17" t="n">
        <f aca="false">+Chạy!O35</f>
        <v>-0.75</v>
      </c>
      <c r="Q31" s="17" t="n">
        <f aca="false">P31+R31</f>
        <v>-0.726</v>
      </c>
      <c r="R31" s="17" t="n">
        <f aca="false">RANDBETWEEN(-30,90)/1000</f>
        <v>0.024</v>
      </c>
      <c r="S31" s="18"/>
      <c r="T31" s="19" t="n">
        <v>19</v>
      </c>
    </row>
    <row r="32" customFormat="false" ht="15" hidden="false" customHeight="false" outlineLevel="0" collapsed="false">
      <c r="A32" s="14" t="n">
        <v>10</v>
      </c>
      <c r="B32" s="15" t="s">
        <v>26</v>
      </c>
      <c r="C32" s="16" t="n">
        <f aca="false">+C31+T31</f>
        <v>368.25</v>
      </c>
      <c r="D32" s="17" t="n">
        <f aca="false">+Chạy!F39</f>
        <v>-9.58</v>
      </c>
      <c r="E32" s="17" t="n">
        <f aca="false">+D32+F32</f>
        <v>-9.5747</v>
      </c>
      <c r="F32" s="17" t="n">
        <f aca="false">RANDBETWEEN(-105,115)/10000</f>
        <v>0.0053</v>
      </c>
      <c r="G32" s="17" t="n">
        <f aca="false">+Chạy!G39</f>
        <v>-0.75</v>
      </c>
      <c r="H32" s="17" t="n">
        <f aca="false">G32+I32</f>
        <v>-0.75</v>
      </c>
      <c r="I32" s="17" t="n">
        <f aca="false">RANDBETWEEN(-30,90)/1000</f>
        <v>0</v>
      </c>
      <c r="J32" s="17" t="n">
        <f aca="false">+Chạy!K39</f>
        <v>-0.75</v>
      </c>
      <c r="K32" s="17" t="n">
        <f aca="false">J32+L32</f>
        <v>-0.745</v>
      </c>
      <c r="L32" s="17" t="n">
        <f aca="false">RANDBETWEEN(-30,90)/1000</f>
        <v>0.005</v>
      </c>
      <c r="M32" s="17" t="n">
        <f aca="false">+Chạy!N39</f>
        <v>5.95</v>
      </c>
      <c r="N32" s="17" t="n">
        <f aca="false">+M32+O32</f>
        <v>5.953</v>
      </c>
      <c r="O32" s="17" t="n">
        <f aca="false">RANDBETWEEN(-105,115)/10000</f>
        <v>0.003</v>
      </c>
      <c r="P32" s="17" t="n">
        <f aca="false">+Chạy!O39</f>
        <v>-0.75</v>
      </c>
      <c r="Q32" s="17" t="n">
        <f aca="false">P32+R32</f>
        <v>-0.693</v>
      </c>
      <c r="R32" s="17" t="n">
        <f aca="false">RANDBETWEEN(-30,90)/1000</f>
        <v>0.057</v>
      </c>
      <c r="S32" s="18"/>
      <c r="T32" s="19" t="n">
        <v>13.25</v>
      </c>
    </row>
    <row r="33" customFormat="false" ht="15" hidden="false" customHeight="false" outlineLevel="0" collapsed="false">
      <c r="A33" s="14" t="n">
        <v>11</v>
      </c>
      <c r="B33" s="15" t="s">
        <v>27</v>
      </c>
      <c r="C33" s="16" t="n">
        <f aca="false">+C32+T32</f>
        <v>381.5</v>
      </c>
      <c r="D33" s="17" t="n">
        <f aca="false">+Chạy!F43</f>
        <v>-9.89</v>
      </c>
      <c r="E33" s="17" t="n">
        <f aca="false">+D33+F33</f>
        <v>-9.8923</v>
      </c>
      <c r="F33" s="17" t="n">
        <f aca="false">RANDBETWEEN(-105,115)/10000</f>
        <v>-0.0023</v>
      </c>
      <c r="G33" s="17" t="n">
        <f aca="false">+Chạy!G43</f>
        <v>-0.75</v>
      </c>
      <c r="H33" s="17" t="n">
        <f aca="false">G33+I33</f>
        <v>-0.685</v>
      </c>
      <c r="I33" s="17" t="n">
        <f aca="false">RANDBETWEEN(-30,90)/1000</f>
        <v>0.065</v>
      </c>
      <c r="J33" s="17" t="n">
        <f aca="false">+Chạy!K43</f>
        <v>-0.75</v>
      </c>
      <c r="K33" s="17" t="n">
        <f aca="false">J33+L33</f>
        <v>-0.728</v>
      </c>
      <c r="L33" s="17" t="n">
        <f aca="false">RANDBETWEEN(-30,90)/1000</f>
        <v>0.022</v>
      </c>
      <c r="M33" s="17" t="n">
        <f aca="false">+Chạy!N43</f>
        <v>9.72</v>
      </c>
      <c r="N33" s="17" t="n">
        <f aca="false">+M33+O33</f>
        <v>9.7267</v>
      </c>
      <c r="O33" s="17" t="n">
        <f aca="false">RANDBETWEEN(-105,115)/10000</f>
        <v>0.0067</v>
      </c>
      <c r="P33" s="17" t="n">
        <f aca="false">+Chạy!O43</f>
        <v>-0.75</v>
      </c>
      <c r="Q33" s="17" t="n">
        <f aca="false">P33+R33</f>
        <v>-0.725</v>
      </c>
      <c r="R33" s="17" t="n">
        <f aca="false">RANDBETWEEN(-30,90)/1000</f>
        <v>0.025</v>
      </c>
      <c r="S33" s="18"/>
      <c r="T33" s="19" t="n">
        <v>13.25</v>
      </c>
    </row>
    <row r="34" customFormat="false" ht="15" hidden="false" customHeight="false" outlineLevel="0" collapsed="false">
      <c r="A34" s="14" t="n">
        <v>12</v>
      </c>
      <c r="B34" s="15" t="s">
        <v>28</v>
      </c>
      <c r="C34" s="16" t="n">
        <f aca="false">+C33+T33</f>
        <v>394.75</v>
      </c>
      <c r="D34" s="17" t="n">
        <f aca="false">+Chạy!F47</f>
        <v>-9.56</v>
      </c>
      <c r="E34" s="17" t="n">
        <f aca="false">+D34+F34</f>
        <v>-9.5669</v>
      </c>
      <c r="F34" s="17" t="n">
        <f aca="false">RANDBETWEEN(-105,115)/10000</f>
        <v>-0.0069</v>
      </c>
      <c r="G34" s="17" t="n">
        <f aca="false">+Chạy!G47</f>
        <v>-0.75</v>
      </c>
      <c r="H34" s="17" t="n">
        <f aca="false">G34+I34</f>
        <v>-0.76</v>
      </c>
      <c r="I34" s="17" t="n">
        <f aca="false">RANDBETWEEN(-30,90)/1000</f>
        <v>-0.01</v>
      </c>
      <c r="J34" s="17" t="n">
        <f aca="false">+Chạy!K47</f>
        <v>-0.75</v>
      </c>
      <c r="K34" s="17" t="n">
        <f aca="false">J34+L34</f>
        <v>-0.671</v>
      </c>
      <c r="L34" s="17" t="n">
        <f aca="false">RANDBETWEEN(-30,90)/1000</f>
        <v>0.079</v>
      </c>
      <c r="M34" s="17" t="n">
        <f aca="false">+Chạy!N47</f>
        <v>9.69</v>
      </c>
      <c r="N34" s="17" t="n">
        <f aca="false">+M34+O34</f>
        <v>9.6873</v>
      </c>
      <c r="O34" s="17" t="n">
        <f aca="false">RANDBETWEEN(-105,115)/10000</f>
        <v>-0.0027</v>
      </c>
      <c r="P34" s="17" t="n">
        <f aca="false">+Chạy!O47</f>
        <v>-0.75</v>
      </c>
      <c r="Q34" s="17" t="n">
        <f aca="false">P34+R34</f>
        <v>-0.779</v>
      </c>
      <c r="R34" s="17" t="n">
        <f aca="false">RANDBETWEEN(-30,90)/1000</f>
        <v>-0.029</v>
      </c>
      <c r="S34" s="18"/>
      <c r="T34" s="19" t="n">
        <v>20</v>
      </c>
    </row>
    <row r="35" customFormat="false" ht="15" hidden="false" customHeight="false" outlineLevel="0" collapsed="false">
      <c r="A35" s="14" t="n">
        <v>13</v>
      </c>
      <c r="B35" s="15" t="s">
        <v>29</v>
      </c>
      <c r="C35" s="16" t="n">
        <f aca="false">+C34+T34</f>
        <v>414.75</v>
      </c>
      <c r="D35" s="17" t="n">
        <f aca="false">+Chạy!F51</f>
        <v>-9.61</v>
      </c>
      <c r="E35" s="17" t="n">
        <f aca="false">+D35+F35</f>
        <v>-9.6178</v>
      </c>
      <c r="F35" s="17" t="n">
        <f aca="false">RANDBETWEEN(-105,115)/10000</f>
        <v>-0.0078</v>
      </c>
      <c r="G35" s="17" t="n">
        <f aca="false">+Chạy!G51</f>
        <v>-0.75</v>
      </c>
      <c r="H35" s="17" t="n">
        <f aca="false">G35+I35</f>
        <v>-0.766</v>
      </c>
      <c r="I35" s="17" t="n">
        <f aca="false">RANDBETWEEN(-30,90)/1000</f>
        <v>-0.016</v>
      </c>
      <c r="J35" s="17" t="n">
        <f aca="false">+Chạy!K51</f>
        <v>-0.75</v>
      </c>
      <c r="K35" s="17" t="n">
        <f aca="false">J35+L35</f>
        <v>-0.777</v>
      </c>
      <c r="L35" s="17" t="n">
        <f aca="false">RANDBETWEEN(-30,90)/1000</f>
        <v>-0.027</v>
      </c>
      <c r="M35" s="17" t="n">
        <f aca="false">+Chạy!N51</f>
        <v>9.75</v>
      </c>
      <c r="N35" s="17" t="n">
        <f aca="false">+M35+O35</f>
        <v>9.7513</v>
      </c>
      <c r="O35" s="17" t="n">
        <f aca="false">RANDBETWEEN(-105,115)/10000</f>
        <v>0.0013</v>
      </c>
      <c r="P35" s="17" t="n">
        <f aca="false">+Chạy!O51</f>
        <v>-0.75</v>
      </c>
      <c r="Q35" s="17" t="n">
        <f aca="false">P35+R35</f>
        <v>-0.708</v>
      </c>
      <c r="R35" s="17" t="n">
        <f aca="false">RANDBETWEEN(-30,90)/1000</f>
        <v>0.042</v>
      </c>
      <c r="S35" s="18"/>
      <c r="T35" s="19" t="n">
        <v>20</v>
      </c>
    </row>
    <row r="36" customFormat="false" ht="15" hidden="false" customHeight="false" outlineLevel="0" collapsed="false">
      <c r="A36" s="14" t="n">
        <v>14</v>
      </c>
      <c r="B36" s="15" t="s">
        <v>30</v>
      </c>
      <c r="C36" s="16" t="n">
        <f aca="false">+C35+T35</f>
        <v>434.75</v>
      </c>
      <c r="D36" s="17" t="n">
        <f aca="false">+Chạy!F55</f>
        <v>-9.54</v>
      </c>
      <c r="E36" s="17" t="n">
        <f aca="false">+D36+F36</f>
        <v>-9.5485</v>
      </c>
      <c r="F36" s="17" t="n">
        <f aca="false">RANDBETWEEN(-105,115)/10000</f>
        <v>-0.0085</v>
      </c>
      <c r="G36" s="17" t="n">
        <f aca="false">+Chạy!G55</f>
        <v>-0.75</v>
      </c>
      <c r="H36" s="17" t="n">
        <f aca="false">G36+I36</f>
        <v>-0.762</v>
      </c>
      <c r="I36" s="17" t="n">
        <f aca="false">RANDBETWEEN(-30,90)/1000</f>
        <v>-0.012</v>
      </c>
      <c r="J36" s="17" t="n">
        <f aca="false">+Chạy!K55</f>
        <v>-0.75</v>
      </c>
      <c r="K36" s="17" t="n">
        <f aca="false">J36+L36</f>
        <v>-0.692</v>
      </c>
      <c r="L36" s="17" t="n">
        <f aca="false">RANDBETWEEN(-30,90)/1000</f>
        <v>0.058</v>
      </c>
      <c r="M36" s="17" t="n">
        <f aca="false">+Chạy!N55</f>
        <v>9.46</v>
      </c>
      <c r="N36" s="17" t="n">
        <f aca="false">+M36+O36</f>
        <v>9.4712</v>
      </c>
      <c r="O36" s="17" t="n">
        <f aca="false">RANDBETWEEN(-105,115)/10000</f>
        <v>0.0112</v>
      </c>
      <c r="P36" s="17" t="n">
        <f aca="false">+Chạy!O55</f>
        <v>-0.75</v>
      </c>
      <c r="Q36" s="17" t="n">
        <f aca="false">P36+R36</f>
        <v>-0.739</v>
      </c>
      <c r="R36" s="17" t="n">
        <f aca="false">RANDBETWEEN(-30,90)/1000</f>
        <v>0.011</v>
      </c>
      <c r="S36" s="18"/>
      <c r="T36" s="19" t="n">
        <v>20</v>
      </c>
    </row>
    <row r="37" customFormat="false" ht="15" hidden="false" customHeight="false" outlineLevel="0" collapsed="false">
      <c r="A37" s="14" t="n">
        <v>15</v>
      </c>
      <c r="B37" s="15" t="s">
        <v>31</v>
      </c>
      <c r="C37" s="16" t="n">
        <f aca="false">+C36+T36</f>
        <v>454.75</v>
      </c>
      <c r="D37" s="17" t="n">
        <f aca="false">+Chạy!F59</f>
        <v>-8.75</v>
      </c>
      <c r="E37" s="17" t="n">
        <f aca="false">+D37+F37</f>
        <v>-8.7569</v>
      </c>
      <c r="F37" s="17" t="n">
        <f aca="false">RANDBETWEEN(-105,115)/10000</f>
        <v>-0.0069</v>
      </c>
      <c r="G37" s="17" t="n">
        <f aca="false">+Chạy!G59</f>
        <v>-0.75</v>
      </c>
      <c r="H37" s="17" t="n">
        <f aca="false">G37+I37</f>
        <v>-0.738</v>
      </c>
      <c r="I37" s="17" t="n">
        <f aca="false">RANDBETWEEN(-30,90)/1000</f>
        <v>0.012</v>
      </c>
      <c r="J37" s="17" t="n">
        <f aca="false">+Chạy!K59</f>
        <v>-0.75</v>
      </c>
      <c r="K37" s="17" t="n">
        <f aca="false">J37+L37</f>
        <v>-0.742</v>
      </c>
      <c r="L37" s="17" t="n">
        <f aca="false">RANDBETWEEN(-30,90)/1000</f>
        <v>0.008</v>
      </c>
      <c r="M37" s="17" t="n">
        <f aca="false">+Chạy!N59</f>
        <v>9.09</v>
      </c>
      <c r="N37" s="17" t="n">
        <f aca="false">+M37+O37</f>
        <v>9.0966</v>
      </c>
      <c r="O37" s="17" t="n">
        <f aca="false">RANDBETWEEN(-105,115)/10000</f>
        <v>0.0066</v>
      </c>
      <c r="P37" s="17" t="n">
        <f aca="false">+Chạy!O59</f>
        <v>-0.75</v>
      </c>
      <c r="Q37" s="17" t="n">
        <f aca="false">P37+R37</f>
        <v>-0.728</v>
      </c>
      <c r="R37" s="17" t="n">
        <f aca="false">RANDBETWEEN(-30,90)/1000</f>
        <v>0.022</v>
      </c>
      <c r="S37" s="18"/>
      <c r="T37" s="19" t="n">
        <v>20</v>
      </c>
    </row>
    <row r="38" customFormat="false" ht="15" hidden="false" customHeight="false" outlineLevel="0" collapsed="false">
      <c r="A38" s="14" t="n">
        <v>16</v>
      </c>
      <c r="B38" s="15" t="s">
        <v>32</v>
      </c>
      <c r="C38" s="16" t="n">
        <f aca="false">+C37+T37</f>
        <v>474.75</v>
      </c>
      <c r="D38" s="17" t="n">
        <f aca="false">+Chạy!F63</f>
        <v>-9.27</v>
      </c>
      <c r="E38" s="17" t="n">
        <f aca="false">+D38+F38</f>
        <v>-9.2738</v>
      </c>
      <c r="F38" s="17" t="n">
        <f aca="false">RANDBETWEEN(-105,115)/10000</f>
        <v>-0.0038</v>
      </c>
      <c r="G38" s="17" t="n">
        <f aca="false">+Chạy!G63</f>
        <v>-0.75</v>
      </c>
      <c r="H38" s="17" t="n">
        <f aca="false">G38+I38</f>
        <v>-0.75</v>
      </c>
      <c r="I38" s="17" t="n">
        <f aca="false">RANDBETWEEN(-30,90)/1000</f>
        <v>0</v>
      </c>
      <c r="J38" s="17" t="n">
        <f aca="false">+Chạy!K63</f>
        <v>-0.75</v>
      </c>
      <c r="K38" s="17" t="n">
        <f aca="false">J38+L38</f>
        <v>-0.689</v>
      </c>
      <c r="L38" s="17" t="n">
        <f aca="false">RANDBETWEEN(-30,90)/1000</f>
        <v>0.061</v>
      </c>
      <c r="M38" s="17" t="n">
        <f aca="false">+Chạy!N63</f>
        <v>9.22</v>
      </c>
      <c r="N38" s="17" t="n">
        <f aca="false">+M38+O38</f>
        <v>9.2145</v>
      </c>
      <c r="O38" s="17" t="n">
        <f aca="false">RANDBETWEEN(-105,115)/10000</f>
        <v>-0.0055</v>
      </c>
      <c r="P38" s="17" t="n">
        <f aca="false">+Chạy!O63</f>
        <v>-0.75</v>
      </c>
      <c r="Q38" s="17" t="n">
        <f aca="false">P38+R38</f>
        <v>-0.693</v>
      </c>
      <c r="R38" s="17" t="n">
        <f aca="false">RANDBETWEEN(-30,90)/1000</f>
        <v>0.057</v>
      </c>
      <c r="S38" s="18"/>
      <c r="T38" s="19" t="n">
        <v>14.44</v>
      </c>
    </row>
    <row r="39" customFormat="false" ht="15" hidden="false" customHeight="false" outlineLevel="0" collapsed="false">
      <c r="A39" s="14" t="n">
        <v>17</v>
      </c>
      <c r="B39" s="15" t="s">
        <v>33</v>
      </c>
      <c r="C39" s="16" t="n">
        <f aca="false">+C38+T38</f>
        <v>489.19</v>
      </c>
      <c r="D39" s="17" t="n">
        <f aca="false">+Chạy!F67</f>
        <v>-9.15</v>
      </c>
      <c r="E39" s="17" t="n">
        <f aca="false">+D39+F39</f>
        <v>-9.139</v>
      </c>
      <c r="F39" s="17" t="n">
        <f aca="false">RANDBETWEEN(-105,115)/10000</f>
        <v>0.011</v>
      </c>
      <c r="G39" s="17" t="n">
        <f aca="false">+Chạy!G67</f>
        <v>-0.75</v>
      </c>
      <c r="H39" s="17" t="n">
        <f aca="false">G39+I39</f>
        <v>-0.709</v>
      </c>
      <c r="I39" s="17" t="n">
        <f aca="false">RANDBETWEEN(-30,90)/1000</f>
        <v>0.041</v>
      </c>
      <c r="J39" s="17" t="n">
        <f aca="false">+Chạy!K67</f>
        <v>-0.75</v>
      </c>
      <c r="K39" s="17" t="n">
        <f aca="false">J39+L39</f>
        <v>-0.683</v>
      </c>
      <c r="L39" s="17" t="n">
        <f aca="false">RANDBETWEEN(-30,90)/1000</f>
        <v>0.067</v>
      </c>
      <c r="M39" s="17" t="n">
        <f aca="false">+Chạy!N67</f>
        <v>5.95</v>
      </c>
      <c r="N39" s="17" t="n">
        <f aca="false">+M39+O39</f>
        <v>5.945</v>
      </c>
      <c r="O39" s="17" t="n">
        <f aca="false">RANDBETWEEN(-105,115)/10000</f>
        <v>-0.005</v>
      </c>
      <c r="P39" s="17" t="n">
        <f aca="false">+Chạy!O67</f>
        <v>-0.75</v>
      </c>
      <c r="Q39" s="17" t="n">
        <f aca="false">P39+R39</f>
        <v>-0.66</v>
      </c>
      <c r="R39" s="17" t="n">
        <f aca="false">RANDBETWEEN(-30,90)/1000</f>
        <v>0.09</v>
      </c>
      <c r="S39" s="18"/>
      <c r="T39" s="19" t="n">
        <v>13.17</v>
      </c>
    </row>
    <row r="40" customFormat="false" ht="15" hidden="false" customHeight="false" outlineLevel="0" collapsed="false">
      <c r="A40" s="14" t="n">
        <v>18</v>
      </c>
      <c r="B40" s="15" t="s">
        <v>34</v>
      </c>
      <c r="C40" s="16" t="n">
        <f aca="false">+C39+T39</f>
        <v>502.36</v>
      </c>
      <c r="D40" s="17" t="n">
        <f aca="false">+Chạy!F71</f>
        <v>-10.17</v>
      </c>
      <c r="E40" s="17" t="n">
        <f aca="false">+D40+F40</f>
        <v>-10.1681</v>
      </c>
      <c r="F40" s="17" t="n">
        <f aca="false">RANDBETWEEN(-105,115)/10000</f>
        <v>0.0019</v>
      </c>
      <c r="G40" s="17" t="n">
        <f aca="false">+Chạy!G71</f>
        <v>-0.75</v>
      </c>
      <c r="H40" s="17" t="n">
        <f aca="false">G40+I40</f>
        <v>-0.749</v>
      </c>
      <c r="I40" s="17" t="n">
        <f aca="false">RANDBETWEEN(-30,90)/1000</f>
        <v>0.001</v>
      </c>
      <c r="J40" s="17" t="n">
        <f aca="false">+Chạy!K71</f>
        <v>-0.75</v>
      </c>
      <c r="K40" s="17" t="n">
        <f aca="false">J40+L40</f>
        <v>-0.67</v>
      </c>
      <c r="L40" s="17" t="n">
        <f aca="false">RANDBETWEEN(-30,90)/1000</f>
        <v>0.08</v>
      </c>
      <c r="M40" s="17" t="n">
        <f aca="false">+Chạy!N71</f>
        <v>10.07</v>
      </c>
      <c r="N40" s="17" t="n">
        <f aca="false">+M40+O40</f>
        <v>10.0596</v>
      </c>
      <c r="O40" s="17" t="n">
        <f aca="false">RANDBETWEEN(-105,115)/10000</f>
        <v>-0.0104</v>
      </c>
      <c r="P40" s="17" t="n">
        <f aca="false">+Chạy!O71</f>
        <v>-0.75</v>
      </c>
      <c r="Q40" s="17" t="n">
        <f aca="false">P40+R40</f>
        <v>-0.721</v>
      </c>
      <c r="R40" s="17" t="n">
        <f aca="false">RANDBETWEEN(-30,90)/1000</f>
        <v>0.029</v>
      </c>
      <c r="S40" s="18"/>
      <c r="T40" s="19" t="n">
        <v>10.48</v>
      </c>
    </row>
    <row r="41" customFormat="false" ht="15" hidden="false" customHeight="false" outlineLevel="0" collapsed="false">
      <c r="A41" s="14" t="n">
        <v>19</v>
      </c>
      <c r="B41" s="15" t="s">
        <v>35</v>
      </c>
      <c r="C41" s="16" t="n">
        <f aca="false">+C40+T40</f>
        <v>512.84</v>
      </c>
      <c r="D41" s="17" t="n">
        <f aca="false">+Chạy!F75</f>
        <v>-9.61</v>
      </c>
      <c r="E41" s="17" t="n">
        <f aca="false">+D41+F41</f>
        <v>-9.6162</v>
      </c>
      <c r="F41" s="17" t="n">
        <f aca="false">RANDBETWEEN(-105,115)/10000</f>
        <v>-0.0062</v>
      </c>
      <c r="G41" s="17" t="n">
        <f aca="false">+Chạy!G75</f>
        <v>-0.75</v>
      </c>
      <c r="H41" s="17" t="n">
        <f aca="false">G41+I41</f>
        <v>-0.741</v>
      </c>
      <c r="I41" s="17" t="n">
        <f aca="false">RANDBETWEEN(-30,90)/1000</f>
        <v>0.009</v>
      </c>
      <c r="J41" s="17" t="n">
        <f aca="false">+Chạy!K75</f>
        <v>-0.75</v>
      </c>
      <c r="K41" s="17" t="n">
        <f aca="false">J41+L41</f>
        <v>-0.686</v>
      </c>
      <c r="L41" s="17" t="n">
        <f aca="false">RANDBETWEEN(-30,90)/1000</f>
        <v>0.064</v>
      </c>
      <c r="M41" s="17" t="n">
        <f aca="false">+Chạy!N75</f>
        <v>9.98</v>
      </c>
      <c r="N41" s="17" t="n">
        <f aca="false">+M41+O41</f>
        <v>9.9728</v>
      </c>
      <c r="O41" s="17" t="n">
        <f aca="false">RANDBETWEEN(-105,115)/10000</f>
        <v>-0.0072</v>
      </c>
      <c r="P41" s="17" t="n">
        <f aca="false">+Chạy!O75</f>
        <v>-0.75</v>
      </c>
      <c r="Q41" s="17" t="n">
        <f aca="false">P41+R41</f>
        <v>-0.734</v>
      </c>
      <c r="R41" s="17" t="n">
        <f aca="false">RANDBETWEEN(-30,90)/1000</f>
        <v>0.016</v>
      </c>
      <c r="S41" s="18"/>
      <c r="T41" s="19" t="n">
        <v>16.78</v>
      </c>
    </row>
    <row r="42" customFormat="false" ht="15" hidden="false" customHeight="false" outlineLevel="0" collapsed="false">
      <c r="A42" s="14" t="n">
        <v>20</v>
      </c>
      <c r="B42" s="15" t="s">
        <v>36</v>
      </c>
      <c r="C42" s="16" t="n">
        <f aca="false">+C41+T41</f>
        <v>529.62</v>
      </c>
      <c r="D42" s="17" t="n">
        <f aca="false">+Chạy!F79</f>
        <v>-10.04</v>
      </c>
      <c r="E42" s="17" t="n">
        <f aca="false">+D42+F42</f>
        <v>-10.0392</v>
      </c>
      <c r="F42" s="17" t="n">
        <f aca="false">RANDBETWEEN(-105,115)/10000</f>
        <v>0.0008</v>
      </c>
      <c r="G42" s="17" t="n">
        <f aca="false">+Chạy!G79</f>
        <v>-0.75</v>
      </c>
      <c r="H42" s="17" t="n">
        <f aca="false">G42+I42</f>
        <v>-0.774</v>
      </c>
      <c r="I42" s="17" t="n">
        <f aca="false">RANDBETWEEN(-30,90)/1000</f>
        <v>-0.024</v>
      </c>
      <c r="J42" s="17" t="n">
        <f aca="false">+Chạy!K79</f>
        <v>-0.75</v>
      </c>
      <c r="K42" s="17" t="n">
        <f aca="false">J42+L42</f>
        <v>-0.765</v>
      </c>
      <c r="L42" s="17" t="n">
        <f aca="false">RANDBETWEEN(-30,90)/1000</f>
        <v>-0.015</v>
      </c>
      <c r="M42" s="17" t="n">
        <f aca="false">+Chạy!N79</f>
        <v>10.12</v>
      </c>
      <c r="N42" s="17" t="n">
        <f aca="false">+M42+O42</f>
        <v>10.13</v>
      </c>
      <c r="O42" s="17" t="n">
        <f aca="false">RANDBETWEEN(-105,115)/10000</f>
        <v>0.01</v>
      </c>
      <c r="P42" s="17" t="n">
        <f aca="false">+Chạy!O79</f>
        <v>-0.75</v>
      </c>
      <c r="Q42" s="17" t="n">
        <f aca="false">P42+R42</f>
        <v>-0.731</v>
      </c>
      <c r="R42" s="17" t="n">
        <f aca="false">RANDBETWEEN(-30,90)/1000</f>
        <v>0.019</v>
      </c>
      <c r="S42" s="18"/>
      <c r="T42" s="19" t="n">
        <v>17.1</v>
      </c>
    </row>
    <row r="43" customFormat="false" ht="15" hidden="false" customHeight="false" outlineLevel="0" collapsed="false">
      <c r="A43" s="14" t="n">
        <v>21</v>
      </c>
      <c r="B43" s="15" t="s">
        <v>37</v>
      </c>
      <c r="C43" s="16" t="n">
        <f aca="false">+C42+T42</f>
        <v>546.72</v>
      </c>
      <c r="D43" s="17" t="n">
        <f aca="false">+Chạy!F83</f>
        <v>-5.95</v>
      </c>
      <c r="E43" s="17" t="n">
        <f aca="false">+D43+F43</f>
        <v>-5.9413</v>
      </c>
      <c r="F43" s="17" t="n">
        <f aca="false">RANDBETWEEN(-105,115)/10000</f>
        <v>0.0087</v>
      </c>
      <c r="G43" s="17" t="n">
        <f aca="false">+Chạy!G83</f>
        <v>-0.75</v>
      </c>
      <c r="H43" s="17" t="n">
        <f aca="false">G43+I43</f>
        <v>-0.665</v>
      </c>
      <c r="I43" s="17" t="n">
        <f aca="false">RANDBETWEEN(-30,90)/1000</f>
        <v>0.085</v>
      </c>
      <c r="J43" s="17" t="n">
        <f aca="false">+Chạy!K83</f>
        <v>-0.75</v>
      </c>
      <c r="K43" s="17" t="n">
        <f aca="false">J43+L43</f>
        <v>-0.741</v>
      </c>
      <c r="L43" s="17" t="n">
        <f aca="false">RANDBETWEEN(-30,90)/1000</f>
        <v>0.009</v>
      </c>
      <c r="M43" s="17" t="n">
        <f aca="false">+Chạy!N83</f>
        <v>9.19</v>
      </c>
      <c r="N43" s="17" t="n">
        <f aca="false">+M43+O43</f>
        <v>9.1981</v>
      </c>
      <c r="O43" s="17" t="n">
        <f aca="false">RANDBETWEEN(-105,115)/10000</f>
        <v>0.0081</v>
      </c>
      <c r="P43" s="17" t="n">
        <f aca="false">+Chạy!O83</f>
        <v>-0.75</v>
      </c>
      <c r="Q43" s="17" t="n">
        <f aca="false">P43+R43</f>
        <v>-0.735</v>
      </c>
      <c r="R43" s="17" t="n">
        <f aca="false">RANDBETWEEN(-30,90)/1000</f>
        <v>0.015</v>
      </c>
      <c r="S43" s="18"/>
      <c r="T43" s="19" t="n">
        <v>15.15</v>
      </c>
    </row>
    <row r="44" customFormat="false" ht="15" hidden="false" customHeight="false" outlineLevel="0" collapsed="false">
      <c r="A44" s="14" t="n">
        <v>22</v>
      </c>
      <c r="B44" s="15" t="s">
        <v>38</v>
      </c>
      <c r="C44" s="16" t="n">
        <f aca="false">+C43+T43</f>
        <v>561.87</v>
      </c>
      <c r="D44" s="17" t="n">
        <f aca="false">+Chạy!F87</f>
        <v>-9.69</v>
      </c>
      <c r="E44" s="17" t="n">
        <f aca="false">+D44+F44</f>
        <v>-9.6982</v>
      </c>
      <c r="F44" s="17" t="n">
        <f aca="false">RANDBETWEEN(-105,115)/10000</f>
        <v>-0.0082</v>
      </c>
      <c r="G44" s="17" t="n">
        <f aca="false">+Chạy!G87</f>
        <v>-0.75</v>
      </c>
      <c r="H44" s="17" t="n">
        <f aca="false">G44+I44</f>
        <v>-0.665</v>
      </c>
      <c r="I44" s="17" t="n">
        <f aca="false">RANDBETWEEN(-30,90)/1000</f>
        <v>0.085</v>
      </c>
      <c r="J44" s="17" t="n">
        <f aca="false">+Chạy!K87</f>
        <v>-0.75</v>
      </c>
      <c r="K44" s="17" t="n">
        <f aca="false">J44+L44</f>
        <v>-0.71</v>
      </c>
      <c r="L44" s="17" t="n">
        <f aca="false">RANDBETWEEN(-30,90)/1000</f>
        <v>0.04</v>
      </c>
      <c r="M44" s="17" t="n">
        <f aca="false">+Chạy!N87</f>
        <v>9.82</v>
      </c>
      <c r="N44" s="17" t="n">
        <f aca="false">+M44+O44</f>
        <v>9.8309</v>
      </c>
      <c r="O44" s="17" t="n">
        <f aca="false">RANDBETWEEN(-105,115)/10000</f>
        <v>0.0109</v>
      </c>
      <c r="P44" s="17" t="n">
        <f aca="false">+Chạy!O87</f>
        <v>-0.75</v>
      </c>
      <c r="Q44" s="17" t="n">
        <f aca="false">P44+R44</f>
        <v>-0.757</v>
      </c>
      <c r="R44" s="17" t="n">
        <f aca="false">RANDBETWEEN(-30,90)/1000</f>
        <v>-0.007</v>
      </c>
      <c r="S44" s="18"/>
      <c r="T44" s="19" t="n">
        <v>0.15</v>
      </c>
    </row>
    <row r="45" customFormat="false" ht="15" hidden="false" customHeight="false" outlineLevel="0" collapsed="false">
      <c r="A45" s="14" t="n">
        <v>23</v>
      </c>
      <c r="B45" s="15" t="s">
        <v>39</v>
      </c>
      <c r="C45" s="16" t="n">
        <f aca="false">+C44+T44</f>
        <v>562.02</v>
      </c>
      <c r="D45" s="17" t="n">
        <f aca="false">+Chạy!F91</f>
        <v>-9.69</v>
      </c>
      <c r="E45" s="17" t="n">
        <f aca="false">+D45+F45</f>
        <v>-9.6966</v>
      </c>
      <c r="F45" s="17" t="n">
        <f aca="false">RANDBETWEEN(-105,115)/10000</f>
        <v>-0.0066</v>
      </c>
      <c r="G45" s="17" t="n">
        <f aca="false">+Chạy!G91</f>
        <v>-0.75</v>
      </c>
      <c r="H45" s="17" t="n">
        <f aca="false">G45+I45</f>
        <v>-0.702</v>
      </c>
      <c r="I45" s="17" t="n">
        <f aca="false">RANDBETWEEN(-30,90)/1000</f>
        <v>0.048</v>
      </c>
      <c r="J45" s="17" t="n">
        <f aca="false">+Chạy!K91</f>
        <v>-0.75</v>
      </c>
      <c r="K45" s="17" t="n">
        <f aca="false">J45+L45</f>
        <v>-0.728</v>
      </c>
      <c r="L45" s="17" t="n">
        <f aca="false">RANDBETWEEN(-30,90)/1000</f>
        <v>0.022</v>
      </c>
      <c r="M45" s="17" t="n">
        <f aca="false">+Chạy!N91</f>
        <v>9.83</v>
      </c>
      <c r="N45" s="17" t="n">
        <f aca="false">+M45+O45</f>
        <v>9.8223</v>
      </c>
      <c r="O45" s="17" t="n">
        <f aca="false">RANDBETWEEN(-105,115)/10000</f>
        <v>-0.0077</v>
      </c>
      <c r="P45" s="17" t="n">
        <f aca="false">+Chạy!O91</f>
        <v>-0.75</v>
      </c>
      <c r="Q45" s="17" t="n">
        <f aca="false">P45+R45</f>
        <v>-0.729</v>
      </c>
      <c r="R45" s="17" t="n">
        <f aca="false">RANDBETWEEN(-30,90)/1000</f>
        <v>0.021</v>
      </c>
      <c r="S45" s="18"/>
      <c r="T45" s="19" t="n">
        <v>6.55</v>
      </c>
    </row>
    <row r="46" customFormat="false" ht="15" hidden="false" customHeight="false" outlineLevel="0" collapsed="false">
      <c r="A46" s="14" t="n">
        <v>24</v>
      </c>
      <c r="B46" s="15" t="s">
        <v>40</v>
      </c>
      <c r="C46" s="16" t="n">
        <f aca="false">+C45+T45</f>
        <v>568.57</v>
      </c>
      <c r="D46" s="17" t="n">
        <f aca="false">+Chạy!F95</f>
        <v>-9.86</v>
      </c>
      <c r="E46" s="17" t="n">
        <f aca="false">+D46+F46</f>
        <v>-9.8609</v>
      </c>
      <c r="F46" s="17" t="n">
        <f aca="false">RANDBETWEEN(-105,115)/10000</f>
        <v>-0.0009</v>
      </c>
      <c r="G46" s="17" t="n">
        <f aca="false">+Chạy!G95</f>
        <v>-0.75</v>
      </c>
      <c r="H46" s="17" t="n">
        <f aca="false">G46+I46</f>
        <v>-0.666</v>
      </c>
      <c r="I46" s="17" t="n">
        <f aca="false">RANDBETWEEN(-30,90)/1000</f>
        <v>0.084</v>
      </c>
      <c r="J46" s="17" t="n">
        <f aca="false">+Chạy!K95</f>
        <v>-0.75</v>
      </c>
      <c r="K46" s="17" t="n">
        <f aca="false">J46+L46</f>
        <v>-0.761</v>
      </c>
      <c r="L46" s="17" t="n">
        <f aca="false">RANDBETWEEN(-30,90)/1000</f>
        <v>-0.011</v>
      </c>
      <c r="M46" s="17" t="n">
        <f aca="false">+Chạy!N95</f>
        <v>10.18</v>
      </c>
      <c r="N46" s="17" t="n">
        <f aca="false">+M46+O46</f>
        <v>10.1892</v>
      </c>
      <c r="O46" s="17" t="n">
        <f aca="false">RANDBETWEEN(-105,115)/10000</f>
        <v>0.0092</v>
      </c>
      <c r="P46" s="17" t="n">
        <f aca="false">+Chạy!O95</f>
        <v>-0.75</v>
      </c>
      <c r="Q46" s="17" t="n">
        <f aca="false">P46+R46</f>
        <v>-0.729</v>
      </c>
      <c r="R46" s="17" t="n">
        <f aca="false">RANDBETWEEN(-30,90)/1000</f>
        <v>0.021</v>
      </c>
      <c r="S46" s="18"/>
      <c r="T46" s="19" t="n">
        <v>6.55</v>
      </c>
    </row>
    <row r="47" customFormat="false" ht="15" hidden="false" customHeight="false" outlineLevel="0" collapsed="false">
      <c r="A47" s="14" t="n">
        <v>25</v>
      </c>
      <c r="B47" s="15" t="s">
        <v>1</v>
      </c>
      <c r="C47" s="16" t="n">
        <f aca="false">+C46+T46</f>
        <v>575.12</v>
      </c>
      <c r="D47" s="17" t="n">
        <f aca="false">+Chạy!F99</f>
        <v>-9.58</v>
      </c>
      <c r="E47" s="17" t="n">
        <f aca="false">+D47+F47</f>
        <v>-9.5863</v>
      </c>
      <c r="F47" s="17" t="n">
        <f aca="false">RANDBETWEEN(-105,115)/10000</f>
        <v>-0.0063</v>
      </c>
      <c r="G47" s="17" t="n">
        <f aca="false">+Chạy!G99</f>
        <v>-0.75</v>
      </c>
      <c r="H47" s="17" t="n">
        <f aca="false">G47+I47</f>
        <v>-0.733</v>
      </c>
      <c r="I47" s="17" t="n">
        <f aca="false">RANDBETWEEN(-30,90)/1000</f>
        <v>0.017</v>
      </c>
      <c r="J47" s="17" t="n">
        <f aca="false">+Chạy!K99</f>
        <v>-0.75</v>
      </c>
      <c r="K47" s="17" t="n">
        <f aca="false">J47+L47</f>
        <v>-0.747</v>
      </c>
      <c r="L47" s="17" t="n">
        <f aca="false">RANDBETWEEN(-30,90)/1000</f>
        <v>0.003</v>
      </c>
      <c r="M47" s="17" t="n">
        <f aca="false">+Chạy!N99</f>
        <v>9.26</v>
      </c>
      <c r="N47" s="17" t="n">
        <f aca="false">+M47+O47</f>
        <v>9.2674</v>
      </c>
      <c r="O47" s="17" t="n">
        <f aca="false">RANDBETWEEN(-105,115)/10000</f>
        <v>0.0074</v>
      </c>
      <c r="P47" s="17" t="n">
        <f aca="false">+Chạy!O99</f>
        <v>-0.75</v>
      </c>
      <c r="Q47" s="17" t="n">
        <f aca="false">P47+R47</f>
        <v>-0.745</v>
      </c>
      <c r="R47" s="17" t="n">
        <f aca="false">RANDBETWEEN(-30,90)/1000</f>
        <v>0.005</v>
      </c>
      <c r="S47" s="18"/>
      <c r="T47" s="19" t="n">
        <v>0.04</v>
      </c>
    </row>
    <row r="48" customFormat="false" ht="15" hidden="false" customHeight="false" outlineLevel="0" collapsed="false">
      <c r="A48" s="14" t="n">
        <v>26</v>
      </c>
      <c r="B48" s="15" t="s">
        <v>41</v>
      </c>
      <c r="C48" s="16" t="n">
        <f aca="false">+C47+T47</f>
        <v>575.16</v>
      </c>
      <c r="D48" s="17" t="n">
        <f aca="false">+Chạy!F103</f>
        <v>-9.58</v>
      </c>
      <c r="E48" s="17" t="n">
        <f aca="false">+D48+F48</f>
        <v>-9.5705</v>
      </c>
      <c r="F48" s="17" t="n">
        <f aca="false">RANDBETWEEN(-105,115)/10000</f>
        <v>0.0095</v>
      </c>
      <c r="G48" s="17" t="n">
        <f aca="false">+Chạy!G103</f>
        <v>-0.75</v>
      </c>
      <c r="H48" s="17" t="n">
        <f aca="false">G48+I48</f>
        <v>-0.712</v>
      </c>
      <c r="I48" s="17" t="n">
        <f aca="false">RANDBETWEEN(-30,90)/1000</f>
        <v>0.038</v>
      </c>
      <c r="J48" s="17" t="n">
        <f aca="false">+Chạy!K103</f>
        <v>-0.75</v>
      </c>
      <c r="K48" s="17" t="n">
        <f aca="false">J48+L48</f>
        <v>-0.747</v>
      </c>
      <c r="L48" s="17" t="n">
        <f aca="false">RANDBETWEEN(-30,90)/1000</f>
        <v>0.003</v>
      </c>
      <c r="M48" s="17" t="n">
        <f aca="false">+Chạy!N103</f>
        <v>9.03</v>
      </c>
      <c r="N48" s="17" t="n">
        <f aca="false">+M48+O48</f>
        <v>9.021</v>
      </c>
      <c r="O48" s="17" t="n">
        <f aca="false">RANDBETWEEN(-105,115)/10000</f>
        <v>-0.009</v>
      </c>
      <c r="P48" s="17" t="n">
        <f aca="false">+Chạy!O103</f>
        <v>-0.75</v>
      </c>
      <c r="Q48" s="17" t="n">
        <f aca="false">P48+R48</f>
        <v>-0.756</v>
      </c>
      <c r="R48" s="17" t="n">
        <f aca="false">RANDBETWEEN(-30,90)/1000</f>
        <v>-0.006</v>
      </c>
      <c r="S48" s="18"/>
      <c r="T48" s="19" t="n">
        <v>16.95</v>
      </c>
    </row>
    <row r="49" customFormat="false" ht="15" hidden="false" customHeight="false" outlineLevel="0" collapsed="false">
      <c r="A49" s="14" t="n">
        <v>27</v>
      </c>
      <c r="B49" s="15" t="s">
        <v>42</v>
      </c>
      <c r="C49" s="16" t="n">
        <f aca="false">+C48+T48</f>
        <v>592.11</v>
      </c>
      <c r="D49" s="17" t="n">
        <f aca="false">+Chạy!F107</f>
        <v>-9.76</v>
      </c>
      <c r="E49" s="17" t="n">
        <f aca="false">+D49+F49</f>
        <v>-9.7684</v>
      </c>
      <c r="F49" s="17" t="n">
        <f aca="false">RANDBETWEEN(-105,115)/10000</f>
        <v>-0.0084</v>
      </c>
      <c r="G49" s="17" t="n">
        <f aca="false">+Chạy!G107</f>
        <v>-0.75</v>
      </c>
      <c r="H49" s="17" t="n">
        <f aca="false">G49+I49</f>
        <v>-0.711</v>
      </c>
      <c r="I49" s="17" t="n">
        <f aca="false">RANDBETWEEN(-30,90)/1000</f>
        <v>0.039</v>
      </c>
      <c r="J49" s="17" t="n">
        <f aca="false">+Chạy!K107</f>
        <v>-0.75</v>
      </c>
      <c r="K49" s="17" t="n">
        <f aca="false">J49+L49</f>
        <v>-0.779</v>
      </c>
      <c r="L49" s="17" t="n">
        <f aca="false">RANDBETWEEN(-30,90)/1000</f>
        <v>-0.029</v>
      </c>
      <c r="M49" s="17" t="n">
        <f aca="false">+Chạy!N107</f>
        <v>9.81</v>
      </c>
      <c r="N49" s="17" t="n">
        <f aca="false">+M49+O49</f>
        <v>9.8067</v>
      </c>
      <c r="O49" s="17" t="n">
        <f aca="false">RANDBETWEEN(-105,115)/10000</f>
        <v>-0.0033</v>
      </c>
      <c r="P49" s="17" t="n">
        <f aca="false">+Chạy!O107</f>
        <v>-0.75</v>
      </c>
      <c r="Q49" s="17" t="n">
        <f aca="false">P49+R49</f>
        <v>-0.765</v>
      </c>
      <c r="R49" s="17" t="n">
        <f aca="false">RANDBETWEEN(-30,90)/1000</f>
        <v>-0.015</v>
      </c>
      <c r="S49" s="18"/>
      <c r="T49" s="19" t="n">
        <v>17</v>
      </c>
    </row>
    <row r="50" customFormat="false" ht="15" hidden="false" customHeight="false" outlineLevel="0" collapsed="false">
      <c r="A50" s="14" t="n">
        <v>28</v>
      </c>
      <c r="B50" s="15" t="s">
        <v>43</v>
      </c>
      <c r="C50" s="16" t="n">
        <f aca="false">+C49+T49</f>
        <v>609.11</v>
      </c>
      <c r="D50" s="17" t="n">
        <f aca="false">+Chạy!F111</f>
        <v>-8.97</v>
      </c>
      <c r="E50" s="17" t="n">
        <f aca="false">+D50+F50</f>
        <v>-8.9632</v>
      </c>
      <c r="F50" s="17" t="n">
        <f aca="false">RANDBETWEEN(-105,115)/10000</f>
        <v>0.0068</v>
      </c>
      <c r="G50" s="17" t="n">
        <f aca="false">+Chạy!G111</f>
        <v>-0.75</v>
      </c>
      <c r="H50" s="17" t="n">
        <f aca="false">G50+I50</f>
        <v>-0.741</v>
      </c>
      <c r="I50" s="17" t="n">
        <f aca="false">RANDBETWEEN(-30,90)/1000</f>
        <v>0.009</v>
      </c>
      <c r="J50" s="17" t="n">
        <f aca="false">+Chạy!K111</f>
        <v>-0.75</v>
      </c>
      <c r="K50" s="17" t="n">
        <f aca="false">J50+L50</f>
        <v>-0.707</v>
      </c>
      <c r="L50" s="17" t="n">
        <f aca="false">RANDBETWEEN(-30,90)/1000</f>
        <v>0.043</v>
      </c>
      <c r="M50" s="17" t="n">
        <f aca="false">+Chạy!N111</f>
        <v>8.83</v>
      </c>
      <c r="N50" s="17" t="n">
        <f aca="false">+M50+O50</f>
        <v>8.8309</v>
      </c>
      <c r="O50" s="17" t="n">
        <f aca="false">RANDBETWEEN(-105,115)/10000</f>
        <v>0.0009</v>
      </c>
      <c r="P50" s="17" t="n">
        <f aca="false">+Chạy!O111</f>
        <v>-0.75</v>
      </c>
      <c r="Q50" s="17" t="n">
        <f aca="false">P50+R50</f>
        <v>-0.709</v>
      </c>
      <c r="R50" s="17" t="n">
        <f aca="false">RANDBETWEEN(-30,90)/1000</f>
        <v>0.041</v>
      </c>
      <c r="S50" s="18"/>
      <c r="T50" s="19" t="n">
        <v>11.75</v>
      </c>
    </row>
    <row r="51" customFormat="false" ht="15" hidden="false" customHeight="false" outlineLevel="0" collapsed="false">
      <c r="A51" s="14" t="n">
        <v>29</v>
      </c>
      <c r="B51" s="15" t="s">
        <v>44</v>
      </c>
      <c r="C51" s="16" t="n">
        <f aca="false">+C50+T50</f>
        <v>620.86</v>
      </c>
      <c r="D51" s="17" t="n">
        <f aca="false">+Chạy!F115</f>
        <v>-8.75</v>
      </c>
      <c r="E51" s="17" t="n">
        <f aca="false">+D51+F51</f>
        <v>-8.742</v>
      </c>
      <c r="F51" s="17" t="n">
        <f aca="false">RANDBETWEEN(-105,115)/10000</f>
        <v>0.008</v>
      </c>
      <c r="G51" s="17" t="n">
        <f aca="false">+Chạy!G115</f>
        <v>-0.75</v>
      </c>
      <c r="H51" s="17" t="n">
        <f aca="false">G51+I51</f>
        <v>-0.72</v>
      </c>
      <c r="I51" s="17" t="n">
        <f aca="false">RANDBETWEEN(-30,90)/1000</f>
        <v>0.03</v>
      </c>
      <c r="J51" s="17" t="n">
        <f aca="false">+Chạy!K115</f>
        <v>-0.75</v>
      </c>
      <c r="K51" s="17" t="n">
        <f aca="false">J51+L51</f>
        <v>-0.744</v>
      </c>
      <c r="L51" s="17" t="n">
        <f aca="false">RANDBETWEEN(-30,90)/1000</f>
        <v>0.006</v>
      </c>
      <c r="M51" s="17" t="n">
        <f aca="false">+Chạy!N115</f>
        <v>8.89</v>
      </c>
      <c r="N51" s="17" t="n">
        <f aca="false">+M51+O51</f>
        <v>8.8916</v>
      </c>
      <c r="O51" s="17" t="n">
        <f aca="false">RANDBETWEEN(-105,115)/10000</f>
        <v>0.0016</v>
      </c>
      <c r="P51" s="17" t="n">
        <f aca="false">+Chạy!O115</f>
        <v>-0.75</v>
      </c>
      <c r="Q51" s="17" t="n">
        <f aca="false">P51+R51</f>
        <v>-0.76</v>
      </c>
      <c r="R51" s="17" t="n">
        <f aca="false">RANDBETWEEN(-30,90)/1000</f>
        <v>-0.01</v>
      </c>
      <c r="S51" s="18"/>
      <c r="T51" s="19" t="n">
        <v>11.75</v>
      </c>
    </row>
    <row r="52" customFormat="false" ht="15" hidden="false" customHeight="false" outlineLevel="0" collapsed="false">
      <c r="A52" s="14" t="n">
        <v>30</v>
      </c>
      <c r="B52" s="15" t="s">
        <v>45</v>
      </c>
      <c r="C52" s="16" t="n">
        <f aca="false">+C51+T51</f>
        <v>632.61</v>
      </c>
      <c r="D52" s="17" t="n">
        <f aca="false">+Chạy!F119</f>
        <v>-9.48</v>
      </c>
      <c r="E52" s="17" t="n">
        <f aca="false">+D52+F52</f>
        <v>-9.4899</v>
      </c>
      <c r="F52" s="17" t="n">
        <f aca="false">RANDBETWEEN(-105,115)/10000</f>
        <v>-0.0099</v>
      </c>
      <c r="G52" s="17" t="n">
        <f aca="false">+Chạy!G119</f>
        <v>-0.75</v>
      </c>
      <c r="H52" s="17" t="n">
        <f aca="false">G52+I52</f>
        <v>-0.678</v>
      </c>
      <c r="I52" s="17" t="n">
        <f aca="false">RANDBETWEEN(-30,90)/1000</f>
        <v>0.072</v>
      </c>
      <c r="J52" s="17" t="n">
        <f aca="false">+Chạy!K119</f>
        <v>-0.75</v>
      </c>
      <c r="K52" s="17" t="n">
        <f aca="false">J52+L52</f>
        <v>-0.711</v>
      </c>
      <c r="L52" s="17" t="n">
        <f aca="false">RANDBETWEEN(-30,90)/1000</f>
        <v>0.039</v>
      </c>
      <c r="M52" s="17" t="n">
        <f aca="false">+Chạy!N119</f>
        <v>9.69</v>
      </c>
      <c r="N52" s="17" t="n">
        <f aca="false">+M52+O52</f>
        <v>9.6899</v>
      </c>
      <c r="O52" s="17" t="n">
        <f aca="false">RANDBETWEEN(-105,115)/10000</f>
        <v>-0.0001</v>
      </c>
      <c r="P52" s="17" t="n">
        <f aca="false">+Chạy!O119</f>
        <v>-0.75</v>
      </c>
      <c r="Q52" s="17" t="n">
        <f aca="false">P52+R52</f>
        <v>-0.695</v>
      </c>
      <c r="R52" s="17" t="n">
        <f aca="false">RANDBETWEEN(-30,90)/1000</f>
        <v>0.055</v>
      </c>
      <c r="S52" s="18"/>
      <c r="T52" s="19" t="n">
        <v>20</v>
      </c>
    </row>
    <row r="53" customFormat="false" ht="15" hidden="false" customHeight="false" outlineLevel="0" collapsed="false">
      <c r="A53" s="14" t="n">
        <v>31</v>
      </c>
      <c r="B53" s="15" t="s">
        <v>46</v>
      </c>
      <c r="C53" s="16" t="n">
        <f aca="false">+C52+T52</f>
        <v>652.61</v>
      </c>
      <c r="D53" s="17" t="n">
        <f aca="false">+Chạy!F123</f>
        <v>-10.19</v>
      </c>
      <c r="E53" s="17" t="n">
        <f aca="false">+D53+F53</f>
        <v>-10.187</v>
      </c>
      <c r="F53" s="17" t="n">
        <f aca="false">RANDBETWEEN(-105,115)/10000</f>
        <v>0.003</v>
      </c>
      <c r="G53" s="17" t="n">
        <f aca="false">+Chạy!G123</f>
        <v>-0.75</v>
      </c>
      <c r="H53" s="17" t="n">
        <f aca="false">G53+I53</f>
        <v>-0.778</v>
      </c>
      <c r="I53" s="17" t="n">
        <f aca="false">RANDBETWEEN(-30,90)/1000</f>
        <v>-0.028</v>
      </c>
      <c r="J53" s="17" t="n">
        <f aca="false">+Chạy!K123</f>
        <v>-0.75</v>
      </c>
      <c r="K53" s="17" t="n">
        <f aca="false">J53+L53</f>
        <v>-0.717</v>
      </c>
      <c r="L53" s="17" t="n">
        <f aca="false">RANDBETWEEN(-30,90)/1000</f>
        <v>0.033</v>
      </c>
      <c r="M53" s="17" t="n">
        <f aca="false">+Chạy!N123</f>
        <v>10.17</v>
      </c>
      <c r="N53" s="17" t="n">
        <f aca="false">+M53+O53</f>
        <v>10.1737</v>
      </c>
      <c r="O53" s="17" t="n">
        <f aca="false">RANDBETWEEN(-105,115)/10000</f>
        <v>0.0037</v>
      </c>
      <c r="P53" s="17" t="n">
        <f aca="false">+Chạy!O123</f>
        <v>-0.75</v>
      </c>
      <c r="Q53" s="17" t="n">
        <f aca="false">P53+R53</f>
        <v>-0.669</v>
      </c>
      <c r="R53" s="17" t="n">
        <f aca="false">RANDBETWEEN(-30,90)/1000</f>
        <v>0.081</v>
      </c>
      <c r="S53" s="18"/>
      <c r="T53" s="19" t="n">
        <v>20</v>
      </c>
    </row>
    <row r="54" customFormat="false" ht="15" hidden="false" customHeight="false" outlineLevel="0" collapsed="false">
      <c r="A54" s="14" t="n">
        <v>32</v>
      </c>
      <c r="B54" s="15" t="s">
        <v>47</v>
      </c>
      <c r="C54" s="16" t="n">
        <f aca="false">+C53+T53</f>
        <v>672.61</v>
      </c>
      <c r="D54" s="17" t="n">
        <f aca="false">+Chạy!F127</f>
        <v>-9.33</v>
      </c>
      <c r="E54" s="17" t="n">
        <f aca="false">+D54+F54</f>
        <v>-9.336</v>
      </c>
      <c r="F54" s="17" t="n">
        <f aca="false">RANDBETWEEN(-105,115)/10000</f>
        <v>-0.006</v>
      </c>
      <c r="G54" s="17" t="n">
        <f aca="false">+Chạy!G127</f>
        <v>-0.75</v>
      </c>
      <c r="H54" s="17" t="n">
        <f aca="false">G54+I54</f>
        <v>-0.722</v>
      </c>
      <c r="I54" s="17" t="n">
        <f aca="false">RANDBETWEEN(-30,90)/1000</f>
        <v>0.028</v>
      </c>
      <c r="J54" s="17" t="n">
        <f aca="false">+Chạy!K127</f>
        <v>-0.75</v>
      </c>
      <c r="K54" s="17" t="n">
        <f aca="false">J54+L54</f>
        <v>-0.681</v>
      </c>
      <c r="L54" s="17" t="n">
        <f aca="false">RANDBETWEEN(-30,90)/1000</f>
        <v>0.069</v>
      </c>
      <c r="M54" s="17" t="n">
        <f aca="false">+Chạy!N127</f>
        <v>9.37</v>
      </c>
      <c r="N54" s="17" t="n">
        <f aca="false">+M54+O54</f>
        <v>9.3621</v>
      </c>
      <c r="O54" s="17" t="n">
        <f aca="false">RANDBETWEEN(-105,115)/10000</f>
        <v>-0.0079</v>
      </c>
      <c r="P54" s="17" t="n">
        <f aca="false">+Chạy!O127</f>
        <v>-0.75</v>
      </c>
      <c r="Q54" s="17" t="n">
        <f aca="false">P54+R54</f>
        <v>-0.668</v>
      </c>
      <c r="R54" s="17" t="n">
        <f aca="false">RANDBETWEEN(-30,90)/1000</f>
        <v>0.082</v>
      </c>
      <c r="S54" s="18"/>
      <c r="T54" s="19" t="n">
        <v>20</v>
      </c>
    </row>
    <row r="55" customFormat="false" ht="15" hidden="false" customHeight="false" outlineLevel="0" collapsed="false">
      <c r="A55" s="14" t="n">
        <v>33</v>
      </c>
      <c r="B55" s="15" t="s">
        <v>48</v>
      </c>
      <c r="C55" s="16" t="n">
        <f aca="false">+C54+T54</f>
        <v>692.61</v>
      </c>
      <c r="D55" s="17" t="n">
        <f aca="false">+Chạy!F131</f>
        <v>-10.24</v>
      </c>
      <c r="E55" s="17" t="n">
        <f aca="false">+D55+F55</f>
        <v>-10.2377</v>
      </c>
      <c r="F55" s="17" t="n">
        <f aca="false">RANDBETWEEN(-105,115)/10000</f>
        <v>0.0023</v>
      </c>
      <c r="G55" s="17" t="n">
        <f aca="false">+Chạy!G131</f>
        <v>-0.75</v>
      </c>
      <c r="H55" s="17" t="n">
        <f aca="false">G55+I55</f>
        <v>-0.738</v>
      </c>
      <c r="I55" s="17" t="n">
        <f aca="false">RANDBETWEEN(-30,90)/1000</f>
        <v>0.012</v>
      </c>
      <c r="J55" s="17" t="n">
        <f aca="false">+Chạy!K131</f>
        <v>-0.75</v>
      </c>
      <c r="K55" s="17" t="n">
        <f aca="false">J55+L55</f>
        <v>-0.73</v>
      </c>
      <c r="L55" s="17" t="n">
        <f aca="false">RANDBETWEEN(-30,90)/1000</f>
        <v>0.02</v>
      </c>
      <c r="M55" s="17" t="n">
        <f aca="false">+Chạy!N131</f>
        <v>10.19</v>
      </c>
      <c r="N55" s="17" t="n">
        <f aca="false">+M55+O55</f>
        <v>10.1825</v>
      </c>
      <c r="O55" s="17" t="n">
        <f aca="false">RANDBETWEEN(-105,115)/10000</f>
        <v>-0.0075</v>
      </c>
      <c r="P55" s="17" t="n">
        <f aca="false">+Chạy!O131</f>
        <v>-0.75</v>
      </c>
      <c r="Q55" s="17" t="n">
        <f aca="false">P55+R55</f>
        <v>-0.727</v>
      </c>
      <c r="R55" s="17" t="n">
        <f aca="false">RANDBETWEEN(-30,90)/1000</f>
        <v>0.023</v>
      </c>
      <c r="S55" s="18"/>
      <c r="T55" s="19" t="n">
        <v>20</v>
      </c>
    </row>
    <row r="56" customFormat="false" ht="15" hidden="false" customHeight="false" outlineLevel="0" collapsed="false">
      <c r="A56" s="14" t="n">
        <v>34</v>
      </c>
      <c r="B56" s="15" t="s">
        <v>49</v>
      </c>
      <c r="C56" s="16" t="n">
        <f aca="false">+C55+T55</f>
        <v>712.61</v>
      </c>
      <c r="D56" s="17" t="n">
        <f aca="false">+Chạy!F135</f>
        <v>-5.95</v>
      </c>
      <c r="E56" s="17" t="n">
        <f aca="false">+D56+F56</f>
        <v>-5.9477</v>
      </c>
      <c r="F56" s="17" t="n">
        <f aca="false">RANDBETWEEN(-105,115)/10000</f>
        <v>0.0023</v>
      </c>
      <c r="G56" s="17" t="n">
        <f aca="false">+Chạy!G135</f>
        <v>-0.75</v>
      </c>
      <c r="H56" s="17" t="n">
        <f aca="false">G56+I56</f>
        <v>-0.768</v>
      </c>
      <c r="I56" s="17" t="n">
        <f aca="false">RANDBETWEEN(-30,90)/1000</f>
        <v>-0.018</v>
      </c>
      <c r="J56" s="17" t="n">
        <f aca="false">+Chạy!K135</f>
        <v>-0.75</v>
      </c>
      <c r="K56" s="17" t="n">
        <f aca="false">J56+L56</f>
        <v>-0.72</v>
      </c>
      <c r="L56" s="17" t="n">
        <f aca="false">RANDBETWEEN(-30,90)/1000</f>
        <v>0.03</v>
      </c>
      <c r="M56" s="17" t="n">
        <f aca="false">+Chạy!N135</f>
        <v>9.65</v>
      </c>
      <c r="N56" s="17" t="n">
        <f aca="false">+M56+O56</f>
        <v>9.6493</v>
      </c>
      <c r="O56" s="17" t="n">
        <f aca="false">RANDBETWEEN(-105,115)/10000</f>
        <v>-0.0007</v>
      </c>
      <c r="P56" s="17" t="n">
        <f aca="false">+Chạy!O135</f>
        <v>-0.75</v>
      </c>
      <c r="Q56" s="17" t="n">
        <f aca="false">P56+R56</f>
        <v>-0.668</v>
      </c>
      <c r="R56" s="17" t="n">
        <f aca="false">RANDBETWEEN(-30,90)/1000</f>
        <v>0.082</v>
      </c>
      <c r="S56" s="18"/>
      <c r="T56" s="19" t="n">
        <v>11.5</v>
      </c>
    </row>
    <row r="57" customFormat="false" ht="15" hidden="false" customHeight="false" outlineLevel="0" collapsed="false">
      <c r="A57" s="14" t="n">
        <v>35</v>
      </c>
      <c r="B57" s="15" t="s">
        <v>50</v>
      </c>
      <c r="C57" s="16" t="n">
        <f aca="false">+C56+T56</f>
        <v>724.11</v>
      </c>
      <c r="D57" s="17" t="n">
        <f aca="false">+Chạy!F139</f>
        <v>-10.95</v>
      </c>
      <c r="E57" s="17" t="n">
        <f aca="false">+D57+F57</f>
        <v>-10.9456</v>
      </c>
      <c r="F57" s="17" t="n">
        <f aca="false">RANDBETWEEN(-105,115)/10000</f>
        <v>0.0044</v>
      </c>
      <c r="G57" s="17" t="n">
        <f aca="false">+Chạy!G139</f>
        <v>-0.75</v>
      </c>
      <c r="H57" s="17" t="n">
        <f aca="false">G57+I57</f>
        <v>-0.672</v>
      </c>
      <c r="I57" s="17" t="n">
        <f aca="false">RANDBETWEEN(-30,90)/1000</f>
        <v>0.078</v>
      </c>
      <c r="J57" s="17" t="n">
        <f aca="false">+Chạy!K139</f>
        <v>-0.75</v>
      </c>
      <c r="K57" s="17" t="n">
        <f aca="false">J57+L57</f>
        <v>-0.661</v>
      </c>
      <c r="L57" s="17" t="n">
        <f aca="false">RANDBETWEEN(-30,90)/1000</f>
        <v>0.089</v>
      </c>
      <c r="M57" s="17" t="n">
        <f aca="false">+Chạy!N139</f>
        <v>8.94</v>
      </c>
      <c r="N57" s="17" t="n">
        <f aca="false">+M57+O57</f>
        <v>8.939</v>
      </c>
      <c r="O57" s="17" t="n">
        <f aca="false">RANDBETWEEN(-105,115)/10000</f>
        <v>-0.001</v>
      </c>
      <c r="P57" s="17" t="n">
        <f aca="false">+Chạy!O139</f>
        <v>-0.75</v>
      </c>
      <c r="Q57" s="17" t="n">
        <f aca="false">P57+R57</f>
        <v>-0.684</v>
      </c>
      <c r="R57" s="17" t="n">
        <f aca="false">RANDBETWEEN(-30,90)/1000</f>
        <v>0.066</v>
      </c>
      <c r="S57" s="18"/>
      <c r="T57" s="19" t="n">
        <v>13.25</v>
      </c>
    </row>
    <row r="58" customFormat="false" ht="15" hidden="false" customHeight="false" outlineLevel="0" collapsed="false">
      <c r="A58" s="14" t="n">
        <v>36</v>
      </c>
      <c r="B58" s="15" t="s">
        <v>51</v>
      </c>
      <c r="C58" s="16" t="n">
        <f aca="false">+C57+T57</f>
        <v>737.36</v>
      </c>
      <c r="D58" s="17" t="n">
        <f aca="false">+Chạy!F143</f>
        <v>-9.28</v>
      </c>
      <c r="E58" s="17" t="n">
        <f aca="false">+D58+F58</f>
        <v>-9.2777</v>
      </c>
      <c r="F58" s="17" t="n">
        <f aca="false">RANDBETWEEN(-105,115)/10000</f>
        <v>0.0023</v>
      </c>
      <c r="G58" s="17" t="n">
        <f aca="false">+Chạy!G143</f>
        <v>-0.75</v>
      </c>
      <c r="H58" s="17" t="n">
        <f aca="false">G58+I58</f>
        <v>-0.703</v>
      </c>
      <c r="I58" s="17" t="n">
        <f aca="false">RANDBETWEEN(-30,90)/1000</f>
        <v>0.047</v>
      </c>
      <c r="J58" s="17" t="n">
        <f aca="false">+Chạy!K143</f>
        <v>-0.75</v>
      </c>
      <c r="K58" s="17" t="n">
        <f aca="false">J58+L58</f>
        <v>-0.751</v>
      </c>
      <c r="L58" s="17" t="n">
        <f aca="false">RANDBETWEEN(-30,90)/1000</f>
        <v>-0.001</v>
      </c>
      <c r="M58" s="17" t="n">
        <f aca="false">+Chạy!N143</f>
        <v>9.4</v>
      </c>
      <c r="N58" s="17" t="n">
        <f aca="false">+M58+O58</f>
        <v>9.3903</v>
      </c>
      <c r="O58" s="17" t="n">
        <f aca="false">RANDBETWEEN(-105,115)/10000</f>
        <v>-0.0097</v>
      </c>
      <c r="P58" s="17" t="n">
        <f aca="false">+Chạy!O143</f>
        <v>-0.75</v>
      </c>
      <c r="Q58" s="17" t="n">
        <f aca="false">P58+R58</f>
        <v>-0.757</v>
      </c>
      <c r="R58" s="17" t="n">
        <f aca="false">RANDBETWEEN(-30,90)/1000</f>
        <v>-0.007</v>
      </c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74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75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76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77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</row>
    <row r="3" s="30" customFormat="true" ht="37.5" hidden="false" customHeight="true" outlineLevel="0" collapsed="false">
      <c r="A3" s="28" t="s">
        <v>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56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57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58</v>
      </c>
      <c r="B7" s="32"/>
      <c r="D7" s="33" t="s">
        <v>90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62</v>
      </c>
      <c r="C9" s="35" t="s">
        <v>63</v>
      </c>
      <c r="D9" s="36" t="s">
        <v>79</v>
      </c>
      <c r="E9" s="37"/>
      <c r="F9" s="37"/>
      <c r="G9" s="36"/>
      <c r="H9" s="37"/>
      <c r="I9" s="37"/>
      <c r="J9" s="37"/>
      <c r="K9" s="37"/>
      <c r="L9" s="37"/>
      <c r="M9" s="38" t="s">
        <v>80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67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81</v>
      </c>
      <c r="O10" s="38" t="s">
        <v>82</v>
      </c>
      <c r="P10" s="38" t="s">
        <v>81</v>
      </c>
      <c r="Q10" s="38" t="s">
        <v>81</v>
      </c>
      <c r="R10" s="38"/>
      <c r="S10" s="38"/>
      <c r="T10" s="38"/>
      <c r="U10" s="38" t="s">
        <v>83</v>
      </c>
      <c r="V10" s="38" t="s">
        <v>83</v>
      </c>
      <c r="W10" s="38" t="s">
        <v>84</v>
      </c>
      <c r="X10" s="38" t="s">
        <v>83</v>
      </c>
      <c r="Y10" s="38" t="s">
        <v>83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L3'!B23</f>
        <v>B4</v>
      </c>
      <c r="C11" s="16" t="n">
        <f aca="false">'3.KTHH L3'!C23</f>
        <v>211</v>
      </c>
      <c r="D11" s="14" t="n">
        <f aca="false">'3.KTHH L3'!T23</f>
        <v>13.25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Chạy!E3</f>
        <v>4.63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62.01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L3'!B24</f>
        <v>12</v>
      </c>
      <c r="C12" s="16" t="n">
        <f aca="false">'3.KTHH L3'!C24</f>
        <v>224.25</v>
      </c>
      <c r="D12" s="14" t="n">
        <f aca="false">'3.KTHH L3'!T24</f>
        <v>21.5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Chạy!E7</f>
        <v>4.73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88.2575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L3'!B25</f>
        <v>13</v>
      </c>
      <c r="C13" s="16" t="n">
        <f aca="false">'3.KTHH L3'!C25</f>
        <v>245.75</v>
      </c>
      <c r="D13" s="14" t="n">
        <f aca="false">'3.KTHH L3'!T25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Chạy!E11</f>
        <v>3.48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40.89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L3'!B26</f>
        <v>B5</v>
      </c>
      <c r="C14" s="16" t="n">
        <f aca="false">'3.KTHH L3'!C26</f>
        <v>257.5</v>
      </c>
      <c r="D14" s="14" t="n">
        <f aca="false">'3.KTHH L3'!T26</f>
        <v>11.75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Chạy!E15</f>
        <v>3.48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40.89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L3'!B27</f>
        <v>14</v>
      </c>
      <c r="C15" s="16" t="n">
        <f aca="false">'3.KTHH L3'!C27</f>
        <v>269.25</v>
      </c>
      <c r="D15" s="14" t="n">
        <f aca="false">'3.KTHH L3'!T27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Chạy!E19</f>
        <v>3.48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69.6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L3'!B28</f>
        <v>15</v>
      </c>
      <c r="C16" s="16" t="n">
        <f aca="false">'3.KTHH L3'!C28</f>
        <v>289.25</v>
      </c>
      <c r="D16" s="14" t="n">
        <f aca="false">'3.KTHH L3'!T28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Chạy!E23</f>
        <v>3.48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69.6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L3'!B29</f>
        <v>16</v>
      </c>
      <c r="C17" s="16" t="n">
        <f aca="false">'3.KTHH L3'!C29</f>
        <v>309.25</v>
      </c>
      <c r="D17" s="14" t="n">
        <f aca="false">'3.KTHH L3'!T29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Chạy!E27</f>
        <v>3.48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69.6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L3'!B30</f>
        <v>17</v>
      </c>
      <c r="C18" s="16" t="n">
        <f aca="false">'3.KTHH L3'!C30</f>
        <v>329.25</v>
      </c>
      <c r="D18" s="14" t="n">
        <f aca="false">'3.KTHH L3'!T30</f>
        <v>20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Chạy!E31</f>
        <v>3.48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69.6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L3'!B31</f>
        <v>18</v>
      </c>
      <c r="C19" s="16" t="n">
        <f aca="false">'3.KTHH L3'!C31</f>
        <v>349.25</v>
      </c>
      <c r="D19" s="14" t="n">
        <f aca="false">'3.KTHH L3'!T31</f>
        <v>19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Chạy!E35</f>
        <v>3.48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76.475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'3.KTHH L3'!B32</f>
        <v>19</v>
      </c>
      <c r="C20" s="16" t="n">
        <f aca="false">'3.KTHH L3'!C32</f>
        <v>368.25</v>
      </c>
      <c r="D20" s="14" t="n">
        <f aca="false">'3.KTHH L3'!T32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Chạy!E39</f>
        <v>4.57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68.635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'3.KTHH L3'!B33</f>
        <v>C2</v>
      </c>
      <c r="C21" s="16" t="n">
        <f aca="false">'3.KTHH L3'!C33</f>
        <v>381.5</v>
      </c>
      <c r="D21" s="14" t="n">
        <f aca="false">'3.KTHH L3'!T33</f>
        <v>13.25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Chạy!E43</f>
        <v>5.79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76.055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'3.KTHH L3'!B34</f>
        <v>20</v>
      </c>
      <c r="C22" s="16" t="n">
        <f aca="false">'3.KTHH L3'!C34</f>
        <v>394.75</v>
      </c>
      <c r="D22" s="14" t="n">
        <f aca="false">'3.KTHH L3'!T34</f>
        <v>20</v>
      </c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Chạy!E47</f>
        <v>5.69</v>
      </c>
      <c r="P22" s="47"/>
      <c r="Q22" s="47"/>
      <c r="R22" s="50"/>
      <c r="S22" s="50"/>
      <c r="T22" s="50"/>
      <c r="U22" s="50"/>
      <c r="V22" s="50"/>
      <c r="W22" s="50" t="n">
        <f aca="false">(O22+O23)*D22/2</f>
        <v>114.1</v>
      </c>
      <c r="X22" s="50"/>
      <c r="Y22" s="50"/>
      <c r="Z22" s="50"/>
      <c r="AA22" s="50"/>
      <c r="AB22" s="51"/>
      <c r="AC22" s="50"/>
      <c r="AE22" s="52"/>
    </row>
    <row r="23" s="45" customFormat="true" ht="15" hidden="false" customHeight="true" outlineLevel="0" collapsed="false">
      <c r="A23" s="14" t="n">
        <v>13</v>
      </c>
      <c r="B23" s="14" t="str">
        <f aca="false">'3.KTHH L3'!B35</f>
        <v>21</v>
      </c>
      <c r="C23" s="16" t="n">
        <f aca="false">'3.KTHH L3'!C35</f>
        <v>414.75</v>
      </c>
      <c r="D23" s="14" t="n">
        <f aca="false">'3.KTHH L3'!T35</f>
        <v>20</v>
      </c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 t="n">
        <f aca="false">Chạy!E51</f>
        <v>5.72</v>
      </c>
      <c r="P23" s="47"/>
      <c r="Q23" s="47"/>
      <c r="R23" s="50"/>
      <c r="S23" s="50"/>
      <c r="T23" s="50"/>
      <c r="U23" s="50"/>
      <c r="V23" s="50"/>
      <c r="W23" s="50" t="n">
        <f aca="false">(O23+O24)*D23/2</f>
        <v>113.3</v>
      </c>
      <c r="X23" s="50"/>
      <c r="Y23" s="50"/>
      <c r="Z23" s="50"/>
      <c r="AA23" s="50"/>
      <c r="AB23" s="51"/>
      <c r="AC23" s="50"/>
      <c r="AE23" s="52"/>
    </row>
    <row r="24" s="45" customFormat="true" ht="15" hidden="false" customHeight="true" outlineLevel="0" collapsed="false">
      <c r="A24" s="14" t="n">
        <v>14</v>
      </c>
      <c r="B24" s="14" t="str">
        <f aca="false">'3.KTHH L3'!B36</f>
        <v>22</v>
      </c>
      <c r="C24" s="16" t="n">
        <f aca="false">'3.KTHH L3'!C36</f>
        <v>434.75</v>
      </c>
      <c r="D24" s="14" t="n">
        <f aca="false">'3.KTHH L3'!T36</f>
        <v>20</v>
      </c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 t="n">
        <f aca="false">Chạy!E55</f>
        <v>5.61</v>
      </c>
      <c r="P24" s="47"/>
      <c r="Q24" s="47"/>
      <c r="R24" s="50"/>
      <c r="S24" s="50"/>
      <c r="T24" s="50"/>
      <c r="U24" s="50"/>
      <c r="V24" s="50"/>
      <c r="W24" s="50" t="n">
        <f aca="false">(O24+O25)*D24/2</f>
        <v>108.7</v>
      </c>
      <c r="X24" s="50"/>
      <c r="Y24" s="50"/>
      <c r="Z24" s="50"/>
      <c r="AA24" s="50"/>
      <c r="AB24" s="51"/>
      <c r="AC24" s="50"/>
      <c r="AE24" s="52"/>
    </row>
    <row r="25" s="45" customFormat="true" ht="15" hidden="false" customHeight="true" outlineLevel="0" collapsed="false">
      <c r="A25" s="14" t="n">
        <v>15</v>
      </c>
      <c r="B25" s="14" t="str">
        <f aca="false">'3.KTHH L3'!B37</f>
        <v>23</v>
      </c>
      <c r="C25" s="16" t="n">
        <f aca="false">'3.KTHH L3'!C37</f>
        <v>454.75</v>
      </c>
      <c r="D25" s="14" t="n">
        <f aca="false">'3.KTHH L3'!T37</f>
        <v>20</v>
      </c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 t="n">
        <f aca="false">Chạy!E59</f>
        <v>5.26</v>
      </c>
      <c r="P25" s="47"/>
      <c r="Q25" s="47"/>
      <c r="R25" s="50"/>
      <c r="S25" s="50"/>
      <c r="T25" s="50"/>
      <c r="U25" s="50"/>
      <c r="V25" s="50"/>
      <c r="W25" s="50" t="n">
        <f aca="false">(O25+O26)*D25/2</f>
        <v>107.2</v>
      </c>
      <c r="X25" s="50"/>
      <c r="Y25" s="50"/>
      <c r="Z25" s="50"/>
      <c r="AA25" s="50"/>
      <c r="AB25" s="51"/>
      <c r="AC25" s="50"/>
      <c r="AE25" s="52"/>
    </row>
    <row r="26" s="45" customFormat="true" ht="15" hidden="false" customHeight="true" outlineLevel="0" collapsed="false">
      <c r="A26" s="14" t="n">
        <v>16</v>
      </c>
      <c r="B26" s="14" t="str">
        <f aca="false">'3.KTHH L3'!B38</f>
        <v>24</v>
      </c>
      <c r="C26" s="16" t="n">
        <f aca="false">'3.KTHH L3'!C38</f>
        <v>474.75</v>
      </c>
      <c r="D26" s="14" t="n">
        <f aca="false">'3.KTHH L3'!T38</f>
        <v>14.44</v>
      </c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 t="n">
        <f aca="false">Chạy!E63</f>
        <v>5.46</v>
      </c>
      <c r="P26" s="47"/>
      <c r="Q26" s="47"/>
      <c r="R26" s="50"/>
      <c r="S26" s="50"/>
      <c r="T26" s="50"/>
      <c r="U26" s="50"/>
      <c r="V26" s="50"/>
      <c r="W26" s="50" t="n">
        <f aca="false">(O26+O27)*D26/2</f>
        <v>71.478</v>
      </c>
      <c r="X26" s="50"/>
      <c r="Y26" s="50"/>
      <c r="Z26" s="50"/>
      <c r="AA26" s="50"/>
      <c r="AB26" s="51"/>
      <c r="AC26" s="50"/>
      <c r="AE26" s="52"/>
    </row>
    <row r="27" s="45" customFormat="true" ht="15" hidden="false" customHeight="true" outlineLevel="0" collapsed="false">
      <c r="A27" s="14" t="n">
        <v>17</v>
      </c>
      <c r="B27" s="14" t="str">
        <f aca="false">'3.KTHH L3'!B39</f>
        <v>25</v>
      </c>
      <c r="C27" s="16" t="n">
        <f aca="false">'3.KTHH L3'!C39</f>
        <v>489.19</v>
      </c>
      <c r="D27" s="14" t="n">
        <f aca="false">'3.KTHH L3'!T39</f>
        <v>13.17</v>
      </c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 t="n">
        <f aca="false">Chạy!E67</f>
        <v>4.44</v>
      </c>
      <c r="P27" s="47"/>
      <c r="Q27" s="47"/>
      <c r="R27" s="50"/>
      <c r="S27" s="50"/>
      <c r="T27" s="50"/>
      <c r="U27" s="50"/>
      <c r="V27" s="50"/>
      <c r="W27" s="50" t="n">
        <f aca="false">(O27+O28)*D27/2</f>
        <v>68.6157</v>
      </c>
      <c r="X27" s="50"/>
      <c r="Y27" s="50"/>
      <c r="Z27" s="50"/>
      <c r="AA27" s="50"/>
      <c r="AB27" s="51"/>
      <c r="AC27" s="50"/>
      <c r="AE27" s="52"/>
    </row>
    <row r="28" s="45" customFormat="true" ht="15" hidden="false" customHeight="true" outlineLevel="0" collapsed="false">
      <c r="A28" s="14" t="n">
        <v>18</v>
      </c>
      <c r="B28" s="14" t="str">
        <f aca="false">'3.KTHH L3'!B40</f>
        <v>D1</v>
      </c>
      <c r="C28" s="16" t="n">
        <f aca="false">'3.KTHH L3'!C40</f>
        <v>502.36</v>
      </c>
      <c r="D28" s="14" t="n">
        <f aca="false">'3.KTHH L3'!T40</f>
        <v>10.48</v>
      </c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 t="n">
        <f aca="false">Chạy!E71</f>
        <v>5.98</v>
      </c>
      <c r="P28" s="47"/>
      <c r="Q28" s="47"/>
      <c r="R28" s="50"/>
      <c r="S28" s="50"/>
      <c r="T28" s="50"/>
      <c r="U28" s="50"/>
      <c r="V28" s="50"/>
      <c r="W28" s="50" t="n">
        <f aca="false">(O28+O29)*D28/2</f>
        <v>61.6748</v>
      </c>
      <c r="X28" s="50"/>
      <c r="Y28" s="50"/>
      <c r="Z28" s="50"/>
      <c r="AA28" s="50"/>
      <c r="AB28" s="51"/>
      <c r="AC28" s="50"/>
      <c r="AE28" s="52"/>
    </row>
    <row r="29" s="45" customFormat="true" ht="15" hidden="false" customHeight="true" outlineLevel="0" collapsed="false">
      <c r="A29" s="14" t="n">
        <v>19</v>
      </c>
      <c r="B29" s="14" t="str">
        <f aca="false">'3.KTHH L3'!B41</f>
        <v>26</v>
      </c>
      <c r="C29" s="16" t="n">
        <f aca="false">'3.KTHH L3'!C41</f>
        <v>512.84</v>
      </c>
      <c r="D29" s="14" t="n">
        <f aca="false">'3.KTHH L3'!T41</f>
        <v>16.78</v>
      </c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 t="n">
        <f aca="false">Chạy!E75</f>
        <v>5.79</v>
      </c>
      <c r="P29" s="47"/>
      <c r="Q29" s="47"/>
      <c r="R29" s="50"/>
      <c r="S29" s="50"/>
      <c r="T29" s="50"/>
      <c r="U29" s="50"/>
      <c r="V29" s="50"/>
      <c r="W29" s="50" t="n">
        <f aca="false">(O29+O30)*D29/2</f>
        <v>98.5825</v>
      </c>
      <c r="X29" s="50"/>
      <c r="Y29" s="50"/>
      <c r="Z29" s="50"/>
      <c r="AA29" s="50"/>
      <c r="AB29" s="51"/>
      <c r="AC29" s="50"/>
      <c r="AE29" s="52"/>
    </row>
    <row r="30" s="45" customFormat="true" ht="15" hidden="false" customHeight="true" outlineLevel="0" collapsed="false">
      <c r="A30" s="14" t="n">
        <v>20</v>
      </c>
      <c r="B30" s="14" t="str">
        <f aca="false">'3.KTHH L3'!B42</f>
        <v>27</v>
      </c>
      <c r="C30" s="16" t="n">
        <f aca="false">'3.KTHH L3'!C42</f>
        <v>529.62</v>
      </c>
      <c r="D30" s="14" t="n">
        <f aca="false">'3.KTHH L3'!T42</f>
        <v>17.1</v>
      </c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 t="n">
        <f aca="false">Chạy!E79</f>
        <v>5.96</v>
      </c>
      <c r="P30" s="47"/>
      <c r="Q30" s="47"/>
      <c r="R30" s="50"/>
      <c r="S30" s="50"/>
      <c r="T30" s="50"/>
      <c r="U30" s="50"/>
      <c r="V30" s="50"/>
      <c r="W30" s="50" t="n">
        <f aca="false">(O30+O31)*D30/2</f>
        <v>89.0055</v>
      </c>
      <c r="X30" s="50"/>
      <c r="Y30" s="50"/>
      <c r="Z30" s="50"/>
      <c r="AA30" s="50"/>
      <c r="AB30" s="51"/>
      <c r="AC30" s="50"/>
      <c r="AE30" s="52"/>
    </row>
    <row r="31" s="45" customFormat="true" ht="15" hidden="false" customHeight="true" outlineLevel="0" collapsed="false">
      <c r="A31" s="14" t="n">
        <v>21</v>
      </c>
      <c r="B31" s="14" t="str">
        <f aca="false">'3.KTHH L3'!B43</f>
        <v>28</v>
      </c>
      <c r="C31" s="16" t="n">
        <f aca="false">'3.KTHH L3'!C43</f>
        <v>546.72</v>
      </c>
      <c r="D31" s="14" t="n">
        <f aca="false">'3.KTHH L3'!T43</f>
        <v>15.15</v>
      </c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 t="n">
        <f aca="false">Chạy!E83</f>
        <v>4.45</v>
      </c>
      <c r="P31" s="47"/>
      <c r="Q31" s="47"/>
      <c r="R31" s="50"/>
      <c r="S31" s="50"/>
      <c r="T31" s="50"/>
      <c r="U31" s="50"/>
      <c r="V31" s="50"/>
      <c r="W31" s="50" t="n">
        <f aca="false">(O31+O32)*D31/2</f>
        <v>77.34075</v>
      </c>
      <c r="X31" s="50"/>
      <c r="Y31" s="50"/>
      <c r="Z31" s="50"/>
      <c r="AA31" s="50"/>
      <c r="AB31" s="51"/>
      <c r="AC31" s="50"/>
      <c r="AE31" s="52"/>
    </row>
    <row r="32" s="45" customFormat="true" ht="15" hidden="false" customHeight="true" outlineLevel="0" collapsed="false">
      <c r="A32" s="14" t="n">
        <v>22</v>
      </c>
      <c r="B32" s="14" t="str">
        <f aca="false">'3.KTHH L3'!B44</f>
        <v>E5</v>
      </c>
      <c r="C32" s="16" t="n">
        <f aca="false">'3.KTHH L3'!C44</f>
        <v>561.87</v>
      </c>
      <c r="D32" s="14" t="n">
        <f aca="false">'3.KTHH L3'!T44</f>
        <v>0.15</v>
      </c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 t="n">
        <f aca="false">Chạy!E87</f>
        <v>5.76</v>
      </c>
      <c r="P32" s="47"/>
      <c r="Q32" s="47"/>
      <c r="R32" s="50"/>
      <c r="S32" s="50"/>
      <c r="T32" s="50"/>
      <c r="U32" s="50"/>
      <c r="V32" s="50"/>
      <c r="W32" s="50" t="n">
        <f aca="false">(O32+O33)*D32/2</f>
        <v>0.86475</v>
      </c>
      <c r="X32" s="50"/>
      <c r="Y32" s="50"/>
      <c r="Z32" s="50"/>
      <c r="AA32" s="50"/>
      <c r="AB32" s="51"/>
      <c r="AC32" s="50"/>
      <c r="AE32" s="52"/>
    </row>
    <row r="33" s="45" customFormat="true" ht="15" hidden="false" customHeight="true" outlineLevel="0" collapsed="false">
      <c r="A33" s="14" t="n">
        <v>23</v>
      </c>
      <c r="B33" s="14" t="str">
        <f aca="false">'3.KTHH L3'!B45</f>
        <v>TD</v>
      </c>
      <c r="C33" s="16" t="n">
        <f aca="false">'3.KTHH L3'!C45</f>
        <v>562.02</v>
      </c>
      <c r="D33" s="14" t="n">
        <f aca="false">'3.KTHH L3'!T45</f>
        <v>6.55</v>
      </c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 t="n">
        <f aca="false">Chạy!E91</f>
        <v>5.77</v>
      </c>
      <c r="P33" s="47"/>
      <c r="Q33" s="47"/>
      <c r="R33" s="50"/>
      <c r="S33" s="50"/>
      <c r="T33" s="50"/>
      <c r="U33" s="50"/>
      <c r="V33" s="50"/>
      <c r="W33" s="50" t="n">
        <f aca="false">(O33+O34)*D33/2</f>
        <v>38.28475</v>
      </c>
      <c r="X33" s="50"/>
      <c r="Y33" s="50"/>
      <c r="Z33" s="50"/>
      <c r="AA33" s="50"/>
      <c r="AB33" s="51"/>
      <c r="AC33" s="50"/>
      <c r="AE33" s="52"/>
    </row>
    <row r="34" s="45" customFormat="true" ht="15" hidden="false" customHeight="true" outlineLevel="0" collapsed="false">
      <c r="A34" s="14" t="n">
        <v>24</v>
      </c>
      <c r="B34" s="14" t="str">
        <f aca="false">'3.KTHH L3'!B46</f>
        <v>P</v>
      </c>
      <c r="C34" s="16" t="n">
        <f aca="false">'3.KTHH L3'!C46</f>
        <v>568.57</v>
      </c>
      <c r="D34" s="14" t="n">
        <f aca="false">'3.KTHH L3'!T46</f>
        <v>6.55</v>
      </c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 t="n">
        <f aca="false">Chạy!E95</f>
        <v>5.92</v>
      </c>
      <c r="P34" s="47"/>
      <c r="Q34" s="47"/>
      <c r="R34" s="50"/>
      <c r="S34" s="50"/>
      <c r="T34" s="50"/>
      <c r="U34" s="50"/>
      <c r="V34" s="50"/>
      <c r="W34" s="50" t="n">
        <f aca="false">(O34+O35)*D34/2</f>
        <v>37.597</v>
      </c>
      <c r="X34" s="50"/>
      <c r="Y34" s="50"/>
      <c r="Z34" s="50"/>
      <c r="AA34" s="50"/>
      <c r="AB34" s="51"/>
      <c r="AC34" s="50"/>
      <c r="AE34" s="52"/>
    </row>
    <row r="35" s="45" customFormat="true" ht="15" hidden="false" customHeight="true" outlineLevel="0" collapsed="false">
      <c r="A35" s="14" t="n">
        <v>25</v>
      </c>
      <c r="B35" s="14" t="str">
        <f aca="false">'3.KTHH L3'!B47</f>
        <v>TC</v>
      </c>
      <c r="C35" s="16" t="n">
        <f aca="false">'3.KTHH L3'!C47</f>
        <v>575.12</v>
      </c>
      <c r="D35" s="14" t="n">
        <f aca="false">'3.KTHH L3'!T47</f>
        <v>0.04</v>
      </c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 t="n">
        <f aca="false">Chạy!E99</f>
        <v>5.56</v>
      </c>
      <c r="P35" s="47"/>
      <c r="Q35" s="47"/>
      <c r="R35" s="50"/>
      <c r="S35" s="50"/>
      <c r="T35" s="50"/>
      <c r="U35" s="50"/>
      <c r="V35" s="50"/>
      <c r="W35" s="50" t="n">
        <f aca="false">(O35+O36)*D35/2</f>
        <v>0.221</v>
      </c>
      <c r="X35" s="50"/>
      <c r="Y35" s="50"/>
      <c r="Z35" s="50"/>
      <c r="AA35" s="50"/>
      <c r="AB35" s="51"/>
      <c r="AC35" s="50"/>
      <c r="AE35" s="52"/>
    </row>
    <row r="36" s="45" customFormat="true" ht="15" hidden="false" customHeight="true" outlineLevel="0" collapsed="false">
      <c r="A36" s="14" t="n">
        <v>26</v>
      </c>
      <c r="B36" s="14" t="str">
        <f aca="false">'3.KTHH L3'!B48</f>
        <v>29</v>
      </c>
      <c r="C36" s="16" t="n">
        <f aca="false">'3.KTHH L3'!C48</f>
        <v>575.16</v>
      </c>
      <c r="D36" s="14" t="n">
        <f aca="false">'3.KTHH L3'!T48</f>
        <v>16.95</v>
      </c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 t="n">
        <f aca="false">Chạy!E103</f>
        <v>5.49</v>
      </c>
      <c r="P36" s="47"/>
      <c r="Q36" s="47"/>
      <c r="R36" s="50"/>
      <c r="S36" s="50"/>
      <c r="T36" s="50"/>
      <c r="U36" s="50"/>
      <c r="V36" s="50"/>
      <c r="W36" s="50" t="n">
        <f aca="false">(O36+O37)*D36/2</f>
        <v>95.51325</v>
      </c>
      <c r="X36" s="50"/>
      <c r="Y36" s="50"/>
      <c r="Z36" s="50"/>
      <c r="AA36" s="50"/>
      <c r="AB36" s="51"/>
      <c r="AC36" s="50"/>
      <c r="AE36" s="52"/>
    </row>
    <row r="37" s="45" customFormat="true" ht="15" hidden="false" customHeight="true" outlineLevel="0" collapsed="false">
      <c r="A37" s="14" t="n">
        <v>27</v>
      </c>
      <c r="B37" s="14" t="str">
        <f aca="false">'3.KTHH L3'!B49</f>
        <v>30</v>
      </c>
      <c r="C37" s="16" t="n">
        <f aca="false">'3.KTHH L3'!C49</f>
        <v>592.11</v>
      </c>
      <c r="D37" s="14" t="n">
        <f aca="false">'3.KTHH L3'!T49</f>
        <v>17</v>
      </c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 t="n">
        <f aca="false">Chạy!E107</f>
        <v>5.78</v>
      </c>
      <c r="P37" s="47"/>
      <c r="Q37" s="47"/>
      <c r="R37" s="50"/>
      <c r="S37" s="50"/>
      <c r="T37" s="50"/>
      <c r="U37" s="50"/>
      <c r="V37" s="50"/>
      <c r="W37" s="50" t="n">
        <f aca="false">(O37+O38)*D37/2</f>
        <v>93.755</v>
      </c>
      <c r="X37" s="50"/>
      <c r="Y37" s="50"/>
      <c r="Z37" s="50"/>
      <c r="AA37" s="50"/>
      <c r="AB37" s="51"/>
      <c r="AC37" s="50"/>
      <c r="AE37" s="52"/>
    </row>
    <row r="38" s="45" customFormat="true" ht="15" hidden="false" customHeight="true" outlineLevel="0" collapsed="false">
      <c r="A38" s="14" t="n">
        <v>28</v>
      </c>
      <c r="B38" s="14" t="str">
        <f aca="false">'3.KTHH L3'!B50</f>
        <v>31</v>
      </c>
      <c r="C38" s="16" t="n">
        <f aca="false">'3.KTHH L3'!C50</f>
        <v>609.11</v>
      </c>
      <c r="D38" s="14" t="n">
        <f aca="false">'3.KTHH L3'!T50</f>
        <v>11.75</v>
      </c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 t="n">
        <f aca="false">Chạy!E111</f>
        <v>5.25</v>
      </c>
      <c r="P38" s="47"/>
      <c r="Q38" s="47"/>
      <c r="R38" s="50"/>
      <c r="S38" s="50"/>
      <c r="T38" s="50"/>
      <c r="U38" s="50"/>
      <c r="V38" s="50"/>
      <c r="W38" s="50" t="n">
        <f aca="false">(O38+O39)*D38/2</f>
        <v>61.39375</v>
      </c>
      <c r="X38" s="50"/>
      <c r="Y38" s="50"/>
      <c r="Z38" s="50"/>
      <c r="AA38" s="50"/>
      <c r="AB38" s="51"/>
      <c r="AC38" s="50"/>
      <c r="AE38" s="52"/>
    </row>
    <row r="39" s="45" customFormat="true" ht="15" hidden="false" customHeight="true" outlineLevel="0" collapsed="false">
      <c r="A39" s="14" t="n">
        <v>29</v>
      </c>
      <c r="B39" s="14" t="str">
        <f aca="false">'3.KTHH L3'!B51</f>
        <v>E10</v>
      </c>
      <c r="C39" s="16" t="n">
        <f aca="false">'3.KTHH L3'!C51</f>
        <v>620.86</v>
      </c>
      <c r="D39" s="14" t="n">
        <f aca="false">'3.KTHH L3'!T51</f>
        <v>11.75</v>
      </c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 t="n">
        <f aca="false">Chạy!E115</f>
        <v>5.2</v>
      </c>
      <c r="P39" s="47"/>
      <c r="Q39" s="47"/>
      <c r="R39" s="50"/>
      <c r="S39" s="50"/>
      <c r="T39" s="50"/>
      <c r="U39" s="50"/>
      <c r="V39" s="50"/>
      <c r="W39" s="50" t="n">
        <f aca="false">(O39+O40)*D39/2</f>
        <v>63.8025</v>
      </c>
      <c r="X39" s="50"/>
      <c r="Y39" s="50"/>
      <c r="Z39" s="50"/>
      <c r="AA39" s="50"/>
      <c r="AB39" s="51"/>
      <c r="AC39" s="50"/>
      <c r="AE39" s="52"/>
    </row>
    <row r="40" s="45" customFormat="true" ht="15" hidden="false" customHeight="true" outlineLevel="0" collapsed="false">
      <c r="A40" s="14" t="n">
        <v>30</v>
      </c>
      <c r="B40" s="14" t="str">
        <f aca="false">'3.KTHH L3'!B52</f>
        <v>32</v>
      </c>
      <c r="C40" s="16" t="n">
        <f aca="false">'3.KTHH L3'!C52</f>
        <v>632.61</v>
      </c>
      <c r="D40" s="14" t="n">
        <f aca="false">'3.KTHH L3'!T52</f>
        <v>20</v>
      </c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 t="n">
        <f aca="false">Chạy!E119</f>
        <v>5.66</v>
      </c>
      <c r="P40" s="47"/>
      <c r="Q40" s="47"/>
      <c r="R40" s="50"/>
      <c r="S40" s="50"/>
      <c r="T40" s="50"/>
      <c r="U40" s="50"/>
      <c r="V40" s="50"/>
      <c r="W40" s="50" t="n">
        <f aca="false">(O40+O41)*D40/2</f>
        <v>116.8</v>
      </c>
      <c r="X40" s="50"/>
      <c r="Y40" s="50"/>
      <c r="Z40" s="50"/>
      <c r="AA40" s="50"/>
      <c r="AB40" s="51"/>
      <c r="AC40" s="50"/>
      <c r="AE40" s="52"/>
    </row>
    <row r="41" s="45" customFormat="true" ht="15" hidden="false" customHeight="true" outlineLevel="0" collapsed="false">
      <c r="A41" s="14" t="n">
        <v>31</v>
      </c>
      <c r="B41" s="14" t="str">
        <f aca="false">'3.KTHH L3'!B53</f>
        <v>33</v>
      </c>
      <c r="C41" s="16" t="n">
        <f aca="false">'3.KTHH L3'!C53</f>
        <v>652.61</v>
      </c>
      <c r="D41" s="14" t="n">
        <f aca="false">'3.KTHH L3'!T53</f>
        <v>20</v>
      </c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 t="n">
        <f aca="false">Chạy!E123</f>
        <v>6.02</v>
      </c>
      <c r="P41" s="47"/>
      <c r="Q41" s="47"/>
      <c r="R41" s="50"/>
      <c r="S41" s="50"/>
      <c r="T41" s="50"/>
      <c r="U41" s="50"/>
      <c r="V41" s="50"/>
      <c r="W41" s="50" t="n">
        <f aca="false">(O41+O42)*D41/2</f>
        <v>115.4</v>
      </c>
      <c r="X41" s="50"/>
      <c r="Y41" s="50"/>
      <c r="Z41" s="50"/>
      <c r="AA41" s="50"/>
      <c r="AB41" s="51"/>
      <c r="AC41" s="50"/>
      <c r="AE41" s="52"/>
    </row>
    <row r="42" s="45" customFormat="true" ht="15" hidden="false" customHeight="true" outlineLevel="0" collapsed="false">
      <c r="A42" s="14" t="n">
        <v>32</v>
      </c>
      <c r="B42" s="14" t="str">
        <f aca="false">'3.KTHH L3'!B54</f>
        <v>34</v>
      </c>
      <c r="C42" s="16" t="n">
        <f aca="false">'3.KTHH L3'!C54</f>
        <v>672.61</v>
      </c>
      <c r="D42" s="14" t="n">
        <f aca="false">'3.KTHH L3'!T54</f>
        <v>20</v>
      </c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 t="n">
        <f aca="false">Chạy!E127</f>
        <v>5.52</v>
      </c>
      <c r="P42" s="47"/>
      <c r="Q42" s="47"/>
      <c r="R42" s="50"/>
      <c r="S42" s="50"/>
      <c r="T42" s="50"/>
      <c r="U42" s="50"/>
      <c r="V42" s="50"/>
      <c r="W42" s="50" t="n">
        <f aca="false">(O42+O43)*D42/2</f>
        <v>115.6</v>
      </c>
      <c r="X42" s="50"/>
      <c r="Y42" s="50"/>
      <c r="Z42" s="50"/>
      <c r="AA42" s="50"/>
      <c r="AB42" s="51"/>
      <c r="AC42" s="50"/>
      <c r="AE42" s="52"/>
    </row>
    <row r="43" s="45" customFormat="true" ht="15" hidden="false" customHeight="true" outlineLevel="0" collapsed="false">
      <c r="A43" s="14" t="n">
        <v>33</v>
      </c>
      <c r="B43" s="14" t="str">
        <f aca="false">'3.KTHH L3'!B55</f>
        <v>35</v>
      </c>
      <c r="C43" s="16" t="n">
        <f aca="false">'3.KTHH L3'!C55</f>
        <v>692.61</v>
      </c>
      <c r="D43" s="14" t="n">
        <f aca="false">'3.KTHH L3'!T55</f>
        <v>20</v>
      </c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 t="n">
        <f aca="false">Chạy!E131</f>
        <v>6.04</v>
      </c>
      <c r="P43" s="47"/>
      <c r="Q43" s="47"/>
      <c r="R43" s="50"/>
      <c r="S43" s="50"/>
      <c r="T43" s="50"/>
      <c r="U43" s="50"/>
      <c r="V43" s="50"/>
      <c r="W43" s="50" t="n">
        <f aca="false">(O43+O44)*D43/2</f>
        <v>106.3</v>
      </c>
      <c r="X43" s="50"/>
      <c r="Y43" s="50"/>
      <c r="Z43" s="50"/>
      <c r="AA43" s="50"/>
      <c r="AB43" s="51"/>
      <c r="AC43" s="50"/>
      <c r="AE43" s="52"/>
    </row>
    <row r="44" s="45" customFormat="true" ht="15" hidden="false" customHeight="true" outlineLevel="0" collapsed="false">
      <c r="A44" s="14" t="n">
        <v>34</v>
      </c>
      <c r="B44" s="14" t="str">
        <f aca="false">'3.KTHH L3'!B56</f>
        <v>36</v>
      </c>
      <c r="C44" s="16" t="n">
        <f aca="false">'3.KTHH L3'!C56</f>
        <v>712.61</v>
      </c>
      <c r="D44" s="14" t="n">
        <f aca="false">'3.KTHH L3'!T56</f>
        <v>11.5</v>
      </c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 t="n">
        <f aca="false">Chạy!E135</f>
        <v>4.59</v>
      </c>
      <c r="P44" s="47"/>
      <c r="Q44" s="47"/>
      <c r="R44" s="50"/>
      <c r="S44" s="50"/>
      <c r="T44" s="50"/>
      <c r="U44" s="50"/>
      <c r="V44" s="50"/>
      <c r="W44" s="50" t="n">
        <f aca="false">(O44+O45)*D44/2</f>
        <v>60.2025</v>
      </c>
      <c r="X44" s="50"/>
      <c r="Y44" s="50"/>
      <c r="Z44" s="50"/>
      <c r="AA44" s="50"/>
      <c r="AB44" s="51"/>
      <c r="AC44" s="50"/>
      <c r="AE44" s="52"/>
    </row>
    <row r="45" s="45" customFormat="true" ht="15" hidden="false" customHeight="true" outlineLevel="0" collapsed="false">
      <c r="A45" s="14" t="n">
        <v>35</v>
      </c>
      <c r="B45" s="14" t="str">
        <f aca="false">'3.KTHH L3'!B57</f>
        <v>37</v>
      </c>
      <c r="C45" s="16" t="n">
        <f aca="false">'3.KTHH L3'!C57</f>
        <v>724.11</v>
      </c>
      <c r="D45" s="14" t="n">
        <f aca="false">'3.KTHH L3'!T57</f>
        <v>13.25</v>
      </c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 t="n">
        <f aca="false">Chạy!E139</f>
        <v>5.88</v>
      </c>
      <c r="P45" s="47"/>
      <c r="Q45" s="47"/>
      <c r="R45" s="50"/>
      <c r="S45" s="50"/>
      <c r="T45" s="50"/>
      <c r="U45" s="50"/>
      <c r="V45" s="50"/>
      <c r="W45" s="50" t="n">
        <f aca="false">(O45+O46)*D45/2</f>
        <v>75.45875</v>
      </c>
      <c r="X45" s="50"/>
      <c r="Y45" s="50"/>
      <c r="Z45" s="50"/>
      <c r="AA45" s="50"/>
      <c r="AB45" s="51"/>
      <c r="AC45" s="50"/>
      <c r="AE45" s="52"/>
    </row>
    <row r="46" s="45" customFormat="true" ht="15" hidden="false" customHeight="true" outlineLevel="0" collapsed="false">
      <c r="A46" s="14" t="n">
        <v>36</v>
      </c>
      <c r="B46" s="14" t="str">
        <f aca="false">'3.KTHH L3'!B58</f>
        <v>G6</v>
      </c>
      <c r="C46" s="16" t="n">
        <f aca="false">'3.KTHH L3'!C58</f>
        <v>737.36</v>
      </c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 t="n">
        <f aca="false">Chạy!E143</f>
        <v>5.51</v>
      </c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85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SUM(W11:W46)</f>
        <v>2622.803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74</v>
      </c>
      <c r="B53" s="20"/>
      <c r="C53" s="20"/>
      <c r="D53" s="65" t="s">
        <v>86</v>
      </c>
      <c r="E53" s="20" t="s">
        <v>75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76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77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56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58</v>
      </c>
      <c r="C7" s="8"/>
      <c r="D7" s="8"/>
      <c r="E7" s="8"/>
      <c r="F7" s="8"/>
      <c r="G7" s="8" t="s">
        <v>92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60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61</v>
      </c>
      <c r="B21" s="10" t="s">
        <v>62</v>
      </c>
      <c r="C21" s="10" t="s">
        <v>63</v>
      </c>
      <c r="D21" s="11" t="s">
        <v>64</v>
      </c>
      <c r="E21" s="11"/>
      <c r="F21" s="11"/>
      <c r="G21" s="11"/>
      <c r="H21" s="11"/>
      <c r="I21" s="11"/>
      <c r="J21" s="11" t="s">
        <v>65</v>
      </c>
      <c r="K21" s="11"/>
      <c r="L21" s="11"/>
      <c r="M21" s="11" t="s">
        <v>66</v>
      </c>
      <c r="N21" s="11"/>
      <c r="O21" s="11"/>
      <c r="P21" s="11"/>
      <c r="Q21" s="11"/>
      <c r="R21" s="11"/>
      <c r="S21" s="10" t="s">
        <v>67</v>
      </c>
    </row>
    <row r="22" customFormat="false" ht="30" hidden="false" customHeight="true" outlineLevel="0" collapsed="false">
      <c r="A22" s="10"/>
      <c r="B22" s="10"/>
      <c r="C22" s="10"/>
      <c r="D22" s="12" t="s">
        <v>68</v>
      </c>
      <c r="E22" s="12" t="s">
        <v>69</v>
      </c>
      <c r="F22" s="12" t="s">
        <v>70</v>
      </c>
      <c r="G22" s="12" t="s">
        <v>71</v>
      </c>
      <c r="H22" s="12" t="s">
        <v>72</v>
      </c>
      <c r="I22" s="12" t="s">
        <v>73</v>
      </c>
      <c r="J22" s="12" t="s">
        <v>71</v>
      </c>
      <c r="K22" s="12" t="s">
        <v>72</v>
      </c>
      <c r="L22" s="12" t="s">
        <v>73</v>
      </c>
      <c r="M22" s="12" t="s">
        <v>68</v>
      </c>
      <c r="N22" s="12" t="s">
        <v>69</v>
      </c>
      <c r="O22" s="12" t="s">
        <v>70</v>
      </c>
      <c r="P22" s="12" t="s">
        <v>71</v>
      </c>
      <c r="Q22" s="12" t="s">
        <v>72</v>
      </c>
      <c r="R22" s="12" t="s">
        <v>73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211</v>
      </c>
      <c r="D23" s="17" t="n">
        <f aca="false">+Chạy!F2</f>
        <v>-10.1</v>
      </c>
      <c r="E23" s="17" t="n">
        <f aca="false">+D23+F23</f>
        <v>-10.1075</v>
      </c>
      <c r="F23" s="17" t="n">
        <f aca="false">RANDBETWEEN(-105,115)/10000</f>
        <v>-0.0075</v>
      </c>
      <c r="G23" s="17" t="n">
        <f aca="false">+Chạy!G2</f>
        <v>-0.45</v>
      </c>
      <c r="H23" s="17" t="n">
        <f aca="false">G23+I23</f>
        <v>-0.399</v>
      </c>
      <c r="I23" s="17" t="n">
        <f aca="false">RANDBETWEEN(-30,90)/1000</f>
        <v>0.051</v>
      </c>
      <c r="J23" s="17" t="n">
        <f aca="false">+Chạy!K2</f>
        <v>-0.45</v>
      </c>
      <c r="K23" s="17" t="n">
        <f aca="false">J23+L23</f>
        <v>-0.41</v>
      </c>
      <c r="L23" s="17" t="n">
        <f aca="false">RANDBETWEEN(-30,90)/1000</f>
        <v>0.04</v>
      </c>
      <c r="M23" s="17" t="n">
        <f aca="false">+Chạy!N2</f>
        <v>6.25</v>
      </c>
      <c r="N23" s="17" t="n">
        <f aca="false">+M23+O23</f>
        <v>6.2424</v>
      </c>
      <c r="O23" s="17" t="n">
        <f aca="false">RANDBETWEEN(-105,115)/10000</f>
        <v>-0.0076</v>
      </c>
      <c r="P23" s="17" t="n">
        <f aca="false">+Chạy!O2</f>
        <v>-0.45</v>
      </c>
      <c r="Q23" s="17" t="n">
        <f aca="false">P23+R23</f>
        <v>-0.435</v>
      </c>
      <c r="R23" s="17" t="n">
        <f aca="false">RANDBETWEEN(-30,90)/1000</f>
        <v>0.015</v>
      </c>
      <c r="S23" s="18"/>
      <c r="T23" s="19" t="n">
        <v>13.25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224.25</v>
      </c>
      <c r="D24" s="17" t="n">
        <f aca="false">+Chạy!F6</f>
        <v>-10.15</v>
      </c>
      <c r="E24" s="17" t="n">
        <f aca="false">+D24+F24</f>
        <v>-10.1549</v>
      </c>
      <c r="F24" s="17" t="n">
        <f aca="false">RANDBETWEEN(-105,115)/10000</f>
        <v>-0.0049</v>
      </c>
      <c r="G24" s="17" t="n">
        <f aca="false">+Chạy!G6</f>
        <v>-0.45</v>
      </c>
      <c r="H24" s="17" t="n">
        <f aca="false">G24+I24</f>
        <v>-0.412</v>
      </c>
      <c r="I24" s="17" t="n">
        <f aca="false">RANDBETWEEN(-30,90)/1000</f>
        <v>0.038</v>
      </c>
      <c r="J24" s="17" t="n">
        <f aca="false">+Chạy!K6</f>
        <v>-0.45</v>
      </c>
      <c r="K24" s="17" t="n">
        <f aca="false">J24+L24</f>
        <v>-0.424</v>
      </c>
      <c r="L24" s="17" t="n">
        <f aca="false">RANDBETWEEN(-30,90)/1000</f>
        <v>0.026</v>
      </c>
      <c r="M24" s="17" t="n">
        <f aca="false">+Chạy!N6</f>
        <v>6.5</v>
      </c>
      <c r="N24" s="17" t="n">
        <f aca="false">+M24+O24</f>
        <v>6.504</v>
      </c>
      <c r="O24" s="17" t="n">
        <f aca="false">RANDBETWEEN(-105,115)/10000</f>
        <v>0.004</v>
      </c>
      <c r="P24" s="17" t="n">
        <f aca="false">+Chạy!O6</f>
        <v>-0.45</v>
      </c>
      <c r="Q24" s="17" t="n">
        <f aca="false">P24+R24</f>
        <v>-0.461</v>
      </c>
      <c r="R24" s="17" t="n">
        <f aca="false">RANDBETWEEN(-30,90)/1000</f>
        <v>-0.011</v>
      </c>
      <c r="S24" s="18"/>
      <c r="T24" s="19" t="n">
        <v>21.5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245.75</v>
      </c>
      <c r="D25" s="17" t="n">
        <f aca="false">+Chạy!F10</f>
        <v>-6.25</v>
      </c>
      <c r="E25" s="17" t="n">
        <f aca="false">+D25+F25</f>
        <v>-6.2525</v>
      </c>
      <c r="F25" s="17" t="n">
        <f aca="false">RANDBETWEEN(-105,115)/10000</f>
        <v>-0.0025</v>
      </c>
      <c r="G25" s="17" t="n">
        <f aca="false">+Chạy!G10</f>
        <v>-0.45</v>
      </c>
      <c r="H25" s="17" t="n">
        <f aca="false">G25+I25</f>
        <v>-0.406</v>
      </c>
      <c r="I25" s="17" t="n">
        <f aca="false">RANDBETWEEN(-30,90)/1000</f>
        <v>0.044</v>
      </c>
      <c r="J25" s="17" t="n">
        <f aca="false">+Chạy!K10</f>
        <v>-0.45</v>
      </c>
      <c r="K25" s="17" t="n">
        <f aca="false">J25+L25</f>
        <v>-0.371</v>
      </c>
      <c r="L25" s="17" t="n">
        <f aca="false">RANDBETWEEN(-30,90)/1000</f>
        <v>0.079</v>
      </c>
      <c r="M25" s="17" t="n">
        <f aca="false">+Chạy!N10</f>
        <v>6.25</v>
      </c>
      <c r="N25" s="17" t="n">
        <f aca="false">+M25+O25</f>
        <v>6.2494</v>
      </c>
      <c r="O25" s="17" t="n">
        <f aca="false">RANDBETWEEN(-105,115)/10000</f>
        <v>-0.0006</v>
      </c>
      <c r="P25" s="17" t="n">
        <f aca="false">+Chạy!O10</f>
        <v>-0.45</v>
      </c>
      <c r="Q25" s="17" t="n">
        <f aca="false">P25+R25</f>
        <v>-0.455</v>
      </c>
      <c r="R25" s="17" t="n">
        <f aca="false">RANDBETWEEN(-30,90)/1000</f>
        <v>-0.005</v>
      </c>
      <c r="S25" s="18"/>
      <c r="T25" s="19" t="n">
        <v>11.75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257.5</v>
      </c>
      <c r="D26" s="17" t="n">
        <f aca="false">+Chạy!F14</f>
        <v>-6.25</v>
      </c>
      <c r="E26" s="17" t="n">
        <f aca="false">+D26+F26</f>
        <v>-6.2586</v>
      </c>
      <c r="F26" s="17" t="n">
        <f aca="false">RANDBETWEEN(-105,115)/10000</f>
        <v>-0.0086</v>
      </c>
      <c r="G26" s="17" t="n">
        <f aca="false">+Chạy!G14</f>
        <v>-0.45</v>
      </c>
      <c r="H26" s="17" t="n">
        <f aca="false">G26+I26</f>
        <v>-0.449</v>
      </c>
      <c r="I26" s="17" t="n">
        <f aca="false">RANDBETWEEN(-30,90)/1000</f>
        <v>0.001</v>
      </c>
      <c r="J26" s="17" t="n">
        <f aca="false">+Chạy!K14</f>
        <v>-0.45</v>
      </c>
      <c r="K26" s="17" t="n">
        <f aca="false">J26+L26</f>
        <v>-0.397</v>
      </c>
      <c r="L26" s="17" t="n">
        <f aca="false">RANDBETWEEN(-30,90)/1000</f>
        <v>0.053</v>
      </c>
      <c r="M26" s="17" t="n">
        <f aca="false">+Chạy!N14</f>
        <v>6.25</v>
      </c>
      <c r="N26" s="17" t="n">
        <f aca="false">+M26+O26</f>
        <v>6.2439</v>
      </c>
      <c r="O26" s="17" t="n">
        <f aca="false">RANDBETWEEN(-105,115)/10000</f>
        <v>-0.0061</v>
      </c>
      <c r="P26" s="17" t="n">
        <f aca="false">+Chạy!O14</f>
        <v>-0.45</v>
      </c>
      <c r="Q26" s="17" t="n">
        <f aca="false">P26+R26</f>
        <v>-0.466</v>
      </c>
      <c r="R26" s="17" t="n">
        <f aca="false">RANDBETWEEN(-30,90)/1000</f>
        <v>-0.016</v>
      </c>
      <c r="S26" s="18"/>
      <c r="T26" s="19" t="n">
        <v>11.75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269.25</v>
      </c>
      <c r="D27" s="17" t="n">
        <f aca="false">+Chạy!F18</f>
        <v>-6.25</v>
      </c>
      <c r="E27" s="17" t="n">
        <f aca="false">+D27+F27</f>
        <v>-6.2491</v>
      </c>
      <c r="F27" s="17" t="n">
        <f aca="false">RANDBETWEEN(-105,115)/10000</f>
        <v>0.0009</v>
      </c>
      <c r="G27" s="17" t="n">
        <f aca="false">+Chạy!G18</f>
        <v>-0.45</v>
      </c>
      <c r="H27" s="17" t="n">
        <f aca="false">G27+I27</f>
        <v>-0.372</v>
      </c>
      <c r="I27" s="17" t="n">
        <f aca="false">RANDBETWEEN(-30,90)/1000</f>
        <v>0.078</v>
      </c>
      <c r="J27" s="17" t="n">
        <f aca="false">+Chạy!K18</f>
        <v>-0.45</v>
      </c>
      <c r="K27" s="17" t="n">
        <f aca="false">J27+L27</f>
        <v>-0.417</v>
      </c>
      <c r="L27" s="17" t="n">
        <f aca="false">RANDBETWEEN(-30,90)/1000</f>
        <v>0.033</v>
      </c>
      <c r="M27" s="17" t="n">
        <f aca="false">+Chạy!N18</f>
        <v>6.25</v>
      </c>
      <c r="N27" s="17" t="n">
        <f aca="false">+M27+O27</f>
        <v>6.2611</v>
      </c>
      <c r="O27" s="17" t="n">
        <f aca="false">RANDBETWEEN(-105,115)/10000</f>
        <v>0.0111</v>
      </c>
      <c r="P27" s="17" t="n">
        <f aca="false">+Chạy!O18</f>
        <v>-0.45</v>
      </c>
      <c r="Q27" s="17" t="n">
        <f aca="false">P27+R27</f>
        <v>-0.388</v>
      </c>
      <c r="R27" s="17" t="n">
        <f aca="false">RANDBETWEEN(-30,90)/1000</f>
        <v>0.062</v>
      </c>
      <c r="S27" s="18"/>
      <c r="T27" s="19" t="n">
        <v>20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289.25</v>
      </c>
      <c r="D28" s="17" t="n">
        <f aca="false">+Chạy!F22</f>
        <v>-6.25</v>
      </c>
      <c r="E28" s="17" t="n">
        <f aca="false">+D28+F28</f>
        <v>-6.2601</v>
      </c>
      <c r="F28" s="17" t="n">
        <f aca="false">RANDBETWEEN(-105,115)/10000</f>
        <v>-0.0101</v>
      </c>
      <c r="G28" s="17" t="n">
        <f aca="false">+Chạy!G22</f>
        <v>-0.45</v>
      </c>
      <c r="H28" s="17" t="n">
        <f aca="false">G28+I28</f>
        <v>-0.433</v>
      </c>
      <c r="I28" s="17" t="n">
        <f aca="false">RANDBETWEEN(-30,90)/1000</f>
        <v>0.017</v>
      </c>
      <c r="J28" s="17" t="n">
        <f aca="false">+Chạy!K22</f>
        <v>-0.45</v>
      </c>
      <c r="K28" s="17" t="n">
        <f aca="false">J28+L28</f>
        <v>-0.39</v>
      </c>
      <c r="L28" s="17" t="n">
        <f aca="false">RANDBETWEEN(-30,90)/1000</f>
        <v>0.06</v>
      </c>
      <c r="M28" s="17" t="n">
        <f aca="false">+Chạy!N22</f>
        <v>6.25</v>
      </c>
      <c r="N28" s="17" t="n">
        <f aca="false">+M28+O28</f>
        <v>6.2594</v>
      </c>
      <c r="O28" s="17" t="n">
        <f aca="false">RANDBETWEEN(-105,115)/10000</f>
        <v>0.0094</v>
      </c>
      <c r="P28" s="17" t="n">
        <f aca="false">+Chạy!O22</f>
        <v>-0.45</v>
      </c>
      <c r="Q28" s="17" t="n">
        <f aca="false">P28+R28</f>
        <v>-0.419</v>
      </c>
      <c r="R28" s="17" t="n">
        <f aca="false">RANDBETWEEN(-30,90)/1000</f>
        <v>0.031</v>
      </c>
      <c r="S28" s="18"/>
      <c r="T28" s="19" t="n">
        <v>20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309.25</v>
      </c>
      <c r="D29" s="17" t="n">
        <f aca="false">+Chạy!F26</f>
        <v>-6.25</v>
      </c>
      <c r="E29" s="17" t="n">
        <f aca="false">+D29+F29</f>
        <v>-6.2605</v>
      </c>
      <c r="F29" s="17" t="n">
        <f aca="false">RANDBETWEEN(-105,115)/10000</f>
        <v>-0.0105</v>
      </c>
      <c r="G29" s="17" t="n">
        <f aca="false">+Chạy!G26</f>
        <v>-0.45</v>
      </c>
      <c r="H29" s="17" t="n">
        <f aca="false">G29+I29</f>
        <v>-0.451</v>
      </c>
      <c r="I29" s="17" t="n">
        <f aca="false">RANDBETWEEN(-30,90)/1000</f>
        <v>-0.001</v>
      </c>
      <c r="J29" s="17" t="n">
        <f aca="false">+Chạy!K26</f>
        <v>-0.45</v>
      </c>
      <c r="K29" s="17" t="n">
        <f aca="false">J29+L29</f>
        <v>-0.472</v>
      </c>
      <c r="L29" s="17" t="n">
        <f aca="false">RANDBETWEEN(-30,90)/1000</f>
        <v>-0.022</v>
      </c>
      <c r="M29" s="17" t="n">
        <f aca="false">+Chạy!N26</f>
        <v>6.25</v>
      </c>
      <c r="N29" s="17" t="n">
        <f aca="false">+M29+O29</f>
        <v>6.2537</v>
      </c>
      <c r="O29" s="17" t="n">
        <f aca="false">RANDBETWEEN(-105,115)/10000</f>
        <v>0.0037</v>
      </c>
      <c r="P29" s="17" t="n">
        <f aca="false">+Chạy!O26</f>
        <v>-0.45</v>
      </c>
      <c r="Q29" s="17" t="n">
        <f aca="false">P29+R29</f>
        <v>-0.472</v>
      </c>
      <c r="R29" s="17" t="n">
        <f aca="false">RANDBETWEEN(-30,90)/1000</f>
        <v>-0.022</v>
      </c>
      <c r="S29" s="18"/>
      <c r="T29" s="19" t="n">
        <v>20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329.25</v>
      </c>
      <c r="D30" s="17" t="n">
        <f aca="false">+Chạy!F30</f>
        <v>-6.25</v>
      </c>
      <c r="E30" s="17" t="n">
        <f aca="false">+D30+F30</f>
        <v>-6.2433</v>
      </c>
      <c r="F30" s="17" t="n">
        <f aca="false">RANDBETWEEN(-105,115)/10000</f>
        <v>0.0067</v>
      </c>
      <c r="G30" s="17" t="n">
        <f aca="false">+Chạy!G30</f>
        <v>-0.45</v>
      </c>
      <c r="H30" s="17" t="n">
        <f aca="false">G30+I30</f>
        <v>-0.414</v>
      </c>
      <c r="I30" s="17" t="n">
        <f aca="false">RANDBETWEEN(-30,90)/1000</f>
        <v>0.036</v>
      </c>
      <c r="J30" s="17" t="n">
        <f aca="false">+Chạy!K30</f>
        <v>-0.45</v>
      </c>
      <c r="K30" s="17" t="n">
        <f aca="false">J30+L30</f>
        <v>-0.475</v>
      </c>
      <c r="L30" s="17" t="n">
        <f aca="false">RANDBETWEEN(-30,90)/1000</f>
        <v>-0.025</v>
      </c>
      <c r="M30" s="17" t="n">
        <f aca="false">+Chạy!N30</f>
        <v>6.25</v>
      </c>
      <c r="N30" s="17" t="n">
        <f aca="false">+M30+O30</f>
        <v>6.2494</v>
      </c>
      <c r="O30" s="17" t="n">
        <f aca="false">RANDBETWEEN(-105,115)/10000</f>
        <v>-0.0006</v>
      </c>
      <c r="P30" s="17" t="n">
        <f aca="false">+Chạy!O30</f>
        <v>-0.45</v>
      </c>
      <c r="Q30" s="17" t="n">
        <f aca="false">P30+R30</f>
        <v>-0.442</v>
      </c>
      <c r="R30" s="17" t="n">
        <f aca="false">RANDBETWEEN(-30,90)/1000</f>
        <v>0.008</v>
      </c>
      <c r="S30" s="18"/>
      <c r="T30" s="19" t="n">
        <v>20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349.25</v>
      </c>
      <c r="D31" s="17" t="n">
        <f aca="false">+Chạy!F34</f>
        <v>-6.25</v>
      </c>
      <c r="E31" s="17" t="n">
        <f aca="false">+D31+F31</f>
        <v>-6.2545</v>
      </c>
      <c r="F31" s="17" t="n">
        <f aca="false">RANDBETWEEN(-105,115)/10000</f>
        <v>-0.0045</v>
      </c>
      <c r="G31" s="17" t="n">
        <f aca="false">+Chạy!G34</f>
        <v>-0.45</v>
      </c>
      <c r="H31" s="17" t="n">
        <f aca="false">G31+I31</f>
        <v>-0.429</v>
      </c>
      <c r="I31" s="17" t="n">
        <f aca="false">RANDBETWEEN(-30,90)/1000</f>
        <v>0.021</v>
      </c>
      <c r="J31" s="17" t="n">
        <f aca="false">+Chạy!K34</f>
        <v>-0.45</v>
      </c>
      <c r="K31" s="17" t="n">
        <f aca="false">J31+L31</f>
        <v>-0.403</v>
      </c>
      <c r="L31" s="17" t="n">
        <f aca="false">RANDBETWEEN(-30,90)/1000</f>
        <v>0.047</v>
      </c>
      <c r="M31" s="17" t="n">
        <f aca="false">+Chạy!N34</f>
        <v>6.25</v>
      </c>
      <c r="N31" s="17" t="n">
        <f aca="false">+M31+O31</f>
        <v>6.2599</v>
      </c>
      <c r="O31" s="17" t="n">
        <f aca="false">RANDBETWEEN(-105,115)/10000</f>
        <v>0.0099</v>
      </c>
      <c r="P31" s="17" t="n">
        <f aca="false">+Chạy!O34</f>
        <v>-0.45</v>
      </c>
      <c r="Q31" s="17" t="n">
        <f aca="false">P31+R31</f>
        <v>-0.449</v>
      </c>
      <c r="R31" s="17" t="n">
        <f aca="false">RANDBETWEEN(-30,90)/1000</f>
        <v>0.001</v>
      </c>
      <c r="S31" s="18"/>
      <c r="T31" s="19" t="n">
        <v>19</v>
      </c>
    </row>
    <row r="32" customFormat="false" ht="15" hidden="false" customHeight="false" outlineLevel="0" collapsed="false">
      <c r="A32" s="14" t="n">
        <v>10</v>
      </c>
      <c r="B32" s="15" t="s">
        <v>26</v>
      </c>
      <c r="C32" s="16" t="n">
        <f aca="false">+C31+T31</f>
        <v>368.25</v>
      </c>
      <c r="D32" s="17" t="n">
        <f aca="false">+Chạy!F38</f>
        <v>-9.86</v>
      </c>
      <c r="E32" s="17" t="n">
        <f aca="false">+D32+F32</f>
        <v>-9.8638</v>
      </c>
      <c r="F32" s="17" t="n">
        <f aca="false">RANDBETWEEN(-105,115)/10000</f>
        <v>-0.0038</v>
      </c>
      <c r="G32" s="17" t="n">
        <f aca="false">+Chạy!G38</f>
        <v>-0.45</v>
      </c>
      <c r="H32" s="17" t="n">
        <f aca="false">G32+I32</f>
        <v>-0.39</v>
      </c>
      <c r="I32" s="17" t="n">
        <f aca="false">RANDBETWEEN(-30,90)/1000</f>
        <v>0.06</v>
      </c>
      <c r="J32" s="17" t="n">
        <f aca="false">+Chạy!K38</f>
        <v>-0.45</v>
      </c>
      <c r="K32" s="17" t="n">
        <f aca="false">J32+L32</f>
        <v>-0.38</v>
      </c>
      <c r="L32" s="17" t="n">
        <f aca="false">RANDBETWEEN(-30,90)/1000</f>
        <v>0.07</v>
      </c>
      <c r="M32" s="17" t="n">
        <f aca="false">+Chạy!N38</f>
        <v>6.25</v>
      </c>
      <c r="N32" s="17" t="n">
        <f aca="false">+M32+O32</f>
        <v>6.2446</v>
      </c>
      <c r="O32" s="17" t="n">
        <f aca="false">RANDBETWEEN(-105,115)/10000</f>
        <v>-0.0054</v>
      </c>
      <c r="P32" s="17" t="n">
        <f aca="false">+Chạy!O38</f>
        <v>-0.45</v>
      </c>
      <c r="Q32" s="17" t="n">
        <f aca="false">P32+R32</f>
        <v>-0.457</v>
      </c>
      <c r="R32" s="17" t="n">
        <f aca="false">RANDBETWEEN(-30,90)/1000</f>
        <v>-0.007</v>
      </c>
      <c r="S32" s="18"/>
      <c r="T32" s="19" t="n">
        <v>13.25</v>
      </c>
    </row>
    <row r="33" customFormat="false" ht="15" hidden="false" customHeight="false" outlineLevel="0" collapsed="false">
      <c r="A33" s="14" t="n">
        <v>11</v>
      </c>
      <c r="B33" s="15" t="s">
        <v>27</v>
      </c>
      <c r="C33" s="16" t="n">
        <f aca="false">+C32+T32</f>
        <v>381.5</v>
      </c>
      <c r="D33" s="17" t="n">
        <f aca="false">+Chạy!F42</f>
        <v>-10.19</v>
      </c>
      <c r="E33" s="17" t="n">
        <f aca="false">+D33+F33</f>
        <v>-10.1906</v>
      </c>
      <c r="F33" s="17" t="n">
        <f aca="false">RANDBETWEEN(-105,115)/10000</f>
        <v>-0.0006</v>
      </c>
      <c r="G33" s="17" t="n">
        <f aca="false">+Chạy!G42</f>
        <v>-0.45</v>
      </c>
      <c r="H33" s="17" t="n">
        <f aca="false">G33+I33</f>
        <v>-0.42</v>
      </c>
      <c r="I33" s="17" t="n">
        <f aca="false">RANDBETWEEN(-30,90)/1000</f>
        <v>0.03</v>
      </c>
      <c r="J33" s="17" t="n">
        <f aca="false">+Chạy!K42</f>
        <v>-0.45</v>
      </c>
      <c r="K33" s="17" t="n">
        <f aca="false">J33+L33</f>
        <v>-0.387</v>
      </c>
      <c r="L33" s="17" t="n">
        <f aca="false">RANDBETWEEN(-30,90)/1000</f>
        <v>0.063</v>
      </c>
      <c r="M33" s="17" t="n">
        <f aca="false">+Chạy!N42</f>
        <v>10.02</v>
      </c>
      <c r="N33" s="17" t="n">
        <f aca="false">+M33+O33</f>
        <v>10.0176</v>
      </c>
      <c r="O33" s="17" t="n">
        <f aca="false">RANDBETWEEN(-105,115)/10000</f>
        <v>-0.0024</v>
      </c>
      <c r="P33" s="17" t="n">
        <f aca="false">+Chạy!O42</f>
        <v>-0.45</v>
      </c>
      <c r="Q33" s="17" t="n">
        <f aca="false">P33+R33</f>
        <v>-0.379</v>
      </c>
      <c r="R33" s="17" t="n">
        <f aca="false">RANDBETWEEN(-30,90)/1000</f>
        <v>0.071</v>
      </c>
      <c r="S33" s="18"/>
      <c r="T33" s="19" t="n">
        <v>13.25</v>
      </c>
    </row>
    <row r="34" customFormat="false" ht="15" hidden="false" customHeight="false" outlineLevel="0" collapsed="false">
      <c r="A34" s="14" t="n">
        <v>12</v>
      </c>
      <c r="B34" s="15" t="s">
        <v>28</v>
      </c>
      <c r="C34" s="16" t="n">
        <f aca="false">+C33+T33</f>
        <v>394.75</v>
      </c>
      <c r="D34" s="17" t="n">
        <f aca="false">+Chạy!F46</f>
        <v>-9.86</v>
      </c>
      <c r="E34" s="17" t="n">
        <f aca="false">+D34+F34</f>
        <v>-9.8618</v>
      </c>
      <c r="F34" s="17" t="n">
        <f aca="false">RANDBETWEEN(-105,115)/10000</f>
        <v>-0.0018</v>
      </c>
      <c r="G34" s="17" t="n">
        <f aca="false">+Chạy!G46</f>
        <v>-0.45</v>
      </c>
      <c r="H34" s="17" t="n">
        <f aca="false">G34+I34</f>
        <v>-0.438</v>
      </c>
      <c r="I34" s="17" t="n">
        <f aca="false">RANDBETWEEN(-30,90)/1000</f>
        <v>0.012</v>
      </c>
      <c r="J34" s="17" t="n">
        <f aca="false">+Chạy!K46</f>
        <v>-0.45</v>
      </c>
      <c r="K34" s="17" t="n">
        <f aca="false">J34+L34</f>
        <v>-0.376</v>
      </c>
      <c r="L34" s="17" t="n">
        <f aca="false">RANDBETWEEN(-30,90)/1000</f>
        <v>0.074</v>
      </c>
      <c r="M34" s="17" t="n">
        <f aca="false">+Chạy!N46</f>
        <v>9.99</v>
      </c>
      <c r="N34" s="17" t="n">
        <f aca="false">+M34+O34</f>
        <v>9.9817</v>
      </c>
      <c r="O34" s="17" t="n">
        <f aca="false">RANDBETWEEN(-105,115)/10000</f>
        <v>-0.0083</v>
      </c>
      <c r="P34" s="17" t="n">
        <f aca="false">+Chạy!O46</f>
        <v>-0.45</v>
      </c>
      <c r="Q34" s="17" t="n">
        <f aca="false">P34+R34</f>
        <v>-0.456</v>
      </c>
      <c r="R34" s="17" t="n">
        <f aca="false">RANDBETWEEN(-30,90)/1000</f>
        <v>-0.006</v>
      </c>
      <c r="S34" s="18"/>
      <c r="T34" s="19" t="n">
        <v>20</v>
      </c>
    </row>
    <row r="35" customFormat="false" ht="15" hidden="false" customHeight="false" outlineLevel="0" collapsed="false">
      <c r="A35" s="14" t="n">
        <v>13</v>
      </c>
      <c r="B35" s="15" t="s">
        <v>29</v>
      </c>
      <c r="C35" s="16" t="n">
        <f aca="false">+C34+T34</f>
        <v>414.75</v>
      </c>
      <c r="D35" s="17" t="n">
        <f aca="false">+Chạy!F50</f>
        <v>-9.91</v>
      </c>
      <c r="E35" s="17" t="n">
        <f aca="false">+D35+F35</f>
        <v>-9.9136</v>
      </c>
      <c r="F35" s="17" t="n">
        <f aca="false">RANDBETWEEN(-105,115)/10000</f>
        <v>-0.0036</v>
      </c>
      <c r="G35" s="17" t="n">
        <f aca="false">+Chạy!G50</f>
        <v>-0.45</v>
      </c>
      <c r="H35" s="17" t="n">
        <f aca="false">G35+I35</f>
        <v>-0.395</v>
      </c>
      <c r="I35" s="17" t="n">
        <f aca="false">RANDBETWEEN(-30,90)/1000</f>
        <v>0.055</v>
      </c>
      <c r="J35" s="17" t="n">
        <f aca="false">+Chạy!K50</f>
        <v>-0.45</v>
      </c>
      <c r="K35" s="17" t="n">
        <f aca="false">J35+L35</f>
        <v>-0.394</v>
      </c>
      <c r="L35" s="17" t="n">
        <f aca="false">RANDBETWEEN(-30,90)/1000</f>
        <v>0.056</v>
      </c>
      <c r="M35" s="17" t="n">
        <f aca="false">+Chạy!N50</f>
        <v>10.05</v>
      </c>
      <c r="N35" s="17" t="n">
        <f aca="false">+M35+O35</f>
        <v>10.0559</v>
      </c>
      <c r="O35" s="17" t="n">
        <f aca="false">RANDBETWEEN(-105,115)/10000</f>
        <v>0.0059</v>
      </c>
      <c r="P35" s="17" t="n">
        <f aca="false">+Chạy!O50</f>
        <v>-0.45</v>
      </c>
      <c r="Q35" s="17" t="n">
        <f aca="false">P35+R35</f>
        <v>-0.371</v>
      </c>
      <c r="R35" s="17" t="n">
        <f aca="false">RANDBETWEEN(-30,90)/1000</f>
        <v>0.079</v>
      </c>
      <c r="S35" s="18"/>
      <c r="T35" s="19" t="n">
        <v>20</v>
      </c>
    </row>
    <row r="36" customFormat="false" ht="15" hidden="false" customHeight="false" outlineLevel="0" collapsed="false">
      <c r="A36" s="14" t="n">
        <v>14</v>
      </c>
      <c r="B36" s="15" t="s">
        <v>30</v>
      </c>
      <c r="C36" s="16" t="n">
        <f aca="false">+C35+T35</f>
        <v>434.75</v>
      </c>
      <c r="D36" s="17" t="n">
        <f aca="false">+Chạy!F54</f>
        <v>-9.84</v>
      </c>
      <c r="E36" s="17" t="n">
        <f aca="false">+D36+F36</f>
        <v>-9.8503</v>
      </c>
      <c r="F36" s="17" t="n">
        <f aca="false">RANDBETWEEN(-105,115)/10000</f>
        <v>-0.0103</v>
      </c>
      <c r="G36" s="17" t="n">
        <f aca="false">+Chạy!G54</f>
        <v>-0.45</v>
      </c>
      <c r="H36" s="17" t="n">
        <f aca="false">G36+I36</f>
        <v>-0.39</v>
      </c>
      <c r="I36" s="17" t="n">
        <f aca="false">RANDBETWEEN(-30,90)/1000</f>
        <v>0.06</v>
      </c>
      <c r="J36" s="17" t="n">
        <f aca="false">+Chạy!K54</f>
        <v>-0.45</v>
      </c>
      <c r="K36" s="17" t="n">
        <f aca="false">J36+L36</f>
        <v>-0.393</v>
      </c>
      <c r="L36" s="17" t="n">
        <f aca="false">RANDBETWEEN(-30,90)/1000</f>
        <v>0.057</v>
      </c>
      <c r="M36" s="17" t="n">
        <f aca="false">+Chạy!N54</f>
        <v>9.76</v>
      </c>
      <c r="N36" s="17" t="n">
        <f aca="false">+M36+O36</f>
        <v>9.7685</v>
      </c>
      <c r="O36" s="17" t="n">
        <f aca="false">RANDBETWEEN(-105,115)/10000</f>
        <v>0.0085</v>
      </c>
      <c r="P36" s="17" t="n">
        <f aca="false">+Chạy!O54</f>
        <v>-0.45</v>
      </c>
      <c r="Q36" s="17" t="n">
        <f aca="false">P36+R36</f>
        <v>-0.445</v>
      </c>
      <c r="R36" s="17" t="n">
        <f aca="false">RANDBETWEEN(-30,90)/1000</f>
        <v>0.005</v>
      </c>
      <c r="S36" s="18"/>
      <c r="T36" s="19" t="n">
        <v>20</v>
      </c>
    </row>
    <row r="37" customFormat="false" ht="15" hidden="false" customHeight="false" outlineLevel="0" collapsed="false">
      <c r="A37" s="14" t="n">
        <v>15</v>
      </c>
      <c r="B37" s="15" t="s">
        <v>31</v>
      </c>
      <c r="C37" s="16" t="n">
        <f aca="false">+C36+T36</f>
        <v>454.75</v>
      </c>
      <c r="D37" s="17" t="n">
        <f aca="false">+Chạy!F58</f>
        <v>-9.05</v>
      </c>
      <c r="E37" s="17" t="n">
        <f aca="false">+D37+F37</f>
        <v>-9.0497</v>
      </c>
      <c r="F37" s="17" t="n">
        <f aca="false">RANDBETWEEN(-105,115)/10000</f>
        <v>0.0003</v>
      </c>
      <c r="G37" s="17" t="n">
        <f aca="false">+Chạy!G58</f>
        <v>-0.45</v>
      </c>
      <c r="H37" s="17" t="n">
        <f aca="false">G37+I37</f>
        <v>-0.396</v>
      </c>
      <c r="I37" s="17" t="n">
        <f aca="false">RANDBETWEEN(-30,90)/1000</f>
        <v>0.054</v>
      </c>
      <c r="J37" s="17" t="n">
        <f aca="false">+Chạy!K58</f>
        <v>-0.45</v>
      </c>
      <c r="K37" s="17" t="n">
        <f aca="false">J37+L37</f>
        <v>-0.363</v>
      </c>
      <c r="L37" s="17" t="n">
        <f aca="false">RANDBETWEEN(-30,90)/1000</f>
        <v>0.087</v>
      </c>
      <c r="M37" s="17" t="n">
        <f aca="false">+Chạy!N58</f>
        <v>9.39</v>
      </c>
      <c r="N37" s="17" t="n">
        <f aca="false">+M37+O37</f>
        <v>9.3916</v>
      </c>
      <c r="O37" s="17" t="n">
        <f aca="false">RANDBETWEEN(-105,115)/10000</f>
        <v>0.0016</v>
      </c>
      <c r="P37" s="17" t="n">
        <f aca="false">+Chạy!O58</f>
        <v>-0.45</v>
      </c>
      <c r="Q37" s="17" t="n">
        <f aca="false">P37+R37</f>
        <v>-0.479</v>
      </c>
      <c r="R37" s="17" t="n">
        <f aca="false">RANDBETWEEN(-30,90)/1000</f>
        <v>-0.029</v>
      </c>
      <c r="S37" s="18"/>
      <c r="T37" s="19" t="n">
        <v>20</v>
      </c>
    </row>
    <row r="38" customFormat="false" ht="15" hidden="false" customHeight="false" outlineLevel="0" collapsed="false">
      <c r="A38" s="14" t="n">
        <v>16</v>
      </c>
      <c r="B38" s="15" t="s">
        <v>32</v>
      </c>
      <c r="C38" s="16" t="n">
        <f aca="false">+C37+T37</f>
        <v>474.75</v>
      </c>
      <c r="D38" s="17" t="n">
        <f aca="false">+Chạy!F62</f>
        <v>-9.57</v>
      </c>
      <c r="E38" s="17" t="n">
        <f aca="false">+D38+F38</f>
        <v>-9.5588</v>
      </c>
      <c r="F38" s="17" t="n">
        <f aca="false">RANDBETWEEN(-105,115)/10000</f>
        <v>0.0112</v>
      </c>
      <c r="G38" s="17" t="n">
        <f aca="false">+Chạy!G62</f>
        <v>-0.45</v>
      </c>
      <c r="H38" s="17" t="n">
        <f aca="false">G38+I38</f>
        <v>-0.4</v>
      </c>
      <c r="I38" s="17" t="n">
        <f aca="false">RANDBETWEEN(-30,90)/1000</f>
        <v>0.05</v>
      </c>
      <c r="J38" s="17" t="n">
        <f aca="false">+Chạy!K62</f>
        <v>-0.45</v>
      </c>
      <c r="K38" s="17" t="n">
        <f aca="false">J38+L38</f>
        <v>-0.428</v>
      </c>
      <c r="L38" s="17" t="n">
        <f aca="false">RANDBETWEEN(-30,90)/1000</f>
        <v>0.022</v>
      </c>
      <c r="M38" s="17" t="n">
        <f aca="false">+Chạy!N62</f>
        <v>9.52</v>
      </c>
      <c r="N38" s="17" t="n">
        <f aca="false">+M38+O38</f>
        <v>9.5142</v>
      </c>
      <c r="O38" s="17" t="n">
        <f aca="false">RANDBETWEEN(-105,115)/10000</f>
        <v>-0.0058</v>
      </c>
      <c r="P38" s="17" t="n">
        <f aca="false">+Chạy!O62</f>
        <v>-0.45</v>
      </c>
      <c r="Q38" s="17" t="n">
        <f aca="false">P38+R38</f>
        <v>-0.398</v>
      </c>
      <c r="R38" s="17" t="n">
        <f aca="false">RANDBETWEEN(-30,90)/1000</f>
        <v>0.052</v>
      </c>
      <c r="S38" s="18"/>
      <c r="T38" s="19" t="n">
        <v>14.44</v>
      </c>
    </row>
    <row r="39" customFormat="false" ht="15" hidden="false" customHeight="false" outlineLevel="0" collapsed="false">
      <c r="A39" s="14" t="n">
        <v>17</v>
      </c>
      <c r="B39" s="15" t="s">
        <v>33</v>
      </c>
      <c r="C39" s="16" t="n">
        <f aca="false">+C38+T38</f>
        <v>489.19</v>
      </c>
      <c r="D39" s="17" t="n">
        <f aca="false">+Chạy!F66</f>
        <v>-9.45</v>
      </c>
      <c r="E39" s="17" t="n">
        <f aca="false">+D39+F39</f>
        <v>-9.4536</v>
      </c>
      <c r="F39" s="17" t="n">
        <f aca="false">RANDBETWEEN(-105,115)/10000</f>
        <v>-0.0036</v>
      </c>
      <c r="G39" s="17" t="n">
        <f aca="false">+Chạy!G66</f>
        <v>-0.45</v>
      </c>
      <c r="H39" s="17" t="n">
        <f aca="false">G39+I39</f>
        <v>-0.451</v>
      </c>
      <c r="I39" s="17" t="n">
        <f aca="false">RANDBETWEEN(-30,90)/1000</f>
        <v>-0.001</v>
      </c>
      <c r="J39" s="17" t="n">
        <f aca="false">+Chạy!K66</f>
        <v>-0.45</v>
      </c>
      <c r="K39" s="17" t="n">
        <f aca="false">J39+L39</f>
        <v>-0.36</v>
      </c>
      <c r="L39" s="17" t="n">
        <f aca="false">RANDBETWEEN(-30,90)/1000</f>
        <v>0.09</v>
      </c>
      <c r="M39" s="17" t="n">
        <f aca="false">+Chạy!N66</f>
        <v>6.25</v>
      </c>
      <c r="N39" s="17" t="n">
        <f aca="false">+M39+O39</f>
        <v>6.248</v>
      </c>
      <c r="O39" s="17" t="n">
        <f aca="false">RANDBETWEEN(-105,115)/10000</f>
        <v>-0.002</v>
      </c>
      <c r="P39" s="17" t="n">
        <f aca="false">+Chạy!O66</f>
        <v>-0.45</v>
      </c>
      <c r="Q39" s="17" t="n">
        <f aca="false">P39+R39</f>
        <v>-0.416</v>
      </c>
      <c r="R39" s="17" t="n">
        <f aca="false">RANDBETWEEN(-30,90)/1000</f>
        <v>0.034</v>
      </c>
      <c r="S39" s="18"/>
      <c r="T39" s="19" t="n">
        <v>13.17</v>
      </c>
    </row>
    <row r="40" customFormat="false" ht="15" hidden="false" customHeight="false" outlineLevel="0" collapsed="false">
      <c r="A40" s="14" t="n">
        <v>18</v>
      </c>
      <c r="B40" s="15" t="s">
        <v>34</v>
      </c>
      <c r="C40" s="16" t="n">
        <f aca="false">+C39+T39</f>
        <v>502.36</v>
      </c>
      <c r="D40" s="17" t="n">
        <f aca="false">+Chạy!F70</f>
        <v>-10.47</v>
      </c>
      <c r="E40" s="17" t="n">
        <f aca="false">+D40+F40</f>
        <v>-10.4792</v>
      </c>
      <c r="F40" s="17" t="n">
        <f aca="false">RANDBETWEEN(-105,115)/10000</f>
        <v>-0.0092</v>
      </c>
      <c r="G40" s="17" t="n">
        <f aca="false">+Chạy!G70</f>
        <v>-0.45</v>
      </c>
      <c r="H40" s="17" t="n">
        <f aca="false">G40+I40</f>
        <v>-0.415</v>
      </c>
      <c r="I40" s="17" t="n">
        <f aca="false">RANDBETWEEN(-30,90)/1000</f>
        <v>0.035</v>
      </c>
      <c r="J40" s="17" t="n">
        <f aca="false">+Chạy!K70</f>
        <v>-0.45</v>
      </c>
      <c r="K40" s="17" t="n">
        <f aca="false">J40+L40</f>
        <v>-0.399</v>
      </c>
      <c r="L40" s="17" t="n">
        <f aca="false">RANDBETWEEN(-30,90)/1000</f>
        <v>0.051</v>
      </c>
      <c r="M40" s="17" t="n">
        <f aca="false">+Chạy!N70</f>
        <v>10.37</v>
      </c>
      <c r="N40" s="17" t="n">
        <f aca="false">+M40+O40</f>
        <v>10.3771</v>
      </c>
      <c r="O40" s="17" t="n">
        <f aca="false">RANDBETWEEN(-105,115)/10000</f>
        <v>0.0071</v>
      </c>
      <c r="P40" s="17" t="n">
        <f aca="false">+Chạy!O70</f>
        <v>-0.45</v>
      </c>
      <c r="Q40" s="17" t="n">
        <f aca="false">P40+R40</f>
        <v>-0.473</v>
      </c>
      <c r="R40" s="17" t="n">
        <f aca="false">RANDBETWEEN(-30,90)/1000</f>
        <v>-0.023</v>
      </c>
      <c r="S40" s="18"/>
      <c r="T40" s="19" t="n">
        <v>10.48</v>
      </c>
    </row>
    <row r="41" customFormat="false" ht="15" hidden="false" customHeight="false" outlineLevel="0" collapsed="false">
      <c r="A41" s="14" t="n">
        <v>19</v>
      </c>
      <c r="B41" s="15" t="s">
        <v>35</v>
      </c>
      <c r="C41" s="16" t="n">
        <f aca="false">+C40+T40</f>
        <v>512.84</v>
      </c>
      <c r="D41" s="17" t="n">
        <f aca="false">+Chạy!F74</f>
        <v>-9.91</v>
      </c>
      <c r="E41" s="17" t="n">
        <f aca="false">+D41+F41</f>
        <v>-9.9198</v>
      </c>
      <c r="F41" s="17" t="n">
        <f aca="false">RANDBETWEEN(-105,115)/10000</f>
        <v>-0.0098</v>
      </c>
      <c r="G41" s="17" t="n">
        <f aca="false">+Chạy!G74</f>
        <v>-0.45</v>
      </c>
      <c r="H41" s="17" t="n">
        <f aca="false">G41+I41</f>
        <v>-0.45</v>
      </c>
      <c r="I41" s="17" t="n">
        <f aca="false">RANDBETWEEN(-30,90)/1000</f>
        <v>0</v>
      </c>
      <c r="J41" s="17" t="n">
        <f aca="false">+Chạy!K74</f>
        <v>-0.45</v>
      </c>
      <c r="K41" s="17" t="n">
        <f aca="false">J41+L41</f>
        <v>-0.424</v>
      </c>
      <c r="L41" s="17" t="n">
        <f aca="false">RANDBETWEEN(-30,90)/1000</f>
        <v>0.026</v>
      </c>
      <c r="M41" s="17" t="n">
        <f aca="false">+Chạy!N74</f>
        <v>10.28</v>
      </c>
      <c r="N41" s="17" t="n">
        <f aca="false">+M41+O41</f>
        <v>10.2722</v>
      </c>
      <c r="O41" s="17" t="n">
        <f aca="false">RANDBETWEEN(-105,115)/10000</f>
        <v>-0.0078</v>
      </c>
      <c r="P41" s="17" t="n">
        <f aca="false">+Chạy!O74</f>
        <v>-0.45</v>
      </c>
      <c r="Q41" s="17" t="n">
        <f aca="false">P41+R41</f>
        <v>-0.405</v>
      </c>
      <c r="R41" s="17" t="n">
        <f aca="false">RANDBETWEEN(-30,90)/1000</f>
        <v>0.045</v>
      </c>
      <c r="S41" s="18"/>
      <c r="T41" s="19" t="n">
        <v>16.78</v>
      </c>
    </row>
    <row r="42" customFormat="false" ht="15" hidden="false" customHeight="false" outlineLevel="0" collapsed="false">
      <c r="A42" s="14" t="n">
        <v>20</v>
      </c>
      <c r="B42" s="15" t="s">
        <v>36</v>
      </c>
      <c r="C42" s="16" t="n">
        <f aca="false">+C41+T41</f>
        <v>529.62</v>
      </c>
      <c r="D42" s="17" t="n">
        <f aca="false">+Chạy!F78</f>
        <v>-10.34</v>
      </c>
      <c r="E42" s="17" t="n">
        <f aca="false">+D42+F42</f>
        <v>-10.3294</v>
      </c>
      <c r="F42" s="17" t="n">
        <f aca="false">RANDBETWEEN(-105,115)/10000</f>
        <v>0.0106</v>
      </c>
      <c r="G42" s="17" t="n">
        <f aca="false">+Chạy!G78</f>
        <v>-0.45</v>
      </c>
      <c r="H42" s="17" t="n">
        <f aca="false">G42+I42</f>
        <v>-0.426</v>
      </c>
      <c r="I42" s="17" t="n">
        <f aca="false">RANDBETWEEN(-30,90)/1000</f>
        <v>0.024</v>
      </c>
      <c r="J42" s="17" t="n">
        <f aca="false">+Chạy!K78</f>
        <v>-0.45</v>
      </c>
      <c r="K42" s="17" t="n">
        <f aca="false">J42+L42</f>
        <v>-0.379</v>
      </c>
      <c r="L42" s="17" t="n">
        <f aca="false">RANDBETWEEN(-30,90)/1000</f>
        <v>0.071</v>
      </c>
      <c r="M42" s="17" t="n">
        <f aca="false">+Chạy!N78</f>
        <v>10.42</v>
      </c>
      <c r="N42" s="17" t="n">
        <f aca="false">+M42+O42</f>
        <v>10.4269</v>
      </c>
      <c r="O42" s="17" t="n">
        <f aca="false">RANDBETWEEN(-105,115)/10000</f>
        <v>0.0069</v>
      </c>
      <c r="P42" s="17" t="n">
        <f aca="false">+Chạy!O78</f>
        <v>-0.45</v>
      </c>
      <c r="Q42" s="17" t="n">
        <f aca="false">P42+R42</f>
        <v>-0.39</v>
      </c>
      <c r="R42" s="17" t="n">
        <f aca="false">RANDBETWEEN(-30,90)/1000</f>
        <v>0.06</v>
      </c>
      <c r="S42" s="18"/>
      <c r="T42" s="19" t="n">
        <v>17.1</v>
      </c>
    </row>
    <row r="43" customFormat="false" ht="15" hidden="false" customHeight="false" outlineLevel="0" collapsed="false">
      <c r="A43" s="14" t="n">
        <v>21</v>
      </c>
      <c r="B43" s="15" t="s">
        <v>37</v>
      </c>
      <c r="C43" s="16" t="n">
        <f aca="false">+C42+T42</f>
        <v>546.72</v>
      </c>
      <c r="D43" s="17" t="n">
        <f aca="false">+Chạy!F82</f>
        <v>-6.25</v>
      </c>
      <c r="E43" s="17" t="n">
        <f aca="false">+D43+F43</f>
        <v>-6.2389</v>
      </c>
      <c r="F43" s="17" t="n">
        <f aca="false">RANDBETWEEN(-105,115)/10000</f>
        <v>0.0111</v>
      </c>
      <c r="G43" s="17" t="n">
        <f aca="false">+Chạy!G82</f>
        <v>-0.45</v>
      </c>
      <c r="H43" s="17" t="n">
        <f aca="false">G43+I43</f>
        <v>-0.475</v>
      </c>
      <c r="I43" s="17" t="n">
        <f aca="false">RANDBETWEEN(-30,90)/1000</f>
        <v>-0.025</v>
      </c>
      <c r="J43" s="17" t="n">
        <f aca="false">+Chạy!K82</f>
        <v>-0.45</v>
      </c>
      <c r="K43" s="17" t="n">
        <f aca="false">J43+L43</f>
        <v>-0.448</v>
      </c>
      <c r="L43" s="17" t="n">
        <f aca="false">RANDBETWEEN(-30,90)/1000</f>
        <v>0.002</v>
      </c>
      <c r="M43" s="17" t="n">
        <f aca="false">+Chạy!N82</f>
        <v>9.49</v>
      </c>
      <c r="N43" s="17" t="n">
        <f aca="false">+M43+O43</f>
        <v>9.4893</v>
      </c>
      <c r="O43" s="17" t="n">
        <f aca="false">RANDBETWEEN(-105,115)/10000</f>
        <v>-0.0007</v>
      </c>
      <c r="P43" s="17" t="n">
        <f aca="false">+Chạy!O82</f>
        <v>-0.45</v>
      </c>
      <c r="Q43" s="17" t="n">
        <f aca="false">P43+R43</f>
        <v>-0.383</v>
      </c>
      <c r="R43" s="17" t="n">
        <f aca="false">RANDBETWEEN(-30,90)/1000</f>
        <v>0.067</v>
      </c>
      <c r="S43" s="18"/>
      <c r="T43" s="19" t="n">
        <v>15.15</v>
      </c>
    </row>
    <row r="44" customFormat="false" ht="15" hidden="false" customHeight="false" outlineLevel="0" collapsed="false">
      <c r="A44" s="14" t="n">
        <v>22</v>
      </c>
      <c r="B44" s="15" t="s">
        <v>38</v>
      </c>
      <c r="C44" s="16" t="n">
        <f aca="false">+C43+T43</f>
        <v>561.87</v>
      </c>
      <c r="D44" s="17" t="n">
        <f aca="false">+Chạy!F86</f>
        <v>-9.99</v>
      </c>
      <c r="E44" s="17" t="n">
        <f aca="false">+D44+F44</f>
        <v>-9.9928</v>
      </c>
      <c r="F44" s="17" t="n">
        <f aca="false">RANDBETWEEN(-105,115)/10000</f>
        <v>-0.0028</v>
      </c>
      <c r="G44" s="17" t="n">
        <f aca="false">+Chạy!G86</f>
        <v>-0.45</v>
      </c>
      <c r="H44" s="17" t="n">
        <f aca="false">G44+I44</f>
        <v>-0.404</v>
      </c>
      <c r="I44" s="17" t="n">
        <f aca="false">RANDBETWEEN(-30,90)/1000</f>
        <v>0.046</v>
      </c>
      <c r="J44" s="17" t="n">
        <f aca="false">+Chạy!K86</f>
        <v>-0.45</v>
      </c>
      <c r="K44" s="17" t="n">
        <f aca="false">J44+L44</f>
        <v>-0.469</v>
      </c>
      <c r="L44" s="17" t="n">
        <f aca="false">RANDBETWEEN(-30,90)/1000</f>
        <v>-0.019</v>
      </c>
      <c r="M44" s="17" t="n">
        <f aca="false">+Chạy!N86</f>
        <v>10.12</v>
      </c>
      <c r="N44" s="17" t="n">
        <f aca="false">+M44+O44</f>
        <v>10.117</v>
      </c>
      <c r="O44" s="17" t="n">
        <f aca="false">RANDBETWEEN(-105,115)/10000</f>
        <v>-0.003</v>
      </c>
      <c r="P44" s="17" t="n">
        <f aca="false">+Chạy!O86</f>
        <v>-0.45</v>
      </c>
      <c r="Q44" s="17" t="n">
        <f aca="false">P44+R44</f>
        <v>-0.371</v>
      </c>
      <c r="R44" s="17" t="n">
        <f aca="false">RANDBETWEEN(-30,90)/1000</f>
        <v>0.079</v>
      </c>
      <c r="S44" s="18"/>
      <c r="T44" s="19" t="n">
        <v>0.15</v>
      </c>
    </row>
    <row r="45" customFormat="false" ht="15" hidden="false" customHeight="false" outlineLevel="0" collapsed="false">
      <c r="A45" s="14" t="n">
        <v>23</v>
      </c>
      <c r="B45" s="15" t="s">
        <v>39</v>
      </c>
      <c r="C45" s="16" t="n">
        <f aca="false">+C44+T44</f>
        <v>562.02</v>
      </c>
      <c r="D45" s="17" t="n">
        <f aca="false">+Chạy!F90</f>
        <v>-9.99</v>
      </c>
      <c r="E45" s="17" t="n">
        <f aca="false">+D45+F45</f>
        <v>-9.997</v>
      </c>
      <c r="F45" s="17" t="n">
        <f aca="false">RANDBETWEEN(-105,115)/10000</f>
        <v>-0.007</v>
      </c>
      <c r="G45" s="17" t="n">
        <f aca="false">+Chạy!G90</f>
        <v>-0.45</v>
      </c>
      <c r="H45" s="17" t="n">
        <f aca="false">G45+I45</f>
        <v>-0.367</v>
      </c>
      <c r="I45" s="17" t="n">
        <f aca="false">RANDBETWEEN(-30,90)/1000</f>
        <v>0.083</v>
      </c>
      <c r="J45" s="17" t="n">
        <f aca="false">+Chạy!K90</f>
        <v>-0.45</v>
      </c>
      <c r="K45" s="17" t="n">
        <f aca="false">J45+L45</f>
        <v>-0.441</v>
      </c>
      <c r="L45" s="17" t="n">
        <f aca="false">RANDBETWEEN(-30,90)/1000</f>
        <v>0.009</v>
      </c>
      <c r="M45" s="17" t="n">
        <f aca="false">+Chạy!N90</f>
        <v>10.13</v>
      </c>
      <c r="N45" s="17" t="n">
        <f aca="false">+M45+O45</f>
        <v>10.1347</v>
      </c>
      <c r="O45" s="17" t="n">
        <f aca="false">RANDBETWEEN(-105,115)/10000</f>
        <v>0.0047</v>
      </c>
      <c r="P45" s="17" t="n">
        <f aca="false">+Chạy!O90</f>
        <v>-0.45</v>
      </c>
      <c r="Q45" s="17" t="n">
        <f aca="false">P45+R45</f>
        <v>-0.45</v>
      </c>
      <c r="R45" s="17" t="n">
        <f aca="false">RANDBETWEEN(-30,90)/1000</f>
        <v>0</v>
      </c>
      <c r="S45" s="18"/>
      <c r="T45" s="19" t="n">
        <v>6.55</v>
      </c>
    </row>
    <row r="46" customFormat="false" ht="15" hidden="false" customHeight="false" outlineLevel="0" collapsed="false">
      <c r="A46" s="14" t="n">
        <v>24</v>
      </c>
      <c r="B46" s="15" t="s">
        <v>40</v>
      </c>
      <c r="C46" s="16" t="n">
        <f aca="false">+C45+T45</f>
        <v>568.57</v>
      </c>
      <c r="D46" s="17" t="n">
        <f aca="false">+Chạy!F94</f>
        <v>-10.16</v>
      </c>
      <c r="E46" s="17" t="n">
        <f aca="false">+D46+F46</f>
        <v>-10.1649</v>
      </c>
      <c r="F46" s="17" t="n">
        <f aca="false">RANDBETWEEN(-105,115)/10000</f>
        <v>-0.0049</v>
      </c>
      <c r="G46" s="17" t="n">
        <f aca="false">+Chạy!G94</f>
        <v>-0.45</v>
      </c>
      <c r="H46" s="17" t="n">
        <f aca="false">G46+I46</f>
        <v>-0.423</v>
      </c>
      <c r="I46" s="17" t="n">
        <f aca="false">RANDBETWEEN(-30,90)/1000</f>
        <v>0.027</v>
      </c>
      <c r="J46" s="17" t="n">
        <f aca="false">+Chạy!K94</f>
        <v>-0.45</v>
      </c>
      <c r="K46" s="17" t="n">
        <f aca="false">J46+L46</f>
        <v>-0.438</v>
      </c>
      <c r="L46" s="17" t="n">
        <f aca="false">RANDBETWEEN(-30,90)/1000</f>
        <v>0.012</v>
      </c>
      <c r="M46" s="17" t="n">
        <f aca="false">+Chạy!N94</f>
        <v>10.48</v>
      </c>
      <c r="N46" s="17" t="n">
        <f aca="false">+M46+O46</f>
        <v>10.4735</v>
      </c>
      <c r="O46" s="17" t="n">
        <f aca="false">RANDBETWEEN(-105,115)/10000</f>
        <v>-0.0065</v>
      </c>
      <c r="P46" s="17" t="n">
        <f aca="false">+Chạy!O94</f>
        <v>-0.45</v>
      </c>
      <c r="Q46" s="17" t="n">
        <f aca="false">P46+R46</f>
        <v>-0.367</v>
      </c>
      <c r="R46" s="17" t="n">
        <f aca="false">RANDBETWEEN(-30,90)/1000</f>
        <v>0.083</v>
      </c>
      <c r="S46" s="18"/>
      <c r="T46" s="19" t="n">
        <v>6.55</v>
      </c>
    </row>
    <row r="47" customFormat="false" ht="15" hidden="false" customHeight="false" outlineLevel="0" collapsed="false">
      <c r="A47" s="14" t="n">
        <v>25</v>
      </c>
      <c r="B47" s="15" t="s">
        <v>1</v>
      </c>
      <c r="C47" s="16" t="n">
        <f aca="false">+C46+T46</f>
        <v>575.12</v>
      </c>
      <c r="D47" s="17" t="n">
        <f aca="false">+Chạy!F98</f>
        <v>-9.88</v>
      </c>
      <c r="E47" s="17" t="n">
        <f aca="false">+D47+F47</f>
        <v>-9.8799</v>
      </c>
      <c r="F47" s="17" t="n">
        <f aca="false">RANDBETWEEN(-105,115)/10000</f>
        <v>0.0001</v>
      </c>
      <c r="G47" s="17" t="n">
        <f aca="false">+Chạy!G98</f>
        <v>-0.45</v>
      </c>
      <c r="H47" s="17" t="n">
        <f aca="false">G47+I47</f>
        <v>-0.375</v>
      </c>
      <c r="I47" s="17" t="n">
        <f aca="false">RANDBETWEEN(-30,90)/1000</f>
        <v>0.075</v>
      </c>
      <c r="J47" s="17" t="n">
        <f aca="false">+Chạy!K98</f>
        <v>-0.45</v>
      </c>
      <c r="K47" s="17" t="n">
        <f aca="false">J47+L47</f>
        <v>-0.467</v>
      </c>
      <c r="L47" s="17" t="n">
        <f aca="false">RANDBETWEEN(-30,90)/1000</f>
        <v>-0.017</v>
      </c>
      <c r="M47" s="17" t="n">
        <f aca="false">+Chạy!N98</f>
        <v>9.56</v>
      </c>
      <c r="N47" s="17" t="n">
        <f aca="false">+M47+O47</f>
        <v>9.5546</v>
      </c>
      <c r="O47" s="17" t="n">
        <f aca="false">RANDBETWEEN(-105,115)/10000</f>
        <v>-0.0054</v>
      </c>
      <c r="P47" s="17" t="n">
        <f aca="false">+Chạy!O98</f>
        <v>-0.45</v>
      </c>
      <c r="Q47" s="17" t="n">
        <f aca="false">P47+R47</f>
        <v>-0.411</v>
      </c>
      <c r="R47" s="17" t="n">
        <f aca="false">RANDBETWEEN(-30,90)/1000</f>
        <v>0.039</v>
      </c>
      <c r="S47" s="18"/>
      <c r="T47" s="19" t="n">
        <v>0.04</v>
      </c>
    </row>
    <row r="48" customFormat="false" ht="15" hidden="false" customHeight="false" outlineLevel="0" collapsed="false">
      <c r="A48" s="14" t="n">
        <v>26</v>
      </c>
      <c r="B48" s="15" t="s">
        <v>41</v>
      </c>
      <c r="C48" s="16" t="n">
        <f aca="false">+C47+T47</f>
        <v>575.16</v>
      </c>
      <c r="D48" s="17" t="n">
        <f aca="false">+Chạy!F102</f>
        <v>-9.88</v>
      </c>
      <c r="E48" s="17" t="n">
        <f aca="false">+D48+F48</f>
        <v>-9.8752</v>
      </c>
      <c r="F48" s="17" t="n">
        <f aca="false">RANDBETWEEN(-105,115)/10000</f>
        <v>0.0048</v>
      </c>
      <c r="G48" s="17" t="n">
        <f aca="false">+Chạy!G102</f>
        <v>-0.45</v>
      </c>
      <c r="H48" s="17" t="n">
        <f aca="false">G48+I48</f>
        <v>-0.365</v>
      </c>
      <c r="I48" s="17" t="n">
        <f aca="false">RANDBETWEEN(-30,90)/1000</f>
        <v>0.085</v>
      </c>
      <c r="J48" s="17" t="n">
        <f aca="false">+Chạy!K102</f>
        <v>-0.45</v>
      </c>
      <c r="K48" s="17" t="n">
        <f aca="false">J48+L48</f>
        <v>-0.449</v>
      </c>
      <c r="L48" s="17" t="n">
        <f aca="false">RANDBETWEEN(-30,90)/1000</f>
        <v>0.001</v>
      </c>
      <c r="M48" s="17" t="n">
        <f aca="false">+Chạy!N102</f>
        <v>9.33</v>
      </c>
      <c r="N48" s="17" t="n">
        <f aca="false">+M48+O48</f>
        <v>9.3345</v>
      </c>
      <c r="O48" s="17" t="n">
        <f aca="false">RANDBETWEEN(-105,115)/10000</f>
        <v>0.0045</v>
      </c>
      <c r="P48" s="17" t="n">
        <f aca="false">+Chạy!O102</f>
        <v>-0.45</v>
      </c>
      <c r="Q48" s="17" t="n">
        <f aca="false">P48+R48</f>
        <v>-0.411</v>
      </c>
      <c r="R48" s="17" t="n">
        <f aca="false">RANDBETWEEN(-30,90)/1000</f>
        <v>0.039</v>
      </c>
      <c r="S48" s="18"/>
      <c r="T48" s="19" t="n">
        <v>16.95</v>
      </c>
    </row>
    <row r="49" customFormat="false" ht="15" hidden="false" customHeight="false" outlineLevel="0" collapsed="false">
      <c r="A49" s="14" t="n">
        <v>27</v>
      </c>
      <c r="B49" s="15" t="s">
        <v>42</v>
      </c>
      <c r="C49" s="16" t="n">
        <f aca="false">+C48+T48</f>
        <v>592.11</v>
      </c>
      <c r="D49" s="17" t="n">
        <f aca="false">+Chạy!F106</f>
        <v>-10.06</v>
      </c>
      <c r="E49" s="17" t="n">
        <f aca="false">+D49+F49</f>
        <v>-10.0552</v>
      </c>
      <c r="F49" s="17" t="n">
        <f aca="false">RANDBETWEEN(-105,115)/10000</f>
        <v>0.0048</v>
      </c>
      <c r="G49" s="17" t="n">
        <f aca="false">+Chạy!G106</f>
        <v>-0.45</v>
      </c>
      <c r="H49" s="17" t="n">
        <f aca="false">G49+I49</f>
        <v>-0.407</v>
      </c>
      <c r="I49" s="17" t="n">
        <f aca="false">RANDBETWEEN(-30,90)/1000</f>
        <v>0.043</v>
      </c>
      <c r="J49" s="17" t="n">
        <f aca="false">+Chạy!K106</f>
        <v>-0.45</v>
      </c>
      <c r="K49" s="17" t="n">
        <f aca="false">J49+L49</f>
        <v>-0.44</v>
      </c>
      <c r="L49" s="17" t="n">
        <f aca="false">RANDBETWEEN(-30,90)/1000</f>
        <v>0.01</v>
      </c>
      <c r="M49" s="17" t="n">
        <f aca="false">+Chạy!N106</f>
        <v>10.11</v>
      </c>
      <c r="N49" s="17" t="n">
        <f aca="false">+M49+O49</f>
        <v>10.1105</v>
      </c>
      <c r="O49" s="17" t="n">
        <f aca="false">RANDBETWEEN(-105,115)/10000</f>
        <v>0.0005</v>
      </c>
      <c r="P49" s="17" t="n">
        <f aca="false">+Chạy!O106</f>
        <v>-0.45</v>
      </c>
      <c r="Q49" s="17" t="n">
        <f aca="false">P49+R49</f>
        <v>-0.423</v>
      </c>
      <c r="R49" s="17" t="n">
        <f aca="false">RANDBETWEEN(-30,90)/1000</f>
        <v>0.027</v>
      </c>
      <c r="S49" s="18"/>
      <c r="T49" s="19" t="n">
        <v>17</v>
      </c>
    </row>
    <row r="50" customFormat="false" ht="15" hidden="false" customHeight="false" outlineLevel="0" collapsed="false">
      <c r="A50" s="14" t="n">
        <v>28</v>
      </c>
      <c r="B50" s="15" t="s">
        <v>43</v>
      </c>
      <c r="C50" s="16" t="n">
        <f aca="false">+C49+T49</f>
        <v>609.11</v>
      </c>
      <c r="D50" s="17" t="n">
        <f aca="false">+Chạy!F110</f>
        <v>-9.27</v>
      </c>
      <c r="E50" s="17" t="n">
        <f aca="false">+D50+F50</f>
        <v>-9.2586</v>
      </c>
      <c r="F50" s="17" t="n">
        <f aca="false">RANDBETWEEN(-105,115)/10000</f>
        <v>0.0114</v>
      </c>
      <c r="G50" s="17" t="n">
        <f aca="false">+Chạy!G110</f>
        <v>-0.45</v>
      </c>
      <c r="H50" s="17" t="n">
        <f aca="false">G50+I50</f>
        <v>-0.401</v>
      </c>
      <c r="I50" s="17" t="n">
        <f aca="false">RANDBETWEEN(-30,90)/1000</f>
        <v>0.049</v>
      </c>
      <c r="J50" s="17" t="n">
        <f aca="false">+Chạy!K110</f>
        <v>-0.45</v>
      </c>
      <c r="K50" s="17" t="n">
        <f aca="false">J50+L50</f>
        <v>-0.429</v>
      </c>
      <c r="L50" s="17" t="n">
        <f aca="false">RANDBETWEEN(-30,90)/1000</f>
        <v>0.021</v>
      </c>
      <c r="M50" s="17" t="n">
        <f aca="false">+Chạy!N110</f>
        <v>9.13</v>
      </c>
      <c r="N50" s="17" t="n">
        <f aca="false">+M50+O50</f>
        <v>9.1239</v>
      </c>
      <c r="O50" s="17" t="n">
        <f aca="false">RANDBETWEEN(-105,115)/10000</f>
        <v>-0.0061</v>
      </c>
      <c r="P50" s="17" t="n">
        <f aca="false">+Chạy!O110</f>
        <v>-0.45</v>
      </c>
      <c r="Q50" s="17" t="n">
        <f aca="false">P50+R50</f>
        <v>-0.399</v>
      </c>
      <c r="R50" s="17" t="n">
        <f aca="false">RANDBETWEEN(-30,90)/1000</f>
        <v>0.051</v>
      </c>
      <c r="S50" s="18"/>
      <c r="T50" s="19" t="n">
        <v>11.75</v>
      </c>
    </row>
    <row r="51" customFormat="false" ht="15" hidden="false" customHeight="false" outlineLevel="0" collapsed="false">
      <c r="A51" s="14" t="n">
        <v>29</v>
      </c>
      <c r="B51" s="15" t="s">
        <v>44</v>
      </c>
      <c r="C51" s="16" t="n">
        <f aca="false">+C50+T50</f>
        <v>620.86</v>
      </c>
      <c r="D51" s="17" t="n">
        <f aca="false">+Chạy!F114</f>
        <v>-9.05</v>
      </c>
      <c r="E51" s="17" t="n">
        <f aca="false">+D51+F51</f>
        <v>-9.0449</v>
      </c>
      <c r="F51" s="17" t="n">
        <f aca="false">RANDBETWEEN(-105,115)/10000</f>
        <v>0.0051</v>
      </c>
      <c r="G51" s="17" t="n">
        <f aca="false">+Chạy!G114</f>
        <v>-0.45</v>
      </c>
      <c r="H51" s="17" t="n">
        <f aca="false">G51+I51</f>
        <v>-0.425</v>
      </c>
      <c r="I51" s="17" t="n">
        <f aca="false">RANDBETWEEN(-30,90)/1000</f>
        <v>0.025</v>
      </c>
      <c r="J51" s="17" t="n">
        <f aca="false">+Chạy!K114</f>
        <v>-0.45</v>
      </c>
      <c r="K51" s="17" t="n">
        <f aca="false">J51+L51</f>
        <v>-0.397</v>
      </c>
      <c r="L51" s="17" t="n">
        <f aca="false">RANDBETWEEN(-30,90)/1000</f>
        <v>0.053</v>
      </c>
      <c r="M51" s="17" t="n">
        <f aca="false">+Chạy!N114</f>
        <v>9.19</v>
      </c>
      <c r="N51" s="17" t="n">
        <f aca="false">+M51+O51</f>
        <v>9.1808</v>
      </c>
      <c r="O51" s="17" t="n">
        <f aca="false">RANDBETWEEN(-105,115)/10000</f>
        <v>-0.0092</v>
      </c>
      <c r="P51" s="17" t="n">
        <f aca="false">+Chạy!O114</f>
        <v>-0.45</v>
      </c>
      <c r="Q51" s="17" t="n">
        <f aca="false">P51+R51</f>
        <v>-0.407</v>
      </c>
      <c r="R51" s="17" t="n">
        <f aca="false">RANDBETWEEN(-30,90)/1000</f>
        <v>0.043</v>
      </c>
      <c r="S51" s="18"/>
      <c r="T51" s="19" t="n">
        <v>11.75</v>
      </c>
    </row>
    <row r="52" customFormat="false" ht="15" hidden="false" customHeight="false" outlineLevel="0" collapsed="false">
      <c r="A52" s="14" t="n">
        <v>30</v>
      </c>
      <c r="B52" s="15" t="s">
        <v>45</v>
      </c>
      <c r="C52" s="16" t="n">
        <f aca="false">+C51+T51</f>
        <v>632.61</v>
      </c>
      <c r="D52" s="17" t="n">
        <f aca="false">+Chạy!F118</f>
        <v>-9.78</v>
      </c>
      <c r="E52" s="17" t="n">
        <f aca="false">+D52+F52</f>
        <v>-9.7718</v>
      </c>
      <c r="F52" s="17" t="n">
        <f aca="false">RANDBETWEEN(-105,115)/10000</f>
        <v>0.0082</v>
      </c>
      <c r="G52" s="17" t="n">
        <f aca="false">+Chạy!G118</f>
        <v>-0.45</v>
      </c>
      <c r="H52" s="17" t="n">
        <f aca="false">G52+I52</f>
        <v>-0.415</v>
      </c>
      <c r="I52" s="17" t="n">
        <f aca="false">RANDBETWEEN(-30,90)/1000</f>
        <v>0.035</v>
      </c>
      <c r="J52" s="17" t="n">
        <f aca="false">+Chạy!K118</f>
        <v>-0.45</v>
      </c>
      <c r="K52" s="17" t="n">
        <f aca="false">J52+L52</f>
        <v>-0.363</v>
      </c>
      <c r="L52" s="17" t="n">
        <f aca="false">RANDBETWEEN(-30,90)/1000</f>
        <v>0.087</v>
      </c>
      <c r="M52" s="17" t="n">
        <f aca="false">+Chạy!N118</f>
        <v>9.96</v>
      </c>
      <c r="N52" s="17" t="n">
        <f aca="false">+M52+O52</f>
        <v>9.9511</v>
      </c>
      <c r="O52" s="17" t="n">
        <f aca="false">RANDBETWEEN(-105,115)/10000</f>
        <v>-0.0089</v>
      </c>
      <c r="P52" s="17" t="n">
        <f aca="false">+Chạy!O118</f>
        <v>-0.45</v>
      </c>
      <c r="Q52" s="17" t="n">
        <f aca="false">P52+R52</f>
        <v>-0.41</v>
      </c>
      <c r="R52" s="17" t="n">
        <f aca="false">RANDBETWEEN(-30,90)/1000</f>
        <v>0.04</v>
      </c>
      <c r="S52" s="18"/>
      <c r="T52" s="19" t="n">
        <v>20</v>
      </c>
    </row>
    <row r="53" customFormat="false" ht="15" hidden="false" customHeight="false" outlineLevel="0" collapsed="false">
      <c r="A53" s="14" t="n">
        <v>31</v>
      </c>
      <c r="B53" s="15" t="s">
        <v>46</v>
      </c>
      <c r="C53" s="16" t="n">
        <f aca="false">+C52+T52</f>
        <v>652.61</v>
      </c>
      <c r="D53" s="17" t="n">
        <f aca="false">+Chạy!F122</f>
        <v>-10.49</v>
      </c>
      <c r="E53" s="17" t="n">
        <f aca="false">+D53+F53</f>
        <v>-10.5005</v>
      </c>
      <c r="F53" s="17" t="n">
        <f aca="false">RANDBETWEEN(-105,115)/10000</f>
        <v>-0.0105</v>
      </c>
      <c r="G53" s="17" t="n">
        <f aca="false">+Chạy!G122</f>
        <v>-0.45</v>
      </c>
      <c r="H53" s="17" t="n">
        <f aca="false">G53+I53</f>
        <v>-0.458</v>
      </c>
      <c r="I53" s="17" t="n">
        <f aca="false">RANDBETWEEN(-30,90)/1000</f>
        <v>-0.008</v>
      </c>
      <c r="J53" s="17" t="n">
        <f aca="false">+Chạy!K122</f>
        <v>-0.45</v>
      </c>
      <c r="K53" s="17" t="n">
        <f aca="false">J53+L53</f>
        <v>-0.363</v>
      </c>
      <c r="L53" s="17" t="n">
        <f aca="false">RANDBETWEEN(-30,90)/1000</f>
        <v>0.087</v>
      </c>
      <c r="M53" s="17" t="n">
        <f aca="false">+Chạy!N122</f>
        <v>10.47</v>
      </c>
      <c r="N53" s="17" t="n">
        <f aca="false">+M53+O53</f>
        <v>10.4629</v>
      </c>
      <c r="O53" s="17" t="n">
        <f aca="false">RANDBETWEEN(-105,115)/10000</f>
        <v>-0.0071</v>
      </c>
      <c r="P53" s="17" t="n">
        <f aca="false">+Chạy!O122</f>
        <v>-0.45</v>
      </c>
      <c r="Q53" s="17" t="n">
        <f aca="false">P53+R53</f>
        <v>-0.412</v>
      </c>
      <c r="R53" s="17" t="n">
        <f aca="false">RANDBETWEEN(-30,90)/1000</f>
        <v>0.038</v>
      </c>
      <c r="S53" s="18"/>
      <c r="T53" s="19" t="n">
        <v>20</v>
      </c>
    </row>
    <row r="54" customFormat="false" ht="15" hidden="false" customHeight="false" outlineLevel="0" collapsed="false">
      <c r="A54" s="14" t="n">
        <v>32</v>
      </c>
      <c r="B54" s="15" t="s">
        <v>47</v>
      </c>
      <c r="C54" s="16" t="n">
        <f aca="false">+C53+T53</f>
        <v>672.61</v>
      </c>
      <c r="D54" s="17" t="n">
        <f aca="false">+Chạy!F126</f>
        <v>-9.63</v>
      </c>
      <c r="E54" s="17" t="n">
        <f aca="false">+D54+F54</f>
        <v>-9.6393</v>
      </c>
      <c r="F54" s="17" t="n">
        <f aca="false">RANDBETWEEN(-105,115)/10000</f>
        <v>-0.0093</v>
      </c>
      <c r="G54" s="17" t="n">
        <f aca="false">+Chạy!G126</f>
        <v>-0.45</v>
      </c>
      <c r="H54" s="17" t="n">
        <f aca="false">G54+I54</f>
        <v>-0.402</v>
      </c>
      <c r="I54" s="17" t="n">
        <f aca="false">RANDBETWEEN(-30,90)/1000</f>
        <v>0.048</v>
      </c>
      <c r="J54" s="17" t="n">
        <f aca="false">+Chạy!K126</f>
        <v>-0.45</v>
      </c>
      <c r="K54" s="17" t="n">
        <f aca="false">J54+L54</f>
        <v>-0.367</v>
      </c>
      <c r="L54" s="17" t="n">
        <f aca="false">RANDBETWEEN(-30,90)/1000</f>
        <v>0.083</v>
      </c>
      <c r="M54" s="17" t="n">
        <f aca="false">+Chạy!N126</f>
        <v>9.67</v>
      </c>
      <c r="N54" s="17" t="n">
        <f aca="false">+M54+O54</f>
        <v>9.6773</v>
      </c>
      <c r="O54" s="17" t="n">
        <f aca="false">RANDBETWEEN(-105,115)/10000</f>
        <v>0.0073</v>
      </c>
      <c r="P54" s="17" t="n">
        <f aca="false">+Chạy!O126</f>
        <v>-0.45</v>
      </c>
      <c r="Q54" s="17" t="n">
        <f aca="false">P54+R54</f>
        <v>-0.47</v>
      </c>
      <c r="R54" s="17" t="n">
        <f aca="false">RANDBETWEEN(-30,90)/1000</f>
        <v>-0.02</v>
      </c>
      <c r="S54" s="18"/>
      <c r="T54" s="19" t="n">
        <v>20</v>
      </c>
    </row>
    <row r="55" customFormat="false" ht="15" hidden="false" customHeight="false" outlineLevel="0" collapsed="false">
      <c r="A55" s="14" t="n">
        <v>33</v>
      </c>
      <c r="B55" s="15" t="s">
        <v>48</v>
      </c>
      <c r="C55" s="16" t="n">
        <f aca="false">+C54+T54</f>
        <v>692.61</v>
      </c>
      <c r="D55" s="17" t="n">
        <f aca="false">+Chạy!F130</f>
        <v>-10.54</v>
      </c>
      <c r="E55" s="17" t="n">
        <f aca="false">+D55+F55</f>
        <v>-10.5358</v>
      </c>
      <c r="F55" s="17" t="n">
        <f aca="false">RANDBETWEEN(-105,115)/10000</f>
        <v>0.0042</v>
      </c>
      <c r="G55" s="17" t="n">
        <f aca="false">+Chạy!G130</f>
        <v>-0.45</v>
      </c>
      <c r="H55" s="17" t="n">
        <f aca="false">G55+I55</f>
        <v>-0.453</v>
      </c>
      <c r="I55" s="17" t="n">
        <f aca="false">RANDBETWEEN(-30,90)/1000</f>
        <v>-0.003</v>
      </c>
      <c r="J55" s="17" t="n">
        <f aca="false">+Chạy!K130</f>
        <v>-0.45</v>
      </c>
      <c r="K55" s="17" t="n">
        <f aca="false">J55+L55</f>
        <v>-0.417</v>
      </c>
      <c r="L55" s="17" t="n">
        <f aca="false">RANDBETWEEN(-30,90)/1000</f>
        <v>0.033</v>
      </c>
      <c r="M55" s="17" t="n">
        <f aca="false">+Chạy!N130</f>
        <v>10.49</v>
      </c>
      <c r="N55" s="17" t="n">
        <f aca="false">+M55+O55</f>
        <v>10.5</v>
      </c>
      <c r="O55" s="17" t="n">
        <f aca="false">RANDBETWEEN(-105,115)/10000</f>
        <v>0.01</v>
      </c>
      <c r="P55" s="17" t="n">
        <f aca="false">+Chạy!O130</f>
        <v>-0.45</v>
      </c>
      <c r="Q55" s="17" t="n">
        <f aca="false">P55+R55</f>
        <v>-0.455</v>
      </c>
      <c r="R55" s="17" t="n">
        <f aca="false">RANDBETWEEN(-30,90)/1000</f>
        <v>-0.005</v>
      </c>
      <c r="S55" s="18"/>
      <c r="T55" s="19" t="n">
        <v>20</v>
      </c>
    </row>
    <row r="56" customFormat="false" ht="15" hidden="false" customHeight="false" outlineLevel="0" collapsed="false">
      <c r="A56" s="14" t="n">
        <v>34</v>
      </c>
      <c r="B56" s="15" t="s">
        <v>49</v>
      </c>
      <c r="C56" s="16" t="n">
        <f aca="false">+C55+T55</f>
        <v>712.61</v>
      </c>
      <c r="D56" s="17" t="n">
        <f aca="false">+Chạy!F134</f>
        <v>-6.25</v>
      </c>
      <c r="E56" s="17" t="n">
        <f aca="false">+D56+F56</f>
        <v>-6.247</v>
      </c>
      <c r="F56" s="17" t="n">
        <f aca="false">RANDBETWEEN(-105,115)/10000</f>
        <v>0.003</v>
      </c>
      <c r="G56" s="17" t="n">
        <f aca="false">+Chạy!G134</f>
        <v>-0.45</v>
      </c>
      <c r="H56" s="17" t="n">
        <f aca="false">G56+I56</f>
        <v>-0.408</v>
      </c>
      <c r="I56" s="17" t="n">
        <f aca="false">RANDBETWEEN(-30,90)/1000</f>
        <v>0.042</v>
      </c>
      <c r="J56" s="17" t="n">
        <f aca="false">+Chạy!K134</f>
        <v>-0.45</v>
      </c>
      <c r="K56" s="17" t="n">
        <f aca="false">J56+L56</f>
        <v>-0.414</v>
      </c>
      <c r="L56" s="17" t="n">
        <f aca="false">RANDBETWEEN(-30,90)/1000</f>
        <v>0.036</v>
      </c>
      <c r="M56" s="17" t="n">
        <f aca="false">+Chạy!N134</f>
        <v>9.95</v>
      </c>
      <c r="N56" s="17" t="n">
        <f aca="false">+M56+O56</f>
        <v>9.9423</v>
      </c>
      <c r="O56" s="17" t="n">
        <f aca="false">RANDBETWEEN(-105,115)/10000</f>
        <v>-0.0077</v>
      </c>
      <c r="P56" s="17" t="n">
        <f aca="false">+Chạy!O134</f>
        <v>-0.45</v>
      </c>
      <c r="Q56" s="17" t="n">
        <f aca="false">P56+R56</f>
        <v>-0.441</v>
      </c>
      <c r="R56" s="17" t="n">
        <f aca="false">RANDBETWEEN(-30,90)/1000</f>
        <v>0.009</v>
      </c>
      <c r="S56" s="18"/>
      <c r="T56" s="19" t="n">
        <v>11.5</v>
      </c>
    </row>
    <row r="57" customFormat="false" ht="15" hidden="false" customHeight="false" outlineLevel="0" collapsed="false">
      <c r="A57" s="14" t="n">
        <v>35</v>
      </c>
      <c r="B57" s="15" t="s">
        <v>50</v>
      </c>
      <c r="C57" s="16" t="n">
        <f aca="false">+C56+T56</f>
        <v>724.11</v>
      </c>
      <c r="D57" s="17" t="n">
        <f aca="false">+Chạy!F138</f>
        <v>-15.4</v>
      </c>
      <c r="E57" s="17" t="n">
        <f aca="false">+D57+F57</f>
        <v>-15.3961</v>
      </c>
      <c r="F57" s="17" t="n">
        <f aca="false">RANDBETWEEN(-105,115)/10000</f>
        <v>0.0039</v>
      </c>
      <c r="G57" s="17" t="n">
        <f aca="false">+Chạy!G138</f>
        <v>-0.45</v>
      </c>
      <c r="H57" s="17" t="n">
        <f aca="false">G57+I57</f>
        <v>-0.404</v>
      </c>
      <c r="I57" s="17" t="n">
        <f aca="false">RANDBETWEEN(-30,90)/1000</f>
        <v>0.046</v>
      </c>
      <c r="J57" s="17" t="n">
        <f aca="false">+Chạy!K138</f>
        <v>-0.45</v>
      </c>
      <c r="K57" s="17" t="n">
        <f aca="false">J57+L57</f>
        <v>-0.437</v>
      </c>
      <c r="L57" s="17" t="n">
        <f aca="false">RANDBETWEEN(-30,90)/1000</f>
        <v>0.013</v>
      </c>
      <c r="M57" s="17" t="n">
        <f aca="false">+Chạy!N138</f>
        <v>9.24</v>
      </c>
      <c r="N57" s="17" t="n">
        <f aca="false">+M57+O57</f>
        <v>9.2295</v>
      </c>
      <c r="O57" s="17" t="n">
        <f aca="false">RANDBETWEEN(-105,115)/10000</f>
        <v>-0.0105</v>
      </c>
      <c r="P57" s="17" t="n">
        <f aca="false">+Chạy!O138</f>
        <v>-0.45</v>
      </c>
      <c r="Q57" s="17" t="n">
        <f aca="false">P57+R57</f>
        <v>-0.408</v>
      </c>
      <c r="R57" s="17" t="n">
        <f aca="false">RANDBETWEEN(-30,90)/1000</f>
        <v>0.042</v>
      </c>
      <c r="S57" s="18"/>
      <c r="T57" s="19" t="n">
        <v>13.25</v>
      </c>
    </row>
    <row r="58" customFormat="false" ht="15" hidden="false" customHeight="false" outlineLevel="0" collapsed="false">
      <c r="A58" s="14" t="n">
        <v>36</v>
      </c>
      <c r="B58" s="15" t="s">
        <v>51</v>
      </c>
      <c r="C58" s="16" t="n">
        <f aca="false">+C57+T57</f>
        <v>737.36</v>
      </c>
      <c r="D58" s="17" t="n">
        <f aca="false">+Chạy!F142</f>
        <v>-9.58</v>
      </c>
      <c r="E58" s="17" t="n">
        <f aca="false">+D58+F58</f>
        <v>-9.5862</v>
      </c>
      <c r="F58" s="17" t="n">
        <f aca="false">RANDBETWEEN(-105,115)/10000</f>
        <v>-0.0062</v>
      </c>
      <c r="G58" s="17" t="n">
        <f aca="false">+Chạy!G142</f>
        <v>-0.45</v>
      </c>
      <c r="H58" s="17" t="n">
        <f aca="false">G58+I58</f>
        <v>-0.429</v>
      </c>
      <c r="I58" s="17" t="n">
        <f aca="false">RANDBETWEEN(-30,90)/1000</f>
        <v>0.021</v>
      </c>
      <c r="J58" s="17" t="n">
        <f aca="false">+Chạy!K142</f>
        <v>-0.45</v>
      </c>
      <c r="K58" s="17" t="n">
        <f aca="false">J58+L58</f>
        <v>-0.432</v>
      </c>
      <c r="L58" s="17" t="n">
        <f aca="false">RANDBETWEEN(-30,90)/1000</f>
        <v>0.018</v>
      </c>
      <c r="M58" s="17" t="n">
        <f aca="false">+Chạy!N142</f>
        <v>9.7</v>
      </c>
      <c r="N58" s="17" t="n">
        <f aca="false">+M58+O58</f>
        <v>9.6938</v>
      </c>
      <c r="O58" s="17" t="n">
        <f aca="false">RANDBETWEEN(-105,115)/10000</f>
        <v>-0.0062</v>
      </c>
      <c r="P58" s="17" t="n">
        <f aca="false">+Chạy!O142</f>
        <v>-0.45</v>
      </c>
      <c r="Q58" s="17" t="n">
        <f aca="false">P58+R58</f>
        <v>-0.42</v>
      </c>
      <c r="R58" s="17" t="n">
        <f aca="false">RANDBETWEEN(-30,90)/1000</f>
        <v>0.03</v>
      </c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74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75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76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77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">
        <v>91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</row>
    <row r="3" s="30" customFormat="true" ht="37.5" hidden="false" customHeight="true" outlineLevel="0" collapsed="false">
      <c r="A3" s="28" t="s">
        <v>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55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56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57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58</v>
      </c>
      <c r="B7" s="32"/>
      <c r="D7" s="33" t="s">
        <v>92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62</v>
      </c>
      <c r="C9" s="35" t="s">
        <v>63</v>
      </c>
      <c r="D9" s="36" t="s">
        <v>79</v>
      </c>
      <c r="E9" s="37"/>
      <c r="F9" s="37"/>
      <c r="G9" s="36"/>
      <c r="H9" s="37"/>
      <c r="I9" s="37"/>
      <c r="J9" s="37"/>
      <c r="K9" s="37"/>
      <c r="L9" s="37"/>
      <c r="M9" s="38" t="s">
        <v>80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67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81</v>
      </c>
      <c r="O10" s="38" t="s">
        <v>82</v>
      </c>
      <c r="P10" s="38" t="s">
        <v>81</v>
      </c>
      <c r="Q10" s="38" t="s">
        <v>81</v>
      </c>
      <c r="R10" s="38"/>
      <c r="S10" s="38"/>
      <c r="T10" s="38"/>
      <c r="U10" s="38" t="s">
        <v>83</v>
      </c>
      <c r="V10" s="38" t="s">
        <v>83</v>
      </c>
      <c r="W10" s="38" t="s">
        <v>84</v>
      </c>
      <c r="X10" s="38" t="s">
        <v>83</v>
      </c>
      <c r="Y10" s="38" t="s">
        <v>83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B4</v>
      </c>
      <c r="C11" s="16" t="n">
        <f aca="false">'4.KTHH L4'!C23</f>
        <v>211</v>
      </c>
      <c r="D11" s="14" t="n">
        <f aca="false">'4.KTHH L4'!T23</f>
        <v>13.25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4.81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64.395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12</v>
      </c>
      <c r="C12" s="16" t="n">
        <f aca="false">'4.KTHH L4'!C24</f>
        <v>224.25</v>
      </c>
      <c r="D12" s="14" t="n">
        <f aca="false">'4.KTHH L4'!T24</f>
        <v>21.5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4.91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92.1275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13</v>
      </c>
      <c r="C13" s="16" t="n">
        <f aca="false">'4.KTHH L4'!C25</f>
        <v>245.75</v>
      </c>
      <c r="D13" s="14" t="n">
        <f aca="false">'4.KTHH L4'!T25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3.66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43.005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B5</v>
      </c>
      <c r="C14" s="16" t="n">
        <f aca="false">'4.KTHH L4'!C26</f>
        <v>257.5</v>
      </c>
      <c r="D14" s="14" t="n">
        <f aca="false">'4.KTHH L4'!T26</f>
        <v>11.75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3.66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43.005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14</v>
      </c>
      <c r="C15" s="16" t="n">
        <f aca="false">'4.KTHH L4'!C27</f>
        <v>269.25</v>
      </c>
      <c r="D15" s="14" t="n">
        <f aca="false">'4.KTHH L4'!T27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3.66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73.2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15</v>
      </c>
      <c r="C16" s="16" t="n">
        <f aca="false">'4.KTHH L4'!C28</f>
        <v>289.25</v>
      </c>
      <c r="D16" s="14" t="n">
        <f aca="false">'4.KTHH L4'!T28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3.66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73.2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16</v>
      </c>
      <c r="C17" s="16" t="n">
        <f aca="false">'4.KTHH L4'!C29</f>
        <v>309.25</v>
      </c>
      <c r="D17" s="14" t="n">
        <f aca="false">'4.KTHH L4'!T29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3.66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73.2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17</v>
      </c>
      <c r="C18" s="16" t="n">
        <f aca="false">'4.KTHH L4'!C30</f>
        <v>329.25</v>
      </c>
      <c r="D18" s="14" t="n">
        <f aca="false">'4.KTHH L4'!T30</f>
        <v>20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3.66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73.2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18</v>
      </c>
      <c r="C19" s="16" t="n">
        <f aca="false">'4.KTHH L4'!C31</f>
        <v>349.25</v>
      </c>
      <c r="D19" s="14" t="n">
        <f aca="false">'4.KTHH L4'!T31</f>
        <v>19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Chạy!E34</f>
        <v>3.66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79.895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'4.KTHH L4'!B32</f>
        <v>19</v>
      </c>
      <c r="C20" s="16" t="n">
        <f aca="false">'4.KTHH L4'!C32</f>
        <v>368.25</v>
      </c>
      <c r="D20" s="14" t="n">
        <f aca="false">'4.KTHH L4'!T32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Chạy!E38</f>
        <v>4.75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71.02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'4.KTHH L4'!B33</f>
        <v>C2</v>
      </c>
      <c r="C21" s="16" t="n">
        <f aca="false">'4.KTHH L4'!C33</f>
        <v>381.5</v>
      </c>
      <c r="D21" s="14" t="n">
        <f aca="false">'4.KTHH L4'!T33</f>
        <v>13.25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Chạy!E42</f>
        <v>5.97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78.44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'4.KTHH L4'!B34</f>
        <v>20</v>
      </c>
      <c r="C22" s="16" t="n">
        <f aca="false">'4.KTHH L4'!C34</f>
        <v>394.75</v>
      </c>
      <c r="D22" s="14" t="n">
        <f aca="false">'4.KTHH L4'!T34</f>
        <v>20</v>
      </c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Chạy!E46</f>
        <v>5.87</v>
      </c>
      <c r="P22" s="47"/>
      <c r="Q22" s="47"/>
      <c r="R22" s="50"/>
      <c r="S22" s="50"/>
      <c r="T22" s="50"/>
      <c r="U22" s="50"/>
      <c r="V22" s="50"/>
      <c r="W22" s="50" t="n">
        <f aca="false">(O22+O23)*D22/2</f>
        <v>117.7</v>
      </c>
      <c r="X22" s="50"/>
      <c r="Y22" s="50"/>
      <c r="Z22" s="50"/>
      <c r="AA22" s="50"/>
      <c r="AB22" s="51"/>
      <c r="AC22" s="50"/>
      <c r="AE22" s="52"/>
    </row>
    <row r="23" s="45" customFormat="true" ht="15" hidden="false" customHeight="true" outlineLevel="0" collapsed="false">
      <c r="A23" s="14" t="n">
        <v>13</v>
      </c>
      <c r="B23" s="14" t="str">
        <f aca="false">'4.KTHH L4'!B35</f>
        <v>21</v>
      </c>
      <c r="C23" s="16" t="n">
        <f aca="false">'4.KTHH L4'!C35</f>
        <v>414.75</v>
      </c>
      <c r="D23" s="14" t="n">
        <f aca="false">'4.KTHH L4'!T35</f>
        <v>20</v>
      </c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 t="n">
        <f aca="false">Chạy!E50</f>
        <v>5.9</v>
      </c>
      <c r="P23" s="47"/>
      <c r="Q23" s="47"/>
      <c r="R23" s="50"/>
      <c r="S23" s="50"/>
      <c r="T23" s="50"/>
      <c r="U23" s="50"/>
      <c r="V23" s="50"/>
      <c r="W23" s="50" t="n">
        <f aca="false">(O23+O24)*D23/2</f>
        <v>116.9</v>
      </c>
      <c r="X23" s="50"/>
      <c r="Y23" s="50"/>
      <c r="Z23" s="50"/>
      <c r="AA23" s="50"/>
      <c r="AB23" s="51"/>
      <c r="AC23" s="50"/>
      <c r="AE23" s="52"/>
    </row>
    <row r="24" s="45" customFormat="true" ht="15" hidden="false" customHeight="true" outlineLevel="0" collapsed="false">
      <c r="A24" s="14" t="n">
        <v>14</v>
      </c>
      <c r="B24" s="14" t="str">
        <f aca="false">'4.KTHH L4'!B36</f>
        <v>22</v>
      </c>
      <c r="C24" s="16" t="n">
        <f aca="false">'4.KTHH L4'!C36</f>
        <v>434.75</v>
      </c>
      <c r="D24" s="14" t="n">
        <f aca="false">'4.KTHH L4'!T36</f>
        <v>20</v>
      </c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 t="n">
        <f aca="false">Chạy!E54</f>
        <v>5.79</v>
      </c>
      <c r="P24" s="47"/>
      <c r="Q24" s="47"/>
      <c r="R24" s="50"/>
      <c r="S24" s="50"/>
      <c r="T24" s="50"/>
      <c r="U24" s="50"/>
      <c r="V24" s="50"/>
      <c r="W24" s="50" t="n">
        <f aca="false">(O24+O25)*D24/2</f>
        <v>112.3</v>
      </c>
      <c r="X24" s="50"/>
      <c r="Y24" s="50"/>
      <c r="Z24" s="50"/>
      <c r="AA24" s="50"/>
      <c r="AB24" s="51"/>
      <c r="AC24" s="50"/>
      <c r="AE24" s="52"/>
    </row>
    <row r="25" s="45" customFormat="true" ht="15" hidden="false" customHeight="true" outlineLevel="0" collapsed="false">
      <c r="A25" s="14" t="n">
        <v>15</v>
      </c>
      <c r="B25" s="14" t="str">
        <f aca="false">'4.KTHH L4'!B37</f>
        <v>23</v>
      </c>
      <c r="C25" s="16" t="n">
        <f aca="false">'4.KTHH L4'!C37</f>
        <v>454.75</v>
      </c>
      <c r="D25" s="14" t="n">
        <f aca="false">'4.KTHH L4'!T37</f>
        <v>20</v>
      </c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 t="n">
        <f aca="false">Chạy!E58</f>
        <v>5.44</v>
      </c>
      <c r="P25" s="47"/>
      <c r="Q25" s="47"/>
      <c r="R25" s="50"/>
      <c r="S25" s="50"/>
      <c r="T25" s="50"/>
      <c r="U25" s="50"/>
      <c r="V25" s="50"/>
      <c r="W25" s="50" t="n">
        <f aca="false">(O25+O26)*D25/2</f>
        <v>110.8</v>
      </c>
      <c r="X25" s="50"/>
      <c r="Y25" s="50"/>
      <c r="Z25" s="50"/>
      <c r="AA25" s="50"/>
      <c r="AB25" s="51"/>
      <c r="AC25" s="50"/>
      <c r="AE25" s="52"/>
    </row>
    <row r="26" s="45" customFormat="true" ht="15" hidden="false" customHeight="true" outlineLevel="0" collapsed="false">
      <c r="A26" s="14" t="n">
        <v>16</v>
      </c>
      <c r="B26" s="14" t="str">
        <f aca="false">'4.KTHH L4'!B38</f>
        <v>24</v>
      </c>
      <c r="C26" s="16" t="n">
        <f aca="false">'4.KTHH L4'!C38</f>
        <v>474.75</v>
      </c>
      <c r="D26" s="14" t="n">
        <f aca="false">'4.KTHH L4'!T38</f>
        <v>14.44</v>
      </c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 t="n">
        <f aca="false">Chạy!E62</f>
        <v>5.64</v>
      </c>
      <c r="P26" s="47"/>
      <c r="Q26" s="47"/>
      <c r="R26" s="50"/>
      <c r="S26" s="50"/>
      <c r="T26" s="50"/>
      <c r="U26" s="50"/>
      <c r="V26" s="50"/>
      <c r="W26" s="50" t="n">
        <f aca="false">(O26+O27)*D26/2</f>
        <v>74.0772</v>
      </c>
      <c r="X26" s="50"/>
      <c r="Y26" s="50"/>
      <c r="Z26" s="50"/>
      <c r="AA26" s="50"/>
      <c r="AB26" s="51"/>
      <c r="AC26" s="50"/>
      <c r="AE26" s="52"/>
    </row>
    <row r="27" s="45" customFormat="true" ht="15" hidden="false" customHeight="true" outlineLevel="0" collapsed="false">
      <c r="A27" s="14" t="n">
        <v>17</v>
      </c>
      <c r="B27" s="14" t="str">
        <f aca="false">'4.KTHH L4'!B39</f>
        <v>25</v>
      </c>
      <c r="C27" s="16" t="n">
        <f aca="false">'4.KTHH L4'!C39</f>
        <v>489.19</v>
      </c>
      <c r="D27" s="14" t="n">
        <f aca="false">'4.KTHH L4'!T39</f>
        <v>13.17</v>
      </c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 t="n">
        <f aca="false">Chạy!E66</f>
        <v>4.62</v>
      </c>
      <c r="P27" s="47"/>
      <c r="Q27" s="47"/>
      <c r="R27" s="50"/>
      <c r="S27" s="50"/>
      <c r="T27" s="50"/>
      <c r="U27" s="50"/>
      <c r="V27" s="50"/>
      <c r="W27" s="50" t="n">
        <f aca="false">(O27+O28)*D27/2</f>
        <v>70.9863</v>
      </c>
      <c r="X27" s="50"/>
      <c r="Y27" s="50"/>
      <c r="Z27" s="50"/>
      <c r="AA27" s="50"/>
      <c r="AB27" s="51"/>
      <c r="AC27" s="50"/>
      <c r="AE27" s="52"/>
    </row>
    <row r="28" s="45" customFormat="true" ht="15" hidden="false" customHeight="true" outlineLevel="0" collapsed="false">
      <c r="A28" s="14" t="n">
        <v>18</v>
      </c>
      <c r="B28" s="14" t="str">
        <f aca="false">'4.KTHH L4'!B40</f>
        <v>D1</v>
      </c>
      <c r="C28" s="16" t="n">
        <f aca="false">'4.KTHH L4'!C40</f>
        <v>502.36</v>
      </c>
      <c r="D28" s="14" t="n">
        <f aca="false">'4.KTHH L4'!T40</f>
        <v>10.48</v>
      </c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 t="n">
        <f aca="false">Chạy!E70</f>
        <v>6.16</v>
      </c>
      <c r="P28" s="47"/>
      <c r="Q28" s="47"/>
      <c r="R28" s="50"/>
      <c r="S28" s="50"/>
      <c r="T28" s="50"/>
      <c r="U28" s="50"/>
      <c r="V28" s="50"/>
      <c r="W28" s="50" t="n">
        <f aca="false">(O28+O29)*D28/2</f>
        <v>63.5612</v>
      </c>
      <c r="X28" s="50"/>
      <c r="Y28" s="50"/>
      <c r="Z28" s="50"/>
      <c r="AA28" s="50"/>
      <c r="AB28" s="51"/>
      <c r="AC28" s="50"/>
      <c r="AE28" s="52"/>
    </row>
    <row r="29" s="45" customFormat="true" ht="15" hidden="false" customHeight="true" outlineLevel="0" collapsed="false">
      <c r="A29" s="14" t="n">
        <v>19</v>
      </c>
      <c r="B29" s="14" t="str">
        <f aca="false">'4.KTHH L4'!B41</f>
        <v>26</v>
      </c>
      <c r="C29" s="16" t="n">
        <f aca="false">'4.KTHH L4'!C41</f>
        <v>512.84</v>
      </c>
      <c r="D29" s="14" t="n">
        <f aca="false">'4.KTHH L4'!T41</f>
        <v>16.78</v>
      </c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 t="n">
        <f aca="false">Chạy!E74</f>
        <v>5.97</v>
      </c>
      <c r="P29" s="47"/>
      <c r="Q29" s="47"/>
      <c r="R29" s="50"/>
      <c r="S29" s="50"/>
      <c r="T29" s="50"/>
      <c r="U29" s="50"/>
      <c r="V29" s="50"/>
      <c r="W29" s="50" t="n">
        <f aca="false">(O29+O30)*D29/2</f>
        <v>101.6029</v>
      </c>
      <c r="X29" s="50"/>
      <c r="Y29" s="50"/>
      <c r="Z29" s="50"/>
      <c r="AA29" s="50"/>
      <c r="AB29" s="51"/>
      <c r="AC29" s="50"/>
      <c r="AE29" s="52"/>
    </row>
    <row r="30" s="45" customFormat="true" ht="15" hidden="false" customHeight="true" outlineLevel="0" collapsed="false">
      <c r="A30" s="14" t="n">
        <v>20</v>
      </c>
      <c r="B30" s="14" t="str">
        <f aca="false">'4.KTHH L4'!B42</f>
        <v>27</v>
      </c>
      <c r="C30" s="16" t="n">
        <f aca="false">'4.KTHH L4'!C42</f>
        <v>529.62</v>
      </c>
      <c r="D30" s="14" t="n">
        <f aca="false">'4.KTHH L4'!T42</f>
        <v>17.1</v>
      </c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 t="n">
        <f aca="false">Chạy!E78</f>
        <v>6.14</v>
      </c>
      <c r="P30" s="47"/>
      <c r="Q30" s="47"/>
      <c r="R30" s="50"/>
      <c r="S30" s="50"/>
      <c r="T30" s="50"/>
      <c r="U30" s="50"/>
      <c r="V30" s="50"/>
      <c r="W30" s="50" t="n">
        <f aca="false">(O30+O31)*D30/2</f>
        <v>92.0835</v>
      </c>
      <c r="X30" s="50"/>
      <c r="Y30" s="50"/>
      <c r="Z30" s="50"/>
      <c r="AA30" s="50"/>
      <c r="AB30" s="51"/>
      <c r="AC30" s="50"/>
      <c r="AE30" s="52"/>
    </row>
    <row r="31" s="45" customFormat="true" ht="15" hidden="false" customHeight="true" outlineLevel="0" collapsed="false">
      <c r="A31" s="14" t="n">
        <v>21</v>
      </c>
      <c r="B31" s="14" t="str">
        <f aca="false">'4.KTHH L4'!B43</f>
        <v>28</v>
      </c>
      <c r="C31" s="16" t="n">
        <f aca="false">'4.KTHH L4'!C43</f>
        <v>546.72</v>
      </c>
      <c r="D31" s="14" t="n">
        <f aca="false">'4.KTHH L4'!T43</f>
        <v>15.15</v>
      </c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 t="n">
        <f aca="false">Chạy!E82</f>
        <v>4.63</v>
      </c>
      <c r="P31" s="47"/>
      <c r="Q31" s="47"/>
      <c r="R31" s="50"/>
      <c r="S31" s="50"/>
      <c r="T31" s="50"/>
      <c r="U31" s="50"/>
      <c r="V31" s="50"/>
      <c r="W31" s="50" t="n">
        <f aca="false">(O31+O32)*D31/2</f>
        <v>80.06775</v>
      </c>
      <c r="X31" s="50"/>
      <c r="Y31" s="50"/>
      <c r="Z31" s="50"/>
      <c r="AA31" s="50"/>
      <c r="AB31" s="51"/>
      <c r="AC31" s="50"/>
      <c r="AE31" s="52"/>
    </row>
    <row r="32" s="45" customFormat="true" ht="15" hidden="false" customHeight="true" outlineLevel="0" collapsed="false">
      <c r="A32" s="14" t="n">
        <v>22</v>
      </c>
      <c r="B32" s="14" t="str">
        <f aca="false">'4.KTHH L4'!B44</f>
        <v>E5</v>
      </c>
      <c r="C32" s="16" t="n">
        <f aca="false">'4.KTHH L4'!C44</f>
        <v>561.87</v>
      </c>
      <c r="D32" s="14" t="n">
        <f aca="false">'4.KTHH L4'!T44</f>
        <v>0.15</v>
      </c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 t="n">
        <f aca="false">Chạy!E86</f>
        <v>5.94</v>
      </c>
      <c r="P32" s="47"/>
      <c r="Q32" s="47"/>
      <c r="R32" s="50"/>
      <c r="S32" s="50"/>
      <c r="T32" s="50"/>
      <c r="U32" s="50"/>
      <c r="V32" s="50"/>
      <c r="W32" s="50" t="n">
        <f aca="false">(O32+O33)*D32/2</f>
        <v>0.89175</v>
      </c>
      <c r="X32" s="50"/>
      <c r="Y32" s="50"/>
      <c r="Z32" s="50"/>
      <c r="AA32" s="50"/>
      <c r="AB32" s="51"/>
      <c r="AC32" s="50"/>
      <c r="AE32" s="52"/>
    </row>
    <row r="33" s="45" customFormat="true" ht="15" hidden="false" customHeight="true" outlineLevel="0" collapsed="false">
      <c r="A33" s="14" t="n">
        <v>23</v>
      </c>
      <c r="B33" s="14" t="str">
        <f aca="false">'4.KTHH L4'!B45</f>
        <v>TD</v>
      </c>
      <c r="C33" s="16" t="n">
        <f aca="false">'4.KTHH L4'!C45</f>
        <v>562.02</v>
      </c>
      <c r="D33" s="14" t="n">
        <f aca="false">'4.KTHH L4'!T45</f>
        <v>6.55</v>
      </c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 t="n">
        <f aca="false">Chạy!E90</f>
        <v>5.95</v>
      </c>
      <c r="P33" s="47"/>
      <c r="Q33" s="47"/>
      <c r="R33" s="50"/>
      <c r="S33" s="50"/>
      <c r="T33" s="50"/>
      <c r="U33" s="50"/>
      <c r="V33" s="50"/>
      <c r="W33" s="50" t="n">
        <f aca="false">(O33+O34)*D33/2</f>
        <v>39.46375</v>
      </c>
      <c r="X33" s="50"/>
      <c r="Y33" s="50"/>
      <c r="Z33" s="50"/>
      <c r="AA33" s="50"/>
      <c r="AB33" s="51"/>
      <c r="AC33" s="50"/>
      <c r="AE33" s="52"/>
    </row>
    <row r="34" s="45" customFormat="true" ht="15" hidden="false" customHeight="true" outlineLevel="0" collapsed="false">
      <c r="A34" s="14" t="n">
        <v>24</v>
      </c>
      <c r="B34" s="14" t="str">
        <f aca="false">'4.KTHH L4'!B46</f>
        <v>P</v>
      </c>
      <c r="C34" s="16" t="n">
        <f aca="false">'4.KTHH L4'!C46</f>
        <v>568.57</v>
      </c>
      <c r="D34" s="14" t="n">
        <f aca="false">'4.KTHH L4'!T46</f>
        <v>6.55</v>
      </c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 t="n">
        <f aca="false">Chạy!E94</f>
        <v>6.1</v>
      </c>
      <c r="P34" s="47"/>
      <c r="Q34" s="47"/>
      <c r="R34" s="50"/>
      <c r="S34" s="50"/>
      <c r="T34" s="50"/>
      <c r="U34" s="50"/>
      <c r="V34" s="50"/>
      <c r="W34" s="50" t="n">
        <f aca="false">(O34+O35)*D34/2</f>
        <v>38.776</v>
      </c>
      <c r="X34" s="50"/>
      <c r="Y34" s="50"/>
      <c r="Z34" s="50"/>
      <c r="AA34" s="50"/>
      <c r="AB34" s="51"/>
      <c r="AC34" s="50"/>
      <c r="AE34" s="52"/>
    </row>
    <row r="35" s="45" customFormat="true" ht="15" hidden="false" customHeight="true" outlineLevel="0" collapsed="false">
      <c r="A35" s="14" t="n">
        <v>25</v>
      </c>
      <c r="B35" s="14" t="str">
        <f aca="false">'4.KTHH L4'!B47</f>
        <v>TC</v>
      </c>
      <c r="C35" s="16" t="n">
        <f aca="false">'4.KTHH L4'!C47</f>
        <v>575.12</v>
      </c>
      <c r="D35" s="14" t="n">
        <f aca="false">'4.KTHH L4'!T47</f>
        <v>0.04</v>
      </c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 t="n">
        <f aca="false">Chạy!E98</f>
        <v>5.74</v>
      </c>
      <c r="P35" s="47"/>
      <c r="Q35" s="47"/>
      <c r="R35" s="50"/>
      <c r="S35" s="50"/>
      <c r="T35" s="50"/>
      <c r="U35" s="50"/>
      <c r="V35" s="50"/>
      <c r="W35" s="50" t="n">
        <f aca="false">(O35+O36)*D35/2</f>
        <v>0.2282</v>
      </c>
      <c r="X35" s="50"/>
      <c r="Y35" s="50"/>
      <c r="Z35" s="50"/>
      <c r="AA35" s="50"/>
      <c r="AB35" s="51"/>
      <c r="AC35" s="50"/>
      <c r="AE35" s="52"/>
    </row>
    <row r="36" s="45" customFormat="true" ht="15" hidden="false" customHeight="true" outlineLevel="0" collapsed="false">
      <c r="A36" s="14" t="n">
        <v>26</v>
      </c>
      <c r="B36" s="14" t="str">
        <f aca="false">'4.KTHH L4'!B48</f>
        <v>29</v>
      </c>
      <c r="C36" s="16" t="n">
        <f aca="false">'4.KTHH L4'!C48</f>
        <v>575.16</v>
      </c>
      <c r="D36" s="14" t="n">
        <f aca="false">'4.KTHH L4'!T48</f>
        <v>16.95</v>
      </c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 t="n">
        <f aca="false">Chạy!E102</f>
        <v>5.67</v>
      </c>
      <c r="P36" s="47"/>
      <c r="Q36" s="47"/>
      <c r="R36" s="50"/>
      <c r="S36" s="50"/>
      <c r="T36" s="50"/>
      <c r="U36" s="50"/>
      <c r="V36" s="50"/>
      <c r="W36" s="50" t="n">
        <f aca="false">(O36+O37)*D36/2</f>
        <v>98.56425</v>
      </c>
      <c r="X36" s="50"/>
      <c r="Y36" s="50"/>
      <c r="Z36" s="50"/>
      <c r="AA36" s="50"/>
      <c r="AB36" s="51"/>
      <c r="AC36" s="50"/>
      <c r="AE36" s="52"/>
    </row>
    <row r="37" s="45" customFormat="true" ht="15" hidden="false" customHeight="true" outlineLevel="0" collapsed="false">
      <c r="A37" s="14" t="n">
        <v>27</v>
      </c>
      <c r="B37" s="14" t="str">
        <f aca="false">'4.KTHH L4'!B49</f>
        <v>30</v>
      </c>
      <c r="C37" s="16" t="n">
        <f aca="false">'4.KTHH L4'!C49</f>
        <v>592.11</v>
      </c>
      <c r="D37" s="14" t="n">
        <f aca="false">'4.KTHH L4'!T49</f>
        <v>17</v>
      </c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 t="n">
        <f aca="false">Chạy!E106</f>
        <v>5.96</v>
      </c>
      <c r="P37" s="47"/>
      <c r="Q37" s="47"/>
      <c r="R37" s="50"/>
      <c r="S37" s="50"/>
      <c r="T37" s="50"/>
      <c r="U37" s="50"/>
      <c r="V37" s="50"/>
      <c r="W37" s="50" t="n">
        <f aca="false">(O37+O38)*D37/2</f>
        <v>96.815</v>
      </c>
      <c r="X37" s="50"/>
      <c r="Y37" s="50"/>
      <c r="Z37" s="50"/>
      <c r="AA37" s="50"/>
      <c r="AB37" s="51"/>
      <c r="AC37" s="50"/>
      <c r="AE37" s="52"/>
    </row>
    <row r="38" s="45" customFormat="true" ht="15" hidden="false" customHeight="true" outlineLevel="0" collapsed="false">
      <c r="A38" s="14" t="n">
        <v>28</v>
      </c>
      <c r="B38" s="14" t="str">
        <f aca="false">'4.KTHH L4'!B50</f>
        <v>31</v>
      </c>
      <c r="C38" s="16" t="n">
        <f aca="false">'4.KTHH L4'!C50</f>
        <v>609.11</v>
      </c>
      <c r="D38" s="14" t="n">
        <f aca="false">'4.KTHH L4'!T50</f>
        <v>11.75</v>
      </c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 t="n">
        <f aca="false">Chạy!E110</f>
        <v>5.43</v>
      </c>
      <c r="P38" s="47"/>
      <c r="Q38" s="47"/>
      <c r="R38" s="50"/>
      <c r="S38" s="50"/>
      <c r="T38" s="50"/>
      <c r="U38" s="50"/>
      <c r="V38" s="50"/>
      <c r="W38" s="50" t="n">
        <f aca="false">(O38+O39)*D38/2</f>
        <v>63.50875</v>
      </c>
      <c r="X38" s="50"/>
      <c r="Y38" s="50"/>
      <c r="Z38" s="50"/>
      <c r="AA38" s="50"/>
      <c r="AB38" s="51"/>
      <c r="AC38" s="50"/>
      <c r="AE38" s="52"/>
    </row>
    <row r="39" s="45" customFormat="true" ht="15" hidden="false" customHeight="true" outlineLevel="0" collapsed="false">
      <c r="A39" s="14" t="n">
        <v>29</v>
      </c>
      <c r="B39" s="14" t="str">
        <f aca="false">'4.KTHH L4'!B51</f>
        <v>E10</v>
      </c>
      <c r="C39" s="16" t="n">
        <f aca="false">'4.KTHH L4'!C51</f>
        <v>620.86</v>
      </c>
      <c r="D39" s="14" t="n">
        <f aca="false">'4.KTHH L4'!T51</f>
        <v>11.75</v>
      </c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 t="n">
        <f aca="false">Chạy!E114</f>
        <v>5.38</v>
      </c>
      <c r="P39" s="47"/>
      <c r="Q39" s="47"/>
      <c r="R39" s="50"/>
      <c r="S39" s="50"/>
      <c r="T39" s="50"/>
      <c r="U39" s="50"/>
      <c r="V39" s="50"/>
      <c r="W39" s="50" t="n">
        <f aca="false">(O39+O40)*D39/2</f>
        <v>65.9175</v>
      </c>
      <c r="X39" s="50"/>
      <c r="Y39" s="50"/>
      <c r="Z39" s="50"/>
      <c r="AA39" s="50"/>
      <c r="AB39" s="51"/>
      <c r="AC39" s="50"/>
      <c r="AE39" s="52"/>
    </row>
    <row r="40" s="45" customFormat="true" ht="15" hidden="false" customHeight="true" outlineLevel="0" collapsed="false">
      <c r="A40" s="14" t="n">
        <v>30</v>
      </c>
      <c r="B40" s="14" t="str">
        <f aca="false">'4.KTHH L4'!B52</f>
        <v>32</v>
      </c>
      <c r="C40" s="16" t="n">
        <f aca="false">'4.KTHH L4'!C52</f>
        <v>632.61</v>
      </c>
      <c r="D40" s="14" t="n">
        <f aca="false">'4.KTHH L4'!T52</f>
        <v>20</v>
      </c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 t="n">
        <f aca="false">Chạy!E118</f>
        <v>5.84</v>
      </c>
      <c r="P40" s="47"/>
      <c r="Q40" s="47"/>
      <c r="R40" s="50"/>
      <c r="S40" s="50"/>
      <c r="T40" s="50"/>
      <c r="U40" s="50"/>
      <c r="V40" s="50"/>
      <c r="W40" s="50" t="n">
        <f aca="false">(O40+O41)*D40/2</f>
        <v>120.4</v>
      </c>
      <c r="X40" s="50"/>
      <c r="Y40" s="50"/>
      <c r="Z40" s="50"/>
      <c r="AA40" s="50"/>
      <c r="AB40" s="51"/>
      <c r="AC40" s="50"/>
      <c r="AE40" s="52"/>
    </row>
    <row r="41" s="45" customFormat="true" ht="15" hidden="false" customHeight="true" outlineLevel="0" collapsed="false">
      <c r="A41" s="14" t="n">
        <v>31</v>
      </c>
      <c r="B41" s="14" t="str">
        <f aca="false">'4.KTHH L4'!B53</f>
        <v>33</v>
      </c>
      <c r="C41" s="16" t="n">
        <f aca="false">'4.KTHH L4'!C53</f>
        <v>652.61</v>
      </c>
      <c r="D41" s="14" t="n">
        <f aca="false">'4.KTHH L4'!T53</f>
        <v>20</v>
      </c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 t="n">
        <f aca="false">Chạy!E122</f>
        <v>6.2</v>
      </c>
      <c r="P41" s="47"/>
      <c r="Q41" s="47"/>
      <c r="R41" s="50"/>
      <c r="S41" s="50"/>
      <c r="T41" s="50"/>
      <c r="U41" s="50"/>
      <c r="V41" s="50"/>
      <c r="W41" s="50" t="n">
        <f aca="false">(O41+O42)*D41/2</f>
        <v>119</v>
      </c>
      <c r="X41" s="50"/>
      <c r="Y41" s="50"/>
      <c r="Z41" s="50"/>
      <c r="AA41" s="50"/>
      <c r="AB41" s="51"/>
      <c r="AC41" s="50"/>
      <c r="AE41" s="52"/>
    </row>
    <row r="42" s="45" customFormat="true" ht="15" hidden="false" customHeight="true" outlineLevel="0" collapsed="false">
      <c r="A42" s="14" t="n">
        <v>32</v>
      </c>
      <c r="B42" s="14" t="str">
        <f aca="false">'4.KTHH L4'!B54</f>
        <v>34</v>
      </c>
      <c r="C42" s="16" t="n">
        <f aca="false">'4.KTHH L4'!C54</f>
        <v>672.61</v>
      </c>
      <c r="D42" s="14" t="n">
        <f aca="false">'4.KTHH L4'!T54</f>
        <v>20</v>
      </c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 t="n">
        <f aca="false">Chạy!E126</f>
        <v>5.7</v>
      </c>
      <c r="P42" s="47"/>
      <c r="Q42" s="47"/>
      <c r="R42" s="50"/>
      <c r="S42" s="50"/>
      <c r="T42" s="50"/>
      <c r="U42" s="50"/>
      <c r="V42" s="50"/>
      <c r="W42" s="50" t="n">
        <f aca="false">(O42+O43)*D42/2</f>
        <v>119.2</v>
      </c>
      <c r="X42" s="50"/>
      <c r="Y42" s="50"/>
      <c r="Z42" s="50"/>
      <c r="AA42" s="50"/>
      <c r="AB42" s="51"/>
      <c r="AC42" s="50"/>
      <c r="AE42" s="52"/>
    </row>
    <row r="43" s="45" customFormat="true" ht="15" hidden="false" customHeight="true" outlineLevel="0" collapsed="false">
      <c r="A43" s="14" t="n">
        <v>33</v>
      </c>
      <c r="B43" s="14" t="str">
        <f aca="false">'4.KTHH L4'!B55</f>
        <v>35</v>
      </c>
      <c r="C43" s="16" t="n">
        <f aca="false">'4.KTHH L4'!C55</f>
        <v>692.61</v>
      </c>
      <c r="D43" s="14" t="n">
        <f aca="false">'4.KTHH L4'!T55</f>
        <v>20</v>
      </c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 t="n">
        <f aca="false">Chạy!E130</f>
        <v>6.22</v>
      </c>
      <c r="P43" s="47"/>
      <c r="Q43" s="47"/>
      <c r="R43" s="50"/>
      <c r="S43" s="50"/>
      <c r="T43" s="50"/>
      <c r="U43" s="50"/>
      <c r="V43" s="50"/>
      <c r="W43" s="50" t="n">
        <f aca="false">(O43+O44)*D43/2</f>
        <v>109.9</v>
      </c>
      <c r="X43" s="50"/>
      <c r="Y43" s="50"/>
      <c r="Z43" s="50"/>
      <c r="AA43" s="50"/>
      <c r="AB43" s="51"/>
      <c r="AC43" s="50"/>
      <c r="AE43" s="52"/>
    </row>
    <row r="44" s="45" customFormat="true" ht="15" hidden="false" customHeight="true" outlineLevel="0" collapsed="false">
      <c r="A44" s="14" t="n">
        <v>34</v>
      </c>
      <c r="B44" s="14" t="str">
        <f aca="false">'4.KTHH L4'!B56</f>
        <v>36</v>
      </c>
      <c r="C44" s="16" t="n">
        <f aca="false">'4.KTHH L4'!C56</f>
        <v>712.61</v>
      </c>
      <c r="D44" s="14" t="n">
        <f aca="false">'4.KTHH L4'!T56</f>
        <v>11.5</v>
      </c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 t="n">
        <f aca="false">Chạy!E134</f>
        <v>4.77</v>
      </c>
      <c r="P44" s="47"/>
      <c r="Q44" s="47"/>
      <c r="R44" s="50"/>
      <c r="S44" s="50"/>
      <c r="T44" s="50"/>
      <c r="U44" s="50"/>
      <c r="V44" s="50"/>
      <c r="W44" s="50" t="n">
        <f aca="false">(O44+O45)*D44/2</f>
        <v>66.1825</v>
      </c>
      <c r="X44" s="50"/>
      <c r="Y44" s="50"/>
      <c r="Z44" s="50"/>
      <c r="AA44" s="50"/>
      <c r="AB44" s="51"/>
      <c r="AC44" s="50"/>
      <c r="AE44" s="52"/>
    </row>
    <row r="45" s="45" customFormat="true" ht="15" hidden="false" customHeight="true" outlineLevel="0" collapsed="false">
      <c r="A45" s="14" t="n">
        <v>35</v>
      </c>
      <c r="B45" s="14" t="str">
        <f aca="false">'4.KTHH L4'!B57</f>
        <v>37</v>
      </c>
      <c r="C45" s="16" t="n">
        <f aca="false">'4.KTHH L4'!C57</f>
        <v>724.11</v>
      </c>
      <c r="D45" s="14" t="n">
        <f aca="false">'4.KTHH L4'!T57</f>
        <v>13.25</v>
      </c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 t="n">
        <f aca="false">Chạy!E138</f>
        <v>6.74</v>
      </c>
      <c r="P45" s="47"/>
      <c r="Q45" s="47"/>
      <c r="R45" s="50"/>
      <c r="S45" s="50"/>
      <c r="T45" s="50"/>
      <c r="U45" s="50"/>
      <c r="V45" s="50"/>
      <c r="W45" s="50" t="n">
        <f aca="false">(O45+O46)*D45/2</f>
        <v>82.34875</v>
      </c>
      <c r="X45" s="50"/>
      <c r="Y45" s="50"/>
      <c r="Z45" s="50"/>
      <c r="AA45" s="50"/>
      <c r="AB45" s="51"/>
      <c r="AC45" s="50"/>
      <c r="AE45" s="52"/>
    </row>
    <row r="46" s="45" customFormat="true" ht="15" hidden="false" customHeight="true" outlineLevel="0" collapsed="false">
      <c r="A46" s="14" t="n">
        <v>36</v>
      </c>
      <c r="B46" s="14" t="str">
        <f aca="false">'4.KTHH L4'!B58</f>
        <v>G6</v>
      </c>
      <c r="C46" s="16" t="n">
        <f aca="false">'4.KTHH L4'!C58</f>
        <v>737.36</v>
      </c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 t="n">
        <f aca="false">Chạy!E142</f>
        <v>5.69</v>
      </c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85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SUM(W11:W46)</f>
        <v>2725.9628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74</v>
      </c>
      <c r="B53" s="20"/>
      <c r="C53" s="20"/>
      <c r="D53" s="65" t="s">
        <v>86</v>
      </c>
      <c r="E53" s="20" t="s">
        <v>75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76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77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2026-10-13T06:36:28Z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