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 KTHH L1" sheetId="2" state="visible" r:id="rId4"/>
    <sheet name="KL L1" sheetId="3" state="visible" r:id="rId5"/>
    <sheet name="1. KTHH L2" sheetId="4" state="visible" r:id="rId6"/>
    <sheet name="KL L2" sheetId="5" state="visible" r:id="rId7"/>
    <sheet name="1. KTHH L3" sheetId="6" state="visible" r:id="rId8"/>
    <sheet name="KL L3" sheetId="7" state="visible" r:id="rId9"/>
    <sheet name="1. KTHH L4" sheetId="8" state="visible" r:id="rId10"/>
    <sheet name="KL L4" sheetId="9" state="visible" r:id="rId11"/>
  </sheets>
  <externalReferences>
    <externalReference r:id="rIdExt1"/>
  </externalReferences>
  <definedNames>
    <definedName function="false" hidden="false" localSheetId="1" name="_xlnm.Print_Area" vbProcedure="false">'1. KTHH L1'!$A$1:$P$67</definedName>
    <definedName function="false" hidden="false" localSheetId="1" name="_xlnm.Print_Titles" vbProcedure="false">'1. KTHH L1'!$19:$20</definedName>
    <definedName function="false" hidden="false" localSheetId="3" name="_xlnm.Print_Area" vbProcedure="false">'1. KTHH L2'!$A$1:$P$67</definedName>
    <definedName function="false" hidden="false" localSheetId="3" name="_xlnm.Print_Titles" vbProcedure="false">'1. KTHH L2'!$19:$20</definedName>
    <definedName function="false" hidden="false" localSheetId="5" name="_xlnm.Print_Area" vbProcedure="false">'1. KTHH L3'!$A$1:$P$67</definedName>
    <definedName function="false" hidden="false" localSheetId="5" name="_xlnm.Print_Titles" vbProcedure="false">'1. KTHH L3'!$19:$20</definedName>
    <definedName function="false" hidden="false" localSheetId="7" name="_xlnm.Print_Area" vbProcedure="false">'1. KTHH L4'!$A$1:$P$66</definedName>
    <definedName function="false" hidden="false" localSheetId="7" name="_xlnm.Print_Titles" vbProcedure="false">'1. KTHH L4'!$18:$19</definedName>
    <definedName function="false" hidden="false" localSheetId="2" name="_xlnm.Print_Area" vbProcedure="false">'KL L1'!$A$1:$G$58</definedName>
    <definedName function="false" hidden="false" localSheetId="4" name="_xlnm.Print_Area" vbProcedure="false">'KL L2'!$A$1:$G$58</definedName>
    <definedName function="false" hidden="false" localSheetId="6" name="_xlnm.Print_Area" vbProcedure="false">'KL L3'!$A$1:$G$58</definedName>
    <definedName function="false" hidden="false" localSheetId="8" name="_xlnm.Print_Area" vbProcedure="false">'KL L4'!$A$1:$G$58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<sst xmlns="http://schemas.openxmlformats.org/spreadsheetml/2006/main" count="556" uniqueCount="61">
  <si>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</si>
  <si>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</si>
  <si>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</si>
  <si>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</si>
  <si>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</si>
  <si>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</si>
  <si>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</si>
  <si>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</si>
  <si>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</si>
  <si>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</si>
  <si>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</si>
  <si>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</si>
  <si>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</si>
  <si>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</si>
  <si>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</si>
  <si>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</si>
  <si>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</si>
  <si>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20</t>
  </si>
  <si>
    <t xml:space="preserve">-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</si>
  <si>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</si>
  <si>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</si>
  <si>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</si>
  <si>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</si>
  <si>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</si>
  <si>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PHỤ LỤC KIỂM TRA CAO ĐỘ, KÍCH THƯỚC HÌNH HỌC</t>
  </si>
  <si>
    <t xml:space="preserve">Kèm theo BBNT số: 46.NĐXD8/CVXD ngày 07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</si>
  <si>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</si>
  <si>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</si>
  <si>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</si>
  <si>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</si>
  <si>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</si>
  <si>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lề đường lớp 1, độ chặt K&gt;=0,95 đoạn từ Km0+394,75 - Km0+489,19</t>
  </si>
  <si>
    <t xml:space="preserve">Sơ họa:</t>
  </si>
  <si>
    <t xml:space="preserve">TT</t>
  </si>
  <si>
    <t xml:space="preserve">Tên cọc</t>
  </si>
  <si>
    <t xml:space="preserve">Lý trình</t>
  </si>
  <si>
    <t xml:space="preserve">Lề trái (H1)</t>
  </si>
  <si>
    <t xml:space="preserve">Lề trái (H2)</t>
  </si>
  <si>
    <t xml:space="preserve">Lề phải (H3)</t>
  </si>
  <si>
    <t xml:space="preserve">Lề phải (H4)</t>
  </si>
  <si>
    <t xml:space="preserve">Ghi chú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</si>
  <si>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</si>
  <si>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</si>
  <si>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</si>
  <si>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</si>
  <si>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</si>
  <si>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</si>
  <si>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</si>
  <si>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</si>
  <si>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</si>
  <si>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</si>
  <si>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</si>
  <si>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</si>
  <si>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</si>
  <si>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48.NĐXD8/CVXD ngày 08 tháng 09 năm 2026</t>
  </si>
  <si>
    <t xml:space="preserve">Đắp đất lề đường lớp 2, độ chặt K&gt;=0,95 đoạn từ Km0+394,75 - Km0+489,19</t>
  </si>
  <si>
    <t xml:space="preserve">Kèm theo BBNT số: 50.NĐXD8/CVXD ngày 09 tháng 09 năm 2026</t>
  </si>
  <si>
    <t xml:space="preserve">Đắp đất lề đường lớp 3, độ chặt K&gt;=0,95 đoạn từ Km0+394,75 - Km0+489,19</t>
  </si>
  <si>
    <t xml:space="preserve">Kèm theo BBNT số: 51.NĐXD8/CVXD ngày 10 tháng 09 năm 2026</t>
  </si>
  <si>
    <t xml:space="preserve">Đắp đất lề đường lớp 4, độ chặt K&gt;=0,95 đoạn từ Km0+394,75 - Km0+489,19</t>
  </si>
  <si>
    <t xml:space="preserve">Lê Minh Hải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</si>
</sst>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(* #,##0.000_);_(* \(#,##0.000\);_(* \-??_);_(@_)"/>
    <numFmt numFmtId="171" formatCode="_-* #,##0\ _₫_-;\-* #,##0\ _₫_-;_-* \-??\ _₫_-;_-@_-"/>
    <numFmt numFmtId="172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2"/>
      <name val="Times New Roman"/>
      <family val="1"/>
      <charset val="1"/>
    </font>
    <font>
      <sz val="12"/>
      <name val="Times New Roman"/>
      <family val="1"/>
      <charset val="1"/>
    </font>
    <font>
      <sz val="12"/>
      <color theme="1"/>
      <name val="Calibri"/>
      <family val="2"/>
      <charset val="163"/>
    </font>
    <font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2"/>
      <name val=".VnTime"/>
      <family val="2"/>
      <charset val="1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1"/>
      <name val="Times New Roman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2"/>
      <charset val="163"/>
    </font>
    <font>
      <i val="true"/>
      <sz val="1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.VnTimeH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347400</xdr:colOff>
      <xdr:row>7</xdr:row>
      <xdr:rowOff>78480</xdr:rowOff>
    </xdr:from>
    <xdr:to>
      <xdr:col>15</xdr:col>
      <xdr:colOff>356760</xdr:colOff>
      <xdr:row>17</xdr:row>
      <xdr:rowOff>14040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729720" y="1726200"/>
          <a:ext cx="9834840" cy="188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414720</xdr:colOff>
      <xdr:row>7</xdr:row>
      <xdr:rowOff>179280</xdr:rowOff>
    </xdr:from>
    <xdr:to>
      <xdr:col>14</xdr:col>
      <xdr:colOff>425520</xdr:colOff>
      <xdr:row>16</xdr:row>
      <xdr:rowOff>140040</xdr:rowOff>
    </xdr:to>
    <xdr:pic>
      <xdr:nvPicPr>
        <xdr:cNvPr id="1" name="Picture 1" descr=""/>
        <xdr:cNvPicPr/>
      </xdr:nvPicPr>
      <xdr:blipFill>
        <a:blip r:embed="rId1"/>
        <a:stretch/>
      </xdr:blipFill>
      <xdr:spPr>
        <a:xfrm>
          <a:off x="797040" y="1827000"/>
          <a:ext cx="9224640" cy="1722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493200</xdr:colOff>
      <xdr:row>7</xdr:row>
      <xdr:rowOff>111960</xdr:rowOff>
    </xdr:from>
    <xdr:to>
      <xdr:col>13</xdr:col>
      <xdr:colOff>436680</xdr:colOff>
      <xdr:row>15</xdr:row>
      <xdr:rowOff>139680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875520" y="1521720"/>
          <a:ext cx="8545680" cy="155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425880</xdr:colOff>
      <xdr:row>7</xdr:row>
      <xdr:rowOff>78480</xdr:rowOff>
    </xdr:from>
    <xdr:to>
      <xdr:col>14</xdr:col>
      <xdr:colOff>106560</xdr:colOff>
      <xdr:row>16</xdr:row>
      <xdr:rowOff>21960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808200" y="1478520"/>
          <a:ext cx="8834040" cy="16581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29</v>
          </cell>
          <cell r="B3" t="str">
            <v xml:space="preserve">Kiểm tra cao độ đường đen đoạn từ Km0+394,75 -:- Km0+489,19</v>
          </cell>
          <cell r="D3" t="str">
            <v xml:space="preserve">ngày 29 tháng 08 năm 2026</v>
          </cell>
          <cell r="G3" t="str">
            <v xml:space="preserve">29.NĐXD8/CVXD </v>
          </cell>
        </row>
        <row r="4">
          <cell r="A4">
            <v>30</v>
          </cell>
          <cell r="B4" t="str">
            <v xml:space="preserve">Đào đất xử lý nền đường đoạn từ Km0+394,75 - Km0+489,19</v>
          </cell>
          <cell r="D4" t="str">
            <v xml:space="preserve">ngày 30 tháng 08 năm 2026</v>
          </cell>
          <cell r="G4" t="str">
            <v xml:space="preserve">30.NĐXD8/CVXD </v>
          </cell>
        </row>
        <row r="5">
          <cell r="A5">
            <v>31</v>
          </cell>
          <cell r="B5" t="str">
            <v xml:space="preserve">Rải vải địa kỹ thuật đoạn từ Km0+394,75 - Km0+489,19</v>
          </cell>
          <cell r="D5" t="str">
            <v xml:space="preserve">ngày 31 tháng 08 năm 2026</v>
          </cell>
          <cell r="G5" t="str">
            <v xml:space="preserve">31.NĐXD8/CVXD </v>
          </cell>
        </row>
        <row r="6">
          <cell r="A6">
            <v>32</v>
          </cell>
          <cell r="B6" t="str">
            <v xml:space="preserve">Đắp cát nền đường lớp 1 đoạn từ Km0+394,75 - Km0+489,19, độ chặt K&gt;=0,95</v>
          </cell>
          <cell r="D6" t="str">
            <v xml:space="preserve">ngày 31 tháng 08 năm 2026</v>
          </cell>
          <cell r="G6" t="str">
            <v xml:space="preserve">32.NĐXD8/CVXD </v>
          </cell>
        </row>
        <row r="7">
          <cell r="A7">
            <v>33</v>
          </cell>
          <cell r="B7" t="str">
            <v xml:space="preserve">Đắp cát nền đường lớp 2 đoạn từ Km0+394,75 - Km0+489,19, độ chặt K&gt;=0,95</v>
          </cell>
          <cell r="D7" t="str">
            <v xml:space="preserve">ngày 03 tháng 09 năm 2026</v>
          </cell>
          <cell r="G7" t="str">
            <v xml:space="preserve">33.NĐXD8/CVXD </v>
          </cell>
        </row>
        <row r="8">
          <cell r="A8">
            <v>34</v>
          </cell>
          <cell r="B8" t="str">
            <v xml:space="preserve">Đắp cát nền đường lớp 3 đoạn từ Km0+394,75 - Km0+489,19, độ chặt K&gt;=0,95</v>
          </cell>
          <cell r="D8" t="str">
            <v xml:space="preserve">ngày 03 tháng 09 năm 2026</v>
          </cell>
          <cell r="G8" t="str">
            <v xml:space="preserve">34.NĐXD8/CVXD </v>
          </cell>
        </row>
        <row r="9">
          <cell r="A9">
            <v>35</v>
          </cell>
          <cell r="B9" t="str">
            <v xml:space="preserve">Đắp cát nền đường lớp 4 đoạn từ Km0+394,75 - Km0+489,19, độ chặt K&gt;=0,95</v>
          </cell>
          <cell r="D9" t="str">
            <v xml:space="preserve">ngày 03 tháng 09 năm 2026</v>
          </cell>
          <cell r="G9" t="str">
            <v xml:space="preserve">35.NĐXD8/CVXD </v>
          </cell>
        </row>
        <row r="10">
          <cell r="A10">
            <v>36</v>
          </cell>
          <cell r="B10" t="str">
            <v xml:space="preserve">Đắp đất nền đường lớp 1 đoạn từ Km0+394,75 - Km0+489,19, độ chặt K&gt;=0,95</v>
          </cell>
          <cell r="D10" t="str">
            <v xml:space="preserve">ngày 03 tháng 09 năm 2026</v>
          </cell>
          <cell r="G10" t="str">
            <v xml:space="preserve">36.NĐXD8/CVXD </v>
          </cell>
        </row>
        <row r="11">
          <cell r="A11">
            <v>37</v>
          </cell>
          <cell r="B11" t="str">
            <v xml:space="preserve">Đắp đất nền đường lớp 2 đoạn từ Km0+394,75 - Km0+489,19, độ chặt K&gt;=0,95</v>
          </cell>
          <cell r="D11" t="str">
            <v xml:space="preserve">ngày 03 tháng 09 năm 2026</v>
          </cell>
          <cell r="G11" t="str">
            <v xml:space="preserve">37.NĐXD8/CVXD </v>
          </cell>
        </row>
        <row r="12">
          <cell r="A12">
            <v>38</v>
          </cell>
          <cell r="B12" t="str">
            <v xml:space="preserve">Đắp đất nền đường lớp 3 đoạn từ Km0+394,75 - Km0+489,19, độ chặt K&gt;=0,95</v>
          </cell>
          <cell r="D12" t="str">
            <v xml:space="preserve">ngày 03 tháng 09 năm 2026</v>
          </cell>
          <cell r="G12" t="str">
            <v xml:space="preserve">38.NĐXD8/CVXD </v>
          </cell>
        </row>
        <row r="13">
          <cell r="A13">
            <v>39</v>
          </cell>
          <cell r="B13" t="str">
            <v xml:space="preserve">Đắp đất nền đường lớp 4 đoạn từ Km0+394,75 - Km0+489,19, độ chặt K&gt;=0,95</v>
          </cell>
          <cell r="D13" t="str">
            <v xml:space="preserve">ngày 04 tháng 09 năm 2026</v>
          </cell>
          <cell r="G13" t="str">
            <v xml:space="preserve">39.NĐXD8/CVXD </v>
          </cell>
        </row>
        <row r="14">
          <cell r="A14">
            <v>40</v>
          </cell>
          <cell r="B14" t="str">
            <v xml:space="preserve">Đắp đất nền đường lớp 5 đoạn từ Km0+394,75 - Km0+489,19, độ chặt K&gt;=0,95</v>
          </cell>
          <cell r="D14" t="str">
            <v xml:space="preserve">ngày 04 tháng 09 năm 2026</v>
          </cell>
          <cell r="G14" t="str">
            <v xml:space="preserve">40.NĐXD8/CVXD </v>
          </cell>
        </row>
        <row r="15">
          <cell r="A15">
            <v>41</v>
          </cell>
          <cell r="B15" t="str">
            <v xml:space="preserve">Đắp đất nền đường lớp 6 đoạn từ Km0+394,75 - Km0+489,19, độ chặt K&gt;=0,95</v>
          </cell>
          <cell r="D15" t="str">
            <v xml:space="preserve">ngày 05 tháng 09 năm 2026</v>
          </cell>
          <cell r="G15" t="str">
            <v xml:space="preserve">41.NĐXD8/CVXD </v>
          </cell>
        </row>
        <row r="16">
          <cell r="A16">
            <v>42</v>
          </cell>
          <cell r="B16" t="str">
            <v xml:space="preserve">Đắp đất nền đường lớp 7 đoạn từ Km0+394,75 - Km0+489,19, độ chặt K&gt;=0,95</v>
          </cell>
          <cell r="D16" t="str">
            <v xml:space="preserve">ngày 05 tháng 09 năm 2026</v>
          </cell>
          <cell r="G16" t="str">
            <v xml:space="preserve">42.NĐXD8/CVXD </v>
          </cell>
        </row>
        <row r="17">
          <cell r="A17">
            <v>43</v>
          </cell>
          <cell r="B17" t="str">
            <v xml:space="preserve">Đắp đất nền đường lớp 8 đoạn từ Km0+394,75 - Km0+489,19, độ chặt K&gt;=0,95</v>
          </cell>
          <cell r="D17" t="str">
            <v xml:space="preserve">ngày 06 tháng 09 năm 2026</v>
          </cell>
          <cell r="G17" t="str">
            <v xml:space="preserve">43.NĐXD8/CVXD </v>
          </cell>
        </row>
        <row r="18">
          <cell r="A18">
            <v>44</v>
          </cell>
          <cell r="B18" t="str">
            <v xml:space="preserve">Đắp đất nền đường lớp 9 đoạn từ Km0+394,75 - Km0+489,19, độ chặt K&gt;=0,95</v>
          </cell>
          <cell r="D18" t="str">
            <v xml:space="preserve">ngày 06 tháng 09 năm 2026</v>
          </cell>
          <cell r="G18" t="str">
            <v xml:space="preserve">44.NĐXD8/CVXD </v>
          </cell>
        </row>
        <row r="19">
          <cell r="A19">
            <v>45</v>
          </cell>
          <cell r="B19" t="str">
            <v xml:space="preserve">Đắp đất nền đường lớp 1, độ chặt K&gt;=0,98 đoạn từ Km0+394,75 - Km0+489,19</v>
          </cell>
          <cell r="D19" t="str">
            <v xml:space="preserve">ngày 07 tháng 09 năm 2026</v>
          </cell>
          <cell r="G19" t="str">
            <v xml:space="preserve">45.NĐXD8/CVXD </v>
          </cell>
        </row>
        <row r="20">
          <cell r="A20">
            <v>46</v>
          </cell>
          <cell r="B20" t="str">
            <v xml:space="preserve">Đắp đất lề đường lớp 1, độ chặt K&gt;=0,95 đoạn từ Km0+394,75 - Km0+489,19</v>
          </cell>
          <cell r="D20" t="str">
            <v xml:space="preserve">ngày 07 tháng 09 năm 2026</v>
          </cell>
          <cell r="G20" t="str">
            <v xml:space="preserve">46.NĐXD8/CVXD </v>
          </cell>
        </row>
        <row r="21">
          <cell r="A21">
            <v>47</v>
          </cell>
          <cell r="B21" t="str">
            <v xml:space="preserve">Đắp đất nền đường lớp 2, độ chặt K&gt;=0,98 đoạn từ Km0+394,75 - Km0+489,19</v>
          </cell>
          <cell r="D21" t="str">
            <v xml:space="preserve">ngày 08 tháng 09 năm 2026</v>
          </cell>
          <cell r="G21" t="str">
            <v xml:space="preserve">47.NĐXD8/CVXD </v>
          </cell>
        </row>
        <row r="22">
          <cell r="A22">
            <v>48</v>
          </cell>
          <cell r="B22" t="str">
            <v xml:space="preserve">Đắp đất lề đường lớp 2, độ chặt K&gt;=0,95 đoạn từ Km0+394,75 - Km0+489,19</v>
          </cell>
          <cell r="D22" t="str">
            <v xml:space="preserve">ngày 08 tháng 09 năm 2026</v>
          </cell>
          <cell r="G22" t="str">
            <v xml:space="preserve">48.NĐXD8/CVXD </v>
          </cell>
        </row>
        <row r="23">
          <cell r="A23">
            <v>49</v>
          </cell>
          <cell r="B23" t="str">
            <v xml:space="preserve">Đắp cấp phối đá dăm loại 2 đoạn từ Km0+394,75 - Km0+489,19</v>
          </cell>
          <cell r="D23" t="str">
            <v xml:space="preserve">ngày 09 tháng 09 năm 2026</v>
          </cell>
          <cell r="G23" t="str">
            <v xml:space="preserve">49.NĐXD8/CVXD </v>
          </cell>
        </row>
        <row r="24">
          <cell r="A24">
            <v>50</v>
          </cell>
          <cell r="B24" t="str">
            <v xml:space="preserve">Đắp đất lề đường lớp 3, độ chặt K&gt;=0,95 đoạn từ Km0+394,75 - Km0+489,19</v>
          </cell>
          <cell r="D24" t="str">
            <v xml:space="preserve">ngày 09 tháng 09 năm 2026</v>
          </cell>
          <cell r="G24" t="str">
            <v xml:space="preserve">50.NĐXD8/CVXD </v>
          </cell>
        </row>
        <row r="25">
          <cell r="A25">
            <v>51</v>
          </cell>
          <cell r="B25" t="str">
            <v xml:space="preserve">Đắp đất lề đường lớp 4, độ chặt K&gt;=0,95 đoạn từ Km0+394,75 - Km0+489,19</v>
          </cell>
          <cell r="D25" t="str">
            <v xml:space="preserve">ngày 10 tháng 09 năm 2026</v>
          </cell>
          <cell r="G25" t="str">
            <v xml:space="preserve">51.NĐXD8/CVXD </v>
          </cell>
        </row>
        <row r="26">
          <cell r="A26">
            <v>52</v>
          </cell>
          <cell r="B26" t="str">
            <v xml:space="preserve">Đắp cấp phối đá dăm loại 1 đoạn từ Km0+394,75 - Km0+489,19</v>
          </cell>
          <cell r="D26" t="str">
            <v xml:space="preserve">ngày 10 tháng 09 năm 2026</v>
          </cell>
          <cell r="G26" t="str">
            <v xml:space="preserve">52.NĐXD8/CVXD </v>
          </cell>
        </row>
        <row r="27">
          <cell r="A27">
            <v>53</v>
          </cell>
          <cell r="B27" t="str">
            <v xml:space="preserve">Vệ sinh, thổi bụi mặt đường </v>
          </cell>
          <cell r="D27" t="str">
            <v xml:space="preserve">ngày 12 tháng 09 năm 2026</v>
          </cell>
          <cell r="G27" t="str">
            <v xml:space="preserve">53.NĐXD8/CVXD </v>
          </cell>
        </row>
        <row r="28">
          <cell r="A28">
            <v>54</v>
          </cell>
          <cell r="B28" t="str">
            <v xml:space="preserve">Tưới lớp thấm bám mặt đường, nhựa MC70, lượng nhựa 1kg/m2</v>
          </cell>
          <cell r="D28" t="str">
            <v xml:space="preserve">ngày 14 tháng 09 năm 2026</v>
          </cell>
          <cell r="G28" t="str">
            <v xml:space="preserve">54.NĐXD8/CVXD </v>
          </cell>
        </row>
        <row r="29">
          <cell r="A29">
            <v>55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17 tháng 09 năm 2026</v>
          </cell>
          <cell r="G29" t="str">
            <v xml:space="preserve">55.NĐXD8/CVXD </v>
          </cell>
        </row>
        <row r="30">
          <cell r="A30">
            <v>56</v>
          </cell>
          <cell r="B30" t="str">
            <v xml:space="preserve">Bê tông nhựa C16 - Chiều dày mặt đường đã lèn ép 6cm</v>
          </cell>
          <cell r="D30" t="str">
            <v xml:space="preserve">ngày 19 tháng 09 năm 2026</v>
          </cell>
          <cell r="G30" t="str">
            <v xml:space="preserve">56.NĐXD8/CVXD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S33" activeCellId="0" sqref="S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2" width="3.42"/>
    <col collapsed="false" customWidth="true" hidden="false" outlineLevel="0" max="7" min="7" style="2" width="9.14"/>
    <col collapsed="false" customWidth="true" hidden="false" outlineLevel="0" max="9" min="9" style="2" width="9.14"/>
    <col collapsed="false" customWidth="true" hidden="false" outlineLevel="0" max="13" min="13" style="2" width="9.14"/>
    <col collapsed="false" customWidth="true" hidden="false" outlineLevel="0" max="15" min="15" style="2" width="9.1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394.75</v>
      </c>
      <c r="D2" s="0" t="n">
        <v>4</v>
      </c>
      <c r="E2" s="0" t="n">
        <v>1.56</v>
      </c>
      <c r="F2" s="0" t="n">
        <v>-10.12</v>
      </c>
      <c r="G2" s="2" t="n">
        <v>2.96</v>
      </c>
      <c r="H2" s="0" t="n">
        <v>-5.51</v>
      </c>
      <c r="I2" s="2" t="n">
        <v>2.67</v>
      </c>
      <c r="J2" s="1" t="s">
        <v>18</v>
      </c>
      <c r="K2" s="1" t="s">
        <v>18</v>
      </c>
      <c r="L2" s="1" t="s">
        <v>18</v>
      </c>
      <c r="M2" s="2" t="s">
        <v>18</v>
      </c>
      <c r="N2" s="1" t="s">
        <v>18</v>
      </c>
      <c r="O2" s="2" t="s">
        <v>18</v>
      </c>
      <c r="P2" s="0" t="n">
        <v>5.77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1.05</v>
      </c>
      <c r="F3" s="0" t="n">
        <v>-10.93</v>
      </c>
      <c r="G3" s="2" t="n">
        <v>2.61</v>
      </c>
      <c r="H3" s="0" t="n">
        <v>-5.25</v>
      </c>
      <c r="I3" s="2" t="n">
        <v>2.61</v>
      </c>
      <c r="J3" s="1" t="s">
        <v>18</v>
      </c>
      <c r="K3" s="1" t="s">
        <v>18</v>
      </c>
      <c r="L3" s="1" t="s">
        <v>18</v>
      </c>
      <c r="M3" s="2" t="s">
        <v>18</v>
      </c>
      <c r="N3" s="1" t="s">
        <v>18</v>
      </c>
      <c r="O3" s="2" t="s">
        <v>18</v>
      </c>
    </row>
    <row r="4" customFormat="false" ht="15" hidden="false" customHeight="false" outlineLevel="0" collapsed="false">
      <c r="D4" s="0" t="n">
        <v>2</v>
      </c>
      <c r="E4" s="0" t="n">
        <v>1.53</v>
      </c>
      <c r="F4" s="0" t="n">
        <v>-11.2</v>
      </c>
      <c r="G4" s="2" t="n">
        <v>2.43</v>
      </c>
      <c r="H4" s="0" t="n">
        <v>-5.25</v>
      </c>
      <c r="I4" s="2" t="n">
        <v>2.43</v>
      </c>
      <c r="J4" s="1" t="s">
        <v>18</v>
      </c>
      <c r="K4" s="1" t="s">
        <v>18</v>
      </c>
      <c r="L4" s="1" t="s">
        <v>18</v>
      </c>
      <c r="M4" s="2" t="s">
        <v>18</v>
      </c>
      <c r="N4" s="1" t="s">
        <v>18</v>
      </c>
      <c r="O4" s="2" t="s">
        <v>18</v>
      </c>
    </row>
    <row r="5" customFormat="false" ht="15" hidden="false" customHeight="false" outlineLevel="0" collapsed="false">
      <c r="D5" s="0" t="n">
        <v>1</v>
      </c>
      <c r="E5" s="0" t="n">
        <v>1.63</v>
      </c>
      <c r="F5" s="0" t="n">
        <v>-11.58</v>
      </c>
      <c r="G5" s="2" t="n">
        <v>2.18</v>
      </c>
      <c r="H5" s="0" t="n">
        <v>-5.25</v>
      </c>
      <c r="I5" s="2" t="n">
        <v>2.18</v>
      </c>
      <c r="J5" s="1" t="s">
        <v>18</v>
      </c>
      <c r="K5" s="1" t="s">
        <v>18</v>
      </c>
      <c r="L5" s="1" t="s">
        <v>18</v>
      </c>
      <c r="M5" s="2" t="s">
        <v>18</v>
      </c>
      <c r="N5" s="1" t="s">
        <v>18</v>
      </c>
      <c r="O5" s="2" t="s">
        <v>18</v>
      </c>
    </row>
    <row r="6" customFormat="false" ht="15" hidden="false" customHeight="false" outlineLevel="0" collapsed="false">
      <c r="A6" s="1" t="n">
        <v>1</v>
      </c>
      <c r="B6" s="2" t="s">
        <v>17</v>
      </c>
      <c r="C6" s="0" t="n">
        <v>394.75</v>
      </c>
      <c r="D6" s="0" t="n">
        <v>4</v>
      </c>
      <c r="E6" s="0" t="n">
        <v>1.56</v>
      </c>
      <c r="F6" s="1" t="s">
        <v>18</v>
      </c>
      <c r="G6" s="2" t="s">
        <v>18</v>
      </c>
      <c r="H6" s="1" t="s">
        <v>18</v>
      </c>
      <c r="I6" s="2" t="s">
        <v>18</v>
      </c>
      <c r="J6" s="1" t="s">
        <v>18</v>
      </c>
      <c r="K6" s="1" t="s">
        <v>18</v>
      </c>
      <c r="L6" s="0" t="n">
        <v>5.51</v>
      </c>
      <c r="M6" s="2" t="n">
        <v>2.86</v>
      </c>
      <c r="N6" s="0" t="n">
        <v>10.12</v>
      </c>
      <c r="O6" s="2" t="n">
        <v>2.86</v>
      </c>
      <c r="P6" s="0" t="n">
        <v>5.77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1.05</v>
      </c>
      <c r="F7" s="1" t="s">
        <v>18</v>
      </c>
      <c r="G7" s="2" t="s">
        <v>18</v>
      </c>
      <c r="H7" s="1" t="s">
        <v>18</v>
      </c>
      <c r="I7" s="2" t="s">
        <v>18</v>
      </c>
      <c r="J7" s="1" t="s">
        <v>18</v>
      </c>
      <c r="K7" s="1" t="s">
        <v>18</v>
      </c>
      <c r="L7" s="0" t="n">
        <v>5.25</v>
      </c>
      <c r="M7" s="2" t="n">
        <v>2.61</v>
      </c>
      <c r="N7" s="0" t="n">
        <v>10.93</v>
      </c>
      <c r="O7" s="2" t="n">
        <v>2.61</v>
      </c>
    </row>
    <row r="8" customFormat="false" ht="15" hidden="false" customHeight="false" outlineLevel="0" collapsed="false">
      <c r="D8" s="0" t="n">
        <v>2</v>
      </c>
      <c r="E8" s="0" t="n">
        <v>1.53</v>
      </c>
      <c r="F8" s="1" t="s">
        <v>18</v>
      </c>
      <c r="G8" s="2" t="s">
        <v>18</v>
      </c>
      <c r="H8" s="1" t="s">
        <v>18</v>
      </c>
      <c r="I8" s="2" t="s">
        <v>18</v>
      </c>
      <c r="J8" s="1" t="s">
        <v>18</v>
      </c>
      <c r="K8" s="1" t="s">
        <v>18</v>
      </c>
      <c r="L8" s="0" t="n">
        <v>5.25</v>
      </c>
      <c r="M8" s="2" t="n">
        <v>2.43</v>
      </c>
      <c r="N8" s="0" t="n">
        <v>11.2</v>
      </c>
      <c r="O8" s="2" t="n">
        <v>2.43</v>
      </c>
    </row>
    <row r="9" customFormat="false" ht="15" hidden="false" customHeight="false" outlineLevel="0" collapsed="false">
      <c r="D9" s="0" t="n">
        <v>1</v>
      </c>
      <c r="E9" s="0" t="n">
        <v>1.63</v>
      </c>
      <c r="F9" s="1" t="s">
        <v>18</v>
      </c>
      <c r="G9" s="2" t="s">
        <v>18</v>
      </c>
      <c r="H9" s="1" t="s">
        <v>18</v>
      </c>
      <c r="I9" s="2" t="s">
        <v>18</v>
      </c>
      <c r="J9" s="1" t="s">
        <v>18</v>
      </c>
      <c r="K9" s="1" t="s">
        <v>18</v>
      </c>
      <c r="L9" s="0" t="n">
        <v>5.25</v>
      </c>
      <c r="M9" s="2" t="n">
        <v>2.18</v>
      </c>
      <c r="N9" s="0" t="n">
        <v>11.58</v>
      </c>
      <c r="O9" s="2" t="n">
        <v>2.18</v>
      </c>
    </row>
    <row r="10" customFormat="false" ht="15" hidden="false" customHeight="false" outlineLevel="0" collapsed="false">
      <c r="A10" s="1" t="n">
        <v>2</v>
      </c>
      <c r="B10" s="2" t="s">
        <v>19</v>
      </c>
      <c r="C10" s="0" t="n">
        <v>414.75</v>
      </c>
      <c r="D10" s="0" t="n">
        <v>4</v>
      </c>
      <c r="E10" s="0" t="n">
        <v>1.56</v>
      </c>
      <c r="F10" s="0" t="n">
        <v>-10.12</v>
      </c>
      <c r="G10" s="2" t="n">
        <v>2.94</v>
      </c>
      <c r="H10" s="0" t="n">
        <v>-5.51</v>
      </c>
      <c r="I10" s="2" t="n">
        <v>2.66</v>
      </c>
      <c r="J10" s="1" t="s">
        <v>18</v>
      </c>
      <c r="K10" s="1" t="s">
        <v>18</v>
      </c>
      <c r="L10" s="1" t="s">
        <v>18</v>
      </c>
      <c r="M10" s="2" t="s">
        <v>18</v>
      </c>
      <c r="N10" s="1" t="s">
        <v>18</v>
      </c>
      <c r="O10" s="2" t="s">
        <v>18</v>
      </c>
      <c r="P10" s="0" t="n">
        <v>5.77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1.05</v>
      </c>
      <c r="F11" s="0" t="n">
        <v>-10.93</v>
      </c>
      <c r="G11" s="2" t="n">
        <v>2.6</v>
      </c>
      <c r="H11" s="0" t="n">
        <v>-5.25</v>
      </c>
      <c r="I11" s="2" t="n">
        <v>2.6</v>
      </c>
      <c r="J11" s="1" t="s">
        <v>18</v>
      </c>
      <c r="K11" s="1" t="s">
        <v>18</v>
      </c>
      <c r="L11" s="1" t="s">
        <v>18</v>
      </c>
      <c r="M11" s="2" t="s">
        <v>18</v>
      </c>
      <c r="N11" s="1" t="s">
        <v>18</v>
      </c>
      <c r="O11" s="2" t="s">
        <v>18</v>
      </c>
    </row>
    <row r="12" customFormat="false" ht="15" hidden="false" customHeight="false" outlineLevel="0" collapsed="false">
      <c r="D12" s="0" t="n">
        <v>2</v>
      </c>
      <c r="E12" s="0" t="n">
        <v>1.53</v>
      </c>
      <c r="F12" s="0" t="n">
        <v>-11.2</v>
      </c>
      <c r="G12" s="2" t="n">
        <v>2.42</v>
      </c>
      <c r="H12" s="0" t="n">
        <v>-5.25</v>
      </c>
      <c r="I12" s="2" t="n">
        <v>2.42</v>
      </c>
      <c r="J12" s="1" t="s">
        <v>18</v>
      </c>
      <c r="K12" s="1" t="s">
        <v>18</v>
      </c>
      <c r="L12" s="1" t="s">
        <v>18</v>
      </c>
      <c r="M12" s="2" t="s">
        <v>18</v>
      </c>
      <c r="N12" s="1" t="s">
        <v>18</v>
      </c>
      <c r="O12" s="2" t="s">
        <v>18</v>
      </c>
    </row>
    <row r="13" customFormat="false" ht="15" hidden="false" customHeight="false" outlineLevel="0" collapsed="false">
      <c r="D13" s="0" t="n">
        <v>1</v>
      </c>
      <c r="E13" s="0" t="n">
        <v>1.63</v>
      </c>
      <c r="F13" s="0" t="n">
        <v>-11.58</v>
      </c>
      <c r="G13" s="2" t="n">
        <v>2.17</v>
      </c>
      <c r="H13" s="0" t="n">
        <v>-5.25</v>
      </c>
      <c r="I13" s="2" t="n">
        <v>2.17</v>
      </c>
      <c r="J13" s="1" t="s">
        <v>18</v>
      </c>
      <c r="K13" s="1" t="s">
        <v>18</v>
      </c>
      <c r="L13" s="1" t="s">
        <v>18</v>
      </c>
      <c r="M13" s="2" t="s">
        <v>18</v>
      </c>
      <c r="N13" s="1" t="s">
        <v>18</v>
      </c>
      <c r="O13" s="2" t="s">
        <v>18</v>
      </c>
    </row>
    <row r="14" customFormat="false" ht="15" hidden="false" customHeight="false" outlineLevel="0" collapsed="false">
      <c r="A14" s="1" t="n">
        <v>2</v>
      </c>
      <c r="B14" s="2" t="s">
        <v>19</v>
      </c>
      <c r="C14" s="0" t="n">
        <v>414.75</v>
      </c>
      <c r="D14" s="0" t="n">
        <v>4</v>
      </c>
      <c r="E14" s="0" t="n">
        <v>1.56</v>
      </c>
      <c r="F14" s="1" t="s">
        <v>18</v>
      </c>
      <c r="G14" s="2" t="s">
        <v>18</v>
      </c>
      <c r="H14" s="1" t="s">
        <v>18</v>
      </c>
      <c r="I14" s="2" t="s">
        <v>18</v>
      </c>
      <c r="J14" s="1" t="s">
        <v>18</v>
      </c>
      <c r="K14" s="1" t="s">
        <v>18</v>
      </c>
      <c r="L14" s="0" t="n">
        <v>5.51</v>
      </c>
      <c r="M14" s="2" t="n">
        <v>2.85</v>
      </c>
      <c r="N14" s="0" t="n">
        <v>10.12</v>
      </c>
      <c r="O14" s="2" t="n">
        <v>2.85</v>
      </c>
      <c r="P14" s="0" t="n">
        <v>5.77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1.05</v>
      </c>
      <c r="F15" s="1" t="s">
        <v>18</v>
      </c>
      <c r="G15" s="2" t="s">
        <v>18</v>
      </c>
      <c r="H15" s="1" t="s">
        <v>18</v>
      </c>
      <c r="I15" s="2" t="s">
        <v>18</v>
      </c>
      <c r="J15" s="1" t="s">
        <v>18</v>
      </c>
      <c r="K15" s="1" t="s">
        <v>18</v>
      </c>
      <c r="L15" s="0" t="n">
        <v>5.25</v>
      </c>
      <c r="M15" s="2" t="n">
        <v>2.6</v>
      </c>
      <c r="N15" s="0" t="n">
        <v>10.93</v>
      </c>
      <c r="O15" s="2" t="n">
        <v>2.6</v>
      </c>
    </row>
    <row r="16" customFormat="false" ht="15" hidden="false" customHeight="false" outlineLevel="0" collapsed="false">
      <c r="D16" s="0" t="n">
        <v>2</v>
      </c>
      <c r="E16" s="0" t="n">
        <v>1.53</v>
      </c>
      <c r="F16" s="1" t="s">
        <v>18</v>
      </c>
      <c r="G16" s="2" t="s">
        <v>18</v>
      </c>
      <c r="H16" s="1" t="s">
        <v>18</v>
      </c>
      <c r="I16" s="2" t="s">
        <v>18</v>
      </c>
      <c r="J16" s="1" t="s">
        <v>18</v>
      </c>
      <c r="K16" s="1" t="s">
        <v>18</v>
      </c>
      <c r="L16" s="0" t="n">
        <v>5.25</v>
      </c>
      <c r="M16" s="2" t="n">
        <v>2.42</v>
      </c>
      <c r="N16" s="0" t="n">
        <v>11.2</v>
      </c>
      <c r="O16" s="2" t="n">
        <v>2.42</v>
      </c>
    </row>
    <row r="17" customFormat="false" ht="15" hidden="false" customHeight="false" outlineLevel="0" collapsed="false">
      <c r="D17" s="0" t="n">
        <v>1</v>
      </c>
      <c r="E17" s="0" t="n">
        <v>1.63</v>
      </c>
      <c r="F17" s="1" t="s">
        <v>18</v>
      </c>
      <c r="G17" s="2" t="s">
        <v>18</v>
      </c>
      <c r="H17" s="1" t="s">
        <v>18</v>
      </c>
      <c r="I17" s="2" t="s">
        <v>18</v>
      </c>
      <c r="J17" s="1" t="s">
        <v>18</v>
      </c>
      <c r="K17" s="1" t="s">
        <v>18</v>
      </c>
      <c r="L17" s="0" t="n">
        <v>5.25</v>
      </c>
      <c r="M17" s="2" t="n">
        <v>2.17</v>
      </c>
      <c r="N17" s="0" t="n">
        <v>11.58</v>
      </c>
      <c r="O17" s="2" t="n">
        <v>2.17</v>
      </c>
    </row>
    <row r="18" customFormat="false" ht="15" hidden="false" customHeight="false" outlineLevel="0" collapsed="false">
      <c r="A18" s="1" t="n">
        <v>3</v>
      </c>
      <c r="B18" s="2" t="s">
        <v>20</v>
      </c>
      <c r="C18" s="0" t="n">
        <v>434.75</v>
      </c>
      <c r="D18" s="0" t="n">
        <v>4</v>
      </c>
      <c r="E18" s="0" t="n">
        <v>1.56</v>
      </c>
      <c r="F18" s="0" t="n">
        <v>-10.12</v>
      </c>
      <c r="G18" s="2" t="n">
        <v>2.93</v>
      </c>
      <c r="H18" s="0" t="n">
        <v>-5.51</v>
      </c>
      <c r="I18" s="2" t="n">
        <v>2.65</v>
      </c>
      <c r="J18" s="1" t="s">
        <v>18</v>
      </c>
      <c r="K18" s="1" t="s">
        <v>18</v>
      </c>
      <c r="L18" s="1" t="s">
        <v>18</v>
      </c>
      <c r="M18" s="2" t="s">
        <v>18</v>
      </c>
      <c r="N18" s="1" t="s">
        <v>18</v>
      </c>
      <c r="O18" s="2" t="s">
        <v>18</v>
      </c>
      <c r="P18" s="0" t="n">
        <v>5.77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1.05</v>
      </c>
      <c r="F19" s="0" t="n">
        <v>-10.93</v>
      </c>
      <c r="G19" s="2" t="n">
        <v>2.59</v>
      </c>
      <c r="H19" s="0" t="n">
        <v>-5.25</v>
      </c>
      <c r="I19" s="2" t="n">
        <v>2.59</v>
      </c>
      <c r="J19" s="1" t="s">
        <v>18</v>
      </c>
      <c r="K19" s="1" t="s">
        <v>18</v>
      </c>
      <c r="L19" s="1" t="s">
        <v>18</v>
      </c>
      <c r="M19" s="2" t="s">
        <v>18</v>
      </c>
      <c r="N19" s="1" t="s">
        <v>18</v>
      </c>
      <c r="O19" s="2" t="s">
        <v>18</v>
      </c>
    </row>
    <row r="20" customFormat="false" ht="15" hidden="false" customHeight="false" outlineLevel="0" collapsed="false">
      <c r="D20" s="0" t="n">
        <v>2</v>
      </c>
      <c r="E20" s="0" t="n">
        <v>1.53</v>
      </c>
      <c r="F20" s="0" t="n">
        <v>-11.2</v>
      </c>
      <c r="G20" s="2" t="n">
        <v>2.41</v>
      </c>
      <c r="H20" s="0" t="n">
        <v>-5.25</v>
      </c>
      <c r="I20" s="2" t="n">
        <v>2.41</v>
      </c>
      <c r="J20" s="1" t="s">
        <v>18</v>
      </c>
      <c r="K20" s="1" t="s">
        <v>18</v>
      </c>
      <c r="L20" s="1" t="s">
        <v>18</v>
      </c>
      <c r="M20" s="2" t="s">
        <v>18</v>
      </c>
      <c r="N20" s="1" t="s">
        <v>18</v>
      </c>
      <c r="O20" s="2" t="s">
        <v>18</v>
      </c>
    </row>
    <row r="21" customFormat="false" ht="15" hidden="false" customHeight="false" outlineLevel="0" collapsed="false">
      <c r="D21" s="0" t="n">
        <v>1</v>
      </c>
      <c r="E21" s="0" t="n">
        <v>1.63</v>
      </c>
      <c r="F21" s="0" t="n">
        <v>-11.58</v>
      </c>
      <c r="G21" s="2" t="n">
        <v>2.16</v>
      </c>
      <c r="H21" s="0" t="n">
        <v>-5.25</v>
      </c>
      <c r="I21" s="2" t="n">
        <v>2.16</v>
      </c>
      <c r="J21" s="1" t="s">
        <v>18</v>
      </c>
      <c r="K21" s="1" t="s">
        <v>18</v>
      </c>
      <c r="L21" s="1" t="s">
        <v>18</v>
      </c>
      <c r="M21" s="2" t="s">
        <v>18</v>
      </c>
      <c r="N21" s="1" t="s">
        <v>18</v>
      </c>
      <c r="O21" s="2" t="s">
        <v>18</v>
      </c>
    </row>
    <row r="22" customFormat="false" ht="15" hidden="false" customHeight="false" outlineLevel="0" collapsed="false">
      <c r="A22" s="1" t="n">
        <v>3</v>
      </c>
      <c r="B22" s="2" t="s">
        <v>20</v>
      </c>
      <c r="C22" s="0" t="n">
        <v>434.75</v>
      </c>
      <c r="D22" s="0" t="n">
        <v>4</v>
      </c>
      <c r="E22" s="0" t="n">
        <v>1.56</v>
      </c>
      <c r="F22" s="1" t="s">
        <v>18</v>
      </c>
      <c r="G22" s="2" t="s">
        <v>18</v>
      </c>
      <c r="H22" s="1" t="s">
        <v>18</v>
      </c>
      <c r="I22" s="2" t="s">
        <v>18</v>
      </c>
      <c r="J22" s="1" t="s">
        <v>18</v>
      </c>
      <c r="K22" s="1" t="s">
        <v>18</v>
      </c>
      <c r="L22" s="0" t="n">
        <v>5.51</v>
      </c>
      <c r="M22" s="2" t="n">
        <v>2.84</v>
      </c>
      <c r="N22" s="0" t="n">
        <v>10.12</v>
      </c>
      <c r="O22" s="2" t="n">
        <v>2.83</v>
      </c>
      <c r="P22" s="0" t="n">
        <v>5.77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1.05</v>
      </c>
      <c r="F23" s="1" t="s">
        <v>18</v>
      </c>
      <c r="G23" s="2" t="s">
        <v>18</v>
      </c>
      <c r="H23" s="1" t="s">
        <v>18</v>
      </c>
      <c r="I23" s="2" t="s">
        <v>18</v>
      </c>
      <c r="J23" s="1" t="s">
        <v>18</v>
      </c>
      <c r="K23" s="1" t="s">
        <v>18</v>
      </c>
      <c r="L23" s="0" t="n">
        <v>5.25</v>
      </c>
      <c r="M23" s="2" t="n">
        <v>2.59</v>
      </c>
      <c r="N23" s="0" t="n">
        <v>10.93</v>
      </c>
      <c r="O23" s="2" t="n">
        <v>2.59</v>
      </c>
    </row>
    <row r="24" customFormat="false" ht="15" hidden="false" customHeight="false" outlineLevel="0" collapsed="false">
      <c r="D24" s="0" t="n">
        <v>2</v>
      </c>
      <c r="E24" s="0" t="n">
        <v>1.53</v>
      </c>
      <c r="F24" s="1" t="s">
        <v>18</v>
      </c>
      <c r="G24" s="2" t="s">
        <v>18</v>
      </c>
      <c r="H24" s="1" t="s">
        <v>18</v>
      </c>
      <c r="I24" s="2" t="s">
        <v>18</v>
      </c>
      <c r="J24" s="1" t="s">
        <v>18</v>
      </c>
      <c r="K24" s="1" t="s">
        <v>18</v>
      </c>
      <c r="L24" s="0" t="n">
        <v>5.25</v>
      </c>
      <c r="M24" s="2" t="n">
        <v>2.41</v>
      </c>
      <c r="N24" s="0" t="n">
        <v>11.2</v>
      </c>
      <c r="O24" s="2" t="n">
        <v>2.41</v>
      </c>
    </row>
    <row r="25" customFormat="false" ht="15" hidden="false" customHeight="false" outlineLevel="0" collapsed="false">
      <c r="D25" s="0" t="n">
        <v>1</v>
      </c>
      <c r="E25" s="0" t="n">
        <v>1.63</v>
      </c>
      <c r="F25" s="1" t="s">
        <v>18</v>
      </c>
      <c r="G25" s="2" t="s">
        <v>18</v>
      </c>
      <c r="H25" s="1" t="s">
        <v>18</v>
      </c>
      <c r="I25" s="2" t="s">
        <v>18</v>
      </c>
      <c r="J25" s="1" t="s">
        <v>18</v>
      </c>
      <c r="K25" s="1" t="s">
        <v>18</v>
      </c>
      <c r="L25" s="0" t="n">
        <v>5.25</v>
      </c>
      <c r="M25" s="2" t="n">
        <v>2.16</v>
      </c>
      <c r="N25" s="0" t="n">
        <v>11.58</v>
      </c>
      <c r="O25" s="2" t="n">
        <v>2.16</v>
      </c>
    </row>
    <row r="26" customFormat="false" ht="15" hidden="false" customHeight="false" outlineLevel="0" collapsed="false">
      <c r="A26" s="1" t="n">
        <v>4</v>
      </c>
      <c r="B26" s="2" t="s">
        <v>21</v>
      </c>
      <c r="C26" s="0" t="n">
        <v>454.75</v>
      </c>
      <c r="D26" s="0" t="n">
        <v>4</v>
      </c>
      <c r="E26" s="0" t="n">
        <v>1.56</v>
      </c>
      <c r="F26" s="0" t="n">
        <v>-10.12</v>
      </c>
      <c r="G26" s="2" t="n">
        <v>2.92</v>
      </c>
      <c r="H26" s="0" t="n">
        <v>-5.51</v>
      </c>
      <c r="I26" s="2" t="n">
        <v>2.63</v>
      </c>
      <c r="J26" s="1" t="s">
        <v>18</v>
      </c>
      <c r="K26" s="1" t="s">
        <v>18</v>
      </c>
      <c r="L26" s="1" t="s">
        <v>18</v>
      </c>
      <c r="M26" s="2" t="s">
        <v>18</v>
      </c>
      <c r="N26" s="1" t="s">
        <v>18</v>
      </c>
      <c r="O26" s="2" t="s">
        <v>18</v>
      </c>
      <c r="P26" s="0" t="n">
        <v>5.77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1.05</v>
      </c>
      <c r="F27" s="0" t="n">
        <v>-10.93</v>
      </c>
      <c r="G27" s="2" t="n">
        <v>2.57</v>
      </c>
      <c r="H27" s="0" t="n">
        <v>-5.25</v>
      </c>
      <c r="I27" s="2" t="n">
        <v>2.57</v>
      </c>
      <c r="J27" s="1" t="s">
        <v>18</v>
      </c>
      <c r="K27" s="1" t="s">
        <v>18</v>
      </c>
      <c r="L27" s="1" t="s">
        <v>18</v>
      </c>
      <c r="M27" s="2" t="s">
        <v>18</v>
      </c>
      <c r="N27" s="1" t="s">
        <v>18</v>
      </c>
      <c r="O27" s="2" t="s">
        <v>18</v>
      </c>
    </row>
    <row r="28" customFormat="false" ht="15" hidden="false" customHeight="false" outlineLevel="0" collapsed="false">
      <c r="D28" s="0" t="n">
        <v>2</v>
      </c>
      <c r="E28" s="0" t="n">
        <v>1.53</v>
      </c>
      <c r="F28" s="0" t="n">
        <v>-11.2</v>
      </c>
      <c r="G28" s="2" t="n">
        <v>2.39</v>
      </c>
      <c r="H28" s="0" t="n">
        <v>-5.25</v>
      </c>
      <c r="I28" s="2" t="n">
        <v>2.39</v>
      </c>
      <c r="J28" s="1" t="s">
        <v>18</v>
      </c>
      <c r="K28" s="1" t="s">
        <v>18</v>
      </c>
      <c r="L28" s="1" t="s">
        <v>18</v>
      </c>
      <c r="M28" s="2" t="s">
        <v>18</v>
      </c>
      <c r="N28" s="1" t="s">
        <v>18</v>
      </c>
      <c r="O28" s="2" t="s">
        <v>18</v>
      </c>
    </row>
    <row r="29" customFormat="false" ht="15" hidden="false" customHeight="false" outlineLevel="0" collapsed="false">
      <c r="D29" s="0" t="n">
        <v>1</v>
      </c>
      <c r="E29" s="0" t="n">
        <v>1.63</v>
      </c>
      <c r="F29" s="0" t="n">
        <v>-11.58</v>
      </c>
      <c r="G29" s="2" t="n">
        <v>2.14</v>
      </c>
      <c r="H29" s="0" t="n">
        <v>-5.25</v>
      </c>
      <c r="I29" s="2" t="n">
        <v>2.14</v>
      </c>
      <c r="J29" s="1" t="s">
        <v>18</v>
      </c>
      <c r="K29" s="1" t="s">
        <v>18</v>
      </c>
      <c r="L29" s="1" t="s">
        <v>18</v>
      </c>
      <c r="M29" s="2" t="s">
        <v>18</v>
      </c>
      <c r="N29" s="1" t="s">
        <v>18</v>
      </c>
      <c r="O29" s="2" t="s">
        <v>18</v>
      </c>
    </row>
    <row r="30" customFormat="false" ht="15" hidden="false" customHeight="false" outlineLevel="0" collapsed="false">
      <c r="A30" s="1" t="n">
        <v>4</v>
      </c>
      <c r="B30" s="2" t="s">
        <v>21</v>
      </c>
      <c r="C30" s="0" t="n">
        <v>454.75</v>
      </c>
      <c r="D30" s="0" t="n">
        <v>4</v>
      </c>
      <c r="E30" s="0" t="n">
        <v>1.56</v>
      </c>
      <c r="F30" s="1" t="s">
        <v>18</v>
      </c>
      <c r="G30" s="2" t="s">
        <v>18</v>
      </c>
      <c r="H30" s="1" t="s">
        <v>18</v>
      </c>
      <c r="I30" s="2" t="s">
        <v>18</v>
      </c>
      <c r="J30" s="1" t="s">
        <v>18</v>
      </c>
      <c r="K30" s="1" t="s">
        <v>18</v>
      </c>
      <c r="L30" s="0" t="n">
        <v>5.51</v>
      </c>
      <c r="M30" s="2" t="n">
        <v>2.82</v>
      </c>
      <c r="N30" s="0" t="n">
        <v>10.12</v>
      </c>
      <c r="O30" s="2" t="n">
        <v>2.82</v>
      </c>
      <c r="P30" s="0" t="n">
        <v>5.77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1.05</v>
      </c>
      <c r="F31" s="1" t="s">
        <v>18</v>
      </c>
      <c r="G31" s="2" t="s">
        <v>18</v>
      </c>
      <c r="H31" s="1" t="s">
        <v>18</v>
      </c>
      <c r="I31" s="2" t="s">
        <v>18</v>
      </c>
      <c r="J31" s="1" t="s">
        <v>18</v>
      </c>
      <c r="K31" s="1" t="s">
        <v>18</v>
      </c>
      <c r="L31" s="0" t="n">
        <v>5.25</v>
      </c>
      <c r="M31" s="2" t="n">
        <v>2.57</v>
      </c>
      <c r="N31" s="0" t="n">
        <v>10.93</v>
      </c>
      <c r="O31" s="2" t="n">
        <v>2.57</v>
      </c>
    </row>
    <row r="32" customFormat="false" ht="15" hidden="false" customHeight="false" outlineLevel="0" collapsed="false">
      <c r="D32" s="0" t="n">
        <v>2</v>
      </c>
      <c r="E32" s="0" t="n">
        <v>1.53</v>
      </c>
      <c r="F32" s="1" t="s">
        <v>18</v>
      </c>
      <c r="G32" s="2" t="s">
        <v>18</v>
      </c>
      <c r="H32" s="1" t="s">
        <v>18</v>
      </c>
      <c r="I32" s="2" t="s">
        <v>18</v>
      </c>
      <c r="J32" s="1" t="s">
        <v>18</v>
      </c>
      <c r="K32" s="1" t="s">
        <v>18</v>
      </c>
      <c r="L32" s="0" t="n">
        <v>5.25</v>
      </c>
      <c r="M32" s="2" t="n">
        <v>2.39</v>
      </c>
      <c r="N32" s="0" t="n">
        <v>11.2</v>
      </c>
      <c r="O32" s="2" t="n">
        <v>2.39</v>
      </c>
    </row>
    <row r="33" customFormat="false" ht="15" hidden="false" customHeight="false" outlineLevel="0" collapsed="false">
      <c r="D33" s="0" t="n">
        <v>1</v>
      </c>
      <c r="E33" s="0" t="n">
        <v>1.63</v>
      </c>
      <c r="F33" s="1" t="s">
        <v>18</v>
      </c>
      <c r="G33" s="2" t="s">
        <v>18</v>
      </c>
      <c r="H33" s="1" t="s">
        <v>18</v>
      </c>
      <c r="I33" s="2" t="s">
        <v>18</v>
      </c>
      <c r="J33" s="1" t="s">
        <v>18</v>
      </c>
      <c r="K33" s="1" t="s">
        <v>18</v>
      </c>
      <c r="L33" s="0" t="n">
        <v>5.25</v>
      </c>
      <c r="M33" s="2" t="n">
        <v>2.14</v>
      </c>
      <c r="N33" s="0" t="n">
        <v>11.58</v>
      </c>
      <c r="O33" s="2" t="n">
        <v>2.14</v>
      </c>
    </row>
    <row r="34" customFormat="false" ht="15" hidden="false" customHeight="false" outlineLevel="0" collapsed="false">
      <c r="A34" s="1" t="n">
        <v>5</v>
      </c>
      <c r="B34" s="2" t="s">
        <v>22</v>
      </c>
      <c r="C34" s="0" t="n">
        <v>474.75</v>
      </c>
      <c r="D34" s="0" t="n">
        <v>4</v>
      </c>
      <c r="E34" s="0" t="n">
        <v>1.56</v>
      </c>
      <c r="F34" s="0" t="n">
        <v>-10.12</v>
      </c>
      <c r="G34" s="2" t="n">
        <v>2.9</v>
      </c>
      <c r="H34" s="0" t="n">
        <v>-5.51</v>
      </c>
      <c r="I34" s="2" t="n">
        <v>2.62</v>
      </c>
      <c r="J34" s="1" t="s">
        <v>18</v>
      </c>
      <c r="K34" s="1" t="s">
        <v>18</v>
      </c>
      <c r="L34" s="1" t="s">
        <v>18</v>
      </c>
      <c r="M34" s="2" t="s">
        <v>18</v>
      </c>
      <c r="N34" s="1" t="s">
        <v>18</v>
      </c>
      <c r="O34" s="2" t="s">
        <v>18</v>
      </c>
      <c r="P34" s="0" t="n">
        <v>5.77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1.05</v>
      </c>
      <c r="F35" s="0" t="n">
        <v>-10.93</v>
      </c>
      <c r="G35" s="2" t="n">
        <v>2.56</v>
      </c>
      <c r="H35" s="0" t="n">
        <v>-5.25</v>
      </c>
      <c r="I35" s="2" t="n">
        <v>2.56</v>
      </c>
      <c r="J35" s="1" t="s">
        <v>18</v>
      </c>
      <c r="K35" s="1" t="s">
        <v>18</v>
      </c>
      <c r="L35" s="1" t="s">
        <v>18</v>
      </c>
      <c r="M35" s="2" t="s">
        <v>18</v>
      </c>
      <c r="N35" s="1" t="s">
        <v>18</v>
      </c>
      <c r="O35" s="2" t="s">
        <v>18</v>
      </c>
    </row>
    <row r="36" customFormat="false" ht="15" hidden="false" customHeight="false" outlineLevel="0" collapsed="false">
      <c r="D36" s="0" t="n">
        <v>2</v>
      </c>
      <c r="E36" s="0" t="n">
        <v>1.53</v>
      </c>
      <c r="F36" s="0" t="n">
        <v>-11.2</v>
      </c>
      <c r="G36" s="2" t="n">
        <v>2.38</v>
      </c>
      <c r="H36" s="0" t="n">
        <v>-5.25</v>
      </c>
      <c r="I36" s="2" t="n">
        <v>2.38</v>
      </c>
      <c r="J36" s="1" t="s">
        <v>18</v>
      </c>
      <c r="K36" s="1" t="s">
        <v>18</v>
      </c>
      <c r="L36" s="1" t="s">
        <v>18</v>
      </c>
      <c r="M36" s="2" t="s">
        <v>18</v>
      </c>
      <c r="N36" s="1" t="s">
        <v>18</v>
      </c>
      <c r="O36" s="2" t="s">
        <v>18</v>
      </c>
    </row>
    <row r="37" customFormat="false" ht="15" hidden="false" customHeight="false" outlineLevel="0" collapsed="false">
      <c r="D37" s="0" t="n">
        <v>1</v>
      </c>
      <c r="E37" s="0" t="n">
        <v>1.63</v>
      </c>
      <c r="F37" s="0" t="n">
        <v>-11.58</v>
      </c>
      <c r="G37" s="2" t="n">
        <v>2.13</v>
      </c>
      <c r="H37" s="0" t="n">
        <v>-5.25</v>
      </c>
      <c r="I37" s="2" t="n">
        <v>2.13</v>
      </c>
      <c r="J37" s="1" t="s">
        <v>18</v>
      </c>
      <c r="K37" s="1" t="s">
        <v>18</v>
      </c>
      <c r="L37" s="1" t="s">
        <v>18</v>
      </c>
      <c r="M37" s="2" t="s">
        <v>18</v>
      </c>
      <c r="N37" s="1" t="s">
        <v>18</v>
      </c>
      <c r="O37" s="2" t="s">
        <v>18</v>
      </c>
    </row>
    <row r="38" customFormat="false" ht="15" hidden="false" customHeight="false" outlineLevel="0" collapsed="false">
      <c r="A38" s="1" t="n">
        <v>5</v>
      </c>
      <c r="B38" s="2" t="s">
        <v>22</v>
      </c>
      <c r="C38" s="0" t="n">
        <v>474.75</v>
      </c>
      <c r="D38" s="0" t="n">
        <v>4</v>
      </c>
      <c r="E38" s="0" t="n">
        <v>1.56</v>
      </c>
      <c r="F38" s="1" t="s">
        <v>18</v>
      </c>
      <c r="G38" s="2" t="s">
        <v>18</v>
      </c>
      <c r="H38" s="1" t="s">
        <v>18</v>
      </c>
      <c r="I38" s="2" t="s">
        <v>18</v>
      </c>
      <c r="J38" s="1" t="s">
        <v>18</v>
      </c>
      <c r="K38" s="1" t="s">
        <v>18</v>
      </c>
      <c r="L38" s="0" t="n">
        <v>5.51</v>
      </c>
      <c r="M38" s="2" t="n">
        <v>2.81</v>
      </c>
      <c r="N38" s="0" t="n">
        <v>10.12</v>
      </c>
      <c r="O38" s="2" t="n">
        <v>2.81</v>
      </c>
      <c r="P38" s="0" t="n">
        <v>5.77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1.05</v>
      </c>
      <c r="F39" s="1" t="s">
        <v>18</v>
      </c>
      <c r="G39" s="2" t="s">
        <v>18</v>
      </c>
      <c r="H39" s="1" t="s">
        <v>18</v>
      </c>
      <c r="I39" s="2" t="s">
        <v>18</v>
      </c>
      <c r="J39" s="1" t="s">
        <v>18</v>
      </c>
      <c r="K39" s="1" t="s">
        <v>18</v>
      </c>
      <c r="L39" s="0" t="n">
        <v>5.25</v>
      </c>
      <c r="M39" s="2" t="n">
        <v>2.56</v>
      </c>
      <c r="N39" s="0" t="n">
        <v>10.93</v>
      </c>
      <c r="O39" s="2" t="n">
        <v>2.56</v>
      </c>
    </row>
    <row r="40" customFormat="false" ht="15" hidden="false" customHeight="false" outlineLevel="0" collapsed="false">
      <c r="D40" s="0" t="n">
        <v>2</v>
      </c>
      <c r="E40" s="0" t="n">
        <v>1.53</v>
      </c>
      <c r="F40" s="1" t="s">
        <v>18</v>
      </c>
      <c r="G40" s="2" t="s">
        <v>18</v>
      </c>
      <c r="H40" s="1" t="s">
        <v>18</v>
      </c>
      <c r="I40" s="2" t="s">
        <v>18</v>
      </c>
      <c r="J40" s="1" t="s">
        <v>18</v>
      </c>
      <c r="K40" s="1" t="s">
        <v>18</v>
      </c>
      <c r="L40" s="0" t="n">
        <v>5.25</v>
      </c>
      <c r="M40" s="2" t="n">
        <v>2.38</v>
      </c>
      <c r="N40" s="0" t="n">
        <v>11.2</v>
      </c>
      <c r="O40" s="2" t="n">
        <v>2.38</v>
      </c>
    </row>
    <row r="41" customFormat="false" ht="15" hidden="false" customHeight="false" outlineLevel="0" collapsed="false">
      <c r="D41" s="0" t="n">
        <v>1</v>
      </c>
      <c r="E41" s="0" t="n">
        <v>1.63</v>
      </c>
      <c r="F41" s="1" t="s">
        <v>18</v>
      </c>
      <c r="G41" s="2" t="s">
        <v>18</v>
      </c>
      <c r="H41" s="1" t="s">
        <v>18</v>
      </c>
      <c r="I41" s="2" t="s">
        <v>18</v>
      </c>
      <c r="J41" s="1" t="s">
        <v>18</v>
      </c>
      <c r="K41" s="1" t="s">
        <v>18</v>
      </c>
      <c r="L41" s="0" t="n">
        <v>5.25</v>
      </c>
      <c r="M41" s="2" t="n">
        <v>2.13</v>
      </c>
      <c r="N41" s="0" t="n">
        <v>11.58</v>
      </c>
      <c r="O41" s="2" t="n">
        <v>2.13</v>
      </c>
    </row>
    <row r="42" customFormat="false" ht="15" hidden="false" customHeight="false" outlineLevel="0" collapsed="false">
      <c r="A42" s="1" t="n">
        <v>6</v>
      </c>
      <c r="B42" s="2" t="s">
        <v>23</v>
      </c>
      <c r="C42" s="0" t="n">
        <v>489.19</v>
      </c>
      <c r="D42" s="0" t="n">
        <v>4</v>
      </c>
      <c r="E42" s="0" t="n">
        <v>1.56</v>
      </c>
      <c r="F42" s="0" t="n">
        <v>-10.12</v>
      </c>
      <c r="G42" s="2" t="n">
        <v>2.89</v>
      </c>
      <c r="H42" s="0" t="n">
        <v>-5.51</v>
      </c>
      <c r="I42" s="2" t="n">
        <v>2.61</v>
      </c>
      <c r="J42" s="1" t="s">
        <v>18</v>
      </c>
      <c r="K42" s="1" t="s">
        <v>18</v>
      </c>
      <c r="L42" s="1" t="s">
        <v>18</v>
      </c>
      <c r="M42" s="2" t="s">
        <v>18</v>
      </c>
      <c r="N42" s="1" t="s">
        <v>18</v>
      </c>
      <c r="O42" s="2" t="s">
        <v>18</v>
      </c>
      <c r="P42" s="0" t="n">
        <v>5.77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1.05</v>
      </c>
      <c r="F43" s="0" t="n">
        <v>-10.93</v>
      </c>
      <c r="G43" s="2" t="n">
        <v>2.55</v>
      </c>
      <c r="H43" s="0" t="n">
        <v>-5.25</v>
      </c>
      <c r="I43" s="2" t="n">
        <v>2.55</v>
      </c>
      <c r="J43" s="1" t="s">
        <v>18</v>
      </c>
      <c r="K43" s="1" t="s">
        <v>18</v>
      </c>
      <c r="L43" s="1" t="s">
        <v>18</v>
      </c>
      <c r="M43" s="2" t="s">
        <v>18</v>
      </c>
      <c r="N43" s="1" t="s">
        <v>18</v>
      </c>
      <c r="O43" s="2" t="s">
        <v>18</v>
      </c>
    </row>
    <row r="44" customFormat="false" ht="15" hidden="false" customHeight="false" outlineLevel="0" collapsed="false">
      <c r="D44" s="0" t="n">
        <v>2</v>
      </c>
      <c r="E44" s="0" t="n">
        <v>1.53</v>
      </c>
      <c r="F44" s="0" t="n">
        <v>-11.2</v>
      </c>
      <c r="G44" s="2" t="n">
        <v>2.37</v>
      </c>
      <c r="H44" s="0" t="n">
        <v>-5.25</v>
      </c>
      <c r="I44" s="2" t="n">
        <v>2.37</v>
      </c>
      <c r="J44" s="1" t="s">
        <v>18</v>
      </c>
      <c r="K44" s="1" t="s">
        <v>18</v>
      </c>
      <c r="L44" s="1" t="s">
        <v>18</v>
      </c>
      <c r="M44" s="2" t="s">
        <v>18</v>
      </c>
      <c r="N44" s="1" t="s">
        <v>18</v>
      </c>
      <c r="O44" s="2" t="s">
        <v>18</v>
      </c>
    </row>
    <row r="45" customFormat="false" ht="15" hidden="false" customHeight="false" outlineLevel="0" collapsed="false">
      <c r="D45" s="0" t="n">
        <v>1</v>
      </c>
      <c r="E45" s="0" t="n">
        <v>1.63</v>
      </c>
      <c r="F45" s="0" t="n">
        <v>-11.58</v>
      </c>
      <c r="G45" s="2" t="n">
        <v>2.12</v>
      </c>
      <c r="H45" s="0" t="n">
        <v>-5.25</v>
      </c>
      <c r="I45" s="2" t="n">
        <v>2.12</v>
      </c>
      <c r="J45" s="1" t="s">
        <v>18</v>
      </c>
      <c r="K45" s="1" t="s">
        <v>18</v>
      </c>
      <c r="L45" s="1" t="s">
        <v>18</v>
      </c>
      <c r="M45" s="2" t="s">
        <v>18</v>
      </c>
      <c r="N45" s="1" t="s">
        <v>18</v>
      </c>
      <c r="O45" s="2" t="s">
        <v>18</v>
      </c>
    </row>
    <row r="46" customFormat="false" ht="15" hidden="false" customHeight="false" outlineLevel="0" collapsed="false">
      <c r="A46" s="1" t="n">
        <v>6</v>
      </c>
      <c r="B46" s="2" t="s">
        <v>23</v>
      </c>
      <c r="C46" s="0" t="n">
        <v>489.19</v>
      </c>
      <c r="D46" s="0" t="n">
        <v>4</v>
      </c>
      <c r="E46" s="0" t="n">
        <v>1.56</v>
      </c>
      <c r="F46" s="1" t="s">
        <v>18</v>
      </c>
      <c r="G46" s="2" t="s">
        <v>18</v>
      </c>
      <c r="H46" s="1" t="s">
        <v>18</v>
      </c>
      <c r="I46" s="2" t="s">
        <v>18</v>
      </c>
      <c r="J46" s="1" t="s">
        <v>18</v>
      </c>
      <c r="K46" s="1" t="s">
        <v>18</v>
      </c>
      <c r="L46" s="0" t="n">
        <v>5.51</v>
      </c>
      <c r="M46" s="2" t="n">
        <v>2.8</v>
      </c>
      <c r="N46" s="0" t="n">
        <v>10.12</v>
      </c>
      <c r="O46" s="2" t="n">
        <v>2.8</v>
      </c>
      <c r="P46" s="0" t="n">
        <v>5.77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1.05</v>
      </c>
      <c r="F47" s="1" t="s">
        <v>18</v>
      </c>
      <c r="G47" s="2" t="s">
        <v>18</v>
      </c>
      <c r="H47" s="1" t="s">
        <v>18</v>
      </c>
      <c r="I47" s="2" t="s">
        <v>18</v>
      </c>
      <c r="J47" s="1" t="s">
        <v>18</v>
      </c>
      <c r="K47" s="1" t="s">
        <v>18</v>
      </c>
      <c r="L47" s="0" t="n">
        <v>5.25</v>
      </c>
      <c r="M47" s="2" t="n">
        <v>2.55</v>
      </c>
      <c r="N47" s="0" t="n">
        <v>10.93</v>
      </c>
      <c r="O47" s="2" t="n">
        <v>2.55</v>
      </c>
    </row>
    <row r="48" customFormat="false" ht="15" hidden="false" customHeight="false" outlineLevel="0" collapsed="false">
      <c r="D48" s="0" t="n">
        <v>2</v>
      </c>
      <c r="E48" s="0" t="n">
        <v>1.53</v>
      </c>
      <c r="F48" s="1" t="s">
        <v>18</v>
      </c>
      <c r="G48" s="2" t="s">
        <v>18</v>
      </c>
      <c r="H48" s="1" t="s">
        <v>18</v>
      </c>
      <c r="I48" s="2" t="s">
        <v>18</v>
      </c>
      <c r="J48" s="1" t="s">
        <v>18</v>
      </c>
      <c r="K48" s="1" t="s">
        <v>18</v>
      </c>
      <c r="L48" s="0" t="n">
        <v>5.25</v>
      </c>
      <c r="M48" s="2" t="n">
        <v>2.37</v>
      </c>
      <c r="N48" s="0" t="n">
        <v>11.2</v>
      </c>
      <c r="O48" s="2" t="n">
        <v>2.37</v>
      </c>
    </row>
    <row r="49" customFormat="false" ht="15" hidden="false" customHeight="false" outlineLevel="0" collapsed="false">
      <c r="D49" s="0" t="n">
        <v>1</v>
      </c>
      <c r="E49" s="0" t="n">
        <v>1.63</v>
      </c>
      <c r="F49" s="1" t="s">
        <v>18</v>
      </c>
      <c r="G49" s="2" t="s">
        <v>18</v>
      </c>
      <c r="H49" s="1" t="s">
        <v>18</v>
      </c>
      <c r="I49" s="2" t="s">
        <v>18</v>
      </c>
      <c r="J49" s="1" t="s">
        <v>18</v>
      </c>
      <c r="K49" s="1" t="s">
        <v>18</v>
      </c>
      <c r="L49" s="0" t="n">
        <v>5.25</v>
      </c>
      <c r="M49" s="2" t="n">
        <v>2.12</v>
      </c>
      <c r="N49" s="0" t="n">
        <v>11.58</v>
      </c>
      <c r="O49" s="2" t="n">
        <v>2.12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65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G33" activeCellId="0" sqref="G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46.NĐXD8/CVXD ngày 07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46</v>
      </c>
    </row>
    <row r="3" customFormat="false" ht="18.75" hidden="false" customHeight="true" outlineLevel="0" collapsed="false">
      <c r="A3" s="6" t="s">
        <v>26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27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28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29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30</v>
      </c>
      <c r="B7" s="7"/>
      <c r="C7" s="6"/>
      <c r="D7" s="6" t="str">
        <f>VLOOKUP(AZ2,'[1]Tuyến XD8'!$A$2:$B$60,2,0)</f>
        <v xml:space="preserve">Đắp đất lề đường lớp 1, độ chặt K&gt;=0,95 đoạn từ Km0+394,75 - Km0+489,19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32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3" hidden="false" customHeight="true" outlineLevel="0" collapsed="false"/>
    <row r="19" customFormat="false" ht="15.75" hidden="false" customHeight="true" outlineLevel="0" collapsed="false">
      <c r="A19" s="10" t="s">
        <v>33</v>
      </c>
      <c r="B19" s="10" t="s">
        <v>34</v>
      </c>
      <c r="C19" s="10" t="s">
        <v>35</v>
      </c>
      <c r="D19" s="11" t="s">
        <v>36</v>
      </c>
      <c r="E19" s="11"/>
      <c r="F19" s="11"/>
      <c r="G19" s="11" t="s">
        <v>37</v>
      </c>
      <c r="H19" s="11"/>
      <c r="I19" s="11"/>
      <c r="J19" s="11" t="s">
        <v>38</v>
      </c>
      <c r="K19" s="11"/>
      <c r="L19" s="11"/>
      <c r="M19" s="11" t="s">
        <v>39</v>
      </c>
      <c r="N19" s="11"/>
      <c r="O19" s="11"/>
      <c r="P19" s="10" t="s">
        <v>40</v>
      </c>
    </row>
    <row r="20" customFormat="false" ht="30" hidden="false" customHeight="true" outlineLevel="0" collapsed="false">
      <c r="A20" s="10"/>
      <c r="B20" s="10"/>
      <c r="C20" s="10"/>
      <c r="D20" s="11" t="s">
        <v>41</v>
      </c>
      <c r="E20" s="11" t="s">
        <v>42</v>
      </c>
      <c r="F20" s="11" t="s">
        <v>43</v>
      </c>
      <c r="G20" s="11" t="s">
        <v>41</v>
      </c>
      <c r="H20" s="11" t="s">
        <v>42</v>
      </c>
      <c r="I20" s="11" t="s">
        <v>43</v>
      </c>
      <c r="J20" s="11" t="s">
        <v>41</v>
      </c>
      <c r="K20" s="11" t="s">
        <v>42</v>
      </c>
      <c r="L20" s="11" t="s">
        <v>43</v>
      </c>
      <c r="M20" s="11" t="s">
        <v>41</v>
      </c>
      <c r="N20" s="11" t="s">
        <v>42</v>
      </c>
      <c r="O20" s="11" t="s">
        <v>43</v>
      </c>
      <c r="P20" s="10"/>
      <c r="S20" s="12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394.75</v>
      </c>
      <c r="D21" s="16" t="n">
        <f aca="false">Chạy!G5</f>
        <v>2.18</v>
      </c>
      <c r="E21" s="16" t="n">
        <f aca="false">D21+F21</f>
        <v>2.171</v>
      </c>
      <c r="F21" s="16" t="n">
        <f aca="false">RANDBETWEEN(-30,100)/1000</f>
        <v>-0.009</v>
      </c>
      <c r="G21" s="16" t="n">
        <f aca="false">Chạy!I5</f>
        <v>2.18</v>
      </c>
      <c r="H21" s="16" t="n">
        <f aca="false">G21+I21</f>
        <v>2.217</v>
      </c>
      <c r="I21" s="16" t="n">
        <f aca="false">RANDBETWEEN(-30,100)/1000</f>
        <v>0.037</v>
      </c>
      <c r="J21" s="16" t="n">
        <f aca="false">Chạy!M9</f>
        <v>2.18</v>
      </c>
      <c r="K21" s="16" t="n">
        <f aca="false">J21+L21</f>
        <v>2.192</v>
      </c>
      <c r="L21" s="16" t="n">
        <f aca="false">RANDBETWEEN(-30,100)/1000</f>
        <v>0.012</v>
      </c>
      <c r="M21" s="16" t="n">
        <f aca="false">Chạy!O9</f>
        <v>2.18</v>
      </c>
      <c r="N21" s="16" t="n">
        <f aca="false">M21+O21</f>
        <v>2.28</v>
      </c>
      <c r="O21" s="16" t="n">
        <f aca="false">RANDBETWEEN(-30,100)/1000</f>
        <v>0.1</v>
      </c>
      <c r="P21" s="17"/>
      <c r="Q21" s="18" t="n">
        <v>20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414.75</v>
      </c>
      <c r="D22" s="16" t="n">
        <f aca="false">Chạy!G13</f>
        <v>2.17</v>
      </c>
      <c r="E22" s="16" t="n">
        <f aca="false">D22+F22</f>
        <v>2.19</v>
      </c>
      <c r="F22" s="16" t="n">
        <f aca="false">RANDBETWEEN(-30,100)/1000</f>
        <v>0.02</v>
      </c>
      <c r="G22" s="16" t="n">
        <f aca="false">Chạy!I13</f>
        <v>2.17</v>
      </c>
      <c r="H22" s="16" t="n">
        <f aca="false">G22+I22</f>
        <v>2.254</v>
      </c>
      <c r="I22" s="16" t="n">
        <f aca="false">RANDBETWEEN(-30,100)/1000</f>
        <v>0.084</v>
      </c>
      <c r="J22" s="16" t="n">
        <f aca="false">Chạy!M17</f>
        <v>2.17</v>
      </c>
      <c r="K22" s="16" t="n">
        <f aca="false">J22+L22</f>
        <v>2.174</v>
      </c>
      <c r="L22" s="16" t="n">
        <f aca="false">RANDBETWEEN(-30,100)/1000</f>
        <v>0.004</v>
      </c>
      <c r="M22" s="16" t="n">
        <f aca="false">Chạy!O17</f>
        <v>2.17</v>
      </c>
      <c r="N22" s="16" t="n">
        <f aca="false">M22+O22</f>
        <v>2.212</v>
      </c>
      <c r="O22" s="16" t="n">
        <f aca="false">RANDBETWEEN(-30,100)/1000</f>
        <v>0.042</v>
      </c>
      <c r="P22" s="17"/>
      <c r="Q22" s="18" t="n">
        <v>20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434.75</v>
      </c>
      <c r="D23" s="16" t="n">
        <f aca="false">Chạy!G21</f>
        <v>2.16</v>
      </c>
      <c r="E23" s="16" t="n">
        <f aca="false">D23+F23</f>
        <v>2.243</v>
      </c>
      <c r="F23" s="16" t="n">
        <f aca="false">RANDBETWEEN(-30,100)/1000</f>
        <v>0.083</v>
      </c>
      <c r="G23" s="16" t="n">
        <f aca="false">Chạy!I21</f>
        <v>2.16</v>
      </c>
      <c r="H23" s="16" t="n">
        <f aca="false">G23+I23</f>
        <v>2.25</v>
      </c>
      <c r="I23" s="16" t="n">
        <f aca="false">RANDBETWEEN(-30,100)/1000</f>
        <v>0.09</v>
      </c>
      <c r="J23" s="16" t="n">
        <f aca="false">Chạy!M25</f>
        <v>2.16</v>
      </c>
      <c r="K23" s="16" t="n">
        <f aca="false">J23+L23</f>
        <v>2.191</v>
      </c>
      <c r="L23" s="16" t="n">
        <f aca="false">RANDBETWEEN(-30,100)/1000</f>
        <v>0.031</v>
      </c>
      <c r="M23" s="16" t="n">
        <f aca="false">Chạy!O25</f>
        <v>2.16</v>
      </c>
      <c r="N23" s="16" t="n">
        <f aca="false">M23+O23</f>
        <v>2.229</v>
      </c>
      <c r="O23" s="16" t="n">
        <f aca="false">RANDBETWEEN(-30,100)/1000</f>
        <v>0.069</v>
      </c>
      <c r="P23" s="17"/>
      <c r="Q23" s="18" t="n">
        <v>20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454.75</v>
      </c>
      <c r="D24" s="16" t="n">
        <f aca="false">Chạy!G29</f>
        <v>2.14</v>
      </c>
      <c r="E24" s="16" t="n">
        <f aca="false">D24+F24</f>
        <v>2.215</v>
      </c>
      <c r="F24" s="16" t="n">
        <f aca="false">RANDBETWEEN(-30,100)/1000</f>
        <v>0.075</v>
      </c>
      <c r="G24" s="16" t="n">
        <f aca="false">Chạy!I29</f>
        <v>2.14</v>
      </c>
      <c r="H24" s="16" t="n">
        <f aca="false">G24+I24</f>
        <v>2.198</v>
      </c>
      <c r="I24" s="16" t="n">
        <f aca="false">RANDBETWEEN(-30,100)/1000</f>
        <v>0.058</v>
      </c>
      <c r="J24" s="16" t="n">
        <f aca="false">Chạy!M33</f>
        <v>2.14</v>
      </c>
      <c r="K24" s="16" t="n">
        <f aca="false">J24+L24</f>
        <v>2.135</v>
      </c>
      <c r="L24" s="16" t="n">
        <f aca="false">RANDBETWEEN(-30,100)/1000</f>
        <v>-0.005</v>
      </c>
      <c r="M24" s="16" t="n">
        <f aca="false">Chạy!O33</f>
        <v>2.14</v>
      </c>
      <c r="N24" s="16" t="n">
        <f aca="false">M24+O24</f>
        <v>2.164</v>
      </c>
      <c r="O24" s="16" t="n">
        <f aca="false">RANDBETWEEN(-30,100)/1000</f>
        <v>0.024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474.75</v>
      </c>
      <c r="D25" s="16" t="n">
        <f aca="false">Chạy!G37</f>
        <v>2.13</v>
      </c>
      <c r="E25" s="16" t="n">
        <f aca="false">D25+F25</f>
        <v>2.222</v>
      </c>
      <c r="F25" s="16" t="n">
        <f aca="false">RANDBETWEEN(-30,100)/1000</f>
        <v>0.092</v>
      </c>
      <c r="G25" s="16" t="n">
        <f aca="false">Chạy!I37</f>
        <v>2.13</v>
      </c>
      <c r="H25" s="16" t="n">
        <f aca="false">G25+I25</f>
        <v>2.186</v>
      </c>
      <c r="I25" s="16" t="n">
        <f aca="false">RANDBETWEEN(-30,100)/1000</f>
        <v>0.056</v>
      </c>
      <c r="J25" s="16" t="n">
        <f aca="false">Chạy!M41</f>
        <v>2.13</v>
      </c>
      <c r="K25" s="16" t="n">
        <f aca="false">J25+L25</f>
        <v>2.147</v>
      </c>
      <c r="L25" s="16" t="n">
        <f aca="false">RANDBETWEEN(-30,100)/1000</f>
        <v>0.017</v>
      </c>
      <c r="M25" s="16" t="n">
        <f aca="false">Chạy!O41</f>
        <v>2.13</v>
      </c>
      <c r="N25" s="16" t="n">
        <f aca="false">M25+O25</f>
        <v>2.109</v>
      </c>
      <c r="O25" s="16" t="n">
        <f aca="false">RANDBETWEEN(-30,100)/1000</f>
        <v>-0.021</v>
      </c>
      <c r="P25" s="17"/>
      <c r="Q25" s="18" t="n">
        <v>14.44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489.19</v>
      </c>
      <c r="D26" s="16" t="n">
        <f aca="false">Chạy!G45</f>
        <v>2.12</v>
      </c>
      <c r="E26" s="16" t="n">
        <f aca="false">D26+F26</f>
        <v>2.104</v>
      </c>
      <c r="F26" s="16" t="n">
        <f aca="false">RANDBETWEEN(-30,100)/1000</f>
        <v>-0.016</v>
      </c>
      <c r="G26" s="16" t="n">
        <f aca="false">Chạy!I45</f>
        <v>2.12</v>
      </c>
      <c r="H26" s="16" t="n">
        <f aca="false">G26+I26</f>
        <v>2.093</v>
      </c>
      <c r="I26" s="16" t="n">
        <f aca="false">RANDBETWEEN(-30,100)/1000</f>
        <v>-0.027</v>
      </c>
      <c r="J26" s="16" t="n">
        <f aca="false">Chạy!M49</f>
        <v>2.12</v>
      </c>
      <c r="K26" s="16" t="n">
        <f aca="false">J26+L26</f>
        <v>2.172</v>
      </c>
      <c r="L26" s="16" t="n">
        <f aca="false">RANDBETWEEN(-30,100)/1000</f>
        <v>0.052</v>
      </c>
      <c r="M26" s="16" t="n">
        <f aca="false">Chạy!O49</f>
        <v>2.12</v>
      </c>
      <c r="N26" s="16" t="n">
        <f aca="false">M26+O26</f>
        <v>2.189</v>
      </c>
      <c r="O26" s="16" t="n">
        <f aca="false">RANDBETWEEN(-30,100)/1000</f>
        <v>0.069</v>
      </c>
      <c r="P26" s="17"/>
      <c r="Q26" s="18"/>
    </row>
    <row r="27" customFormat="false" ht="15" hidden="true" customHeight="fals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44</v>
      </c>
      <c r="D60" s="19"/>
      <c r="E60" s="19"/>
      <c r="F60" s="19"/>
      <c r="G60" s="20"/>
      <c r="H60" s="20"/>
      <c r="I60" s="20"/>
      <c r="K60" s="19" t="s">
        <v>45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46</v>
      </c>
      <c r="D65" s="19"/>
      <c r="E65" s="19"/>
      <c r="F65" s="19"/>
      <c r="G65" s="20"/>
      <c r="H65" s="20"/>
      <c r="I65" s="20"/>
      <c r="J65" s="21"/>
      <c r="K65" s="19" t="s">
        <v>47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315277777777778" right="0.157638888888889" top="0.511805555555556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51" activeCellId="0" sqref="P5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9" min="8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48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46.NĐXD8/CVXD ngày 07 tháng 09 năm 2026</v>
      </c>
      <c r="B2" s="27"/>
      <c r="C2" s="27"/>
      <c r="D2" s="27"/>
      <c r="E2" s="27"/>
      <c r="F2" s="27"/>
      <c r="G2" s="27"/>
      <c r="AZ2">
        <v>46</v>
      </c>
    </row>
    <row r="3" s="30" customFormat="true" ht="37.5" hidden="false" customHeight="true" outlineLevel="0" collapsed="false">
      <c r="A3" s="28" t="s">
        <v>26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27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28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29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7.5" hidden="false" customHeight="true" outlineLevel="0" collapsed="false">
      <c r="A7" s="31" t="s">
        <v>30</v>
      </c>
      <c r="B7" s="32"/>
      <c r="C7" s="33"/>
      <c r="D7" s="34" t="str">
        <f>VLOOKUP(AZ2,'[1]Tuyến XD8'!$A$2:$B$60,2,0)</f>
        <v xml:space="preserve">Đắp đất lề đường lớp 1, độ chặt K&gt;=0,95 đoạn từ Km0+394,75 - Km0+489,19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29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</row>
    <row r="9" s="39" customFormat="true" ht="22.5" hidden="false" customHeight="true" outlineLevel="0" collapsed="false">
      <c r="A9" s="36" t="s">
        <v>0</v>
      </c>
      <c r="B9" s="36" t="s">
        <v>34</v>
      </c>
      <c r="C9" s="36" t="s">
        <v>35</v>
      </c>
      <c r="D9" s="37" t="s">
        <v>49</v>
      </c>
      <c r="E9" s="38"/>
      <c r="F9" s="38"/>
      <c r="G9" s="37" t="s">
        <v>40</v>
      </c>
    </row>
    <row r="10" s="41" customFormat="true" ht="22.5" hidden="false" customHeight="true" outlineLevel="0" collapsed="false">
      <c r="A10" s="36"/>
      <c r="B10" s="36"/>
      <c r="C10" s="36"/>
      <c r="D10" s="36"/>
      <c r="E10" s="38" t="s">
        <v>50</v>
      </c>
      <c r="F10" s="38" t="s">
        <v>51</v>
      </c>
      <c r="G10" s="37"/>
      <c r="H10" s="40"/>
    </row>
    <row r="11" s="41" customFormat="true" ht="15" hidden="false" customHeight="true" outlineLevel="0" collapsed="false">
      <c r="A11" s="13" t="n">
        <v>1</v>
      </c>
      <c r="B11" s="14" t="str">
        <f aca="false">'1. KTHH L1'!B21</f>
        <v>20</v>
      </c>
      <c r="C11" s="15" t="n">
        <f aca="false">'1. KTHH L1'!C21</f>
        <v>394.75</v>
      </c>
      <c r="D11" s="13" t="n">
        <f aca="false">'1. KTHH L1'!Q21</f>
        <v>20</v>
      </c>
      <c r="E11" s="42" t="n">
        <f aca="false">Chạy!E5+Chạy!E9</f>
        <v>3.26</v>
      </c>
      <c r="F11" s="43" t="n">
        <f aca="false">(E11+E12)*D11/2</f>
        <v>65.2</v>
      </c>
      <c r="G11" s="44"/>
      <c r="I11" s="45"/>
      <c r="J11" s="45"/>
    </row>
    <row r="12" s="41" customFormat="true" ht="15" hidden="false" customHeight="true" outlineLevel="0" collapsed="false">
      <c r="A12" s="13" t="n">
        <v>2</v>
      </c>
      <c r="B12" s="14" t="str">
        <f aca="false">'1. KTHH L1'!B22</f>
        <v>21</v>
      </c>
      <c r="C12" s="15" t="n">
        <f aca="false">'1. KTHH L1'!C22</f>
        <v>414.75</v>
      </c>
      <c r="D12" s="13" t="n">
        <f aca="false">'1. KTHH L1'!Q22</f>
        <v>20</v>
      </c>
      <c r="E12" s="42" t="n">
        <f aca="false">Chạy!E13+Chạy!E17</f>
        <v>3.26</v>
      </c>
      <c r="F12" s="43" t="n">
        <f aca="false">(E12+E13)*D12/2</f>
        <v>65.2</v>
      </c>
      <c r="G12" s="44"/>
      <c r="I12" s="45"/>
      <c r="J12" s="45"/>
    </row>
    <row r="13" s="41" customFormat="true" ht="15" hidden="false" customHeight="true" outlineLevel="0" collapsed="false">
      <c r="A13" s="13" t="n">
        <v>3</v>
      </c>
      <c r="B13" s="14" t="str">
        <f aca="false">'1. KTHH L1'!B23</f>
        <v>22</v>
      </c>
      <c r="C13" s="15" t="n">
        <f aca="false">'1. KTHH L1'!C23</f>
        <v>434.75</v>
      </c>
      <c r="D13" s="13" t="n">
        <f aca="false">'1. KTHH L1'!Q23</f>
        <v>20</v>
      </c>
      <c r="E13" s="42" t="n">
        <f aca="false">Chạy!E21+Chạy!E25</f>
        <v>3.26</v>
      </c>
      <c r="F13" s="43" t="n">
        <f aca="false">(E13+E14)*D13/2</f>
        <v>65.2</v>
      </c>
      <c r="G13" s="44"/>
      <c r="I13" s="45"/>
      <c r="J13" s="45"/>
    </row>
    <row r="14" s="41" customFormat="true" ht="15" hidden="false" customHeight="true" outlineLevel="0" collapsed="false">
      <c r="A14" s="13" t="n">
        <v>4</v>
      </c>
      <c r="B14" s="14" t="str">
        <f aca="false">'1. KTHH L1'!B24</f>
        <v>23</v>
      </c>
      <c r="C14" s="15" t="n">
        <f aca="false">'1. KTHH L1'!C24</f>
        <v>454.75</v>
      </c>
      <c r="D14" s="13" t="n">
        <f aca="false">'1. KTHH L1'!Q24</f>
        <v>20</v>
      </c>
      <c r="E14" s="42" t="n">
        <f aca="false">Chạy!E29+Chạy!E33</f>
        <v>3.26</v>
      </c>
      <c r="F14" s="43" t="n">
        <f aca="false">(E14+E15)*D14/2</f>
        <v>65.2</v>
      </c>
      <c r="G14" s="44"/>
      <c r="I14" s="45"/>
      <c r="J14" s="45"/>
    </row>
    <row r="15" s="41" customFormat="true" ht="15" hidden="false" customHeight="true" outlineLevel="0" collapsed="false">
      <c r="A15" s="13" t="n">
        <v>5</v>
      </c>
      <c r="B15" s="14" t="str">
        <f aca="false">'1. KTHH L1'!B25</f>
        <v>24</v>
      </c>
      <c r="C15" s="15" t="n">
        <f aca="false">'1. KTHH L1'!C25</f>
        <v>474.75</v>
      </c>
      <c r="D15" s="13" t="n">
        <f aca="false">'1. KTHH L1'!Q25</f>
        <v>14.44</v>
      </c>
      <c r="E15" s="42" t="n">
        <f aca="false">Chạy!E37+Chạy!E41</f>
        <v>3.26</v>
      </c>
      <c r="F15" s="43" t="n">
        <f aca="false">(E15+E16)*D15/2</f>
        <v>47.0744</v>
      </c>
      <c r="G15" s="44"/>
      <c r="I15" s="45"/>
      <c r="J15" s="45"/>
    </row>
    <row r="16" s="41" customFormat="true" ht="15" hidden="false" customHeight="true" outlineLevel="0" collapsed="false">
      <c r="A16" s="13" t="n">
        <v>6</v>
      </c>
      <c r="B16" s="14" t="str">
        <f aca="false">'1. KTHH L1'!B26</f>
        <v>25</v>
      </c>
      <c r="C16" s="15" t="n">
        <f aca="false">'1. KTHH L1'!C26</f>
        <v>489.19</v>
      </c>
      <c r="D16" s="13"/>
      <c r="E16" s="42" t="n">
        <f aca="false">Chạy!E45+Chạy!E49</f>
        <v>3.26</v>
      </c>
      <c r="F16" s="43"/>
      <c r="G16" s="44"/>
      <c r="I16" s="45"/>
      <c r="J16" s="45"/>
    </row>
    <row r="17" s="41" customFormat="true" ht="15" hidden="true" customHeight="true" outlineLevel="0" collapsed="false">
      <c r="A17" s="13"/>
      <c r="B17" s="14"/>
      <c r="C17" s="15"/>
      <c r="D17" s="13"/>
      <c r="E17" s="42"/>
      <c r="F17" s="43"/>
      <c r="G17" s="44"/>
      <c r="I17" s="45"/>
      <c r="J17" s="45"/>
    </row>
    <row r="18" s="41" customFormat="true" ht="15" hidden="true" customHeight="true" outlineLevel="0" collapsed="false">
      <c r="A18" s="13"/>
      <c r="B18" s="14"/>
      <c r="C18" s="15"/>
      <c r="D18" s="13"/>
      <c r="E18" s="42"/>
      <c r="F18" s="43"/>
      <c r="G18" s="44"/>
      <c r="I18" s="45"/>
      <c r="J18" s="45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I19" s="45"/>
      <c r="J19" s="45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I20" s="45"/>
      <c r="J20" s="45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I21" s="45"/>
      <c r="J21" s="45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I22" s="45"/>
      <c r="J22" s="45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I23" s="45"/>
      <c r="J23" s="45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I24" s="45"/>
      <c r="J24" s="45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I25" s="45"/>
      <c r="J25" s="45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I26" s="45"/>
      <c r="J26" s="45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I27" s="45"/>
      <c r="J27" s="45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I28" s="45"/>
      <c r="J28" s="45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I29" s="45"/>
      <c r="J29" s="45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I30" s="45"/>
      <c r="J30" s="45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I31" s="45"/>
      <c r="J31" s="45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I32" s="45"/>
      <c r="J32" s="45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I33" s="45"/>
      <c r="J33" s="45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I34" s="45"/>
      <c r="J34" s="45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I35" s="45"/>
      <c r="J35" s="45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I36" s="45"/>
      <c r="J36" s="45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I37" s="45"/>
      <c r="J37" s="45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I38" s="45"/>
      <c r="J38" s="45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I39" s="45"/>
      <c r="J39" s="45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I40" s="45"/>
      <c r="J40" s="45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I41" s="45"/>
      <c r="J41" s="45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I42" s="45"/>
      <c r="J42" s="45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I43" s="45"/>
      <c r="J43" s="45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I44" s="45"/>
      <c r="J44" s="45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I45" s="45"/>
      <c r="J45" s="45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I46" s="45"/>
      <c r="J46" s="45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I47" s="45"/>
      <c r="J47" s="45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I48" s="45"/>
      <c r="J48" s="45"/>
    </row>
    <row r="49" s="50" customFormat="true" ht="15" hidden="false" customHeight="true" outlineLevel="0" collapsed="false">
      <c r="A49" s="46" t="s">
        <v>52</v>
      </c>
      <c r="B49" s="46"/>
      <c r="C49" s="46"/>
      <c r="D49" s="46"/>
      <c r="E49" s="47"/>
      <c r="F49" s="48" t="n">
        <f aca="false">SUM(F11:F16)</f>
        <v>307.8744</v>
      </c>
      <c r="G49" s="49"/>
      <c r="I49" s="51"/>
      <c r="J49" s="52"/>
      <c r="K49" s="52"/>
      <c r="L49" s="52"/>
      <c r="M49" s="53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  <c r="H50" s="55"/>
      <c r="J50" s="56"/>
      <c r="K50" s="56"/>
      <c r="L50" s="56"/>
    </row>
    <row r="51" s="50" customFormat="true" ht="15" hidden="false" customHeight="true" outlineLevel="0" collapsed="false">
      <c r="A51" s="19" t="s">
        <v>44</v>
      </c>
      <c r="B51" s="19"/>
      <c r="C51" s="19"/>
      <c r="D51" s="57" t="s">
        <v>53</v>
      </c>
      <c r="E51" s="19" t="s">
        <v>45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46</v>
      </c>
      <c r="B57" s="19"/>
      <c r="C57" s="19"/>
      <c r="D57" s="21"/>
      <c r="E57" s="19" t="s">
        <v>47</v>
      </c>
      <c r="F57" s="19"/>
      <c r="G57" s="19"/>
    </row>
    <row r="58" s="39" customFormat="true" ht="15" hidden="false" customHeight="true" outlineLevel="0" collapsed="false">
      <c r="A58" s="41"/>
      <c r="B58" s="41"/>
      <c r="C58" s="41"/>
      <c r="D58" s="41"/>
      <c r="E58" s="41"/>
      <c r="F58" s="41"/>
      <c r="G58" s="41"/>
    </row>
    <row r="59" s="39" customFormat="true" ht="15" hidden="false" customHeight="true" outlineLevel="0" collapsed="false">
      <c r="A59" s="41"/>
      <c r="B59" s="41"/>
      <c r="C59" s="41"/>
      <c r="D59" s="41"/>
      <c r="E59" s="41"/>
      <c r="F59" s="41"/>
      <c r="G59" s="41"/>
    </row>
    <row r="60" s="39" customFormat="true" ht="15" hidden="false" customHeight="true" outlineLevel="0" collapsed="false">
      <c r="A60" s="41"/>
      <c r="B60" s="41"/>
      <c r="C60" s="41"/>
      <c r="D60" s="41"/>
      <c r="E60" s="41"/>
      <c r="F60" s="41"/>
      <c r="G60" s="41"/>
    </row>
    <row r="61" s="39" customFormat="true" ht="15" hidden="false" customHeight="true" outlineLevel="0" collapsed="false">
      <c r="A61" s="41"/>
      <c r="B61" s="41"/>
      <c r="C61" s="41"/>
      <c r="D61" s="41"/>
      <c r="E61" s="41"/>
      <c r="F61" s="41"/>
      <c r="G61" s="41"/>
    </row>
    <row r="62" s="39" customFormat="true" ht="15" hidden="false" customHeight="true" outlineLevel="0" collapsed="false">
      <c r="A62" s="41"/>
      <c r="B62" s="41"/>
      <c r="C62" s="41"/>
      <c r="D62" s="41"/>
      <c r="E62" s="41"/>
      <c r="F62" s="41"/>
      <c r="G62" s="41"/>
    </row>
    <row r="63" s="39" customFormat="true" ht="15" hidden="false" customHeight="true" outlineLevel="0" collapsed="false">
      <c r="A63" s="41"/>
      <c r="B63" s="41"/>
      <c r="C63" s="41"/>
      <c r="D63" s="41"/>
      <c r="E63" s="41"/>
      <c r="F63" s="41"/>
      <c r="G63" s="41"/>
    </row>
    <row r="64" s="39" customFormat="true" ht="15" hidden="false" customHeight="true" outlineLevel="0" collapsed="false">
      <c r="A64" s="41"/>
      <c r="B64" s="41"/>
      <c r="C64" s="41"/>
      <c r="D64" s="41"/>
      <c r="E64" s="41"/>
      <c r="F64" s="41"/>
      <c r="G64" s="41"/>
    </row>
    <row r="65" s="39" customFormat="true" ht="15" hidden="false" customHeight="true" outlineLevel="0" collapsed="false">
      <c r="A65" s="41"/>
      <c r="B65" s="41"/>
      <c r="C65" s="41"/>
      <c r="D65" s="41"/>
      <c r="E65" s="41"/>
      <c r="F65" s="41"/>
      <c r="G65" s="41"/>
    </row>
    <row r="66" s="39" customFormat="true" ht="15" hidden="false" customHeight="true" outlineLevel="0" collapsed="false">
      <c r="A66" s="41"/>
      <c r="B66" s="41"/>
      <c r="C66" s="41"/>
      <c r="D66" s="41"/>
      <c r="E66" s="41"/>
      <c r="F66" s="41"/>
      <c r="G66" s="41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5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D43" activeCellId="0" sqref="D4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48.NĐXD8/CVXD ngày 08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48</v>
      </c>
    </row>
    <row r="3" customFormat="false" ht="18.75" hidden="false" customHeight="true" outlineLevel="0" collapsed="false">
      <c r="A3" s="6" t="s">
        <v>26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27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28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29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30</v>
      </c>
      <c r="B7" s="7"/>
      <c r="C7" s="6"/>
      <c r="D7" s="6" t="str">
        <f>VLOOKUP(AZ2,'[1]Tuyến XD8'!$A$2:$B$60,2,0)</f>
        <v xml:space="preserve">Đắp đất lề đường lớp 2, độ chặt K&gt;=0,95 đoạn từ Km0+394,75 - Km0+489,19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32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9" hidden="false" customHeight="true" outlineLevel="0" collapsed="false"/>
    <row r="19" customFormat="false" ht="15" hidden="false" customHeight="true" outlineLevel="0" collapsed="false">
      <c r="A19" s="10" t="s">
        <v>33</v>
      </c>
      <c r="B19" s="10" t="s">
        <v>34</v>
      </c>
      <c r="C19" s="10" t="s">
        <v>35</v>
      </c>
      <c r="D19" s="11" t="s">
        <v>36</v>
      </c>
      <c r="E19" s="11"/>
      <c r="F19" s="11"/>
      <c r="G19" s="11" t="s">
        <v>37</v>
      </c>
      <c r="H19" s="11"/>
      <c r="I19" s="11"/>
      <c r="J19" s="11" t="s">
        <v>38</v>
      </c>
      <c r="K19" s="11"/>
      <c r="L19" s="11"/>
      <c r="M19" s="11" t="s">
        <v>39</v>
      </c>
      <c r="N19" s="11"/>
      <c r="O19" s="11"/>
      <c r="P19" s="10" t="s">
        <v>40</v>
      </c>
    </row>
    <row r="20" customFormat="false" ht="33" hidden="false" customHeight="true" outlineLevel="0" collapsed="false">
      <c r="A20" s="10"/>
      <c r="B20" s="10"/>
      <c r="C20" s="10"/>
      <c r="D20" s="11" t="s">
        <v>41</v>
      </c>
      <c r="E20" s="11" t="s">
        <v>42</v>
      </c>
      <c r="F20" s="11" t="s">
        <v>43</v>
      </c>
      <c r="G20" s="11" t="s">
        <v>41</v>
      </c>
      <c r="H20" s="11" t="s">
        <v>42</v>
      </c>
      <c r="I20" s="11" t="s">
        <v>43</v>
      </c>
      <c r="J20" s="11" t="s">
        <v>41</v>
      </c>
      <c r="K20" s="11" t="s">
        <v>42</v>
      </c>
      <c r="L20" s="11" t="s">
        <v>43</v>
      </c>
      <c r="M20" s="11" t="s">
        <v>41</v>
      </c>
      <c r="N20" s="11" t="s">
        <v>42</v>
      </c>
      <c r="O20" s="11" t="s">
        <v>43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394.75</v>
      </c>
      <c r="D21" s="16" t="n">
        <f aca="false">Chạy!G4</f>
        <v>2.43</v>
      </c>
      <c r="E21" s="16" t="n">
        <f aca="false">D21+F21</f>
        <v>2.526</v>
      </c>
      <c r="F21" s="16" t="n">
        <f aca="false">RANDBETWEEN(-30,100)/1000</f>
        <v>0.096</v>
      </c>
      <c r="G21" s="16" t="n">
        <f aca="false">Chạy!I4</f>
        <v>2.43</v>
      </c>
      <c r="H21" s="16" t="n">
        <f aca="false">G21+I21</f>
        <v>2.462</v>
      </c>
      <c r="I21" s="16" t="n">
        <f aca="false">RANDBETWEEN(-30,100)/1000</f>
        <v>0.032</v>
      </c>
      <c r="J21" s="16" t="n">
        <f aca="false">Chạy!M8</f>
        <v>2.43</v>
      </c>
      <c r="K21" s="16" t="n">
        <f aca="false">J21+L21</f>
        <v>2.494</v>
      </c>
      <c r="L21" s="16" t="n">
        <f aca="false">RANDBETWEEN(-30,100)/1000</f>
        <v>0.064</v>
      </c>
      <c r="M21" s="16" t="n">
        <f aca="false">Chạy!O8</f>
        <v>2.43</v>
      </c>
      <c r="N21" s="16" t="n">
        <f aca="false">M21+O21</f>
        <v>2.43</v>
      </c>
      <c r="O21" s="16" t="n">
        <f aca="false">RANDBETWEEN(-30,100)/1000</f>
        <v>0</v>
      </c>
      <c r="P21" s="17"/>
      <c r="Q21" s="18" t="n">
        <v>20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414.75</v>
      </c>
      <c r="D22" s="16" t="n">
        <f aca="false">Chạy!G12</f>
        <v>2.42</v>
      </c>
      <c r="E22" s="16" t="n">
        <f aca="false">D22+F22</f>
        <v>2.514</v>
      </c>
      <c r="F22" s="16" t="n">
        <f aca="false">RANDBETWEEN(-30,100)/1000</f>
        <v>0.094</v>
      </c>
      <c r="G22" s="16" t="n">
        <f aca="false">Chạy!I12</f>
        <v>2.42</v>
      </c>
      <c r="H22" s="16" t="n">
        <f aca="false">G22+I22</f>
        <v>2.449</v>
      </c>
      <c r="I22" s="16" t="n">
        <f aca="false">RANDBETWEEN(-30,100)/1000</f>
        <v>0.029</v>
      </c>
      <c r="J22" s="16" t="n">
        <f aca="false">Chạy!M16</f>
        <v>2.42</v>
      </c>
      <c r="K22" s="16" t="n">
        <f aca="false">J22+L22</f>
        <v>2.431</v>
      </c>
      <c r="L22" s="16" t="n">
        <f aca="false">RANDBETWEEN(-30,100)/1000</f>
        <v>0.011</v>
      </c>
      <c r="M22" s="16" t="n">
        <f aca="false">Chạy!O16</f>
        <v>2.42</v>
      </c>
      <c r="N22" s="16" t="n">
        <f aca="false">M22+O22</f>
        <v>2.401</v>
      </c>
      <c r="O22" s="16" t="n">
        <f aca="false">RANDBETWEEN(-30,100)/1000</f>
        <v>-0.019</v>
      </c>
      <c r="P22" s="17"/>
      <c r="Q22" s="18" t="n">
        <v>20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434.75</v>
      </c>
      <c r="D23" s="16" t="n">
        <f aca="false">Chạy!G20</f>
        <v>2.41</v>
      </c>
      <c r="E23" s="16" t="n">
        <f aca="false">D23+F23</f>
        <v>2.392</v>
      </c>
      <c r="F23" s="16" t="n">
        <f aca="false">RANDBETWEEN(-30,100)/1000</f>
        <v>-0.018</v>
      </c>
      <c r="G23" s="16" t="n">
        <f aca="false">Chạy!I20</f>
        <v>2.41</v>
      </c>
      <c r="H23" s="16" t="n">
        <f aca="false">G23+I23</f>
        <v>2.409</v>
      </c>
      <c r="I23" s="16" t="n">
        <f aca="false">RANDBETWEEN(-30,100)/1000</f>
        <v>-0.001</v>
      </c>
      <c r="J23" s="16" t="n">
        <f aca="false">Chạy!M24</f>
        <v>2.41</v>
      </c>
      <c r="K23" s="16" t="n">
        <f aca="false">J23+L23</f>
        <v>2.431</v>
      </c>
      <c r="L23" s="16" t="n">
        <f aca="false">RANDBETWEEN(-30,100)/1000</f>
        <v>0.021</v>
      </c>
      <c r="M23" s="16" t="n">
        <f aca="false">Chạy!O24</f>
        <v>2.41</v>
      </c>
      <c r="N23" s="16" t="n">
        <f aca="false">M23+O23</f>
        <v>2.398</v>
      </c>
      <c r="O23" s="16" t="n">
        <f aca="false">RANDBETWEEN(-30,100)/1000</f>
        <v>-0.012</v>
      </c>
      <c r="P23" s="17"/>
      <c r="Q23" s="18" t="n">
        <v>20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454.75</v>
      </c>
      <c r="D24" s="16" t="n">
        <f aca="false">Chạy!G28</f>
        <v>2.39</v>
      </c>
      <c r="E24" s="16" t="n">
        <f aca="false">D24+F24</f>
        <v>2.465</v>
      </c>
      <c r="F24" s="16" t="n">
        <f aca="false">RANDBETWEEN(-30,100)/1000</f>
        <v>0.075</v>
      </c>
      <c r="G24" s="16" t="n">
        <f aca="false">Chạy!I28</f>
        <v>2.39</v>
      </c>
      <c r="H24" s="16" t="n">
        <f aca="false">G24+I24</f>
        <v>2.458</v>
      </c>
      <c r="I24" s="16" t="n">
        <f aca="false">RANDBETWEEN(-30,100)/1000</f>
        <v>0.068</v>
      </c>
      <c r="J24" s="16" t="n">
        <f aca="false">Chạy!M32</f>
        <v>2.39</v>
      </c>
      <c r="K24" s="16" t="n">
        <f aca="false">J24+L24</f>
        <v>2.473</v>
      </c>
      <c r="L24" s="16" t="n">
        <f aca="false">RANDBETWEEN(-30,100)/1000</f>
        <v>0.083</v>
      </c>
      <c r="M24" s="16" t="n">
        <f aca="false">Chạy!O32</f>
        <v>2.39</v>
      </c>
      <c r="N24" s="16" t="n">
        <f aca="false">M24+O24</f>
        <v>2.372</v>
      </c>
      <c r="O24" s="16" t="n">
        <f aca="false">RANDBETWEEN(-30,100)/1000</f>
        <v>-0.018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474.75</v>
      </c>
      <c r="D25" s="16" t="n">
        <f aca="false">Chạy!G36</f>
        <v>2.38</v>
      </c>
      <c r="E25" s="16" t="n">
        <f aca="false">D25+F25</f>
        <v>2.452</v>
      </c>
      <c r="F25" s="16" t="n">
        <f aca="false">RANDBETWEEN(-30,100)/1000</f>
        <v>0.072</v>
      </c>
      <c r="G25" s="16" t="n">
        <f aca="false">Chạy!I36</f>
        <v>2.38</v>
      </c>
      <c r="H25" s="16" t="n">
        <f aca="false">G25+I25</f>
        <v>2.37</v>
      </c>
      <c r="I25" s="16" t="n">
        <f aca="false">RANDBETWEEN(-30,100)/1000</f>
        <v>-0.01</v>
      </c>
      <c r="J25" s="16" t="n">
        <f aca="false">Chạy!M40</f>
        <v>2.38</v>
      </c>
      <c r="K25" s="16" t="n">
        <f aca="false">J25+L25</f>
        <v>2.446</v>
      </c>
      <c r="L25" s="16" t="n">
        <f aca="false">RANDBETWEEN(-30,100)/1000</f>
        <v>0.066</v>
      </c>
      <c r="M25" s="16" t="n">
        <f aca="false">Chạy!O40</f>
        <v>2.38</v>
      </c>
      <c r="N25" s="16" t="n">
        <f aca="false">M25+O25</f>
        <v>2.363</v>
      </c>
      <c r="O25" s="16" t="n">
        <f aca="false">RANDBETWEEN(-30,100)/1000</f>
        <v>-0.017</v>
      </c>
      <c r="P25" s="17"/>
      <c r="Q25" s="18" t="n">
        <v>14.44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489.19</v>
      </c>
      <c r="D26" s="16" t="n">
        <f aca="false">Chạy!G44</f>
        <v>2.37</v>
      </c>
      <c r="E26" s="16" t="n">
        <f aca="false">D26+F26</f>
        <v>2.366</v>
      </c>
      <c r="F26" s="16" t="n">
        <f aca="false">RANDBETWEEN(-30,100)/1000</f>
        <v>-0.004</v>
      </c>
      <c r="G26" s="16" t="n">
        <f aca="false">Chạy!I44</f>
        <v>2.37</v>
      </c>
      <c r="H26" s="16" t="n">
        <f aca="false">G26+I26</f>
        <v>2.448</v>
      </c>
      <c r="I26" s="16" t="n">
        <f aca="false">RANDBETWEEN(-30,100)/1000</f>
        <v>0.078</v>
      </c>
      <c r="J26" s="16" t="n">
        <f aca="false">Chạy!M48</f>
        <v>2.37</v>
      </c>
      <c r="K26" s="16" t="n">
        <f aca="false">J26+L26</f>
        <v>2.46</v>
      </c>
      <c r="L26" s="16" t="n">
        <f aca="false">RANDBETWEEN(-30,100)/1000</f>
        <v>0.09</v>
      </c>
      <c r="M26" s="16" t="n">
        <f aca="false">Chạy!O48</f>
        <v>2.37</v>
      </c>
      <c r="N26" s="16" t="n">
        <f aca="false">M26+O26</f>
        <v>2.369</v>
      </c>
      <c r="O26" s="16" t="n">
        <f aca="false">RANDBETWEEN(-30,100)/1000</f>
        <v>-0.001</v>
      </c>
      <c r="P26" s="17"/>
      <c r="Q26" s="18"/>
    </row>
    <row r="27" customFormat="false" ht="15" hidden="true" customHeight="fals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44</v>
      </c>
      <c r="D60" s="19"/>
      <c r="E60" s="19"/>
      <c r="F60" s="19"/>
      <c r="G60" s="20"/>
      <c r="H60" s="20"/>
      <c r="I60" s="20"/>
      <c r="K60" s="19" t="s">
        <v>45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46</v>
      </c>
      <c r="D65" s="19"/>
      <c r="E65" s="19"/>
      <c r="F65" s="19"/>
      <c r="G65" s="20"/>
      <c r="H65" s="20"/>
      <c r="I65" s="20"/>
      <c r="J65" s="21"/>
      <c r="K65" s="19" t="s">
        <v>47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true" verticalCentered="false"/>
  <pageMargins left="0.39375" right="0.157638888888889" top="0.747916666666667" bottom="0.55138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F20" activeCellId="0" sqref="F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48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48.NĐXD8/CVXD ngày 08 tháng 09 năm 2026</v>
      </c>
      <c r="B2" s="27"/>
      <c r="C2" s="27"/>
      <c r="D2" s="27"/>
      <c r="E2" s="27"/>
      <c r="F2" s="27"/>
      <c r="G2" s="27"/>
      <c r="AZ2">
        <v>48</v>
      </c>
    </row>
    <row r="3" s="30" customFormat="true" ht="37.5" hidden="false" customHeight="true" outlineLevel="0" collapsed="false">
      <c r="A3" s="28" t="s">
        <v>26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27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28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29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4.5" hidden="false" customHeight="true" outlineLevel="0" collapsed="false">
      <c r="A7" s="31" t="s">
        <v>30</v>
      </c>
      <c r="B7" s="32"/>
      <c r="C7" s="33"/>
      <c r="D7" s="34" t="str">
        <f>VLOOKUP(AZ2,'[1]Tuyến XD8'!$A$2:$B$60,2,0)</f>
        <v xml:space="preserve">Đắp đất lề đường lớp 2, độ chặt K&gt;=0,95 đoạn từ Km0+394,75 - Km0+489,19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30" customFormat="true" ht="16.5" hidden="false" customHeight="true" outlineLevel="0" collapsed="false">
      <c r="A8" s="31"/>
      <c r="B8" s="32"/>
      <c r="C8" s="33"/>
      <c r="D8" s="64"/>
      <c r="E8" s="64"/>
      <c r="F8" s="64"/>
      <c r="G8" s="64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</row>
    <row r="9" s="50" customFormat="true" ht="14.25" hidden="false" customHeight="true" outlineLevel="0" collapsed="false">
      <c r="A9" s="36" t="s">
        <v>0</v>
      </c>
      <c r="B9" s="36" t="s">
        <v>34</v>
      </c>
      <c r="C9" s="36" t="s">
        <v>35</v>
      </c>
      <c r="D9" s="37" t="s">
        <v>49</v>
      </c>
      <c r="E9" s="38"/>
      <c r="F9" s="38"/>
      <c r="G9" s="37" t="s">
        <v>40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50</v>
      </c>
      <c r="F10" s="38" t="s">
        <v>51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65" customFormat="true" ht="15" hidden="false" customHeight="true" outlineLevel="0" collapsed="false">
      <c r="A11" s="13" t="n">
        <v>1</v>
      </c>
      <c r="B11" s="14" t="str">
        <f aca="false">'1. KTHH L2'!B21</f>
        <v>20</v>
      </c>
      <c r="C11" s="15" t="n">
        <f aca="false">'1. KTHH L2'!C21</f>
        <v>394.75</v>
      </c>
      <c r="D11" s="13" t="n">
        <f aca="false">'1. KTHH L2'!Q21</f>
        <v>20</v>
      </c>
      <c r="E11" s="42" t="n">
        <f aca="false">Chạy!E4+Chạy!E8</f>
        <v>3.06</v>
      </c>
      <c r="F11" s="43" t="n">
        <f aca="false">(E11+E12)*D11/2</f>
        <v>61.2</v>
      </c>
      <c r="G11" s="44"/>
      <c r="H11" s="40"/>
      <c r="I11" s="40"/>
    </row>
    <row r="12" s="39" customFormat="true" ht="15" hidden="false" customHeight="true" outlineLevel="0" collapsed="false">
      <c r="A12" s="13" t="n">
        <v>2</v>
      </c>
      <c r="B12" s="14" t="str">
        <f aca="false">'1. KTHH L2'!B22</f>
        <v>21</v>
      </c>
      <c r="C12" s="15" t="n">
        <f aca="false">'1. KTHH L2'!C22</f>
        <v>414.75</v>
      </c>
      <c r="D12" s="13" t="n">
        <f aca="false">'1. KTHH L2'!Q22</f>
        <v>20</v>
      </c>
      <c r="E12" s="42" t="n">
        <f aca="false">Chạy!E12+Chạy!E16</f>
        <v>3.06</v>
      </c>
      <c r="F12" s="43" t="n">
        <f aca="false">(E12+E13)*D12/2</f>
        <v>61.2</v>
      </c>
      <c r="G12" s="44"/>
      <c r="H12" s="40"/>
      <c r="I12" s="40"/>
    </row>
    <row r="13" s="41" customFormat="true" ht="15" hidden="false" customHeight="true" outlineLevel="0" collapsed="false">
      <c r="A13" s="13" t="n">
        <v>3</v>
      </c>
      <c r="B13" s="14" t="str">
        <f aca="false">'1. KTHH L2'!B23</f>
        <v>22</v>
      </c>
      <c r="C13" s="15" t="n">
        <f aca="false">'1. KTHH L2'!C23</f>
        <v>434.75</v>
      </c>
      <c r="D13" s="13" t="n">
        <f aca="false">'1. KTHH L2'!Q23</f>
        <v>20</v>
      </c>
      <c r="E13" s="42" t="n">
        <f aca="false">Chạy!E20+Chạy!E24</f>
        <v>3.06</v>
      </c>
      <c r="F13" s="43" t="n">
        <f aca="false">(E13+E14)*D13/2</f>
        <v>61.2</v>
      </c>
      <c r="G13" s="44"/>
      <c r="H13" s="40"/>
      <c r="I13" s="40"/>
    </row>
    <row r="14" s="41" customFormat="true" ht="15" hidden="false" customHeight="true" outlineLevel="0" collapsed="false">
      <c r="A14" s="13" t="n">
        <v>4</v>
      </c>
      <c r="B14" s="14" t="str">
        <f aca="false">'1. KTHH L2'!B24</f>
        <v>23</v>
      </c>
      <c r="C14" s="15" t="n">
        <f aca="false">'1. KTHH L2'!C24</f>
        <v>454.75</v>
      </c>
      <c r="D14" s="13" t="n">
        <f aca="false">'1. KTHH L2'!Q24</f>
        <v>20</v>
      </c>
      <c r="E14" s="42" t="n">
        <f aca="false">Chạy!E28+Chạy!E32</f>
        <v>3.06</v>
      </c>
      <c r="F14" s="43" t="n">
        <f aca="false">(E14+E15)*D14/2</f>
        <v>61.2</v>
      </c>
      <c r="G14" s="44"/>
      <c r="H14" s="40"/>
      <c r="I14" s="40"/>
    </row>
    <row r="15" s="41" customFormat="true" ht="15" hidden="false" customHeight="true" outlineLevel="0" collapsed="false">
      <c r="A15" s="13" t="n">
        <v>5</v>
      </c>
      <c r="B15" s="14" t="str">
        <f aca="false">'1. KTHH L2'!B25</f>
        <v>24</v>
      </c>
      <c r="C15" s="15" t="n">
        <f aca="false">'1. KTHH L2'!C25</f>
        <v>474.75</v>
      </c>
      <c r="D15" s="13" t="n">
        <f aca="false">'1. KTHH L2'!Q25</f>
        <v>14.44</v>
      </c>
      <c r="E15" s="42" t="n">
        <f aca="false">Chạy!E36+Chạy!E40</f>
        <v>3.06</v>
      </c>
      <c r="F15" s="43" t="n">
        <f aca="false">(E15+E16)*D15/2</f>
        <v>44.1864</v>
      </c>
      <c r="G15" s="44"/>
      <c r="H15" s="40"/>
      <c r="I15" s="40"/>
    </row>
    <row r="16" s="41" customFormat="true" ht="15" hidden="false" customHeight="true" outlineLevel="0" collapsed="false">
      <c r="A16" s="13" t="n">
        <v>6</v>
      </c>
      <c r="B16" s="14" t="str">
        <f aca="false">'1. KTHH L2'!B26</f>
        <v>25</v>
      </c>
      <c r="C16" s="15" t="n">
        <f aca="false">'1. KTHH L2'!C26</f>
        <v>489.19</v>
      </c>
      <c r="D16" s="13"/>
      <c r="E16" s="42" t="n">
        <f aca="false">Chạy!E44+Chạy!E48</f>
        <v>3.06</v>
      </c>
      <c r="F16" s="43"/>
      <c r="G16" s="44"/>
      <c r="H16" s="40"/>
      <c r="I16" s="40"/>
    </row>
    <row r="17" s="41" customFormat="true" ht="15" hidden="true" customHeight="true" outlineLevel="0" collapsed="false">
      <c r="A17" s="13"/>
      <c r="B17" s="14"/>
      <c r="C17" s="15"/>
      <c r="D17" s="13"/>
      <c r="E17" s="42"/>
      <c r="F17" s="43"/>
      <c r="G17" s="44"/>
      <c r="H17" s="40"/>
      <c r="I17" s="40"/>
    </row>
    <row r="18" s="41" customFormat="true" ht="15" hidden="true" customHeight="true" outlineLevel="0" collapsed="false">
      <c r="A18" s="13"/>
      <c r="B18" s="14"/>
      <c r="C18" s="15"/>
      <c r="D18" s="13"/>
      <c r="E18" s="42"/>
      <c r="F18" s="43"/>
      <c r="G18" s="44"/>
      <c r="H18" s="40"/>
      <c r="I18" s="40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H19" s="40"/>
      <c r="I19" s="40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H20" s="40"/>
      <c r="I20" s="40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H21" s="40"/>
      <c r="I21" s="40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40"/>
      <c r="I22" s="40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40"/>
      <c r="I23" s="40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40"/>
      <c r="I24" s="40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40"/>
      <c r="I25" s="40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40"/>
      <c r="I26" s="40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40"/>
      <c r="I27" s="40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40"/>
      <c r="I28" s="40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40"/>
      <c r="I29" s="40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40"/>
      <c r="I30" s="40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40"/>
      <c r="I31" s="40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40"/>
      <c r="I32" s="40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40"/>
      <c r="I33" s="40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40"/>
      <c r="I34" s="40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40"/>
      <c r="I35" s="40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40"/>
      <c r="I36" s="40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40"/>
      <c r="I37" s="40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40"/>
      <c r="I38" s="40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40"/>
      <c r="I39" s="40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40"/>
      <c r="I40" s="40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40"/>
      <c r="I41" s="40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40"/>
      <c r="I42" s="40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40"/>
      <c r="I43" s="40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40"/>
      <c r="I44" s="40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40"/>
      <c r="I45" s="40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40"/>
      <c r="I46" s="40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40"/>
      <c r="I47" s="40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40"/>
      <c r="I48" s="40"/>
    </row>
    <row r="49" s="50" customFormat="true" ht="15" hidden="false" customHeight="true" outlineLevel="0" collapsed="false">
      <c r="A49" s="46" t="s">
        <v>52</v>
      </c>
      <c r="B49" s="46"/>
      <c r="C49" s="46"/>
      <c r="D49" s="46"/>
      <c r="E49" s="66"/>
      <c r="F49" s="67" t="n">
        <f aca="false">SUM(F11:F16)</f>
        <v>288.9864</v>
      </c>
      <c r="G49" s="68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44</v>
      </c>
      <c r="B51" s="19"/>
      <c r="C51" s="19"/>
      <c r="D51" s="57" t="s">
        <v>53</v>
      </c>
      <c r="E51" s="19" t="s">
        <v>45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46</v>
      </c>
      <c r="B57" s="19"/>
      <c r="C57" s="19"/>
      <c r="D57" s="21"/>
      <c r="E57" s="19" t="s">
        <v>47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50.NĐXD8/CVXD ngày 09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50</v>
      </c>
    </row>
    <row r="3" customFormat="false" ht="15" hidden="false" customHeight="false" outlineLevel="0" collapsed="false">
      <c r="A3" s="22" t="s">
        <v>26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27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28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29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30</v>
      </c>
      <c r="C7" s="22"/>
      <c r="D7" s="22" t="str">
        <f>VLOOKUP(AZ2,'[1]Tuyến XD8'!$A$2:$B$60,2,0)</f>
        <v xml:space="preserve">Đắp đất lề đường lớp 3, độ chặt K&gt;=0,95 đoạn từ Km0+394,75 - Km0+489,19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32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9" customFormat="false" ht="15" hidden="false" customHeight="true" outlineLevel="0" collapsed="false">
      <c r="A19" s="10" t="s">
        <v>33</v>
      </c>
      <c r="B19" s="10" t="s">
        <v>34</v>
      </c>
      <c r="C19" s="10" t="s">
        <v>35</v>
      </c>
      <c r="D19" s="11" t="s">
        <v>36</v>
      </c>
      <c r="E19" s="11"/>
      <c r="F19" s="11"/>
      <c r="G19" s="11" t="s">
        <v>37</v>
      </c>
      <c r="H19" s="11"/>
      <c r="I19" s="11"/>
      <c r="J19" s="11" t="s">
        <v>38</v>
      </c>
      <c r="K19" s="11"/>
      <c r="L19" s="11"/>
      <c r="M19" s="11" t="s">
        <v>39</v>
      </c>
      <c r="N19" s="11"/>
      <c r="O19" s="11"/>
      <c r="P19" s="10" t="s">
        <v>40</v>
      </c>
    </row>
    <row r="20" customFormat="false" ht="30" hidden="false" customHeight="true" outlineLevel="0" collapsed="false">
      <c r="A20" s="10"/>
      <c r="B20" s="10"/>
      <c r="C20" s="10"/>
      <c r="D20" s="11" t="s">
        <v>41</v>
      </c>
      <c r="E20" s="11" t="s">
        <v>42</v>
      </c>
      <c r="F20" s="11" t="s">
        <v>43</v>
      </c>
      <c r="G20" s="11" t="s">
        <v>41</v>
      </c>
      <c r="H20" s="11" t="s">
        <v>42</v>
      </c>
      <c r="I20" s="11" t="s">
        <v>43</v>
      </c>
      <c r="J20" s="11" t="s">
        <v>41</v>
      </c>
      <c r="K20" s="11" t="s">
        <v>42</v>
      </c>
      <c r="L20" s="11" t="s">
        <v>43</v>
      </c>
      <c r="M20" s="11" t="s">
        <v>41</v>
      </c>
      <c r="N20" s="11" t="s">
        <v>42</v>
      </c>
      <c r="O20" s="11" t="s">
        <v>43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394.75</v>
      </c>
      <c r="D21" s="16" t="n">
        <f aca="false">Chạy!G3</f>
        <v>2.61</v>
      </c>
      <c r="E21" s="16" t="n">
        <f aca="false">D21+F21</f>
        <v>2.66</v>
      </c>
      <c r="F21" s="16" t="n">
        <f aca="false">RANDBETWEEN(-30,100)/1000</f>
        <v>0.05</v>
      </c>
      <c r="G21" s="16" t="n">
        <f aca="false">Chạy!I3</f>
        <v>2.61</v>
      </c>
      <c r="H21" s="16" t="n">
        <f aca="false">G21+I21</f>
        <v>2.612</v>
      </c>
      <c r="I21" s="16" t="n">
        <f aca="false">RANDBETWEEN(-30,100)/1000</f>
        <v>0.002</v>
      </c>
      <c r="J21" s="16" t="n">
        <f aca="false">Chạy!M7</f>
        <v>2.61</v>
      </c>
      <c r="K21" s="16" t="n">
        <f aca="false">J21+L21</f>
        <v>2.696</v>
      </c>
      <c r="L21" s="16" t="n">
        <f aca="false">RANDBETWEEN(-30,100)/1000</f>
        <v>0.086</v>
      </c>
      <c r="M21" s="16" t="n">
        <f aca="false">Chạy!O7</f>
        <v>2.61</v>
      </c>
      <c r="N21" s="16" t="n">
        <f aca="false">M21+O21</f>
        <v>2.703</v>
      </c>
      <c r="O21" s="16" t="n">
        <f aca="false">RANDBETWEEN(-30,100)/1000</f>
        <v>0.093</v>
      </c>
      <c r="P21" s="17"/>
      <c r="Q21" s="18" t="n">
        <v>20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414.75</v>
      </c>
      <c r="D22" s="16" t="n">
        <f aca="false">Chạy!G11</f>
        <v>2.6</v>
      </c>
      <c r="E22" s="16" t="n">
        <f aca="false">D22+F22</f>
        <v>2.595</v>
      </c>
      <c r="F22" s="16" t="n">
        <f aca="false">RANDBETWEEN(-30,100)/1000</f>
        <v>-0.005</v>
      </c>
      <c r="G22" s="16" t="n">
        <f aca="false">Chạy!I11</f>
        <v>2.6</v>
      </c>
      <c r="H22" s="16" t="n">
        <f aca="false">G22+I22</f>
        <v>2.664</v>
      </c>
      <c r="I22" s="16" t="n">
        <f aca="false">RANDBETWEEN(-30,100)/1000</f>
        <v>0.064</v>
      </c>
      <c r="J22" s="16" t="n">
        <f aca="false">Chạy!M15</f>
        <v>2.6</v>
      </c>
      <c r="K22" s="16" t="n">
        <f aca="false">J22+L22</f>
        <v>2.663</v>
      </c>
      <c r="L22" s="16" t="n">
        <f aca="false">RANDBETWEEN(-30,100)/1000</f>
        <v>0.063</v>
      </c>
      <c r="M22" s="16" t="n">
        <f aca="false">Chạy!O15</f>
        <v>2.6</v>
      </c>
      <c r="N22" s="16" t="n">
        <f aca="false">M22+O22</f>
        <v>2.607</v>
      </c>
      <c r="O22" s="16" t="n">
        <f aca="false">RANDBETWEEN(-30,100)/1000</f>
        <v>0.007</v>
      </c>
      <c r="P22" s="17"/>
      <c r="Q22" s="18" t="n">
        <v>20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434.75</v>
      </c>
      <c r="D23" s="16" t="n">
        <f aca="false">Chạy!G19</f>
        <v>2.59</v>
      </c>
      <c r="E23" s="16" t="n">
        <f aca="false">D23+F23</f>
        <v>2.607</v>
      </c>
      <c r="F23" s="16" t="n">
        <f aca="false">RANDBETWEEN(-30,100)/1000</f>
        <v>0.017</v>
      </c>
      <c r="G23" s="16" t="n">
        <f aca="false">Chạy!I19</f>
        <v>2.59</v>
      </c>
      <c r="H23" s="16" t="n">
        <f aca="false">G23+I23</f>
        <v>2.633</v>
      </c>
      <c r="I23" s="16" t="n">
        <f aca="false">RANDBETWEEN(-30,100)/1000</f>
        <v>0.043</v>
      </c>
      <c r="J23" s="16" t="n">
        <f aca="false">Chạy!M23</f>
        <v>2.59</v>
      </c>
      <c r="K23" s="16" t="n">
        <f aca="false">J23+L23</f>
        <v>2.615</v>
      </c>
      <c r="L23" s="16" t="n">
        <f aca="false">RANDBETWEEN(-30,100)/1000</f>
        <v>0.025</v>
      </c>
      <c r="M23" s="16" t="n">
        <f aca="false">Chạy!O23</f>
        <v>2.59</v>
      </c>
      <c r="N23" s="16" t="n">
        <f aca="false">M23+O23</f>
        <v>2.588</v>
      </c>
      <c r="O23" s="16" t="n">
        <f aca="false">RANDBETWEEN(-30,100)/1000</f>
        <v>-0.002</v>
      </c>
      <c r="P23" s="17"/>
      <c r="Q23" s="18" t="n">
        <v>20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454.75</v>
      </c>
      <c r="D24" s="16" t="n">
        <f aca="false">Chạy!G27</f>
        <v>2.57</v>
      </c>
      <c r="E24" s="16" t="n">
        <f aca="false">D24+F24</f>
        <v>2.654</v>
      </c>
      <c r="F24" s="16" t="n">
        <f aca="false">RANDBETWEEN(-30,100)/1000</f>
        <v>0.084</v>
      </c>
      <c r="G24" s="16" t="n">
        <f aca="false">Chạy!I27</f>
        <v>2.57</v>
      </c>
      <c r="H24" s="16" t="n">
        <f aca="false">G24+I24</f>
        <v>2.569</v>
      </c>
      <c r="I24" s="16" t="n">
        <f aca="false">RANDBETWEEN(-30,100)/1000</f>
        <v>-0.001</v>
      </c>
      <c r="J24" s="16" t="n">
        <f aca="false">Chạy!M31</f>
        <v>2.57</v>
      </c>
      <c r="K24" s="16" t="n">
        <f aca="false">J24+L24</f>
        <v>2.616</v>
      </c>
      <c r="L24" s="16" t="n">
        <f aca="false">RANDBETWEEN(-30,100)/1000</f>
        <v>0.046</v>
      </c>
      <c r="M24" s="16" t="n">
        <f aca="false">Chạy!O31</f>
        <v>2.57</v>
      </c>
      <c r="N24" s="16" t="n">
        <f aca="false">M24+O24</f>
        <v>2.587</v>
      </c>
      <c r="O24" s="16" t="n">
        <f aca="false">RANDBETWEEN(-30,100)/1000</f>
        <v>0.017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474.75</v>
      </c>
      <c r="D25" s="16" t="n">
        <f aca="false">Chạy!G35</f>
        <v>2.56</v>
      </c>
      <c r="E25" s="16" t="n">
        <f aca="false">D25+F25</f>
        <v>2.606</v>
      </c>
      <c r="F25" s="16" t="n">
        <f aca="false">RANDBETWEEN(-30,100)/1000</f>
        <v>0.046</v>
      </c>
      <c r="G25" s="16" t="n">
        <f aca="false">Chạy!I35</f>
        <v>2.56</v>
      </c>
      <c r="H25" s="16" t="n">
        <f aca="false">G25+I25</f>
        <v>2.616</v>
      </c>
      <c r="I25" s="16" t="n">
        <f aca="false">RANDBETWEEN(-30,100)/1000</f>
        <v>0.056</v>
      </c>
      <c r="J25" s="16" t="n">
        <f aca="false">Chạy!M39</f>
        <v>2.56</v>
      </c>
      <c r="K25" s="16" t="n">
        <f aca="false">J25+L25</f>
        <v>2.603</v>
      </c>
      <c r="L25" s="16" t="n">
        <f aca="false">RANDBETWEEN(-30,100)/1000</f>
        <v>0.043</v>
      </c>
      <c r="M25" s="16" t="n">
        <f aca="false">Chạy!O39</f>
        <v>2.56</v>
      </c>
      <c r="N25" s="16" t="n">
        <f aca="false">M25+O25</f>
        <v>2.642</v>
      </c>
      <c r="O25" s="16" t="n">
        <f aca="false">RANDBETWEEN(-30,100)/1000</f>
        <v>0.082</v>
      </c>
      <c r="P25" s="17"/>
      <c r="Q25" s="18" t="n">
        <v>14.44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489.19</v>
      </c>
      <c r="D26" s="16" t="n">
        <f aca="false">Chạy!G43</f>
        <v>2.55</v>
      </c>
      <c r="E26" s="16" t="n">
        <f aca="false">D26+F26</f>
        <v>2.56</v>
      </c>
      <c r="F26" s="16" t="n">
        <f aca="false">RANDBETWEEN(-30,100)/1000</f>
        <v>0.01</v>
      </c>
      <c r="G26" s="16" t="n">
        <f aca="false">Chạy!I43</f>
        <v>2.55</v>
      </c>
      <c r="H26" s="16" t="n">
        <f aca="false">G26+I26</f>
        <v>2.575</v>
      </c>
      <c r="I26" s="16" t="n">
        <f aca="false">RANDBETWEEN(-30,100)/1000</f>
        <v>0.025</v>
      </c>
      <c r="J26" s="16" t="n">
        <f aca="false">Chạy!M47</f>
        <v>2.55</v>
      </c>
      <c r="K26" s="16" t="n">
        <f aca="false">J26+L26</f>
        <v>2.522</v>
      </c>
      <c r="L26" s="16" t="n">
        <f aca="false">RANDBETWEEN(-30,100)/1000</f>
        <v>-0.028</v>
      </c>
      <c r="M26" s="16" t="n">
        <f aca="false">Chạy!O47</f>
        <v>2.55</v>
      </c>
      <c r="N26" s="16" t="n">
        <f aca="false">M26+O26</f>
        <v>2.568</v>
      </c>
      <c r="O26" s="16" t="n">
        <f aca="false">RANDBETWEEN(-30,100)/1000</f>
        <v>0.018</v>
      </c>
      <c r="P26" s="17"/>
      <c r="Q26" s="18"/>
    </row>
    <row r="27" customFormat="false" ht="15" hidden="true" customHeight="fals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44</v>
      </c>
      <c r="D60" s="19"/>
      <c r="E60" s="19"/>
      <c r="F60" s="19"/>
      <c r="G60" s="20"/>
      <c r="H60" s="20"/>
      <c r="I60" s="20"/>
      <c r="K60" s="19" t="s">
        <v>45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46</v>
      </c>
      <c r="D65" s="19"/>
      <c r="E65" s="19"/>
      <c r="F65" s="19"/>
      <c r="G65" s="20"/>
      <c r="H65" s="20"/>
      <c r="I65" s="20"/>
      <c r="J65" s="21"/>
      <c r="K65" s="19" t="s">
        <v>47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708333333333333" right="0.157638888888889" top="0.747916666666667" bottom="0.511805555555556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4" activeCellId="0" sqref="I24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7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48</v>
      </c>
      <c r="B1" s="25"/>
      <c r="C1" s="25"/>
      <c r="D1" s="25"/>
      <c r="E1" s="25"/>
      <c r="F1" s="25"/>
      <c r="G1" s="25"/>
    </row>
    <row r="2" s="70" customFormat="true" ht="15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50.NĐXD8/CVXD ngày 09 tháng 09 năm 2026</v>
      </c>
      <c r="B2" s="27"/>
      <c r="C2" s="27"/>
      <c r="D2" s="27"/>
      <c r="E2" s="27"/>
      <c r="F2" s="27"/>
      <c r="G2" s="27"/>
      <c r="AZ2">
        <v>50</v>
      </c>
    </row>
    <row r="3" s="50" customFormat="true" ht="37.5" hidden="false" customHeight="true" outlineLevel="0" collapsed="false">
      <c r="A3" s="28" t="s">
        <v>26</v>
      </c>
      <c r="B3" s="28"/>
      <c r="C3" s="28"/>
      <c r="D3" s="28"/>
      <c r="E3" s="28"/>
      <c r="F3" s="28"/>
      <c r="G3" s="28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</row>
    <row r="4" s="50" customFormat="true" ht="37.5" hidden="false" customHeight="true" outlineLevel="0" collapsed="false">
      <c r="A4" s="28" t="s">
        <v>27</v>
      </c>
      <c r="B4" s="28"/>
      <c r="C4" s="28"/>
      <c r="D4" s="28"/>
      <c r="E4" s="28"/>
      <c r="F4" s="28"/>
      <c r="G4" s="28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</row>
    <row r="5" s="50" customFormat="true" ht="15.75" hidden="false" customHeight="true" outlineLevel="0" collapsed="false">
      <c r="A5" s="28" t="s">
        <v>28</v>
      </c>
      <c r="B5" s="28"/>
      <c r="C5" s="28"/>
      <c r="D5" s="28"/>
      <c r="E5" s="28"/>
      <c r="F5" s="28"/>
      <c r="G5" s="28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</row>
    <row r="6" s="50" customFormat="true" ht="15.75" hidden="false" customHeight="true" outlineLevel="0" collapsed="false">
      <c r="A6" s="28" t="s">
        <v>29</v>
      </c>
      <c r="B6" s="28"/>
      <c r="C6" s="28"/>
      <c r="D6" s="28"/>
      <c r="E6" s="28"/>
      <c r="F6" s="28"/>
      <c r="G6" s="28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</row>
    <row r="7" s="50" customFormat="true" ht="30" hidden="false" customHeight="true" outlineLevel="0" collapsed="false">
      <c r="A7" s="31" t="s">
        <v>30</v>
      </c>
      <c r="B7" s="32"/>
      <c r="C7" s="33"/>
      <c r="D7" s="34" t="str">
        <f>VLOOKUP(AZ2,'[1]Tuyến XD8'!$A$2:$B$60,2,0)</f>
        <v xml:space="preserve">Đắp đất lề đường lớp 3, độ chặt K&gt;=0,95 đoạn từ Km0+394,75 - Km0+489,19</v>
      </c>
      <c r="E7" s="34"/>
      <c r="F7" s="34"/>
      <c r="G7" s="34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</row>
    <row r="8" s="50" customFormat="true" ht="27" hidden="false" customHeight="true" outlineLevel="0" collapsed="false">
      <c r="A8" s="71"/>
      <c r="B8" s="72"/>
      <c r="D8" s="73"/>
      <c r="E8" s="73"/>
      <c r="F8" s="73"/>
      <c r="G8" s="73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</row>
    <row r="9" s="50" customFormat="true" ht="14.25" hidden="false" customHeight="true" outlineLevel="0" collapsed="false">
      <c r="A9" s="36" t="s">
        <v>0</v>
      </c>
      <c r="B9" s="36" t="s">
        <v>34</v>
      </c>
      <c r="C9" s="36" t="s">
        <v>35</v>
      </c>
      <c r="D9" s="37" t="s">
        <v>49</v>
      </c>
      <c r="E9" s="38"/>
      <c r="F9" s="38"/>
      <c r="G9" s="37" t="s">
        <v>40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50</v>
      </c>
      <c r="F10" s="38" t="s">
        <v>51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50" customFormat="true" ht="22.5" hidden="false" customHeight="true" outlineLevel="0" collapsed="false">
      <c r="A11" s="13" t="n">
        <v>1</v>
      </c>
      <c r="B11" s="14" t="str">
        <f aca="false">'1. KTHH L3'!B21</f>
        <v>20</v>
      </c>
      <c r="C11" s="15" t="n">
        <f aca="false">'1. KTHH L3'!C21</f>
        <v>394.75</v>
      </c>
      <c r="D11" s="13" t="n">
        <f aca="false">'1. KTHH L3'!Q21</f>
        <v>20</v>
      </c>
      <c r="E11" s="42" t="n">
        <f aca="false">Chạy!E3+Chạy!E7</f>
        <v>2.1</v>
      </c>
      <c r="F11" s="43" t="n">
        <f aca="false">(E11+E12)*D11/2</f>
        <v>42</v>
      </c>
      <c r="G11" s="44"/>
      <c r="H11" s="39"/>
      <c r="I11" s="39"/>
      <c r="K11" s="39"/>
      <c r="L11" s="65"/>
    </row>
    <row r="12" s="65" customFormat="true" ht="22.5" hidden="false" customHeight="true" outlineLevel="0" collapsed="false">
      <c r="A12" s="13" t="n">
        <v>2</v>
      </c>
      <c r="B12" s="14" t="str">
        <f aca="false">'1. KTHH L3'!B22</f>
        <v>21</v>
      </c>
      <c r="C12" s="15" t="n">
        <f aca="false">'1. KTHH L3'!C22</f>
        <v>414.75</v>
      </c>
      <c r="D12" s="13" t="n">
        <f aca="false">'1. KTHH L3'!Q22</f>
        <v>20</v>
      </c>
      <c r="E12" s="42" t="n">
        <f aca="false">Chạy!E11+Chạy!E15</f>
        <v>2.1</v>
      </c>
      <c r="F12" s="43" t="n">
        <f aca="false">(E12+E13)*D12/2</f>
        <v>42</v>
      </c>
      <c r="G12" s="44"/>
      <c r="H12" s="39"/>
      <c r="I12" s="39"/>
      <c r="K12" s="39"/>
    </row>
    <row r="13" s="39" customFormat="true" ht="22.5" hidden="false" customHeight="true" outlineLevel="0" collapsed="false">
      <c r="A13" s="13" t="n">
        <v>3</v>
      </c>
      <c r="B13" s="14" t="str">
        <f aca="false">'1. KTHH L3'!B23</f>
        <v>22</v>
      </c>
      <c r="C13" s="15" t="n">
        <f aca="false">'1. KTHH L3'!C23</f>
        <v>434.75</v>
      </c>
      <c r="D13" s="13" t="n">
        <f aca="false">'1. KTHH L3'!Q23</f>
        <v>20</v>
      </c>
      <c r="E13" s="42" t="n">
        <f aca="false">Chạy!E19+Chạy!E23</f>
        <v>2.1</v>
      </c>
      <c r="F13" s="43" t="n">
        <f aca="false">(E13+E14)*D13/2</f>
        <v>42</v>
      </c>
      <c r="G13" s="44"/>
      <c r="L13" s="65"/>
    </row>
    <row r="14" s="41" customFormat="true" ht="22.5" hidden="false" customHeight="true" outlineLevel="0" collapsed="false">
      <c r="A14" s="13" t="n">
        <v>4</v>
      </c>
      <c r="B14" s="14" t="str">
        <f aca="false">'1. KTHH L3'!B24</f>
        <v>23</v>
      </c>
      <c r="C14" s="15" t="n">
        <f aca="false">'1. KTHH L3'!C24</f>
        <v>454.75</v>
      </c>
      <c r="D14" s="13" t="n">
        <f aca="false">'1. KTHH L3'!Q24</f>
        <v>20</v>
      </c>
      <c r="E14" s="42" t="n">
        <f aca="false">Chạy!E27+Chạy!E31</f>
        <v>2.1</v>
      </c>
      <c r="F14" s="43" t="n">
        <f aca="false">(E14+E15)*D14/2</f>
        <v>42</v>
      </c>
      <c r="G14" s="44"/>
      <c r="H14" s="39"/>
      <c r="I14" s="39"/>
      <c r="K14" s="39"/>
      <c r="L14" s="65"/>
    </row>
    <row r="15" s="41" customFormat="true" ht="22.5" hidden="false" customHeight="true" outlineLevel="0" collapsed="false">
      <c r="A15" s="13" t="n">
        <v>5</v>
      </c>
      <c r="B15" s="14" t="str">
        <f aca="false">'1. KTHH L3'!B25</f>
        <v>24</v>
      </c>
      <c r="C15" s="15" t="n">
        <f aca="false">'1. KTHH L3'!C25</f>
        <v>474.75</v>
      </c>
      <c r="D15" s="13" t="n">
        <f aca="false">'1. KTHH L3'!Q25</f>
        <v>14.44</v>
      </c>
      <c r="E15" s="42" t="n">
        <f aca="false">Chạy!E35+Chạy!E39</f>
        <v>2.1</v>
      </c>
      <c r="F15" s="43" t="n">
        <f aca="false">(E15+E16)*D15/2</f>
        <v>30.324</v>
      </c>
      <c r="G15" s="44"/>
      <c r="H15" s="39"/>
      <c r="I15" s="39"/>
      <c r="K15" s="39"/>
      <c r="L15" s="65"/>
    </row>
    <row r="16" s="41" customFormat="true" ht="22.5" hidden="false" customHeight="true" outlineLevel="0" collapsed="false">
      <c r="A16" s="13" t="n">
        <v>6</v>
      </c>
      <c r="B16" s="14" t="str">
        <f aca="false">'1. KTHH L3'!B26</f>
        <v>25</v>
      </c>
      <c r="C16" s="15" t="n">
        <f aca="false">'1. KTHH L3'!C26</f>
        <v>489.19</v>
      </c>
      <c r="D16" s="13"/>
      <c r="E16" s="42" t="n">
        <f aca="false">Chạy!E43+Chạy!E47</f>
        <v>2.1</v>
      </c>
      <c r="F16" s="43"/>
      <c r="G16" s="44"/>
      <c r="H16" s="39"/>
      <c r="I16" s="39"/>
      <c r="K16" s="39"/>
      <c r="L16" s="65"/>
    </row>
    <row r="17" s="41" customFormat="true" ht="22.5" hidden="true" customHeight="true" outlineLevel="0" collapsed="false">
      <c r="A17" s="13"/>
      <c r="B17" s="14"/>
      <c r="C17" s="15"/>
      <c r="D17" s="13"/>
      <c r="E17" s="42"/>
      <c r="F17" s="43"/>
      <c r="G17" s="44"/>
      <c r="H17" s="39"/>
      <c r="I17" s="39"/>
      <c r="K17" s="39"/>
      <c r="L17" s="65"/>
    </row>
    <row r="18" s="41" customFormat="true" ht="22.5" hidden="true" customHeight="true" outlineLevel="0" collapsed="false">
      <c r="A18" s="13"/>
      <c r="B18" s="14"/>
      <c r="C18" s="15"/>
      <c r="D18" s="13"/>
      <c r="E18" s="42"/>
      <c r="F18" s="43"/>
      <c r="G18" s="44"/>
      <c r="H18" s="39"/>
      <c r="I18" s="39"/>
      <c r="K18" s="39"/>
      <c r="L18" s="65"/>
    </row>
    <row r="19" s="41" customFormat="true" ht="22.5" hidden="true" customHeight="true" outlineLevel="0" collapsed="false">
      <c r="A19" s="13"/>
      <c r="B19" s="14"/>
      <c r="C19" s="15"/>
      <c r="D19" s="13"/>
      <c r="E19" s="42"/>
      <c r="F19" s="43"/>
      <c r="G19" s="44"/>
      <c r="H19" s="39"/>
      <c r="I19" s="39"/>
      <c r="K19" s="39"/>
      <c r="L19" s="65"/>
    </row>
    <row r="20" s="41" customFormat="true" ht="22.5" hidden="true" customHeight="true" outlineLevel="0" collapsed="false">
      <c r="A20" s="13"/>
      <c r="B20" s="14"/>
      <c r="C20" s="15"/>
      <c r="D20" s="13"/>
      <c r="E20" s="42"/>
      <c r="F20" s="43"/>
      <c r="G20" s="44"/>
      <c r="H20" s="39"/>
      <c r="I20" s="39"/>
      <c r="K20" s="39"/>
      <c r="L20" s="65"/>
    </row>
    <row r="21" s="41" customFormat="true" ht="22.5" hidden="true" customHeight="true" outlineLevel="0" collapsed="false">
      <c r="A21" s="13"/>
      <c r="B21" s="14"/>
      <c r="C21" s="15"/>
      <c r="D21" s="13"/>
      <c r="E21" s="42"/>
      <c r="F21" s="43"/>
      <c r="G21" s="44"/>
      <c r="H21" s="39"/>
      <c r="I21" s="39"/>
      <c r="K21" s="39"/>
      <c r="L21" s="65"/>
    </row>
    <row r="22" s="41" customFormat="true" ht="22.5" hidden="true" customHeight="true" outlineLevel="0" collapsed="false">
      <c r="A22" s="13"/>
      <c r="B22" s="14"/>
      <c r="C22" s="15"/>
      <c r="D22" s="13"/>
      <c r="E22" s="42"/>
      <c r="F22" s="43"/>
      <c r="G22" s="44"/>
      <c r="H22" s="39"/>
      <c r="I22" s="39"/>
      <c r="K22" s="39"/>
      <c r="L22" s="65"/>
    </row>
    <row r="23" s="41" customFormat="true" ht="22.5" hidden="true" customHeight="true" outlineLevel="0" collapsed="false">
      <c r="A23" s="13"/>
      <c r="B23" s="14"/>
      <c r="C23" s="15"/>
      <c r="D23" s="13"/>
      <c r="E23" s="42"/>
      <c r="F23" s="43"/>
      <c r="G23" s="44"/>
      <c r="H23" s="39"/>
      <c r="I23" s="39"/>
      <c r="K23" s="39"/>
      <c r="L23" s="65"/>
    </row>
    <row r="24" s="41" customFormat="true" ht="22.5" hidden="true" customHeight="true" outlineLevel="0" collapsed="false">
      <c r="A24" s="13"/>
      <c r="B24" s="14"/>
      <c r="C24" s="15"/>
      <c r="D24" s="13"/>
      <c r="E24" s="42"/>
      <c r="F24" s="43"/>
      <c r="G24" s="44"/>
      <c r="H24" s="39"/>
      <c r="I24" s="39"/>
      <c r="K24" s="39"/>
      <c r="L24" s="65"/>
    </row>
    <row r="25" s="41" customFormat="true" ht="22.5" hidden="true" customHeight="true" outlineLevel="0" collapsed="false">
      <c r="A25" s="13"/>
      <c r="B25" s="14"/>
      <c r="C25" s="15"/>
      <c r="D25" s="13"/>
      <c r="E25" s="42"/>
      <c r="F25" s="43"/>
      <c r="G25" s="44"/>
      <c r="H25" s="39"/>
      <c r="I25" s="39"/>
      <c r="K25" s="39"/>
      <c r="L25" s="65"/>
    </row>
    <row r="26" s="41" customFormat="true" ht="22.5" hidden="true" customHeight="true" outlineLevel="0" collapsed="false">
      <c r="A26" s="13"/>
      <c r="B26" s="14"/>
      <c r="C26" s="15"/>
      <c r="D26" s="13"/>
      <c r="E26" s="42"/>
      <c r="F26" s="43"/>
      <c r="G26" s="44"/>
      <c r="H26" s="39"/>
      <c r="I26" s="39"/>
      <c r="K26" s="39"/>
      <c r="L26" s="65"/>
    </row>
    <row r="27" s="41" customFormat="true" ht="22.5" hidden="true" customHeight="true" outlineLevel="0" collapsed="false">
      <c r="A27" s="13"/>
      <c r="B27" s="14"/>
      <c r="C27" s="15"/>
      <c r="D27" s="13"/>
      <c r="E27" s="42"/>
      <c r="F27" s="43"/>
      <c r="G27" s="44"/>
      <c r="H27" s="39"/>
      <c r="I27" s="39"/>
      <c r="K27" s="39"/>
      <c r="L27" s="65"/>
    </row>
    <row r="28" s="41" customFormat="true" ht="22.5" hidden="true" customHeight="true" outlineLevel="0" collapsed="false">
      <c r="A28" s="13"/>
      <c r="B28" s="14"/>
      <c r="C28" s="15"/>
      <c r="D28" s="13"/>
      <c r="E28" s="42"/>
      <c r="F28" s="43"/>
      <c r="G28" s="44"/>
      <c r="H28" s="39"/>
      <c r="I28" s="39"/>
      <c r="K28" s="39"/>
      <c r="L28" s="65"/>
    </row>
    <row r="29" s="41" customFormat="true" ht="22.5" hidden="true" customHeight="true" outlineLevel="0" collapsed="false">
      <c r="A29" s="13"/>
      <c r="B29" s="14"/>
      <c r="C29" s="15"/>
      <c r="D29" s="13"/>
      <c r="E29" s="42"/>
      <c r="F29" s="43"/>
      <c r="G29" s="44"/>
      <c r="H29" s="39"/>
      <c r="I29" s="39"/>
      <c r="K29" s="39"/>
      <c r="L29" s="65"/>
    </row>
    <row r="30" s="41" customFormat="true" ht="22.5" hidden="true" customHeight="true" outlineLevel="0" collapsed="false">
      <c r="A30" s="13"/>
      <c r="B30" s="14"/>
      <c r="C30" s="15"/>
      <c r="D30" s="13"/>
      <c r="E30" s="42"/>
      <c r="F30" s="43"/>
      <c r="G30" s="44"/>
      <c r="H30" s="39"/>
      <c r="I30" s="39"/>
      <c r="K30" s="39"/>
      <c r="L30" s="65"/>
    </row>
    <row r="31" s="41" customFormat="true" ht="22.5" hidden="true" customHeight="true" outlineLevel="0" collapsed="false">
      <c r="A31" s="13"/>
      <c r="B31" s="14"/>
      <c r="C31" s="15"/>
      <c r="D31" s="13"/>
      <c r="E31" s="42"/>
      <c r="F31" s="43"/>
      <c r="G31" s="44"/>
      <c r="H31" s="39"/>
      <c r="I31" s="39"/>
      <c r="K31" s="39"/>
      <c r="L31" s="65"/>
    </row>
    <row r="32" s="41" customFormat="true" ht="22.5" hidden="true" customHeight="true" outlineLevel="0" collapsed="false">
      <c r="A32" s="13"/>
      <c r="B32" s="14"/>
      <c r="C32" s="15"/>
      <c r="D32" s="13"/>
      <c r="E32" s="42"/>
      <c r="F32" s="43"/>
      <c r="G32" s="44"/>
      <c r="H32" s="39"/>
      <c r="I32" s="39"/>
      <c r="K32" s="39"/>
      <c r="L32" s="65"/>
    </row>
    <row r="33" s="41" customFormat="true" ht="22.5" hidden="true" customHeight="true" outlineLevel="0" collapsed="false">
      <c r="A33" s="13"/>
      <c r="B33" s="14"/>
      <c r="C33" s="15"/>
      <c r="D33" s="13"/>
      <c r="E33" s="42"/>
      <c r="F33" s="43"/>
      <c r="G33" s="44"/>
      <c r="H33" s="39"/>
      <c r="I33" s="39"/>
      <c r="K33" s="39"/>
      <c r="L33" s="65"/>
    </row>
    <row r="34" s="41" customFormat="true" ht="22.5" hidden="true" customHeight="true" outlineLevel="0" collapsed="false">
      <c r="A34" s="13"/>
      <c r="B34" s="14"/>
      <c r="C34" s="15"/>
      <c r="D34" s="13"/>
      <c r="E34" s="42"/>
      <c r="F34" s="43"/>
      <c r="G34" s="44"/>
      <c r="H34" s="39"/>
      <c r="I34" s="39"/>
      <c r="K34" s="39"/>
      <c r="L34" s="65"/>
    </row>
    <row r="35" s="41" customFormat="true" ht="22.5" hidden="true" customHeight="true" outlineLevel="0" collapsed="false">
      <c r="A35" s="13"/>
      <c r="B35" s="14"/>
      <c r="C35" s="15"/>
      <c r="D35" s="13"/>
      <c r="E35" s="42"/>
      <c r="F35" s="43"/>
      <c r="G35" s="44"/>
      <c r="H35" s="39"/>
      <c r="I35" s="39"/>
      <c r="K35" s="39"/>
      <c r="L35" s="65"/>
    </row>
    <row r="36" s="41" customFormat="true" ht="22.5" hidden="true" customHeight="true" outlineLevel="0" collapsed="false">
      <c r="A36" s="13"/>
      <c r="B36" s="14"/>
      <c r="C36" s="15"/>
      <c r="D36" s="13"/>
      <c r="E36" s="42"/>
      <c r="F36" s="43"/>
      <c r="G36" s="44"/>
      <c r="H36" s="39"/>
      <c r="I36" s="39"/>
      <c r="K36" s="39"/>
      <c r="L36" s="65"/>
    </row>
    <row r="37" s="41" customFormat="true" ht="22.5" hidden="true" customHeight="true" outlineLevel="0" collapsed="false">
      <c r="A37" s="13"/>
      <c r="B37" s="14"/>
      <c r="C37" s="15"/>
      <c r="D37" s="13"/>
      <c r="E37" s="42"/>
      <c r="F37" s="43"/>
      <c r="G37" s="44"/>
      <c r="H37" s="39"/>
      <c r="I37" s="39"/>
      <c r="K37" s="39"/>
      <c r="L37" s="65"/>
    </row>
    <row r="38" s="41" customFormat="true" ht="22.5" hidden="true" customHeight="true" outlineLevel="0" collapsed="false">
      <c r="A38" s="13"/>
      <c r="B38" s="14"/>
      <c r="C38" s="15"/>
      <c r="D38" s="13"/>
      <c r="E38" s="42"/>
      <c r="F38" s="43"/>
      <c r="G38" s="44"/>
      <c r="H38" s="39"/>
      <c r="I38" s="39"/>
      <c r="K38" s="39"/>
      <c r="L38" s="65"/>
    </row>
    <row r="39" s="41" customFormat="true" ht="22.5" hidden="true" customHeight="true" outlineLevel="0" collapsed="false">
      <c r="A39" s="13"/>
      <c r="B39" s="14"/>
      <c r="C39" s="15"/>
      <c r="D39" s="13"/>
      <c r="E39" s="42"/>
      <c r="F39" s="43"/>
      <c r="G39" s="44"/>
      <c r="H39" s="39"/>
      <c r="I39" s="39"/>
      <c r="K39" s="39"/>
      <c r="L39" s="65"/>
    </row>
    <row r="40" s="41" customFormat="true" ht="22.5" hidden="true" customHeight="true" outlineLevel="0" collapsed="false">
      <c r="A40" s="13"/>
      <c r="B40" s="14"/>
      <c r="C40" s="15"/>
      <c r="D40" s="13"/>
      <c r="E40" s="42"/>
      <c r="F40" s="43"/>
      <c r="G40" s="44"/>
      <c r="H40" s="39"/>
      <c r="I40" s="39"/>
      <c r="K40" s="39"/>
      <c r="L40" s="65"/>
    </row>
    <row r="41" s="41" customFormat="true" ht="22.5" hidden="true" customHeight="true" outlineLevel="0" collapsed="false">
      <c r="A41" s="13"/>
      <c r="B41" s="14"/>
      <c r="C41" s="15"/>
      <c r="D41" s="13"/>
      <c r="E41" s="42"/>
      <c r="F41" s="43"/>
      <c r="G41" s="44"/>
      <c r="H41" s="39"/>
      <c r="I41" s="39"/>
      <c r="K41" s="39"/>
      <c r="L41" s="65"/>
    </row>
    <row r="42" s="41" customFormat="true" ht="22.5" hidden="true" customHeight="true" outlineLevel="0" collapsed="false">
      <c r="A42" s="13"/>
      <c r="B42" s="14"/>
      <c r="C42" s="15"/>
      <c r="D42" s="13"/>
      <c r="E42" s="42"/>
      <c r="F42" s="43"/>
      <c r="G42" s="44"/>
      <c r="H42" s="39"/>
      <c r="I42" s="39"/>
      <c r="K42" s="39"/>
      <c r="L42" s="65"/>
    </row>
    <row r="43" s="41" customFormat="true" ht="22.5" hidden="true" customHeight="true" outlineLevel="0" collapsed="false">
      <c r="A43" s="13"/>
      <c r="B43" s="14"/>
      <c r="C43" s="15"/>
      <c r="D43" s="13"/>
      <c r="E43" s="42"/>
      <c r="F43" s="43"/>
      <c r="G43" s="44"/>
      <c r="H43" s="39"/>
      <c r="I43" s="39"/>
      <c r="K43" s="39"/>
      <c r="L43" s="65"/>
    </row>
    <row r="44" s="41" customFormat="true" ht="22.5" hidden="true" customHeight="true" outlineLevel="0" collapsed="false">
      <c r="A44" s="13"/>
      <c r="B44" s="14"/>
      <c r="C44" s="15"/>
      <c r="D44" s="13"/>
      <c r="E44" s="42"/>
      <c r="F44" s="43"/>
      <c r="G44" s="44"/>
      <c r="H44" s="39"/>
      <c r="I44" s="39"/>
      <c r="K44" s="39"/>
      <c r="L44" s="65"/>
    </row>
    <row r="45" s="41" customFormat="true" ht="22.5" hidden="true" customHeight="true" outlineLevel="0" collapsed="false">
      <c r="A45" s="13"/>
      <c r="B45" s="14"/>
      <c r="C45" s="15"/>
      <c r="D45" s="13"/>
      <c r="E45" s="42"/>
      <c r="F45" s="43"/>
      <c r="G45" s="44"/>
      <c r="H45" s="39"/>
      <c r="I45" s="39"/>
      <c r="K45" s="39"/>
      <c r="L45" s="65"/>
    </row>
    <row r="46" s="41" customFormat="true" ht="22.5" hidden="true" customHeight="true" outlineLevel="0" collapsed="false">
      <c r="A46" s="13"/>
      <c r="B46" s="14"/>
      <c r="C46" s="15"/>
      <c r="D46" s="13"/>
      <c r="E46" s="42"/>
      <c r="F46" s="43"/>
      <c r="G46" s="44"/>
      <c r="H46" s="39"/>
      <c r="I46" s="39"/>
      <c r="K46" s="39"/>
      <c r="L46" s="65"/>
    </row>
    <row r="47" s="41" customFormat="true" ht="22.5" hidden="true" customHeight="true" outlineLevel="0" collapsed="false">
      <c r="A47" s="13"/>
      <c r="B47" s="14"/>
      <c r="C47" s="15"/>
      <c r="D47" s="13"/>
      <c r="E47" s="42"/>
      <c r="F47" s="43"/>
      <c r="G47" s="44"/>
      <c r="H47" s="39"/>
      <c r="I47" s="39"/>
      <c r="K47" s="39"/>
      <c r="L47" s="65"/>
    </row>
    <row r="48" s="41" customFormat="true" ht="22.5" hidden="true" customHeight="true" outlineLevel="0" collapsed="false">
      <c r="A48" s="13"/>
      <c r="B48" s="14"/>
      <c r="C48" s="15"/>
      <c r="D48" s="13"/>
      <c r="E48" s="42"/>
      <c r="F48" s="43"/>
      <c r="G48" s="44"/>
      <c r="H48" s="39"/>
      <c r="I48" s="39"/>
      <c r="K48" s="39"/>
      <c r="L48" s="65"/>
    </row>
    <row r="49" s="41" customFormat="true" ht="15" hidden="false" customHeight="true" outlineLevel="0" collapsed="false">
      <c r="A49" s="36" t="s">
        <v>52</v>
      </c>
      <c r="B49" s="36"/>
      <c r="C49" s="36"/>
      <c r="D49" s="36"/>
      <c r="E49" s="47"/>
      <c r="F49" s="48" t="n">
        <f aca="false">SUM(F11:F16)</f>
        <v>198.324</v>
      </c>
      <c r="G49" s="49"/>
      <c r="I49" s="69"/>
    </row>
    <row r="50" s="41" customFormat="true" ht="15" hidden="false" customHeight="true" outlineLevel="0" collapsed="false">
      <c r="A50" s="20"/>
      <c r="B50" s="20"/>
      <c r="C50" s="20"/>
      <c r="D50" s="20"/>
      <c r="E50" s="50"/>
      <c r="F50" s="55"/>
      <c r="G50" s="55"/>
      <c r="I50" s="69"/>
    </row>
    <row r="51" s="41" customFormat="true" ht="15" hidden="false" customHeight="true" outlineLevel="0" collapsed="false">
      <c r="A51" s="19" t="s">
        <v>44</v>
      </c>
      <c r="B51" s="19"/>
      <c r="C51" s="19"/>
      <c r="D51" s="57" t="s">
        <v>53</v>
      </c>
      <c r="E51" s="19" t="s">
        <v>45</v>
      </c>
      <c r="F51" s="19"/>
      <c r="G51" s="19"/>
    </row>
    <row r="52" s="41" customFormat="true" ht="1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41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</row>
    <row r="54" s="41" customFormat="true" ht="1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41" customFormat="true" ht="1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41" customFormat="true" ht="1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41" customFormat="true" ht="15" hidden="false" customHeight="true" outlineLevel="0" collapsed="false">
      <c r="A57" s="19" t="s">
        <v>46</v>
      </c>
      <c r="B57" s="19"/>
      <c r="C57" s="19"/>
      <c r="D57" s="21"/>
      <c r="E57" s="19" t="s">
        <v>47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979861111111111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4"/>
  <sheetViews>
    <sheetView showFormulas="false" showGridLines="true" showRowColHeaders="true" showZeros="true" rightToLeft="false" tabSelected="false" showOutlineSymbols="true" defaultGridColor="true" view="normal" topLeftCell="A25" colorId="64" zoomScale="85" zoomScaleNormal="85" zoomScalePageLayoutView="100" workbookViewId="0">
      <selection pane="topLeft" activeCell="O19" activeCellId="0" sqref="O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  <col collapsed="false" customWidth="true" hidden="false" outlineLevel="0" max="16" min="16" style="1" width="7.57"/>
  </cols>
  <sheetData>
    <row r="1" customFormat="false" ht="20.25" hidden="false" customHeight="true" outlineLevel="0" collapsed="false">
      <c r="A1" s="3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" hidden="false" customHeight="false" outlineLevel="0" collapsed="false">
      <c r="A2" s="74" t="str">
        <f>"Kèm theo BBNT số: "&amp;VLOOKUP(AZ2,'[1]Tuyến XD8'!$A$2:$G$60,7,0)&amp;VLOOKUP(AZ2,'[1]Tuyến XD8'!$A$2:$G$60,4,0)</f>
        <v xml:space="preserve">Kèm theo BBNT số: 51.NĐXD8/CVXD ngày 10 tháng 09 năm 2026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AZ2">
        <v>51</v>
      </c>
    </row>
    <row r="3" customFormat="false" ht="15" hidden="false" customHeight="false" outlineLevel="0" collapsed="false">
      <c r="A3" s="22" t="s">
        <v>26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27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28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29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30</v>
      </c>
      <c r="C7" s="22"/>
      <c r="D7" s="22" t="str">
        <f>VLOOKUP(AZ2,'[1]Tuyến XD8'!$A$2:$B$60,2,0)</f>
        <v xml:space="preserve">Đắp đất lề đường lớp 4, độ chặt K&gt;=0,95 đoạn từ Km0+394,75 - Km0+489,19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32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8" customFormat="false" ht="15" hidden="false" customHeight="true" outlineLevel="0" collapsed="false">
      <c r="A18" s="10" t="s">
        <v>33</v>
      </c>
      <c r="B18" s="10" t="s">
        <v>34</v>
      </c>
      <c r="C18" s="10" t="s">
        <v>35</v>
      </c>
      <c r="D18" s="11" t="s">
        <v>36</v>
      </c>
      <c r="E18" s="11"/>
      <c r="F18" s="11"/>
      <c r="G18" s="11" t="s">
        <v>37</v>
      </c>
      <c r="H18" s="11"/>
      <c r="I18" s="11"/>
      <c r="J18" s="11" t="s">
        <v>38</v>
      </c>
      <c r="K18" s="11"/>
      <c r="L18" s="11"/>
      <c r="M18" s="11" t="s">
        <v>39</v>
      </c>
      <c r="N18" s="11"/>
      <c r="O18" s="11"/>
      <c r="P18" s="10" t="s">
        <v>40</v>
      </c>
    </row>
    <row r="19" customFormat="false" ht="30" hidden="false" customHeight="true" outlineLevel="0" collapsed="false">
      <c r="A19" s="10"/>
      <c r="B19" s="10"/>
      <c r="C19" s="10"/>
      <c r="D19" s="11" t="s">
        <v>41</v>
      </c>
      <c r="E19" s="11" t="s">
        <v>42</v>
      </c>
      <c r="F19" s="11" t="s">
        <v>43</v>
      </c>
      <c r="G19" s="11" t="s">
        <v>41</v>
      </c>
      <c r="H19" s="11" t="s">
        <v>42</v>
      </c>
      <c r="I19" s="11" t="s">
        <v>43</v>
      </c>
      <c r="J19" s="11" t="s">
        <v>41</v>
      </c>
      <c r="K19" s="11" t="s">
        <v>42</v>
      </c>
      <c r="L19" s="11" t="s">
        <v>43</v>
      </c>
      <c r="M19" s="11" t="s">
        <v>41</v>
      </c>
      <c r="N19" s="11" t="s">
        <v>42</v>
      </c>
      <c r="O19" s="11" t="s">
        <v>43</v>
      </c>
      <c r="P19" s="10"/>
    </row>
    <row r="20" customFormat="false" ht="15" hidden="false" customHeight="false" outlineLevel="0" collapsed="false">
      <c r="A20" s="13" t="n">
        <v>1</v>
      </c>
      <c r="B20" s="14" t="s">
        <v>17</v>
      </c>
      <c r="C20" s="15" t="n">
        <v>394.75</v>
      </c>
      <c r="D20" s="16" t="n">
        <f aca="false">Chạy!G2</f>
        <v>2.96</v>
      </c>
      <c r="E20" s="16" t="n">
        <f aca="false">D20+F20</f>
        <v>2.938</v>
      </c>
      <c r="F20" s="16" t="n">
        <f aca="false">RANDBETWEEN(-30,100)/1000</f>
        <v>-0.022</v>
      </c>
      <c r="G20" s="16" t="n">
        <f aca="false">Chạy!I2</f>
        <v>2.67</v>
      </c>
      <c r="H20" s="16" t="n">
        <f aca="false">G20+I20</f>
        <v>2.77</v>
      </c>
      <c r="I20" s="16" t="n">
        <f aca="false">RANDBETWEEN(-30,100)/1000</f>
        <v>0.1</v>
      </c>
      <c r="J20" s="16" t="n">
        <f aca="false">Chạy!M6</f>
        <v>2.86</v>
      </c>
      <c r="K20" s="16" t="n">
        <f aca="false">J20+L20</f>
        <v>2.913</v>
      </c>
      <c r="L20" s="16" t="n">
        <f aca="false">RANDBETWEEN(-30,100)/1000</f>
        <v>0.053</v>
      </c>
      <c r="M20" s="16" t="n">
        <f aca="false">Chạy!O6</f>
        <v>2.86</v>
      </c>
      <c r="N20" s="16" t="n">
        <f aca="false">M20+O20</f>
        <v>2.857</v>
      </c>
      <c r="O20" s="16" t="n">
        <f aca="false">RANDBETWEEN(-30,100)/1000</f>
        <v>-0.003</v>
      </c>
      <c r="P20" s="17"/>
      <c r="Q20" s="18" t="n">
        <v>20</v>
      </c>
    </row>
    <row r="21" customFormat="false" ht="15" hidden="false" customHeight="false" outlineLevel="0" collapsed="false">
      <c r="A21" s="13" t="n">
        <v>2</v>
      </c>
      <c r="B21" s="14" t="s">
        <v>19</v>
      </c>
      <c r="C21" s="15" t="n">
        <f aca="false">C20+Q20</f>
        <v>414.75</v>
      </c>
      <c r="D21" s="16" t="n">
        <f aca="false">Chạy!G10</f>
        <v>2.94</v>
      </c>
      <c r="E21" s="16" t="n">
        <f aca="false">D21+F21</f>
        <v>3.01</v>
      </c>
      <c r="F21" s="16" t="n">
        <f aca="false">RANDBETWEEN(-30,100)/1000</f>
        <v>0.07</v>
      </c>
      <c r="G21" s="16" t="n">
        <f aca="false">Chạy!I10</f>
        <v>2.66</v>
      </c>
      <c r="H21" s="16" t="n">
        <f aca="false">G21+I21</f>
        <v>2.716</v>
      </c>
      <c r="I21" s="16" t="n">
        <f aca="false">RANDBETWEEN(-30,100)/1000</f>
        <v>0.056</v>
      </c>
      <c r="J21" s="16" t="n">
        <f aca="false">Chạy!M14</f>
        <v>2.85</v>
      </c>
      <c r="K21" s="16" t="n">
        <f aca="false">J21+L21</f>
        <v>2.893</v>
      </c>
      <c r="L21" s="16" t="n">
        <f aca="false">RANDBETWEEN(-30,100)/1000</f>
        <v>0.043</v>
      </c>
      <c r="M21" s="16" t="n">
        <f aca="false">Chạy!O14</f>
        <v>2.85</v>
      </c>
      <c r="N21" s="16" t="n">
        <f aca="false">M21+O21</f>
        <v>2.863</v>
      </c>
      <c r="O21" s="16" t="n">
        <f aca="false">RANDBETWEEN(-30,100)/1000</f>
        <v>0.013</v>
      </c>
      <c r="P21" s="17"/>
      <c r="Q21" s="18" t="n">
        <v>20</v>
      </c>
    </row>
    <row r="22" customFormat="false" ht="15" hidden="false" customHeight="false" outlineLevel="0" collapsed="false">
      <c r="A22" s="13" t="n">
        <v>3</v>
      </c>
      <c r="B22" s="14" t="s">
        <v>20</v>
      </c>
      <c r="C22" s="15" t="n">
        <f aca="false">C21+Q21</f>
        <v>434.75</v>
      </c>
      <c r="D22" s="16" t="n">
        <f aca="false">Chạy!G18</f>
        <v>2.93</v>
      </c>
      <c r="E22" s="16" t="n">
        <f aca="false">D22+F22</f>
        <v>2.967</v>
      </c>
      <c r="F22" s="16" t="n">
        <f aca="false">RANDBETWEEN(-30,100)/1000</f>
        <v>0.037</v>
      </c>
      <c r="G22" s="16" t="n">
        <f aca="false">Chạy!I18</f>
        <v>2.65</v>
      </c>
      <c r="H22" s="16" t="n">
        <f aca="false">G22+I22</f>
        <v>2.63</v>
      </c>
      <c r="I22" s="16" t="n">
        <f aca="false">RANDBETWEEN(-30,100)/1000</f>
        <v>-0.02</v>
      </c>
      <c r="J22" s="16" t="n">
        <f aca="false">Chạy!M22</f>
        <v>2.84</v>
      </c>
      <c r="K22" s="16" t="n">
        <f aca="false">J22+L22</f>
        <v>2.853</v>
      </c>
      <c r="L22" s="16" t="n">
        <f aca="false">RANDBETWEEN(-30,100)/1000</f>
        <v>0.013</v>
      </c>
      <c r="M22" s="16" t="n">
        <f aca="false">Chạy!O22</f>
        <v>2.83</v>
      </c>
      <c r="N22" s="16" t="n">
        <f aca="false">M22+O22</f>
        <v>2.868</v>
      </c>
      <c r="O22" s="16" t="n">
        <f aca="false">RANDBETWEEN(-30,100)/1000</f>
        <v>0.038</v>
      </c>
      <c r="P22" s="17"/>
      <c r="Q22" s="18" t="n">
        <v>20</v>
      </c>
    </row>
    <row r="23" customFormat="false" ht="15" hidden="false" customHeight="false" outlineLevel="0" collapsed="false">
      <c r="A23" s="13" t="n">
        <v>4</v>
      </c>
      <c r="B23" s="14" t="s">
        <v>21</v>
      </c>
      <c r="C23" s="15" t="n">
        <f aca="false">C22+Q22</f>
        <v>454.75</v>
      </c>
      <c r="D23" s="16" t="n">
        <f aca="false">Chạy!G26</f>
        <v>2.92</v>
      </c>
      <c r="E23" s="16" t="n">
        <f aca="false">D23+F23</f>
        <v>2.963</v>
      </c>
      <c r="F23" s="16" t="n">
        <f aca="false">RANDBETWEEN(-30,100)/1000</f>
        <v>0.043</v>
      </c>
      <c r="G23" s="16" t="n">
        <f aca="false">Chạy!I26</f>
        <v>2.63</v>
      </c>
      <c r="H23" s="16" t="n">
        <f aca="false">G23+I23</f>
        <v>2.65</v>
      </c>
      <c r="I23" s="16" t="n">
        <f aca="false">RANDBETWEEN(-30,100)/1000</f>
        <v>0.02</v>
      </c>
      <c r="J23" s="16" t="n">
        <f aca="false">Chạy!M30</f>
        <v>2.82</v>
      </c>
      <c r="K23" s="16" t="n">
        <f aca="false">J23+L23</f>
        <v>2.877</v>
      </c>
      <c r="L23" s="16" t="n">
        <f aca="false">RANDBETWEEN(-30,100)/1000</f>
        <v>0.057</v>
      </c>
      <c r="M23" s="16" t="n">
        <f aca="false">Chạy!O30</f>
        <v>2.82</v>
      </c>
      <c r="N23" s="16" t="n">
        <f aca="false">M23+O23</f>
        <v>2.89</v>
      </c>
      <c r="O23" s="16" t="n">
        <f aca="false">RANDBETWEEN(-30,100)/1000</f>
        <v>0.07</v>
      </c>
      <c r="P23" s="17"/>
      <c r="Q23" s="18" t="n">
        <v>20</v>
      </c>
    </row>
    <row r="24" customFormat="false" ht="15" hidden="false" customHeight="false" outlineLevel="0" collapsed="false">
      <c r="A24" s="13" t="n">
        <v>5</v>
      </c>
      <c r="B24" s="14" t="s">
        <v>22</v>
      </c>
      <c r="C24" s="15" t="n">
        <f aca="false">C23+Q23</f>
        <v>474.75</v>
      </c>
      <c r="D24" s="16" t="n">
        <f aca="false">Chạy!G34</f>
        <v>2.9</v>
      </c>
      <c r="E24" s="16" t="n">
        <f aca="false">D24+F24</f>
        <v>2.893</v>
      </c>
      <c r="F24" s="16" t="n">
        <f aca="false">RANDBETWEEN(-30,100)/1000</f>
        <v>-0.007</v>
      </c>
      <c r="G24" s="16" t="n">
        <f aca="false">Chạy!I34</f>
        <v>2.62</v>
      </c>
      <c r="H24" s="16" t="n">
        <f aca="false">G24+I24</f>
        <v>2.681</v>
      </c>
      <c r="I24" s="16" t="n">
        <f aca="false">RANDBETWEEN(-30,100)/1000</f>
        <v>0.061</v>
      </c>
      <c r="J24" s="16" t="n">
        <f aca="false">Chạy!M38</f>
        <v>2.81</v>
      </c>
      <c r="K24" s="16" t="n">
        <f aca="false">J24+L24</f>
        <v>2.906</v>
      </c>
      <c r="L24" s="16" t="n">
        <f aca="false">RANDBETWEEN(-30,100)/1000</f>
        <v>0.096</v>
      </c>
      <c r="M24" s="16" t="n">
        <f aca="false">Chạy!O38</f>
        <v>2.81</v>
      </c>
      <c r="N24" s="16" t="n">
        <f aca="false">M24+O24</f>
        <v>2.808</v>
      </c>
      <c r="O24" s="16" t="n">
        <f aca="false">RANDBETWEEN(-30,100)/1000</f>
        <v>-0.002</v>
      </c>
      <c r="P24" s="17"/>
      <c r="Q24" s="18" t="n">
        <v>14.44</v>
      </c>
    </row>
    <row r="25" customFormat="false" ht="15" hidden="false" customHeight="false" outlineLevel="0" collapsed="false">
      <c r="A25" s="13" t="n">
        <v>6</v>
      </c>
      <c r="B25" s="14" t="s">
        <v>23</v>
      </c>
      <c r="C25" s="15" t="n">
        <f aca="false">C24+Q24</f>
        <v>489.19</v>
      </c>
      <c r="D25" s="16" t="n">
        <f aca="false">Chạy!G42</f>
        <v>2.89</v>
      </c>
      <c r="E25" s="16" t="n">
        <f aca="false">D25+F25</f>
        <v>2.953</v>
      </c>
      <c r="F25" s="16" t="n">
        <f aca="false">RANDBETWEEN(-30,100)/1000</f>
        <v>0.063</v>
      </c>
      <c r="G25" s="16" t="n">
        <f aca="false">Chạy!I42</f>
        <v>2.61</v>
      </c>
      <c r="H25" s="16" t="n">
        <f aca="false">G25+I25</f>
        <v>2.624</v>
      </c>
      <c r="I25" s="16" t="n">
        <f aca="false">RANDBETWEEN(-30,100)/1000</f>
        <v>0.014</v>
      </c>
      <c r="J25" s="16" t="n">
        <f aca="false">Chạy!M46</f>
        <v>2.8</v>
      </c>
      <c r="K25" s="16" t="n">
        <f aca="false">J25+L25</f>
        <v>2.896</v>
      </c>
      <c r="L25" s="16" t="n">
        <f aca="false">RANDBETWEEN(-30,100)/1000</f>
        <v>0.096</v>
      </c>
      <c r="M25" s="16" t="n">
        <f aca="false">Chạy!O46</f>
        <v>2.8</v>
      </c>
      <c r="N25" s="16" t="n">
        <f aca="false">M25+O25</f>
        <v>2.787</v>
      </c>
      <c r="O25" s="16" t="n">
        <f aca="false">RANDBETWEEN(-30,100)/1000</f>
        <v>-0.013</v>
      </c>
      <c r="P25" s="17"/>
      <c r="Q25" s="18"/>
    </row>
    <row r="26" customFormat="false" ht="15" hidden="true" customHeight="false" outlineLevel="0" collapsed="false">
      <c r="A26" s="13"/>
      <c r="B26" s="14"/>
      <c r="C26" s="15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7"/>
      <c r="Q26" s="18"/>
    </row>
    <row r="27" customFormat="false" ht="15" hidden="true" customHeight="fals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9" customFormat="false" ht="15" hidden="false" customHeight="false" outlineLevel="0" collapsed="false">
      <c r="C59" s="19" t="s">
        <v>44</v>
      </c>
      <c r="D59" s="19"/>
      <c r="E59" s="19"/>
      <c r="F59" s="19"/>
      <c r="G59" s="20"/>
      <c r="H59" s="20"/>
      <c r="I59" s="20"/>
      <c r="K59" s="19" t="s">
        <v>45</v>
      </c>
      <c r="L59" s="19"/>
      <c r="M59" s="19"/>
      <c r="N59" s="19"/>
      <c r="O59" s="21"/>
    </row>
    <row r="60" customFormat="false" ht="15" hidden="false" customHeight="false" outlineLevel="0" collapsed="false">
      <c r="D60" s="22"/>
      <c r="E60" s="22"/>
      <c r="G60" s="22"/>
      <c r="H60" s="22"/>
      <c r="J60" s="22"/>
      <c r="K60" s="22"/>
      <c r="L60" s="22"/>
      <c r="M60" s="22"/>
      <c r="N60" s="22"/>
      <c r="O60" s="22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C64" s="19" t="s">
        <v>46</v>
      </c>
      <c r="D64" s="19"/>
      <c r="E64" s="19"/>
      <c r="F64" s="19"/>
      <c r="G64" s="20"/>
      <c r="H64" s="20"/>
      <c r="I64" s="20"/>
      <c r="J64" s="21"/>
      <c r="K64" s="19" t="s">
        <v>60</v>
      </c>
      <c r="L64" s="19"/>
      <c r="M64" s="19"/>
      <c r="N64" s="19"/>
      <c r="O64" s="21"/>
    </row>
  </sheetData>
  <mergeCells count="14">
    <mergeCell ref="A1:P1"/>
    <mergeCell ref="A2:P2"/>
    <mergeCell ref="A18:A19"/>
    <mergeCell ref="B18:B19"/>
    <mergeCell ref="C18:C19"/>
    <mergeCell ref="D18:F18"/>
    <mergeCell ref="G18:I18"/>
    <mergeCell ref="J18:L18"/>
    <mergeCell ref="M18:O18"/>
    <mergeCell ref="P18:P19"/>
    <mergeCell ref="C59:F59"/>
    <mergeCell ref="K59:N59"/>
    <mergeCell ref="C64:F64"/>
    <mergeCell ref="K64:N64"/>
  </mergeCells>
  <printOptions headings="false" gridLines="false" gridLinesSet="true" horizontalCentered="false" verticalCentered="false"/>
  <pageMargins left="0.354166666666667" right="0.196527777777778" top="0.747916666666667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M21" activeCellId="0" sqref="M2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1.43"/>
    <col collapsed="false" customWidth="true" hidden="false" outlineLevel="0" max="3" min="3" style="23" width="17.86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8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21" hidden="false" customHeight="true" outlineLevel="0" collapsed="false">
      <c r="A1" s="25" t="s">
        <v>48</v>
      </c>
      <c r="B1" s="25"/>
      <c r="C1" s="25"/>
      <c r="D1" s="25"/>
      <c r="E1" s="25"/>
      <c r="F1" s="25"/>
      <c r="G1" s="25"/>
    </row>
    <row r="2" s="75" customFormat="true" ht="15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51.NĐXD8/CVXD ngày 10 tháng 09 năm 2026</v>
      </c>
      <c r="B2" s="27"/>
      <c r="C2" s="27"/>
      <c r="D2" s="27"/>
      <c r="E2" s="27"/>
      <c r="F2" s="27"/>
      <c r="G2" s="27"/>
      <c r="AZ2">
        <v>51</v>
      </c>
    </row>
    <row r="3" s="33" customFormat="true" ht="37.5" hidden="false" customHeight="true" outlineLevel="0" collapsed="false">
      <c r="A3" s="28" t="s">
        <v>26</v>
      </c>
      <c r="B3" s="28"/>
      <c r="C3" s="28"/>
      <c r="D3" s="28"/>
      <c r="E3" s="28"/>
      <c r="F3" s="28"/>
      <c r="G3" s="28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</row>
    <row r="4" s="33" customFormat="true" ht="37.5" hidden="false" customHeight="true" outlineLevel="0" collapsed="false">
      <c r="A4" s="28" t="s">
        <v>27</v>
      </c>
      <c r="B4" s="28"/>
      <c r="C4" s="28"/>
      <c r="D4" s="28"/>
      <c r="E4" s="28"/>
      <c r="F4" s="28"/>
      <c r="G4" s="28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  <c r="FV4" s="76"/>
      <c r="FW4" s="76"/>
      <c r="FX4" s="76"/>
      <c r="FY4" s="76"/>
      <c r="FZ4" s="76"/>
      <c r="GA4" s="76"/>
      <c r="GB4" s="76"/>
      <c r="GC4" s="76"/>
      <c r="GD4" s="76"/>
      <c r="GE4" s="76"/>
      <c r="GF4" s="76"/>
      <c r="GG4" s="76"/>
      <c r="GH4" s="76"/>
      <c r="GI4" s="76"/>
      <c r="GJ4" s="76"/>
      <c r="GK4" s="76"/>
      <c r="GL4" s="76"/>
      <c r="GM4" s="76"/>
      <c r="GN4" s="76"/>
      <c r="GO4" s="76"/>
      <c r="GP4" s="76"/>
      <c r="GQ4" s="76"/>
      <c r="GR4" s="76"/>
      <c r="GS4" s="76"/>
      <c r="GT4" s="76"/>
      <c r="GU4" s="76"/>
      <c r="GV4" s="76"/>
      <c r="GW4" s="76"/>
      <c r="GX4" s="76"/>
      <c r="GY4" s="76"/>
      <c r="GZ4" s="76"/>
      <c r="HA4" s="76"/>
      <c r="HB4" s="76"/>
      <c r="HC4" s="76"/>
    </row>
    <row r="5" s="33" customFormat="true" ht="15.75" hidden="false" customHeight="true" outlineLevel="0" collapsed="false">
      <c r="A5" s="28" t="s">
        <v>28</v>
      </c>
      <c r="B5" s="28"/>
      <c r="C5" s="28"/>
      <c r="D5" s="28"/>
      <c r="E5" s="28"/>
      <c r="F5" s="28"/>
      <c r="G5" s="28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</row>
    <row r="6" s="33" customFormat="true" ht="15.75" hidden="false" customHeight="true" outlineLevel="0" collapsed="false">
      <c r="A6" s="28" t="s">
        <v>29</v>
      </c>
      <c r="B6" s="28"/>
      <c r="C6" s="28"/>
      <c r="D6" s="28"/>
      <c r="E6" s="28"/>
      <c r="F6" s="28"/>
      <c r="G6" s="28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  <c r="GF6" s="76"/>
      <c r="GG6" s="76"/>
      <c r="GH6" s="76"/>
      <c r="GI6" s="76"/>
      <c r="GJ6" s="76"/>
      <c r="GK6" s="76"/>
      <c r="GL6" s="76"/>
      <c r="GM6" s="76"/>
      <c r="GN6" s="76"/>
      <c r="GO6" s="76"/>
      <c r="GP6" s="76"/>
      <c r="GQ6" s="76"/>
      <c r="GR6" s="76"/>
      <c r="GS6" s="76"/>
      <c r="GT6" s="76"/>
      <c r="GU6" s="76"/>
      <c r="GV6" s="76"/>
      <c r="GW6" s="76"/>
      <c r="GX6" s="76"/>
      <c r="GY6" s="76"/>
      <c r="GZ6" s="76"/>
      <c r="HA6" s="76"/>
      <c r="HB6" s="76"/>
      <c r="HC6" s="76"/>
    </row>
    <row r="7" s="33" customFormat="true" ht="33" hidden="false" customHeight="true" outlineLevel="0" collapsed="false">
      <c r="A7" s="31" t="s">
        <v>30</v>
      </c>
      <c r="B7" s="32"/>
      <c r="D7" s="34" t="str">
        <f>VLOOKUP(AZ2,'[1]Tuyến XD8'!$A$2:$B$60,2,0)</f>
        <v xml:space="preserve">Đắp đất lề đường lớp 4, độ chặt K&gt;=0,95 đoạn từ Km0+394,75 - Km0+489,19</v>
      </c>
      <c r="E7" s="34"/>
      <c r="F7" s="34"/>
      <c r="G7" s="34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/>
      <c r="DO7" s="76"/>
      <c r="DP7" s="76"/>
      <c r="DQ7" s="76"/>
      <c r="DR7" s="76"/>
      <c r="DS7" s="76"/>
      <c r="DT7" s="76"/>
      <c r="DU7" s="76"/>
      <c r="DV7" s="76"/>
      <c r="DW7" s="76"/>
      <c r="DX7" s="76"/>
      <c r="DY7" s="76"/>
      <c r="DZ7" s="76"/>
      <c r="EA7" s="76"/>
      <c r="EB7" s="76"/>
      <c r="EC7" s="76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76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76"/>
      <c r="FD7" s="76"/>
      <c r="FE7" s="76"/>
      <c r="FF7" s="76"/>
      <c r="FG7" s="76"/>
      <c r="FH7" s="76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76"/>
      <c r="FW7" s="76"/>
      <c r="FX7" s="76"/>
      <c r="FY7" s="76"/>
      <c r="FZ7" s="76"/>
      <c r="GA7" s="76"/>
      <c r="GB7" s="76"/>
      <c r="GC7" s="76"/>
      <c r="GD7" s="76"/>
      <c r="GE7" s="76"/>
      <c r="GF7" s="76"/>
      <c r="GG7" s="76"/>
      <c r="GH7" s="76"/>
      <c r="GI7" s="76"/>
      <c r="GJ7" s="76"/>
      <c r="GK7" s="76"/>
      <c r="GL7" s="76"/>
      <c r="GM7" s="76"/>
      <c r="GN7" s="76"/>
      <c r="GO7" s="76"/>
      <c r="GP7" s="76"/>
      <c r="GQ7" s="76"/>
      <c r="GR7" s="76"/>
      <c r="GS7" s="76"/>
      <c r="GT7" s="76"/>
      <c r="GU7" s="76"/>
      <c r="GV7" s="76"/>
      <c r="GW7" s="76"/>
      <c r="GX7" s="76"/>
      <c r="GY7" s="76"/>
      <c r="GZ7" s="76"/>
      <c r="HA7" s="76"/>
      <c r="HB7" s="76"/>
      <c r="HC7" s="76"/>
    </row>
    <row r="8" s="65" customFormat="true" ht="13.5" hidden="false" customHeight="true" outlineLevel="0" collapsed="false">
      <c r="A8" s="77"/>
      <c r="B8" s="77"/>
      <c r="C8" s="77"/>
      <c r="D8" s="77"/>
      <c r="E8" s="77"/>
      <c r="F8" s="77"/>
      <c r="G8" s="77"/>
    </row>
    <row r="9" s="41" customFormat="true" ht="15" hidden="false" customHeight="true" outlineLevel="0" collapsed="false">
      <c r="A9" s="36" t="s">
        <v>0</v>
      </c>
      <c r="B9" s="36" t="s">
        <v>34</v>
      </c>
      <c r="C9" s="36" t="s">
        <v>35</v>
      </c>
      <c r="D9" s="37" t="s">
        <v>49</v>
      </c>
      <c r="E9" s="38"/>
      <c r="F9" s="38"/>
      <c r="G9" s="37" t="s">
        <v>40</v>
      </c>
      <c r="H9" s="54"/>
      <c r="I9" s="69"/>
    </row>
    <row r="10" s="41" customFormat="true" ht="15" hidden="false" customHeight="true" outlineLevel="0" collapsed="false">
      <c r="A10" s="36"/>
      <c r="B10" s="36"/>
      <c r="C10" s="36"/>
      <c r="D10" s="36"/>
      <c r="E10" s="38" t="s">
        <v>50</v>
      </c>
      <c r="F10" s="38" t="s">
        <v>51</v>
      </c>
      <c r="G10" s="37"/>
      <c r="I10" s="69"/>
    </row>
    <row r="11" s="41" customFormat="true" ht="15" hidden="false" customHeight="true" outlineLevel="0" collapsed="false">
      <c r="A11" s="13" t="n">
        <v>1</v>
      </c>
      <c r="B11" s="14" t="str">
        <f aca="false">'1. KTHH L4'!B20</f>
        <v>20</v>
      </c>
      <c r="C11" s="15" t="n">
        <f aca="false">'1. KTHH L4'!C20</f>
        <v>394.75</v>
      </c>
      <c r="D11" s="13" t="n">
        <f aca="false">'1. KTHH L4'!Q20</f>
        <v>20</v>
      </c>
      <c r="E11" s="42" t="n">
        <f aca="false">Chạy!E2+Chạy!E6</f>
        <v>3.12</v>
      </c>
      <c r="F11" s="43" t="n">
        <f aca="false">(E11+E12)*D11/2</f>
        <v>62.4</v>
      </c>
      <c r="G11" s="44"/>
      <c r="H11" s="54"/>
      <c r="I11" s="69"/>
    </row>
    <row r="12" s="41" customFormat="true" ht="15" hidden="false" customHeight="true" outlineLevel="0" collapsed="false">
      <c r="A12" s="13" t="n">
        <v>2</v>
      </c>
      <c r="B12" s="14" t="str">
        <f aca="false">'1. KTHH L4'!B21</f>
        <v>21</v>
      </c>
      <c r="C12" s="15" t="n">
        <f aca="false">'1. KTHH L4'!C21</f>
        <v>414.75</v>
      </c>
      <c r="D12" s="13" t="n">
        <f aca="false">'1. KTHH L4'!Q21</f>
        <v>20</v>
      </c>
      <c r="E12" s="42" t="n">
        <f aca="false">Chạy!E10+Chạy!E14</f>
        <v>3.12</v>
      </c>
      <c r="F12" s="43" t="n">
        <f aca="false">(E12+E13)*D12/2</f>
        <v>62.4</v>
      </c>
      <c r="G12" s="44"/>
      <c r="H12" s="54"/>
      <c r="I12" s="69"/>
    </row>
    <row r="13" s="41" customFormat="true" ht="15" hidden="false" customHeight="true" outlineLevel="0" collapsed="false">
      <c r="A13" s="13" t="n">
        <v>3</v>
      </c>
      <c r="B13" s="14" t="str">
        <f aca="false">'1. KTHH L4'!B22</f>
        <v>22</v>
      </c>
      <c r="C13" s="15" t="n">
        <f aca="false">'1. KTHH L4'!C22</f>
        <v>434.75</v>
      </c>
      <c r="D13" s="13" t="n">
        <f aca="false">'1. KTHH L4'!Q22</f>
        <v>20</v>
      </c>
      <c r="E13" s="42" t="n">
        <f aca="false">Chạy!E18+Chạy!E22</f>
        <v>3.12</v>
      </c>
      <c r="F13" s="43" t="n">
        <f aca="false">(E13+E14)*D13/2</f>
        <v>62.4</v>
      </c>
      <c r="G13" s="44"/>
      <c r="H13" s="54"/>
      <c r="I13" s="69"/>
    </row>
    <row r="14" s="41" customFormat="true" ht="15" hidden="false" customHeight="true" outlineLevel="0" collapsed="false">
      <c r="A14" s="13" t="n">
        <v>4</v>
      </c>
      <c r="B14" s="14" t="str">
        <f aca="false">'1. KTHH L4'!B23</f>
        <v>23</v>
      </c>
      <c r="C14" s="15" t="n">
        <f aca="false">'1. KTHH L4'!C23</f>
        <v>454.75</v>
      </c>
      <c r="D14" s="13" t="n">
        <f aca="false">'1. KTHH L4'!Q23</f>
        <v>20</v>
      </c>
      <c r="E14" s="42" t="n">
        <f aca="false">Chạy!E26+Chạy!E30</f>
        <v>3.12</v>
      </c>
      <c r="F14" s="43" t="n">
        <f aca="false">(E14+E15)*D14/2</f>
        <v>62.4</v>
      </c>
      <c r="G14" s="44"/>
      <c r="H14" s="54"/>
      <c r="I14" s="69"/>
    </row>
    <row r="15" s="41" customFormat="true" ht="15" hidden="false" customHeight="true" outlineLevel="0" collapsed="false">
      <c r="A15" s="13" t="n">
        <v>5</v>
      </c>
      <c r="B15" s="14" t="str">
        <f aca="false">'1. KTHH L4'!B24</f>
        <v>24</v>
      </c>
      <c r="C15" s="15" t="n">
        <f aca="false">'1. KTHH L4'!C24</f>
        <v>474.75</v>
      </c>
      <c r="D15" s="13" t="n">
        <f aca="false">'1. KTHH L4'!Q24</f>
        <v>14.44</v>
      </c>
      <c r="E15" s="42" t="n">
        <f aca="false">Chạy!E34+Chạy!E38</f>
        <v>3.12</v>
      </c>
      <c r="F15" s="43" t="n">
        <f aca="false">(E15+E16)*D15/2</f>
        <v>45.0528</v>
      </c>
      <c r="G15" s="44"/>
      <c r="H15" s="54"/>
      <c r="I15" s="69"/>
    </row>
    <row r="16" s="41" customFormat="true" ht="15" hidden="false" customHeight="true" outlineLevel="0" collapsed="false">
      <c r="A16" s="13" t="n">
        <v>6</v>
      </c>
      <c r="B16" s="14" t="str">
        <f aca="false">'1. KTHH L4'!B25</f>
        <v>25</v>
      </c>
      <c r="C16" s="15" t="n">
        <f aca="false">'1. KTHH L4'!C25</f>
        <v>489.19</v>
      </c>
      <c r="D16" s="13"/>
      <c r="E16" s="42" t="n">
        <f aca="false">Chạy!E42+Chạy!E46</f>
        <v>3.12</v>
      </c>
      <c r="F16" s="43"/>
      <c r="G16" s="44"/>
      <c r="H16" s="54"/>
      <c r="I16" s="69"/>
    </row>
    <row r="17" s="41" customFormat="true" ht="15" hidden="true" customHeight="true" outlineLevel="0" collapsed="false">
      <c r="A17" s="13"/>
      <c r="B17" s="14"/>
      <c r="C17" s="15"/>
      <c r="D17" s="13"/>
      <c r="E17" s="42"/>
      <c r="F17" s="43"/>
      <c r="G17" s="44"/>
      <c r="H17" s="54"/>
      <c r="I17" s="69"/>
    </row>
    <row r="18" s="41" customFormat="true" ht="15" hidden="true" customHeight="true" outlineLevel="0" collapsed="false">
      <c r="A18" s="13"/>
      <c r="B18" s="14"/>
      <c r="C18" s="15"/>
      <c r="D18" s="13"/>
      <c r="E18" s="42"/>
      <c r="F18" s="43"/>
      <c r="G18" s="44"/>
      <c r="H18" s="54"/>
      <c r="I18" s="69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H19" s="54"/>
      <c r="I19" s="69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H20" s="54"/>
      <c r="I20" s="69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H21" s="54"/>
      <c r="I21" s="69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54"/>
      <c r="I22" s="69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54"/>
      <c r="I23" s="69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54"/>
      <c r="I24" s="69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54"/>
      <c r="I25" s="69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54"/>
      <c r="I26" s="69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54"/>
      <c r="I27" s="69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54"/>
      <c r="I28" s="69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54"/>
      <c r="I29" s="69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54"/>
      <c r="I30" s="69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54"/>
      <c r="I31" s="69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54"/>
      <c r="I32" s="69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54"/>
      <c r="I33" s="69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54"/>
      <c r="I34" s="69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54"/>
      <c r="I35" s="69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54"/>
      <c r="I36" s="69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54"/>
      <c r="I37" s="69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54"/>
      <c r="I38" s="69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54"/>
      <c r="I39" s="69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54"/>
      <c r="I40" s="69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54"/>
      <c r="I41" s="69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54"/>
      <c r="I42" s="69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54"/>
      <c r="I43" s="69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54"/>
      <c r="I44" s="69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54"/>
      <c r="I45" s="69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54"/>
      <c r="I46" s="69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54"/>
      <c r="I47" s="69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54"/>
      <c r="I48" s="69"/>
    </row>
    <row r="49" s="50" customFormat="true" ht="15" hidden="false" customHeight="true" outlineLevel="0" collapsed="false">
      <c r="A49" s="36" t="s">
        <v>52</v>
      </c>
      <c r="B49" s="36"/>
      <c r="C49" s="36"/>
      <c r="D49" s="36"/>
      <c r="E49" s="47"/>
      <c r="F49" s="48" t="n">
        <f aca="false">SUM(F11:F16)</f>
        <v>294.6528</v>
      </c>
      <c r="G49" s="49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44</v>
      </c>
      <c r="B51" s="19"/>
      <c r="C51" s="19"/>
      <c r="D51" s="57" t="s">
        <v>53</v>
      </c>
      <c r="E51" s="19" t="s">
        <v>45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46</v>
      </c>
      <c r="B57" s="19"/>
      <c r="C57" s="19"/>
      <c r="D57" s="21"/>
      <c r="E57" s="19" t="str">
        <f aca="false">'1. KTHH L4'!K64</f>
        <v>Lê Minh Hải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1.19027777777778" right="0.159722222222222" top="0.5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2024-10-17T09:21:54Z</dcterms:created>
  <dc:creator>Microsoft Cop.</dc:creator>
  <dc:description/>
  <dc:language>en-US</dc:language>
  <cp:lastModifiedBy>Microsoft Cop.</cp:lastModifiedBy>
  <cp:lastPrinted>2025-10-21T07:14:05Z</cp:lastPrinted>
  <dcterms:modified xsi:type="dcterms:W3CDTF">2026-10-13T07:37:47Z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