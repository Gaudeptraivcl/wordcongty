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<sst xmlns="http://schemas.openxmlformats.org/spreadsheetml/2006/main" count="303" uniqueCount="64">
  <si>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</si>
  <si>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</si>
  <si>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</si>
  <si>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</si>
  <si>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</si>
  <si>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</si>
  <si>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</si>
  <si>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</si>
  <si>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</si>
  <si>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</si>
  <si>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</si>
  <si>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</si>
  <si>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</si>
  <si>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</si>
  <si>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</si>
  <si>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</si>
  <si>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</si>
  <si>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</si>
  <si>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</si>
  <si>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</si>
  <si>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</si>
  <si>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</si>
  <si>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</si>
  <si>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PHỤ LỤC KIỂM TRA CAO ĐỘ, KÍCH THƯỚC HÌNH HỌC ĐẮP CÁT</t>
  </si>
  <si>
    <t xml:space="preserve">Kèm theo BBNT số: 32.NĐXD8/CVXD ngày 31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</si>
  <si>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</si>
  <si>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</si>
  <si>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</si>
  <si>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</si>
  <si>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</si>
  <si>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Km0+394,75 - Km0+489,19,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</si>
  <si>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</si>
  <si>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</si>
  <si>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</si>
  <si>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</si>
  <si>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</si>
  <si>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</si>
  <si>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</si>
  <si>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</si>
  <si>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</si>
  <si>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</si>
  <si>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</si>
  <si>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</si>
  <si>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</si>
  <si>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</si>
  <si>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</si>
  <si>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</si>
  <si>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</si>
  <si>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</si>
  <si>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</si>
  <si>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</si>
  <si>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</si>
  <si>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</si>
  <si>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</si>
  <si>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</si>
  <si>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</si>
  <si>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</si>
  <si>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</si>
  <si>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33.NĐXD8/CVXD ngày 03 tháng 09 năm 2026</t>
  </si>
  <si>
    <t xml:space="preserve">Đắp cát nền đường lớp 2 đoạn từ Km0+394,75 - Km0+489,19, độ chặt K&gt;=0,95</t>
  </si>
  <si>
    <t xml:space="preserve">Kèm theo BBNT số: 34.NĐXD8/CVXD ngày 03 tháng 09 năm 2026</t>
  </si>
  <si>
    <t xml:space="preserve">Đắp cát nền đường lớp 3 đoạn từ Km0+394,75 - Km0+489,19, độ chặt K&gt;=0,95</t>
  </si>
  <si>
    <t xml:space="preserve">Kèm theo BBNT số: 35.NĐXD8/CVXD ngày 03 tháng 09 năm 2026</t>
  </si>
  <si>
    <t xml:space="preserve">Đắp cát nền đường lớp 4 đoạn từ Km0+394,75 - Km0+489,19,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</si>
</sst>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5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394.75</v>
      </c>
      <c r="D2" s="0" t="n">
        <v>4</v>
      </c>
      <c r="E2" s="0" t="n">
        <v>5.87</v>
      </c>
      <c r="F2" s="0" t="n">
        <v>-9.86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9.99</v>
      </c>
      <c r="O2" s="0" t="n">
        <v>-0.45</v>
      </c>
      <c r="P2" s="0" t="n">
        <v>18.86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5.69</v>
      </c>
      <c r="F3" s="0" t="n">
        <v>-9.56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9.69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5.51</v>
      </c>
      <c r="F4" s="0" t="n">
        <v>-9.26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9.39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1.8</v>
      </c>
      <c r="F5" s="0" t="n">
        <v>-8.96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9.09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414.75</v>
      </c>
      <c r="D6" s="0" t="n">
        <v>4</v>
      </c>
      <c r="E6" s="0" t="n">
        <v>5.9</v>
      </c>
      <c r="F6" s="0" t="n">
        <v>-9.91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10.05</v>
      </c>
      <c r="O6" s="0" t="n">
        <v>-0.45</v>
      </c>
      <c r="P6" s="0" t="n">
        <v>18.96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5.72</v>
      </c>
      <c r="F7" s="0" t="n">
        <v>-9.61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9.75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5.54</v>
      </c>
      <c r="F8" s="0" t="n">
        <v>-9.31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9.45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1.81</v>
      </c>
      <c r="F9" s="0" t="n">
        <v>-9.01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9.15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434.75</v>
      </c>
      <c r="D10" s="0" t="n">
        <v>4</v>
      </c>
      <c r="E10" s="0" t="n">
        <v>5.79</v>
      </c>
      <c r="F10" s="0" t="n">
        <v>-9.84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9.76</v>
      </c>
      <c r="O10" s="0" t="n">
        <v>-0.45</v>
      </c>
      <c r="P10" s="0" t="n">
        <v>18.6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5.61</v>
      </c>
      <c r="F11" s="0" t="n">
        <v>-9.54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9.46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5.43</v>
      </c>
      <c r="F12" s="0" t="n">
        <v>-9.24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9.16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1.77</v>
      </c>
      <c r="F13" s="0" t="n">
        <v>-8.94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8.86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454.75</v>
      </c>
      <c r="D14" s="0" t="n">
        <v>4</v>
      </c>
      <c r="E14" s="0" t="n">
        <v>5.44</v>
      </c>
      <c r="F14" s="0" t="n">
        <v>-9.05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9.39</v>
      </c>
      <c r="O14" s="0" t="n">
        <v>-0.45</v>
      </c>
      <c r="P14" s="0" t="n">
        <v>17.44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5.26</v>
      </c>
      <c r="F15" s="0" t="n">
        <v>-8.75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9.09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5.08</v>
      </c>
      <c r="F16" s="0" t="n">
        <v>-8.45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8.79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1.65</v>
      </c>
      <c r="F17" s="0" t="n">
        <v>-8.15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8.49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474.75</v>
      </c>
      <c r="D18" s="0" t="n">
        <v>4</v>
      </c>
      <c r="E18" s="0" t="n">
        <v>5.64</v>
      </c>
      <c r="F18" s="0" t="n">
        <v>-9.57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9.52</v>
      </c>
      <c r="O18" s="0" t="n">
        <v>-0.45</v>
      </c>
      <c r="P18" s="0" t="n">
        <v>18.08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5.46</v>
      </c>
      <c r="F19" s="0" t="n">
        <v>-9.27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9.22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5.28</v>
      </c>
      <c r="F20" s="0" t="n">
        <v>-8.97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8.92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1.72</v>
      </c>
      <c r="F21" s="0" t="n">
        <v>-8.67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8.62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489.19</v>
      </c>
      <c r="D22" s="0" t="n">
        <v>4</v>
      </c>
      <c r="E22" s="0" t="n">
        <v>4.62</v>
      </c>
      <c r="F22" s="0" t="n">
        <v>-9.45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6.25</v>
      </c>
      <c r="O22" s="0" t="n">
        <v>-0.45</v>
      </c>
      <c r="P22" s="0" t="n">
        <v>14.7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4.44</v>
      </c>
      <c r="F23" s="0" t="n">
        <v>-9.15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5.95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4.26</v>
      </c>
      <c r="F24" s="0" t="n">
        <v>-8.85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5.65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1.38</v>
      </c>
      <c r="F25" s="0" t="n">
        <v>-8.55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5.35</v>
      </c>
      <c r="O25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24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">
        <v>30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394.75</v>
      </c>
      <c r="D23" s="17" t="n">
        <f aca="false">+Chạy!F5</f>
        <v>-8.96</v>
      </c>
      <c r="E23" s="17" t="n">
        <f aca="false">+D23+F23</f>
        <v>-8.9661</v>
      </c>
      <c r="F23" s="17" t="n">
        <f aca="false">RANDBETWEEN(-105,115)/10000</f>
        <v>-0.0061</v>
      </c>
      <c r="G23" s="17" t="n">
        <f aca="false">+Chạy!G5</f>
        <v>-1.35</v>
      </c>
      <c r="H23" s="17" t="n">
        <f aca="false">G23+I23</f>
        <v>-1.325</v>
      </c>
      <c r="I23" s="17" t="n">
        <f aca="false">RANDBETWEEN(-30,90)/1000</f>
        <v>0.025</v>
      </c>
      <c r="J23" s="17" t="n">
        <f aca="false">+Chạy!K5</f>
        <v>-1.35</v>
      </c>
      <c r="K23" s="17" t="n">
        <f aca="false">J23+L23</f>
        <v>-1.268</v>
      </c>
      <c r="L23" s="17" t="n">
        <f aca="false">RANDBETWEEN(-30,90)/1000</f>
        <v>0.082</v>
      </c>
      <c r="M23" s="17" t="n">
        <f aca="false">+Chạy!N5</f>
        <v>9.09</v>
      </c>
      <c r="N23" s="17" t="n">
        <f aca="false">+M23+O23</f>
        <v>9.1006</v>
      </c>
      <c r="O23" s="17" t="n">
        <f aca="false">RANDBETWEEN(-105,115)/10000</f>
        <v>0.0106</v>
      </c>
      <c r="P23" s="17" t="n">
        <f aca="false">+Chạy!O5</f>
        <v>-1.35</v>
      </c>
      <c r="Q23" s="17" t="n">
        <f aca="false">P23+R23</f>
        <v>-1.334</v>
      </c>
      <c r="R23" s="17" t="n">
        <f aca="false">RANDBETWEEN(-30,90)/1000</f>
        <v>0.016</v>
      </c>
      <c r="S23" s="18"/>
      <c r="T23" s="19" t="n">
        <v>20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414.75</v>
      </c>
      <c r="D24" s="17" t="n">
        <f aca="false">+Chạy!F9</f>
        <v>-9.01</v>
      </c>
      <c r="E24" s="17" t="n">
        <f aca="false">+D24+F24</f>
        <v>-9.0149</v>
      </c>
      <c r="F24" s="17" t="n">
        <f aca="false">RANDBETWEEN(-105,115)/10000</f>
        <v>-0.0049</v>
      </c>
      <c r="G24" s="17" t="n">
        <f aca="false">+Chạy!G9</f>
        <v>-1.35</v>
      </c>
      <c r="H24" s="17" t="n">
        <f aca="false">G24+I24</f>
        <v>-1.295</v>
      </c>
      <c r="I24" s="17" t="n">
        <f aca="false">RANDBETWEEN(-30,90)/1000</f>
        <v>0.055</v>
      </c>
      <c r="J24" s="17" t="n">
        <f aca="false">+Chạy!K9</f>
        <v>-1.35</v>
      </c>
      <c r="K24" s="17" t="n">
        <f aca="false">J24+L24</f>
        <v>-1.277</v>
      </c>
      <c r="L24" s="17" t="n">
        <f aca="false">RANDBETWEEN(-30,90)/1000</f>
        <v>0.073</v>
      </c>
      <c r="M24" s="17" t="n">
        <f aca="false">+Chạy!N9</f>
        <v>9.15</v>
      </c>
      <c r="N24" s="17" t="n">
        <f aca="false">+M24+O24</f>
        <v>9.1582</v>
      </c>
      <c r="O24" s="17" t="n">
        <f aca="false">RANDBETWEEN(-105,115)/10000</f>
        <v>0.0082</v>
      </c>
      <c r="P24" s="17" t="n">
        <f aca="false">+Chạy!O9</f>
        <v>-1.35</v>
      </c>
      <c r="Q24" s="17" t="n">
        <f aca="false">P24+R24</f>
        <v>-1.368</v>
      </c>
      <c r="R24" s="17" t="n">
        <f aca="false">RANDBETWEEN(-30,90)/1000</f>
        <v>-0.018</v>
      </c>
      <c r="S24" s="18"/>
      <c r="T24" s="19" t="n">
        <v>20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434.75</v>
      </c>
      <c r="D25" s="17" t="n">
        <f aca="false">+Chạy!F13</f>
        <v>-8.94</v>
      </c>
      <c r="E25" s="17" t="n">
        <f aca="false">+D25+F25</f>
        <v>-8.9365</v>
      </c>
      <c r="F25" s="17" t="n">
        <f aca="false">RANDBETWEEN(-105,115)/10000</f>
        <v>0.0035</v>
      </c>
      <c r="G25" s="17" t="n">
        <f aca="false">+Chạy!G13</f>
        <v>-1.35</v>
      </c>
      <c r="H25" s="17" t="n">
        <f aca="false">G25+I25</f>
        <v>-1.377</v>
      </c>
      <c r="I25" s="17" t="n">
        <f aca="false">RANDBETWEEN(-30,90)/1000</f>
        <v>-0.027</v>
      </c>
      <c r="J25" s="17" t="n">
        <f aca="false">+Chạy!K13</f>
        <v>-1.35</v>
      </c>
      <c r="K25" s="17" t="n">
        <f aca="false">J25+L25</f>
        <v>-1.314</v>
      </c>
      <c r="L25" s="17" t="n">
        <f aca="false">RANDBETWEEN(-30,90)/1000</f>
        <v>0.036</v>
      </c>
      <c r="M25" s="17" t="n">
        <f aca="false">+Chạy!N13</f>
        <v>8.86</v>
      </c>
      <c r="N25" s="17" t="n">
        <f aca="false">+M25+O25</f>
        <v>8.8665</v>
      </c>
      <c r="O25" s="17" t="n">
        <f aca="false">RANDBETWEEN(-105,115)/10000</f>
        <v>0.0065</v>
      </c>
      <c r="P25" s="17" t="n">
        <f aca="false">+Chạy!O13</f>
        <v>-1.35</v>
      </c>
      <c r="Q25" s="17" t="n">
        <f aca="false">P25+R25</f>
        <v>-1.38</v>
      </c>
      <c r="R25" s="17" t="n">
        <f aca="false">RANDBETWEEN(-30,90)/1000</f>
        <v>-0.03</v>
      </c>
      <c r="S25" s="18"/>
      <c r="T25" s="19" t="n">
        <v>20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454.75</v>
      </c>
      <c r="D26" s="17" t="n">
        <f aca="false">+Chạy!F17</f>
        <v>-8.15</v>
      </c>
      <c r="E26" s="17" t="n">
        <f aca="false">+D26+F26</f>
        <v>-8.1501</v>
      </c>
      <c r="F26" s="17" t="n">
        <f aca="false">RANDBETWEEN(-105,115)/10000</f>
        <v>-0.0001</v>
      </c>
      <c r="G26" s="17" t="n">
        <f aca="false">+Chạy!G17</f>
        <v>-1.35</v>
      </c>
      <c r="H26" s="17" t="n">
        <f aca="false">G26+I26</f>
        <v>-1.266</v>
      </c>
      <c r="I26" s="17" t="n">
        <f aca="false">RANDBETWEEN(-30,90)/1000</f>
        <v>0.084</v>
      </c>
      <c r="J26" s="17" t="n">
        <f aca="false">+Chạy!K17</f>
        <v>-1.35</v>
      </c>
      <c r="K26" s="17" t="n">
        <f aca="false">J26+L26</f>
        <v>-1.301</v>
      </c>
      <c r="L26" s="17" t="n">
        <f aca="false">RANDBETWEEN(-30,90)/1000</f>
        <v>0.049</v>
      </c>
      <c r="M26" s="17" t="n">
        <f aca="false">+Chạy!N17</f>
        <v>8.49</v>
      </c>
      <c r="N26" s="17" t="n">
        <f aca="false">+M26+O26</f>
        <v>8.4978</v>
      </c>
      <c r="O26" s="17" t="n">
        <f aca="false">RANDBETWEEN(-105,115)/10000</f>
        <v>0.0078</v>
      </c>
      <c r="P26" s="17" t="n">
        <f aca="false">+Chạy!O17</f>
        <v>-1.35</v>
      </c>
      <c r="Q26" s="17" t="n">
        <f aca="false">P26+R26</f>
        <v>-1.33</v>
      </c>
      <c r="R26" s="17" t="n">
        <f aca="false">RANDBETWEEN(-30,90)/1000</f>
        <v>0.02</v>
      </c>
      <c r="S26" s="18"/>
      <c r="T26" s="19" t="n">
        <v>20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474.75</v>
      </c>
      <c r="D27" s="17" t="n">
        <f aca="false">+Chạy!F21</f>
        <v>-8.67</v>
      </c>
      <c r="E27" s="17" t="n">
        <f aca="false">+D27+F27</f>
        <v>-8.6753</v>
      </c>
      <c r="F27" s="17" t="n">
        <f aca="false">RANDBETWEEN(-105,115)/10000</f>
        <v>-0.0053</v>
      </c>
      <c r="G27" s="17" t="n">
        <f aca="false">+Chạy!G21</f>
        <v>-1.35</v>
      </c>
      <c r="H27" s="17" t="n">
        <f aca="false">G27+I27</f>
        <v>-1.363</v>
      </c>
      <c r="I27" s="17" t="n">
        <f aca="false">RANDBETWEEN(-30,90)/1000</f>
        <v>-0.013</v>
      </c>
      <c r="J27" s="17" t="n">
        <f aca="false">+Chạy!K21</f>
        <v>-1.35</v>
      </c>
      <c r="K27" s="17" t="n">
        <f aca="false">J27+L27</f>
        <v>-1.321</v>
      </c>
      <c r="L27" s="17" t="n">
        <f aca="false">RANDBETWEEN(-30,90)/1000</f>
        <v>0.029</v>
      </c>
      <c r="M27" s="17" t="n">
        <f aca="false">+Chạy!N21</f>
        <v>8.62</v>
      </c>
      <c r="N27" s="17" t="n">
        <f aca="false">+M27+O27</f>
        <v>8.6124</v>
      </c>
      <c r="O27" s="17" t="n">
        <f aca="false">RANDBETWEEN(-105,115)/10000</f>
        <v>-0.0076</v>
      </c>
      <c r="P27" s="17" t="n">
        <f aca="false">+Chạy!O21</f>
        <v>-1.35</v>
      </c>
      <c r="Q27" s="17" t="n">
        <f aca="false">P27+R27</f>
        <v>-1.33</v>
      </c>
      <c r="R27" s="17" t="n">
        <f aca="false">RANDBETWEEN(-30,90)/1000</f>
        <v>0.02</v>
      </c>
      <c r="S27" s="18"/>
      <c r="T27" s="19" t="n">
        <v>14.44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489.19</v>
      </c>
      <c r="D28" s="17" t="n">
        <f aca="false">+Chạy!F25</f>
        <v>-8.55</v>
      </c>
      <c r="E28" s="17" t="n">
        <f aca="false">+D28+F28</f>
        <v>-8.5394</v>
      </c>
      <c r="F28" s="17" t="n">
        <f aca="false">RANDBETWEEN(-105,115)/10000</f>
        <v>0.0106</v>
      </c>
      <c r="G28" s="17" t="n">
        <f aca="false">+Chạy!G25</f>
        <v>-1.35</v>
      </c>
      <c r="H28" s="17" t="n">
        <f aca="false">G28+I28</f>
        <v>-1.36</v>
      </c>
      <c r="I28" s="17" t="n">
        <f aca="false">RANDBETWEEN(-30,90)/1000</f>
        <v>-0.01</v>
      </c>
      <c r="J28" s="17" t="n">
        <f aca="false">+Chạy!K25</f>
        <v>-1.35</v>
      </c>
      <c r="K28" s="17" t="n">
        <f aca="false">J28+L28</f>
        <v>-1.314</v>
      </c>
      <c r="L28" s="17" t="n">
        <f aca="false">RANDBETWEEN(-30,90)/1000</f>
        <v>0.036</v>
      </c>
      <c r="M28" s="17" t="n">
        <f aca="false">+Chạy!N25</f>
        <v>5.35</v>
      </c>
      <c r="N28" s="17" t="n">
        <f aca="false">+M28+O28</f>
        <v>5.3572</v>
      </c>
      <c r="O28" s="17" t="n">
        <f aca="false">RANDBETWEEN(-105,115)/10000</f>
        <v>0.0072</v>
      </c>
      <c r="P28" s="17" t="n">
        <f aca="false">+Chạy!O25</f>
        <v>-1.35</v>
      </c>
      <c r="Q28" s="17" t="n">
        <f aca="false">P28+R28</f>
        <v>-1.264</v>
      </c>
      <c r="R28" s="17" t="n">
        <f aca="false">RANDBETWEEN(-30,90)/1000</f>
        <v>0.086</v>
      </c>
      <c r="S28" s="18"/>
      <c r="T28" s="19"/>
    </row>
    <row r="29" customFormat="false" ht="15" hidden="true" customHeight="false" outlineLevel="0" collapsed="false">
      <c r="A29" s="14"/>
      <c r="B29" s="15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  <c r="T29" s="19"/>
    </row>
    <row r="30" customFormat="false" ht="15" hidden="true" customHeight="false" outlineLevel="0" collapsed="false">
      <c r="A30" s="14"/>
      <c r="B30" s="15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  <c r="T30" s="19"/>
    </row>
    <row r="31" customFormat="false" ht="15" hidden="true" customHeight="false" outlineLevel="0" collapsed="false">
      <c r="A31" s="14"/>
      <c r="B31" s="15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  <c r="T31" s="19"/>
    </row>
    <row r="32" customFormat="false" ht="15" hidden="true" customHeight="false" outlineLevel="0" collapsed="false">
      <c r="A32" s="14"/>
      <c r="B32" s="15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  <c r="T32" s="19"/>
    </row>
    <row r="33" customFormat="false" ht="15" hidden="true" customHeight="false" outlineLevel="0" collapsed="false">
      <c r="A33" s="14"/>
      <c r="B33" s="15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45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46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47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48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">
        <v>24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">
        <v>30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20</v>
      </c>
      <c r="C11" s="16" t="n">
        <f aca="false">'1.KTHH L1'!C23</f>
        <v>394.75</v>
      </c>
      <c r="D11" s="14" t="n">
        <f aca="false">'1.KTHH L1'!T23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36.1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21</v>
      </c>
      <c r="C12" s="16" t="n">
        <f aca="false">'1.KTHH L1'!C24</f>
        <v>414.75</v>
      </c>
      <c r="D12" s="14" t="n">
        <f aca="false">'1.KTHH L1'!T24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1.81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35.8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22</v>
      </c>
      <c r="C13" s="16" t="n">
        <f aca="false">'1.KTHH L1'!C25</f>
        <v>434.75</v>
      </c>
      <c r="D13" s="14" t="n">
        <f aca="false">'1.KTHH L1'!T25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1.77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34.2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23</v>
      </c>
      <c r="C14" s="16" t="n">
        <f aca="false">'1.KTHH L1'!C26</f>
        <v>454.75</v>
      </c>
      <c r="D14" s="14" t="n">
        <f aca="false">'1.KTHH L1'!T26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1.65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33.7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24</v>
      </c>
      <c r="C15" s="16" t="n">
        <f aca="false">'1.KTHH L1'!C27</f>
        <v>474.75</v>
      </c>
      <c r="D15" s="14" t="n">
        <f aca="false">'1.KTHH L1'!T27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1.72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22.382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25</v>
      </c>
      <c r="C16" s="16" t="n">
        <f aca="false">'1.KTHH L1'!C28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1.38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56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SUM(W11:W16)</f>
        <v>162.182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45</v>
      </c>
      <c r="B53" s="20"/>
      <c r="C53" s="20"/>
      <c r="D53" s="65" t="s">
        <v>57</v>
      </c>
      <c r="E53" s="20" t="s">
        <v>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47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48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394.75</v>
      </c>
      <c r="D23" s="17" t="n">
        <f aca="false">+Chạy!F4</f>
        <v>-9.26</v>
      </c>
      <c r="E23" s="17" t="n">
        <f aca="false">+D23+F23</f>
        <v>-9.2581</v>
      </c>
      <c r="F23" s="17" t="n">
        <f aca="false">RANDBETWEEN(-105,115)/10000</f>
        <v>0.0019</v>
      </c>
      <c r="G23" s="17" t="n">
        <f aca="false">+Chạy!G4</f>
        <v>-1.05</v>
      </c>
      <c r="H23" s="17" t="n">
        <f aca="false">G23+I23</f>
        <v>-0.974</v>
      </c>
      <c r="I23" s="17" t="n">
        <f aca="false">RANDBETWEEN(-30,90)/1000</f>
        <v>0.076</v>
      </c>
      <c r="J23" s="17" t="n">
        <f aca="false">+Chạy!K4</f>
        <v>-1.05</v>
      </c>
      <c r="K23" s="17" t="n">
        <f aca="false">J23+L23</f>
        <v>-1.044</v>
      </c>
      <c r="L23" s="17" t="n">
        <f aca="false">RANDBETWEEN(-30,90)/1000</f>
        <v>0.006</v>
      </c>
      <c r="M23" s="17" t="n">
        <f aca="false">+Chạy!N4</f>
        <v>9.39</v>
      </c>
      <c r="N23" s="17" t="n">
        <f aca="false">+M23+O23</f>
        <v>9.3877</v>
      </c>
      <c r="O23" s="17" t="n">
        <f aca="false">RANDBETWEEN(-105,115)/10000</f>
        <v>-0.0023</v>
      </c>
      <c r="P23" s="17" t="n">
        <f aca="false">+Chạy!O4</f>
        <v>-1.05</v>
      </c>
      <c r="Q23" s="17" t="n">
        <f aca="false">P23+R23</f>
        <v>-1.047</v>
      </c>
      <c r="R23" s="17" t="n">
        <f aca="false">RANDBETWEEN(-30,90)/1000</f>
        <v>0.003</v>
      </c>
      <c r="S23" s="18"/>
      <c r="T23" s="0" t="n">
        <v>20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414.75</v>
      </c>
      <c r="D24" s="17" t="n">
        <f aca="false">+Chạy!F8</f>
        <v>-9.31</v>
      </c>
      <c r="E24" s="17" t="n">
        <f aca="false">+D24+F24</f>
        <v>-9.3018</v>
      </c>
      <c r="F24" s="17" t="n">
        <f aca="false">RANDBETWEEN(-105,115)/10000</f>
        <v>0.0082</v>
      </c>
      <c r="G24" s="17" t="n">
        <f aca="false">+Chạy!G8</f>
        <v>-1.05</v>
      </c>
      <c r="H24" s="17" t="n">
        <f aca="false">G24+I24</f>
        <v>-0.991</v>
      </c>
      <c r="I24" s="17" t="n">
        <f aca="false">RANDBETWEEN(-30,90)/1000</f>
        <v>0.059</v>
      </c>
      <c r="J24" s="17" t="n">
        <f aca="false">+Chạy!K8</f>
        <v>-1.05</v>
      </c>
      <c r="K24" s="17" t="n">
        <f aca="false">J24+L24</f>
        <v>-1.059</v>
      </c>
      <c r="L24" s="17" t="n">
        <f aca="false">RANDBETWEEN(-30,90)/1000</f>
        <v>-0.009</v>
      </c>
      <c r="M24" s="17" t="n">
        <f aca="false">+Chạy!N8</f>
        <v>9.45</v>
      </c>
      <c r="N24" s="17" t="n">
        <f aca="false">+M24+O24</f>
        <v>9.4608</v>
      </c>
      <c r="O24" s="17" t="n">
        <f aca="false">RANDBETWEEN(-105,115)/10000</f>
        <v>0.0108</v>
      </c>
      <c r="P24" s="17" t="n">
        <f aca="false">+Chạy!O8</f>
        <v>-1.05</v>
      </c>
      <c r="Q24" s="17" t="n">
        <f aca="false">P24+R24</f>
        <v>-1.038</v>
      </c>
      <c r="R24" s="17" t="n">
        <f aca="false">RANDBETWEEN(-30,90)/1000</f>
        <v>0.012</v>
      </c>
      <c r="S24" s="18"/>
      <c r="T24" s="0" t="n">
        <v>20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434.75</v>
      </c>
      <c r="D25" s="17" t="n">
        <f aca="false">+Chạy!F12</f>
        <v>-9.24</v>
      </c>
      <c r="E25" s="17" t="n">
        <f aca="false">+D25+F25</f>
        <v>-9.2362</v>
      </c>
      <c r="F25" s="17" t="n">
        <f aca="false">RANDBETWEEN(-105,115)/10000</f>
        <v>0.0038</v>
      </c>
      <c r="G25" s="17" t="n">
        <f aca="false">+Chạy!G12</f>
        <v>-1.05</v>
      </c>
      <c r="H25" s="17" t="n">
        <f aca="false">G25+I25</f>
        <v>-1.031</v>
      </c>
      <c r="I25" s="17" t="n">
        <f aca="false">RANDBETWEEN(-30,90)/1000</f>
        <v>0.019</v>
      </c>
      <c r="J25" s="17" t="n">
        <f aca="false">+Chạy!K12</f>
        <v>-1.05</v>
      </c>
      <c r="K25" s="17" t="n">
        <f aca="false">J25+L25</f>
        <v>-0.98</v>
      </c>
      <c r="L25" s="17" t="n">
        <f aca="false">RANDBETWEEN(-30,90)/1000</f>
        <v>0.07</v>
      </c>
      <c r="M25" s="17" t="n">
        <f aca="false">+Chạy!N12</f>
        <v>9.16</v>
      </c>
      <c r="N25" s="17" t="n">
        <f aca="false">+M25+O25</f>
        <v>9.1673</v>
      </c>
      <c r="O25" s="17" t="n">
        <f aca="false">RANDBETWEEN(-105,115)/10000</f>
        <v>0.0073</v>
      </c>
      <c r="P25" s="17" t="n">
        <f aca="false">+Chạy!O12</f>
        <v>-1.05</v>
      </c>
      <c r="Q25" s="17" t="n">
        <f aca="false">P25+R25</f>
        <v>-0.989</v>
      </c>
      <c r="R25" s="17" t="n">
        <f aca="false">RANDBETWEEN(-30,90)/1000</f>
        <v>0.061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454.75</v>
      </c>
      <c r="D26" s="17" t="n">
        <f aca="false">+Chạy!F16</f>
        <v>-8.45</v>
      </c>
      <c r="E26" s="17" t="n">
        <f aca="false">+D26+F26</f>
        <v>-8.4407</v>
      </c>
      <c r="F26" s="17" t="n">
        <f aca="false">RANDBETWEEN(-105,115)/10000</f>
        <v>0.0093</v>
      </c>
      <c r="G26" s="17" t="n">
        <f aca="false">+Chạy!G16</f>
        <v>-1.05</v>
      </c>
      <c r="H26" s="17" t="n">
        <f aca="false">G26+I26</f>
        <v>-1.021</v>
      </c>
      <c r="I26" s="17" t="n">
        <f aca="false">RANDBETWEEN(-30,90)/1000</f>
        <v>0.029</v>
      </c>
      <c r="J26" s="17" t="n">
        <f aca="false">+Chạy!K16</f>
        <v>-1.05</v>
      </c>
      <c r="K26" s="17" t="n">
        <f aca="false">J26+L26</f>
        <v>-1.077</v>
      </c>
      <c r="L26" s="17" t="n">
        <f aca="false">RANDBETWEEN(-30,90)/1000</f>
        <v>-0.027</v>
      </c>
      <c r="M26" s="17" t="n">
        <f aca="false">+Chạy!N16</f>
        <v>8.79</v>
      </c>
      <c r="N26" s="17" t="n">
        <f aca="false">+M26+O26</f>
        <v>8.8014</v>
      </c>
      <c r="O26" s="17" t="n">
        <f aca="false">RANDBETWEEN(-105,115)/10000</f>
        <v>0.0114</v>
      </c>
      <c r="P26" s="17" t="n">
        <f aca="false">+Chạy!O16</f>
        <v>-1.05</v>
      </c>
      <c r="Q26" s="17" t="n">
        <f aca="false">P26+R26</f>
        <v>-1.079</v>
      </c>
      <c r="R26" s="17" t="n">
        <f aca="false">RANDBETWEEN(-30,90)/1000</f>
        <v>-0.029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474.75</v>
      </c>
      <c r="D27" s="17" t="n">
        <f aca="false">+Chạy!F20</f>
        <v>-8.97</v>
      </c>
      <c r="E27" s="17" t="n">
        <f aca="false">+D27+F27</f>
        <v>-8.9788</v>
      </c>
      <c r="F27" s="17" t="n">
        <f aca="false">RANDBETWEEN(-105,115)/10000</f>
        <v>-0.0088</v>
      </c>
      <c r="G27" s="17" t="n">
        <f aca="false">+Chạy!G20</f>
        <v>-1.05</v>
      </c>
      <c r="H27" s="17" t="n">
        <f aca="false">G27+I27</f>
        <v>-1.018</v>
      </c>
      <c r="I27" s="17" t="n">
        <f aca="false">RANDBETWEEN(-30,90)/1000</f>
        <v>0.032</v>
      </c>
      <c r="J27" s="17" t="n">
        <f aca="false">+Chạy!K20</f>
        <v>-1.05</v>
      </c>
      <c r="K27" s="17" t="n">
        <f aca="false">J27+L27</f>
        <v>-1.067</v>
      </c>
      <c r="L27" s="17" t="n">
        <f aca="false">RANDBETWEEN(-30,90)/1000</f>
        <v>-0.017</v>
      </c>
      <c r="M27" s="17" t="n">
        <f aca="false">+Chạy!N20</f>
        <v>8.92</v>
      </c>
      <c r="N27" s="17" t="n">
        <f aca="false">+M27+O27</f>
        <v>8.9203</v>
      </c>
      <c r="O27" s="17" t="n">
        <f aca="false">RANDBETWEEN(-105,115)/10000</f>
        <v>0.0003</v>
      </c>
      <c r="P27" s="17" t="n">
        <f aca="false">+Chạy!O20</f>
        <v>-1.05</v>
      </c>
      <c r="Q27" s="17" t="n">
        <f aca="false">P27+R27</f>
        <v>-1.065</v>
      </c>
      <c r="R27" s="17" t="n">
        <f aca="false">RANDBETWEEN(-30,90)/1000</f>
        <v>-0.015</v>
      </c>
      <c r="S27" s="18"/>
      <c r="T27" s="0" t="n">
        <v>14.44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489.19</v>
      </c>
      <c r="D28" s="17" t="n">
        <f aca="false">+Chạy!F24</f>
        <v>-8.85</v>
      </c>
      <c r="E28" s="17" t="n">
        <f aca="false">+D28+F28</f>
        <v>-8.8516</v>
      </c>
      <c r="F28" s="17" t="n">
        <f aca="false">RANDBETWEEN(-105,115)/10000</f>
        <v>-0.0016</v>
      </c>
      <c r="G28" s="17" t="n">
        <f aca="false">+Chạy!G24</f>
        <v>-1.05</v>
      </c>
      <c r="H28" s="17" t="n">
        <f aca="false">G28+I28</f>
        <v>-0.995</v>
      </c>
      <c r="I28" s="17" t="n">
        <f aca="false">RANDBETWEEN(-30,90)/1000</f>
        <v>0.055</v>
      </c>
      <c r="J28" s="17" t="n">
        <f aca="false">+Chạy!K24</f>
        <v>-1.05</v>
      </c>
      <c r="K28" s="17" t="n">
        <f aca="false">J28+L28</f>
        <v>-1.041</v>
      </c>
      <c r="L28" s="17" t="n">
        <f aca="false">RANDBETWEEN(-30,90)/1000</f>
        <v>0.009</v>
      </c>
      <c r="M28" s="17" t="n">
        <f aca="false">+Chạy!N24</f>
        <v>5.65</v>
      </c>
      <c r="N28" s="17" t="n">
        <f aca="false">+M28+O28</f>
        <v>5.6508</v>
      </c>
      <c r="O28" s="17" t="n">
        <f aca="false">RANDBETWEEN(-105,115)/10000</f>
        <v>0.0008</v>
      </c>
      <c r="P28" s="17" t="n">
        <f aca="false">+Chạy!O24</f>
        <v>-1.05</v>
      </c>
      <c r="Q28" s="17" t="n">
        <f aca="false">P28+R28</f>
        <v>-1.027</v>
      </c>
      <c r="R28" s="17" t="n">
        <f aca="false">RANDBETWEEN(-30,90)/1000</f>
        <v>0.023</v>
      </c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45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46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47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48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">
        <v>58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">
        <v>59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20</v>
      </c>
      <c r="C11" s="16" t="n">
        <f aca="false">'2.KTHH L2'!C23</f>
        <v>394.75</v>
      </c>
      <c r="D11" s="14" t="n">
        <f aca="false">'2.KTHH L2'!T23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5.51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110.5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21</v>
      </c>
      <c r="C12" s="16" t="n">
        <f aca="false">'2.KTHH L2'!C24</f>
        <v>414.75</v>
      </c>
      <c r="D12" s="14" t="n">
        <f aca="false">'2.KTHH L2'!T24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5.54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109.7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22</v>
      </c>
      <c r="C13" s="16" t="n">
        <f aca="false">'2.KTHH L2'!C25</f>
        <v>434.75</v>
      </c>
      <c r="D13" s="14" t="n">
        <f aca="false">'2.KTHH L2'!T25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5.43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105.1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23</v>
      </c>
      <c r="C14" s="16" t="n">
        <f aca="false">'2.KTHH L2'!C26</f>
        <v>454.75</v>
      </c>
      <c r="D14" s="14" t="n">
        <f aca="false">'2.KTHH L2'!T26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5.08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103.6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24</v>
      </c>
      <c r="C15" s="16" t="n">
        <f aca="false">'2.KTHH L2'!C27</f>
        <v>474.75</v>
      </c>
      <c r="D15" s="14" t="n">
        <f aca="false">'2.KTHH L2'!T27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5.28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68.8788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25</v>
      </c>
      <c r="C16" s="16" t="n">
        <f aca="false">'2.KTHH L2'!C28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4.26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56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SUM(W11:W16)</f>
        <v>497.7788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45</v>
      </c>
      <c r="B53" s="20"/>
      <c r="C53" s="20"/>
      <c r="D53" s="65" t="s">
        <v>57</v>
      </c>
      <c r="E53" s="20" t="s">
        <v>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47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48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32</v>
      </c>
      <c r="B20" s="10" t="s">
        <v>33</v>
      </c>
      <c r="C20" s="10" t="s">
        <v>34</v>
      </c>
      <c r="D20" s="11" t="s">
        <v>35</v>
      </c>
      <c r="E20" s="11"/>
      <c r="F20" s="11"/>
      <c r="G20" s="11"/>
      <c r="H20" s="11"/>
      <c r="I20" s="11"/>
      <c r="J20" s="11" t="s">
        <v>36</v>
      </c>
      <c r="K20" s="11"/>
      <c r="L20" s="11"/>
      <c r="M20" s="11" t="s">
        <v>37</v>
      </c>
      <c r="N20" s="11"/>
      <c r="O20" s="11"/>
      <c r="P20" s="11"/>
      <c r="Q20" s="11"/>
      <c r="R20" s="11"/>
      <c r="S20" s="10" t="s">
        <v>38</v>
      </c>
    </row>
    <row r="21" customFormat="false" ht="30" hidden="false" customHeight="true" outlineLevel="0" collapsed="false">
      <c r="A21" s="10"/>
      <c r="B21" s="10"/>
      <c r="C21" s="10"/>
      <c r="D21" s="12" t="s">
        <v>39</v>
      </c>
      <c r="E21" s="12" t="s">
        <v>40</v>
      </c>
      <c r="F21" s="12" t="s">
        <v>41</v>
      </c>
      <c r="G21" s="12" t="s">
        <v>42</v>
      </c>
      <c r="H21" s="12" t="s">
        <v>43</v>
      </c>
      <c r="I21" s="12" t="s">
        <v>44</v>
      </c>
      <c r="J21" s="12" t="s">
        <v>42</v>
      </c>
      <c r="K21" s="12" t="s">
        <v>43</v>
      </c>
      <c r="L21" s="12" t="s">
        <v>44</v>
      </c>
      <c r="M21" s="12" t="s">
        <v>39</v>
      </c>
      <c r="N21" s="12" t="s">
        <v>40</v>
      </c>
      <c r="O21" s="12" t="s">
        <v>41</v>
      </c>
      <c r="P21" s="12" t="s">
        <v>42</v>
      </c>
      <c r="Q21" s="12" t="s">
        <v>43</v>
      </c>
      <c r="R21" s="12" t="s">
        <v>44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394.75</v>
      </c>
      <c r="D22" s="17" t="n">
        <f aca="false">+Chạy!F3</f>
        <v>-9.56</v>
      </c>
      <c r="E22" s="17" t="n">
        <f aca="false">+D22+F22</f>
        <v>-9.5597</v>
      </c>
      <c r="F22" s="17" t="n">
        <f aca="false">RANDBETWEEN(-105,115)/10000</f>
        <v>0.0003</v>
      </c>
      <c r="G22" s="17" t="n">
        <f aca="false">+Chạy!G3</f>
        <v>-0.75</v>
      </c>
      <c r="H22" s="17" t="n">
        <f aca="false">G22+I22</f>
        <v>-0.698</v>
      </c>
      <c r="I22" s="17" t="n">
        <f aca="false">RANDBETWEEN(-30,90)/1000</f>
        <v>0.052</v>
      </c>
      <c r="J22" s="17" t="n">
        <f aca="false">+Chạy!K3</f>
        <v>-0.75</v>
      </c>
      <c r="K22" s="17" t="n">
        <f aca="false">J22+L22</f>
        <v>-0.682</v>
      </c>
      <c r="L22" s="17" t="n">
        <f aca="false">RANDBETWEEN(-30,90)/1000</f>
        <v>0.068</v>
      </c>
      <c r="M22" s="17" t="n">
        <f aca="false">+Chạy!N3</f>
        <v>9.69</v>
      </c>
      <c r="N22" s="17" t="n">
        <f aca="false">+M22+O22</f>
        <v>9.6835</v>
      </c>
      <c r="O22" s="17" t="n">
        <f aca="false">RANDBETWEEN(-105,115)/10000</f>
        <v>-0.0065</v>
      </c>
      <c r="P22" s="17" t="n">
        <f aca="false">+Chạy!O3</f>
        <v>-0.75</v>
      </c>
      <c r="Q22" s="17" t="n">
        <f aca="false">P22+R22</f>
        <v>-0.737</v>
      </c>
      <c r="R22" s="17" t="n">
        <f aca="false">RANDBETWEEN(-30,90)/1000</f>
        <v>0.013</v>
      </c>
      <c r="S22" s="18"/>
      <c r="T22" s="0" t="n">
        <v>20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414.75</v>
      </c>
      <c r="D23" s="17" t="n">
        <f aca="false">+Chạy!F7</f>
        <v>-9.61</v>
      </c>
      <c r="E23" s="17" t="n">
        <f aca="false">+D23+F23</f>
        <v>-9.6078</v>
      </c>
      <c r="F23" s="17" t="n">
        <f aca="false">RANDBETWEEN(-105,115)/10000</f>
        <v>0.0022</v>
      </c>
      <c r="G23" s="17" t="n">
        <f aca="false">+Chạy!G7</f>
        <v>-0.75</v>
      </c>
      <c r="H23" s="17" t="n">
        <f aca="false">G23+I23</f>
        <v>-0.696</v>
      </c>
      <c r="I23" s="17" t="n">
        <f aca="false">RANDBETWEEN(-30,90)/1000</f>
        <v>0.054</v>
      </c>
      <c r="J23" s="17" t="n">
        <f aca="false">+Chạy!K7</f>
        <v>-0.75</v>
      </c>
      <c r="K23" s="17" t="n">
        <f aca="false">J23+L23</f>
        <v>-0.732</v>
      </c>
      <c r="L23" s="17" t="n">
        <f aca="false">RANDBETWEEN(-30,90)/1000</f>
        <v>0.018</v>
      </c>
      <c r="M23" s="17" t="n">
        <f aca="false">+Chạy!N7</f>
        <v>9.75</v>
      </c>
      <c r="N23" s="17" t="n">
        <f aca="false">+M23+O23</f>
        <v>9.7519</v>
      </c>
      <c r="O23" s="17" t="n">
        <f aca="false">RANDBETWEEN(-105,115)/10000</f>
        <v>0.0019</v>
      </c>
      <c r="P23" s="17" t="n">
        <f aca="false">+Chạy!O7</f>
        <v>-0.75</v>
      </c>
      <c r="Q23" s="17" t="n">
        <f aca="false">P23+R23</f>
        <v>-0.678</v>
      </c>
      <c r="R23" s="17" t="n">
        <f aca="false">RANDBETWEEN(-30,90)/1000</f>
        <v>0.072</v>
      </c>
      <c r="S23" s="18"/>
      <c r="T23" s="0" t="n">
        <v>20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434.75</v>
      </c>
      <c r="D24" s="17" t="n">
        <f aca="false">+Chạy!F11</f>
        <v>-9.54</v>
      </c>
      <c r="E24" s="17" t="n">
        <f aca="false">+D24+F24</f>
        <v>-9.5486</v>
      </c>
      <c r="F24" s="17" t="n">
        <f aca="false">RANDBETWEEN(-105,115)/10000</f>
        <v>-0.0086</v>
      </c>
      <c r="G24" s="17" t="n">
        <f aca="false">+Chạy!G11</f>
        <v>-0.75</v>
      </c>
      <c r="H24" s="17" t="n">
        <f aca="false">G24+I24</f>
        <v>-0.704</v>
      </c>
      <c r="I24" s="17" t="n">
        <f aca="false">RANDBETWEEN(-30,90)/1000</f>
        <v>0.046</v>
      </c>
      <c r="J24" s="17" t="n">
        <f aca="false">+Chạy!K11</f>
        <v>-0.75</v>
      </c>
      <c r="K24" s="17" t="n">
        <f aca="false">J24+L24</f>
        <v>-0.683</v>
      </c>
      <c r="L24" s="17" t="n">
        <f aca="false">RANDBETWEEN(-30,90)/1000</f>
        <v>0.067</v>
      </c>
      <c r="M24" s="17" t="n">
        <f aca="false">+Chạy!N11</f>
        <v>9.46</v>
      </c>
      <c r="N24" s="17" t="n">
        <f aca="false">+M24+O24</f>
        <v>9.4623</v>
      </c>
      <c r="O24" s="17" t="n">
        <f aca="false">RANDBETWEEN(-105,115)/10000</f>
        <v>0.0023</v>
      </c>
      <c r="P24" s="17" t="n">
        <f aca="false">+Chạy!O11</f>
        <v>-0.75</v>
      </c>
      <c r="Q24" s="17" t="n">
        <f aca="false">P24+R24</f>
        <v>-0.78</v>
      </c>
      <c r="R24" s="17" t="n">
        <f aca="false">RANDBETWEEN(-30,90)/1000</f>
        <v>-0.03</v>
      </c>
      <c r="S24" s="18"/>
      <c r="T24" s="0" t="n">
        <v>20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454.75</v>
      </c>
      <c r="D25" s="17" t="n">
        <f aca="false">+Chạy!F15</f>
        <v>-8.75</v>
      </c>
      <c r="E25" s="17" t="n">
        <f aca="false">+D25+F25</f>
        <v>-8.7452</v>
      </c>
      <c r="F25" s="17" t="n">
        <f aca="false">RANDBETWEEN(-105,115)/10000</f>
        <v>0.0048</v>
      </c>
      <c r="G25" s="17" t="n">
        <f aca="false">+Chạy!G15</f>
        <v>-0.75</v>
      </c>
      <c r="H25" s="17" t="n">
        <f aca="false">G25+I25</f>
        <v>-0.688</v>
      </c>
      <c r="I25" s="17" t="n">
        <f aca="false">RANDBETWEEN(-30,90)/1000</f>
        <v>0.062</v>
      </c>
      <c r="J25" s="17" t="n">
        <f aca="false">+Chạy!K15</f>
        <v>-0.75</v>
      </c>
      <c r="K25" s="17" t="n">
        <f aca="false">J25+L25</f>
        <v>-0.72</v>
      </c>
      <c r="L25" s="17" t="n">
        <f aca="false">RANDBETWEEN(-30,90)/1000</f>
        <v>0.03</v>
      </c>
      <c r="M25" s="17" t="n">
        <f aca="false">+Chạy!N15</f>
        <v>9.09</v>
      </c>
      <c r="N25" s="17" t="n">
        <f aca="false">+M25+O25</f>
        <v>9.0899</v>
      </c>
      <c r="O25" s="17" t="n">
        <f aca="false">RANDBETWEEN(-105,115)/10000</f>
        <v>-0.0001</v>
      </c>
      <c r="P25" s="17" t="n">
        <f aca="false">+Chạy!O15</f>
        <v>-0.75</v>
      </c>
      <c r="Q25" s="17" t="n">
        <f aca="false">P25+R25</f>
        <v>-0.771</v>
      </c>
      <c r="R25" s="17" t="n">
        <f aca="false">RANDBETWEEN(-30,90)/1000</f>
        <v>-0.021</v>
      </c>
      <c r="S25" s="18"/>
      <c r="T25" s="0" t="n">
        <v>20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474.75</v>
      </c>
      <c r="D26" s="17" t="n">
        <f aca="false">+Chạy!F19</f>
        <v>-9.27</v>
      </c>
      <c r="E26" s="17" t="n">
        <f aca="false">+D26+F26</f>
        <v>-9.2599</v>
      </c>
      <c r="F26" s="17" t="n">
        <f aca="false">RANDBETWEEN(-105,115)/10000</f>
        <v>0.0101</v>
      </c>
      <c r="G26" s="17" t="n">
        <f aca="false">+Chạy!G19</f>
        <v>-0.75</v>
      </c>
      <c r="H26" s="17" t="n">
        <f aca="false">G26+I26</f>
        <v>-0.768</v>
      </c>
      <c r="I26" s="17" t="n">
        <f aca="false">RANDBETWEEN(-30,90)/1000</f>
        <v>-0.018</v>
      </c>
      <c r="J26" s="17" t="n">
        <f aca="false">+Chạy!K19</f>
        <v>-0.75</v>
      </c>
      <c r="K26" s="17" t="n">
        <f aca="false">J26+L26</f>
        <v>-0.703</v>
      </c>
      <c r="L26" s="17" t="n">
        <f aca="false">RANDBETWEEN(-30,90)/1000</f>
        <v>0.047</v>
      </c>
      <c r="M26" s="17" t="n">
        <f aca="false">+Chạy!N19</f>
        <v>9.22</v>
      </c>
      <c r="N26" s="17" t="n">
        <f aca="false">+M26+O26</f>
        <v>9.2244</v>
      </c>
      <c r="O26" s="17" t="n">
        <f aca="false">RANDBETWEEN(-105,115)/10000</f>
        <v>0.0044</v>
      </c>
      <c r="P26" s="17" t="n">
        <f aca="false">+Chạy!O19</f>
        <v>-0.75</v>
      </c>
      <c r="Q26" s="17" t="n">
        <f aca="false">P26+R26</f>
        <v>-0.778</v>
      </c>
      <c r="R26" s="17" t="n">
        <f aca="false">RANDBETWEEN(-30,90)/1000</f>
        <v>-0.028</v>
      </c>
      <c r="S26" s="18"/>
      <c r="T26" s="0" t="n">
        <v>14.44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489.19</v>
      </c>
      <c r="D27" s="17" t="n">
        <f aca="false">+Chạy!F23</f>
        <v>-9.15</v>
      </c>
      <c r="E27" s="17" t="n">
        <f aca="false">+D27+F27</f>
        <v>-9.1514</v>
      </c>
      <c r="F27" s="17" t="n">
        <f aca="false">RANDBETWEEN(-105,115)/10000</f>
        <v>-0.0014</v>
      </c>
      <c r="G27" s="17" t="n">
        <f aca="false">+Chạy!G23</f>
        <v>-0.75</v>
      </c>
      <c r="H27" s="17" t="n">
        <f aca="false">G27+I27</f>
        <v>-0.683</v>
      </c>
      <c r="I27" s="17" t="n">
        <f aca="false">RANDBETWEEN(-30,90)/1000</f>
        <v>0.067</v>
      </c>
      <c r="J27" s="17" t="n">
        <f aca="false">+Chạy!K23</f>
        <v>-0.75</v>
      </c>
      <c r="K27" s="17" t="n">
        <f aca="false">J27+L27</f>
        <v>-0.761</v>
      </c>
      <c r="L27" s="17" t="n">
        <f aca="false">RANDBETWEEN(-30,90)/1000</f>
        <v>-0.011</v>
      </c>
      <c r="M27" s="17" t="n">
        <f aca="false">+Chạy!N23</f>
        <v>5.95</v>
      </c>
      <c r="N27" s="17" t="n">
        <f aca="false">+M27+O27</f>
        <v>5.9613</v>
      </c>
      <c r="O27" s="17" t="n">
        <f aca="false">RANDBETWEEN(-105,115)/10000</f>
        <v>0.0113</v>
      </c>
      <c r="P27" s="17" t="n">
        <f aca="false">+Chạy!O23</f>
        <v>-0.75</v>
      </c>
      <c r="Q27" s="17" t="n">
        <f aca="false">P27+R27</f>
        <v>-0.687</v>
      </c>
      <c r="R27" s="17" t="n">
        <f aca="false">RANDBETWEEN(-30,90)/1000</f>
        <v>0.063</v>
      </c>
      <c r="S27" s="18"/>
    </row>
    <row r="28" customFormat="false" ht="15" hidden="true" customHeight="false" outlineLevel="0" collapsed="false">
      <c r="A28" s="14"/>
      <c r="B28" s="14"/>
      <c r="C28" s="71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45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46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47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48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">
        <v>60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">
        <v>61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20</v>
      </c>
      <c r="C11" s="16" t="n">
        <f aca="false">'3.KTHH L3'!C22</f>
        <v>394.75</v>
      </c>
      <c r="D11" s="14" t="n">
        <f aca="false">'3.KTHH L3'!T22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5.69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114.1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21</v>
      </c>
      <c r="C12" s="16" t="n">
        <f aca="false">'3.KTHH L3'!C23</f>
        <v>414.75</v>
      </c>
      <c r="D12" s="14" t="n">
        <f aca="false">'3.KTHH L3'!T23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5.72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113.3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22</v>
      </c>
      <c r="C13" s="16" t="n">
        <f aca="false">'3.KTHH L3'!C24</f>
        <v>434.75</v>
      </c>
      <c r="D13" s="14" t="n">
        <f aca="false">'3.KTHH L3'!T24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5.61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108.7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23</v>
      </c>
      <c r="C14" s="16" t="n">
        <f aca="false">'3.KTHH L3'!C25</f>
        <v>454.75</v>
      </c>
      <c r="D14" s="14" t="n">
        <f aca="false">'3.KTHH L3'!T25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5.26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107.2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24</v>
      </c>
      <c r="C15" s="16" t="n">
        <f aca="false">'3.KTHH L3'!C26</f>
        <v>474.75</v>
      </c>
      <c r="D15" s="14" t="n">
        <f aca="false">'3.KTHH L3'!T26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5.46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71.478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25</v>
      </c>
      <c r="C16" s="16" t="n">
        <f aca="false">'3.KTHH L3'!C27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4.44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56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SUM(W11:W16)</f>
        <v>514.778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45</v>
      </c>
      <c r="B38" s="20"/>
      <c r="C38" s="20"/>
      <c r="D38" s="65" t="s">
        <v>57</v>
      </c>
      <c r="E38" s="20" t="s">
        <v>46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47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48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">
        <v>62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394.75</v>
      </c>
      <c r="D23" s="17" t="n">
        <f aca="false">+Chạy!F2</f>
        <v>-9.86</v>
      </c>
      <c r="E23" s="17" t="n">
        <f aca="false">+D23+F23</f>
        <v>-9.8702</v>
      </c>
      <c r="F23" s="17" t="n">
        <f aca="false">RANDBETWEEN(-105,115)/10000</f>
        <v>-0.0102</v>
      </c>
      <c r="G23" s="17" t="n">
        <f aca="false">+Chạy!G2</f>
        <v>-0.45</v>
      </c>
      <c r="H23" s="17" t="n">
        <f aca="false">G23+I23</f>
        <v>-0.39</v>
      </c>
      <c r="I23" s="17" t="n">
        <f aca="false">RANDBETWEEN(-30,90)/1000</f>
        <v>0.06</v>
      </c>
      <c r="J23" s="17" t="n">
        <f aca="false">+Chạy!K2</f>
        <v>-0.45</v>
      </c>
      <c r="K23" s="17" t="n">
        <f aca="false">J23+L23</f>
        <v>-0.378</v>
      </c>
      <c r="L23" s="17" t="n">
        <f aca="false">RANDBETWEEN(-30,90)/1000</f>
        <v>0.072</v>
      </c>
      <c r="M23" s="17" t="n">
        <f aca="false">+Chạy!N2</f>
        <v>9.99</v>
      </c>
      <c r="N23" s="17" t="n">
        <f aca="false">+M23+O23</f>
        <v>9.9854</v>
      </c>
      <c r="O23" s="17" t="n">
        <f aca="false">RANDBETWEEN(-105,115)/10000</f>
        <v>-0.0046</v>
      </c>
      <c r="P23" s="17" t="n">
        <f aca="false">+Chạy!O2</f>
        <v>-0.45</v>
      </c>
      <c r="Q23" s="17" t="n">
        <f aca="false">P23+R23</f>
        <v>-0.454</v>
      </c>
      <c r="R23" s="17" t="n">
        <f aca="false">RANDBETWEEN(-30,90)/1000</f>
        <v>-0.004</v>
      </c>
      <c r="S23" s="18"/>
      <c r="T23" s="0" t="n">
        <v>20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414.75</v>
      </c>
      <c r="D24" s="17" t="n">
        <f aca="false">+Chạy!F6</f>
        <v>-9.91</v>
      </c>
      <c r="E24" s="17" t="n">
        <f aca="false">+D24+F24</f>
        <v>-9.907</v>
      </c>
      <c r="F24" s="17" t="n">
        <f aca="false">RANDBETWEEN(-105,115)/10000</f>
        <v>0.003</v>
      </c>
      <c r="G24" s="17" t="n">
        <f aca="false">+Chạy!G6</f>
        <v>-0.45</v>
      </c>
      <c r="H24" s="17" t="n">
        <f aca="false">G24+I24</f>
        <v>-0.418</v>
      </c>
      <c r="I24" s="17" t="n">
        <f aca="false">RANDBETWEEN(-30,90)/1000</f>
        <v>0.032</v>
      </c>
      <c r="J24" s="17" t="n">
        <f aca="false">+Chạy!K6</f>
        <v>-0.45</v>
      </c>
      <c r="K24" s="17" t="n">
        <f aca="false">J24+L24</f>
        <v>-0.446</v>
      </c>
      <c r="L24" s="17" t="n">
        <f aca="false">RANDBETWEEN(-30,90)/1000</f>
        <v>0.004</v>
      </c>
      <c r="M24" s="17" t="n">
        <f aca="false">+Chạy!N6</f>
        <v>10.05</v>
      </c>
      <c r="N24" s="17" t="n">
        <f aca="false">+M24+O24</f>
        <v>10.0505</v>
      </c>
      <c r="O24" s="17" t="n">
        <f aca="false">RANDBETWEEN(-105,115)/10000</f>
        <v>0.0005</v>
      </c>
      <c r="P24" s="17" t="n">
        <f aca="false">+Chạy!O6</f>
        <v>-0.45</v>
      </c>
      <c r="Q24" s="17" t="n">
        <f aca="false">P24+R24</f>
        <v>-0.449</v>
      </c>
      <c r="R24" s="17" t="n">
        <f aca="false">RANDBETWEEN(-30,90)/1000</f>
        <v>0.001</v>
      </c>
      <c r="S24" s="18"/>
      <c r="T24" s="0" t="n">
        <v>20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434.75</v>
      </c>
      <c r="D25" s="17" t="n">
        <f aca="false">+Chạy!F10</f>
        <v>-9.84</v>
      </c>
      <c r="E25" s="17" t="n">
        <f aca="false">+D25+F25</f>
        <v>-9.8484</v>
      </c>
      <c r="F25" s="17" t="n">
        <f aca="false">RANDBETWEEN(-105,115)/10000</f>
        <v>-0.0084</v>
      </c>
      <c r="G25" s="17" t="n">
        <f aca="false">+Chạy!G10</f>
        <v>-0.45</v>
      </c>
      <c r="H25" s="17" t="n">
        <f aca="false">G25+I25</f>
        <v>-0.424</v>
      </c>
      <c r="I25" s="17" t="n">
        <f aca="false">RANDBETWEEN(-30,90)/1000</f>
        <v>0.026</v>
      </c>
      <c r="J25" s="17" t="n">
        <f aca="false">+Chạy!K10</f>
        <v>-0.45</v>
      </c>
      <c r="K25" s="17" t="n">
        <f aca="false">J25+L25</f>
        <v>-0.431</v>
      </c>
      <c r="L25" s="17" t="n">
        <f aca="false">RANDBETWEEN(-30,90)/1000</f>
        <v>0.019</v>
      </c>
      <c r="M25" s="17" t="n">
        <f aca="false">+Chạy!N10</f>
        <v>9.76</v>
      </c>
      <c r="N25" s="17" t="n">
        <f aca="false">+M25+O25</f>
        <v>9.7564</v>
      </c>
      <c r="O25" s="17" t="n">
        <f aca="false">RANDBETWEEN(-105,115)/10000</f>
        <v>-0.0036</v>
      </c>
      <c r="P25" s="17" t="n">
        <f aca="false">+Chạy!O10</f>
        <v>-0.45</v>
      </c>
      <c r="Q25" s="17" t="n">
        <f aca="false">P25+R25</f>
        <v>-0.391</v>
      </c>
      <c r="R25" s="17" t="n">
        <f aca="false">RANDBETWEEN(-30,90)/1000</f>
        <v>0.059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454.75</v>
      </c>
      <c r="D26" s="17" t="n">
        <f aca="false">+Chạy!F14</f>
        <v>-9.05</v>
      </c>
      <c r="E26" s="17" t="n">
        <f aca="false">+D26+F26</f>
        <v>-9.0497</v>
      </c>
      <c r="F26" s="17" t="n">
        <f aca="false">RANDBETWEEN(-105,115)/10000</f>
        <v>0.0003</v>
      </c>
      <c r="G26" s="17" t="n">
        <f aca="false">+Chạy!G14</f>
        <v>-0.45</v>
      </c>
      <c r="H26" s="17" t="n">
        <f aca="false">G26+I26</f>
        <v>-0.375</v>
      </c>
      <c r="I26" s="17" t="n">
        <f aca="false">RANDBETWEEN(-30,90)/1000</f>
        <v>0.075</v>
      </c>
      <c r="J26" s="17" t="n">
        <f aca="false">+Chạy!K14</f>
        <v>-0.45</v>
      </c>
      <c r="K26" s="17" t="n">
        <f aca="false">J26+L26</f>
        <v>-0.42</v>
      </c>
      <c r="L26" s="17" t="n">
        <f aca="false">RANDBETWEEN(-30,90)/1000</f>
        <v>0.03</v>
      </c>
      <c r="M26" s="17" t="n">
        <f aca="false">+Chạy!N14</f>
        <v>9.39</v>
      </c>
      <c r="N26" s="17" t="n">
        <f aca="false">+M26+O26</f>
        <v>9.3836</v>
      </c>
      <c r="O26" s="17" t="n">
        <f aca="false">RANDBETWEEN(-105,115)/10000</f>
        <v>-0.0064</v>
      </c>
      <c r="P26" s="17" t="n">
        <f aca="false">+Chạy!O14</f>
        <v>-0.45</v>
      </c>
      <c r="Q26" s="17" t="n">
        <f aca="false">P26+R26</f>
        <v>-0.395</v>
      </c>
      <c r="R26" s="17" t="n">
        <f aca="false">RANDBETWEEN(-30,90)/1000</f>
        <v>0.055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474.75</v>
      </c>
      <c r="D27" s="17" t="n">
        <f aca="false">+Chạy!F18</f>
        <v>-9.57</v>
      </c>
      <c r="E27" s="17" t="n">
        <f aca="false">+D27+F27</f>
        <v>-9.5694</v>
      </c>
      <c r="F27" s="17" t="n">
        <f aca="false">RANDBETWEEN(-105,115)/10000</f>
        <v>0.0006</v>
      </c>
      <c r="G27" s="17" t="n">
        <f aca="false">+Chạy!G18</f>
        <v>-0.45</v>
      </c>
      <c r="H27" s="17" t="n">
        <f aca="false">G27+I27</f>
        <v>-0.392</v>
      </c>
      <c r="I27" s="17" t="n">
        <f aca="false">RANDBETWEEN(-30,90)/1000</f>
        <v>0.058</v>
      </c>
      <c r="J27" s="17" t="n">
        <f aca="false">+Chạy!K18</f>
        <v>-0.45</v>
      </c>
      <c r="K27" s="17" t="n">
        <f aca="false">J27+L27</f>
        <v>-0.39</v>
      </c>
      <c r="L27" s="17" t="n">
        <f aca="false">RANDBETWEEN(-30,90)/1000</f>
        <v>0.06</v>
      </c>
      <c r="M27" s="17" t="n">
        <f aca="false">+Chạy!N18</f>
        <v>9.52</v>
      </c>
      <c r="N27" s="17" t="n">
        <f aca="false">+M27+O27</f>
        <v>9.5176</v>
      </c>
      <c r="O27" s="17" t="n">
        <f aca="false">RANDBETWEEN(-105,115)/10000</f>
        <v>-0.0024</v>
      </c>
      <c r="P27" s="17" t="n">
        <f aca="false">+Chạy!O18</f>
        <v>-0.45</v>
      </c>
      <c r="Q27" s="17" t="n">
        <f aca="false">P27+R27</f>
        <v>-0.433</v>
      </c>
      <c r="R27" s="17" t="n">
        <f aca="false">RANDBETWEEN(-30,90)/1000</f>
        <v>0.017</v>
      </c>
      <c r="S27" s="18"/>
      <c r="T27" s="0" t="n">
        <v>14.44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489.19</v>
      </c>
      <c r="D28" s="17" t="n">
        <f aca="false">+Chạy!F22</f>
        <v>-9.45</v>
      </c>
      <c r="E28" s="17" t="n">
        <f aca="false">+D28+F28</f>
        <v>-9.4553</v>
      </c>
      <c r="F28" s="17" t="n">
        <f aca="false">RANDBETWEEN(-105,115)/10000</f>
        <v>-0.0053</v>
      </c>
      <c r="G28" s="17" t="n">
        <f aca="false">+Chạy!G22</f>
        <v>-0.45</v>
      </c>
      <c r="H28" s="17" t="n">
        <f aca="false">G28+I28</f>
        <v>-0.427</v>
      </c>
      <c r="I28" s="17" t="n">
        <f aca="false">RANDBETWEEN(-30,90)/1000</f>
        <v>0.023</v>
      </c>
      <c r="J28" s="17" t="n">
        <f aca="false">+Chạy!K22</f>
        <v>-0.45</v>
      </c>
      <c r="K28" s="17" t="n">
        <f aca="false">J28+L28</f>
        <v>-0.456</v>
      </c>
      <c r="L28" s="17" t="n">
        <f aca="false">RANDBETWEEN(-30,90)/1000</f>
        <v>-0.006</v>
      </c>
      <c r="M28" s="17" t="n">
        <f aca="false">+Chạy!N22</f>
        <v>6.25</v>
      </c>
      <c r="N28" s="17" t="n">
        <f aca="false">+M28+O28</f>
        <v>6.2519</v>
      </c>
      <c r="O28" s="17" t="n">
        <f aca="false">RANDBETWEEN(-105,115)/10000</f>
        <v>0.0019</v>
      </c>
      <c r="P28" s="17" t="n">
        <f aca="false">+Chạy!O22</f>
        <v>-0.45</v>
      </c>
      <c r="Q28" s="17" t="n">
        <f aca="false">P28+R28</f>
        <v>-0.403</v>
      </c>
      <c r="R28" s="17" t="n">
        <f aca="false">RANDBETWEEN(-30,90)/1000</f>
        <v>0.047</v>
      </c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45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46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47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48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">
        <v>62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">
        <v>63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20</v>
      </c>
      <c r="C11" s="16" t="n">
        <f aca="false">'4.KTHH L4'!C23</f>
        <v>394.75</v>
      </c>
      <c r="D11" s="14" t="n">
        <f aca="false">'4.KTHH L4'!T23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5.87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117.7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21</v>
      </c>
      <c r="C12" s="16" t="n">
        <f aca="false">'4.KTHH L4'!C24</f>
        <v>414.75</v>
      </c>
      <c r="D12" s="14" t="n">
        <f aca="false">'4.KTHH L4'!T24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5.9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116.9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22</v>
      </c>
      <c r="C13" s="16" t="n">
        <f aca="false">'4.KTHH L4'!C25</f>
        <v>434.75</v>
      </c>
      <c r="D13" s="14" t="n">
        <f aca="false">'4.KTHH L4'!T25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5.79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112.3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23</v>
      </c>
      <c r="C14" s="16" t="n">
        <f aca="false">'4.KTHH L4'!C26</f>
        <v>454.75</v>
      </c>
      <c r="D14" s="14" t="n">
        <f aca="false">'4.KTHH L4'!T26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5.44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110.8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24</v>
      </c>
      <c r="C15" s="16" t="n">
        <f aca="false">'4.KTHH L4'!C27</f>
        <v>474.75</v>
      </c>
      <c r="D15" s="14" t="n">
        <f aca="false">'4.KTHH L4'!T27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5.64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74.0772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25</v>
      </c>
      <c r="C16" s="16" t="n">
        <f aca="false">'4.KTHH L4'!C28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4.62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56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SUM(W11:W16)</f>
        <v>531.7772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45</v>
      </c>
      <c r="B38" s="20"/>
      <c r="C38" s="20"/>
      <c r="D38" s="65" t="s">
        <v>57</v>
      </c>
      <c r="E38" s="20" t="s">
        <v>46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47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48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