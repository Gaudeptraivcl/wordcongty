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KTHH L1" sheetId="2" state="visible" r:id="rId4"/>
    <sheet name="1.KL lớp 1" sheetId="3" state="visible" r:id="rId5"/>
    <sheet name="2.KTHH L2" sheetId="4" state="visible" r:id="rId6"/>
    <sheet name="2.KL lớp 2" sheetId="5" state="visible" r:id="rId7"/>
    <sheet name="3.KTHH L3" sheetId="6" state="visible" r:id="rId8"/>
    <sheet name="3.KL lớp 3" sheetId="7" state="visible" r:id="rId9"/>
    <sheet name="4.KTHH L4" sheetId="8" state="visible" r:id="rId10"/>
    <sheet name="4.KL lớp 4" sheetId="9" state="visible" r:id="rId11"/>
  </sheets>
  <externalReferences>
    <externalReference r:id="rIdExt1"/>
  </externalReferences>
  <definedNames>
    <definedName function="false" hidden="false" localSheetId="2" name="_xlnm.Print_Area" vbProcedure="false">'1.KL lớp 1'!$A$1:$AB$60</definedName>
    <definedName function="false" hidden="false" localSheetId="1" name="_xlnm.Print_Area" vbProcedure="false">'1.KTHH L1'!$A$1:$S$71</definedName>
    <definedName function="false" hidden="false" localSheetId="1" name="_xlnm.Print_Titles" vbProcedure="false">'1.KTHH L1'!$21:$22</definedName>
    <definedName function="false" hidden="false" localSheetId="4" name="_xlnm.Print_Area" vbProcedure="false">'2.KL lớp 2'!$A$1:$AB$60</definedName>
    <definedName function="false" hidden="false" localSheetId="3" name="_xlnm.Print_Area" vbProcedure="false">'2.KTHH L2'!$A$1:$S$71</definedName>
    <definedName function="false" hidden="false" localSheetId="3" name="_xlnm.Print_Titles" vbProcedure="false">'2.KTHH L2'!$21:$22</definedName>
    <definedName function="false" hidden="false" localSheetId="6" name="_xlnm.Print_Area" vbProcedure="false">'3.KL lớp 3'!$A$1:$AB$45</definedName>
    <definedName function="false" hidden="false" localSheetId="5" name="_xlnm.Print_Area" vbProcedure="false">'3.KTHH L3'!$A$1:$S$55</definedName>
    <definedName function="false" hidden="false" localSheetId="5" name="_xlnm.Print_Titles" vbProcedure="false">'3.KTHH L3'!$20:$21</definedName>
    <definedName function="false" hidden="false" localSheetId="8" name="_xlnm.Print_Area" vbProcedure="false">'4.KL lớp 4'!$A$1:$AB$45</definedName>
    <definedName function="false" hidden="false" localSheetId="7" name="_xlnm.Print_Area" vbProcedure="false">'4.KTHH L4'!$A$1:$S$56</definedName>
    <definedName function="false" hidden="false" localSheetId="7" name="_xlnm.Print_Titles" vbProcedure="false">'4.KTHH L4'!$21:$22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<sst xmlns="http://schemas.openxmlformats.org/spreadsheetml/2006/main" count="303" uniqueCount="64">
  <si>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</si>
  <si>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</si>
  <si>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</si>
  <si>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</si>
  <si>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</si>
  <si>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</si>
  <si>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</si>
  <si>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</si>
  <si>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</si>
  <si>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</si>
  <si>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</si>
  <si>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</si>
  <si>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</si>
  <si>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</si>
  <si>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</si>
  <si>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</si>
  <si>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</si>
  <si>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</si>
  <si>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</si>
  <si>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</si>
  <si>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</si>
  <si>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</si>
  <si>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</si>
  <si>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PHỤ LỤC KIỂM TRA CAO ĐỘ, KÍCH THƯỚC HÌNH HỌC ĐẮP CÁT</t>
  </si>
  <si>
    <t xml:space="preserve">Kèm theo BBNT số: 32.NĐXD8/CVXD ngày 31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</si>
  <si>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</si>
  <si>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</si>
  <si>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</si>
  <si>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</si>
  <si>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</si>
  <si>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cát nền đường lớp 1 đoạn từ Km0+394,75 - Km0+489,19,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</si>
  <si>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</si>
  <si>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</si>
  <si>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</si>
  <si>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</si>
  <si>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</si>
  <si>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</si>
  <si>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</si>
  <si>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</si>
  <si>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</si>
  <si>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</si>
  <si>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</si>
  <si>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</si>
  <si>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</si>
  <si>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</si>
  <si>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</si>
  <si>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</si>
  <si>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</si>
  <si>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</si>
  <si>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</si>
  <si>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</si>
  <si>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Khối lượng đắp cát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</si>
  <si>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</si>
  <si>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</si>
  <si>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</si>
  <si>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</si>
  <si>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</si>
  <si>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</si>
  <si>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33.NĐXD8/CVXD ngày 03 tháng 09 năm 2026</t>
  </si>
  <si>
    <t xml:space="preserve">Đắp cát nền đường lớp 2 đoạn từ Km0+394,75 - Km0+489,19, độ chặt K&gt;=0,95</t>
  </si>
  <si>
    <t xml:space="preserve">Kèm theo BBNT số: 34.NĐXD8/CVXD ngày 03 tháng 09 năm 2026</t>
  </si>
  <si>
    <t xml:space="preserve">Đắp cát nền đường lớp 3 đoạn từ Km0+394,75 - Km0+489,19, độ chặt K&gt;=0,95</t>
  </si>
  <si>
    <t xml:space="preserve">Kèm theo BBNT số: 35.NĐXD8/CVXD ngày 03 tháng 09 năm 2026</t>
  </si>
  <si>
    <t xml:space="preserve">Đắp cát nền đường lớp 4 đoạn từ Km0+394,75 - Km0+489,19, độ chặt K&gt;=0,95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</si>
</sst>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name val="Times New Roman"/>
      <family val="1"/>
      <charset val="1"/>
    </font>
    <font>
      <sz val="11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3"/>
      <color theme="1"/>
      <name val="Calibri"/>
      <family val="2"/>
      <charset val="163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color theme="1"/>
      <name val="Times New Roman"/>
      <family val="1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.5"/>
      <name val="Times New Roman"/>
      <family val="1"/>
      <charset val="1"/>
    </font>
    <font>
      <sz val="14"/>
      <color theme="1"/>
      <name val="Calibri"/>
      <family val="2"/>
      <charset val="163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3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851760</xdr:colOff>
      <xdr:row>7</xdr:row>
      <xdr:rowOff>190440</xdr:rowOff>
    </xdr:from>
    <xdr:to>
      <xdr:col>15</xdr:col>
      <xdr:colOff>380880</xdr:colOff>
      <xdr:row>18</xdr:row>
      <xdr:rowOff>73080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767600" y="1876320"/>
          <a:ext cx="5680080" cy="2025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224280</xdr:rowOff>
    </xdr:from>
    <xdr:to>
      <xdr:col>15</xdr:col>
      <xdr:colOff>358200</xdr:colOff>
      <xdr:row>18</xdr:row>
      <xdr:rowOff>107280</xdr:rowOff>
    </xdr:to>
    <xdr:pic>
      <xdr:nvPicPr>
        <xdr:cNvPr id="1" name="Picture 2" descr=""/>
        <xdr:cNvPicPr/>
      </xdr:nvPicPr>
      <xdr:blipFill>
        <a:blip r:embed="rId1"/>
        <a:stretch/>
      </xdr:blipFill>
      <xdr:spPr>
        <a:xfrm>
          <a:off x="1682640" y="1910160"/>
          <a:ext cx="5793120" cy="2026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481680</xdr:colOff>
      <xdr:row>7</xdr:row>
      <xdr:rowOff>201600</xdr:rowOff>
    </xdr:from>
    <xdr:to>
      <xdr:col>15</xdr:col>
      <xdr:colOff>402840</xdr:colOff>
      <xdr:row>18</xdr:row>
      <xdr:rowOff>42120</xdr:rowOff>
    </xdr:to>
    <xdr:pic>
      <xdr:nvPicPr>
        <xdr:cNvPr id="2" name="Picture 4" descr=""/>
        <xdr:cNvPicPr/>
      </xdr:nvPicPr>
      <xdr:blipFill>
        <a:blip r:embed="rId1"/>
        <a:stretch/>
      </xdr:blipFill>
      <xdr:spPr>
        <a:xfrm>
          <a:off x="1467720" y="1887480"/>
          <a:ext cx="5731560" cy="1983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134640</xdr:rowOff>
    </xdr:from>
    <xdr:to>
      <xdr:col>15</xdr:col>
      <xdr:colOff>639360</xdr:colOff>
      <xdr:row>18</xdr:row>
      <xdr:rowOff>33480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602000" y="1820520"/>
          <a:ext cx="6174000" cy="204192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29</v>
          </cell>
          <cell r="B3" t="str">
            <v xml:space="preserve">Kiểm tra cao độ đường đen đoạn từ Km0+394,75 -:- Km0+489,19</v>
          </cell>
          <cell r="D3" t="str">
            <v xml:space="preserve">ngày 29 tháng 08 năm 2026</v>
          </cell>
          <cell r="G3" t="str">
            <v xml:space="preserve">29.NĐXD8/CVXD </v>
          </cell>
        </row>
        <row r="4">
          <cell r="A4">
            <v>30</v>
          </cell>
          <cell r="B4" t="str">
            <v xml:space="preserve">Đào đất xử lý nền đường đoạn từ Km0+394,75 - Km0+489,19</v>
          </cell>
          <cell r="D4" t="str">
            <v xml:space="preserve">ngày 30 tháng 08 năm 2026</v>
          </cell>
          <cell r="G4" t="str">
            <v xml:space="preserve">30.NĐXD8/CVXD </v>
          </cell>
        </row>
        <row r="5">
          <cell r="A5">
            <v>31</v>
          </cell>
          <cell r="B5" t="str">
            <v xml:space="preserve">Rải vải địa kỹ thuật đoạn từ Km0+394,75 - Km0+489,19</v>
          </cell>
          <cell r="D5" t="str">
            <v xml:space="preserve">ngày 31 tháng 08 năm 2026</v>
          </cell>
          <cell r="G5" t="str">
            <v xml:space="preserve">31.NĐXD8/CVXD </v>
          </cell>
        </row>
        <row r="6">
          <cell r="A6">
            <v>32</v>
          </cell>
          <cell r="B6" t="str">
            <v xml:space="preserve">Đắp cát nền đường lớp 1 đoạn từ Km0+394,75 - Km0+489,19, độ chặt K&gt;=0,95</v>
          </cell>
          <cell r="D6" t="str">
            <v xml:space="preserve">ngày 31 tháng 08 năm 2026</v>
          </cell>
          <cell r="G6" t="str">
            <v xml:space="preserve">32.NĐXD8/CVXD </v>
          </cell>
        </row>
        <row r="7">
          <cell r="A7">
            <v>33</v>
          </cell>
          <cell r="B7" t="str">
            <v xml:space="preserve">Đắp cát nền đường lớp 2 đoạn từ Km0+394,75 - Km0+489,19, độ chặt K&gt;=0,95</v>
          </cell>
          <cell r="D7" t="str">
            <v xml:space="preserve">ngày 03 tháng 09 năm 2026</v>
          </cell>
          <cell r="G7" t="str">
            <v xml:space="preserve">33.NĐXD8/CVXD </v>
          </cell>
        </row>
        <row r="8">
          <cell r="A8">
            <v>34</v>
          </cell>
          <cell r="B8" t="str">
            <v xml:space="preserve">Đắp cát nền đường lớp 3 đoạn từ Km0+394,75 - Km0+489,19, độ chặt K&gt;=0,95</v>
          </cell>
          <cell r="D8" t="str">
            <v xml:space="preserve">ngày 03 tháng 09 năm 2026</v>
          </cell>
          <cell r="G8" t="str">
            <v xml:space="preserve">34.NĐXD8/CVXD </v>
          </cell>
        </row>
        <row r="9">
          <cell r="A9">
            <v>35</v>
          </cell>
          <cell r="B9" t="str">
            <v xml:space="preserve">Đắp cát nền đường lớp 4 đoạn từ Km0+394,75 - Km0+489,19, độ chặt K&gt;=0,95</v>
          </cell>
          <cell r="D9" t="str">
            <v xml:space="preserve">ngày 03 tháng 09 năm 2026</v>
          </cell>
          <cell r="G9" t="str">
            <v xml:space="preserve">35.NĐXD8/CVXD </v>
          </cell>
        </row>
        <row r="10">
          <cell r="A10">
            <v>36</v>
          </cell>
          <cell r="B10" t="str">
            <v xml:space="preserve">Đắp đất nền đường lớp 1 đoạn từ Km0+394,75 - Km0+489,19, độ chặt K&gt;=0,95</v>
          </cell>
          <cell r="D10" t="str">
            <v xml:space="preserve">ngày 03 tháng 09 năm 2026</v>
          </cell>
          <cell r="G10" t="str">
            <v xml:space="preserve">36.NĐXD8/CVXD </v>
          </cell>
        </row>
        <row r="11">
          <cell r="A11">
            <v>37</v>
          </cell>
          <cell r="B11" t="str">
            <v xml:space="preserve">Đắp đất nền đường lớp 2 đoạn từ Km0+394,75 - Km0+489,19, độ chặt K&gt;=0,95</v>
          </cell>
          <cell r="D11" t="str">
            <v xml:space="preserve">ngày 03 tháng 09 năm 2026</v>
          </cell>
          <cell r="G11" t="str">
            <v xml:space="preserve">37.NĐXD8/CVXD </v>
          </cell>
        </row>
        <row r="12">
          <cell r="A12">
            <v>38</v>
          </cell>
          <cell r="B12" t="str">
            <v xml:space="preserve">Đắp đất nền đường lớp 3 đoạn từ Km0+394,75 - Km0+489,19, độ chặt K&gt;=0,95</v>
          </cell>
          <cell r="D12" t="str">
            <v xml:space="preserve">ngày 03 tháng 09 năm 2026</v>
          </cell>
          <cell r="G12" t="str">
            <v xml:space="preserve">38.NĐXD8/CVXD </v>
          </cell>
        </row>
        <row r="13">
          <cell r="A13">
            <v>39</v>
          </cell>
          <cell r="B13" t="str">
            <v xml:space="preserve">Đắp đất nền đường lớp 4 đoạn từ Km0+394,75 - Km0+489,19, độ chặt K&gt;=0,95</v>
          </cell>
          <cell r="D13" t="str">
            <v xml:space="preserve">ngày 04 tháng 09 năm 2026</v>
          </cell>
          <cell r="G13" t="str">
            <v xml:space="preserve">39.NĐXD8/CVXD </v>
          </cell>
        </row>
        <row r="14">
          <cell r="A14">
            <v>40</v>
          </cell>
          <cell r="B14" t="str">
            <v xml:space="preserve">Đắp đất nền đường lớp 5 đoạn từ Km0+394,75 - Km0+489,19, độ chặt K&gt;=0,95</v>
          </cell>
          <cell r="D14" t="str">
            <v xml:space="preserve">ngày 04 tháng 09 năm 2026</v>
          </cell>
          <cell r="G14" t="str">
            <v xml:space="preserve">40.NĐXD8/CVXD </v>
          </cell>
        </row>
        <row r="15">
          <cell r="A15">
            <v>41</v>
          </cell>
          <cell r="B15" t="str">
            <v xml:space="preserve">Đắp đất nền đường lớp 6 đoạn từ Km0+394,75 - Km0+489,19, độ chặt K&gt;=0,95</v>
          </cell>
          <cell r="D15" t="str">
            <v xml:space="preserve">ngày 05 tháng 09 năm 2026</v>
          </cell>
          <cell r="G15" t="str">
            <v xml:space="preserve">41.NĐXD8/CVXD </v>
          </cell>
        </row>
        <row r="16">
          <cell r="A16">
            <v>42</v>
          </cell>
          <cell r="B16" t="str">
            <v xml:space="preserve">Đắp đất nền đường lớp 7 đoạn từ Km0+394,75 - Km0+489,19, độ chặt K&gt;=0,95</v>
          </cell>
          <cell r="D16" t="str">
            <v xml:space="preserve">ngày 05 tháng 09 năm 2026</v>
          </cell>
          <cell r="G16" t="str">
            <v xml:space="preserve">42.NĐXD8/CVXD </v>
          </cell>
        </row>
        <row r="17">
          <cell r="A17">
            <v>43</v>
          </cell>
          <cell r="B17" t="str">
            <v xml:space="preserve">Đắp đất nền đường lớp 8 đoạn từ Km0+394,75 - Km0+489,19, độ chặt K&gt;=0,95</v>
          </cell>
          <cell r="D17" t="str">
            <v xml:space="preserve">ngày 06 tháng 09 năm 2026</v>
          </cell>
          <cell r="G17" t="str">
            <v xml:space="preserve">43.NĐXD8/CVXD </v>
          </cell>
        </row>
        <row r="18">
          <cell r="A18">
            <v>44</v>
          </cell>
          <cell r="B18" t="str">
            <v xml:space="preserve">Đắp đất nền đường lớp 9 đoạn từ Km0+394,75 - Km0+489,19, độ chặt K&gt;=0,95</v>
          </cell>
          <cell r="D18" t="str">
            <v xml:space="preserve">ngày 06 tháng 09 năm 2026</v>
          </cell>
          <cell r="G18" t="str">
            <v xml:space="preserve">44.NĐXD8/CVXD </v>
          </cell>
        </row>
        <row r="19">
          <cell r="A19">
            <v>45</v>
          </cell>
          <cell r="B19" t="str">
            <v xml:space="preserve">Đắp đất nền đường lớp 1, độ chặt K&gt;=0,98 đoạn từ Km0+394,75 - Km0+489,19</v>
          </cell>
          <cell r="D19" t="str">
            <v xml:space="preserve">ngày 07 tháng 09 năm 2026</v>
          </cell>
          <cell r="G19" t="str">
            <v xml:space="preserve">45.NĐXD8/CVXD </v>
          </cell>
        </row>
        <row r="20">
          <cell r="A20">
            <v>46</v>
          </cell>
          <cell r="B20" t="str">
            <v xml:space="preserve">Đắp đất lề đường lớp 1, độ chặt K&gt;=0,95 đoạn từ Km0+394,75 - Km0+489,19</v>
          </cell>
          <cell r="D20" t="str">
            <v xml:space="preserve">ngày 07 tháng 09 năm 2026</v>
          </cell>
          <cell r="G20" t="str">
            <v xml:space="preserve">46.NĐXD8/CVXD </v>
          </cell>
        </row>
        <row r="21">
          <cell r="A21">
            <v>47</v>
          </cell>
          <cell r="B21" t="str">
            <v xml:space="preserve">Đắp đất nền đường lớp 2, độ chặt K&gt;=0,98 đoạn từ Km0+394,75 - Km0+489,19</v>
          </cell>
          <cell r="D21" t="str">
            <v xml:space="preserve">ngày 08 tháng 09 năm 2026</v>
          </cell>
          <cell r="G21" t="str">
            <v xml:space="preserve">47.NĐXD8/CVXD </v>
          </cell>
        </row>
        <row r="22">
          <cell r="A22">
            <v>48</v>
          </cell>
          <cell r="B22" t="str">
            <v xml:space="preserve">Đắp đất lề đường lớp 2, độ chặt K&gt;=0,95 đoạn từ Km0+394,75 - Km0+489,19</v>
          </cell>
          <cell r="D22" t="str">
            <v xml:space="preserve">ngày 08 tháng 09 năm 2026</v>
          </cell>
          <cell r="G22" t="str">
            <v xml:space="preserve">48.NĐXD8/CVXD </v>
          </cell>
        </row>
        <row r="23">
          <cell r="A23">
            <v>49</v>
          </cell>
          <cell r="B23" t="str">
            <v xml:space="preserve">Đắp cấp phối đá dăm loại 2 đoạn từ Km0+394,75 - Km0+489,19</v>
          </cell>
          <cell r="D23" t="str">
            <v xml:space="preserve">ngày 09 tháng 09 năm 2026</v>
          </cell>
          <cell r="G23" t="str">
            <v xml:space="preserve">49.NĐXD8/CVXD </v>
          </cell>
        </row>
        <row r="24">
          <cell r="A24">
            <v>50</v>
          </cell>
          <cell r="B24" t="str">
            <v xml:space="preserve">Đắp đất lề đường lớp 3, độ chặt K&gt;=0,95 đoạn từ Km0+394,75 - Km0+489,19</v>
          </cell>
          <cell r="D24" t="str">
            <v xml:space="preserve">ngày 09 tháng 09 năm 2026</v>
          </cell>
          <cell r="G24" t="str">
            <v xml:space="preserve">50.NĐXD8/CVXD </v>
          </cell>
        </row>
        <row r="25">
          <cell r="A25">
            <v>51</v>
          </cell>
          <cell r="B25" t="str">
            <v xml:space="preserve">Đắp đất lề đường lớp 4, độ chặt K&gt;=0,95 đoạn từ Km0+394,75 - Km0+489,19</v>
          </cell>
          <cell r="D25" t="str">
            <v xml:space="preserve">ngày 10 tháng 09 năm 2026</v>
          </cell>
          <cell r="G25" t="str">
            <v xml:space="preserve">51.NĐXD8/CVXD </v>
          </cell>
        </row>
        <row r="26">
          <cell r="A26">
            <v>52</v>
          </cell>
          <cell r="B26" t="str">
            <v xml:space="preserve">Đắp cấp phối đá dăm loại 1 đoạn từ Km0+394,75 - Km0+489,19</v>
          </cell>
          <cell r="D26" t="str">
            <v xml:space="preserve">ngày 10 tháng 09 năm 2026</v>
          </cell>
          <cell r="G26" t="str">
            <v xml:space="preserve">52.NĐXD8/CVXD </v>
          </cell>
        </row>
        <row r="27">
          <cell r="A27">
            <v>53</v>
          </cell>
          <cell r="B27" t="str">
            <v xml:space="preserve">Vệ sinh, thổi bụi mặt đường </v>
          </cell>
          <cell r="D27" t="str">
            <v xml:space="preserve">ngày 12 tháng 09 năm 2026</v>
          </cell>
          <cell r="G27" t="str">
            <v xml:space="preserve">53.NĐXD8/CVXD </v>
          </cell>
        </row>
        <row r="28">
          <cell r="A28">
            <v>54</v>
          </cell>
          <cell r="B28" t="str">
            <v xml:space="preserve">Tưới lớp thấm bám mặt đường, nhựa MC70, lượng nhựa 1kg/m2</v>
          </cell>
          <cell r="D28" t="str">
            <v xml:space="preserve">ngày 14 tháng 09 năm 2026</v>
          </cell>
          <cell r="G28" t="str">
            <v xml:space="preserve">54.NĐXD8/CVXD </v>
          </cell>
        </row>
        <row r="29">
          <cell r="A29">
            <v>55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17 tháng 09 năm 2026</v>
          </cell>
          <cell r="G29" t="str">
            <v xml:space="preserve">55.NĐXD8/CVXD </v>
          </cell>
        </row>
        <row r="30">
          <cell r="A30">
            <v>56</v>
          </cell>
          <cell r="B30" t="str">
            <v xml:space="preserve">Bê tông nhựa C16 - Chiều dày mặt đường đã lèn ép 6cm</v>
          </cell>
          <cell r="D30" t="str">
            <v xml:space="preserve">ngày 19 tháng 09 năm 2026</v>
          </cell>
          <cell r="G30" t="str">
            <v xml:space="preserve">56.NĐXD8/CVXD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5"/>
  <sheetViews>
    <sheetView showFormulas="false" showGridLines="true" showRowColHeaders="true" showZeros="true" rightToLeft="false" tabSelected="false" showOutlineSymbols="true" defaultGridColor="true" view="normal" topLeftCell="A73" colorId="64" zoomScale="100" zoomScaleNormal="100" zoomScalePageLayoutView="100" workbookViewId="0">
      <selection pane="topLeft" activeCell="S92" activeCellId="0" sqref="S92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3.57"/>
    <col collapsed="false" customWidth="true" hidden="true" outlineLevel="0" max="9" min="8" style="1" width="11.53"/>
    <col collapsed="false" customWidth="true" hidden="true" outlineLevel="0" max="13" min="12" style="1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1" t="s">
        <v>17</v>
      </c>
      <c r="C2" s="0" t="n">
        <v>394.75</v>
      </c>
      <c r="D2" s="0" t="n">
        <v>4</v>
      </c>
      <c r="E2" s="0" t="n">
        <v>5.87</v>
      </c>
      <c r="F2" s="0" t="n">
        <v>-9.86</v>
      </c>
      <c r="G2" s="0" t="n">
        <v>-0.45</v>
      </c>
      <c r="H2" s="1" t="n">
        <v>0</v>
      </c>
      <c r="I2" s="1" t="n">
        <v>-0.45</v>
      </c>
      <c r="J2" s="0" t="n">
        <v>0</v>
      </c>
      <c r="K2" s="0" t="n">
        <v>-0.45</v>
      </c>
      <c r="L2" s="1" t="n">
        <v>0</v>
      </c>
      <c r="M2" s="1" t="n">
        <v>-0.45</v>
      </c>
      <c r="N2" s="0" t="n">
        <v>9.99</v>
      </c>
      <c r="O2" s="0" t="n">
        <v>-0.45</v>
      </c>
      <c r="P2" s="0" t="n">
        <v>18.86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5.69</v>
      </c>
      <c r="F3" s="0" t="n">
        <v>-9.56</v>
      </c>
      <c r="G3" s="0" t="n">
        <v>-0.75</v>
      </c>
      <c r="H3" s="1" t="n">
        <v>0</v>
      </c>
      <c r="I3" s="1" t="n">
        <v>-0.75</v>
      </c>
      <c r="J3" s="0" t="n">
        <v>0</v>
      </c>
      <c r="K3" s="0" t="n">
        <v>-0.75</v>
      </c>
      <c r="L3" s="1" t="n">
        <v>0</v>
      </c>
      <c r="M3" s="1" t="n">
        <v>-0.75</v>
      </c>
      <c r="N3" s="0" t="n">
        <v>9.69</v>
      </c>
      <c r="O3" s="0" t="n">
        <v>-0.75</v>
      </c>
    </row>
    <row r="4" customFormat="false" ht="15" hidden="false" customHeight="false" outlineLevel="0" collapsed="false">
      <c r="D4" s="0" t="n">
        <v>2</v>
      </c>
      <c r="E4" s="0" t="n">
        <v>5.51</v>
      </c>
      <c r="F4" s="0" t="n">
        <v>-9.26</v>
      </c>
      <c r="G4" s="0" t="n">
        <v>-1.05</v>
      </c>
      <c r="H4" s="1" t="n">
        <v>0</v>
      </c>
      <c r="I4" s="1" t="n">
        <v>-1.05</v>
      </c>
      <c r="J4" s="0" t="n">
        <v>0</v>
      </c>
      <c r="K4" s="0" t="n">
        <v>-1.05</v>
      </c>
      <c r="L4" s="1" t="n">
        <v>0</v>
      </c>
      <c r="M4" s="1" t="n">
        <v>-1.05</v>
      </c>
      <c r="N4" s="0" t="n">
        <v>9.39</v>
      </c>
      <c r="O4" s="0" t="n">
        <v>-1.05</v>
      </c>
    </row>
    <row r="5" customFormat="false" ht="15" hidden="false" customHeight="false" outlineLevel="0" collapsed="false">
      <c r="D5" s="0" t="n">
        <v>1</v>
      </c>
      <c r="E5" s="0" t="n">
        <v>1.8</v>
      </c>
      <c r="F5" s="0" t="n">
        <v>-8.96</v>
      </c>
      <c r="G5" s="0" t="n">
        <v>-1.35</v>
      </c>
      <c r="H5" s="1" t="n">
        <v>0</v>
      </c>
      <c r="I5" s="1" t="n">
        <v>-1.35</v>
      </c>
      <c r="J5" s="0" t="n">
        <v>0</v>
      </c>
      <c r="K5" s="0" t="n">
        <v>-1.35</v>
      </c>
      <c r="L5" s="1" t="n">
        <v>0</v>
      </c>
      <c r="M5" s="1" t="n">
        <v>-1.35</v>
      </c>
      <c r="N5" s="0" t="n">
        <v>9.09</v>
      </c>
      <c r="O5" s="0" t="n">
        <v>-1.35</v>
      </c>
    </row>
    <row r="6" customFormat="false" ht="15" hidden="false" customHeight="false" outlineLevel="0" collapsed="false">
      <c r="A6" s="1" t="n">
        <v>2</v>
      </c>
      <c r="B6" s="1" t="s">
        <v>18</v>
      </c>
      <c r="C6" s="0" t="n">
        <v>414.75</v>
      </c>
      <c r="D6" s="0" t="n">
        <v>4</v>
      </c>
      <c r="E6" s="0" t="n">
        <v>5.9</v>
      </c>
      <c r="F6" s="0" t="n">
        <v>-9.91</v>
      </c>
      <c r="G6" s="0" t="n">
        <v>-0.45</v>
      </c>
      <c r="H6" s="1" t="n">
        <v>0</v>
      </c>
      <c r="I6" s="1" t="n">
        <v>-0.45</v>
      </c>
      <c r="J6" s="0" t="n">
        <v>0</v>
      </c>
      <c r="K6" s="0" t="n">
        <v>-0.45</v>
      </c>
      <c r="L6" s="1" t="n">
        <v>0</v>
      </c>
      <c r="M6" s="1" t="n">
        <v>-0.45</v>
      </c>
      <c r="N6" s="0" t="n">
        <v>10.05</v>
      </c>
      <c r="O6" s="0" t="n">
        <v>-0.45</v>
      </c>
      <c r="P6" s="0" t="n">
        <v>18.96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5.72</v>
      </c>
      <c r="F7" s="0" t="n">
        <v>-9.61</v>
      </c>
      <c r="G7" s="0" t="n">
        <v>-0.75</v>
      </c>
      <c r="H7" s="1" t="n">
        <v>0</v>
      </c>
      <c r="I7" s="1" t="n">
        <v>-0.75</v>
      </c>
      <c r="J7" s="0" t="n">
        <v>0</v>
      </c>
      <c r="K7" s="0" t="n">
        <v>-0.75</v>
      </c>
      <c r="L7" s="1" t="n">
        <v>0</v>
      </c>
      <c r="M7" s="1" t="n">
        <v>-0.75</v>
      </c>
      <c r="N7" s="0" t="n">
        <v>9.75</v>
      </c>
      <c r="O7" s="0" t="n">
        <v>-0.75</v>
      </c>
    </row>
    <row r="8" customFormat="false" ht="15" hidden="false" customHeight="false" outlineLevel="0" collapsed="false">
      <c r="D8" s="0" t="n">
        <v>2</v>
      </c>
      <c r="E8" s="0" t="n">
        <v>5.54</v>
      </c>
      <c r="F8" s="0" t="n">
        <v>-9.31</v>
      </c>
      <c r="G8" s="0" t="n">
        <v>-1.05</v>
      </c>
      <c r="H8" s="1" t="n">
        <v>0</v>
      </c>
      <c r="I8" s="1" t="n">
        <v>-1.05</v>
      </c>
      <c r="J8" s="0" t="n">
        <v>0</v>
      </c>
      <c r="K8" s="0" t="n">
        <v>-1.05</v>
      </c>
      <c r="L8" s="1" t="n">
        <v>0</v>
      </c>
      <c r="M8" s="1" t="n">
        <v>-1.05</v>
      </c>
      <c r="N8" s="0" t="n">
        <v>9.45</v>
      </c>
      <c r="O8" s="0" t="n">
        <v>-1.05</v>
      </c>
    </row>
    <row r="9" customFormat="false" ht="15" hidden="false" customHeight="false" outlineLevel="0" collapsed="false">
      <c r="D9" s="0" t="n">
        <v>1</v>
      </c>
      <c r="E9" s="0" t="n">
        <v>1.81</v>
      </c>
      <c r="F9" s="0" t="n">
        <v>-9.01</v>
      </c>
      <c r="G9" s="0" t="n">
        <v>-1.35</v>
      </c>
      <c r="H9" s="1" t="n">
        <v>0</v>
      </c>
      <c r="I9" s="1" t="n">
        <v>-1.35</v>
      </c>
      <c r="J9" s="0" t="n">
        <v>0</v>
      </c>
      <c r="K9" s="0" t="n">
        <v>-1.35</v>
      </c>
      <c r="L9" s="1" t="n">
        <v>0</v>
      </c>
      <c r="M9" s="1" t="n">
        <v>-1.35</v>
      </c>
      <c r="N9" s="0" t="n">
        <v>9.15</v>
      </c>
      <c r="O9" s="0" t="n">
        <v>-1.35</v>
      </c>
    </row>
    <row r="10" customFormat="false" ht="15" hidden="false" customHeight="false" outlineLevel="0" collapsed="false">
      <c r="A10" s="1" t="n">
        <v>3</v>
      </c>
      <c r="B10" s="1" t="s">
        <v>19</v>
      </c>
      <c r="C10" s="0" t="n">
        <v>434.75</v>
      </c>
      <c r="D10" s="0" t="n">
        <v>4</v>
      </c>
      <c r="E10" s="0" t="n">
        <v>5.79</v>
      </c>
      <c r="F10" s="0" t="n">
        <v>-9.84</v>
      </c>
      <c r="G10" s="0" t="n">
        <v>-0.45</v>
      </c>
      <c r="H10" s="1" t="n">
        <v>0</v>
      </c>
      <c r="I10" s="1" t="n">
        <v>-0.45</v>
      </c>
      <c r="J10" s="0" t="n">
        <v>0</v>
      </c>
      <c r="K10" s="0" t="n">
        <v>-0.45</v>
      </c>
      <c r="L10" s="1" t="n">
        <v>0</v>
      </c>
      <c r="M10" s="1" t="n">
        <v>-0.45</v>
      </c>
      <c r="N10" s="0" t="n">
        <v>9.76</v>
      </c>
      <c r="O10" s="0" t="n">
        <v>-0.45</v>
      </c>
      <c r="P10" s="0" t="n">
        <v>18.6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5.61</v>
      </c>
      <c r="F11" s="0" t="n">
        <v>-9.54</v>
      </c>
      <c r="G11" s="0" t="n">
        <v>-0.75</v>
      </c>
      <c r="H11" s="1" t="n">
        <v>0</v>
      </c>
      <c r="I11" s="1" t="n">
        <v>-0.75</v>
      </c>
      <c r="J11" s="0" t="n">
        <v>0</v>
      </c>
      <c r="K11" s="0" t="n">
        <v>-0.75</v>
      </c>
      <c r="L11" s="1" t="n">
        <v>0</v>
      </c>
      <c r="M11" s="1" t="n">
        <v>-0.75</v>
      </c>
      <c r="N11" s="0" t="n">
        <v>9.46</v>
      </c>
      <c r="O11" s="0" t="n">
        <v>-0.75</v>
      </c>
    </row>
    <row r="12" customFormat="false" ht="15" hidden="false" customHeight="false" outlineLevel="0" collapsed="false">
      <c r="D12" s="0" t="n">
        <v>2</v>
      </c>
      <c r="E12" s="0" t="n">
        <v>5.43</v>
      </c>
      <c r="F12" s="0" t="n">
        <v>-9.24</v>
      </c>
      <c r="G12" s="0" t="n">
        <v>-1.05</v>
      </c>
      <c r="H12" s="1" t="n">
        <v>0</v>
      </c>
      <c r="I12" s="1" t="n">
        <v>-1.05</v>
      </c>
      <c r="J12" s="0" t="n">
        <v>0</v>
      </c>
      <c r="K12" s="0" t="n">
        <v>-1.05</v>
      </c>
      <c r="L12" s="1" t="n">
        <v>0</v>
      </c>
      <c r="M12" s="1" t="n">
        <v>-1.05</v>
      </c>
      <c r="N12" s="0" t="n">
        <v>9.16</v>
      </c>
      <c r="O12" s="0" t="n">
        <v>-1.05</v>
      </c>
    </row>
    <row r="13" customFormat="false" ht="15" hidden="false" customHeight="false" outlineLevel="0" collapsed="false">
      <c r="D13" s="0" t="n">
        <v>1</v>
      </c>
      <c r="E13" s="0" t="n">
        <v>1.77</v>
      </c>
      <c r="F13" s="0" t="n">
        <v>-8.94</v>
      </c>
      <c r="G13" s="0" t="n">
        <v>-1.35</v>
      </c>
      <c r="H13" s="1" t="n">
        <v>0</v>
      </c>
      <c r="I13" s="1" t="n">
        <v>-1.35</v>
      </c>
      <c r="J13" s="0" t="n">
        <v>0</v>
      </c>
      <c r="K13" s="0" t="n">
        <v>-1.35</v>
      </c>
      <c r="L13" s="1" t="n">
        <v>0</v>
      </c>
      <c r="M13" s="1" t="n">
        <v>-1.35</v>
      </c>
      <c r="N13" s="0" t="n">
        <v>8.86</v>
      </c>
      <c r="O13" s="0" t="n">
        <v>-1.35</v>
      </c>
    </row>
    <row r="14" customFormat="false" ht="15" hidden="false" customHeight="false" outlineLevel="0" collapsed="false">
      <c r="A14" s="1" t="n">
        <v>4</v>
      </c>
      <c r="B14" s="1" t="s">
        <v>20</v>
      </c>
      <c r="C14" s="0" t="n">
        <v>454.75</v>
      </c>
      <c r="D14" s="0" t="n">
        <v>4</v>
      </c>
      <c r="E14" s="0" t="n">
        <v>5.44</v>
      </c>
      <c r="F14" s="0" t="n">
        <v>-9.05</v>
      </c>
      <c r="G14" s="0" t="n">
        <v>-0.45</v>
      </c>
      <c r="H14" s="1" t="n">
        <v>0</v>
      </c>
      <c r="I14" s="1" t="n">
        <v>-0.45</v>
      </c>
      <c r="J14" s="0" t="n">
        <v>0</v>
      </c>
      <c r="K14" s="0" t="n">
        <v>-0.45</v>
      </c>
      <c r="L14" s="1" t="n">
        <v>0</v>
      </c>
      <c r="M14" s="1" t="n">
        <v>-0.45</v>
      </c>
      <c r="N14" s="0" t="n">
        <v>9.39</v>
      </c>
      <c r="O14" s="0" t="n">
        <v>-0.45</v>
      </c>
      <c r="P14" s="0" t="n">
        <v>17.44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5.26</v>
      </c>
      <c r="F15" s="0" t="n">
        <v>-8.75</v>
      </c>
      <c r="G15" s="0" t="n">
        <v>-0.75</v>
      </c>
      <c r="H15" s="1" t="n">
        <v>0</v>
      </c>
      <c r="I15" s="1" t="n">
        <v>-0.75</v>
      </c>
      <c r="J15" s="0" t="n">
        <v>0</v>
      </c>
      <c r="K15" s="0" t="n">
        <v>-0.75</v>
      </c>
      <c r="L15" s="1" t="n">
        <v>0</v>
      </c>
      <c r="M15" s="1" t="n">
        <v>-0.75</v>
      </c>
      <c r="N15" s="0" t="n">
        <v>9.09</v>
      </c>
      <c r="O15" s="0" t="n">
        <v>-0.75</v>
      </c>
    </row>
    <row r="16" customFormat="false" ht="15" hidden="false" customHeight="false" outlineLevel="0" collapsed="false">
      <c r="D16" s="0" t="n">
        <v>2</v>
      </c>
      <c r="E16" s="0" t="n">
        <v>5.08</v>
      </c>
      <c r="F16" s="0" t="n">
        <v>-8.45</v>
      </c>
      <c r="G16" s="0" t="n">
        <v>-1.05</v>
      </c>
      <c r="H16" s="1" t="n">
        <v>0</v>
      </c>
      <c r="I16" s="1" t="n">
        <v>-1.05</v>
      </c>
      <c r="J16" s="0" t="n">
        <v>0</v>
      </c>
      <c r="K16" s="0" t="n">
        <v>-1.05</v>
      </c>
      <c r="L16" s="1" t="n">
        <v>0</v>
      </c>
      <c r="M16" s="1" t="n">
        <v>-1.05</v>
      </c>
      <c r="N16" s="0" t="n">
        <v>8.79</v>
      </c>
      <c r="O16" s="0" t="n">
        <v>-1.05</v>
      </c>
    </row>
    <row r="17" customFormat="false" ht="15" hidden="false" customHeight="false" outlineLevel="0" collapsed="false">
      <c r="D17" s="0" t="n">
        <v>1</v>
      </c>
      <c r="E17" s="0" t="n">
        <v>1.65</v>
      </c>
      <c r="F17" s="0" t="n">
        <v>-8.15</v>
      </c>
      <c r="G17" s="0" t="n">
        <v>-1.35</v>
      </c>
      <c r="H17" s="1" t="n">
        <v>0</v>
      </c>
      <c r="I17" s="1" t="n">
        <v>-1.35</v>
      </c>
      <c r="J17" s="0" t="n">
        <v>0</v>
      </c>
      <c r="K17" s="0" t="n">
        <v>-1.35</v>
      </c>
      <c r="L17" s="1" t="n">
        <v>0</v>
      </c>
      <c r="M17" s="1" t="n">
        <v>-1.35</v>
      </c>
      <c r="N17" s="0" t="n">
        <v>8.49</v>
      </c>
      <c r="O17" s="0" t="n">
        <v>-1.35</v>
      </c>
    </row>
    <row r="18" customFormat="false" ht="15" hidden="false" customHeight="false" outlineLevel="0" collapsed="false">
      <c r="A18" s="1" t="n">
        <v>5</v>
      </c>
      <c r="B18" s="1" t="s">
        <v>21</v>
      </c>
      <c r="C18" s="0" t="n">
        <v>474.75</v>
      </c>
      <c r="D18" s="0" t="n">
        <v>4</v>
      </c>
      <c r="E18" s="0" t="n">
        <v>5.64</v>
      </c>
      <c r="F18" s="0" t="n">
        <v>-9.57</v>
      </c>
      <c r="G18" s="0" t="n">
        <v>-0.45</v>
      </c>
      <c r="H18" s="1" t="n">
        <v>0</v>
      </c>
      <c r="I18" s="1" t="n">
        <v>-0.45</v>
      </c>
      <c r="J18" s="0" t="n">
        <v>0</v>
      </c>
      <c r="K18" s="0" t="n">
        <v>-0.45</v>
      </c>
      <c r="L18" s="1" t="n">
        <v>0</v>
      </c>
      <c r="M18" s="1" t="n">
        <v>-0.45</v>
      </c>
      <c r="N18" s="0" t="n">
        <v>9.52</v>
      </c>
      <c r="O18" s="0" t="n">
        <v>-0.45</v>
      </c>
      <c r="P18" s="0" t="n">
        <v>18.08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5.46</v>
      </c>
      <c r="F19" s="0" t="n">
        <v>-9.27</v>
      </c>
      <c r="G19" s="0" t="n">
        <v>-0.75</v>
      </c>
      <c r="H19" s="1" t="n">
        <v>0</v>
      </c>
      <c r="I19" s="1" t="n">
        <v>-0.75</v>
      </c>
      <c r="J19" s="0" t="n">
        <v>0</v>
      </c>
      <c r="K19" s="0" t="n">
        <v>-0.75</v>
      </c>
      <c r="L19" s="1" t="n">
        <v>0</v>
      </c>
      <c r="M19" s="1" t="n">
        <v>-0.75</v>
      </c>
      <c r="N19" s="0" t="n">
        <v>9.22</v>
      </c>
      <c r="O19" s="0" t="n">
        <v>-0.75</v>
      </c>
    </row>
    <row r="20" customFormat="false" ht="15" hidden="false" customHeight="false" outlineLevel="0" collapsed="false">
      <c r="D20" s="0" t="n">
        <v>2</v>
      </c>
      <c r="E20" s="0" t="n">
        <v>5.28</v>
      </c>
      <c r="F20" s="0" t="n">
        <v>-8.97</v>
      </c>
      <c r="G20" s="0" t="n">
        <v>-1.05</v>
      </c>
      <c r="H20" s="1" t="n">
        <v>0</v>
      </c>
      <c r="I20" s="1" t="n">
        <v>-1.05</v>
      </c>
      <c r="J20" s="0" t="n">
        <v>0</v>
      </c>
      <c r="K20" s="0" t="n">
        <v>-1.05</v>
      </c>
      <c r="L20" s="1" t="n">
        <v>0</v>
      </c>
      <c r="M20" s="1" t="n">
        <v>-1.05</v>
      </c>
      <c r="N20" s="0" t="n">
        <v>8.92</v>
      </c>
      <c r="O20" s="0" t="n">
        <v>-1.05</v>
      </c>
    </row>
    <row r="21" customFormat="false" ht="15" hidden="false" customHeight="false" outlineLevel="0" collapsed="false">
      <c r="D21" s="0" t="n">
        <v>1</v>
      </c>
      <c r="E21" s="0" t="n">
        <v>1.72</v>
      </c>
      <c r="F21" s="0" t="n">
        <v>-8.67</v>
      </c>
      <c r="G21" s="0" t="n">
        <v>-1.35</v>
      </c>
      <c r="H21" s="1" t="n">
        <v>0</v>
      </c>
      <c r="I21" s="1" t="n">
        <v>-1.35</v>
      </c>
      <c r="J21" s="0" t="n">
        <v>0</v>
      </c>
      <c r="K21" s="0" t="n">
        <v>-1.35</v>
      </c>
      <c r="L21" s="1" t="n">
        <v>0</v>
      </c>
      <c r="M21" s="1" t="n">
        <v>-1.35</v>
      </c>
      <c r="N21" s="0" t="n">
        <v>8.62</v>
      </c>
      <c r="O21" s="0" t="n">
        <v>-1.35</v>
      </c>
    </row>
    <row r="22" customFormat="false" ht="15" hidden="false" customHeight="false" outlineLevel="0" collapsed="false">
      <c r="A22" s="1" t="n">
        <v>6</v>
      </c>
      <c r="B22" s="1" t="s">
        <v>22</v>
      </c>
      <c r="C22" s="0" t="n">
        <v>489.19</v>
      </c>
      <c r="D22" s="0" t="n">
        <v>4</v>
      </c>
      <c r="E22" s="0" t="n">
        <v>4.62</v>
      </c>
      <c r="F22" s="0" t="n">
        <v>-9.45</v>
      </c>
      <c r="G22" s="0" t="n">
        <v>-0.45</v>
      </c>
      <c r="H22" s="1" t="n">
        <v>0</v>
      </c>
      <c r="I22" s="1" t="n">
        <v>-0.45</v>
      </c>
      <c r="J22" s="0" t="n">
        <v>0</v>
      </c>
      <c r="K22" s="0" t="n">
        <v>-0.45</v>
      </c>
      <c r="L22" s="1" t="n">
        <v>0</v>
      </c>
      <c r="M22" s="1" t="n">
        <v>-0.45</v>
      </c>
      <c r="N22" s="0" t="n">
        <v>6.25</v>
      </c>
      <c r="O22" s="0" t="n">
        <v>-0.45</v>
      </c>
      <c r="P22" s="0" t="n">
        <v>14.7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4.44</v>
      </c>
      <c r="F23" s="0" t="n">
        <v>-9.15</v>
      </c>
      <c r="G23" s="0" t="n">
        <v>-0.75</v>
      </c>
      <c r="H23" s="1" t="n">
        <v>0</v>
      </c>
      <c r="I23" s="1" t="n">
        <v>-0.75</v>
      </c>
      <c r="J23" s="0" t="n">
        <v>0</v>
      </c>
      <c r="K23" s="0" t="n">
        <v>-0.75</v>
      </c>
      <c r="L23" s="1" t="n">
        <v>0</v>
      </c>
      <c r="M23" s="1" t="n">
        <v>-0.75</v>
      </c>
      <c r="N23" s="0" t="n">
        <v>5.95</v>
      </c>
      <c r="O23" s="0" t="n">
        <v>-0.75</v>
      </c>
    </row>
    <row r="24" customFormat="false" ht="15" hidden="false" customHeight="false" outlineLevel="0" collapsed="false">
      <c r="D24" s="0" t="n">
        <v>2</v>
      </c>
      <c r="E24" s="0" t="n">
        <v>4.26</v>
      </c>
      <c r="F24" s="0" t="n">
        <v>-8.85</v>
      </c>
      <c r="G24" s="0" t="n">
        <v>-1.05</v>
      </c>
      <c r="H24" s="1" t="n">
        <v>0</v>
      </c>
      <c r="I24" s="1" t="n">
        <v>-1.05</v>
      </c>
      <c r="J24" s="0" t="n">
        <v>0</v>
      </c>
      <c r="K24" s="0" t="n">
        <v>-1.05</v>
      </c>
      <c r="L24" s="1" t="n">
        <v>0</v>
      </c>
      <c r="M24" s="1" t="n">
        <v>-1.05</v>
      </c>
      <c r="N24" s="0" t="n">
        <v>5.65</v>
      </c>
      <c r="O24" s="0" t="n">
        <v>-1.05</v>
      </c>
    </row>
    <row r="25" customFormat="false" ht="15" hidden="false" customHeight="false" outlineLevel="0" collapsed="false">
      <c r="D25" s="0" t="n">
        <v>1</v>
      </c>
      <c r="E25" s="0" t="n">
        <v>1.38</v>
      </c>
      <c r="F25" s="0" t="n">
        <v>-8.55</v>
      </c>
      <c r="G25" s="0" t="n">
        <v>-1.35</v>
      </c>
      <c r="H25" s="1" t="n">
        <v>0</v>
      </c>
      <c r="I25" s="1" t="n">
        <v>-1.35</v>
      </c>
      <c r="J25" s="0" t="n">
        <v>0</v>
      </c>
      <c r="K25" s="0" t="n">
        <v>-1.35</v>
      </c>
      <c r="L25" s="1" t="n">
        <v>0</v>
      </c>
      <c r="M25" s="1" t="n">
        <v>-1.35</v>
      </c>
      <c r="N25" s="0" t="n">
        <v>5.35</v>
      </c>
      <c r="O25" s="0" t="n">
        <v>-1.35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3" colorId="64" zoomScale="55" zoomScaleNormal="55" zoomScalePageLayoutView="100" workbookViewId="0">
      <selection pane="topLeft" activeCell="K46" activeCellId="0" sqref="K4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7.42"/>
    <col collapsed="false" customWidth="true" hidden="false" outlineLevel="0" max="3" min="3" style="1" width="17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32.NĐXD8/CVXD ngày 31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32</v>
      </c>
    </row>
    <row r="3" customFormat="false" ht="18.75" hidden="false" customHeight="true" outlineLevel="0" collapsed="false">
      <c r="A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27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28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29</v>
      </c>
      <c r="C7" s="8"/>
      <c r="D7" s="8"/>
      <c r="E7" s="8"/>
      <c r="F7" s="8"/>
      <c r="G7" s="8" t="str">
        <f>VLOOKUP(AZ2,'[1]Tuyến XD8'!$A$2:$B$60,2,0)</f>
        <v xml:space="preserve">Đắp cát nền đường lớp 1 đoạn từ Km0+394,75 - Km0+489,19,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19" customFormat="false" ht="8.25" hidden="false" customHeight="true" outlineLevel="0" collapsed="false"/>
    <row r="21" customFormat="false" ht="15" hidden="false" customHeight="true" outlineLevel="0" collapsed="false">
      <c r="A21" s="10" t="s">
        <v>32</v>
      </c>
      <c r="B21" s="10" t="s">
        <v>33</v>
      </c>
      <c r="C21" s="10" t="s">
        <v>34</v>
      </c>
      <c r="D21" s="11" t="s">
        <v>35</v>
      </c>
      <c r="E21" s="11"/>
      <c r="F21" s="11"/>
      <c r="G21" s="11"/>
      <c r="H21" s="11"/>
      <c r="I21" s="11"/>
      <c r="J21" s="11" t="s">
        <v>36</v>
      </c>
      <c r="K21" s="11"/>
      <c r="L21" s="11"/>
      <c r="M21" s="11" t="s">
        <v>37</v>
      </c>
      <c r="N21" s="11"/>
      <c r="O21" s="11"/>
      <c r="P21" s="11"/>
      <c r="Q21" s="11"/>
      <c r="R21" s="11"/>
      <c r="S21" s="10" t="s">
        <v>38</v>
      </c>
    </row>
    <row r="22" customFormat="false" ht="30" hidden="false" customHeight="true" outlineLevel="0" collapsed="false">
      <c r="A22" s="10"/>
      <c r="B22" s="10"/>
      <c r="C22" s="10"/>
      <c r="D22" s="12" t="s">
        <v>39</v>
      </c>
      <c r="E22" s="12" t="s">
        <v>40</v>
      </c>
      <c r="F22" s="12" t="s">
        <v>41</v>
      </c>
      <c r="G22" s="12" t="s">
        <v>42</v>
      </c>
      <c r="H22" s="12" t="s">
        <v>43</v>
      </c>
      <c r="I22" s="12" t="s">
        <v>44</v>
      </c>
      <c r="J22" s="12" t="s">
        <v>42</v>
      </c>
      <c r="K22" s="12" t="s">
        <v>43</v>
      </c>
      <c r="L22" s="12" t="s">
        <v>44</v>
      </c>
      <c r="M22" s="12" t="s">
        <v>39</v>
      </c>
      <c r="N22" s="12" t="s">
        <v>40</v>
      </c>
      <c r="O22" s="12" t="s">
        <v>41</v>
      </c>
      <c r="P22" s="12" t="s">
        <v>42</v>
      </c>
      <c r="Q22" s="12" t="s">
        <v>43</v>
      </c>
      <c r="R22" s="12" t="s">
        <v>44</v>
      </c>
      <c r="S22" s="10"/>
      <c r="T22" s="13"/>
    </row>
    <row r="23" customFormat="false" ht="15" hidden="false" customHeight="false" outlineLevel="0" collapsed="false">
      <c r="A23" s="14" t="n">
        <v>1</v>
      </c>
      <c r="B23" s="15" t="s">
        <v>17</v>
      </c>
      <c r="C23" s="16" t="n">
        <v>394.75</v>
      </c>
      <c r="D23" s="17" t="n">
        <f aca="false">+Chạy!F5</f>
        <v>-8.96</v>
      </c>
      <c r="E23" s="17" t="n">
        <f aca="false">+D23+F23</f>
        <v>-8.9661</v>
      </c>
      <c r="F23" s="17" t="n">
        <f aca="false">RANDBETWEEN(-105,115)/10000</f>
        <v>-0.0061</v>
      </c>
      <c r="G23" s="17" t="n">
        <f aca="false">+Chạy!G5</f>
        <v>-1.35</v>
      </c>
      <c r="H23" s="17" t="n">
        <f aca="false">G23+I23</f>
        <v>-1.325</v>
      </c>
      <c r="I23" s="17" t="n">
        <f aca="false">RANDBETWEEN(-30,90)/1000</f>
        <v>0.025</v>
      </c>
      <c r="J23" s="17" t="n">
        <f aca="false">+Chạy!K5</f>
        <v>-1.35</v>
      </c>
      <c r="K23" s="17" t="n">
        <f aca="false">J23+L23</f>
        <v>-1.268</v>
      </c>
      <c r="L23" s="17" t="n">
        <f aca="false">RANDBETWEEN(-30,90)/1000</f>
        <v>0.082</v>
      </c>
      <c r="M23" s="17" t="n">
        <f aca="false">+Chạy!N5</f>
        <v>9.09</v>
      </c>
      <c r="N23" s="17" t="n">
        <f aca="false">+M23+O23</f>
        <v>9.1006</v>
      </c>
      <c r="O23" s="17" t="n">
        <f aca="false">RANDBETWEEN(-105,115)/10000</f>
        <v>0.0106</v>
      </c>
      <c r="P23" s="17" t="n">
        <f aca="false">+Chạy!O5</f>
        <v>-1.35</v>
      </c>
      <c r="Q23" s="17" t="n">
        <f aca="false">P23+R23</f>
        <v>-1.334</v>
      </c>
      <c r="R23" s="17" t="n">
        <f aca="false">RANDBETWEEN(-30,90)/1000</f>
        <v>0.016</v>
      </c>
      <c r="S23" s="18"/>
      <c r="T23" s="19" t="n">
        <v>20</v>
      </c>
    </row>
    <row r="24" customFormat="false" ht="15" hidden="false" customHeight="false" outlineLevel="0" collapsed="false">
      <c r="A24" s="14" t="n">
        <v>2</v>
      </c>
      <c r="B24" s="15" t="s">
        <v>18</v>
      </c>
      <c r="C24" s="16" t="n">
        <f aca="false">+C23+T23</f>
        <v>414.75</v>
      </c>
      <c r="D24" s="17" t="n">
        <f aca="false">+Chạy!F9</f>
        <v>-9.01</v>
      </c>
      <c r="E24" s="17" t="n">
        <f aca="false">+D24+F24</f>
        <v>-9.0149</v>
      </c>
      <c r="F24" s="17" t="n">
        <f aca="false">RANDBETWEEN(-105,115)/10000</f>
        <v>-0.0049</v>
      </c>
      <c r="G24" s="17" t="n">
        <f aca="false">+Chạy!G9</f>
        <v>-1.35</v>
      </c>
      <c r="H24" s="17" t="n">
        <f aca="false">G24+I24</f>
        <v>-1.295</v>
      </c>
      <c r="I24" s="17" t="n">
        <f aca="false">RANDBETWEEN(-30,90)/1000</f>
        <v>0.055</v>
      </c>
      <c r="J24" s="17" t="n">
        <f aca="false">+Chạy!K9</f>
        <v>-1.35</v>
      </c>
      <c r="K24" s="17" t="n">
        <f aca="false">J24+L24</f>
        <v>-1.277</v>
      </c>
      <c r="L24" s="17" t="n">
        <f aca="false">RANDBETWEEN(-30,90)/1000</f>
        <v>0.073</v>
      </c>
      <c r="M24" s="17" t="n">
        <f aca="false">+Chạy!N9</f>
        <v>9.15</v>
      </c>
      <c r="N24" s="17" t="n">
        <f aca="false">+M24+O24</f>
        <v>9.1582</v>
      </c>
      <c r="O24" s="17" t="n">
        <f aca="false">RANDBETWEEN(-105,115)/10000</f>
        <v>0.0082</v>
      </c>
      <c r="P24" s="17" t="n">
        <f aca="false">+Chạy!O9</f>
        <v>-1.35</v>
      </c>
      <c r="Q24" s="17" t="n">
        <f aca="false">P24+R24</f>
        <v>-1.368</v>
      </c>
      <c r="R24" s="17" t="n">
        <f aca="false">RANDBETWEEN(-30,90)/1000</f>
        <v>-0.018</v>
      </c>
      <c r="S24" s="18"/>
      <c r="T24" s="19" t="n">
        <v>20</v>
      </c>
    </row>
    <row r="25" customFormat="false" ht="15" hidden="false" customHeight="false" outlineLevel="0" collapsed="false">
      <c r="A25" s="14" t="n">
        <v>3</v>
      </c>
      <c r="B25" s="15" t="s">
        <v>19</v>
      </c>
      <c r="C25" s="16" t="n">
        <f aca="false">+C24+T24</f>
        <v>434.75</v>
      </c>
      <c r="D25" s="17" t="n">
        <f aca="false">+Chạy!F13</f>
        <v>-8.94</v>
      </c>
      <c r="E25" s="17" t="n">
        <f aca="false">+D25+F25</f>
        <v>-8.9365</v>
      </c>
      <c r="F25" s="17" t="n">
        <f aca="false">RANDBETWEEN(-105,115)/10000</f>
        <v>0.0035</v>
      </c>
      <c r="G25" s="17" t="n">
        <f aca="false">+Chạy!G13</f>
        <v>-1.35</v>
      </c>
      <c r="H25" s="17" t="n">
        <f aca="false">G25+I25</f>
        <v>-1.377</v>
      </c>
      <c r="I25" s="17" t="n">
        <f aca="false">RANDBETWEEN(-30,90)/1000</f>
        <v>-0.027</v>
      </c>
      <c r="J25" s="17" t="n">
        <f aca="false">+Chạy!K13</f>
        <v>-1.35</v>
      </c>
      <c r="K25" s="17" t="n">
        <f aca="false">J25+L25</f>
        <v>-1.314</v>
      </c>
      <c r="L25" s="17" t="n">
        <f aca="false">RANDBETWEEN(-30,90)/1000</f>
        <v>0.036</v>
      </c>
      <c r="M25" s="17" t="n">
        <f aca="false">+Chạy!N13</f>
        <v>8.86</v>
      </c>
      <c r="N25" s="17" t="n">
        <f aca="false">+M25+O25</f>
        <v>8.8665</v>
      </c>
      <c r="O25" s="17" t="n">
        <f aca="false">RANDBETWEEN(-105,115)/10000</f>
        <v>0.0065</v>
      </c>
      <c r="P25" s="17" t="n">
        <f aca="false">+Chạy!O13</f>
        <v>-1.35</v>
      </c>
      <c r="Q25" s="17" t="n">
        <f aca="false">P25+R25</f>
        <v>-1.38</v>
      </c>
      <c r="R25" s="17" t="n">
        <f aca="false">RANDBETWEEN(-30,90)/1000</f>
        <v>-0.03</v>
      </c>
      <c r="S25" s="18"/>
      <c r="T25" s="19" t="n">
        <v>20</v>
      </c>
    </row>
    <row r="26" customFormat="false" ht="15" hidden="false" customHeight="false" outlineLevel="0" collapsed="false">
      <c r="A26" s="14" t="n">
        <v>4</v>
      </c>
      <c r="B26" s="15" t="s">
        <v>20</v>
      </c>
      <c r="C26" s="16" t="n">
        <f aca="false">+C25+T25</f>
        <v>454.75</v>
      </c>
      <c r="D26" s="17" t="n">
        <f aca="false">+Chạy!F17</f>
        <v>-8.15</v>
      </c>
      <c r="E26" s="17" t="n">
        <f aca="false">+D26+F26</f>
        <v>-8.1501</v>
      </c>
      <c r="F26" s="17" t="n">
        <f aca="false">RANDBETWEEN(-105,115)/10000</f>
        <v>-0.0001</v>
      </c>
      <c r="G26" s="17" t="n">
        <f aca="false">+Chạy!G17</f>
        <v>-1.35</v>
      </c>
      <c r="H26" s="17" t="n">
        <f aca="false">G26+I26</f>
        <v>-1.266</v>
      </c>
      <c r="I26" s="17" t="n">
        <f aca="false">RANDBETWEEN(-30,90)/1000</f>
        <v>0.084</v>
      </c>
      <c r="J26" s="17" t="n">
        <f aca="false">+Chạy!K17</f>
        <v>-1.35</v>
      </c>
      <c r="K26" s="17" t="n">
        <f aca="false">J26+L26</f>
        <v>-1.301</v>
      </c>
      <c r="L26" s="17" t="n">
        <f aca="false">RANDBETWEEN(-30,90)/1000</f>
        <v>0.049</v>
      </c>
      <c r="M26" s="17" t="n">
        <f aca="false">+Chạy!N17</f>
        <v>8.49</v>
      </c>
      <c r="N26" s="17" t="n">
        <f aca="false">+M26+O26</f>
        <v>8.4978</v>
      </c>
      <c r="O26" s="17" t="n">
        <f aca="false">RANDBETWEEN(-105,115)/10000</f>
        <v>0.0078</v>
      </c>
      <c r="P26" s="17" t="n">
        <f aca="false">+Chạy!O17</f>
        <v>-1.35</v>
      </c>
      <c r="Q26" s="17" t="n">
        <f aca="false">P26+R26</f>
        <v>-1.33</v>
      </c>
      <c r="R26" s="17" t="n">
        <f aca="false">RANDBETWEEN(-30,90)/1000</f>
        <v>0.02</v>
      </c>
      <c r="S26" s="18"/>
      <c r="T26" s="19" t="n">
        <v>20</v>
      </c>
    </row>
    <row r="27" customFormat="false" ht="15" hidden="false" customHeight="false" outlineLevel="0" collapsed="false">
      <c r="A27" s="14" t="n">
        <v>5</v>
      </c>
      <c r="B27" s="15" t="s">
        <v>21</v>
      </c>
      <c r="C27" s="16" t="n">
        <f aca="false">+C26+T26</f>
        <v>474.75</v>
      </c>
      <c r="D27" s="17" t="n">
        <f aca="false">+Chạy!F21</f>
        <v>-8.67</v>
      </c>
      <c r="E27" s="17" t="n">
        <f aca="false">+D27+F27</f>
        <v>-8.6753</v>
      </c>
      <c r="F27" s="17" t="n">
        <f aca="false">RANDBETWEEN(-105,115)/10000</f>
        <v>-0.0053</v>
      </c>
      <c r="G27" s="17" t="n">
        <f aca="false">+Chạy!G21</f>
        <v>-1.35</v>
      </c>
      <c r="H27" s="17" t="n">
        <f aca="false">G27+I27</f>
        <v>-1.363</v>
      </c>
      <c r="I27" s="17" t="n">
        <f aca="false">RANDBETWEEN(-30,90)/1000</f>
        <v>-0.013</v>
      </c>
      <c r="J27" s="17" t="n">
        <f aca="false">+Chạy!K21</f>
        <v>-1.35</v>
      </c>
      <c r="K27" s="17" t="n">
        <f aca="false">J27+L27</f>
        <v>-1.321</v>
      </c>
      <c r="L27" s="17" t="n">
        <f aca="false">RANDBETWEEN(-30,90)/1000</f>
        <v>0.029</v>
      </c>
      <c r="M27" s="17" t="n">
        <f aca="false">+Chạy!N21</f>
        <v>8.62</v>
      </c>
      <c r="N27" s="17" t="n">
        <f aca="false">+M27+O27</f>
        <v>8.6124</v>
      </c>
      <c r="O27" s="17" t="n">
        <f aca="false">RANDBETWEEN(-105,115)/10000</f>
        <v>-0.0076</v>
      </c>
      <c r="P27" s="17" t="n">
        <f aca="false">+Chạy!O21</f>
        <v>-1.35</v>
      </c>
      <c r="Q27" s="17" t="n">
        <f aca="false">P27+R27</f>
        <v>-1.33</v>
      </c>
      <c r="R27" s="17" t="n">
        <f aca="false">RANDBETWEEN(-30,90)/1000</f>
        <v>0.02</v>
      </c>
      <c r="S27" s="18"/>
      <c r="T27" s="19" t="n">
        <v>14.44</v>
      </c>
    </row>
    <row r="28" customFormat="false" ht="15" hidden="false" customHeight="false" outlineLevel="0" collapsed="false">
      <c r="A28" s="14" t="n">
        <v>6</v>
      </c>
      <c r="B28" s="15" t="s">
        <v>22</v>
      </c>
      <c r="C28" s="16" t="n">
        <f aca="false">+C27+T27</f>
        <v>489.19</v>
      </c>
      <c r="D28" s="17" t="n">
        <f aca="false">+Chạy!F25</f>
        <v>-8.55</v>
      </c>
      <c r="E28" s="17" t="n">
        <f aca="false">+D28+F28</f>
        <v>-8.5394</v>
      </c>
      <c r="F28" s="17" t="n">
        <f aca="false">RANDBETWEEN(-105,115)/10000</f>
        <v>0.0106</v>
      </c>
      <c r="G28" s="17" t="n">
        <f aca="false">+Chạy!G25</f>
        <v>-1.35</v>
      </c>
      <c r="H28" s="17" t="n">
        <f aca="false">G28+I28</f>
        <v>-1.36</v>
      </c>
      <c r="I28" s="17" t="n">
        <f aca="false">RANDBETWEEN(-30,90)/1000</f>
        <v>-0.01</v>
      </c>
      <c r="J28" s="17" t="n">
        <f aca="false">+Chạy!K25</f>
        <v>-1.35</v>
      </c>
      <c r="K28" s="17" t="n">
        <f aca="false">J28+L28</f>
        <v>-1.314</v>
      </c>
      <c r="L28" s="17" t="n">
        <f aca="false">RANDBETWEEN(-30,90)/1000</f>
        <v>0.036</v>
      </c>
      <c r="M28" s="17" t="n">
        <f aca="false">+Chạy!N25</f>
        <v>5.35</v>
      </c>
      <c r="N28" s="17" t="n">
        <f aca="false">+M28+O28</f>
        <v>5.3572</v>
      </c>
      <c r="O28" s="17" t="n">
        <f aca="false">RANDBETWEEN(-105,115)/10000</f>
        <v>0.0072</v>
      </c>
      <c r="P28" s="17" t="n">
        <f aca="false">+Chạy!O25</f>
        <v>-1.35</v>
      </c>
      <c r="Q28" s="17" t="n">
        <f aca="false">P28+R28</f>
        <v>-1.264</v>
      </c>
      <c r="R28" s="17" t="n">
        <f aca="false">RANDBETWEEN(-30,90)/1000</f>
        <v>0.086</v>
      </c>
      <c r="S28" s="18"/>
      <c r="T28" s="19"/>
    </row>
    <row r="29" customFormat="false" ht="15" hidden="true" customHeight="false" outlineLevel="0" collapsed="false">
      <c r="A29" s="14"/>
      <c r="B29" s="15"/>
      <c r="C29" s="16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8"/>
      <c r="T29" s="19"/>
    </row>
    <row r="30" customFormat="false" ht="15" hidden="true" customHeight="false" outlineLevel="0" collapsed="false">
      <c r="A30" s="14"/>
      <c r="B30" s="15"/>
      <c r="C30" s="16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8"/>
      <c r="T30" s="19"/>
    </row>
    <row r="31" customFormat="false" ht="15" hidden="true" customHeight="false" outlineLevel="0" collapsed="false">
      <c r="A31" s="14"/>
      <c r="B31" s="15"/>
      <c r="C31" s="16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  <c r="T31" s="19"/>
    </row>
    <row r="32" customFormat="false" ht="15" hidden="true" customHeight="false" outlineLevel="0" collapsed="false">
      <c r="A32" s="14"/>
      <c r="B32" s="15"/>
      <c r="C32" s="16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  <c r="T32" s="19"/>
    </row>
    <row r="33" customFormat="false" ht="15" hidden="true" customHeight="false" outlineLevel="0" collapsed="false">
      <c r="A33" s="14"/>
      <c r="B33" s="15"/>
      <c r="C33" s="16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  <c r="T33" s="19"/>
    </row>
    <row r="34" customFormat="false" ht="15" hidden="true" customHeight="false" outlineLevel="0" collapsed="false">
      <c r="A34" s="14"/>
      <c r="B34" s="15"/>
      <c r="C34" s="16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  <c r="T34" s="19"/>
    </row>
    <row r="35" customFormat="false" ht="15" hidden="true" customHeight="false" outlineLevel="0" collapsed="false">
      <c r="A35" s="14"/>
      <c r="B35" s="15"/>
      <c r="C35" s="16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  <c r="T35" s="19"/>
    </row>
    <row r="36" customFormat="false" ht="15" hidden="true" customHeight="false" outlineLevel="0" collapsed="false">
      <c r="A36" s="14"/>
      <c r="B36" s="15"/>
      <c r="C36" s="16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  <c r="T36" s="19"/>
    </row>
    <row r="37" customFormat="false" ht="15" hidden="true" customHeight="false" outlineLevel="0" collapsed="false">
      <c r="A37" s="14"/>
      <c r="B37" s="15"/>
      <c r="C37" s="16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  <c r="T37" s="19"/>
    </row>
    <row r="38" customFormat="false" ht="15" hidden="true" customHeight="false" outlineLevel="0" collapsed="false">
      <c r="A38" s="14"/>
      <c r="B38" s="15"/>
      <c r="C38" s="16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  <c r="T38" s="19"/>
    </row>
    <row r="39" customFormat="false" ht="15" hidden="true" customHeight="false" outlineLevel="0" collapsed="false">
      <c r="A39" s="14"/>
      <c r="B39" s="15"/>
      <c r="C39" s="16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  <c r="T39" s="19"/>
    </row>
    <row r="40" customFormat="false" ht="15" hidden="true" customHeight="false" outlineLevel="0" collapsed="false">
      <c r="A40" s="14"/>
      <c r="B40" s="15"/>
      <c r="C40" s="16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  <c r="T40" s="19"/>
    </row>
    <row r="41" customFormat="false" ht="15" hidden="true" customHeight="false" outlineLevel="0" collapsed="false">
      <c r="A41" s="14"/>
      <c r="B41" s="15"/>
      <c r="C41" s="16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  <c r="T41" s="19"/>
    </row>
    <row r="42" customFormat="false" ht="15" hidden="true" customHeight="false" outlineLevel="0" collapsed="false">
      <c r="A42" s="14"/>
      <c r="B42" s="15"/>
      <c r="C42" s="16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  <c r="T42" s="19"/>
    </row>
    <row r="43" customFormat="false" ht="15" hidden="true" customHeight="false" outlineLevel="0" collapsed="false">
      <c r="A43" s="14"/>
      <c r="B43" s="15"/>
      <c r="C43" s="16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  <c r="T43" s="19"/>
    </row>
    <row r="44" customFormat="false" ht="15" hidden="true" customHeight="false" outlineLevel="0" collapsed="false">
      <c r="A44" s="14"/>
      <c r="B44" s="15"/>
      <c r="C44" s="16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  <c r="T44" s="19"/>
    </row>
    <row r="45" customFormat="false" ht="15" hidden="true" customHeight="false" outlineLevel="0" collapsed="false">
      <c r="A45" s="14"/>
      <c r="B45" s="15"/>
      <c r="C45" s="16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  <c r="T45" s="19"/>
    </row>
    <row r="46" customFormat="false" ht="15" hidden="true" customHeight="false" outlineLevel="0" collapsed="false">
      <c r="A46" s="14"/>
      <c r="B46" s="15"/>
      <c r="C46" s="16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  <c r="T46" s="19"/>
    </row>
    <row r="47" customFormat="false" ht="15" hidden="true" customHeight="false" outlineLevel="0" collapsed="false">
      <c r="A47" s="14"/>
      <c r="B47" s="15"/>
      <c r="C47" s="1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  <c r="T47" s="19"/>
    </row>
    <row r="48" customFormat="false" ht="15" hidden="true" customHeight="false" outlineLevel="0" collapsed="false">
      <c r="A48" s="14"/>
      <c r="B48" s="15"/>
      <c r="C48" s="1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  <c r="T48" s="19"/>
    </row>
    <row r="49" customFormat="false" ht="15" hidden="true" customHeight="false" outlineLevel="0" collapsed="false">
      <c r="A49" s="14"/>
      <c r="B49" s="15"/>
      <c r="C49" s="1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  <c r="T49" s="19"/>
    </row>
    <row r="50" customFormat="false" ht="15" hidden="true" customHeight="false" outlineLevel="0" collapsed="false">
      <c r="A50" s="14"/>
      <c r="B50" s="15"/>
      <c r="C50" s="16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  <c r="T50" s="19"/>
    </row>
    <row r="51" customFormat="false" ht="15" hidden="true" customHeight="false" outlineLevel="0" collapsed="false">
      <c r="A51" s="14"/>
      <c r="B51" s="15"/>
      <c r="C51" s="16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  <c r="T51" s="19"/>
    </row>
    <row r="52" customFormat="false" ht="15" hidden="true" customHeight="false" outlineLevel="0" collapsed="false">
      <c r="A52" s="14"/>
      <c r="B52" s="15"/>
      <c r="C52" s="16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  <c r="T52" s="19"/>
    </row>
    <row r="53" customFormat="false" ht="15" hidden="true" customHeight="false" outlineLevel="0" collapsed="false">
      <c r="A53" s="14"/>
      <c r="B53" s="15"/>
      <c r="C53" s="16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  <c r="T53" s="19"/>
    </row>
    <row r="54" customFormat="false" ht="15" hidden="true" customHeight="false" outlineLevel="0" collapsed="false">
      <c r="A54" s="14"/>
      <c r="B54" s="15"/>
      <c r="C54" s="16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  <c r="T54" s="19"/>
    </row>
    <row r="55" customFormat="false" ht="15" hidden="true" customHeight="false" outlineLevel="0" collapsed="false">
      <c r="A55" s="14"/>
      <c r="B55" s="15"/>
      <c r="C55" s="16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  <c r="T55" s="19"/>
    </row>
    <row r="56" customFormat="false" ht="15" hidden="true" customHeight="false" outlineLevel="0" collapsed="false">
      <c r="A56" s="14"/>
      <c r="B56" s="15"/>
      <c r="C56" s="16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  <c r="T56" s="19"/>
    </row>
    <row r="57" customFormat="false" ht="15" hidden="true" customHeight="false" outlineLevel="0" collapsed="false">
      <c r="A57" s="14"/>
      <c r="B57" s="15"/>
      <c r="C57" s="16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  <c r="T57" s="19"/>
    </row>
    <row r="58" customFormat="false" ht="15" hidden="true" customHeight="false" outlineLevel="0" collapsed="false">
      <c r="A58" s="14"/>
      <c r="B58" s="15"/>
      <c r="C58" s="16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  <c r="T58" s="19"/>
    </row>
    <row r="59" customFormat="false" ht="15" hidden="true" customHeight="false" outlineLevel="0" collapsed="false">
      <c r="A59" s="14"/>
      <c r="B59" s="15"/>
      <c r="C59" s="16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  <c r="T59" s="19"/>
    </row>
    <row r="60" customFormat="false" ht="15" hidden="true" customHeight="false" outlineLevel="0" collapsed="false">
      <c r="A60" s="14"/>
      <c r="B60" s="15"/>
      <c r="C60" s="16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  <c r="T60" s="19"/>
    </row>
    <row r="61" customFormat="false" ht="15" hidden="true" customHeight="false" outlineLevel="0" collapsed="false">
      <c r="A61" s="14"/>
      <c r="B61" s="15"/>
      <c r="C61" s="16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  <c r="T61" s="19"/>
    </row>
    <row r="62" customFormat="false" ht="15" hidden="true" customHeight="false" outlineLevel="0" collapsed="false">
      <c r="A62" s="14"/>
      <c r="B62" s="15"/>
      <c r="C62" s="16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  <c r="T62" s="19"/>
    </row>
    <row r="64" customFormat="false" ht="15" hidden="false" customHeight="false" outlineLevel="0" collapsed="false">
      <c r="C64" s="20" t="s">
        <v>45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46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47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48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472222222222222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20" activeCellId="0" sqref="O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10.29"/>
    <col collapsed="false" customWidth="false" hidden="false" outlineLevel="0" max="33" min="33" style="23" width="9.29"/>
    <col collapsed="false" customWidth="true" hidden="false" outlineLevel="0" max="34" min="34" style="23" width="11.85"/>
    <col collapsed="false" customWidth="false" hidden="false" outlineLevel="0" max="16384" min="35" style="23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32.NĐXD8/CVXD ngày 31 tháng 08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D2" s="6"/>
      <c r="AE2" s="7"/>
      <c r="AZ2">
        <v>32</v>
      </c>
    </row>
    <row r="3" s="30" customFormat="true" ht="37.5" hidden="false" customHeight="true" outlineLevel="0" collapsed="false">
      <c r="A3" s="28" t="s">
        <v>25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26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28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29</v>
      </c>
      <c r="B7" s="32"/>
      <c r="D7" s="33" t="str">
        <f>VLOOKUP(AZ2,'[1]Tuyến XD8'!$A$2:$B$60,2,0)</f>
        <v xml:space="preserve">Đắp cát nền đường lớp 1 đoạn từ Km0+394,75 - Km0+489,19,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33</v>
      </c>
      <c r="C9" s="35" t="s">
        <v>34</v>
      </c>
      <c r="D9" s="36" t="s">
        <v>50</v>
      </c>
      <c r="E9" s="37"/>
      <c r="F9" s="37"/>
      <c r="G9" s="36"/>
      <c r="H9" s="37"/>
      <c r="I9" s="37"/>
      <c r="J9" s="37"/>
      <c r="K9" s="37"/>
      <c r="L9" s="37"/>
      <c r="M9" s="38" t="s">
        <v>51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38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52</v>
      </c>
      <c r="O10" s="38" t="s">
        <v>53</v>
      </c>
      <c r="P10" s="38" t="s">
        <v>52</v>
      </c>
      <c r="Q10" s="38" t="s">
        <v>52</v>
      </c>
      <c r="R10" s="38"/>
      <c r="S10" s="38"/>
      <c r="T10" s="38"/>
      <c r="U10" s="38" t="s">
        <v>54</v>
      </c>
      <c r="V10" s="38" t="s">
        <v>54</v>
      </c>
      <c r="W10" s="38" t="s">
        <v>55</v>
      </c>
      <c r="X10" s="38" t="s">
        <v>54</v>
      </c>
      <c r="Y10" s="38" t="s">
        <v>54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'1.KTHH L1'!B23</f>
        <v>20</v>
      </c>
      <c r="C11" s="16" t="n">
        <f aca="false">'1.KTHH L1'!C23</f>
        <v>394.75</v>
      </c>
      <c r="D11" s="14" t="n">
        <f aca="false">'1.KTHH L1'!T23</f>
        <v>20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Chạy!E5</f>
        <v>1.8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36.1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'1.KTHH L1'!B24</f>
        <v>21</v>
      </c>
      <c r="C12" s="16" t="n">
        <f aca="false">'1.KTHH L1'!C24</f>
        <v>414.75</v>
      </c>
      <c r="D12" s="14" t="n">
        <f aca="false">'1.KTHH L1'!T24</f>
        <v>20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Chạy!E9</f>
        <v>1.81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35.8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'1.KTHH L1'!B25</f>
        <v>22</v>
      </c>
      <c r="C13" s="16" t="n">
        <f aca="false">'1.KTHH L1'!C25</f>
        <v>434.75</v>
      </c>
      <c r="D13" s="14" t="n">
        <f aca="false">'1.KTHH L1'!T25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Chạy!E13</f>
        <v>1.77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34.2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'1.KTHH L1'!B26</f>
        <v>23</v>
      </c>
      <c r="C14" s="16" t="n">
        <f aca="false">'1.KTHH L1'!C26</f>
        <v>454.75</v>
      </c>
      <c r="D14" s="14" t="n">
        <f aca="false">'1.KTHH L1'!T26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Chạy!E17</f>
        <v>1.65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33.7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'1.KTHH L1'!B27</f>
        <v>24</v>
      </c>
      <c r="C15" s="16" t="n">
        <f aca="false">'1.KTHH L1'!C27</f>
        <v>474.75</v>
      </c>
      <c r="D15" s="14" t="n">
        <f aca="false">'1.KTHH L1'!T27</f>
        <v>14.44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Chạy!E21</f>
        <v>1.72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22.382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'1.KTHH L1'!B28</f>
        <v>25</v>
      </c>
      <c r="C16" s="16" t="n">
        <f aca="false">'1.KTHH L1'!C28</f>
        <v>489.19</v>
      </c>
      <c r="D16" s="14"/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Chạy!E25</f>
        <v>1.38</v>
      </c>
      <c r="P16" s="47"/>
      <c r="Q16" s="47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1"/>
      <c r="AC16" s="50"/>
      <c r="AE16" s="52"/>
    </row>
    <row r="17" s="45" customFormat="true" ht="15" hidden="true" customHeight="true" outlineLevel="0" collapsed="false">
      <c r="A17" s="14"/>
      <c r="B17" s="14"/>
      <c r="C17" s="16"/>
      <c r="D17" s="14"/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/>
      <c r="P17" s="47"/>
      <c r="Q17" s="47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1"/>
      <c r="AC17" s="50"/>
      <c r="AE17" s="52"/>
    </row>
    <row r="18" s="45" customFormat="true" ht="15" hidden="true" customHeight="true" outlineLevel="0" collapsed="false">
      <c r="A18" s="14"/>
      <c r="B18" s="14"/>
      <c r="C18" s="16"/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/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9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9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9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9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9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9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9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9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9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9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9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9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9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9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9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5" hidden="false" customHeight="true" outlineLevel="0" collapsed="false">
      <c r="A51" s="53" t="s">
        <v>56</v>
      </c>
      <c r="B51" s="53"/>
      <c r="C51" s="53"/>
      <c r="D51" s="53"/>
      <c r="E51" s="54"/>
      <c r="F51" s="54"/>
      <c r="G51" s="54"/>
      <c r="H51" s="54"/>
      <c r="I51" s="54"/>
      <c r="J51" s="54"/>
      <c r="K51" s="54"/>
      <c r="L51" s="54"/>
      <c r="M51" s="55"/>
      <c r="N51" s="55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SUM(W11:W16)</f>
        <v>162.182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  <c r="AH51" s="62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45</v>
      </c>
      <c r="B53" s="20"/>
      <c r="C53" s="20"/>
      <c r="D53" s="65" t="s">
        <v>57</v>
      </c>
      <c r="E53" s="20" t="s">
        <v>46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H53" s="61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47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48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customFormat="fals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</row>
    <row r="95" customFormat="fals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</row>
    <row r="96" customFormat="fals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</row>
    <row r="97" customFormat="fals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</row>
    <row r="98" customFormat="fals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</row>
    <row r="99" customFormat="fals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</row>
    <row r="100" customFormat="fals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</row>
    <row r="101" customFormat="fals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</row>
    <row r="102" customFormat="fals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</row>
    <row r="103" customFormat="fals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</row>
    <row r="104" customFormat="fals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</row>
    <row r="105" customFormat="fals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</row>
    <row r="106" customFormat="fals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</row>
    <row r="107" customFormat="fals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</row>
    <row r="108" customFormat="fals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2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8" colorId="64" zoomScale="85" zoomScaleNormal="85" zoomScalePageLayoutView="100" workbookViewId="0">
      <selection pane="topLeft" activeCell="J32" activeCellId="0" sqref="J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.86"/>
    <col collapsed="false" customWidth="true" hidden="false" outlineLevel="0" max="3" min="3" style="1" width="16.85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33.NĐXD8/CVXD ngày 03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33</v>
      </c>
    </row>
    <row r="3" customFormat="false" ht="18.75" hidden="false" customHeight="true" outlineLevel="0" collapsed="false">
      <c r="A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27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28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29</v>
      </c>
      <c r="C7" s="8"/>
      <c r="D7" s="8"/>
      <c r="E7" s="8"/>
      <c r="F7" s="8"/>
      <c r="G7" s="8" t="str">
        <f>VLOOKUP(AZ2,'[1]Tuyến XD8'!$A$2:$B$60,2,0)</f>
        <v xml:space="preserve">Đắp cát nền đường lớp 2 đoạn từ Km0+394,75 - Km0+489,19,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1" customFormat="false" ht="15" hidden="false" customHeight="true" outlineLevel="0" collapsed="false">
      <c r="A21" s="10" t="s">
        <v>32</v>
      </c>
      <c r="B21" s="10" t="s">
        <v>33</v>
      </c>
      <c r="C21" s="10" t="s">
        <v>34</v>
      </c>
      <c r="D21" s="11" t="s">
        <v>35</v>
      </c>
      <c r="E21" s="11"/>
      <c r="F21" s="11"/>
      <c r="G21" s="11"/>
      <c r="H21" s="11"/>
      <c r="I21" s="11"/>
      <c r="J21" s="11" t="s">
        <v>36</v>
      </c>
      <c r="K21" s="11"/>
      <c r="L21" s="11"/>
      <c r="M21" s="11" t="s">
        <v>37</v>
      </c>
      <c r="N21" s="11"/>
      <c r="O21" s="11"/>
      <c r="P21" s="11"/>
      <c r="Q21" s="11"/>
      <c r="R21" s="11"/>
      <c r="S21" s="10" t="s">
        <v>38</v>
      </c>
    </row>
    <row r="22" customFormat="false" ht="30" hidden="false" customHeight="true" outlineLevel="0" collapsed="false">
      <c r="A22" s="10"/>
      <c r="B22" s="10"/>
      <c r="C22" s="10"/>
      <c r="D22" s="12" t="s">
        <v>39</v>
      </c>
      <c r="E22" s="12" t="s">
        <v>40</v>
      </c>
      <c r="F22" s="12" t="s">
        <v>41</v>
      </c>
      <c r="G22" s="12" t="s">
        <v>42</v>
      </c>
      <c r="H22" s="12" t="s">
        <v>43</v>
      </c>
      <c r="I22" s="12" t="s">
        <v>44</v>
      </c>
      <c r="J22" s="12" t="s">
        <v>42</v>
      </c>
      <c r="K22" s="12" t="s">
        <v>43</v>
      </c>
      <c r="L22" s="12" t="s">
        <v>44</v>
      </c>
      <c r="M22" s="12" t="s">
        <v>39</v>
      </c>
      <c r="N22" s="12" t="s">
        <v>40</v>
      </c>
      <c r="O22" s="12" t="s">
        <v>41</v>
      </c>
      <c r="P22" s="12" t="s">
        <v>42</v>
      </c>
      <c r="Q22" s="12" t="s">
        <v>43</v>
      </c>
      <c r="R22" s="12" t="s">
        <v>44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394.75</v>
      </c>
      <c r="D23" s="17" t="n">
        <f aca="false">+Chạy!F4</f>
        <v>-9.26</v>
      </c>
      <c r="E23" s="17" t="n">
        <f aca="false">+D23+F23</f>
        <v>-9.2581</v>
      </c>
      <c r="F23" s="17" t="n">
        <f aca="false">RANDBETWEEN(-105,115)/10000</f>
        <v>0.0019</v>
      </c>
      <c r="G23" s="17" t="n">
        <f aca="false">+Chạy!G4</f>
        <v>-1.05</v>
      </c>
      <c r="H23" s="17" t="n">
        <f aca="false">G23+I23</f>
        <v>-0.974</v>
      </c>
      <c r="I23" s="17" t="n">
        <f aca="false">RANDBETWEEN(-30,90)/1000</f>
        <v>0.076</v>
      </c>
      <c r="J23" s="17" t="n">
        <f aca="false">+Chạy!K4</f>
        <v>-1.05</v>
      </c>
      <c r="K23" s="17" t="n">
        <f aca="false">J23+L23</f>
        <v>-1.044</v>
      </c>
      <c r="L23" s="17" t="n">
        <f aca="false">RANDBETWEEN(-30,90)/1000</f>
        <v>0.006</v>
      </c>
      <c r="M23" s="17" t="n">
        <f aca="false">+Chạy!N4</f>
        <v>9.39</v>
      </c>
      <c r="N23" s="17" t="n">
        <f aca="false">+M23+O23</f>
        <v>9.3877</v>
      </c>
      <c r="O23" s="17" t="n">
        <f aca="false">RANDBETWEEN(-105,115)/10000</f>
        <v>-0.0023</v>
      </c>
      <c r="P23" s="17" t="n">
        <f aca="false">+Chạy!O4</f>
        <v>-1.05</v>
      </c>
      <c r="Q23" s="17" t="n">
        <f aca="false">P23+R23</f>
        <v>-1.047</v>
      </c>
      <c r="R23" s="17" t="n">
        <f aca="false">RANDBETWEEN(-30,90)/1000</f>
        <v>0.003</v>
      </c>
      <c r="S23" s="18"/>
      <c r="T23" s="0" t="n">
        <v>20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414.75</v>
      </c>
      <c r="D24" s="17" t="n">
        <f aca="false">+Chạy!F8</f>
        <v>-9.31</v>
      </c>
      <c r="E24" s="17" t="n">
        <f aca="false">+D24+F24</f>
        <v>-9.3018</v>
      </c>
      <c r="F24" s="17" t="n">
        <f aca="false">RANDBETWEEN(-105,115)/10000</f>
        <v>0.0082</v>
      </c>
      <c r="G24" s="17" t="n">
        <f aca="false">+Chạy!G8</f>
        <v>-1.05</v>
      </c>
      <c r="H24" s="17" t="n">
        <f aca="false">G24+I24</f>
        <v>-0.991</v>
      </c>
      <c r="I24" s="17" t="n">
        <f aca="false">RANDBETWEEN(-30,90)/1000</f>
        <v>0.059</v>
      </c>
      <c r="J24" s="17" t="n">
        <f aca="false">+Chạy!K8</f>
        <v>-1.05</v>
      </c>
      <c r="K24" s="17" t="n">
        <f aca="false">J24+L24</f>
        <v>-1.059</v>
      </c>
      <c r="L24" s="17" t="n">
        <f aca="false">RANDBETWEEN(-30,90)/1000</f>
        <v>-0.009</v>
      </c>
      <c r="M24" s="17" t="n">
        <f aca="false">+Chạy!N8</f>
        <v>9.45</v>
      </c>
      <c r="N24" s="17" t="n">
        <f aca="false">+M24+O24</f>
        <v>9.4608</v>
      </c>
      <c r="O24" s="17" t="n">
        <f aca="false">RANDBETWEEN(-105,115)/10000</f>
        <v>0.0108</v>
      </c>
      <c r="P24" s="17" t="n">
        <f aca="false">+Chạy!O8</f>
        <v>-1.05</v>
      </c>
      <c r="Q24" s="17" t="n">
        <f aca="false">P24+R24</f>
        <v>-1.038</v>
      </c>
      <c r="R24" s="17" t="n">
        <f aca="false">RANDBETWEEN(-30,90)/1000</f>
        <v>0.012</v>
      </c>
      <c r="S24" s="18"/>
      <c r="T24" s="0" t="n">
        <v>20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434.75</v>
      </c>
      <c r="D25" s="17" t="n">
        <f aca="false">+Chạy!F12</f>
        <v>-9.24</v>
      </c>
      <c r="E25" s="17" t="n">
        <f aca="false">+D25+F25</f>
        <v>-9.2362</v>
      </c>
      <c r="F25" s="17" t="n">
        <f aca="false">RANDBETWEEN(-105,115)/10000</f>
        <v>0.0038</v>
      </c>
      <c r="G25" s="17" t="n">
        <f aca="false">+Chạy!G12</f>
        <v>-1.05</v>
      </c>
      <c r="H25" s="17" t="n">
        <f aca="false">G25+I25</f>
        <v>-1.031</v>
      </c>
      <c r="I25" s="17" t="n">
        <f aca="false">RANDBETWEEN(-30,90)/1000</f>
        <v>0.019</v>
      </c>
      <c r="J25" s="17" t="n">
        <f aca="false">+Chạy!K12</f>
        <v>-1.05</v>
      </c>
      <c r="K25" s="17" t="n">
        <f aca="false">J25+L25</f>
        <v>-0.98</v>
      </c>
      <c r="L25" s="17" t="n">
        <f aca="false">RANDBETWEEN(-30,90)/1000</f>
        <v>0.07</v>
      </c>
      <c r="M25" s="17" t="n">
        <f aca="false">+Chạy!N12</f>
        <v>9.16</v>
      </c>
      <c r="N25" s="17" t="n">
        <f aca="false">+M25+O25</f>
        <v>9.1673</v>
      </c>
      <c r="O25" s="17" t="n">
        <f aca="false">RANDBETWEEN(-105,115)/10000</f>
        <v>0.0073</v>
      </c>
      <c r="P25" s="17" t="n">
        <f aca="false">+Chạy!O12</f>
        <v>-1.05</v>
      </c>
      <c r="Q25" s="17" t="n">
        <f aca="false">P25+R25</f>
        <v>-0.989</v>
      </c>
      <c r="R25" s="17" t="n">
        <f aca="false">RANDBETWEEN(-30,90)/1000</f>
        <v>0.061</v>
      </c>
      <c r="S25" s="18"/>
      <c r="T25" s="0" t="n">
        <v>20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454.75</v>
      </c>
      <c r="D26" s="17" t="n">
        <f aca="false">+Chạy!F16</f>
        <v>-8.45</v>
      </c>
      <c r="E26" s="17" t="n">
        <f aca="false">+D26+F26</f>
        <v>-8.4407</v>
      </c>
      <c r="F26" s="17" t="n">
        <f aca="false">RANDBETWEEN(-105,115)/10000</f>
        <v>0.0093</v>
      </c>
      <c r="G26" s="17" t="n">
        <f aca="false">+Chạy!G16</f>
        <v>-1.05</v>
      </c>
      <c r="H26" s="17" t="n">
        <f aca="false">G26+I26</f>
        <v>-1.021</v>
      </c>
      <c r="I26" s="17" t="n">
        <f aca="false">RANDBETWEEN(-30,90)/1000</f>
        <v>0.029</v>
      </c>
      <c r="J26" s="17" t="n">
        <f aca="false">+Chạy!K16</f>
        <v>-1.05</v>
      </c>
      <c r="K26" s="17" t="n">
        <f aca="false">J26+L26</f>
        <v>-1.077</v>
      </c>
      <c r="L26" s="17" t="n">
        <f aca="false">RANDBETWEEN(-30,90)/1000</f>
        <v>-0.027</v>
      </c>
      <c r="M26" s="17" t="n">
        <f aca="false">+Chạy!N16</f>
        <v>8.79</v>
      </c>
      <c r="N26" s="17" t="n">
        <f aca="false">+M26+O26</f>
        <v>8.8014</v>
      </c>
      <c r="O26" s="17" t="n">
        <f aca="false">RANDBETWEEN(-105,115)/10000</f>
        <v>0.0114</v>
      </c>
      <c r="P26" s="17" t="n">
        <f aca="false">+Chạy!O16</f>
        <v>-1.05</v>
      </c>
      <c r="Q26" s="17" t="n">
        <f aca="false">P26+R26</f>
        <v>-1.079</v>
      </c>
      <c r="R26" s="17" t="n">
        <f aca="false">RANDBETWEEN(-30,90)/1000</f>
        <v>-0.029</v>
      </c>
      <c r="S26" s="18"/>
      <c r="T26" s="0" t="n">
        <v>20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474.75</v>
      </c>
      <c r="D27" s="17" t="n">
        <f aca="false">+Chạy!F20</f>
        <v>-8.97</v>
      </c>
      <c r="E27" s="17" t="n">
        <f aca="false">+D27+F27</f>
        <v>-8.9788</v>
      </c>
      <c r="F27" s="17" t="n">
        <f aca="false">RANDBETWEEN(-105,115)/10000</f>
        <v>-0.0088</v>
      </c>
      <c r="G27" s="17" t="n">
        <f aca="false">+Chạy!G20</f>
        <v>-1.05</v>
      </c>
      <c r="H27" s="17" t="n">
        <f aca="false">G27+I27</f>
        <v>-1.018</v>
      </c>
      <c r="I27" s="17" t="n">
        <f aca="false">RANDBETWEEN(-30,90)/1000</f>
        <v>0.032</v>
      </c>
      <c r="J27" s="17" t="n">
        <f aca="false">+Chạy!K20</f>
        <v>-1.05</v>
      </c>
      <c r="K27" s="17" t="n">
        <f aca="false">J27+L27</f>
        <v>-1.067</v>
      </c>
      <c r="L27" s="17" t="n">
        <f aca="false">RANDBETWEEN(-30,90)/1000</f>
        <v>-0.017</v>
      </c>
      <c r="M27" s="17" t="n">
        <f aca="false">+Chạy!N20</f>
        <v>8.92</v>
      </c>
      <c r="N27" s="17" t="n">
        <f aca="false">+M27+O27</f>
        <v>8.9203</v>
      </c>
      <c r="O27" s="17" t="n">
        <f aca="false">RANDBETWEEN(-105,115)/10000</f>
        <v>0.0003</v>
      </c>
      <c r="P27" s="17" t="n">
        <f aca="false">+Chạy!O20</f>
        <v>-1.05</v>
      </c>
      <c r="Q27" s="17" t="n">
        <f aca="false">P27+R27</f>
        <v>-1.065</v>
      </c>
      <c r="R27" s="17" t="n">
        <f aca="false">RANDBETWEEN(-30,90)/1000</f>
        <v>-0.015</v>
      </c>
      <c r="S27" s="18"/>
      <c r="T27" s="0" t="n">
        <v>14.44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489.19</v>
      </c>
      <c r="D28" s="17" t="n">
        <f aca="false">+Chạy!F24</f>
        <v>-8.85</v>
      </c>
      <c r="E28" s="17" t="n">
        <f aca="false">+D28+F28</f>
        <v>-8.8516</v>
      </c>
      <c r="F28" s="17" t="n">
        <f aca="false">RANDBETWEEN(-105,115)/10000</f>
        <v>-0.0016</v>
      </c>
      <c r="G28" s="17" t="n">
        <f aca="false">+Chạy!G24</f>
        <v>-1.05</v>
      </c>
      <c r="H28" s="17" t="n">
        <f aca="false">G28+I28</f>
        <v>-0.995</v>
      </c>
      <c r="I28" s="17" t="n">
        <f aca="false">RANDBETWEEN(-30,90)/1000</f>
        <v>0.055</v>
      </c>
      <c r="J28" s="17" t="n">
        <f aca="false">+Chạy!K24</f>
        <v>-1.05</v>
      </c>
      <c r="K28" s="17" t="n">
        <f aca="false">J28+L28</f>
        <v>-1.041</v>
      </c>
      <c r="L28" s="17" t="n">
        <f aca="false">RANDBETWEEN(-30,90)/1000</f>
        <v>0.009</v>
      </c>
      <c r="M28" s="17" t="n">
        <f aca="false">+Chạy!N24</f>
        <v>5.65</v>
      </c>
      <c r="N28" s="17" t="n">
        <f aca="false">+M28+O28</f>
        <v>5.6508</v>
      </c>
      <c r="O28" s="17" t="n">
        <f aca="false">RANDBETWEEN(-105,115)/10000</f>
        <v>0.0008</v>
      </c>
      <c r="P28" s="17" t="n">
        <f aca="false">+Chạy!O24</f>
        <v>-1.05</v>
      </c>
      <c r="Q28" s="17" t="n">
        <f aca="false">P28+R28</f>
        <v>-1.027</v>
      </c>
      <c r="R28" s="17" t="n">
        <f aca="false">RANDBETWEEN(-30,90)/1000</f>
        <v>0.023</v>
      </c>
      <c r="S28" s="18"/>
    </row>
    <row r="29" customFormat="false" ht="15" hidden="true" customHeight="false" outlineLevel="0" collapsed="false">
      <c r="A29" s="14"/>
      <c r="B29" s="14"/>
      <c r="C29" s="71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8"/>
    </row>
    <row r="30" customFormat="false" ht="15" hidden="true" customHeight="false" outlineLevel="0" collapsed="false">
      <c r="A30" s="14"/>
      <c r="B30" s="14"/>
      <c r="C30" s="7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8"/>
    </row>
    <row r="31" customFormat="false" ht="15" hidden="true" customHeight="false" outlineLevel="0" collapsed="false">
      <c r="A31" s="14"/>
      <c r="B31" s="14"/>
      <c r="C31" s="71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8" customFormat="false" ht="15" hidden="true" customHeight="false" outlineLevel="0" collapsed="false">
      <c r="A48" s="14"/>
      <c r="B48" s="14"/>
      <c r="C48" s="71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</row>
    <row r="49" customFormat="false" ht="15" hidden="true" customHeight="false" outlineLevel="0" collapsed="false">
      <c r="A49" s="14"/>
      <c r="B49" s="14"/>
      <c r="C49" s="71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</row>
    <row r="50" customFormat="false" ht="15" hidden="true" customHeight="false" outlineLevel="0" collapsed="false">
      <c r="A50" s="14"/>
      <c r="B50" s="14"/>
      <c r="C50" s="71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</row>
    <row r="51" customFormat="false" ht="15" hidden="true" customHeight="false" outlineLevel="0" collapsed="false">
      <c r="A51" s="14"/>
      <c r="B51" s="14"/>
      <c r="C51" s="71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</row>
    <row r="52" customFormat="false" ht="15" hidden="true" customHeight="false" outlineLevel="0" collapsed="false">
      <c r="A52" s="14"/>
      <c r="B52" s="14"/>
      <c r="C52" s="71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</row>
    <row r="53" customFormat="false" ht="15" hidden="true" customHeight="false" outlineLevel="0" collapsed="false">
      <c r="A53" s="14"/>
      <c r="B53" s="14"/>
      <c r="C53" s="71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</row>
    <row r="54" customFormat="false" ht="15" hidden="true" customHeight="false" outlineLevel="0" collapsed="false">
      <c r="A54" s="14"/>
      <c r="B54" s="14"/>
      <c r="C54" s="71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</row>
    <row r="55" customFormat="false" ht="15" hidden="true" customHeight="false" outlineLevel="0" collapsed="false">
      <c r="A55" s="14"/>
      <c r="B55" s="14"/>
      <c r="C55" s="71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</row>
    <row r="56" customFormat="false" ht="15" hidden="true" customHeight="false" outlineLevel="0" collapsed="false">
      <c r="A56" s="14"/>
      <c r="B56" s="14"/>
      <c r="C56" s="71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</row>
    <row r="57" customFormat="false" ht="15" hidden="true" customHeight="false" outlineLevel="0" collapsed="false">
      <c r="A57" s="14"/>
      <c r="B57" s="14"/>
      <c r="C57" s="71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</row>
    <row r="58" customFormat="false" ht="15" hidden="true" customHeight="false" outlineLevel="0" collapsed="false">
      <c r="A58" s="14"/>
      <c r="B58" s="14"/>
      <c r="C58" s="71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</row>
    <row r="59" customFormat="false" ht="15" hidden="true" customHeight="false" outlineLevel="0" collapsed="false">
      <c r="A59" s="14"/>
      <c r="B59" s="14"/>
      <c r="C59" s="71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</row>
    <row r="60" customFormat="false" ht="15" hidden="true" customHeight="false" outlineLevel="0" collapsed="false">
      <c r="A60" s="14"/>
      <c r="B60" s="14"/>
      <c r="C60" s="71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</row>
    <row r="61" customFormat="false" ht="15" hidden="true" customHeight="false" outlineLevel="0" collapsed="false">
      <c r="A61" s="14"/>
      <c r="B61" s="14"/>
      <c r="C61" s="71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</row>
    <row r="62" customFormat="false" ht="15" hidden="true" customHeight="false" outlineLevel="0" collapsed="false">
      <c r="A62" s="14"/>
      <c r="B62" s="14"/>
      <c r="C62" s="71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</row>
    <row r="64" customFormat="false" ht="15" hidden="false" customHeight="false" outlineLevel="0" collapsed="false">
      <c r="C64" s="20" t="s">
        <v>45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46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47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48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511805555555556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16" activeCellId="0" sqref="O1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33.NĐXD8/CVXD ngày 03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33</v>
      </c>
    </row>
    <row r="3" s="30" customFormat="true" ht="37.5" hidden="false" customHeight="true" outlineLevel="0" collapsed="false">
      <c r="A3" s="28" t="s">
        <v>25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26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28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29</v>
      </c>
      <c r="B7" s="32"/>
      <c r="D7" s="33" t="str">
        <f>VLOOKUP(AZ2,'[1]Tuyến XD8'!$A$2:$B$60,2,0)</f>
        <v xml:space="preserve">Đắp cát nền đường lớp 2 đoạn từ Km0+394,75 - Km0+489,19,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33</v>
      </c>
      <c r="C9" s="35" t="s">
        <v>34</v>
      </c>
      <c r="D9" s="36" t="s">
        <v>50</v>
      </c>
      <c r="E9" s="37"/>
      <c r="F9" s="37"/>
      <c r="G9" s="36"/>
      <c r="H9" s="37"/>
      <c r="I9" s="37"/>
      <c r="J9" s="37"/>
      <c r="K9" s="37"/>
      <c r="L9" s="37"/>
      <c r="M9" s="38" t="s">
        <v>51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38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52</v>
      </c>
      <c r="O10" s="38" t="s">
        <v>53</v>
      </c>
      <c r="P10" s="38" t="s">
        <v>52</v>
      </c>
      <c r="Q10" s="38" t="s">
        <v>52</v>
      </c>
      <c r="R10" s="38"/>
      <c r="S10" s="38"/>
      <c r="T10" s="38"/>
      <c r="U10" s="38" t="s">
        <v>54</v>
      </c>
      <c r="V10" s="38" t="s">
        <v>54</v>
      </c>
      <c r="W10" s="38" t="s">
        <v>55</v>
      </c>
      <c r="X10" s="38" t="s">
        <v>54</v>
      </c>
      <c r="Y10" s="38" t="s">
        <v>54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'2.KTHH L2'!B23</f>
        <v>20</v>
      </c>
      <c r="C11" s="16" t="n">
        <f aca="false">'2.KTHH L2'!C23</f>
        <v>394.75</v>
      </c>
      <c r="D11" s="14" t="n">
        <f aca="false">'2.KTHH L2'!T23</f>
        <v>20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Chạy!E4</f>
        <v>5.51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110.5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'2.KTHH L2'!B24</f>
        <v>21</v>
      </c>
      <c r="C12" s="16" t="n">
        <f aca="false">'2.KTHH L2'!C24</f>
        <v>414.75</v>
      </c>
      <c r="D12" s="14" t="n">
        <f aca="false">'2.KTHH L2'!T24</f>
        <v>20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Chạy!E8</f>
        <v>5.54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109.7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'2.KTHH L2'!B25</f>
        <v>22</v>
      </c>
      <c r="C13" s="16" t="n">
        <f aca="false">'2.KTHH L2'!C25</f>
        <v>434.75</v>
      </c>
      <c r="D13" s="14" t="n">
        <f aca="false">'2.KTHH L2'!T25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Chạy!E12</f>
        <v>5.43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105.1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'2.KTHH L2'!B26</f>
        <v>23</v>
      </c>
      <c r="C14" s="16" t="n">
        <f aca="false">'2.KTHH L2'!C26</f>
        <v>454.75</v>
      </c>
      <c r="D14" s="14" t="n">
        <f aca="false">'2.KTHH L2'!T26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Chạy!E16</f>
        <v>5.08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103.6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'2.KTHH L2'!B27</f>
        <v>24</v>
      </c>
      <c r="C15" s="16" t="n">
        <f aca="false">'2.KTHH L2'!C27</f>
        <v>474.75</v>
      </c>
      <c r="D15" s="14" t="n">
        <f aca="false">'2.KTHH L2'!T27</f>
        <v>14.44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Chạy!E20</f>
        <v>5.28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68.8788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'2.KTHH L2'!B28</f>
        <v>25</v>
      </c>
      <c r="C16" s="16" t="n">
        <f aca="false">'2.KTHH L2'!C28</f>
        <v>489.19</v>
      </c>
      <c r="D16" s="14"/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Chạy!E24</f>
        <v>4.26</v>
      </c>
      <c r="P16" s="47"/>
      <c r="Q16" s="47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1"/>
      <c r="AC16" s="50"/>
      <c r="AE16" s="52"/>
    </row>
    <row r="17" s="45" customFormat="true" ht="15" hidden="true" customHeight="true" outlineLevel="0" collapsed="false">
      <c r="A17" s="14"/>
      <c r="B17" s="14"/>
      <c r="C17" s="16"/>
      <c r="D17" s="14"/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/>
      <c r="P17" s="47"/>
      <c r="Q17" s="47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1"/>
      <c r="AC17" s="50"/>
      <c r="AE17" s="52"/>
    </row>
    <row r="18" s="45" customFormat="true" ht="15" hidden="true" customHeight="true" outlineLevel="0" collapsed="false">
      <c r="A18" s="14"/>
      <c r="B18" s="14"/>
      <c r="C18" s="16"/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/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7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7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7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7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7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7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7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7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7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7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7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7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7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7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7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4.25" hidden="false" customHeight="true" outlineLevel="0" collapsed="false">
      <c r="A51" s="35" t="s">
        <v>56</v>
      </c>
      <c r="B51" s="35"/>
      <c r="C51" s="35"/>
      <c r="D51" s="35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SUM(W11:W16)</f>
        <v>497.7788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45</v>
      </c>
      <c r="B53" s="20"/>
      <c r="C53" s="20"/>
      <c r="D53" s="65" t="s">
        <v>57</v>
      </c>
      <c r="E53" s="20" t="s">
        <v>46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47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48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6.5" hidden="false" customHeight="true" outlineLevel="0" collapsed="false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0"/>
    </row>
    <row r="61" customFormat="false" ht="16.5" hidden="false" customHeight="true" outlineLevel="0" collapsed="false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0"/>
    </row>
    <row r="62" customFormat="false" ht="16.5" hidden="false" customHeight="true" outlineLevel="0" collapsed="false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0"/>
    </row>
    <row r="63" customFormat="false" ht="16.5" hidden="false" customHeight="true" outlineLevel="0" collapsed="false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0"/>
    </row>
    <row r="64" customFormat="false" ht="16.5" hidden="false" customHeight="true" outlineLevel="0" collapsed="false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0"/>
    </row>
    <row r="65" customFormat="false" ht="16.5" hidden="false" customHeight="true" outlineLevel="0" collapsed="false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0"/>
    </row>
    <row r="66" customFormat="false" ht="16.5" hidden="false" customHeight="true" outlineLevel="0" collapsed="false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0"/>
    </row>
    <row r="67" customFormat="false" ht="16.5" hidden="false" customHeight="true" outlineLevel="0" collapsed="false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0"/>
    </row>
    <row r="68" customFormat="false" ht="16.5" hidden="false" customHeight="true" outlineLevel="0" collapsed="false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0"/>
    </row>
    <row r="69" customFormat="false" ht="16.5" hidden="false" customHeight="true" outlineLevel="0" collapsed="false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0"/>
    </row>
    <row r="70" customFormat="false" ht="16.5" hidden="false" customHeight="true" outlineLevel="0" collapsed="false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0"/>
    </row>
    <row r="71" customFormat="false" ht="16.5" hidden="false" customHeight="true" outlineLevel="0" collapsed="false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0"/>
    </row>
    <row r="72" customFormat="false" ht="16.5" hidden="false" customHeight="true" outlineLevel="0" collapsed="false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0"/>
    </row>
    <row r="73" customFormat="false" ht="16.5" hidden="false" customHeight="true" outlineLevel="0" collapsed="false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0"/>
    </row>
    <row r="74" customFormat="false" ht="16.5" hidden="false" customHeight="true" outlineLevel="0" collapsed="false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0"/>
    </row>
    <row r="75" customFormat="false" ht="16.5" hidden="false" customHeight="true" outlineLevel="0" collapsed="false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0"/>
    </row>
    <row r="76" customFormat="false" ht="16.5" hidden="false" customHeight="true" outlineLevel="0" collapsed="false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0"/>
    </row>
    <row r="77" customFormat="false" ht="16.5" hidden="false" customHeight="true" outlineLevel="0" collapsed="false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0"/>
    </row>
    <row r="78" customFormat="false" ht="16.5" hidden="false" customHeight="true" outlineLevel="0" collapsed="false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0"/>
    </row>
    <row r="79" customFormat="false" ht="16.5" hidden="false" customHeight="true" outlineLevel="0" collapsed="false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0"/>
    </row>
    <row r="80" customFormat="false" ht="16.5" hidden="false" customHeight="true" outlineLevel="0" collapsed="false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0"/>
    </row>
    <row r="81" customFormat="false" ht="16.5" hidden="false" customHeight="true" outlineLevel="0" collapsed="false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0"/>
    </row>
    <row r="82" customFormat="false" ht="16.5" hidden="false" customHeight="true" outlineLevel="0" collapsed="false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0"/>
    </row>
    <row r="83" customFormat="false" ht="16.5" hidden="false" customHeight="true" outlineLevel="0" collapsed="false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0"/>
    </row>
    <row r="84" customFormat="false" ht="16.5" hidden="false" customHeight="true" outlineLevel="0" collapsed="false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0"/>
    </row>
    <row r="85" customFormat="false" ht="16.5" hidden="false" customHeight="true" outlineLevel="0" collapsed="false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0"/>
    </row>
    <row r="86" customFormat="false" ht="16.5" hidden="false" customHeight="true" outlineLevel="0" collapsed="false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0"/>
    </row>
    <row r="87" customFormat="false" ht="16.5" hidden="false" customHeight="true" outlineLevel="0" collapsed="false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0"/>
    </row>
    <row r="88" customFormat="false" ht="16.5" hidden="false" customHeight="true" outlineLevel="0" collapsed="false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0"/>
    </row>
    <row r="89" customFormat="false" ht="16.5" hidden="false" customHeight="true" outlineLevel="0" collapsed="false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0"/>
    </row>
    <row r="90" customFormat="false" ht="16.5" hidden="false" customHeight="true" outlineLevel="0" collapsed="false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0"/>
    </row>
    <row r="91" customFormat="false" ht="16.5" hidden="false" customHeight="true" outlineLevel="0" collapsed="false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0"/>
    </row>
    <row r="92" customFormat="false" ht="16.5" hidden="false" customHeight="true" outlineLevel="0" collapsed="false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0"/>
    </row>
    <row r="93" customFormat="false" ht="16.5" hidden="false" customHeight="true" outlineLevel="0" collapsed="false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0"/>
    </row>
    <row r="94" customFormat="false" ht="16.5" hidden="false" customHeight="true" outlineLevel="0" collapsed="false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0"/>
    </row>
    <row r="95" customFormat="false" ht="16.5" hidden="false" customHeight="true" outlineLevel="0" collapsed="false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0"/>
    </row>
    <row r="96" customFormat="false" ht="16.5" hidden="false" customHeight="true" outlineLevel="0" collapsed="false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0"/>
    </row>
    <row r="97" customFormat="false" ht="16.5" hidden="false" customHeight="true" outlineLevel="0" collapsed="false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0"/>
    </row>
    <row r="98" customFormat="false" ht="16.5" hidden="false" customHeight="true" outlineLevel="0" collapsed="false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0"/>
    </row>
    <row r="99" customFormat="false" ht="16.5" hidden="false" customHeight="true" outlineLevel="0" collapsed="false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0"/>
    </row>
    <row r="100" customFormat="false" ht="16.5" hidden="false" customHeight="true" outlineLevel="0" collapsed="false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0"/>
    </row>
    <row r="101" customFormat="false" ht="16.5" hidden="false" customHeight="true" outlineLevel="0" collapsed="false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0"/>
    </row>
    <row r="102" customFormat="false" ht="16.5" hidden="false" customHeight="true" outlineLevel="0" collapsed="false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0"/>
    </row>
    <row r="103" customFormat="false" ht="16.5" hidden="false" customHeight="true" outlineLevel="0" collapsed="false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0"/>
    </row>
    <row r="104" customFormat="false" ht="16.5" hidden="false" customHeight="true" outlineLevel="0" collapsed="false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0"/>
    </row>
    <row r="105" customFormat="false" ht="16.5" hidden="false" customHeight="true" outlineLevel="0" collapsed="false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0"/>
    </row>
    <row r="106" customFormat="false" ht="16.5" hidden="false" customHeight="true" outlineLevel="0" collapsed="false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0"/>
    </row>
    <row r="107" customFormat="false" ht="16.5" hidden="false" customHeight="true" outlineLevel="0" collapsed="false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0"/>
    </row>
    <row r="108" customFormat="false" ht="16.5" hidden="false" customHeight="true" outlineLevel="0" collapsed="false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0"/>
    </row>
    <row r="109" s="24" customFormat="true" ht="16.5" hidden="false" customHeight="true" outlineLevel="0" collapsed="false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0"/>
      <c r="AD109" s="23"/>
      <c r="AE109" s="23"/>
      <c r="AF109" s="23"/>
      <c r="AG109" s="23"/>
    </row>
    <row r="110" s="24" customFormat="true" ht="16.5" hidden="false" customHeight="true" outlineLevel="0" collapsed="false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0"/>
      <c r="AD110" s="23"/>
      <c r="AE110" s="23"/>
      <c r="AF110" s="23"/>
      <c r="AG110" s="23"/>
    </row>
    <row r="111" s="24" customFormat="true" ht="16.5" hidden="false" customHeight="true" outlineLevel="0" collapsed="false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0"/>
      <c r="AD111" s="23"/>
      <c r="AE111" s="23"/>
      <c r="AF111" s="23"/>
      <c r="AG111" s="23"/>
    </row>
    <row r="112" s="24" customFormat="true" ht="16.5" hidden="false" customHeight="true" outlineLevel="0" collapsed="false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3"/>
  <sheetViews>
    <sheetView showFormulas="false" showGridLines="true" showRowColHeaders="true" showZeros="true" rightToLeft="false" tabSelected="false" showOutlineSymbols="true" defaultGridColor="true" view="normal" topLeftCell="A24" colorId="64" zoomScale="85" zoomScaleNormal="85" zoomScalePageLayoutView="100" workbookViewId="0">
      <selection pane="topLeft" activeCell="I32" activeCellId="0" sqref="I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57"/>
    <col collapsed="false" customWidth="true" hidden="false" outlineLevel="0" max="3" min="3" style="1" width="15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7.15"/>
  </cols>
  <sheetData>
    <row r="1" customFormat="false" ht="20.25" hidden="false" customHeight="true" outlineLevel="0" collapsed="false">
      <c r="A1" s="2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34.NĐXD8/CVXD ngày 03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7"/>
      <c r="V2" s="7"/>
      <c r="W2" s="7"/>
      <c r="AZ2">
        <v>34</v>
      </c>
    </row>
    <row r="3" customFormat="false" ht="18.75" hidden="false" customHeight="true" outlineLevel="0" collapsed="false">
      <c r="A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27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28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29</v>
      </c>
      <c r="C7" s="8"/>
      <c r="D7" s="8"/>
      <c r="E7" s="8"/>
      <c r="F7" s="8"/>
      <c r="G7" s="8" t="str">
        <f>VLOOKUP(AZ2,'[1]Tuyến XD8'!$A$2:$B$60,2,0)</f>
        <v xml:space="preserve">Đắp cát nền đường lớp 3 đoạn từ Km0+394,75 - Km0+489,19,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15" hidden="false" customHeight="true" outlineLevel="0" collapsed="false">
      <c r="A20" s="10" t="s">
        <v>32</v>
      </c>
      <c r="B20" s="10" t="s">
        <v>33</v>
      </c>
      <c r="C20" s="10" t="s">
        <v>34</v>
      </c>
      <c r="D20" s="11" t="s">
        <v>35</v>
      </c>
      <c r="E20" s="11"/>
      <c r="F20" s="11"/>
      <c r="G20" s="11"/>
      <c r="H20" s="11"/>
      <c r="I20" s="11"/>
      <c r="J20" s="11" t="s">
        <v>36</v>
      </c>
      <c r="K20" s="11"/>
      <c r="L20" s="11"/>
      <c r="M20" s="11" t="s">
        <v>37</v>
      </c>
      <c r="N20" s="11"/>
      <c r="O20" s="11"/>
      <c r="P20" s="11"/>
      <c r="Q20" s="11"/>
      <c r="R20" s="11"/>
      <c r="S20" s="10" t="s">
        <v>38</v>
      </c>
    </row>
    <row r="21" customFormat="false" ht="30" hidden="false" customHeight="true" outlineLevel="0" collapsed="false">
      <c r="A21" s="10"/>
      <c r="B21" s="10"/>
      <c r="C21" s="10"/>
      <c r="D21" s="12" t="s">
        <v>39</v>
      </c>
      <c r="E21" s="12" t="s">
        <v>40</v>
      </c>
      <c r="F21" s="12" t="s">
        <v>41</v>
      </c>
      <c r="G21" s="12" t="s">
        <v>42</v>
      </c>
      <c r="H21" s="12" t="s">
        <v>43</v>
      </c>
      <c r="I21" s="12" t="s">
        <v>44</v>
      </c>
      <c r="J21" s="12" t="s">
        <v>42</v>
      </c>
      <c r="K21" s="12" t="s">
        <v>43</v>
      </c>
      <c r="L21" s="12" t="s">
        <v>44</v>
      </c>
      <c r="M21" s="12" t="s">
        <v>39</v>
      </c>
      <c r="N21" s="12" t="s">
        <v>40</v>
      </c>
      <c r="O21" s="12" t="s">
        <v>41</v>
      </c>
      <c r="P21" s="12" t="s">
        <v>42</v>
      </c>
      <c r="Q21" s="12" t="s">
        <v>43</v>
      </c>
      <c r="R21" s="12" t="s">
        <v>44</v>
      </c>
      <c r="S21" s="10"/>
      <c r="T21" s="13"/>
    </row>
    <row r="22" customFormat="false" ht="15" hidden="false" customHeight="false" outlineLevel="0" collapsed="false">
      <c r="A22" s="14" t="n">
        <v>1</v>
      </c>
      <c r="B22" s="14" t="s">
        <v>17</v>
      </c>
      <c r="C22" s="71" t="n">
        <v>394.75</v>
      </c>
      <c r="D22" s="17" t="n">
        <f aca="false">+Chạy!F3</f>
        <v>-9.56</v>
      </c>
      <c r="E22" s="17" t="n">
        <f aca="false">+D22+F22</f>
        <v>-9.5597</v>
      </c>
      <c r="F22" s="17" t="n">
        <f aca="false">RANDBETWEEN(-105,115)/10000</f>
        <v>0.0003</v>
      </c>
      <c r="G22" s="17" t="n">
        <f aca="false">+Chạy!G3</f>
        <v>-0.75</v>
      </c>
      <c r="H22" s="17" t="n">
        <f aca="false">G22+I22</f>
        <v>-0.698</v>
      </c>
      <c r="I22" s="17" t="n">
        <f aca="false">RANDBETWEEN(-30,90)/1000</f>
        <v>0.052</v>
      </c>
      <c r="J22" s="17" t="n">
        <f aca="false">+Chạy!K3</f>
        <v>-0.75</v>
      </c>
      <c r="K22" s="17" t="n">
        <f aca="false">J22+L22</f>
        <v>-0.682</v>
      </c>
      <c r="L22" s="17" t="n">
        <f aca="false">RANDBETWEEN(-30,90)/1000</f>
        <v>0.068</v>
      </c>
      <c r="M22" s="17" t="n">
        <f aca="false">+Chạy!N3</f>
        <v>9.69</v>
      </c>
      <c r="N22" s="17" t="n">
        <f aca="false">+M22+O22</f>
        <v>9.6835</v>
      </c>
      <c r="O22" s="17" t="n">
        <f aca="false">RANDBETWEEN(-105,115)/10000</f>
        <v>-0.0065</v>
      </c>
      <c r="P22" s="17" t="n">
        <f aca="false">+Chạy!O3</f>
        <v>-0.75</v>
      </c>
      <c r="Q22" s="17" t="n">
        <f aca="false">P22+R22</f>
        <v>-0.737</v>
      </c>
      <c r="R22" s="17" t="n">
        <f aca="false">RANDBETWEEN(-30,90)/1000</f>
        <v>0.013</v>
      </c>
      <c r="S22" s="18"/>
      <c r="T22" s="0" t="n">
        <v>20</v>
      </c>
    </row>
    <row r="23" customFormat="false" ht="15" hidden="false" customHeight="false" outlineLevel="0" collapsed="false">
      <c r="A23" s="14" t="n">
        <v>2</v>
      </c>
      <c r="B23" s="14" t="s">
        <v>18</v>
      </c>
      <c r="C23" s="71" t="n">
        <f aca="false">+C22+T22</f>
        <v>414.75</v>
      </c>
      <c r="D23" s="17" t="n">
        <f aca="false">+Chạy!F7</f>
        <v>-9.61</v>
      </c>
      <c r="E23" s="17" t="n">
        <f aca="false">+D23+F23</f>
        <v>-9.6078</v>
      </c>
      <c r="F23" s="17" t="n">
        <f aca="false">RANDBETWEEN(-105,115)/10000</f>
        <v>0.0022</v>
      </c>
      <c r="G23" s="17" t="n">
        <f aca="false">+Chạy!G7</f>
        <v>-0.75</v>
      </c>
      <c r="H23" s="17" t="n">
        <f aca="false">G23+I23</f>
        <v>-0.696</v>
      </c>
      <c r="I23" s="17" t="n">
        <f aca="false">RANDBETWEEN(-30,90)/1000</f>
        <v>0.054</v>
      </c>
      <c r="J23" s="17" t="n">
        <f aca="false">+Chạy!K7</f>
        <v>-0.75</v>
      </c>
      <c r="K23" s="17" t="n">
        <f aca="false">J23+L23</f>
        <v>-0.732</v>
      </c>
      <c r="L23" s="17" t="n">
        <f aca="false">RANDBETWEEN(-30,90)/1000</f>
        <v>0.018</v>
      </c>
      <c r="M23" s="17" t="n">
        <f aca="false">+Chạy!N7</f>
        <v>9.75</v>
      </c>
      <c r="N23" s="17" t="n">
        <f aca="false">+M23+O23</f>
        <v>9.7519</v>
      </c>
      <c r="O23" s="17" t="n">
        <f aca="false">RANDBETWEEN(-105,115)/10000</f>
        <v>0.0019</v>
      </c>
      <c r="P23" s="17" t="n">
        <f aca="false">+Chạy!O7</f>
        <v>-0.75</v>
      </c>
      <c r="Q23" s="17" t="n">
        <f aca="false">P23+R23</f>
        <v>-0.678</v>
      </c>
      <c r="R23" s="17" t="n">
        <f aca="false">RANDBETWEEN(-30,90)/1000</f>
        <v>0.072</v>
      </c>
      <c r="S23" s="18"/>
      <c r="T23" s="0" t="n">
        <v>20</v>
      </c>
    </row>
    <row r="24" customFormat="false" ht="15" hidden="false" customHeight="false" outlineLevel="0" collapsed="false">
      <c r="A24" s="14" t="n">
        <v>3</v>
      </c>
      <c r="B24" s="14" t="s">
        <v>19</v>
      </c>
      <c r="C24" s="71" t="n">
        <f aca="false">+C23+T23</f>
        <v>434.75</v>
      </c>
      <c r="D24" s="17" t="n">
        <f aca="false">+Chạy!F11</f>
        <v>-9.54</v>
      </c>
      <c r="E24" s="17" t="n">
        <f aca="false">+D24+F24</f>
        <v>-9.5486</v>
      </c>
      <c r="F24" s="17" t="n">
        <f aca="false">RANDBETWEEN(-105,115)/10000</f>
        <v>-0.0086</v>
      </c>
      <c r="G24" s="17" t="n">
        <f aca="false">+Chạy!G11</f>
        <v>-0.75</v>
      </c>
      <c r="H24" s="17" t="n">
        <f aca="false">G24+I24</f>
        <v>-0.704</v>
      </c>
      <c r="I24" s="17" t="n">
        <f aca="false">RANDBETWEEN(-30,90)/1000</f>
        <v>0.046</v>
      </c>
      <c r="J24" s="17" t="n">
        <f aca="false">+Chạy!K11</f>
        <v>-0.75</v>
      </c>
      <c r="K24" s="17" t="n">
        <f aca="false">J24+L24</f>
        <v>-0.683</v>
      </c>
      <c r="L24" s="17" t="n">
        <f aca="false">RANDBETWEEN(-30,90)/1000</f>
        <v>0.067</v>
      </c>
      <c r="M24" s="17" t="n">
        <f aca="false">+Chạy!N11</f>
        <v>9.46</v>
      </c>
      <c r="N24" s="17" t="n">
        <f aca="false">+M24+O24</f>
        <v>9.4623</v>
      </c>
      <c r="O24" s="17" t="n">
        <f aca="false">RANDBETWEEN(-105,115)/10000</f>
        <v>0.0023</v>
      </c>
      <c r="P24" s="17" t="n">
        <f aca="false">+Chạy!O11</f>
        <v>-0.75</v>
      </c>
      <c r="Q24" s="17" t="n">
        <f aca="false">P24+R24</f>
        <v>-0.78</v>
      </c>
      <c r="R24" s="17" t="n">
        <f aca="false">RANDBETWEEN(-30,90)/1000</f>
        <v>-0.03</v>
      </c>
      <c r="S24" s="18"/>
      <c r="T24" s="0" t="n">
        <v>20</v>
      </c>
    </row>
    <row r="25" customFormat="false" ht="15" hidden="false" customHeight="false" outlineLevel="0" collapsed="false">
      <c r="A25" s="14" t="n">
        <v>4</v>
      </c>
      <c r="B25" s="14" t="s">
        <v>20</v>
      </c>
      <c r="C25" s="71" t="n">
        <f aca="false">+C24+T24</f>
        <v>454.75</v>
      </c>
      <c r="D25" s="17" t="n">
        <f aca="false">+Chạy!F15</f>
        <v>-8.75</v>
      </c>
      <c r="E25" s="17" t="n">
        <f aca="false">+D25+F25</f>
        <v>-8.7452</v>
      </c>
      <c r="F25" s="17" t="n">
        <f aca="false">RANDBETWEEN(-105,115)/10000</f>
        <v>0.0048</v>
      </c>
      <c r="G25" s="17" t="n">
        <f aca="false">+Chạy!G15</f>
        <v>-0.75</v>
      </c>
      <c r="H25" s="17" t="n">
        <f aca="false">G25+I25</f>
        <v>-0.688</v>
      </c>
      <c r="I25" s="17" t="n">
        <f aca="false">RANDBETWEEN(-30,90)/1000</f>
        <v>0.062</v>
      </c>
      <c r="J25" s="17" t="n">
        <f aca="false">+Chạy!K15</f>
        <v>-0.75</v>
      </c>
      <c r="K25" s="17" t="n">
        <f aca="false">J25+L25</f>
        <v>-0.72</v>
      </c>
      <c r="L25" s="17" t="n">
        <f aca="false">RANDBETWEEN(-30,90)/1000</f>
        <v>0.03</v>
      </c>
      <c r="M25" s="17" t="n">
        <f aca="false">+Chạy!N15</f>
        <v>9.09</v>
      </c>
      <c r="N25" s="17" t="n">
        <f aca="false">+M25+O25</f>
        <v>9.0899</v>
      </c>
      <c r="O25" s="17" t="n">
        <f aca="false">RANDBETWEEN(-105,115)/10000</f>
        <v>-0.0001</v>
      </c>
      <c r="P25" s="17" t="n">
        <f aca="false">+Chạy!O15</f>
        <v>-0.75</v>
      </c>
      <c r="Q25" s="17" t="n">
        <f aca="false">P25+R25</f>
        <v>-0.771</v>
      </c>
      <c r="R25" s="17" t="n">
        <f aca="false">RANDBETWEEN(-30,90)/1000</f>
        <v>-0.021</v>
      </c>
      <c r="S25" s="18"/>
      <c r="T25" s="0" t="n">
        <v>20</v>
      </c>
    </row>
    <row r="26" customFormat="false" ht="15" hidden="false" customHeight="false" outlineLevel="0" collapsed="false">
      <c r="A26" s="14" t="n">
        <v>5</v>
      </c>
      <c r="B26" s="14" t="s">
        <v>21</v>
      </c>
      <c r="C26" s="71" t="n">
        <f aca="false">+C25+T25</f>
        <v>474.75</v>
      </c>
      <c r="D26" s="17" t="n">
        <f aca="false">+Chạy!F19</f>
        <v>-9.27</v>
      </c>
      <c r="E26" s="17" t="n">
        <f aca="false">+D26+F26</f>
        <v>-9.2599</v>
      </c>
      <c r="F26" s="17" t="n">
        <f aca="false">RANDBETWEEN(-105,115)/10000</f>
        <v>0.0101</v>
      </c>
      <c r="G26" s="17" t="n">
        <f aca="false">+Chạy!G19</f>
        <v>-0.75</v>
      </c>
      <c r="H26" s="17" t="n">
        <f aca="false">G26+I26</f>
        <v>-0.768</v>
      </c>
      <c r="I26" s="17" t="n">
        <f aca="false">RANDBETWEEN(-30,90)/1000</f>
        <v>-0.018</v>
      </c>
      <c r="J26" s="17" t="n">
        <f aca="false">+Chạy!K19</f>
        <v>-0.75</v>
      </c>
      <c r="K26" s="17" t="n">
        <f aca="false">J26+L26</f>
        <v>-0.703</v>
      </c>
      <c r="L26" s="17" t="n">
        <f aca="false">RANDBETWEEN(-30,90)/1000</f>
        <v>0.047</v>
      </c>
      <c r="M26" s="17" t="n">
        <f aca="false">+Chạy!N19</f>
        <v>9.22</v>
      </c>
      <c r="N26" s="17" t="n">
        <f aca="false">+M26+O26</f>
        <v>9.2244</v>
      </c>
      <c r="O26" s="17" t="n">
        <f aca="false">RANDBETWEEN(-105,115)/10000</f>
        <v>0.0044</v>
      </c>
      <c r="P26" s="17" t="n">
        <f aca="false">+Chạy!O19</f>
        <v>-0.75</v>
      </c>
      <c r="Q26" s="17" t="n">
        <f aca="false">P26+R26</f>
        <v>-0.778</v>
      </c>
      <c r="R26" s="17" t="n">
        <f aca="false">RANDBETWEEN(-30,90)/1000</f>
        <v>-0.028</v>
      </c>
      <c r="S26" s="18"/>
      <c r="T26" s="0" t="n">
        <v>14.44</v>
      </c>
    </row>
    <row r="27" customFormat="false" ht="15" hidden="false" customHeight="false" outlineLevel="0" collapsed="false">
      <c r="A27" s="14" t="n">
        <v>6</v>
      </c>
      <c r="B27" s="14" t="s">
        <v>22</v>
      </c>
      <c r="C27" s="71" t="n">
        <f aca="false">+C26+T26</f>
        <v>489.19</v>
      </c>
      <c r="D27" s="17" t="n">
        <f aca="false">+Chạy!F23</f>
        <v>-9.15</v>
      </c>
      <c r="E27" s="17" t="n">
        <f aca="false">+D27+F27</f>
        <v>-9.1514</v>
      </c>
      <c r="F27" s="17" t="n">
        <f aca="false">RANDBETWEEN(-105,115)/10000</f>
        <v>-0.0014</v>
      </c>
      <c r="G27" s="17" t="n">
        <f aca="false">+Chạy!G23</f>
        <v>-0.75</v>
      </c>
      <c r="H27" s="17" t="n">
        <f aca="false">G27+I27</f>
        <v>-0.683</v>
      </c>
      <c r="I27" s="17" t="n">
        <f aca="false">RANDBETWEEN(-30,90)/1000</f>
        <v>0.067</v>
      </c>
      <c r="J27" s="17" t="n">
        <f aca="false">+Chạy!K23</f>
        <v>-0.75</v>
      </c>
      <c r="K27" s="17" t="n">
        <f aca="false">J27+L27</f>
        <v>-0.761</v>
      </c>
      <c r="L27" s="17" t="n">
        <f aca="false">RANDBETWEEN(-30,90)/1000</f>
        <v>-0.011</v>
      </c>
      <c r="M27" s="17" t="n">
        <f aca="false">+Chạy!N23</f>
        <v>5.95</v>
      </c>
      <c r="N27" s="17" t="n">
        <f aca="false">+M27+O27</f>
        <v>5.9613</v>
      </c>
      <c r="O27" s="17" t="n">
        <f aca="false">RANDBETWEEN(-105,115)/10000</f>
        <v>0.0113</v>
      </c>
      <c r="P27" s="17" t="n">
        <f aca="false">+Chạy!O23</f>
        <v>-0.75</v>
      </c>
      <c r="Q27" s="17" t="n">
        <f aca="false">P27+R27</f>
        <v>-0.687</v>
      </c>
      <c r="R27" s="17" t="n">
        <f aca="false">RANDBETWEEN(-30,90)/1000</f>
        <v>0.063</v>
      </c>
      <c r="S27" s="18"/>
    </row>
    <row r="28" customFormat="false" ht="15" hidden="true" customHeight="false" outlineLevel="0" collapsed="false">
      <c r="A28" s="14"/>
      <c r="B28" s="14"/>
      <c r="C28" s="71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8"/>
    </row>
    <row r="29" customFormat="false" ht="15" hidden="true" customHeight="false" outlineLevel="0" collapsed="false">
      <c r="A29" s="14"/>
      <c r="B29" s="14"/>
      <c r="C29" s="71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8"/>
    </row>
    <row r="30" customFormat="false" ht="15" hidden="true" customHeight="false" outlineLevel="0" collapsed="false">
      <c r="A30" s="14"/>
      <c r="B30" s="14"/>
      <c r="C30" s="7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8"/>
    </row>
    <row r="31" customFormat="false" ht="15" hidden="true" customHeight="false" outlineLevel="0" collapsed="false">
      <c r="A31" s="14"/>
      <c r="B31" s="14"/>
      <c r="C31" s="71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8" customFormat="false" ht="15" hidden="false" customHeight="false" outlineLevel="0" collapsed="false">
      <c r="C48" s="20" t="s">
        <v>45</v>
      </c>
      <c r="D48" s="20"/>
      <c r="E48" s="20"/>
      <c r="F48" s="20"/>
      <c r="G48" s="20"/>
      <c r="H48" s="20"/>
      <c r="I48" s="20"/>
      <c r="K48" s="21"/>
      <c r="L48" s="21"/>
      <c r="M48" s="21"/>
      <c r="N48" s="21"/>
      <c r="O48" s="20" t="s">
        <v>46</v>
      </c>
      <c r="P48" s="20"/>
      <c r="Q48" s="20"/>
      <c r="R48" s="20"/>
    </row>
    <row r="49" customFormat="false" ht="15" hidden="false" customHeight="false" outlineLevel="0" collapsed="false">
      <c r="E49" s="22"/>
      <c r="F49" s="22"/>
      <c r="G49" s="22"/>
      <c r="H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C53" s="20" t="s">
        <v>47</v>
      </c>
      <c r="D53" s="20"/>
      <c r="E53" s="20"/>
      <c r="F53" s="20"/>
      <c r="G53" s="20"/>
      <c r="H53" s="20"/>
      <c r="I53" s="20"/>
      <c r="K53" s="21"/>
      <c r="L53" s="21"/>
      <c r="M53" s="21"/>
      <c r="N53" s="21"/>
      <c r="O53" s="20" t="s">
        <v>48</v>
      </c>
      <c r="P53" s="20"/>
      <c r="Q53" s="20"/>
      <c r="R53" s="20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48:I48"/>
    <mergeCell ref="O48:R48"/>
    <mergeCell ref="C53:I53"/>
    <mergeCell ref="O53:R53"/>
  </mergeCells>
  <printOptions headings="false" gridLines="false" gridLinesSet="true" horizontalCentered="true" verticalCentered="false"/>
  <pageMargins left="0.157638888888889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selection pane="topLeft" activeCell="AB20" activeCellId="0" sqref="AB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34.NĐXD8/CVXD ngày 03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E2" s="7"/>
      <c r="AZ2">
        <v>34</v>
      </c>
    </row>
    <row r="3" s="30" customFormat="true" ht="37.5" hidden="false" customHeight="true" outlineLevel="0" collapsed="false">
      <c r="A3" s="28" t="s">
        <v>25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26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28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29</v>
      </c>
      <c r="B7" s="32"/>
      <c r="D7" s="33" t="str">
        <f>VLOOKUP(AZ2,'[1]Tuyến XD8'!$A$2:$B$60,2,0)</f>
        <v xml:space="preserve">Đắp cát nền đường lớp 3 đoạn từ Km0+394,75 - Km0+489,19,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33</v>
      </c>
      <c r="C9" s="35" t="s">
        <v>34</v>
      </c>
      <c r="D9" s="36" t="s">
        <v>50</v>
      </c>
      <c r="E9" s="37"/>
      <c r="F9" s="37"/>
      <c r="G9" s="36"/>
      <c r="H9" s="37"/>
      <c r="I9" s="37"/>
      <c r="J9" s="37"/>
      <c r="K9" s="37"/>
      <c r="L9" s="37"/>
      <c r="M9" s="38" t="s">
        <v>51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38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52</v>
      </c>
      <c r="O10" s="38" t="s">
        <v>53</v>
      </c>
      <c r="P10" s="38" t="s">
        <v>52</v>
      </c>
      <c r="Q10" s="38" t="s">
        <v>52</v>
      </c>
      <c r="R10" s="38"/>
      <c r="S10" s="38"/>
      <c r="T10" s="38"/>
      <c r="U10" s="38" t="s">
        <v>54</v>
      </c>
      <c r="V10" s="38" t="s">
        <v>54</v>
      </c>
      <c r="W10" s="38" t="s">
        <v>55</v>
      </c>
      <c r="X10" s="38" t="s">
        <v>54</v>
      </c>
      <c r="Y10" s="38" t="s">
        <v>54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'3.KTHH L3'!B22</f>
        <v>20</v>
      </c>
      <c r="C11" s="16" t="n">
        <f aca="false">'3.KTHH L3'!C22</f>
        <v>394.75</v>
      </c>
      <c r="D11" s="14" t="n">
        <f aca="false">'3.KTHH L3'!T22</f>
        <v>20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Chạy!E3</f>
        <v>5.69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114.1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'3.KTHH L3'!B23</f>
        <v>21</v>
      </c>
      <c r="C12" s="16" t="n">
        <f aca="false">'3.KTHH L3'!C23</f>
        <v>414.75</v>
      </c>
      <c r="D12" s="14" t="n">
        <f aca="false">'3.KTHH L3'!T23</f>
        <v>20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Chạy!E7</f>
        <v>5.72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113.3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'3.KTHH L3'!B24</f>
        <v>22</v>
      </c>
      <c r="C13" s="16" t="n">
        <f aca="false">'3.KTHH L3'!C24</f>
        <v>434.75</v>
      </c>
      <c r="D13" s="14" t="n">
        <f aca="false">'3.KTHH L3'!T24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Chạy!E11</f>
        <v>5.61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108.7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'3.KTHH L3'!B25</f>
        <v>23</v>
      </c>
      <c r="C14" s="16" t="n">
        <f aca="false">'3.KTHH L3'!C25</f>
        <v>454.75</v>
      </c>
      <c r="D14" s="14" t="n">
        <f aca="false">'3.KTHH L3'!T25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Chạy!E15</f>
        <v>5.26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107.2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'3.KTHH L3'!B26</f>
        <v>24</v>
      </c>
      <c r="C15" s="16" t="n">
        <f aca="false">'3.KTHH L3'!C26</f>
        <v>474.75</v>
      </c>
      <c r="D15" s="14" t="n">
        <f aca="false">'3.KTHH L3'!T26</f>
        <v>14.44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Chạy!E19</f>
        <v>5.46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71.478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'3.KTHH L3'!B27</f>
        <v>25</v>
      </c>
      <c r="C16" s="16" t="n">
        <f aca="false">'3.KTHH L3'!C27</f>
        <v>489.19</v>
      </c>
      <c r="D16" s="14"/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Chạy!E23</f>
        <v>4.44</v>
      </c>
      <c r="P16" s="47"/>
      <c r="Q16" s="47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1"/>
      <c r="AC16" s="50"/>
      <c r="AE16" s="52"/>
    </row>
    <row r="17" s="45" customFormat="true" ht="15" hidden="true" customHeight="true" outlineLevel="0" collapsed="false">
      <c r="A17" s="14"/>
      <c r="B17" s="14"/>
      <c r="C17" s="16"/>
      <c r="D17" s="14"/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/>
      <c r="P17" s="47"/>
      <c r="Q17" s="47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1"/>
      <c r="AC17" s="50"/>
      <c r="AE17" s="52"/>
    </row>
    <row r="18" s="45" customFormat="true" ht="15" hidden="true" customHeight="true" outlineLevel="0" collapsed="false">
      <c r="A18" s="14"/>
      <c r="B18" s="14"/>
      <c r="C18" s="16"/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/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56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SUM(W11:W16)</f>
        <v>514.778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0.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45</v>
      </c>
      <c r="B38" s="20"/>
      <c r="C38" s="20"/>
      <c r="D38" s="65" t="s">
        <v>57</v>
      </c>
      <c r="E38" s="20" t="s">
        <v>46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47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48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="41" customFormat="true" ht="15" hidden="false" customHeight="true" outlineLevel="0" collapsed="false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</row>
    <row r="46" s="41" customFormat="true" ht="15" hidden="false" customHeight="true" outlineLevel="0" collapsed="false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</row>
    <row r="47" s="41" customFormat="true" ht="15" hidden="false" customHeight="true" outlineLevel="0" collapsed="false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</row>
    <row r="48" s="41" customFormat="true" ht="15" hidden="false" customHeight="true" outlineLevel="0" collapsed="false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</row>
    <row r="49" s="41" customFormat="true" ht="15" hidden="false" customHeight="true" outlineLevel="0" collapsed="false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</row>
    <row r="50" s="41" customFormat="true" ht="15" hidden="false" customHeight="true" outlineLevel="0" collapsed="false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</row>
    <row r="51" s="41" customFormat="true" ht="15" hidden="false" customHeight="true" outlineLevel="0" collapsed="false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</row>
    <row r="52" s="41" customFormat="true" ht="15" hidden="false" customHeight="true" outlineLevel="0" collapsed="false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</row>
    <row r="53" s="41" customFormat="true" ht="15" hidden="false" customHeight="true" outlineLevel="0" collapsed="false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</row>
    <row r="54" s="41" customFormat="true" ht="15" hidden="false" customHeight="true" outlineLevel="0" collapsed="false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</row>
    <row r="55" s="41" customFormat="true" ht="15" hidden="false" customHeight="true" outlineLevel="0" collapsed="false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</row>
    <row r="56" s="41" customFormat="true" ht="15" hidden="false" customHeight="true" outlineLevel="0" collapsed="false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</row>
    <row r="57" s="41" customFormat="true" ht="15" hidden="false" customHeight="true" outlineLevel="0" collapsed="false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</row>
    <row r="58" s="41" customFormat="true" ht="15" hidden="false" customHeight="true" outlineLevel="0" collapsed="false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</row>
    <row r="59" s="41" customFormat="true" ht="15" hidden="false" customHeight="true" outlineLevel="0" collapsed="false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</row>
    <row r="60" s="41" customFormat="true" ht="15" hidden="false" customHeight="true" outlineLevel="0" collapsed="false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</row>
    <row r="61" s="41" customFormat="true" ht="15" hidden="false" customHeight="true" outlineLevel="0" collapsed="false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209722222222222" top="0.459722222222222" bottom="0.32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5"/>
  <sheetViews>
    <sheetView showFormulas="false" showGridLines="true" showRowColHeaders="true" showZeros="true" rightToLeft="false" tabSelected="false" showOutlineSymbols="true" defaultGridColor="true" view="normal" topLeftCell="A15" colorId="64" zoomScale="55" zoomScaleNormal="55" zoomScalePageLayoutView="100" workbookViewId="0">
      <selection pane="topLeft" activeCell="P47" activeCellId="0" sqref="P4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7.29"/>
    <col collapsed="false" customWidth="true" hidden="false" outlineLevel="0" max="3" min="3" style="1" width="20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6.85"/>
  </cols>
  <sheetData>
    <row r="1" customFormat="false" ht="20.25" hidden="false" customHeight="true" outlineLevel="0" collapsed="false">
      <c r="A1" s="2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35.NĐXD8/CVXD ngày 03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74"/>
      <c r="U2" s="74"/>
      <c r="V2" s="7"/>
      <c r="W2" s="7"/>
      <c r="AZ2">
        <v>35</v>
      </c>
    </row>
    <row r="3" customFormat="false" ht="18.75" hidden="false" customHeight="true" outlineLevel="0" collapsed="false">
      <c r="A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27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28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29</v>
      </c>
      <c r="C7" s="8"/>
      <c r="D7" s="8"/>
      <c r="E7" s="8"/>
      <c r="F7" s="8"/>
      <c r="G7" s="8" t="str">
        <f>VLOOKUP(AZ2,'[1]Tuyến XD8'!$A$2:$B$60,2,0)</f>
        <v xml:space="preserve">Đắp cát nền đường lớp 4 đoạn từ Km0+394,75 - Km0+489,19,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6.75" hidden="false" customHeight="true" outlineLevel="0" collapsed="false"/>
    <row r="21" customFormat="false" ht="17.25" hidden="false" customHeight="true" outlineLevel="0" collapsed="false">
      <c r="A21" s="10" t="s">
        <v>32</v>
      </c>
      <c r="B21" s="10" t="s">
        <v>33</v>
      </c>
      <c r="C21" s="10" t="s">
        <v>34</v>
      </c>
      <c r="D21" s="11" t="s">
        <v>35</v>
      </c>
      <c r="E21" s="11"/>
      <c r="F21" s="11"/>
      <c r="G21" s="11"/>
      <c r="H21" s="11"/>
      <c r="I21" s="11"/>
      <c r="J21" s="11" t="s">
        <v>36</v>
      </c>
      <c r="K21" s="11"/>
      <c r="L21" s="11"/>
      <c r="M21" s="11" t="s">
        <v>37</v>
      </c>
      <c r="N21" s="11"/>
      <c r="O21" s="11"/>
      <c r="P21" s="11"/>
      <c r="Q21" s="11"/>
      <c r="R21" s="11"/>
      <c r="S21" s="10" t="s">
        <v>38</v>
      </c>
    </row>
    <row r="22" customFormat="false" ht="30" hidden="false" customHeight="true" outlineLevel="0" collapsed="false">
      <c r="A22" s="10"/>
      <c r="B22" s="10"/>
      <c r="C22" s="10"/>
      <c r="D22" s="12" t="s">
        <v>39</v>
      </c>
      <c r="E22" s="12" t="s">
        <v>40</v>
      </c>
      <c r="F22" s="12" t="s">
        <v>41</v>
      </c>
      <c r="G22" s="12" t="s">
        <v>42</v>
      </c>
      <c r="H22" s="12" t="s">
        <v>43</v>
      </c>
      <c r="I22" s="12" t="s">
        <v>44</v>
      </c>
      <c r="J22" s="12" t="s">
        <v>42</v>
      </c>
      <c r="K22" s="12" t="s">
        <v>43</v>
      </c>
      <c r="L22" s="12" t="s">
        <v>44</v>
      </c>
      <c r="M22" s="12" t="s">
        <v>39</v>
      </c>
      <c r="N22" s="12" t="s">
        <v>40</v>
      </c>
      <c r="O22" s="12" t="s">
        <v>41</v>
      </c>
      <c r="P22" s="12" t="s">
        <v>42</v>
      </c>
      <c r="Q22" s="12" t="s">
        <v>43</v>
      </c>
      <c r="R22" s="12" t="s">
        <v>44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394.75</v>
      </c>
      <c r="D23" s="17" t="n">
        <f aca="false">+Chạy!F2</f>
        <v>-9.86</v>
      </c>
      <c r="E23" s="17" t="n">
        <f aca="false">+D23+F23</f>
        <v>-9.8702</v>
      </c>
      <c r="F23" s="17" t="n">
        <f aca="false">RANDBETWEEN(-105,115)/10000</f>
        <v>-0.0102</v>
      </c>
      <c r="G23" s="17" t="n">
        <f aca="false">+Chạy!G2</f>
        <v>-0.45</v>
      </c>
      <c r="H23" s="17" t="n">
        <f aca="false">G23+I23</f>
        <v>-0.39</v>
      </c>
      <c r="I23" s="17" t="n">
        <f aca="false">RANDBETWEEN(-30,90)/1000</f>
        <v>0.06</v>
      </c>
      <c r="J23" s="17" t="n">
        <f aca="false">+Chạy!K2</f>
        <v>-0.45</v>
      </c>
      <c r="K23" s="17" t="n">
        <f aca="false">J23+L23</f>
        <v>-0.378</v>
      </c>
      <c r="L23" s="17" t="n">
        <f aca="false">RANDBETWEEN(-30,90)/1000</f>
        <v>0.072</v>
      </c>
      <c r="M23" s="17" t="n">
        <f aca="false">+Chạy!N2</f>
        <v>9.99</v>
      </c>
      <c r="N23" s="17" t="n">
        <f aca="false">+M23+O23</f>
        <v>9.9854</v>
      </c>
      <c r="O23" s="17" t="n">
        <f aca="false">RANDBETWEEN(-105,115)/10000</f>
        <v>-0.0046</v>
      </c>
      <c r="P23" s="17" t="n">
        <f aca="false">+Chạy!O2</f>
        <v>-0.45</v>
      </c>
      <c r="Q23" s="17" t="n">
        <f aca="false">P23+R23</f>
        <v>-0.454</v>
      </c>
      <c r="R23" s="17" t="n">
        <f aca="false">RANDBETWEEN(-30,90)/1000</f>
        <v>-0.004</v>
      </c>
      <c r="S23" s="18"/>
      <c r="T23" s="0" t="n">
        <v>20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414.75</v>
      </c>
      <c r="D24" s="17" t="n">
        <f aca="false">+Chạy!F6</f>
        <v>-9.91</v>
      </c>
      <c r="E24" s="17" t="n">
        <f aca="false">+D24+F24</f>
        <v>-9.907</v>
      </c>
      <c r="F24" s="17" t="n">
        <f aca="false">RANDBETWEEN(-105,115)/10000</f>
        <v>0.003</v>
      </c>
      <c r="G24" s="17" t="n">
        <f aca="false">+Chạy!G6</f>
        <v>-0.45</v>
      </c>
      <c r="H24" s="17" t="n">
        <f aca="false">G24+I24</f>
        <v>-0.418</v>
      </c>
      <c r="I24" s="17" t="n">
        <f aca="false">RANDBETWEEN(-30,90)/1000</f>
        <v>0.032</v>
      </c>
      <c r="J24" s="17" t="n">
        <f aca="false">+Chạy!K6</f>
        <v>-0.45</v>
      </c>
      <c r="K24" s="17" t="n">
        <f aca="false">J24+L24</f>
        <v>-0.446</v>
      </c>
      <c r="L24" s="17" t="n">
        <f aca="false">RANDBETWEEN(-30,90)/1000</f>
        <v>0.004</v>
      </c>
      <c r="M24" s="17" t="n">
        <f aca="false">+Chạy!N6</f>
        <v>10.05</v>
      </c>
      <c r="N24" s="17" t="n">
        <f aca="false">+M24+O24</f>
        <v>10.0505</v>
      </c>
      <c r="O24" s="17" t="n">
        <f aca="false">RANDBETWEEN(-105,115)/10000</f>
        <v>0.0005</v>
      </c>
      <c r="P24" s="17" t="n">
        <f aca="false">+Chạy!O6</f>
        <v>-0.45</v>
      </c>
      <c r="Q24" s="17" t="n">
        <f aca="false">P24+R24</f>
        <v>-0.449</v>
      </c>
      <c r="R24" s="17" t="n">
        <f aca="false">RANDBETWEEN(-30,90)/1000</f>
        <v>0.001</v>
      </c>
      <c r="S24" s="18"/>
      <c r="T24" s="0" t="n">
        <v>20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434.75</v>
      </c>
      <c r="D25" s="17" t="n">
        <f aca="false">+Chạy!F10</f>
        <v>-9.84</v>
      </c>
      <c r="E25" s="17" t="n">
        <f aca="false">+D25+F25</f>
        <v>-9.8484</v>
      </c>
      <c r="F25" s="17" t="n">
        <f aca="false">RANDBETWEEN(-105,115)/10000</f>
        <v>-0.0084</v>
      </c>
      <c r="G25" s="17" t="n">
        <f aca="false">+Chạy!G10</f>
        <v>-0.45</v>
      </c>
      <c r="H25" s="17" t="n">
        <f aca="false">G25+I25</f>
        <v>-0.424</v>
      </c>
      <c r="I25" s="17" t="n">
        <f aca="false">RANDBETWEEN(-30,90)/1000</f>
        <v>0.026</v>
      </c>
      <c r="J25" s="17" t="n">
        <f aca="false">+Chạy!K10</f>
        <v>-0.45</v>
      </c>
      <c r="K25" s="17" t="n">
        <f aca="false">J25+L25</f>
        <v>-0.431</v>
      </c>
      <c r="L25" s="17" t="n">
        <f aca="false">RANDBETWEEN(-30,90)/1000</f>
        <v>0.019</v>
      </c>
      <c r="M25" s="17" t="n">
        <f aca="false">+Chạy!N10</f>
        <v>9.76</v>
      </c>
      <c r="N25" s="17" t="n">
        <f aca="false">+M25+O25</f>
        <v>9.7564</v>
      </c>
      <c r="O25" s="17" t="n">
        <f aca="false">RANDBETWEEN(-105,115)/10000</f>
        <v>-0.0036</v>
      </c>
      <c r="P25" s="17" t="n">
        <f aca="false">+Chạy!O10</f>
        <v>-0.45</v>
      </c>
      <c r="Q25" s="17" t="n">
        <f aca="false">P25+R25</f>
        <v>-0.391</v>
      </c>
      <c r="R25" s="17" t="n">
        <f aca="false">RANDBETWEEN(-30,90)/1000</f>
        <v>0.059</v>
      </c>
      <c r="S25" s="18"/>
      <c r="T25" s="0" t="n">
        <v>20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454.75</v>
      </c>
      <c r="D26" s="17" t="n">
        <f aca="false">+Chạy!F14</f>
        <v>-9.05</v>
      </c>
      <c r="E26" s="17" t="n">
        <f aca="false">+D26+F26</f>
        <v>-9.0497</v>
      </c>
      <c r="F26" s="17" t="n">
        <f aca="false">RANDBETWEEN(-105,115)/10000</f>
        <v>0.0003</v>
      </c>
      <c r="G26" s="17" t="n">
        <f aca="false">+Chạy!G14</f>
        <v>-0.45</v>
      </c>
      <c r="H26" s="17" t="n">
        <f aca="false">G26+I26</f>
        <v>-0.375</v>
      </c>
      <c r="I26" s="17" t="n">
        <f aca="false">RANDBETWEEN(-30,90)/1000</f>
        <v>0.075</v>
      </c>
      <c r="J26" s="17" t="n">
        <f aca="false">+Chạy!K14</f>
        <v>-0.45</v>
      </c>
      <c r="K26" s="17" t="n">
        <f aca="false">J26+L26</f>
        <v>-0.42</v>
      </c>
      <c r="L26" s="17" t="n">
        <f aca="false">RANDBETWEEN(-30,90)/1000</f>
        <v>0.03</v>
      </c>
      <c r="M26" s="17" t="n">
        <f aca="false">+Chạy!N14</f>
        <v>9.39</v>
      </c>
      <c r="N26" s="17" t="n">
        <f aca="false">+M26+O26</f>
        <v>9.3836</v>
      </c>
      <c r="O26" s="17" t="n">
        <f aca="false">RANDBETWEEN(-105,115)/10000</f>
        <v>-0.0064</v>
      </c>
      <c r="P26" s="17" t="n">
        <f aca="false">+Chạy!O14</f>
        <v>-0.45</v>
      </c>
      <c r="Q26" s="17" t="n">
        <f aca="false">P26+R26</f>
        <v>-0.395</v>
      </c>
      <c r="R26" s="17" t="n">
        <f aca="false">RANDBETWEEN(-30,90)/1000</f>
        <v>0.055</v>
      </c>
      <c r="S26" s="18"/>
      <c r="T26" s="0" t="n">
        <v>20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474.75</v>
      </c>
      <c r="D27" s="17" t="n">
        <f aca="false">+Chạy!F18</f>
        <v>-9.57</v>
      </c>
      <c r="E27" s="17" t="n">
        <f aca="false">+D27+F27</f>
        <v>-9.5694</v>
      </c>
      <c r="F27" s="17" t="n">
        <f aca="false">RANDBETWEEN(-105,115)/10000</f>
        <v>0.0006</v>
      </c>
      <c r="G27" s="17" t="n">
        <f aca="false">+Chạy!G18</f>
        <v>-0.45</v>
      </c>
      <c r="H27" s="17" t="n">
        <f aca="false">G27+I27</f>
        <v>-0.392</v>
      </c>
      <c r="I27" s="17" t="n">
        <f aca="false">RANDBETWEEN(-30,90)/1000</f>
        <v>0.058</v>
      </c>
      <c r="J27" s="17" t="n">
        <f aca="false">+Chạy!K18</f>
        <v>-0.45</v>
      </c>
      <c r="K27" s="17" t="n">
        <f aca="false">J27+L27</f>
        <v>-0.39</v>
      </c>
      <c r="L27" s="17" t="n">
        <f aca="false">RANDBETWEEN(-30,90)/1000</f>
        <v>0.06</v>
      </c>
      <c r="M27" s="17" t="n">
        <f aca="false">+Chạy!N18</f>
        <v>9.52</v>
      </c>
      <c r="N27" s="17" t="n">
        <f aca="false">+M27+O27</f>
        <v>9.5176</v>
      </c>
      <c r="O27" s="17" t="n">
        <f aca="false">RANDBETWEEN(-105,115)/10000</f>
        <v>-0.0024</v>
      </c>
      <c r="P27" s="17" t="n">
        <f aca="false">+Chạy!O18</f>
        <v>-0.45</v>
      </c>
      <c r="Q27" s="17" t="n">
        <f aca="false">P27+R27</f>
        <v>-0.433</v>
      </c>
      <c r="R27" s="17" t="n">
        <f aca="false">RANDBETWEEN(-30,90)/1000</f>
        <v>0.017</v>
      </c>
      <c r="S27" s="18"/>
      <c r="T27" s="0" t="n">
        <v>14.44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489.19</v>
      </c>
      <c r="D28" s="17" t="n">
        <f aca="false">+Chạy!F22</f>
        <v>-9.45</v>
      </c>
      <c r="E28" s="17" t="n">
        <f aca="false">+D28+F28</f>
        <v>-9.4553</v>
      </c>
      <c r="F28" s="17" t="n">
        <f aca="false">RANDBETWEEN(-105,115)/10000</f>
        <v>-0.0053</v>
      </c>
      <c r="G28" s="17" t="n">
        <f aca="false">+Chạy!G22</f>
        <v>-0.45</v>
      </c>
      <c r="H28" s="17" t="n">
        <f aca="false">G28+I28</f>
        <v>-0.427</v>
      </c>
      <c r="I28" s="17" t="n">
        <f aca="false">RANDBETWEEN(-30,90)/1000</f>
        <v>0.023</v>
      </c>
      <c r="J28" s="17" t="n">
        <f aca="false">+Chạy!K22</f>
        <v>-0.45</v>
      </c>
      <c r="K28" s="17" t="n">
        <f aca="false">J28+L28</f>
        <v>-0.456</v>
      </c>
      <c r="L28" s="17" t="n">
        <f aca="false">RANDBETWEEN(-30,90)/1000</f>
        <v>-0.006</v>
      </c>
      <c r="M28" s="17" t="n">
        <f aca="false">+Chạy!N22</f>
        <v>6.25</v>
      </c>
      <c r="N28" s="17" t="n">
        <f aca="false">+M28+O28</f>
        <v>6.2519</v>
      </c>
      <c r="O28" s="17" t="n">
        <f aca="false">RANDBETWEEN(-105,115)/10000</f>
        <v>0.0019</v>
      </c>
      <c r="P28" s="17" t="n">
        <f aca="false">+Chạy!O22</f>
        <v>-0.45</v>
      </c>
      <c r="Q28" s="17" t="n">
        <f aca="false">P28+R28</f>
        <v>-0.403</v>
      </c>
      <c r="R28" s="17" t="n">
        <f aca="false">RANDBETWEEN(-30,90)/1000</f>
        <v>0.047</v>
      </c>
      <c r="S28" s="18"/>
    </row>
    <row r="29" customFormat="false" ht="15" hidden="true" customHeight="false" outlineLevel="0" collapsed="false">
      <c r="A29" s="14"/>
      <c r="B29" s="14"/>
      <c r="C29" s="71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8"/>
    </row>
    <row r="30" customFormat="false" ht="15" hidden="true" customHeight="false" outlineLevel="0" collapsed="false">
      <c r="A30" s="14"/>
      <c r="B30" s="14"/>
      <c r="C30" s="7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8"/>
    </row>
    <row r="31" customFormat="false" ht="15" hidden="true" customHeight="false" outlineLevel="0" collapsed="false">
      <c r="A31" s="14"/>
      <c r="B31" s="14"/>
      <c r="C31" s="71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9" customFormat="false" ht="15" hidden="false" customHeight="false" outlineLevel="0" collapsed="false">
      <c r="C49" s="20" t="s">
        <v>45</v>
      </c>
      <c r="D49" s="20"/>
      <c r="E49" s="20"/>
      <c r="F49" s="20"/>
      <c r="G49" s="20"/>
      <c r="H49" s="20"/>
      <c r="I49" s="20"/>
      <c r="K49" s="21"/>
      <c r="L49" s="21"/>
      <c r="M49" s="21"/>
      <c r="N49" s="21"/>
      <c r="O49" s="20" t="s">
        <v>46</v>
      </c>
      <c r="P49" s="20"/>
      <c r="Q49" s="20"/>
      <c r="R49" s="20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E53" s="22"/>
      <c r="F53" s="22"/>
      <c r="G53" s="22"/>
      <c r="H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C54" s="20" t="s">
        <v>47</v>
      </c>
      <c r="D54" s="20"/>
      <c r="E54" s="20"/>
      <c r="F54" s="20"/>
      <c r="G54" s="20"/>
      <c r="H54" s="20"/>
      <c r="I54" s="20"/>
      <c r="K54" s="21"/>
      <c r="L54" s="21"/>
      <c r="M54" s="21"/>
      <c r="N54" s="21"/>
      <c r="O54" s="20" t="s">
        <v>48</v>
      </c>
      <c r="P54" s="20"/>
      <c r="Q54" s="20"/>
      <c r="R54" s="20"/>
    </row>
    <row r="55" customFormat="false" ht="15.75" hidden="false" customHeight="true" outlineLevel="0" collapsed="false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49:I49"/>
    <mergeCell ref="O49:R49"/>
    <mergeCell ref="C54:I54"/>
    <mergeCell ref="O54:R54"/>
  </mergeCells>
  <printOptions headings="false" gridLines="false" gridLinesSet="true" horizontalCentered="true" verticalCentered="false"/>
  <pageMargins left="0.157638888888889" right="0.196527777777778" top="0.511805555555556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D17" activeCellId="0" sqref="AD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35.NĐXD8/CVXD ngày 03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35</v>
      </c>
    </row>
    <row r="3" s="30" customFormat="true" ht="37.5" hidden="false" customHeight="true" outlineLevel="0" collapsed="false">
      <c r="A3" s="28" t="s">
        <v>25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26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28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29</v>
      </c>
      <c r="B7" s="32"/>
      <c r="D7" s="33" t="str">
        <f>VLOOKUP(AZ2,'[1]Tuyến XD8'!$A$2:$B$60,2,0)</f>
        <v xml:space="preserve">Đắp cát nền đường lớp 4 đoạn từ Km0+394,75 - Km0+489,19,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13.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33</v>
      </c>
      <c r="C9" s="35" t="s">
        <v>34</v>
      </c>
      <c r="D9" s="36" t="s">
        <v>50</v>
      </c>
      <c r="E9" s="37"/>
      <c r="F9" s="37"/>
      <c r="G9" s="36"/>
      <c r="H9" s="37"/>
      <c r="I9" s="37"/>
      <c r="J9" s="37"/>
      <c r="K9" s="37"/>
      <c r="L9" s="37"/>
      <c r="M9" s="38" t="s">
        <v>51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38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52</v>
      </c>
      <c r="O10" s="38" t="s">
        <v>53</v>
      </c>
      <c r="P10" s="38" t="s">
        <v>52</v>
      </c>
      <c r="Q10" s="38" t="s">
        <v>52</v>
      </c>
      <c r="R10" s="38"/>
      <c r="S10" s="38"/>
      <c r="T10" s="38"/>
      <c r="U10" s="38" t="s">
        <v>54</v>
      </c>
      <c r="V10" s="38" t="s">
        <v>54</v>
      </c>
      <c r="W10" s="38" t="s">
        <v>55</v>
      </c>
      <c r="X10" s="38" t="s">
        <v>54</v>
      </c>
      <c r="Y10" s="38" t="s">
        <v>54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'4.KTHH L4'!B23</f>
        <v>20</v>
      </c>
      <c r="C11" s="16" t="n">
        <f aca="false">'4.KTHH L4'!C23</f>
        <v>394.75</v>
      </c>
      <c r="D11" s="14" t="n">
        <f aca="false">'4.KTHH L4'!T23</f>
        <v>20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Chạy!E2</f>
        <v>5.87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117.7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'4.KTHH L4'!B24</f>
        <v>21</v>
      </c>
      <c r="C12" s="16" t="n">
        <f aca="false">'4.KTHH L4'!C24</f>
        <v>414.75</v>
      </c>
      <c r="D12" s="14" t="n">
        <f aca="false">'4.KTHH L4'!T24</f>
        <v>20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Chạy!E6</f>
        <v>5.9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116.9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'4.KTHH L4'!B25</f>
        <v>22</v>
      </c>
      <c r="C13" s="16" t="n">
        <f aca="false">'4.KTHH L4'!C25</f>
        <v>434.75</v>
      </c>
      <c r="D13" s="14" t="n">
        <f aca="false">'4.KTHH L4'!T25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Chạy!E10</f>
        <v>5.79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112.3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'4.KTHH L4'!B26</f>
        <v>23</v>
      </c>
      <c r="C14" s="16" t="n">
        <f aca="false">'4.KTHH L4'!C26</f>
        <v>454.75</v>
      </c>
      <c r="D14" s="14" t="n">
        <f aca="false">'4.KTHH L4'!T26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Chạy!E14</f>
        <v>5.44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110.8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'4.KTHH L4'!B27</f>
        <v>24</v>
      </c>
      <c r="C15" s="16" t="n">
        <f aca="false">'4.KTHH L4'!C27</f>
        <v>474.75</v>
      </c>
      <c r="D15" s="14" t="n">
        <f aca="false">'4.KTHH L4'!T27</f>
        <v>14.44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Chạy!E18</f>
        <v>5.64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74.0772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'4.KTHH L4'!B28</f>
        <v>25</v>
      </c>
      <c r="C16" s="16" t="n">
        <f aca="false">'4.KTHH L4'!C28</f>
        <v>489.19</v>
      </c>
      <c r="D16" s="14"/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Chạy!E22</f>
        <v>4.62</v>
      </c>
      <c r="P16" s="47"/>
      <c r="Q16" s="47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1"/>
      <c r="AC16" s="50"/>
      <c r="AE16" s="52"/>
    </row>
    <row r="17" s="45" customFormat="true" ht="15" hidden="true" customHeight="true" outlineLevel="0" collapsed="false">
      <c r="A17" s="14"/>
      <c r="B17" s="14"/>
      <c r="C17" s="16"/>
      <c r="D17" s="14"/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/>
      <c r="P17" s="47"/>
      <c r="Q17" s="47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1"/>
      <c r="AC17" s="50"/>
      <c r="AE17" s="52"/>
    </row>
    <row r="18" s="45" customFormat="true" ht="15" hidden="true" customHeight="true" outlineLevel="0" collapsed="false">
      <c r="A18" s="14"/>
      <c r="B18" s="14"/>
      <c r="C18" s="16"/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/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56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SUM(W11:W16)</f>
        <v>531.7772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4.2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45</v>
      </c>
      <c r="B38" s="20"/>
      <c r="C38" s="20"/>
      <c r="D38" s="65" t="s">
        <v>57</v>
      </c>
      <c r="E38" s="20" t="s">
        <v>46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4.2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47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48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customFormat="false" ht="15.75" hidden="false" customHeight="true" outlineLevel="0" collapsed="false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0"/>
    </row>
    <row r="46" customFormat="false" ht="12.75" hidden="false" customHeight="false" outlineLevel="0" collapsed="false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</row>
    <row r="47" customFormat="false" ht="12.75" hidden="false" customHeight="false" outlineLevel="0" collapsed="false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</row>
    <row r="48" customFormat="false" ht="12.75" hidden="false" customHeight="false" outlineLevel="0" collapsed="false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</row>
    <row r="49" customFormat="false" ht="12.75" hidden="false" customHeight="false" outlineLevel="0" collapsed="false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</row>
    <row r="50" customFormat="false" ht="12.75" hidden="false" customHeight="false" outlineLevel="0" collapsed="false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</row>
    <row r="51" customFormat="false" ht="12.75" hidden="false" customHeight="false" outlineLevel="0" collapsed="false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</row>
    <row r="52" customFormat="false" ht="12.75" hidden="false" customHeight="false" outlineLevel="0" collapsed="false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</row>
    <row r="53" customFormat="false" ht="12.75" hidden="false" customHeight="false" outlineLevel="0" collapsed="false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</row>
    <row r="54" customFormat="false" ht="12.75" hidden="false" customHeight="false" outlineLevel="0" collapsed="false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</row>
    <row r="55" customFormat="false" ht="12.75" hidden="false" customHeight="false" outlineLevel="0" collapsed="false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</row>
    <row r="56" customFormat="false" ht="12.75" hidden="false" customHeight="false" outlineLevel="0" collapsed="false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</row>
    <row r="57" customFormat="false" ht="12.75" hidden="false" customHeight="false" outlineLevel="0" collapsed="false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</row>
    <row r="58" customFormat="false" ht="12.75" hidden="false" customHeight="false" outlineLevel="0" collapsed="false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</row>
    <row r="59" customFormat="false" ht="12.75" hidden="false" customHeight="false" outlineLevel="0" collapsed="false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159722222222222" top="0.340277777777778" bottom="0.3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2024-09-12T03:39:04Z</dcterms:created>
  <dc:creator>Microsoft Cop.</dc:creator>
  <dc:description/>
  <dc:language>en-US</dc:language>
  <cp:lastModifiedBy>Microsoft Cop.</cp:lastModifiedBy>
  <cp:lastPrinted>2025-01-03T10:09:51Z</cp:lastPrinted>
  <dcterms:modified xsi:type="dcterms:W3CDTF">2026-10-13T07:37:39Z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