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KTHH Lớp 1" sheetId="1" state="visible" r:id="rId3"/>
    <sheet name="KL lớp 1" sheetId="2" state="visible" r:id="rId4"/>
    <sheet name="KTHH Lớp 2" sheetId="3" state="visible" r:id="rId5"/>
    <sheet name="KL lớp 2" sheetId="4" state="visible" r:id="rId6"/>
    <sheet name="Base A" sheetId="5" state="visible" r:id="rId7"/>
    <sheet name="KL Basa A" sheetId="6" state="visible" r:id="rId8"/>
    <sheet name="Base B" sheetId="7" state="visible" r:id="rId9"/>
    <sheet name="KL Basa B" sheetId="8" state="visible" r:id="rId10"/>
  </sheets>
  <definedNames>
    <definedName function="false" hidden="false" localSheetId="4" name="_xlnm.Print_Area" vbProcedure="false">'Base A'!$A$1:$S$69</definedName>
    <definedName function="false" hidden="false" localSheetId="4" name="_xlnm.Print_Titles" vbProcedure="false">'Base A'!$21:$22</definedName>
    <definedName function="false" hidden="false" localSheetId="6" name="_xlnm.Print_Area" vbProcedure="false">'Base B'!$A$1:$S$69</definedName>
    <definedName function="false" hidden="false" localSheetId="6" name="_xlnm.Print_Titles" vbProcedure="false">'Base B'!$21:$22</definedName>
    <definedName function="false" hidden="false" localSheetId="5" name="_xlnm.Print_Area" vbProcedure="false">'KL Basa A'!$A$1:$AB$58</definedName>
    <definedName function="false" hidden="false" localSheetId="7" name="_xlnm.Print_Area" vbProcedure="false">'KL Basa B'!$A$1:$AB$58</definedName>
    <definedName function="false" hidden="false" localSheetId="1" name="_xlnm.Print_Area" vbProcedure="false">'KL lớp 1'!$A$1:$AB$58</definedName>
    <definedName function="false" hidden="false" localSheetId="3" name="_xlnm.Print_Area" vbProcedure="false">'KL lớp 2'!$A$1:$AB$58</definedName>
    <definedName function="false" hidden="false" localSheetId="0" name="_xlnm.Print_Area" vbProcedure="false">'KTHH Lớp 1'!$A$1:$S$69</definedName>
    <definedName function="false" hidden="false" localSheetId="0" name="_xlnm.Print_Titles" vbProcedure="false">'KTHH Lớp 1'!$21:$22</definedName>
    <definedName function="false" hidden="false" localSheetId="2" name="_xlnm.Print_Area" vbProcedure="false">'KTHH Lớp 2'!$A$1:$S$69</definedName>
    <definedName function="false" hidden="false" localSheetId="2" name="_xlnm.Print_Titles" vbProcedure="false">'KTHH Lớp 2'!$21:$22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<sst xmlns="http://schemas.openxmlformats.org/spreadsheetml/2006/main" count="280" uniqueCount="48">
  <si>
    <t xml:space="preserve">PHỤ LỤC KIỂM TRA CAO ĐỘ, KÍCH THƯỚC HÌNH HỌC</t>
  </si>
  <si>
    <t xml:space="preserve">Kèm theo BBNT số: 45.NĐXD8/CVXD ngày 07 tháng 09 năm 2026</t>
  </si>
  <si>
    <t xml:space="preserve">Dự án: Xây dựng HTKT Khu tái định cư phục vụ di dân xã Hải Hà, thị xã Nghi Sơn, tỉnh Thanh Hóa.</t>
  </si>
  <si>
    <t xml:space="preserve">Gói thầu số 12: Xây dựng HTKT khu vực Hải Bình và Xuân Lâm (bao gồm cả bảo hiểm xây dựng công trình)</t>
  </si>
  <si>
    <t xml:space="preserve">Nhà thầu thi công: Công ty TNHH Hoàng Tuấn</t>
  </si>
  <si>
    <t xml:space="preserve">Hạng mục:  Móng đường tuyến XD8</t>
  </si>
  <si>
    <t xml:space="preserve">- Đối tượng nghiệm thu:</t>
  </si>
  <si>
    <t xml:space="preserve">Đắp đất nền đường lớp 1, độ chặt K&gt;=0,98 đoạn từ Km0+394,75 - Km0+489,19</t>
  </si>
  <si>
    <t xml:space="preserve">Sơ họa:</t>
  </si>
  <si>
    <t xml:space="preserve">TT</t>
  </si>
  <si>
    <t xml:space="preserve">Tên cọc</t>
  </si>
  <si>
    <t xml:space="preserve">Lý trình</t>
  </si>
  <si>
    <t xml:space="preserve">Bên trái (H1)</t>
  </si>
  <si>
    <t xml:space="preserve">Tim (H2)</t>
  </si>
  <si>
    <t xml:space="preserve">Bên phải (H3)</t>
  </si>
  <si>
    <t xml:space="preserve">Ghi chú</t>
  </si>
  <si>
    <t xml:space="preserve">CĐ đỉnh K95 tại tim (từ CAD)</t>
  </si>
  <si>
    <t xml:space="preserve">KCTK</t>
  </si>
  <si>
    <t xml:space="preserve">KCTC</t>
  </si>
  <si>
    <t xml:space="preserve">Chênh KC (m)</t>
  </si>
  <si>
    <t xml:space="preserve">CDTK (m)</t>
  </si>
  <si>
    <t xml:space="preserve">CDTC (m)</t>
  </si>
  <si>
    <t xml:space="preserve">Chênh CD (m)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</si>
  <si>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</si>
  <si>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</si>
  <si>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</si>
  <si>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</si>
  <si>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</si>
  <si>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</si>
  <si>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NHÀ THẦU THI CÔNG</t>
  </si>
  <si>
    <t xml:space="preserve">TƯ VẤN GIÁM SÁT</t>
  </si>
  <si>
    <t xml:space="preserve">Nguyễn Xuân Hưng</t>
  </si>
  <si>
    <t xml:space="preserve">Trần Mạnh Tùng</t>
  </si>
  <si>
    <t xml:space="preserve">PHỤ LỤC KHỐI LƯỢNG </t>
  </si>
  <si>
    <t xml:space="preserve">STT</t>
  </si>
  <si>
    <t xml:space="preserve">K/c lẻ</t>
  </si>
  <si>
    <t xml:space="preserve">Đào xử lý nền đường</t>
  </si>
  <si>
    <t xml:space="preserve">Diện tích</t>
  </si>
  <si>
    <t xml:space="preserve">Khối lượng</t>
  </si>
  <si>
    <t xml:space="preserve">Tổng cộng (m3)</t>
  </si>
  <si>
    <t xml:space="preserve">                 </t>
  </si>
  <si>
    <t xml:space="preserve">Kèm theo BBNT số: 47.NĐXD8/CVXD ngày 08 tháng 09 năm 2026</t>
  </si>
  <si>
    <t xml:space="preserve">Đắp đất nền đường lớp 2, độ chặt K&gt;=0,98 đoạn từ Km0+394,75 - Km0+489,19</t>
  </si>
  <si>
    <t xml:space="preserve">Kèm theo BBNT số: 49.NĐXD8/CVXD ngày 09 tháng 09 năm 2026</t>
  </si>
  <si>
    <t xml:space="preserve">Đắp cấp phối đá dăm loại 2 đoạn từ Km0+394,75 - Km0+489,19</t>
  </si>
  <si>
    <t xml:space="preserve">Kèm theo BBNT số: 52.NĐXD8/CVXD ngày 10 tháng 09 năm 2026</t>
  </si>
  <si>
    <t xml:space="preserve">Đắp cấp phối đá dăm loại 1 đoạn từ Km0+394,75 - Km0+489,19</t>
  </si>
  <si>
    <t xml:space="preserve">Lê Minh Hải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</si>
</sst>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_(* #,##0.00_);_(* \(#,##0.00\);_(* \-??_);_(@_)"/>
    <numFmt numFmtId="166" formatCode="#,##0.00;\-#,##0.00;;@"/>
    <numFmt numFmtId="167" formatCode="&quot;Km&quot;0\+000.00"/>
    <numFmt numFmtId="168" formatCode="#,##0.000"/>
    <numFmt numFmtId="169" formatCode="0.00"/>
    <numFmt numFmtId="170" formatCode="0.00_);\(0.00\)"/>
    <numFmt numFmtId="171" formatCode="_-* #,##0.00\ _₫_-;\-* #,##0.00\ _₫_-;_-* \-??\ _₫_-;_-@_-"/>
    <numFmt numFmtId="172" formatCode="_(* #,##0.000_);_(* \(#,##0.000\);_(* \-??_);_(@_)"/>
    <numFmt numFmtId="173" formatCode="_-* #,##0\ _₫_-;\-* #,##0\ _₫_-;_-* \-??\ _₫_-;_-@_-"/>
    <numFmt numFmtId="174" formatCode="_(* #,##0_);_(* \(#,##0\);_(* \-??_);_(@_)"/>
    <numFmt numFmtId="175" formatCode="0"/>
  </numFmts>
  <fonts count="32">
    <font>
      <sz val="11"/>
      <color theme="1"/>
      <name val="Calibri"/>
      <family val="2"/>
      <charset val="163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2"/>
      <charset val="1"/>
    </font>
    <font>
      <sz val="14"/>
      <color theme="1"/>
      <name val="Times New Roman"/>
      <family val="2"/>
      <charset val="163"/>
    </font>
    <font>
      <b val="true"/>
      <sz val="12"/>
      <name val="Times New Roman"/>
      <family val="1"/>
      <charset val="1"/>
    </font>
    <font>
      <sz val="16"/>
      <name val="Times New Roman"/>
      <family val="1"/>
      <charset val="1"/>
    </font>
    <font>
      <i val="true"/>
      <sz val="14"/>
      <name val="Times New Roman"/>
      <family val="1"/>
      <charset val="1"/>
    </font>
    <font>
      <sz val="14"/>
      <name val="Times New Roman"/>
      <family val="1"/>
      <charset val="1"/>
    </font>
    <font>
      <b val="true"/>
      <sz val="14"/>
      <name val="Times New Roman"/>
      <family val="1"/>
      <charset val="1"/>
    </font>
    <font>
      <sz val="11"/>
      <name val="Times New Roman"/>
      <family val="1"/>
      <charset val="1"/>
    </font>
    <font>
      <b val="true"/>
      <sz val="11"/>
      <name val="Times New Roman"/>
      <family val="1"/>
      <charset val="1"/>
    </font>
    <font>
      <sz val="12"/>
      <color theme="1"/>
      <name val="Calibri"/>
      <family val="2"/>
      <charset val="163"/>
    </font>
    <font>
      <sz val="12"/>
      <name val="Times New Roman"/>
      <family val="1"/>
      <charset val="1"/>
    </font>
    <font>
      <sz val="10"/>
      <name val="Times New Roman"/>
      <family val="1"/>
      <charset val="1"/>
    </font>
    <font>
      <b val="true"/>
      <sz val="13"/>
      <name val="Times New Roman"/>
      <family val="1"/>
      <charset val="1"/>
    </font>
    <font>
      <sz val="13"/>
      <name val="Times New Roman"/>
      <family val="2"/>
      <charset val="1"/>
    </font>
    <font>
      <i val="true"/>
      <sz val="13"/>
      <name val="Times New Roman"/>
      <family val="1"/>
      <charset val="1"/>
    </font>
    <font>
      <sz val="13"/>
      <name val="Times New Roman"/>
      <family val="1"/>
      <charset val="1"/>
    </font>
    <font>
      <sz val="13"/>
      <name val=".VnTime"/>
      <family val="2"/>
      <charset val="1"/>
    </font>
    <font>
      <b val="true"/>
      <sz val="12"/>
      <color theme="1"/>
      <name val="Times New Roman"/>
      <family val="1"/>
      <charset val="1"/>
    </font>
    <font>
      <sz val="12"/>
      <color theme="1"/>
      <name val="Times New Roman"/>
      <family val="2"/>
      <charset val="163"/>
    </font>
    <font>
      <sz val="13"/>
      <name val=".VnTimeH"/>
      <family val="2"/>
      <charset val="1"/>
    </font>
    <font>
      <sz val="11"/>
      <name val="Arial"/>
      <family val="2"/>
      <charset val="1"/>
    </font>
    <font>
      <sz val="11"/>
      <name val=".VnTime"/>
      <family val="2"/>
      <charset val="1"/>
    </font>
    <font>
      <sz val="12"/>
      <name val=".VnTime"/>
      <family val="2"/>
      <charset val="1"/>
    </font>
    <font>
      <b val="true"/>
      <sz val="11"/>
      <name val=".vntime"/>
      <family val="2"/>
      <charset val="1"/>
    </font>
    <font>
      <b val="true"/>
      <sz val="12"/>
      <name val=".VnTime"/>
      <family val="2"/>
      <charset val="1"/>
    </font>
    <font>
      <sz val="13"/>
      <name val="Arial"/>
      <family val="2"/>
      <charset val="1"/>
    </font>
    <font>
      <b val="true"/>
      <sz val="13"/>
      <name val=".vntime"/>
      <family val="2"/>
      <charset val="1"/>
    </font>
    <font>
      <sz val="12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hair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5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2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2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2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2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9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4" fillId="2" borderId="4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1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9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9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6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6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6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9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9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9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9" fillId="2" borderId="4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9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6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6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6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4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4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1" fillId="2" borderId="4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4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4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2 2" xfId="21"/>
    <cellStyle name="Normal 2" xfId="22"/>
    <cellStyle name="Normal 2 2" xfId="23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228600</xdr:colOff>
      <xdr:row>7</xdr:row>
      <xdr:rowOff>228600</xdr:rowOff>
    </xdr:from>
    <xdr:to>
      <xdr:col>18</xdr:col>
      <xdr:colOff>130680</xdr:colOff>
      <xdr:row>19</xdr:row>
      <xdr:rowOff>56880</xdr:rowOff>
    </xdr:to>
    <xdr:pic>
      <xdr:nvPicPr>
        <xdr:cNvPr id="0" name="Picture 3" descr=""/>
        <xdr:cNvPicPr/>
      </xdr:nvPicPr>
      <xdr:blipFill>
        <a:blip r:embed="rId1"/>
        <a:stretch/>
      </xdr:blipFill>
      <xdr:spPr>
        <a:xfrm>
          <a:off x="701640" y="1914480"/>
          <a:ext cx="9355320" cy="2161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530640</xdr:colOff>
      <xdr:row>7</xdr:row>
      <xdr:rowOff>204120</xdr:rowOff>
    </xdr:from>
    <xdr:to>
      <xdr:col>17</xdr:col>
      <xdr:colOff>108360</xdr:colOff>
      <xdr:row>18</xdr:row>
      <xdr:rowOff>59760</xdr:rowOff>
    </xdr:to>
    <xdr:pic>
      <xdr:nvPicPr>
        <xdr:cNvPr id="1" name="Picture 3" descr=""/>
        <xdr:cNvPicPr/>
      </xdr:nvPicPr>
      <xdr:blipFill>
        <a:blip r:embed="rId1"/>
        <a:stretch/>
      </xdr:blipFill>
      <xdr:spPr>
        <a:xfrm>
          <a:off x="1003680" y="1890000"/>
          <a:ext cx="8205480" cy="1998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612360</xdr:colOff>
      <xdr:row>7</xdr:row>
      <xdr:rowOff>149760</xdr:rowOff>
    </xdr:from>
    <xdr:to>
      <xdr:col>17</xdr:col>
      <xdr:colOff>494640</xdr:colOff>
      <xdr:row>18</xdr:row>
      <xdr:rowOff>108720</xdr:rowOff>
    </xdr:to>
    <xdr:pic>
      <xdr:nvPicPr>
        <xdr:cNvPr id="2" name="Picture 3" descr=""/>
        <xdr:cNvPicPr/>
      </xdr:nvPicPr>
      <xdr:blipFill>
        <a:blip r:embed="rId1"/>
        <a:stretch/>
      </xdr:blipFill>
      <xdr:spPr>
        <a:xfrm>
          <a:off x="1085400" y="1835640"/>
          <a:ext cx="8510040" cy="21020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585000</xdr:colOff>
      <xdr:row>7</xdr:row>
      <xdr:rowOff>136080</xdr:rowOff>
    </xdr:from>
    <xdr:to>
      <xdr:col>18</xdr:col>
      <xdr:colOff>103320</xdr:colOff>
      <xdr:row>17</xdr:row>
      <xdr:rowOff>135720</xdr:rowOff>
    </xdr:to>
    <xdr:pic>
      <xdr:nvPicPr>
        <xdr:cNvPr id="3" name="Picture 3" descr=""/>
        <xdr:cNvPicPr/>
      </xdr:nvPicPr>
      <xdr:blipFill>
        <a:blip r:embed="rId1"/>
        <a:stretch/>
      </xdr:blipFill>
      <xdr:spPr>
        <a:xfrm>
          <a:off x="1058040" y="1821960"/>
          <a:ext cx="8971560" cy="19522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67"/>
  <sheetViews>
    <sheetView showFormulas="false" showGridLines="true" showRowColHeaders="true" showZeros="true" rightToLeft="false" tabSelected="false" showOutlineSymbols="true" defaultGridColor="true" view="normal" topLeftCell="A35" colorId="64" zoomScale="70" zoomScaleNormal="70" zoomScalePageLayoutView="100" workbookViewId="0">
      <selection pane="topLeft" activeCell="I73" activeCellId="0" sqref="I7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1" width="12.29"/>
    <col collapsed="false" customWidth="true" hidden="false" outlineLevel="0" max="3" min="3" style="1" width="16.43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"/>
  </cols>
  <sheetData>
    <row r="1" customFormat="false" ht="20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3"/>
      <c r="W1" s="3"/>
    </row>
    <row r="2" customFormat="false" ht="18.75" hidden="false" customHeight="true" outlineLevel="0" collapsed="false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U2" s="5"/>
      <c r="V2" s="5"/>
      <c r="W2" s="5"/>
    </row>
    <row r="3" customFormat="false" ht="18.75" hidden="false" customHeight="true" outlineLevel="0" collapsed="false">
      <c r="A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customFormat="false" ht="18.75" hidden="false" customHeight="true" outlineLevel="0" collapsed="false">
      <c r="A4" s="6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customFormat="false" ht="18.75" hidden="false" customHeight="true" outlineLevel="0" collapsed="false">
      <c r="A5" s="6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customFormat="false" ht="18.75" hidden="false" customHeight="true" outlineLevel="0" collapsed="false">
      <c r="A6" s="6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customFormat="false" ht="18.75" hidden="false" customHeight="true" outlineLevel="0" collapsed="false">
      <c r="A7" s="7" t="s">
        <v>6</v>
      </c>
      <c r="C7" s="6"/>
      <c r="D7" s="6"/>
      <c r="F7" s="6"/>
      <c r="G7" s="6" t="s">
        <v>7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customFormat="false" ht="18.75" hidden="false" customHeight="true" outlineLevel="0" collapsed="false">
      <c r="A8" s="7" t="s">
        <v>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21" s="10" customFormat="true" ht="15.75" hidden="false" customHeight="true" outlineLevel="0" collapsed="false">
      <c r="A21" s="8" t="s">
        <v>9</v>
      </c>
      <c r="B21" s="8" t="s">
        <v>10</v>
      </c>
      <c r="C21" s="8" t="s">
        <v>11</v>
      </c>
      <c r="D21" s="9" t="s">
        <v>12</v>
      </c>
      <c r="E21" s="9"/>
      <c r="F21" s="9"/>
      <c r="G21" s="9"/>
      <c r="H21" s="9"/>
      <c r="I21" s="9"/>
      <c r="J21" s="9" t="s">
        <v>13</v>
      </c>
      <c r="K21" s="9"/>
      <c r="L21" s="9"/>
      <c r="M21" s="9" t="s">
        <v>14</v>
      </c>
      <c r="N21" s="9"/>
      <c r="O21" s="9"/>
      <c r="P21" s="9"/>
      <c r="Q21" s="9"/>
      <c r="R21" s="9"/>
      <c r="S21" s="8" t="s">
        <v>15</v>
      </c>
      <c r="W21" s="10" t="s">
        <v>16</v>
      </c>
    </row>
    <row r="22" s="10" customFormat="true" ht="30" hidden="false" customHeight="true" outlineLevel="0" collapsed="false">
      <c r="A22" s="8"/>
      <c r="B22" s="8"/>
      <c r="C22" s="8"/>
      <c r="D22" s="11" t="s">
        <v>17</v>
      </c>
      <c r="E22" s="11" t="s">
        <v>18</v>
      </c>
      <c r="F22" s="11" t="s">
        <v>19</v>
      </c>
      <c r="G22" s="11" t="s">
        <v>20</v>
      </c>
      <c r="H22" s="11" t="s">
        <v>21</v>
      </c>
      <c r="I22" s="11" t="s">
        <v>22</v>
      </c>
      <c r="J22" s="11" t="s">
        <v>20</v>
      </c>
      <c r="K22" s="11" t="s">
        <v>21</v>
      </c>
      <c r="L22" s="11" t="s">
        <v>22</v>
      </c>
      <c r="M22" s="11" t="s">
        <v>17</v>
      </c>
      <c r="N22" s="11" t="s">
        <v>18</v>
      </c>
      <c r="O22" s="11" t="s">
        <v>19</v>
      </c>
      <c r="P22" s="11" t="s">
        <v>20</v>
      </c>
      <c r="Q22" s="11" t="s">
        <v>21</v>
      </c>
      <c r="R22" s="11" t="s">
        <v>22</v>
      </c>
      <c r="S22" s="8"/>
      <c r="T22" s="12"/>
    </row>
    <row r="23" s="10" customFormat="true" ht="18" hidden="false" customHeight="true" outlineLevel="0" collapsed="false">
      <c r="A23" s="13" t="n">
        <v>1</v>
      </c>
      <c r="B23" s="14" t="s">
        <v>23</v>
      </c>
      <c r="C23" s="15" t="n">
        <v>394.75</v>
      </c>
      <c r="D23" s="16" t="n">
        <v>-5.25</v>
      </c>
      <c r="E23" s="16" t="n">
        <f aca="false">+D23+F23</f>
        <v>-5.2485</v>
      </c>
      <c r="F23" s="16" t="n">
        <f aca="false">RANDBETWEEN(-105,115)/10000</f>
        <v>0.0015</v>
      </c>
      <c r="G23" s="16" t="n">
        <f aca="false">J23-4.95*2%-0.3*6%</f>
        <v>2.184</v>
      </c>
      <c r="H23" s="16" t="n">
        <f aca="false">G23+I23</f>
        <v>2.187</v>
      </c>
      <c r="I23" s="16" t="n">
        <f aca="false">RANDBETWEEN(-20,70)/1000</f>
        <v>0.003</v>
      </c>
      <c r="J23" s="16" t="n">
        <f aca="false">W23+0.25</f>
        <v>2.301</v>
      </c>
      <c r="K23" s="16" t="n">
        <f aca="false">J23+L23</f>
        <v>2.281</v>
      </c>
      <c r="L23" s="16" t="n">
        <f aca="false">RANDBETWEEN(-20,70)/1000</f>
        <v>-0.02</v>
      </c>
      <c r="M23" s="16" t="n">
        <v>5.25</v>
      </c>
      <c r="N23" s="16" t="n">
        <f aca="false">+M23+O23</f>
        <v>5.247</v>
      </c>
      <c r="O23" s="16" t="n">
        <f aca="false">RANDBETWEEN(-105,115)/10000</f>
        <v>-0.003</v>
      </c>
      <c r="P23" s="16" t="n">
        <f aca="false">G23</f>
        <v>2.184</v>
      </c>
      <c r="Q23" s="16" t="n">
        <f aca="false">P23+R23</f>
        <v>2.194</v>
      </c>
      <c r="R23" s="16" t="n">
        <f aca="false">RANDBETWEEN(-20,70)/1000</f>
        <v>0.01</v>
      </c>
      <c r="S23" s="17"/>
      <c r="T23" s="18" t="n">
        <v>20</v>
      </c>
      <c r="V23" s="19"/>
      <c r="W23" s="20" t="n">
        <v>2.051</v>
      </c>
    </row>
    <row r="24" s="10" customFormat="true" ht="18" hidden="false" customHeight="true" outlineLevel="0" collapsed="false">
      <c r="A24" s="13" t="n">
        <v>2</v>
      </c>
      <c r="B24" s="14" t="s">
        <v>24</v>
      </c>
      <c r="C24" s="15" t="n">
        <f aca="false">+C23+T23</f>
        <v>414.75</v>
      </c>
      <c r="D24" s="16" t="n">
        <v>-5.25</v>
      </c>
      <c r="E24" s="16" t="n">
        <f aca="false">+D24+F24</f>
        <v>-5.2526</v>
      </c>
      <c r="F24" s="16" t="n">
        <f aca="false">RANDBETWEEN(-105,115)/10000</f>
        <v>-0.0026</v>
      </c>
      <c r="G24" s="16" t="n">
        <f aca="false">J24-4.95*2%-0.3*6%</f>
        <v>2.171</v>
      </c>
      <c r="H24" s="16" t="n">
        <f aca="false">G24+I24</f>
        <v>2.192</v>
      </c>
      <c r="I24" s="16" t="n">
        <f aca="false">RANDBETWEEN(-20,70)/1000</f>
        <v>0.021</v>
      </c>
      <c r="J24" s="16" t="n">
        <f aca="false">W24+0.25</f>
        <v>2.288</v>
      </c>
      <c r="K24" s="16" t="n">
        <f aca="false">J24+L24</f>
        <v>2.272</v>
      </c>
      <c r="L24" s="16" t="n">
        <f aca="false">RANDBETWEEN(-20,70)/1000</f>
        <v>-0.016</v>
      </c>
      <c r="M24" s="16" t="n">
        <v>5.25</v>
      </c>
      <c r="N24" s="16" t="n">
        <f aca="false">+M24+O24</f>
        <v>5.2555</v>
      </c>
      <c r="O24" s="16" t="n">
        <f aca="false">RANDBETWEEN(-105,115)/10000</f>
        <v>0.0055</v>
      </c>
      <c r="P24" s="16" t="n">
        <f aca="false">G24</f>
        <v>2.171</v>
      </c>
      <c r="Q24" s="16" t="n">
        <f aca="false">P24+R24</f>
        <v>2.238</v>
      </c>
      <c r="R24" s="16" t="n">
        <f aca="false">RANDBETWEEN(-20,70)/1000</f>
        <v>0.067</v>
      </c>
      <c r="S24" s="17"/>
      <c r="T24" s="18" t="n">
        <v>20</v>
      </c>
      <c r="V24" s="19"/>
      <c r="W24" s="20" t="n">
        <v>2.038</v>
      </c>
    </row>
    <row r="25" s="10" customFormat="true" ht="18" hidden="false" customHeight="true" outlineLevel="0" collapsed="false">
      <c r="A25" s="13" t="n">
        <v>3</v>
      </c>
      <c r="B25" s="14" t="s">
        <v>25</v>
      </c>
      <c r="C25" s="15" t="n">
        <f aca="false">+C24+T24</f>
        <v>434.75</v>
      </c>
      <c r="D25" s="16" t="n">
        <v>-5.25</v>
      </c>
      <c r="E25" s="16" t="n">
        <f aca="false">+D25+F25</f>
        <v>-5.2533</v>
      </c>
      <c r="F25" s="16" t="n">
        <f aca="false">RANDBETWEEN(-105,115)/10000</f>
        <v>-0.0033</v>
      </c>
      <c r="G25" s="16" t="n">
        <f aca="false">J25-4.95*2%-0.3*6%</f>
        <v>2.158</v>
      </c>
      <c r="H25" s="16" t="n">
        <f aca="false">G25+I25</f>
        <v>2.179</v>
      </c>
      <c r="I25" s="16" t="n">
        <f aca="false">RANDBETWEEN(-20,70)/1000</f>
        <v>0.021</v>
      </c>
      <c r="J25" s="16" t="n">
        <f aca="false">W25+0.25</f>
        <v>2.275</v>
      </c>
      <c r="K25" s="16" t="n">
        <f aca="false">J25+L25</f>
        <v>2.339</v>
      </c>
      <c r="L25" s="16" t="n">
        <f aca="false">RANDBETWEEN(-20,70)/1000</f>
        <v>0.064</v>
      </c>
      <c r="M25" s="16" t="n">
        <v>5.25</v>
      </c>
      <c r="N25" s="16" t="n">
        <f aca="false">+M25+O25</f>
        <v>5.2402</v>
      </c>
      <c r="O25" s="16" t="n">
        <f aca="false">RANDBETWEEN(-105,115)/10000</f>
        <v>-0.0098</v>
      </c>
      <c r="P25" s="16" t="n">
        <f aca="false">G25</f>
        <v>2.158</v>
      </c>
      <c r="Q25" s="16" t="n">
        <f aca="false">P25+R25</f>
        <v>2.222</v>
      </c>
      <c r="R25" s="16" t="n">
        <f aca="false">RANDBETWEEN(-20,70)/1000</f>
        <v>0.064</v>
      </c>
      <c r="S25" s="17"/>
      <c r="T25" s="18" t="n">
        <v>20</v>
      </c>
      <c r="V25" s="19"/>
      <c r="W25" s="20" t="n">
        <v>2.025</v>
      </c>
    </row>
    <row r="26" s="10" customFormat="true" ht="18" hidden="false" customHeight="true" outlineLevel="0" collapsed="false">
      <c r="A26" s="13" t="n">
        <v>4</v>
      </c>
      <c r="B26" s="14" t="s">
        <v>26</v>
      </c>
      <c r="C26" s="15" t="n">
        <f aca="false">+C25+T25</f>
        <v>454.75</v>
      </c>
      <c r="D26" s="16" t="n">
        <v>-5.25</v>
      </c>
      <c r="E26" s="16" t="n">
        <f aca="false">+D26+F26</f>
        <v>-5.2521</v>
      </c>
      <c r="F26" s="16" t="n">
        <f aca="false">RANDBETWEEN(-105,115)/10000</f>
        <v>-0.0021</v>
      </c>
      <c r="G26" s="16" t="n">
        <f aca="false">J26-4.95*2%-0.3*6%</f>
        <v>2.144</v>
      </c>
      <c r="H26" s="16" t="n">
        <f aca="false">G26+I26</f>
        <v>2.204</v>
      </c>
      <c r="I26" s="16" t="n">
        <f aca="false">RANDBETWEEN(-20,70)/1000</f>
        <v>0.06</v>
      </c>
      <c r="J26" s="16" t="n">
        <f aca="false">W26+0.25</f>
        <v>2.261</v>
      </c>
      <c r="K26" s="16" t="n">
        <f aca="false">J26+L26</f>
        <v>2.316</v>
      </c>
      <c r="L26" s="16" t="n">
        <f aca="false">RANDBETWEEN(-20,70)/1000</f>
        <v>0.055</v>
      </c>
      <c r="M26" s="16" t="n">
        <v>5.25</v>
      </c>
      <c r="N26" s="16" t="n">
        <f aca="false">+M26+O26</f>
        <v>5.2604</v>
      </c>
      <c r="O26" s="16" t="n">
        <f aca="false">RANDBETWEEN(-105,115)/10000</f>
        <v>0.0104</v>
      </c>
      <c r="P26" s="16" t="n">
        <f aca="false">G26</f>
        <v>2.144</v>
      </c>
      <c r="Q26" s="16" t="n">
        <f aca="false">P26+R26</f>
        <v>2.156</v>
      </c>
      <c r="R26" s="16" t="n">
        <f aca="false">RANDBETWEEN(-20,70)/1000</f>
        <v>0.012</v>
      </c>
      <c r="S26" s="17"/>
      <c r="T26" s="18" t="n">
        <v>20</v>
      </c>
      <c r="V26" s="19"/>
      <c r="W26" s="20" t="n">
        <v>2.011</v>
      </c>
    </row>
    <row r="27" s="10" customFormat="true" ht="18" hidden="false" customHeight="true" outlineLevel="0" collapsed="false">
      <c r="A27" s="13" t="n">
        <v>5</v>
      </c>
      <c r="B27" s="14" t="s">
        <v>27</v>
      </c>
      <c r="C27" s="15" t="n">
        <f aca="false">+C26+T26</f>
        <v>474.75</v>
      </c>
      <c r="D27" s="16" t="n">
        <v>-5.25</v>
      </c>
      <c r="E27" s="16" t="n">
        <f aca="false">+D27+F27</f>
        <v>-5.2582</v>
      </c>
      <c r="F27" s="16" t="n">
        <f aca="false">RANDBETWEEN(-105,115)/10000</f>
        <v>-0.0082</v>
      </c>
      <c r="G27" s="16" t="n">
        <f aca="false">J27-4.95*2%-0.3*6%</f>
        <v>2.131</v>
      </c>
      <c r="H27" s="16" t="n">
        <f aca="false">G27+I27</f>
        <v>2.148</v>
      </c>
      <c r="I27" s="16" t="n">
        <f aca="false">RANDBETWEEN(-20,70)/1000</f>
        <v>0.017</v>
      </c>
      <c r="J27" s="16" t="n">
        <f aca="false">W27+0.25</f>
        <v>2.248</v>
      </c>
      <c r="K27" s="16" t="n">
        <f aca="false">J27+L27</f>
        <v>2.287</v>
      </c>
      <c r="L27" s="16" t="n">
        <f aca="false">RANDBETWEEN(-20,70)/1000</f>
        <v>0.039</v>
      </c>
      <c r="M27" s="16" t="n">
        <v>5.25</v>
      </c>
      <c r="N27" s="16" t="n">
        <f aca="false">+M27+O27</f>
        <v>5.2568</v>
      </c>
      <c r="O27" s="16" t="n">
        <f aca="false">RANDBETWEEN(-105,115)/10000</f>
        <v>0.0068</v>
      </c>
      <c r="P27" s="16" t="n">
        <f aca="false">G27</f>
        <v>2.131</v>
      </c>
      <c r="Q27" s="16" t="n">
        <f aca="false">P27+R27</f>
        <v>2.135</v>
      </c>
      <c r="R27" s="16" t="n">
        <f aca="false">RANDBETWEEN(-20,70)/1000</f>
        <v>0.004</v>
      </c>
      <c r="S27" s="17"/>
      <c r="T27" s="18" t="n">
        <v>14.44</v>
      </c>
      <c r="V27" s="19"/>
      <c r="W27" s="20" t="n">
        <v>1.998</v>
      </c>
    </row>
    <row r="28" s="10" customFormat="true" ht="18" hidden="false" customHeight="true" outlineLevel="0" collapsed="false">
      <c r="A28" s="13" t="n">
        <v>6</v>
      </c>
      <c r="B28" s="14" t="s">
        <v>28</v>
      </c>
      <c r="C28" s="15" t="n">
        <f aca="false">+C27+T27</f>
        <v>489.19</v>
      </c>
      <c r="D28" s="16" t="n">
        <v>-5.25</v>
      </c>
      <c r="E28" s="16" t="n">
        <f aca="false">+D28+F28</f>
        <v>-5.2507</v>
      </c>
      <c r="F28" s="16" t="n">
        <f aca="false">RANDBETWEEN(-105,115)/10000</f>
        <v>-0.0007</v>
      </c>
      <c r="G28" s="16" t="n">
        <f aca="false">J28-4.95*2%-0.3*6%</f>
        <v>2.122</v>
      </c>
      <c r="H28" s="16" t="n">
        <f aca="false">G28+I28</f>
        <v>2.19</v>
      </c>
      <c r="I28" s="16" t="n">
        <f aca="false">RANDBETWEEN(-20,70)/1000</f>
        <v>0.068</v>
      </c>
      <c r="J28" s="16" t="n">
        <f aca="false">W28+0.25</f>
        <v>2.239</v>
      </c>
      <c r="K28" s="16" t="n">
        <f aca="false">J28+L28</f>
        <v>2.269</v>
      </c>
      <c r="L28" s="16" t="n">
        <f aca="false">RANDBETWEEN(-20,70)/1000</f>
        <v>0.03</v>
      </c>
      <c r="M28" s="16" t="n">
        <v>5.25</v>
      </c>
      <c r="N28" s="16" t="n">
        <f aca="false">+M28+O28</f>
        <v>5.2468</v>
      </c>
      <c r="O28" s="16" t="n">
        <f aca="false">RANDBETWEEN(-105,115)/10000</f>
        <v>-0.0032</v>
      </c>
      <c r="P28" s="16" t="n">
        <f aca="false">G28</f>
        <v>2.122</v>
      </c>
      <c r="Q28" s="16" t="n">
        <f aca="false">P28+R28</f>
        <v>2.169</v>
      </c>
      <c r="R28" s="16" t="n">
        <f aca="false">RANDBETWEEN(-20,70)/1000</f>
        <v>0.047</v>
      </c>
      <c r="S28" s="17"/>
      <c r="T28" s="18"/>
      <c r="V28" s="19"/>
      <c r="W28" s="20" t="n">
        <v>1.989</v>
      </c>
    </row>
    <row r="29" s="10" customFormat="true" ht="18" hidden="true" customHeight="true" outlineLevel="0" collapsed="false">
      <c r="A29" s="13"/>
      <c r="B29" s="14"/>
      <c r="C29" s="1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7"/>
      <c r="T29" s="18"/>
      <c r="V29" s="19"/>
      <c r="W29" s="20"/>
    </row>
    <row r="30" s="10" customFormat="true" ht="18" hidden="true" customHeight="true" outlineLevel="0" collapsed="false">
      <c r="A30" s="13"/>
      <c r="B30" s="14"/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7"/>
      <c r="T30" s="18"/>
      <c r="V30" s="19"/>
      <c r="W30" s="20"/>
    </row>
    <row r="31" s="10" customFormat="true" ht="18" hidden="true" customHeight="true" outlineLevel="0" collapsed="false">
      <c r="A31" s="13"/>
      <c r="B31" s="14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7"/>
      <c r="T31" s="18"/>
      <c r="V31" s="19"/>
      <c r="W31" s="20"/>
    </row>
    <row r="32" s="10" customFormat="true" ht="18" hidden="true" customHeight="true" outlineLevel="0" collapsed="false">
      <c r="A32" s="13"/>
      <c r="B32" s="14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7"/>
      <c r="T32" s="18"/>
      <c r="V32" s="19"/>
      <c r="W32" s="20"/>
    </row>
    <row r="33" s="10" customFormat="true" ht="18" hidden="true" customHeight="true" outlineLevel="0" collapsed="false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  <c r="T33" s="18"/>
      <c r="V33" s="19"/>
      <c r="W33" s="20"/>
    </row>
    <row r="34" s="10" customFormat="true" ht="18" hidden="true" customHeight="true" outlineLevel="0" collapsed="false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T34" s="18"/>
      <c r="V34" s="19"/>
      <c r="W34" s="20"/>
    </row>
    <row r="35" s="10" customFormat="true" ht="18" hidden="true" customHeight="true" outlineLevel="0" collapsed="false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T35" s="18"/>
      <c r="V35" s="19"/>
      <c r="W35" s="20"/>
    </row>
    <row r="36" s="10" customFormat="true" ht="18" hidden="true" customHeight="true" outlineLevel="0" collapsed="false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T36" s="18"/>
      <c r="V36" s="19"/>
      <c r="W36" s="20"/>
    </row>
    <row r="37" s="10" customFormat="true" ht="18" hidden="true" customHeight="true" outlineLevel="0" collapsed="false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T37" s="18"/>
      <c r="V37" s="19"/>
      <c r="W37" s="20"/>
    </row>
    <row r="38" s="10" customFormat="true" ht="18" hidden="true" customHeight="true" outlineLevel="0" collapsed="false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T38" s="18"/>
      <c r="V38" s="19"/>
      <c r="W38" s="20"/>
    </row>
    <row r="39" s="10" customFormat="true" ht="18" hidden="true" customHeight="true" outlineLevel="0" collapsed="false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T39" s="18"/>
      <c r="V39" s="19"/>
      <c r="W39" s="20"/>
    </row>
    <row r="40" s="10" customFormat="true" ht="18" hidden="true" customHeight="true" outlineLevel="0" collapsed="false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T40" s="18"/>
      <c r="V40" s="19"/>
      <c r="W40" s="20"/>
    </row>
    <row r="41" s="10" customFormat="true" ht="18" hidden="true" customHeight="true" outlineLevel="0" collapsed="false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T41" s="18"/>
      <c r="V41" s="19"/>
      <c r="W41" s="20"/>
    </row>
    <row r="42" s="10" customFormat="true" ht="18" hidden="true" customHeight="true" outlineLevel="0" collapsed="false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T42" s="18"/>
      <c r="V42" s="19"/>
      <c r="W42" s="20"/>
    </row>
    <row r="43" s="10" customFormat="true" ht="18" hidden="true" customHeight="true" outlineLevel="0" collapsed="false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T43" s="18"/>
      <c r="V43" s="19"/>
      <c r="W43" s="20"/>
    </row>
    <row r="44" s="10" customFormat="true" ht="18" hidden="true" customHeight="true" outlineLevel="0" collapsed="false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T44" s="18"/>
      <c r="V44" s="19"/>
      <c r="W44" s="20"/>
    </row>
    <row r="45" s="10" customFormat="true" ht="18" hidden="true" customHeight="true" outlineLevel="0" collapsed="false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T45" s="18"/>
      <c r="V45" s="19"/>
      <c r="W45" s="20"/>
    </row>
    <row r="46" s="10" customFormat="true" ht="18" hidden="true" customHeight="true" outlineLevel="0" collapsed="false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T46" s="18"/>
      <c r="V46" s="19"/>
      <c r="W46" s="20"/>
    </row>
    <row r="47" s="10" customFormat="true" ht="18" hidden="true" customHeight="true" outlineLevel="0" collapsed="false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T47" s="18"/>
      <c r="V47" s="19"/>
      <c r="W47" s="20"/>
    </row>
    <row r="48" s="10" customFormat="true" ht="18" hidden="true" customHeight="true" outlineLevel="0" collapsed="false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T48" s="18"/>
      <c r="V48" s="19"/>
      <c r="W48" s="20"/>
    </row>
    <row r="49" s="10" customFormat="true" ht="18" hidden="true" customHeight="true" outlineLevel="0" collapsed="false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T49" s="18"/>
      <c r="V49" s="19"/>
      <c r="W49" s="20"/>
    </row>
    <row r="50" s="10" customFormat="true" ht="18" hidden="true" customHeight="true" outlineLevel="0" collapsed="false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T50" s="18"/>
      <c r="V50" s="19"/>
      <c r="W50" s="20"/>
    </row>
    <row r="51" s="10" customFormat="true" ht="18" hidden="true" customHeight="true" outlineLevel="0" collapsed="false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T51" s="18"/>
      <c r="V51" s="19"/>
      <c r="W51" s="20"/>
    </row>
    <row r="52" s="10" customFormat="true" ht="18" hidden="true" customHeight="true" outlineLevel="0" collapsed="false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T52" s="18"/>
      <c r="V52" s="19"/>
      <c r="W52" s="20"/>
    </row>
    <row r="53" s="10" customFormat="true" ht="18" hidden="true" customHeight="true" outlineLevel="0" collapsed="false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T53" s="18"/>
      <c r="V53" s="19"/>
      <c r="W53" s="20"/>
    </row>
    <row r="54" s="10" customFormat="true" ht="18" hidden="true" customHeight="true" outlineLevel="0" collapsed="false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T54" s="18"/>
      <c r="V54" s="19"/>
      <c r="W54" s="20"/>
    </row>
    <row r="55" s="10" customFormat="true" ht="18" hidden="true" customHeight="true" outlineLevel="0" collapsed="false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T55" s="18"/>
      <c r="V55" s="19"/>
      <c r="W55" s="20"/>
    </row>
    <row r="56" s="10" customFormat="true" ht="18" hidden="true" customHeight="true" outlineLevel="0" collapsed="false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T56" s="18"/>
      <c r="V56" s="19"/>
      <c r="W56" s="20"/>
    </row>
    <row r="57" s="10" customFormat="true" ht="18" hidden="true" customHeight="true" outlineLevel="0" collapsed="false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T57" s="18"/>
      <c r="V57" s="19"/>
      <c r="W57" s="20"/>
    </row>
    <row r="58" s="10" customFormat="true" ht="18" hidden="true" customHeight="true" outlineLevel="0" collapsed="false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T58" s="18"/>
      <c r="V58" s="19"/>
      <c r="W58" s="20"/>
    </row>
    <row r="59" s="10" customFormat="true" ht="18" hidden="true" customHeight="true" outlineLevel="0" collapsed="false">
      <c r="A59" s="13"/>
      <c r="B59" s="14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T59" s="18"/>
      <c r="V59" s="19"/>
      <c r="W59" s="20"/>
    </row>
    <row r="60" s="10" customFormat="true" ht="18" hidden="true" customHeight="true" outlineLevel="0" collapsed="false">
      <c r="A60" s="13"/>
      <c r="B60" s="14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T60" s="18"/>
      <c r="V60" s="19"/>
      <c r="W60" s="20"/>
    </row>
    <row r="61" s="10" customFormat="true" ht="15.75" hidden="false" customHeight="true" outlineLevel="0" collapsed="false"/>
    <row r="62" s="10" customFormat="true" ht="15.75" hidden="false" customHeight="true" outlineLevel="0" collapsed="false">
      <c r="C62" s="21" t="s">
        <v>29</v>
      </c>
      <c r="D62" s="21"/>
      <c r="E62" s="21"/>
      <c r="F62" s="21"/>
      <c r="G62" s="21"/>
      <c r="H62" s="21"/>
      <c r="I62" s="21"/>
      <c r="K62" s="22"/>
      <c r="L62" s="22"/>
      <c r="M62" s="22"/>
      <c r="N62" s="22"/>
      <c r="O62" s="21" t="s">
        <v>30</v>
      </c>
      <c r="P62" s="21"/>
      <c r="Q62" s="21"/>
      <c r="R62" s="21"/>
    </row>
    <row r="63" s="10" customFormat="true" ht="15.75" hidden="false" customHeight="true" outlineLevel="0" collapsed="false">
      <c r="E63" s="23"/>
      <c r="F63" s="23"/>
      <c r="G63" s="23"/>
      <c r="H63" s="23"/>
      <c r="K63" s="23"/>
      <c r="L63" s="23"/>
      <c r="M63" s="23"/>
      <c r="N63" s="23"/>
      <c r="O63" s="23"/>
      <c r="P63" s="23"/>
      <c r="Q63" s="23"/>
      <c r="R63" s="23"/>
    </row>
    <row r="64" s="10" customFormat="true" ht="15.75" hidden="false" customHeight="true" outlineLevel="0" collapsed="false">
      <c r="E64" s="23"/>
      <c r="F64" s="23"/>
      <c r="G64" s="23"/>
      <c r="H64" s="23"/>
      <c r="K64" s="23"/>
      <c r="L64" s="23"/>
      <c r="M64" s="23"/>
      <c r="N64" s="23"/>
      <c r="O64" s="23"/>
      <c r="P64" s="23"/>
      <c r="Q64" s="23"/>
      <c r="R64" s="23"/>
    </row>
    <row r="65" s="10" customFormat="true" ht="15.75" hidden="false" customHeight="true" outlineLevel="0" collapsed="false">
      <c r="E65" s="23"/>
      <c r="F65" s="23"/>
      <c r="G65" s="23"/>
      <c r="H65" s="23"/>
      <c r="K65" s="23"/>
      <c r="L65" s="23"/>
      <c r="M65" s="23"/>
      <c r="N65" s="23"/>
      <c r="O65" s="23"/>
      <c r="P65" s="23"/>
      <c r="Q65" s="23"/>
      <c r="R65" s="23"/>
    </row>
    <row r="66" s="10" customFormat="true" ht="15.75" hidden="false" customHeight="true" outlineLevel="0" collapsed="false">
      <c r="E66" s="23"/>
      <c r="F66" s="23"/>
      <c r="G66" s="23"/>
      <c r="H66" s="23"/>
      <c r="K66" s="23"/>
      <c r="L66" s="23"/>
      <c r="M66" s="23"/>
      <c r="N66" s="23"/>
      <c r="O66" s="23"/>
      <c r="P66" s="23"/>
      <c r="Q66" s="23"/>
      <c r="R66" s="23"/>
    </row>
    <row r="67" s="10" customFormat="true" ht="15.75" hidden="false" customHeight="true" outlineLevel="0" collapsed="false">
      <c r="C67" s="21" t="s">
        <v>31</v>
      </c>
      <c r="D67" s="21"/>
      <c r="E67" s="21"/>
      <c r="F67" s="21"/>
      <c r="G67" s="21"/>
      <c r="H67" s="21"/>
      <c r="I67" s="21"/>
      <c r="K67" s="22"/>
      <c r="L67" s="22"/>
      <c r="M67" s="22"/>
      <c r="N67" s="22"/>
      <c r="O67" s="21" t="s">
        <v>32</v>
      </c>
      <c r="P67" s="21"/>
      <c r="Q67" s="21"/>
      <c r="R67" s="21"/>
    </row>
  </sheetData>
  <mergeCells count="13">
    <mergeCell ref="A1:S1"/>
    <mergeCell ref="A2:S2"/>
    <mergeCell ref="A21:A22"/>
    <mergeCell ref="B21:B22"/>
    <mergeCell ref="C21:C22"/>
    <mergeCell ref="D21:I21"/>
    <mergeCell ref="J21:L21"/>
    <mergeCell ref="M21:R21"/>
    <mergeCell ref="S21:S22"/>
    <mergeCell ref="C62:I62"/>
    <mergeCell ref="O62:R62"/>
    <mergeCell ref="C67:I67"/>
    <mergeCell ref="O67:R67"/>
  </mergeCells>
  <printOptions headings="false" gridLines="false" gridLinesSet="true" horizontalCentered="true" verticalCentered="false"/>
  <pageMargins left="0.590277777777778" right="0.157638888888889" top="0.579861111111111" bottom="0.479861111111111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Y134"/>
  <sheetViews>
    <sheetView showFormulas="false" showGridLines="true" showRowColHeaders="true" showZeros="true" rightToLeft="false" tabSelected="false" showOutlineSymbols="true" defaultGridColor="true" view="normal" topLeftCell="A11" colorId="64" zoomScale="70" zoomScaleNormal="70" zoomScalePageLayoutView="100" workbookViewId="0">
      <selection pane="topLeft" activeCell="AH55" activeCellId="0" sqref="AH55"/>
    </sheetView>
  </sheetViews>
  <sheetFormatPr defaultColWidth="9.2890625" defaultRowHeight="12.75" zeroHeight="false" outlineLevelRow="0" outlineLevelCol="0"/>
  <cols>
    <col collapsed="false" customWidth="true" hidden="false" outlineLevel="0" max="1" min="1" style="24" width="6.71"/>
    <col collapsed="false" customWidth="true" hidden="false" outlineLevel="0" max="2" min="2" style="24" width="12.29"/>
    <col collapsed="false" customWidth="true" hidden="false" outlineLevel="0" max="3" min="3" style="24" width="19.57"/>
    <col collapsed="false" customWidth="true" hidden="false" outlineLevel="0" max="4" min="4" style="25" width="12.71"/>
    <col collapsed="false" customWidth="true" hidden="true" outlineLevel="0" max="6" min="5" style="25" width="8.42"/>
    <col collapsed="false" customWidth="true" hidden="true" outlineLevel="0" max="7" min="7" style="25" width="11"/>
    <col collapsed="false" customWidth="true" hidden="true" outlineLevel="0" max="12" min="8" style="25" width="8.42"/>
    <col collapsed="false" customWidth="true" hidden="true" outlineLevel="0" max="14" min="13" style="25" width="14.29"/>
    <col collapsed="false" customWidth="true" hidden="false" outlineLevel="0" max="15" min="15" style="25" width="15.42"/>
    <col collapsed="false" customWidth="true" hidden="true" outlineLevel="0" max="22" min="16" style="25" width="14.29"/>
    <col collapsed="false" customWidth="true" hidden="false" outlineLevel="0" max="23" min="23" style="25" width="15.29"/>
    <col collapsed="false" customWidth="true" hidden="true" outlineLevel="0" max="25" min="24" style="25" width="14.29"/>
    <col collapsed="false" customWidth="true" hidden="true" outlineLevel="0" max="27" min="26" style="25" width="12.86"/>
    <col collapsed="false" customWidth="true" hidden="false" outlineLevel="0" max="28" min="28" style="25" width="10.29"/>
    <col collapsed="false" customWidth="false" hidden="true" outlineLevel="0" max="29" min="29" style="25" width="9.29"/>
    <col collapsed="false" customWidth="true" hidden="false" outlineLevel="0" max="30" min="30" style="24" width="3.86"/>
    <col collapsed="false" customWidth="true" hidden="false" outlineLevel="0" max="31" min="31" style="24" width="10"/>
    <col collapsed="false" customWidth="true" hidden="false" outlineLevel="0" max="32" min="32" style="24" width="11.43"/>
    <col collapsed="false" customWidth="true" hidden="false" outlineLevel="0" max="34" min="33" style="24" width="10.57"/>
    <col collapsed="false" customWidth="true" hidden="false" outlineLevel="0" max="35" min="35" style="24" width="11.29"/>
    <col collapsed="false" customWidth="true" hidden="false" outlineLevel="0" max="36" min="36" style="24" width="10.57"/>
    <col collapsed="false" customWidth="true" hidden="false" outlineLevel="0" max="37" min="37" style="24" width="6.43"/>
    <col collapsed="false" customWidth="true" hidden="false" outlineLevel="0" max="38" min="38" style="24" width="10.57"/>
    <col collapsed="false" customWidth="true" hidden="false" outlineLevel="0" max="39" min="39" style="24" width="11.57"/>
    <col collapsed="false" customWidth="false" hidden="false" outlineLevel="0" max="16384" min="40" style="24" width="9.29"/>
  </cols>
  <sheetData>
    <row r="1" s="27" customFormat="true" ht="16.5" hidden="false" customHeight="true" outlineLevel="0" collapsed="false">
      <c r="A1" s="26" t="s">
        <v>33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="27" customFormat="true" ht="16.5" hidden="false" customHeight="true" outlineLevel="0" collapsed="false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 s="31" customFormat="true" ht="37.5" hidden="false" customHeight="true" outlineLevel="0" collapsed="false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</row>
    <row r="4" s="31" customFormat="true" ht="37.5" hidden="false" customHeight="true" outlineLevel="0" collapsed="false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  <c r="HX4" s="30"/>
      <c r="HY4" s="30"/>
    </row>
    <row r="5" s="31" customFormat="true" ht="16.5" hidden="false" customHeight="true" outlineLevel="0" collapsed="false">
      <c r="A5" s="29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</row>
    <row r="6" s="31" customFormat="true" ht="16.5" hidden="false" customHeight="true" outlineLevel="0" collapsed="false">
      <c r="A6" s="29" t="s">
        <v>5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</row>
    <row r="7" s="31" customFormat="true" ht="30.75" hidden="false" customHeight="true" outlineLevel="0" collapsed="false">
      <c r="A7" s="32" t="s">
        <v>6</v>
      </c>
      <c r="B7" s="33"/>
      <c r="D7" s="34" t="s">
        <v>7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</row>
    <row r="8" s="30" customFormat="true" ht="13.5" hidden="false" customHeight="true" outlineLevel="0" collapsed="false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</row>
    <row r="9" s="46" customFormat="true" ht="22.5" hidden="false" customHeight="true" outlineLevel="0" collapsed="false">
      <c r="A9" s="36" t="s">
        <v>34</v>
      </c>
      <c r="B9" s="36" t="s">
        <v>10</v>
      </c>
      <c r="C9" s="36" t="s">
        <v>11</v>
      </c>
      <c r="D9" s="37" t="s">
        <v>35</v>
      </c>
      <c r="E9" s="38"/>
      <c r="F9" s="38"/>
      <c r="G9" s="37"/>
      <c r="H9" s="38"/>
      <c r="I9" s="38"/>
      <c r="J9" s="38"/>
      <c r="K9" s="38"/>
      <c r="L9" s="38"/>
      <c r="M9" s="39" t="s">
        <v>36</v>
      </c>
      <c r="N9" s="40"/>
      <c r="O9" s="41" t="s">
        <v>37</v>
      </c>
      <c r="P9" s="42"/>
      <c r="Q9" s="42"/>
      <c r="R9" s="42"/>
      <c r="S9" s="42"/>
      <c r="T9" s="42"/>
      <c r="U9" s="42"/>
      <c r="V9" s="42"/>
      <c r="W9" s="41" t="s">
        <v>38</v>
      </c>
      <c r="X9" s="40"/>
      <c r="Y9" s="43"/>
      <c r="Z9" s="44"/>
      <c r="AA9" s="44"/>
      <c r="AB9" s="37" t="s">
        <v>15</v>
      </c>
      <c r="AC9" s="45"/>
    </row>
    <row r="10" s="50" customFormat="true" ht="22.5" hidden="false" customHeight="true" outlineLevel="0" collapsed="false">
      <c r="A10" s="36"/>
      <c r="B10" s="36"/>
      <c r="C10" s="36"/>
      <c r="D10" s="36"/>
      <c r="E10" s="41"/>
      <c r="F10" s="41"/>
      <c r="G10" s="41"/>
      <c r="H10" s="41"/>
      <c r="I10" s="41"/>
      <c r="J10" s="41"/>
      <c r="K10" s="41"/>
      <c r="L10" s="41"/>
      <c r="M10" s="41"/>
      <c r="N10" s="41" t="s">
        <v>37</v>
      </c>
      <c r="O10" s="41"/>
      <c r="P10" s="41" t="s">
        <v>37</v>
      </c>
      <c r="Q10" s="41" t="s">
        <v>37</v>
      </c>
      <c r="R10" s="41"/>
      <c r="S10" s="41"/>
      <c r="T10" s="41"/>
      <c r="U10" s="41" t="s">
        <v>38</v>
      </c>
      <c r="V10" s="41" t="s">
        <v>38</v>
      </c>
      <c r="W10" s="41"/>
      <c r="X10" s="41" t="s">
        <v>38</v>
      </c>
      <c r="Y10" s="41" t="s">
        <v>38</v>
      </c>
      <c r="Z10" s="47"/>
      <c r="AA10" s="47"/>
      <c r="AB10" s="37"/>
      <c r="AC10" s="48"/>
      <c r="AD10" s="49"/>
      <c r="AE10" s="49"/>
    </row>
    <row r="11" s="50" customFormat="true" ht="15" hidden="false" customHeight="true" outlineLevel="0" collapsed="false">
      <c r="A11" s="13" t="n">
        <v>1</v>
      </c>
      <c r="B11" s="13" t="str">
        <f aca="false">'KTHH Lớp 1'!B23</f>
        <v>20</v>
      </c>
      <c r="C11" s="15" t="n">
        <f aca="false">'KTHH Lớp 1'!C23</f>
        <v>394.75</v>
      </c>
      <c r="D11" s="13" t="n">
        <f aca="false">'KTHH Lớp 1'!T23</f>
        <v>20</v>
      </c>
      <c r="E11" s="51"/>
      <c r="F11" s="51"/>
      <c r="G11" s="51"/>
      <c r="H11" s="51"/>
      <c r="I11" s="51"/>
      <c r="J11" s="51"/>
      <c r="K11" s="52"/>
      <c r="L11" s="16"/>
      <c r="M11" s="17"/>
      <c r="N11" s="53"/>
      <c r="O11" s="52" t="n">
        <f aca="false">10.5*0.25</f>
        <v>2.625</v>
      </c>
      <c r="P11" s="52"/>
      <c r="Q11" s="52"/>
      <c r="R11" s="54"/>
      <c r="S11" s="54"/>
      <c r="T11" s="54"/>
      <c r="U11" s="54"/>
      <c r="V11" s="54"/>
      <c r="W11" s="54" t="n">
        <f aca="false">(O11+O12)*D11/2</f>
        <v>52.5</v>
      </c>
      <c r="X11" s="54"/>
      <c r="Y11" s="54"/>
      <c r="Z11" s="54"/>
      <c r="AA11" s="54"/>
      <c r="AB11" s="55"/>
      <c r="AC11" s="56"/>
      <c r="AE11" s="57"/>
      <c r="AF11" s="57"/>
    </row>
    <row r="12" s="50" customFormat="true" ht="15" hidden="false" customHeight="true" outlineLevel="0" collapsed="false">
      <c r="A12" s="13" t="n">
        <v>2</v>
      </c>
      <c r="B12" s="13" t="str">
        <f aca="false">'KTHH Lớp 1'!B24</f>
        <v>21</v>
      </c>
      <c r="C12" s="15" t="n">
        <f aca="false">'KTHH Lớp 1'!C24</f>
        <v>414.75</v>
      </c>
      <c r="D12" s="13" t="n">
        <f aca="false">'KTHH Lớp 1'!T24</f>
        <v>20</v>
      </c>
      <c r="E12" s="51"/>
      <c r="F12" s="51"/>
      <c r="G12" s="51"/>
      <c r="H12" s="51"/>
      <c r="I12" s="51"/>
      <c r="J12" s="51"/>
      <c r="K12" s="52"/>
      <c r="L12" s="16"/>
      <c r="M12" s="17"/>
      <c r="N12" s="53"/>
      <c r="O12" s="52" t="n">
        <f aca="false">10.5*0.25</f>
        <v>2.625</v>
      </c>
      <c r="P12" s="52"/>
      <c r="Q12" s="52"/>
      <c r="R12" s="54"/>
      <c r="S12" s="54"/>
      <c r="T12" s="54"/>
      <c r="U12" s="54"/>
      <c r="V12" s="54"/>
      <c r="W12" s="54" t="n">
        <f aca="false">(O12+O13)*D12/2</f>
        <v>52.5</v>
      </c>
      <c r="X12" s="54"/>
      <c r="Y12" s="54"/>
      <c r="Z12" s="54"/>
      <c r="AA12" s="54"/>
      <c r="AB12" s="55"/>
      <c r="AC12" s="56"/>
      <c r="AE12" s="57"/>
      <c r="AF12" s="57"/>
    </row>
    <row r="13" s="50" customFormat="true" ht="15" hidden="false" customHeight="true" outlineLevel="0" collapsed="false">
      <c r="A13" s="13" t="n">
        <v>3</v>
      </c>
      <c r="B13" s="13" t="str">
        <f aca="false">'KTHH Lớp 1'!B25</f>
        <v>22</v>
      </c>
      <c r="C13" s="15" t="n">
        <f aca="false">'KTHH Lớp 1'!C25</f>
        <v>434.75</v>
      </c>
      <c r="D13" s="13" t="n">
        <f aca="false">'KTHH Lớp 1'!T25</f>
        <v>20</v>
      </c>
      <c r="E13" s="51"/>
      <c r="F13" s="51"/>
      <c r="G13" s="51"/>
      <c r="H13" s="51"/>
      <c r="I13" s="51"/>
      <c r="J13" s="51"/>
      <c r="K13" s="52"/>
      <c r="L13" s="16"/>
      <c r="M13" s="17"/>
      <c r="N13" s="53"/>
      <c r="O13" s="52" t="n">
        <f aca="false">10.5*0.25</f>
        <v>2.625</v>
      </c>
      <c r="P13" s="52"/>
      <c r="Q13" s="52"/>
      <c r="R13" s="54"/>
      <c r="S13" s="54"/>
      <c r="T13" s="54"/>
      <c r="U13" s="54"/>
      <c r="V13" s="54"/>
      <c r="W13" s="54" t="n">
        <f aca="false">(O13+O14)*D13/2</f>
        <v>52.5</v>
      </c>
      <c r="X13" s="54"/>
      <c r="Y13" s="54"/>
      <c r="Z13" s="54"/>
      <c r="AA13" s="54"/>
      <c r="AB13" s="55"/>
      <c r="AC13" s="56"/>
      <c r="AE13" s="57"/>
      <c r="AF13" s="57"/>
    </row>
    <row r="14" s="50" customFormat="true" ht="15" hidden="false" customHeight="true" outlineLevel="0" collapsed="false">
      <c r="A14" s="13" t="n">
        <v>4</v>
      </c>
      <c r="B14" s="13" t="str">
        <f aca="false">'KTHH Lớp 1'!B26</f>
        <v>23</v>
      </c>
      <c r="C14" s="15" t="n">
        <f aca="false">'KTHH Lớp 1'!C26</f>
        <v>454.75</v>
      </c>
      <c r="D14" s="13" t="n">
        <f aca="false">'KTHH Lớp 1'!T26</f>
        <v>20</v>
      </c>
      <c r="E14" s="51"/>
      <c r="F14" s="51"/>
      <c r="G14" s="51"/>
      <c r="H14" s="51"/>
      <c r="I14" s="51"/>
      <c r="J14" s="51"/>
      <c r="K14" s="52"/>
      <c r="L14" s="16"/>
      <c r="M14" s="17"/>
      <c r="N14" s="53"/>
      <c r="O14" s="52" t="n">
        <f aca="false">10.5*0.25</f>
        <v>2.625</v>
      </c>
      <c r="P14" s="52"/>
      <c r="Q14" s="52"/>
      <c r="R14" s="54"/>
      <c r="S14" s="54"/>
      <c r="T14" s="54"/>
      <c r="U14" s="54"/>
      <c r="V14" s="54"/>
      <c r="W14" s="54" t="n">
        <f aca="false">(O14+O15)*D14/2</f>
        <v>52.5</v>
      </c>
      <c r="X14" s="54"/>
      <c r="Y14" s="54"/>
      <c r="Z14" s="54"/>
      <c r="AA14" s="54"/>
      <c r="AB14" s="55"/>
      <c r="AC14" s="56"/>
      <c r="AE14" s="57"/>
      <c r="AF14" s="57"/>
    </row>
    <row r="15" s="50" customFormat="true" ht="15" hidden="false" customHeight="true" outlineLevel="0" collapsed="false">
      <c r="A15" s="13" t="n">
        <v>5</v>
      </c>
      <c r="B15" s="13" t="str">
        <f aca="false">'KTHH Lớp 1'!B27</f>
        <v>24</v>
      </c>
      <c r="C15" s="15" t="n">
        <f aca="false">'KTHH Lớp 1'!C27</f>
        <v>474.75</v>
      </c>
      <c r="D15" s="13" t="n">
        <f aca="false">'KTHH Lớp 1'!T27</f>
        <v>14.44</v>
      </c>
      <c r="E15" s="51"/>
      <c r="F15" s="51"/>
      <c r="G15" s="51"/>
      <c r="H15" s="51"/>
      <c r="I15" s="51"/>
      <c r="J15" s="51"/>
      <c r="K15" s="52"/>
      <c r="L15" s="16"/>
      <c r="M15" s="17"/>
      <c r="N15" s="53"/>
      <c r="O15" s="52" t="n">
        <f aca="false">10.5*0.25</f>
        <v>2.625</v>
      </c>
      <c r="P15" s="52"/>
      <c r="Q15" s="52"/>
      <c r="R15" s="54"/>
      <c r="S15" s="54"/>
      <c r="T15" s="54"/>
      <c r="U15" s="54"/>
      <c r="V15" s="54"/>
      <c r="W15" s="54" t="n">
        <f aca="false">(O15+O16)*D15/2</f>
        <v>37.905</v>
      </c>
      <c r="X15" s="54"/>
      <c r="Y15" s="54"/>
      <c r="Z15" s="54"/>
      <c r="AA15" s="54"/>
      <c r="AB15" s="55"/>
      <c r="AC15" s="56"/>
      <c r="AE15" s="57"/>
      <c r="AF15" s="57"/>
    </row>
    <row r="16" s="50" customFormat="true" ht="15" hidden="false" customHeight="true" outlineLevel="0" collapsed="false">
      <c r="A16" s="13" t="n">
        <v>6</v>
      </c>
      <c r="B16" s="13" t="str">
        <f aca="false">'KTHH Lớp 1'!B28</f>
        <v>25</v>
      </c>
      <c r="C16" s="15" t="n">
        <f aca="false">'KTHH Lớp 1'!C28</f>
        <v>489.19</v>
      </c>
      <c r="D16" s="13"/>
      <c r="E16" s="51"/>
      <c r="F16" s="51"/>
      <c r="G16" s="51"/>
      <c r="H16" s="51"/>
      <c r="I16" s="51"/>
      <c r="J16" s="51"/>
      <c r="K16" s="52"/>
      <c r="L16" s="16"/>
      <c r="M16" s="17"/>
      <c r="N16" s="53"/>
      <c r="O16" s="52" t="n">
        <f aca="false">10.5*0.25</f>
        <v>2.625</v>
      </c>
      <c r="P16" s="52"/>
      <c r="Q16" s="52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5"/>
      <c r="AC16" s="56"/>
      <c r="AE16" s="57"/>
      <c r="AF16" s="57"/>
    </row>
    <row r="17" s="50" customFormat="true" ht="15" hidden="true" customHeight="true" outlineLevel="0" collapsed="false">
      <c r="A17" s="13"/>
      <c r="B17" s="13"/>
      <c r="C17" s="15"/>
      <c r="D17" s="13"/>
      <c r="E17" s="51"/>
      <c r="F17" s="51"/>
      <c r="G17" s="51"/>
      <c r="H17" s="51"/>
      <c r="I17" s="51"/>
      <c r="J17" s="51"/>
      <c r="K17" s="52"/>
      <c r="L17" s="16"/>
      <c r="M17" s="17"/>
      <c r="N17" s="53"/>
      <c r="O17" s="52"/>
      <c r="P17" s="52"/>
      <c r="Q17" s="52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5"/>
      <c r="AC17" s="56"/>
      <c r="AE17" s="57"/>
      <c r="AF17" s="57"/>
    </row>
    <row r="18" s="50" customFormat="true" ht="15" hidden="true" customHeight="true" outlineLevel="0" collapsed="false">
      <c r="A18" s="13"/>
      <c r="B18" s="13"/>
      <c r="C18" s="15"/>
      <c r="D18" s="13"/>
      <c r="E18" s="51"/>
      <c r="F18" s="51"/>
      <c r="G18" s="51"/>
      <c r="H18" s="51"/>
      <c r="I18" s="51"/>
      <c r="J18" s="51"/>
      <c r="K18" s="52"/>
      <c r="L18" s="16"/>
      <c r="M18" s="17"/>
      <c r="N18" s="53"/>
      <c r="O18" s="52"/>
      <c r="P18" s="52"/>
      <c r="Q18" s="52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5"/>
      <c r="AC18" s="56"/>
      <c r="AE18" s="57"/>
      <c r="AF18" s="57"/>
    </row>
    <row r="19" s="50" customFormat="true" ht="15" hidden="true" customHeight="true" outlineLevel="0" collapsed="false">
      <c r="A19" s="13"/>
      <c r="B19" s="13"/>
      <c r="C19" s="15"/>
      <c r="D19" s="13"/>
      <c r="E19" s="51"/>
      <c r="F19" s="51"/>
      <c r="G19" s="51"/>
      <c r="H19" s="51"/>
      <c r="I19" s="51"/>
      <c r="J19" s="51"/>
      <c r="K19" s="52"/>
      <c r="L19" s="16"/>
      <c r="M19" s="17"/>
      <c r="N19" s="53"/>
      <c r="O19" s="52"/>
      <c r="P19" s="52"/>
      <c r="Q19" s="52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5"/>
      <c r="AC19" s="56"/>
      <c r="AE19" s="57"/>
      <c r="AF19" s="57"/>
    </row>
    <row r="20" s="50" customFormat="true" ht="15" hidden="true" customHeight="true" outlineLevel="0" collapsed="false">
      <c r="A20" s="13"/>
      <c r="B20" s="13"/>
      <c r="C20" s="15"/>
      <c r="D20" s="13"/>
      <c r="E20" s="51"/>
      <c r="F20" s="51"/>
      <c r="G20" s="51"/>
      <c r="H20" s="51"/>
      <c r="I20" s="51"/>
      <c r="J20" s="51"/>
      <c r="K20" s="52"/>
      <c r="L20" s="16"/>
      <c r="M20" s="17"/>
      <c r="N20" s="53"/>
      <c r="O20" s="52"/>
      <c r="P20" s="52"/>
      <c r="Q20" s="52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5"/>
      <c r="AC20" s="56"/>
      <c r="AE20" s="57"/>
      <c r="AF20" s="57"/>
    </row>
    <row r="21" s="50" customFormat="true" ht="15" hidden="true" customHeight="true" outlineLevel="0" collapsed="false">
      <c r="A21" s="13"/>
      <c r="B21" s="13"/>
      <c r="C21" s="15"/>
      <c r="D21" s="13"/>
      <c r="E21" s="51"/>
      <c r="F21" s="51"/>
      <c r="G21" s="51"/>
      <c r="H21" s="51"/>
      <c r="I21" s="51"/>
      <c r="J21" s="51"/>
      <c r="K21" s="52"/>
      <c r="L21" s="16"/>
      <c r="M21" s="17"/>
      <c r="N21" s="53"/>
      <c r="O21" s="52"/>
      <c r="P21" s="52"/>
      <c r="Q21" s="52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5"/>
      <c r="AC21" s="56"/>
      <c r="AE21" s="57"/>
      <c r="AF21" s="57"/>
    </row>
    <row r="22" s="50" customFormat="true" ht="15" hidden="true" customHeight="true" outlineLevel="0" collapsed="false">
      <c r="A22" s="13"/>
      <c r="B22" s="13"/>
      <c r="C22" s="15"/>
      <c r="D22" s="13"/>
      <c r="E22" s="51"/>
      <c r="F22" s="51"/>
      <c r="G22" s="51"/>
      <c r="H22" s="51"/>
      <c r="I22" s="51"/>
      <c r="J22" s="51"/>
      <c r="K22" s="52"/>
      <c r="L22" s="16"/>
      <c r="M22" s="17"/>
      <c r="N22" s="53"/>
      <c r="O22" s="52"/>
      <c r="P22" s="52"/>
      <c r="Q22" s="52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5"/>
      <c r="AC22" s="56"/>
      <c r="AE22" s="57"/>
      <c r="AF22" s="57"/>
    </row>
    <row r="23" s="50" customFormat="true" ht="15" hidden="true" customHeight="true" outlineLevel="0" collapsed="false">
      <c r="A23" s="13"/>
      <c r="B23" s="13"/>
      <c r="C23" s="15"/>
      <c r="D23" s="13"/>
      <c r="E23" s="51"/>
      <c r="F23" s="51"/>
      <c r="G23" s="51"/>
      <c r="H23" s="51"/>
      <c r="I23" s="51"/>
      <c r="J23" s="51"/>
      <c r="K23" s="52"/>
      <c r="L23" s="16"/>
      <c r="M23" s="17"/>
      <c r="N23" s="53"/>
      <c r="O23" s="52"/>
      <c r="P23" s="52"/>
      <c r="Q23" s="52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5"/>
      <c r="AC23" s="56"/>
      <c r="AE23" s="57"/>
      <c r="AF23" s="57"/>
    </row>
    <row r="24" s="50" customFormat="true" ht="15" hidden="true" customHeight="true" outlineLevel="0" collapsed="false">
      <c r="A24" s="13"/>
      <c r="B24" s="13"/>
      <c r="C24" s="15"/>
      <c r="D24" s="13"/>
      <c r="E24" s="51"/>
      <c r="F24" s="51"/>
      <c r="G24" s="51"/>
      <c r="H24" s="51"/>
      <c r="I24" s="51"/>
      <c r="J24" s="51"/>
      <c r="K24" s="52"/>
      <c r="L24" s="16"/>
      <c r="M24" s="17"/>
      <c r="N24" s="53"/>
      <c r="O24" s="52"/>
      <c r="P24" s="52"/>
      <c r="Q24" s="52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5"/>
      <c r="AC24" s="56"/>
      <c r="AE24" s="57"/>
      <c r="AF24" s="57"/>
    </row>
    <row r="25" s="50" customFormat="true" ht="15" hidden="true" customHeight="true" outlineLevel="0" collapsed="false">
      <c r="A25" s="13"/>
      <c r="B25" s="13"/>
      <c r="C25" s="15"/>
      <c r="D25" s="13"/>
      <c r="E25" s="51"/>
      <c r="F25" s="51"/>
      <c r="G25" s="51"/>
      <c r="H25" s="51"/>
      <c r="I25" s="51"/>
      <c r="J25" s="51"/>
      <c r="K25" s="52"/>
      <c r="L25" s="16"/>
      <c r="M25" s="17"/>
      <c r="N25" s="53"/>
      <c r="O25" s="52"/>
      <c r="P25" s="52"/>
      <c r="Q25" s="52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5"/>
      <c r="AC25" s="56"/>
      <c r="AE25" s="57"/>
      <c r="AF25" s="57"/>
    </row>
    <row r="26" s="50" customFormat="true" ht="15" hidden="true" customHeight="true" outlineLevel="0" collapsed="false">
      <c r="A26" s="13"/>
      <c r="B26" s="13"/>
      <c r="C26" s="15"/>
      <c r="D26" s="13"/>
      <c r="E26" s="51"/>
      <c r="F26" s="51"/>
      <c r="G26" s="51"/>
      <c r="H26" s="51"/>
      <c r="I26" s="51"/>
      <c r="J26" s="51"/>
      <c r="K26" s="52"/>
      <c r="L26" s="16"/>
      <c r="M26" s="17"/>
      <c r="N26" s="53"/>
      <c r="O26" s="52"/>
      <c r="P26" s="52"/>
      <c r="Q26" s="52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5"/>
      <c r="AC26" s="56"/>
      <c r="AE26" s="57"/>
      <c r="AF26" s="57"/>
    </row>
    <row r="27" s="50" customFormat="true" ht="15" hidden="true" customHeight="true" outlineLevel="0" collapsed="false">
      <c r="A27" s="13"/>
      <c r="B27" s="13"/>
      <c r="C27" s="15"/>
      <c r="D27" s="13"/>
      <c r="E27" s="51"/>
      <c r="F27" s="51"/>
      <c r="G27" s="51"/>
      <c r="H27" s="51"/>
      <c r="I27" s="51"/>
      <c r="J27" s="51"/>
      <c r="K27" s="52"/>
      <c r="L27" s="16"/>
      <c r="M27" s="17"/>
      <c r="N27" s="53"/>
      <c r="O27" s="52"/>
      <c r="P27" s="52"/>
      <c r="Q27" s="52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5"/>
      <c r="AC27" s="56"/>
      <c r="AE27" s="57"/>
      <c r="AF27" s="57"/>
    </row>
    <row r="28" s="50" customFormat="true" ht="15" hidden="true" customHeight="true" outlineLevel="0" collapsed="false">
      <c r="A28" s="13"/>
      <c r="B28" s="13"/>
      <c r="C28" s="15"/>
      <c r="D28" s="13"/>
      <c r="E28" s="51"/>
      <c r="F28" s="51"/>
      <c r="G28" s="51"/>
      <c r="H28" s="51"/>
      <c r="I28" s="51"/>
      <c r="J28" s="51"/>
      <c r="K28" s="52"/>
      <c r="L28" s="16"/>
      <c r="M28" s="17"/>
      <c r="N28" s="53"/>
      <c r="O28" s="52"/>
      <c r="P28" s="52"/>
      <c r="Q28" s="52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5"/>
      <c r="AC28" s="56"/>
      <c r="AE28" s="57"/>
      <c r="AF28" s="57"/>
    </row>
    <row r="29" s="50" customFormat="true" ht="15" hidden="true" customHeight="true" outlineLevel="0" collapsed="false">
      <c r="A29" s="13"/>
      <c r="B29" s="13"/>
      <c r="C29" s="15"/>
      <c r="D29" s="13"/>
      <c r="E29" s="51"/>
      <c r="F29" s="51"/>
      <c r="G29" s="51"/>
      <c r="H29" s="51"/>
      <c r="I29" s="51"/>
      <c r="J29" s="51"/>
      <c r="K29" s="52"/>
      <c r="L29" s="16"/>
      <c r="M29" s="17"/>
      <c r="N29" s="53"/>
      <c r="O29" s="52"/>
      <c r="P29" s="52"/>
      <c r="Q29" s="52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5"/>
      <c r="AC29" s="56"/>
      <c r="AE29" s="57"/>
      <c r="AF29" s="57"/>
    </row>
    <row r="30" s="50" customFormat="true" ht="15" hidden="true" customHeight="true" outlineLevel="0" collapsed="false">
      <c r="A30" s="13"/>
      <c r="B30" s="13"/>
      <c r="C30" s="15"/>
      <c r="D30" s="13"/>
      <c r="E30" s="51"/>
      <c r="F30" s="51"/>
      <c r="G30" s="51"/>
      <c r="H30" s="51"/>
      <c r="I30" s="51"/>
      <c r="J30" s="51"/>
      <c r="K30" s="52"/>
      <c r="L30" s="16"/>
      <c r="M30" s="17"/>
      <c r="N30" s="53"/>
      <c r="O30" s="52"/>
      <c r="P30" s="52"/>
      <c r="Q30" s="52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5"/>
      <c r="AC30" s="56"/>
      <c r="AE30" s="57"/>
      <c r="AF30" s="57"/>
    </row>
    <row r="31" s="50" customFormat="true" ht="15" hidden="true" customHeight="true" outlineLevel="0" collapsed="false">
      <c r="A31" s="13"/>
      <c r="B31" s="13"/>
      <c r="C31" s="15"/>
      <c r="D31" s="13"/>
      <c r="E31" s="51"/>
      <c r="F31" s="51"/>
      <c r="G31" s="51"/>
      <c r="H31" s="51"/>
      <c r="I31" s="51"/>
      <c r="J31" s="51"/>
      <c r="K31" s="52"/>
      <c r="L31" s="16"/>
      <c r="M31" s="17"/>
      <c r="N31" s="53"/>
      <c r="O31" s="52"/>
      <c r="P31" s="52"/>
      <c r="Q31" s="52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5"/>
      <c r="AC31" s="56"/>
      <c r="AE31" s="57"/>
      <c r="AF31" s="57"/>
    </row>
    <row r="32" s="50" customFormat="true" ht="15" hidden="true" customHeight="true" outlineLevel="0" collapsed="false">
      <c r="A32" s="13"/>
      <c r="B32" s="13"/>
      <c r="C32" s="15"/>
      <c r="D32" s="13"/>
      <c r="E32" s="51"/>
      <c r="F32" s="51"/>
      <c r="G32" s="51"/>
      <c r="H32" s="51"/>
      <c r="I32" s="51"/>
      <c r="J32" s="51"/>
      <c r="K32" s="52"/>
      <c r="L32" s="16"/>
      <c r="M32" s="17"/>
      <c r="N32" s="53"/>
      <c r="O32" s="52"/>
      <c r="P32" s="52"/>
      <c r="Q32" s="52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5"/>
      <c r="AC32" s="56"/>
      <c r="AE32" s="57"/>
      <c r="AF32" s="57"/>
    </row>
    <row r="33" s="50" customFormat="true" ht="15" hidden="true" customHeight="true" outlineLevel="0" collapsed="false">
      <c r="A33" s="13"/>
      <c r="B33" s="13"/>
      <c r="C33" s="15"/>
      <c r="D33" s="13"/>
      <c r="E33" s="51"/>
      <c r="F33" s="51"/>
      <c r="G33" s="51"/>
      <c r="H33" s="51"/>
      <c r="I33" s="51"/>
      <c r="J33" s="51"/>
      <c r="K33" s="52"/>
      <c r="L33" s="16"/>
      <c r="M33" s="17"/>
      <c r="N33" s="53"/>
      <c r="O33" s="52"/>
      <c r="P33" s="52"/>
      <c r="Q33" s="52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5"/>
      <c r="AC33" s="56"/>
      <c r="AE33" s="57"/>
      <c r="AF33" s="57"/>
    </row>
    <row r="34" s="50" customFormat="true" ht="15" hidden="true" customHeight="true" outlineLevel="0" collapsed="false">
      <c r="A34" s="13"/>
      <c r="B34" s="13"/>
      <c r="C34" s="15"/>
      <c r="D34" s="13"/>
      <c r="E34" s="51"/>
      <c r="F34" s="51"/>
      <c r="G34" s="51"/>
      <c r="H34" s="51"/>
      <c r="I34" s="51"/>
      <c r="J34" s="51"/>
      <c r="K34" s="52"/>
      <c r="L34" s="16"/>
      <c r="M34" s="17"/>
      <c r="N34" s="53"/>
      <c r="O34" s="52"/>
      <c r="P34" s="52"/>
      <c r="Q34" s="52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5"/>
      <c r="AC34" s="56"/>
      <c r="AE34" s="57"/>
      <c r="AF34" s="57"/>
    </row>
    <row r="35" s="50" customFormat="true" ht="15" hidden="true" customHeight="true" outlineLevel="0" collapsed="false">
      <c r="A35" s="13"/>
      <c r="B35" s="13"/>
      <c r="C35" s="15"/>
      <c r="D35" s="13"/>
      <c r="E35" s="51"/>
      <c r="F35" s="51"/>
      <c r="G35" s="51"/>
      <c r="H35" s="51"/>
      <c r="I35" s="51"/>
      <c r="J35" s="51"/>
      <c r="K35" s="52"/>
      <c r="L35" s="16"/>
      <c r="M35" s="17"/>
      <c r="N35" s="53"/>
      <c r="O35" s="52"/>
      <c r="P35" s="52"/>
      <c r="Q35" s="52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5"/>
      <c r="AC35" s="56"/>
      <c r="AE35" s="57"/>
      <c r="AF35" s="57"/>
    </row>
    <row r="36" s="50" customFormat="true" ht="15" hidden="true" customHeight="true" outlineLevel="0" collapsed="false">
      <c r="A36" s="13"/>
      <c r="B36" s="13"/>
      <c r="C36" s="15"/>
      <c r="D36" s="13"/>
      <c r="E36" s="51"/>
      <c r="F36" s="51"/>
      <c r="G36" s="51"/>
      <c r="H36" s="51"/>
      <c r="I36" s="51"/>
      <c r="J36" s="51"/>
      <c r="K36" s="52"/>
      <c r="L36" s="16"/>
      <c r="M36" s="17"/>
      <c r="N36" s="53"/>
      <c r="O36" s="52"/>
      <c r="P36" s="52"/>
      <c r="Q36" s="52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5"/>
      <c r="AC36" s="56"/>
      <c r="AE36" s="57"/>
      <c r="AF36" s="57"/>
    </row>
    <row r="37" s="50" customFormat="true" ht="15" hidden="true" customHeight="true" outlineLevel="0" collapsed="false">
      <c r="A37" s="13"/>
      <c r="B37" s="13"/>
      <c r="C37" s="15"/>
      <c r="D37" s="13"/>
      <c r="E37" s="51"/>
      <c r="F37" s="51"/>
      <c r="G37" s="51"/>
      <c r="H37" s="51"/>
      <c r="I37" s="51"/>
      <c r="J37" s="51"/>
      <c r="K37" s="52"/>
      <c r="L37" s="16"/>
      <c r="M37" s="17"/>
      <c r="N37" s="53"/>
      <c r="O37" s="52"/>
      <c r="P37" s="52"/>
      <c r="Q37" s="52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5"/>
      <c r="AC37" s="56"/>
      <c r="AE37" s="57"/>
      <c r="AF37" s="57"/>
    </row>
    <row r="38" s="50" customFormat="true" ht="15" hidden="true" customHeight="true" outlineLevel="0" collapsed="false">
      <c r="A38" s="13"/>
      <c r="B38" s="13"/>
      <c r="C38" s="15"/>
      <c r="D38" s="13"/>
      <c r="E38" s="51"/>
      <c r="F38" s="51"/>
      <c r="G38" s="51"/>
      <c r="H38" s="51"/>
      <c r="I38" s="51"/>
      <c r="J38" s="51"/>
      <c r="K38" s="52"/>
      <c r="L38" s="16"/>
      <c r="M38" s="17"/>
      <c r="N38" s="53"/>
      <c r="O38" s="52"/>
      <c r="P38" s="52"/>
      <c r="Q38" s="52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5"/>
      <c r="AC38" s="56"/>
      <c r="AE38" s="57"/>
      <c r="AF38" s="57"/>
    </row>
    <row r="39" s="50" customFormat="true" ht="15" hidden="true" customHeight="true" outlineLevel="0" collapsed="false">
      <c r="A39" s="13"/>
      <c r="B39" s="13"/>
      <c r="C39" s="15"/>
      <c r="D39" s="13"/>
      <c r="E39" s="51"/>
      <c r="F39" s="51"/>
      <c r="G39" s="51"/>
      <c r="H39" s="51"/>
      <c r="I39" s="51"/>
      <c r="J39" s="51"/>
      <c r="K39" s="52"/>
      <c r="L39" s="16"/>
      <c r="M39" s="17"/>
      <c r="N39" s="53"/>
      <c r="O39" s="52"/>
      <c r="P39" s="52"/>
      <c r="Q39" s="52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5"/>
      <c r="AC39" s="56"/>
      <c r="AE39" s="57"/>
      <c r="AF39" s="57"/>
    </row>
    <row r="40" s="50" customFormat="true" ht="15" hidden="true" customHeight="true" outlineLevel="0" collapsed="false">
      <c r="A40" s="13"/>
      <c r="B40" s="13"/>
      <c r="C40" s="15"/>
      <c r="D40" s="13"/>
      <c r="E40" s="51"/>
      <c r="F40" s="51"/>
      <c r="G40" s="51"/>
      <c r="H40" s="51"/>
      <c r="I40" s="51"/>
      <c r="J40" s="51"/>
      <c r="K40" s="52"/>
      <c r="L40" s="16"/>
      <c r="M40" s="17"/>
      <c r="N40" s="53"/>
      <c r="O40" s="52"/>
      <c r="P40" s="52"/>
      <c r="Q40" s="52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5"/>
      <c r="AC40" s="56"/>
      <c r="AE40" s="57"/>
      <c r="AF40" s="57"/>
    </row>
    <row r="41" s="50" customFormat="true" ht="15" hidden="true" customHeight="true" outlineLevel="0" collapsed="false">
      <c r="A41" s="13"/>
      <c r="B41" s="13"/>
      <c r="C41" s="15"/>
      <c r="D41" s="13"/>
      <c r="E41" s="51"/>
      <c r="F41" s="51"/>
      <c r="G41" s="51"/>
      <c r="H41" s="51"/>
      <c r="I41" s="51"/>
      <c r="J41" s="51"/>
      <c r="K41" s="52"/>
      <c r="L41" s="16"/>
      <c r="M41" s="17"/>
      <c r="N41" s="53"/>
      <c r="O41" s="52"/>
      <c r="P41" s="52"/>
      <c r="Q41" s="52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5"/>
      <c r="AC41" s="56"/>
      <c r="AE41" s="57"/>
      <c r="AF41" s="57"/>
    </row>
    <row r="42" s="50" customFormat="true" ht="15" hidden="true" customHeight="true" outlineLevel="0" collapsed="false">
      <c r="A42" s="13"/>
      <c r="B42" s="13"/>
      <c r="C42" s="15"/>
      <c r="D42" s="13"/>
      <c r="E42" s="51"/>
      <c r="F42" s="51"/>
      <c r="G42" s="51"/>
      <c r="H42" s="51"/>
      <c r="I42" s="51"/>
      <c r="J42" s="51"/>
      <c r="K42" s="52"/>
      <c r="L42" s="16"/>
      <c r="M42" s="17"/>
      <c r="N42" s="53"/>
      <c r="O42" s="52"/>
      <c r="P42" s="52"/>
      <c r="Q42" s="52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5"/>
      <c r="AC42" s="56"/>
      <c r="AE42" s="57"/>
      <c r="AF42" s="57"/>
    </row>
    <row r="43" s="50" customFormat="true" ht="15" hidden="true" customHeight="true" outlineLevel="0" collapsed="false">
      <c r="A43" s="13"/>
      <c r="B43" s="13"/>
      <c r="C43" s="15"/>
      <c r="D43" s="13"/>
      <c r="E43" s="51"/>
      <c r="F43" s="51"/>
      <c r="G43" s="51"/>
      <c r="H43" s="51"/>
      <c r="I43" s="51"/>
      <c r="J43" s="51"/>
      <c r="K43" s="52"/>
      <c r="L43" s="16"/>
      <c r="M43" s="17"/>
      <c r="N43" s="53"/>
      <c r="O43" s="52"/>
      <c r="P43" s="52"/>
      <c r="Q43" s="52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5"/>
      <c r="AC43" s="56"/>
      <c r="AE43" s="57"/>
      <c r="AF43" s="57"/>
    </row>
    <row r="44" s="50" customFormat="true" ht="15" hidden="true" customHeight="true" outlineLevel="0" collapsed="false">
      <c r="A44" s="13"/>
      <c r="B44" s="13"/>
      <c r="C44" s="15"/>
      <c r="D44" s="13"/>
      <c r="E44" s="51"/>
      <c r="F44" s="51"/>
      <c r="G44" s="51"/>
      <c r="H44" s="51"/>
      <c r="I44" s="51"/>
      <c r="J44" s="51"/>
      <c r="K44" s="52"/>
      <c r="L44" s="16"/>
      <c r="M44" s="17"/>
      <c r="N44" s="53"/>
      <c r="O44" s="52"/>
      <c r="P44" s="52"/>
      <c r="Q44" s="52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5"/>
      <c r="AC44" s="56"/>
      <c r="AE44" s="57"/>
      <c r="AF44" s="57"/>
    </row>
    <row r="45" s="50" customFormat="true" ht="15" hidden="true" customHeight="true" outlineLevel="0" collapsed="false">
      <c r="A45" s="13"/>
      <c r="B45" s="13"/>
      <c r="C45" s="15"/>
      <c r="D45" s="13"/>
      <c r="E45" s="51"/>
      <c r="F45" s="51"/>
      <c r="G45" s="51"/>
      <c r="H45" s="51"/>
      <c r="I45" s="51"/>
      <c r="J45" s="51"/>
      <c r="K45" s="52"/>
      <c r="L45" s="16"/>
      <c r="M45" s="17"/>
      <c r="N45" s="53"/>
      <c r="O45" s="52"/>
      <c r="P45" s="52"/>
      <c r="Q45" s="52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5"/>
      <c r="AC45" s="56"/>
      <c r="AE45" s="57"/>
      <c r="AF45" s="57"/>
    </row>
    <row r="46" s="50" customFormat="true" ht="15" hidden="true" customHeight="true" outlineLevel="0" collapsed="false">
      <c r="A46" s="13"/>
      <c r="B46" s="13"/>
      <c r="C46" s="15"/>
      <c r="D46" s="13"/>
      <c r="E46" s="51"/>
      <c r="F46" s="51"/>
      <c r="G46" s="51"/>
      <c r="H46" s="51"/>
      <c r="I46" s="51"/>
      <c r="J46" s="51"/>
      <c r="K46" s="52"/>
      <c r="L46" s="16"/>
      <c r="M46" s="17"/>
      <c r="N46" s="53"/>
      <c r="O46" s="52"/>
      <c r="P46" s="52"/>
      <c r="Q46" s="52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5"/>
      <c r="AC46" s="56"/>
      <c r="AE46" s="57"/>
      <c r="AF46" s="57"/>
    </row>
    <row r="47" s="50" customFormat="true" ht="15" hidden="true" customHeight="true" outlineLevel="0" collapsed="false">
      <c r="A47" s="13"/>
      <c r="B47" s="13"/>
      <c r="C47" s="15"/>
      <c r="D47" s="13"/>
      <c r="E47" s="51"/>
      <c r="F47" s="51"/>
      <c r="G47" s="51"/>
      <c r="H47" s="51"/>
      <c r="I47" s="51"/>
      <c r="J47" s="51"/>
      <c r="K47" s="52"/>
      <c r="L47" s="16"/>
      <c r="M47" s="17"/>
      <c r="N47" s="53"/>
      <c r="O47" s="52"/>
      <c r="P47" s="52"/>
      <c r="Q47" s="52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5"/>
      <c r="AC47" s="56"/>
      <c r="AE47" s="57"/>
      <c r="AF47" s="57"/>
    </row>
    <row r="48" s="50" customFormat="true" ht="15" hidden="true" customHeight="true" outlineLevel="0" collapsed="false">
      <c r="A48" s="13"/>
      <c r="B48" s="13"/>
      <c r="C48" s="15"/>
      <c r="D48" s="13"/>
      <c r="E48" s="51"/>
      <c r="F48" s="51"/>
      <c r="G48" s="51"/>
      <c r="H48" s="51"/>
      <c r="I48" s="51"/>
      <c r="J48" s="51"/>
      <c r="K48" s="52"/>
      <c r="L48" s="16"/>
      <c r="M48" s="17"/>
      <c r="N48" s="53"/>
      <c r="O48" s="52"/>
      <c r="P48" s="52"/>
      <c r="Q48" s="52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5"/>
      <c r="AC48" s="56"/>
      <c r="AE48" s="57"/>
      <c r="AF48" s="57"/>
    </row>
    <row r="49" s="31" customFormat="true" ht="16.5" hidden="false" customHeight="true" outlineLevel="0" collapsed="false">
      <c r="A49" s="58" t="s">
        <v>39</v>
      </c>
      <c r="B49" s="58"/>
      <c r="C49" s="58"/>
      <c r="D49" s="58"/>
      <c r="E49" s="59"/>
      <c r="F49" s="59"/>
      <c r="G49" s="59"/>
      <c r="H49" s="59"/>
      <c r="I49" s="59"/>
      <c r="J49" s="59"/>
      <c r="K49" s="59"/>
      <c r="L49" s="59"/>
      <c r="M49" s="60"/>
      <c r="N49" s="60"/>
      <c r="O49" s="60"/>
      <c r="P49" s="60"/>
      <c r="Q49" s="60"/>
      <c r="R49" s="61" t="n">
        <f aca="false">SUM(R11:R34)</f>
        <v>0</v>
      </c>
      <c r="S49" s="61" t="n">
        <f aca="false">SUM(S11:S34)</f>
        <v>0</v>
      </c>
      <c r="T49" s="61"/>
      <c r="U49" s="62" t="n">
        <f aca="false">SUM(U11:U34)</f>
        <v>0</v>
      </c>
      <c r="V49" s="62" t="n">
        <f aca="false">SUM(V11:V34)</f>
        <v>0</v>
      </c>
      <c r="W49" s="63" t="n">
        <f aca="false">SUM(W11:W16)</f>
        <v>247.905</v>
      </c>
      <c r="X49" s="62" t="n">
        <f aca="false">SUM(X11:X34)</f>
        <v>0</v>
      </c>
      <c r="Y49" s="62" t="n">
        <f aca="false">SUM(Y11:Y34)</f>
        <v>0</v>
      </c>
      <c r="Z49" s="62" t="n">
        <f aca="false">SUM(Z11:Z34)</f>
        <v>0</v>
      </c>
      <c r="AA49" s="62" t="n">
        <f aca="false">SUM(AA11:AA34)</f>
        <v>0</v>
      </c>
      <c r="AB49" s="62"/>
      <c r="AE49" s="64"/>
      <c r="AF49" s="65"/>
      <c r="AG49" s="65"/>
      <c r="AH49" s="50"/>
      <c r="AI49" s="64"/>
      <c r="AJ49" s="64"/>
      <c r="AK49" s="64"/>
      <c r="AL49" s="64"/>
    </row>
    <row r="50" s="70" customFormat="true" ht="16.5" hidden="false" customHeight="true" outlineLevel="0" collapsed="false">
      <c r="A50" s="66"/>
      <c r="B50" s="66"/>
      <c r="C50" s="66"/>
      <c r="D50" s="66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8"/>
      <c r="S50" s="68"/>
      <c r="T50" s="68"/>
      <c r="U50" s="69"/>
      <c r="V50" s="69"/>
      <c r="W50" s="69"/>
      <c r="X50" s="69"/>
      <c r="Y50" s="69"/>
      <c r="Z50" s="69"/>
      <c r="AA50" s="69"/>
      <c r="AB50" s="69"/>
      <c r="AE50" s="71"/>
      <c r="AF50" s="72"/>
      <c r="AG50" s="65"/>
      <c r="AH50" s="72"/>
      <c r="AI50" s="73"/>
      <c r="AJ50" s="73"/>
      <c r="AK50" s="74"/>
      <c r="AL50" s="73"/>
    </row>
    <row r="51" s="70" customFormat="true" ht="16.5" hidden="false" customHeight="true" outlineLevel="0" collapsed="false">
      <c r="A51" s="21" t="s">
        <v>29</v>
      </c>
      <c r="B51" s="21"/>
      <c r="C51" s="21"/>
      <c r="D51" s="75" t="s">
        <v>40</v>
      </c>
      <c r="E51" s="21" t="s">
        <v>30</v>
      </c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E51" s="73"/>
      <c r="AF51" s="72"/>
      <c r="AI51" s="50"/>
      <c r="AJ51" s="50"/>
      <c r="AK51" s="50"/>
      <c r="AL51" s="50"/>
    </row>
    <row r="52" s="70" customFormat="true" ht="16.5" hidden="false" customHeight="true" outlineLevel="0" collapsed="false">
      <c r="A52" s="76"/>
      <c r="B52" s="76"/>
      <c r="C52" s="76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67"/>
      <c r="Y52" s="67"/>
      <c r="Z52" s="67"/>
      <c r="AA52" s="67"/>
      <c r="AB52" s="67"/>
      <c r="AI52" s="50"/>
      <c r="AJ52" s="50"/>
      <c r="AK52" s="50"/>
      <c r="AL52" s="50"/>
    </row>
    <row r="53" s="70" customFormat="true" ht="15.75" hidden="false" customHeight="true" outlineLevel="0" collapsed="false">
      <c r="A53" s="76"/>
      <c r="B53" s="76"/>
      <c r="C53" s="78"/>
      <c r="D53" s="78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67"/>
      <c r="Y53" s="67"/>
      <c r="Z53" s="67"/>
      <c r="AA53" s="67"/>
      <c r="AB53" s="67"/>
      <c r="AF53" s="79"/>
    </row>
    <row r="54" s="70" customFormat="true" ht="15" hidden="false" customHeight="true" outlineLevel="0" collapsed="false">
      <c r="A54" s="76"/>
      <c r="B54" s="76"/>
      <c r="C54" s="76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67"/>
      <c r="Y54" s="67"/>
      <c r="Z54" s="67"/>
      <c r="AA54" s="67"/>
      <c r="AB54" s="67"/>
    </row>
    <row r="55" s="70" customFormat="true" ht="15" hidden="false" customHeight="true" outlineLevel="0" collapsed="false">
      <c r="A55" s="76"/>
      <c r="B55" s="76"/>
      <c r="C55" s="76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67"/>
      <c r="Y55" s="67"/>
      <c r="Z55" s="67"/>
      <c r="AA55" s="67"/>
      <c r="AB55" s="67"/>
    </row>
    <row r="56" s="70" customFormat="true" ht="15" hidden="false" customHeight="true" outlineLevel="0" collapsed="false">
      <c r="A56" s="76"/>
      <c r="B56" s="76"/>
      <c r="C56" s="76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67"/>
      <c r="Y56" s="67"/>
      <c r="Z56" s="67"/>
      <c r="AA56" s="67"/>
      <c r="AB56" s="67"/>
    </row>
    <row r="57" s="70" customFormat="true" ht="15" hidden="false" customHeight="true" outlineLevel="0" collapsed="false">
      <c r="A57" s="21" t="s">
        <v>31</v>
      </c>
      <c r="B57" s="21"/>
      <c r="C57" s="21"/>
      <c r="D57" s="22"/>
      <c r="E57" s="22"/>
      <c r="F57" s="22"/>
      <c r="G57" s="22"/>
      <c r="H57" s="22"/>
      <c r="I57" s="22"/>
      <c r="J57" s="22"/>
      <c r="K57" s="22"/>
      <c r="L57" s="22"/>
      <c r="M57" s="21" t="s">
        <v>32</v>
      </c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</row>
    <row r="58" customFormat="false" ht="15" hidden="false" customHeight="true" outlineLevel="0" collapsed="false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1"/>
    </row>
    <row r="59" customFormat="false" ht="12.75" hidden="false" customHeight="false" outlineLevel="0" collapsed="false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</row>
    <row r="60" customFormat="false" ht="12.75" hidden="false" customHeight="false" outlineLevel="0" collapsed="false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</row>
    <row r="61" customFormat="false" ht="12.75" hidden="false" customHeight="false" outlineLevel="0" collapsed="false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</row>
    <row r="62" customFormat="false" ht="12.75" hidden="false" customHeight="false" outlineLevel="0" collapsed="false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</row>
    <row r="63" customFormat="false" ht="12.75" hidden="false" customHeight="false" outlineLevel="0" collapsed="false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</row>
    <row r="64" customFormat="false" ht="12.75" hidden="false" customHeight="false" outlineLevel="0" collapsed="false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</row>
    <row r="65" customFormat="false" ht="12.75" hidden="false" customHeight="false" outlineLevel="0" collapsed="false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</row>
    <row r="66" customFormat="false" ht="12.75" hidden="false" customHeight="false" outlineLevel="0" collapsed="false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</row>
    <row r="67" customFormat="false" ht="12.75" hidden="false" customHeight="false" outlineLevel="0" collapsed="false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</row>
    <row r="68" customFormat="false" ht="12.75" hidden="false" customHeight="false" outlineLevel="0" collapsed="false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</row>
    <row r="69" customFormat="false" ht="12.75" hidden="false" customHeight="false" outlineLevel="0" collapsed="false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</row>
    <row r="70" customFormat="false" ht="12.75" hidden="false" customHeight="false" outlineLevel="0" collapsed="false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</row>
    <row r="71" customFormat="false" ht="12.75" hidden="false" customHeight="false" outlineLevel="0" collapsed="false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</row>
    <row r="72" customFormat="false" ht="12.75" hidden="false" customHeight="false" outlineLevel="0" collapsed="false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</row>
    <row r="73" customFormat="false" ht="12.75" hidden="false" customHeight="false" outlineLevel="0" collapsed="false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</row>
    <row r="74" customFormat="false" ht="12.75" hidden="false" customHeight="false" outlineLevel="0" collapsed="false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</row>
    <row r="75" customFormat="false" ht="12.75" hidden="false" customHeight="false" outlineLevel="0" collapsed="false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</row>
    <row r="76" customFormat="false" ht="12.75" hidden="false" customHeight="false" outlineLevel="0" collapsed="false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</row>
    <row r="77" customFormat="false" ht="12.75" hidden="false" customHeight="false" outlineLevel="0" collapsed="false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</row>
    <row r="78" customFormat="false" ht="12.75" hidden="false" customHeight="false" outlineLevel="0" collapsed="false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</row>
    <row r="79" customFormat="false" ht="12.75" hidden="false" customHeight="false" outlineLevel="0" collapsed="false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</row>
    <row r="80" customFormat="false" ht="12.75" hidden="false" customHeight="false" outlineLevel="0" collapsed="false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</row>
    <row r="81" customFormat="false" ht="12.75" hidden="false" customHeight="false" outlineLevel="0" collapsed="false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</row>
    <row r="82" customFormat="false" ht="12.75" hidden="false" customHeight="false" outlineLevel="0" collapsed="false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</row>
    <row r="83" customFormat="false" ht="12.75" hidden="false" customHeight="false" outlineLevel="0" collapsed="false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</row>
    <row r="84" customFormat="false" ht="12.75" hidden="false" customHeight="false" outlineLevel="0" collapsed="false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</row>
    <row r="85" customFormat="false" ht="12.75" hidden="false" customHeight="false" outlineLevel="0" collapsed="false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</row>
    <row r="86" customFormat="false" ht="12.75" hidden="false" customHeight="false" outlineLevel="0" collapsed="false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</row>
    <row r="87" customFormat="false" ht="12.75" hidden="false" customHeight="false" outlineLevel="0" collapsed="false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</row>
    <row r="88" customFormat="false" ht="12.75" hidden="false" customHeight="false" outlineLevel="0" collapsed="false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</row>
    <row r="89" customFormat="false" ht="12.75" hidden="false" customHeight="false" outlineLevel="0" collapsed="false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</row>
    <row r="90" customFormat="false" ht="12.75" hidden="false" customHeight="false" outlineLevel="0" collapsed="false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</row>
    <row r="91" customFormat="false" ht="12.75" hidden="false" customHeight="false" outlineLevel="0" collapsed="false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</row>
    <row r="92" customFormat="false" ht="12.75" hidden="false" customHeight="false" outlineLevel="0" collapsed="false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</row>
    <row r="93" customFormat="false" ht="12.75" hidden="false" customHeight="false" outlineLevel="0" collapsed="false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</row>
    <row r="94" customFormat="false" ht="12.75" hidden="false" customHeight="false" outlineLevel="0" collapsed="false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</row>
    <row r="95" customFormat="false" ht="12.75" hidden="false" customHeight="false" outlineLevel="0" collapsed="false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</row>
    <row r="96" customFormat="false" ht="12.75" hidden="false" customHeight="false" outlineLevel="0" collapsed="false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</row>
    <row r="97" customFormat="false" ht="12.75" hidden="false" customHeight="false" outlineLevel="0" collapsed="false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</row>
    <row r="98" customFormat="false" ht="12.75" hidden="false" customHeight="false" outlineLevel="0" collapsed="false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</row>
    <row r="99" customFormat="false" ht="12.75" hidden="false" customHeight="false" outlineLevel="0" collapsed="false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</row>
    <row r="100" customFormat="false" ht="12.75" hidden="false" customHeight="false" outlineLevel="0" collapsed="false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</row>
    <row r="101" customFormat="false" ht="12.75" hidden="false" customHeight="false" outlineLevel="0" collapsed="false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</row>
    <row r="102" customFormat="false" ht="12.75" hidden="false" customHeight="false" outlineLevel="0" collapsed="false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</row>
    <row r="103" customFormat="false" ht="12.75" hidden="false" customHeight="false" outlineLevel="0" collapsed="false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</row>
    <row r="104" customFormat="false" ht="12.75" hidden="false" customHeight="false" outlineLevel="0" collapsed="false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</row>
    <row r="105" customFormat="false" ht="12.75" hidden="false" customHeight="false" outlineLevel="0" collapsed="false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</row>
    <row r="106" customFormat="false" ht="12.75" hidden="false" customHeight="false" outlineLevel="0" collapsed="false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</row>
    <row r="107" s="25" customFormat="true" ht="12.75" hidden="false" customHeight="false" outlineLevel="0" collapsed="false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24"/>
      <c r="AE107" s="24"/>
      <c r="AF107" s="24"/>
      <c r="AG107" s="24"/>
    </row>
    <row r="108" s="25" customFormat="true" ht="12.75" hidden="false" customHeight="false" outlineLevel="0" collapsed="false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24"/>
      <c r="AE108" s="24"/>
      <c r="AF108" s="24"/>
      <c r="AG108" s="24"/>
    </row>
    <row r="109" s="25" customFormat="true" ht="12.75" hidden="false" customHeight="false" outlineLevel="0" collapsed="false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24"/>
      <c r="AE109" s="24"/>
      <c r="AF109" s="24"/>
      <c r="AG109" s="24"/>
    </row>
    <row r="110" s="25" customFormat="true" ht="12.75" hidden="false" customHeight="false" outlineLevel="0" collapsed="false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24"/>
      <c r="AE110" s="24"/>
      <c r="AF110" s="24"/>
      <c r="AG110" s="24"/>
    </row>
    <row r="111" s="25" customFormat="true" ht="12.75" hidden="false" customHeight="false" outlineLevel="0" collapsed="false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24"/>
      <c r="AE111" s="24"/>
      <c r="AF111" s="24"/>
      <c r="AG111" s="24"/>
    </row>
    <row r="112" s="25" customFormat="true" ht="12.75" hidden="false" customHeight="false" outlineLevel="0" collapsed="false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24"/>
      <c r="AE112" s="24"/>
      <c r="AF112" s="24"/>
      <c r="AG112" s="24"/>
    </row>
    <row r="113" s="25" customFormat="true" ht="12.75" hidden="false" customHeight="false" outlineLevel="0" collapsed="false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24"/>
      <c r="AE113" s="24"/>
      <c r="AF113" s="24"/>
      <c r="AG113" s="24"/>
    </row>
    <row r="114" s="25" customFormat="true" ht="12.75" hidden="false" customHeight="false" outlineLevel="0" collapsed="false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24"/>
      <c r="AE114" s="24"/>
      <c r="AF114" s="24"/>
      <c r="AG114" s="24"/>
    </row>
    <row r="115" s="25" customFormat="true" ht="12.75" hidden="false" customHeight="false" outlineLevel="0" collapsed="false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24"/>
      <c r="AE115" s="24"/>
      <c r="AF115" s="24"/>
      <c r="AG115" s="24"/>
    </row>
    <row r="116" s="25" customFormat="true" ht="12.75" hidden="false" customHeight="false" outlineLevel="0" collapsed="false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24"/>
      <c r="AE116" s="24"/>
      <c r="AF116" s="24"/>
      <c r="AG116" s="24"/>
    </row>
    <row r="117" s="25" customFormat="true" ht="12.75" hidden="false" customHeight="false" outlineLevel="0" collapsed="false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24"/>
      <c r="AE117" s="24"/>
      <c r="AF117" s="24"/>
      <c r="AG117" s="24"/>
    </row>
    <row r="118" s="25" customFormat="true" ht="12.75" hidden="false" customHeight="false" outlineLevel="0" collapsed="false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24"/>
      <c r="AE118" s="24"/>
      <c r="AF118" s="24"/>
      <c r="AG118" s="24"/>
    </row>
    <row r="119" s="25" customFormat="true" ht="12.75" hidden="false" customHeight="false" outlineLevel="0" collapsed="false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24"/>
      <c r="AE119" s="24"/>
      <c r="AF119" s="24"/>
      <c r="AG119" s="24"/>
    </row>
    <row r="120" s="25" customFormat="true" ht="12.75" hidden="false" customHeight="false" outlineLevel="0" collapsed="false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24"/>
      <c r="AE120" s="24"/>
      <c r="AF120" s="24"/>
      <c r="AG120" s="24"/>
    </row>
    <row r="121" s="25" customFormat="true" ht="12.75" hidden="false" customHeight="false" outlineLevel="0" collapsed="false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24"/>
      <c r="AE121" s="24"/>
      <c r="AF121" s="24"/>
      <c r="AG121" s="24"/>
    </row>
    <row r="122" s="25" customFormat="true" ht="12.75" hidden="false" customHeight="false" outlineLevel="0" collapsed="false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24"/>
      <c r="AE122" s="24"/>
      <c r="AF122" s="24"/>
      <c r="AG122" s="24"/>
    </row>
    <row r="123" s="25" customFormat="true" ht="12.75" hidden="false" customHeight="false" outlineLevel="0" collapsed="false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24"/>
      <c r="AE123" s="24"/>
      <c r="AF123" s="24"/>
      <c r="AG123" s="24"/>
    </row>
    <row r="124" s="25" customFormat="true" ht="12.75" hidden="false" customHeight="false" outlineLevel="0" collapsed="false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24"/>
      <c r="AE124" s="24"/>
      <c r="AF124" s="24"/>
      <c r="AG124" s="24"/>
    </row>
    <row r="125" s="25" customFormat="true" ht="12.75" hidden="false" customHeight="false" outlineLevel="0" collapsed="false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24"/>
      <c r="AE125" s="24"/>
      <c r="AF125" s="24"/>
      <c r="AG125" s="24"/>
    </row>
    <row r="126" s="25" customFormat="true" ht="12.75" hidden="false" customHeight="false" outlineLevel="0" collapsed="false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24"/>
      <c r="AE126" s="24"/>
      <c r="AF126" s="24"/>
      <c r="AG126" s="24"/>
    </row>
    <row r="127" s="25" customFormat="true" ht="12.75" hidden="false" customHeight="false" outlineLevel="0" collapsed="false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24"/>
      <c r="AE127" s="24"/>
      <c r="AF127" s="24"/>
      <c r="AG127" s="24"/>
    </row>
    <row r="128" s="25" customFormat="true" ht="12.75" hidden="false" customHeight="false" outlineLevel="0" collapsed="false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24"/>
      <c r="AE128" s="24"/>
      <c r="AF128" s="24"/>
      <c r="AG128" s="24"/>
    </row>
    <row r="129" s="25" customFormat="true" ht="12.75" hidden="false" customHeight="false" outlineLevel="0" collapsed="false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24"/>
      <c r="AE129" s="24"/>
      <c r="AF129" s="24"/>
      <c r="AG129" s="24"/>
    </row>
    <row r="130" s="25" customFormat="true" ht="12.75" hidden="false" customHeight="false" outlineLevel="0" collapsed="false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24"/>
      <c r="AE130" s="24"/>
      <c r="AF130" s="24"/>
      <c r="AG130" s="24"/>
    </row>
    <row r="131" s="25" customFormat="true" ht="12.75" hidden="false" customHeight="false" outlineLevel="0" collapsed="false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24"/>
      <c r="AE131" s="24"/>
      <c r="AF131" s="24"/>
      <c r="AG131" s="24"/>
    </row>
    <row r="132" s="25" customFormat="true" ht="12.75" hidden="false" customHeight="false" outlineLevel="0" collapsed="false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24"/>
      <c r="AE132" s="24"/>
      <c r="AF132" s="24"/>
      <c r="AG132" s="24"/>
    </row>
    <row r="133" s="25" customFormat="true" ht="12.75" hidden="false" customHeight="false" outlineLevel="0" collapsed="false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24"/>
      <c r="AE133" s="24"/>
      <c r="AF133" s="24"/>
      <c r="AG133" s="24"/>
    </row>
    <row r="134" s="25" customFormat="true" ht="12.75" hidden="false" customHeight="false" outlineLevel="0" collapsed="false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24"/>
      <c r="AE134" s="24"/>
      <c r="AF134" s="24"/>
      <c r="AG134" s="24"/>
    </row>
  </sheetData>
  <mergeCells count="20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O9:O10"/>
    <mergeCell ref="W9:W10"/>
    <mergeCell ref="AB9:AB10"/>
    <mergeCell ref="A49:D49"/>
    <mergeCell ref="A51:C51"/>
    <mergeCell ref="E51:AB51"/>
    <mergeCell ref="A57:C57"/>
    <mergeCell ref="M57:AB57"/>
  </mergeCells>
  <printOptions headings="false" gridLines="false" gridLinesSet="true" horizontalCentered="false" verticalCentered="false"/>
  <pageMargins left="0.7" right="0.159722222222222" top="0.290277777777778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67"/>
  <sheetViews>
    <sheetView showFormulas="false" showGridLines="true" showRowColHeaders="true" showZeros="true" rightToLeft="false" tabSelected="false" showOutlineSymbols="true" defaultGridColor="true" view="normal" topLeftCell="A34" colorId="64" zoomScale="70" zoomScaleNormal="70" zoomScalePageLayoutView="100" workbookViewId="0">
      <selection pane="topLeft" activeCell="T3" activeCellId="0" sqref="T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1" width="12.29"/>
    <col collapsed="false" customWidth="true" hidden="false" outlineLevel="0" max="3" min="3" style="1" width="16.43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"/>
  </cols>
  <sheetData>
    <row r="1" customFormat="false" ht="20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3"/>
      <c r="W1" s="3"/>
    </row>
    <row r="2" customFormat="false" ht="18.75" hidden="false" customHeight="true" outlineLevel="0" collapsed="false">
      <c r="A2" s="4" t="s">
        <v>41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U2" s="5"/>
      <c r="V2" s="5"/>
      <c r="W2" s="5"/>
    </row>
    <row r="3" customFormat="false" ht="18.75" hidden="false" customHeight="true" outlineLevel="0" collapsed="false">
      <c r="A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customFormat="false" ht="18.75" hidden="false" customHeight="true" outlineLevel="0" collapsed="false">
      <c r="A4" s="6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customFormat="false" ht="18.75" hidden="false" customHeight="true" outlineLevel="0" collapsed="false">
      <c r="A5" s="6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customFormat="false" ht="18.75" hidden="false" customHeight="true" outlineLevel="0" collapsed="false">
      <c r="A6" s="6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customFormat="false" ht="18.75" hidden="false" customHeight="true" outlineLevel="0" collapsed="false">
      <c r="A7" s="7" t="s">
        <v>6</v>
      </c>
      <c r="C7" s="6"/>
      <c r="D7" s="6"/>
      <c r="F7" s="6"/>
      <c r="G7" s="6" t="s">
        <v>42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customFormat="false" ht="18.75" hidden="false" customHeight="true" outlineLevel="0" collapsed="false">
      <c r="A8" s="7" t="s">
        <v>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21" s="10" customFormat="true" ht="15.75" hidden="false" customHeight="true" outlineLevel="0" collapsed="false">
      <c r="A21" s="8" t="s">
        <v>9</v>
      </c>
      <c r="B21" s="8" t="s">
        <v>10</v>
      </c>
      <c r="C21" s="8" t="s">
        <v>11</v>
      </c>
      <c r="D21" s="9" t="s">
        <v>12</v>
      </c>
      <c r="E21" s="9"/>
      <c r="F21" s="9"/>
      <c r="G21" s="9"/>
      <c r="H21" s="9"/>
      <c r="I21" s="9"/>
      <c r="J21" s="9" t="s">
        <v>13</v>
      </c>
      <c r="K21" s="9"/>
      <c r="L21" s="9"/>
      <c r="M21" s="9" t="s">
        <v>14</v>
      </c>
      <c r="N21" s="9"/>
      <c r="O21" s="9"/>
      <c r="P21" s="9"/>
      <c r="Q21" s="9"/>
      <c r="R21" s="9"/>
      <c r="S21" s="8" t="s">
        <v>15</v>
      </c>
    </row>
    <row r="22" s="10" customFormat="true" ht="30" hidden="false" customHeight="true" outlineLevel="0" collapsed="false">
      <c r="A22" s="8"/>
      <c r="B22" s="8"/>
      <c r="C22" s="8"/>
      <c r="D22" s="11" t="s">
        <v>17</v>
      </c>
      <c r="E22" s="11" t="s">
        <v>18</v>
      </c>
      <c r="F22" s="11" t="s">
        <v>19</v>
      </c>
      <c r="G22" s="11" t="s">
        <v>20</v>
      </c>
      <c r="H22" s="11" t="s">
        <v>21</v>
      </c>
      <c r="I22" s="11" t="s">
        <v>22</v>
      </c>
      <c r="J22" s="11" t="s">
        <v>20</v>
      </c>
      <c r="K22" s="11" t="s">
        <v>21</v>
      </c>
      <c r="L22" s="11" t="s">
        <v>22</v>
      </c>
      <c r="M22" s="11" t="s">
        <v>17</v>
      </c>
      <c r="N22" s="11" t="s">
        <v>18</v>
      </c>
      <c r="O22" s="11" t="s">
        <v>19</v>
      </c>
      <c r="P22" s="11" t="s">
        <v>20</v>
      </c>
      <c r="Q22" s="11" t="s">
        <v>21</v>
      </c>
      <c r="R22" s="11" t="s">
        <v>22</v>
      </c>
      <c r="S22" s="8"/>
      <c r="T22" s="12"/>
    </row>
    <row r="23" s="10" customFormat="true" ht="18" hidden="false" customHeight="true" outlineLevel="0" collapsed="false">
      <c r="A23" s="13" t="n">
        <v>1</v>
      </c>
      <c r="B23" s="82" t="s">
        <v>23</v>
      </c>
      <c r="C23" s="15" t="n">
        <v>394.75</v>
      </c>
      <c r="D23" s="16" t="n">
        <v>-5.25</v>
      </c>
      <c r="E23" s="16" t="n">
        <f aca="false">+D23+F23</f>
        <v>-5.2601</v>
      </c>
      <c r="F23" s="16" t="n">
        <f aca="false">RANDBETWEEN(-105,115)/10000</f>
        <v>-0.0101</v>
      </c>
      <c r="G23" s="16" t="n">
        <f aca="false">W23+0.25</f>
        <v>2.434</v>
      </c>
      <c r="H23" s="16" t="n">
        <f aca="false">G23+I23</f>
        <v>2.464</v>
      </c>
      <c r="I23" s="16" t="n">
        <f aca="false">RANDBETWEEN(-20,70)/1000</f>
        <v>0.03</v>
      </c>
      <c r="J23" s="16" t="n">
        <f aca="false">X23+0.25</f>
        <v>2.551</v>
      </c>
      <c r="K23" s="16" t="n">
        <f aca="false">J23+L23</f>
        <v>2.615</v>
      </c>
      <c r="L23" s="16" t="n">
        <f aca="false">RANDBETWEEN(-20,70)/1000</f>
        <v>0.064</v>
      </c>
      <c r="M23" s="16" t="n">
        <v>5.25</v>
      </c>
      <c r="N23" s="16" t="n">
        <f aca="false">+M23+O23</f>
        <v>5.256</v>
      </c>
      <c r="O23" s="16" t="n">
        <f aca="false">RANDBETWEEN(-105,115)/10000</f>
        <v>0.006</v>
      </c>
      <c r="P23" s="16" t="n">
        <f aca="false">Y23+0.25</f>
        <v>2.434</v>
      </c>
      <c r="Q23" s="16" t="n">
        <f aca="false">P23+R23</f>
        <v>2.489</v>
      </c>
      <c r="R23" s="16" t="n">
        <f aca="false">RANDBETWEEN(-20,70)/1000</f>
        <v>0.055</v>
      </c>
      <c r="S23" s="17"/>
      <c r="T23" s="18" t="n">
        <v>20</v>
      </c>
      <c r="V23" s="19"/>
      <c r="W23" s="19" t="n">
        <f aca="false">'KTHH Lớp 1'!G23</f>
        <v>2.184</v>
      </c>
      <c r="X23" s="19" t="n">
        <f aca="false">'KTHH Lớp 1'!J23</f>
        <v>2.301</v>
      </c>
      <c r="Y23" s="19" t="n">
        <f aca="false">'KTHH Lớp 1'!P23</f>
        <v>2.184</v>
      </c>
    </row>
    <row r="24" s="10" customFormat="true" ht="18" hidden="false" customHeight="true" outlineLevel="0" collapsed="false">
      <c r="A24" s="13" t="n">
        <v>2</v>
      </c>
      <c r="B24" s="82" t="s">
        <v>24</v>
      </c>
      <c r="C24" s="15" t="n">
        <f aca="false">+C23+T23</f>
        <v>414.75</v>
      </c>
      <c r="D24" s="16" t="n">
        <v>-5.25</v>
      </c>
      <c r="E24" s="16" t="n">
        <f aca="false">+D24+F24</f>
        <v>-5.2543</v>
      </c>
      <c r="F24" s="16" t="n">
        <f aca="false">RANDBETWEEN(-105,115)/10000</f>
        <v>-0.0043</v>
      </c>
      <c r="G24" s="16" t="n">
        <f aca="false">W24+0.25</f>
        <v>2.421</v>
      </c>
      <c r="H24" s="16" t="n">
        <f aca="false">G24+I24</f>
        <v>2.439</v>
      </c>
      <c r="I24" s="16" t="n">
        <f aca="false">RANDBETWEEN(-20,70)/1000</f>
        <v>0.018</v>
      </c>
      <c r="J24" s="16" t="n">
        <f aca="false">X24+0.25</f>
        <v>2.538</v>
      </c>
      <c r="K24" s="16" t="n">
        <f aca="false">J24+L24</f>
        <v>2.603</v>
      </c>
      <c r="L24" s="16" t="n">
        <f aca="false">RANDBETWEEN(-20,70)/1000</f>
        <v>0.065</v>
      </c>
      <c r="M24" s="16" t="n">
        <v>5.25</v>
      </c>
      <c r="N24" s="16" t="n">
        <f aca="false">+M24+O24</f>
        <v>5.2402</v>
      </c>
      <c r="O24" s="16" t="n">
        <f aca="false">RANDBETWEEN(-105,115)/10000</f>
        <v>-0.0098</v>
      </c>
      <c r="P24" s="16" t="n">
        <f aca="false">Y24+0.25</f>
        <v>2.421</v>
      </c>
      <c r="Q24" s="16" t="n">
        <f aca="false">P24+R24</f>
        <v>2.434</v>
      </c>
      <c r="R24" s="16" t="n">
        <f aca="false">RANDBETWEEN(-20,70)/1000</f>
        <v>0.013</v>
      </c>
      <c r="S24" s="17"/>
      <c r="T24" s="18" t="n">
        <v>20</v>
      </c>
      <c r="V24" s="19"/>
      <c r="W24" s="19" t="n">
        <f aca="false">'KTHH Lớp 1'!G24</f>
        <v>2.171</v>
      </c>
      <c r="X24" s="19" t="n">
        <f aca="false">'KTHH Lớp 1'!J24</f>
        <v>2.288</v>
      </c>
      <c r="Y24" s="19" t="n">
        <f aca="false">'KTHH Lớp 1'!P24</f>
        <v>2.171</v>
      </c>
    </row>
    <row r="25" s="10" customFormat="true" ht="18" hidden="false" customHeight="true" outlineLevel="0" collapsed="false">
      <c r="A25" s="13" t="n">
        <v>3</v>
      </c>
      <c r="B25" s="82" t="s">
        <v>25</v>
      </c>
      <c r="C25" s="15" t="n">
        <f aca="false">+C24+T24</f>
        <v>434.75</v>
      </c>
      <c r="D25" s="16" t="n">
        <v>-5.25</v>
      </c>
      <c r="E25" s="16" t="n">
        <f aca="false">+D25+F25</f>
        <v>-5.2416</v>
      </c>
      <c r="F25" s="16" t="n">
        <f aca="false">RANDBETWEEN(-105,115)/10000</f>
        <v>0.0084</v>
      </c>
      <c r="G25" s="16" t="n">
        <f aca="false">W25+0.25</f>
        <v>2.408</v>
      </c>
      <c r="H25" s="16" t="n">
        <f aca="false">G25+I25</f>
        <v>2.388</v>
      </c>
      <c r="I25" s="16" t="n">
        <f aca="false">RANDBETWEEN(-20,70)/1000</f>
        <v>-0.02</v>
      </c>
      <c r="J25" s="16" t="n">
        <f aca="false">X25+0.25</f>
        <v>2.525</v>
      </c>
      <c r="K25" s="16" t="n">
        <f aca="false">J25+L25</f>
        <v>2.506</v>
      </c>
      <c r="L25" s="16" t="n">
        <f aca="false">RANDBETWEEN(-20,70)/1000</f>
        <v>-0.019</v>
      </c>
      <c r="M25" s="16" t="n">
        <v>5.25</v>
      </c>
      <c r="N25" s="16" t="n">
        <f aca="false">+M25+O25</f>
        <v>5.2578</v>
      </c>
      <c r="O25" s="16" t="n">
        <f aca="false">RANDBETWEEN(-105,115)/10000</f>
        <v>0.0078</v>
      </c>
      <c r="P25" s="16" t="n">
        <f aca="false">Y25+0.25</f>
        <v>2.408</v>
      </c>
      <c r="Q25" s="16" t="n">
        <f aca="false">P25+R25</f>
        <v>2.422</v>
      </c>
      <c r="R25" s="16" t="n">
        <f aca="false">RANDBETWEEN(-20,70)/1000</f>
        <v>0.014</v>
      </c>
      <c r="S25" s="17"/>
      <c r="T25" s="18" t="n">
        <v>20</v>
      </c>
      <c r="V25" s="19"/>
      <c r="W25" s="19" t="n">
        <f aca="false">'KTHH Lớp 1'!G25</f>
        <v>2.158</v>
      </c>
      <c r="X25" s="19" t="n">
        <f aca="false">'KTHH Lớp 1'!J25</f>
        <v>2.275</v>
      </c>
      <c r="Y25" s="19" t="n">
        <f aca="false">'KTHH Lớp 1'!P25</f>
        <v>2.158</v>
      </c>
    </row>
    <row r="26" s="10" customFormat="true" ht="18" hidden="false" customHeight="true" outlineLevel="0" collapsed="false">
      <c r="A26" s="13" t="n">
        <v>4</v>
      </c>
      <c r="B26" s="82" t="s">
        <v>26</v>
      </c>
      <c r="C26" s="15" t="n">
        <f aca="false">+C25+T25</f>
        <v>454.75</v>
      </c>
      <c r="D26" s="16" t="n">
        <v>-5.25</v>
      </c>
      <c r="E26" s="16" t="n">
        <f aca="false">+D26+F26</f>
        <v>-5.2403</v>
      </c>
      <c r="F26" s="16" t="n">
        <f aca="false">RANDBETWEEN(-105,115)/10000</f>
        <v>0.0097</v>
      </c>
      <c r="G26" s="16" t="n">
        <f aca="false">W26+0.25</f>
        <v>2.394</v>
      </c>
      <c r="H26" s="16" t="n">
        <f aca="false">G26+I26</f>
        <v>2.413</v>
      </c>
      <c r="I26" s="16" t="n">
        <f aca="false">RANDBETWEEN(-20,70)/1000</f>
        <v>0.019</v>
      </c>
      <c r="J26" s="16" t="n">
        <f aca="false">X26+0.25</f>
        <v>2.511</v>
      </c>
      <c r="K26" s="16" t="n">
        <f aca="false">J26+L26</f>
        <v>2.56</v>
      </c>
      <c r="L26" s="16" t="n">
        <f aca="false">RANDBETWEEN(-20,70)/1000</f>
        <v>0.049</v>
      </c>
      <c r="M26" s="16" t="n">
        <v>5.25</v>
      </c>
      <c r="N26" s="16" t="n">
        <f aca="false">+M26+O26</f>
        <v>5.2535</v>
      </c>
      <c r="O26" s="16" t="n">
        <f aca="false">RANDBETWEEN(-105,115)/10000</f>
        <v>0.0035</v>
      </c>
      <c r="P26" s="16" t="n">
        <f aca="false">Y26+0.25</f>
        <v>2.394</v>
      </c>
      <c r="Q26" s="16" t="n">
        <f aca="false">P26+R26</f>
        <v>2.417</v>
      </c>
      <c r="R26" s="16" t="n">
        <f aca="false">RANDBETWEEN(-20,70)/1000</f>
        <v>0.023</v>
      </c>
      <c r="S26" s="17"/>
      <c r="T26" s="18" t="n">
        <v>20</v>
      </c>
      <c r="V26" s="19"/>
      <c r="W26" s="19" t="n">
        <f aca="false">'KTHH Lớp 1'!G26</f>
        <v>2.144</v>
      </c>
      <c r="X26" s="19" t="n">
        <f aca="false">'KTHH Lớp 1'!J26</f>
        <v>2.261</v>
      </c>
      <c r="Y26" s="19" t="n">
        <f aca="false">'KTHH Lớp 1'!P26</f>
        <v>2.144</v>
      </c>
    </row>
    <row r="27" s="10" customFormat="true" ht="18" hidden="false" customHeight="true" outlineLevel="0" collapsed="false">
      <c r="A27" s="13" t="n">
        <v>5</v>
      </c>
      <c r="B27" s="82" t="s">
        <v>27</v>
      </c>
      <c r="C27" s="15" t="n">
        <f aca="false">+C26+T26</f>
        <v>474.75</v>
      </c>
      <c r="D27" s="16" t="n">
        <v>-5.25</v>
      </c>
      <c r="E27" s="16" t="n">
        <f aca="false">+D27+F27</f>
        <v>-5.2412</v>
      </c>
      <c r="F27" s="16" t="n">
        <f aca="false">RANDBETWEEN(-105,115)/10000</f>
        <v>0.0088</v>
      </c>
      <c r="G27" s="16" t="n">
        <f aca="false">W27+0.25</f>
        <v>2.381</v>
      </c>
      <c r="H27" s="16" t="n">
        <f aca="false">G27+I27</f>
        <v>2.43</v>
      </c>
      <c r="I27" s="16" t="n">
        <f aca="false">RANDBETWEEN(-20,70)/1000</f>
        <v>0.049</v>
      </c>
      <c r="J27" s="16" t="n">
        <f aca="false">X27+0.25</f>
        <v>2.498</v>
      </c>
      <c r="K27" s="16" t="n">
        <f aca="false">J27+L27</f>
        <v>2.519</v>
      </c>
      <c r="L27" s="16" t="n">
        <f aca="false">RANDBETWEEN(-20,70)/1000</f>
        <v>0.021</v>
      </c>
      <c r="M27" s="16" t="n">
        <v>5.25</v>
      </c>
      <c r="N27" s="16" t="n">
        <f aca="false">+M27+O27</f>
        <v>5.2519</v>
      </c>
      <c r="O27" s="16" t="n">
        <f aca="false">RANDBETWEEN(-105,115)/10000</f>
        <v>0.0019</v>
      </c>
      <c r="P27" s="16" t="n">
        <f aca="false">Y27+0.25</f>
        <v>2.381</v>
      </c>
      <c r="Q27" s="16" t="n">
        <f aca="false">P27+R27</f>
        <v>2.383</v>
      </c>
      <c r="R27" s="16" t="n">
        <f aca="false">RANDBETWEEN(-20,70)/1000</f>
        <v>0.002</v>
      </c>
      <c r="S27" s="17"/>
      <c r="T27" s="18" t="n">
        <v>14.44</v>
      </c>
      <c r="V27" s="19"/>
      <c r="W27" s="19" t="n">
        <f aca="false">'KTHH Lớp 1'!G27</f>
        <v>2.131</v>
      </c>
      <c r="X27" s="19" t="n">
        <f aca="false">'KTHH Lớp 1'!J27</f>
        <v>2.248</v>
      </c>
      <c r="Y27" s="19" t="n">
        <f aca="false">'KTHH Lớp 1'!P27</f>
        <v>2.131</v>
      </c>
    </row>
    <row r="28" s="10" customFormat="true" ht="18" hidden="false" customHeight="true" outlineLevel="0" collapsed="false">
      <c r="A28" s="13" t="n">
        <v>6</v>
      </c>
      <c r="B28" s="82" t="s">
        <v>28</v>
      </c>
      <c r="C28" s="15" t="n">
        <f aca="false">+C27+T27</f>
        <v>489.19</v>
      </c>
      <c r="D28" s="16" t="n">
        <v>-5.25</v>
      </c>
      <c r="E28" s="16" t="n">
        <f aca="false">+D28+F28</f>
        <v>-5.2481</v>
      </c>
      <c r="F28" s="16" t="n">
        <f aca="false">RANDBETWEEN(-105,115)/10000</f>
        <v>0.0019</v>
      </c>
      <c r="G28" s="16" t="n">
        <f aca="false">W28+0.25</f>
        <v>2.372</v>
      </c>
      <c r="H28" s="16" t="n">
        <f aca="false">G28+I28</f>
        <v>2.41</v>
      </c>
      <c r="I28" s="16" t="n">
        <f aca="false">RANDBETWEEN(-20,70)/1000</f>
        <v>0.038</v>
      </c>
      <c r="J28" s="16" t="n">
        <f aca="false">X28+0.25</f>
        <v>2.489</v>
      </c>
      <c r="K28" s="16" t="n">
        <f aca="false">J28+L28</f>
        <v>2.524</v>
      </c>
      <c r="L28" s="16" t="n">
        <f aca="false">RANDBETWEEN(-20,70)/1000</f>
        <v>0.035</v>
      </c>
      <c r="M28" s="16" t="n">
        <v>5.25</v>
      </c>
      <c r="N28" s="16" t="n">
        <f aca="false">+M28+O28</f>
        <v>5.2554</v>
      </c>
      <c r="O28" s="16" t="n">
        <f aca="false">RANDBETWEEN(-105,115)/10000</f>
        <v>0.0054</v>
      </c>
      <c r="P28" s="16" t="n">
        <f aca="false">Y28+0.25</f>
        <v>2.372</v>
      </c>
      <c r="Q28" s="16" t="n">
        <f aca="false">P28+R28</f>
        <v>2.403</v>
      </c>
      <c r="R28" s="16" t="n">
        <f aca="false">RANDBETWEEN(-20,70)/1000</f>
        <v>0.031</v>
      </c>
      <c r="S28" s="17"/>
      <c r="T28" s="18"/>
      <c r="V28" s="19"/>
      <c r="W28" s="19" t="n">
        <f aca="false">'KTHH Lớp 1'!G28</f>
        <v>2.122</v>
      </c>
      <c r="X28" s="19" t="n">
        <f aca="false">'KTHH Lớp 1'!J28</f>
        <v>2.239</v>
      </c>
      <c r="Y28" s="19" t="n">
        <f aca="false">'KTHH Lớp 1'!P28</f>
        <v>2.122</v>
      </c>
    </row>
    <row r="29" s="10" customFormat="true" ht="18" hidden="true" customHeight="true" outlineLevel="0" collapsed="false">
      <c r="A29" s="13"/>
      <c r="B29" s="82"/>
      <c r="C29" s="1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7"/>
      <c r="T29" s="18"/>
      <c r="V29" s="19"/>
    </row>
    <row r="30" s="10" customFormat="true" ht="18" hidden="true" customHeight="true" outlineLevel="0" collapsed="false">
      <c r="A30" s="13"/>
      <c r="B30" s="82"/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7"/>
      <c r="T30" s="18"/>
      <c r="V30" s="19"/>
    </row>
    <row r="31" s="10" customFormat="true" ht="18" hidden="true" customHeight="true" outlineLevel="0" collapsed="false">
      <c r="A31" s="13"/>
      <c r="B31" s="82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7"/>
      <c r="T31" s="18"/>
      <c r="V31" s="19"/>
    </row>
    <row r="32" s="10" customFormat="true" ht="18" hidden="true" customHeight="true" outlineLevel="0" collapsed="false">
      <c r="A32" s="13"/>
      <c r="B32" s="82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7"/>
      <c r="T32" s="18"/>
      <c r="V32" s="19"/>
    </row>
    <row r="33" s="10" customFormat="true" ht="18" hidden="true" customHeight="true" outlineLevel="0" collapsed="false">
      <c r="A33" s="13"/>
      <c r="B33" s="82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  <c r="T33" s="18"/>
      <c r="V33" s="19"/>
    </row>
    <row r="34" s="10" customFormat="true" ht="18" hidden="true" customHeight="true" outlineLevel="0" collapsed="false">
      <c r="A34" s="13"/>
      <c r="B34" s="82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T34" s="18"/>
      <c r="V34" s="19"/>
    </row>
    <row r="35" s="10" customFormat="true" ht="18" hidden="true" customHeight="true" outlineLevel="0" collapsed="false">
      <c r="A35" s="13"/>
      <c r="B35" s="82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T35" s="18"/>
      <c r="V35" s="19"/>
    </row>
    <row r="36" s="10" customFormat="true" ht="18" hidden="true" customHeight="true" outlineLevel="0" collapsed="false">
      <c r="A36" s="13"/>
      <c r="B36" s="82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T36" s="18"/>
      <c r="V36" s="19"/>
    </row>
    <row r="37" s="10" customFormat="true" ht="18" hidden="true" customHeight="true" outlineLevel="0" collapsed="false">
      <c r="A37" s="13"/>
      <c r="B37" s="82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T37" s="18"/>
      <c r="V37" s="19"/>
    </row>
    <row r="38" s="10" customFormat="true" ht="18" hidden="true" customHeight="true" outlineLevel="0" collapsed="false">
      <c r="A38" s="13"/>
      <c r="B38" s="82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T38" s="18"/>
      <c r="V38" s="19"/>
    </row>
    <row r="39" s="10" customFormat="true" ht="18" hidden="true" customHeight="true" outlineLevel="0" collapsed="false">
      <c r="A39" s="13"/>
      <c r="B39" s="82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T39" s="18"/>
      <c r="V39" s="19"/>
    </row>
    <row r="40" s="10" customFormat="true" ht="18" hidden="true" customHeight="true" outlineLevel="0" collapsed="false">
      <c r="A40" s="13"/>
      <c r="B40" s="82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T40" s="18"/>
      <c r="V40" s="19"/>
    </row>
    <row r="41" s="10" customFormat="true" ht="18" hidden="true" customHeight="true" outlineLevel="0" collapsed="false">
      <c r="A41" s="13"/>
      <c r="B41" s="82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T41" s="18"/>
      <c r="V41" s="19"/>
    </row>
    <row r="42" s="10" customFormat="true" ht="18" hidden="true" customHeight="true" outlineLevel="0" collapsed="false">
      <c r="A42" s="13"/>
      <c r="B42" s="82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T42" s="18"/>
      <c r="V42" s="19"/>
    </row>
    <row r="43" s="10" customFormat="true" ht="18" hidden="true" customHeight="true" outlineLevel="0" collapsed="false">
      <c r="A43" s="13"/>
      <c r="B43" s="82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T43" s="18"/>
      <c r="V43" s="19"/>
    </row>
    <row r="44" s="10" customFormat="true" ht="18" hidden="true" customHeight="true" outlineLevel="0" collapsed="false">
      <c r="A44" s="13"/>
      <c r="B44" s="82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T44" s="18"/>
      <c r="V44" s="19"/>
    </row>
    <row r="45" s="10" customFormat="true" ht="18" hidden="true" customHeight="true" outlineLevel="0" collapsed="false">
      <c r="A45" s="13"/>
      <c r="B45" s="82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T45" s="18"/>
      <c r="V45" s="19"/>
    </row>
    <row r="46" s="10" customFormat="true" ht="18" hidden="true" customHeight="true" outlineLevel="0" collapsed="false">
      <c r="A46" s="13"/>
      <c r="B46" s="82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T46" s="18"/>
      <c r="V46" s="19"/>
    </row>
    <row r="47" s="10" customFormat="true" ht="18" hidden="true" customHeight="true" outlineLevel="0" collapsed="false">
      <c r="A47" s="13"/>
      <c r="B47" s="82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T47" s="18"/>
      <c r="V47" s="19"/>
    </row>
    <row r="48" s="10" customFormat="true" ht="18" hidden="true" customHeight="true" outlineLevel="0" collapsed="false">
      <c r="A48" s="13"/>
      <c r="B48" s="82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T48" s="18"/>
      <c r="V48" s="19"/>
    </row>
    <row r="49" s="10" customFormat="true" ht="18" hidden="true" customHeight="true" outlineLevel="0" collapsed="false">
      <c r="A49" s="13"/>
      <c r="B49" s="82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T49" s="18"/>
      <c r="V49" s="19"/>
    </row>
    <row r="50" s="10" customFormat="true" ht="18" hidden="true" customHeight="true" outlineLevel="0" collapsed="false">
      <c r="A50" s="13"/>
      <c r="B50" s="82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T50" s="18"/>
      <c r="V50" s="19"/>
    </row>
    <row r="51" s="10" customFormat="true" ht="18" hidden="true" customHeight="true" outlineLevel="0" collapsed="false">
      <c r="A51" s="13"/>
      <c r="B51" s="82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T51" s="18"/>
      <c r="V51" s="19"/>
    </row>
    <row r="52" s="10" customFormat="true" ht="18" hidden="true" customHeight="true" outlineLevel="0" collapsed="false">
      <c r="A52" s="13"/>
      <c r="B52" s="82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T52" s="18"/>
      <c r="V52" s="19"/>
    </row>
    <row r="53" s="10" customFormat="true" ht="18" hidden="true" customHeight="true" outlineLevel="0" collapsed="false">
      <c r="A53" s="13"/>
      <c r="B53" s="82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T53" s="18"/>
      <c r="V53" s="19"/>
    </row>
    <row r="54" s="10" customFormat="true" ht="18" hidden="true" customHeight="true" outlineLevel="0" collapsed="false">
      <c r="A54" s="13"/>
      <c r="B54" s="82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T54" s="18"/>
      <c r="V54" s="19"/>
    </row>
    <row r="55" s="10" customFormat="true" ht="18" hidden="true" customHeight="true" outlineLevel="0" collapsed="false">
      <c r="A55" s="13"/>
      <c r="B55" s="82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T55" s="18"/>
      <c r="V55" s="19"/>
    </row>
    <row r="56" s="10" customFormat="true" ht="18" hidden="true" customHeight="true" outlineLevel="0" collapsed="false">
      <c r="A56" s="13"/>
      <c r="B56" s="82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T56" s="18"/>
      <c r="V56" s="19"/>
    </row>
    <row r="57" s="10" customFormat="true" ht="18" hidden="true" customHeight="true" outlineLevel="0" collapsed="false">
      <c r="A57" s="13"/>
      <c r="B57" s="82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T57" s="18"/>
      <c r="V57" s="19"/>
    </row>
    <row r="58" s="10" customFormat="true" ht="18" hidden="true" customHeight="true" outlineLevel="0" collapsed="false">
      <c r="A58" s="13"/>
      <c r="B58" s="82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T58" s="18"/>
      <c r="V58" s="19"/>
    </row>
    <row r="59" s="10" customFormat="true" ht="18" hidden="true" customHeight="true" outlineLevel="0" collapsed="false">
      <c r="A59" s="13"/>
      <c r="B59" s="82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T59" s="18"/>
      <c r="V59" s="19"/>
    </row>
    <row r="60" s="10" customFormat="true" ht="18" hidden="true" customHeight="true" outlineLevel="0" collapsed="false">
      <c r="A60" s="13"/>
      <c r="B60" s="82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T60" s="18"/>
      <c r="V60" s="19"/>
    </row>
    <row r="61" s="10" customFormat="true" ht="15.75" hidden="false" customHeight="true" outlineLevel="0" collapsed="false"/>
    <row r="62" s="10" customFormat="true" ht="15.75" hidden="false" customHeight="true" outlineLevel="0" collapsed="false">
      <c r="C62" s="21" t="s">
        <v>29</v>
      </c>
      <c r="D62" s="21"/>
      <c r="E62" s="21"/>
      <c r="F62" s="21"/>
      <c r="G62" s="21"/>
      <c r="H62" s="21"/>
      <c r="I62" s="21"/>
      <c r="K62" s="22"/>
      <c r="L62" s="22"/>
      <c r="M62" s="22"/>
      <c r="N62" s="22"/>
      <c r="O62" s="21" t="s">
        <v>30</v>
      </c>
      <c r="P62" s="21"/>
      <c r="Q62" s="21"/>
      <c r="R62" s="21"/>
    </row>
    <row r="63" s="10" customFormat="true" ht="15.75" hidden="false" customHeight="true" outlineLevel="0" collapsed="false">
      <c r="E63" s="23"/>
      <c r="F63" s="23"/>
      <c r="G63" s="23"/>
      <c r="H63" s="23"/>
      <c r="K63" s="23"/>
      <c r="L63" s="23"/>
      <c r="M63" s="23"/>
      <c r="N63" s="23"/>
      <c r="O63" s="23"/>
      <c r="P63" s="23"/>
      <c r="Q63" s="23"/>
      <c r="R63" s="23"/>
    </row>
    <row r="64" s="10" customFormat="true" ht="15.75" hidden="false" customHeight="true" outlineLevel="0" collapsed="false">
      <c r="E64" s="23"/>
      <c r="F64" s="23"/>
      <c r="G64" s="23"/>
      <c r="H64" s="23"/>
      <c r="K64" s="23"/>
      <c r="L64" s="23"/>
      <c r="M64" s="23"/>
      <c r="N64" s="23"/>
      <c r="O64" s="23"/>
      <c r="P64" s="23"/>
      <c r="Q64" s="23"/>
      <c r="R64" s="23"/>
    </row>
    <row r="65" s="10" customFormat="true" ht="15.75" hidden="false" customHeight="true" outlineLevel="0" collapsed="false">
      <c r="E65" s="23"/>
      <c r="F65" s="23"/>
      <c r="G65" s="23"/>
      <c r="H65" s="23"/>
      <c r="K65" s="23"/>
      <c r="L65" s="23"/>
      <c r="M65" s="23"/>
      <c r="N65" s="23"/>
      <c r="O65" s="23"/>
      <c r="P65" s="23"/>
      <c r="Q65" s="23"/>
      <c r="R65" s="23"/>
    </row>
    <row r="66" s="10" customFormat="true" ht="15.75" hidden="false" customHeight="true" outlineLevel="0" collapsed="false">
      <c r="E66" s="23"/>
      <c r="F66" s="23"/>
      <c r="G66" s="23"/>
      <c r="H66" s="23"/>
      <c r="K66" s="23"/>
      <c r="L66" s="23"/>
      <c r="M66" s="23"/>
      <c r="N66" s="23"/>
      <c r="O66" s="23"/>
      <c r="P66" s="23"/>
      <c r="Q66" s="23"/>
      <c r="R66" s="23"/>
    </row>
    <row r="67" s="10" customFormat="true" ht="15.75" hidden="false" customHeight="true" outlineLevel="0" collapsed="false">
      <c r="C67" s="21" t="s">
        <v>31</v>
      </c>
      <c r="D67" s="21"/>
      <c r="E67" s="21"/>
      <c r="F67" s="21"/>
      <c r="G67" s="21"/>
      <c r="H67" s="21"/>
      <c r="I67" s="21"/>
      <c r="K67" s="22"/>
      <c r="L67" s="22"/>
      <c r="M67" s="22"/>
      <c r="N67" s="22"/>
      <c r="O67" s="21" t="s">
        <v>32</v>
      </c>
      <c r="P67" s="21"/>
      <c r="Q67" s="21"/>
      <c r="R67" s="21"/>
    </row>
  </sheetData>
  <mergeCells count="13">
    <mergeCell ref="A1:S1"/>
    <mergeCell ref="A2:S2"/>
    <mergeCell ref="A21:A22"/>
    <mergeCell ref="B21:B22"/>
    <mergeCell ref="C21:C22"/>
    <mergeCell ref="D21:I21"/>
    <mergeCell ref="J21:L21"/>
    <mergeCell ref="M21:R21"/>
    <mergeCell ref="S21:S22"/>
    <mergeCell ref="C62:I62"/>
    <mergeCell ref="O62:R62"/>
    <mergeCell ref="C67:I67"/>
    <mergeCell ref="O67:R67"/>
  </mergeCells>
  <printOptions headings="false" gridLines="false" gridLinesSet="true" horizontalCentered="true" verticalCentered="false"/>
  <pageMargins left="0.590277777777778" right="0.157638888888889" top="0.579861111111111" bottom="0.479861111111111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Y134"/>
  <sheetViews>
    <sheetView showFormulas="false" showGridLines="true" showRowColHeaders="true" showZeros="true" rightToLeft="false" tabSelected="false" showOutlineSymbols="true" defaultGridColor="true" view="normal" topLeftCell="A10" colorId="64" zoomScale="70" zoomScaleNormal="70" zoomScalePageLayoutView="100" workbookViewId="0">
      <selection pane="topLeft" activeCell="AK50" activeCellId="0" sqref="AK50"/>
    </sheetView>
  </sheetViews>
  <sheetFormatPr defaultColWidth="9.2890625" defaultRowHeight="12.75" zeroHeight="false" outlineLevelRow="0" outlineLevelCol="0"/>
  <cols>
    <col collapsed="false" customWidth="true" hidden="false" outlineLevel="0" max="1" min="1" style="24" width="6.71"/>
    <col collapsed="false" customWidth="true" hidden="false" outlineLevel="0" max="2" min="2" style="24" width="12.29"/>
    <col collapsed="false" customWidth="true" hidden="false" outlineLevel="0" max="3" min="3" style="24" width="19.57"/>
    <col collapsed="false" customWidth="true" hidden="false" outlineLevel="0" max="4" min="4" style="25" width="12.71"/>
    <col collapsed="false" customWidth="true" hidden="true" outlineLevel="0" max="6" min="5" style="25" width="8.42"/>
    <col collapsed="false" customWidth="true" hidden="true" outlineLevel="0" max="7" min="7" style="25" width="11"/>
    <col collapsed="false" customWidth="true" hidden="true" outlineLevel="0" max="12" min="8" style="25" width="8.42"/>
    <col collapsed="false" customWidth="true" hidden="true" outlineLevel="0" max="14" min="13" style="25" width="14.29"/>
    <col collapsed="false" customWidth="true" hidden="false" outlineLevel="0" max="15" min="15" style="25" width="15.42"/>
    <col collapsed="false" customWidth="true" hidden="true" outlineLevel="0" max="22" min="16" style="25" width="14.29"/>
    <col collapsed="false" customWidth="true" hidden="false" outlineLevel="0" max="23" min="23" style="25" width="15.29"/>
    <col collapsed="false" customWidth="true" hidden="true" outlineLevel="0" max="25" min="24" style="25" width="14.29"/>
    <col collapsed="false" customWidth="true" hidden="true" outlineLevel="0" max="27" min="26" style="25" width="12.86"/>
    <col collapsed="false" customWidth="true" hidden="false" outlineLevel="0" max="28" min="28" style="25" width="10.29"/>
    <col collapsed="false" customWidth="false" hidden="true" outlineLevel="0" max="29" min="29" style="25" width="9.29"/>
    <col collapsed="false" customWidth="true" hidden="false" outlineLevel="0" max="30" min="30" style="24" width="3.86"/>
    <col collapsed="false" customWidth="true" hidden="false" outlineLevel="0" max="31" min="31" style="24" width="10"/>
    <col collapsed="false" customWidth="true" hidden="false" outlineLevel="0" max="32" min="32" style="24" width="11.43"/>
    <col collapsed="false" customWidth="true" hidden="false" outlineLevel="0" max="34" min="33" style="24" width="10.57"/>
    <col collapsed="false" customWidth="true" hidden="false" outlineLevel="0" max="35" min="35" style="24" width="11.29"/>
    <col collapsed="false" customWidth="true" hidden="false" outlineLevel="0" max="36" min="36" style="24" width="10.57"/>
    <col collapsed="false" customWidth="true" hidden="false" outlineLevel="0" max="37" min="37" style="24" width="6.43"/>
    <col collapsed="false" customWidth="true" hidden="false" outlineLevel="0" max="38" min="38" style="24" width="10.57"/>
    <col collapsed="false" customWidth="true" hidden="false" outlineLevel="0" max="39" min="39" style="24" width="11.57"/>
    <col collapsed="false" customWidth="false" hidden="false" outlineLevel="0" max="16384" min="40" style="24" width="9.29"/>
  </cols>
  <sheetData>
    <row r="1" s="27" customFormat="true" ht="16.5" hidden="false" customHeight="true" outlineLevel="0" collapsed="false">
      <c r="A1" s="26" t="s">
        <v>33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="27" customFormat="true" ht="16.5" hidden="false" customHeight="true" outlineLevel="0" collapsed="false">
      <c r="A2" s="28" t="s">
        <v>41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 s="31" customFormat="true" ht="37.5" hidden="false" customHeight="true" outlineLevel="0" collapsed="false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</row>
    <row r="4" s="31" customFormat="true" ht="37.5" hidden="false" customHeight="true" outlineLevel="0" collapsed="false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  <c r="HX4" s="30"/>
      <c r="HY4" s="30"/>
    </row>
    <row r="5" s="31" customFormat="true" ht="16.5" hidden="false" customHeight="true" outlineLevel="0" collapsed="false">
      <c r="A5" s="29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</row>
    <row r="6" s="31" customFormat="true" ht="16.5" hidden="false" customHeight="true" outlineLevel="0" collapsed="false">
      <c r="A6" s="29" t="s">
        <v>5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</row>
    <row r="7" s="31" customFormat="true" ht="30.75" hidden="false" customHeight="true" outlineLevel="0" collapsed="false">
      <c r="A7" s="32" t="s">
        <v>6</v>
      </c>
      <c r="B7" s="33"/>
      <c r="D7" s="34" t="s">
        <v>42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</row>
    <row r="8" s="30" customFormat="true" ht="13.5" hidden="false" customHeight="true" outlineLevel="0" collapsed="false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</row>
    <row r="9" s="46" customFormat="true" ht="22.5" hidden="false" customHeight="true" outlineLevel="0" collapsed="false">
      <c r="A9" s="83" t="s">
        <v>34</v>
      </c>
      <c r="B9" s="83" t="s">
        <v>10</v>
      </c>
      <c r="C9" s="83" t="s">
        <v>11</v>
      </c>
      <c r="D9" s="84" t="s">
        <v>35</v>
      </c>
      <c r="E9" s="85"/>
      <c r="F9" s="85"/>
      <c r="G9" s="84"/>
      <c r="H9" s="85"/>
      <c r="I9" s="85"/>
      <c r="J9" s="85"/>
      <c r="K9" s="85"/>
      <c r="L9" s="85"/>
      <c r="M9" s="86" t="s">
        <v>36</v>
      </c>
      <c r="N9" s="87"/>
      <c r="O9" s="88" t="s">
        <v>37</v>
      </c>
      <c r="P9" s="89"/>
      <c r="Q9" s="89"/>
      <c r="R9" s="89"/>
      <c r="S9" s="89"/>
      <c r="T9" s="89"/>
      <c r="U9" s="89"/>
      <c r="V9" s="89"/>
      <c r="W9" s="88" t="s">
        <v>38</v>
      </c>
      <c r="X9" s="87"/>
      <c r="Y9" s="90"/>
      <c r="Z9" s="91"/>
      <c r="AA9" s="91"/>
      <c r="AB9" s="84" t="s">
        <v>15</v>
      </c>
      <c r="AC9" s="45"/>
    </row>
    <row r="10" s="50" customFormat="true" ht="22.5" hidden="false" customHeight="true" outlineLevel="0" collapsed="false">
      <c r="A10" s="83"/>
      <c r="B10" s="83"/>
      <c r="C10" s="83"/>
      <c r="D10" s="83"/>
      <c r="E10" s="88"/>
      <c r="F10" s="88"/>
      <c r="G10" s="88"/>
      <c r="H10" s="88"/>
      <c r="I10" s="88"/>
      <c r="J10" s="88"/>
      <c r="K10" s="88"/>
      <c r="L10" s="88"/>
      <c r="M10" s="88"/>
      <c r="N10" s="88" t="s">
        <v>37</v>
      </c>
      <c r="O10" s="88"/>
      <c r="P10" s="88" t="s">
        <v>37</v>
      </c>
      <c r="Q10" s="88" t="s">
        <v>37</v>
      </c>
      <c r="R10" s="88"/>
      <c r="S10" s="88"/>
      <c r="T10" s="88"/>
      <c r="U10" s="88" t="s">
        <v>38</v>
      </c>
      <c r="V10" s="88" t="s">
        <v>38</v>
      </c>
      <c r="W10" s="88"/>
      <c r="X10" s="88" t="s">
        <v>38</v>
      </c>
      <c r="Y10" s="88" t="s">
        <v>38</v>
      </c>
      <c r="Z10" s="92"/>
      <c r="AA10" s="92"/>
      <c r="AB10" s="84"/>
      <c r="AC10" s="48"/>
      <c r="AD10" s="49"/>
      <c r="AE10" s="49"/>
    </row>
    <row r="11" s="50" customFormat="true" ht="15" hidden="false" customHeight="true" outlineLevel="0" collapsed="false">
      <c r="A11" s="93" t="n">
        <v>1</v>
      </c>
      <c r="B11" s="93" t="str">
        <f aca="false">'KTHH Lớp 2'!B23</f>
        <v>20</v>
      </c>
      <c r="C11" s="94" t="n">
        <f aca="false">'KTHH Lớp 2'!C23</f>
        <v>394.75</v>
      </c>
      <c r="D11" s="93" t="n">
        <f aca="false">'KTHH Lớp 2'!T23</f>
        <v>20</v>
      </c>
      <c r="E11" s="95"/>
      <c r="F11" s="95"/>
      <c r="G11" s="95"/>
      <c r="H11" s="95"/>
      <c r="I11" s="95"/>
      <c r="J11" s="95"/>
      <c r="K11" s="96"/>
      <c r="L11" s="97"/>
      <c r="M11" s="98"/>
      <c r="N11" s="99"/>
      <c r="O11" s="96" t="n">
        <f aca="false">10.5*0.25</f>
        <v>2.625</v>
      </c>
      <c r="P11" s="96"/>
      <c r="Q11" s="96"/>
      <c r="R11" s="56"/>
      <c r="S11" s="56"/>
      <c r="T11" s="56"/>
      <c r="U11" s="56"/>
      <c r="V11" s="56"/>
      <c r="W11" s="56" t="n">
        <f aca="false">(O11+O12)*D11/2</f>
        <v>52.5</v>
      </c>
      <c r="X11" s="56"/>
      <c r="Y11" s="56"/>
      <c r="Z11" s="56"/>
      <c r="AA11" s="56"/>
      <c r="AB11" s="100"/>
      <c r="AC11" s="56"/>
      <c r="AE11" s="73"/>
    </row>
    <row r="12" s="50" customFormat="true" ht="15" hidden="false" customHeight="true" outlineLevel="0" collapsed="false">
      <c r="A12" s="93" t="n">
        <v>2</v>
      </c>
      <c r="B12" s="93" t="str">
        <f aca="false">'KTHH Lớp 2'!B24</f>
        <v>21</v>
      </c>
      <c r="C12" s="94" t="n">
        <f aca="false">'KTHH Lớp 2'!C24</f>
        <v>414.75</v>
      </c>
      <c r="D12" s="93" t="n">
        <f aca="false">'KTHH Lớp 2'!T24</f>
        <v>20</v>
      </c>
      <c r="E12" s="95"/>
      <c r="F12" s="95"/>
      <c r="G12" s="95"/>
      <c r="H12" s="95"/>
      <c r="I12" s="95"/>
      <c r="J12" s="95"/>
      <c r="K12" s="96"/>
      <c r="L12" s="97"/>
      <c r="M12" s="98"/>
      <c r="N12" s="99"/>
      <c r="O12" s="96" t="n">
        <f aca="false">10.5*0.25</f>
        <v>2.625</v>
      </c>
      <c r="P12" s="96"/>
      <c r="Q12" s="96"/>
      <c r="R12" s="56"/>
      <c r="S12" s="56"/>
      <c r="T12" s="56"/>
      <c r="U12" s="56"/>
      <c r="V12" s="56"/>
      <c r="W12" s="56" t="n">
        <f aca="false">(O12+O13)*D12/2</f>
        <v>52.5</v>
      </c>
      <c r="X12" s="56"/>
      <c r="Y12" s="56"/>
      <c r="Z12" s="56"/>
      <c r="AA12" s="56"/>
      <c r="AB12" s="100"/>
      <c r="AC12" s="56"/>
      <c r="AE12" s="73"/>
    </row>
    <row r="13" s="50" customFormat="true" ht="15" hidden="false" customHeight="true" outlineLevel="0" collapsed="false">
      <c r="A13" s="93" t="n">
        <v>3</v>
      </c>
      <c r="B13" s="93" t="str">
        <f aca="false">'KTHH Lớp 2'!B25</f>
        <v>22</v>
      </c>
      <c r="C13" s="94" t="n">
        <f aca="false">'KTHH Lớp 2'!C25</f>
        <v>434.75</v>
      </c>
      <c r="D13" s="93" t="n">
        <f aca="false">'KTHH Lớp 2'!T25</f>
        <v>20</v>
      </c>
      <c r="E13" s="95"/>
      <c r="F13" s="95"/>
      <c r="G13" s="95"/>
      <c r="H13" s="95"/>
      <c r="I13" s="95"/>
      <c r="J13" s="95"/>
      <c r="K13" s="96"/>
      <c r="L13" s="97"/>
      <c r="M13" s="98"/>
      <c r="N13" s="99"/>
      <c r="O13" s="96" t="n">
        <f aca="false">10.5*0.25</f>
        <v>2.625</v>
      </c>
      <c r="P13" s="96"/>
      <c r="Q13" s="96"/>
      <c r="R13" s="56"/>
      <c r="S13" s="56"/>
      <c r="T13" s="56"/>
      <c r="U13" s="56"/>
      <c r="V13" s="56"/>
      <c r="W13" s="56" t="n">
        <f aca="false">(O13+O14)*D13/2</f>
        <v>52.5</v>
      </c>
      <c r="X13" s="56"/>
      <c r="Y13" s="56"/>
      <c r="Z13" s="56"/>
      <c r="AA13" s="56"/>
      <c r="AB13" s="100"/>
      <c r="AC13" s="56"/>
      <c r="AE13" s="73"/>
    </row>
    <row r="14" s="50" customFormat="true" ht="15" hidden="false" customHeight="true" outlineLevel="0" collapsed="false">
      <c r="A14" s="93" t="n">
        <v>4</v>
      </c>
      <c r="B14" s="93" t="str">
        <f aca="false">'KTHH Lớp 2'!B26</f>
        <v>23</v>
      </c>
      <c r="C14" s="94" t="n">
        <f aca="false">'KTHH Lớp 2'!C26</f>
        <v>454.75</v>
      </c>
      <c r="D14" s="93" t="n">
        <f aca="false">'KTHH Lớp 2'!T26</f>
        <v>20</v>
      </c>
      <c r="E14" s="95"/>
      <c r="F14" s="95"/>
      <c r="G14" s="95"/>
      <c r="H14" s="95"/>
      <c r="I14" s="95"/>
      <c r="J14" s="95"/>
      <c r="K14" s="96"/>
      <c r="L14" s="97"/>
      <c r="M14" s="98"/>
      <c r="N14" s="99"/>
      <c r="O14" s="96" t="n">
        <f aca="false">10.5*0.25</f>
        <v>2.625</v>
      </c>
      <c r="P14" s="96"/>
      <c r="Q14" s="96"/>
      <c r="R14" s="56"/>
      <c r="S14" s="56"/>
      <c r="T14" s="56"/>
      <c r="U14" s="56"/>
      <c r="V14" s="56"/>
      <c r="W14" s="56" t="n">
        <f aca="false">(O14+O15)*D14/2</f>
        <v>52.5</v>
      </c>
      <c r="X14" s="56"/>
      <c r="Y14" s="56"/>
      <c r="Z14" s="56"/>
      <c r="AA14" s="56"/>
      <c r="AB14" s="100"/>
      <c r="AC14" s="56"/>
      <c r="AE14" s="73"/>
    </row>
    <row r="15" s="50" customFormat="true" ht="15" hidden="false" customHeight="true" outlineLevel="0" collapsed="false">
      <c r="A15" s="93" t="n">
        <v>5</v>
      </c>
      <c r="B15" s="93" t="str">
        <f aca="false">'KTHH Lớp 2'!B27</f>
        <v>24</v>
      </c>
      <c r="C15" s="94" t="n">
        <f aca="false">'KTHH Lớp 2'!C27</f>
        <v>474.75</v>
      </c>
      <c r="D15" s="93" t="n">
        <f aca="false">'KTHH Lớp 2'!T27</f>
        <v>14.44</v>
      </c>
      <c r="E15" s="95"/>
      <c r="F15" s="95"/>
      <c r="G15" s="95"/>
      <c r="H15" s="95"/>
      <c r="I15" s="95"/>
      <c r="J15" s="95"/>
      <c r="K15" s="96"/>
      <c r="L15" s="97"/>
      <c r="M15" s="98"/>
      <c r="N15" s="99"/>
      <c r="O15" s="96" t="n">
        <f aca="false">10.5*0.25</f>
        <v>2.625</v>
      </c>
      <c r="P15" s="96"/>
      <c r="Q15" s="96"/>
      <c r="R15" s="56"/>
      <c r="S15" s="56"/>
      <c r="T15" s="56"/>
      <c r="U15" s="56"/>
      <c r="V15" s="56"/>
      <c r="W15" s="56" t="n">
        <f aca="false">(O15+O16)*D15/2</f>
        <v>37.905</v>
      </c>
      <c r="X15" s="56"/>
      <c r="Y15" s="56"/>
      <c r="Z15" s="56"/>
      <c r="AA15" s="56"/>
      <c r="AB15" s="100"/>
      <c r="AC15" s="56"/>
      <c r="AE15" s="73"/>
    </row>
    <row r="16" s="50" customFormat="true" ht="15" hidden="false" customHeight="true" outlineLevel="0" collapsed="false">
      <c r="A16" s="93" t="n">
        <v>6</v>
      </c>
      <c r="B16" s="93" t="str">
        <f aca="false">'KTHH Lớp 2'!B28</f>
        <v>25</v>
      </c>
      <c r="C16" s="94" t="n">
        <f aca="false">'KTHH Lớp 2'!C28</f>
        <v>489.19</v>
      </c>
      <c r="D16" s="93"/>
      <c r="E16" s="95"/>
      <c r="F16" s="95"/>
      <c r="G16" s="95"/>
      <c r="H16" s="95"/>
      <c r="I16" s="95"/>
      <c r="J16" s="95"/>
      <c r="K16" s="96"/>
      <c r="L16" s="97"/>
      <c r="M16" s="98"/>
      <c r="N16" s="99"/>
      <c r="O16" s="96" t="n">
        <f aca="false">10.5*0.25</f>
        <v>2.625</v>
      </c>
      <c r="P16" s="96"/>
      <c r="Q16" s="9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100"/>
      <c r="AC16" s="56"/>
      <c r="AE16" s="73"/>
    </row>
    <row r="17" s="50" customFormat="true" ht="15" hidden="true" customHeight="true" outlineLevel="0" collapsed="false">
      <c r="A17" s="93"/>
      <c r="B17" s="93"/>
      <c r="C17" s="94"/>
      <c r="D17" s="93"/>
      <c r="E17" s="95"/>
      <c r="F17" s="95"/>
      <c r="G17" s="95"/>
      <c r="H17" s="95"/>
      <c r="I17" s="95"/>
      <c r="J17" s="95"/>
      <c r="K17" s="96"/>
      <c r="L17" s="97"/>
      <c r="M17" s="98"/>
      <c r="N17" s="99"/>
      <c r="O17" s="96"/>
      <c r="P17" s="96"/>
      <c r="Q17" s="9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100"/>
      <c r="AC17" s="56"/>
      <c r="AE17" s="73"/>
    </row>
    <row r="18" s="50" customFormat="true" ht="15" hidden="true" customHeight="true" outlineLevel="0" collapsed="false">
      <c r="A18" s="93"/>
      <c r="B18" s="93"/>
      <c r="C18" s="94"/>
      <c r="D18" s="93"/>
      <c r="E18" s="95"/>
      <c r="F18" s="95"/>
      <c r="G18" s="95"/>
      <c r="H18" s="95"/>
      <c r="I18" s="95"/>
      <c r="J18" s="95"/>
      <c r="K18" s="96"/>
      <c r="L18" s="97"/>
      <c r="M18" s="98"/>
      <c r="N18" s="99"/>
      <c r="O18" s="96"/>
      <c r="P18" s="96"/>
      <c r="Q18" s="9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100"/>
      <c r="AC18" s="56"/>
      <c r="AE18" s="73"/>
    </row>
    <row r="19" s="50" customFormat="true" ht="15" hidden="true" customHeight="true" outlineLevel="0" collapsed="false">
      <c r="A19" s="93"/>
      <c r="B19" s="93"/>
      <c r="C19" s="94"/>
      <c r="D19" s="93"/>
      <c r="E19" s="95"/>
      <c r="F19" s="95"/>
      <c r="G19" s="95"/>
      <c r="H19" s="95"/>
      <c r="I19" s="95"/>
      <c r="J19" s="95"/>
      <c r="K19" s="96"/>
      <c r="L19" s="97"/>
      <c r="M19" s="98"/>
      <c r="N19" s="99"/>
      <c r="O19" s="96"/>
      <c r="P19" s="96"/>
      <c r="Q19" s="9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100"/>
      <c r="AC19" s="56"/>
      <c r="AE19" s="73"/>
    </row>
    <row r="20" s="50" customFormat="true" ht="15" hidden="true" customHeight="true" outlineLevel="0" collapsed="false">
      <c r="A20" s="93"/>
      <c r="B20" s="93"/>
      <c r="C20" s="94"/>
      <c r="D20" s="93"/>
      <c r="E20" s="95"/>
      <c r="F20" s="95"/>
      <c r="G20" s="95"/>
      <c r="H20" s="95"/>
      <c r="I20" s="95"/>
      <c r="J20" s="95"/>
      <c r="K20" s="96"/>
      <c r="L20" s="97"/>
      <c r="M20" s="98"/>
      <c r="N20" s="99"/>
      <c r="O20" s="96"/>
      <c r="P20" s="96"/>
      <c r="Q20" s="9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100"/>
      <c r="AC20" s="56"/>
      <c r="AE20" s="73"/>
    </row>
    <row r="21" s="50" customFormat="true" ht="15" hidden="true" customHeight="true" outlineLevel="0" collapsed="false">
      <c r="A21" s="93"/>
      <c r="B21" s="93"/>
      <c r="C21" s="94"/>
      <c r="D21" s="93"/>
      <c r="E21" s="95"/>
      <c r="F21" s="95"/>
      <c r="G21" s="95"/>
      <c r="H21" s="95"/>
      <c r="I21" s="95"/>
      <c r="J21" s="95"/>
      <c r="K21" s="96"/>
      <c r="L21" s="97"/>
      <c r="M21" s="98"/>
      <c r="N21" s="99"/>
      <c r="O21" s="96"/>
      <c r="P21" s="96"/>
      <c r="Q21" s="9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100"/>
      <c r="AC21" s="56"/>
      <c r="AE21" s="73"/>
    </row>
    <row r="22" s="50" customFormat="true" ht="15" hidden="true" customHeight="true" outlineLevel="0" collapsed="false">
      <c r="A22" s="93"/>
      <c r="B22" s="93"/>
      <c r="C22" s="94"/>
      <c r="D22" s="93"/>
      <c r="E22" s="95"/>
      <c r="F22" s="95"/>
      <c r="G22" s="95"/>
      <c r="H22" s="95"/>
      <c r="I22" s="95"/>
      <c r="J22" s="95"/>
      <c r="K22" s="96"/>
      <c r="L22" s="97"/>
      <c r="M22" s="98"/>
      <c r="N22" s="99"/>
      <c r="O22" s="96"/>
      <c r="P22" s="96"/>
      <c r="Q22" s="9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100"/>
      <c r="AC22" s="56"/>
      <c r="AE22" s="73"/>
    </row>
    <row r="23" s="50" customFormat="true" ht="15" hidden="true" customHeight="true" outlineLevel="0" collapsed="false">
      <c r="A23" s="93"/>
      <c r="B23" s="93"/>
      <c r="C23" s="94"/>
      <c r="D23" s="93"/>
      <c r="E23" s="95"/>
      <c r="F23" s="95"/>
      <c r="G23" s="95"/>
      <c r="H23" s="95"/>
      <c r="I23" s="95"/>
      <c r="J23" s="95"/>
      <c r="K23" s="96"/>
      <c r="L23" s="97"/>
      <c r="M23" s="98"/>
      <c r="N23" s="99"/>
      <c r="O23" s="96"/>
      <c r="P23" s="96"/>
      <c r="Q23" s="9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100"/>
      <c r="AC23" s="56"/>
      <c r="AE23" s="73"/>
    </row>
    <row r="24" s="50" customFormat="true" ht="15" hidden="true" customHeight="true" outlineLevel="0" collapsed="false">
      <c r="A24" s="93"/>
      <c r="B24" s="93"/>
      <c r="C24" s="94"/>
      <c r="D24" s="93"/>
      <c r="E24" s="95"/>
      <c r="F24" s="95"/>
      <c r="G24" s="95"/>
      <c r="H24" s="95"/>
      <c r="I24" s="95"/>
      <c r="J24" s="95"/>
      <c r="K24" s="96"/>
      <c r="L24" s="97"/>
      <c r="M24" s="98"/>
      <c r="N24" s="99"/>
      <c r="O24" s="96"/>
      <c r="P24" s="96"/>
      <c r="Q24" s="9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100"/>
      <c r="AC24" s="56"/>
      <c r="AE24" s="73"/>
    </row>
    <row r="25" s="50" customFormat="true" ht="15" hidden="true" customHeight="true" outlineLevel="0" collapsed="false">
      <c r="A25" s="93"/>
      <c r="B25" s="93"/>
      <c r="C25" s="94"/>
      <c r="D25" s="93"/>
      <c r="E25" s="95"/>
      <c r="F25" s="95"/>
      <c r="G25" s="95"/>
      <c r="H25" s="95"/>
      <c r="I25" s="95"/>
      <c r="J25" s="95"/>
      <c r="K25" s="96"/>
      <c r="L25" s="97"/>
      <c r="M25" s="98"/>
      <c r="N25" s="99"/>
      <c r="O25" s="96"/>
      <c r="P25" s="96"/>
      <c r="Q25" s="9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100"/>
      <c r="AC25" s="56"/>
      <c r="AE25" s="73"/>
    </row>
    <row r="26" s="50" customFormat="true" ht="15" hidden="true" customHeight="true" outlineLevel="0" collapsed="false">
      <c r="A26" s="93"/>
      <c r="B26" s="93"/>
      <c r="C26" s="94"/>
      <c r="D26" s="93"/>
      <c r="E26" s="95"/>
      <c r="F26" s="95"/>
      <c r="G26" s="95"/>
      <c r="H26" s="95"/>
      <c r="I26" s="95"/>
      <c r="J26" s="95"/>
      <c r="K26" s="96"/>
      <c r="L26" s="97"/>
      <c r="M26" s="98"/>
      <c r="N26" s="99"/>
      <c r="O26" s="96"/>
      <c r="P26" s="96"/>
      <c r="Q26" s="9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100"/>
      <c r="AC26" s="56"/>
      <c r="AE26" s="73"/>
    </row>
    <row r="27" s="50" customFormat="true" ht="15" hidden="true" customHeight="true" outlineLevel="0" collapsed="false">
      <c r="A27" s="93"/>
      <c r="B27" s="93"/>
      <c r="C27" s="94"/>
      <c r="D27" s="93"/>
      <c r="E27" s="95"/>
      <c r="F27" s="95"/>
      <c r="G27" s="95"/>
      <c r="H27" s="95"/>
      <c r="I27" s="95"/>
      <c r="J27" s="95"/>
      <c r="K27" s="96"/>
      <c r="L27" s="97"/>
      <c r="M27" s="98"/>
      <c r="N27" s="99"/>
      <c r="O27" s="96"/>
      <c r="P27" s="96"/>
      <c r="Q27" s="9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100"/>
      <c r="AC27" s="56"/>
      <c r="AE27" s="73"/>
    </row>
    <row r="28" s="50" customFormat="true" ht="15" hidden="true" customHeight="true" outlineLevel="0" collapsed="false">
      <c r="A28" s="93"/>
      <c r="B28" s="93"/>
      <c r="C28" s="94"/>
      <c r="D28" s="93"/>
      <c r="E28" s="95"/>
      <c r="F28" s="95"/>
      <c r="G28" s="95"/>
      <c r="H28" s="95"/>
      <c r="I28" s="95"/>
      <c r="J28" s="95"/>
      <c r="K28" s="96"/>
      <c r="L28" s="97"/>
      <c r="M28" s="98"/>
      <c r="N28" s="99"/>
      <c r="O28" s="96"/>
      <c r="P28" s="96"/>
      <c r="Q28" s="9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100"/>
      <c r="AC28" s="56"/>
      <c r="AE28" s="73"/>
    </row>
    <row r="29" s="50" customFormat="true" ht="15" hidden="true" customHeight="true" outlineLevel="0" collapsed="false">
      <c r="A29" s="93"/>
      <c r="B29" s="93"/>
      <c r="C29" s="94"/>
      <c r="D29" s="93"/>
      <c r="E29" s="95"/>
      <c r="F29" s="95"/>
      <c r="G29" s="95"/>
      <c r="H29" s="95"/>
      <c r="I29" s="95"/>
      <c r="J29" s="95"/>
      <c r="K29" s="96"/>
      <c r="L29" s="97"/>
      <c r="M29" s="98"/>
      <c r="N29" s="99"/>
      <c r="O29" s="96"/>
      <c r="P29" s="96"/>
      <c r="Q29" s="9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100"/>
      <c r="AC29" s="56"/>
      <c r="AE29" s="73"/>
    </row>
    <row r="30" s="50" customFormat="true" ht="15" hidden="true" customHeight="true" outlineLevel="0" collapsed="false">
      <c r="A30" s="93"/>
      <c r="B30" s="93"/>
      <c r="C30" s="94"/>
      <c r="D30" s="93"/>
      <c r="E30" s="95"/>
      <c r="F30" s="95"/>
      <c r="G30" s="95"/>
      <c r="H30" s="95"/>
      <c r="I30" s="95"/>
      <c r="J30" s="95"/>
      <c r="K30" s="96"/>
      <c r="L30" s="97"/>
      <c r="M30" s="98"/>
      <c r="N30" s="99"/>
      <c r="O30" s="96"/>
      <c r="P30" s="96"/>
      <c r="Q30" s="9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100"/>
      <c r="AC30" s="56"/>
      <c r="AE30" s="73"/>
    </row>
    <row r="31" s="50" customFormat="true" ht="15" hidden="true" customHeight="true" outlineLevel="0" collapsed="false">
      <c r="A31" s="93"/>
      <c r="B31" s="93"/>
      <c r="C31" s="94"/>
      <c r="D31" s="93"/>
      <c r="E31" s="95"/>
      <c r="F31" s="95"/>
      <c r="G31" s="95"/>
      <c r="H31" s="95"/>
      <c r="I31" s="95"/>
      <c r="J31" s="95"/>
      <c r="K31" s="96"/>
      <c r="L31" s="97"/>
      <c r="M31" s="98"/>
      <c r="N31" s="99"/>
      <c r="O31" s="96"/>
      <c r="P31" s="96"/>
      <c r="Q31" s="9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100"/>
      <c r="AC31" s="56"/>
      <c r="AE31" s="73"/>
    </row>
    <row r="32" s="50" customFormat="true" ht="15" hidden="true" customHeight="true" outlineLevel="0" collapsed="false">
      <c r="A32" s="93"/>
      <c r="B32" s="93"/>
      <c r="C32" s="94"/>
      <c r="D32" s="93"/>
      <c r="E32" s="95"/>
      <c r="F32" s="95"/>
      <c r="G32" s="95"/>
      <c r="H32" s="95"/>
      <c r="I32" s="95"/>
      <c r="J32" s="95"/>
      <c r="K32" s="96"/>
      <c r="L32" s="97"/>
      <c r="M32" s="98"/>
      <c r="N32" s="99"/>
      <c r="O32" s="96"/>
      <c r="P32" s="96"/>
      <c r="Q32" s="9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100"/>
      <c r="AC32" s="56"/>
      <c r="AE32" s="73"/>
    </row>
    <row r="33" s="50" customFormat="true" ht="15" hidden="true" customHeight="true" outlineLevel="0" collapsed="false">
      <c r="A33" s="93"/>
      <c r="B33" s="93"/>
      <c r="C33" s="94"/>
      <c r="D33" s="93"/>
      <c r="E33" s="95"/>
      <c r="F33" s="95"/>
      <c r="G33" s="95"/>
      <c r="H33" s="95"/>
      <c r="I33" s="95"/>
      <c r="J33" s="95"/>
      <c r="K33" s="96"/>
      <c r="L33" s="97"/>
      <c r="M33" s="98"/>
      <c r="N33" s="99"/>
      <c r="O33" s="96"/>
      <c r="P33" s="96"/>
      <c r="Q33" s="9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100"/>
      <c r="AC33" s="56"/>
      <c r="AE33" s="73"/>
    </row>
    <row r="34" s="50" customFormat="true" ht="15" hidden="true" customHeight="true" outlineLevel="0" collapsed="false">
      <c r="A34" s="93"/>
      <c r="B34" s="93"/>
      <c r="C34" s="94"/>
      <c r="D34" s="93"/>
      <c r="E34" s="95"/>
      <c r="F34" s="95"/>
      <c r="G34" s="95"/>
      <c r="H34" s="95"/>
      <c r="I34" s="95"/>
      <c r="J34" s="95"/>
      <c r="K34" s="96"/>
      <c r="L34" s="97"/>
      <c r="M34" s="98"/>
      <c r="N34" s="99"/>
      <c r="O34" s="96"/>
      <c r="P34" s="96"/>
      <c r="Q34" s="9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100"/>
      <c r="AC34" s="56"/>
      <c r="AE34" s="73"/>
    </row>
    <row r="35" s="50" customFormat="true" ht="15" hidden="true" customHeight="true" outlineLevel="0" collapsed="false">
      <c r="A35" s="93"/>
      <c r="B35" s="93"/>
      <c r="C35" s="94"/>
      <c r="D35" s="93"/>
      <c r="E35" s="95"/>
      <c r="F35" s="95"/>
      <c r="G35" s="95"/>
      <c r="H35" s="95"/>
      <c r="I35" s="95"/>
      <c r="J35" s="95"/>
      <c r="K35" s="96"/>
      <c r="L35" s="97"/>
      <c r="M35" s="98"/>
      <c r="N35" s="99"/>
      <c r="O35" s="96"/>
      <c r="P35" s="96"/>
      <c r="Q35" s="9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100"/>
      <c r="AC35" s="56"/>
      <c r="AE35" s="73"/>
    </row>
    <row r="36" s="50" customFormat="true" ht="15" hidden="true" customHeight="true" outlineLevel="0" collapsed="false">
      <c r="A36" s="93"/>
      <c r="B36" s="93"/>
      <c r="C36" s="94"/>
      <c r="D36" s="93"/>
      <c r="E36" s="95"/>
      <c r="F36" s="95"/>
      <c r="G36" s="95"/>
      <c r="H36" s="95"/>
      <c r="I36" s="95"/>
      <c r="J36" s="95"/>
      <c r="K36" s="96"/>
      <c r="L36" s="97"/>
      <c r="M36" s="98"/>
      <c r="N36" s="99"/>
      <c r="O36" s="96"/>
      <c r="P36" s="96"/>
      <c r="Q36" s="9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100"/>
      <c r="AC36" s="56"/>
      <c r="AE36" s="73"/>
    </row>
    <row r="37" s="50" customFormat="true" ht="15" hidden="true" customHeight="true" outlineLevel="0" collapsed="false">
      <c r="A37" s="93"/>
      <c r="B37" s="93"/>
      <c r="C37" s="94"/>
      <c r="D37" s="93"/>
      <c r="E37" s="95"/>
      <c r="F37" s="95"/>
      <c r="G37" s="95"/>
      <c r="H37" s="95"/>
      <c r="I37" s="95"/>
      <c r="J37" s="95"/>
      <c r="K37" s="96"/>
      <c r="L37" s="97"/>
      <c r="M37" s="98"/>
      <c r="N37" s="99"/>
      <c r="O37" s="96"/>
      <c r="P37" s="96"/>
      <c r="Q37" s="9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100"/>
      <c r="AC37" s="56"/>
      <c r="AE37" s="73"/>
    </row>
    <row r="38" s="50" customFormat="true" ht="15" hidden="true" customHeight="true" outlineLevel="0" collapsed="false">
      <c r="A38" s="93"/>
      <c r="B38" s="93"/>
      <c r="C38" s="94"/>
      <c r="D38" s="93"/>
      <c r="E38" s="95"/>
      <c r="F38" s="95"/>
      <c r="G38" s="95"/>
      <c r="H38" s="95"/>
      <c r="I38" s="95"/>
      <c r="J38" s="95"/>
      <c r="K38" s="96"/>
      <c r="L38" s="97"/>
      <c r="M38" s="98"/>
      <c r="N38" s="99"/>
      <c r="O38" s="96"/>
      <c r="P38" s="96"/>
      <c r="Q38" s="9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100"/>
      <c r="AC38" s="56"/>
      <c r="AE38" s="73"/>
    </row>
    <row r="39" s="50" customFormat="true" ht="15" hidden="true" customHeight="true" outlineLevel="0" collapsed="false">
      <c r="A39" s="93"/>
      <c r="B39" s="93"/>
      <c r="C39" s="94"/>
      <c r="D39" s="93"/>
      <c r="E39" s="95"/>
      <c r="F39" s="95"/>
      <c r="G39" s="95"/>
      <c r="H39" s="95"/>
      <c r="I39" s="95"/>
      <c r="J39" s="95"/>
      <c r="K39" s="96"/>
      <c r="L39" s="97"/>
      <c r="M39" s="98"/>
      <c r="N39" s="99"/>
      <c r="O39" s="96"/>
      <c r="P39" s="96"/>
      <c r="Q39" s="9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100"/>
      <c r="AC39" s="56"/>
      <c r="AE39" s="73"/>
    </row>
    <row r="40" s="50" customFormat="true" ht="15" hidden="true" customHeight="true" outlineLevel="0" collapsed="false">
      <c r="A40" s="93"/>
      <c r="B40" s="93"/>
      <c r="C40" s="94"/>
      <c r="D40" s="93"/>
      <c r="E40" s="95"/>
      <c r="F40" s="95"/>
      <c r="G40" s="95"/>
      <c r="H40" s="95"/>
      <c r="I40" s="95"/>
      <c r="J40" s="95"/>
      <c r="K40" s="96"/>
      <c r="L40" s="97"/>
      <c r="M40" s="98"/>
      <c r="N40" s="99"/>
      <c r="O40" s="96"/>
      <c r="P40" s="96"/>
      <c r="Q40" s="9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100"/>
      <c r="AC40" s="56"/>
      <c r="AE40" s="73"/>
    </row>
    <row r="41" s="50" customFormat="true" ht="15" hidden="true" customHeight="true" outlineLevel="0" collapsed="false">
      <c r="A41" s="93"/>
      <c r="B41" s="93"/>
      <c r="C41" s="94"/>
      <c r="D41" s="93"/>
      <c r="E41" s="95"/>
      <c r="F41" s="95"/>
      <c r="G41" s="95"/>
      <c r="H41" s="95"/>
      <c r="I41" s="95"/>
      <c r="J41" s="95"/>
      <c r="K41" s="96"/>
      <c r="L41" s="97"/>
      <c r="M41" s="98"/>
      <c r="N41" s="99"/>
      <c r="O41" s="96"/>
      <c r="P41" s="96"/>
      <c r="Q41" s="9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100"/>
      <c r="AC41" s="56"/>
      <c r="AE41" s="73"/>
    </row>
    <row r="42" s="50" customFormat="true" ht="15" hidden="true" customHeight="true" outlineLevel="0" collapsed="false">
      <c r="A42" s="93"/>
      <c r="B42" s="93"/>
      <c r="C42" s="94"/>
      <c r="D42" s="93"/>
      <c r="E42" s="95"/>
      <c r="F42" s="95"/>
      <c r="G42" s="95"/>
      <c r="H42" s="95"/>
      <c r="I42" s="95"/>
      <c r="J42" s="95"/>
      <c r="K42" s="96"/>
      <c r="L42" s="97"/>
      <c r="M42" s="98"/>
      <c r="N42" s="99"/>
      <c r="O42" s="96"/>
      <c r="P42" s="96"/>
      <c r="Q42" s="9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100"/>
      <c r="AC42" s="56"/>
      <c r="AE42" s="73"/>
    </row>
    <row r="43" s="50" customFormat="true" ht="15" hidden="true" customHeight="true" outlineLevel="0" collapsed="false">
      <c r="A43" s="93"/>
      <c r="B43" s="93"/>
      <c r="C43" s="94"/>
      <c r="D43" s="93"/>
      <c r="E43" s="95"/>
      <c r="F43" s="95"/>
      <c r="G43" s="95"/>
      <c r="H43" s="95"/>
      <c r="I43" s="95"/>
      <c r="J43" s="95"/>
      <c r="K43" s="96"/>
      <c r="L43" s="97"/>
      <c r="M43" s="98"/>
      <c r="N43" s="99"/>
      <c r="O43" s="96"/>
      <c r="P43" s="96"/>
      <c r="Q43" s="9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100"/>
      <c r="AC43" s="56"/>
      <c r="AE43" s="73"/>
    </row>
    <row r="44" s="50" customFormat="true" ht="15" hidden="true" customHeight="true" outlineLevel="0" collapsed="false">
      <c r="A44" s="93"/>
      <c r="B44" s="93"/>
      <c r="C44" s="94"/>
      <c r="D44" s="93"/>
      <c r="E44" s="95"/>
      <c r="F44" s="95"/>
      <c r="G44" s="95"/>
      <c r="H44" s="95"/>
      <c r="I44" s="95"/>
      <c r="J44" s="95"/>
      <c r="K44" s="96"/>
      <c r="L44" s="97"/>
      <c r="M44" s="98"/>
      <c r="N44" s="99"/>
      <c r="O44" s="96"/>
      <c r="P44" s="96"/>
      <c r="Q44" s="9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100"/>
      <c r="AC44" s="56"/>
      <c r="AE44" s="73"/>
    </row>
    <row r="45" s="50" customFormat="true" ht="15" hidden="true" customHeight="true" outlineLevel="0" collapsed="false">
      <c r="A45" s="93"/>
      <c r="B45" s="93"/>
      <c r="C45" s="94"/>
      <c r="D45" s="93"/>
      <c r="E45" s="95"/>
      <c r="F45" s="95"/>
      <c r="G45" s="95"/>
      <c r="H45" s="95"/>
      <c r="I45" s="95"/>
      <c r="J45" s="95"/>
      <c r="K45" s="96"/>
      <c r="L45" s="97"/>
      <c r="M45" s="98"/>
      <c r="N45" s="99"/>
      <c r="O45" s="96"/>
      <c r="P45" s="96"/>
      <c r="Q45" s="9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100"/>
      <c r="AC45" s="56"/>
      <c r="AE45" s="73"/>
    </row>
    <row r="46" s="50" customFormat="true" ht="15" hidden="true" customHeight="true" outlineLevel="0" collapsed="false">
      <c r="A46" s="93"/>
      <c r="B46" s="93"/>
      <c r="C46" s="94"/>
      <c r="D46" s="93"/>
      <c r="E46" s="95"/>
      <c r="F46" s="95"/>
      <c r="G46" s="95"/>
      <c r="H46" s="95"/>
      <c r="I46" s="95"/>
      <c r="J46" s="95"/>
      <c r="K46" s="96"/>
      <c r="L46" s="97"/>
      <c r="M46" s="98"/>
      <c r="N46" s="99"/>
      <c r="O46" s="96"/>
      <c r="P46" s="96"/>
      <c r="Q46" s="9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100"/>
      <c r="AC46" s="56"/>
      <c r="AE46" s="73"/>
    </row>
    <row r="47" s="50" customFormat="true" ht="15" hidden="true" customHeight="true" outlineLevel="0" collapsed="false">
      <c r="A47" s="93"/>
      <c r="B47" s="93"/>
      <c r="C47" s="94"/>
      <c r="D47" s="93"/>
      <c r="E47" s="95"/>
      <c r="F47" s="95"/>
      <c r="G47" s="95"/>
      <c r="H47" s="95"/>
      <c r="I47" s="95"/>
      <c r="J47" s="95"/>
      <c r="K47" s="96"/>
      <c r="L47" s="97"/>
      <c r="M47" s="98"/>
      <c r="N47" s="99"/>
      <c r="O47" s="96"/>
      <c r="P47" s="96"/>
      <c r="Q47" s="9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100"/>
      <c r="AC47" s="56"/>
      <c r="AE47" s="73"/>
    </row>
    <row r="48" s="50" customFormat="true" ht="15" hidden="true" customHeight="true" outlineLevel="0" collapsed="false">
      <c r="A48" s="93"/>
      <c r="B48" s="93"/>
      <c r="C48" s="94"/>
      <c r="D48" s="93"/>
      <c r="E48" s="95"/>
      <c r="F48" s="95"/>
      <c r="G48" s="95"/>
      <c r="H48" s="95"/>
      <c r="I48" s="95"/>
      <c r="J48" s="95"/>
      <c r="K48" s="96"/>
      <c r="L48" s="97"/>
      <c r="M48" s="98"/>
      <c r="N48" s="99"/>
      <c r="O48" s="96"/>
      <c r="P48" s="96"/>
      <c r="Q48" s="9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100"/>
      <c r="AC48" s="56"/>
      <c r="AE48" s="73"/>
    </row>
    <row r="49" s="31" customFormat="true" ht="16.5" hidden="false" customHeight="true" outlineLevel="0" collapsed="false">
      <c r="A49" s="101" t="s">
        <v>39</v>
      </c>
      <c r="B49" s="101"/>
      <c r="C49" s="101"/>
      <c r="D49" s="101"/>
      <c r="E49" s="102"/>
      <c r="F49" s="102"/>
      <c r="G49" s="102"/>
      <c r="H49" s="102"/>
      <c r="I49" s="102"/>
      <c r="J49" s="102"/>
      <c r="K49" s="102"/>
      <c r="L49" s="102"/>
      <c r="M49" s="103"/>
      <c r="N49" s="103"/>
      <c r="O49" s="104"/>
      <c r="P49" s="104"/>
      <c r="Q49" s="104"/>
      <c r="R49" s="105" t="n">
        <f aca="false">SUM(R11:R34)</f>
        <v>0</v>
      </c>
      <c r="S49" s="105" t="n">
        <f aca="false">SUM(S11:S34)</f>
        <v>0</v>
      </c>
      <c r="T49" s="105"/>
      <c r="U49" s="106" t="n">
        <f aca="false">SUM(U11:U34)</f>
        <v>0</v>
      </c>
      <c r="V49" s="106" t="n">
        <f aca="false">SUM(V11:V34)</f>
        <v>0</v>
      </c>
      <c r="W49" s="107" t="n">
        <f aca="false">SUM(W11:W16)</f>
        <v>247.905</v>
      </c>
      <c r="X49" s="106" t="n">
        <f aca="false">SUM(X11:X34)</f>
        <v>0</v>
      </c>
      <c r="Y49" s="106" t="n">
        <f aca="false">SUM(Y11:Y34)</f>
        <v>0</v>
      </c>
      <c r="Z49" s="106" t="n">
        <f aca="false">SUM(Z11:Z34)</f>
        <v>0</v>
      </c>
      <c r="AA49" s="106" t="n">
        <f aca="false">SUM(AA11:AA34)</f>
        <v>0</v>
      </c>
      <c r="AB49" s="106"/>
      <c r="AE49" s="64"/>
      <c r="AF49" s="65"/>
      <c r="AG49" s="65"/>
      <c r="AH49" s="50"/>
      <c r="AI49" s="64"/>
      <c r="AJ49" s="64"/>
      <c r="AK49" s="64"/>
      <c r="AL49" s="64"/>
    </row>
    <row r="50" s="70" customFormat="true" ht="16.5" hidden="false" customHeight="true" outlineLevel="0" collapsed="false">
      <c r="A50" s="108"/>
      <c r="B50" s="108"/>
      <c r="C50" s="108"/>
      <c r="D50" s="108"/>
      <c r="R50" s="109"/>
      <c r="S50" s="109"/>
      <c r="T50" s="109"/>
      <c r="U50" s="110"/>
      <c r="V50" s="110"/>
      <c r="W50" s="110"/>
      <c r="X50" s="110"/>
      <c r="Y50" s="110"/>
      <c r="Z50" s="110"/>
      <c r="AA50" s="110"/>
      <c r="AB50" s="110"/>
      <c r="AE50" s="71"/>
      <c r="AF50" s="72"/>
      <c r="AG50" s="65"/>
      <c r="AH50" s="72"/>
      <c r="AI50" s="73"/>
      <c r="AJ50" s="73"/>
      <c r="AK50" s="74"/>
      <c r="AL50" s="73"/>
    </row>
    <row r="51" s="70" customFormat="true" ht="16.5" hidden="false" customHeight="true" outlineLevel="0" collapsed="false">
      <c r="A51" s="111" t="s">
        <v>29</v>
      </c>
      <c r="B51" s="111"/>
      <c r="C51" s="111"/>
      <c r="D51" s="112" t="s">
        <v>40</v>
      </c>
      <c r="E51" s="111" t="s">
        <v>30</v>
      </c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E51" s="73"/>
      <c r="AF51" s="72"/>
      <c r="AI51" s="50"/>
      <c r="AJ51" s="50"/>
      <c r="AK51" s="50"/>
      <c r="AL51" s="50"/>
    </row>
    <row r="52" s="70" customFormat="true" ht="16.5" hidden="false" customHeight="true" outlineLevel="0" collapsed="false">
      <c r="A52" s="113"/>
      <c r="B52" s="113"/>
      <c r="C52" s="113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AI52" s="50"/>
      <c r="AJ52" s="50"/>
      <c r="AK52" s="50"/>
      <c r="AL52" s="50"/>
    </row>
    <row r="53" s="70" customFormat="true" ht="15.75" hidden="false" customHeight="true" outlineLevel="0" collapsed="false">
      <c r="A53" s="113"/>
      <c r="B53" s="113"/>
      <c r="C53" s="115"/>
      <c r="D53" s="115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AF53" s="79"/>
    </row>
    <row r="54" s="70" customFormat="true" ht="15" hidden="false" customHeight="true" outlineLevel="0" collapsed="false">
      <c r="A54" s="113"/>
      <c r="B54" s="113"/>
      <c r="C54" s="113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</row>
    <row r="55" s="70" customFormat="true" ht="15" hidden="false" customHeight="true" outlineLevel="0" collapsed="false">
      <c r="A55" s="113"/>
      <c r="B55" s="113"/>
      <c r="C55" s="113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</row>
    <row r="56" s="70" customFormat="true" ht="15" hidden="false" customHeight="true" outlineLevel="0" collapsed="false">
      <c r="A56" s="113"/>
      <c r="B56" s="113"/>
      <c r="C56" s="113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</row>
    <row r="57" s="70" customFormat="true" ht="16.5" hidden="false" customHeight="true" outlineLevel="0" collapsed="false">
      <c r="A57" s="111" t="s">
        <v>31</v>
      </c>
      <c r="B57" s="111"/>
      <c r="C57" s="111"/>
      <c r="D57" s="116"/>
      <c r="E57" s="116"/>
      <c r="F57" s="116"/>
      <c r="G57" s="116"/>
      <c r="H57" s="116"/>
      <c r="I57" s="116"/>
      <c r="J57" s="116"/>
      <c r="K57" s="116"/>
      <c r="L57" s="116"/>
      <c r="M57" s="111" t="s">
        <v>32</v>
      </c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</row>
    <row r="58" customFormat="false" ht="12.75" hidden="false" customHeight="false" outlineLevel="0" collapsed="false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</row>
    <row r="59" customFormat="false" ht="12.75" hidden="false" customHeight="false" outlineLevel="0" collapsed="false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</row>
    <row r="60" customFormat="false" ht="12.75" hidden="false" customHeight="false" outlineLevel="0" collapsed="false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</row>
    <row r="61" customFormat="false" ht="12.75" hidden="false" customHeight="false" outlineLevel="0" collapsed="false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</row>
    <row r="62" customFormat="false" ht="12.75" hidden="false" customHeight="false" outlineLevel="0" collapsed="false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</row>
    <row r="63" customFormat="false" ht="12.75" hidden="false" customHeight="false" outlineLevel="0" collapsed="false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</row>
    <row r="64" customFormat="false" ht="12.75" hidden="false" customHeight="false" outlineLevel="0" collapsed="false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</row>
    <row r="65" customFormat="false" ht="12.75" hidden="false" customHeight="false" outlineLevel="0" collapsed="false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</row>
    <row r="66" customFormat="false" ht="12.75" hidden="false" customHeight="false" outlineLevel="0" collapsed="false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</row>
    <row r="67" customFormat="false" ht="12.75" hidden="false" customHeight="false" outlineLevel="0" collapsed="false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</row>
    <row r="68" customFormat="false" ht="12.75" hidden="false" customHeight="false" outlineLevel="0" collapsed="false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</row>
    <row r="69" customFormat="false" ht="12.75" hidden="false" customHeight="false" outlineLevel="0" collapsed="false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</row>
    <row r="70" customFormat="false" ht="12.75" hidden="false" customHeight="false" outlineLevel="0" collapsed="false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</row>
    <row r="71" customFormat="false" ht="12.75" hidden="false" customHeight="false" outlineLevel="0" collapsed="false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</row>
    <row r="72" customFormat="false" ht="12.75" hidden="false" customHeight="false" outlineLevel="0" collapsed="false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</row>
    <row r="73" customFormat="false" ht="12.75" hidden="false" customHeight="false" outlineLevel="0" collapsed="false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</row>
    <row r="74" customFormat="false" ht="12.75" hidden="false" customHeight="false" outlineLevel="0" collapsed="false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</row>
    <row r="75" customFormat="false" ht="12.75" hidden="false" customHeight="false" outlineLevel="0" collapsed="false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</row>
    <row r="76" customFormat="false" ht="12.75" hidden="false" customHeight="false" outlineLevel="0" collapsed="false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</row>
    <row r="77" customFormat="false" ht="12.75" hidden="false" customHeight="false" outlineLevel="0" collapsed="false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</row>
    <row r="78" customFormat="false" ht="12.75" hidden="false" customHeight="false" outlineLevel="0" collapsed="false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</row>
    <row r="79" customFormat="false" ht="12.75" hidden="false" customHeight="false" outlineLevel="0" collapsed="false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</row>
    <row r="80" customFormat="false" ht="12.75" hidden="false" customHeight="false" outlineLevel="0" collapsed="false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</row>
    <row r="81" customFormat="false" ht="12.75" hidden="false" customHeight="false" outlineLevel="0" collapsed="false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</row>
    <row r="82" customFormat="false" ht="12.75" hidden="false" customHeight="false" outlineLevel="0" collapsed="false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</row>
    <row r="83" customFormat="false" ht="12.75" hidden="false" customHeight="false" outlineLevel="0" collapsed="false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</row>
    <row r="84" customFormat="false" ht="12.75" hidden="false" customHeight="false" outlineLevel="0" collapsed="false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</row>
    <row r="85" customFormat="false" ht="12.75" hidden="false" customHeight="false" outlineLevel="0" collapsed="false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</row>
    <row r="86" customFormat="false" ht="12.75" hidden="false" customHeight="false" outlineLevel="0" collapsed="false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</row>
    <row r="87" customFormat="false" ht="12.75" hidden="false" customHeight="false" outlineLevel="0" collapsed="false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</row>
    <row r="88" customFormat="false" ht="12.75" hidden="false" customHeight="false" outlineLevel="0" collapsed="false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</row>
    <row r="89" customFormat="false" ht="12.75" hidden="false" customHeight="false" outlineLevel="0" collapsed="false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</row>
    <row r="90" customFormat="false" ht="12.75" hidden="false" customHeight="false" outlineLevel="0" collapsed="false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</row>
    <row r="91" customFormat="false" ht="12.75" hidden="false" customHeight="false" outlineLevel="0" collapsed="false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</row>
    <row r="92" customFormat="false" ht="12.75" hidden="false" customHeight="false" outlineLevel="0" collapsed="false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</row>
    <row r="93" customFormat="false" ht="12.75" hidden="false" customHeight="false" outlineLevel="0" collapsed="false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</row>
    <row r="94" customFormat="false" ht="12.75" hidden="false" customHeight="false" outlineLevel="0" collapsed="false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</row>
    <row r="95" customFormat="false" ht="12.75" hidden="false" customHeight="false" outlineLevel="0" collapsed="false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</row>
    <row r="96" customFormat="false" ht="12.75" hidden="false" customHeight="false" outlineLevel="0" collapsed="false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</row>
    <row r="97" customFormat="false" ht="12.75" hidden="false" customHeight="false" outlineLevel="0" collapsed="false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</row>
    <row r="98" customFormat="false" ht="12.75" hidden="false" customHeight="false" outlineLevel="0" collapsed="false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</row>
    <row r="99" customFormat="false" ht="12.75" hidden="false" customHeight="false" outlineLevel="0" collapsed="false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</row>
    <row r="100" customFormat="false" ht="12.75" hidden="false" customHeight="false" outlineLevel="0" collapsed="false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</row>
    <row r="101" customFormat="false" ht="12.75" hidden="false" customHeight="false" outlineLevel="0" collapsed="false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</row>
    <row r="102" customFormat="false" ht="12.75" hidden="false" customHeight="false" outlineLevel="0" collapsed="false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</row>
    <row r="103" customFormat="false" ht="12.75" hidden="false" customHeight="false" outlineLevel="0" collapsed="false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</row>
    <row r="104" customFormat="false" ht="12.75" hidden="false" customHeight="false" outlineLevel="0" collapsed="false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</row>
    <row r="105" customFormat="false" ht="12.75" hidden="false" customHeight="false" outlineLevel="0" collapsed="false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</row>
    <row r="106" customFormat="false" ht="12.75" hidden="false" customHeight="false" outlineLevel="0" collapsed="false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</row>
    <row r="107" s="25" customFormat="true" ht="12.75" hidden="false" customHeight="false" outlineLevel="0" collapsed="false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24"/>
      <c r="AE107" s="24"/>
      <c r="AF107" s="24"/>
      <c r="AG107" s="24"/>
    </row>
    <row r="108" s="25" customFormat="true" ht="12.75" hidden="false" customHeight="false" outlineLevel="0" collapsed="false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24"/>
      <c r="AE108" s="24"/>
      <c r="AF108" s="24"/>
      <c r="AG108" s="24"/>
    </row>
    <row r="109" s="25" customFormat="true" ht="12.75" hidden="false" customHeight="false" outlineLevel="0" collapsed="false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24"/>
      <c r="AE109" s="24"/>
      <c r="AF109" s="24"/>
      <c r="AG109" s="24"/>
    </row>
    <row r="110" s="25" customFormat="true" ht="12.75" hidden="false" customHeight="false" outlineLevel="0" collapsed="false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24"/>
      <c r="AE110" s="24"/>
      <c r="AF110" s="24"/>
      <c r="AG110" s="24"/>
    </row>
    <row r="111" s="25" customFormat="true" ht="12.75" hidden="false" customHeight="false" outlineLevel="0" collapsed="false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24"/>
      <c r="AE111" s="24"/>
      <c r="AF111" s="24"/>
      <c r="AG111" s="24"/>
    </row>
    <row r="112" s="25" customFormat="true" ht="12.75" hidden="false" customHeight="false" outlineLevel="0" collapsed="false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24"/>
      <c r="AE112" s="24"/>
      <c r="AF112" s="24"/>
      <c r="AG112" s="24"/>
    </row>
    <row r="113" s="25" customFormat="true" ht="12.75" hidden="false" customHeight="false" outlineLevel="0" collapsed="false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24"/>
      <c r="AE113" s="24"/>
      <c r="AF113" s="24"/>
      <c r="AG113" s="24"/>
    </row>
    <row r="114" s="25" customFormat="true" ht="12.75" hidden="false" customHeight="false" outlineLevel="0" collapsed="false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24"/>
      <c r="AE114" s="24"/>
      <c r="AF114" s="24"/>
      <c r="AG114" s="24"/>
    </row>
    <row r="115" s="25" customFormat="true" ht="12.75" hidden="false" customHeight="false" outlineLevel="0" collapsed="false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24"/>
      <c r="AE115" s="24"/>
      <c r="AF115" s="24"/>
      <c r="AG115" s="24"/>
    </row>
    <row r="116" s="25" customFormat="true" ht="12.75" hidden="false" customHeight="false" outlineLevel="0" collapsed="false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24"/>
      <c r="AE116" s="24"/>
      <c r="AF116" s="24"/>
      <c r="AG116" s="24"/>
    </row>
    <row r="117" s="25" customFormat="true" ht="12.75" hidden="false" customHeight="false" outlineLevel="0" collapsed="false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24"/>
      <c r="AE117" s="24"/>
      <c r="AF117" s="24"/>
      <c r="AG117" s="24"/>
    </row>
    <row r="118" s="25" customFormat="true" ht="12.75" hidden="false" customHeight="false" outlineLevel="0" collapsed="false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24"/>
      <c r="AE118" s="24"/>
      <c r="AF118" s="24"/>
      <c r="AG118" s="24"/>
    </row>
    <row r="119" s="25" customFormat="true" ht="12.75" hidden="false" customHeight="false" outlineLevel="0" collapsed="false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24"/>
      <c r="AE119" s="24"/>
      <c r="AF119" s="24"/>
      <c r="AG119" s="24"/>
    </row>
    <row r="120" s="25" customFormat="true" ht="12.75" hidden="false" customHeight="false" outlineLevel="0" collapsed="false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24"/>
      <c r="AE120" s="24"/>
      <c r="AF120" s="24"/>
      <c r="AG120" s="24"/>
    </row>
    <row r="121" s="25" customFormat="true" ht="12.75" hidden="false" customHeight="false" outlineLevel="0" collapsed="false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24"/>
      <c r="AE121" s="24"/>
      <c r="AF121" s="24"/>
      <c r="AG121" s="24"/>
    </row>
    <row r="122" s="25" customFormat="true" ht="12.75" hidden="false" customHeight="false" outlineLevel="0" collapsed="false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24"/>
      <c r="AE122" s="24"/>
      <c r="AF122" s="24"/>
      <c r="AG122" s="24"/>
    </row>
    <row r="123" s="25" customFormat="true" ht="12.75" hidden="false" customHeight="false" outlineLevel="0" collapsed="false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24"/>
      <c r="AE123" s="24"/>
      <c r="AF123" s="24"/>
      <c r="AG123" s="24"/>
    </row>
    <row r="124" s="25" customFormat="true" ht="12.75" hidden="false" customHeight="false" outlineLevel="0" collapsed="false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24"/>
      <c r="AE124" s="24"/>
      <c r="AF124" s="24"/>
      <c r="AG124" s="24"/>
    </row>
    <row r="125" s="25" customFormat="true" ht="12.75" hidden="false" customHeight="false" outlineLevel="0" collapsed="false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24"/>
      <c r="AE125" s="24"/>
      <c r="AF125" s="24"/>
      <c r="AG125" s="24"/>
    </row>
    <row r="126" s="25" customFormat="true" ht="12.75" hidden="false" customHeight="false" outlineLevel="0" collapsed="false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24"/>
      <c r="AE126" s="24"/>
      <c r="AF126" s="24"/>
      <c r="AG126" s="24"/>
    </row>
    <row r="127" s="25" customFormat="true" ht="12.75" hidden="false" customHeight="false" outlineLevel="0" collapsed="false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24"/>
      <c r="AE127" s="24"/>
      <c r="AF127" s="24"/>
      <c r="AG127" s="24"/>
    </row>
    <row r="128" s="25" customFormat="true" ht="12.75" hidden="false" customHeight="false" outlineLevel="0" collapsed="false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24"/>
      <c r="AE128" s="24"/>
      <c r="AF128" s="24"/>
      <c r="AG128" s="24"/>
    </row>
    <row r="129" s="25" customFormat="true" ht="12.75" hidden="false" customHeight="false" outlineLevel="0" collapsed="false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24"/>
      <c r="AE129" s="24"/>
      <c r="AF129" s="24"/>
      <c r="AG129" s="24"/>
    </row>
    <row r="130" s="25" customFormat="true" ht="12.75" hidden="false" customHeight="false" outlineLevel="0" collapsed="false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24"/>
      <c r="AE130" s="24"/>
      <c r="AF130" s="24"/>
      <c r="AG130" s="24"/>
    </row>
    <row r="131" s="25" customFormat="true" ht="12.75" hidden="false" customHeight="false" outlineLevel="0" collapsed="false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24"/>
      <c r="AE131" s="24"/>
      <c r="AF131" s="24"/>
      <c r="AG131" s="24"/>
    </row>
    <row r="132" s="25" customFormat="true" ht="12.75" hidden="false" customHeight="false" outlineLevel="0" collapsed="false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24"/>
      <c r="AE132" s="24"/>
      <c r="AF132" s="24"/>
      <c r="AG132" s="24"/>
    </row>
    <row r="133" s="25" customFormat="true" ht="12.75" hidden="false" customHeight="false" outlineLevel="0" collapsed="false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24"/>
      <c r="AE133" s="24"/>
      <c r="AF133" s="24"/>
      <c r="AG133" s="24"/>
    </row>
    <row r="134" s="25" customFormat="true" ht="12.75" hidden="false" customHeight="false" outlineLevel="0" collapsed="false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24"/>
      <c r="AE134" s="24"/>
      <c r="AF134" s="24"/>
      <c r="AG134" s="24"/>
    </row>
  </sheetData>
  <mergeCells count="20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O9:O10"/>
    <mergeCell ref="W9:W10"/>
    <mergeCell ref="AB9:AB10"/>
    <mergeCell ref="A49:D49"/>
    <mergeCell ref="A51:C51"/>
    <mergeCell ref="E51:AB51"/>
    <mergeCell ref="A57:C57"/>
    <mergeCell ref="M57:AB57"/>
  </mergeCells>
  <printOptions headings="false" gridLines="false" gridLinesSet="true" horizontalCentered="false" verticalCentered="false"/>
  <pageMargins left="0.7" right="0.159722222222222" top="0.4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67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G23" activeCellId="0" sqref="G2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1" width="12.29"/>
    <col collapsed="false" customWidth="true" hidden="false" outlineLevel="0" max="3" min="3" style="1" width="16.43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"/>
  </cols>
  <sheetData>
    <row r="1" customFormat="false" ht="20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3"/>
      <c r="W1" s="3"/>
    </row>
    <row r="2" customFormat="false" ht="18.75" hidden="false" customHeight="true" outlineLevel="0" collapsed="false">
      <c r="A2" s="4" t="s">
        <v>43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U2" s="5"/>
      <c r="V2" s="5"/>
      <c r="W2" s="5"/>
    </row>
    <row r="3" customFormat="false" ht="18.75" hidden="false" customHeight="true" outlineLevel="0" collapsed="false">
      <c r="A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customFormat="false" ht="18.75" hidden="false" customHeight="true" outlineLevel="0" collapsed="false">
      <c r="A4" s="6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customFormat="false" ht="18.75" hidden="false" customHeight="true" outlineLevel="0" collapsed="false">
      <c r="A5" s="6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customFormat="false" ht="18.75" hidden="false" customHeight="true" outlineLevel="0" collapsed="false">
      <c r="A6" s="6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customFormat="false" ht="18.75" hidden="false" customHeight="true" outlineLevel="0" collapsed="false">
      <c r="A7" s="7" t="s">
        <v>6</v>
      </c>
      <c r="C7" s="6"/>
      <c r="D7" s="6"/>
      <c r="F7" s="6"/>
      <c r="G7" s="6" t="s">
        <v>44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customFormat="false" ht="18.75" hidden="false" customHeight="true" outlineLevel="0" collapsed="false">
      <c r="A8" s="7" t="s">
        <v>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21" s="10" customFormat="true" ht="15.75" hidden="false" customHeight="true" outlineLevel="0" collapsed="false">
      <c r="A21" s="8" t="s">
        <v>9</v>
      </c>
      <c r="B21" s="8" t="s">
        <v>10</v>
      </c>
      <c r="C21" s="8" t="s">
        <v>11</v>
      </c>
      <c r="D21" s="9" t="s">
        <v>12</v>
      </c>
      <c r="E21" s="9"/>
      <c r="F21" s="9"/>
      <c r="G21" s="9"/>
      <c r="H21" s="9"/>
      <c r="I21" s="9"/>
      <c r="J21" s="9" t="s">
        <v>13</v>
      </c>
      <c r="K21" s="9"/>
      <c r="L21" s="9"/>
      <c r="M21" s="9" t="s">
        <v>14</v>
      </c>
      <c r="N21" s="9"/>
      <c r="O21" s="9"/>
      <c r="P21" s="9"/>
      <c r="Q21" s="9"/>
      <c r="R21" s="9"/>
      <c r="S21" s="8" t="s">
        <v>15</v>
      </c>
    </row>
    <row r="22" s="10" customFormat="true" ht="30" hidden="false" customHeight="true" outlineLevel="0" collapsed="false">
      <c r="A22" s="8"/>
      <c r="B22" s="8"/>
      <c r="C22" s="8"/>
      <c r="D22" s="11" t="s">
        <v>17</v>
      </c>
      <c r="E22" s="11" t="s">
        <v>18</v>
      </c>
      <c r="F22" s="11" t="s">
        <v>19</v>
      </c>
      <c r="G22" s="11" t="s">
        <v>20</v>
      </c>
      <c r="H22" s="11" t="s">
        <v>21</v>
      </c>
      <c r="I22" s="11" t="s">
        <v>22</v>
      </c>
      <c r="J22" s="11" t="s">
        <v>20</v>
      </c>
      <c r="K22" s="11" t="s">
        <v>21</v>
      </c>
      <c r="L22" s="11" t="s">
        <v>22</v>
      </c>
      <c r="M22" s="11" t="s">
        <v>17</v>
      </c>
      <c r="N22" s="11" t="s">
        <v>18</v>
      </c>
      <c r="O22" s="11" t="s">
        <v>19</v>
      </c>
      <c r="P22" s="11" t="s">
        <v>20</v>
      </c>
      <c r="Q22" s="11" t="s">
        <v>21</v>
      </c>
      <c r="R22" s="11" t="s">
        <v>22</v>
      </c>
      <c r="S22" s="8"/>
      <c r="T22" s="12"/>
    </row>
    <row r="23" s="10" customFormat="true" ht="18" hidden="false" customHeight="true" outlineLevel="0" collapsed="false">
      <c r="A23" s="13" t="n">
        <v>1</v>
      </c>
      <c r="B23" s="82" t="s">
        <v>23</v>
      </c>
      <c r="C23" s="15" t="n">
        <v>394.75</v>
      </c>
      <c r="D23" s="16" t="n">
        <v>-5.25</v>
      </c>
      <c r="E23" s="16" t="n">
        <f aca="false">+D23+F23</f>
        <v>-5.2462</v>
      </c>
      <c r="F23" s="16" t="n">
        <f aca="false">RANDBETWEEN(-105,115)/10000</f>
        <v>0.0038</v>
      </c>
      <c r="G23" s="16" t="n">
        <f aca="false">W23+0.18</f>
        <v>2.614</v>
      </c>
      <c r="H23" s="16" t="n">
        <f aca="false">G23+I23</f>
        <v>2.64</v>
      </c>
      <c r="I23" s="16" t="n">
        <f aca="false">RANDBETWEEN(-20,70)/1000</f>
        <v>0.026</v>
      </c>
      <c r="J23" s="16" t="n">
        <f aca="false">X23+0.18</f>
        <v>2.731</v>
      </c>
      <c r="K23" s="16" t="n">
        <f aca="false">J23+L23</f>
        <v>2.801</v>
      </c>
      <c r="L23" s="16" t="n">
        <f aca="false">RANDBETWEEN(-20,70)/1000</f>
        <v>0.07</v>
      </c>
      <c r="M23" s="16" t="n">
        <v>5.25</v>
      </c>
      <c r="N23" s="16" t="n">
        <f aca="false">+M23+O23</f>
        <v>5.2584</v>
      </c>
      <c r="O23" s="16" t="n">
        <f aca="false">RANDBETWEEN(-105,115)/10000</f>
        <v>0.0084</v>
      </c>
      <c r="P23" s="16" t="n">
        <f aca="false">Y23+0.18</f>
        <v>2.614</v>
      </c>
      <c r="Q23" s="16" t="n">
        <f aca="false">P23+R23</f>
        <v>2.626</v>
      </c>
      <c r="R23" s="16" t="n">
        <f aca="false">RANDBETWEEN(-20,70)/1000</f>
        <v>0.012</v>
      </c>
      <c r="S23" s="17"/>
      <c r="T23" s="18" t="n">
        <v>20</v>
      </c>
      <c r="V23" s="19"/>
      <c r="W23" s="19" t="n">
        <f aca="false">'KTHH Lớp 2'!G23</f>
        <v>2.434</v>
      </c>
      <c r="X23" s="19" t="n">
        <f aca="false">'KTHH Lớp 2'!J23</f>
        <v>2.551</v>
      </c>
      <c r="Y23" s="19" t="n">
        <f aca="false">'KTHH Lớp 2'!P23</f>
        <v>2.434</v>
      </c>
    </row>
    <row r="24" s="10" customFormat="true" ht="18" hidden="false" customHeight="true" outlineLevel="0" collapsed="false">
      <c r="A24" s="13" t="n">
        <v>2</v>
      </c>
      <c r="B24" s="82" t="s">
        <v>24</v>
      </c>
      <c r="C24" s="15" t="n">
        <f aca="false">+C23+T23</f>
        <v>414.75</v>
      </c>
      <c r="D24" s="16" t="n">
        <v>-5.25</v>
      </c>
      <c r="E24" s="16" t="n">
        <f aca="false">+D24+F24</f>
        <v>-5.2549</v>
      </c>
      <c r="F24" s="16" t="n">
        <f aca="false">RANDBETWEEN(-105,115)/10000</f>
        <v>-0.0049</v>
      </c>
      <c r="G24" s="16" t="n">
        <f aca="false">W24+0.18</f>
        <v>2.601</v>
      </c>
      <c r="H24" s="16" t="n">
        <f aca="false">G24+I24</f>
        <v>2.581</v>
      </c>
      <c r="I24" s="16" t="n">
        <f aca="false">RANDBETWEEN(-20,70)/1000</f>
        <v>-0.02</v>
      </c>
      <c r="J24" s="16" t="n">
        <f aca="false">X24+0.18</f>
        <v>2.718</v>
      </c>
      <c r="K24" s="16" t="n">
        <f aca="false">J24+L24</f>
        <v>2.788</v>
      </c>
      <c r="L24" s="16" t="n">
        <f aca="false">RANDBETWEEN(-20,70)/1000</f>
        <v>0.07</v>
      </c>
      <c r="M24" s="16" t="n">
        <v>5.25</v>
      </c>
      <c r="N24" s="16" t="n">
        <f aca="false">+M24+O24</f>
        <v>5.2465</v>
      </c>
      <c r="O24" s="16" t="n">
        <f aca="false">RANDBETWEEN(-105,115)/10000</f>
        <v>-0.0035</v>
      </c>
      <c r="P24" s="16" t="n">
        <f aca="false">Y24+0.18</f>
        <v>2.601</v>
      </c>
      <c r="Q24" s="16" t="n">
        <f aca="false">P24+R24</f>
        <v>2.641</v>
      </c>
      <c r="R24" s="16" t="n">
        <f aca="false">RANDBETWEEN(-20,70)/1000</f>
        <v>0.04</v>
      </c>
      <c r="S24" s="17"/>
      <c r="T24" s="18" t="n">
        <v>20</v>
      </c>
      <c r="V24" s="19"/>
      <c r="W24" s="19" t="n">
        <f aca="false">'KTHH Lớp 2'!G24</f>
        <v>2.421</v>
      </c>
      <c r="X24" s="19" t="n">
        <f aca="false">'KTHH Lớp 2'!J24</f>
        <v>2.538</v>
      </c>
      <c r="Y24" s="19" t="n">
        <f aca="false">'KTHH Lớp 2'!P24</f>
        <v>2.421</v>
      </c>
    </row>
    <row r="25" s="10" customFormat="true" ht="18" hidden="false" customHeight="true" outlineLevel="0" collapsed="false">
      <c r="A25" s="13" t="n">
        <v>3</v>
      </c>
      <c r="B25" s="82" t="s">
        <v>25</v>
      </c>
      <c r="C25" s="15" t="n">
        <f aca="false">+C24+T24</f>
        <v>434.75</v>
      </c>
      <c r="D25" s="16" t="n">
        <v>-5.25</v>
      </c>
      <c r="E25" s="16" t="n">
        <f aca="false">+D25+F25</f>
        <v>-5.2562</v>
      </c>
      <c r="F25" s="16" t="n">
        <f aca="false">RANDBETWEEN(-105,115)/10000</f>
        <v>-0.0062</v>
      </c>
      <c r="G25" s="16" t="n">
        <f aca="false">W25+0.18</f>
        <v>2.588</v>
      </c>
      <c r="H25" s="16" t="n">
        <f aca="false">G25+I25</f>
        <v>2.652</v>
      </c>
      <c r="I25" s="16" t="n">
        <f aca="false">RANDBETWEEN(-20,70)/1000</f>
        <v>0.064</v>
      </c>
      <c r="J25" s="16" t="n">
        <f aca="false">X25+0.18</f>
        <v>2.705</v>
      </c>
      <c r="K25" s="16" t="n">
        <f aca="false">J25+L25</f>
        <v>2.773</v>
      </c>
      <c r="L25" s="16" t="n">
        <f aca="false">RANDBETWEEN(-20,70)/1000</f>
        <v>0.068</v>
      </c>
      <c r="M25" s="16" t="n">
        <v>5.25</v>
      </c>
      <c r="N25" s="16" t="n">
        <f aca="false">+M25+O25</f>
        <v>5.2584</v>
      </c>
      <c r="O25" s="16" t="n">
        <f aca="false">RANDBETWEEN(-105,115)/10000</f>
        <v>0.0084</v>
      </c>
      <c r="P25" s="16" t="n">
        <f aca="false">Y25+0.18</f>
        <v>2.588</v>
      </c>
      <c r="Q25" s="16" t="n">
        <f aca="false">P25+R25</f>
        <v>2.631</v>
      </c>
      <c r="R25" s="16" t="n">
        <f aca="false">RANDBETWEEN(-20,70)/1000</f>
        <v>0.043</v>
      </c>
      <c r="S25" s="17"/>
      <c r="T25" s="18" t="n">
        <v>20</v>
      </c>
      <c r="V25" s="19"/>
      <c r="W25" s="19" t="n">
        <f aca="false">'KTHH Lớp 2'!G25</f>
        <v>2.408</v>
      </c>
      <c r="X25" s="19" t="n">
        <f aca="false">'KTHH Lớp 2'!J25</f>
        <v>2.525</v>
      </c>
      <c r="Y25" s="19" t="n">
        <f aca="false">'KTHH Lớp 2'!P25</f>
        <v>2.408</v>
      </c>
    </row>
    <row r="26" s="10" customFormat="true" ht="18" hidden="false" customHeight="true" outlineLevel="0" collapsed="false">
      <c r="A26" s="13" t="n">
        <v>4</v>
      </c>
      <c r="B26" s="82" t="s">
        <v>26</v>
      </c>
      <c r="C26" s="15" t="n">
        <f aca="false">+C25+T25</f>
        <v>454.75</v>
      </c>
      <c r="D26" s="16" t="n">
        <v>-5.25</v>
      </c>
      <c r="E26" s="16" t="n">
        <f aca="false">+D26+F26</f>
        <v>-5.2553</v>
      </c>
      <c r="F26" s="16" t="n">
        <f aca="false">RANDBETWEEN(-105,115)/10000</f>
        <v>-0.0053</v>
      </c>
      <c r="G26" s="16" t="n">
        <f aca="false">W26+0.18</f>
        <v>2.574</v>
      </c>
      <c r="H26" s="16" t="n">
        <f aca="false">G26+I26</f>
        <v>2.584</v>
      </c>
      <c r="I26" s="16" t="n">
        <f aca="false">RANDBETWEEN(-20,70)/1000</f>
        <v>0.01</v>
      </c>
      <c r="J26" s="16" t="n">
        <f aca="false">X26+0.18</f>
        <v>2.691</v>
      </c>
      <c r="K26" s="16" t="n">
        <f aca="false">J26+L26</f>
        <v>2.721</v>
      </c>
      <c r="L26" s="16" t="n">
        <f aca="false">RANDBETWEEN(-20,70)/1000</f>
        <v>0.03</v>
      </c>
      <c r="M26" s="16" t="n">
        <v>5.25</v>
      </c>
      <c r="N26" s="16" t="n">
        <f aca="false">+M26+O26</f>
        <v>5.256</v>
      </c>
      <c r="O26" s="16" t="n">
        <f aca="false">RANDBETWEEN(-105,115)/10000</f>
        <v>0.006</v>
      </c>
      <c r="P26" s="16" t="n">
        <f aca="false">Y26+0.18</f>
        <v>2.574</v>
      </c>
      <c r="Q26" s="16" t="n">
        <f aca="false">P26+R26</f>
        <v>2.6</v>
      </c>
      <c r="R26" s="16" t="n">
        <f aca="false">RANDBETWEEN(-20,70)/1000</f>
        <v>0.026</v>
      </c>
      <c r="S26" s="17"/>
      <c r="T26" s="18" t="n">
        <v>20</v>
      </c>
      <c r="V26" s="19"/>
      <c r="W26" s="19" t="n">
        <f aca="false">'KTHH Lớp 2'!G26</f>
        <v>2.394</v>
      </c>
      <c r="X26" s="19" t="n">
        <f aca="false">'KTHH Lớp 2'!J26</f>
        <v>2.511</v>
      </c>
      <c r="Y26" s="19" t="n">
        <f aca="false">'KTHH Lớp 2'!P26</f>
        <v>2.394</v>
      </c>
    </row>
    <row r="27" s="10" customFormat="true" ht="18" hidden="false" customHeight="true" outlineLevel="0" collapsed="false">
      <c r="A27" s="13" t="n">
        <v>5</v>
      </c>
      <c r="B27" s="82" t="s">
        <v>27</v>
      </c>
      <c r="C27" s="15" t="n">
        <f aca="false">+C26+T26</f>
        <v>474.75</v>
      </c>
      <c r="D27" s="16" t="n">
        <v>-5.25</v>
      </c>
      <c r="E27" s="16" t="n">
        <f aca="false">+D27+F27</f>
        <v>-5.2501</v>
      </c>
      <c r="F27" s="16" t="n">
        <f aca="false">RANDBETWEEN(-105,115)/10000</f>
        <v>-0.0001</v>
      </c>
      <c r="G27" s="16" t="n">
        <f aca="false">W27+0.18</f>
        <v>2.561</v>
      </c>
      <c r="H27" s="16" t="n">
        <f aca="false">G27+I27</f>
        <v>2.557</v>
      </c>
      <c r="I27" s="16" t="n">
        <f aca="false">RANDBETWEEN(-20,70)/1000</f>
        <v>-0.004</v>
      </c>
      <c r="J27" s="16" t="n">
        <f aca="false">X27+0.18</f>
        <v>2.678</v>
      </c>
      <c r="K27" s="16" t="n">
        <f aca="false">J27+L27</f>
        <v>2.671</v>
      </c>
      <c r="L27" s="16" t="n">
        <f aca="false">RANDBETWEEN(-20,70)/1000</f>
        <v>-0.007</v>
      </c>
      <c r="M27" s="16" t="n">
        <v>5.25</v>
      </c>
      <c r="N27" s="16" t="n">
        <f aca="false">+M27+O27</f>
        <v>5.2573</v>
      </c>
      <c r="O27" s="16" t="n">
        <f aca="false">RANDBETWEEN(-105,115)/10000</f>
        <v>0.0073</v>
      </c>
      <c r="P27" s="16" t="n">
        <f aca="false">Y27+0.18</f>
        <v>2.561</v>
      </c>
      <c r="Q27" s="16" t="n">
        <f aca="false">P27+R27</f>
        <v>2.564</v>
      </c>
      <c r="R27" s="16" t="n">
        <f aca="false">RANDBETWEEN(-20,70)/1000</f>
        <v>0.003</v>
      </c>
      <c r="S27" s="17"/>
      <c r="T27" s="18" t="n">
        <v>14.44</v>
      </c>
      <c r="V27" s="19"/>
      <c r="W27" s="19" t="n">
        <f aca="false">'KTHH Lớp 2'!G27</f>
        <v>2.381</v>
      </c>
      <c r="X27" s="19" t="n">
        <f aca="false">'KTHH Lớp 2'!J27</f>
        <v>2.498</v>
      </c>
      <c r="Y27" s="19" t="n">
        <f aca="false">'KTHH Lớp 2'!P27</f>
        <v>2.381</v>
      </c>
    </row>
    <row r="28" s="10" customFormat="true" ht="18" hidden="false" customHeight="true" outlineLevel="0" collapsed="false">
      <c r="A28" s="13" t="n">
        <v>6</v>
      </c>
      <c r="B28" s="82" t="s">
        <v>28</v>
      </c>
      <c r="C28" s="15" t="n">
        <f aca="false">+C27+T27</f>
        <v>489.19</v>
      </c>
      <c r="D28" s="16" t="n">
        <v>-5.25</v>
      </c>
      <c r="E28" s="16" t="n">
        <f aca="false">+D28+F28</f>
        <v>-5.2533</v>
      </c>
      <c r="F28" s="16" t="n">
        <f aca="false">RANDBETWEEN(-105,115)/10000</f>
        <v>-0.0033</v>
      </c>
      <c r="G28" s="16" t="n">
        <f aca="false">W28+0.18</f>
        <v>2.552</v>
      </c>
      <c r="H28" s="16" t="n">
        <f aca="false">G28+I28</f>
        <v>2.576</v>
      </c>
      <c r="I28" s="16" t="n">
        <f aca="false">RANDBETWEEN(-20,70)/1000</f>
        <v>0.024</v>
      </c>
      <c r="J28" s="16" t="n">
        <f aca="false">X28+0.18</f>
        <v>2.669</v>
      </c>
      <c r="K28" s="16" t="n">
        <f aca="false">J28+L28</f>
        <v>2.733</v>
      </c>
      <c r="L28" s="16" t="n">
        <f aca="false">RANDBETWEEN(-20,70)/1000</f>
        <v>0.064</v>
      </c>
      <c r="M28" s="16" t="n">
        <v>5.25</v>
      </c>
      <c r="N28" s="16" t="n">
        <f aca="false">+M28+O28</f>
        <v>5.255</v>
      </c>
      <c r="O28" s="16" t="n">
        <f aca="false">RANDBETWEEN(-105,115)/10000</f>
        <v>0.005</v>
      </c>
      <c r="P28" s="16" t="n">
        <f aca="false">Y28+0.18</f>
        <v>2.552</v>
      </c>
      <c r="Q28" s="16" t="n">
        <f aca="false">P28+R28</f>
        <v>2.619</v>
      </c>
      <c r="R28" s="16" t="n">
        <f aca="false">RANDBETWEEN(-20,70)/1000</f>
        <v>0.067</v>
      </c>
      <c r="S28" s="17"/>
      <c r="T28" s="18"/>
      <c r="V28" s="19"/>
      <c r="W28" s="19" t="n">
        <f aca="false">'KTHH Lớp 2'!G28</f>
        <v>2.372</v>
      </c>
      <c r="X28" s="19" t="n">
        <f aca="false">'KTHH Lớp 2'!J28</f>
        <v>2.489</v>
      </c>
      <c r="Y28" s="19" t="n">
        <f aca="false">'KTHH Lớp 2'!P28</f>
        <v>2.372</v>
      </c>
    </row>
    <row r="29" s="10" customFormat="true" ht="18" hidden="true" customHeight="true" outlineLevel="0" collapsed="false">
      <c r="A29" s="13"/>
      <c r="B29" s="82"/>
      <c r="C29" s="1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7"/>
      <c r="T29" s="18"/>
      <c r="V29" s="19"/>
    </row>
    <row r="30" s="10" customFormat="true" ht="18" hidden="true" customHeight="true" outlineLevel="0" collapsed="false">
      <c r="A30" s="13"/>
      <c r="B30" s="82"/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7"/>
      <c r="T30" s="18"/>
      <c r="V30" s="19"/>
    </row>
    <row r="31" s="10" customFormat="true" ht="18" hidden="true" customHeight="true" outlineLevel="0" collapsed="false">
      <c r="A31" s="13"/>
      <c r="B31" s="82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7"/>
      <c r="T31" s="18"/>
      <c r="V31" s="19"/>
    </row>
    <row r="32" s="10" customFormat="true" ht="18" hidden="true" customHeight="true" outlineLevel="0" collapsed="false">
      <c r="A32" s="13"/>
      <c r="B32" s="82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7"/>
      <c r="T32" s="18"/>
      <c r="V32" s="19"/>
    </row>
    <row r="33" s="10" customFormat="true" ht="18" hidden="true" customHeight="true" outlineLevel="0" collapsed="false">
      <c r="A33" s="13"/>
      <c r="B33" s="82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  <c r="T33" s="18"/>
      <c r="V33" s="19"/>
    </row>
    <row r="34" s="10" customFormat="true" ht="18" hidden="true" customHeight="true" outlineLevel="0" collapsed="false">
      <c r="A34" s="13"/>
      <c r="B34" s="82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T34" s="18"/>
      <c r="V34" s="19"/>
    </row>
    <row r="35" s="10" customFormat="true" ht="18" hidden="true" customHeight="true" outlineLevel="0" collapsed="false">
      <c r="A35" s="13"/>
      <c r="B35" s="82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T35" s="18"/>
      <c r="V35" s="19"/>
    </row>
    <row r="36" s="10" customFormat="true" ht="18" hidden="true" customHeight="true" outlineLevel="0" collapsed="false">
      <c r="A36" s="13"/>
      <c r="B36" s="82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T36" s="18"/>
      <c r="V36" s="19"/>
    </row>
    <row r="37" s="10" customFormat="true" ht="18" hidden="true" customHeight="true" outlineLevel="0" collapsed="false">
      <c r="A37" s="13"/>
      <c r="B37" s="82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T37" s="18"/>
      <c r="V37" s="19"/>
    </row>
    <row r="38" s="10" customFormat="true" ht="18" hidden="true" customHeight="true" outlineLevel="0" collapsed="false">
      <c r="A38" s="13"/>
      <c r="B38" s="82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T38" s="18"/>
      <c r="V38" s="19"/>
    </row>
    <row r="39" s="10" customFormat="true" ht="18" hidden="true" customHeight="true" outlineLevel="0" collapsed="false">
      <c r="A39" s="13"/>
      <c r="B39" s="82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T39" s="18"/>
      <c r="V39" s="19"/>
    </row>
    <row r="40" s="10" customFormat="true" ht="18" hidden="true" customHeight="true" outlineLevel="0" collapsed="false">
      <c r="A40" s="13"/>
      <c r="B40" s="82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T40" s="18"/>
      <c r="V40" s="19"/>
    </row>
    <row r="41" s="10" customFormat="true" ht="18" hidden="true" customHeight="true" outlineLevel="0" collapsed="false">
      <c r="A41" s="13"/>
      <c r="B41" s="82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T41" s="18"/>
      <c r="V41" s="19"/>
    </row>
    <row r="42" s="10" customFormat="true" ht="18" hidden="true" customHeight="true" outlineLevel="0" collapsed="false">
      <c r="A42" s="13"/>
      <c r="B42" s="82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T42" s="18"/>
      <c r="V42" s="19"/>
    </row>
    <row r="43" s="10" customFormat="true" ht="18" hidden="true" customHeight="true" outlineLevel="0" collapsed="false">
      <c r="A43" s="13"/>
      <c r="B43" s="82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T43" s="18"/>
      <c r="V43" s="19"/>
    </row>
    <row r="44" s="10" customFormat="true" ht="18" hidden="true" customHeight="true" outlineLevel="0" collapsed="false">
      <c r="A44" s="13"/>
      <c r="B44" s="82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T44" s="18"/>
      <c r="V44" s="19"/>
    </row>
    <row r="45" s="10" customFormat="true" ht="18" hidden="true" customHeight="true" outlineLevel="0" collapsed="false">
      <c r="A45" s="13"/>
      <c r="B45" s="82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T45" s="18"/>
      <c r="V45" s="19"/>
    </row>
    <row r="46" s="10" customFormat="true" ht="18" hidden="true" customHeight="true" outlineLevel="0" collapsed="false">
      <c r="A46" s="13"/>
      <c r="B46" s="82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T46" s="18"/>
      <c r="V46" s="19"/>
    </row>
    <row r="47" s="10" customFormat="true" ht="18" hidden="true" customHeight="true" outlineLevel="0" collapsed="false">
      <c r="A47" s="13"/>
      <c r="B47" s="82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T47" s="18"/>
      <c r="V47" s="19"/>
    </row>
    <row r="48" s="10" customFormat="true" ht="18" hidden="true" customHeight="true" outlineLevel="0" collapsed="false">
      <c r="A48" s="13"/>
      <c r="B48" s="82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T48" s="18"/>
      <c r="V48" s="19"/>
    </row>
    <row r="49" s="10" customFormat="true" ht="18" hidden="true" customHeight="true" outlineLevel="0" collapsed="false">
      <c r="A49" s="13"/>
      <c r="B49" s="82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T49" s="18"/>
      <c r="V49" s="19"/>
    </row>
    <row r="50" s="10" customFormat="true" ht="18" hidden="true" customHeight="true" outlineLevel="0" collapsed="false">
      <c r="A50" s="13"/>
      <c r="B50" s="82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T50" s="18"/>
      <c r="V50" s="19"/>
    </row>
    <row r="51" s="10" customFormat="true" ht="18" hidden="true" customHeight="true" outlineLevel="0" collapsed="false">
      <c r="A51" s="13"/>
      <c r="B51" s="82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T51" s="18"/>
      <c r="V51" s="19"/>
    </row>
    <row r="52" s="10" customFormat="true" ht="18" hidden="true" customHeight="true" outlineLevel="0" collapsed="false">
      <c r="A52" s="13"/>
      <c r="B52" s="82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T52" s="18"/>
      <c r="V52" s="19"/>
    </row>
    <row r="53" s="10" customFormat="true" ht="18" hidden="true" customHeight="true" outlineLevel="0" collapsed="false">
      <c r="A53" s="13"/>
      <c r="B53" s="82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T53" s="18"/>
      <c r="V53" s="19"/>
    </row>
    <row r="54" s="10" customFormat="true" ht="18" hidden="true" customHeight="true" outlineLevel="0" collapsed="false">
      <c r="A54" s="13"/>
      <c r="B54" s="82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T54" s="18"/>
      <c r="V54" s="19"/>
    </row>
    <row r="55" s="10" customFormat="true" ht="18" hidden="true" customHeight="true" outlineLevel="0" collapsed="false">
      <c r="A55" s="13"/>
      <c r="B55" s="82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T55" s="18"/>
      <c r="V55" s="19"/>
    </row>
    <row r="56" s="10" customFormat="true" ht="18" hidden="true" customHeight="true" outlineLevel="0" collapsed="false">
      <c r="A56" s="13"/>
      <c r="B56" s="82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T56" s="18"/>
      <c r="V56" s="19"/>
    </row>
    <row r="57" s="10" customFormat="true" ht="18" hidden="true" customHeight="true" outlineLevel="0" collapsed="false">
      <c r="A57" s="13"/>
      <c r="B57" s="82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T57" s="18"/>
      <c r="V57" s="19"/>
    </row>
    <row r="58" s="10" customFormat="true" ht="18" hidden="true" customHeight="true" outlineLevel="0" collapsed="false">
      <c r="A58" s="13"/>
      <c r="B58" s="82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T58" s="18"/>
      <c r="V58" s="19"/>
    </row>
    <row r="59" s="10" customFormat="true" ht="18" hidden="true" customHeight="true" outlineLevel="0" collapsed="false">
      <c r="A59" s="13"/>
      <c r="B59" s="82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T59" s="18"/>
      <c r="V59" s="19"/>
    </row>
    <row r="60" s="10" customFormat="true" ht="18" hidden="true" customHeight="true" outlineLevel="0" collapsed="false">
      <c r="A60" s="13"/>
      <c r="B60" s="82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T60" s="18"/>
      <c r="V60" s="19"/>
    </row>
    <row r="61" s="10" customFormat="true" ht="15.75" hidden="false" customHeight="true" outlineLevel="0" collapsed="false"/>
    <row r="62" s="10" customFormat="true" ht="15.75" hidden="false" customHeight="true" outlineLevel="0" collapsed="false">
      <c r="C62" s="21" t="s">
        <v>29</v>
      </c>
      <c r="D62" s="21"/>
      <c r="E62" s="21"/>
      <c r="F62" s="21"/>
      <c r="G62" s="21"/>
      <c r="H62" s="21"/>
      <c r="I62" s="21"/>
      <c r="K62" s="22"/>
      <c r="L62" s="22"/>
      <c r="M62" s="22"/>
      <c r="N62" s="22"/>
      <c r="O62" s="21" t="s">
        <v>30</v>
      </c>
      <c r="P62" s="21"/>
      <c r="Q62" s="21"/>
      <c r="R62" s="21"/>
    </row>
    <row r="63" s="10" customFormat="true" ht="15.75" hidden="false" customHeight="true" outlineLevel="0" collapsed="false">
      <c r="E63" s="23"/>
      <c r="F63" s="23"/>
      <c r="G63" s="23"/>
      <c r="H63" s="23"/>
      <c r="K63" s="23"/>
      <c r="L63" s="23"/>
      <c r="M63" s="23"/>
      <c r="N63" s="23"/>
      <c r="O63" s="23"/>
      <c r="P63" s="23"/>
      <c r="Q63" s="23"/>
      <c r="R63" s="23"/>
    </row>
    <row r="64" s="10" customFormat="true" ht="15.75" hidden="false" customHeight="true" outlineLevel="0" collapsed="false">
      <c r="E64" s="23"/>
      <c r="F64" s="23"/>
      <c r="G64" s="23"/>
      <c r="H64" s="23"/>
      <c r="K64" s="23"/>
      <c r="L64" s="23"/>
      <c r="M64" s="23"/>
      <c r="N64" s="23"/>
      <c r="O64" s="23"/>
      <c r="P64" s="23"/>
      <c r="Q64" s="23"/>
      <c r="R64" s="23"/>
    </row>
    <row r="65" s="10" customFormat="true" ht="15.75" hidden="false" customHeight="true" outlineLevel="0" collapsed="false">
      <c r="E65" s="23"/>
      <c r="F65" s="23"/>
      <c r="G65" s="23"/>
      <c r="H65" s="23"/>
      <c r="K65" s="23"/>
      <c r="L65" s="23"/>
      <c r="M65" s="23"/>
      <c r="N65" s="23"/>
      <c r="O65" s="23"/>
      <c r="P65" s="23"/>
      <c r="Q65" s="23"/>
      <c r="R65" s="23"/>
    </row>
    <row r="66" s="10" customFormat="true" ht="15.75" hidden="false" customHeight="true" outlineLevel="0" collapsed="false">
      <c r="E66" s="23"/>
      <c r="F66" s="23"/>
      <c r="G66" s="23"/>
      <c r="H66" s="23"/>
      <c r="K66" s="23"/>
      <c r="L66" s="23"/>
      <c r="M66" s="23"/>
      <c r="N66" s="23"/>
      <c r="O66" s="23"/>
      <c r="P66" s="23"/>
      <c r="Q66" s="23"/>
      <c r="R66" s="23"/>
    </row>
    <row r="67" s="10" customFormat="true" ht="15.75" hidden="false" customHeight="true" outlineLevel="0" collapsed="false">
      <c r="C67" s="21" t="s">
        <v>31</v>
      </c>
      <c r="D67" s="21"/>
      <c r="E67" s="21"/>
      <c r="F67" s="21"/>
      <c r="G67" s="21"/>
      <c r="H67" s="21"/>
      <c r="I67" s="21"/>
      <c r="K67" s="22"/>
      <c r="L67" s="22"/>
      <c r="M67" s="22"/>
      <c r="N67" s="22"/>
      <c r="O67" s="21" t="s">
        <v>32</v>
      </c>
      <c r="P67" s="21"/>
      <c r="Q67" s="21"/>
      <c r="R67" s="21"/>
    </row>
  </sheetData>
  <mergeCells count="13">
    <mergeCell ref="A1:S1"/>
    <mergeCell ref="A2:S2"/>
    <mergeCell ref="A21:A22"/>
    <mergeCell ref="B21:B22"/>
    <mergeCell ref="C21:C22"/>
    <mergeCell ref="D21:I21"/>
    <mergeCell ref="J21:L21"/>
    <mergeCell ref="M21:R21"/>
    <mergeCell ref="S21:S22"/>
    <mergeCell ref="C62:I62"/>
    <mergeCell ref="O62:R62"/>
    <mergeCell ref="C67:I67"/>
    <mergeCell ref="O67:R67"/>
  </mergeCells>
  <printOptions headings="false" gridLines="false" gridLinesSet="true" horizontalCentered="true" verticalCentered="false"/>
  <pageMargins left="0.590277777777778" right="0.157638888888889" top="0.579861111111111" bottom="0.479861111111111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Y134"/>
  <sheetViews>
    <sheetView showFormulas="false" showGridLines="true" showRowColHeaders="true" showZeros="true" rightToLeft="false" tabSelected="false" showOutlineSymbols="true" defaultGridColor="true" view="normal" topLeftCell="A7" colorId="64" zoomScale="70" zoomScaleNormal="70" zoomScalePageLayoutView="100" workbookViewId="0">
      <selection pane="topLeft" activeCell="O11" activeCellId="0" sqref="O11"/>
    </sheetView>
  </sheetViews>
  <sheetFormatPr defaultColWidth="9.2890625" defaultRowHeight="12.75" zeroHeight="false" outlineLevelRow="0" outlineLevelCol="0"/>
  <cols>
    <col collapsed="false" customWidth="true" hidden="false" outlineLevel="0" max="1" min="1" style="24" width="6.71"/>
    <col collapsed="false" customWidth="true" hidden="false" outlineLevel="0" max="2" min="2" style="24" width="12.29"/>
    <col collapsed="false" customWidth="true" hidden="false" outlineLevel="0" max="3" min="3" style="24" width="19.57"/>
    <col collapsed="false" customWidth="true" hidden="false" outlineLevel="0" max="4" min="4" style="25" width="12.71"/>
    <col collapsed="false" customWidth="true" hidden="true" outlineLevel="0" max="6" min="5" style="25" width="8.42"/>
    <col collapsed="false" customWidth="true" hidden="true" outlineLevel="0" max="7" min="7" style="25" width="11"/>
    <col collapsed="false" customWidth="true" hidden="true" outlineLevel="0" max="12" min="8" style="25" width="8.42"/>
    <col collapsed="false" customWidth="true" hidden="true" outlineLevel="0" max="14" min="13" style="25" width="14.29"/>
    <col collapsed="false" customWidth="true" hidden="false" outlineLevel="0" max="15" min="15" style="25" width="15.42"/>
    <col collapsed="false" customWidth="true" hidden="true" outlineLevel="0" max="22" min="16" style="25" width="14.29"/>
    <col collapsed="false" customWidth="true" hidden="false" outlineLevel="0" max="23" min="23" style="25" width="15.29"/>
    <col collapsed="false" customWidth="true" hidden="true" outlineLevel="0" max="25" min="24" style="25" width="14.29"/>
    <col collapsed="false" customWidth="true" hidden="true" outlineLevel="0" max="27" min="26" style="25" width="12.86"/>
    <col collapsed="false" customWidth="true" hidden="false" outlineLevel="0" max="28" min="28" style="25" width="10.29"/>
    <col collapsed="false" customWidth="false" hidden="true" outlineLevel="0" max="29" min="29" style="25" width="9.29"/>
    <col collapsed="false" customWidth="true" hidden="false" outlineLevel="0" max="30" min="30" style="24" width="3.86"/>
    <col collapsed="false" customWidth="true" hidden="false" outlineLevel="0" max="31" min="31" style="24" width="10"/>
    <col collapsed="false" customWidth="true" hidden="false" outlineLevel="0" max="32" min="32" style="24" width="11.43"/>
    <col collapsed="false" customWidth="true" hidden="false" outlineLevel="0" max="34" min="33" style="24" width="10.57"/>
    <col collapsed="false" customWidth="true" hidden="false" outlineLevel="0" max="35" min="35" style="24" width="11.29"/>
    <col collapsed="false" customWidth="true" hidden="false" outlineLevel="0" max="36" min="36" style="24" width="10.57"/>
    <col collapsed="false" customWidth="true" hidden="false" outlineLevel="0" max="37" min="37" style="24" width="6.43"/>
    <col collapsed="false" customWidth="true" hidden="false" outlineLevel="0" max="38" min="38" style="24" width="10.57"/>
    <col collapsed="false" customWidth="true" hidden="false" outlineLevel="0" max="39" min="39" style="24" width="11.57"/>
    <col collapsed="false" customWidth="false" hidden="false" outlineLevel="0" max="16384" min="40" style="24" width="9.29"/>
  </cols>
  <sheetData>
    <row r="1" s="27" customFormat="true" ht="16.5" hidden="false" customHeight="true" outlineLevel="0" collapsed="false">
      <c r="A1" s="26" t="s">
        <v>33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="27" customFormat="true" ht="16.5" hidden="false" customHeight="true" outlineLevel="0" collapsed="false">
      <c r="A2" s="28" t="s">
        <v>43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 s="31" customFormat="true" ht="37.5" hidden="false" customHeight="true" outlineLevel="0" collapsed="false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</row>
    <row r="4" s="31" customFormat="true" ht="37.5" hidden="false" customHeight="true" outlineLevel="0" collapsed="false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  <c r="HX4" s="30"/>
      <c r="HY4" s="30"/>
    </row>
    <row r="5" s="31" customFormat="true" ht="16.5" hidden="false" customHeight="true" outlineLevel="0" collapsed="false">
      <c r="A5" s="29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</row>
    <row r="6" s="31" customFormat="true" ht="16.5" hidden="false" customHeight="true" outlineLevel="0" collapsed="false">
      <c r="A6" s="29" t="s">
        <v>5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</row>
    <row r="7" s="31" customFormat="true" ht="30.75" hidden="false" customHeight="true" outlineLevel="0" collapsed="false">
      <c r="A7" s="32" t="s">
        <v>6</v>
      </c>
      <c r="B7" s="33"/>
      <c r="D7" s="34" t="s">
        <v>44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</row>
    <row r="8" s="30" customFormat="true" ht="13.5" hidden="false" customHeight="true" outlineLevel="0" collapsed="false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</row>
    <row r="9" s="127" customFormat="true" ht="22.5" hidden="false" customHeight="true" outlineLevel="0" collapsed="false">
      <c r="A9" s="117" t="s">
        <v>34</v>
      </c>
      <c r="B9" s="117" t="s">
        <v>10</v>
      </c>
      <c r="C9" s="117" t="s">
        <v>11</v>
      </c>
      <c r="D9" s="118" t="s">
        <v>35</v>
      </c>
      <c r="E9" s="119"/>
      <c r="F9" s="119"/>
      <c r="G9" s="118"/>
      <c r="H9" s="119"/>
      <c r="I9" s="119"/>
      <c r="J9" s="119"/>
      <c r="K9" s="119"/>
      <c r="L9" s="119"/>
      <c r="M9" s="120" t="s">
        <v>36</v>
      </c>
      <c r="N9" s="121"/>
      <c r="O9" s="122" t="s">
        <v>37</v>
      </c>
      <c r="P9" s="123"/>
      <c r="Q9" s="123"/>
      <c r="R9" s="123"/>
      <c r="S9" s="123"/>
      <c r="T9" s="123"/>
      <c r="U9" s="123"/>
      <c r="V9" s="123"/>
      <c r="W9" s="122" t="s">
        <v>38</v>
      </c>
      <c r="X9" s="121"/>
      <c r="Y9" s="124"/>
      <c r="Z9" s="125"/>
      <c r="AA9" s="125"/>
      <c r="AB9" s="118" t="s">
        <v>15</v>
      </c>
      <c r="AC9" s="126"/>
    </row>
    <row r="10" s="131" customFormat="true" ht="22.5" hidden="false" customHeight="true" outlineLevel="0" collapsed="false">
      <c r="A10" s="117"/>
      <c r="B10" s="117"/>
      <c r="C10" s="117"/>
      <c r="D10" s="117"/>
      <c r="E10" s="122"/>
      <c r="F10" s="122"/>
      <c r="G10" s="122"/>
      <c r="H10" s="122"/>
      <c r="I10" s="122"/>
      <c r="J10" s="122"/>
      <c r="K10" s="122"/>
      <c r="L10" s="122"/>
      <c r="M10" s="122"/>
      <c r="N10" s="122" t="s">
        <v>37</v>
      </c>
      <c r="O10" s="122"/>
      <c r="P10" s="122" t="s">
        <v>37</v>
      </c>
      <c r="Q10" s="122" t="s">
        <v>37</v>
      </c>
      <c r="R10" s="122"/>
      <c r="S10" s="122"/>
      <c r="T10" s="122"/>
      <c r="U10" s="122" t="s">
        <v>38</v>
      </c>
      <c r="V10" s="122" t="s">
        <v>38</v>
      </c>
      <c r="W10" s="122"/>
      <c r="X10" s="122" t="s">
        <v>38</v>
      </c>
      <c r="Y10" s="122" t="s">
        <v>38</v>
      </c>
      <c r="Z10" s="128"/>
      <c r="AA10" s="128"/>
      <c r="AB10" s="118"/>
      <c r="AC10" s="129"/>
      <c r="AD10" s="130"/>
      <c r="AE10" s="130"/>
    </row>
    <row r="11" s="131" customFormat="true" ht="15" hidden="false" customHeight="true" outlineLevel="0" collapsed="false">
      <c r="A11" s="132" t="n">
        <v>1</v>
      </c>
      <c r="B11" s="132" t="str">
        <f aca="false">'Base A'!B23</f>
        <v>20</v>
      </c>
      <c r="C11" s="133" t="n">
        <f aca="false">'Base A'!C23</f>
        <v>394.75</v>
      </c>
      <c r="D11" s="132" t="n">
        <f aca="false">'Base A'!T23</f>
        <v>20</v>
      </c>
      <c r="E11" s="134"/>
      <c r="F11" s="134"/>
      <c r="G11" s="134"/>
      <c r="H11" s="134"/>
      <c r="I11" s="134"/>
      <c r="J11" s="134"/>
      <c r="K11" s="135"/>
      <c r="L11" s="136"/>
      <c r="M11" s="137"/>
      <c r="N11" s="138"/>
      <c r="O11" s="135" t="n">
        <f aca="false">10.5*0.18</f>
        <v>1.89</v>
      </c>
      <c r="P11" s="135"/>
      <c r="Q11" s="135"/>
      <c r="R11" s="139"/>
      <c r="S11" s="139"/>
      <c r="T11" s="139"/>
      <c r="U11" s="139"/>
      <c r="V11" s="139"/>
      <c r="W11" s="139" t="n">
        <f aca="false">(O11+O12)*D11/2</f>
        <v>37.8</v>
      </c>
      <c r="X11" s="139"/>
      <c r="Y11" s="139"/>
      <c r="Z11" s="139"/>
      <c r="AA11" s="139"/>
      <c r="AB11" s="140"/>
      <c r="AC11" s="139"/>
      <c r="AE11" s="141"/>
    </row>
    <row r="12" s="131" customFormat="true" ht="15" hidden="false" customHeight="true" outlineLevel="0" collapsed="false">
      <c r="A12" s="132" t="n">
        <v>2</v>
      </c>
      <c r="B12" s="132" t="str">
        <f aca="false">'Base A'!B24</f>
        <v>21</v>
      </c>
      <c r="C12" s="133" t="n">
        <f aca="false">'Base A'!C24</f>
        <v>414.75</v>
      </c>
      <c r="D12" s="132" t="n">
        <f aca="false">'Base A'!T24</f>
        <v>20</v>
      </c>
      <c r="E12" s="134"/>
      <c r="F12" s="134"/>
      <c r="G12" s="134"/>
      <c r="H12" s="134"/>
      <c r="I12" s="134"/>
      <c r="J12" s="134"/>
      <c r="K12" s="135"/>
      <c r="L12" s="136"/>
      <c r="M12" s="137"/>
      <c r="N12" s="138"/>
      <c r="O12" s="135" t="n">
        <f aca="false">10.5*0.18</f>
        <v>1.89</v>
      </c>
      <c r="P12" s="135"/>
      <c r="Q12" s="135"/>
      <c r="R12" s="139"/>
      <c r="S12" s="139"/>
      <c r="T12" s="139"/>
      <c r="U12" s="139"/>
      <c r="V12" s="139"/>
      <c r="W12" s="139" t="n">
        <f aca="false">(O12+O13)*D12/2</f>
        <v>37.8</v>
      </c>
      <c r="X12" s="139"/>
      <c r="Y12" s="139"/>
      <c r="Z12" s="139"/>
      <c r="AA12" s="139"/>
      <c r="AB12" s="140"/>
      <c r="AC12" s="139"/>
      <c r="AE12" s="141"/>
    </row>
    <row r="13" s="131" customFormat="true" ht="15" hidden="false" customHeight="true" outlineLevel="0" collapsed="false">
      <c r="A13" s="132" t="n">
        <v>3</v>
      </c>
      <c r="B13" s="132" t="str">
        <f aca="false">'Base A'!B25</f>
        <v>22</v>
      </c>
      <c r="C13" s="133" t="n">
        <f aca="false">'Base A'!C25</f>
        <v>434.75</v>
      </c>
      <c r="D13" s="132" t="n">
        <f aca="false">'Base A'!T25</f>
        <v>20</v>
      </c>
      <c r="E13" s="134"/>
      <c r="F13" s="134"/>
      <c r="G13" s="134"/>
      <c r="H13" s="134"/>
      <c r="I13" s="134"/>
      <c r="J13" s="134"/>
      <c r="K13" s="135"/>
      <c r="L13" s="136"/>
      <c r="M13" s="137"/>
      <c r="N13" s="138"/>
      <c r="O13" s="135" t="n">
        <f aca="false">10.5*0.18</f>
        <v>1.89</v>
      </c>
      <c r="P13" s="135"/>
      <c r="Q13" s="135"/>
      <c r="R13" s="139"/>
      <c r="S13" s="139"/>
      <c r="T13" s="139"/>
      <c r="U13" s="139"/>
      <c r="V13" s="139"/>
      <c r="W13" s="139" t="n">
        <f aca="false">(O13+O14)*D13/2</f>
        <v>37.8</v>
      </c>
      <c r="X13" s="139"/>
      <c r="Y13" s="139"/>
      <c r="Z13" s="139"/>
      <c r="AA13" s="139"/>
      <c r="AB13" s="140"/>
      <c r="AC13" s="139"/>
      <c r="AE13" s="141"/>
    </row>
    <row r="14" s="131" customFormat="true" ht="15" hidden="false" customHeight="true" outlineLevel="0" collapsed="false">
      <c r="A14" s="132" t="n">
        <v>4</v>
      </c>
      <c r="B14" s="132" t="str">
        <f aca="false">'Base A'!B26</f>
        <v>23</v>
      </c>
      <c r="C14" s="133" t="n">
        <f aca="false">'Base A'!C26</f>
        <v>454.75</v>
      </c>
      <c r="D14" s="132" t="n">
        <f aca="false">'Base A'!T26</f>
        <v>20</v>
      </c>
      <c r="E14" s="134"/>
      <c r="F14" s="134"/>
      <c r="G14" s="134"/>
      <c r="H14" s="134"/>
      <c r="I14" s="134"/>
      <c r="J14" s="134"/>
      <c r="K14" s="135"/>
      <c r="L14" s="136"/>
      <c r="M14" s="137"/>
      <c r="N14" s="138"/>
      <c r="O14" s="135" t="n">
        <f aca="false">10.5*0.18</f>
        <v>1.89</v>
      </c>
      <c r="P14" s="135"/>
      <c r="Q14" s="135"/>
      <c r="R14" s="139"/>
      <c r="S14" s="139"/>
      <c r="T14" s="139"/>
      <c r="U14" s="139"/>
      <c r="V14" s="139"/>
      <c r="W14" s="139" t="n">
        <f aca="false">(O14+O15)*D14/2</f>
        <v>37.8</v>
      </c>
      <c r="X14" s="139"/>
      <c r="Y14" s="139"/>
      <c r="Z14" s="139"/>
      <c r="AA14" s="139"/>
      <c r="AB14" s="140"/>
      <c r="AC14" s="139"/>
      <c r="AE14" s="141"/>
    </row>
    <row r="15" s="131" customFormat="true" ht="15" hidden="false" customHeight="true" outlineLevel="0" collapsed="false">
      <c r="A15" s="132" t="n">
        <v>5</v>
      </c>
      <c r="B15" s="132" t="str">
        <f aca="false">'Base A'!B27</f>
        <v>24</v>
      </c>
      <c r="C15" s="133" t="n">
        <f aca="false">'Base A'!C27</f>
        <v>474.75</v>
      </c>
      <c r="D15" s="132" t="n">
        <f aca="false">'Base A'!T27</f>
        <v>14.44</v>
      </c>
      <c r="E15" s="134"/>
      <c r="F15" s="134"/>
      <c r="G15" s="134"/>
      <c r="H15" s="134"/>
      <c r="I15" s="134"/>
      <c r="J15" s="134"/>
      <c r="K15" s="135"/>
      <c r="L15" s="136"/>
      <c r="M15" s="137"/>
      <c r="N15" s="138"/>
      <c r="O15" s="135" t="n">
        <f aca="false">10.5*0.18</f>
        <v>1.89</v>
      </c>
      <c r="P15" s="135"/>
      <c r="Q15" s="135"/>
      <c r="R15" s="139"/>
      <c r="S15" s="139"/>
      <c r="T15" s="139"/>
      <c r="U15" s="139"/>
      <c r="V15" s="139"/>
      <c r="W15" s="139" t="n">
        <f aca="false">(O15+O16)*D15/2</f>
        <v>27.2916</v>
      </c>
      <c r="X15" s="139"/>
      <c r="Y15" s="139"/>
      <c r="Z15" s="139"/>
      <c r="AA15" s="139"/>
      <c r="AB15" s="140"/>
      <c r="AC15" s="139"/>
      <c r="AE15" s="141"/>
    </row>
    <row r="16" s="131" customFormat="true" ht="15" hidden="false" customHeight="true" outlineLevel="0" collapsed="false">
      <c r="A16" s="132" t="n">
        <v>6</v>
      </c>
      <c r="B16" s="132" t="str">
        <f aca="false">'Base A'!B28</f>
        <v>25</v>
      </c>
      <c r="C16" s="133" t="n">
        <f aca="false">'Base A'!C28</f>
        <v>489.19</v>
      </c>
      <c r="D16" s="132"/>
      <c r="E16" s="134"/>
      <c r="F16" s="134"/>
      <c r="G16" s="134"/>
      <c r="H16" s="134"/>
      <c r="I16" s="134"/>
      <c r="J16" s="134"/>
      <c r="K16" s="135"/>
      <c r="L16" s="136"/>
      <c r="M16" s="137"/>
      <c r="N16" s="138"/>
      <c r="O16" s="135" t="n">
        <f aca="false">10.5*0.18</f>
        <v>1.89</v>
      </c>
      <c r="P16" s="135"/>
      <c r="Q16" s="135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40"/>
      <c r="AC16" s="139"/>
      <c r="AE16" s="141"/>
    </row>
    <row r="17" s="131" customFormat="true" ht="15" hidden="true" customHeight="true" outlineLevel="0" collapsed="false">
      <c r="A17" s="132"/>
      <c r="B17" s="132"/>
      <c r="C17" s="133"/>
      <c r="D17" s="132"/>
      <c r="E17" s="134"/>
      <c r="F17" s="134"/>
      <c r="G17" s="134"/>
      <c r="H17" s="134"/>
      <c r="I17" s="134"/>
      <c r="J17" s="134"/>
      <c r="K17" s="135"/>
      <c r="L17" s="136"/>
      <c r="M17" s="137"/>
      <c r="N17" s="138"/>
      <c r="O17" s="135"/>
      <c r="P17" s="135"/>
      <c r="Q17" s="135"/>
      <c r="R17" s="139"/>
      <c r="S17" s="139"/>
      <c r="T17" s="139"/>
      <c r="U17" s="139"/>
      <c r="V17" s="139"/>
      <c r="W17" s="139"/>
      <c r="X17" s="139"/>
      <c r="Y17" s="139"/>
      <c r="Z17" s="139"/>
      <c r="AA17" s="139"/>
      <c r="AB17" s="140"/>
      <c r="AC17" s="139"/>
      <c r="AE17" s="141"/>
    </row>
    <row r="18" s="131" customFormat="true" ht="15" hidden="true" customHeight="true" outlineLevel="0" collapsed="false">
      <c r="A18" s="132"/>
      <c r="B18" s="132"/>
      <c r="C18" s="133"/>
      <c r="D18" s="132"/>
      <c r="E18" s="134"/>
      <c r="F18" s="134"/>
      <c r="G18" s="134"/>
      <c r="H18" s="134"/>
      <c r="I18" s="134"/>
      <c r="J18" s="134"/>
      <c r="K18" s="135"/>
      <c r="L18" s="136"/>
      <c r="M18" s="137"/>
      <c r="N18" s="138"/>
      <c r="O18" s="135"/>
      <c r="P18" s="135"/>
      <c r="Q18" s="135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40"/>
      <c r="AC18" s="139"/>
      <c r="AE18" s="141"/>
    </row>
    <row r="19" s="131" customFormat="true" ht="15" hidden="true" customHeight="true" outlineLevel="0" collapsed="false">
      <c r="A19" s="132"/>
      <c r="B19" s="132"/>
      <c r="C19" s="133"/>
      <c r="D19" s="132"/>
      <c r="E19" s="134"/>
      <c r="F19" s="134"/>
      <c r="G19" s="134"/>
      <c r="H19" s="134"/>
      <c r="I19" s="134"/>
      <c r="J19" s="134"/>
      <c r="K19" s="135"/>
      <c r="L19" s="136"/>
      <c r="M19" s="137"/>
      <c r="N19" s="138"/>
      <c r="O19" s="135"/>
      <c r="P19" s="135"/>
      <c r="Q19" s="135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40"/>
      <c r="AC19" s="139"/>
      <c r="AE19" s="141"/>
    </row>
    <row r="20" s="131" customFormat="true" ht="15" hidden="true" customHeight="true" outlineLevel="0" collapsed="false">
      <c r="A20" s="132"/>
      <c r="B20" s="132"/>
      <c r="C20" s="133"/>
      <c r="D20" s="132"/>
      <c r="E20" s="134"/>
      <c r="F20" s="134"/>
      <c r="G20" s="134"/>
      <c r="H20" s="134"/>
      <c r="I20" s="134"/>
      <c r="J20" s="134"/>
      <c r="K20" s="135"/>
      <c r="L20" s="136"/>
      <c r="M20" s="137"/>
      <c r="N20" s="138"/>
      <c r="O20" s="135"/>
      <c r="P20" s="135"/>
      <c r="Q20" s="135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40"/>
      <c r="AC20" s="139"/>
      <c r="AE20" s="141"/>
    </row>
    <row r="21" s="131" customFormat="true" ht="15" hidden="true" customHeight="true" outlineLevel="0" collapsed="false">
      <c r="A21" s="132"/>
      <c r="B21" s="132"/>
      <c r="C21" s="133"/>
      <c r="D21" s="132"/>
      <c r="E21" s="134"/>
      <c r="F21" s="134"/>
      <c r="G21" s="134"/>
      <c r="H21" s="134"/>
      <c r="I21" s="134"/>
      <c r="J21" s="134"/>
      <c r="K21" s="135"/>
      <c r="L21" s="136"/>
      <c r="M21" s="137"/>
      <c r="N21" s="138"/>
      <c r="O21" s="135"/>
      <c r="P21" s="135"/>
      <c r="Q21" s="135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40"/>
      <c r="AC21" s="139"/>
      <c r="AE21" s="141"/>
    </row>
    <row r="22" s="131" customFormat="true" ht="15" hidden="true" customHeight="true" outlineLevel="0" collapsed="false">
      <c r="A22" s="132"/>
      <c r="B22" s="132"/>
      <c r="C22" s="133"/>
      <c r="D22" s="132"/>
      <c r="E22" s="134"/>
      <c r="F22" s="134"/>
      <c r="G22" s="134"/>
      <c r="H22" s="134"/>
      <c r="I22" s="134"/>
      <c r="J22" s="134"/>
      <c r="K22" s="135"/>
      <c r="L22" s="136"/>
      <c r="M22" s="137"/>
      <c r="N22" s="138"/>
      <c r="O22" s="135"/>
      <c r="P22" s="135"/>
      <c r="Q22" s="135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40"/>
      <c r="AC22" s="139"/>
      <c r="AE22" s="141"/>
    </row>
    <row r="23" s="131" customFormat="true" ht="15" hidden="true" customHeight="true" outlineLevel="0" collapsed="false">
      <c r="A23" s="132"/>
      <c r="B23" s="132"/>
      <c r="C23" s="133"/>
      <c r="D23" s="132"/>
      <c r="E23" s="134"/>
      <c r="F23" s="134"/>
      <c r="G23" s="134"/>
      <c r="H23" s="134"/>
      <c r="I23" s="134"/>
      <c r="J23" s="134"/>
      <c r="K23" s="135"/>
      <c r="L23" s="136"/>
      <c r="M23" s="137"/>
      <c r="N23" s="138"/>
      <c r="O23" s="135"/>
      <c r="P23" s="135"/>
      <c r="Q23" s="135"/>
      <c r="R23" s="139"/>
      <c r="S23" s="139"/>
      <c r="T23" s="139"/>
      <c r="U23" s="139"/>
      <c r="V23" s="139"/>
      <c r="W23" s="139"/>
      <c r="X23" s="139"/>
      <c r="Y23" s="139"/>
      <c r="Z23" s="139"/>
      <c r="AA23" s="139"/>
      <c r="AB23" s="140"/>
      <c r="AC23" s="139"/>
      <c r="AE23" s="141"/>
    </row>
    <row r="24" s="131" customFormat="true" ht="15" hidden="true" customHeight="true" outlineLevel="0" collapsed="false">
      <c r="A24" s="132"/>
      <c r="B24" s="132"/>
      <c r="C24" s="133"/>
      <c r="D24" s="132"/>
      <c r="E24" s="134"/>
      <c r="F24" s="134"/>
      <c r="G24" s="134"/>
      <c r="H24" s="134"/>
      <c r="I24" s="134"/>
      <c r="J24" s="134"/>
      <c r="K24" s="135"/>
      <c r="L24" s="136"/>
      <c r="M24" s="137"/>
      <c r="N24" s="138"/>
      <c r="O24" s="135"/>
      <c r="P24" s="135"/>
      <c r="Q24" s="135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40"/>
      <c r="AC24" s="139"/>
      <c r="AE24" s="141"/>
    </row>
    <row r="25" s="131" customFormat="true" ht="15" hidden="true" customHeight="true" outlineLevel="0" collapsed="false">
      <c r="A25" s="132"/>
      <c r="B25" s="132"/>
      <c r="C25" s="133"/>
      <c r="D25" s="132"/>
      <c r="E25" s="134"/>
      <c r="F25" s="134"/>
      <c r="G25" s="134"/>
      <c r="H25" s="134"/>
      <c r="I25" s="134"/>
      <c r="J25" s="134"/>
      <c r="K25" s="135"/>
      <c r="L25" s="136"/>
      <c r="M25" s="137"/>
      <c r="N25" s="138"/>
      <c r="O25" s="135"/>
      <c r="P25" s="135"/>
      <c r="Q25" s="135"/>
      <c r="R25" s="139"/>
      <c r="S25" s="139"/>
      <c r="T25" s="139"/>
      <c r="U25" s="139"/>
      <c r="V25" s="139"/>
      <c r="W25" s="139"/>
      <c r="X25" s="139"/>
      <c r="Y25" s="139"/>
      <c r="Z25" s="139"/>
      <c r="AA25" s="139"/>
      <c r="AB25" s="140"/>
      <c r="AC25" s="139"/>
      <c r="AE25" s="141"/>
    </row>
    <row r="26" s="131" customFormat="true" ht="15" hidden="true" customHeight="true" outlineLevel="0" collapsed="false">
      <c r="A26" s="132"/>
      <c r="B26" s="132"/>
      <c r="C26" s="133"/>
      <c r="D26" s="132"/>
      <c r="E26" s="134"/>
      <c r="F26" s="134"/>
      <c r="G26" s="134"/>
      <c r="H26" s="134"/>
      <c r="I26" s="134"/>
      <c r="J26" s="134"/>
      <c r="K26" s="135"/>
      <c r="L26" s="136"/>
      <c r="M26" s="137"/>
      <c r="N26" s="138"/>
      <c r="O26" s="135"/>
      <c r="P26" s="135"/>
      <c r="Q26" s="135"/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40"/>
      <c r="AC26" s="139"/>
      <c r="AE26" s="141"/>
    </row>
    <row r="27" s="131" customFormat="true" ht="15" hidden="true" customHeight="true" outlineLevel="0" collapsed="false">
      <c r="A27" s="132"/>
      <c r="B27" s="132"/>
      <c r="C27" s="133"/>
      <c r="D27" s="132"/>
      <c r="E27" s="134"/>
      <c r="F27" s="134"/>
      <c r="G27" s="134"/>
      <c r="H27" s="134"/>
      <c r="I27" s="134"/>
      <c r="J27" s="134"/>
      <c r="K27" s="135"/>
      <c r="L27" s="136"/>
      <c r="M27" s="137"/>
      <c r="N27" s="138"/>
      <c r="O27" s="135"/>
      <c r="P27" s="135"/>
      <c r="Q27" s="135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40"/>
      <c r="AC27" s="139"/>
      <c r="AE27" s="141"/>
    </row>
    <row r="28" s="131" customFormat="true" ht="15" hidden="true" customHeight="true" outlineLevel="0" collapsed="false">
      <c r="A28" s="132"/>
      <c r="B28" s="132"/>
      <c r="C28" s="133"/>
      <c r="D28" s="132"/>
      <c r="E28" s="134"/>
      <c r="F28" s="134"/>
      <c r="G28" s="134"/>
      <c r="H28" s="134"/>
      <c r="I28" s="134"/>
      <c r="J28" s="134"/>
      <c r="K28" s="135"/>
      <c r="L28" s="136"/>
      <c r="M28" s="137"/>
      <c r="N28" s="138"/>
      <c r="O28" s="135"/>
      <c r="P28" s="135"/>
      <c r="Q28" s="135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40"/>
      <c r="AC28" s="139"/>
      <c r="AE28" s="141"/>
    </row>
    <row r="29" s="131" customFormat="true" ht="15" hidden="true" customHeight="true" outlineLevel="0" collapsed="false">
      <c r="A29" s="132"/>
      <c r="B29" s="132"/>
      <c r="C29" s="133"/>
      <c r="D29" s="132"/>
      <c r="E29" s="134"/>
      <c r="F29" s="134"/>
      <c r="G29" s="134"/>
      <c r="H29" s="134"/>
      <c r="I29" s="134"/>
      <c r="J29" s="134"/>
      <c r="K29" s="135"/>
      <c r="L29" s="136"/>
      <c r="M29" s="137"/>
      <c r="N29" s="138"/>
      <c r="O29" s="135"/>
      <c r="P29" s="135"/>
      <c r="Q29" s="135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40"/>
      <c r="AC29" s="139"/>
      <c r="AE29" s="141"/>
    </row>
    <row r="30" s="131" customFormat="true" ht="15" hidden="true" customHeight="true" outlineLevel="0" collapsed="false">
      <c r="A30" s="132"/>
      <c r="B30" s="132"/>
      <c r="C30" s="133"/>
      <c r="D30" s="132"/>
      <c r="E30" s="134"/>
      <c r="F30" s="134"/>
      <c r="G30" s="134"/>
      <c r="H30" s="134"/>
      <c r="I30" s="134"/>
      <c r="J30" s="134"/>
      <c r="K30" s="135"/>
      <c r="L30" s="136"/>
      <c r="M30" s="137"/>
      <c r="N30" s="138"/>
      <c r="O30" s="135"/>
      <c r="P30" s="135"/>
      <c r="Q30" s="135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40"/>
      <c r="AC30" s="139"/>
      <c r="AE30" s="141"/>
    </row>
    <row r="31" s="131" customFormat="true" ht="15" hidden="true" customHeight="true" outlineLevel="0" collapsed="false">
      <c r="A31" s="132"/>
      <c r="B31" s="132"/>
      <c r="C31" s="133"/>
      <c r="D31" s="132"/>
      <c r="E31" s="134"/>
      <c r="F31" s="134"/>
      <c r="G31" s="134"/>
      <c r="H31" s="134"/>
      <c r="I31" s="134"/>
      <c r="J31" s="134"/>
      <c r="K31" s="135"/>
      <c r="L31" s="136"/>
      <c r="M31" s="137"/>
      <c r="N31" s="138"/>
      <c r="O31" s="135"/>
      <c r="P31" s="135"/>
      <c r="Q31" s="135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40"/>
      <c r="AC31" s="139"/>
      <c r="AE31" s="141"/>
    </row>
    <row r="32" s="131" customFormat="true" ht="15" hidden="true" customHeight="true" outlineLevel="0" collapsed="false">
      <c r="A32" s="132"/>
      <c r="B32" s="132"/>
      <c r="C32" s="133"/>
      <c r="D32" s="132"/>
      <c r="E32" s="134"/>
      <c r="F32" s="134"/>
      <c r="G32" s="134"/>
      <c r="H32" s="134"/>
      <c r="I32" s="134"/>
      <c r="J32" s="134"/>
      <c r="K32" s="135"/>
      <c r="L32" s="136"/>
      <c r="M32" s="137"/>
      <c r="N32" s="138"/>
      <c r="O32" s="135"/>
      <c r="P32" s="135"/>
      <c r="Q32" s="135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40"/>
      <c r="AC32" s="139"/>
      <c r="AE32" s="141"/>
    </row>
    <row r="33" s="131" customFormat="true" ht="15" hidden="true" customHeight="true" outlineLevel="0" collapsed="false">
      <c r="A33" s="132"/>
      <c r="B33" s="132"/>
      <c r="C33" s="133"/>
      <c r="D33" s="132"/>
      <c r="E33" s="134"/>
      <c r="F33" s="134"/>
      <c r="G33" s="134"/>
      <c r="H33" s="134"/>
      <c r="I33" s="134"/>
      <c r="J33" s="134"/>
      <c r="K33" s="135"/>
      <c r="L33" s="136"/>
      <c r="M33" s="137"/>
      <c r="N33" s="138"/>
      <c r="O33" s="135"/>
      <c r="P33" s="135"/>
      <c r="Q33" s="135"/>
      <c r="R33" s="139"/>
      <c r="S33" s="139"/>
      <c r="T33" s="139"/>
      <c r="U33" s="139"/>
      <c r="V33" s="139"/>
      <c r="W33" s="139"/>
      <c r="X33" s="139"/>
      <c r="Y33" s="139"/>
      <c r="Z33" s="139"/>
      <c r="AA33" s="139"/>
      <c r="AB33" s="140"/>
      <c r="AC33" s="139"/>
      <c r="AE33" s="141"/>
    </row>
    <row r="34" s="131" customFormat="true" ht="15" hidden="true" customHeight="true" outlineLevel="0" collapsed="false">
      <c r="A34" s="132"/>
      <c r="B34" s="132"/>
      <c r="C34" s="133"/>
      <c r="D34" s="132"/>
      <c r="E34" s="134"/>
      <c r="F34" s="134"/>
      <c r="G34" s="134"/>
      <c r="H34" s="134"/>
      <c r="I34" s="134"/>
      <c r="J34" s="134"/>
      <c r="K34" s="135"/>
      <c r="L34" s="136"/>
      <c r="M34" s="137"/>
      <c r="N34" s="138"/>
      <c r="O34" s="135"/>
      <c r="P34" s="135"/>
      <c r="Q34" s="135"/>
      <c r="R34" s="139"/>
      <c r="S34" s="139"/>
      <c r="T34" s="139"/>
      <c r="U34" s="139"/>
      <c r="V34" s="139"/>
      <c r="W34" s="139"/>
      <c r="X34" s="139"/>
      <c r="Y34" s="139"/>
      <c r="Z34" s="139"/>
      <c r="AA34" s="139"/>
      <c r="AB34" s="140"/>
      <c r="AC34" s="139"/>
      <c r="AE34" s="141"/>
    </row>
    <row r="35" s="131" customFormat="true" ht="15" hidden="true" customHeight="true" outlineLevel="0" collapsed="false">
      <c r="A35" s="132"/>
      <c r="B35" s="132"/>
      <c r="C35" s="133"/>
      <c r="D35" s="132"/>
      <c r="E35" s="134"/>
      <c r="F35" s="134"/>
      <c r="G35" s="134"/>
      <c r="H35" s="134"/>
      <c r="I35" s="134"/>
      <c r="J35" s="134"/>
      <c r="K35" s="135"/>
      <c r="L35" s="136"/>
      <c r="M35" s="137"/>
      <c r="N35" s="138"/>
      <c r="O35" s="135"/>
      <c r="P35" s="135"/>
      <c r="Q35" s="135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40"/>
      <c r="AC35" s="139"/>
      <c r="AE35" s="141"/>
    </row>
    <row r="36" s="131" customFormat="true" ht="15" hidden="true" customHeight="true" outlineLevel="0" collapsed="false">
      <c r="A36" s="132"/>
      <c r="B36" s="132"/>
      <c r="C36" s="133"/>
      <c r="D36" s="132"/>
      <c r="E36" s="134"/>
      <c r="F36" s="134"/>
      <c r="G36" s="134"/>
      <c r="H36" s="134"/>
      <c r="I36" s="134"/>
      <c r="J36" s="134"/>
      <c r="K36" s="135"/>
      <c r="L36" s="136"/>
      <c r="M36" s="137"/>
      <c r="N36" s="138"/>
      <c r="O36" s="135"/>
      <c r="P36" s="135"/>
      <c r="Q36" s="135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40"/>
      <c r="AC36" s="139"/>
      <c r="AE36" s="141"/>
    </row>
    <row r="37" s="131" customFormat="true" ht="15" hidden="true" customHeight="true" outlineLevel="0" collapsed="false">
      <c r="A37" s="132"/>
      <c r="B37" s="132"/>
      <c r="C37" s="133"/>
      <c r="D37" s="132"/>
      <c r="E37" s="134"/>
      <c r="F37" s="134"/>
      <c r="G37" s="134"/>
      <c r="H37" s="134"/>
      <c r="I37" s="134"/>
      <c r="J37" s="134"/>
      <c r="K37" s="135"/>
      <c r="L37" s="136"/>
      <c r="M37" s="137"/>
      <c r="N37" s="138"/>
      <c r="O37" s="135"/>
      <c r="P37" s="135"/>
      <c r="Q37" s="135"/>
      <c r="R37" s="139"/>
      <c r="S37" s="139"/>
      <c r="T37" s="139"/>
      <c r="U37" s="139"/>
      <c r="V37" s="139"/>
      <c r="W37" s="139"/>
      <c r="X37" s="139"/>
      <c r="Y37" s="139"/>
      <c r="Z37" s="139"/>
      <c r="AA37" s="139"/>
      <c r="AB37" s="140"/>
      <c r="AC37" s="139"/>
      <c r="AE37" s="141"/>
    </row>
    <row r="38" s="131" customFormat="true" ht="15" hidden="true" customHeight="true" outlineLevel="0" collapsed="false">
      <c r="A38" s="132"/>
      <c r="B38" s="132"/>
      <c r="C38" s="133"/>
      <c r="D38" s="132"/>
      <c r="E38" s="134"/>
      <c r="F38" s="134"/>
      <c r="G38" s="134"/>
      <c r="H38" s="134"/>
      <c r="I38" s="134"/>
      <c r="J38" s="134"/>
      <c r="K38" s="135"/>
      <c r="L38" s="136"/>
      <c r="M38" s="137"/>
      <c r="N38" s="138"/>
      <c r="O38" s="135"/>
      <c r="P38" s="135"/>
      <c r="Q38" s="135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40"/>
      <c r="AC38" s="139"/>
      <c r="AE38" s="141"/>
    </row>
    <row r="39" s="131" customFormat="true" ht="15" hidden="true" customHeight="true" outlineLevel="0" collapsed="false">
      <c r="A39" s="132"/>
      <c r="B39" s="132"/>
      <c r="C39" s="133"/>
      <c r="D39" s="132"/>
      <c r="E39" s="134"/>
      <c r="F39" s="134"/>
      <c r="G39" s="134"/>
      <c r="H39" s="134"/>
      <c r="I39" s="134"/>
      <c r="J39" s="134"/>
      <c r="K39" s="135"/>
      <c r="L39" s="136"/>
      <c r="M39" s="137"/>
      <c r="N39" s="138"/>
      <c r="O39" s="135"/>
      <c r="P39" s="135"/>
      <c r="Q39" s="135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40"/>
      <c r="AC39" s="139"/>
      <c r="AE39" s="141"/>
    </row>
    <row r="40" s="131" customFormat="true" ht="15" hidden="true" customHeight="true" outlineLevel="0" collapsed="false">
      <c r="A40" s="132"/>
      <c r="B40" s="132"/>
      <c r="C40" s="133"/>
      <c r="D40" s="132"/>
      <c r="E40" s="134"/>
      <c r="F40" s="134"/>
      <c r="G40" s="134"/>
      <c r="H40" s="134"/>
      <c r="I40" s="134"/>
      <c r="J40" s="134"/>
      <c r="K40" s="135"/>
      <c r="L40" s="136"/>
      <c r="M40" s="137"/>
      <c r="N40" s="138"/>
      <c r="O40" s="135"/>
      <c r="P40" s="135"/>
      <c r="Q40" s="135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40"/>
      <c r="AC40" s="139"/>
      <c r="AE40" s="141"/>
    </row>
    <row r="41" s="131" customFormat="true" ht="15" hidden="true" customHeight="true" outlineLevel="0" collapsed="false">
      <c r="A41" s="132"/>
      <c r="B41" s="132"/>
      <c r="C41" s="133"/>
      <c r="D41" s="132"/>
      <c r="E41" s="134"/>
      <c r="F41" s="134"/>
      <c r="G41" s="134"/>
      <c r="H41" s="134"/>
      <c r="I41" s="134"/>
      <c r="J41" s="134"/>
      <c r="K41" s="135"/>
      <c r="L41" s="136"/>
      <c r="M41" s="137"/>
      <c r="N41" s="138"/>
      <c r="O41" s="135"/>
      <c r="P41" s="135"/>
      <c r="Q41" s="135"/>
      <c r="R41" s="139"/>
      <c r="S41" s="139"/>
      <c r="T41" s="139"/>
      <c r="U41" s="139"/>
      <c r="V41" s="139"/>
      <c r="W41" s="139"/>
      <c r="X41" s="139"/>
      <c r="Y41" s="139"/>
      <c r="Z41" s="139"/>
      <c r="AA41" s="139"/>
      <c r="AB41" s="140"/>
      <c r="AC41" s="139"/>
      <c r="AE41" s="141"/>
    </row>
    <row r="42" s="131" customFormat="true" ht="15" hidden="true" customHeight="true" outlineLevel="0" collapsed="false">
      <c r="A42" s="132"/>
      <c r="B42" s="132"/>
      <c r="C42" s="133"/>
      <c r="D42" s="132"/>
      <c r="E42" s="134"/>
      <c r="F42" s="134"/>
      <c r="G42" s="134"/>
      <c r="H42" s="134"/>
      <c r="I42" s="134"/>
      <c r="J42" s="134"/>
      <c r="K42" s="135"/>
      <c r="L42" s="136"/>
      <c r="M42" s="137"/>
      <c r="N42" s="138"/>
      <c r="O42" s="135"/>
      <c r="P42" s="135"/>
      <c r="Q42" s="135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40"/>
      <c r="AC42" s="139"/>
      <c r="AE42" s="141"/>
    </row>
    <row r="43" s="131" customFormat="true" ht="15" hidden="true" customHeight="true" outlineLevel="0" collapsed="false">
      <c r="A43" s="132"/>
      <c r="B43" s="132"/>
      <c r="C43" s="133"/>
      <c r="D43" s="132"/>
      <c r="E43" s="134"/>
      <c r="F43" s="134"/>
      <c r="G43" s="134"/>
      <c r="H43" s="134"/>
      <c r="I43" s="134"/>
      <c r="J43" s="134"/>
      <c r="K43" s="135"/>
      <c r="L43" s="136"/>
      <c r="M43" s="137"/>
      <c r="N43" s="138"/>
      <c r="O43" s="135"/>
      <c r="P43" s="135"/>
      <c r="Q43" s="135"/>
      <c r="R43" s="139"/>
      <c r="S43" s="139"/>
      <c r="T43" s="139"/>
      <c r="U43" s="139"/>
      <c r="V43" s="139"/>
      <c r="W43" s="139"/>
      <c r="X43" s="139"/>
      <c r="Y43" s="139"/>
      <c r="Z43" s="139"/>
      <c r="AA43" s="139"/>
      <c r="AB43" s="140"/>
      <c r="AC43" s="139"/>
      <c r="AE43" s="141"/>
    </row>
    <row r="44" s="131" customFormat="true" ht="15" hidden="true" customHeight="true" outlineLevel="0" collapsed="false">
      <c r="A44" s="132"/>
      <c r="B44" s="132"/>
      <c r="C44" s="133"/>
      <c r="D44" s="132"/>
      <c r="E44" s="134"/>
      <c r="F44" s="134"/>
      <c r="G44" s="134"/>
      <c r="H44" s="134"/>
      <c r="I44" s="134"/>
      <c r="J44" s="134"/>
      <c r="K44" s="135"/>
      <c r="L44" s="136"/>
      <c r="M44" s="137"/>
      <c r="N44" s="138"/>
      <c r="O44" s="135"/>
      <c r="P44" s="135"/>
      <c r="Q44" s="135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40"/>
      <c r="AC44" s="139"/>
      <c r="AE44" s="141"/>
    </row>
    <row r="45" s="131" customFormat="true" ht="15" hidden="true" customHeight="true" outlineLevel="0" collapsed="false">
      <c r="A45" s="132"/>
      <c r="B45" s="132"/>
      <c r="C45" s="133"/>
      <c r="D45" s="132"/>
      <c r="E45" s="134"/>
      <c r="F45" s="134"/>
      <c r="G45" s="134"/>
      <c r="H45" s="134"/>
      <c r="I45" s="134"/>
      <c r="J45" s="134"/>
      <c r="K45" s="135"/>
      <c r="L45" s="136"/>
      <c r="M45" s="137"/>
      <c r="N45" s="138"/>
      <c r="O45" s="135"/>
      <c r="P45" s="135"/>
      <c r="Q45" s="135"/>
      <c r="R45" s="139"/>
      <c r="S45" s="139"/>
      <c r="T45" s="139"/>
      <c r="U45" s="139"/>
      <c r="V45" s="139"/>
      <c r="W45" s="139"/>
      <c r="X45" s="139"/>
      <c r="Y45" s="139"/>
      <c r="Z45" s="139"/>
      <c r="AA45" s="139"/>
      <c r="AB45" s="140"/>
      <c r="AC45" s="139"/>
      <c r="AE45" s="141"/>
    </row>
    <row r="46" s="131" customFormat="true" ht="15" hidden="true" customHeight="true" outlineLevel="0" collapsed="false">
      <c r="A46" s="132"/>
      <c r="B46" s="132"/>
      <c r="C46" s="133"/>
      <c r="D46" s="132"/>
      <c r="E46" s="134"/>
      <c r="F46" s="134"/>
      <c r="G46" s="134"/>
      <c r="H46" s="134"/>
      <c r="I46" s="134"/>
      <c r="J46" s="134"/>
      <c r="K46" s="135"/>
      <c r="L46" s="136"/>
      <c r="M46" s="137"/>
      <c r="N46" s="138"/>
      <c r="O46" s="135"/>
      <c r="P46" s="135"/>
      <c r="Q46" s="135"/>
      <c r="R46" s="139"/>
      <c r="S46" s="139"/>
      <c r="T46" s="139"/>
      <c r="U46" s="139"/>
      <c r="V46" s="139"/>
      <c r="W46" s="139"/>
      <c r="X46" s="139"/>
      <c r="Y46" s="139"/>
      <c r="Z46" s="139"/>
      <c r="AA46" s="139"/>
      <c r="AB46" s="140"/>
      <c r="AC46" s="139"/>
      <c r="AE46" s="141"/>
    </row>
    <row r="47" s="131" customFormat="true" ht="15" hidden="true" customHeight="true" outlineLevel="0" collapsed="false">
      <c r="A47" s="132"/>
      <c r="B47" s="132"/>
      <c r="C47" s="133"/>
      <c r="D47" s="132"/>
      <c r="E47" s="134"/>
      <c r="F47" s="134"/>
      <c r="G47" s="134"/>
      <c r="H47" s="134"/>
      <c r="I47" s="134"/>
      <c r="J47" s="134"/>
      <c r="K47" s="135"/>
      <c r="L47" s="136"/>
      <c r="M47" s="137"/>
      <c r="N47" s="138"/>
      <c r="O47" s="135"/>
      <c r="P47" s="135"/>
      <c r="Q47" s="135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40"/>
      <c r="AC47" s="139"/>
      <c r="AE47" s="141"/>
    </row>
    <row r="48" s="131" customFormat="true" ht="15" hidden="true" customHeight="true" outlineLevel="0" collapsed="false">
      <c r="A48" s="132"/>
      <c r="B48" s="132"/>
      <c r="C48" s="133"/>
      <c r="D48" s="132"/>
      <c r="E48" s="134"/>
      <c r="F48" s="134"/>
      <c r="G48" s="134"/>
      <c r="H48" s="134"/>
      <c r="I48" s="134"/>
      <c r="J48" s="134"/>
      <c r="K48" s="135"/>
      <c r="L48" s="136"/>
      <c r="M48" s="137"/>
      <c r="N48" s="138"/>
      <c r="O48" s="135"/>
      <c r="P48" s="135"/>
      <c r="Q48" s="135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40"/>
      <c r="AC48" s="139"/>
      <c r="AE48" s="141"/>
    </row>
    <row r="49" s="70" customFormat="true" ht="15.75" hidden="false" customHeight="true" outlineLevel="0" collapsed="false">
      <c r="A49" s="142" t="s">
        <v>39</v>
      </c>
      <c r="B49" s="142"/>
      <c r="C49" s="142"/>
      <c r="D49" s="142"/>
      <c r="E49" s="143"/>
      <c r="F49" s="143"/>
      <c r="G49" s="143"/>
      <c r="H49" s="143"/>
      <c r="I49" s="143"/>
      <c r="J49" s="143"/>
      <c r="K49" s="143"/>
      <c r="L49" s="143"/>
      <c r="M49" s="144"/>
      <c r="N49" s="144"/>
      <c r="O49" s="145"/>
      <c r="P49" s="145"/>
      <c r="Q49" s="145"/>
      <c r="R49" s="146" t="n">
        <f aca="false">SUM(R11:R34)</f>
        <v>0</v>
      </c>
      <c r="S49" s="146" t="n">
        <f aca="false">SUM(S11:S34)</f>
        <v>0</v>
      </c>
      <c r="T49" s="146"/>
      <c r="U49" s="147" t="n">
        <f aca="false">SUM(U11:U34)</f>
        <v>0</v>
      </c>
      <c r="V49" s="147" t="n">
        <f aca="false">SUM(V11:V34)</f>
        <v>0</v>
      </c>
      <c r="W49" s="148" t="n">
        <f aca="false">SUM(W11:W16)</f>
        <v>178.4916</v>
      </c>
      <c r="X49" s="147" t="n">
        <f aca="false">SUM(X11:X34)</f>
        <v>0</v>
      </c>
      <c r="Y49" s="147" t="n">
        <f aca="false">SUM(Y11:Y34)</f>
        <v>0</v>
      </c>
      <c r="Z49" s="147" t="n">
        <f aca="false">SUM(Z11:Z34)</f>
        <v>0</v>
      </c>
      <c r="AA49" s="147" t="n">
        <f aca="false">SUM(AA11:AA34)</f>
        <v>0</v>
      </c>
      <c r="AB49" s="147"/>
      <c r="AE49" s="149"/>
      <c r="AF49" s="150"/>
      <c r="AG49" s="150"/>
      <c r="AH49" s="131"/>
      <c r="AI49" s="149"/>
      <c r="AJ49" s="149"/>
      <c r="AK49" s="149"/>
      <c r="AL49" s="149"/>
    </row>
    <row r="50" s="70" customFormat="true" ht="15.75" hidden="false" customHeight="true" outlineLevel="0" collapsed="false">
      <c r="A50" s="108"/>
      <c r="B50" s="108"/>
      <c r="C50" s="108"/>
      <c r="D50" s="108"/>
      <c r="R50" s="109"/>
      <c r="S50" s="109"/>
      <c r="T50" s="109"/>
      <c r="U50" s="110"/>
      <c r="V50" s="110"/>
      <c r="W50" s="110"/>
      <c r="X50" s="110"/>
      <c r="Y50" s="110"/>
      <c r="Z50" s="110"/>
      <c r="AA50" s="110"/>
      <c r="AB50" s="110"/>
      <c r="AE50" s="110"/>
      <c r="AF50" s="151"/>
      <c r="AG50" s="150"/>
      <c r="AH50" s="151"/>
      <c r="AI50" s="141"/>
      <c r="AJ50" s="141"/>
      <c r="AK50" s="152"/>
      <c r="AL50" s="141"/>
    </row>
    <row r="51" s="70" customFormat="true" ht="15.75" hidden="false" customHeight="true" outlineLevel="0" collapsed="false">
      <c r="A51" s="153" t="s">
        <v>29</v>
      </c>
      <c r="B51" s="153"/>
      <c r="C51" s="153"/>
      <c r="D51" s="154" t="s">
        <v>40</v>
      </c>
      <c r="E51" s="153" t="s">
        <v>30</v>
      </c>
      <c r="F51" s="153"/>
      <c r="G51" s="153"/>
      <c r="H51" s="153"/>
      <c r="I51" s="153"/>
      <c r="J51" s="153"/>
      <c r="K51" s="153"/>
      <c r="L51" s="153"/>
      <c r="M51" s="153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  <c r="AB51" s="153"/>
      <c r="AE51" s="141"/>
      <c r="AF51" s="151"/>
      <c r="AI51" s="131"/>
      <c r="AJ51" s="131"/>
      <c r="AK51" s="131"/>
      <c r="AL51" s="131"/>
    </row>
    <row r="52" s="70" customFormat="true" ht="15.75" hidden="false" customHeight="true" outlineLevel="0" collapsed="false">
      <c r="A52" s="113"/>
      <c r="B52" s="113"/>
      <c r="C52" s="113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AI52" s="131"/>
      <c r="AJ52" s="131"/>
      <c r="AK52" s="131"/>
      <c r="AL52" s="131"/>
    </row>
    <row r="53" s="70" customFormat="true" ht="15.75" hidden="false" customHeight="true" outlineLevel="0" collapsed="false">
      <c r="A53" s="113"/>
      <c r="B53" s="113"/>
      <c r="C53" s="115"/>
      <c r="D53" s="115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AF53" s="79"/>
    </row>
    <row r="54" s="70" customFormat="true" ht="15" hidden="false" customHeight="true" outlineLevel="0" collapsed="false">
      <c r="A54" s="113"/>
      <c r="B54" s="113"/>
      <c r="C54" s="113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</row>
    <row r="55" s="70" customFormat="true" ht="15" hidden="false" customHeight="true" outlineLevel="0" collapsed="false">
      <c r="A55" s="113"/>
      <c r="B55" s="113"/>
      <c r="C55" s="113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</row>
    <row r="56" s="70" customFormat="true" ht="15" hidden="false" customHeight="true" outlineLevel="0" collapsed="false">
      <c r="A56" s="113"/>
      <c r="B56" s="113"/>
      <c r="C56" s="113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</row>
    <row r="57" s="70" customFormat="true" ht="15.75" hidden="false" customHeight="true" outlineLevel="0" collapsed="false">
      <c r="A57" s="153" t="s">
        <v>31</v>
      </c>
      <c r="B57" s="153"/>
      <c r="C57" s="153"/>
      <c r="D57" s="155"/>
      <c r="E57" s="155"/>
      <c r="F57" s="155"/>
      <c r="G57" s="155"/>
      <c r="H57" s="155"/>
      <c r="I57" s="155"/>
      <c r="J57" s="155"/>
      <c r="K57" s="155"/>
      <c r="L57" s="155"/>
      <c r="M57" s="153" t="s">
        <v>32</v>
      </c>
      <c r="N57" s="153"/>
      <c r="O57" s="15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  <c r="AA57" s="153"/>
      <c r="AB57" s="153"/>
    </row>
    <row r="58" s="127" customFormat="true" ht="15.75" hidden="false" customHeight="true" outlineLevel="0" collapsed="false">
      <c r="A58" s="131"/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  <c r="AA58" s="131"/>
      <c r="AB58" s="131"/>
      <c r="AC58" s="131"/>
    </row>
    <row r="59" customFormat="false" ht="12.75" hidden="false" customHeight="false" outlineLevel="0" collapsed="false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</row>
    <row r="60" customFormat="false" ht="12.75" hidden="false" customHeight="false" outlineLevel="0" collapsed="false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</row>
    <row r="61" customFormat="false" ht="12.75" hidden="false" customHeight="false" outlineLevel="0" collapsed="false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</row>
    <row r="62" customFormat="false" ht="12.75" hidden="false" customHeight="false" outlineLevel="0" collapsed="false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</row>
    <row r="63" customFormat="false" ht="12.75" hidden="false" customHeight="false" outlineLevel="0" collapsed="false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</row>
    <row r="64" customFormat="false" ht="12.75" hidden="false" customHeight="false" outlineLevel="0" collapsed="false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</row>
    <row r="65" customFormat="false" ht="12.75" hidden="false" customHeight="false" outlineLevel="0" collapsed="false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</row>
    <row r="66" customFormat="false" ht="12.75" hidden="false" customHeight="false" outlineLevel="0" collapsed="false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</row>
    <row r="67" customFormat="false" ht="12.75" hidden="false" customHeight="false" outlineLevel="0" collapsed="false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</row>
    <row r="68" customFormat="false" ht="12.75" hidden="false" customHeight="false" outlineLevel="0" collapsed="false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</row>
    <row r="69" customFormat="false" ht="12.75" hidden="false" customHeight="false" outlineLevel="0" collapsed="false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</row>
    <row r="70" customFormat="false" ht="12.75" hidden="false" customHeight="false" outlineLevel="0" collapsed="false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</row>
    <row r="71" customFormat="false" ht="12.75" hidden="false" customHeight="false" outlineLevel="0" collapsed="false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</row>
    <row r="72" customFormat="false" ht="12.75" hidden="false" customHeight="false" outlineLevel="0" collapsed="false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</row>
    <row r="73" customFormat="false" ht="12.75" hidden="false" customHeight="false" outlineLevel="0" collapsed="false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</row>
    <row r="74" customFormat="false" ht="12.75" hidden="false" customHeight="false" outlineLevel="0" collapsed="false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</row>
    <row r="75" customFormat="false" ht="12.75" hidden="false" customHeight="false" outlineLevel="0" collapsed="false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</row>
    <row r="76" customFormat="false" ht="12.75" hidden="false" customHeight="false" outlineLevel="0" collapsed="false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</row>
    <row r="77" customFormat="false" ht="12.75" hidden="false" customHeight="false" outlineLevel="0" collapsed="false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</row>
    <row r="78" customFormat="false" ht="12.75" hidden="false" customHeight="false" outlineLevel="0" collapsed="false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</row>
    <row r="79" customFormat="false" ht="12.75" hidden="false" customHeight="false" outlineLevel="0" collapsed="false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</row>
    <row r="80" customFormat="false" ht="12.75" hidden="false" customHeight="false" outlineLevel="0" collapsed="false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</row>
    <row r="81" customFormat="false" ht="12.75" hidden="false" customHeight="false" outlineLevel="0" collapsed="false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</row>
    <row r="82" customFormat="false" ht="12.75" hidden="false" customHeight="false" outlineLevel="0" collapsed="false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</row>
    <row r="83" customFormat="false" ht="12.75" hidden="false" customHeight="false" outlineLevel="0" collapsed="false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</row>
    <row r="84" customFormat="false" ht="12.75" hidden="false" customHeight="false" outlineLevel="0" collapsed="false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</row>
    <row r="85" customFormat="false" ht="12.75" hidden="false" customHeight="false" outlineLevel="0" collapsed="false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</row>
    <row r="86" customFormat="false" ht="12.75" hidden="false" customHeight="false" outlineLevel="0" collapsed="false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</row>
    <row r="87" customFormat="false" ht="12.75" hidden="false" customHeight="false" outlineLevel="0" collapsed="false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</row>
    <row r="88" customFormat="false" ht="12.75" hidden="false" customHeight="false" outlineLevel="0" collapsed="false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</row>
    <row r="89" customFormat="false" ht="12.75" hidden="false" customHeight="false" outlineLevel="0" collapsed="false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</row>
    <row r="90" customFormat="false" ht="12.75" hidden="false" customHeight="false" outlineLevel="0" collapsed="false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</row>
    <row r="91" customFormat="false" ht="12.75" hidden="false" customHeight="false" outlineLevel="0" collapsed="false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</row>
    <row r="92" customFormat="false" ht="12.75" hidden="false" customHeight="false" outlineLevel="0" collapsed="false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</row>
    <row r="93" customFormat="false" ht="12.75" hidden="false" customHeight="false" outlineLevel="0" collapsed="false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</row>
    <row r="94" customFormat="false" ht="12.75" hidden="false" customHeight="false" outlineLevel="0" collapsed="false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</row>
    <row r="95" customFormat="false" ht="12.75" hidden="false" customHeight="false" outlineLevel="0" collapsed="false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</row>
    <row r="96" customFormat="false" ht="12.75" hidden="false" customHeight="false" outlineLevel="0" collapsed="false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</row>
    <row r="97" customFormat="false" ht="12.75" hidden="false" customHeight="false" outlineLevel="0" collapsed="false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</row>
    <row r="98" customFormat="false" ht="12.75" hidden="false" customHeight="false" outlineLevel="0" collapsed="false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</row>
    <row r="99" customFormat="false" ht="12.75" hidden="false" customHeight="false" outlineLevel="0" collapsed="false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</row>
    <row r="100" customFormat="false" ht="12.75" hidden="false" customHeight="false" outlineLevel="0" collapsed="false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</row>
    <row r="101" customFormat="false" ht="12.75" hidden="false" customHeight="false" outlineLevel="0" collapsed="false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</row>
    <row r="102" customFormat="false" ht="12.75" hidden="false" customHeight="false" outlineLevel="0" collapsed="false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</row>
    <row r="103" customFormat="false" ht="12.75" hidden="false" customHeight="false" outlineLevel="0" collapsed="false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</row>
    <row r="104" customFormat="false" ht="12.75" hidden="false" customHeight="false" outlineLevel="0" collapsed="false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</row>
    <row r="105" customFormat="false" ht="12.75" hidden="false" customHeight="false" outlineLevel="0" collapsed="false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</row>
    <row r="106" customFormat="false" ht="12.75" hidden="false" customHeight="false" outlineLevel="0" collapsed="false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</row>
    <row r="107" s="25" customFormat="true" ht="12.75" hidden="false" customHeight="false" outlineLevel="0" collapsed="false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24"/>
      <c r="AE107" s="24"/>
      <c r="AF107" s="24"/>
      <c r="AG107" s="24"/>
    </row>
    <row r="108" s="25" customFormat="true" ht="12.75" hidden="false" customHeight="false" outlineLevel="0" collapsed="false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24"/>
      <c r="AE108" s="24"/>
      <c r="AF108" s="24"/>
      <c r="AG108" s="24"/>
    </row>
    <row r="109" s="25" customFormat="true" ht="12.75" hidden="false" customHeight="false" outlineLevel="0" collapsed="false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24"/>
      <c r="AE109" s="24"/>
      <c r="AF109" s="24"/>
      <c r="AG109" s="24"/>
    </row>
    <row r="110" s="25" customFormat="true" ht="12.75" hidden="false" customHeight="false" outlineLevel="0" collapsed="false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24"/>
      <c r="AE110" s="24"/>
      <c r="AF110" s="24"/>
      <c r="AG110" s="24"/>
    </row>
    <row r="111" s="25" customFormat="true" ht="12.75" hidden="false" customHeight="false" outlineLevel="0" collapsed="false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24"/>
      <c r="AE111" s="24"/>
      <c r="AF111" s="24"/>
      <c r="AG111" s="24"/>
    </row>
    <row r="112" s="25" customFormat="true" ht="12.75" hidden="false" customHeight="false" outlineLevel="0" collapsed="false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24"/>
      <c r="AE112" s="24"/>
      <c r="AF112" s="24"/>
      <c r="AG112" s="24"/>
    </row>
    <row r="113" s="25" customFormat="true" ht="12.75" hidden="false" customHeight="false" outlineLevel="0" collapsed="false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24"/>
      <c r="AE113" s="24"/>
      <c r="AF113" s="24"/>
      <c r="AG113" s="24"/>
    </row>
    <row r="114" s="25" customFormat="true" ht="12.75" hidden="false" customHeight="false" outlineLevel="0" collapsed="false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24"/>
      <c r="AE114" s="24"/>
      <c r="AF114" s="24"/>
      <c r="AG114" s="24"/>
    </row>
    <row r="115" s="25" customFormat="true" ht="12.75" hidden="false" customHeight="false" outlineLevel="0" collapsed="false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24"/>
      <c r="AE115" s="24"/>
      <c r="AF115" s="24"/>
      <c r="AG115" s="24"/>
    </row>
    <row r="116" s="25" customFormat="true" ht="12.75" hidden="false" customHeight="false" outlineLevel="0" collapsed="false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24"/>
      <c r="AE116" s="24"/>
      <c r="AF116" s="24"/>
      <c r="AG116" s="24"/>
    </row>
    <row r="117" s="25" customFormat="true" ht="12.75" hidden="false" customHeight="false" outlineLevel="0" collapsed="false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24"/>
      <c r="AE117" s="24"/>
      <c r="AF117" s="24"/>
      <c r="AG117" s="24"/>
    </row>
    <row r="118" s="25" customFormat="true" ht="12.75" hidden="false" customHeight="false" outlineLevel="0" collapsed="false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24"/>
      <c r="AE118" s="24"/>
      <c r="AF118" s="24"/>
      <c r="AG118" s="24"/>
    </row>
    <row r="119" s="25" customFormat="true" ht="12.75" hidden="false" customHeight="false" outlineLevel="0" collapsed="false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24"/>
      <c r="AE119" s="24"/>
      <c r="AF119" s="24"/>
      <c r="AG119" s="24"/>
    </row>
    <row r="120" s="25" customFormat="true" ht="12.75" hidden="false" customHeight="false" outlineLevel="0" collapsed="false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24"/>
      <c r="AE120" s="24"/>
      <c r="AF120" s="24"/>
      <c r="AG120" s="24"/>
    </row>
    <row r="121" s="25" customFormat="true" ht="12.75" hidden="false" customHeight="false" outlineLevel="0" collapsed="false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24"/>
      <c r="AE121" s="24"/>
      <c r="AF121" s="24"/>
      <c r="AG121" s="24"/>
    </row>
    <row r="122" s="25" customFormat="true" ht="12.75" hidden="false" customHeight="false" outlineLevel="0" collapsed="false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24"/>
      <c r="AE122" s="24"/>
      <c r="AF122" s="24"/>
      <c r="AG122" s="24"/>
    </row>
    <row r="123" s="25" customFormat="true" ht="12.75" hidden="false" customHeight="false" outlineLevel="0" collapsed="false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24"/>
      <c r="AE123" s="24"/>
      <c r="AF123" s="24"/>
      <c r="AG123" s="24"/>
    </row>
    <row r="124" s="25" customFormat="true" ht="12.75" hidden="false" customHeight="false" outlineLevel="0" collapsed="false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24"/>
      <c r="AE124" s="24"/>
      <c r="AF124" s="24"/>
      <c r="AG124" s="24"/>
    </row>
    <row r="125" s="25" customFormat="true" ht="12.75" hidden="false" customHeight="false" outlineLevel="0" collapsed="false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24"/>
      <c r="AE125" s="24"/>
      <c r="AF125" s="24"/>
      <c r="AG125" s="24"/>
    </row>
    <row r="126" s="25" customFormat="true" ht="12.75" hidden="false" customHeight="false" outlineLevel="0" collapsed="false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24"/>
      <c r="AE126" s="24"/>
      <c r="AF126" s="24"/>
      <c r="AG126" s="24"/>
    </row>
    <row r="127" s="25" customFormat="true" ht="12.75" hidden="false" customHeight="false" outlineLevel="0" collapsed="false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24"/>
      <c r="AE127" s="24"/>
      <c r="AF127" s="24"/>
      <c r="AG127" s="24"/>
    </row>
    <row r="128" s="25" customFormat="true" ht="12.75" hidden="false" customHeight="false" outlineLevel="0" collapsed="false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24"/>
      <c r="AE128" s="24"/>
      <c r="AF128" s="24"/>
      <c r="AG128" s="24"/>
    </row>
    <row r="129" s="25" customFormat="true" ht="12.75" hidden="false" customHeight="false" outlineLevel="0" collapsed="false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24"/>
      <c r="AE129" s="24"/>
      <c r="AF129" s="24"/>
      <c r="AG129" s="24"/>
    </row>
    <row r="130" s="25" customFormat="true" ht="12.75" hidden="false" customHeight="false" outlineLevel="0" collapsed="false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24"/>
      <c r="AE130" s="24"/>
      <c r="AF130" s="24"/>
      <c r="AG130" s="24"/>
    </row>
    <row r="131" s="25" customFormat="true" ht="12.75" hidden="false" customHeight="false" outlineLevel="0" collapsed="false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24"/>
      <c r="AE131" s="24"/>
      <c r="AF131" s="24"/>
      <c r="AG131" s="24"/>
    </row>
    <row r="132" s="25" customFormat="true" ht="12.75" hidden="false" customHeight="false" outlineLevel="0" collapsed="false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24"/>
      <c r="AE132" s="24"/>
      <c r="AF132" s="24"/>
      <c r="AG132" s="24"/>
    </row>
    <row r="133" s="25" customFormat="true" ht="12.75" hidden="false" customHeight="false" outlineLevel="0" collapsed="false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24"/>
      <c r="AE133" s="24"/>
      <c r="AF133" s="24"/>
      <c r="AG133" s="24"/>
    </row>
    <row r="134" s="25" customFormat="true" ht="12.75" hidden="false" customHeight="false" outlineLevel="0" collapsed="false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24"/>
      <c r="AE134" s="24"/>
      <c r="AF134" s="24"/>
      <c r="AG134" s="24"/>
    </row>
  </sheetData>
  <mergeCells count="20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O9:O10"/>
    <mergeCell ref="W9:W10"/>
    <mergeCell ref="AB9:AB10"/>
    <mergeCell ref="A49:D49"/>
    <mergeCell ref="A51:C51"/>
    <mergeCell ref="E51:AB51"/>
    <mergeCell ref="A57:C57"/>
    <mergeCell ref="M57:AB57"/>
  </mergeCells>
  <printOptions headings="false" gridLines="false" gridLinesSet="true" horizontalCentered="false" verticalCentered="false"/>
  <pageMargins left="0.7" right="0.159722222222222" top="0.4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67"/>
  <sheetViews>
    <sheetView showFormulas="false" showGridLines="true" showRowColHeaders="true" showZeros="true" rightToLeft="false" tabSelected="false" showOutlineSymbols="true" defaultGridColor="true" view="normal" topLeftCell="A16" colorId="64" zoomScale="70" zoomScaleNormal="70" zoomScalePageLayoutView="100" workbookViewId="0">
      <selection pane="topLeft" activeCell="K32" activeCellId="0" sqref="K3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1" width="12.29"/>
    <col collapsed="false" customWidth="true" hidden="false" outlineLevel="0" max="3" min="3" style="1" width="16.43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"/>
  </cols>
  <sheetData>
    <row r="1" customFormat="false" ht="20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3"/>
      <c r="W1" s="3"/>
    </row>
    <row r="2" customFormat="false" ht="18.75" hidden="false" customHeight="true" outlineLevel="0" collapsed="false">
      <c r="A2" s="4" t="s">
        <v>45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U2" s="5"/>
      <c r="V2" s="5"/>
      <c r="W2" s="5"/>
    </row>
    <row r="3" customFormat="false" ht="18.75" hidden="false" customHeight="true" outlineLevel="0" collapsed="false">
      <c r="A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customFormat="false" ht="18.75" hidden="false" customHeight="true" outlineLevel="0" collapsed="false">
      <c r="A4" s="6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customFormat="false" ht="18.75" hidden="false" customHeight="true" outlineLevel="0" collapsed="false">
      <c r="A5" s="6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customFormat="false" ht="18.75" hidden="false" customHeight="true" outlineLevel="0" collapsed="false">
      <c r="A6" s="6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customFormat="false" ht="18.75" hidden="false" customHeight="true" outlineLevel="0" collapsed="false">
      <c r="A7" s="7" t="s">
        <v>6</v>
      </c>
      <c r="C7" s="6"/>
      <c r="D7" s="6"/>
      <c r="F7" s="6"/>
      <c r="G7" s="6" t="s">
        <v>46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customFormat="false" ht="18.75" hidden="false" customHeight="true" outlineLevel="0" collapsed="false">
      <c r="A8" s="7" t="s">
        <v>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21" s="10" customFormat="true" ht="15.75" hidden="false" customHeight="true" outlineLevel="0" collapsed="false">
      <c r="A21" s="8" t="s">
        <v>9</v>
      </c>
      <c r="B21" s="8" t="s">
        <v>10</v>
      </c>
      <c r="C21" s="8" t="s">
        <v>11</v>
      </c>
      <c r="D21" s="9" t="s">
        <v>12</v>
      </c>
      <c r="E21" s="9"/>
      <c r="F21" s="9"/>
      <c r="G21" s="9"/>
      <c r="H21" s="9"/>
      <c r="I21" s="9"/>
      <c r="J21" s="9" t="s">
        <v>13</v>
      </c>
      <c r="K21" s="9"/>
      <c r="L21" s="9"/>
      <c r="M21" s="9" t="s">
        <v>14</v>
      </c>
      <c r="N21" s="9"/>
      <c r="O21" s="9"/>
      <c r="P21" s="9"/>
      <c r="Q21" s="9"/>
      <c r="R21" s="9"/>
      <c r="S21" s="8" t="s">
        <v>15</v>
      </c>
    </row>
    <row r="22" s="10" customFormat="true" ht="30" hidden="false" customHeight="true" outlineLevel="0" collapsed="false">
      <c r="A22" s="8"/>
      <c r="B22" s="8"/>
      <c r="C22" s="8"/>
      <c r="D22" s="11" t="s">
        <v>17</v>
      </c>
      <c r="E22" s="11" t="s">
        <v>18</v>
      </c>
      <c r="F22" s="11" t="s">
        <v>19</v>
      </c>
      <c r="G22" s="11" t="s">
        <v>20</v>
      </c>
      <c r="H22" s="11" t="s">
        <v>21</v>
      </c>
      <c r="I22" s="11" t="s">
        <v>22</v>
      </c>
      <c r="J22" s="11" t="s">
        <v>20</v>
      </c>
      <c r="K22" s="11" t="s">
        <v>21</v>
      </c>
      <c r="L22" s="11" t="s">
        <v>22</v>
      </c>
      <c r="M22" s="11" t="s">
        <v>17</v>
      </c>
      <c r="N22" s="11" t="s">
        <v>18</v>
      </c>
      <c r="O22" s="11" t="s">
        <v>19</v>
      </c>
      <c r="P22" s="11" t="s">
        <v>20</v>
      </c>
      <c r="Q22" s="11" t="s">
        <v>21</v>
      </c>
      <c r="R22" s="11" t="s">
        <v>22</v>
      </c>
      <c r="S22" s="8"/>
      <c r="T22" s="12"/>
    </row>
    <row r="23" s="10" customFormat="true" ht="18" hidden="false" customHeight="true" outlineLevel="0" collapsed="false">
      <c r="A23" s="13" t="n">
        <v>1</v>
      </c>
      <c r="B23" s="82" t="s">
        <v>23</v>
      </c>
      <c r="C23" s="15" t="n">
        <v>394.75</v>
      </c>
      <c r="D23" s="16" t="n">
        <v>-5.25</v>
      </c>
      <c r="E23" s="16" t="n">
        <f aca="false">+D23+F23</f>
        <v>-5.2442</v>
      </c>
      <c r="F23" s="16" t="n">
        <f aca="false">RANDBETWEEN(-105,115)/10000</f>
        <v>0.0058</v>
      </c>
      <c r="G23" s="16" t="n">
        <f aca="false">W23+0.15</f>
        <v>2.764</v>
      </c>
      <c r="H23" s="16" t="n">
        <f aca="false">G23+I23</f>
        <v>2.752</v>
      </c>
      <c r="I23" s="16" t="n">
        <f aca="false">RANDBETWEEN(-20,70)/1000</f>
        <v>-0.012</v>
      </c>
      <c r="J23" s="16" t="n">
        <f aca="false">X23+0.15</f>
        <v>2.881</v>
      </c>
      <c r="K23" s="16" t="n">
        <f aca="false">J23+L23</f>
        <v>2.9</v>
      </c>
      <c r="L23" s="16" t="n">
        <f aca="false">RANDBETWEEN(-20,70)/1000</f>
        <v>0.019</v>
      </c>
      <c r="M23" s="16" t="n">
        <v>5.25</v>
      </c>
      <c r="N23" s="16" t="n">
        <f aca="false">+M23+O23</f>
        <v>5.2551</v>
      </c>
      <c r="O23" s="16" t="n">
        <f aca="false">RANDBETWEEN(-105,115)/10000</f>
        <v>0.0051</v>
      </c>
      <c r="P23" s="16" t="n">
        <f aca="false">Y23+0.15</f>
        <v>2.764</v>
      </c>
      <c r="Q23" s="16" t="n">
        <f aca="false">P23+R23</f>
        <v>2.759</v>
      </c>
      <c r="R23" s="16" t="n">
        <f aca="false">RANDBETWEEN(-20,70)/1000</f>
        <v>-0.005</v>
      </c>
      <c r="S23" s="17"/>
      <c r="T23" s="18" t="n">
        <v>20</v>
      </c>
      <c r="V23" s="19"/>
      <c r="W23" s="19" t="n">
        <f aca="false">'Base A'!G23</f>
        <v>2.614</v>
      </c>
      <c r="X23" s="19" t="n">
        <f aca="false">'Base A'!J23</f>
        <v>2.731</v>
      </c>
      <c r="Y23" s="19" t="n">
        <f aca="false">'Base A'!P23</f>
        <v>2.614</v>
      </c>
    </row>
    <row r="24" s="10" customFormat="true" ht="18" hidden="false" customHeight="true" outlineLevel="0" collapsed="false">
      <c r="A24" s="13" t="n">
        <v>2</v>
      </c>
      <c r="B24" s="82" t="s">
        <v>24</v>
      </c>
      <c r="C24" s="15" t="n">
        <f aca="false">+C23+T23</f>
        <v>414.75</v>
      </c>
      <c r="D24" s="16" t="n">
        <v>-5.25</v>
      </c>
      <c r="E24" s="16" t="n">
        <f aca="false">+D24+F24</f>
        <v>-5.2525</v>
      </c>
      <c r="F24" s="16" t="n">
        <f aca="false">RANDBETWEEN(-105,115)/10000</f>
        <v>-0.0025</v>
      </c>
      <c r="G24" s="16" t="n">
        <f aca="false">W24+0.15</f>
        <v>2.751</v>
      </c>
      <c r="H24" s="16" t="n">
        <f aca="false">G24+I24</f>
        <v>2.779</v>
      </c>
      <c r="I24" s="16" t="n">
        <f aca="false">RANDBETWEEN(-20,70)/1000</f>
        <v>0.028</v>
      </c>
      <c r="J24" s="16" t="n">
        <f aca="false">X24+0.15</f>
        <v>2.868</v>
      </c>
      <c r="K24" s="16" t="n">
        <f aca="false">J24+L24</f>
        <v>2.933</v>
      </c>
      <c r="L24" s="16" t="n">
        <f aca="false">RANDBETWEEN(-20,70)/1000</f>
        <v>0.065</v>
      </c>
      <c r="M24" s="16" t="n">
        <v>5.25</v>
      </c>
      <c r="N24" s="16" t="n">
        <f aca="false">+M24+O24</f>
        <v>5.2402</v>
      </c>
      <c r="O24" s="16" t="n">
        <f aca="false">RANDBETWEEN(-105,115)/10000</f>
        <v>-0.0098</v>
      </c>
      <c r="P24" s="16" t="n">
        <f aca="false">Y24+0.15</f>
        <v>2.751</v>
      </c>
      <c r="Q24" s="16" t="n">
        <f aca="false">P24+R24</f>
        <v>2.816</v>
      </c>
      <c r="R24" s="16" t="n">
        <f aca="false">RANDBETWEEN(-20,70)/1000</f>
        <v>0.065</v>
      </c>
      <c r="S24" s="17"/>
      <c r="T24" s="18" t="n">
        <v>20</v>
      </c>
      <c r="V24" s="19"/>
      <c r="W24" s="19" t="n">
        <f aca="false">'Base A'!G24</f>
        <v>2.601</v>
      </c>
      <c r="X24" s="19" t="n">
        <f aca="false">'Base A'!J24</f>
        <v>2.718</v>
      </c>
      <c r="Y24" s="19" t="n">
        <f aca="false">'Base A'!P24</f>
        <v>2.601</v>
      </c>
    </row>
    <row r="25" s="10" customFormat="true" ht="18" hidden="false" customHeight="true" outlineLevel="0" collapsed="false">
      <c r="A25" s="13" t="n">
        <v>3</v>
      </c>
      <c r="B25" s="82" t="s">
        <v>25</v>
      </c>
      <c r="C25" s="15" t="n">
        <f aca="false">+C24+T24</f>
        <v>434.75</v>
      </c>
      <c r="D25" s="16" t="n">
        <v>-5.25</v>
      </c>
      <c r="E25" s="16" t="n">
        <f aca="false">+D25+F25</f>
        <v>-5.257</v>
      </c>
      <c r="F25" s="16" t="n">
        <f aca="false">RANDBETWEEN(-105,115)/10000</f>
        <v>-0.007</v>
      </c>
      <c r="G25" s="16" t="n">
        <f aca="false">W25+0.15</f>
        <v>2.738</v>
      </c>
      <c r="H25" s="16" t="n">
        <f aca="false">G25+I25</f>
        <v>2.783</v>
      </c>
      <c r="I25" s="16" t="n">
        <f aca="false">RANDBETWEEN(-20,70)/1000</f>
        <v>0.045</v>
      </c>
      <c r="J25" s="16" t="n">
        <f aca="false">X25+0.15</f>
        <v>2.855</v>
      </c>
      <c r="K25" s="16" t="n">
        <f aca="false">J25+L25</f>
        <v>2.863</v>
      </c>
      <c r="L25" s="16" t="n">
        <f aca="false">RANDBETWEEN(-20,70)/1000</f>
        <v>0.008</v>
      </c>
      <c r="M25" s="16" t="n">
        <v>5.25</v>
      </c>
      <c r="N25" s="16" t="n">
        <f aca="false">+M25+O25</f>
        <v>5.2545</v>
      </c>
      <c r="O25" s="16" t="n">
        <f aca="false">RANDBETWEEN(-105,115)/10000</f>
        <v>0.0045</v>
      </c>
      <c r="P25" s="16" t="n">
        <f aca="false">Y25+0.15</f>
        <v>2.738</v>
      </c>
      <c r="Q25" s="16" t="n">
        <f aca="false">P25+R25</f>
        <v>2.754</v>
      </c>
      <c r="R25" s="16" t="n">
        <f aca="false">RANDBETWEEN(-20,70)/1000</f>
        <v>0.016</v>
      </c>
      <c r="S25" s="17"/>
      <c r="T25" s="18" t="n">
        <v>20</v>
      </c>
      <c r="V25" s="19"/>
      <c r="W25" s="19" t="n">
        <f aca="false">'Base A'!G25</f>
        <v>2.588</v>
      </c>
      <c r="X25" s="19" t="n">
        <f aca="false">'Base A'!J25</f>
        <v>2.705</v>
      </c>
      <c r="Y25" s="19" t="n">
        <f aca="false">'Base A'!P25</f>
        <v>2.588</v>
      </c>
    </row>
    <row r="26" s="10" customFormat="true" ht="18" hidden="false" customHeight="true" outlineLevel="0" collapsed="false">
      <c r="A26" s="13" t="n">
        <v>4</v>
      </c>
      <c r="B26" s="82" t="s">
        <v>26</v>
      </c>
      <c r="C26" s="15" t="n">
        <f aca="false">+C25+T25</f>
        <v>454.75</v>
      </c>
      <c r="D26" s="16" t="n">
        <v>-5.25</v>
      </c>
      <c r="E26" s="16" t="n">
        <f aca="false">+D26+F26</f>
        <v>-5.2523</v>
      </c>
      <c r="F26" s="16" t="n">
        <f aca="false">RANDBETWEEN(-105,115)/10000</f>
        <v>-0.0023</v>
      </c>
      <c r="G26" s="16" t="n">
        <f aca="false">W26+0.15</f>
        <v>2.724</v>
      </c>
      <c r="H26" s="16" t="n">
        <f aca="false">G26+I26</f>
        <v>2.739</v>
      </c>
      <c r="I26" s="16" t="n">
        <f aca="false">RANDBETWEEN(-20,70)/1000</f>
        <v>0.015</v>
      </c>
      <c r="J26" s="16" t="n">
        <f aca="false">X26+0.15</f>
        <v>2.841</v>
      </c>
      <c r="K26" s="16" t="n">
        <f aca="false">J26+L26</f>
        <v>2.877</v>
      </c>
      <c r="L26" s="16" t="n">
        <f aca="false">RANDBETWEEN(-20,70)/1000</f>
        <v>0.036</v>
      </c>
      <c r="M26" s="16" t="n">
        <v>5.25</v>
      </c>
      <c r="N26" s="16" t="n">
        <f aca="false">+M26+O26</f>
        <v>5.2424</v>
      </c>
      <c r="O26" s="16" t="n">
        <f aca="false">RANDBETWEEN(-105,115)/10000</f>
        <v>-0.0076</v>
      </c>
      <c r="P26" s="16" t="n">
        <f aca="false">Y26+0.15</f>
        <v>2.724</v>
      </c>
      <c r="Q26" s="16" t="n">
        <f aca="false">P26+R26</f>
        <v>2.715</v>
      </c>
      <c r="R26" s="16" t="n">
        <f aca="false">RANDBETWEEN(-20,70)/1000</f>
        <v>-0.009</v>
      </c>
      <c r="S26" s="17"/>
      <c r="T26" s="18" t="n">
        <v>20</v>
      </c>
      <c r="V26" s="19"/>
      <c r="W26" s="19" t="n">
        <f aca="false">'Base A'!G26</f>
        <v>2.574</v>
      </c>
      <c r="X26" s="19" t="n">
        <f aca="false">'Base A'!J26</f>
        <v>2.691</v>
      </c>
      <c r="Y26" s="19" t="n">
        <f aca="false">'Base A'!P26</f>
        <v>2.574</v>
      </c>
    </row>
    <row r="27" s="10" customFormat="true" ht="18" hidden="false" customHeight="true" outlineLevel="0" collapsed="false">
      <c r="A27" s="13" t="n">
        <v>5</v>
      </c>
      <c r="B27" s="82" t="s">
        <v>27</v>
      </c>
      <c r="C27" s="15" t="n">
        <f aca="false">+C26+T26</f>
        <v>474.75</v>
      </c>
      <c r="D27" s="16" t="n">
        <v>-5.25</v>
      </c>
      <c r="E27" s="16" t="n">
        <f aca="false">+D27+F27</f>
        <v>-5.2547</v>
      </c>
      <c r="F27" s="16" t="n">
        <f aca="false">RANDBETWEEN(-105,115)/10000</f>
        <v>-0.0047</v>
      </c>
      <c r="G27" s="16" t="n">
        <f aca="false">W27+0.15</f>
        <v>2.711</v>
      </c>
      <c r="H27" s="16" t="n">
        <f aca="false">G27+I27</f>
        <v>2.728</v>
      </c>
      <c r="I27" s="16" t="n">
        <f aca="false">RANDBETWEEN(-20,70)/1000</f>
        <v>0.017</v>
      </c>
      <c r="J27" s="16" t="n">
        <f aca="false">X27+0.15</f>
        <v>2.828</v>
      </c>
      <c r="K27" s="16" t="n">
        <f aca="false">J27+L27</f>
        <v>2.837</v>
      </c>
      <c r="L27" s="16" t="n">
        <f aca="false">RANDBETWEEN(-20,70)/1000</f>
        <v>0.009</v>
      </c>
      <c r="M27" s="16" t="n">
        <v>5.25</v>
      </c>
      <c r="N27" s="16" t="n">
        <f aca="false">+M27+O27</f>
        <v>5.2534</v>
      </c>
      <c r="O27" s="16" t="n">
        <f aca="false">RANDBETWEEN(-105,115)/10000</f>
        <v>0.0034</v>
      </c>
      <c r="P27" s="16" t="n">
        <f aca="false">Y27+0.15</f>
        <v>2.711</v>
      </c>
      <c r="Q27" s="16" t="n">
        <f aca="false">P27+R27</f>
        <v>2.715</v>
      </c>
      <c r="R27" s="16" t="n">
        <f aca="false">RANDBETWEEN(-20,70)/1000</f>
        <v>0.004</v>
      </c>
      <c r="S27" s="17"/>
      <c r="T27" s="18" t="n">
        <v>14.44</v>
      </c>
      <c r="V27" s="19"/>
      <c r="W27" s="19" t="n">
        <f aca="false">'Base A'!G27</f>
        <v>2.561</v>
      </c>
      <c r="X27" s="19" t="n">
        <f aca="false">'Base A'!J27</f>
        <v>2.678</v>
      </c>
      <c r="Y27" s="19" t="n">
        <f aca="false">'Base A'!P27</f>
        <v>2.561</v>
      </c>
    </row>
    <row r="28" s="10" customFormat="true" ht="18" hidden="false" customHeight="true" outlineLevel="0" collapsed="false">
      <c r="A28" s="13" t="n">
        <v>6</v>
      </c>
      <c r="B28" s="82" t="s">
        <v>28</v>
      </c>
      <c r="C28" s="15" t="n">
        <f aca="false">+C27+T27</f>
        <v>489.19</v>
      </c>
      <c r="D28" s="16" t="n">
        <v>-5.25</v>
      </c>
      <c r="E28" s="16" t="n">
        <f aca="false">+D28+F28</f>
        <v>-5.2443</v>
      </c>
      <c r="F28" s="16" t="n">
        <f aca="false">RANDBETWEEN(-105,115)/10000</f>
        <v>0.0057</v>
      </c>
      <c r="G28" s="16" t="n">
        <f aca="false">W28+0.15</f>
        <v>2.702</v>
      </c>
      <c r="H28" s="16" t="n">
        <f aca="false">G28+I28</f>
        <v>2.767</v>
      </c>
      <c r="I28" s="16" t="n">
        <f aca="false">RANDBETWEEN(-20,70)/1000</f>
        <v>0.065</v>
      </c>
      <c r="J28" s="16" t="n">
        <f aca="false">X28+0.15</f>
        <v>2.819</v>
      </c>
      <c r="K28" s="16" t="n">
        <f aca="false">J28+L28</f>
        <v>2.881</v>
      </c>
      <c r="L28" s="16" t="n">
        <f aca="false">RANDBETWEEN(-20,70)/1000</f>
        <v>0.062</v>
      </c>
      <c r="M28" s="16" t="n">
        <v>5.25</v>
      </c>
      <c r="N28" s="16" t="n">
        <f aca="false">+M28+O28</f>
        <v>5.2555</v>
      </c>
      <c r="O28" s="16" t="n">
        <f aca="false">RANDBETWEEN(-105,115)/10000</f>
        <v>0.0055</v>
      </c>
      <c r="P28" s="16" t="n">
        <f aca="false">Y28+0.15</f>
        <v>2.702</v>
      </c>
      <c r="Q28" s="16" t="n">
        <f aca="false">P28+R28</f>
        <v>2.712</v>
      </c>
      <c r="R28" s="16" t="n">
        <f aca="false">RANDBETWEEN(-20,70)/1000</f>
        <v>0.01</v>
      </c>
      <c r="S28" s="17"/>
      <c r="T28" s="18"/>
      <c r="V28" s="19"/>
      <c r="W28" s="19" t="n">
        <f aca="false">'Base A'!G28</f>
        <v>2.552</v>
      </c>
      <c r="X28" s="19" t="n">
        <f aca="false">'Base A'!J28</f>
        <v>2.669</v>
      </c>
      <c r="Y28" s="19" t="n">
        <f aca="false">'Base A'!P28</f>
        <v>2.552</v>
      </c>
    </row>
    <row r="29" s="10" customFormat="true" ht="18" hidden="true" customHeight="true" outlineLevel="0" collapsed="false">
      <c r="A29" s="13"/>
      <c r="B29" s="82"/>
      <c r="C29" s="1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7"/>
      <c r="T29" s="18"/>
      <c r="V29" s="19"/>
    </row>
    <row r="30" s="10" customFormat="true" ht="18" hidden="true" customHeight="true" outlineLevel="0" collapsed="false">
      <c r="A30" s="13"/>
      <c r="B30" s="82"/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7"/>
      <c r="T30" s="18"/>
      <c r="V30" s="19"/>
    </row>
    <row r="31" s="10" customFormat="true" ht="18" hidden="true" customHeight="true" outlineLevel="0" collapsed="false">
      <c r="A31" s="13"/>
      <c r="B31" s="82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7"/>
      <c r="T31" s="18"/>
      <c r="V31" s="19"/>
    </row>
    <row r="32" s="10" customFormat="true" ht="18" hidden="true" customHeight="true" outlineLevel="0" collapsed="false">
      <c r="A32" s="13"/>
      <c r="B32" s="82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7"/>
      <c r="T32" s="18"/>
      <c r="V32" s="19"/>
    </row>
    <row r="33" s="10" customFormat="true" ht="18" hidden="true" customHeight="true" outlineLevel="0" collapsed="false">
      <c r="A33" s="13"/>
      <c r="B33" s="82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  <c r="T33" s="18"/>
      <c r="V33" s="19"/>
    </row>
    <row r="34" s="10" customFormat="true" ht="18" hidden="true" customHeight="true" outlineLevel="0" collapsed="false">
      <c r="A34" s="13"/>
      <c r="B34" s="82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T34" s="18"/>
      <c r="V34" s="19"/>
    </row>
    <row r="35" s="10" customFormat="true" ht="18" hidden="true" customHeight="true" outlineLevel="0" collapsed="false">
      <c r="A35" s="13"/>
      <c r="B35" s="82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T35" s="18"/>
      <c r="V35" s="19"/>
    </row>
    <row r="36" s="10" customFormat="true" ht="18" hidden="true" customHeight="true" outlineLevel="0" collapsed="false">
      <c r="A36" s="13"/>
      <c r="B36" s="82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T36" s="18"/>
      <c r="V36" s="19"/>
    </row>
    <row r="37" s="10" customFormat="true" ht="18" hidden="true" customHeight="true" outlineLevel="0" collapsed="false">
      <c r="A37" s="13"/>
      <c r="B37" s="82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T37" s="18"/>
      <c r="V37" s="19"/>
    </row>
    <row r="38" s="10" customFormat="true" ht="18" hidden="true" customHeight="true" outlineLevel="0" collapsed="false">
      <c r="A38" s="13"/>
      <c r="B38" s="82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T38" s="18"/>
      <c r="V38" s="19"/>
    </row>
    <row r="39" s="10" customFormat="true" ht="18" hidden="true" customHeight="true" outlineLevel="0" collapsed="false">
      <c r="A39" s="13"/>
      <c r="B39" s="82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T39" s="18"/>
      <c r="V39" s="19"/>
    </row>
    <row r="40" s="10" customFormat="true" ht="18" hidden="true" customHeight="true" outlineLevel="0" collapsed="false">
      <c r="A40" s="13"/>
      <c r="B40" s="82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T40" s="18"/>
      <c r="V40" s="19"/>
    </row>
    <row r="41" s="10" customFormat="true" ht="18" hidden="true" customHeight="true" outlineLevel="0" collapsed="false">
      <c r="A41" s="13"/>
      <c r="B41" s="82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T41" s="18"/>
      <c r="V41" s="19"/>
    </row>
    <row r="42" s="10" customFormat="true" ht="18" hidden="true" customHeight="true" outlineLevel="0" collapsed="false">
      <c r="A42" s="13"/>
      <c r="B42" s="82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T42" s="18"/>
      <c r="V42" s="19"/>
    </row>
    <row r="43" s="10" customFormat="true" ht="18" hidden="true" customHeight="true" outlineLevel="0" collapsed="false">
      <c r="A43" s="13"/>
      <c r="B43" s="82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T43" s="18"/>
      <c r="V43" s="19"/>
    </row>
    <row r="44" s="10" customFormat="true" ht="18" hidden="true" customHeight="true" outlineLevel="0" collapsed="false">
      <c r="A44" s="13"/>
      <c r="B44" s="82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T44" s="18"/>
      <c r="V44" s="19"/>
    </row>
    <row r="45" s="10" customFormat="true" ht="18" hidden="true" customHeight="true" outlineLevel="0" collapsed="false">
      <c r="A45" s="13"/>
      <c r="B45" s="82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T45" s="18"/>
      <c r="V45" s="19"/>
    </row>
    <row r="46" s="10" customFormat="true" ht="18" hidden="true" customHeight="true" outlineLevel="0" collapsed="false">
      <c r="A46" s="13"/>
      <c r="B46" s="82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T46" s="18"/>
      <c r="V46" s="19"/>
    </row>
    <row r="47" s="10" customFormat="true" ht="18" hidden="true" customHeight="true" outlineLevel="0" collapsed="false">
      <c r="A47" s="13"/>
      <c r="B47" s="82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T47" s="18"/>
      <c r="V47" s="19"/>
    </row>
    <row r="48" s="10" customFormat="true" ht="18" hidden="true" customHeight="true" outlineLevel="0" collapsed="false">
      <c r="A48" s="13"/>
      <c r="B48" s="82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T48" s="18"/>
      <c r="V48" s="19"/>
    </row>
    <row r="49" s="10" customFormat="true" ht="18" hidden="true" customHeight="true" outlineLevel="0" collapsed="false">
      <c r="A49" s="13"/>
      <c r="B49" s="82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T49" s="18"/>
      <c r="V49" s="19"/>
    </row>
    <row r="50" s="10" customFormat="true" ht="18" hidden="true" customHeight="true" outlineLevel="0" collapsed="false">
      <c r="A50" s="13"/>
      <c r="B50" s="82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T50" s="18"/>
      <c r="V50" s="19"/>
    </row>
    <row r="51" s="10" customFormat="true" ht="18" hidden="true" customHeight="true" outlineLevel="0" collapsed="false">
      <c r="A51" s="13"/>
      <c r="B51" s="82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T51" s="18"/>
      <c r="V51" s="19"/>
    </row>
    <row r="52" s="10" customFormat="true" ht="18" hidden="true" customHeight="true" outlineLevel="0" collapsed="false">
      <c r="A52" s="13"/>
      <c r="B52" s="82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T52" s="18"/>
      <c r="V52" s="19"/>
    </row>
    <row r="53" s="10" customFormat="true" ht="18" hidden="true" customHeight="true" outlineLevel="0" collapsed="false">
      <c r="A53" s="13"/>
      <c r="B53" s="82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T53" s="18"/>
      <c r="V53" s="19"/>
    </row>
    <row r="54" s="10" customFormat="true" ht="18" hidden="true" customHeight="true" outlineLevel="0" collapsed="false">
      <c r="A54" s="13"/>
      <c r="B54" s="82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T54" s="18"/>
      <c r="V54" s="19"/>
    </row>
    <row r="55" s="10" customFormat="true" ht="18" hidden="true" customHeight="true" outlineLevel="0" collapsed="false">
      <c r="A55" s="13"/>
      <c r="B55" s="82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T55" s="18"/>
      <c r="V55" s="19"/>
    </row>
    <row r="56" s="10" customFormat="true" ht="18" hidden="true" customHeight="true" outlineLevel="0" collapsed="false">
      <c r="A56" s="13"/>
      <c r="B56" s="82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T56" s="18"/>
      <c r="V56" s="19"/>
    </row>
    <row r="57" s="10" customFormat="true" ht="18" hidden="true" customHeight="true" outlineLevel="0" collapsed="false">
      <c r="A57" s="13"/>
      <c r="B57" s="82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T57" s="18"/>
      <c r="V57" s="19"/>
    </row>
    <row r="58" s="10" customFormat="true" ht="18" hidden="true" customHeight="true" outlineLevel="0" collapsed="false">
      <c r="A58" s="13"/>
      <c r="B58" s="82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T58" s="18"/>
      <c r="V58" s="19"/>
    </row>
    <row r="59" s="10" customFormat="true" ht="18" hidden="true" customHeight="true" outlineLevel="0" collapsed="false">
      <c r="A59" s="13"/>
      <c r="B59" s="82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T59" s="18"/>
      <c r="V59" s="19"/>
    </row>
    <row r="60" s="10" customFormat="true" ht="18" hidden="true" customHeight="true" outlineLevel="0" collapsed="false">
      <c r="A60" s="13"/>
      <c r="B60" s="82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T60" s="18"/>
      <c r="V60" s="19"/>
    </row>
    <row r="61" s="10" customFormat="true" ht="15.75" hidden="false" customHeight="true" outlineLevel="0" collapsed="false"/>
    <row r="62" s="10" customFormat="true" ht="15.75" hidden="false" customHeight="true" outlineLevel="0" collapsed="false">
      <c r="C62" s="21" t="s">
        <v>29</v>
      </c>
      <c r="D62" s="21"/>
      <c r="E62" s="21"/>
      <c r="F62" s="21"/>
      <c r="G62" s="21"/>
      <c r="H62" s="21"/>
      <c r="I62" s="21"/>
      <c r="K62" s="22"/>
      <c r="L62" s="22"/>
      <c r="M62" s="22"/>
      <c r="N62" s="22"/>
      <c r="O62" s="21" t="s">
        <v>30</v>
      </c>
      <c r="P62" s="21"/>
      <c r="Q62" s="21"/>
      <c r="R62" s="21"/>
    </row>
    <row r="63" s="10" customFormat="true" ht="15.75" hidden="false" customHeight="true" outlineLevel="0" collapsed="false">
      <c r="E63" s="23"/>
      <c r="F63" s="23"/>
      <c r="G63" s="23"/>
      <c r="H63" s="23"/>
      <c r="K63" s="23"/>
      <c r="L63" s="23"/>
      <c r="M63" s="23"/>
      <c r="N63" s="23"/>
      <c r="O63" s="23"/>
      <c r="P63" s="23"/>
      <c r="Q63" s="23"/>
      <c r="R63" s="23"/>
    </row>
    <row r="64" s="10" customFormat="true" ht="15.75" hidden="false" customHeight="true" outlineLevel="0" collapsed="false">
      <c r="E64" s="23"/>
      <c r="F64" s="23"/>
      <c r="G64" s="23"/>
      <c r="H64" s="23"/>
      <c r="K64" s="23"/>
      <c r="L64" s="23"/>
      <c r="M64" s="23"/>
      <c r="N64" s="23"/>
      <c r="O64" s="23"/>
      <c r="P64" s="23"/>
      <c r="Q64" s="23"/>
      <c r="R64" s="23"/>
    </row>
    <row r="65" s="10" customFormat="true" ht="15.75" hidden="false" customHeight="true" outlineLevel="0" collapsed="false">
      <c r="E65" s="23"/>
      <c r="F65" s="23"/>
      <c r="G65" s="23"/>
      <c r="H65" s="23"/>
      <c r="K65" s="23"/>
      <c r="L65" s="23"/>
      <c r="M65" s="23"/>
      <c r="N65" s="23"/>
      <c r="O65" s="23"/>
      <c r="P65" s="23"/>
      <c r="Q65" s="23"/>
      <c r="R65" s="23"/>
    </row>
    <row r="66" s="10" customFormat="true" ht="15.75" hidden="false" customHeight="true" outlineLevel="0" collapsed="false">
      <c r="E66" s="23"/>
      <c r="F66" s="23"/>
      <c r="G66" s="23"/>
      <c r="H66" s="23"/>
      <c r="K66" s="23"/>
      <c r="L66" s="23"/>
      <c r="M66" s="23"/>
      <c r="N66" s="23"/>
      <c r="O66" s="23"/>
      <c r="P66" s="23"/>
      <c r="Q66" s="23"/>
      <c r="R66" s="23"/>
    </row>
    <row r="67" s="10" customFormat="true" ht="15.75" hidden="false" customHeight="true" outlineLevel="0" collapsed="false">
      <c r="C67" s="21" t="s">
        <v>31</v>
      </c>
      <c r="D67" s="21"/>
      <c r="E67" s="21"/>
      <c r="F67" s="21"/>
      <c r="G67" s="21"/>
      <c r="H67" s="21"/>
      <c r="I67" s="21"/>
      <c r="K67" s="22"/>
      <c r="L67" s="22"/>
      <c r="M67" s="22"/>
      <c r="N67" s="22"/>
      <c r="O67" s="21" t="s">
        <v>47</v>
      </c>
      <c r="P67" s="21"/>
      <c r="Q67" s="21"/>
      <c r="R67" s="21"/>
    </row>
  </sheetData>
  <mergeCells count="13">
    <mergeCell ref="A1:S1"/>
    <mergeCell ref="A2:S2"/>
    <mergeCell ref="A21:A22"/>
    <mergeCell ref="B21:B22"/>
    <mergeCell ref="C21:C22"/>
    <mergeCell ref="D21:I21"/>
    <mergeCell ref="J21:L21"/>
    <mergeCell ref="M21:R21"/>
    <mergeCell ref="S21:S22"/>
    <mergeCell ref="C62:I62"/>
    <mergeCell ref="O62:R62"/>
    <mergeCell ref="C67:I67"/>
    <mergeCell ref="O67:R67"/>
  </mergeCells>
  <printOptions headings="false" gridLines="false" gridLinesSet="true" horizontalCentered="true" verticalCentered="false"/>
  <pageMargins left="0.590277777777778" right="0.157638888888889" top="0.579861111111111" bottom="0.479861111111111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Y134"/>
  <sheetViews>
    <sheetView showFormulas="false" showGridLines="true" showRowColHeaders="true" showZeros="true" rightToLeft="false" tabSelected="true" showOutlineSymbols="true" defaultGridColor="true" view="normal" topLeftCell="A13" colorId="64" zoomScale="70" zoomScaleNormal="70" zoomScalePageLayoutView="100" workbookViewId="0">
      <selection pane="topLeft" activeCell="O27" activeCellId="0" sqref="O27"/>
    </sheetView>
  </sheetViews>
  <sheetFormatPr defaultColWidth="9.2890625" defaultRowHeight="12.75" zeroHeight="false" outlineLevelRow="0" outlineLevelCol="0"/>
  <cols>
    <col collapsed="false" customWidth="true" hidden="false" outlineLevel="0" max="1" min="1" style="24" width="6.71"/>
    <col collapsed="false" customWidth="true" hidden="false" outlineLevel="0" max="2" min="2" style="24" width="12.29"/>
    <col collapsed="false" customWidth="true" hidden="false" outlineLevel="0" max="3" min="3" style="24" width="19.57"/>
    <col collapsed="false" customWidth="true" hidden="false" outlineLevel="0" max="4" min="4" style="25" width="12.71"/>
    <col collapsed="false" customWidth="true" hidden="true" outlineLevel="0" max="6" min="5" style="25" width="8.42"/>
    <col collapsed="false" customWidth="true" hidden="true" outlineLevel="0" max="7" min="7" style="25" width="11"/>
    <col collapsed="false" customWidth="true" hidden="true" outlineLevel="0" max="12" min="8" style="25" width="8.42"/>
    <col collapsed="false" customWidth="true" hidden="true" outlineLevel="0" max="14" min="13" style="25" width="14.29"/>
    <col collapsed="false" customWidth="true" hidden="false" outlineLevel="0" max="15" min="15" style="25" width="15.42"/>
    <col collapsed="false" customWidth="true" hidden="true" outlineLevel="0" max="22" min="16" style="25" width="14.29"/>
    <col collapsed="false" customWidth="true" hidden="false" outlineLevel="0" max="23" min="23" style="25" width="15.29"/>
    <col collapsed="false" customWidth="true" hidden="true" outlineLevel="0" max="25" min="24" style="25" width="14.29"/>
    <col collapsed="false" customWidth="true" hidden="true" outlineLevel="0" max="27" min="26" style="25" width="12.86"/>
    <col collapsed="false" customWidth="true" hidden="false" outlineLevel="0" max="28" min="28" style="25" width="8.71"/>
    <col collapsed="false" customWidth="false" hidden="true" outlineLevel="0" max="29" min="29" style="25" width="9.29"/>
    <col collapsed="false" customWidth="true" hidden="false" outlineLevel="0" max="30" min="30" style="24" width="3.86"/>
    <col collapsed="false" customWidth="true" hidden="false" outlineLevel="0" max="31" min="31" style="24" width="10"/>
    <col collapsed="false" customWidth="true" hidden="false" outlineLevel="0" max="32" min="32" style="24" width="11.43"/>
    <col collapsed="false" customWidth="true" hidden="false" outlineLevel="0" max="34" min="33" style="24" width="10.57"/>
    <col collapsed="false" customWidth="true" hidden="false" outlineLevel="0" max="35" min="35" style="24" width="11.29"/>
    <col collapsed="false" customWidth="true" hidden="false" outlineLevel="0" max="36" min="36" style="24" width="10.57"/>
    <col collapsed="false" customWidth="true" hidden="false" outlineLevel="0" max="37" min="37" style="24" width="6.43"/>
    <col collapsed="false" customWidth="true" hidden="false" outlineLevel="0" max="38" min="38" style="24" width="10.57"/>
    <col collapsed="false" customWidth="true" hidden="false" outlineLevel="0" max="39" min="39" style="24" width="11.57"/>
    <col collapsed="false" customWidth="false" hidden="false" outlineLevel="0" max="16384" min="40" style="24" width="9.29"/>
  </cols>
  <sheetData>
    <row r="1" s="27" customFormat="true" ht="16.5" hidden="false" customHeight="true" outlineLevel="0" collapsed="false">
      <c r="A1" s="26" t="s">
        <v>33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="27" customFormat="true" ht="16.5" hidden="false" customHeight="true" outlineLevel="0" collapsed="false">
      <c r="A2" s="28" t="s">
        <v>45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 s="31" customFormat="true" ht="37.5" hidden="false" customHeight="true" outlineLevel="0" collapsed="false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</row>
    <row r="4" s="31" customFormat="true" ht="37.5" hidden="false" customHeight="true" outlineLevel="0" collapsed="false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  <c r="HX4" s="30"/>
      <c r="HY4" s="30"/>
    </row>
    <row r="5" s="31" customFormat="true" ht="16.5" hidden="false" customHeight="true" outlineLevel="0" collapsed="false">
      <c r="A5" s="29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</row>
    <row r="6" s="31" customFormat="true" ht="16.5" hidden="false" customHeight="true" outlineLevel="0" collapsed="false">
      <c r="A6" s="29" t="s">
        <v>5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</row>
    <row r="7" s="31" customFormat="true" ht="30.75" hidden="false" customHeight="true" outlineLevel="0" collapsed="false">
      <c r="A7" s="32" t="s">
        <v>6</v>
      </c>
      <c r="B7" s="33"/>
      <c r="D7" s="34" t="s">
        <v>46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</row>
    <row r="8" s="30" customFormat="true" ht="13.5" hidden="false" customHeight="true" outlineLevel="0" collapsed="false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</row>
    <row r="9" s="127" customFormat="true" ht="22.5" hidden="false" customHeight="true" outlineLevel="0" collapsed="false">
      <c r="A9" s="117" t="s">
        <v>34</v>
      </c>
      <c r="B9" s="117" t="s">
        <v>10</v>
      </c>
      <c r="C9" s="117" t="s">
        <v>11</v>
      </c>
      <c r="D9" s="118" t="s">
        <v>35</v>
      </c>
      <c r="E9" s="119"/>
      <c r="F9" s="119"/>
      <c r="G9" s="118"/>
      <c r="H9" s="119"/>
      <c r="I9" s="119"/>
      <c r="J9" s="119"/>
      <c r="K9" s="119"/>
      <c r="L9" s="119"/>
      <c r="M9" s="120" t="s">
        <v>36</v>
      </c>
      <c r="N9" s="121"/>
      <c r="O9" s="122" t="s">
        <v>37</v>
      </c>
      <c r="P9" s="123"/>
      <c r="Q9" s="123"/>
      <c r="R9" s="123"/>
      <c r="S9" s="123"/>
      <c r="T9" s="123"/>
      <c r="U9" s="123"/>
      <c r="V9" s="123"/>
      <c r="W9" s="122" t="s">
        <v>38</v>
      </c>
      <c r="X9" s="121"/>
      <c r="Y9" s="124"/>
      <c r="Z9" s="125"/>
      <c r="AA9" s="125"/>
      <c r="AB9" s="118" t="s">
        <v>15</v>
      </c>
      <c r="AC9" s="126"/>
    </row>
    <row r="10" s="131" customFormat="true" ht="22.5" hidden="false" customHeight="true" outlineLevel="0" collapsed="false">
      <c r="A10" s="117"/>
      <c r="B10" s="117"/>
      <c r="C10" s="117"/>
      <c r="D10" s="117"/>
      <c r="E10" s="122"/>
      <c r="F10" s="122"/>
      <c r="G10" s="122"/>
      <c r="H10" s="122"/>
      <c r="I10" s="122"/>
      <c r="J10" s="122"/>
      <c r="K10" s="122"/>
      <c r="L10" s="122"/>
      <c r="M10" s="122"/>
      <c r="N10" s="122" t="s">
        <v>37</v>
      </c>
      <c r="O10" s="122"/>
      <c r="P10" s="122" t="s">
        <v>37</v>
      </c>
      <c r="Q10" s="122" t="s">
        <v>37</v>
      </c>
      <c r="R10" s="122"/>
      <c r="S10" s="122"/>
      <c r="T10" s="122"/>
      <c r="U10" s="122" t="s">
        <v>38</v>
      </c>
      <c r="V10" s="122" t="s">
        <v>38</v>
      </c>
      <c r="W10" s="122"/>
      <c r="X10" s="122" t="s">
        <v>38</v>
      </c>
      <c r="Y10" s="122" t="s">
        <v>38</v>
      </c>
      <c r="Z10" s="128"/>
      <c r="AA10" s="128"/>
      <c r="AB10" s="118"/>
      <c r="AC10" s="129"/>
      <c r="AD10" s="130"/>
      <c r="AE10" s="130"/>
    </row>
    <row r="11" s="131" customFormat="true" ht="15" hidden="false" customHeight="true" outlineLevel="0" collapsed="false">
      <c r="A11" s="132" t="n">
        <v>1</v>
      </c>
      <c r="B11" s="132" t="str">
        <f aca="false">'Base B'!B23</f>
        <v>20</v>
      </c>
      <c r="C11" s="133" t="n">
        <f aca="false">'Base B'!C23</f>
        <v>394.75</v>
      </c>
      <c r="D11" s="132" t="n">
        <f aca="false">'Base B'!T23</f>
        <v>20</v>
      </c>
      <c r="E11" s="134"/>
      <c r="F11" s="134"/>
      <c r="G11" s="134"/>
      <c r="H11" s="134"/>
      <c r="I11" s="134"/>
      <c r="J11" s="134"/>
      <c r="K11" s="135"/>
      <c r="L11" s="136"/>
      <c r="M11" s="137"/>
      <c r="N11" s="138"/>
      <c r="O11" s="135" t="n">
        <f aca="false">10.5*0.15</f>
        <v>1.575</v>
      </c>
      <c r="P11" s="135"/>
      <c r="Q11" s="135"/>
      <c r="R11" s="139"/>
      <c r="S11" s="139"/>
      <c r="T11" s="139"/>
      <c r="U11" s="139"/>
      <c r="V11" s="139"/>
      <c r="W11" s="139" t="n">
        <f aca="false">(O11+O12)*D11/2</f>
        <v>31.5</v>
      </c>
      <c r="X11" s="139"/>
      <c r="Y11" s="139"/>
      <c r="Z11" s="139"/>
      <c r="AA11" s="139"/>
      <c r="AB11" s="140"/>
      <c r="AC11" s="139"/>
      <c r="AE11" s="141"/>
    </row>
    <row r="12" s="131" customFormat="true" ht="15" hidden="false" customHeight="true" outlineLevel="0" collapsed="false">
      <c r="A12" s="132" t="n">
        <v>2</v>
      </c>
      <c r="B12" s="132" t="str">
        <f aca="false">'Base B'!B24</f>
        <v>21</v>
      </c>
      <c r="C12" s="133" t="n">
        <f aca="false">'Base B'!C24</f>
        <v>414.75</v>
      </c>
      <c r="D12" s="132" t="n">
        <f aca="false">'Base B'!T24</f>
        <v>20</v>
      </c>
      <c r="E12" s="134"/>
      <c r="F12" s="134"/>
      <c r="G12" s="134"/>
      <c r="H12" s="134"/>
      <c r="I12" s="134"/>
      <c r="J12" s="134"/>
      <c r="K12" s="135"/>
      <c r="L12" s="136"/>
      <c r="M12" s="137"/>
      <c r="N12" s="138"/>
      <c r="O12" s="135" t="n">
        <f aca="false">10.5*0.15</f>
        <v>1.575</v>
      </c>
      <c r="P12" s="135"/>
      <c r="Q12" s="135"/>
      <c r="R12" s="139"/>
      <c r="S12" s="139"/>
      <c r="T12" s="139"/>
      <c r="U12" s="139"/>
      <c r="V12" s="139"/>
      <c r="W12" s="139" t="n">
        <f aca="false">(O12+O13)*D12/2</f>
        <v>31.5</v>
      </c>
      <c r="X12" s="139"/>
      <c r="Y12" s="139"/>
      <c r="Z12" s="139"/>
      <c r="AA12" s="139"/>
      <c r="AB12" s="140"/>
      <c r="AC12" s="139"/>
      <c r="AE12" s="141"/>
    </row>
    <row r="13" s="131" customFormat="true" ht="15" hidden="false" customHeight="true" outlineLevel="0" collapsed="false">
      <c r="A13" s="132" t="n">
        <v>3</v>
      </c>
      <c r="B13" s="132" t="str">
        <f aca="false">'Base B'!B25</f>
        <v>22</v>
      </c>
      <c r="C13" s="133" t="n">
        <f aca="false">'Base B'!C25</f>
        <v>434.75</v>
      </c>
      <c r="D13" s="132" t="n">
        <f aca="false">'Base B'!T25</f>
        <v>20</v>
      </c>
      <c r="E13" s="134"/>
      <c r="F13" s="134"/>
      <c r="G13" s="134"/>
      <c r="H13" s="134"/>
      <c r="I13" s="134"/>
      <c r="J13" s="134"/>
      <c r="K13" s="135"/>
      <c r="L13" s="136"/>
      <c r="M13" s="137"/>
      <c r="N13" s="138"/>
      <c r="O13" s="135" t="n">
        <f aca="false">10.5*0.15</f>
        <v>1.575</v>
      </c>
      <c r="P13" s="135"/>
      <c r="Q13" s="135"/>
      <c r="R13" s="139"/>
      <c r="S13" s="139"/>
      <c r="T13" s="139"/>
      <c r="U13" s="139"/>
      <c r="V13" s="139"/>
      <c r="W13" s="139" t="n">
        <f aca="false">(O13+O14)*D13/2</f>
        <v>31.5</v>
      </c>
      <c r="X13" s="139"/>
      <c r="Y13" s="139"/>
      <c r="Z13" s="139"/>
      <c r="AA13" s="139"/>
      <c r="AB13" s="140"/>
      <c r="AC13" s="139"/>
      <c r="AE13" s="141"/>
    </row>
    <row r="14" s="131" customFormat="true" ht="15" hidden="false" customHeight="true" outlineLevel="0" collapsed="false">
      <c r="A14" s="132" t="n">
        <v>4</v>
      </c>
      <c r="B14" s="132" t="str">
        <f aca="false">'Base B'!B26</f>
        <v>23</v>
      </c>
      <c r="C14" s="133" t="n">
        <f aca="false">'Base B'!C26</f>
        <v>454.75</v>
      </c>
      <c r="D14" s="132" t="n">
        <f aca="false">'Base B'!T26</f>
        <v>20</v>
      </c>
      <c r="E14" s="134"/>
      <c r="F14" s="134"/>
      <c r="G14" s="134"/>
      <c r="H14" s="134"/>
      <c r="I14" s="134"/>
      <c r="J14" s="134"/>
      <c r="K14" s="135"/>
      <c r="L14" s="136"/>
      <c r="M14" s="137"/>
      <c r="N14" s="138"/>
      <c r="O14" s="135" t="n">
        <f aca="false">10.5*0.15</f>
        <v>1.575</v>
      </c>
      <c r="P14" s="135"/>
      <c r="Q14" s="135"/>
      <c r="R14" s="139"/>
      <c r="S14" s="139"/>
      <c r="T14" s="139"/>
      <c r="U14" s="139"/>
      <c r="V14" s="139"/>
      <c r="W14" s="139" t="n">
        <f aca="false">(O14+O15)*D14/2</f>
        <v>31.5</v>
      </c>
      <c r="X14" s="139"/>
      <c r="Y14" s="139"/>
      <c r="Z14" s="139"/>
      <c r="AA14" s="139"/>
      <c r="AB14" s="140"/>
      <c r="AC14" s="139"/>
      <c r="AE14" s="141"/>
    </row>
    <row r="15" s="131" customFormat="true" ht="15" hidden="false" customHeight="true" outlineLevel="0" collapsed="false">
      <c r="A15" s="132" t="n">
        <v>5</v>
      </c>
      <c r="B15" s="132" t="str">
        <f aca="false">'Base B'!B27</f>
        <v>24</v>
      </c>
      <c r="C15" s="133" t="n">
        <f aca="false">'Base B'!C27</f>
        <v>474.75</v>
      </c>
      <c r="D15" s="132" t="n">
        <f aca="false">'Base B'!T27</f>
        <v>14.44</v>
      </c>
      <c r="E15" s="134"/>
      <c r="F15" s="134"/>
      <c r="G15" s="134"/>
      <c r="H15" s="134"/>
      <c r="I15" s="134"/>
      <c r="J15" s="134"/>
      <c r="K15" s="135"/>
      <c r="L15" s="136"/>
      <c r="M15" s="137"/>
      <c r="N15" s="138"/>
      <c r="O15" s="135" t="n">
        <f aca="false">10.5*0.15</f>
        <v>1.575</v>
      </c>
      <c r="P15" s="135"/>
      <c r="Q15" s="135"/>
      <c r="R15" s="139"/>
      <c r="S15" s="139"/>
      <c r="T15" s="139"/>
      <c r="U15" s="139"/>
      <c r="V15" s="139"/>
      <c r="W15" s="139" t="n">
        <f aca="false">(O15+O16)*D15/2</f>
        <v>22.743</v>
      </c>
      <c r="X15" s="139"/>
      <c r="Y15" s="139"/>
      <c r="Z15" s="139"/>
      <c r="AA15" s="139"/>
      <c r="AB15" s="140"/>
      <c r="AC15" s="139"/>
      <c r="AE15" s="141"/>
    </row>
    <row r="16" s="131" customFormat="true" ht="15" hidden="false" customHeight="true" outlineLevel="0" collapsed="false">
      <c r="A16" s="132" t="n">
        <v>6</v>
      </c>
      <c r="B16" s="132" t="str">
        <f aca="false">'Base B'!B28</f>
        <v>25</v>
      </c>
      <c r="C16" s="133" t="n">
        <f aca="false">'Base B'!C28</f>
        <v>489.19</v>
      </c>
      <c r="D16" s="132"/>
      <c r="E16" s="134"/>
      <c r="F16" s="134"/>
      <c r="G16" s="134"/>
      <c r="H16" s="134"/>
      <c r="I16" s="134"/>
      <c r="J16" s="134"/>
      <c r="K16" s="135"/>
      <c r="L16" s="136"/>
      <c r="M16" s="137"/>
      <c r="N16" s="138"/>
      <c r="O16" s="135" t="n">
        <f aca="false">10.5*0.15</f>
        <v>1.575</v>
      </c>
      <c r="P16" s="135"/>
      <c r="Q16" s="135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40"/>
      <c r="AC16" s="139"/>
      <c r="AE16" s="141"/>
    </row>
    <row r="17" s="131" customFormat="true" ht="15" hidden="true" customHeight="true" outlineLevel="0" collapsed="false">
      <c r="A17" s="132"/>
      <c r="B17" s="132"/>
      <c r="C17" s="133"/>
      <c r="D17" s="132"/>
      <c r="E17" s="134"/>
      <c r="F17" s="134"/>
      <c r="G17" s="134"/>
      <c r="H17" s="134"/>
      <c r="I17" s="134"/>
      <c r="J17" s="134"/>
      <c r="K17" s="135"/>
      <c r="L17" s="136"/>
      <c r="M17" s="137"/>
      <c r="N17" s="138"/>
      <c r="O17" s="135"/>
      <c r="P17" s="135"/>
      <c r="Q17" s="135"/>
      <c r="R17" s="139"/>
      <c r="S17" s="139"/>
      <c r="T17" s="139"/>
      <c r="U17" s="139"/>
      <c r="V17" s="139"/>
      <c r="W17" s="139"/>
      <c r="X17" s="139"/>
      <c r="Y17" s="139"/>
      <c r="Z17" s="139"/>
      <c r="AA17" s="139"/>
      <c r="AB17" s="140"/>
      <c r="AC17" s="139"/>
      <c r="AE17" s="141"/>
    </row>
    <row r="18" s="131" customFormat="true" ht="15" hidden="true" customHeight="true" outlineLevel="0" collapsed="false">
      <c r="A18" s="132"/>
      <c r="B18" s="132"/>
      <c r="C18" s="133"/>
      <c r="D18" s="132"/>
      <c r="E18" s="134"/>
      <c r="F18" s="134"/>
      <c r="G18" s="134"/>
      <c r="H18" s="134"/>
      <c r="I18" s="134"/>
      <c r="J18" s="134"/>
      <c r="K18" s="135"/>
      <c r="L18" s="136"/>
      <c r="M18" s="137"/>
      <c r="N18" s="138"/>
      <c r="O18" s="135"/>
      <c r="P18" s="135"/>
      <c r="Q18" s="135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40"/>
      <c r="AC18" s="139"/>
      <c r="AE18" s="141"/>
    </row>
    <row r="19" s="131" customFormat="true" ht="15" hidden="true" customHeight="true" outlineLevel="0" collapsed="false">
      <c r="A19" s="132"/>
      <c r="B19" s="132"/>
      <c r="C19" s="133"/>
      <c r="D19" s="132"/>
      <c r="E19" s="134"/>
      <c r="F19" s="134"/>
      <c r="G19" s="134"/>
      <c r="H19" s="134"/>
      <c r="I19" s="134"/>
      <c r="J19" s="134"/>
      <c r="K19" s="135"/>
      <c r="L19" s="136"/>
      <c r="M19" s="137"/>
      <c r="N19" s="138"/>
      <c r="O19" s="135"/>
      <c r="P19" s="135"/>
      <c r="Q19" s="135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40"/>
      <c r="AC19" s="139"/>
      <c r="AE19" s="141"/>
    </row>
    <row r="20" s="131" customFormat="true" ht="15" hidden="true" customHeight="true" outlineLevel="0" collapsed="false">
      <c r="A20" s="132"/>
      <c r="B20" s="132"/>
      <c r="C20" s="133"/>
      <c r="D20" s="132"/>
      <c r="E20" s="134"/>
      <c r="F20" s="134"/>
      <c r="G20" s="134"/>
      <c r="H20" s="134"/>
      <c r="I20" s="134"/>
      <c r="J20" s="134"/>
      <c r="K20" s="135"/>
      <c r="L20" s="136"/>
      <c r="M20" s="137"/>
      <c r="N20" s="138"/>
      <c r="O20" s="135"/>
      <c r="P20" s="135"/>
      <c r="Q20" s="135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40"/>
      <c r="AC20" s="139"/>
      <c r="AE20" s="141"/>
    </row>
    <row r="21" s="131" customFormat="true" ht="15" hidden="true" customHeight="true" outlineLevel="0" collapsed="false">
      <c r="A21" s="132"/>
      <c r="B21" s="132"/>
      <c r="C21" s="133"/>
      <c r="D21" s="132"/>
      <c r="E21" s="134"/>
      <c r="F21" s="134"/>
      <c r="G21" s="134"/>
      <c r="H21" s="134"/>
      <c r="I21" s="134"/>
      <c r="J21" s="134"/>
      <c r="K21" s="135"/>
      <c r="L21" s="136"/>
      <c r="M21" s="137"/>
      <c r="N21" s="138"/>
      <c r="O21" s="135"/>
      <c r="P21" s="135"/>
      <c r="Q21" s="135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40"/>
      <c r="AC21" s="139"/>
      <c r="AE21" s="141"/>
    </row>
    <row r="22" s="131" customFormat="true" ht="15" hidden="true" customHeight="true" outlineLevel="0" collapsed="false">
      <c r="A22" s="132"/>
      <c r="B22" s="132"/>
      <c r="C22" s="133"/>
      <c r="D22" s="132"/>
      <c r="E22" s="134"/>
      <c r="F22" s="134"/>
      <c r="G22" s="134"/>
      <c r="H22" s="134"/>
      <c r="I22" s="134"/>
      <c r="J22" s="134"/>
      <c r="K22" s="135"/>
      <c r="L22" s="136"/>
      <c r="M22" s="137"/>
      <c r="N22" s="138"/>
      <c r="O22" s="135"/>
      <c r="P22" s="135"/>
      <c r="Q22" s="135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40"/>
      <c r="AC22" s="139"/>
      <c r="AE22" s="141"/>
    </row>
    <row r="23" s="131" customFormat="true" ht="15" hidden="true" customHeight="true" outlineLevel="0" collapsed="false">
      <c r="A23" s="132"/>
      <c r="B23" s="132"/>
      <c r="C23" s="133"/>
      <c r="D23" s="132"/>
      <c r="E23" s="134"/>
      <c r="F23" s="134"/>
      <c r="G23" s="134"/>
      <c r="H23" s="134"/>
      <c r="I23" s="134"/>
      <c r="J23" s="134"/>
      <c r="K23" s="135"/>
      <c r="L23" s="136"/>
      <c r="M23" s="137"/>
      <c r="N23" s="138"/>
      <c r="O23" s="135"/>
      <c r="P23" s="135"/>
      <c r="Q23" s="135"/>
      <c r="R23" s="139"/>
      <c r="S23" s="139"/>
      <c r="T23" s="139"/>
      <c r="U23" s="139"/>
      <c r="V23" s="139"/>
      <c r="W23" s="139"/>
      <c r="X23" s="139"/>
      <c r="Y23" s="139"/>
      <c r="Z23" s="139"/>
      <c r="AA23" s="139"/>
      <c r="AB23" s="140"/>
      <c r="AC23" s="139"/>
      <c r="AE23" s="141"/>
    </row>
    <row r="24" s="131" customFormat="true" ht="15" hidden="true" customHeight="true" outlineLevel="0" collapsed="false">
      <c r="A24" s="132"/>
      <c r="B24" s="132"/>
      <c r="C24" s="133"/>
      <c r="D24" s="132"/>
      <c r="E24" s="134"/>
      <c r="F24" s="134"/>
      <c r="G24" s="134"/>
      <c r="H24" s="134"/>
      <c r="I24" s="134"/>
      <c r="J24" s="134"/>
      <c r="K24" s="135"/>
      <c r="L24" s="136"/>
      <c r="M24" s="137"/>
      <c r="N24" s="138"/>
      <c r="O24" s="135"/>
      <c r="P24" s="135"/>
      <c r="Q24" s="135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40"/>
      <c r="AC24" s="139"/>
      <c r="AE24" s="141"/>
    </row>
    <row r="25" s="131" customFormat="true" ht="15" hidden="true" customHeight="true" outlineLevel="0" collapsed="false">
      <c r="A25" s="132"/>
      <c r="B25" s="132"/>
      <c r="C25" s="133"/>
      <c r="D25" s="132"/>
      <c r="E25" s="134"/>
      <c r="F25" s="134"/>
      <c r="G25" s="134"/>
      <c r="H25" s="134"/>
      <c r="I25" s="134"/>
      <c r="J25" s="134"/>
      <c r="K25" s="135"/>
      <c r="L25" s="136"/>
      <c r="M25" s="137"/>
      <c r="N25" s="138"/>
      <c r="O25" s="135"/>
      <c r="P25" s="135"/>
      <c r="Q25" s="135"/>
      <c r="R25" s="139"/>
      <c r="S25" s="139"/>
      <c r="T25" s="139"/>
      <c r="U25" s="139"/>
      <c r="V25" s="139"/>
      <c r="W25" s="139"/>
      <c r="X25" s="139"/>
      <c r="Y25" s="139"/>
      <c r="Z25" s="139"/>
      <c r="AA25" s="139"/>
      <c r="AB25" s="140"/>
      <c r="AC25" s="139"/>
      <c r="AE25" s="141"/>
    </row>
    <row r="26" s="131" customFormat="true" ht="15" hidden="true" customHeight="true" outlineLevel="0" collapsed="false">
      <c r="A26" s="132"/>
      <c r="B26" s="132"/>
      <c r="C26" s="133"/>
      <c r="D26" s="132"/>
      <c r="E26" s="134"/>
      <c r="F26" s="134"/>
      <c r="G26" s="134"/>
      <c r="H26" s="134"/>
      <c r="I26" s="134"/>
      <c r="J26" s="134"/>
      <c r="K26" s="135"/>
      <c r="L26" s="136"/>
      <c r="M26" s="137"/>
      <c r="N26" s="138"/>
      <c r="O26" s="135"/>
      <c r="P26" s="135"/>
      <c r="Q26" s="135"/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40"/>
      <c r="AC26" s="139"/>
      <c r="AE26" s="141"/>
    </row>
    <row r="27" s="131" customFormat="true" ht="15" hidden="true" customHeight="true" outlineLevel="0" collapsed="false">
      <c r="A27" s="132"/>
      <c r="B27" s="132"/>
      <c r="C27" s="133"/>
      <c r="D27" s="132"/>
      <c r="E27" s="134"/>
      <c r="F27" s="134"/>
      <c r="G27" s="134"/>
      <c r="H27" s="134"/>
      <c r="I27" s="134"/>
      <c r="J27" s="134"/>
      <c r="K27" s="135"/>
      <c r="L27" s="136"/>
      <c r="M27" s="137"/>
      <c r="N27" s="138"/>
      <c r="O27" s="135"/>
      <c r="P27" s="135"/>
      <c r="Q27" s="135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40"/>
      <c r="AC27" s="139"/>
      <c r="AE27" s="141"/>
    </row>
    <row r="28" s="131" customFormat="true" ht="15" hidden="true" customHeight="true" outlineLevel="0" collapsed="false">
      <c r="A28" s="132"/>
      <c r="B28" s="132"/>
      <c r="C28" s="133"/>
      <c r="D28" s="132"/>
      <c r="E28" s="134"/>
      <c r="F28" s="134"/>
      <c r="G28" s="134"/>
      <c r="H28" s="134"/>
      <c r="I28" s="134"/>
      <c r="J28" s="134"/>
      <c r="K28" s="135"/>
      <c r="L28" s="136"/>
      <c r="M28" s="137"/>
      <c r="N28" s="138"/>
      <c r="O28" s="135"/>
      <c r="P28" s="135"/>
      <c r="Q28" s="135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40"/>
      <c r="AC28" s="139"/>
      <c r="AE28" s="141"/>
    </row>
    <row r="29" s="131" customFormat="true" ht="15" hidden="true" customHeight="true" outlineLevel="0" collapsed="false">
      <c r="A29" s="132"/>
      <c r="B29" s="132"/>
      <c r="C29" s="133"/>
      <c r="D29" s="132"/>
      <c r="E29" s="134"/>
      <c r="F29" s="134"/>
      <c r="G29" s="134"/>
      <c r="H29" s="134"/>
      <c r="I29" s="134"/>
      <c r="J29" s="134"/>
      <c r="K29" s="135"/>
      <c r="L29" s="136"/>
      <c r="M29" s="137"/>
      <c r="N29" s="138"/>
      <c r="O29" s="135"/>
      <c r="P29" s="135"/>
      <c r="Q29" s="135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40"/>
      <c r="AC29" s="139"/>
      <c r="AE29" s="141"/>
    </row>
    <row r="30" s="131" customFormat="true" ht="15" hidden="true" customHeight="true" outlineLevel="0" collapsed="false">
      <c r="A30" s="132"/>
      <c r="B30" s="132"/>
      <c r="C30" s="133"/>
      <c r="D30" s="132"/>
      <c r="E30" s="134"/>
      <c r="F30" s="134"/>
      <c r="G30" s="134"/>
      <c r="H30" s="134"/>
      <c r="I30" s="134"/>
      <c r="J30" s="134"/>
      <c r="K30" s="135"/>
      <c r="L30" s="136"/>
      <c r="M30" s="137"/>
      <c r="N30" s="138"/>
      <c r="O30" s="135"/>
      <c r="P30" s="135"/>
      <c r="Q30" s="135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40"/>
      <c r="AC30" s="139"/>
      <c r="AE30" s="141"/>
    </row>
    <row r="31" s="131" customFormat="true" ht="15" hidden="true" customHeight="true" outlineLevel="0" collapsed="false">
      <c r="A31" s="132"/>
      <c r="B31" s="132"/>
      <c r="C31" s="133"/>
      <c r="D31" s="132"/>
      <c r="E31" s="134"/>
      <c r="F31" s="134"/>
      <c r="G31" s="134"/>
      <c r="H31" s="134"/>
      <c r="I31" s="134"/>
      <c r="J31" s="134"/>
      <c r="K31" s="135"/>
      <c r="L31" s="136"/>
      <c r="M31" s="137"/>
      <c r="N31" s="138"/>
      <c r="O31" s="135"/>
      <c r="P31" s="135"/>
      <c r="Q31" s="135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40"/>
      <c r="AC31" s="139"/>
      <c r="AE31" s="141"/>
    </row>
    <row r="32" s="131" customFormat="true" ht="15" hidden="true" customHeight="true" outlineLevel="0" collapsed="false">
      <c r="A32" s="132"/>
      <c r="B32" s="132"/>
      <c r="C32" s="133"/>
      <c r="D32" s="132"/>
      <c r="E32" s="134"/>
      <c r="F32" s="134"/>
      <c r="G32" s="134"/>
      <c r="H32" s="134"/>
      <c r="I32" s="134"/>
      <c r="J32" s="134"/>
      <c r="K32" s="135"/>
      <c r="L32" s="136"/>
      <c r="M32" s="137"/>
      <c r="N32" s="138"/>
      <c r="O32" s="135"/>
      <c r="P32" s="135"/>
      <c r="Q32" s="135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40"/>
      <c r="AC32" s="139"/>
      <c r="AE32" s="141"/>
    </row>
    <row r="33" s="131" customFormat="true" ht="15" hidden="true" customHeight="true" outlineLevel="0" collapsed="false">
      <c r="A33" s="132"/>
      <c r="B33" s="132"/>
      <c r="C33" s="133"/>
      <c r="D33" s="132"/>
      <c r="E33" s="134"/>
      <c r="F33" s="134"/>
      <c r="G33" s="134"/>
      <c r="H33" s="134"/>
      <c r="I33" s="134"/>
      <c r="J33" s="134"/>
      <c r="K33" s="135"/>
      <c r="L33" s="136"/>
      <c r="M33" s="137"/>
      <c r="N33" s="138"/>
      <c r="O33" s="135"/>
      <c r="P33" s="135"/>
      <c r="Q33" s="135"/>
      <c r="R33" s="139"/>
      <c r="S33" s="139"/>
      <c r="T33" s="139"/>
      <c r="U33" s="139"/>
      <c r="V33" s="139"/>
      <c r="W33" s="139"/>
      <c r="X33" s="139"/>
      <c r="Y33" s="139"/>
      <c r="Z33" s="139"/>
      <c r="AA33" s="139"/>
      <c r="AB33" s="140"/>
      <c r="AC33" s="139"/>
      <c r="AE33" s="141"/>
    </row>
    <row r="34" s="131" customFormat="true" ht="15" hidden="true" customHeight="true" outlineLevel="0" collapsed="false">
      <c r="A34" s="132"/>
      <c r="B34" s="132"/>
      <c r="C34" s="133"/>
      <c r="D34" s="132"/>
      <c r="E34" s="134"/>
      <c r="F34" s="134"/>
      <c r="G34" s="134"/>
      <c r="H34" s="134"/>
      <c r="I34" s="134"/>
      <c r="J34" s="134"/>
      <c r="K34" s="135"/>
      <c r="L34" s="136"/>
      <c r="M34" s="137"/>
      <c r="N34" s="138"/>
      <c r="O34" s="135"/>
      <c r="P34" s="135"/>
      <c r="Q34" s="135"/>
      <c r="R34" s="139"/>
      <c r="S34" s="139"/>
      <c r="T34" s="139"/>
      <c r="U34" s="139"/>
      <c r="V34" s="139"/>
      <c r="W34" s="139"/>
      <c r="X34" s="139"/>
      <c r="Y34" s="139"/>
      <c r="Z34" s="139"/>
      <c r="AA34" s="139"/>
      <c r="AB34" s="140"/>
      <c r="AC34" s="139"/>
      <c r="AE34" s="141"/>
    </row>
    <row r="35" s="131" customFormat="true" ht="15" hidden="true" customHeight="true" outlineLevel="0" collapsed="false">
      <c r="A35" s="132"/>
      <c r="B35" s="132"/>
      <c r="C35" s="133"/>
      <c r="D35" s="132"/>
      <c r="E35" s="134"/>
      <c r="F35" s="134"/>
      <c r="G35" s="134"/>
      <c r="H35" s="134"/>
      <c r="I35" s="134"/>
      <c r="J35" s="134"/>
      <c r="K35" s="135"/>
      <c r="L35" s="136"/>
      <c r="M35" s="137"/>
      <c r="N35" s="138"/>
      <c r="O35" s="135"/>
      <c r="P35" s="135"/>
      <c r="Q35" s="135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40"/>
      <c r="AC35" s="139"/>
      <c r="AE35" s="141"/>
    </row>
    <row r="36" s="131" customFormat="true" ht="15" hidden="true" customHeight="true" outlineLevel="0" collapsed="false">
      <c r="A36" s="132"/>
      <c r="B36" s="132"/>
      <c r="C36" s="133"/>
      <c r="D36" s="132"/>
      <c r="E36" s="134"/>
      <c r="F36" s="134"/>
      <c r="G36" s="134"/>
      <c r="H36" s="134"/>
      <c r="I36" s="134"/>
      <c r="J36" s="134"/>
      <c r="K36" s="135"/>
      <c r="L36" s="136"/>
      <c r="M36" s="137"/>
      <c r="N36" s="138"/>
      <c r="O36" s="135"/>
      <c r="P36" s="135"/>
      <c r="Q36" s="135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40"/>
      <c r="AC36" s="139"/>
      <c r="AE36" s="141"/>
    </row>
    <row r="37" s="131" customFormat="true" ht="15" hidden="true" customHeight="true" outlineLevel="0" collapsed="false">
      <c r="A37" s="132"/>
      <c r="B37" s="132"/>
      <c r="C37" s="133"/>
      <c r="D37" s="132"/>
      <c r="E37" s="134"/>
      <c r="F37" s="134"/>
      <c r="G37" s="134"/>
      <c r="H37" s="134"/>
      <c r="I37" s="134"/>
      <c r="J37" s="134"/>
      <c r="K37" s="135"/>
      <c r="L37" s="136"/>
      <c r="M37" s="137"/>
      <c r="N37" s="138"/>
      <c r="O37" s="135"/>
      <c r="P37" s="135"/>
      <c r="Q37" s="135"/>
      <c r="R37" s="139"/>
      <c r="S37" s="139"/>
      <c r="T37" s="139"/>
      <c r="U37" s="139"/>
      <c r="V37" s="139"/>
      <c r="W37" s="139"/>
      <c r="X37" s="139"/>
      <c r="Y37" s="139"/>
      <c r="Z37" s="139"/>
      <c r="AA37" s="139"/>
      <c r="AB37" s="140"/>
      <c r="AC37" s="139"/>
      <c r="AE37" s="141"/>
    </row>
    <row r="38" s="131" customFormat="true" ht="15" hidden="true" customHeight="true" outlineLevel="0" collapsed="false">
      <c r="A38" s="132"/>
      <c r="B38" s="132"/>
      <c r="C38" s="133"/>
      <c r="D38" s="132"/>
      <c r="E38" s="134"/>
      <c r="F38" s="134"/>
      <c r="G38" s="134"/>
      <c r="H38" s="134"/>
      <c r="I38" s="134"/>
      <c r="J38" s="134"/>
      <c r="K38" s="135"/>
      <c r="L38" s="136"/>
      <c r="M38" s="137"/>
      <c r="N38" s="138"/>
      <c r="O38" s="135"/>
      <c r="P38" s="135"/>
      <c r="Q38" s="135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40"/>
      <c r="AC38" s="139"/>
      <c r="AE38" s="141"/>
    </row>
    <row r="39" s="131" customFormat="true" ht="15" hidden="true" customHeight="true" outlineLevel="0" collapsed="false">
      <c r="A39" s="132"/>
      <c r="B39" s="132"/>
      <c r="C39" s="133"/>
      <c r="D39" s="132"/>
      <c r="E39" s="134"/>
      <c r="F39" s="134"/>
      <c r="G39" s="134"/>
      <c r="H39" s="134"/>
      <c r="I39" s="134"/>
      <c r="J39" s="134"/>
      <c r="K39" s="135"/>
      <c r="L39" s="136"/>
      <c r="M39" s="137"/>
      <c r="N39" s="138"/>
      <c r="O39" s="135"/>
      <c r="P39" s="135"/>
      <c r="Q39" s="135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40"/>
      <c r="AC39" s="139"/>
      <c r="AE39" s="141"/>
    </row>
    <row r="40" s="131" customFormat="true" ht="15" hidden="true" customHeight="true" outlineLevel="0" collapsed="false">
      <c r="A40" s="132"/>
      <c r="B40" s="132"/>
      <c r="C40" s="133"/>
      <c r="D40" s="132"/>
      <c r="E40" s="134"/>
      <c r="F40" s="134"/>
      <c r="G40" s="134"/>
      <c r="H40" s="134"/>
      <c r="I40" s="134"/>
      <c r="J40" s="134"/>
      <c r="K40" s="135"/>
      <c r="L40" s="136"/>
      <c r="M40" s="137"/>
      <c r="N40" s="138"/>
      <c r="O40" s="135"/>
      <c r="P40" s="135"/>
      <c r="Q40" s="135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40"/>
      <c r="AC40" s="139"/>
      <c r="AE40" s="141"/>
    </row>
    <row r="41" s="131" customFormat="true" ht="15" hidden="true" customHeight="true" outlineLevel="0" collapsed="false">
      <c r="A41" s="132"/>
      <c r="B41" s="132"/>
      <c r="C41" s="133"/>
      <c r="D41" s="132"/>
      <c r="E41" s="134"/>
      <c r="F41" s="134"/>
      <c r="G41" s="134"/>
      <c r="H41" s="134"/>
      <c r="I41" s="134"/>
      <c r="J41" s="134"/>
      <c r="K41" s="135"/>
      <c r="L41" s="136"/>
      <c r="M41" s="137"/>
      <c r="N41" s="138"/>
      <c r="O41" s="135"/>
      <c r="P41" s="135"/>
      <c r="Q41" s="135"/>
      <c r="R41" s="139"/>
      <c r="S41" s="139"/>
      <c r="T41" s="139"/>
      <c r="U41" s="139"/>
      <c r="V41" s="139"/>
      <c r="W41" s="139"/>
      <c r="X41" s="139"/>
      <c r="Y41" s="139"/>
      <c r="Z41" s="139"/>
      <c r="AA41" s="139"/>
      <c r="AB41" s="140"/>
      <c r="AC41" s="139"/>
      <c r="AE41" s="141"/>
    </row>
    <row r="42" s="131" customFormat="true" ht="15" hidden="true" customHeight="true" outlineLevel="0" collapsed="false">
      <c r="A42" s="132"/>
      <c r="B42" s="132"/>
      <c r="C42" s="133"/>
      <c r="D42" s="132"/>
      <c r="E42" s="134"/>
      <c r="F42" s="134"/>
      <c r="G42" s="134"/>
      <c r="H42" s="134"/>
      <c r="I42" s="134"/>
      <c r="J42" s="134"/>
      <c r="K42" s="135"/>
      <c r="L42" s="136"/>
      <c r="M42" s="137"/>
      <c r="N42" s="138"/>
      <c r="O42" s="135"/>
      <c r="P42" s="135"/>
      <c r="Q42" s="135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40"/>
      <c r="AC42" s="139"/>
      <c r="AE42" s="141"/>
    </row>
    <row r="43" s="131" customFormat="true" ht="15" hidden="true" customHeight="true" outlineLevel="0" collapsed="false">
      <c r="A43" s="132"/>
      <c r="B43" s="132"/>
      <c r="C43" s="133"/>
      <c r="D43" s="132"/>
      <c r="E43" s="134"/>
      <c r="F43" s="134"/>
      <c r="G43" s="134"/>
      <c r="H43" s="134"/>
      <c r="I43" s="134"/>
      <c r="J43" s="134"/>
      <c r="K43" s="135"/>
      <c r="L43" s="136"/>
      <c r="M43" s="137"/>
      <c r="N43" s="138"/>
      <c r="O43" s="135"/>
      <c r="P43" s="135"/>
      <c r="Q43" s="135"/>
      <c r="R43" s="139"/>
      <c r="S43" s="139"/>
      <c r="T43" s="139"/>
      <c r="U43" s="139"/>
      <c r="V43" s="139"/>
      <c r="W43" s="139"/>
      <c r="X43" s="139"/>
      <c r="Y43" s="139"/>
      <c r="Z43" s="139"/>
      <c r="AA43" s="139"/>
      <c r="AB43" s="140"/>
      <c r="AC43" s="139"/>
      <c r="AE43" s="141"/>
    </row>
    <row r="44" s="131" customFormat="true" ht="15" hidden="true" customHeight="true" outlineLevel="0" collapsed="false">
      <c r="A44" s="132"/>
      <c r="B44" s="132"/>
      <c r="C44" s="133"/>
      <c r="D44" s="132"/>
      <c r="E44" s="134"/>
      <c r="F44" s="134"/>
      <c r="G44" s="134"/>
      <c r="H44" s="134"/>
      <c r="I44" s="134"/>
      <c r="J44" s="134"/>
      <c r="K44" s="135"/>
      <c r="L44" s="136"/>
      <c r="M44" s="137"/>
      <c r="N44" s="138"/>
      <c r="O44" s="135"/>
      <c r="P44" s="135"/>
      <c r="Q44" s="135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40"/>
      <c r="AC44" s="139"/>
      <c r="AE44" s="141"/>
    </row>
    <row r="45" s="131" customFormat="true" ht="15" hidden="true" customHeight="true" outlineLevel="0" collapsed="false">
      <c r="A45" s="132"/>
      <c r="B45" s="132"/>
      <c r="C45" s="133"/>
      <c r="D45" s="132"/>
      <c r="E45" s="134"/>
      <c r="F45" s="134"/>
      <c r="G45" s="134"/>
      <c r="H45" s="134"/>
      <c r="I45" s="134"/>
      <c r="J45" s="134"/>
      <c r="K45" s="135"/>
      <c r="L45" s="136"/>
      <c r="M45" s="137"/>
      <c r="N45" s="138"/>
      <c r="O45" s="135"/>
      <c r="P45" s="135"/>
      <c r="Q45" s="135"/>
      <c r="R45" s="139"/>
      <c r="S45" s="139"/>
      <c r="T45" s="139"/>
      <c r="U45" s="139"/>
      <c r="V45" s="139"/>
      <c r="W45" s="139"/>
      <c r="X45" s="139"/>
      <c r="Y45" s="139"/>
      <c r="Z45" s="139"/>
      <c r="AA45" s="139"/>
      <c r="AB45" s="140"/>
      <c r="AC45" s="139"/>
      <c r="AE45" s="141"/>
    </row>
    <row r="46" s="131" customFormat="true" ht="15" hidden="true" customHeight="true" outlineLevel="0" collapsed="false">
      <c r="A46" s="132"/>
      <c r="B46" s="132"/>
      <c r="C46" s="133"/>
      <c r="D46" s="132"/>
      <c r="E46" s="134"/>
      <c r="F46" s="134"/>
      <c r="G46" s="134"/>
      <c r="H46" s="134"/>
      <c r="I46" s="134"/>
      <c r="J46" s="134"/>
      <c r="K46" s="135"/>
      <c r="L46" s="136"/>
      <c r="M46" s="137"/>
      <c r="N46" s="138"/>
      <c r="O46" s="135"/>
      <c r="P46" s="135"/>
      <c r="Q46" s="135"/>
      <c r="R46" s="139"/>
      <c r="S46" s="139"/>
      <c r="T46" s="139"/>
      <c r="U46" s="139"/>
      <c r="V46" s="139"/>
      <c r="W46" s="139"/>
      <c r="X46" s="139"/>
      <c r="Y46" s="139"/>
      <c r="Z46" s="139"/>
      <c r="AA46" s="139"/>
      <c r="AB46" s="140"/>
      <c r="AC46" s="139"/>
      <c r="AE46" s="141"/>
    </row>
    <row r="47" s="131" customFormat="true" ht="15" hidden="true" customHeight="true" outlineLevel="0" collapsed="false">
      <c r="A47" s="132"/>
      <c r="B47" s="132"/>
      <c r="C47" s="133"/>
      <c r="D47" s="132"/>
      <c r="E47" s="134"/>
      <c r="F47" s="134"/>
      <c r="G47" s="134"/>
      <c r="H47" s="134"/>
      <c r="I47" s="134"/>
      <c r="J47" s="134"/>
      <c r="K47" s="135"/>
      <c r="L47" s="136"/>
      <c r="M47" s="137"/>
      <c r="N47" s="138"/>
      <c r="O47" s="135"/>
      <c r="P47" s="135"/>
      <c r="Q47" s="135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40"/>
      <c r="AC47" s="139"/>
      <c r="AE47" s="141"/>
    </row>
    <row r="48" s="131" customFormat="true" ht="15" hidden="true" customHeight="true" outlineLevel="0" collapsed="false">
      <c r="A48" s="132"/>
      <c r="B48" s="132"/>
      <c r="C48" s="133"/>
      <c r="D48" s="132"/>
      <c r="E48" s="134"/>
      <c r="F48" s="134"/>
      <c r="G48" s="134"/>
      <c r="H48" s="134"/>
      <c r="I48" s="134"/>
      <c r="J48" s="134"/>
      <c r="K48" s="135"/>
      <c r="L48" s="136"/>
      <c r="M48" s="137"/>
      <c r="N48" s="138"/>
      <c r="O48" s="135"/>
      <c r="P48" s="135"/>
      <c r="Q48" s="135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40"/>
      <c r="AC48" s="139"/>
      <c r="AE48" s="141"/>
    </row>
    <row r="49" s="70" customFormat="true" ht="15.75" hidden="false" customHeight="true" outlineLevel="0" collapsed="false">
      <c r="A49" s="142" t="s">
        <v>39</v>
      </c>
      <c r="B49" s="142"/>
      <c r="C49" s="142"/>
      <c r="D49" s="142"/>
      <c r="E49" s="143"/>
      <c r="F49" s="143"/>
      <c r="G49" s="143"/>
      <c r="H49" s="143"/>
      <c r="I49" s="143"/>
      <c r="J49" s="143"/>
      <c r="K49" s="143"/>
      <c r="L49" s="143"/>
      <c r="M49" s="144"/>
      <c r="N49" s="144"/>
      <c r="O49" s="145"/>
      <c r="P49" s="145"/>
      <c r="Q49" s="145"/>
      <c r="R49" s="146" t="n">
        <f aca="false">SUM(R11:R34)</f>
        <v>0</v>
      </c>
      <c r="S49" s="146" t="n">
        <f aca="false">SUM(S11:S34)</f>
        <v>0</v>
      </c>
      <c r="T49" s="146"/>
      <c r="U49" s="147" t="n">
        <f aca="false">SUM(U11:U34)</f>
        <v>0</v>
      </c>
      <c r="V49" s="147" t="n">
        <f aca="false">SUM(V11:V34)</f>
        <v>0</v>
      </c>
      <c r="W49" s="148" t="n">
        <f aca="false">SUM(W11:W16)</f>
        <v>148.743</v>
      </c>
      <c r="X49" s="147" t="n">
        <f aca="false">SUM(X11:X34)</f>
        <v>0</v>
      </c>
      <c r="Y49" s="147" t="n">
        <f aca="false">SUM(Y11:Y34)</f>
        <v>0</v>
      </c>
      <c r="Z49" s="147" t="n">
        <f aca="false">SUM(Z11:Z34)</f>
        <v>0</v>
      </c>
      <c r="AA49" s="147" t="n">
        <f aca="false">SUM(AA11:AA34)</f>
        <v>0</v>
      </c>
      <c r="AB49" s="147"/>
      <c r="AE49" s="149"/>
      <c r="AF49" s="150"/>
      <c r="AG49" s="150"/>
      <c r="AH49" s="131"/>
      <c r="AI49" s="149"/>
      <c r="AJ49" s="149"/>
      <c r="AK49" s="149"/>
      <c r="AL49" s="149"/>
    </row>
    <row r="50" s="70" customFormat="true" ht="15.75" hidden="false" customHeight="true" outlineLevel="0" collapsed="false">
      <c r="A50" s="108"/>
      <c r="B50" s="108"/>
      <c r="C50" s="108"/>
      <c r="D50" s="108"/>
      <c r="R50" s="109"/>
      <c r="S50" s="109"/>
      <c r="T50" s="109"/>
      <c r="U50" s="110"/>
      <c r="V50" s="110"/>
      <c r="W50" s="110"/>
      <c r="X50" s="110"/>
      <c r="Y50" s="110"/>
      <c r="Z50" s="110"/>
      <c r="AA50" s="110"/>
      <c r="AB50" s="110"/>
      <c r="AE50" s="110"/>
      <c r="AF50" s="151"/>
      <c r="AG50" s="150"/>
      <c r="AH50" s="151"/>
      <c r="AI50" s="141"/>
      <c r="AJ50" s="141"/>
      <c r="AK50" s="152"/>
      <c r="AL50" s="141"/>
    </row>
    <row r="51" s="70" customFormat="true" ht="15.75" hidden="false" customHeight="true" outlineLevel="0" collapsed="false">
      <c r="A51" s="153" t="s">
        <v>29</v>
      </c>
      <c r="B51" s="153"/>
      <c r="C51" s="153"/>
      <c r="D51" s="154" t="s">
        <v>40</v>
      </c>
      <c r="E51" s="153" t="s">
        <v>30</v>
      </c>
      <c r="F51" s="153"/>
      <c r="G51" s="153"/>
      <c r="H51" s="153"/>
      <c r="I51" s="153"/>
      <c r="J51" s="153"/>
      <c r="K51" s="153"/>
      <c r="L51" s="153"/>
      <c r="M51" s="153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  <c r="AB51" s="153"/>
      <c r="AE51" s="141"/>
      <c r="AF51" s="151"/>
      <c r="AI51" s="131"/>
      <c r="AJ51" s="131"/>
      <c r="AK51" s="131"/>
      <c r="AL51" s="131"/>
    </row>
    <row r="52" s="70" customFormat="true" ht="15.75" hidden="false" customHeight="true" outlineLevel="0" collapsed="false">
      <c r="A52" s="113"/>
      <c r="B52" s="113"/>
      <c r="C52" s="113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AI52" s="131"/>
      <c r="AJ52" s="131"/>
      <c r="AK52" s="131"/>
      <c r="AL52" s="131"/>
    </row>
    <row r="53" s="70" customFormat="true" ht="15.75" hidden="false" customHeight="true" outlineLevel="0" collapsed="false">
      <c r="A53" s="113"/>
      <c r="B53" s="113"/>
      <c r="C53" s="115"/>
      <c r="D53" s="115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AF53" s="79"/>
    </row>
    <row r="54" s="70" customFormat="true" ht="15" hidden="false" customHeight="true" outlineLevel="0" collapsed="false">
      <c r="A54" s="113"/>
      <c r="B54" s="113"/>
      <c r="C54" s="113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</row>
    <row r="55" s="70" customFormat="true" ht="15" hidden="false" customHeight="true" outlineLevel="0" collapsed="false">
      <c r="A55" s="113"/>
      <c r="B55" s="113"/>
      <c r="C55" s="113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</row>
    <row r="56" s="70" customFormat="true" ht="15" hidden="false" customHeight="true" outlineLevel="0" collapsed="false">
      <c r="A56" s="113"/>
      <c r="B56" s="113"/>
      <c r="C56" s="113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</row>
    <row r="57" s="70" customFormat="true" ht="15.75" hidden="false" customHeight="true" outlineLevel="0" collapsed="false">
      <c r="A57" s="153" t="s">
        <v>31</v>
      </c>
      <c r="B57" s="153"/>
      <c r="C57" s="153"/>
      <c r="D57" s="155"/>
      <c r="E57" s="155"/>
      <c r="F57" s="155"/>
      <c r="G57" s="155"/>
      <c r="H57" s="155"/>
      <c r="I57" s="155"/>
      <c r="J57" s="155"/>
      <c r="K57" s="155"/>
      <c r="L57" s="155"/>
      <c r="M57" s="153" t="str">
        <f aca="false">'Base B'!O67</f>
        <v>Lê Minh Hải</v>
      </c>
      <c r="N57" s="153"/>
      <c r="O57" s="15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  <c r="AA57" s="153"/>
      <c r="AB57" s="153"/>
    </row>
    <row r="58" s="127" customFormat="true" ht="15.75" hidden="false" customHeight="true" outlineLevel="0" collapsed="false">
      <c r="A58" s="131"/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  <c r="AA58" s="131"/>
      <c r="AB58" s="131"/>
      <c r="AC58" s="131"/>
    </row>
    <row r="59" customFormat="false" ht="12.75" hidden="false" customHeight="false" outlineLevel="0" collapsed="false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</row>
    <row r="60" customFormat="false" ht="12.75" hidden="false" customHeight="false" outlineLevel="0" collapsed="false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</row>
    <row r="61" customFormat="false" ht="12.75" hidden="false" customHeight="false" outlineLevel="0" collapsed="false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</row>
    <row r="62" customFormat="false" ht="12.75" hidden="false" customHeight="false" outlineLevel="0" collapsed="false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</row>
    <row r="63" customFormat="false" ht="12.75" hidden="false" customHeight="false" outlineLevel="0" collapsed="false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</row>
    <row r="64" customFormat="false" ht="12.75" hidden="false" customHeight="false" outlineLevel="0" collapsed="false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</row>
    <row r="65" customFormat="false" ht="12.75" hidden="false" customHeight="false" outlineLevel="0" collapsed="false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</row>
    <row r="66" customFormat="false" ht="12.75" hidden="false" customHeight="false" outlineLevel="0" collapsed="false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</row>
    <row r="67" customFormat="false" ht="12.75" hidden="false" customHeight="false" outlineLevel="0" collapsed="false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</row>
    <row r="68" customFormat="false" ht="12.75" hidden="false" customHeight="false" outlineLevel="0" collapsed="false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</row>
    <row r="69" customFormat="false" ht="12.75" hidden="false" customHeight="false" outlineLevel="0" collapsed="false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</row>
    <row r="70" customFormat="false" ht="12.75" hidden="false" customHeight="false" outlineLevel="0" collapsed="false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</row>
    <row r="71" customFormat="false" ht="12.75" hidden="false" customHeight="false" outlineLevel="0" collapsed="false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</row>
    <row r="72" customFormat="false" ht="12.75" hidden="false" customHeight="false" outlineLevel="0" collapsed="false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</row>
    <row r="73" customFormat="false" ht="12.75" hidden="false" customHeight="false" outlineLevel="0" collapsed="false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</row>
    <row r="74" customFormat="false" ht="12.75" hidden="false" customHeight="false" outlineLevel="0" collapsed="false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</row>
    <row r="75" customFormat="false" ht="12.75" hidden="false" customHeight="false" outlineLevel="0" collapsed="false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</row>
    <row r="76" customFormat="false" ht="12.75" hidden="false" customHeight="false" outlineLevel="0" collapsed="false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</row>
    <row r="77" customFormat="false" ht="12.75" hidden="false" customHeight="false" outlineLevel="0" collapsed="false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</row>
    <row r="78" customFormat="false" ht="12.75" hidden="false" customHeight="false" outlineLevel="0" collapsed="false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</row>
    <row r="79" customFormat="false" ht="12.75" hidden="false" customHeight="false" outlineLevel="0" collapsed="false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</row>
    <row r="80" customFormat="false" ht="12.75" hidden="false" customHeight="false" outlineLevel="0" collapsed="false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</row>
    <row r="81" customFormat="false" ht="12.75" hidden="false" customHeight="false" outlineLevel="0" collapsed="false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</row>
    <row r="82" customFormat="false" ht="12.75" hidden="false" customHeight="false" outlineLevel="0" collapsed="false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</row>
    <row r="83" customFormat="false" ht="12.75" hidden="false" customHeight="false" outlineLevel="0" collapsed="false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</row>
    <row r="84" customFormat="false" ht="12.75" hidden="false" customHeight="false" outlineLevel="0" collapsed="false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</row>
    <row r="85" customFormat="false" ht="12.75" hidden="false" customHeight="false" outlineLevel="0" collapsed="false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</row>
    <row r="86" customFormat="false" ht="12.75" hidden="false" customHeight="false" outlineLevel="0" collapsed="false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</row>
    <row r="87" customFormat="false" ht="12.75" hidden="false" customHeight="false" outlineLevel="0" collapsed="false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</row>
    <row r="88" customFormat="false" ht="12.75" hidden="false" customHeight="false" outlineLevel="0" collapsed="false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</row>
    <row r="89" customFormat="false" ht="12.75" hidden="false" customHeight="false" outlineLevel="0" collapsed="false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</row>
    <row r="90" customFormat="false" ht="12.75" hidden="false" customHeight="false" outlineLevel="0" collapsed="false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</row>
    <row r="91" customFormat="false" ht="12.75" hidden="false" customHeight="false" outlineLevel="0" collapsed="false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</row>
    <row r="92" customFormat="false" ht="12.75" hidden="false" customHeight="false" outlineLevel="0" collapsed="false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</row>
    <row r="93" customFormat="false" ht="12.75" hidden="false" customHeight="false" outlineLevel="0" collapsed="false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</row>
    <row r="94" customFormat="false" ht="12.75" hidden="false" customHeight="false" outlineLevel="0" collapsed="false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</row>
    <row r="95" customFormat="false" ht="12.75" hidden="false" customHeight="false" outlineLevel="0" collapsed="false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</row>
    <row r="96" customFormat="false" ht="12.75" hidden="false" customHeight="false" outlineLevel="0" collapsed="false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</row>
    <row r="97" customFormat="false" ht="12.75" hidden="false" customHeight="false" outlineLevel="0" collapsed="false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</row>
    <row r="98" customFormat="false" ht="12.75" hidden="false" customHeight="false" outlineLevel="0" collapsed="false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</row>
    <row r="99" customFormat="false" ht="12.75" hidden="false" customHeight="false" outlineLevel="0" collapsed="false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</row>
    <row r="100" customFormat="false" ht="12.75" hidden="false" customHeight="false" outlineLevel="0" collapsed="false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</row>
    <row r="101" customFormat="false" ht="12.75" hidden="false" customHeight="false" outlineLevel="0" collapsed="false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</row>
    <row r="102" customFormat="false" ht="12.75" hidden="false" customHeight="false" outlineLevel="0" collapsed="false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</row>
    <row r="103" customFormat="false" ht="12.75" hidden="false" customHeight="false" outlineLevel="0" collapsed="false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</row>
    <row r="104" customFormat="false" ht="12.75" hidden="false" customHeight="false" outlineLevel="0" collapsed="false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</row>
    <row r="105" customFormat="false" ht="12.75" hidden="false" customHeight="false" outlineLevel="0" collapsed="false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</row>
    <row r="106" customFormat="false" ht="12.75" hidden="false" customHeight="false" outlineLevel="0" collapsed="false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</row>
    <row r="107" s="25" customFormat="true" ht="12.75" hidden="false" customHeight="false" outlineLevel="0" collapsed="false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24"/>
      <c r="AE107" s="24"/>
      <c r="AF107" s="24"/>
      <c r="AG107" s="24"/>
    </row>
    <row r="108" s="25" customFormat="true" ht="12.75" hidden="false" customHeight="false" outlineLevel="0" collapsed="false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24"/>
      <c r="AE108" s="24"/>
      <c r="AF108" s="24"/>
      <c r="AG108" s="24"/>
    </row>
    <row r="109" s="25" customFormat="true" ht="12.75" hidden="false" customHeight="false" outlineLevel="0" collapsed="false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24"/>
      <c r="AE109" s="24"/>
      <c r="AF109" s="24"/>
      <c r="AG109" s="24"/>
    </row>
    <row r="110" s="25" customFormat="true" ht="12.75" hidden="false" customHeight="false" outlineLevel="0" collapsed="false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24"/>
      <c r="AE110" s="24"/>
      <c r="AF110" s="24"/>
      <c r="AG110" s="24"/>
    </row>
    <row r="111" s="25" customFormat="true" ht="12.75" hidden="false" customHeight="false" outlineLevel="0" collapsed="false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24"/>
      <c r="AE111" s="24"/>
      <c r="AF111" s="24"/>
      <c r="AG111" s="24"/>
    </row>
    <row r="112" s="25" customFormat="true" ht="12.75" hidden="false" customHeight="false" outlineLevel="0" collapsed="false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24"/>
      <c r="AE112" s="24"/>
      <c r="AF112" s="24"/>
      <c r="AG112" s="24"/>
    </row>
    <row r="113" s="25" customFormat="true" ht="12.75" hidden="false" customHeight="false" outlineLevel="0" collapsed="false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24"/>
      <c r="AE113" s="24"/>
      <c r="AF113" s="24"/>
      <c r="AG113" s="24"/>
    </row>
    <row r="114" s="25" customFormat="true" ht="12.75" hidden="false" customHeight="false" outlineLevel="0" collapsed="false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24"/>
      <c r="AE114" s="24"/>
      <c r="AF114" s="24"/>
      <c r="AG114" s="24"/>
    </row>
    <row r="115" s="25" customFormat="true" ht="12.75" hidden="false" customHeight="false" outlineLevel="0" collapsed="false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24"/>
      <c r="AE115" s="24"/>
      <c r="AF115" s="24"/>
      <c r="AG115" s="24"/>
    </row>
    <row r="116" s="25" customFormat="true" ht="12.75" hidden="false" customHeight="false" outlineLevel="0" collapsed="false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24"/>
      <c r="AE116" s="24"/>
      <c r="AF116" s="24"/>
      <c r="AG116" s="24"/>
    </row>
    <row r="117" s="25" customFormat="true" ht="12.75" hidden="false" customHeight="false" outlineLevel="0" collapsed="false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24"/>
      <c r="AE117" s="24"/>
      <c r="AF117" s="24"/>
      <c r="AG117" s="24"/>
    </row>
    <row r="118" s="25" customFormat="true" ht="12.75" hidden="false" customHeight="false" outlineLevel="0" collapsed="false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24"/>
      <c r="AE118" s="24"/>
      <c r="AF118" s="24"/>
      <c r="AG118" s="24"/>
    </row>
    <row r="119" s="25" customFormat="true" ht="12.75" hidden="false" customHeight="false" outlineLevel="0" collapsed="false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24"/>
      <c r="AE119" s="24"/>
      <c r="AF119" s="24"/>
      <c r="AG119" s="24"/>
    </row>
    <row r="120" s="25" customFormat="true" ht="12.75" hidden="false" customHeight="false" outlineLevel="0" collapsed="false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24"/>
      <c r="AE120" s="24"/>
      <c r="AF120" s="24"/>
      <c r="AG120" s="24"/>
    </row>
    <row r="121" s="25" customFormat="true" ht="12.75" hidden="false" customHeight="false" outlineLevel="0" collapsed="false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24"/>
      <c r="AE121" s="24"/>
      <c r="AF121" s="24"/>
      <c r="AG121" s="24"/>
    </row>
    <row r="122" s="25" customFormat="true" ht="12.75" hidden="false" customHeight="false" outlineLevel="0" collapsed="false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24"/>
      <c r="AE122" s="24"/>
      <c r="AF122" s="24"/>
      <c r="AG122" s="24"/>
    </row>
    <row r="123" s="25" customFormat="true" ht="12.75" hidden="false" customHeight="false" outlineLevel="0" collapsed="false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24"/>
      <c r="AE123" s="24"/>
      <c r="AF123" s="24"/>
      <c r="AG123" s="24"/>
    </row>
    <row r="124" s="25" customFormat="true" ht="12.75" hidden="false" customHeight="false" outlineLevel="0" collapsed="false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24"/>
      <c r="AE124" s="24"/>
      <c r="AF124" s="24"/>
      <c r="AG124" s="24"/>
    </row>
    <row r="125" s="25" customFormat="true" ht="12.75" hidden="false" customHeight="false" outlineLevel="0" collapsed="false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24"/>
      <c r="AE125" s="24"/>
      <c r="AF125" s="24"/>
      <c r="AG125" s="24"/>
    </row>
    <row r="126" s="25" customFormat="true" ht="12.75" hidden="false" customHeight="false" outlineLevel="0" collapsed="false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24"/>
      <c r="AE126" s="24"/>
      <c r="AF126" s="24"/>
      <c r="AG126" s="24"/>
    </row>
    <row r="127" s="25" customFormat="true" ht="12.75" hidden="false" customHeight="false" outlineLevel="0" collapsed="false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24"/>
      <c r="AE127" s="24"/>
      <c r="AF127" s="24"/>
      <c r="AG127" s="24"/>
    </row>
    <row r="128" s="25" customFormat="true" ht="12.75" hidden="false" customHeight="false" outlineLevel="0" collapsed="false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24"/>
      <c r="AE128" s="24"/>
      <c r="AF128" s="24"/>
      <c r="AG128" s="24"/>
    </row>
    <row r="129" s="25" customFormat="true" ht="12.75" hidden="false" customHeight="false" outlineLevel="0" collapsed="false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24"/>
      <c r="AE129" s="24"/>
      <c r="AF129" s="24"/>
      <c r="AG129" s="24"/>
    </row>
    <row r="130" s="25" customFormat="true" ht="12.75" hidden="false" customHeight="false" outlineLevel="0" collapsed="false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24"/>
      <c r="AE130" s="24"/>
      <c r="AF130" s="24"/>
      <c r="AG130" s="24"/>
    </row>
    <row r="131" s="25" customFormat="true" ht="12.75" hidden="false" customHeight="false" outlineLevel="0" collapsed="false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24"/>
      <c r="AE131" s="24"/>
      <c r="AF131" s="24"/>
      <c r="AG131" s="24"/>
    </row>
    <row r="132" s="25" customFormat="true" ht="12.75" hidden="false" customHeight="false" outlineLevel="0" collapsed="false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24"/>
      <c r="AE132" s="24"/>
      <c r="AF132" s="24"/>
      <c r="AG132" s="24"/>
    </row>
    <row r="133" s="25" customFormat="true" ht="12.75" hidden="false" customHeight="false" outlineLevel="0" collapsed="false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24"/>
      <c r="AE133" s="24"/>
      <c r="AF133" s="24"/>
      <c r="AG133" s="24"/>
    </row>
    <row r="134" s="25" customFormat="true" ht="12.75" hidden="false" customHeight="false" outlineLevel="0" collapsed="false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24"/>
      <c r="AE134" s="24"/>
      <c r="AF134" s="24"/>
      <c r="AG134" s="24"/>
    </row>
  </sheetData>
  <mergeCells count="20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O9:O10"/>
    <mergeCell ref="W9:W10"/>
    <mergeCell ref="AB9:AB10"/>
    <mergeCell ref="A49:D49"/>
    <mergeCell ref="A51:C51"/>
    <mergeCell ref="E51:AB51"/>
    <mergeCell ref="A57:C57"/>
    <mergeCell ref="M57:AB57"/>
  </mergeCells>
  <printOptions headings="false" gridLines="false" gridLinesSet="true" horizontalCentered="false" verticalCentered="false"/>
  <pageMargins left="0.95" right="0.159722222222222" top="0.4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2024-11-23T01:27:50Z</dcterms:created>
  <dc:creator>Microsoft Cop.</dc:creator>
  <dc:description/>
  <dc:language>en-US</dc:language>
  <cp:lastModifiedBy>Microsoft Cop.</cp:lastModifiedBy>
  <cp:lastPrinted>2025-10-21T07:16:07Z</cp:lastPrinted>
  <dcterms:modified xsi:type="dcterms:W3CDTF">2026-10-13T07:37:46Z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