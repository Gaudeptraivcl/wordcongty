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KTHH Lớp 1" sheetId="1" state="visible" r:id="rId3"/>
    <sheet name="KL lớp 1" sheetId="2" state="visible" r:id="rId4"/>
    <sheet name="KTHH Lớp 2" sheetId="3" state="visible" r:id="rId5"/>
    <sheet name="KL lớp 2" sheetId="4" state="visible" r:id="rId6"/>
    <sheet name="Base A" sheetId="5" state="visible" r:id="rId7"/>
    <sheet name="KL Basa A" sheetId="6" state="visible" r:id="rId8"/>
    <sheet name="Base B" sheetId="7" state="visible" r:id="rId9"/>
    <sheet name="KL Basa B" sheetId="8" state="visible" r:id="rId10"/>
  </sheets>
  <definedNames>
    <definedName function="false" hidden="false" localSheetId="4" name="_xlnm.Print_Area" vbProcedure="false">'Base A'!$A$1:$S$69</definedName>
    <definedName function="false" hidden="false" localSheetId="4" name="_xlnm.Print_Titles" vbProcedure="false">'Base A'!$21:$22</definedName>
    <definedName function="false" hidden="false" localSheetId="6" name="_xlnm.Print_Area" vbProcedure="false">'Base B'!$A$1:$S$69</definedName>
    <definedName function="false" hidden="false" localSheetId="6" name="_xlnm.Print_Titles" vbProcedure="false">'Base B'!$21:$22</definedName>
    <definedName function="false" hidden="false" localSheetId="5" name="_xlnm.Print_Area" vbProcedure="false">'KL Basa A'!$A$1:$AB$58</definedName>
    <definedName function="false" hidden="false" localSheetId="7" name="_xlnm.Print_Area" vbProcedure="false">'KL Basa B'!$A$1:$AB$58</definedName>
    <definedName function="false" hidden="false" localSheetId="1" name="_xlnm.Print_Area" vbProcedure="false">'KL lớp 1'!$A$1:$AB$58</definedName>
    <definedName function="false" hidden="false" localSheetId="3" name="_xlnm.Print_Area" vbProcedure="false">'KL lớp 2'!$A$1:$AB$58</definedName>
    <definedName function="false" hidden="false" localSheetId="0" name="_xlnm.Print_Area" vbProcedure="false">'KTHH Lớp 1'!$A$1:$S$69</definedName>
    <definedName function="false" hidden="false" localSheetId="0" name="_xlnm.Print_Titles" vbProcedure="false">'KTHH Lớp 1'!$21:$22</definedName>
    <definedName function="false" hidden="false" localSheetId="2" name="_xlnm.Print_Area" vbProcedure="false">'KTHH Lớp 2'!$A$1:$S$69</definedName>
    <definedName function="false" hidden="false" localSheetId="2" name="_xlnm.Print_Titles" vbProcedure="false">'KTHH Lớp 2'!$21:$22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<sst xmlns="http://schemas.openxmlformats.org/spreadsheetml/2006/main" count="400" uniqueCount="78">
  <si>
    <t xml:space="preserve">PHỤ LỤC KIỂM TRA CAO ĐỘ, KÍCH THƯỚC HÌNH HỌC</t>
  </si>
  <si>
    <t xml:space="preserve">Kèm theo BBNT số: 17.NĐXD8/CVXD ngày 24 tháng 08 năm 2026</t>
  </si>
  <si>
    <t xml:space="preserve">Dự án: Xây dựng HTKT Khu tái định cư phục vụ di dân xã Hải Hà, thị xã Nghi Sơn, tỉnh Thanh Hóa.</t>
  </si>
  <si>
    <t xml:space="preserve">Gói thầu số 12: Xây dựng HTKT khu vực Hải Bình và Xuân Lâm (bao gồm cả bảo hiểm xây dựng công trình)</t>
  </si>
  <si>
    <t xml:space="preserve">Nhà thầu thi công: Công ty TNHH Hoàng Tuấn</t>
  </si>
  <si>
    <t xml:space="preserve">Hạng mục:  Móng đường tuyến XD8</t>
  </si>
  <si>
    <t xml:space="preserve">- Đối tượng nghiệm thu:</t>
  </si>
  <si>
    <t xml:space="preserve">Đắp đất nền đường lớp 1, độ chặt K&gt;=0,98 đoạn từ Km0+211,00 - Km0+737,36</t>
  </si>
  <si>
    <t xml:space="preserve">Sơ họa:</t>
  </si>
  <si>
    <t xml:space="preserve">TT</t>
  </si>
  <si>
    <t xml:space="preserve">Tên cọc</t>
  </si>
  <si>
    <t xml:space="preserve">Lý trình</t>
  </si>
  <si>
    <t xml:space="preserve">Bên trái (H1)</t>
  </si>
  <si>
    <t xml:space="preserve">Tim (H2)</t>
  </si>
  <si>
    <t xml:space="preserve">Bên phải (H3)</t>
  </si>
  <si>
    <t xml:space="preserve">Ghi chú</t>
  </si>
  <si>
    <t xml:space="preserve">CĐ đỉnh K95 tại tim (từ CAD)</t>
  </si>
  <si>
    <t xml:space="preserve">KCTK</t>
  </si>
  <si>
    <t xml:space="preserve">KCTC</t>
  </si>
  <si>
    <t xml:space="preserve">Chênh KC (m)</t>
  </si>
  <si>
    <t xml:space="preserve">CDTK (m)</t>
  </si>
  <si>
    <t xml:space="preserve">CDTC (m)</t>
  </si>
  <si>
    <t xml:space="preserve">Chênh CD (m)</t>
  </si>
  <si>
    <t xml:space="preserve">B4</t>
  </si>
  <si>
    <t xml:space="preserve">12</t>
  </si>
  <si>
    <t xml:space="preserve">13</t>
  </si>
  <si>
    <t xml:space="preserve">B5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</si>
  <si>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</si>
  <si>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</si>
  <si>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</si>
  <si>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</si>
  <si>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</si>
  <si>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</si>
  <si>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C2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</si>
  <si>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</si>
  <si>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</si>
  <si>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</si>
  <si>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</si>
  <si>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</si>
  <si>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</si>
  <si>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D1</t>
  </si>
  <si>
    <t xml:space="preserve">26</t>
  </si>
  <si>
    <t xml:space="preserve">27</t>
  </si>
  <si>
    <t xml:space="preserve">28</t>
  </si>
  <si>
    <t xml:space="preserve">E5</t>
  </si>
  <si>
    <t xml:space="preserve">TD</t>
  </si>
  <si>
    <t xml:space="preserve">P</t>
  </si>
  <si>
    <t xml:space="preserve">TC</t>
  </si>
  <si>
    <t xml:space="preserve">29</t>
  </si>
  <si>
    <t xml:space="preserve">30</t>
  </si>
  <si>
    <t xml:space="preserve">31</t>
  </si>
  <si>
    <t xml:space="preserve">E10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</si>
  <si>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</si>
  <si>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</si>
  <si>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</si>
  <si>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</si>
  <si>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</si>
  <si>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</si>
  <si>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G6</t>
  </si>
  <si>
    <t xml:space="preserve">NHÀ THẦU THI CÔNG</t>
  </si>
  <si>
    <t xml:space="preserve">TƯ VẤN GIÁM SÁT</t>
  </si>
  <si>
    <t xml:space="preserve">Nguyễn Xuân Hưng</t>
  </si>
  <si>
    <t xml:space="preserve">Trần Mạnh Tùng</t>
  </si>
  <si>
    <t xml:space="preserve">PHỤ LỤC KHỐI LƯỢNG </t>
  </si>
  <si>
    <t xml:space="preserve">STT</t>
  </si>
  <si>
    <t xml:space="preserve">K/c lẻ</t>
  </si>
  <si>
    <t xml:space="preserve">Đào xử lý nền đường</t>
  </si>
  <si>
    <t xml:space="preserve">Diện tích</t>
  </si>
  <si>
    <t xml:space="preserve">Khối lượng</t>
  </si>
  <si>
    <t xml:space="preserve">Tổng cộng (m3)</t>
  </si>
  <si>
    <t xml:space="preserve">                 </t>
  </si>
  <si>
    <t xml:space="preserve">Kèm theo BBNT số: 19.NĐXD8/CVXD ngày 25 tháng 08 năm 2026</t>
  </si>
  <si>
    <t xml:space="preserve">Đắp đất nền đường lớp 2, độ chặt K&gt;=0,98 đoạn từ Km0+211,00 - Km0+737,36</t>
  </si>
  <si>
    <t xml:space="preserve">Kèm theo BBNT số: 21.NĐXD8/CVXD ngày 26 tháng 08 năm 2026</t>
  </si>
  <si>
    <t xml:space="preserve">Đắp cấp phối đá dăm loại 2 đoạn từ Km0+211,00 - Km0+737,36</t>
  </si>
  <si>
    <t xml:space="preserve">Kèm theo BBNT số: 24.NĐXD8/CVXD ngày 27 tháng 08 năm 2026</t>
  </si>
  <si>
    <t xml:space="preserve">Đắp cấp phối đá dăm loại 1 đoạn từ Km0+211,00 - Km0+737,36</t>
  </si>
  <si>
    <t xml:space="preserve">Lê Minh Hải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</si>
</sst>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_(* #,##0.00_);_(* \(#,##0.00\);_(* \-??_);_(@_)"/>
    <numFmt numFmtId="166" formatCode="#,##0.00;\-#,##0.00;;@"/>
    <numFmt numFmtId="167" formatCode="&quot;Km&quot;0\+000.00"/>
    <numFmt numFmtId="168" formatCode="#,##0.000"/>
    <numFmt numFmtId="169" formatCode="0.00"/>
    <numFmt numFmtId="170" formatCode="0.00_);\(0.00\)"/>
    <numFmt numFmtId="171" formatCode="_-* #,##0.00\ _₫_-;\-* #,##0.00\ _₫_-;_-* \-??\ _₫_-;_-@_-"/>
    <numFmt numFmtId="172" formatCode="_(* #,##0.000_);_(* \(#,##0.000\);_(* \-??_);_(@_)"/>
    <numFmt numFmtId="173" formatCode="_-* #,##0\ _₫_-;\-* #,##0\ _₫_-;_-* \-??\ _₫_-;_-@_-"/>
    <numFmt numFmtId="174" formatCode="_(* #,##0_);_(* \(#,##0\);_(* \-??_);_(@_)"/>
    <numFmt numFmtId="175" formatCode="0"/>
  </numFmts>
  <fonts count="32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sz val="14"/>
      <color theme="1"/>
      <name val="Times New Roman"/>
      <family val="2"/>
      <charset val="163"/>
    </font>
    <font>
      <b val="true"/>
      <sz val="12"/>
      <name val="Times New Roman"/>
      <family val="1"/>
      <charset val="1"/>
    </font>
    <font>
      <sz val="16"/>
      <name val="Times New Roman"/>
      <family val="1"/>
      <charset val="1"/>
    </font>
    <font>
      <i val="true"/>
      <sz val="14"/>
      <name val="Times New Roman"/>
      <family val="1"/>
      <charset val="1"/>
    </font>
    <font>
      <sz val="14"/>
      <name val="Times New Roman"/>
      <family val="1"/>
      <charset val="1"/>
    </font>
    <font>
      <b val="true"/>
      <sz val="14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name val="Times New Roman"/>
      <family val="1"/>
      <charset val="1"/>
    </font>
    <font>
      <sz val="12"/>
      <color theme="1"/>
      <name val="Calibri"/>
      <family val="2"/>
      <charset val="163"/>
    </font>
    <font>
      <sz val="12"/>
      <name val="Times New Roman"/>
      <family val="1"/>
      <charset val="1"/>
    </font>
    <font>
      <sz val="10"/>
      <name val="Times New Roman"/>
      <family val="1"/>
      <charset val="1"/>
    </font>
    <font>
      <b val="true"/>
      <sz val="13"/>
      <name val="Times New Roman"/>
      <family val="1"/>
      <charset val="1"/>
    </font>
    <font>
      <sz val="13"/>
      <name val="Times New Roman"/>
      <family val="2"/>
      <charset val="1"/>
    </font>
    <font>
      <i val="true"/>
      <sz val="13"/>
      <name val="Times New Roman"/>
      <family val="1"/>
      <charset val="1"/>
    </font>
    <font>
      <sz val="13"/>
      <name val="Times New Roman"/>
      <family val="1"/>
      <charset val="1"/>
    </font>
    <font>
      <sz val="13"/>
      <name val=".VnTime"/>
      <family val="2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2"/>
      <charset val="163"/>
    </font>
    <font>
      <sz val="13"/>
      <name val=".VnTimeH"/>
      <family val="2"/>
      <charset val="1"/>
    </font>
    <font>
      <sz val="11"/>
      <name val="Arial"/>
      <family val="2"/>
      <charset val="1"/>
    </font>
    <font>
      <sz val="11"/>
      <name val=".VnTime"/>
      <family val="2"/>
      <charset val="1"/>
    </font>
    <font>
      <sz val="12"/>
      <name val=".VnTime"/>
      <family val="2"/>
      <charset val="1"/>
    </font>
    <font>
      <b val="true"/>
      <sz val="11"/>
      <name val=".vntime"/>
      <family val="2"/>
      <charset val="1"/>
    </font>
    <font>
      <b val="true"/>
      <sz val="12"/>
      <name val=".VnTime"/>
      <family val="2"/>
      <charset val="1"/>
    </font>
    <font>
      <sz val="13"/>
      <name val="Arial"/>
      <family val="2"/>
      <charset val="1"/>
    </font>
    <font>
      <b val="true"/>
      <sz val="13"/>
      <name val=".vntime"/>
      <family val="2"/>
      <charset val="1"/>
    </font>
    <font>
      <sz val="1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hair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5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2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2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2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9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4" fillId="2" borderId="4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1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9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6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6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6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9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9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9" fillId="2" borderId="4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9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6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1" fillId="2" borderId="4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4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Normal 2" xfId="22"/>
    <cellStyle name="Normal 2 2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228600</xdr:colOff>
      <xdr:row>7</xdr:row>
      <xdr:rowOff>228600</xdr:rowOff>
    </xdr:from>
    <xdr:to>
      <xdr:col>18</xdr:col>
      <xdr:colOff>130680</xdr:colOff>
      <xdr:row>19</xdr:row>
      <xdr:rowOff>56880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701640" y="1914480"/>
          <a:ext cx="9355320" cy="2161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530640</xdr:colOff>
      <xdr:row>7</xdr:row>
      <xdr:rowOff>204120</xdr:rowOff>
    </xdr:from>
    <xdr:to>
      <xdr:col>17</xdr:col>
      <xdr:colOff>108360</xdr:colOff>
      <xdr:row>18</xdr:row>
      <xdr:rowOff>59760</xdr:rowOff>
    </xdr:to>
    <xdr:pic>
      <xdr:nvPicPr>
        <xdr:cNvPr id="1" name="Picture 3" descr=""/>
        <xdr:cNvPicPr/>
      </xdr:nvPicPr>
      <xdr:blipFill>
        <a:blip r:embed="rId1"/>
        <a:stretch/>
      </xdr:blipFill>
      <xdr:spPr>
        <a:xfrm>
          <a:off x="1003680" y="1890000"/>
          <a:ext cx="8205480" cy="1998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612360</xdr:colOff>
      <xdr:row>7</xdr:row>
      <xdr:rowOff>149760</xdr:rowOff>
    </xdr:from>
    <xdr:to>
      <xdr:col>17</xdr:col>
      <xdr:colOff>494640</xdr:colOff>
      <xdr:row>18</xdr:row>
      <xdr:rowOff>108720</xdr:rowOff>
    </xdr:to>
    <xdr:pic>
      <xdr:nvPicPr>
        <xdr:cNvPr id="2" name="Picture 3" descr=""/>
        <xdr:cNvPicPr/>
      </xdr:nvPicPr>
      <xdr:blipFill>
        <a:blip r:embed="rId1"/>
        <a:stretch/>
      </xdr:blipFill>
      <xdr:spPr>
        <a:xfrm>
          <a:off x="1085400" y="1835640"/>
          <a:ext cx="8510040" cy="2102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585000</xdr:colOff>
      <xdr:row>7</xdr:row>
      <xdr:rowOff>136080</xdr:rowOff>
    </xdr:from>
    <xdr:to>
      <xdr:col>18</xdr:col>
      <xdr:colOff>103320</xdr:colOff>
      <xdr:row>17</xdr:row>
      <xdr:rowOff>135720</xdr:rowOff>
    </xdr:to>
    <xdr:pic>
      <xdr:nvPicPr>
        <xdr:cNvPr id="3" name="Picture 3" descr=""/>
        <xdr:cNvPicPr/>
      </xdr:nvPicPr>
      <xdr:blipFill>
        <a:blip r:embed="rId1"/>
        <a:stretch/>
      </xdr:blipFill>
      <xdr:spPr>
        <a:xfrm>
          <a:off x="1058040" y="1821960"/>
          <a:ext cx="8971560" cy="19522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67"/>
  <sheetViews>
    <sheetView showFormulas="false" showGridLines="true" showRowColHeaders="true" showZeros="true" rightToLeft="false" tabSelected="false" showOutlineSymbols="true" defaultGridColor="true" view="normal" topLeftCell="A35" colorId="64" zoomScale="70" zoomScaleNormal="70" zoomScalePageLayoutView="100" workbookViewId="0">
      <selection pane="topLeft" activeCell="I73" activeCellId="0" sqref="I7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12.29"/>
    <col collapsed="false" customWidth="true" hidden="false" outlineLevel="0" max="3" min="3" style="1" width="16.43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</row>
    <row r="2" customFormat="false" ht="18.75" hidden="false" customHeight="true" outlineLevel="0" collapsed="false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U2" s="5"/>
      <c r="V2" s="5"/>
      <c r="W2" s="5"/>
    </row>
    <row r="3" customFormat="false" ht="18.75" hidden="false" customHeight="true" outlineLevel="0" collapsed="false">
      <c r="A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customFormat="false" ht="18.75" hidden="false" customHeight="true" outlineLevel="0" collapsed="false">
      <c r="A4" s="6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customFormat="false" ht="18.75" hidden="false" customHeight="true" outlineLevel="0" collapsed="false">
      <c r="A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customFormat="false" ht="18.75" hidden="false" customHeight="true" outlineLevel="0" collapsed="false">
      <c r="A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customFormat="false" ht="18.75" hidden="false" customHeight="true" outlineLevel="0" collapsed="false">
      <c r="A7" s="7" t="s">
        <v>6</v>
      </c>
      <c r="C7" s="6"/>
      <c r="D7" s="6"/>
      <c r="F7" s="6"/>
      <c r="G7" s="6" t="s">
        <v>7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customFormat="false" ht="18.75" hidden="false" customHeight="true" outlineLevel="0" collapsed="false">
      <c r="A8" s="7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21" s="10" customFormat="true" ht="15.75" hidden="false" customHeight="true" outlineLevel="0" collapsed="false">
      <c r="A21" s="8" t="s">
        <v>9</v>
      </c>
      <c r="B21" s="8" t="s">
        <v>10</v>
      </c>
      <c r="C21" s="8" t="s">
        <v>11</v>
      </c>
      <c r="D21" s="9" t="s">
        <v>12</v>
      </c>
      <c r="E21" s="9"/>
      <c r="F21" s="9"/>
      <c r="G21" s="9"/>
      <c r="H21" s="9"/>
      <c r="I21" s="9"/>
      <c r="J21" s="9" t="s">
        <v>13</v>
      </c>
      <c r="K21" s="9"/>
      <c r="L21" s="9"/>
      <c r="M21" s="9" t="s">
        <v>14</v>
      </c>
      <c r="N21" s="9"/>
      <c r="O21" s="9"/>
      <c r="P21" s="9"/>
      <c r="Q21" s="9"/>
      <c r="R21" s="9"/>
      <c r="S21" s="8" t="s">
        <v>15</v>
      </c>
      <c r="W21" s="10" t="s">
        <v>16</v>
      </c>
    </row>
    <row r="22" s="10" customFormat="true" ht="30" hidden="false" customHeight="true" outlineLevel="0" collapsed="false">
      <c r="A22" s="8"/>
      <c r="B22" s="8"/>
      <c r="C22" s="8"/>
      <c r="D22" s="11" t="s">
        <v>17</v>
      </c>
      <c r="E22" s="11" t="s">
        <v>18</v>
      </c>
      <c r="F22" s="11" t="s">
        <v>19</v>
      </c>
      <c r="G22" s="11" t="s">
        <v>20</v>
      </c>
      <c r="H22" s="11" t="s">
        <v>21</v>
      </c>
      <c r="I22" s="11" t="s">
        <v>22</v>
      </c>
      <c r="J22" s="11" t="s">
        <v>20</v>
      </c>
      <c r="K22" s="11" t="s">
        <v>21</v>
      </c>
      <c r="L22" s="11" t="s">
        <v>22</v>
      </c>
      <c r="M22" s="11" t="s">
        <v>17</v>
      </c>
      <c r="N22" s="11" t="s">
        <v>18</v>
      </c>
      <c r="O22" s="11" t="s">
        <v>19</v>
      </c>
      <c r="P22" s="11" t="s">
        <v>20</v>
      </c>
      <c r="Q22" s="11" t="s">
        <v>21</v>
      </c>
      <c r="R22" s="11" t="s">
        <v>22</v>
      </c>
      <c r="S22" s="8"/>
      <c r="T22" s="12"/>
    </row>
    <row r="23" s="10" customFormat="true" ht="18" hidden="false" customHeight="true" outlineLevel="0" collapsed="false">
      <c r="A23" s="13" t="n">
        <v>1</v>
      </c>
      <c r="B23" s="14" t="s">
        <v>23</v>
      </c>
      <c r="C23" s="15" t="n">
        <v>211</v>
      </c>
      <c r="D23" s="16" t="n">
        <v>-5.25</v>
      </c>
      <c r="E23" s="16" t="n">
        <f aca="false">+D23+F23</f>
        <v>-5.2485</v>
      </c>
      <c r="F23" s="16" t="n">
        <f aca="false">RANDBETWEEN(-105,115)/10000</f>
        <v>0.0015</v>
      </c>
      <c r="G23" s="16" t="n">
        <f aca="false">J23-4.95*2%-0.3*6%</f>
        <v>2.3</v>
      </c>
      <c r="H23" s="16" t="n">
        <f aca="false">G23+I23</f>
        <v>2.357</v>
      </c>
      <c r="I23" s="16" t="n">
        <f aca="false">RANDBETWEEN(-20,70)/1000</f>
        <v>0.057</v>
      </c>
      <c r="J23" s="16" t="n">
        <f aca="false">W23+0.25</f>
        <v>2.417</v>
      </c>
      <c r="K23" s="16" t="n">
        <f aca="false">J23+L23</f>
        <v>2.454</v>
      </c>
      <c r="L23" s="16" t="n">
        <f aca="false">RANDBETWEEN(-20,70)/1000</f>
        <v>0.037</v>
      </c>
      <c r="M23" s="16" t="n">
        <v>5.25</v>
      </c>
      <c r="N23" s="16" t="n">
        <f aca="false">+M23+O23</f>
        <v>5.258</v>
      </c>
      <c r="O23" s="16" t="n">
        <f aca="false">RANDBETWEEN(-105,115)/10000</f>
        <v>0.008</v>
      </c>
      <c r="P23" s="16" t="n">
        <f aca="false">G23</f>
        <v>2.3</v>
      </c>
      <c r="Q23" s="16" t="n">
        <f aca="false">P23+R23</f>
        <v>2.335</v>
      </c>
      <c r="R23" s="16" t="n">
        <f aca="false">RANDBETWEEN(-20,70)/1000</f>
        <v>0.035</v>
      </c>
      <c r="S23" s="17"/>
      <c r="T23" s="18" t="n">
        <v>13.25</v>
      </c>
      <c r="V23" s="19"/>
      <c r="W23" s="20" t="n">
        <v>2.167</v>
      </c>
    </row>
    <row r="24" s="10" customFormat="true" ht="18" hidden="false" customHeight="true" outlineLevel="0" collapsed="false">
      <c r="A24" s="13" t="n">
        <v>2</v>
      </c>
      <c r="B24" s="14" t="s">
        <v>24</v>
      </c>
      <c r="C24" s="15" t="n">
        <f aca="false">+C23+T23</f>
        <v>224.25</v>
      </c>
      <c r="D24" s="16" t="n">
        <v>-5.25</v>
      </c>
      <c r="E24" s="16" t="n">
        <f aca="false">+D24+F24</f>
        <v>-5.2491</v>
      </c>
      <c r="F24" s="16" t="n">
        <f aca="false">RANDBETWEEN(-105,115)/10000</f>
        <v>0.0009</v>
      </c>
      <c r="G24" s="16" t="n">
        <f aca="false">J24-4.95*2%-0.3*6%</f>
        <v>2.292</v>
      </c>
      <c r="H24" s="16" t="n">
        <f aca="false">G24+I24</f>
        <v>2.353</v>
      </c>
      <c r="I24" s="16" t="n">
        <f aca="false">RANDBETWEEN(-20,70)/1000</f>
        <v>0.061</v>
      </c>
      <c r="J24" s="16" t="n">
        <f aca="false">W24+0.25</f>
        <v>2.409</v>
      </c>
      <c r="K24" s="16" t="n">
        <f aca="false">J24+L24</f>
        <v>2.468</v>
      </c>
      <c r="L24" s="16" t="n">
        <f aca="false">RANDBETWEEN(-20,70)/1000</f>
        <v>0.059</v>
      </c>
      <c r="M24" s="16" t="n">
        <v>5.25</v>
      </c>
      <c r="N24" s="16" t="n">
        <f aca="false">+M24+O24</f>
        <v>5.244</v>
      </c>
      <c r="O24" s="16" t="n">
        <f aca="false">RANDBETWEEN(-105,115)/10000</f>
        <v>-0.006</v>
      </c>
      <c r="P24" s="16" t="n">
        <f aca="false">G24</f>
        <v>2.292</v>
      </c>
      <c r="Q24" s="16" t="n">
        <f aca="false">P24+R24</f>
        <v>2.348</v>
      </c>
      <c r="R24" s="16" t="n">
        <f aca="false">RANDBETWEEN(-20,70)/1000</f>
        <v>0.056</v>
      </c>
      <c r="S24" s="17"/>
      <c r="T24" s="18" t="n">
        <v>21.5</v>
      </c>
      <c r="V24" s="19"/>
      <c r="W24" s="20" t="n">
        <v>2.159</v>
      </c>
    </row>
    <row r="25" s="10" customFormat="true" ht="18" hidden="false" customHeight="true" outlineLevel="0" collapsed="false">
      <c r="A25" s="13" t="n">
        <v>3</v>
      </c>
      <c r="B25" s="14" t="s">
        <v>25</v>
      </c>
      <c r="C25" s="15" t="n">
        <f aca="false">+C24+T24</f>
        <v>245.75</v>
      </c>
      <c r="D25" s="16" t="n">
        <v>-5.25</v>
      </c>
      <c r="E25" s="16" t="n">
        <f aca="false">+D25+F25</f>
        <v>-5.2582</v>
      </c>
      <c r="F25" s="16" t="n">
        <f aca="false">RANDBETWEEN(-105,115)/10000</f>
        <v>-0.0082</v>
      </c>
      <c r="G25" s="16" t="n">
        <f aca="false">J25-4.95*2%-0.3*6%</f>
        <v>2.273</v>
      </c>
      <c r="H25" s="16" t="n">
        <f aca="false">G25+I25</f>
        <v>2.28</v>
      </c>
      <c r="I25" s="16" t="n">
        <f aca="false">RANDBETWEEN(-20,70)/1000</f>
        <v>0.007</v>
      </c>
      <c r="J25" s="16" t="n">
        <f aca="false">W25+0.25</f>
        <v>2.39</v>
      </c>
      <c r="K25" s="16" t="n">
        <f aca="false">J25+L25</f>
        <v>2.435</v>
      </c>
      <c r="L25" s="16" t="n">
        <f aca="false">RANDBETWEEN(-20,70)/1000</f>
        <v>0.045</v>
      </c>
      <c r="M25" s="16" t="n">
        <v>5.25</v>
      </c>
      <c r="N25" s="16" t="n">
        <f aca="false">+M25+O25</f>
        <v>5.2426</v>
      </c>
      <c r="O25" s="16" t="n">
        <f aca="false">RANDBETWEEN(-105,115)/10000</f>
        <v>-0.0074</v>
      </c>
      <c r="P25" s="16" t="n">
        <f aca="false">G25</f>
        <v>2.273</v>
      </c>
      <c r="Q25" s="16" t="n">
        <f aca="false">P25+R25</f>
        <v>2.294</v>
      </c>
      <c r="R25" s="16" t="n">
        <f aca="false">RANDBETWEEN(-20,70)/1000</f>
        <v>0.021</v>
      </c>
      <c r="S25" s="17"/>
      <c r="T25" s="18" t="n">
        <v>11.75</v>
      </c>
      <c r="V25" s="19"/>
      <c r="W25" s="20" t="n">
        <v>2.14</v>
      </c>
    </row>
    <row r="26" s="10" customFormat="true" ht="18" hidden="false" customHeight="true" outlineLevel="0" collapsed="false">
      <c r="A26" s="13" t="n">
        <v>4</v>
      </c>
      <c r="B26" s="14" t="s">
        <v>26</v>
      </c>
      <c r="C26" s="15" t="n">
        <f aca="false">+C25+T25</f>
        <v>257.5</v>
      </c>
      <c r="D26" s="16" t="n">
        <v>-5.25</v>
      </c>
      <c r="E26" s="16" t="n">
        <f aca="false">+D26+F26</f>
        <v>-5.2494</v>
      </c>
      <c r="F26" s="16" t="n">
        <f aca="false">RANDBETWEEN(-105,115)/10000</f>
        <v>0.0006</v>
      </c>
      <c r="G26" s="16" t="n">
        <f aca="false">J26-4.95*2%-0.3*6%</f>
        <v>2.265</v>
      </c>
      <c r="H26" s="16" t="n">
        <f aca="false">G26+I26</f>
        <v>2.308</v>
      </c>
      <c r="I26" s="16" t="n">
        <f aca="false">RANDBETWEEN(-20,70)/1000</f>
        <v>0.043</v>
      </c>
      <c r="J26" s="16" t="n">
        <f aca="false">W26+0.25</f>
        <v>2.382</v>
      </c>
      <c r="K26" s="16" t="n">
        <f aca="false">J26+L26</f>
        <v>2.451</v>
      </c>
      <c r="L26" s="16" t="n">
        <f aca="false">RANDBETWEEN(-20,70)/1000</f>
        <v>0.069</v>
      </c>
      <c r="M26" s="16" t="n">
        <v>5.25</v>
      </c>
      <c r="N26" s="16" t="n">
        <f aca="false">+M26+O26</f>
        <v>5.2413</v>
      </c>
      <c r="O26" s="16" t="n">
        <f aca="false">RANDBETWEEN(-105,115)/10000</f>
        <v>-0.0087</v>
      </c>
      <c r="P26" s="16" t="n">
        <f aca="false">G26</f>
        <v>2.265</v>
      </c>
      <c r="Q26" s="16" t="n">
        <f aca="false">P26+R26</f>
        <v>2.3</v>
      </c>
      <c r="R26" s="16" t="n">
        <f aca="false">RANDBETWEEN(-20,70)/1000</f>
        <v>0.035</v>
      </c>
      <c r="S26" s="17"/>
      <c r="T26" s="18" t="n">
        <v>11.75</v>
      </c>
      <c r="V26" s="19"/>
      <c r="W26" s="20" t="n">
        <v>2.132</v>
      </c>
    </row>
    <row r="27" s="10" customFormat="true" ht="18" hidden="false" customHeight="true" outlineLevel="0" collapsed="false">
      <c r="A27" s="13" t="n">
        <v>5</v>
      </c>
      <c r="B27" s="14" t="s">
        <v>27</v>
      </c>
      <c r="C27" s="15" t="n">
        <f aca="false">+C26+T26</f>
        <v>269.25</v>
      </c>
      <c r="D27" s="16" t="n">
        <v>-5.25</v>
      </c>
      <c r="E27" s="16" t="n">
        <f aca="false">+D27+F27</f>
        <v>-5.2474</v>
      </c>
      <c r="F27" s="16" t="n">
        <f aca="false">RANDBETWEEN(-105,115)/10000</f>
        <v>0.0026</v>
      </c>
      <c r="G27" s="16" t="n">
        <f aca="false">J27-4.95*2%-0.3*6%</f>
        <v>2.256</v>
      </c>
      <c r="H27" s="16" t="n">
        <f aca="false">G27+I27</f>
        <v>2.297</v>
      </c>
      <c r="I27" s="16" t="n">
        <f aca="false">RANDBETWEEN(-20,70)/1000</f>
        <v>0.041</v>
      </c>
      <c r="J27" s="16" t="n">
        <f aca="false">W27+0.25</f>
        <v>2.373</v>
      </c>
      <c r="K27" s="16" t="n">
        <f aca="false">J27+L27</f>
        <v>2.4</v>
      </c>
      <c r="L27" s="16" t="n">
        <f aca="false">RANDBETWEEN(-20,70)/1000</f>
        <v>0.027</v>
      </c>
      <c r="M27" s="16" t="n">
        <v>5.25</v>
      </c>
      <c r="N27" s="16" t="n">
        <f aca="false">+M27+O27</f>
        <v>5.2451</v>
      </c>
      <c r="O27" s="16" t="n">
        <f aca="false">RANDBETWEEN(-105,115)/10000</f>
        <v>-0.0049</v>
      </c>
      <c r="P27" s="16" t="n">
        <f aca="false">G27</f>
        <v>2.256</v>
      </c>
      <c r="Q27" s="16" t="n">
        <f aca="false">P27+R27</f>
        <v>2.297</v>
      </c>
      <c r="R27" s="16" t="n">
        <f aca="false">RANDBETWEEN(-20,70)/1000</f>
        <v>0.041</v>
      </c>
      <c r="S27" s="17"/>
      <c r="T27" s="18" t="n">
        <v>20</v>
      </c>
      <c r="V27" s="19"/>
      <c r="W27" s="20" t="n">
        <v>2.123</v>
      </c>
    </row>
    <row r="28" s="10" customFormat="true" ht="18" hidden="false" customHeight="true" outlineLevel="0" collapsed="false">
      <c r="A28" s="13" t="n">
        <v>6</v>
      </c>
      <c r="B28" s="14" t="s">
        <v>28</v>
      </c>
      <c r="C28" s="15" t="n">
        <f aca="false">+C27+T27</f>
        <v>289.25</v>
      </c>
      <c r="D28" s="16" t="n">
        <v>-5.25</v>
      </c>
      <c r="E28" s="16" t="n">
        <f aca="false">+D28+F28</f>
        <v>-5.2393</v>
      </c>
      <c r="F28" s="16" t="n">
        <f aca="false">RANDBETWEEN(-105,115)/10000</f>
        <v>0.0107</v>
      </c>
      <c r="G28" s="16" t="n">
        <f aca="false">J28-4.95*2%-0.3*6%</f>
        <v>2.245</v>
      </c>
      <c r="H28" s="16" t="n">
        <f aca="false">G28+I28</f>
        <v>2.309</v>
      </c>
      <c r="I28" s="16" t="n">
        <f aca="false">RANDBETWEEN(-20,70)/1000</f>
        <v>0.064</v>
      </c>
      <c r="J28" s="16" t="n">
        <f aca="false">W28+0.25</f>
        <v>2.362</v>
      </c>
      <c r="K28" s="16" t="n">
        <f aca="false">J28+L28</f>
        <v>2.401</v>
      </c>
      <c r="L28" s="16" t="n">
        <f aca="false">RANDBETWEEN(-20,70)/1000</f>
        <v>0.039</v>
      </c>
      <c r="M28" s="16" t="n">
        <v>5.25</v>
      </c>
      <c r="N28" s="16" t="n">
        <f aca="false">+M28+O28</f>
        <v>5.2572</v>
      </c>
      <c r="O28" s="16" t="n">
        <f aca="false">RANDBETWEEN(-105,115)/10000</f>
        <v>0.0072</v>
      </c>
      <c r="P28" s="16" t="n">
        <f aca="false">G28</f>
        <v>2.245</v>
      </c>
      <c r="Q28" s="16" t="n">
        <f aca="false">P28+R28</f>
        <v>2.314</v>
      </c>
      <c r="R28" s="16" t="n">
        <f aca="false">RANDBETWEEN(-20,70)/1000</f>
        <v>0.069</v>
      </c>
      <c r="S28" s="17"/>
      <c r="T28" s="18" t="n">
        <v>20</v>
      </c>
      <c r="V28" s="19"/>
      <c r="W28" s="20" t="n">
        <v>2.112</v>
      </c>
    </row>
    <row r="29" s="10" customFormat="true" ht="18" hidden="false" customHeight="true" outlineLevel="0" collapsed="false">
      <c r="A29" s="13" t="n">
        <v>7</v>
      </c>
      <c r="B29" s="14" t="s">
        <v>29</v>
      </c>
      <c r="C29" s="15" t="n">
        <f aca="false">+C28+T28</f>
        <v>309.25</v>
      </c>
      <c r="D29" s="16" t="n">
        <v>-5.25</v>
      </c>
      <c r="E29" s="16" t="n">
        <f aca="false">+D29+F29</f>
        <v>-5.2404</v>
      </c>
      <c r="F29" s="16" t="n">
        <f aca="false">RANDBETWEEN(-105,115)/10000</f>
        <v>0.0096</v>
      </c>
      <c r="G29" s="16" t="n">
        <f aca="false">J29-4.95*2%-0.3*6%</f>
        <v>2.234</v>
      </c>
      <c r="H29" s="16" t="n">
        <f aca="false">G29+I29</f>
        <v>2.233</v>
      </c>
      <c r="I29" s="16" t="n">
        <f aca="false">RANDBETWEEN(-20,70)/1000</f>
        <v>-0.001</v>
      </c>
      <c r="J29" s="16" t="n">
        <f aca="false">W29+0.25</f>
        <v>2.351</v>
      </c>
      <c r="K29" s="16" t="n">
        <f aca="false">J29+L29</f>
        <v>2.372</v>
      </c>
      <c r="L29" s="16" t="n">
        <f aca="false">RANDBETWEEN(-20,70)/1000</f>
        <v>0.021</v>
      </c>
      <c r="M29" s="16" t="n">
        <v>5.25</v>
      </c>
      <c r="N29" s="16" t="n">
        <f aca="false">+M29+O29</f>
        <v>5.2576</v>
      </c>
      <c r="O29" s="16" t="n">
        <f aca="false">RANDBETWEEN(-105,115)/10000</f>
        <v>0.0076</v>
      </c>
      <c r="P29" s="16" t="n">
        <f aca="false">G29</f>
        <v>2.234</v>
      </c>
      <c r="Q29" s="16" t="n">
        <f aca="false">P29+R29</f>
        <v>2.22</v>
      </c>
      <c r="R29" s="16" t="n">
        <f aca="false">RANDBETWEEN(-20,70)/1000</f>
        <v>-0.014</v>
      </c>
      <c r="S29" s="17"/>
      <c r="T29" s="18" t="n">
        <v>20</v>
      </c>
      <c r="V29" s="19"/>
      <c r="W29" s="20" t="n">
        <v>2.101</v>
      </c>
    </row>
    <row r="30" s="10" customFormat="true" ht="18" hidden="false" customHeight="true" outlineLevel="0" collapsed="false">
      <c r="A30" s="13" t="n">
        <v>8</v>
      </c>
      <c r="B30" s="14" t="s">
        <v>30</v>
      </c>
      <c r="C30" s="15" t="n">
        <f aca="false">+C29+T29</f>
        <v>329.25</v>
      </c>
      <c r="D30" s="16" t="n">
        <v>-5.25</v>
      </c>
      <c r="E30" s="16" t="n">
        <f aca="false">+D30+F30</f>
        <v>-5.2497</v>
      </c>
      <c r="F30" s="16" t="n">
        <f aca="false">RANDBETWEEN(-105,115)/10000</f>
        <v>0.0003</v>
      </c>
      <c r="G30" s="16" t="n">
        <f aca="false">J30-4.95*2%-0.3*6%</f>
        <v>2.223</v>
      </c>
      <c r="H30" s="16" t="n">
        <f aca="false">G30+I30</f>
        <v>2.248</v>
      </c>
      <c r="I30" s="16" t="n">
        <f aca="false">RANDBETWEEN(-20,70)/1000</f>
        <v>0.025</v>
      </c>
      <c r="J30" s="16" t="n">
        <f aca="false">W30+0.25</f>
        <v>2.34</v>
      </c>
      <c r="K30" s="16" t="n">
        <f aca="false">J30+L30</f>
        <v>2.323</v>
      </c>
      <c r="L30" s="16" t="n">
        <f aca="false">RANDBETWEEN(-20,70)/1000</f>
        <v>-0.017</v>
      </c>
      <c r="M30" s="16" t="n">
        <v>5.25</v>
      </c>
      <c r="N30" s="16" t="n">
        <f aca="false">+M30+O30</f>
        <v>5.2554</v>
      </c>
      <c r="O30" s="16" t="n">
        <f aca="false">RANDBETWEEN(-105,115)/10000</f>
        <v>0.0054</v>
      </c>
      <c r="P30" s="16" t="n">
        <f aca="false">G30</f>
        <v>2.223</v>
      </c>
      <c r="Q30" s="16" t="n">
        <f aca="false">P30+R30</f>
        <v>2.244</v>
      </c>
      <c r="R30" s="16" t="n">
        <f aca="false">RANDBETWEEN(-20,70)/1000</f>
        <v>0.021</v>
      </c>
      <c r="S30" s="17"/>
      <c r="T30" s="18" t="n">
        <v>20</v>
      </c>
      <c r="V30" s="19"/>
      <c r="W30" s="20" t="n">
        <v>2.09</v>
      </c>
    </row>
    <row r="31" s="10" customFormat="true" ht="18" hidden="false" customHeight="true" outlineLevel="0" collapsed="false">
      <c r="A31" s="13" t="n">
        <v>9</v>
      </c>
      <c r="B31" s="14" t="s">
        <v>31</v>
      </c>
      <c r="C31" s="15" t="n">
        <f aca="false">+C30+T30</f>
        <v>349.25</v>
      </c>
      <c r="D31" s="16" t="n">
        <v>-5.25</v>
      </c>
      <c r="E31" s="16" t="n">
        <f aca="false">+D31+F31</f>
        <v>-5.2505</v>
      </c>
      <c r="F31" s="16" t="n">
        <f aca="false">RANDBETWEEN(-105,115)/10000</f>
        <v>-0.0005</v>
      </c>
      <c r="G31" s="16" t="n">
        <f aca="false">J31-4.95*2%-0.3*6%</f>
        <v>2.211</v>
      </c>
      <c r="H31" s="16" t="n">
        <f aca="false">G31+I31</f>
        <v>2.204</v>
      </c>
      <c r="I31" s="16" t="n">
        <f aca="false">RANDBETWEEN(-20,70)/1000</f>
        <v>-0.007</v>
      </c>
      <c r="J31" s="16" t="n">
        <f aca="false">W31+0.25</f>
        <v>2.328</v>
      </c>
      <c r="K31" s="16" t="n">
        <f aca="false">J31+L31</f>
        <v>2.356</v>
      </c>
      <c r="L31" s="16" t="n">
        <f aca="false">RANDBETWEEN(-20,70)/1000</f>
        <v>0.028</v>
      </c>
      <c r="M31" s="16" t="n">
        <v>5.25</v>
      </c>
      <c r="N31" s="16" t="n">
        <f aca="false">+M31+O31</f>
        <v>5.2436</v>
      </c>
      <c r="O31" s="16" t="n">
        <f aca="false">RANDBETWEEN(-105,115)/10000</f>
        <v>-0.0064</v>
      </c>
      <c r="P31" s="16" t="n">
        <f aca="false">G31</f>
        <v>2.211</v>
      </c>
      <c r="Q31" s="16" t="n">
        <f aca="false">P31+R31</f>
        <v>2.281</v>
      </c>
      <c r="R31" s="16" t="n">
        <f aca="false">RANDBETWEEN(-20,70)/1000</f>
        <v>0.07</v>
      </c>
      <c r="S31" s="17"/>
      <c r="T31" s="18" t="n">
        <v>19</v>
      </c>
      <c r="V31" s="19"/>
      <c r="W31" s="20" t="n">
        <v>2.078</v>
      </c>
    </row>
    <row r="32" s="10" customFormat="true" ht="18" hidden="false" customHeight="true" outlineLevel="0" collapsed="false">
      <c r="A32" s="13" t="n">
        <v>10</v>
      </c>
      <c r="B32" s="14" t="s">
        <v>32</v>
      </c>
      <c r="C32" s="15" t="n">
        <f aca="false">+C31+T31</f>
        <v>368.25</v>
      </c>
      <c r="D32" s="16" t="n">
        <v>-5.25</v>
      </c>
      <c r="E32" s="16" t="n">
        <f aca="false">+D32+F32</f>
        <v>-5.2583</v>
      </c>
      <c r="F32" s="16" t="n">
        <f aca="false">RANDBETWEEN(-105,115)/10000</f>
        <v>-0.0083</v>
      </c>
      <c r="G32" s="16" t="n">
        <f aca="false">J32-4.95*2%-0.3*6%</f>
        <v>2.2</v>
      </c>
      <c r="H32" s="16" t="n">
        <f aca="false">G32+I32</f>
        <v>2.249</v>
      </c>
      <c r="I32" s="16" t="n">
        <f aca="false">RANDBETWEEN(-20,70)/1000</f>
        <v>0.049</v>
      </c>
      <c r="J32" s="16" t="n">
        <f aca="false">W32+0.25</f>
        <v>2.317</v>
      </c>
      <c r="K32" s="16" t="n">
        <f aca="false">J32+L32</f>
        <v>2.382</v>
      </c>
      <c r="L32" s="16" t="n">
        <f aca="false">RANDBETWEEN(-20,70)/1000</f>
        <v>0.065</v>
      </c>
      <c r="M32" s="16" t="n">
        <v>5.25</v>
      </c>
      <c r="N32" s="16" t="n">
        <f aca="false">+M32+O32</f>
        <v>5.2535</v>
      </c>
      <c r="O32" s="16" t="n">
        <f aca="false">RANDBETWEEN(-105,115)/10000</f>
        <v>0.0035</v>
      </c>
      <c r="P32" s="16" t="n">
        <f aca="false">G32</f>
        <v>2.2</v>
      </c>
      <c r="Q32" s="16" t="n">
        <f aca="false">P32+R32</f>
        <v>2.247</v>
      </c>
      <c r="R32" s="16" t="n">
        <f aca="false">RANDBETWEEN(-20,70)/1000</f>
        <v>0.047</v>
      </c>
      <c r="S32" s="17"/>
      <c r="T32" s="18" t="n">
        <v>13.25</v>
      </c>
      <c r="V32" s="19"/>
      <c r="W32" s="20" t="n">
        <v>2.067</v>
      </c>
    </row>
    <row r="33" s="10" customFormat="true" ht="18" hidden="false" customHeight="true" outlineLevel="0" collapsed="false">
      <c r="A33" s="13" t="n">
        <v>11</v>
      </c>
      <c r="B33" s="14" t="s">
        <v>33</v>
      </c>
      <c r="C33" s="15" t="n">
        <f aca="false">+C32+T32</f>
        <v>381.5</v>
      </c>
      <c r="D33" s="16" t="n">
        <v>-5.25</v>
      </c>
      <c r="E33" s="16" t="n">
        <f aca="false">+D33+F33</f>
        <v>-5.2573</v>
      </c>
      <c r="F33" s="16" t="n">
        <f aca="false">RANDBETWEEN(-105,115)/10000</f>
        <v>-0.0073</v>
      </c>
      <c r="G33" s="16" t="n">
        <f aca="false">J33-4.95*2%-0.3*6%</f>
        <v>2.192</v>
      </c>
      <c r="H33" s="16" t="n">
        <f aca="false">G33+I33</f>
        <v>2.199</v>
      </c>
      <c r="I33" s="16" t="n">
        <f aca="false">RANDBETWEEN(-20,70)/1000</f>
        <v>0.007</v>
      </c>
      <c r="J33" s="16" t="n">
        <f aca="false">W33+0.25</f>
        <v>2.309</v>
      </c>
      <c r="K33" s="16" t="n">
        <f aca="false">J33+L33</f>
        <v>2.314</v>
      </c>
      <c r="L33" s="16" t="n">
        <f aca="false">RANDBETWEEN(-20,70)/1000</f>
        <v>0.005</v>
      </c>
      <c r="M33" s="16" t="n">
        <v>5.25</v>
      </c>
      <c r="N33" s="16" t="n">
        <f aca="false">+M33+O33</f>
        <v>5.2406</v>
      </c>
      <c r="O33" s="16" t="n">
        <f aca="false">RANDBETWEEN(-105,115)/10000</f>
        <v>-0.0094</v>
      </c>
      <c r="P33" s="16" t="n">
        <f aca="false">G33</f>
        <v>2.192</v>
      </c>
      <c r="Q33" s="16" t="n">
        <f aca="false">P33+R33</f>
        <v>2.262</v>
      </c>
      <c r="R33" s="16" t="n">
        <f aca="false">RANDBETWEEN(-20,70)/1000</f>
        <v>0.07</v>
      </c>
      <c r="S33" s="17"/>
      <c r="T33" s="18" t="n">
        <v>13.25</v>
      </c>
      <c r="V33" s="19"/>
      <c r="W33" s="20" t="n">
        <v>2.059</v>
      </c>
    </row>
    <row r="34" s="10" customFormat="true" ht="18" hidden="false" customHeight="true" outlineLevel="0" collapsed="false">
      <c r="A34" s="13" t="n">
        <v>12</v>
      </c>
      <c r="B34" s="14" t="s">
        <v>34</v>
      </c>
      <c r="C34" s="15" t="n">
        <f aca="false">+C33+T33</f>
        <v>394.75</v>
      </c>
      <c r="D34" s="16" t="n">
        <v>-5.25</v>
      </c>
      <c r="E34" s="16" t="n">
        <f aca="false">+D34+F34</f>
        <v>-5.252</v>
      </c>
      <c r="F34" s="16" t="n">
        <f aca="false">RANDBETWEEN(-105,115)/10000</f>
        <v>-0.002</v>
      </c>
      <c r="G34" s="16" t="n">
        <f aca="false">J34-4.95*2%-0.3*6%</f>
        <v>2.184</v>
      </c>
      <c r="H34" s="16" t="n">
        <f aca="false">G34+I34</f>
        <v>2.218</v>
      </c>
      <c r="I34" s="16" t="n">
        <f aca="false">RANDBETWEEN(-20,70)/1000</f>
        <v>0.034</v>
      </c>
      <c r="J34" s="16" t="n">
        <f aca="false">W34+0.25</f>
        <v>2.301</v>
      </c>
      <c r="K34" s="16" t="n">
        <f aca="false">J34+L34</f>
        <v>2.288</v>
      </c>
      <c r="L34" s="16" t="n">
        <f aca="false">RANDBETWEEN(-20,70)/1000</f>
        <v>-0.013</v>
      </c>
      <c r="M34" s="16" t="n">
        <v>5.25</v>
      </c>
      <c r="N34" s="16" t="n">
        <f aca="false">+M34+O34</f>
        <v>5.2453</v>
      </c>
      <c r="O34" s="16" t="n">
        <f aca="false">RANDBETWEEN(-105,115)/10000</f>
        <v>-0.0047</v>
      </c>
      <c r="P34" s="16" t="n">
        <f aca="false">G34</f>
        <v>2.184</v>
      </c>
      <c r="Q34" s="16" t="n">
        <f aca="false">P34+R34</f>
        <v>2.187</v>
      </c>
      <c r="R34" s="16" t="n">
        <f aca="false">RANDBETWEEN(-20,70)/1000</f>
        <v>0.003</v>
      </c>
      <c r="S34" s="17"/>
      <c r="T34" s="18" t="n">
        <v>20</v>
      </c>
      <c r="V34" s="19"/>
      <c r="W34" s="20" t="n">
        <v>2.051</v>
      </c>
    </row>
    <row r="35" s="10" customFormat="true" ht="18" hidden="false" customHeight="true" outlineLevel="0" collapsed="false">
      <c r="A35" s="13" t="n">
        <v>13</v>
      </c>
      <c r="B35" s="14" t="s">
        <v>35</v>
      </c>
      <c r="C35" s="15" t="n">
        <f aca="false">+C34+T34</f>
        <v>414.75</v>
      </c>
      <c r="D35" s="16" t="n">
        <v>-5.25</v>
      </c>
      <c r="E35" s="16" t="n">
        <f aca="false">+D35+F35</f>
        <v>-5.2544</v>
      </c>
      <c r="F35" s="16" t="n">
        <f aca="false">RANDBETWEEN(-105,115)/10000</f>
        <v>-0.0044</v>
      </c>
      <c r="G35" s="16" t="n">
        <f aca="false">J35-4.95*2%-0.3*6%</f>
        <v>2.171</v>
      </c>
      <c r="H35" s="16" t="n">
        <f aca="false">G35+I35</f>
        <v>2.173</v>
      </c>
      <c r="I35" s="16" t="n">
        <f aca="false">RANDBETWEEN(-20,70)/1000</f>
        <v>0.002</v>
      </c>
      <c r="J35" s="16" t="n">
        <f aca="false">W35+0.25</f>
        <v>2.288</v>
      </c>
      <c r="K35" s="16" t="n">
        <f aca="false">J35+L35</f>
        <v>2.311</v>
      </c>
      <c r="L35" s="16" t="n">
        <f aca="false">RANDBETWEEN(-20,70)/1000</f>
        <v>0.023</v>
      </c>
      <c r="M35" s="16" t="n">
        <v>5.25</v>
      </c>
      <c r="N35" s="16" t="n">
        <f aca="false">+M35+O35</f>
        <v>5.2568</v>
      </c>
      <c r="O35" s="16" t="n">
        <f aca="false">RANDBETWEEN(-105,115)/10000</f>
        <v>0.0068</v>
      </c>
      <c r="P35" s="16" t="n">
        <f aca="false">G35</f>
        <v>2.171</v>
      </c>
      <c r="Q35" s="16" t="n">
        <f aca="false">P35+R35</f>
        <v>2.225</v>
      </c>
      <c r="R35" s="16" t="n">
        <f aca="false">RANDBETWEEN(-20,70)/1000</f>
        <v>0.054</v>
      </c>
      <c r="S35" s="17"/>
      <c r="T35" s="18" t="n">
        <v>20</v>
      </c>
      <c r="V35" s="19"/>
      <c r="W35" s="20" t="n">
        <v>2.038</v>
      </c>
    </row>
    <row r="36" s="10" customFormat="true" ht="18" hidden="false" customHeight="true" outlineLevel="0" collapsed="false">
      <c r="A36" s="13" t="n">
        <v>14</v>
      </c>
      <c r="B36" s="14" t="s">
        <v>36</v>
      </c>
      <c r="C36" s="15" t="n">
        <f aca="false">+C35+T35</f>
        <v>434.75</v>
      </c>
      <c r="D36" s="16" t="n">
        <v>-5.25</v>
      </c>
      <c r="E36" s="16" t="n">
        <f aca="false">+D36+F36</f>
        <v>-5.2397</v>
      </c>
      <c r="F36" s="16" t="n">
        <f aca="false">RANDBETWEEN(-105,115)/10000</f>
        <v>0.0103</v>
      </c>
      <c r="G36" s="16" t="n">
        <f aca="false">J36-4.95*2%-0.3*6%</f>
        <v>2.158</v>
      </c>
      <c r="H36" s="16" t="n">
        <f aca="false">G36+I36</f>
        <v>2.183</v>
      </c>
      <c r="I36" s="16" t="n">
        <f aca="false">RANDBETWEEN(-20,70)/1000</f>
        <v>0.025</v>
      </c>
      <c r="J36" s="16" t="n">
        <f aca="false">W36+0.25</f>
        <v>2.275</v>
      </c>
      <c r="K36" s="16" t="n">
        <f aca="false">J36+L36</f>
        <v>2.283</v>
      </c>
      <c r="L36" s="16" t="n">
        <f aca="false">RANDBETWEEN(-20,70)/1000</f>
        <v>0.008</v>
      </c>
      <c r="M36" s="16" t="n">
        <v>5.25</v>
      </c>
      <c r="N36" s="16" t="n">
        <f aca="false">+M36+O36</f>
        <v>5.2446</v>
      </c>
      <c r="O36" s="16" t="n">
        <f aca="false">RANDBETWEEN(-105,115)/10000</f>
        <v>-0.0054</v>
      </c>
      <c r="P36" s="16" t="n">
        <f aca="false">G36</f>
        <v>2.158</v>
      </c>
      <c r="Q36" s="16" t="n">
        <f aca="false">P36+R36</f>
        <v>2.144</v>
      </c>
      <c r="R36" s="16" t="n">
        <f aca="false">RANDBETWEEN(-20,70)/1000</f>
        <v>-0.014</v>
      </c>
      <c r="S36" s="17"/>
      <c r="T36" s="18" t="n">
        <v>20</v>
      </c>
      <c r="V36" s="19"/>
      <c r="W36" s="20" t="n">
        <v>2.025</v>
      </c>
    </row>
    <row r="37" s="10" customFormat="true" ht="18" hidden="false" customHeight="true" outlineLevel="0" collapsed="false">
      <c r="A37" s="13" t="n">
        <v>15</v>
      </c>
      <c r="B37" s="14" t="s">
        <v>37</v>
      </c>
      <c r="C37" s="15" t="n">
        <f aca="false">+C36+T36</f>
        <v>454.75</v>
      </c>
      <c r="D37" s="16" t="n">
        <v>-5.25</v>
      </c>
      <c r="E37" s="16" t="n">
        <f aca="false">+D37+F37</f>
        <v>-5.2515</v>
      </c>
      <c r="F37" s="16" t="n">
        <f aca="false">RANDBETWEEN(-105,115)/10000</f>
        <v>-0.0015</v>
      </c>
      <c r="G37" s="16" t="n">
        <f aca="false">J37-4.95*2%-0.3*6%</f>
        <v>2.144</v>
      </c>
      <c r="H37" s="16" t="n">
        <f aca="false">G37+I37</f>
        <v>2.139</v>
      </c>
      <c r="I37" s="16" t="n">
        <f aca="false">RANDBETWEEN(-20,70)/1000</f>
        <v>-0.005</v>
      </c>
      <c r="J37" s="16" t="n">
        <f aca="false">W37+0.25</f>
        <v>2.261</v>
      </c>
      <c r="K37" s="16" t="n">
        <f aca="false">J37+L37</f>
        <v>2.296</v>
      </c>
      <c r="L37" s="16" t="n">
        <f aca="false">RANDBETWEEN(-20,70)/1000</f>
        <v>0.035</v>
      </c>
      <c r="M37" s="16" t="n">
        <v>5.25</v>
      </c>
      <c r="N37" s="16" t="n">
        <f aca="false">+M37+O37</f>
        <v>5.246</v>
      </c>
      <c r="O37" s="16" t="n">
        <f aca="false">RANDBETWEEN(-105,115)/10000</f>
        <v>-0.004</v>
      </c>
      <c r="P37" s="16" t="n">
        <f aca="false">G37</f>
        <v>2.144</v>
      </c>
      <c r="Q37" s="16" t="n">
        <f aca="false">P37+R37</f>
        <v>2.125</v>
      </c>
      <c r="R37" s="16" t="n">
        <f aca="false">RANDBETWEEN(-20,70)/1000</f>
        <v>-0.019</v>
      </c>
      <c r="S37" s="17"/>
      <c r="T37" s="18" t="n">
        <v>20</v>
      </c>
      <c r="V37" s="19"/>
      <c r="W37" s="20" t="n">
        <v>2.011</v>
      </c>
    </row>
    <row r="38" s="10" customFormat="true" ht="18" hidden="false" customHeight="true" outlineLevel="0" collapsed="false">
      <c r="A38" s="13" t="n">
        <v>16</v>
      </c>
      <c r="B38" s="14" t="s">
        <v>38</v>
      </c>
      <c r="C38" s="15" t="n">
        <f aca="false">+C37+T37</f>
        <v>474.75</v>
      </c>
      <c r="D38" s="16" t="n">
        <v>-5.25</v>
      </c>
      <c r="E38" s="16" t="n">
        <f aca="false">+D38+F38</f>
        <v>-5.2594</v>
      </c>
      <c r="F38" s="16" t="n">
        <f aca="false">RANDBETWEEN(-105,115)/10000</f>
        <v>-0.0094</v>
      </c>
      <c r="G38" s="16" t="n">
        <f aca="false">J38-4.95*2%-0.3*6%</f>
        <v>2.131</v>
      </c>
      <c r="H38" s="16" t="n">
        <f aca="false">G38+I38</f>
        <v>2.115</v>
      </c>
      <c r="I38" s="16" t="n">
        <f aca="false">RANDBETWEEN(-20,70)/1000</f>
        <v>-0.016</v>
      </c>
      <c r="J38" s="16" t="n">
        <f aca="false">W38+0.25</f>
        <v>2.248</v>
      </c>
      <c r="K38" s="16" t="n">
        <f aca="false">J38+L38</f>
        <v>2.3</v>
      </c>
      <c r="L38" s="16" t="n">
        <f aca="false">RANDBETWEEN(-20,70)/1000</f>
        <v>0.052</v>
      </c>
      <c r="M38" s="16" t="n">
        <v>5.25</v>
      </c>
      <c r="N38" s="16" t="n">
        <f aca="false">+M38+O38</f>
        <v>5.24</v>
      </c>
      <c r="O38" s="16" t="n">
        <f aca="false">RANDBETWEEN(-105,115)/10000</f>
        <v>-0.01</v>
      </c>
      <c r="P38" s="16" t="n">
        <f aca="false">G38</f>
        <v>2.131</v>
      </c>
      <c r="Q38" s="16" t="n">
        <f aca="false">P38+R38</f>
        <v>2.201</v>
      </c>
      <c r="R38" s="16" t="n">
        <f aca="false">RANDBETWEEN(-20,70)/1000</f>
        <v>0.07</v>
      </c>
      <c r="S38" s="17"/>
      <c r="T38" s="18" t="n">
        <v>14.44</v>
      </c>
      <c r="V38" s="19"/>
      <c r="W38" s="20" t="n">
        <v>1.998</v>
      </c>
    </row>
    <row r="39" s="10" customFormat="true" ht="18" hidden="false" customHeight="true" outlineLevel="0" collapsed="false">
      <c r="A39" s="13" t="n">
        <v>17</v>
      </c>
      <c r="B39" s="14" t="s">
        <v>39</v>
      </c>
      <c r="C39" s="15" t="n">
        <f aca="false">+C38+T38</f>
        <v>489.19</v>
      </c>
      <c r="D39" s="16" t="n">
        <v>-5.25</v>
      </c>
      <c r="E39" s="16" t="n">
        <f aca="false">+D39+F39</f>
        <v>-5.2445</v>
      </c>
      <c r="F39" s="16" t="n">
        <f aca="false">RANDBETWEEN(-105,115)/10000</f>
        <v>0.0055</v>
      </c>
      <c r="G39" s="16" t="n">
        <f aca="false">J39-4.95*2%-0.3*6%</f>
        <v>2.122</v>
      </c>
      <c r="H39" s="16" t="n">
        <f aca="false">G39+I39</f>
        <v>2.137</v>
      </c>
      <c r="I39" s="16" t="n">
        <f aca="false">RANDBETWEEN(-20,70)/1000</f>
        <v>0.015</v>
      </c>
      <c r="J39" s="16" t="n">
        <f aca="false">W39+0.25</f>
        <v>2.239</v>
      </c>
      <c r="K39" s="16" t="n">
        <f aca="false">J39+L39</f>
        <v>2.306</v>
      </c>
      <c r="L39" s="16" t="n">
        <f aca="false">RANDBETWEEN(-20,70)/1000</f>
        <v>0.067</v>
      </c>
      <c r="M39" s="16" t="n">
        <v>5.25</v>
      </c>
      <c r="N39" s="16" t="n">
        <f aca="false">+M39+O39</f>
        <v>5.2454</v>
      </c>
      <c r="O39" s="16" t="n">
        <f aca="false">RANDBETWEEN(-105,115)/10000</f>
        <v>-0.0046</v>
      </c>
      <c r="P39" s="16" t="n">
        <f aca="false">G39</f>
        <v>2.122</v>
      </c>
      <c r="Q39" s="16" t="n">
        <f aca="false">P39+R39</f>
        <v>2.183</v>
      </c>
      <c r="R39" s="16" t="n">
        <f aca="false">RANDBETWEEN(-20,70)/1000</f>
        <v>0.061</v>
      </c>
      <c r="S39" s="17"/>
      <c r="T39" s="18" t="n">
        <v>13.17</v>
      </c>
      <c r="V39" s="19"/>
      <c r="W39" s="20" t="n">
        <v>1.989</v>
      </c>
    </row>
    <row r="40" s="10" customFormat="true" ht="18" hidden="false" customHeight="true" outlineLevel="0" collapsed="false">
      <c r="A40" s="13" t="n">
        <v>18</v>
      </c>
      <c r="B40" s="14" t="s">
        <v>40</v>
      </c>
      <c r="C40" s="15" t="n">
        <f aca="false">+C39+T39</f>
        <v>502.36</v>
      </c>
      <c r="D40" s="16" t="n">
        <v>-5.25</v>
      </c>
      <c r="E40" s="16" t="n">
        <f aca="false">+D40+F40</f>
        <v>-5.2403</v>
      </c>
      <c r="F40" s="16" t="n">
        <f aca="false">RANDBETWEEN(-105,115)/10000</f>
        <v>0.0097</v>
      </c>
      <c r="G40" s="16" t="n">
        <f aca="false">J40-4.95*2%-0.3*6%</f>
        <v>2.114</v>
      </c>
      <c r="H40" s="16" t="n">
        <f aca="false">G40+I40</f>
        <v>2.104</v>
      </c>
      <c r="I40" s="16" t="n">
        <f aca="false">RANDBETWEEN(-20,70)/1000</f>
        <v>-0.01</v>
      </c>
      <c r="J40" s="16" t="n">
        <f aca="false">W40+0.25</f>
        <v>2.231</v>
      </c>
      <c r="K40" s="16" t="n">
        <f aca="false">J40+L40</f>
        <v>2.301</v>
      </c>
      <c r="L40" s="16" t="n">
        <f aca="false">RANDBETWEEN(-20,70)/1000</f>
        <v>0.07</v>
      </c>
      <c r="M40" s="16" t="n">
        <v>5.25</v>
      </c>
      <c r="N40" s="16" t="n">
        <f aca="false">+M40+O40</f>
        <v>5.2565</v>
      </c>
      <c r="O40" s="16" t="n">
        <f aca="false">RANDBETWEEN(-105,115)/10000</f>
        <v>0.0065</v>
      </c>
      <c r="P40" s="16" t="n">
        <f aca="false">G40</f>
        <v>2.114</v>
      </c>
      <c r="Q40" s="16" t="n">
        <f aca="false">P40+R40</f>
        <v>2.112</v>
      </c>
      <c r="R40" s="16" t="n">
        <f aca="false">RANDBETWEEN(-20,70)/1000</f>
        <v>-0.002</v>
      </c>
      <c r="S40" s="17"/>
      <c r="T40" s="18" t="n">
        <v>10.48</v>
      </c>
      <c r="V40" s="19"/>
      <c r="W40" s="20" t="n">
        <v>1.981</v>
      </c>
    </row>
    <row r="41" s="10" customFormat="true" ht="18" hidden="false" customHeight="true" outlineLevel="0" collapsed="false">
      <c r="A41" s="13" t="n">
        <v>19</v>
      </c>
      <c r="B41" s="14" t="s">
        <v>41</v>
      </c>
      <c r="C41" s="15" t="n">
        <f aca="false">+C40+T40</f>
        <v>512.84</v>
      </c>
      <c r="D41" s="16" t="n">
        <v>-5.25</v>
      </c>
      <c r="E41" s="16" t="n">
        <f aca="false">+D41+F41</f>
        <v>-5.2447</v>
      </c>
      <c r="F41" s="16" t="n">
        <f aca="false">RANDBETWEEN(-105,115)/10000</f>
        <v>0.0053</v>
      </c>
      <c r="G41" s="16" t="n">
        <f aca="false">J41-4.95*2%-0.3*6%</f>
        <v>2.108</v>
      </c>
      <c r="H41" s="16" t="n">
        <f aca="false">G41+I41</f>
        <v>2.17</v>
      </c>
      <c r="I41" s="16" t="n">
        <f aca="false">RANDBETWEEN(-20,70)/1000</f>
        <v>0.062</v>
      </c>
      <c r="J41" s="16" t="n">
        <f aca="false">W41+0.25</f>
        <v>2.225</v>
      </c>
      <c r="K41" s="16" t="n">
        <f aca="false">J41+L41</f>
        <v>2.274</v>
      </c>
      <c r="L41" s="16" t="n">
        <f aca="false">RANDBETWEEN(-20,70)/1000</f>
        <v>0.049</v>
      </c>
      <c r="M41" s="16" t="n">
        <v>5.25</v>
      </c>
      <c r="N41" s="16" t="n">
        <f aca="false">+M41+O41</f>
        <v>5.2426</v>
      </c>
      <c r="O41" s="16" t="n">
        <f aca="false">RANDBETWEEN(-105,115)/10000</f>
        <v>-0.0074</v>
      </c>
      <c r="P41" s="16" t="n">
        <f aca="false">G41</f>
        <v>2.108</v>
      </c>
      <c r="Q41" s="16" t="n">
        <f aca="false">P41+R41</f>
        <v>2.139</v>
      </c>
      <c r="R41" s="16" t="n">
        <f aca="false">RANDBETWEEN(-20,70)/1000</f>
        <v>0.031</v>
      </c>
      <c r="S41" s="17"/>
      <c r="T41" s="18" t="n">
        <v>16.78</v>
      </c>
      <c r="V41" s="19"/>
      <c r="W41" s="20" t="n">
        <v>1.975</v>
      </c>
    </row>
    <row r="42" s="10" customFormat="true" ht="18" hidden="false" customHeight="true" outlineLevel="0" collapsed="false">
      <c r="A42" s="13" t="n">
        <v>20</v>
      </c>
      <c r="B42" s="14" t="s">
        <v>42</v>
      </c>
      <c r="C42" s="15" t="n">
        <f aca="false">+C41+T41</f>
        <v>529.62</v>
      </c>
      <c r="D42" s="16" t="n">
        <v>-5.25</v>
      </c>
      <c r="E42" s="16" t="n">
        <f aca="false">+D42+F42</f>
        <v>-5.2543</v>
      </c>
      <c r="F42" s="16" t="n">
        <f aca="false">RANDBETWEEN(-105,115)/10000</f>
        <v>-0.0043</v>
      </c>
      <c r="G42" s="16" t="n">
        <f aca="false">J42-4.95*2%-0.3*6%</f>
        <v>2.099</v>
      </c>
      <c r="H42" s="16" t="n">
        <f aca="false">G42+I42</f>
        <v>2.147</v>
      </c>
      <c r="I42" s="16" t="n">
        <f aca="false">RANDBETWEEN(-20,70)/1000</f>
        <v>0.048</v>
      </c>
      <c r="J42" s="16" t="n">
        <f aca="false">W42+0.25</f>
        <v>2.216</v>
      </c>
      <c r="K42" s="16" t="n">
        <f aca="false">J42+L42</f>
        <v>2.266</v>
      </c>
      <c r="L42" s="16" t="n">
        <f aca="false">RANDBETWEEN(-20,70)/1000</f>
        <v>0.05</v>
      </c>
      <c r="M42" s="16" t="n">
        <v>5.25</v>
      </c>
      <c r="N42" s="16" t="n">
        <f aca="false">+M42+O42</f>
        <v>5.259</v>
      </c>
      <c r="O42" s="16" t="n">
        <f aca="false">RANDBETWEEN(-105,115)/10000</f>
        <v>0.009</v>
      </c>
      <c r="P42" s="16" t="n">
        <f aca="false">G42</f>
        <v>2.099</v>
      </c>
      <c r="Q42" s="16" t="n">
        <f aca="false">P42+R42</f>
        <v>2.124</v>
      </c>
      <c r="R42" s="16" t="n">
        <f aca="false">RANDBETWEEN(-20,70)/1000</f>
        <v>0.025</v>
      </c>
      <c r="S42" s="17"/>
      <c r="T42" s="18" t="n">
        <v>17.1</v>
      </c>
      <c r="V42" s="19"/>
      <c r="W42" s="20" t="n">
        <v>1.966</v>
      </c>
    </row>
    <row r="43" s="10" customFormat="true" ht="18" hidden="false" customHeight="true" outlineLevel="0" collapsed="false">
      <c r="A43" s="13" t="n">
        <v>21</v>
      </c>
      <c r="B43" s="14" t="s">
        <v>43</v>
      </c>
      <c r="C43" s="15" t="n">
        <f aca="false">+C42+T42</f>
        <v>546.72</v>
      </c>
      <c r="D43" s="16" t="n">
        <v>-5.25</v>
      </c>
      <c r="E43" s="16" t="n">
        <f aca="false">+D43+F43</f>
        <v>-5.2552</v>
      </c>
      <c r="F43" s="16" t="n">
        <f aca="false">RANDBETWEEN(-105,115)/10000</f>
        <v>-0.0052</v>
      </c>
      <c r="G43" s="16" t="n">
        <f aca="false">J43-4.95*2%-0.3*6%</f>
        <v>2.091</v>
      </c>
      <c r="H43" s="16" t="n">
        <f aca="false">G43+I43</f>
        <v>2.099</v>
      </c>
      <c r="I43" s="16" t="n">
        <f aca="false">RANDBETWEEN(-20,70)/1000</f>
        <v>0.008</v>
      </c>
      <c r="J43" s="16" t="n">
        <f aca="false">W43+0.25</f>
        <v>2.208</v>
      </c>
      <c r="K43" s="16" t="n">
        <f aca="false">J43+L43</f>
        <v>2.224</v>
      </c>
      <c r="L43" s="16" t="n">
        <f aca="false">RANDBETWEEN(-20,70)/1000</f>
        <v>0.016</v>
      </c>
      <c r="M43" s="16" t="n">
        <v>5.25</v>
      </c>
      <c r="N43" s="16" t="n">
        <f aca="false">+M43+O43</f>
        <v>5.2495</v>
      </c>
      <c r="O43" s="16" t="n">
        <f aca="false">RANDBETWEEN(-105,115)/10000</f>
        <v>-0.0005</v>
      </c>
      <c r="P43" s="16" t="n">
        <f aca="false">G43</f>
        <v>2.091</v>
      </c>
      <c r="Q43" s="16" t="n">
        <f aca="false">P43+R43</f>
        <v>2.148</v>
      </c>
      <c r="R43" s="16" t="n">
        <f aca="false">RANDBETWEEN(-20,70)/1000</f>
        <v>0.057</v>
      </c>
      <c r="S43" s="17"/>
      <c r="T43" s="18" t="n">
        <v>15.15</v>
      </c>
      <c r="V43" s="19"/>
      <c r="W43" s="20" t="n">
        <v>1.958</v>
      </c>
    </row>
    <row r="44" s="10" customFormat="true" ht="18" hidden="false" customHeight="true" outlineLevel="0" collapsed="false">
      <c r="A44" s="13" t="n">
        <v>22</v>
      </c>
      <c r="B44" s="14" t="s">
        <v>44</v>
      </c>
      <c r="C44" s="15" t="n">
        <f aca="false">+C43+T43</f>
        <v>561.87</v>
      </c>
      <c r="D44" s="16" t="n">
        <v>-5.25</v>
      </c>
      <c r="E44" s="16" t="n">
        <f aca="false">+D44+F44</f>
        <v>-5.253</v>
      </c>
      <c r="F44" s="16" t="n">
        <f aca="false">RANDBETWEEN(-105,115)/10000</f>
        <v>-0.003</v>
      </c>
      <c r="G44" s="16" t="n">
        <f aca="false">J44-4.95*2%-0.3*6%</f>
        <v>2.088</v>
      </c>
      <c r="H44" s="16" t="n">
        <f aca="false">G44+I44</f>
        <v>2.095</v>
      </c>
      <c r="I44" s="16" t="n">
        <f aca="false">RANDBETWEEN(-20,70)/1000</f>
        <v>0.007</v>
      </c>
      <c r="J44" s="16" t="n">
        <f aca="false">W44+0.25</f>
        <v>2.205</v>
      </c>
      <c r="K44" s="16" t="n">
        <f aca="false">J44+L44</f>
        <v>2.263</v>
      </c>
      <c r="L44" s="16" t="n">
        <f aca="false">RANDBETWEEN(-20,70)/1000</f>
        <v>0.058</v>
      </c>
      <c r="M44" s="16" t="n">
        <v>5.25</v>
      </c>
      <c r="N44" s="16" t="n">
        <f aca="false">+M44+O44</f>
        <v>5.2502</v>
      </c>
      <c r="O44" s="16" t="n">
        <f aca="false">RANDBETWEEN(-105,115)/10000</f>
        <v>0.0002</v>
      </c>
      <c r="P44" s="16" t="n">
        <f aca="false">G44</f>
        <v>2.088</v>
      </c>
      <c r="Q44" s="16" t="n">
        <f aca="false">P44+R44</f>
        <v>2.153</v>
      </c>
      <c r="R44" s="16" t="n">
        <f aca="false">RANDBETWEEN(-20,70)/1000</f>
        <v>0.065</v>
      </c>
      <c r="S44" s="17"/>
      <c r="T44" s="18" t="n">
        <v>0.15</v>
      </c>
      <c r="V44" s="19"/>
      <c r="W44" s="20" t="n">
        <v>1.955</v>
      </c>
    </row>
    <row r="45" s="10" customFormat="true" ht="18" hidden="false" customHeight="true" outlineLevel="0" collapsed="false">
      <c r="A45" s="13" t="n">
        <v>23</v>
      </c>
      <c r="B45" s="14" t="s">
        <v>45</v>
      </c>
      <c r="C45" s="15" t="n">
        <f aca="false">+C44+T44</f>
        <v>562.02</v>
      </c>
      <c r="D45" s="16" t="n">
        <v>-5.25</v>
      </c>
      <c r="E45" s="16" t="n">
        <f aca="false">+D45+F45</f>
        <v>-5.2466</v>
      </c>
      <c r="F45" s="16" t="n">
        <f aca="false">RANDBETWEEN(-105,115)/10000</f>
        <v>0.0034</v>
      </c>
      <c r="G45" s="16" t="n">
        <f aca="false">J45-4.95*2%-0.3*6%</f>
        <v>2.088</v>
      </c>
      <c r="H45" s="16" t="n">
        <f aca="false">G45+I45</f>
        <v>2.11</v>
      </c>
      <c r="I45" s="16" t="n">
        <f aca="false">RANDBETWEEN(-20,70)/1000</f>
        <v>0.022</v>
      </c>
      <c r="J45" s="16" t="n">
        <f aca="false">W45+0.25</f>
        <v>2.205</v>
      </c>
      <c r="K45" s="16" t="n">
        <f aca="false">J45+L45</f>
        <v>2.241</v>
      </c>
      <c r="L45" s="16" t="n">
        <f aca="false">RANDBETWEEN(-20,70)/1000</f>
        <v>0.036</v>
      </c>
      <c r="M45" s="16" t="n">
        <v>5.25</v>
      </c>
      <c r="N45" s="16" t="n">
        <f aca="false">+M45+O45</f>
        <v>5.2418</v>
      </c>
      <c r="O45" s="16" t="n">
        <f aca="false">RANDBETWEEN(-105,115)/10000</f>
        <v>-0.0082</v>
      </c>
      <c r="P45" s="16" t="n">
        <f aca="false">G45</f>
        <v>2.088</v>
      </c>
      <c r="Q45" s="16" t="n">
        <f aca="false">P45+R45</f>
        <v>2.104</v>
      </c>
      <c r="R45" s="16" t="n">
        <f aca="false">RANDBETWEEN(-20,70)/1000</f>
        <v>0.016</v>
      </c>
      <c r="S45" s="17"/>
      <c r="T45" s="18" t="n">
        <v>6.55</v>
      </c>
      <c r="V45" s="19"/>
      <c r="W45" s="20" t="n">
        <v>1.955</v>
      </c>
    </row>
    <row r="46" s="10" customFormat="true" ht="18" hidden="false" customHeight="true" outlineLevel="0" collapsed="false">
      <c r="A46" s="13" t="n">
        <v>24</v>
      </c>
      <c r="B46" s="14" t="s">
        <v>46</v>
      </c>
      <c r="C46" s="15" t="n">
        <f aca="false">+C45+T45</f>
        <v>568.57</v>
      </c>
      <c r="D46" s="16" t="n">
        <v>-5.25</v>
      </c>
      <c r="E46" s="16" t="n">
        <f aca="false">+D46+F46</f>
        <v>-5.2417</v>
      </c>
      <c r="F46" s="16" t="n">
        <f aca="false">RANDBETWEEN(-105,115)/10000</f>
        <v>0.0083</v>
      </c>
      <c r="G46" s="16" t="n">
        <f aca="false">J46-4.95*2%-0.3*6%</f>
        <v>2.087</v>
      </c>
      <c r="H46" s="16" t="n">
        <f aca="false">G46+I46</f>
        <v>2.07</v>
      </c>
      <c r="I46" s="16" t="n">
        <f aca="false">RANDBETWEEN(-20,70)/1000</f>
        <v>-0.017</v>
      </c>
      <c r="J46" s="16" t="n">
        <f aca="false">W46+0.25</f>
        <v>2.204</v>
      </c>
      <c r="K46" s="16" t="n">
        <f aca="false">J46+L46</f>
        <v>2.216</v>
      </c>
      <c r="L46" s="16" t="n">
        <f aca="false">RANDBETWEEN(-20,70)/1000</f>
        <v>0.012</v>
      </c>
      <c r="M46" s="16" t="n">
        <v>5.25</v>
      </c>
      <c r="N46" s="16" t="n">
        <f aca="false">+M46+O46</f>
        <v>5.258</v>
      </c>
      <c r="O46" s="16" t="n">
        <f aca="false">RANDBETWEEN(-105,115)/10000</f>
        <v>0.008</v>
      </c>
      <c r="P46" s="16" t="n">
        <f aca="false">G46</f>
        <v>2.087</v>
      </c>
      <c r="Q46" s="16" t="n">
        <f aca="false">P46+R46</f>
        <v>2.126</v>
      </c>
      <c r="R46" s="16" t="n">
        <f aca="false">RANDBETWEEN(-20,70)/1000</f>
        <v>0.039</v>
      </c>
      <c r="S46" s="17"/>
      <c r="T46" s="18" t="n">
        <v>6.55</v>
      </c>
      <c r="V46" s="19"/>
      <c r="W46" s="20" t="n">
        <v>1.954</v>
      </c>
    </row>
    <row r="47" s="10" customFormat="true" ht="18" hidden="false" customHeight="true" outlineLevel="0" collapsed="false">
      <c r="A47" s="13" t="n">
        <v>25</v>
      </c>
      <c r="B47" s="14" t="s">
        <v>47</v>
      </c>
      <c r="C47" s="15" t="n">
        <f aca="false">+C46+T46</f>
        <v>575.12</v>
      </c>
      <c r="D47" s="16" t="n">
        <v>-5.25</v>
      </c>
      <c r="E47" s="16" t="n">
        <f aca="false">+D47+F47</f>
        <v>-5.239</v>
      </c>
      <c r="F47" s="16" t="n">
        <f aca="false">RANDBETWEEN(-105,115)/10000</f>
        <v>0.011</v>
      </c>
      <c r="G47" s="16" t="n">
        <f aca="false">J47-4.95*2%-0.3*6%</f>
        <v>2.085</v>
      </c>
      <c r="H47" s="16" t="n">
        <f aca="false">G47+I47</f>
        <v>2.076</v>
      </c>
      <c r="I47" s="16" t="n">
        <f aca="false">RANDBETWEEN(-20,70)/1000</f>
        <v>-0.009</v>
      </c>
      <c r="J47" s="16" t="n">
        <f aca="false">W47+0.25</f>
        <v>2.202</v>
      </c>
      <c r="K47" s="16" t="n">
        <f aca="false">J47+L47</f>
        <v>2.253</v>
      </c>
      <c r="L47" s="16" t="n">
        <f aca="false">RANDBETWEEN(-20,70)/1000</f>
        <v>0.051</v>
      </c>
      <c r="M47" s="16" t="n">
        <v>5.25</v>
      </c>
      <c r="N47" s="16" t="n">
        <f aca="false">+M47+O47</f>
        <v>5.2528</v>
      </c>
      <c r="O47" s="16" t="n">
        <f aca="false">RANDBETWEEN(-105,115)/10000</f>
        <v>0.0028</v>
      </c>
      <c r="P47" s="16" t="n">
        <f aca="false">G47</f>
        <v>2.085</v>
      </c>
      <c r="Q47" s="16" t="n">
        <f aca="false">P47+R47</f>
        <v>2.119</v>
      </c>
      <c r="R47" s="16" t="n">
        <f aca="false">RANDBETWEEN(-20,70)/1000</f>
        <v>0.034</v>
      </c>
      <c r="S47" s="17"/>
      <c r="T47" s="18" t="n">
        <v>0.04</v>
      </c>
      <c r="V47" s="19"/>
      <c r="W47" s="20" t="n">
        <v>1.952</v>
      </c>
    </row>
    <row r="48" s="10" customFormat="true" ht="18" hidden="false" customHeight="true" outlineLevel="0" collapsed="false">
      <c r="A48" s="13" t="n">
        <v>26</v>
      </c>
      <c r="B48" s="14" t="s">
        <v>48</v>
      </c>
      <c r="C48" s="15" t="n">
        <f aca="false">+C47+T47</f>
        <v>575.16</v>
      </c>
      <c r="D48" s="16" t="n">
        <v>-5.25</v>
      </c>
      <c r="E48" s="16" t="n">
        <f aca="false">+D48+F48</f>
        <v>-5.2534</v>
      </c>
      <c r="F48" s="16" t="n">
        <f aca="false">RANDBETWEEN(-105,115)/10000</f>
        <v>-0.0034</v>
      </c>
      <c r="G48" s="16" t="n">
        <f aca="false">J48-4.95*2%-0.3*6%</f>
        <v>2.085</v>
      </c>
      <c r="H48" s="16" t="n">
        <f aca="false">G48+I48</f>
        <v>2.102</v>
      </c>
      <c r="I48" s="16" t="n">
        <f aca="false">RANDBETWEEN(-20,70)/1000</f>
        <v>0.017</v>
      </c>
      <c r="J48" s="16" t="n">
        <f aca="false">W48+0.25</f>
        <v>2.202</v>
      </c>
      <c r="K48" s="16" t="n">
        <f aca="false">J48+L48</f>
        <v>2.2</v>
      </c>
      <c r="L48" s="16" t="n">
        <f aca="false">RANDBETWEEN(-20,70)/1000</f>
        <v>-0.002</v>
      </c>
      <c r="M48" s="16" t="n">
        <v>5.25</v>
      </c>
      <c r="N48" s="16" t="n">
        <f aca="false">+M48+O48</f>
        <v>5.257</v>
      </c>
      <c r="O48" s="16" t="n">
        <f aca="false">RANDBETWEEN(-105,115)/10000</f>
        <v>0.007</v>
      </c>
      <c r="P48" s="16" t="n">
        <f aca="false">G48</f>
        <v>2.085</v>
      </c>
      <c r="Q48" s="16" t="n">
        <f aca="false">P48+R48</f>
        <v>2.103</v>
      </c>
      <c r="R48" s="16" t="n">
        <f aca="false">RANDBETWEEN(-20,70)/1000</f>
        <v>0.018</v>
      </c>
      <c r="S48" s="17"/>
      <c r="T48" s="18" t="n">
        <v>16.95</v>
      </c>
      <c r="V48" s="19"/>
      <c r="W48" s="20" t="n">
        <v>1.952</v>
      </c>
    </row>
    <row r="49" s="10" customFormat="true" ht="18" hidden="false" customHeight="true" outlineLevel="0" collapsed="false">
      <c r="A49" s="13" t="n">
        <v>27</v>
      </c>
      <c r="B49" s="14" t="s">
        <v>49</v>
      </c>
      <c r="C49" s="15" t="n">
        <f aca="false">+C48+T48</f>
        <v>592.11</v>
      </c>
      <c r="D49" s="16" t="n">
        <v>-5.25</v>
      </c>
      <c r="E49" s="16" t="n">
        <f aca="false">+D49+F49</f>
        <v>-5.2496</v>
      </c>
      <c r="F49" s="16" t="n">
        <f aca="false">RANDBETWEEN(-105,115)/10000</f>
        <v>0.0004</v>
      </c>
      <c r="G49" s="16" t="n">
        <f aca="false">J49-4.95*2%-0.3*6%</f>
        <v>2.088</v>
      </c>
      <c r="H49" s="16" t="n">
        <f aca="false">G49+I49</f>
        <v>2.121</v>
      </c>
      <c r="I49" s="16" t="n">
        <f aca="false">RANDBETWEEN(-20,70)/1000</f>
        <v>0.033</v>
      </c>
      <c r="J49" s="16" t="n">
        <f aca="false">W49+0.25</f>
        <v>2.205</v>
      </c>
      <c r="K49" s="16" t="n">
        <f aca="false">J49+L49</f>
        <v>2.217</v>
      </c>
      <c r="L49" s="16" t="n">
        <f aca="false">RANDBETWEEN(-20,70)/1000</f>
        <v>0.012</v>
      </c>
      <c r="M49" s="16" t="n">
        <v>5.25</v>
      </c>
      <c r="N49" s="16" t="n">
        <f aca="false">+M49+O49</f>
        <v>5.2545</v>
      </c>
      <c r="O49" s="16" t="n">
        <f aca="false">RANDBETWEEN(-105,115)/10000</f>
        <v>0.0045</v>
      </c>
      <c r="P49" s="16" t="n">
        <f aca="false">G49</f>
        <v>2.088</v>
      </c>
      <c r="Q49" s="16" t="n">
        <f aca="false">P49+R49</f>
        <v>2.101</v>
      </c>
      <c r="R49" s="16" t="n">
        <f aca="false">RANDBETWEEN(-20,70)/1000</f>
        <v>0.013</v>
      </c>
      <c r="S49" s="17"/>
      <c r="T49" s="18" t="n">
        <v>17</v>
      </c>
      <c r="V49" s="19"/>
      <c r="W49" s="20" t="n">
        <v>1.955</v>
      </c>
    </row>
    <row r="50" s="10" customFormat="true" ht="18" hidden="false" customHeight="true" outlineLevel="0" collapsed="false">
      <c r="A50" s="13" t="n">
        <v>28</v>
      </c>
      <c r="B50" s="14" t="s">
        <v>50</v>
      </c>
      <c r="C50" s="15" t="n">
        <f aca="false">+C49+T49</f>
        <v>609.11</v>
      </c>
      <c r="D50" s="16" t="n">
        <v>-5.25</v>
      </c>
      <c r="E50" s="16" t="n">
        <f aca="false">+D50+F50</f>
        <v>-5.2385</v>
      </c>
      <c r="F50" s="16" t="n">
        <f aca="false">RANDBETWEEN(-105,115)/10000</f>
        <v>0.0115</v>
      </c>
      <c r="G50" s="16" t="n">
        <f aca="false">J50-4.95*2%-0.3*6%</f>
        <v>2.091</v>
      </c>
      <c r="H50" s="16" t="n">
        <f aca="false">G50+I50</f>
        <v>2.111</v>
      </c>
      <c r="I50" s="16" t="n">
        <f aca="false">RANDBETWEEN(-20,70)/1000</f>
        <v>0.02</v>
      </c>
      <c r="J50" s="16" t="n">
        <f aca="false">W50+0.25</f>
        <v>2.208</v>
      </c>
      <c r="K50" s="16" t="n">
        <f aca="false">J50+L50</f>
        <v>2.239</v>
      </c>
      <c r="L50" s="16" t="n">
        <f aca="false">RANDBETWEEN(-20,70)/1000</f>
        <v>0.031</v>
      </c>
      <c r="M50" s="16" t="n">
        <v>5.25</v>
      </c>
      <c r="N50" s="16" t="n">
        <f aca="false">+M50+O50</f>
        <v>5.247</v>
      </c>
      <c r="O50" s="16" t="n">
        <f aca="false">RANDBETWEEN(-105,115)/10000</f>
        <v>-0.003</v>
      </c>
      <c r="P50" s="16" t="n">
        <f aca="false">G50</f>
        <v>2.091</v>
      </c>
      <c r="Q50" s="16" t="n">
        <f aca="false">P50+R50</f>
        <v>2.108</v>
      </c>
      <c r="R50" s="16" t="n">
        <f aca="false">RANDBETWEEN(-20,70)/1000</f>
        <v>0.017</v>
      </c>
      <c r="S50" s="17"/>
      <c r="T50" s="18" t="n">
        <v>11.75</v>
      </c>
      <c r="V50" s="19"/>
      <c r="W50" s="20" t="n">
        <v>1.958</v>
      </c>
    </row>
    <row r="51" s="10" customFormat="true" ht="18" hidden="false" customHeight="true" outlineLevel="0" collapsed="false">
      <c r="A51" s="13" t="n">
        <v>29</v>
      </c>
      <c r="B51" s="14" t="s">
        <v>51</v>
      </c>
      <c r="C51" s="15" t="n">
        <f aca="false">+C50+T50</f>
        <v>620.86</v>
      </c>
      <c r="D51" s="16" t="n">
        <v>-5.25</v>
      </c>
      <c r="E51" s="16" t="n">
        <f aca="false">+D51+F51</f>
        <v>-5.244</v>
      </c>
      <c r="F51" s="16" t="n">
        <f aca="false">RANDBETWEEN(-105,115)/10000</f>
        <v>0.006</v>
      </c>
      <c r="G51" s="16" t="n">
        <f aca="false">J51-4.95*2%-0.3*6%</f>
        <v>2.092</v>
      </c>
      <c r="H51" s="16" t="n">
        <f aca="false">G51+I51</f>
        <v>2.138</v>
      </c>
      <c r="I51" s="16" t="n">
        <f aca="false">RANDBETWEEN(-20,70)/1000</f>
        <v>0.046</v>
      </c>
      <c r="J51" s="16" t="n">
        <f aca="false">W51+0.25</f>
        <v>2.209</v>
      </c>
      <c r="K51" s="16" t="n">
        <f aca="false">J51+L51</f>
        <v>2.192</v>
      </c>
      <c r="L51" s="16" t="n">
        <f aca="false">RANDBETWEEN(-20,70)/1000</f>
        <v>-0.017</v>
      </c>
      <c r="M51" s="16" t="n">
        <v>5.25</v>
      </c>
      <c r="N51" s="16" t="n">
        <f aca="false">+M51+O51</f>
        <v>5.2429</v>
      </c>
      <c r="O51" s="16" t="n">
        <f aca="false">RANDBETWEEN(-105,115)/10000</f>
        <v>-0.0071</v>
      </c>
      <c r="P51" s="16" t="n">
        <f aca="false">G51</f>
        <v>2.092</v>
      </c>
      <c r="Q51" s="16" t="n">
        <f aca="false">P51+R51</f>
        <v>2.076</v>
      </c>
      <c r="R51" s="16" t="n">
        <f aca="false">RANDBETWEEN(-20,70)/1000</f>
        <v>-0.016</v>
      </c>
      <c r="S51" s="17"/>
      <c r="T51" s="18" t="n">
        <v>11.75</v>
      </c>
      <c r="V51" s="19"/>
      <c r="W51" s="20" t="n">
        <v>1.959</v>
      </c>
    </row>
    <row r="52" s="10" customFormat="true" ht="18" hidden="false" customHeight="true" outlineLevel="0" collapsed="false">
      <c r="A52" s="13" t="n">
        <v>30</v>
      </c>
      <c r="B52" s="14" t="s">
        <v>52</v>
      </c>
      <c r="C52" s="15" t="n">
        <f aca="false">+C51+T51</f>
        <v>632.61</v>
      </c>
      <c r="D52" s="16" t="n">
        <v>-5.25</v>
      </c>
      <c r="E52" s="16" t="n">
        <f aca="false">+D52+F52</f>
        <v>-5.2504</v>
      </c>
      <c r="F52" s="16" t="n">
        <f aca="false">RANDBETWEEN(-105,115)/10000</f>
        <v>-0.0004</v>
      </c>
      <c r="G52" s="16" t="n">
        <f aca="false">J52-4.95*2%-0.3*6%</f>
        <v>2.094</v>
      </c>
      <c r="H52" s="16" t="n">
        <f aca="false">G52+I52</f>
        <v>2.163</v>
      </c>
      <c r="I52" s="16" t="n">
        <f aca="false">RANDBETWEEN(-20,70)/1000</f>
        <v>0.069</v>
      </c>
      <c r="J52" s="16" t="n">
        <f aca="false">W52+0.25</f>
        <v>2.211</v>
      </c>
      <c r="K52" s="16" t="n">
        <f aca="false">J52+L52</f>
        <v>2.208</v>
      </c>
      <c r="L52" s="16" t="n">
        <f aca="false">RANDBETWEEN(-20,70)/1000</f>
        <v>-0.003</v>
      </c>
      <c r="M52" s="16" t="n">
        <v>5.25</v>
      </c>
      <c r="N52" s="16" t="n">
        <f aca="false">+M52+O52</f>
        <v>5.2602</v>
      </c>
      <c r="O52" s="16" t="n">
        <f aca="false">RANDBETWEEN(-105,115)/10000</f>
        <v>0.0102</v>
      </c>
      <c r="P52" s="16" t="n">
        <f aca="false">G52</f>
        <v>2.094</v>
      </c>
      <c r="Q52" s="16" t="n">
        <f aca="false">P52+R52</f>
        <v>2.158</v>
      </c>
      <c r="R52" s="16" t="n">
        <f aca="false">RANDBETWEEN(-20,70)/1000</f>
        <v>0.064</v>
      </c>
      <c r="S52" s="17"/>
      <c r="T52" s="18" t="n">
        <v>20</v>
      </c>
      <c r="V52" s="19"/>
      <c r="W52" s="20" t="n">
        <v>1.961</v>
      </c>
    </row>
    <row r="53" s="10" customFormat="true" ht="18" hidden="false" customHeight="true" outlineLevel="0" collapsed="false">
      <c r="A53" s="13" t="n">
        <v>31</v>
      </c>
      <c r="B53" s="14" t="s">
        <v>53</v>
      </c>
      <c r="C53" s="15" t="n">
        <f aca="false">+C52+T52</f>
        <v>652.61</v>
      </c>
      <c r="D53" s="16" t="n">
        <v>-5.25</v>
      </c>
      <c r="E53" s="16" t="n">
        <f aca="false">+D53+F53</f>
        <v>-5.2466</v>
      </c>
      <c r="F53" s="16" t="n">
        <f aca="false">RANDBETWEEN(-105,115)/10000</f>
        <v>0.0034</v>
      </c>
      <c r="G53" s="16" t="n">
        <f aca="false">J53-4.95*2%-0.3*6%</f>
        <v>2.096</v>
      </c>
      <c r="H53" s="16" t="n">
        <f aca="false">G53+I53</f>
        <v>2.134</v>
      </c>
      <c r="I53" s="16" t="n">
        <f aca="false">RANDBETWEEN(-20,70)/1000</f>
        <v>0.038</v>
      </c>
      <c r="J53" s="16" t="n">
        <f aca="false">W53+0.25</f>
        <v>2.213</v>
      </c>
      <c r="K53" s="16" t="n">
        <f aca="false">J53+L53</f>
        <v>2.275</v>
      </c>
      <c r="L53" s="16" t="n">
        <f aca="false">RANDBETWEEN(-20,70)/1000</f>
        <v>0.062</v>
      </c>
      <c r="M53" s="16" t="n">
        <v>5.25</v>
      </c>
      <c r="N53" s="16" t="n">
        <f aca="false">+M53+O53</f>
        <v>5.2426</v>
      </c>
      <c r="O53" s="16" t="n">
        <f aca="false">RANDBETWEEN(-105,115)/10000</f>
        <v>-0.0074</v>
      </c>
      <c r="P53" s="16" t="n">
        <f aca="false">G53</f>
        <v>2.096</v>
      </c>
      <c r="Q53" s="16" t="n">
        <f aca="false">P53+R53</f>
        <v>2.093</v>
      </c>
      <c r="R53" s="16" t="n">
        <f aca="false">RANDBETWEEN(-20,70)/1000</f>
        <v>-0.003</v>
      </c>
      <c r="S53" s="17"/>
      <c r="T53" s="18" t="n">
        <v>20</v>
      </c>
      <c r="V53" s="19"/>
      <c r="W53" s="20" t="n">
        <v>1.963</v>
      </c>
    </row>
    <row r="54" s="10" customFormat="true" ht="18" hidden="false" customHeight="true" outlineLevel="0" collapsed="false">
      <c r="A54" s="13" t="n">
        <v>32</v>
      </c>
      <c r="B54" s="14" t="s">
        <v>54</v>
      </c>
      <c r="C54" s="15" t="n">
        <f aca="false">+C53+T53</f>
        <v>672.61</v>
      </c>
      <c r="D54" s="16" t="n">
        <v>-5.25</v>
      </c>
      <c r="E54" s="16" t="n">
        <f aca="false">+D54+F54</f>
        <v>-5.26</v>
      </c>
      <c r="F54" s="16" t="n">
        <f aca="false">RANDBETWEEN(-105,115)/10000</f>
        <v>-0.01</v>
      </c>
      <c r="G54" s="16" t="n">
        <f aca="false">J54-4.95*2%-0.3*6%</f>
        <v>2.097</v>
      </c>
      <c r="H54" s="16" t="n">
        <f aca="false">G54+I54</f>
        <v>2.1</v>
      </c>
      <c r="I54" s="16" t="n">
        <f aca="false">RANDBETWEEN(-20,70)/1000</f>
        <v>0.003</v>
      </c>
      <c r="J54" s="16" t="n">
        <f aca="false">W54+0.25</f>
        <v>2.214</v>
      </c>
      <c r="K54" s="16" t="n">
        <f aca="false">J54+L54</f>
        <v>2.233</v>
      </c>
      <c r="L54" s="16" t="n">
        <f aca="false">RANDBETWEEN(-20,70)/1000</f>
        <v>0.019</v>
      </c>
      <c r="M54" s="16" t="n">
        <v>5.25</v>
      </c>
      <c r="N54" s="16" t="n">
        <f aca="false">+M54+O54</f>
        <v>5.2492</v>
      </c>
      <c r="O54" s="16" t="n">
        <f aca="false">RANDBETWEEN(-105,115)/10000</f>
        <v>-0.0008</v>
      </c>
      <c r="P54" s="16" t="n">
        <f aca="false">G54</f>
        <v>2.097</v>
      </c>
      <c r="Q54" s="16" t="n">
        <f aca="false">P54+R54</f>
        <v>2.16</v>
      </c>
      <c r="R54" s="16" t="n">
        <f aca="false">RANDBETWEEN(-20,70)/1000</f>
        <v>0.063</v>
      </c>
      <c r="S54" s="17"/>
      <c r="T54" s="18" t="n">
        <v>20</v>
      </c>
      <c r="V54" s="19"/>
      <c r="W54" s="20" t="n">
        <v>1.964</v>
      </c>
    </row>
    <row r="55" s="10" customFormat="true" ht="18" hidden="false" customHeight="true" outlineLevel="0" collapsed="false">
      <c r="A55" s="13" t="n">
        <v>33</v>
      </c>
      <c r="B55" s="14" t="s">
        <v>55</v>
      </c>
      <c r="C55" s="15" t="n">
        <f aca="false">+C54+T54</f>
        <v>692.61</v>
      </c>
      <c r="D55" s="16" t="n">
        <v>-5.25</v>
      </c>
      <c r="E55" s="16" t="n">
        <f aca="false">+D55+F55</f>
        <v>-5.2484</v>
      </c>
      <c r="F55" s="16" t="n">
        <f aca="false">RANDBETWEEN(-105,115)/10000</f>
        <v>0.0016</v>
      </c>
      <c r="G55" s="16" t="n">
        <f aca="false">J55-4.95*2%-0.3*6%</f>
        <v>2.099</v>
      </c>
      <c r="H55" s="16" t="n">
        <f aca="false">G55+I55</f>
        <v>2.095</v>
      </c>
      <c r="I55" s="16" t="n">
        <f aca="false">RANDBETWEEN(-20,70)/1000</f>
        <v>-0.004</v>
      </c>
      <c r="J55" s="16" t="n">
        <f aca="false">W55+0.25</f>
        <v>2.216</v>
      </c>
      <c r="K55" s="16" t="n">
        <f aca="false">J55+L55</f>
        <v>2.202</v>
      </c>
      <c r="L55" s="16" t="n">
        <f aca="false">RANDBETWEEN(-20,70)/1000</f>
        <v>-0.014</v>
      </c>
      <c r="M55" s="16" t="n">
        <v>5.25</v>
      </c>
      <c r="N55" s="16" t="n">
        <f aca="false">+M55+O55</f>
        <v>5.2556</v>
      </c>
      <c r="O55" s="16" t="n">
        <f aca="false">RANDBETWEEN(-105,115)/10000</f>
        <v>0.0056</v>
      </c>
      <c r="P55" s="16" t="n">
        <f aca="false">G55</f>
        <v>2.099</v>
      </c>
      <c r="Q55" s="16" t="n">
        <f aca="false">P55+R55</f>
        <v>2.138</v>
      </c>
      <c r="R55" s="16" t="n">
        <f aca="false">RANDBETWEEN(-20,70)/1000</f>
        <v>0.039</v>
      </c>
      <c r="S55" s="17"/>
      <c r="T55" s="18" t="n">
        <v>20</v>
      </c>
      <c r="V55" s="19"/>
      <c r="W55" s="20" t="n">
        <v>1.966</v>
      </c>
    </row>
    <row r="56" s="10" customFormat="true" ht="18" hidden="false" customHeight="true" outlineLevel="0" collapsed="false">
      <c r="A56" s="13" t="n">
        <v>34</v>
      </c>
      <c r="B56" s="14" t="s">
        <v>56</v>
      </c>
      <c r="C56" s="15" t="n">
        <f aca="false">+C55+T55</f>
        <v>712.61</v>
      </c>
      <c r="D56" s="16" t="n">
        <v>-5.25</v>
      </c>
      <c r="E56" s="16" t="n">
        <f aca="false">+D56+F56</f>
        <v>-5.2555</v>
      </c>
      <c r="F56" s="16" t="n">
        <f aca="false">RANDBETWEEN(-105,115)/10000</f>
        <v>-0.0055</v>
      </c>
      <c r="G56" s="16" t="n">
        <f aca="false">J56-4.95*2%-0.3*6%</f>
        <v>2.101</v>
      </c>
      <c r="H56" s="16" t="n">
        <f aca="false">G56+I56</f>
        <v>2.128</v>
      </c>
      <c r="I56" s="16" t="n">
        <f aca="false">RANDBETWEEN(-20,70)/1000</f>
        <v>0.027</v>
      </c>
      <c r="J56" s="16" t="n">
        <f aca="false">W56+0.25</f>
        <v>2.218</v>
      </c>
      <c r="K56" s="16" t="n">
        <f aca="false">J56+L56</f>
        <v>2.273</v>
      </c>
      <c r="L56" s="16" t="n">
        <f aca="false">RANDBETWEEN(-20,70)/1000</f>
        <v>0.055</v>
      </c>
      <c r="M56" s="16" t="n">
        <v>5.25</v>
      </c>
      <c r="N56" s="16" t="n">
        <f aca="false">+M56+O56</f>
        <v>5.2561</v>
      </c>
      <c r="O56" s="16" t="n">
        <f aca="false">RANDBETWEEN(-105,115)/10000</f>
        <v>0.0061</v>
      </c>
      <c r="P56" s="16" t="n">
        <f aca="false">G56</f>
        <v>2.101</v>
      </c>
      <c r="Q56" s="16" t="n">
        <f aca="false">P56+R56</f>
        <v>2.116</v>
      </c>
      <c r="R56" s="16" t="n">
        <f aca="false">RANDBETWEEN(-20,70)/1000</f>
        <v>0.015</v>
      </c>
      <c r="S56" s="17"/>
      <c r="T56" s="18" t="n">
        <v>11.5</v>
      </c>
      <c r="V56" s="19"/>
      <c r="W56" s="20" t="n">
        <v>1.968</v>
      </c>
    </row>
    <row r="57" s="10" customFormat="true" ht="18" hidden="false" customHeight="true" outlineLevel="0" collapsed="false">
      <c r="A57" s="13" t="n">
        <v>35</v>
      </c>
      <c r="B57" s="14" t="s">
        <v>57</v>
      </c>
      <c r="C57" s="15" t="n">
        <f aca="false">+C56+T56</f>
        <v>724.11</v>
      </c>
      <c r="D57" s="16" t="n">
        <v>-5.25</v>
      </c>
      <c r="E57" s="16" t="n">
        <f aca="false">+D57+F57</f>
        <v>-5.2559</v>
      </c>
      <c r="F57" s="16" t="n">
        <f aca="false">RANDBETWEEN(-105,115)/10000</f>
        <v>-0.0059</v>
      </c>
      <c r="G57" s="16" t="n">
        <f aca="false">J57-4.95*2%-0.3*6%</f>
        <v>2.102</v>
      </c>
      <c r="H57" s="16" t="n">
        <f aca="false">G57+I57</f>
        <v>2.167</v>
      </c>
      <c r="I57" s="16" t="n">
        <f aca="false">RANDBETWEEN(-20,70)/1000</f>
        <v>0.065</v>
      </c>
      <c r="J57" s="16" t="n">
        <f aca="false">W57+0.25</f>
        <v>2.219</v>
      </c>
      <c r="K57" s="16" t="n">
        <f aca="false">J57+L57</f>
        <v>2.285</v>
      </c>
      <c r="L57" s="16" t="n">
        <f aca="false">RANDBETWEEN(-20,70)/1000</f>
        <v>0.066</v>
      </c>
      <c r="M57" s="16" t="n">
        <v>5.25</v>
      </c>
      <c r="N57" s="16" t="n">
        <f aca="false">+M57+O57</f>
        <v>5.2576</v>
      </c>
      <c r="O57" s="16" t="n">
        <f aca="false">RANDBETWEEN(-105,115)/10000</f>
        <v>0.0076</v>
      </c>
      <c r="P57" s="16" t="n">
        <f aca="false">G57</f>
        <v>2.102</v>
      </c>
      <c r="Q57" s="16" t="n">
        <f aca="false">P57+R57</f>
        <v>2.151</v>
      </c>
      <c r="R57" s="16" t="n">
        <f aca="false">RANDBETWEEN(-20,70)/1000</f>
        <v>0.049</v>
      </c>
      <c r="S57" s="17"/>
      <c r="T57" s="18" t="n">
        <v>13.25</v>
      </c>
      <c r="V57" s="19"/>
      <c r="W57" s="20" t="n">
        <v>1.969</v>
      </c>
    </row>
    <row r="58" s="10" customFormat="true" ht="18" hidden="false" customHeight="true" outlineLevel="0" collapsed="false">
      <c r="A58" s="13" t="n">
        <v>36</v>
      </c>
      <c r="B58" s="14" t="s">
        <v>58</v>
      </c>
      <c r="C58" s="15" t="n">
        <f aca="false">+C57+T57</f>
        <v>737.36</v>
      </c>
      <c r="D58" s="16" t="n">
        <v>-5.25</v>
      </c>
      <c r="E58" s="16" t="n">
        <f aca="false">+D58+F58</f>
        <v>-5.2497</v>
      </c>
      <c r="F58" s="16" t="n">
        <f aca="false">RANDBETWEEN(-105,115)/10000</f>
        <v>0.0003</v>
      </c>
      <c r="G58" s="16" t="n">
        <f aca="false">J58-4.95*2%-0.3*6%</f>
        <v>2.106</v>
      </c>
      <c r="H58" s="16" t="n">
        <f aca="false">G58+I58</f>
        <v>2.17</v>
      </c>
      <c r="I58" s="16" t="n">
        <f aca="false">RANDBETWEEN(-20,70)/1000</f>
        <v>0.064</v>
      </c>
      <c r="J58" s="16" t="n">
        <f aca="false">W58+0.25</f>
        <v>2.223</v>
      </c>
      <c r="K58" s="16" t="n">
        <f aca="false">J58+L58</f>
        <v>2.234</v>
      </c>
      <c r="L58" s="16" t="n">
        <f aca="false">RANDBETWEEN(-20,70)/1000</f>
        <v>0.011</v>
      </c>
      <c r="M58" s="16" t="n">
        <v>5.25</v>
      </c>
      <c r="N58" s="16" t="n">
        <f aca="false">+M58+O58</f>
        <v>5.2421</v>
      </c>
      <c r="O58" s="16" t="n">
        <f aca="false">RANDBETWEEN(-105,115)/10000</f>
        <v>-0.0079</v>
      </c>
      <c r="P58" s="16" t="n">
        <f aca="false">G58</f>
        <v>2.106</v>
      </c>
      <c r="Q58" s="16" t="n">
        <f aca="false">P58+R58</f>
        <v>2.173</v>
      </c>
      <c r="R58" s="16" t="n">
        <f aca="false">RANDBETWEEN(-20,70)/1000</f>
        <v>0.067</v>
      </c>
      <c r="S58" s="17"/>
      <c r="T58" s="18"/>
      <c r="V58" s="19"/>
      <c r="W58" s="20" t="n">
        <v>1.973</v>
      </c>
    </row>
    <row r="59" s="10" customFormat="true" ht="18" hidden="true" customHeight="true" outlineLevel="0" collapsed="false">
      <c r="A59" s="13"/>
      <c r="B59" s="14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T59" s="18"/>
      <c r="V59" s="19"/>
      <c r="W59" s="20"/>
    </row>
    <row r="60" s="10" customFormat="true" ht="18" hidden="true" customHeight="true" outlineLevel="0" collapsed="false">
      <c r="A60" s="13"/>
      <c r="B60" s="14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T60" s="18"/>
      <c r="V60" s="19"/>
      <c r="W60" s="20"/>
    </row>
    <row r="61" s="10" customFormat="true" ht="15.75" hidden="false" customHeight="true" outlineLevel="0" collapsed="false"/>
    <row r="62" s="10" customFormat="true" ht="15.75" hidden="false" customHeight="true" outlineLevel="0" collapsed="false">
      <c r="C62" s="21" t="s">
        <v>59</v>
      </c>
      <c r="D62" s="21"/>
      <c r="E62" s="21"/>
      <c r="F62" s="21"/>
      <c r="G62" s="21"/>
      <c r="H62" s="21"/>
      <c r="I62" s="21"/>
      <c r="K62" s="22"/>
      <c r="L62" s="22"/>
      <c r="M62" s="22"/>
      <c r="N62" s="22"/>
      <c r="O62" s="21" t="s">
        <v>60</v>
      </c>
      <c r="P62" s="21"/>
      <c r="Q62" s="21"/>
      <c r="R62" s="21"/>
    </row>
    <row r="63" s="10" customFormat="true" ht="15.75" hidden="false" customHeight="true" outlineLevel="0" collapsed="false">
      <c r="E63" s="23"/>
      <c r="F63" s="23"/>
      <c r="G63" s="23"/>
      <c r="H63" s="23"/>
      <c r="K63" s="23"/>
      <c r="L63" s="23"/>
      <c r="M63" s="23"/>
      <c r="N63" s="23"/>
      <c r="O63" s="23"/>
      <c r="P63" s="23"/>
      <c r="Q63" s="23"/>
      <c r="R63" s="23"/>
    </row>
    <row r="64" s="10" customFormat="true" ht="15.75" hidden="false" customHeight="true" outlineLevel="0" collapsed="false">
      <c r="E64" s="23"/>
      <c r="F64" s="23"/>
      <c r="G64" s="23"/>
      <c r="H64" s="23"/>
      <c r="K64" s="23"/>
      <c r="L64" s="23"/>
      <c r="M64" s="23"/>
      <c r="N64" s="23"/>
      <c r="O64" s="23"/>
      <c r="P64" s="23"/>
      <c r="Q64" s="23"/>
      <c r="R64" s="23"/>
    </row>
    <row r="65" s="10" customFormat="true" ht="15.75" hidden="false" customHeight="true" outlineLevel="0" collapsed="false">
      <c r="E65" s="23"/>
      <c r="F65" s="23"/>
      <c r="G65" s="23"/>
      <c r="H65" s="23"/>
      <c r="K65" s="23"/>
      <c r="L65" s="23"/>
      <c r="M65" s="23"/>
      <c r="N65" s="23"/>
      <c r="O65" s="23"/>
      <c r="P65" s="23"/>
      <c r="Q65" s="23"/>
      <c r="R65" s="23"/>
    </row>
    <row r="66" s="10" customFormat="true" ht="15.75" hidden="false" customHeight="true" outlineLevel="0" collapsed="false">
      <c r="E66" s="23"/>
      <c r="F66" s="23"/>
      <c r="G66" s="23"/>
      <c r="H66" s="23"/>
      <c r="K66" s="23"/>
      <c r="L66" s="23"/>
      <c r="M66" s="23"/>
      <c r="N66" s="23"/>
      <c r="O66" s="23"/>
      <c r="P66" s="23"/>
      <c r="Q66" s="23"/>
      <c r="R66" s="23"/>
    </row>
    <row r="67" s="10" customFormat="true" ht="15.75" hidden="false" customHeight="true" outlineLevel="0" collapsed="false">
      <c r="C67" s="21" t="s">
        <v>61</v>
      </c>
      <c r="D67" s="21"/>
      <c r="E67" s="21"/>
      <c r="F67" s="21"/>
      <c r="G67" s="21"/>
      <c r="H67" s="21"/>
      <c r="I67" s="21"/>
      <c r="K67" s="22"/>
      <c r="L67" s="22"/>
      <c r="M67" s="22"/>
      <c r="N67" s="22"/>
      <c r="O67" s="21" t="s">
        <v>62</v>
      </c>
      <c r="P67" s="21"/>
      <c r="Q67" s="21"/>
      <c r="R67" s="21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590277777777778" right="0.157638888888889" top="0.579861111111111" bottom="0.479861111111111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Y134"/>
  <sheetViews>
    <sheetView showFormulas="false" showGridLines="true" showRowColHeaders="true" showZeros="true" rightToLeft="false" tabSelected="false" showOutlineSymbols="true" defaultGridColor="true" view="normal" topLeftCell="A11" colorId="64" zoomScale="70" zoomScaleNormal="70" zoomScalePageLayoutView="100" workbookViewId="0">
      <selection pane="topLeft" activeCell="AH55" activeCellId="0" sqref="AH55"/>
    </sheetView>
  </sheetViews>
  <sheetFormatPr defaultColWidth="9.2890625" defaultRowHeight="12.75" zeroHeight="false" outlineLevelRow="0" outlineLevelCol="0"/>
  <cols>
    <col collapsed="false" customWidth="true" hidden="false" outlineLevel="0" max="1" min="1" style="24" width="6.71"/>
    <col collapsed="false" customWidth="true" hidden="false" outlineLevel="0" max="2" min="2" style="24" width="12.29"/>
    <col collapsed="false" customWidth="true" hidden="false" outlineLevel="0" max="3" min="3" style="24" width="19.57"/>
    <col collapsed="false" customWidth="true" hidden="false" outlineLevel="0" max="4" min="4" style="25" width="12.71"/>
    <col collapsed="false" customWidth="true" hidden="true" outlineLevel="0" max="6" min="5" style="25" width="8.42"/>
    <col collapsed="false" customWidth="true" hidden="true" outlineLevel="0" max="7" min="7" style="25" width="11"/>
    <col collapsed="false" customWidth="true" hidden="true" outlineLevel="0" max="12" min="8" style="25" width="8.42"/>
    <col collapsed="false" customWidth="true" hidden="true" outlineLevel="0" max="14" min="13" style="25" width="14.29"/>
    <col collapsed="false" customWidth="true" hidden="false" outlineLevel="0" max="15" min="15" style="25" width="15.42"/>
    <col collapsed="false" customWidth="true" hidden="true" outlineLevel="0" max="22" min="16" style="25" width="14.29"/>
    <col collapsed="false" customWidth="true" hidden="false" outlineLevel="0" max="23" min="23" style="25" width="15.29"/>
    <col collapsed="false" customWidth="true" hidden="true" outlineLevel="0" max="25" min="24" style="25" width="14.29"/>
    <col collapsed="false" customWidth="true" hidden="true" outlineLevel="0" max="27" min="26" style="25" width="12.86"/>
    <col collapsed="false" customWidth="true" hidden="false" outlineLevel="0" max="28" min="28" style="25" width="10.29"/>
    <col collapsed="false" customWidth="false" hidden="true" outlineLevel="0" max="29" min="29" style="25" width="9.29"/>
    <col collapsed="false" customWidth="true" hidden="false" outlineLevel="0" max="30" min="30" style="24" width="3.86"/>
    <col collapsed="false" customWidth="true" hidden="false" outlineLevel="0" max="31" min="31" style="24" width="10"/>
    <col collapsed="false" customWidth="true" hidden="false" outlineLevel="0" max="32" min="32" style="24" width="11.43"/>
    <col collapsed="false" customWidth="true" hidden="false" outlineLevel="0" max="34" min="33" style="24" width="10.57"/>
    <col collapsed="false" customWidth="true" hidden="false" outlineLevel="0" max="35" min="35" style="24" width="11.29"/>
    <col collapsed="false" customWidth="true" hidden="false" outlineLevel="0" max="36" min="36" style="24" width="10.57"/>
    <col collapsed="false" customWidth="true" hidden="false" outlineLevel="0" max="37" min="37" style="24" width="6.43"/>
    <col collapsed="false" customWidth="true" hidden="false" outlineLevel="0" max="38" min="38" style="24" width="10.57"/>
    <col collapsed="false" customWidth="true" hidden="false" outlineLevel="0" max="39" min="39" style="24" width="11.57"/>
    <col collapsed="false" customWidth="false" hidden="false" outlineLevel="0" max="16384" min="40" style="24" width="9.29"/>
  </cols>
  <sheetData>
    <row r="1" s="27" customFormat="true" ht="16.5" hidden="false" customHeight="true" outlineLevel="0" collapsed="false">
      <c r="A1" s="26" t="s">
        <v>63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="27" customFormat="true" ht="16.5" hidden="false" customHeight="true" outlineLevel="0" collapsed="false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="31" customFormat="true" ht="37.5" hidden="false" customHeight="true" outlineLevel="0" collapsed="false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</row>
    <row r="4" s="31" customFormat="true" ht="37.5" hidden="false" customHeight="true" outlineLevel="0" collapsed="false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</row>
    <row r="5" s="31" customFormat="true" ht="16.5" hidden="false" customHeight="true" outlineLevel="0" collapsed="false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</row>
    <row r="6" s="31" customFormat="true" ht="16.5" hidden="false" customHeight="true" outlineLevel="0" collapsed="false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</row>
    <row r="7" s="31" customFormat="true" ht="30.75" hidden="false" customHeight="true" outlineLevel="0" collapsed="false">
      <c r="A7" s="32" t="s">
        <v>6</v>
      </c>
      <c r="B7" s="33"/>
      <c r="D7" s="34" t="s">
        <v>7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</row>
    <row r="8" s="30" customFormat="true" ht="13.5" hidden="false" customHeight="true" outlineLevel="0" collapsed="false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s="46" customFormat="true" ht="22.5" hidden="false" customHeight="true" outlineLevel="0" collapsed="false">
      <c r="A9" s="36" t="s">
        <v>64</v>
      </c>
      <c r="B9" s="36" t="s">
        <v>10</v>
      </c>
      <c r="C9" s="36" t="s">
        <v>11</v>
      </c>
      <c r="D9" s="37" t="s">
        <v>65</v>
      </c>
      <c r="E9" s="38"/>
      <c r="F9" s="38"/>
      <c r="G9" s="37"/>
      <c r="H9" s="38"/>
      <c r="I9" s="38"/>
      <c r="J9" s="38"/>
      <c r="K9" s="38"/>
      <c r="L9" s="38"/>
      <c r="M9" s="39" t="s">
        <v>66</v>
      </c>
      <c r="N9" s="40"/>
      <c r="O9" s="41" t="s">
        <v>67</v>
      </c>
      <c r="P9" s="42"/>
      <c r="Q9" s="42"/>
      <c r="R9" s="42"/>
      <c r="S9" s="42"/>
      <c r="T9" s="42"/>
      <c r="U9" s="42"/>
      <c r="V9" s="42"/>
      <c r="W9" s="41" t="s">
        <v>68</v>
      </c>
      <c r="X9" s="40"/>
      <c r="Y9" s="43"/>
      <c r="Z9" s="44"/>
      <c r="AA9" s="44"/>
      <c r="AB9" s="37" t="s">
        <v>15</v>
      </c>
      <c r="AC9" s="45"/>
    </row>
    <row r="10" s="50" customFormat="true" ht="22.5" hidden="false" customHeight="true" outlineLevel="0" collapsed="false">
      <c r="A10" s="36"/>
      <c r="B10" s="36"/>
      <c r="C10" s="36"/>
      <c r="D10" s="36"/>
      <c r="E10" s="41"/>
      <c r="F10" s="41"/>
      <c r="G10" s="41"/>
      <c r="H10" s="41"/>
      <c r="I10" s="41"/>
      <c r="J10" s="41"/>
      <c r="K10" s="41"/>
      <c r="L10" s="41"/>
      <c r="M10" s="41"/>
      <c r="N10" s="41" t="s">
        <v>67</v>
      </c>
      <c r="O10" s="41"/>
      <c r="P10" s="41" t="s">
        <v>67</v>
      </c>
      <c r="Q10" s="41" t="s">
        <v>67</v>
      </c>
      <c r="R10" s="41"/>
      <c r="S10" s="41"/>
      <c r="T10" s="41"/>
      <c r="U10" s="41" t="s">
        <v>68</v>
      </c>
      <c r="V10" s="41" t="s">
        <v>68</v>
      </c>
      <c r="W10" s="41"/>
      <c r="X10" s="41" t="s">
        <v>68</v>
      </c>
      <c r="Y10" s="41" t="s">
        <v>68</v>
      </c>
      <c r="Z10" s="47"/>
      <c r="AA10" s="47"/>
      <c r="AB10" s="37"/>
      <c r="AC10" s="48"/>
      <c r="AD10" s="49"/>
      <c r="AE10" s="49"/>
    </row>
    <row r="11" s="50" customFormat="true" ht="15" hidden="false" customHeight="true" outlineLevel="0" collapsed="false">
      <c r="A11" s="13" t="n">
        <v>1</v>
      </c>
      <c r="B11" s="13" t="str">
        <f aca="false">'KTHH Lớp 1'!B23</f>
        <v>B4</v>
      </c>
      <c r="C11" s="15" t="n">
        <f aca="false">'KTHH Lớp 1'!C23</f>
        <v>211</v>
      </c>
      <c r="D11" s="13" t="n">
        <f aca="false">'KTHH Lớp 1'!T23</f>
        <v>13.25</v>
      </c>
      <c r="E11" s="51"/>
      <c r="F11" s="51"/>
      <c r="G11" s="51"/>
      <c r="H11" s="51"/>
      <c r="I11" s="51"/>
      <c r="J11" s="51"/>
      <c r="K11" s="52"/>
      <c r="L11" s="16"/>
      <c r="M11" s="17"/>
      <c r="N11" s="53"/>
      <c r="O11" s="52" t="n">
        <f aca="false">10.5*0.25</f>
        <v>2.625</v>
      </c>
      <c r="P11" s="52"/>
      <c r="Q11" s="52"/>
      <c r="R11" s="54"/>
      <c r="S11" s="54"/>
      <c r="T11" s="54"/>
      <c r="U11" s="54"/>
      <c r="V11" s="54"/>
      <c r="W11" s="54" t="n">
        <f aca="false">(O11+O12)*D11/2</f>
        <v>34.78125</v>
      </c>
      <c r="X11" s="54"/>
      <c r="Y11" s="54"/>
      <c r="Z11" s="54"/>
      <c r="AA11" s="54"/>
      <c r="AB11" s="55"/>
      <c r="AC11" s="56"/>
      <c r="AE11" s="57"/>
      <c r="AF11" s="57"/>
    </row>
    <row r="12" s="50" customFormat="true" ht="15" hidden="false" customHeight="true" outlineLevel="0" collapsed="false">
      <c r="A12" s="13" t="n">
        <v>2</v>
      </c>
      <c r="B12" s="13" t="str">
        <f aca="false">'KTHH Lớp 1'!B24</f>
        <v>12</v>
      </c>
      <c r="C12" s="15" t="n">
        <f aca="false">'KTHH Lớp 1'!C24</f>
        <v>224.25</v>
      </c>
      <c r="D12" s="13" t="n">
        <f aca="false">'KTHH Lớp 1'!T24</f>
        <v>21.5</v>
      </c>
      <c r="E12" s="51"/>
      <c r="F12" s="51"/>
      <c r="G12" s="51"/>
      <c r="H12" s="51"/>
      <c r="I12" s="51"/>
      <c r="J12" s="51"/>
      <c r="K12" s="52"/>
      <c r="L12" s="16"/>
      <c r="M12" s="17"/>
      <c r="N12" s="53"/>
      <c r="O12" s="52" t="n">
        <f aca="false">10.5*0.25</f>
        <v>2.625</v>
      </c>
      <c r="P12" s="52"/>
      <c r="Q12" s="52"/>
      <c r="R12" s="54"/>
      <c r="S12" s="54"/>
      <c r="T12" s="54"/>
      <c r="U12" s="54"/>
      <c r="V12" s="54"/>
      <c r="W12" s="54" t="n">
        <f aca="false">(O12+O13)*D12/2</f>
        <v>56.4375</v>
      </c>
      <c r="X12" s="54"/>
      <c r="Y12" s="54"/>
      <c r="Z12" s="54"/>
      <c r="AA12" s="54"/>
      <c r="AB12" s="55"/>
      <c r="AC12" s="56"/>
      <c r="AE12" s="57"/>
      <c r="AF12" s="57"/>
    </row>
    <row r="13" s="50" customFormat="true" ht="15" hidden="false" customHeight="true" outlineLevel="0" collapsed="false">
      <c r="A13" s="13" t="n">
        <v>3</v>
      </c>
      <c r="B13" s="13" t="str">
        <f aca="false">'KTHH Lớp 1'!B25</f>
        <v>13</v>
      </c>
      <c r="C13" s="15" t="n">
        <f aca="false">'KTHH Lớp 1'!C25</f>
        <v>245.75</v>
      </c>
      <c r="D13" s="13" t="n">
        <f aca="false">'KTHH Lớp 1'!T25</f>
        <v>11.75</v>
      </c>
      <c r="E13" s="51"/>
      <c r="F13" s="51"/>
      <c r="G13" s="51"/>
      <c r="H13" s="51"/>
      <c r="I13" s="51"/>
      <c r="J13" s="51"/>
      <c r="K13" s="52"/>
      <c r="L13" s="16"/>
      <c r="M13" s="17"/>
      <c r="N13" s="53"/>
      <c r="O13" s="52" t="n">
        <f aca="false">10.5*0.25</f>
        <v>2.625</v>
      </c>
      <c r="P13" s="52"/>
      <c r="Q13" s="52"/>
      <c r="R13" s="54"/>
      <c r="S13" s="54"/>
      <c r="T13" s="54"/>
      <c r="U13" s="54"/>
      <c r="V13" s="54"/>
      <c r="W13" s="54" t="n">
        <f aca="false">(O13+O14)*D13/2</f>
        <v>30.84375</v>
      </c>
      <c r="X13" s="54"/>
      <c r="Y13" s="54"/>
      <c r="Z13" s="54"/>
      <c r="AA13" s="54"/>
      <c r="AB13" s="55"/>
      <c r="AC13" s="56"/>
      <c r="AE13" s="57"/>
      <c r="AF13" s="57"/>
    </row>
    <row r="14" s="50" customFormat="true" ht="15" hidden="false" customHeight="true" outlineLevel="0" collapsed="false">
      <c r="A14" s="13" t="n">
        <v>4</v>
      </c>
      <c r="B14" s="13" t="str">
        <f aca="false">'KTHH Lớp 1'!B26</f>
        <v>B5</v>
      </c>
      <c r="C14" s="15" t="n">
        <f aca="false">'KTHH Lớp 1'!C26</f>
        <v>257.5</v>
      </c>
      <c r="D14" s="13" t="n">
        <f aca="false">'KTHH Lớp 1'!T26</f>
        <v>11.75</v>
      </c>
      <c r="E14" s="51"/>
      <c r="F14" s="51"/>
      <c r="G14" s="51"/>
      <c r="H14" s="51"/>
      <c r="I14" s="51"/>
      <c r="J14" s="51"/>
      <c r="K14" s="52"/>
      <c r="L14" s="16"/>
      <c r="M14" s="17"/>
      <c r="N14" s="53"/>
      <c r="O14" s="52" t="n">
        <f aca="false">10.5*0.25</f>
        <v>2.625</v>
      </c>
      <c r="P14" s="52"/>
      <c r="Q14" s="52"/>
      <c r="R14" s="54"/>
      <c r="S14" s="54"/>
      <c r="T14" s="54"/>
      <c r="U14" s="54"/>
      <c r="V14" s="54"/>
      <c r="W14" s="54" t="n">
        <f aca="false">(O14+O15)*D14/2</f>
        <v>30.84375</v>
      </c>
      <c r="X14" s="54"/>
      <c r="Y14" s="54"/>
      <c r="Z14" s="54"/>
      <c r="AA14" s="54"/>
      <c r="AB14" s="55"/>
      <c r="AC14" s="56"/>
      <c r="AE14" s="57"/>
      <c r="AF14" s="57"/>
    </row>
    <row r="15" s="50" customFormat="true" ht="15" hidden="false" customHeight="true" outlineLevel="0" collapsed="false">
      <c r="A15" s="13" t="n">
        <v>5</v>
      </c>
      <c r="B15" s="13" t="str">
        <f aca="false">'KTHH Lớp 1'!B27</f>
        <v>14</v>
      </c>
      <c r="C15" s="15" t="n">
        <f aca="false">'KTHH Lớp 1'!C27</f>
        <v>269.25</v>
      </c>
      <c r="D15" s="13" t="n">
        <f aca="false">'KTHH Lớp 1'!T27</f>
        <v>20</v>
      </c>
      <c r="E15" s="51"/>
      <c r="F15" s="51"/>
      <c r="G15" s="51"/>
      <c r="H15" s="51"/>
      <c r="I15" s="51"/>
      <c r="J15" s="51"/>
      <c r="K15" s="52"/>
      <c r="L15" s="16"/>
      <c r="M15" s="17"/>
      <c r="N15" s="53"/>
      <c r="O15" s="52" t="n">
        <f aca="false">10.5*0.25</f>
        <v>2.625</v>
      </c>
      <c r="P15" s="52"/>
      <c r="Q15" s="52"/>
      <c r="R15" s="54"/>
      <c r="S15" s="54"/>
      <c r="T15" s="54"/>
      <c r="U15" s="54"/>
      <c r="V15" s="54"/>
      <c r="W15" s="54" t="n">
        <f aca="false">(O15+O16)*D15/2</f>
        <v>52.5</v>
      </c>
      <c r="X15" s="54"/>
      <c r="Y15" s="54"/>
      <c r="Z15" s="54"/>
      <c r="AA15" s="54"/>
      <c r="AB15" s="55"/>
      <c r="AC15" s="56"/>
      <c r="AE15" s="57"/>
      <c r="AF15" s="57"/>
    </row>
    <row r="16" s="50" customFormat="true" ht="15" hidden="false" customHeight="true" outlineLevel="0" collapsed="false">
      <c r="A16" s="13" t="n">
        <v>6</v>
      </c>
      <c r="B16" s="13" t="str">
        <f aca="false">'KTHH Lớp 1'!B28</f>
        <v>15</v>
      </c>
      <c r="C16" s="15" t="n">
        <f aca="false">'KTHH Lớp 1'!C28</f>
        <v>289.25</v>
      </c>
      <c r="D16" s="13" t="n">
        <f aca="false">'KTHH Lớp 1'!T28</f>
        <v>20</v>
      </c>
      <c r="E16" s="51"/>
      <c r="F16" s="51"/>
      <c r="G16" s="51"/>
      <c r="H16" s="51"/>
      <c r="I16" s="51"/>
      <c r="J16" s="51"/>
      <c r="K16" s="52"/>
      <c r="L16" s="16"/>
      <c r="M16" s="17"/>
      <c r="N16" s="53"/>
      <c r="O16" s="52" t="n">
        <f aca="false">10.5*0.25</f>
        <v>2.625</v>
      </c>
      <c r="P16" s="52"/>
      <c r="Q16" s="52"/>
      <c r="R16" s="54"/>
      <c r="S16" s="54"/>
      <c r="T16" s="54"/>
      <c r="U16" s="54"/>
      <c r="V16" s="54"/>
      <c r="W16" s="54" t="n">
        <f aca="false">(O16+O17)*D16/2</f>
        <v>52.5</v>
      </c>
      <c r="X16" s="54"/>
      <c r="Y16" s="54"/>
      <c r="Z16" s="54"/>
      <c r="AA16" s="54"/>
      <c r="AB16" s="55"/>
      <c r="AC16" s="56"/>
      <c r="AE16" s="57"/>
      <c r="AF16" s="57"/>
    </row>
    <row r="17" s="50" customFormat="true" ht="15" hidden="false" customHeight="true" outlineLevel="0" collapsed="false">
      <c r="A17" s="13" t="n">
        <v>7</v>
      </c>
      <c r="B17" s="13" t="str">
        <f aca="false">'KTHH Lớp 1'!B29</f>
        <v>16</v>
      </c>
      <c r="C17" s="15" t="n">
        <f aca="false">'KTHH Lớp 1'!C29</f>
        <v>309.25</v>
      </c>
      <c r="D17" s="13" t="n">
        <f aca="false">'KTHH Lớp 1'!T29</f>
        <v>20</v>
      </c>
      <c r="E17" s="51"/>
      <c r="F17" s="51"/>
      <c r="G17" s="51"/>
      <c r="H17" s="51"/>
      <c r="I17" s="51"/>
      <c r="J17" s="51"/>
      <c r="K17" s="52"/>
      <c r="L17" s="16"/>
      <c r="M17" s="17"/>
      <c r="N17" s="53"/>
      <c r="O17" s="52" t="n">
        <f aca="false">10.5*0.25</f>
        <v>2.625</v>
      </c>
      <c r="P17" s="52"/>
      <c r="Q17" s="52"/>
      <c r="R17" s="54"/>
      <c r="S17" s="54"/>
      <c r="T17" s="54"/>
      <c r="U17" s="54"/>
      <c r="V17" s="54"/>
      <c r="W17" s="54" t="n">
        <f aca="false">(O17+O18)*D17/2</f>
        <v>52.5</v>
      </c>
      <c r="X17" s="54"/>
      <c r="Y17" s="54"/>
      <c r="Z17" s="54"/>
      <c r="AA17" s="54"/>
      <c r="AB17" s="55"/>
      <c r="AC17" s="56"/>
      <c r="AE17" s="57"/>
      <c r="AF17" s="57"/>
    </row>
    <row r="18" s="50" customFormat="true" ht="15" hidden="false" customHeight="true" outlineLevel="0" collapsed="false">
      <c r="A18" s="13" t="n">
        <v>8</v>
      </c>
      <c r="B18" s="13" t="str">
        <f aca="false">'KTHH Lớp 1'!B30</f>
        <v>17</v>
      </c>
      <c r="C18" s="15" t="n">
        <f aca="false">'KTHH Lớp 1'!C30</f>
        <v>329.25</v>
      </c>
      <c r="D18" s="13" t="n">
        <f aca="false">'KTHH Lớp 1'!T30</f>
        <v>20</v>
      </c>
      <c r="E18" s="51"/>
      <c r="F18" s="51"/>
      <c r="G18" s="51"/>
      <c r="H18" s="51"/>
      <c r="I18" s="51"/>
      <c r="J18" s="51"/>
      <c r="K18" s="52"/>
      <c r="L18" s="16"/>
      <c r="M18" s="17"/>
      <c r="N18" s="53"/>
      <c r="O18" s="52" t="n">
        <f aca="false">10.5*0.25</f>
        <v>2.625</v>
      </c>
      <c r="P18" s="52"/>
      <c r="Q18" s="52"/>
      <c r="R18" s="54"/>
      <c r="S18" s="54"/>
      <c r="T18" s="54"/>
      <c r="U18" s="54"/>
      <c r="V18" s="54"/>
      <c r="W18" s="54" t="n">
        <f aca="false">(O18+O19)*D18/2</f>
        <v>52.5</v>
      </c>
      <c r="X18" s="54"/>
      <c r="Y18" s="54"/>
      <c r="Z18" s="54"/>
      <c r="AA18" s="54"/>
      <c r="AB18" s="55"/>
      <c r="AC18" s="56"/>
      <c r="AE18" s="57"/>
      <c r="AF18" s="57"/>
    </row>
    <row r="19" s="50" customFormat="true" ht="15" hidden="false" customHeight="true" outlineLevel="0" collapsed="false">
      <c r="A19" s="13" t="n">
        <v>9</v>
      </c>
      <c r="B19" s="13" t="str">
        <f aca="false">'KTHH Lớp 1'!B31</f>
        <v>18</v>
      </c>
      <c r="C19" s="15" t="n">
        <f aca="false">'KTHH Lớp 1'!C31</f>
        <v>349.25</v>
      </c>
      <c r="D19" s="13" t="n">
        <f aca="false">'KTHH Lớp 1'!T31</f>
        <v>19</v>
      </c>
      <c r="E19" s="51"/>
      <c r="F19" s="51"/>
      <c r="G19" s="51"/>
      <c r="H19" s="51"/>
      <c r="I19" s="51"/>
      <c r="J19" s="51"/>
      <c r="K19" s="52"/>
      <c r="L19" s="16"/>
      <c r="M19" s="17"/>
      <c r="N19" s="53"/>
      <c r="O19" s="52" t="n">
        <f aca="false">10.5*0.25</f>
        <v>2.625</v>
      </c>
      <c r="P19" s="52"/>
      <c r="Q19" s="52"/>
      <c r="R19" s="54"/>
      <c r="S19" s="54"/>
      <c r="T19" s="54"/>
      <c r="U19" s="54"/>
      <c r="V19" s="54"/>
      <c r="W19" s="54" t="n">
        <f aca="false">(O19+O20)*D19/2</f>
        <v>49.875</v>
      </c>
      <c r="X19" s="54"/>
      <c r="Y19" s="54"/>
      <c r="Z19" s="54"/>
      <c r="AA19" s="54"/>
      <c r="AB19" s="55"/>
      <c r="AC19" s="56"/>
      <c r="AE19" s="57"/>
      <c r="AF19" s="57"/>
    </row>
    <row r="20" s="50" customFormat="true" ht="15" hidden="false" customHeight="true" outlineLevel="0" collapsed="false">
      <c r="A20" s="13" t="n">
        <v>10</v>
      </c>
      <c r="B20" s="13" t="str">
        <f aca="false">'KTHH Lớp 1'!B32</f>
        <v>19</v>
      </c>
      <c r="C20" s="15" t="n">
        <f aca="false">'KTHH Lớp 1'!C32</f>
        <v>368.25</v>
      </c>
      <c r="D20" s="13" t="n">
        <f aca="false">'KTHH Lớp 1'!T32</f>
        <v>13.25</v>
      </c>
      <c r="E20" s="51"/>
      <c r="F20" s="51"/>
      <c r="G20" s="51"/>
      <c r="H20" s="51"/>
      <c r="I20" s="51"/>
      <c r="J20" s="51"/>
      <c r="K20" s="52"/>
      <c r="L20" s="16"/>
      <c r="M20" s="17"/>
      <c r="N20" s="53"/>
      <c r="O20" s="52" t="n">
        <f aca="false">10.5*0.25</f>
        <v>2.625</v>
      </c>
      <c r="P20" s="52"/>
      <c r="Q20" s="52"/>
      <c r="R20" s="54"/>
      <c r="S20" s="54"/>
      <c r="T20" s="54"/>
      <c r="U20" s="54"/>
      <c r="V20" s="54"/>
      <c r="W20" s="54" t="n">
        <f aca="false">(O20+O21)*D20/2</f>
        <v>34.78125</v>
      </c>
      <c r="X20" s="54"/>
      <c r="Y20" s="54"/>
      <c r="Z20" s="54"/>
      <c r="AA20" s="54"/>
      <c r="AB20" s="55"/>
      <c r="AC20" s="56"/>
      <c r="AE20" s="57"/>
      <c r="AF20" s="57"/>
    </row>
    <row r="21" s="50" customFormat="true" ht="15" hidden="false" customHeight="true" outlineLevel="0" collapsed="false">
      <c r="A21" s="13" t="n">
        <v>11</v>
      </c>
      <c r="B21" s="13" t="str">
        <f aca="false">'KTHH Lớp 1'!B33</f>
        <v>C2</v>
      </c>
      <c r="C21" s="15" t="n">
        <f aca="false">'KTHH Lớp 1'!C33</f>
        <v>381.5</v>
      </c>
      <c r="D21" s="13" t="n">
        <f aca="false">'KTHH Lớp 1'!T33</f>
        <v>13.25</v>
      </c>
      <c r="E21" s="51"/>
      <c r="F21" s="51"/>
      <c r="G21" s="51"/>
      <c r="H21" s="51"/>
      <c r="I21" s="51"/>
      <c r="J21" s="51"/>
      <c r="K21" s="52"/>
      <c r="L21" s="16"/>
      <c r="M21" s="17"/>
      <c r="N21" s="53"/>
      <c r="O21" s="52" t="n">
        <f aca="false">10.5*0.25</f>
        <v>2.625</v>
      </c>
      <c r="P21" s="52"/>
      <c r="Q21" s="52"/>
      <c r="R21" s="54"/>
      <c r="S21" s="54"/>
      <c r="T21" s="54"/>
      <c r="U21" s="54"/>
      <c r="V21" s="54"/>
      <c r="W21" s="54" t="n">
        <f aca="false">(O21+O22)*D21/2</f>
        <v>34.78125</v>
      </c>
      <c r="X21" s="54"/>
      <c r="Y21" s="54"/>
      <c r="Z21" s="54"/>
      <c r="AA21" s="54"/>
      <c r="AB21" s="55"/>
      <c r="AC21" s="56"/>
      <c r="AE21" s="57"/>
      <c r="AF21" s="57"/>
    </row>
    <row r="22" s="50" customFormat="true" ht="15" hidden="false" customHeight="true" outlineLevel="0" collapsed="false">
      <c r="A22" s="13" t="n">
        <v>12</v>
      </c>
      <c r="B22" s="13" t="str">
        <f aca="false">'KTHH Lớp 1'!B34</f>
        <v>20</v>
      </c>
      <c r="C22" s="15" t="n">
        <f aca="false">'KTHH Lớp 1'!C34</f>
        <v>394.75</v>
      </c>
      <c r="D22" s="13" t="n">
        <f aca="false">'KTHH Lớp 1'!T34</f>
        <v>20</v>
      </c>
      <c r="E22" s="51"/>
      <c r="F22" s="51"/>
      <c r="G22" s="51"/>
      <c r="H22" s="51"/>
      <c r="I22" s="51"/>
      <c r="J22" s="51"/>
      <c r="K22" s="52"/>
      <c r="L22" s="16"/>
      <c r="M22" s="17"/>
      <c r="N22" s="53"/>
      <c r="O22" s="52" t="n">
        <f aca="false">10.5*0.25</f>
        <v>2.625</v>
      </c>
      <c r="P22" s="52"/>
      <c r="Q22" s="52"/>
      <c r="R22" s="54"/>
      <c r="S22" s="54"/>
      <c r="T22" s="54"/>
      <c r="U22" s="54"/>
      <c r="V22" s="54"/>
      <c r="W22" s="54" t="n">
        <f aca="false">(O22+O23)*D22/2</f>
        <v>52.5</v>
      </c>
      <c r="X22" s="54"/>
      <c r="Y22" s="54"/>
      <c r="Z22" s="54"/>
      <c r="AA22" s="54"/>
      <c r="AB22" s="55"/>
      <c r="AC22" s="56"/>
      <c r="AE22" s="57"/>
      <c r="AF22" s="57"/>
    </row>
    <row r="23" s="50" customFormat="true" ht="15" hidden="false" customHeight="true" outlineLevel="0" collapsed="false">
      <c r="A23" s="13" t="n">
        <v>13</v>
      </c>
      <c r="B23" s="13" t="str">
        <f aca="false">'KTHH Lớp 1'!B35</f>
        <v>21</v>
      </c>
      <c r="C23" s="15" t="n">
        <f aca="false">'KTHH Lớp 1'!C35</f>
        <v>414.75</v>
      </c>
      <c r="D23" s="13" t="n">
        <f aca="false">'KTHH Lớp 1'!T35</f>
        <v>20</v>
      </c>
      <c r="E23" s="51"/>
      <c r="F23" s="51"/>
      <c r="G23" s="51"/>
      <c r="H23" s="51"/>
      <c r="I23" s="51"/>
      <c r="J23" s="51"/>
      <c r="K23" s="52"/>
      <c r="L23" s="16"/>
      <c r="M23" s="17"/>
      <c r="N23" s="53"/>
      <c r="O23" s="52" t="n">
        <f aca="false">10.5*0.25</f>
        <v>2.625</v>
      </c>
      <c r="P23" s="52"/>
      <c r="Q23" s="52"/>
      <c r="R23" s="54"/>
      <c r="S23" s="54"/>
      <c r="T23" s="54"/>
      <c r="U23" s="54"/>
      <c r="V23" s="54"/>
      <c r="W23" s="54" t="n">
        <f aca="false">(O23+O24)*D23/2</f>
        <v>52.5</v>
      </c>
      <c r="X23" s="54"/>
      <c r="Y23" s="54"/>
      <c r="Z23" s="54"/>
      <c r="AA23" s="54"/>
      <c r="AB23" s="55"/>
      <c r="AC23" s="56"/>
      <c r="AE23" s="57"/>
      <c r="AF23" s="57"/>
    </row>
    <row r="24" s="50" customFormat="true" ht="15" hidden="false" customHeight="true" outlineLevel="0" collapsed="false">
      <c r="A24" s="13" t="n">
        <v>14</v>
      </c>
      <c r="B24" s="13" t="str">
        <f aca="false">'KTHH Lớp 1'!B36</f>
        <v>22</v>
      </c>
      <c r="C24" s="15" t="n">
        <f aca="false">'KTHH Lớp 1'!C36</f>
        <v>434.75</v>
      </c>
      <c r="D24" s="13" t="n">
        <f aca="false">'KTHH Lớp 1'!T36</f>
        <v>20</v>
      </c>
      <c r="E24" s="51"/>
      <c r="F24" s="51"/>
      <c r="G24" s="51"/>
      <c r="H24" s="51"/>
      <c r="I24" s="51"/>
      <c r="J24" s="51"/>
      <c r="K24" s="52"/>
      <c r="L24" s="16"/>
      <c r="M24" s="17"/>
      <c r="N24" s="53"/>
      <c r="O24" s="52" t="n">
        <f aca="false">10.5*0.25</f>
        <v>2.625</v>
      </c>
      <c r="P24" s="52"/>
      <c r="Q24" s="52"/>
      <c r="R24" s="54"/>
      <c r="S24" s="54"/>
      <c r="T24" s="54"/>
      <c r="U24" s="54"/>
      <c r="V24" s="54"/>
      <c r="W24" s="54" t="n">
        <f aca="false">(O24+O25)*D24/2</f>
        <v>52.5</v>
      </c>
      <c r="X24" s="54"/>
      <c r="Y24" s="54"/>
      <c r="Z24" s="54"/>
      <c r="AA24" s="54"/>
      <c r="AB24" s="55"/>
      <c r="AC24" s="56"/>
      <c r="AE24" s="57"/>
      <c r="AF24" s="57"/>
    </row>
    <row r="25" s="50" customFormat="true" ht="15" hidden="false" customHeight="true" outlineLevel="0" collapsed="false">
      <c r="A25" s="13" t="n">
        <v>15</v>
      </c>
      <c r="B25" s="13" t="str">
        <f aca="false">'KTHH Lớp 1'!B37</f>
        <v>23</v>
      </c>
      <c r="C25" s="15" t="n">
        <f aca="false">'KTHH Lớp 1'!C37</f>
        <v>454.75</v>
      </c>
      <c r="D25" s="13" t="n">
        <f aca="false">'KTHH Lớp 1'!T37</f>
        <v>20</v>
      </c>
      <c r="E25" s="51"/>
      <c r="F25" s="51"/>
      <c r="G25" s="51"/>
      <c r="H25" s="51"/>
      <c r="I25" s="51"/>
      <c r="J25" s="51"/>
      <c r="K25" s="52"/>
      <c r="L25" s="16"/>
      <c r="M25" s="17"/>
      <c r="N25" s="53"/>
      <c r="O25" s="52" t="n">
        <f aca="false">10.5*0.25</f>
        <v>2.625</v>
      </c>
      <c r="P25" s="52"/>
      <c r="Q25" s="52"/>
      <c r="R25" s="54"/>
      <c r="S25" s="54"/>
      <c r="T25" s="54"/>
      <c r="U25" s="54"/>
      <c r="V25" s="54"/>
      <c r="W25" s="54" t="n">
        <f aca="false">(O25+O26)*D25/2</f>
        <v>52.5</v>
      </c>
      <c r="X25" s="54"/>
      <c r="Y25" s="54"/>
      <c r="Z25" s="54"/>
      <c r="AA25" s="54"/>
      <c r="AB25" s="55"/>
      <c r="AC25" s="56"/>
      <c r="AE25" s="57"/>
      <c r="AF25" s="57"/>
    </row>
    <row r="26" s="50" customFormat="true" ht="15" hidden="false" customHeight="true" outlineLevel="0" collapsed="false">
      <c r="A26" s="13" t="n">
        <v>16</v>
      </c>
      <c r="B26" s="13" t="str">
        <f aca="false">'KTHH Lớp 1'!B38</f>
        <v>24</v>
      </c>
      <c r="C26" s="15" t="n">
        <f aca="false">'KTHH Lớp 1'!C38</f>
        <v>474.75</v>
      </c>
      <c r="D26" s="13" t="n">
        <f aca="false">'KTHH Lớp 1'!T38</f>
        <v>14.44</v>
      </c>
      <c r="E26" s="51"/>
      <c r="F26" s="51"/>
      <c r="G26" s="51"/>
      <c r="H26" s="51"/>
      <c r="I26" s="51"/>
      <c r="J26" s="51"/>
      <c r="K26" s="52"/>
      <c r="L26" s="16"/>
      <c r="M26" s="17"/>
      <c r="N26" s="53"/>
      <c r="O26" s="52" t="n">
        <f aca="false">10.5*0.25</f>
        <v>2.625</v>
      </c>
      <c r="P26" s="52"/>
      <c r="Q26" s="52"/>
      <c r="R26" s="54"/>
      <c r="S26" s="54"/>
      <c r="T26" s="54"/>
      <c r="U26" s="54"/>
      <c r="V26" s="54"/>
      <c r="W26" s="54" t="n">
        <f aca="false">(O26+O27)*D26/2</f>
        <v>37.905</v>
      </c>
      <c r="X26" s="54"/>
      <c r="Y26" s="54"/>
      <c r="Z26" s="54"/>
      <c r="AA26" s="54"/>
      <c r="AB26" s="55"/>
      <c r="AC26" s="56"/>
      <c r="AE26" s="57"/>
      <c r="AF26" s="57"/>
    </row>
    <row r="27" s="50" customFormat="true" ht="15" hidden="false" customHeight="true" outlineLevel="0" collapsed="false">
      <c r="A27" s="13" t="n">
        <v>17</v>
      </c>
      <c r="B27" s="13" t="str">
        <f aca="false">'KTHH Lớp 1'!B39</f>
        <v>25</v>
      </c>
      <c r="C27" s="15" t="n">
        <f aca="false">'KTHH Lớp 1'!C39</f>
        <v>489.19</v>
      </c>
      <c r="D27" s="13" t="n">
        <f aca="false">'KTHH Lớp 1'!T39</f>
        <v>13.17</v>
      </c>
      <c r="E27" s="51"/>
      <c r="F27" s="51"/>
      <c r="G27" s="51"/>
      <c r="H27" s="51"/>
      <c r="I27" s="51"/>
      <c r="J27" s="51"/>
      <c r="K27" s="52"/>
      <c r="L27" s="16"/>
      <c r="M27" s="17"/>
      <c r="N27" s="53"/>
      <c r="O27" s="52" t="n">
        <f aca="false">10.5*0.25</f>
        <v>2.625</v>
      </c>
      <c r="P27" s="52"/>
      <c r="Q27" s="52"/>
      <c r="R27" s="54"/>
      <c r="S27" s="54"/>
      <c r="T27" s="54"/>
      <c r="U27" s="54"/>
      <c r="V27" s="54"/>
      <c r="W27" s="54" t="n">
        <f aca="false">(O27+O28)*D27/2</f>
        <v>34.57125</v>
      </c>
      <c r="X27" s="54"/>
      <c r="Y27" s="54"/>
      <c r="Z27" s="54"/>
      <c r="AA27" s="54"/>
      <c r="AB27" s="55"/>
      <c r="AC27" s="56"/>
      <c r="AE27" s="57"/>
      <c r="AF27" s="57"/>
    </row>
    <row r="28" s="50" customFormat="true" ht="15" hidden="false" customHeight="true" outlineLevel="0" collapsed="false">
      <c r="A28" s="13" t="n">
        <v>18</v>
      </c>
      <c r="B28" s="13" t="str">
        <f aca="false">'KTHH Lớp 1'!B40</f>
        <v>D1</v>
      </c>
      <c r="C28" s="15" t="n">
        <f aca="false">'KTHH Lớp 1'!C40</f>
        <v>502.36</v>
      </c>
      <c r="D28" s="13" t="n">
        <f aca="false">'KTHH Lớp 1'!T40</f>
        <v>10.48</v>
      </c>
      <c r="E28" s="51"/>
      <c r="F28" s="51"/>
      <c r="G28" s="51"/>
      <c r="H28" s="51"/>
      <c r="I28" s="51"/>
      <c r="J28" s="51"/>
      <c r="K28" s="52"/>
      <c r="L28" s="16"/>
      <c r="M28" s="17"/>
      <c r="N28" s="53"/>
      <c r="O28" s="52" t="n">
        <f aca="false">10.5*0.25</f>
        <v>2.625</v>
      </c>
      <c r="P28" s="52"/>
      <c r="Q28" s="52"/>
      <c r="R28" s="54"/>
      <c r="S28" s="54"/>
      <c r="T28" s="54"/>
      <c r="U28" s="54"/>
      <c r="V28" s="54"/>
      <c r="W28" s="54" t="n">
        <f aca="false">(O28+O29)*D28/2</f>
        <v>27.51</v>
      </c>
      <c r="X28" s="54"/>
      <c r="Y28" s="54"/>
      <c r="Z28" s="54"/>
      <c r="AA28" s="54"/>
      <c r="AB28" s="55"/>
      <c r="AC28" s="56"/>
      <c r="AE28" s="57"/>
      <c r="AF28" s="57"/>
    </row>
    <row r="29" s="50" customFormat="true" ht="15" hidden="false" customHeight="true" outlineLevel="0" collapsed="false">
      <c r="A29" s="13" t="n">
        <v>19</v>
      </c>
      <c r="B29" s="13" t="str">
        <f aca="false">'KTHH Lớp 1'!B41</f>
        <v>26</v>
      </c>
      <c r="C29" s="15" t="n">
        <f aca="false">'KTHH Lớp 1'!C41</f>
        <v>512.84</v>
      </c>
      <c r="D29" s="13" t="n">
        <f aca="false">'KTHH Lớp 1'!T41</f>
        <v>16.78</v>
      </c>
      <c r="E29" s="51"/>
      <c r="F29" s="51"/>
      <c r="G29" s="51"/>
      <c r="H29" s="51"/>
      <c r="I29" s="51"/>
      <c r="J29" s="51"/>
      <c r="K29" s="52"/>
      <c r="L29" s="16"/>
      <c r="M29" s="17"/>
      <c r="N29" s="53"/>
      <c r="O29" s="52" t="n">
        <f aca="false">10.5*0.25</f>
        <v>2.625</v>
      </c>
      <c r="P29" s="52"/>
      <c r="Q29" s="52"/>
      <c r="R29" s="54"/>
      <c r="S29" s="54"/>
      <c r="T29" s="54"/>
      <c r="U29" s="54"/>
      <c r="V29" s="54"/>
      <c r="W29" s="54" t="n">
        <f aca="false">(O29+O30)*D29/2</f>
        <v>44.0475</v>
      </c>
      <c r="X29" s="54"/>
      <c r="Y29" s="54"/>
      <c r="Z29" s="54"/>
      <c r="AA29" s="54"/>
      <c r="AB29" s="55"/>
      <c r="AC29" s="56"/>
      <c r="AE29" s="57"/>
      <c r="AF29" s="57"/>
    </row>
    <row r="30" s="50" customFormat="true" ht="15" hidden="false" customHeight="true" outlineLevel="0" collapsed="false">
      <c r="A30" s="13" t="n">
        <v>20</v>
      </c>
      <c r="B30" s="13" t="str">
        <f aca="false">'KTHH Lớp 1'!B42</f>
        <v>27</v>
      </c>
      <c r="C30" s="15" t="n">
        <f aca="false">'KTHH Lớp 1'!C42</f>
        <v>529.62</v>
      </c>
      <c r="D30" s="13" t="n">
        <f aca="false">'KTHH Lớp 1'!T42</f>
        <v>17.1</v>
      </c>
      <c r="E30" s="51"/>
      <c r="F30" s="51"/>
      <c r="G30" s="51"/>
      <c r="H30" s="51"/>
      <c r="I30" s="51"/>
      <c r="J30" s="51"/>
      <c r="K30" s="52"/>
      <c r="L30" s="16"/>
      <c r="M30" s="17"/>
      <c r="N30" s="53"/>
      <c r="O30" s="52" t="n">
        <f aca="false">10.5*0.25</f>
        <v>2.625</v>
      </c>
      <c r="P30" s="52"/>
      <c r="Q30" s="52"/>
      <c r="R30" s="54"/>
      <c r="S30" s="54"/>
      <c r="T30" s="54"/>
      <c r="U30" s="54"/>
      <c r="V30" s="54"/>
      <c r="W30" s="54" t="n">
        <f aca="false">(O30+O31)*D30/2</f>
        <v>44.8875</v>
      </c>
      <c r="X30" s="54"/>
      <c r="Y30" s="54"/>
      <c r="Z30" s="54"/>
      <c r="AA30" s="54"/>
      <c r="AB30" s="55"/>
      <c r="AC30" s="56"/>
      <c r="AE30" s="57"/>
      <c r="AF30" s="57"/>
    </row>
    <row r="31" s="50" customFormat="true" ht="15" hidden="false" customHeight="true" outlineLevel="0" collapsed="false">
      <c r="A31" s="13" t="n">
        <v>21</v>
      </c>
      <c r="B31" s="13" t="str">
        <f aca="false">'KTHH Lớp 1'!B43</f>
        <v>28</v>
      </c>
      <c r="C31" s="15" t="n">
        <f aca="false">'KTHH Lớp 1'!C43</f>
        <v>546.72</v>
      </c>
      <c r="D31" s="13" t="n">
        <f aca="false">'KTHH Lớp 1'!T43</f>
        <v>15.15</v>
      </c>
      <c r="E31" s="51"/>
      <c r="F31" s="51"/>
      <c r="G31" s="51"/>
      <c r="H31" s="51"/>
      <c r="I31" s="51"/>
      <c r="J31" s="51"/>
      <c r="K31" s="52"/>
      <c r="L31" s="16"/>
      <c r="M31" s="17"/>
      <c r="N31" s="53"/>
      <c r="O31" s="52" t="n">
        <f aca="false">10.5*0.25</f>
        <v>2.625</v>
      </c>
      <c r="P31" s="52"/>
      <c r="Q31" s="52"/>
      <c r="R31" s="54"/>
      <c r="S31" s="54"/>
      <c r="T31" s="54"/>
      <c r="U31" s="54"/>
      <c r="V31" s="54"/>
      <c r="W31" s="54" t="n">
        <f aca="false">(O31+O32)*D31/2</f>
        <v>39.76875</v>
      </c>
      <c r="X31" s="54"/>
      <c r="Y31" s="54"/>
      <c r="Z31" s="54"/>
      <c r="AA31" s="54"/>
      <c r="AB31" s="55"/>
      <c r="AC31" s="56"/>
      <c r="AE31" s="57"/>
      <c r="AF31" s="57"/>
    </row>
    <row r="32" s="50" customFormat="true" ht="15" hidden="false" customHeight="true" outlineLevel="0" collapsed="false">
      <c r="A32" s="13" t="n">
        <v>22</v>
      </c>
      <c r="B32" s="13" t="str">
        <f aca="false">'KTHH Lớp 1'!B44</f>
        <v>E5</v>
      </c>
      <c r="C32" s="15" t="n">
        <f aca="false">'KTHH Lớp 1'!C44</f>
        <v>561.87</v>
      </c>
      <c r="D32" s="13" t="n">
        <f aca="false">'KTHH Lớp 1'!T44</f>
        <v>0.15</v>
      </c>
      <c r="E32" s="51"/>
      <c r="F32" s="51"/>
      <c r="G32" s="51"/>
      <c r="H32" s="51"/>
      <c r="I32" s="51"/>
      <c r="J32" s="51"/>
      <c r="K32" s="52"/>
      <c r="L32" s="16"/>
      <c r="M32" s="17"/>
      <c r="N32" s="53"/>
      <c r="O32" s="52" t="n">
        <f aca="false">10.5*0.25</f>
        <v>2.625</v>
      </c>
      <c r="P32" s="52"/>
      <c r="Q32" s="52"/>
      <c r="R32" s="54"/>
      <c r="S32" s="54"/>
      <c r="T32" s="54"/>
      <c r="U32" s="54"/>
      <c r="V32" s="54"/>
      <c r="W32" s="54" t="n">
        <f aca="false">(O32+O33)*D32/2</f>
        <v>0.39375</v>
      </c>
      <c r="X32" s="54"/>
      <c r="Y32" s="54"/>
      <c r="Z32" s="54"/>
      <c r="AA32" s="54"/>
      <c r="AB32" s="55"/>
      <c r="AC32" s="56"/>
      <c r="AE32" s="57"/>
      <c r="AF32" s="57"/>
    </row>
    <row r="33" s="50" customFormat="true" ht="15" hidden="false" customHeight="true" outlineLevel="0" collapsed="false">
      <c r="A33" s="13" t="n">
        <v>23</v>
      </c>
      <c r="B33" s="13" t="str">
        <f aca="false">'KTHH Lớp 1'!B45</f>
        <v>TD</v>
      </c>
      <c r="C33" s="15" t="n">
        <f aca="false">'KTHH Lớp 1'!C45</f>
        <v>562.02</v>
      </c>
      <c r="D33" s="13" t="n">
        <f aca="false">'KTHH Lớp 1'!T45</f>
        <v>6.55</v>
      </c>
      <c r="E33" s="51"/>
      <c r="F33" s="51"/>
      <c r="G33" s="51"/>
      <c r="H33" s="51"/>
      <c r="I33" s="51"/>
      <c r="J33" s="51"/>
      <c r="K33" s="52"/>
      <c r="L33" s="16"/>
      <c r="M33" s="17"/>
      <c r="N33" s="53"/>
      <c r="O33" s="52" t="n">
        <f aca="false">10.5*0.25</f>
        <v>2.625</v>
      </c>
      <c r="P33" s="52"/>
      <c r="Q33" s="52"/>
      <c r="R33" s="54"/>
      <c r="S33" s="54"/>
      <c r="T33" s="54"/>
      <c r="U33" s="54"/>
      <c r="V33" s="54"/>
      <c r="W33" s="54" t="n">
        <f aca="false">(O33+O34)*D33/2</f>
        <v>17.19375</v>
      </c>
      <c r="X33" s="54"/>
      <c r="Y33" s="54"/>
      <c r="Z33" s="54"/>
      <c r="AA33" s="54"/>
      <c r="AB33" s="55"/>
      <c r="AC33" s="56"/>
      <c r="AE33" s="57"/>
      <c r="AF33" s="57"/>
    </row>
    <row r="34" s="50" customFormat="true" ht="15" hidden="false" customHeight="true" outlineLevel="0" collapsed="false">
      <c r="A34" s="13" t="n">
        <v>24</v>
      </c>
      <c r="B34" s="13" t="str">
        <f aca="false">'KTHH Lớp 1'!B46</f>
        <v>P</v>
      </c>
      <c r="C34" s="15" t="n">
        <f aca="false">'KTHH Lớp 1'!C46</f>
        <v>568.57</v>
      </c>
      <c r="D34" s="13" t="n">
        <f aca="false">'KTHH Lớp 1'!T46</f>
        <v>6.55</v>
      </c>
      <c r="E34" s="51"/>
      <c r="F34" s="51"/>
      <c r="G34" s="51"/>
      <c r="H34" s="51"/>
      <c r="I34" s="51"/>
      <c r="J34" s="51"/>
      <c r="K34" s="52"/>
      <c r="L34" s="16"/>
      <c r="M34" s="17"/>
      <c r="N34" s="53"/>
      <c r="O34" s="52" t="n">
        <f aca="false">10.5*0.25</f>
        <v>2.625</v>
      </c>
      <c r="P34" s="52"/>
      <c r="Q34" s="52"/>
      <c r="R34" s="54"/>
      <c r="S34" s="54"/>
      <c r="T34" s="54"/>
      <c r="U34" s="54"/>
      <c r="V34" s="54"/>
      <c r="W34" s="54" t="n">
        <f aca="false">(O34+O35)*D34/2</f>
        <v>17.19375</v>
      </c>
      <c r="X34" s="54"/>
      <c r="Y34" s="54"/>
      <c r="Z34" s="54"/>
      <c r="AA34" s="54"/>
      <c r="AB34" s="55"/>
      <c r="AC34" s="56"/>
      <c r="AE34" s="57"/>
      <c r="AF34" s="57"/>
    </row>
    <row r="35" s="50" customFormat="true" ht="15" hidden="false" customHeight="true" outlineLevel="0" collapsed="false">
      <c r="A35" s="13" t="n">
        <v>25</v>
      </c>
      <c r="B35" s="13" t="str">
        <f aca="false">'KTHH Lớp 1'!B47</f>
        <v>TC</v>
      </c>
      <c r="C35" s="15" t="n">
        <f aca="false">'KTHH Lớp 1'!C47</f>
        <v>575.12</v>
      </c>
      <c r="D35" s="13" t="n">
        <f aca="false">'KTHH Lớp 1'!T47</f>
        <v>0.04</v>
      </c>
      <c r="E35" s="51"/>
      <c r="F35" s="51"/>
      <c r="G35" s="51"/>
      <c r="H35" s="51"/>
      <c r="I35" s="51"/>
      <c r="J35" s="51"/>
      <c r="K35" s="52"/>
      <c r="L35" s="16"/>
      <c r="M35" s="17"/>
      <c r="N35" s="53"/>
      <c r="O35" s="52" t="n">
        <f aca="false">10.5*0.25</f>
        <v>2.625</v>
      </c>
      <c r="P35" s="52"/>
      <c r="Q35" s="52"/>
      <c r="R35" s="54"/>
      <c r="S35" s="54"/>
      <c r="T35" s="54"/>
      <c r="U35" s="54"/>
      <c r="V35" s="54"/>
      <c r="W35" s="54" t="n">
        <f aca="false">(O35+O36)*D35/2</f>
        <v>0.105</v>
      </c>
      <c r="X35" s="54"/>
      <c r="Y35" s="54"/>
      <c r="Z35" s="54"/>
      <c r="AA35" s="54"/>
      <c r="AB35" s="55"/>
      <c r="AC35" s="56"/>
      <c r="AE35" s="57"/>
      <c r="AF35" s="57"/>
    </row>
    <row r="36" s="50" customFormat="true" ht="15" hidden="false" customHeight="true" outlineLevel="0" collapsed="false">
      <c r="A36" s="13" t="n">
        <v>26</v>
      </c>
      <c r="B36" s="13" t="str">
        <f aca="false">'KTHH Lớp 1'!B48</f>
        <v>29</v>
      </c>
      <c r="C36" s="15" t="n">
        <f aca="false">'KTHH Lớp 1'!C48</f>
        <v>575.16</v>
      </c>
      <c r="D36" s="13" t="n">
        <f aca="false">'KTHH Lớp 1'!T48</f>
        <v>16.95</v>
      </c>
      <c r="E36" s="51"/>
      <c r="F36" s="51"/>
      <c r="G36" s="51"/>
      <c r="H36" s="51"/>
      <c r="I36" s="51"/>
      <c r="J36" s="51"/>
      <c r="K36" s="52"/>
      <c r="L36" s="16"/>
      <c r="M36" s="17"/>
      <c r="N36" s="53"/>
      <c r="O36" s="52" t="n">
        <f aca="false">10.5*0.25</f>
        <v>2.625</v>
      </c>
      <c r="P36" s="52"/>
      <c r="Q36" s="52"/>
      <c r="R36" s="54"/>
      <c r="S36" s="54"/>
      <c r="T36" s="54"/>
      <c r="U36" s="54"/>
      <c r="V36" s="54"/>
      <c r="W36" s="54" t="n">
        <f aca="false">(O36+O37)*D36/2</f>
        <v>44.49375</v>
      </c>
      <c r="X36" s="54"/>
      <c r="Y36" s="54"/>
      <c r="Z36" s="54"/>
      <c r="AA36" s="54"/>
      <c r="AB36" s="55"/>
      <c r="AC36" s="56"/>
      <c r="AE36" s="57"/>
      <c r="AF36" s="57"/>
    </row>
    <row r="37" s="50" customFormat="true" ht="15" hidden="false" customHeight="true" outlineLevel="0" collapsed="false">
      <c r="A37" s="13" t="n">
        <v>27</v>
      </c>
      <c r="B37" s="13" t="str">
        <f aca="false">'KTHH Lớp 1'!B49</f>
        <v>30</v>
      </c>
      <c r="C37" s="15" t="n">
        <f aca="false">'KTHH Lớp 1'!C49</f>
        <v>592.11</v>
      </c>
      <c r="D37" s="13" t="n">
        <f aca="false">'KTHH Lớp 1'!T49</f>
        <v>17</v>
      </c>
      <c r="E37" s="51"/>
      <c r="F37" s="51"/>
      <c r="G37" s="51"/>
      <c r="H37" s="51"/>
      <c r="I37" s="51"/>
      <c r="J37" s="51"/>
      <c r="K37" s="52"/>
      <c r="L37" s="16"/>
      <c r="M37" s="17"/>
      <c r="N37" s="53"/>
      <c r="O37" s="52" t="n">
        <f aca="false">10.5*0.25</f>
        <v>2.625</v>
      </c>
      <c r="P37" s="52"/>
      <c r="Q37" s="52"/>
      <c r="R37" s="54"/>
      <c r="S37" s="54"/>
      <c r="T37" s="54"/>
      <c r="U37" s="54"/>
      <c r="V37" s="54"/>
      <c r="W37" s="54" t="n">
        <f aca="false">(O37+O38)*D37/2</f>
        <v>44.625</v>
      </c>
      <c r="X37" s="54"/>
      <c r="Y37" s="54"/>
      <c r="Z37" s="54"/>
      <c r="AA37" s="54"/>
      <c r="AB37" s="55"/>
      <c r="AC37" s="56"/>
      <c r="AE37" s="57"/>
      <c r="AF37" s="57"/>
    </row>
    <row r="38" s="50" customFormat="true" ht="15" hidden="false" customHeight="true" outlineLevel="0" collapsed="false">
      <c r="A38" s="13" t="n">
        <v>28</v>
      </c>
      <c r="B38" s="13" t="str">
        <f aca="false">'KTHH Lớp 1'!B50</f>
        <v>31</v>
      </c>
      <c r="C38" s="15" t="n">
        <f aca="false">'KTHH Lớp 1'!C50</f>
        <v>609.11</v>
      </c>
      <c r="D38" s="13" t="n">
        <f aca="false">'KTHH Lớp 1'!T50</f>
        <v>11.75</v>
      </c>
      <c r="E38" s="51"/>
      <c r="F38" s="51"/>
      <c r="G38" s="51"/>
      <c r="H38" s="51"/>
      <c r="I38" s="51"/>
      <c r="J38" s="51"/>
      <c r="K38" s="52"/>
      <c r="L38" s="16"/>
      <c r="M38" s="17"/>
      <c r="N38" s="53"/>
      <c r="O38" s="52" t="n">
        <f aca="false">10.5*0.25</f>
        <v>2.625</v>
      </c>
      <c r="P38" s="52"/>
      <c r="Q38" s="52"/>
      <c r="R38" s="54"/>
      <c r="S38" s="54"/>
      <c r="T38" s="54"/>
      <c r="U38" s="54"/>
      <c r="V38" s="54"/>
      <c r="W38" s="54" t="n">
        <f aca="false">(O38+O39)*D38/2</f>
        <v>30.84375</v>
      </c>
      <c r="X38" s="54"/>
      <c r="Y38" s="54"/>
      <c r="Z38" s="54"/>
      <c r="AA38" s="54"/>
      <c r="AB38" s="55"/>
      <c r="AC38" s="56"/>
      <c r="AE38" s="57"/>
      <c r="AF38" s="57"/>
    </row>
    <row r="39" s="50" customFormat="true" ht="15" hidden="false" customHeight="true" outlineLevel="0" collapsed="false">
      <c r="A39" s="13" t="n">
        <v>29</v>
      </c>
      <c r="B39" s="13" t="str">
        <f aca="false">'KTHH Lớp 1'!B51</f>
        <v>E10</v>
      </c>
      <c r="C39" s="15" t="n">
        <f aca="false">'KTHH Lớp 1'!C51</f>
        <v>620.86</v>
      </c>
      <c r="D39" s="13" t="n">
        <f aca="false">'KTHH Lớp 1'!T51</f>
        <v>11.75</v>
      </c>
      <c r="E39" s="51"/>
      <c r="F39" s="51"/>
      <c r="G39" s="51"/>
      <c r="H39" s="51"/>
      <c r="I39" s="51"/>
      <c r="J39" s="51"/>
      <c r="K39" s="52"/>
      <c r="L39" s="16"/>
      <c r="M39" s="17"/>
      <c r="N39" s="53"/>
      <c r="O39" s="52" t="n">
        <f aca="false">10.5*0.25</f>
        <v>2.625</v>
      </c>
      <c r="P39" s="52"/>
      <c r="Q39" s="52"/>
      <c r="R39" s="54"/>
      <c r="S39" s="54"/>
      <c r="T39" s="54"/>
      <c r="U39" s="54"/>
      <c r="V39" s="54"/>
      <c r="W39" s="54" t="n">
        <f aca="false">(O39+O40)*D39/2</f>
        <v>30.84375</v>
      </c>
      <c r="X39" s="54"/>
      <c r="Y39" s="54"/>
      <c r="Z39" s="54"/>
      <c r="AA39" s="54"/>
      <c r="AB39" s="55"/>
      <c r="AC39" s="56"/>
      <c r="AE39" s="57"/>
      <c r="AF39" s="57"/>
    </row>
    <row r="40" s="50" customFormat="true" ht="15" hidden="false" customHeight="true" outlineLevel="0" collapsed="false">
      <c r="A40" s="13" t="n">
        <v>30</v>
      </c>
      <c r="B40" s="13" t="str">
        <f aca="false">'KTHH Lớp 1'!B52</f>
        <v>32</v>
      </c>
      <c r="C40" s="15" t="n">
        <f aca="false">'KTHH Lớp 1'!C52</f>
        <v>632.61</v>
      </c>
      <c r="D40" s="13" t="n">
        <f aca="false">'KTHH Lớp 1'!T52</f>
        <v>20</v>
      </c>
      <c r="E40" s="51"/>
      <c r="F40" s="51"/>
      <c r="G40" s="51"/>
      <c r="H40" s="51"/>
      <c r="I40" s="51"/>
      <c r="J40" s="51"/>
      <c r="K40" s="52"/>
      <c r="L40" s="16"/>
      <c r="M40" s="17"/>
      <c r="N40" s="53"/>
      <c r="O40" s="52" t="n">
        <f aca="false">10.5*0.25</f>
        <v>2.625</v>
      </c>
      <c r="P40" s="52"/>
      <c r="Q40" s="52"/>
      <c r="R40" s="54"/>
      <c r="S40" s="54"/>
      <c r="T40" s="54"/>
      <c r="U40" s="54"/>
      <c r="V40" s="54"/>
      <c r="W40" s="54" t="n">
        <f aca="false">(O40+O41)*D40/2</f>
        <v>52.5</v>
      </c>
      <c r="X40" s="54"/>
      <c r="Y40" s="54"/>
      <c r="Z40" s="54"/>
      <c r="AA40" s="54"/>
      <c r="AB40" s="55"/>
      <c r="AC40" s="56"/>
      <c r="AE40" s="57"/>
      <c r="AF40" s="57"/>
    </row>
    <row r="41" s="50" customFormat="true" ht="15" hidden="false" customHeight="true" outlineLevel="0" collapsed="false">
      <c r="A41" s="13" t="n">
        <v>31</v>
      </c>
      <c r="B41" s="13" t="str">
        <f aca="false">'KTHH Lớp 1'!B53</f>
        <v>33</v>
      </c>
      <c r="C41" s="15" t="n">
        <f aca="false">'KTHH Lớp 1'!C53</f>
        <v>652.61</v>
      </c>
      <c r="D41" s="13" t="n">
        <f aca="false">'KTHH Lớp 1'!T53</f>
        <v>20</v>
      </c>
      <c r="E41" s="51"/>
      <c r="F41" s="51"/>
      <c r="G41" s="51"/>
      <c r="H41" s="51"/>
      <c r="I41" s="51"/>
      <c r="J41" s="51"/>
      <c r="K41" s="52"/>
      <c r="L41" s="16"/>
      <c r="M41" s="17"/>
      <c r="N41" s="53"/>
      <c r="O41" s="52" t="n">
        <f aca="false">10.5*0.25</f>
        <v>2.625</v>
      </c>
      <c r="P41" s="52"/>
      <c r="Q41" s="52"/>
      <c r="R41" s="54"/>
      <c r="S41" s="54"/>
      <c r="T41" s="54"/>
      <c r="U41" s="54"/>
      <c r="V41" s="54"/>
      <c r="W41" s="54" t="n">
        <f aca="false">(O41+O42)*D41/2</f>
        <v>52.5</v>
      </c>
      <c r="X41" s="54"/>
      <c r="Y41" s="54"/>
      <c r="Z41" s="54"/>
      <c r="AA41" s="54"/>
      <c r="AB41" s="55"/>
      <c r="AC41" s="56"/>
      <c r="AE41" s="57"/>
      <c r="AF41" s="57"/>
    </row>
    <row r="42" s="50" customFormat="true" ht="15" hidden="false" customHeight="true" outlineLevel="0" collapsed="false">
      <c r="A42" s="13" t="n">
        <v>32</v>
      </c>
      <c r="B42" s="13" t="str">
        <f aca="false">'KTHH Lớp 1'!B54</f>
        <v>34</v>
      </c>
      <c r="C42" s="15" t="n">
        <f aca="false">'KTHH Lớp 1'!C54</f>
        <v>672.61</v>
      </c>
      <c r="D42" s="13" t="n">
        <f aca="false">'KTHH Lớp 1'!T54</f>
        <v>20</v>
      </c>
      <c r="E42" s="51"/>
      <c r="F42" s="51"/>
      <c r="G42" s="51"/>
      <c r="H42" s="51"/>
      <c r="I42" s="51"/>
      <c r="J42" s="51"/>
      <c r="K42" s="52"/>
      <c r="L42" s="16"/>
      <c r="M42" s="17"/>
      <c r="N42" s="53"/>
      <c r="O42" s="52" t="n">
        <f aca="false">10.5*0.25</f>
        <v>2.625</v>
      </c>
      <c r="P42" s="52"/>
      <c r="Q42" s="52"/>
      <c r="R42" s="54"/>
      <c r="S42" s="54"/>
      <c r="T42" s="54"/>
      <c r="U42" s="54"/>
      <c r="V42" s="54"/>
      <c r="W42" s="54" t="n">
        <f aca="false">(O42+O43)*D42/2</f>
        <v>52.5</v>
      </c>
      <c r="X42" s="54"/>
      <c r="Y42" s="54"/>
      <c r="Z42" s="54"/>
      <c r="AA42" s="54"/>
      <c r="AB42" s="55"/>
      <c r="AC42" s="56"/>
      <c r="AE42" s="57"/>
      <c r="AF42" s="57"/>
    </row>
    <row r="43" s="50" customFormat="true" ht="15" hidden="false" customHeight="true" outlineLevel="0" collapsed="false">
      <c r="A43" s="13" t="n">
        <v>33</v>
      </c>
      <c r="B43" s="13" t="str">
        <f aca="false">'KTHH Lớp 1'!B55</f>
        <v>35</v>
      </c>
      <c r="C43" s="15" t="n">
        <f aca="false">'KTHH Lớp 1'!C55</f>
        <v>692.61</v>
      </c>
      <c r="D43" s="13" t="n">
        <f aca="false">'KTHH Lớp 1'!T55</f>
        <v>20</v>
      </c>
      <c r="E43" s="51"/>
      <c r="F43" s="51"/>
      <c r="G43" s="51"/>
      <c r="H43" s="51"/>
      <c r="I43" s="51"/>
      <c r="J43" s="51"/>
      <c r="K43" s="52"/>
      <c r="L43" s="16"/>
      <c r="M43" s="17"/>
      <c r="N43" s="53"/>
      <c r="O43" s="52" t="n">
        <f aca="false">10.5*0.25</f>
        <v>2.625</v>
      </c>
      <c r="P43" s="52"/>
      <c r="Q43" s="52"/>
      <c r="R43" s="54"/>
      <c r="S43" s="54"/>
      <c r="T43" s="54"/>
      <c r="U43" s="54"/>
      <c r="V43" s="54"/>
      <c r="W43" s="54" t="n">
        <f aca="false">(O43+O44)*D43/2</f>
        <v>52.5</v>
      </c>
      <c r="X43" s="54"/>
      <c r="Y43" s="54"/>
      <c r="Z43" s="54"/>
      <c r="AA43" s="54"/>
      <c r="AB43" s="55"/>
      <c r="AC43" s="56"/>
      <c r="AE43" s="57"/>
      <c r="AF43" s="57"/>
    </row>
    <row r="44" s="50" customFormat="true" ht="15" hidden="false" customHeight="true" outlineLevel="0" collapsed="false">
      <c r="A44" s="13" t="n">
        <v>34</v>
      </c>
      <c r="B44" s="13" t="str">
        <f aca="false">'KTHH Lớp 1'!B56</f>
        <v>36</v>
      </c>
      <c r="C44" s="15" t="n">
        <f aca="false">'KTHH Lớp 1'!C56</f>
        <v>712.61</v>
      </c>
      <c r="D44" s="13" t="n">
        <f aca="false">'KTHH Lớp 1'!T56</f>
        <v>11.5</v>
      </c>
      <c r="E44" s="51"/>
      <c r="F44" s="51"/>
      <c r="G44" s="51"/>
      <c r="H44" s="51"/>
      <c r="I44" s="51"/>
      <c r="J44" s="51"/>
      <c r="K44" s="52"/>
      <c r="L44" s="16"/>
      <c r="M44" s="17"/>
      <c r="N44" s="53"/>
      <c r="O44" s="52" t="n">
        <f aca="false">10.5*0.25</f>
        <v>2.625</v>
      </c>
      <c r="P44" s="52"/>
      <c r="Q44" s="52"/>
      <c r="R44" s="54"/>
      <c r="S44" s="54"/>
      <c r="T44" s="54"/>
      <c r="U44" s="54"/>
      <c r="V44" s="54"/>
      <c r="W44" s="54" t="n">
        <f aca="false">(O44+O45)*D44/2</f>
        <v>30.1875</v>
      </c>
      <c r="X44" s="54"/>
      <c r="Y44" s="54"/>
      <c r="Z44" s="54"/>
      <c r="AA44" s="54"/>
      <c r="AB44" s="55"/>
      <c r="AC44" s="56"/>
      <c r="AE44" s="57"/>
      <c r="AF44" s="57"/>
    </row>
    <row r="45" s="50" customFormat="true" ht="15" hidden="false" customHeight="true" outlineLevel="0" collapsed="false">
      <c r="A45" s="13" t="n">
        <v>35</v>
      </c>
      <c r="B45" s="13" t="str">
        <f aca="false">'KTHH Lớp 1'!B57</f>
        <v>37</v>
      </c>
      <c r="C45" s="15" t="n">
        <f aca="false">'KTHH Lớp 1'!C57</f>
        <v>724.11</v>
      </c>
      <c r="D45" s="13" t="n">
        <f aca="false">'KTHH Lớp 1'!T57</f>
        <v>13.25</v>
      </c>
      <c r="E45" s="51"/>
      <c r="F45" s="51"/>
      <c r="G45" s="51"/>
      <c r="H45" s="51"/>
      <c r="I45" s="51"/>
      <c r="J45" s="51"/>
      <c r="K45" s="52"/>
      <c r="L45" s="16"/>
      <c r="M45" s="17"/>
      <c r="N45" s="53"/>
      <c r="O45" s="52" t="n">
        <f aca="false">10.5*0.25</f>
        <v>2.625</v>
      </c>
      <c r="P45" s="52"/>
      <c r="Q45" s="52"/>
      <c r="R45" s="54"/>
      <c r="S45" s="54"/>
      <c r="T45" s="54"/>
      <c r="U45" s="54"/>
      <c r="V45" s="54"/>
      <c r="W45" s="54" t="n">
        <f aca="false">(O45+O46)*D45/2</f>
        <v>34.78125</v>
      </c>
      <c r="X45" s="54"/>
      <c r="Y45" s="54"/>
      <c r="Z45" s="54"/>
      <c r="AA45" s="54"/>
      <c r="AB45" s="55"/>
      <c r="AC45" s="56"/>
      <c r="AE45" s="57"/>
      <c r="AF45" s="57"/>
    </row>
    <row r="46" s="50" customFormat="true" ht="15" hidden="false" customHeight="true" outlineLevel="0" collapsed="false">
      <c r="A46" s="13" t="n">
        <v>36</v>
      </c>
      <c r="B46" s="13" t="str">
        <f aca="false">'KTHH Lớp 1'!B58</f>
        <v>G6</v>
      </c>
      <c r="C46" s="15" t="n">
        <f aca="false">'KTHH Lớp 1'!C58</f>
        <v>737.36</v>
      </c>
      <c r="D46" s="13"/>
      <c r="E46" s="51"/>
      <c r="F46" s="51"/>
      <c r="G46" s="51"/>
      <c r="H46" s="51"/>
      <c r="I46" s="51"/>
      <c r="J46" s="51"/>
      <c r="K46" s="52"/>
      <c r="L46" s="16"/>
      <c r="M46" s="17"/>
      <c r="N46" s="53"/>
      <c r="O46" s="52" t="n">
        <f aca="false">10.5*0.25</f>
        <v>2.625</v>
      </c>
      <c r="P46" s="52"/>
      <c r="Q46" s="52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5"/>
      <c r="AC46" s="56"/>
      <c r="AE46" s="57"/>
      <c r="AF46" s="57"/>
    </row>
    <row r="47" s="50" customFormat="true" ht="15" hidden="true" customHeight="true" outlineLevel="0" collapsed="false">
      <c r="A47" s="13"/>
      <c r="B47" s="13"/>
      <c r="C47" s="15"/>
      <c r="D47" s="13"/>
      <c r="E47" s="51"/>
      <c r="F47" s="51"/>
      <c r="G47" s="51"/>
      <c r="H47" s="51"/>
      <c r="I47" s="51"/>
      <c r="J47" s="51"/>
      <c r="K47" s="52"/>
      <c r="L47" s="16"/>
      <c r="M47" s="17"/>
      <c r="N47" s="53"/>
      <c r="O47" s="52"/>
      <c r="P47" s="52"/>
      <c r="Q47" s="52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5"/>
      <c r="AC47" s="56"/>
      <c r="AE47" s="57"/>
      <c r="AF47" s="57"/>
    </row>
    <row r="48" s="50" customFormat="true" ht="15" hidden="true" customHeight="true" outlineLevel="0" collapsed="false">
      <c r="A48" s="13"/>
      <c r="B48" s="13"/>
      <c r="C48" s="15"/>
      <c r="D48" s="13"/>
      <c r="E48" s="51"/>
      <c r="F48" s="51"/>
      <c r="G48" s="51"/>
      <c r="H48" s="51"/>
      <c r="I48" s="51"/>
      <c r="J48" s="51"/>
      <c r="K48" s="52"/>
      <c r="L48" s="16"/>
      <c r="M48" s="17"/>
      <c r="N48" s="53"/>
      <c r="O48" s="52"/>
      <c r="P48" s="52"/>
      <c r="Q48" s="52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5"/>
      <c r="AC48" s="56"/>
      <c r="AE48" s="57"/>
      <c r="AF48" s="57"/>
    </row>
    <row r="49" s="31" customFormat="true" ht="16.5" hidden="false" customHeight="true" outlineLevel="0" collapsed="false">
      <c r="A49" s="58" t="s">
        <v>69</v>
      </c>
      <c r="B49" s="58"/>
      <c r="C49" s="58"/>
      <c r="D49" s="58"/>
      <c r="E49" s="59"/>
      <c r="F49" s="59"/>
      <c r="G49" s="59"/>
      <c r="H49" s="59"/>
      <c r="I49" s="59"/>
      <c r="J49" s="59"/>
      <c r="K49" s="59"/>
      <c r="L49" s="59"/>
      <c r="M49" s="60"/>
      <c r="N49" s="60"/>
      <c r="O49" s="60"/>
      <c r="P49" s="60"/>
      <c r="Q49" s="60"/>
      <c r="R49" s="61" t="n">
        <f aca="false">SUM(R11:R34)</f>
        <v>0</v>
      </c>
      <c r="S49" s="61" t="n">
        <f aca="false">SUM(S11:S34)</f>
        <v>0</v>
      </c>
      <c r="T49" s="61"/>
      <c r="U49" s="62" t="n">
        <f aca="false">SUM(U11:U34)</f>
        <v>0</v>
      </c>
      <c r="V49" s="62" t="n">
        <f aca="false">SUM(V11:V34)</f>
        <v>0</v>
      </c>
      <c r="W49" s="63" t="n">
        <f aca="false">SUM(W11:W46)</f>
        <v>1381.695</v>
      </c>
      <c r="X49" s="62" t="n">
        <f aca="false">SUM(X11:X34)</f>
        <v>0</v>
      </c>
      <c r="Y49" s="62" t="n">
        <f aca="false">SUM(Y11:Y34)</f>
        <v>0</v>
      </c>
      <c r="Z49" s="62" t="n">
        <f aca="false">SUM(Z11:Z34)</f>
        <v>0</v>
      </c>
      <c r="AA49" s="62" t="n">
        <f aca="false">SUM(AA11:AA34)</f>
        <v>0</v>
      </c>
      <c r="AB49" s="62"/>
      <c r="AE49" s="64"/>
      <c r="AF49" s="65"/>
      <c r="AG49" s="65"/>
      <c r="AH49" s="50"/>
      <c r="AI49" s="64"/>
      <c r="AJ49" s="64"/>
      <c r="AK49" s="64"/>
      <c r="AL49" s="64"/>
    </row>
    <row r="50" s="70" customFormat="true" ht="16.5" hidden="false" customHeight="true" outlineLevel="0" collapsed="false">
      <c r="A50" s="66"/>
      <c r="B50" s="66"/>
      <c r="C50" s="66"/>
      <c r="D50" s="66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8"/>
      <c r="S50" s="68"/>
      <c r="T50" s="68"/>
      <c r="U50" s="69"/>
      <c r="V50" s="69"/>
      <c r="W50" s="69"/>
      <c r="X50" s="69"/>
      <c r="Y50" s="69"/>
      <c r="Z50" s="69"/>
      <c r="AA50" s="69"/>
      <c r="AB50" s="69"/>
      <c r="AE50" s="71"/>
      <c r="AF50" s="72"/>
      <c r="AG50" s="65"/>
      <c r="AH50" s="72"/>
      <c r="AI50" s="73"/>
      <c r="AJ50" s="73"/>
      <c r="AK50" s="74"/>
      <c r="AL50" s="73"/>
    </row>
    <row r="51" s="70" customFormat="true" ht="16.5" hidden="false" customHeight="true" outlineLevel="0" collapsed="false">
      <c r="A51" s="21" t="s">
        <v>59</v>
      </c>
      <c r="B51" s="21"/>
      <c r="C51" s="21"/>
      <c r="D51" s="75" t="s">
        <v>70</v>
      </c>
      <c r="E51" s="21" t="s">
        <v>60</v>
      </c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E51" s="73"/>
      <c r="AF51" s="72"/>
      <c r="AI51" s="50"/>
      <c r="AJ51" s="50"/>
      <c r="AK51" s="50"/>
      <c r="AL51" s="50"/>
    </row>
    <row r="52" s="70" customFormat="true" ht="16.5" hidden="false" customHeight="true" outlineLevel="0" collapsed="false">
      <c r="A52" s="76"/>
      <c r="B52" s="76"/>
      <c r="C52" s="76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67"/>
      <c r="Y52" s="67"/>
      <c r="Z52" s="67"/>
      <c r="AA52" s="67"/>
      <c r="AB52" s="67"/>
      <c r="AI52" s="50"/>
      <c r="AJ52" s="50"/>
      <c r="AK52" s="50"/>
      <c r="AL52" s="50"/>
    </row>
    <row r="53" s="70" customFormat="true" ht="15.75" hidden="false" customHeight="true" outlineLevel="0" collapsed="false">
      <c r="A53" s="76"/>
      <c r="B53" s="76"/>
      <c r="C53" s="78"/>
      <c r="D53" s="78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67"/>
      <c r="Y53" s="67"/>
      <c r="Z53" s="67"/>
      <c r="AA53" s="67"/>
      <c r="AB53" s="67"/>
      <c r="AF53" s="79"/>
    </row>
    <row r="54" s="70" customFormat="true" ht="15" hidden="false" customHeight="true" outlineLevel="0" collapsed="false">
      <c r="A54" s="76"/>
      <c r="B54" s="76"/>
      <c r="C54" s="76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67"/>
      <c r="Y54" s="67"/>
      <c r="Z54" s="67"/>
      <c r="AA54" s="67"/>
      <c r="AB54" s="67"/>
    </row>
    <row r="55" s="70" customFormat="true" ht="15" hidden="false" customHeight="true" outlineLevel="0" collapsed="false">
      <c r="A55" s="76"/>
      <c r="B55" s="76"/>
      <c r="C55" s="76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67"/>
      <c r="Y55" s="67"/>
      <c r="Z55" s="67"/>
      <c r="AA55" s="67"/>
      <c r="AB55" s="67"/>
    </row>
    <row r="56" s="70" customFormat="true" ht="15" hidden="false" customHeight="true" outlineLevel="0" collapsed="false">
      <c r="A56" s="76"/>
      <c r="B56" s="76"/>
      <c r="C56" s="76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67"/>
      <c r="Y56" s="67"/>
      <c r="Z56" s="67"/>
      <c r="AA56" s="67"/>
      <c r="AB56" s="67"/>
    </row>
    <row r="57" s="70" customFormat="true" ht="15" hidden="false" customHeight="true" outlineLevel="0" collapsed="false">
      <c r="A57" s="21" t="s">
        <v>61</v>
      </c>
      <c r="B57" s="21"/>
      <c r="C57" s="21"/>
      <c r="D57" s="22"/>
      <c r="E57" s="22"/>
      <c r="F57" s="22"/>
      <c r="G57" s="22"/>
      <c r="H57" s="22"/>
      <c r="I57" s="22"/>
      <c r="J57" s="22"/>
      <c r="K57" s="22"/>
      <c r="L57" s="22"/>
      <c r="M57" s="21" t="s">
        <v>62</v>
      </c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 customFormat="false" ht="15" hidden="false" customHeight="true" outlineLevel="0" collapsed="false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1"/>
    </row>
    <row r="59" customFormat="false" ht="12.75" hidden="false" customHeight="false" outlineLevel="0" collapsed="false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</row>
    <row r="60" customFormat="false" ht="12.75" hidden="false" customHeight="false" outlineLevel="0" collapsed="false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</row>
    <row r="61" customFormat="false" ht="12.75" hidden="false" customHeight="false" outlineLevel="0" collapsed="false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</row>
    <row r="62" customFormat="false" ht="12.75" hidden="false" customHeight="false" outlineLevel="0" collapsed="false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</row>
    <row r="63" customFormat="false" ht="12.75" hidden="false" customHeight="false" outlineLevel="0" collapsed="false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</row>
    <row r="64" customFormat="false" ht="12.75" hidden="false" customHeight="false" outlineLevel="0" collapsed="false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</row>
    <row r="65" customFormat="false" ht="12.75" hidden="false" customHeight="false" outlineLevel="0" collapsed="false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</row>
    <row r="66" customFormat="false" ht="12.75" hidden="false" customHeight="false" outlineLevel="0" collapsed="false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</row>
    <row r="67" customFormat="false" ht="12.75" hidden="false" customHeight="false" outlineLevel="0" collapsed="false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</row>
    <row r="68" customFormat="false" ht="12.75" hidden="false" customHeight="false" outlineLevel="0" collapsed="false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</row>
    <row r="69" customFormat="false" ht="12.75" hidden="false" customHeight="false" outlineLevel="0" collapsed="false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</row>
    <row r="70" customFormat="false" ht="12.75" hidden="false" customHeight="false" outlineLevel="0" collapsed="false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</row>
    <row r="71" customFormat="false" ht="12.75" hidden="false" customHeight="false" outlineLevel="0" collapsed="false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</row>
    <row r="72" customFormat="false" ht="12.75" hidden="false" customHeight="false" outlineLevel="0" collapsed="false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</row>
    <row r="73" customFormat="false" ht="12.75" hidden="false" customHeight="false" outlineLevel="0" collapsed="false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</row>
    <row r="74" customFormat="false" ht="12.75" hidden="false" customHeight="false" outlineLevel="0" collapsed="false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</row>
    <row r="75" customFormat="false" ht="12.75" hidden="false" customHeight="false" outlineLevel="0" collapsed="false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</row>
    <row r="76" customFormat="false" ht="12.75" hidden="false" customHeight="false" outlineLevel="0" collapsed="false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</row>
    <row r="77" customFormat="false" ht="12.75" hidden="false" customHeight="false" outlineLevel="0" collapsed="false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</row>
    <row r="78" customFormat="false" ht="12.75" hidden="false" customHeight="false" outlineLevel="0" collapsed="false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</row>
    <row r="79" customFormat="false" ht="12.75" hidden="false" customHeight="false" outlineLevel="0" collapsed="false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</row>
    <row r="80" customFormat="false" ht="12.75" hidden="false" customHeight="false" outlineLevel="0" collapsed="false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</row>
    <row r="81" customFormat="false" ht="12.75" hidden="false" customHeight="false" outlineLevel="0" collapsed="false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</row>
    <row r="82" customFormat="false" ht="12.75" hidden="false" customHeight="false" outlineLevel="0" collapsed="false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</row>
    <row r="83" customFormat="false" ht="12.75" hidden="false" customHeight="false" outlineLevel="0" collapsed="false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</row>
    <row r="84" customFormat="false" ht="12.75" hidden="false" customHeight="false" outlineLevel="0" collapsed="false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</row>
    <row r="85" customFormat="false" ht="12.75" hidden="false" customHeight="false" outlineLevel="0" collapsed="false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</row>
    <row r="86" customFormat="false" ht="12.75" hidden="false" customHeight="false" outlineLevel="0" collapsed="false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</row>
    <row r="87" customFormat="false" ht="12.75" hidden="false" customHeight="false" outlineLevel="0" collapsed="false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</row>
    <row r="88" customFormat="false" ht="12.75" hidden="false" customHeight="false" outlineLevel="0" collapsed="false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</row>
    <row r="89" customFormat="false" ht="12.75" hidden="false" customHeight="false" outlineLevel="0" collapsed="false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</row>
    <row r="90" customFormat="false" ht="12.75" hidden="false" customHeight="false" outlineLevel="0" collapsed="false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</row>
    <row r="91" customFormat="false" ht="12.75" hidden="false" customHeight="false" outlineLevel="0" collapsed="false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</row>
    <row r="92" customFormat="false" ht="12.75" hidden="false" customHeight="false" outlineLevel="0" collapsed="false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</row>
    <row r="93" customFormat="false" ht="12.75" hidden="false" customHeight="false" outlineLevel="0" collapsed="false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</row>
    <row r="94" customFormat="false" ht="12.75" hidden="false" customHeight="false" outlineLevel="0" collapsed="false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</row>
    <row r="95" customFormat="false" ht="12.75" hidden="false" customHeight="false" outlineLevel="0" collapsed="false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</row>
    <row r="96" customFormat="false" ht="12.75" hidden="false" customHeight="false" outlineLevel="0" collapsed="false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</row>
    <row r="97" customFormat="false" ht="12.75" hidden="false" customHeight="false" outlineLevel="0" collapsed="false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</row>
    <row r="98" customFormat="false" ht="12.75" hidden="false" customHeight="false" outlineLevel="0" collapsed="false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</row>
    <row r="99" customFormat="false" ht="12.75" hidden="false" customHeight="false" outlineLevel="0" collapsed="false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</row>
    <row r="100" customFormat="false" ht="12.75" hidden="false" customHeight="false" outlineLevel="0" collapsed="false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</row>
    <row r="101" customFormat="false" ht="12.75" hidden="false" customHeight="false" outlineLevel="0" collapsed="false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</row>
    <row r="102" customFormat="false" ht="12.75" hidden="false" customHeight="false" outlineLevel="0" collapsed="false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</row>
    <row r="103" customFormat="false" ht="12.75" hidden="false" customHeight="false" outlineLevel="0" collapsed="false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</row>
    <row r="104" customFormat="false" ht="12.75" hidden="false" customHeight="false" outlineLevel="0" collapsed="false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</row>
    <row r="105" customFormat="false" ht="12.75" hidden="false" customHeight="false" outlineLevel="0" collapsed="false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</row>
    <row r="106" customFormat="false" ht="12.75" hidden="false" customHeight="false" outlineLevel="0" collapsed="false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</row>
    <row r="107" s="25" customFormat="true" ht="12.75" hidden="false" customHeight="false" outlineLevel="0" collapsed="false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24"/>
      <c r="AE107" s="24"/>
      <c r="AF107" s="24"/>
      <c r="AG107" s="24"/>
    </row>
    <row r="108" s="25" customFormat="true" ht="12.75" hidden="false" customHeight="false" outlineLevel="0" collapsed="false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24"/>
      <c r="AE108" s="24"/>
      <c r="AF108" s="24"/>
      <c r="AG108" s="24"/>
    </row>
    <row r="109" s="25" customFormat="true" ht="12.75" hidden="false" customHeight="false" outlineLevel="0" collapsed="false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24"/>
      <c r="AE109" s="24"/>
      <c r="AF109" s="24"/>
      <c r="AG109" s="24"/>
    </row>
    <row r="110" s="25" customFormat="true" ht="12.75" hidden="false" customHeight="false" outlineLevel="0" collapsed="false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24"/>
      <c r="AE110" s="24"/>
      <c r="AF110" s="24"/>
      <c r="AG110" s="24"/>
    </row>
    <row r="111" s="25" customFormat="true" ht="12.75" hidden="false" customHeight="false" outlineLevel="0" collapsed="false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24"/>
      <c r="AE111" s="24"/>
      <c r="AF111" s="24"/>
      <c r="AG111" s="24"/>
    </row>
    <row r="112" s="25" customFormat="true" ht="12.75" hidden="false" customHeight="false" outlineLevel="0" collapsed="false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24"/>
      <c r="AE112" s="24"/>
      <c r="AF112" s="24"/>
      <c r="AG112" s="24"/>
    </row>
    <row r="113" s="25" customFormat="true" ht="12.75" hidden="false" customHeight="false" outlineLevel="0" collapsed="false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24"/>
      <c r="AE113" s="24"/>
      <c r="AF113" s="24"/>
      <c r="AG113" s="24"/>
    </row>
    <row r="114" s="25" customFormat="true" ht="12.75" hidden="false" customHeight="false" outlineLevel="0" collapsed="false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24"/>
      <c r="AE114" s="24"/>
      <c r="AF114" s="24"/>
      <c r="AG114" s="24"/>
    </row>
    <row r="115" s="25" customFormat="true" ht="12.75" hidden="false" customHeight="false" outlineLevel="0" collapsed="false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24"/>
      <c r="AE115" s="24"/>
      <c r="AF115" s="24"/>
      <c r="AG115" s="24"/>
    </row>
    <row r="116" s="25" customFormat="true" ht="12.75" hidden="false" customHeight="false" outlineLevel="0" collapsed="false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24"/>
      <c r="AE116" s="24"/>
      <c r="AF116" s="24"/>
      <c r="AG116" s="24"/>
    </row>
    <row r="117" s="25" customFormat="true" ht="12.75" hidden="false" customHeight="false" outlineLevel="0" collapsed="false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24"/>
      <c r="AE117" s="24"/>
      <c r="AF117" s="24"/>
      <c r="AG117" s="24"/>
    </row>
    <row r="118" s="25" customFormat="true" ht="12.75" hidden="false" customHeight="false" outlineLevel="0" collapsed="false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24"/>
      <c r="AE118" s="24"/>
      <c r="AF118" s="24"/>
      <c r="AG118" s="24"/>
    </row>
    <row r="119" s="25" customFormat="true" ht="12.75" hidden="false" customHeight="false" outlineLevel="0" collapsed="false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24"/>
      <c r="AE119" s="24"/>
      <c r="AF119" s="24"/>
      <c r="AG119" s="24"/>
    </row>
    <row r="120" s="25" customFormat="true" ht="12.75" hidden="false" customHeight="false" outlineLevel="0" collapsed="false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24"/>
      <c r="AE120" s="24"/>
      <c r="AF120" s="24"/>
      <c r="AG120" s="24"/>
    </row>
    <row r="121" s="25" customFormat="true" ht="12.75" hidden="false" customHeight="false" outlineLevel="0" collapsed="false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24"/>
      <c r="AE121" s="24"/>
      <c r="AF121" s="24"/>
      <c r="AG121" s="24"/>
    </row>
    <row r="122" s="25" customFormat="true" ht="12.75" hidden="false" customHeight="false" outlineLevel="0" collapsed="false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24"/>
      <c r="AE122" s="24"/>
      <c r="AF122" s="24"/>
      <c r="AG122" s="24"/>
    </row>
    <row r="123" s="25" customFormat="true" ht="12.75" hidden="false" customHeight="false" outlineLevel="0" collapsed="false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24"/>
      <c r="AE123" s="24"/>
      <c r="AF123" s="24"/>
      <c r="AG123" s="24"/>
    </row>
    <row r="124" s="25" customFormat="true" ht="12.75" hidden="false" customHeight="false" outlineLevel="0" collapsed="false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24"/>
      <c r="AE124" s="24"/>
      <c r="AF124" s="24"/>
      <c r="AG124" s="24"/>
    </row>
    <row r="125" s="25" customFormat="true" ht="12.75" hidden="false" customHeight="false" outlineLevel="0" collapsed="false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24"/>
      <c r="AE125" s="24"/>
      <c r="AF125" s="24"/>
      <c r="AG125" s="24"/>
    </row>
    <row r="126" s="25" customFormat="true" ht="12.75" hidden="false" customHeight="false" outlineLevel="0" collapsed="false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24"/>
      <c r="AE126" s="24"/>
      <c r="AF126" s="24"/>
      <c r="AG126" s="24"/>
    </row>
    <row r="127" s="25" customFormat="true" ht="12.75" hidden="false" customHeight="false" outlineLevel="0" collapsed="false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24"/>
      <c r="AE127" s="24"/>
      <c r="AF127" s="24"/>
      <c r="AG127" s="24"/>
    </row>
    <row r="128" s="25" customFormat="true" ht="12.75" hidden="false" customHeight="false" outlineLevel="0" collapsed="false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24"/>
      <c r="AE128" s="24"/>
      <c r="AF128" s="24"/>
      <c r="AG128" s="24"/>
    </row>
    <row r="129" s="25" customFormat="true" ht="12.75" hidden="false" customHeight="false" outlineLevel="0" collapsed="false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24"/>
      <c r="AE129" s="24"/>
      <c r="AF129" s="24"/>
      <c r="AG129" s="24"/>
    </row>
    <row r="130" s="25" customFormat="true" ht="12.75" hidden="false" customHeight="false" outlineLevel="0" collapsed="false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24"/>
      <c r="AE130" s="24"/>
      <c r="AF130" s="24"/>
      <c r="AG130" s="24"/>
    </row>
    <row r="131" s="25" customFormat="true" ht="12.75" hidden="false" customHeight="false" outlineLevel="0" collapsed="false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24"/>
      <c r="AE131" s="24"/>
      <c r="AF131" s="24"/>
      <c r="AG131" s="24"/>
    </row>
    <row r="132" s="25" customFormat="true" ht="12.75" hidden="false" customHeight="false" outlineLevel="0" collapsed="false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24"/>
      <c r="AE132" s="24"/>
      <c r="AF132" s="24"/>
      <c r="AG132" s="24"/>
    </row>
    <row r="133" s="25" customFormat="true" ht="12.75" hidden="false" customHeight="false" outlineLevel="0" collapsed="false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24"/>
      <c r="AE133" s="24"/>
      <c r="AF133" s="24"/>
      <c r="AG133" s="24"/>
    </row>
    <row r="134" s="25" customFormat="true" ht="12.75" hidden="false" customHeight="false" outlineLevel="0" collapsed="false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24"/>
      <c r="AE134" s="24"/>
      <c r="AF134" s="24"/>
      <c r="AG134" s="24"/>
    </row>
  </sheetData>
  <mergeCells count="20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O9:O10"/>
    <mergeCell ref="W9:W10"/>
    <mergeCell ref="AB9:AB10"/>
    <mergeCell ref="A49:D49"/>
    <mergeCell ref="A51:C51"/>
    <mergeCell ref="E51:AB51"/>
    <mergeCell ref="A57:C57"/>
    <mergeCell ref="M57:AB57"/>
  </mergeCells>
  <printOptions headings="false" gridLines="false" gridLinesSet="true" horizontalCentered="false" verticalCentered="false"/>
  <pageMargins left="0.7" right="0.159722222222222" top="0.290277777777778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7"/>
  <sheetViews>
    <sheetView showFormulas="false" showGridLines="true" showRowColHeaders="true" showZeros="true" rightToLeft="false" tabSelected="false" showOutlineSymbols="true" defaultGridColor="true" view="normal" topLeftCell="A34" colorId="64" zoomScale="70" zoomScaleNormal="70" zoomScalePageLayoutView="100" workbookViewId="0">
      <selection pane="topLeft" activeCell="T3" activeCellId="0" sqref="T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12.29"/>
    <col collapsed="false" customWidth="true" hidden="false" outlineLevel="0" max="3" min="3" style="1" width="16.43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</row>
    <row r="2" customFormat="false" ht="18.75" hidden="false" customHeight="true" outlineLevel="0" collapsed="false">
      <c r="A2" s="4" t="s">
        <v>71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U2" s="5"/>
      <c r="V2" s="5"/>
      <c r="W2" s="5"/>
    </row>
    <row r="3" customFormat="false" ht="18.75" hidden="false" customHeight="true" outlineLevel="0" collapsed="false">
      <c r="A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customFormat="false" ht="18.75" hidden="false" customHeight="true" outlineLevel="0" collapsed="false">
      <c r="A4" s="6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customFormat="false" ht="18.75" hidden="false" customHeight="true" outlineLevel="0" collapsed="false">
      <c r="A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customFormat="false" ht="18.75" hidden="false" customHeight="true" outlineLevel="0" collapsed="false">
      <c r="A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customFormat="false" ht="18.75" hidden="false" customHeight="true" outlineLevel="0" collapsed="false">
      <c r="A7" s="7" t="s">
        <v>6</v>
      </c>
      <c r="C7" s="6"/>
      <c r="D7" s="6"/>
      <c r="F7" s="6"/>
      <c r="G7" s="6" t="s">
        <v>72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customFormat="false" ht="18.75" hidden="false" customHeight="true" outlineLevel="0" collapsed="false">
      <c r="A8" s="7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21" s="10" customFormat="true" ht="15.75" hidden="false" customHeight="true" outlineLevel="0" collapsed="false">
      <c r="A21" s="8" t="s">
        <v>9</v>
      </c>
      <c r="B21" s="8" t="s">
        <v>10</v>
      </c>
      <c r="C21" s="8" t="s">
        <v>11</v>
      </c>
      <c r="D21" s="9" t="s">
        <v>12</v>
      </c>
      <c r="E21" s="9"/>
      <c r="F21" s="9"/>
      <c r="G21" s="9"/>
      <c r="H21" s="9"/>
      <c r="I21" s="9"/>
      <c r="J21" s="9" t="s">
        <v>13</v>
      </c>
      <c r="K21" s="9"/>
      <c r="L21" s="9"/>
      <c r="M21" s="9" t="s">
        <v>14</v>
      </c>
      <c r="N21" s="9"/>
      <c r="O21" s="9"/>
      <c r="P21" s="9"/>
      <c r="Q21" s="9"/>
      <c r="R21" s="9"/>
      <c r="S21" s="8" t="s">
        <v>15</v>
      </c>
    </row>
    <row r="22" s="10" customFormat="true" ht="30" hidden="false" customHeight="true" outlineLevel="0" collapsed="false">
      <c r="A22" s="8"/>
      <c r="B22" s="8"/>
      <c r="C22" s="8"/>
      <c r="D22" s="11" t="s">
        <v>17</v>
      </c>
      <c r="E22" s="11" t="s">
        <v>18</v>
      </c>
      <c r="F22" s="11" t="s">
        <v>19</v>
      </c>
      <c r="G22" s="11" t="s">
        <v>20</v>
      </c>
      <c r="H22" s="11" t="s">
        <v>21</v>
      </c>
      <c r="I22" s="11" t="s">
        <v>22</v>
      </c>
      <c r="J22" s="11" t="s">
        <v>20</v>
      </c>
      <c r="K22" s="11" t="s">
        <v>21</v>
      </c>
      <c r="L22" s="11" t="s">
        <v>22</v>
      </c>
      <c r="M22" s="11" t="s">
        <v>17</v>
      </c>
      <c r="N22" s="11" t="s">
        <v>18</v>
      </c>
      <c r="O22" s="11" t="s">
        <v>19</v>
      </c>
      <c r="P22" s="11" t="s">
        <v>20</v>
      </c>
      <c r="Q22" s="11" t="s">
        <v>21</v>
      </c>
      <c r="R22" s="11" t="s">
        <v>22</v>
      </c>
      <c r="S22" s="8"/>
      <c r="T22" s="12"/>
    </row>
    <row r="23" s="10" customFormat="true" ht="18" hidden="false" customHeight="true" outlineLevel="0" collapsed="false">
      <c r="A23" s="13" t="n">
        <v>1</v>
      </c>
      <c r="B23" s="82" t="s">
        <v>23</v>
      </c>
      <c r="C23" s="15" t="n">
        <v>211</v>
      </c>
      <c r="D23" s="16" t="n">
        <v>-5.25</v>
      </c>
      <c r="E23" s="16" t="n">
        <f aca="false">+D23+F23</f>
        <v>-5.2458</v>
      </c>
      <c r="F23" s="16" t="n">
        <f aca="false">RANDBETWEEN(-105,115)/10000</f>
        <v>0.0042</v>
      </c>
      <c r="G23" s="16" t="n">
        <f aca="false">W23+0.25</f>
        <v>2.55</v>
      </c>
      <c r="H23" s="16" t="n">
        <f aca="false">G23+I23</f>
        <v>2.536</v>
      </c>
      <c r="I23" s="16" t="n">
        <f aca="false">RANDBETWEEN(-20,70)/1000</f>
        <v>-0.014</v>
      </c>
      <c r="J23" s="16" t="n">
        <f aca="false">X23+0.25</f>
        <v>2.667</v>
      </c>
      <c r="K23" s="16" t="n">
        <f aca="false">J23+L23</f>
        <v>2.736</v>
      </c>
      <c r="L23" s="16" t="n">
        <f aca="false">RANDBETWEEN(-20,70)/1000</f>
        <v>0.069</v>
      </c>
      <c r="M23" s="16" t="n">
        <v>5.25</v>
      </c>
      <c r="N23" s="16" t="n">
        <f aca="false">+M23+O23</f>
        <v>5.253</v>
      </c>
      <c r="O23" s="16" t="n">
        <f aca="false">RANDBETWEEN(-105,115)/10000</f>
        <v>0.003</v>
      </c>
      <c r="P23" s="16" t="n">
        <f aca="false">Y23+0.25</f>
        <v>2.55</v>
      </c>
      <c r="Q23" s="16" t="n">
        <f aca="false">P23+R23</f>
        <v>2.544</v>
      </c>
      <c r="R23" s="16" t="n">
        <f aca="false">RANDBETWEEN(-20,70)/1000</f>
        <v>-0.006</v>
      </c>
      <c r="S23" s="17"/>
      <c r="T23" s="18" t="n">
        <v>13.25</v>
      </c>
      <c r="V23" s="19"/>
      <c r="W23" s="19" t="n">
        <f aca="false">'KTHH Lớp 1'!G23</f>
        <v>2.3</v>
      </c>
      <c r="X23" s="19" t="n">
        <f aca="false">'KTHH Lớp 1'!J23</f>
        <v>2.417</v>
      </c>
      <c r="Y23" s="19" t="n">
        <f aca="false">'KTHH Lớp 1'!P23</f>
        <v>2.3</v>
      </c>
    </row>
    <row r="24" s="10" customFormat="true" ht="18" hidden="false" customHeight="true" outlineLevel="0" collapsed="false">
      <c r="A24" s="13" t="n">
        <v>2</v>
      </c>
      <c r="B24" s="82" t="s">
        <v>24</v>
      </c>
      <c r="C24" s="15" t="n">
        <f aca="false">+C23+T23</f>
        <v>224.25</v>
      </c>
      <c r="D24" s="16" t="n">
        <v>-5.25</v>
      </c>
      <c r="E24" s="16" t="n">
        <f aca="false">+D24+F24</f>
        <v>-5.2585</v>
      </c>
      <c r="F24" s="16" t="n">
        <f aca="false">RANDBETWEEN(-105,115)/10000</f>
        <v>-0.0085</v>
      </c>
      <c r="G24" s="16" t="n">
        <f aca="false">W24+0.25</f>
        <v>2.542</v>
      </c>
      <c r="H24" s="16" t="n">
        <f aca="false">G24+I24</f>
        <v>2.582</v>
      </c>
      <c r="I24" s="16" t="n">
        <f aca="false">RANDBETWEEN(-20,70)/1000</f>
        <v>0.04</v>
      </c>
      <c r="J24" s="16" t="n">
        <f aca="false">X24+0.25</f>
        <v>2.659</v>
      </c>
      <c r="K24" s="16" t="n">
        <f aca="false">J24+L24</f>
        <v>2.658</v>
      </c>
      <c r="L24" s="16" t="n">
        <f aca="false">RANDBETWEEN(-20,70)/1000</f>
        <v>-0.001</v>
      </c>
      <c r="M24" s="16" t="n">
        <v>5.25</v>
      </c>
      <c r="N24" s="16" t="n">
        <f aca="false">+M24+O24</f>
        <v>5.242</v>
      </c>
      <c r="O24" s="16" t="n">
        <f aca="false">RANDBETWEEN(-105,115)/10000</f>
        <v>-0.008</v>
      </c>
      <c r="P24" s="16" t="n">
        <f aca="false">Y24+0.25</f>
        <v>2.542</v>
      </c>
      <c r="Q24" s="16" t="n">
        <f aca="false">P24+R24</f>
        <v>2.612</v>
      </c>
      <c r="R24" s="16" t="n">
        <f aca="false">RANDBETWEEN(-20,70)/1000</f>
        <v>0.07</v>
      </c>
      <c r="S24" s="17"/>
      <c r="T24" s="18" t="n">
        <v>21.5</v>
      </c>
      <c r="V24" s="19"/>
      <c r="W24" s="19" t="n">
        <f aca="false">'KTHH Lớp 1'!G24</f>
        <v>2.292</v>
      </c>
      <c r="X24" s="19" t="n">
        <f aca="false">'KTHH Lớp 1'!J24</f>
        <v>2.409</v>
      </c>
      <c r="Y24" s="19" t="n">
        <f aca="false">'KTHH Lớp 1'!P24</f>
        <v>2.292</v>
      </c>
    </row>
    <row r="25" s="10" customFormat="true" ht="18" hidden="false" customHeight="true" outlineLevel="0" collapsed="false">
      <c r="A25" s="13" t="n">
        <v>3</v>
      </c>
      <c r="B25" s="82" t="s">
        <v>25</v>
      </c>
      <c r="C25" s="15" t="n">
        <f aca="false">+C24+T24</f>
        <v>245.75</v>
      </c>
      <c r="D25" s="16" t="n">
        <v>-5.25</v>
      </c>
      <c r="E25" s="16" t="n">
        <f aca="false">+D25+F25</f>
        <v>-5.2429</v>
      </c>
      <c r="F25" s="16" t="n">
        <f aca="false">RANDBETWEEN(-105,115)/10000</f>
        <v>0.0071</v>
      </c>
      <c r="G25" s="16" t="n">
        <f aca="false">W25+0.25</f>
        <v>2.523</v>
      </c>
      <c r="H25" s="16" t="n">
        <f aca="false">G25+I25</f>
        <v>2.565</v>
      </c>
      <c r="I25" s="16" t="n">
        <f aca="false">RANDBETWEEN(-20,70)/1000</f>
        <v>0.042</v>
      </c>
      <c r="J25" s="16" t="n">
        <f aca="false">X25+0.25</f>
        <v>2.64</v>
      </c>
      <c r="K25" s="16" t="n">
        <f aca="false">J25+L25</f>
        <v>2.673</v>
      </c>
      <c r="L25" s="16" t="n">
        <f aca="false">RANDBETWEEN(-20,70)/1000</f>
        <v>0.033</v>
      </c>
      <c r="M25" s="16" t="n">
        <v>5.25</v>
      </c>
      <c r="N25" s="16" t="n">
        <f aca="false">+M25+O25</f>
        <v>5.2415</v>
      </c>
      <c r="O25" s="16" t="n">
        <f aca="false">RANDBETWEEN(-105,115)/10000</f>
        <v>-0.0085</v>
      </c>
      <c r="P25" s="16" t="n">
        <f aca="false">Y25+0.25</f>
        <v>2.523</v>
      </c>
      <c r="Q25" s="16" t="n">
        <f aca="false">P25+R25</f>
        <v>2.577</v>
      </c>
      <c r="R25" s="16" t="n">
        <f aca="false">RANDBETWEEN(-20,70)/1000</f>
        <v>0.054</v>
      </c>
      <c r="S25" s="17"/>
      <c r="T25" s="18" t="n">
        <v>11.75</v>
      </c>
      <c r="V25" s="19"/>
      <c r="W25" s="19" t="n">
        <f aca="false">'KTHH Lớp 1'!G25</f>
        <v>2.273</v>
      </c>
      <c r="X25" s="19" t="n">
        <f aca="false">'KTHH Lớp 1'!J25</f>
        <v>2.39</v>
      </c>
      <c r="Y25" s="19" t="n">
        <f aca="false">'KTHH Lớp 1'!P25</f>
        <v>2.273</v>
      </c>
    </row>
    <row r="26" s="10" customFormat="true" ht="18" hidden="false" customHeight="true" outlineLevel="0" collapsed="false">
      <c r="A26" s="13" t="n">
        <v>4</v>
      </c>
      <c r="B26" s="82" t="s">
        <v>26</v>
      </c>
      <c r="C26" s="15" t="n">
        <f aca="false">+C25+T25</f>
        <v>257.5</v>
      </c>
      <c r="D26" s="16" t="n">
        <v>-5.25</v>
      </c>
      <c r="E26" s="16" t="n">
        <f aca="false">+D26+F26</f>
        <v>-5.2576</v>
      </c>
      <c r="F26" s="16" t="n">
        <f aca="false">RANDBETWEEN(-105,115)/10000</f>
        <v>-0.0076</v>
      </c>
      <c r="G26" s="16" t="n">
        <f aca="false">W26+0.25</f>
        <v>2.515</v>
      </c>
      <c r="H26" s="16" t="n">
        <f aca="false">G26+I26</f>
        <v>2.561</v>
      </c>
      <c r="I26" s="16" t="n">
        <f aca="false">RANDBETWEEN(-20,70)/1000</f>
        <v>0.046</v>
      </c>
      <c r="J26" s="16" t="n">
        <f aca="false">X26+0.25</f>
        <v>2.632</v>
      </c>
      <c r="K26" s="16" t="n">
        <f aca="false">J26+L26</f>
        <v>2.68</v>
      </c>
      <c r="L26" s="16" t="n">
        <f aca="false">RANDBETWEEN(-20,70)/1000</f>
        <v>0.048</v>
      </c>
      <c r="M26" s="16" t="n">
        <v>5.25</v>
      </c>
      <c r="N26" s="16" t="n">
        <f aca="false">+M26+O26</f>
        <v>5.2601</v>
      </c>
      <c r="O26" s="16" t="n">
        <f aca="false">RANDBETWEEN(-105,115)/10000</f>
        <v>0.0101</v>
      </c>
      <c r="P26" s="16" t="n">
        <f aca="false">Y26+0.25</f>
        <v>2.515</v>
      </c>
      <c r="Q26" s="16" t="n">
        <f aca="false">P26+R26</f>
        <v>2.521</v>
      </c>
      <c r="R26" s="16" t="n">
        <f aca="false">RANDBETWEEN(-20,70)/1000</f>
        <v>0.006</v>
      </c>
      <c r="S26" s="17"/>
      <c r="T26" s="18" t="n">
        <v>11.75</v>
      </c>
      <c r="V26" s="19"/>
      <c r="W26" s="19" t="n">
        <f aca="false">'KTHH Lớp 1'!G26</f>
        <v>2.265</v>
      </c>
      <c r="X26" s="19" t="n">
        <f aca="false">'KTHH Lớp 1'!J26</f>
        <v>2.382</v>
      </c>
      <c r="Y26" s="19" t="n">
        <f aca="false">'KTHH Lớp 1'!P26</f>
        <v>2.265</v>
      </c>
    </row>
    <row r="27" s="10" customFormat="true" ht="18" hidden="false" customHeight="true" outlineLevel="0" collapsed="false">
      <c r="A27" s="13" t="n">
        <v>5</v>
      </c>
      <c r="B27" s="82" t="s">
        <v>27</v>
      </c>
      <c r="C27" s="15" t="n">
        <f aca="false">+C26+T26</f>
        <v>269.25</v>
      </c>
      <c r="D27" s="16" t="n">
        <v>-5.25</v>
      </c>
      <c r="E27" s="16" t="n">
        <f aca="false">+D27+F27</f>
        <v>-5.2551</v>
      </c>
      <c r="F27" s="16" t="n">
        <f aca="false">RANDBETWEEN(-105,115)/10000</f>
        <v>-0.0051</v>
      </c>
      <c r="G27" s="16" t="n">
        <f aca="false">W27+0.25</f>
        <v>2.506</v>
      </c>
      <c r="H27" s="16" t="n">
        <f aca="false">G27+I27</f>
        <v>2.543</v>
      </c>
      <c r="I27" s="16" t="n">
        <f aca="false">RANDBETWEEN(-20,70)/1000</f>
        <v>0.037</v>
      </c>
      <c r="J27" s="16" t="n">
        <f aca="false">X27+0.25</f>
        <v>2.623</v>
      </c>
      <c r="K27" s="16" t="n">
        <f aca="false">J27+L27</f>
        <v>2.631</v>
      </c>
      <c r="L27" s="16" t="n">
        <f aca="false">RANDBETWEEN(-20,70)/1000</f>
        <v>0.008</v>
      </c>
      <c r="M27" s="16" t="n">
        <v>5.25</v>
      </c>
      <c r="N27" s="16" t="n">
        <f aca="false">+M27+O27</f>
        <v>5.2567</v>
      </c>
      <c r="O27" s="16" t="n">
        <f aca="false">RANDBETWEEN(-105,115)/10000</f>
        <v>0.0067</v>
      </c>
      <c r="P27" s="16" t="n">
        <f aca="false">Y27+0.25</f>
        <v>2.506</v>
      </c>
      <c r="Q27" s="16" t="n">
        <f aca="false">P27+R27</f>
        <v>2.524</v>
      </c>
      <c r="R27" s="16" t="n">
        <f aca="false">RANDBETWEEN(-20,70)/1000</f>
        <v>0.018</v>
      </c>
      <c r="S27" s="17"/>
      <c r="T27" s="18" t="n">
        <v>20</v>
      </c>
      <c r="V27" s="19"/>
      <c r="W27" s="19" t="n">
        <f aca="false">'KTHH Lớp 1'!G27</f>
        <v>2.256</v>
      </c>
      <c r="X27" s="19" t="n">
        <f aca="false">'KTHH Lớp 1'!J27</f>
        <v>2.373</v>
      </c>
      <c r="Y27" s="19" t="n">
        <f aca="false">'KTHH Lớp 1'!P27</f>
        <v>2.256</v>
      </c>
    </row>
    <row r="28" s="10" customFormat="true" ht="18" hidden="false" customHeight="true" outlineLevel="0" collapsed="false">
      <c r="A28" s="13" t="n">
        <v>6</v>
      </c>
      <c r="B28" s="82" t="s">
        <v>28</v>
      </c>
      <c r="C28" s="15" t="n">
        <f aca="false">+C27+T27</f>
        <v>289.25</v>
      </c>
      <c r="D28" s="16" t="n">
        <v>-5.25</v>
      </c>
      <c r="E28" s="16" t="n">
        <f aca="false">+D28+F28</f>
        <v>-5.2534</v>
      </c>
      <c r="F28" s="16" t="n">
        <f aca="false">RANDBETWEEN(-105,115)/10000</f>
        <v>-0.0034</v>
      </c>
      <c r="G28" s="16" t="n">
        <f aca="false">W28+0.25</f>
        <v>2.495</v>
      </c>
      <c r="H28" s="16" t="n">
        <f aca="false">G28+I28</f>
        <v>2.552</v>
      </c>
      <c r="I28" s="16" t="n">
        <f aca="false">RANDBETWEEN(-20,70)/1000</f>
        <v>0.057</v>
      </c>
      <c r="J28" s="16" t="n">
        <f aca="false">X28+0.25</f>
        <v>2.612</v>
      </c>
      <c r="K28" s="16" t="n">
        <f aca="false">J28+L28</f>
        <v>2.669</v>
      </c>
      <c r="L28" s="16" t="n">
        <f aca="false">RANDBETWEEN(-20,70)/1000</f>
        <v>0.057</v>
      </c>
      <c r="M28" s="16" t="n">
        <v>5.25</v>
      </c>
      <c r="N28" s="16" t="n">
        <f aca="false">+M28+O28</f>
        <v>5.261</v>
      </c>
      <c r="O28" s="16" t="n">
        <f aca="false">RANDBETWEEN(-105,115)/10000</f>
        <v>0.011</v>
      </c>
      <c r="P28" s="16" t="n">
        <f aca="false">Y28+0.25</f>
        <v>2.495</v>
      </c>
      <c r="Q28" s="16" t="n">
        <f aca="false">P28+R28</f>
        <v>2.549</v>
      </c>
      <c r="R28" s="16" t="n">
        <f aca="false">RANDBETWEEN(-20,70)/1000</f>
        <v>0.054</v>
      </c>
      <c r="S28" s="17"/>
      <c r="T28" s="18" t="n">
        <v>20</v>
      </c>
      <c r="V28" s="19"/>
      <c r="W28" s="19" t="n">
        <f aca="false">'KTHH Lớp 1'!G28</f>
        <v>2.245</v>
      </c>
      <c r="X28" s="19" t="n">
        <f aca="false">'KTHH Lớp 1'!J28</f>
        <v>2.362</v>
      </c>
      <c r="Y28" s="19" t="n">
        <f aca="false">'KTHH Lớp 1'!P28</f>
        <v>2.245</v>
      </c>
    </row>
    <row r="29" s="10" customFormat="true" ht="18" hidden="false" customHeight="true" outlineLevel="0" collapsed="false">
      <c r="A29" s="13" t="n">
        <v>7</v>
      </c>
      <c r="B29" s="82" t="s">
        <v>29</v>
      </c>
      <c r="C29" s="15" t="n">
        <f aca="false">+C28+T28</f>
        <v>309.25</v>
      </c>
      <c r="D29" s="16" t="n">
        <v>-5.25</v>
      </c>
      <c r="E29" s="16" t="n">
        <f aca="false">+D29+F29</f>
        <v>-5.2585</v>
      </c>
      <c r="F29" s="16" t="n">
        <f aca="false">RANDBETWEEN(-105,115)/10000</f>
        <v>-0.0085</v>
      </c>
      <c r="G29" s="16" t="n">
        <f aca="false">W29+0.25</f>
        <v>2.484</v>
      </c>
      <c r="H29" s="16" t="n">
        <f aca="false">G29+I29</f>
        <v>2.495</v>
      </c>
      <c r="I29" s="16" t="n">
        <f aca="false">RANDBETWEEN(-20,70)/1000</f>
        <v>0.011</v>
      </c>
      <c r="J29" s="16" t="n">
        <f aca="false">X29+0.25</f>
        <v>2.601</v>
      </c>
      <c r="K29" s="16" t="n">
        <f aca="false">J29+L29</f>
        <v>2.583</v>
      </c>
      <c r="L29" s="16" t="n">
        <f aca="false">RANDBETWEEN(-20,70)/1000</f>
        <v>-0.018</v>
      </c>
      <c r="M29" s="16" t="n">
        <v>5.25</v>
      </c>
      <c r="N29" s="16" t="n">
        <f aca="false">+M29+O29</f>
        <v>5.2477</v>
      </c>
      <c r="O29" s="16" t="n">
        <f aca="false">RANDBETWEEN(-105,115)/10000</f>
        <v>-0.0023</v>
      </c>
      <c r="P29" s="16" t="n">
        <f aca="false">Y29+0.25</f>
        <v>2.484</v>
      </c>
      <c r="Q29" s="16" t="n">
        <f aca="false">P29+R29</f>
        <v>2.544</v>
      </c>
      <c r="R29" s="16" t="n">
        <f aca="false">RANDBETWEEN(-20,70)/1000</f>
        <v>0.06</v>
      </c>
      <c r="S29" s="17"/>
      <c r="T29" s="18" t="n">
        <v>20</v>
      </c>
      <c r="V29" s="19"/>
      <c r="W29" s="19" t="n">
        <f aca="false">'KTHH Lớp 1'!G29</f>
        <v>2.234</v>
      </c>
      <c r="X29" s="19" t="n">
        <f aca="false">'KTHH Lớp 1'!J29</f>
        <v>2.351</v>
      </c>
      <c r="Y29" s="19" t="n">
        <f aca="false">'KTHH Lớp 1'!P29</f>
        <v>2.234</v>
      </c>
    </row>
    <row r="30" s="10" customFormat="true" ht="18" hidden="false" customHeight="true" outlineLevel="0" collapsed="false">
      <c r="A30" s="13" t="n">
        <v>8</v>
      </c>
      <c r="B30" s="82" t="s">
        <v>30</v>
      </c>
      <c r="C30" s="15" t="n">
        <f aca="false">+C29+T29</f>
        <v>329.25</v>
      </c>
      <c r="D30" s="16" t="n">
        <v>-5.25</v>
      </c>
      <c r="E30" s="16" t="n">
        <f aca="false">+D30+F30</f>
        <v>-5.243</v>
      </c>
      <c r="F30" s="16" t="n">
        <f aca="false">RANDBETWEEN(-105,115)/10000</f>
        <v>0.007</v>
      </c>
      <c r="G30" s="16" t="n">
        <f aca="false">W30+0.25</f>
        <v>2.473</v>
      </c>
      <c r="H30" s="16" t="n">
        <f aca="false">G30+I30</f>
        <v>2.537</v>
      </c>
      <c r="I30" s="16" t="n">
        <f aca="false">RANDBETWEEN(-20,70)/1000</f>
        <v>0.064</v>
      </c>
      <c r="J30" s="16" t="n">
        <f aca="false">X30+0.25</f>
        <v>2.59</v>
      </c>
      <c r="K30" s="16" t="n">
        <f aca="false">J30+L30</f>
        <v>2.652</v>
      </c>
      <c r="L30" s="16" t="n">
        <f aca="false">RANDBETWEEN(-20,70)/1000</f>
        <v>0.062</v>
      </c>
      <c r="M30" s="16" t="n">
        <v>5.25</v>
      </c>
      <c r="N30" s="16" t="n">
        <f aca="false">+M30+O30</f>
        <v>5.2412</v>
      </c>
      <c r="O30" s="16" t="n">
        <f aca="false">RANDBETWEEN(-105,115)/10000</f>
        <v>-0.0088</v>
      </c>
      <c r="P30" s="16" t="n">
        <f aca="false">Y30+0.25</f>
        <v>2.473</v>
      </c>
      <c r="Q30" s="16" t="n">
        <f aca="false">P30+R30</f>
        <v>2.53</v>
      </c>
      <c r="R30" s="16" t="n">
        <f aca="false">RANDBETWEEN(-20,70)/1000</f>
        <v>0.057</v>
      </c>
      <c r="S30" s="17"/>
      <c r="T30" s="18" t="n">
        <v>20</v>
      </c>
      <c r="V30" s="19"/>
      <c r="W30" s="19" t="n">
        <f aca="false">'KTHH Lớp 1'!G30</f>
        <v>2.223</v>
      </c>
      <c r="X30" s="19" t="n">
        <f aca="false">'KTHH Lớp 1'!J30</f>
        <v>2.34</v>
      </c>
      <c r="Y30" s="19" t="n">
        <f aca="false">'KTHH Lớp 1'!P30</f>
        <v>2.223</v>
      </c>
    </row>
    <row r="31" s="10" customFormat="true" ht="18" hidden="false" customHeight="true" outlineLevel="0" collapsed="false">
      <c r="A31" s="13" t="n">
        <v>9</v>
      </c>
      <c r="B31" s="82" t="s">
        <v>31</v>
      </c>
      <c r="C31" s="15" t="n">
        <f aca="false">+C30+T30</f>
        <v>349.25</v>
      </c>
      <c r="D31" s="16" t="n">
        <v>-5.25</v>
      </c>
      <c r="E31" s="16" t="n">
        <f aca="false">+D31+F31</f>
        <v>-5.2437</v>
      </c>
      <c r="F31" s="16" t="n">
        <f aca="false">RANDBETWEEN(-105,115)/10000</f>
        <v>0.0063</v>
      </c>
      <c r="G31" s="16" t="n">
        <f aca="false">W31+0.25</f>
        <v>2.461</v>
      </c>
      <c r="H31" s="16" t="n">
        <f aca="false">G31+I31</f>
        <v>2.48</v>
      </c>
      <c r="I31" s="16" t="n">
        <f aca="false">RANDBETWEEN(-20,70)/1000</f>
        <v>0.019</v>
      </c>
      <c r="J31" s="16" t="n">
        <f aca="false">X31+0.25</f>
        <v>2.578</v>
      </c>
      <c r="K31" s="16" t="n">
        <f aca="false">J31+L31</f>
        <v>2.584</v>
      </c>
      <c r="L31" s="16" t="n">
        <f aca="false">RANDBETWEEN(-20,70)/1000</f>
        <v>0.006</v>
      </c>
      <c r="M31" s="16" t="n">
        <v>5.25</v>
      </c>
      <c r="N31" s="16" t="n">
        <f aca="false">+M31+O31</f>
        <v>5.2615</v>
      </c>
      <c r="O31" s="16" t="n">
        <f aca="false">RANDBETWEEN(-105,115)/10000</f>
        <v>0.0115</v>
      </c>
      <c r="P31" s="16" t="n">
        <f aca="false">Y31+0.25</f>
        <v>2.461</v>
      </c>
      <c r="Q31" s="16" t="n">
        <f aca="false">P31+R31</f>
        <v>2.478</v>
      </c>
      <c r="R31" s="16" t="n">
        <f aca="false">RANDBETWEEN(-20,70)/1000</f>
        <v>0.017</v>
      </c>
      <c r="S31" s="17"/>
      <c r="T31" s="18" t="n">
        <v>19</v>
      </c>
      <c r="V31" s="19"/>
      <c r="W31" s="19" t="n">
        <f aca="false">'KTHH Lớp 1'!G31</f>
        <v>2.211</v>
      </c>
      <c r="X31" s="19" t="n">
        <f aca="false">'KTHH Lớp 1'!J31</f>
        <v>2.328</v>
      </c>
      <c r="Y31" s="19" t="n">
        <f aca="false">'KTHH Lớp 1'!P31</f>
        <v>2.211</v>
      </c>
    </row>
    <row r="32" s="10" customFormat="true" ht="18" hidden="false" customHeight="true" outlineLevel="0" collapsed="false">
      <c r="A32" s="13" t="n">
        <v>10</v>
      </c>
      <c r="B32" s="82" t="s">
        <v>32</v>
      </c>
      <c r="C32" s="15" t="n">
        <f aca="false">+C31+T31</f>
        <v>368.25</v>
      </c>
      <c r="D32" s="16" t="n">
        <v>-5.25</v>
      </c>
      <c r="E32" s="16" t="n">
        <f aca="false">+D32+F32</f>
        <v>-5.2573</v>
      </c>
      <c r="F32" s="16" t="n">
        <f aca="false">RANDBETWEEN(-105,115)/10000</f>
        <v>-0.0073</v>
      </c>
      <c r="G32" s="16" t="n">
        <f aca="false">W32+0.25</f>
        <v>2.45</v>
      </c>
      <c r="H32" s="16" t="n">
        <f aca="false">G32+I32</f>
        <v>2.496</v>
      </c>
      <c r="I32" s="16" t="n">
        <f aca="false">RANDBETWEEN(-20,70)/1000</f>
        <v>0.046</v>
      </c>
      <c r="J32" s="16" t="n">
        <f aca="false">X32+0.25</f>
        <v>2.567</v>
      </c>
      <c r="K32" s="16" t="n">
        <f aca="false">J32+L32</f>
        <v>2.596</v>
      </c>
      <c r="L32" s="16" t="n">
        <f aca="false">RANDBETWEEN(-20,70)/1000</f>
        <v>0.029</v>
      </c>
      <c r="M32" s="16" t="n">
        <v>5.25</v>
      </c>
      <c r="N32" s="16" t="n">
        <f aca="false">+M32+O32</f>
        <v>5.2503</v>
      </c>
      <c r="O32" s="16" t="n">
        <f aca="false">RANDBETWEEN(-105,115)/10000</f>
        <v>0.0003</v>
      </c>
      <c r="P32" s="16" t="n">
        <f aca="false">Y32+0.25</f>
        <v>2.45</v>
      </c>
      <c r="Q32" s="16" t="n">
        <f aca="false">P32+R32</f>
        <v>2.488</v>
      </c>
      <c r="R32" s="16" t="n">
        <f aca="false">RANDBETWEEN(-20,70)/1000</f>
        <v>0.038</v>
      </c>
      <c r="S32" s="17"/>
      <c r="T32" s="18" t="n">
        <v>13.25</v>
      </c>
      <c r="V32" s="19"/>
      <c r="W32" s="19" t="n">
        <f aca="false">'KTHH Lớp 1'!G32</f>
        <v>2.2</v>
      </c>
      <c r="X32" s="19" t="n">
        <f aca="false">'KTHH Lớp 1'!J32</f>
        <v>2.317</v>
      </c>
      <c r="Y32" s="19" t="n">
        <f aca="false">'KTHH Lớp 1'!P32</f>
        <v>2.2</v>
      </c>
    </row>
    <row r="33" s="10" customFormat="true" ht="18" hidden="false" customHeight="true" outlineLevel="0" collapsed="false">
      <c r="A33" s="13" t="n">
        <v>11</v>
      </c>
      <c r="B33" s="82" t="s">
        <v>33</v>
      </c>
      <c r="C33" s="15" t="n">
        <f aca="false">+C32+T32</f>
        <v>381.5</v>
      </c>
      <c r="D33" s="16" t="n">
        <v>-5.25</v>
      </c>
      <c r="E33" s="16" t="n">
        <f aca="false">+D33+F33</f>
        <v>-5.2515</v>
      </c>
      <c r="F33" s="16" t="n">
        <f aca="false">RANDBETWEEN(-105,115)/10000</f>
        <v>-0.0015</v>
      </c>
      <c r="G33" s="16" t="n">
        <f aca="false">W33+0.25</f>
        <v>2.442</v>
      </c>
      <c r="H33" s="16" t="n">
        <f aca="false">G33+I33</f>
        <v>2.495</v>
      </c>
      <c r="I33" s="16" t="n">
        <f aca="false">RANDBETWEEN(-20,70)/1000</f>
        <v>0.053</v>
      </c>
      <c r="J33" s="16" t="n">
        <f aca="false">X33+0.25</f>
        <v>2.559</v>
      </c>
      <c r="K33" s="16" t="n">
        <f aca="false">J33+L33</f>
        <v>2.549</v>
      </c>
      <c r="L33" s="16" t="n">
        <f aca="false">RANDBETWEEN(-20,70)/1000</f>
        <v>-0.01</v>
      </c>
      <c r="M33" s="16" t="n">
        <v>5.25</v>
      </c>
      <c r="N33" s="16" t="n">
        <f aca="false">+M33+O33</f>
        <v>5.2584</v>
      </c>
      <c r="O33" s="16" t="n">
        <f aca="false">RANDBETWEEN(-105,115)/10000</f>
        <v>0.0084</v>
      </c>
      <c r="P33" s="16" t="n">
        <f aca="false">Y33+0.25</f>
        <v>2.442</v>
      </c>
      <c r="Q33" s="16" t="n">
        <f aca="false">P33+R33</f>
        <v>2.484</v>
      </c>
      <c r="R33" s="16" t="n">
        <f aca="false">RANDBETWEEN(-20,70)/1000</f>
        <v>0.042</v>
      </c>
      <c r="S33" s="17"/>
      <c r="T33" s="18" t="n">
        <v>13.25</v>
      </c>
      <c r="V33" s="19"/>
      <c r="W33" s="19" t="n">
        <f aca="false">'KTHH Lớp 1'!G33</f>
        <v>2.192</v>
      </c>
      <c r="X33" s="19" t="n">
        <f aca="false">'KTHH Lớp 1'!J33</f>
        <v>2.309</v>
      </c>
      <c r="Y33" s="19" t="n">
        <f aca="false">'KTHH Lớp 1'!P33</f>
        <v>2.192</v>
      </c>
    </row>
    <row r="34" s="10" customFormat="true" ht="18" hidden="false" customHeight="true" outlineLevel="0" collapsed="false">
      <c r="A34" s="13" t="n">
        <v>12</v>
      </c>
      <c r="B34" s="82" t="s">
        <v>34</v>
      </c>
      <c r="C34" s="15" t="n">
        <f aca="false">+C33+T33</f>
        <v>394.75</v>
      </c>
      <c r="D34" s="16" t="n">
        <v>-5.25</v>
      </c>
      <c r="E34" s="16" t="n">
        <f aca="false">+D34+F34</f>
        <v>-5.2385</v>
      </c>
      <c r="F34" s="16" t="n">
        <f aca="false">RANDBETWEEN(-105,115)/10000</f>
        <v>0.0115</v>
      </c>
      <c r="G34" s="16" t="n">
        <f aca="false">W34+0.25</f>
        <v>2.434</v>
      </c>
      <c r="H34" s="16" t="n">
        <f aca="false">G34+I34</f>
        <v>2.437</v>
      </c>
      <c r="I34" s="16" t="n">
        <f aca="false">RANDBETWEEN(-20,70)/1000</f>
        <v>0.003</v>
      </c>
      <c r="J34" s="16" t="n">
        <f aca="false">X34+0.25</f>
        <v>2.551</v>
      </c>
      <c r="K34" s="16" t="n">
        <f aca="false">J34+L34</f>
        <v>2.555</v>
      </c>
      <c r="L34" s="16" t="n">
        <f aca="false">RANDBETWEEN(-20,70)/1000</f>
        <v>0.004</v>
      </c>
      <c r="M34" s="16" t="n">
        <v>5.25</v>
      </c>
      <c r="N34" s="16" t="n">
        <f aca="false">+M34+O34</f>
        <v>5.2401</v>
      </c>
      <c r="O34" s="16" t="n">
        <f aca="false">RANDBETWEEN(-105,115)/10000</f>
        <v>-0.0099</v>
      </c>
      <c r="P34" s="16" t="n">
        <f aca="false">Y34+0.25</f>
        <v>2.434</v>
      </c>
      <c r="Q34" s="16" t="n">
        <f aca="false">P34+R34</f>
        <v>2.448</v>
      </c>
      <c r="R34" s="16" t="n">
        <f aca="false">RANDBETWEEN(-20,70)/1000</f>
        <v>0.014</v>
      </c>
      <c r="S34" s="17"/>
      <c r="T34" s="18" t="n">
        <v>20</v>
      </c>
      <c r="V34" s="19"/>
      <c r="W34" s="19" t="n">
        <f aca="false">'KTHH Lớp 1'!G34</f>
        <v>2.184</v>
      </c>
      <c r="X34" s="19" t="n">
        <f aca="false">'KTHH Lớp 1'!J34</f>
        <v>2.301</v>
      </c>
      <c r="Y34" s="19" t="n">
        <f aca="false">'KTHH Lớp 1'!P34</f>
        <v>2.184</v>
      </c>
    </row>
    <row r="35" s="10" customFormat="true" ht="18" hidden="false" customHeight="true" outlineLevel="0" collapsed="false">
      <c r="A35" s="13" t="n">
        <v>13</v>
      </c>
      <c r="B35" s="82" t="s">
        <v>35</v>
      </c>
      <c r="C35" s="15" t="n">
        <f aca="false">+C34+T34</f>
        <v>414.75</v>
      </c>
      <c r="D35" s="16" t="n">
        <v>-5.25</v>
      </c>
      <c r="E35" s="16" t="n">
        <f aca="false">+D35+F35</f>
        <v>-5.2458</v>
      </c>
      <c r="F35" s="16" t="n">
        <f aca="false">RANDBETWEEN(-105,115)/10000</f>
        <v>0.0042</v>
      </c>
      <c r="G35" s="16" t="n">
        <f aca="false">W35+0.25</f>
        <v>2.421</v>
      </c>
      <c r="H35" s="16" t="n">
        <f aca="false">G35+I35</f>
        <v>2.422</v>
      </c>
      <c r="I35" s="16" t="n">
        <f aca="false">RANDBETWEEN(-20,70)/1000</f>
        <v>0.001</v>
      </c>
      <c r="J35" s="16" t="n">
        <f aca="false">X35+0.25</f>
        <v>2.538</v>
      </c>
      <c r="K35" s="16" t="n">
        <f aca="false">J35+L35</f>
        <v>2.537</v>
      </c>
      <c r="L35" s="16" t="n">
        <f aca="false">RANDBETWEEN(-20,70)/1000</f>
        <v>-0.001</v>
      </c>
      <c r="M35" s="16" t="n">
        <v>5.25</v>
      </c>
      <c r="N35" s="16" t="n">
        <f aca="false">+M35+O35</f>
        <v>5.2531</v>
      </c>
      <c r="O35" s="16" t="n">
        <f aca="false">RANDBETWEEN(-105,115)/10000</f>
        <v>0.0031</v>
      </c>
      <c r="P35" s="16" t="n">
        <f aca="false">Y35+0.25</f>
        <v>2.421</v>
      </c>
      <c r="Q35" s="16" t="n">
        <f aca="false">P35+R35</f>
        <v>2.461</v>
      </c>
      <c r="R35" s="16" t="n">
        <f aca="false">RANDBETWEEN(-20,70)/1000</f>
        <v>0.04</v>
      </c>
      <c r="S35" s="17"/>
      <c r="T35" s="18" t="n">
        <v>20</v>
      </c>
      <c r="V35" s="19"/>
      <c r="W35" s="19" t="n">
        <f aca="false">'KTHH Lớp 1'!G35</f>
        <v>2.171</v>
      </c>
      <c r="X35" s="19" t="n">
        <f aca="false">'KTHH Lớp 1'!J35</f>
        <v>2.288</v>
      </c>
      <c r="Y35" s="19" t="n">
        <f aca="false">'KTHH Lớp 1'!P35</f>
        <v>2.171</v>
      </c>
    </row>
    <row r="36" s="10" customFormat="true" ht="18" hidden="false" customHeight="true" outlineLevel="0" collapsed="false">
      <c r="A36" s="13" t="n">
        <v>14</v>
      </c>
      <c r="B36" s="82" t="s">
        <v>36</v>
      </c>
      <c r="C36" s="15" t="n">
        <f aca="false">+C35+T35</f>
        <v>434.75</v>
      </c>
      <c r="D36" s="16" t="n">
        <v>-5.25</v>
      </c>
      <c r="E36" s="16" t="n">
        <f aca="false">+D36+F36</f>
        <v>-5.2442</v>
      </c>
      <c r="F36" s="16" t="n">
        <f aca="false">RANDBETWEEN(-105,115)/10000</f>
        <v>0.0058</v>
      </c>
      <c r="G36" s="16" t="n">
        <f aca="false">W36+0.25</f>
        <v>2.408</v>
      </c>
      <c r="H36" s="16" t="n">
        <f aca="false">G36+I36</f>
        <v>2.391</v>
      </c>
      <c r="I36" s="16" t="n">
        <f aca="false">RANDBETWEEN(-20,70)/1000</f>
        <v>-0.017</v>
      </c>
      <c r="J36" s="16" t="n">
        <f aca="false">X36+0.25</f>
        <v>2.525</v>
      </c>
      <c r="K36" s="16" t="n">
        <f aca="false">J36+L36</f>
        <v>2.536</v>
      </c>
      <c r="L36" s="16" t="n">
        <f aca="false">RANDBETWEEN(-20,70)/1000</f>
        <v>0.011</v>
      </c>
      <c r="M36" s="16" t="n">
        <v>5.25</v>
      </c>
      <c r="N36" s="16" t="n">
        <f aca="false">+M36+O36</f>
        <v>5.2451</v>
      </c>
      <c r="O36" s="16" t="n">
        <f aca="false">RANDBETWEEN(-105,115)/10000</f>
        <v>-0.0049</v>
      </c>
      <c r="P36" s="16" t="n">
        <f aca="false">Y36+0.25</f>
        <v>2.408</v>
      </c>
      <c r="Q36" s="16" t="n">
        <f aca="false">P36+R36</f>
        <v>2.47</v>
      </c>
      <c r="R36" s="16" t="n">
        <f aca="false">RANDBETWEEN(-20,70)/1000</f>
        <v>0.062</v>
      </c>
      <c r="S36" s="17"/>
      <c r="T36" s="18" t="n">
        <v>20</v>
      </c>
      <c r="V36" s="19"/>
      <c r="W36" s="19" t="n">
        <f aca="false">'KTHH Lớp 1'!G36</f>
        <v>2.158</v>
      </c>
      <c r="X36" s="19" t="n">
        <f aca="false">'KTHH Lớp 1'!J36</f>
        <v>2.275</v>
      </c>
      <c r="Y36" s="19" t="n">
        <f aca="false">'KTHH Lớp 1'!P36</f>
        <v>2.158</v>
      </c>
    </row>
    <row r="37" s="10" customFormat="true" ht="18" hidden="false" customHeight="true" outlineLevel="0" collapsed="false">
      <c r="A37" s="13" t="n">
        <v>15</v>
      </c>
      <c r="B37" s="82" t="s">
        <v>37</v>
      </c>
      <c r="C37" s="15" t="n">
        <f aca="false">+C36+T36</f>
        <v>454.75</v>
      </c>
      <c r="D37" s="16" t="n">
        <v>-5.25</v>
      </c>
      <c r="E37" s="16" t="n">
        <f aca="false">+D37+F37</f>
        <v>-5.2574</v>
      </c>
      <c r="F37" s="16" t="n">
        <f aca="false">RANDBETWEEN(-105,115)/10000</f>
        <v>-0.0074</v>
      </c>
      <c r="G37" s="16" t="n">
        <f aca="false">W37+0.25</f>
        <v>2.394</v>
      </c>
      <c r="H37" s="16" t="n">
        <f aca="false">G37+I37</f>
        <v>2.45</v>
      </c>
      <c r="I37" s="16" t="n">
        <f aca="false">RANDBETWEEN(-20,70)/1000</f>
        <v>0.056</v>
      </c>
      <c r="J37" s="16" t="n">
        <f aca="false">X37+0.25</f>
        <v>2.511</v>
      </c>
      <c r="K37" s="16" t="n">
        <f aca="false">J37+L37</f>
        <v>2.559</v>
      </c>
      <c r="L37" s="16" t="n">
        <f aca="false">RANDBETWEEN(-20,70)/1000</f>
        <v>0.048</v>
      </c>
      <c r="M37" s="16" t="n">
        <v>5.25</v>
      </c>
      <c r="N37" s="16" t="n">
        <f aca="false">+M37+O37</f>
        <v>5.2519</v>
      </c>
      <c r="O37" s="16" t="n">
        <f aca="false">RANDBETWEEN(-105,115)/10000</f>
        <v>0.0019</v>
      </c>
      <c r="P37" s="16" t="n">
        <f aca="false">Y37+0.25</f>
        <v>2.394</v>
      </c>
      <c r="Q37" s="16" t="n">
        <f aca="false">P37+R37</f>
        <v>2.463</v>
      </c>
      <c r="R37" s="16" t="n">
        <f aca="false">RANDBETWEEN(-20,70)/1000</f>
        <v>0.069</v>
      </c>
      <c r="S37" s="17"/>
      <c r="T37" s="18" t="n">
        <v>20</v>
      </c>
      <c r="V37" s="19"/>
      <c r="W37" s="19" t="n">
        <f aca="false">'KTHH Lớp 1'!G37</f>
        <v>2.144</v>
      </c>
      <c r="X37" s="19" t="n">
        <f aca="false">'KTHH Lớp 1'!J37</f>
        <v>2.261</v>
      </c>
      <c r="Y37" s="19" t="n">
        <f aca="false">'KTHH Lớp 1'!P37</f>
        <v>2.144</v>
      </c>
    </row>
    <row r="38" s="10" customFormat="true" ht="18" hidden="false" customHeight="true" outlineLevel="0" collapsed="false">
      <c r="A38" s="13" t="n">
        <v>16</v>
      </c>
      <c r="B38" s="82" t="s">
        <v>38</v>
      </c>
      <c r="C38" s="15" t="n">
        <f aca="false">+C37+T37</f>
        <v>474.75</v>
      </c>
      <c r="D38" s="16" t="n">
        <v>-5.25</v>
      </c>
      <c r="E38" s="16" t="n">
        <f aca="false">+D38+F38</f>
        <v>-5.259</v>
      </c>
      <c r="F38" s="16" t="n">
        <f aca="false">RANDBETWEEN(-105,115)/10000</f>
        <v>-0.009</v>
      </c>
      <c r="G38" s="16" t="n">
        <f aca="false">W38+0.25</f>
        <v>2.381</v>
      </c>
      <c r="H38" s="16" t="n">
        <f aca="false">G38+I38</f>
        <v>2.447</v>
      </c>
      <c r="I38" s="16" t="n">
        <f aca="false">RANDBETWEEN(-20,70)/1000</f>
        <v>0.066</v>
      </c>
      <c r="J38" s="16" t="n">
        <f aca="false">X38+0.25</f>
        <v>2.498</v>
      </c>
      <c r="K38" s="16" t="n">
        <f aca="false">J38+L38</f>
        <v>2.552</v>
      </c>
      <c r="L38" s="16" t="n">
        <f aca="false">RANDBETWEEN(-20,70)/1000</f>
        <v>0.054</v>
      </c>
      <c r="M38" s="16" t="n">
        <v>5.25</v>
      </c>
      <c r="N38" s="16" t="n">
        <f aca="false">+M38+O38</f>
        <v>5.2511</v>
      </c>
      <c r="O38" s="16" t="n">
        <f aca="false">RANDBETWEEN(-105,115)/10000</f>
        <v>0.0011</v>
      </c>
      <c r="P38" s="16" t="n">
        <f aca="false">Y38+0.25</f>
        <v>2.381</v>
      </c>
      <c r="Q38" s="16" t="n">
        <f aca="false">P38+R38</f>
        <v>2.377</v>
      </c>
      <c r="R38" s="16" t="n">
        <f aca="false">RANDBETWEEN(-20,70)/1000</f>
        <v>-0.004</v>
      </c>
      <c r="S38" s="17"/>
      <c r="T38" s="18" t="n">
        <v>14.44</v>
      </c>
      <c r="V38" s="19"/>
      <c r="W38" s="19" t="n">
        <f aca="false">'KTHH Lớp 1'!G38</f>
        <v>2.131</v>
      </c>
      <c r="X38" s="19" t="n">
        <f aca="false">'KTHH Lớp 1'!J38</f>
        <v>2.248</v>
      </c>
      <c r="Y38" s="19" t="n">
        <f aca="false">'KTHH Lớp 1'!P38</f>
        <v>2.131</v>
      </c>
    </row>
    <row r="39" s="10" customFormat="true" ht="18" hidden="false" customHeight="true" outlineLevel="0" collapsed="false">
      <c r="A39" s="13" t="n">
        <v>17</v>
      </c>
      <c r="B39" s="82" t="s">
        <v>39</v>
      </c>
      <c r="C39" s="15" t="n">
        <f aca="false">+C38+T38</f>
        <v>489.19</v>
      </c>
      <c r="D39" s="16" t="n">
        <v>-5.25</v>
      </c>
      <c r="E39" s="16" t="n">
        <f aca="false">+D39+F39</f>
        <v>-5.2545</v>
      </c>
      <c r="F39" s="16" t="n">
        <f aca="false">RANDBETWEEN(-105,115)/10000</f>
        <v>-0.0045</v>
      </c>
      <c r="G39" s="16" t="n">
        <f aca="false">W39+0.25</f>
        <v>2.372</v>
      </c>
      <c r="H39" s="16" t="n">
        <f aca="false">G39+I39</f>
        <v>2.406</v>
      </c>
      <c r="I39" s="16" t="n">
        <f aca="false">RANDBETWEEN(-20,70)/1000</f>
        <v>0.034</v>
      </c>
      <c r="J39" s="16" t="n">
        <f aca="false">X39+0.25</f>
        <v>2.489</v>
      </c>
      <c r="K39" s="16" t="n">
        <f aca="false">J39+L39</f>
        <v>2.469</v>
      </c>
      <c r="L39" s="16" t="n">
        <f aca="false">RANDBETWEEN(-20,70)/1000</f>
        <v>-0.02</v>
      </c>
      <c r="M39" s="16" t="n">
        <v>5.25</v>
      </c>
      <c r="N39" s="16" t="n">
        <f aca="false">+M39+O39</f>
        <v>5.2509</v>
      </c>
      <c r="O39" s="16" t="n">
        <f aca="false">RANDBETWEEN(-105,115)/10000</f>
        <v>0.0009</v>
      </c>
      <c r="P39" s="16" t="n">
        <f aca="false">Y39+0.25</f>
        <v>2.372</v>
      </c>
      <c r="Q39" s="16" t="n">
        <f aca="false">P39+R39</f>
        <v>2.43</v>
      </c>
      <c r="R39" s="16" t="n">
        <f aca="false">RANDBETWEEN(-20,70)/1000</f>
        <v>0.058</v>
      </c>
      <c r="S39" s="17"/>
      <c r="T39" s="18" t="n">
        <v>13.17</v>
      </c>
      <c r="V39" s="19"/>
      <c r="W39" s="19" t="n">
        <f aca="false">'KTHH Lớp 1'!G39</f>
        <v>2.122</v>
      </c>
      <c r="X39" s="19" t="n">
        <f aca="false">'KTHH Lớp 1'!J39</f>
        <v>2.239</v>
      </c>
      <c r="Y39" s="19" t="n">
        <f aca="false">'KTHH Lớp 1'!P39</f>
        <v>2.122</v>
      </c>
    </row>
    <row r="40" s="10" customFormat="true" ht="18" hidden="false" customHeight="true" outlineLevel="0" collapsed="false">
      <c r="A40" s="13" t="n">
        <v>18</v>
      </c>
      <c r="B40" s="82" t="s">
        <v>40</v>
      </c>
      <c r="C40" s="15" t="n">
        <f aca="false">+C39+T39</f>
        <v>502.36</v>
      </c>
      <c r="D40" s="16" t="n">
        <v>-5.25</v>
      </c>
      <c r="E40" s="16" t="n">
        <f aca="false">+D40+F40</f>
        <v>-5.2576</v>
      </c>
      <c r="F40" s="16" t="n">
        <f aca="false">RANDBETWEEN(-105,115)/10000</f>
        <v>-0.0076</v>
      </c>
      <c r="G40" s="16" t="n">
        <f aca="false">W40+0.25</f>
        <v>2.364</v>
      </c>
      <c r="H40" s="16" t="n">
        <f aca="false">G40+I40</f>
        <v>2.37</v>
      </c>
      <c r="I40" s="16" t="n">
        <f aca="false">RANDBETWEEN(-20,70)/1000</f>
        <v>0.006</v>
      </c>
      <c r="J40" s="16" t="n">
        <f aca="false">X40+0.25</f>
        <v>2.481</v>
      </c>
      <c r="K40" s="16" t="n">
        <f aca="false">J40+L40</f>
        <v>2.502</v>
      </c>
      <c r="L40" s="16" t="n">
        <f aca="false">RANDBETWEEN(-20,70)/1000</f>
        <v>0.021</v>
      </c>
      <c r="M40" s="16" t="n">
        <v>5.25</v>
      </c>
      <c r="N40" s="16" t="n">
        <f aca="false">+M40+O40</f>
        <v>5.2588</v>
      </c>
      <c r="O40" s="16" t="n">
        <f aca="false">RANDBETWEEN(-105,115)/10000</f>
        <v>0.0088</v>
      </c>
      <c r="P40" s="16" t="n">
        <f aca="false">Y40+0.25</f>
        <v>2.364</v>
      </c>
      <c r="Q40" s="16" t="n">
        <f aca="false">P40+R40</f>
        <v>2.404</v>
      </c>
      <c r="R40" s="16" t="n">
        <f aca="false">RANDBETWEEN(-20,70)/1000</f>
        <v>0.04</v>
      </c>
      <c r="S40" s="17"/>
      <c r="T40" s="18" t="n">
        <v>10.48</v>
      </c>
      <c r="V40" s="19"/>
      <c r="W40" s="19" t="n">
        <f aca="false">'KTHH Lớp 1'!G40</f>
        <v>2.114</v>
      </c>
      <c r="X40" s="19" t="n">
        <f aca="false">'KTHH Lớp 1'!J40</f>
        <v>2.231</v>
      </c>
      <c r="Y40" s="19" t="n">
        <f aca="false">'KTHH Lớp 1'!P40</f>
        <v>2.114</v>
      </c>
    </row>
    <row r="41" s="10" customFormat="true" ht="18" hidden="false" customHeight="true" outlineLevel="0" collapsed="false">
      <c r="A41" s="13" t="n">
        <v>19</v>
      </c>
      <c r="B41" s="82" t="s">
        <v>41</v>
      </c>
      <c r="C41" s="15" t="n">
        <f aca="false">+C40+T40</f>
        <v>512.84</v>
      </c>
      <c r="D41" s="16" t="n">
        <v>-5.25</v>
      </c>
      <c r="E41" s="16" t="n">
        <f aca="false">+D41+F41</f>
        <v>-5.258</v>
      </c>
      <c r="F41" s="16" t="n">
        <f aca="false">RANDBETWEEN(-105,115)/10000</f>
        <v>-0.008</v>
      </c>
      <c r="G41" s="16" t="n">
        <f aca="false">W41+0.25</f>
        <v>2.358</v>
      </c>
      <c r="H41" s="16" t="n">
        <f aca="false">G41+I41</f>
        <v>2.342</v>
      </c>
      <c r="I41" s="16" t="n">
        <f aca="false">RANDBETWEEN(-20,70)/1000</f>
        <v>-0.016</v>
      </c>
      <c r="J41" s="16" t="n">
        <f aca="false">X41+0.25</f>
        <v>2.475</v>
      </c>
      <c r="K41" s="16" t="n">
        <f aca="false">J41+L41</f>
        <v>2.488</v>
      </c>
      <c r="L41" s="16" t="n">
        <f aca="false">RANDBETWEEN(-20,70)/1000</f>
        <v>0.013</v>
      </c>
      <c r="M41" s="16" t="n">
        <v>5.25</v>
      </c>
      <c r="N41" s="16" t="n">
        <f aca="false">+M41+O41</f>
        <v>5.2432</v>
      </c>
      <c r="O41" s="16" t="n">
        <f aca="false">RANDBETWEEN(-105,115)/10000</f>
        <v>-0.0068</v>
      </c>
      <c r="P41" s="16" t="n">
        <f aca="false">Y41+0.25</f>
        <v>2.358</v>
      </c>
      <c r="Q41" s="16" t="n">
        <f aca="false">P41+R41</f>
        <v>2.346</v>
      </c>
      <c r="R41" s="16" t="n">
        <f aca="false">RANDBETWEEN(-20,70)/1000</f>
        <v>-0.012</v>
      </c>
      <c r="S41" s="17"/>
      <c r="T41" s="18" t="n">
        <v>16.78</v>
      </c>
      <c r="V41" s="19"/>
      <c r="W41" s="19" t="n">
        <f aca="false">'KTHH Lớp 1'!G41</f>
        <v>2.108</v>
      </c>
      <c r="X41" s="19" t="n">
        <f aca="false">'KTHH Lớp 1'!J41</f>
        <v>2.225</v>
      </c>
      <c r="Y41" s="19" t="n">
        <f aca="false">'KTHH Lớp 1'!P41</f>
        <v>2.108</v>
      </c>
    </row>
    <row r="42" s="10" customFormat="true" ht="18" hidden="false" customHeight="true" outlineLevel="0" collapsed="false">
      <c r="A42" s="13" t="n">
        <v>20</v>
      </c>
      <c r="B42" s="82" t="s">
        <v>42</v>
      </c>
      <c r="C42" s="15" t="n">
        <f aca="false">+C41+T41</f>
        <v>529.62</v>
      </c>
      <c r="D42" s="16" t="n">
        <v>-5.25</v>
      </c>
      <c r="E42" s="16" t="n">
        <f aca="false">+D42+F42</f>
        <v>-5.2434</v>
      </c>
      <c r="F42" s="16" t="n">
        <f aca="false">RANDBETWEEN(-105,115)/10000</f>
        <v>0.0066</v>
      </c>
      <c r="G42" s="16" t="n">
        <f aca="false">W42+0.25</f>
        <v>2.349</v>
      </c>
      <c r="H42" s="16" t="n">
        <f aca="false">G42+I42</f>
        <v>2.35</v>
      </c>
      <c r="I42" s="16" t="n">
        <f aca="false">RANDBETWEEN(-20,70)/1000</f>
        <v>0.001</v>
      </c>
      <c r="J42" s="16" t="n">
        <f aca="false">X42+0.25</f>
        <v>2.466</v>
      </c>
      <c r="K42" s="16" t="n">
        <f aca="false">J42+L42</f>
        <v>2.495</v>
      </c>
      <c r="L42" s="16" t="n">
        <f aca="false">RANDBETWEEN(-20,70)/1000</f>
        <v>0.029</v>
      </c>
      <c r="M42" s="16" t="n">
        <v>5.25</v>
      </c>
      <c r="N42" s="16" t="n">
        <f aca="false">+M42+O42</f>
        <v>5.2499</v>
      </c>
      <c r="O42" s="16" t="n">
        <f aca="false">RANDBETWEEN(-105,115)/10000</f>
        <v>-0.0001</v>
      </c>
      <c r="P42" s="16" t="n">
        <f aca="false">Y42+0.25</f>
        <v>2.349</v>
      </c>
      <c r="Q42" s="16" t="n">
        <f aca="false">P42+R42</f>
        <v>2.33</v>
      </c>
      <c r="R42" s="16" t="n">
        <f aca="false">RANDBETWEEN(-20,70)/1000</f>
        <v>-0.019</v>
      </c>
      <c r="S42" s="17"/>
      <c r="T42" s="18" t="n">
        <v>17.1</v>
      </c>
      <c r="V42" s="19"/>
      <c r="W42" s="19" t="n">
        <f aca="false">'KTHH Lớp 1'!G42</f>
        <v>2.099</v>
      </c>
      <c r="X42" s="19" t="n">
        <f aca="false">'KTHH Lớp 1'!J42</f>
        <v>2.216</v>
      </c>
      <c r="Y42" s="19" t="n">
        <f aca="false">'KTHH Lớp 1'!P42</f>
        <v>2.099</v>
      </c>
    </row>
    <row r="43" s="10" customFormat="true" ht="18" hidden="false" customHeight="true" outlineLevel="0" collapsed="false">
      <c r="A43" s="13" t="n">
        <v>21</v>
      </c>
      <c r="B43" s="82" t="s">
        <v>43</v>
      </c>
      <c r="C43" s="15" t="n">
        <f aca="false">+C42+T42</f>
        <v>546.72</v>
      </c>
      <c r="D43" s="16" t="n">
        <v>-5.25</v>
      </c>
      <c r="E43" s="16" t="n">
        <f aca="false">+D43+F43</f>
        <v>-5.2509</v>
      </c>
      <c r="F43" s="16" t="n">
        <f aca="false">RANDBETWEEN(-105,115)/10000</f>
        <v>-0.0009</v>
      </c>
      <c r="G43" s="16" t="n">
        <f aca="false">W43+0.25</f>
        <v>2.341</v>
      </c>
      <c r="H43" s="16" t="n">
        <f aca="false">G43+I43</f>
        <v>2.329</v>
      </c>
      <c r="I43" s="16" t="n">
        <f aca="false">RANDBETWEEN(-20,70)/1000</f>
        <v>-0.012</v>
      </c>
      <c r="J43" s="16" t="n">
        <f aca="false">X43+0.25</f>
        <v>2.458</v>
      </c>
      <c r="K43" s="16" t="n">
        <f aca="false">J43+L43</f>
        <v>2.52</v>
      </c>
      <c r="L43" s="16" t="n">
        <f aca="false">RANDBETWEEN(-20,70)/1000</f>
        <v>0.062</v>
      </c>
      <c r="M43" s="16" t="n">
        <v>5.25</v>
      </c>
      <c r="N43" s="16" t="n">
        <f aca="false">+M43+O43</f>
        <v>5.2609</v>
      </c>
      <c r="O43" s="16" t="n">
        <f aca="false">RANDBETWEEN(-105,115)/10000</f>
        <v>0.0109</v>
      </c>
      <c r="P43" s="16" t="n">
        <f aca="false">Y43+0.25</f>
        <v>2.341</v>
      </c>
      <c r="Q43" s="16" t="n">
        <f aca="false">P43+R43</f>
        <v>2.367</v>
      </c>
      <c r="R43" s="16" t="n">
        <f aca="false">RANDBETWEEN(-20,70)/1000</f>
        <v>0.026</v>
      </c>
      <c r="S43" s="17"/>
      <c r="T43" s="18" t="n">
        <v>15.15</v>
      </c>
      <c r="V43" s="19"/>
      <c r="W43" s="19" t="n">
        <f aca="false">'KTHH Lớp 1'!G43</f>
        <v>2.091</v>
      </c>
      <c r="X43" s="19" t="n">
        <f aca="false">'KTHH Lớp 1'!J43</f>
        <v>2.208</v>
      </c>
      <c r="Y43" s="19" t="n">
        <f aca="false">'KTHH Lớp 1'!P43</f>
        <v>2.091</v>
      </c>
    </row>
    <row r="44" s="10" customFormat="true" ht="18" hidden="false" customHeight="true" outlineLevel="0" collapsed="false">
      <c r="A44" s="13" t="n">
        <v>22</v>
      </c>
      <c r="B44" s="82" t="s">
        <v>44</v>
      </c>
      <c r="C44" s="15" t="n">
        <f aca="false">+C43+T43</f>
        <v>561.87</v>
      </c>
      <c r="D44" s="16" t="n">
        <v>-5.25</v>
      </c>
      <c r="E44" s="16" t="n">
        <f aca="false">+D44+F44</f>
        <v>-5.2434</v>
      </c>
      <c r="F44" s="16" t="n">
        <f aca="false">RANDBETWEEN(-105,115)/10000</f>
        <v>0.0066</v>
      </c>
      <c r="G44" s="16" t="n">
        <f aca="false">W44+0.25</f>
        <v>2.338</v>
      </c>
      <c r="H44" s="16" t="n">
        <f aca="false">G44+I44</f>
        <v>2.404</v>
      </c>
      <c r="I44" s="16" t="n">
        <f aca="false">RANDBETWEEN(-20,70)/1000</f>
        <v>0.066</v>
      </c>
      <c r="J44" s="16" t="n">
        <f aca="false">X44+0.25</f>
        <v>2.455</v>
      </c>
      <c r="K44" s="16" t="n">
        <f aca="false">J44+L44</f>
        <v>2.523</v>
      </c>
      <c r="L44" s="16" t="n">
        <f aca="false">RANDBETWEEN(-20,70)/1000</f>
        <v>0.068</v>
      </c>
      <c r="M44" s="16" t="n">
        <v>5.25</v>
      </c>
      <c r="N44" s="16" t="n">
        <f aca="false">+M44+O44</f>
        <v>5.2518</v>
      </c>
      <c r="O44" s="16" t="n">
        <f aca="false">RANDBETWEEN(-105,115)/10000</f>
        <v>0.0018</v>
      </c>
      <c r="P44" s="16" t="n">
        <f aca="false">Y44+0.25</f>
        <v>2.338</v>
      </c>
      <c r="Q44" s="16" t="n">
        <f aca="false">P44+R44</f>
        <v>2.353</v>
      </c>
      <c r="R44" s="16" t="n">
        <f aca="false">RANDBETWEEN(-20,70)/1000</f>
        <v>0.015</v>
      </c>
      <c r="S44" s="17"/>
      <c r="T44" s="18" t="n">
        <v>0.15</v>
      </c>
      <c r="V44" s="19"/>
      <c r="W44" s="19" t="n">
        <f aca="false">'KTHH Lớp 1'!G44</f>
        <v>2.088</v>
      </c>
      <c r="X44" s="19" t="n">
        <f aca="false">'KTHH Lớp 1'!J44</f>
        <v>2.205</v>
      </c>
      <c r="Y44" s="19" t="n">
        <f aca="false">'KTHH Lớp 1'!P44</f>
        <v>2.088</v>
      </c>
    </row>
    <row r="45" s="10" customFormat="true" ht="18" hidden="false" customHeight="true" outlineLevel="0" collapsed="false">
      <c r="A45" s="13" t="n">
        <v>23</v>
      </c>
      <c r="B45" s="82" t="s">
        <v>45</v>
      </c>
      <c r="C45" s="15" t="n">
        <f aca="false">+C44+T44</f>
        <v>562.02</v>
      </c>
      <c r="D45" s="16" t="n">
        <v>-5.25</v>
      </c>
      <c r="E45" s="16" t="n">
        <f aca="false">+D45+F45</f>
        <v>-5.254</v>
      </c>
      <c r="F45" s="16" t="n">
        <f aca="false">RANDBETWEEN(-105,115)/10000</f>
        <v>-0.004</v>
      </c>
      <c r="G45" s="16" t="n">
        <f aca="false">W45+0.25</f>
        <v>2.338</v>
      </c>
      <c r="H45" s="16" t="n">
        <f aca="false">G45+I45</f>
        <v>2.355</v>
      </c>
      <c r="I45" s="16" t="n">
        <f aca="false">RANDBETWEEN(-20,70)/1000</f>
        <v>0.017</v>
      </c>
      <c r="J45" s="16" t="n">
        <f aca="false">X45+0.25</f>
        <v>2.455</v>
      </c>
      <c r="K45" s="16" t="n">
        <f aca="false">J45+L45</f>
        <v>2.507</v>
      </c>
      <c r="L45" s="16" t="n">
        <f aca="false">RANDBETWEEN(-20,70)/1000</f>
        <v>0.052</v>
      </c>
      <c r="M45" s="16" t="n">
        <v>5.25</v>
      </c>
      <c r="N45" s="16" t="n">
        <f aca="false">+M45+O45</f>
        <v>5.2489</v>
      </c>
      <c r="O45" s="16" t="n">
        <f aca="false">RANDBETWEEN(-105,115)/10000</f>
        <v>-0.0011</v>
      </c>
      <c r="P45" s="16" t="n">
        <f aca="false">Y45+0.25</f>
        <v>2.338</v>
      </c>
      <c r="Q45" s="16" t="n">
        <f aca="false">P45+R45</f>
        <v>2.37</v>
      </c>
      <c r="R45" s="16" t="n">
        <f aca="false">RANDBETWEEN(-20,70)/1000</f>
        <v>0.032</v>
      </c>
      <c r="S45" s="17"/>
      <c r="T45" s="18" t="n">
        <v>6.55</v>
      </c>
      <c r="V45" s="19"/>
      <c r="W45" s="19" t="n">
        <f aca="false">'KTHH Lớp 1'!G45</f>
        <v>2.088</v>
      </c>
      <c r="X45" s="19" t="n">
        <f aca="false">'KTHH Lớp 1'!J45</f>
        <v>2.205</v>
      </c>
      <c r="Y45" s="19" t="n">
        <f aca="false">'KTHH Lớp 1'!P45</f>
        <v>2.088</v>
      </c>
    </row>
    <row r="46" s="10" customFormat="true" ht="18" hidden="false" customHeight="true" outlineLevel="0" collapsed="false">
      <c r="A46" s="13" t="n">
        <v>24</v>
      </c>
      <c r="B46" s="82" t="s">
        <v>46</v>
      </c>
      <c r="C46" s="15" t="n">
        <f aca="false">+C45+T45</f>
        <v>568.57</v>
      </c>
      <c r="D46" s="16" t="n">
        <v>-5.25</v>
      </c>
      <c r="E46" s="16" t="n">
        <f aca="false">+D46+F46</f>
        <v>-5.2599</v>
      </c>
      <c r="F46" s="16" t="n">
        <f aca="false">RANDBETWEEN(-105,115)/10000</f>
        <v>-0.0099</v>
      </c>
      <c r="G46" s="16" t="n">
        <f aca="false">W46+0.25</f>
        <v>2.337</v>
      </c>
      <c r="H46" s="16" t="n">
        <f aca="false">G46+I46</f>
        <v>2.401</v>
      </c>
      <c r="I46" s="16" t="n">
        <f aca="false">RANDBETWEEN(-20,70)/1000</f>
        <v>0.064</v>
      </c>
      <c r="J46" s="16" t="n">
        <f aca="false">X46+0.25</f>
        <v>2.454</v>
      </c>
      <c r="K46" s="16" t="n">
        <f aca="false">J46+L46</f>
        <v>2.511</v>
      </c>
      <c r="L46" s="16" t="n">
        <f aca="false">RANDBETWEEN(-20,70)/1000</f>
        <v>0.057</v>
      </c>
      <c r="M46" s="16" t="n">
        <v>5.25</v>
      </c>
      <c r="N46" s="16" t="n">
        <f aca="false">+M46+O46</f>
        <v>5.2481</v>
      </c>
      <c r="O46" s="16" t="n">
        <f aca="false">RANDBETWEEN(-105,115)/10000</f>
        <v>-0.0019</v>
      </c>
      <c r="P46" s="16" t="n">
        <f aca="false">Y46+0.25</f>
        <v>2.337</v>
      </c>
      <c r="Q46" s="16" t="n">
        <f aca="false">P46+R46</f>
        <v>2.345</v>
      </c>
      <c r="R46" s="16" t="n">
        <f aca="false">RANDBETWEEN(-20,70)/1000</f>
        <v>0.008</v>
      </c>
      <c r="S46" s="17"/>
      <c r="T46" s="18" t="n">
        <v>6.55</v>
      </c>
      <c r="V46" s="19"/>
      <c r="W46" s="19" t="n">
        <f aca="false">'KTHH Lớp 1'!G46</f>
        <v>2.087</v>
      </c>
      <c r="X46" s="19" t="n">
        <f aca="false">'KTHH Lớp 1'!J46</f>
        <v>2.204</v>
      </c>
      <c r="Y46" s="19" t="n">
        <f aca="false">'KTHH Lớp 1'!P46</f>
        <v>2.087</v>
      </c>
    </row>
    <row r="47" s="10" customFormat="true" ht="18" hidden="false" customHeight="true" outlineLevel="0" collapsed="false">
      <c r="A47" s="13" t="n">
        <v>25</v>
      </c>
      <c r="B47" s="82" t="s">
        <v>47</v>
      </c>
      <c r="C47" s="15" t="n">
        <f aca="false">+C46+T46</f>
        <v>575.12</v>
      </c>
      <c r="D47" s="16" t="n">
        <v>-5.25</v>
      </c>
      <c r="E47" s="16" t="n">
        <f aca="false">+D47+F47</f>
        <v>-5.2597</v>
      </c>
      <c r="F47" s="16" t="n">
        <f aca="false">RANDBETWEEN(-105,115)/10000</f>
        <v>-0.0097</v>
      </c>
      <c r="G47" s="16" t="n">
        <f aca="false">W47+0.25</f>
        <v>2.335</v>
      </c>
      <c r="H47" s="16" t="n">
        <f aca="false">G47+I47</f>
        <v>2.352</v>
      </c>
      <c r="I47" s="16" t="n">
        <f aca="false">RANDBETWEEN(-20,70)/1000</f>
        <v>0.017</v>
      </c>
      <c r="J47" s="16" t="n">
        <f aca="false">X47+0.25</f>
        <v>2.452</v>
      </c>
      <c r="K47" s="16" t="n">
        <f aca="false">J47+L47</f>
        <v>2.446</v>
      </c>
      <c r="L47" s="16" t="n">
        <f aca="false">RANDBETWEEN(-20,70)/1000</f>
        <v>-0.006</v>
      </c>
      <c r="M47" s="16" t="n">
        <v>5.25</v>
      </c>
      <c r="N47" s="16" t="n">
        <f aca="false">+M47+O47</f>
        <v>5.2486</v>
      </c>
      <c r="O47" s="16" t="n">
        <f aca="false">RANDBETWEEN(-105,115)/10000</f>
        <v>-0.0014</v>
      </c>
      <c r="P47" s="16" t="n">
        <f aca="false">Y47+0.25</f>
        <v>2.335</v>
      </c>
      <c r="Q47" s="16" t="n">
        <f aca="false">P47+R47</f>
        <v>2.361</v>
      </c>
      <c r="R47" s="16" t="n">
        <f aca="false">RANDBETWEEN(-20,70)/1000</f>
        <v>0.026</v>
      </c>
      <c r="S47" s="17"/>
      <c r="T47" s="18" t="n">
        <v>0.04</v>
      </c>
      <c r="V47" s="19"/>
      <c r="W47" s="19" t="n">
        <f aca="false">'KTHH Lớp 1'!G47</f>
        <v>2.085</v>
      </c>
      <c r="X47" s="19" t="n">
        <f aca="false">'KTHH Lớp 1'!J47</f>
        <v>2.202</v>
      </c>
      <c r="Y47" s="19" t="n">
        <f aca="false">'KTHH Lớp 1'!P47</f>
        <v>2.085</v>
      </c>
    </row>
    <row r="48" s="10" customFormat="true" ht="18" hidden="false" customHeight="true" outlineLevel="0" collapsed="false">
      <c r="A48" s="13" t="n">
        <v>26</v>
      </c>
      <c r="B48" s="82" t="s">
        <v>48</v>
      </c>
      <c r="C48" s="15" t="n">
        <f aca="false">+C47+T47</f>
        <v>575.16</v>
      </c>
      <c r="D48" s="16" t="n">
        <v>-5.25</v>
      </c>
      <c r="E48" s="16" t="n">
        <f aca="false">+D48+F48</f>
        <v>-5.2415</v>
      </c>
      <c r="F48" s="16" t="n">
        <f aca="false">RANDBETWEEN(-105,115)/10000</f>
        <v>0.0085</v>
      </c>
      <c r="G48" s="16" t="n">
        <f aca="false">W48+0.25</f>
        <v>2.335</v>
      </c>
      <c r="H48" s="16" t="n">
        <f aca="false">G48+I48</f>
        <v>2.34</v>
      </c>
      <c r="I48" s="16" t="n">
        <f aca="false">RANDBETWEEN(-20,70)/1000</f>
        <v>0.005</v>
      </c>
      <c r="J48" s="16" t="n">
        <f aca="false">X48+0.25</f>
        <v>2.452</v>
      </c>
      <c r="K48" s="16" t="n">
        <f aca="false">J48+L48</f>
        <v>2.467</v>
      </c>
      <c r="L48" s="16" t="n">
        <f aca="false">RANDBETWEEN(-20,70)/1000</f>
        <v>0.015</v>
      </c>
      <c r="M48" s="16" t="n">
        <v>5.25</v>
      </c>
      <c r="N48" s="16" t="n">
        <f aca="false">+M48+O48</f>
        <v>5.2442</v>
      </c>
      <c r="O48" s="16" t="n">
        <f aca="false">RANDBETWEEN(-105,115)/10000</f>
        <v>-0.0058</v>
      </c>
      <c r="P48" s="16" t="n">
        <f aca="false">Y48+0.25</f>
        <v>2.335</v>
      </c>
      <c r="Q48" s="16" t="n">
        <f aca="false">P48+R48</f>
        <v>2.387</v>
      </c>
      <c r="R48" s="16" t="n">
        <f aca="false">RANDBETWEEN(-20,70)/1000</f>
        <v>0.052</v>
      </c>
      <c r="S48" s="17"/>
      <c r="T48" s="18" t="n">
        <v>16.95</v>
      </c>
      <c r="V48" s="19"/>
      <c r="W48" s="19" t="n">
        <f aca="false">'KTHH Lớp 1'!G48</f>
        <v>2.085</v>
      </c>
      <c r="X48" s="19" t="n">
        <f aca="false">'KTHH Lớp 1'!J48</f>
        <v>2.202</v>
      </c>
      <c r="Y48" s="19" t="n">
        <f aca="false">'KTHH Lớp 1'!P48</f>
        <v>2.085</v>
      </c>
    </row>
    <row r="49" s="10" customFormat="true" ht="18" hidden="false" customHeight="true" outlineLevel="0" collapsed="false">
      <c r="A49" s="13" t="n">
        <v>27</v>
      </c>
      <c r="B49" s="82" t="s">
        <v>49</v>
      </c>
      <c r="C49" s="15" t="n">
        <f aca="false">+C48+T48</f>
        <v>592.11</v>
      </c>
      <c r="D49" s="16" t="n">
        <v>-5.25</v>
      </c>
      <c r="E49" s="16" t="n">
        <f aca="false">+D49+F49</f>
        <v>-5.2541</v>
      </c>
      <c r="F49" s="16" t="n">
        <f aca="false">RANDBETWEEN(-105,115)/10000</f>
        <v>-0.0041</v>
      </c>
      <c r="G49" s="16" t="n">
        <f aca="false">W49+0.25</f>
        <v>2.338</v>
      </c>
      <c r="H49" s="16" t="n">
        <f aca="false">G49+I49</f>
        <v>2.333</v>
      </c>
      <c r="I49" s="16" t="n">
        <f aca="false">RANDBETWEEN(-20,70)/1000</f>
        <v>-0.005</v>
      </c>
      <c r="J49" s="16" t="n">
        <f aca="false">X49+0.25</f>
        <v>2.455</v>
      </c>
      <c r="K49" s="16" t="n">
        <f aca="false">J49+L49</f>
        <v>2.495</v>
      </c>
      <c r="L49" s="16" t="n">
        <f aca="false">RANDBETWEEN(-20,70)/1000</f>
        <v>0.04</v>
      </c>
      <c r="M49" s="16" t="n">
        <v>5.25</v>
      </c>
      <c r="N49" s="16" t="n">
        <f aca="false">+M49+O49</f>
        <v>5.2497</v>
      </c>
      <c r="O49" s="16" t="n">
        <f aca="false">RANDBETWEEN(-105,115)/10000</f>
        <v>-0.0003</v>
      </c>
      <c r="P49" s="16" t="n">
        <f aca="false">Y49+0.25</f>
        <v>2.338</v>
      </c>
      <c r="Q49" s="16" t="n">
        <f aca="false">P49+R49</f>
        <v>2.32</v>
      </c>
      <c r="R49" s="16" t="n">
        <f aca="false">RANDBETWEEN(-20,70)/1000</f>
        <v>-0.018</v>
      </c>
      <c r="S49" s="17"/>
      <c r="T49" s="18" t="n">
        <v>17</v>
      </c>
      <c r="V49" s="19"/>
      <c r="W49" s="19" t="n">
        <f aca="false">'KTHH Lớp 1'!G49</f>
        <v>2.088</v>
      </c>
      <c r="X49" s="19" t="n">
        <f aca="false">'KTHH Lớp 1'!J49</f>
        <v>2.205</v>
      </c>
      <c r="Y49" s="19" t="n">
        <f aca="false">'KTHH Lớp 1'!P49</f>
        <v>2.088</v>
      </c>
    </row>
    <row r="50" s="10" customFormat="true" ht="18" hidden="false" customHeight="true" outlineLevel="0" collapsed="false">
      <c r="A50" s="13" t="n">
        <v>28</v>
      </c>
      <c r="B50" s="82" t="s">
        <v>50</v>
      </c>
      <c r="C50" s="15" t="n">
        <f aca="false">+C49+T49</f>
        <v>609.11</v>
      </c>
      <c r="D50" s="16" t="n">
        <v>-5.25</v>
      </c>
      <c r="E50" s="16" t="n">
        <f aca="false">+D50+F50</f>
        <v>-5.2594</v>
      </c>
      <c r="F50" s="16" t="n">
        <f aca="false">RANDBETWEEN(-105,115)/10000</f>
        <v>-0.0094</v>
      </c>
      <c r="G50" s="16" t="n">
        <f aca="false">W50+0.25</f>
        <v>2.341</v>
      </c>
      <c r="H50" s="16" t="n">
        <f aca="false">G50+I50</f>
        <v>2.381</v>
      </c>
      <c r="I50" s="16" t="n">
        <f aca="false">RANDBETWEEN(-20,70)/1000</f>
        <v>0.04</v>
      </c>
      <c r="J50" s="16" t="n">
        <f aca="false">X50+0.25</f>
        <v>2.458</v>
      </c>
      <c r="K50" s="16" t="n">
        <f aca="false">J50+L50</f>
        <v>2.497</v>
      </c>
      <c r="L50" s="16" t="n">
        <f aca="false">RANDBETWEEN(-20,70)/1000</f>
        <v>0.039</v>
      </c>
      <c r="M50" s="16" t="n">
        <v>5.25</v>
      </c>
      <c r="N50" s="16" t="n">
        <f aca="false">+M50+O50</f>
        <v>5.2448</v>
      </c>
      <c r="O50" s="16" t="n">
        <f aca="false">RANDBETWEEN(-105,115)/10000</f>
        <v>-0.0052</v>
      </c>
      <c r="P50" s="16" t="n">
        <f aca="false">Y50+0.25</f>
        <v>2.341</v>
      </c>
      <c r="Q50" s="16" t="n">
        <f aca="false">P50+R50</f>
        <v>2.346</v>
      </c>
      <c r="R50" s="16" t="n">
        <f aca="false">RANDBETWEEN(-20,70)/1000</f>
        <v>0.005</v>
      </c>
      <c r="S50" s="17"/>
      <c r="T50" s="18" t="n">
        <v>11.75</v>
      </c>
      <c r="V50" s="19"/>
      <c r="W50" s="19" t="n">
        <f aca="false">'KTHH Lớp 1'!G50</f>
        <v>2.091</v>
      </c>
      <c r="X50" s="19" t="n">
        <f aca="false">'KTHH Lớp 1'!J50</f>
        <v>2.208</v>
      </c>
      <c r="Y50" s="19" t="n">
        <f aca="false">'KTHH Lớp 1'!P50</f>
        <v>2.091</v>
      </c>
    </row>
    <row r="51" s="10" customFormat="true" ht="18" hidden="false" customHeight="true" outlineLevel="0" collapsed="false">
      <c r="A51" s="13" t="n">
        <v>29</v>
      </c>
      <c r="B51" s="82" t="s">
        <v>51</v>
      </c>
      <c r="C51" s="15" t="n">
        <f aca="false">+C50+T50</f>
        <v>620.86</v>
      </c>
      <c r="D51" s="16" t="n">
        <v>-5.25</v>
      </c>
      <c r="E51" s="16" t="n">
        <f aca="false">+D51+F51</f>
        <v>-5.251</v>
      </c>
      <c r="F51" s="16" t="n">
        <f aca="false">RANDBETWEEN(-105,115)/10000</f>
        <v>-0.001</v>
      </c>
      <c r="G51" s="16" t="n">
        <f aca="false">W51+0.25</f>
        <v>2.342</v>
      </c>
      <c r="H51" s="16" t="n">
        <f aca="false">G51+I51</f>
        <v>2.369</v>
      </c>
      <c r="I51" s="16" t="n">
        <f aca="false">RANDBETWEEN(-20,70)/1000</f>
        <v>0.027</v>
      </c>
      <c r="J51" s="16" t="n">
        <f aca="false">X51+0.25</f>
        <v>2.459</v>
      </c>
      <c r="K51" s="16" t="n">
        <f aca="false">J51+L51</f>
        <v>2.49</v>
      </c>
      <c r="L51" s="16" t="n">
        <f aca="false">RANDBETWEEN(-20,70)/1000</f>
        <v>0.031</v>
      </c>
      <c r="M51" s="16" t="n">
        <v>5.25</v>
      </c>
      <c r="N51" s="16" t="n">
        <f aca="false">+M51+O51</f>
        <v>5.248</v>
      </c>
      <c r="O51" s="16" t="n">
        <f aca="false">RANDBETWEEN(-105,115)/10000</f>
        <v>-0.002</v>
      </c>
      <c r="P51" s="16" t="n">
        <f aca="false">Y51+0.25</f>
        <v>2.342</v>
      </c>
      <c r="Q51" s="16" t="n">
        <f aca="false">P51+R51</f>
        <v>2.38</v>
      </c>
      <c r="R51" s="16" t="n">
        <f aca="false">RANDBETWEEN(-20,70)/1000</f>
        <v>0.038</v>
      </c>
      <c r="S51" s="17"/>
      <c r="T51" s="18" t="n">
        <v>11.75</v>
      </c>
      <c r="V51" s="19"/>
      <c r="W51" s="19" t="n">
        <f aca="false">'KTHH Lớp 1'!G51</f>
        <v>2.092</v>
      </c>
      <c r="X51" s="19" t="n">
        <f aca="false">'KTHH Lớp 1'!J51</f>
        <v>2.209</v>
      </c>
      <c r="Y51" s="19" t="n">
        <f aca="false">'KTHH Lớp 1'!P51</f>
        <v>2.092</v>
      </c>
    </row>
    <row r="52" s="10" customFormat="true" ht="18" hidden="false" customHeight="true" outlineLevel="0" collapsed="false">
      <c r="A52" s="13" t="n">
        <v>30</v>
      </c>
      <c r="B52" s="82" t="s">
        <v>52</v>
      </c>
      <c r="C52" s="15" t="n">
        <f aca="false">+C51+T51</f>
        <v>632.61</v>
      </c>
      <c r="D52" s="16" t="n">
        <v>-5.25</v>
      </c>
      <c r="E52" s="16" t="n">
        <f aca="false">+D52+F52</f>
        <v>-5.2598</v>
      </c>
      <c r="F52" s="16" t="n">
        <f aca="false">RANDBETWEEN(-105,115)/10000</f>
        <v>-0.0098</v>
      </c>
      <c r="G52" s="16" t="n">
        <f aca="false">W52+0.25</f>
        <v>2.344</v>
      </c>
      <c r="H52" s="16" t="n">
        <f aca="false">G52+I52</f>
        <v>2.382</v>
      </c>
      <c r="I52" s="16" t="n">
        <f aca="false">RANDBETWEEN(-20,70)/1000</f>
        <v>0.038</v>
      </c>
      <c r="J52" s="16" t="n">
        <f aca="false">X52+0.25</f>
        <v>2.461</v>
      </c>
      <c r="K52" s="16" t="n">
        <f aca="false">J52+L52</f>
        <v>2.5</v>
      </c>
      <c r="L52" s="16" t="n">
        <f aca="false">RANDBETWEEN(-20,70)/1000</f>
        <v>0.039</v>
      </c>
      <c r="M52" s="16" t="n">
        <v>5.25</v>
      </c>
      <c r="N52" s="16" t="n">
        <f aca="false">+M52+O52</f>
        <v>5.248</v>
      </c>
      <c r="O52" s="16" t="n">
        <f aca="false">RANDBETWEEN(-105,115)/10000</f>
        <v>-0.002</v>
      </c>
      <c r="P52" s="16" t="n">
        <f aca="false">Y52+0.25</f>
        <v>2.344</v>
      </c>
      <c r="Q52" s="16" t="n">
        <f aca="false">P52+R52</f>
        <v>2.391</v>
      </c>
      <c r="R52" s="16" t="n">
        <f aca="false">RANDBETWEEN(-20,70)/1000</f>
        <v>0.047</v>
      </c>
      <c r="S52" s="17"/>
      <c r="T52" s="18" t="n">
        <v>20</v>
      </c>
      <c r="V52" s="19"/>
      <c r="W52" s="19" t="n">
        <f aca="false">'KTHH Lớp 1'!G52</f>
        <v>2.094</v>
      </c>
      <c r="X52" s="19" t="n">
        <f aca="false">'KTHH Lớp 1'!J52</f>
        <v>2.211</v>
      </c>
      <c r="Y52" s="19" t="n">
        <f aca="false">'KTHH Lớp 1'!P52</f>
        <v>2.094</v>
      </c>
    </row>
    <row r="53" s="10" customFormat="true" ht="18" hidden="false" customHeight="true" outlineLevel="0" collapsed="false">
      <c r="A53" s="13" t="n">
        <v>31</v>
      </c>
      <c r="B53" s="82" t="s">
        <v>53</v>
      </c>
      <c r="C53" s="15" t="n">
        <f aca="false">+C52+T52</f>
        <v>652.61</v>
      </c>
      <c r="D53" s="16" t="n">
        <v>-5.25</v>
      </c>
      <c r="E53" s="16" t="n">
        <f aca="false">+D53+F53</f>
        <v>-5.2456</v>
      </c>
      <c r="F53" s="16" t="n">
        <f aca="false">RANDBETWEEN(-105,115)/10000</f>
        <v>0.0044</v>
      </c>
      <c r="G53" s="16" t="n">
        <f aca="false">W53+0.25</f>
        <v>2.346</v>
      </c>
      <c r="H53" s="16" t="n">
        <f aca="false">G53+I53</f>
        <v>2.397</v>
      </c>
      <c r="I53" s="16" t="n">
        <f aca="false">RANDBETWEEN(-20,70)/1000</f>
        <v>0.051</v>
      </c>
      <c r="J53" s="16" t="n">
        <f aca="false">X53+0.25</f>
        <v>2.463</v>
      </c>
      <c r="K53" s="16" t="n">
        <f aca="false">J53+L53</f>
        <v>2.491</v>
      </c>
      <c r="L53" s="16" t="n">
        <f aca="false">RANDBETWEEN(-20,70)/1000</f>
        <v>0.028</v>
      </c>
      <c r="M53" s="16" t="n">
        <v>5.25</v>
      </c>
      <c r="N53" s="16" t="n">
        <f aca="false">+M53+O53</f>
        <v>5.2435</v>
      </c>
      <c r="O53" s="16" t="n">
        <f aca="false">RANDBETWEEN(-105,115)/10000</f>
        <v>-0.0065</v>
      </c>
      <c r="P53" s="16" t="n">
        <f aca="false">Y53+0.25</f>
        <v>2.346</v>
      </c>
      <c r="Q53" s="16" t="n">
        <f aca="false">P53+R53</f>
        <v>2.387</v>
      </c>
      <c r="R53" s="16" t="n">
        <f aca="false">RANDBETWEEN(-20,70)/1000</f>
        <v>0.041</v>
      </c>
      <c r="S53" s="17"/>
      <c r="T53" s="18" t="n">
        <v>20</v>
      </c>
      <c r="V53" s="19"/>
      <c r="W53" s="19" t="n">
        <f aca="false">'KTHH Lớp 1'!G53</f>
        <v>2.096</v>
      </c>
      <c r="X53" s="19" t="n">
        <f aca="false">'KTHH Lớp 1'!J53</f>
        <v>2.213</v>
      </c>
      <c r="Y53" s="19" t="n">
        <f aca="false">'KTHH Lớp 1'!P53</f>
        <v>2.096</v>
      </c>
    </row>
    <row r="54" s="10" customFormat="true" ht="18" hidden="false" customHeight="true" outlineLevel="0" collapsed="false">
      <c r="A54" s="13" t="n">
        <v>32</v>
      </c>
      <c r="B54" s="82" t="s">
        <v>54</v>
      </c>
      <c r="C54" s="15" t="n">
        <f aca="false">+C53+T53</f>
        <v>672.61</v>
      </c>
      <c r="D54" s="16" t="n">
        <v>-5.25</v>
      </c>
      <c r="E54" s="16" t="n">
        <f aca="false">+D54+F54</f>
        <v>-5.2504</v>
      </c>
      <c r="F54" s="16" t="n">
        <f aca="false">RANDBETWEEN(-105,115)/10000</f>
        <v>-0.0004</v>
      </c>
      <c r="G54" s="16" t="n">
        <f aca="false">W54+0.25</f>
        <v>2.347</v>
      </c>
      <c r="H54" s="16" t="n">
        <f aca="false">G54+I54</f>
        <v>2.331</v>
      </c>
      <c r="I54" s="16" t="n">
        <f aca="false">RANDBETWEEN(-20,70)/1000</f>
        <v>-0.016</v>
      </c>
      <c r="J54" s="16" t="n">
        <f aca="false">X54+0.25</f>
        <v>2.464</v>
      </c>
      <c r="K54" s="16" t="n">
        <f aca="false">J54+L54</f>
        <v>2.459</v>
      </c>
      <c r="L54" s="16" t="n">
        <f aca="false">RANDBETWEEN(-20,70)/1000</f>
        <v>-0.005</v>
      </c>
      <c r="M54" s="16" t="n">
        <v>5.25</v>
      </c>
      <c r="N54" s="16" t="n">
        <f aca="false">+M54+O54</f>
        <v>5.24</v>
      </c>
      <c r="O54" s="16" t="n">
        <f aca="false">RANDBETWEEN(-105,115)/10000</f>
        <v>-0.01</v>
      </c>
      <c r="P54" s="16" t="n">
        <f aca="false">Y54+0.25</f>
        <v>2.347</v>
      </c>
      <c r="Q54" s="16" t="n">
        <f aca="false">P54+R54</f>
        <v>2.404</v>
      </c>
      <c r="R54" s="16" t="n">
        <f aca="false">RANDBETWEEN(-20,70)/1000</f>
        <v>0.057</v>
      </c>
      <c r="S54" s="17"/>
      <c r="T54" s="18" t="n">
        <v>20</v>
      </c>
      <c r="V54" s="19"/>
      <c r="W54" s="19" t="n">
        <f aca="false">'KTHH Lớp 1'!G54</f>
        <v>2.097</v>
      </c>
      <c r="X54" s="19" t="n">
        <f aca="false">'KTHH Lớp 1'!J54</f>
        <v>2.214</v>
      </c>
      <c r="Y54" s="19" t="n">
        <f aca="false">'KTHH Lớp 1'!P54</f>
        <v>2.097</v>
      </c>
    </row>
    <row r="55" s="10" customFormat="true" ht="18" hidden="false" customHeight="true" outlineLevel="0" collapsed="false">
      <c r="A55" s="13" t="n">
        <v>33</v>
      </c>
      <c r="B55" s="82" t="s">
        <v>55</v>
      </c>
      <c r="C55" s="15" t="n">
        <f aca="false">+C54+T54</f>
        <v>692.61</v>
      </c>
      <c r="D55" s="16" t="n">
        <v>-5.25</v>
      </c>
      <c r="E55" s="16" t="n">
        <f aca="false">+D55+F55</f>
        <v>-5.241</v>
      </c>
      <c r="F55" s="16" t="n">
        <f aca="false">RANDBETWEEN(-105,115)/10000</f>
        <v>0.009</v>
      </c>
      <c r="G55" s="16" t="n">
        <f aca="false">W55+0.25</f>
        <v>2.349</v>
      </c>
      <c r="H55" s="16" t="n">
        <f aca="false">G55+I55</f>
        <v>2.34</v>
      </c>
      <c r="I55" s="16" t="n">
        <f aca="false">RANDBETWEEN(-20,70)/1000</f>
        <v>-0.009</v>
      </c>
      <c r="J55" s="16" t="n">
        <f aca="false">X55+0.25</f>
        <v>2.466</v>
      </c>
      <c r="K55" s="16" t="n">
        <f aca="false">J55+L55</f>
        <v>2.522</v>
      </c>
      <c r="L55" s="16" t="n">
        <f aca="false">RANDBETWEEN(-20,70)/1000</f>
        <v>0.056</v>
      </c>
      <c r="M55" s="16" t="n">
        <v>5.25</v>
      </c>
      <c r="N55" s="16" t="n">
        <f aca="false">+M55+O55</f>
        <v>5.2527</v>
      </c>
      <c r="O55" s="16" t="n">
        <f aca="false">RANDBETWEEN(-105,115)/10000</f>
        <v>0.0027</v>
      </c>
      <c r="P55" s="16" t="n">
        <f aca="false">Y55+0.25</f>
        <v>2.349</v>
      </c>
      <c r="Q55" s="16" t="n">
        <f aca="false">P55+R55</f>
        <v>2.389</v>
      </c>
      <c r="R55" s="16" t="n">
        <f aca="false">RANDBETWEEN(-20,70)/1000</f>
        <v>0.04</v>
      </c>
      <c r="S55" s="17"/>
      <c r="T55" s="18" t="n">
        <v>20</v>
      </c>
      <c r="V55" s="19"/>
      <c r="W55" s="19" t="n">
        <f aca="false">'KTHH Lớp 1'!G55</f>
        <v>2.099</v>
      </c>
      <c r="X55" s="19" t="n">
        <f aca="false">'KTHH Lớp 1'!J55</f>
        <v>2.216</v>
      </c>
      <c r="Y55" s="19" t="n">
        <f aca="false">'KTHH Lớp 1'!P55</f>
        <v>2.099</v>
      </c>
    </row>
    <row r="56" s="10" customFormat="true" ht="18" hidden="false" customHeight="true" outlineLevel="0" collapsed="false">
      <c r="A56" s="13" t="n">
        <v>34</v>
      </c>
      <c r="B56" s="82" t="s">
        <v>56</v>
      </c>
      <c r="C56" s="15" t="n">
        <f aca="false">+C55+T55</f>
        <v>712.61</v>
      </c>
      <c r="D56" s="16" t="n">
        <v>-5.25</v>
      </c>
      <c r="E56" s="16" t="n">
        <f aca="false">+D56+F56</f>
        <v>-5.2467</v>
      </c>
      <c r="F56" s="16" t="n">
        <f aca="false">RANDBETWEEN(-105,115)/10000</f>
        <v>0.0033</v>
      </c>
      <c r="G56" s="16" t="n">
        <f aca="false">W56+0.25</f>
        <v>2.351</v>
      </c>
      <c r="H56" s="16" t="n">
        <f aca="false">G56+I56</f>
        <v>2.392</v>
      </c>
      <c r="I56" s="16" t="n">
        <f aca="false">RANDBETWEEN(-20,70)/1000</f>
        <v>0.041</v>
      </c>
      <c r="J56" s="16" t="n">
        <f aca="false">X56+0.25</f>
        <v>2.468</v>
      </c>
      <c r="K56" s="16" t="n">
        <f aca="false">J56+L56</f>
        <v>2.486</v>
      </c>
      <c r="L56" s="16" t="n">
        <f aca="false">RANDBETWEEN(-20,70)/1000</f>
        <v>0.018</v>
      </c>
      <c r="M56" s="16" t="n">
        <v>5.25</v>
      </c>
      <c r="N56" s="16" t="n">
        <f aca="false">+M56+O56</f>
        <v>5.2422</v>
      </c>
      <c r="O56" s="16" t="n">
        <f aca="false">RANDBETWEEN(-105,115)/10000</f>
        <v>-0.0078</v>
      </c>
      <c r="P56" s="16" t="n">
        <f aca="false">Y56+0.25</f>
        <v>2.351</v>
      </c>
      <c r="Q56" s="16" t="n">
        <f aca="false">P56+R56</f>
        <v>2.372</v>
      </c>
      <c r="R56" s="16" t="n">
        <f aca="false">RANDBETWEEN(-20,70)/1000</f>
        <v>0.021</v>
      </c>
      <c r="S56" s="17"/>
      <c r="T56" s="18" t="n">
        <v>11.5</v>
      </c>
      <c r="V56" s="19"/>
      <c r="W56" s="19" t="n">
        <f aca="false">'KTHH Lớp 1'!G56</f>
        <v>2.101</v>
      </c>
      <c r="X56" s="19" t="n">
        <f aca="false">'KTHH Lớp 1'!J56</f>
        <v>2.218</v>
      </c>
      <c r="Y56" s="19" t="n">
        <f aca="false">'KTHH Lớp 1'!P56</f>
        <v>2.101</v>
      </c>
    </row>
    <row r="57" s="10" customFormat="true" ht="18" hidden="false" customHeight="true" outlineLevel="0" collapsed="false">
      <c r="A57" s="13" t="n">
        <v>35</v>
      </c>
      <c r="B57" s="82" t="s">
        <v>57</v>
      </c>
      <c r="C57" s="15" t="n">
        <f aca="false">+C56+T56</f>
        <v>724.11</v>
      </c>
      <c r="D57" s="16" t="n">
        <v>-5.25</v>
      </c>
      <c r="E57" s="16" t="n">
        <f aca="false">+D57+F57</f>
        <v>-5.2512</v>
      </c>
      <c r="F57" s="16" t="n">
        <f aca="false">RANDBETWEEN(-105,115)/10000</f>
        <v>-0.0012</v>
      </c>
      <c r="G57" s="16" t="n">
        <f aca="false">W57+0.25</f>
        <v>2.352</v>
      </c>
      <c r="H57" s="16" t="n">
        <f aca="false">G57+I57</f>
        <v>2.338</v>
      </c>
      <c r="I57" s="16" t="n">
        <f aca="false">RANDBETWEEN(-20,70)/1000</f>
        <v>-0.014</v>
      </c>
      <c r="J57" s="16" t="n">
        <f aca="false">X57+0.25</f>
        <v>2.469</v>
      </c>
      <c r="K57" s="16" t="n">
        <f aca="false">J57+L57</f>
        <v>2.48</v>
      </c>
      <c r="L57" s="16" t="n">
        <f aca="false">RANDBETWEEN(-20,70)/1000</f>
        <v>0.011</v>
      </c>
      <c r="M57" s="16" t="n">
        <v>5.25</v>
      </c>
      <c r="N57" s="16" t="n">
        <f aca="false">+M57+O57</f>
        <v>5.2506</v>
      </c>
      <c r="O57" s="16" t="n">
        <f aca="false">RANDBETWEEN(-105,115)/10000</f>
        <v>0.0006</v>
      </c>
      <c r="P57" s="16" t="n">
        <f aca="false">Y57+0.25</f>
        <v>2.352</v>
      </c>
      <c r="Q57" s="16" t="n">
        <f aca="false">P57+R57</f>
        <v>2.338</v>
      </c>
      <c r="R57" s="16" t="n">
        <f aca="false">RANDBETWEEN(-20,70)/1000</f>
        <v>-0.014</v>
      </c>
      <c r="S57" s="17"/>
      <c r="T57" s="18" t="n">
        <v>13.25</v>
      </c>
      <c r="V57" s="19"/>
      <c r="W57" s="19" t="n">
        <f aca="false">'KTHH Lớp 1'!G57</f>
        <v>2.102</v>
      </c>
      <c r="X57" s="19" t="n">
        <f aca="false">'KTHH Lớp 1'!J57</f>
        <v>2.219</v>
      </c>
      <c r="Y57" s="19" t="n">
        <f aca="false">'KTHH Lớp 1'!P57</f>
        <v>2.102</v>
      </c>
    </row>
    <row r="58" s="10" customFormat="true" ht="18" hidden="false" customHeight="true" outlineLevel="0" collapsed="false">
      <c r="A58" s="13" t="n">
        <v>36</v>
      </c>
      <c r="B58" s="82" t="s">
        <v>58</v>
      </c>
      <c r="C58" s="15" t="n">
        <f aca="false">+C57+T57</f>
        <v>737.36</v>
      </c>
      <c r="D58" s="16" t="n">
        <v>-5.25</v>
      </c>
      <c r="E58" s="16" t="n">
        <f aca="false">+D58+F58</f>
        <v>-5.2442</v>
      </c>
      <c r="F58" s="16" t="n">
        <f aca="false">RANDBETWEEN(-105,115)/10000</f>
        <v>0.0058</v>
      </c>
      <c r="G58" s="16" t="n">
        <f aca="false">W58+0.25</f>
        <v>2.356</v>
      </c>
      <c r="H58" s="16" t="n">
        <f aca="false">G58+I58</f>
        <v>2.347</v>
      </c>
      <c r="I58" s="16" t="n">
        <f aca="false">RANDBETWEEN(-20,70)/1000</f>
        <v>-0.009</v>
      </c>
      <c r="J58" s="16" t="n">
        <f aca="false">X58+0.25</f>
        <v>2.473</v>
      </c>
      <c r="K58" s="16" t="n">
        <f aca="false">J58+L58</f>
        <v>2.483</v>
      </c>
      <c r="L58" s="16" t="n">
        <f aca="false">RANDBETWEEN(-20,70)/1000</f>
        <v>0.01</v>
      </c>
      <c r="M58" s="16" t="n">
        <v>5.25</v>
      </c>
      <c r="N58" s="16" t="n">
        <f aca="false">+M58+O58</f>
        <v>5.2462</v>
      </c>
      <c r="O58" s="16" t="n">
        <f aca="false">RANDBETWEEN(-105,115)/10000</f>
        <v>-0.0038</v>
      </c>
      <c r="P58" s="16" t="n">
        <f aca="false">Y58+0.25</f>
        <v>2.356</v>
      </c>
      <c r="Q58" s="16" t="n">
        <f aca="false">P58+R58</f>
        <v>2.391</v>
      </c>
      <c r="R58" s="16" t="n">
        <f aca="false">RANDBETWEEN(-20,70)/1000</f>
        <v>0.035</v>
      </c>
      <c r="S58" s="17"/>
      <c r="T58" s="18"/>
      <c r="V58" s="19"/>
      <c r="W58" s="19" t="n">
        <f aca="false">'KTHH Lớp 1'!G58</f>
        <v>2.106</v>
      </c>
      <c r="X58" s="19" t="n">
        <f aca="false">'KTHH Lớp 1'!J58</f>
        <v>2.223</v>
      </c>
      <c r="Y58" s="19" t="n">
        <f aca="false">'KTHH Lớp 1'!P58</f>
        <v>2.106</v>
      </c>
    </row>
    <row r="59" s="10" customFormat="true" ht="18" hidden="true" customHeight="true" outlineLevel="0" collapsed="false">
      <c r="A59" s="13"/>
      <c r="B59" s="82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T59" s="18"/>
      <c r="V59" s="19"/>
    </row>
    <row r="60" s="10" customFormat="true" ht="18" hidden="true" customHeight="true" outlineLevel="0" collapsed="false">
      <c r="A60" s="13"/>
      <c r="B60" s="82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T60" s="18"/>
      <c r="V60" s="19"/>
    </row>
    <row r="61" s="10" customFormat="true" ht="15.75" hidden="false" customHeight="true" outlineLevel="0" collapsed="false"/>
    <row r="62" s="10" customFormat="true" ht="15.75" hidden="false" customHeight="true" outlineLevel="0" collapsed="false">
      <c r="C62" s="21" t="s">
        <v>59</v>
      </c>
      <c r="D62" s="21"/>
      <c r="E62" s="21"/>
      <c r="F62" s="21"/>
      <c r="G62" s="21"/>
      <c r="H62" s="21"/>
      <c r="I62" s="21"/>
      <c r="K62" s="22"/>
      <c r="L62" s="22"/>
      <c r="M62" s="22"/>
      <c r="N62" s="22"/>
      <c r="O62" s="21" t="s">
        <v>60</v>
      </c>
      <c r="P62" s="21"/>
      <c r="Q62" s="21"/>
      <c r="R62" s="21"/>
    </row>
    <row r="63" s="10" customFormat="true" ht="15.75" hidden="false" customHeight="true" outlineLevel="0" collapsed="false">
      <c r="E63" s="23"/>
      <c r="F63" s="23"/>
      <c r="G63" s="23"/>
      <c r="H63" s="23"/>
      <c r="K63" s="23"/>
      <c r="L63" s="23"/>
      <c r="M63" s="23"/>
      <c r="N63" s="23"/>
      <c r="O63" s="23"/>
      <c r="P63" s="23"/>
      <c r="Q63" s="23"/>
      <c r="R63" s="23"/>
    </row>
    <row r="64" s="10" customFormat="true" ht="15.75" hidden="false" customHeight="true" outlineLevel="0" collapsed="false">
      <c r="E64" s="23"/>
      <c r="F64" s="23"/>
      <c r="G64" s="23"/>
      <c r="H64" s="23"/>
      <c r="K64" s="23"/>
      <c r="L64" s="23"/>
      <c r="M64" s="23"/>
      <c r="N64" s="23"/>
      <c r="O64" s="23"/>
      <c r="P64" s="23"/>
      <c r="Q64" s="23"/>
      <c r="R64" s="23"/>
    </row>
    <row r="65" s="10" customFormat="true" ht="15.75" hidden="false" customHeight="true" outlineLevel="0" collapsed="false">
      <c r="E65" s="23"/>
      <c r="F65" s="23"/>
      <c r="G65" s="23"/>
      <c r="H65" s="23"/>
      <c r="K65" s="23"/>
      <c r="L65" s="23"/>
      <c r="M65" s="23"/>
      <c r="N65" s="23"/>
      <c r="O65" s="23"/>
      <c r="P65" s="23"/>
      <c r="Q65" s="23"/>
      <c r="R65" s="23"/>
    </row>
    <row r="66" s="10" customFormat="true" ht="15.75" hidden="false" customHeight="true" outlineLevel="0" collapsed="false">
      <c r="E66" s="23"/>
      <c r="F66" s="23"/>
      <c r="G66" s="23"/>
      <c r="H66" s="23"/>
      <c r="K66" s="23"/>
      <c r="L66" s="23"/>
      <c r="M66" s="23"/>
      <c r="N66" s="23"/>
      <c r="O66" s="23"/>
      <c r="P66" s="23"/>
      <c r="Q66" s="23"/>
      <c r="R66" s="23"/>
    </row>
    <row r="67" s="10" customFormat="true" ht="15.75" hidden="false" customHeight="true" outlineLevel="0" collapsed="false">
      <c r="C67" s="21" t="s">
        <v>61</v>
      </c>
      <c r="D67" s="21"/>
      <c r="E67" s="21"/>
      <c r="F67" s="21"/>
      <c r="G67" s="21"/>
      <c r="H67" s="21"/>
      <c r="I67" s="21"/>
      <c r="K67" s="22"/>
      <c r="L67" s="22"/>
      <c r="M67" s="22"/>
      <c r="N67" s="22"/>
      <c r="O67" s="21" t="s">
        <v>62</v>
      </c>
      <c r="P67" s="21"/>
      <c r="Q67" s="21"/>
      <c r="R67" s="21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590277777777778" right="0.157638888888889" top="0.579861111111111" bottom="0.479861111111111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Y134"/>
  <sheetViews>
    <sheetView showFormulas="false" showGridLines="true" showRowColHeaders="true" showZeros="true" rightToLeft="false" tabSelected="false" showOutlineSymbols="true" defaultGridColor="true" view="normal" topLeftCell="A10" colorId="64" zoomScale="70" zoomScaleNormal="70" zoomScalePageLayoutView="100" workbookViewId="0">
      <selection pane="topLeft" activeCell="AK50" activeCellId="0" sqref="AK50"/>
    </sheetView>
  </sheetViews>
  <sheetFormatPr defaultColWidth="9.2890625" defaultRowHeight="12.75" zeroHeight="false" outlineLevelRow="0" outlineLevelCol="0"/>
  <cols>
    <col collapsed="false" customWidth="true" hidden="false" outlineLevel="0" max="1" min="1" style="24" width="6.71"/>
    <col collapsed="false" customWidth="true" hidden="false" outlineLevel="0" max="2" min="2" style="24" width="12.29"/>
    <col collapsed="false" customWidth="true" hidden="false" outlineLevel="0" max="3" min="3" style="24" width="19.57"/>
    <col collapsed="false" customWidth="true" hidden="false" outlineLevel="0" max="4" min="4" style="25" width="12.71"/>
    <col collapsed="false" customWidth="true" hidden="true" outlineLevel="0" max="6" min="5" style="25" width="8.42"/>
    <col collapsed="false" customWidth="true" hidden="true" outlineLevel="0" max="7" min="7" style="25" width="11"/>
    <col collapsed="false" customWidth="true" hidden="true" outlineLevel="0" max="12" min="8" style="25" width="8.42"/>
    <col collapsed="false" customWidth="true" hidden="true" outlineLevel="0" max="14" min="13" style="25" width="14.29"/>
    <col collapsed="false" customWidth="true" hidden="false" outlineLevel="0" max="15" min="15" style="25" width="15.42"/>
    <col collapsed="false" customWidth="true" hidden="true" outlineLevel="0" max="22" min="16" style="25" width="14.29"/>
    <col collapsed="false" customWidth="true" hidden="false" outlineLevel="0" max="23" min="23" style="25" width="15.29"/>
    <col collapsed="false" customWidth="true" hidden="true" outlineLevel="0" max="25" min="24" style="25" width="14.29"/>
    <col collapsed="false" customWidth="true" hidden="true" outlineLevel="0" max="27" min="26" style="25" width="12.86"/>
    <col collapsed="false" customWidth="true" hidden="false" outlineLevel="0" max="28" min="28" style="25" width="10.29"/>
    <col collapsed="false" customWidth="false" hidden="true" outlineLevel="0" max="29" min="29" style="25" width="9.29"/>
    <col collapsed="false" customWidth="true" hidden="false" outlineLevel="0" max="30" min="30" style="24" width="3.86"/>
    <col collapsed="false" customWidth="true" hidden="false" outlineLevel="0" max="31" min="31" style="24" width="10"/>
    <col collapsed="false" customWidth="true" hidden="false" outlineLevel="0" max="32" min="32" style="24" width="11.43"/>
    <col collapsed="false" customWidth="true" hidden="false" outlineLevel="0" max="34" min="33" style="24" width="10.57"/>
    <col collapsed="false" customWidth="true" hidden="false" outlineLevel="0" max="35" min="35" style="24" width="11.29"/>
    <col collapsed="false" customWidth="true" hidden="false" outlineLevel="0" max="36" min="36" style="24" width="10.57"/>
    <col collapsed="false" customWidth="true" hidden="false" outlineLevel="0" max="37" min="37" style="24" width="6.43"/>
    <col collapsed="false" customWidth="true" hidden="false" outlineLevel="0" max="38" min="38" style="24" width="10.57"/>
    <col collapsed="false" customWidth="true" hidden="false" outlineLevel="0" max="39" min="39" style="24" width="11.57"/>
    <col collapsed="false" customWidth="false" hidden="false" outlineLevel="0" max="16384" min="40" style="24" width="9.29"/>
  </cols>
  <sheetData>
    <row r="1" s="27" customFormat="true" ht="16.5" hidden="false" customHeight="true" outlineLevel="0" collapsed="false">
      <c r="A1" s="26" t="s">
        <v>63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="27" customFormat="true" ht="16.5" hidden="false" customHeight="true" outlineLevel="0" collapsed="false">
      <c r="A2" s="28" t="s">
        <v>71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="31" customFormat="true" ht="37.5" hidden="false" customHeight="true" outlineLevel="0" collapsed="false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</row>
    <row r="4" s="31" customFormat="true" ht="37.5" hidden="false" customHeight="true" outlineLevel="0" collapsed="false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</row>
    <row r="5" s="31" customFormat="true" ht="16.5" hidden="false" customHeight="true" outlineLevel="0" collapsed="false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</row>
    <row r="6" s="31" customFormat="true" ht="16.5" hidden="false" customHeight="true" outlineLevel="0" collapsed="false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</row>
    <row r="7" s="31" customFormat="true" ht="30.75" hidden="false" customHeight="true" outlineLevel="0" collapsed="false">
      <c r="A7" s="32" t="s">
        <v>6</v>
      </c>
      <c r="B7" s="33"/>
      <c r="D7" s="34" t="s">
        <v>72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</row>
    <row r="8" s="30" customFormat="true" ht="13.5" hidden="false" customHeight="true" outlineLevel="0" collapsed="false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s="46" customFormat="true" ht="22.5" hidden="false" customHeight="true" outlineLevel="0" collapsed="false">
      <c r="A9" s="83" t="s">
        <v>64</v>
      </c>
      <c r="B9" s="83" t="s">
        <v>10</v>
      </c>
      <c r="C9" s="83" t="s">
        <v>11</v>
      </c>
      <c r="D9" s="84" t="s">
        <v>65</v>
      </c>
      <c r="E9" s="85"/>
      <c r="F9" s="85"/>
      <c r="G9" s="84"/>
      <c r="H9" s="85"/>
      <c r="I9" s="85"/>
      <c r="J9" s="85"/>
      <c r="K9" s="85"/>
      <c r="L9" s="85"/>
      <c r="M9" s="86" t="s">
        <v>66</v>
      </c>
      <c r="N9" s="87"/>
      <c r="O9" s="88" t="s">
        <v>67</v>
      </c>
      <c r="P9" s="89"/>
      <c r="Q9" s="89"/>
      <c r="R9" s="89"/>
      <c r="S9" s="89"/>
      <c r="T9" s="89"/>
      <c r="U9" s="89"/>
      <c r="V9" s="89"/>
      <c r="W9" s="88" t="s">
        <v>68</v>
      </c>
      <c r="X9" s="87"/>
      <c r="Y9" s="90"/>
      <c r="Z9" s="91"/>
      <c r="AA9" s="91"/>
      <c r="AB9" s="84" t="s">
        <v>15</v>
      </c>
      <c r="AC9" s="45"/>
    </row>
    <row r="10" s="50" customFormat="true" ht="22.5" hidden="false" customHeight="true" outlineLevel="0" collapsed="false">
      <c r="A10" s="83"/>
      <c r="B10" s="83"/>
      <c r="C10" s="83"/>
      <c r="D10" s="83"/>
      <c r="E10" s="88"/>
      <c r="F10" s="88"/>
      <c r="G10" s="88"/>
      <c r="H10" s="88"/>
      <c r="I10" s="88"/>
      <c r="J10" s="88"/>
      <c r="K10" s="88"/>
      <c r="L10" s="88"/>
      <c r="M10" s="88"/>
      <c r="N10" s="88" t="s">
        <v>67</v>
      </c>
      <c r="O10" s="88"/>
      <c r="P10" s="88" t="s">
        <v>67</v>
      </c>
      <c r="Q10" s="88" t="s">
        <v>67</v>
      </c>
      <c r="R10" s="88"/>
      <c r="S10" s="88"/>
      <c r="T10" s="88"/>
      <c r="U10" s="88" t="s">
        <v>68</v>
      </c>
      <c r="V10" s="88" t="s">
        <v>68</v>
      </c>
      <c r="W10" s="88"/>
      <c r="X10" s="88" t="s">
        <v>68</v>
      </c>
      <c r="Y10" s="88" t="s">
        <v>68</v>
      </c>
      <c r="Z10" s="92"/>
      <c r="AA10" s="92"/>
      <c r="AB10" s="84"/>
      <c r="AC10" s="48"/>
      <c r="AD10" s="49"/>
      <c r="AE10" s="49"/>
    </row>
    <row r="11" s="50" customFormat="true" ht="15" hidden="false" customHeight="true" outlineLevel="0" collapsed="false">
      <c r="A11" s="93" t="n">
        <v>1</v>
      </c>
      <c r="B11" s="93" t="str">
        <f aca="false">'KTHH Lớp 2'!B23</f>
        <v>B4</v>
      </c>
      <c r="C11" s="94" t="n">
        <f aca="false">'KTHH Lớp 2'!C23</f>
        <v>211</v>
      </c>
      <c r="D11" s="93" t="n">
        <f aca="false">'KTHH Lớp 2'!T23</f>
        <v>13.25</v>
      </c>
      <c r="E11" s="95"/>
      <c r="F11" s="95"/>
      <c r="G11" s="95"/>
      <c r="H11" s="95"/>
      <c r="I11" s="95"/>
      <c r="J11" s="95"/>
      <c r="K11" s="96"/>
      <c r="L11" s="97"/>
      <c r="M11" s="98"/>
      <c r="N11" s="99"/>
      <c r="O11" s="96" t="n">
        <f aca="false">10.5*0.25</f>
        <v>2.625</v>
      </c>
      <c r="P11" s="96"/>
      <c r="Q11" s="96"/>
      <c r="R11" s="56"/>
      <c r="S11" s="56"/>
      <c r="T11" s="56"/>
      <c r="U11" s="56"/>
      <c r="V11" s="56"/>
      <c r="W11" s="56" t="n">
        <f aca="false">(O11+O12)*D11/2</f>
        <v>34.78125</v>
      </c>
      <c r="X11" s="56"/>
      <c r="Y11" s="56"/>
      <c r="Z11" s="56"/>
      <c r="AA11" s="56"/>
      <c r="AB11" s="100"/>
      <c r="AC11" s="56"/>
      <c r="AE11" s="73"/>
    </row>
    <row r="12" s="50" customFormat="true" ht="15" hidden="false" customHeight="true" outlineLevel="0" collapsed="false">
      <c r="A12" s="93" t="n">
        <v>2</v>
      </c>
      <c r="B12" s="93" t="str">
        <f aca="false">'KTHH Lớp 2'!B24</f>
        <v>12</v>
      </c>
      <c r="C12" s="94" t="n">
        <f aca="false">'KTHH Lớp 2'!C24</f>
        <v>224.25</v>
      </c>
      <c r="D12" s="93" t="n">
        <f aca="false">'KTHH Lớp 2'!T24</f>
        <v>21.5</v>
      </c>
      <c r="E12" s="95"/>
      <c r="F12" s="95"/>
      <c r="G12" s="95"/>
      <c r="H12" s="95"/>
      <c r="I12" s="95"/>
      <c r="J12" s="95"/>
      <c r="K12" s="96"/>
      <c r="L12" s="97"/>
      <c r="M12" s="98"/>
      <c r="N12" s="99"/>
      <c r="O12" s="96" t="n">
        <f aca="false">10.5*0.25</f>
        <v>2.625</v>
      </c>
      <c r="P12" s="96"/>
      <c r="Q12" s="96"/>
      <c r="R12" s="56"/>
      <c r="S12" s="56"/>
      <c r="T12" s="56"/>
      <c r="U12" s="56"/>
      <c r="V12" s="56"/>
      <c r="W12" s="56" t="n">
        <f aca="false">(O12+O13)*D12/2</f>
        <v>56.4375</v>
      </c>
      <c r="X12" s="56"/>
      <c r="Y12" s="56"/>
      <c r="Z12" s="56"/>
      <c r="AA12" s="56"/>
      <c r="AB12" s="100"/>
      <c r="AC12" s="56"/>
      <c r="AE12" s="73"/>
    </row>
    <row r="13" s="50" customFormat="true" ht="15" hidden="false" customHeight="true" outlineLevel="0" collapsed="false">
      <c r="A13" s="93" t="n">
        <v>3</v>
      </c>
      <c r="B13" s="93" t="str">
        <f aca="false">'KTHH Lớp 2'!B25</f>
        <v>13</v>
      </c>
      <c r="C13" s="94" t="n">
        <f aca="false">'KTHH Lớp 2'!C25</f>
        <v>245.75</v>
      </c>
      <c r="D13" s="93" t="n">
        <f aca="false">'KTHH Lớp 2'!T25</f>
        <v>11.75</v>
      </c>
      <c r="E13" s="95"/>
      <c r="F13" s="95"/>
      <c r="G13" s="95"/>
      <c r="H13" s="95"/>
      <c r="I13" s="95"/>
      <c r="J13" s="95"/>
      <c r="K13" s="96"/>
      <c r="L13" s="97"/>
      <c r="M13" s="98"/>
      <c r="N13" s="99"/>
      <c r="O13" s="96" t="n">
        <f aca="false">10.5*0.25</f>
        <v>2.625</v>
      </c>
      <c r="P13" s="96"/>
      <c r="Q13" s="96"/>
      <c r="R13" s="56"/>
      <c r="S13" s="56"/>
      <c r="T13" s="56"/>
      <c r="U13" s="56"/>
      <c r="V13" s="56"/>
      <c r="W13" s="56" t="n">
        <f aca="false">(O13+O14)*D13/2</f>
        <v>30.84375</v>
      </c>
      <c r="X13" s="56"/>
      <c r="Y13" s="56"/>
      <c r="Z13" s="56"/>
      <c r="AA13" s="56"/>
      <c r="AB13" s="100"/>
      <c r="AC13" s="56"/>
      <c r="AE13" s="73"/>
    </row>
    <row r="14" s="50" customFormat="true" ht="15" hidden="false" customHeight="true" outlineLevel="0" collapsed="false">
      <c r="A14" s="93" t="n">
        <v>4</v>
      </c>
      <c r="B14" s="93" t="str">
        <f aca="false">'KTHH Lớp 2'!B26</f>
        <v>B5</v>
      </c>
      <c r="C14" s="94" t="n">
        <f aca="false">'KTHH Lớp 2'!C26</f>
        <v>257.5</v>
      </c>
      <c r="D14" s="93" t="n">
        <f aca="false">'KTHH Lớp 2'!T26</f>
        <v>11.75</v>
      </c>
      <c r="E14" s="95"/>
      <c r="F14" s="95"/>
      <c r="G14" s="95"/>
      <c r="H14" s="95"/>
      <c r="I14" s="95"/>
      <c r="J14" s="95"/>
      <c r="K14" s="96"/>
      <c r="L14" s="97"/>
      <c r="M14" s="98"/>
      <c r="N14" s="99"/>
      <c r="O14" s="96" t="n">
        <f aca="false">10.5*0.25</f>
        <v>2.625</v>
      </c>
      <c r="P14" s="96"/>
      <c r="Q14" s="96"/>
      <c r="R14" s="56"/>
      <c r="S14" s="56"/>
      <c r="T14" s="56"/>
      <c r="U14" s="56"/>
      <c r="V14" s="56"/>
      <c r="W14" s="56" t="n">
        <f aca="false">(O14+O15)*D14/2</f>
        <v>30.84375</v>
      </c>
      <c r="X14" s="56"/>
      <c r="Y14" s="56"/>
      <c r="Z14" s="56"/>
      <c r="AA14" s="56"/>
      <c r="AB14" s="100"/>
      <c r="AC14" s="56"/>
      <c r="AE14" s="73"/>
    </row>
    <row r="15" s="50" customFormat="true" ht="15" hidden="false" customHeight="true" outlineLevel="0" collapsed="false">
      <c r="A15" s="93" t="n">
        <v>5</v>
      </c>
      <c r="B15" s="93" t="str">
        <f aca="false">'KTHH Lớp 2'!B27</f>
        <v>14</v>
      </c>
      <c r="C15" s="94" t="n">
        <f aca="false">'KTHH Lớp 2'!C27</f>
        <v>269.25</v>
      </c>
      <c r="D15" s="93" t="n">
        <f aca="false">'KTHH Lớp 2'!T27</f>
        <v>20</v>
      </c>
      <c r="E15" s="95"/>
      <c r="F15" s="95"/>
      <c r="G15" s="95"/>
      <c r="H15" s="95"/>
      <c r="I15" s="95"/>
      <c r="J15" s="95"/>
      <c r="K15" s="96"/>
      <c r="L15" s="97"/>
      <c r="M15" s="98"/>
      <c r="N15" s="99"/>
      <c r="O15" s="96" t="n">
        <f aca="false">10.5*0.25</f>
        <v>2.625</v>
      </c>
      <c r="P15" s="96"/>
      <c r="Q15" s="96"/>
      <c r="R15" s="56"/>
      <c r="S15" s="56"/>
      <c r="T15" s="56"/>
      <c r="U15" s="56"/>
      <c r="V15" s="56"/>
      <c r="W15" s="56" t="n">
        <f aca="false">(O15+O16)*D15/2</f>
        <v>52.5</v>
      </c>
      <c r="X15" s="56"/>
      <c r="Y15" s="56"/>
      <c r="Z15" s="56"/>
      <c r="AA15" s="56"/>
      <c r="AB15" s="100"/>
      <c r="AC15" s="56"/>
      <c r="AE15" s="73"/>
    </row>
    <row r="16" s="50" customFormat="true" ht="15" hidden="false" customHeight="true" outlineLevel="0" collapsed="false">
      <c r="A16" s="93" t="n">
        <v>6</v>
      </c>
      <c r="B16" s="93" t="str">
        <f aca="false">'KTHH Lớp 2'!B28</f>
        <v>15</v>
      </c>
      <c r="C16" s="94" t="n">
        <f aca="false">'KTHH Lớp 2'!C28</f>
        <v>289.25</v>
      </c>
      <c r="D16" s="93" t="n">
        <f aca="false">'KTHH Lớp 2'!T28</f>
        <v>20</v>
      </c>
      <c r="E16" s="95"/>
      <c r="F16" s="95"/>
      <c r="G16" s="95"/>
      <c r="H16" s="95"/>
      <c r="I16" s="95"/>
      <c r="J16" s="95"/>
      <c r="K16" s="96"/>
      <c r="L16" s="97"/>
      <c r="M16" s="98"/>
      <c r="N16" s="99"/>
      <c r="O16" s="96" t="n">
        <f aca="false">10.5*0.25</f>
        <v>2.625</v>
      </c>
      <c r="P16" s="96"/>
      <c r="Q16" s="96"/>
      <c r="R16" s="56"/>
      <c r="S16" s="56"/>
      <c r="T16" s="56"/>
      <c r="U16" s="56"/>
      <c r="V16" s="56"/>
      <c r="W16" s="56" t="n">
        <f aca="false">(O16+O17)*D16/2</f>
        <v>52.5</v>
      </c>
      <c r="X16" s="56"/>
      <c r="Y16" s="56"/>
      <c r="Z16" s="56"/>
      <c r="AA16" s="56"/>
      <c r="AB16" s="100"/>
      <c r="AC16" s="56"/>
      <c r="AE16" s="73"/>
    </row>
    <row r="17" s="50" customFormat="true" ht="15" hidden="false" customHeight="true" outlineLevel="0" collapsed="false">
      <c r="A17" s="93" t="n">
        <v>7</v>
      </c>
      <c r="B17" s="93" t="str">
        <f aca="false">'KTHH Lớp 2'!B29</f>
        <v>16</v>
      </c>
      <c r="C17" s="94" t="n">
        <f aca="false">'KTHH Lớp 2'!C29</f>
        <v>309.25</v>
      </c>
      <c r="D17" s="93" t="n">
        <f aca="false">'KTHH Lớp 2'!T29</f>
        <v>20</v>
      </c>
      <c r="E17" s="95"/>
      <c r="F17" s="95"/>
      <c r="G17" s="95"/>
      <c r="H17" s="95"/>
      <c r="I17" s="95"/>
      <c r="J17" s="95"/>
      <c r="K17" s="96"/>
      <c r="L17" s="97"/>
      <c r="M17" s="98"/>
      <c r="N17" s="99"/>
      <c r="O17" s="96" t="n">
        <f aca="false">10.5*0.25</f>
        <v>2.625</v>
      </c>
      <c r="P17" s="96"/>
      <c r="Q17" s="96"/>
      <c r="R17" s="56"/>
      <c r="S17" s="56"/>
      <c r="T17" s="56"/>
      <c r="U17" s="56"/>
      <c r="V17" s="56"/>
      <c r="W17" s="56" t="n">
        <f aca="false">(O17+O18)*D17/2</f>
        <v>52.5</v>
      </c>
      <c r="X17" s="56"/>
      <c r="Y17" s="56"/>
      <c r="Z17" s="56"/>
      <c r="AA17" s="56"/>
      <c r="AB17" s="100"/>
      <c r="AC17" s="56"/>
      <c r="AE17" s="73"/>
    </row>
    <row r="18" s="50" customFormat="true" ht="15" hidden="false" customHeight="true" outlineLevel="0" collapsed="false">
      <c r="A18" s="93" t="n">
        <v>8</v>
      </c>
      <c r="B18" s="93" t="str">
        <f aca="false">'KTHH Lớp 2'!B30</f>
        <v>17</v>
      </c>
      <c r="C18" s="94" t="n">
        <f aca="false">'KTHH Lớp 2'!C30</f>
        <v>329.25</v>
      </c>
      <c r="D18" s="93" t="n">
        <f aca="false">'KTHH Lớp 2'!T30</f>
        <v>20</v>
      </c>
      <c r="E18" s="95"/>
      <c r="F18" s="95"/>
      <c r="G18" s="95"/>
      <c r="H18" s="95"/>
      <c r="I18" s="95"/>
      <c r="J18" s="95"/>
      <c r="K18" s="96"/>
      <c r="L18" s="97"/>
      <c r="M18" s="98"/>
      <c r="N18" s="99"/>
      <c r="O18" s="96" t="n">
        <f aca="false">10.5*0.25</f>
        <v>2.625</v>
      </c>
      <c r="P18" s="96"/>
      <c r="Q18" s="96"/>
      <c r="R18" s="56"/>
      <c r="S18" s="56"/>
      <c r="T18" s="56"/>
      <c r="U18" s="56"/>
      <c r="V18" s="56"/>
      <c r="W18" s="56" t="n">
        <f aca="false">(O18+O19)*D18/2</f>
        <v>52.5</v>
      </c>
      <c r="X18" s="56"/>
      <c r="Y18" s="56"/>
      <c r="Z18" s="56"/>
      <c r="AA18" s="56"/>
      <c r="AB18" s="100"/>
      <c r="AC18" s="56"/>
      <c r="AE18" s="73"/>
    </row>
    <row r="19" s="50" customFormat="true" ht="15" hidden="false" customHeight="true" outlineLevel="0" collapsed="false">
      <c r="A19" s="93" t="n">
        <v>9</v>
      </c>
      <c r="B19" s="93" t="str">
        <f aca="false">'KTHH Lớp 2'!B31</f>
        <v>18</v>
      </c>
      <c r="C19" s="94" t="n">
        <f aca="false">'KTHH Lớp 2'!C31</f>
        <v>349.25</v>
      </c>
      <c r="D19" s="93" t="n">
        <f aca="false">'KTHH Lớp 2'!T31</f>
        <v>19</v>
      </c>
      <c r="E19" s="95"/>
      <c r="F19" s="95"/>
      <c r="G19" s="95"/>
      <c r="H19" s="95"/>
      <c r="I19" s="95"/>
      <c r="J19" s="95"/>
      <c r="K19" s="96"/>
      <c r="L19" s="97"/>
      <c r="M19" s="98"/>
      <c r="N19" s="99"/>
      <c r="O19" s="96" t="n">
        <f aca="false">10.5*0.25</f>
        <v>2.625</v>
      </c>
      <c r="P19" s="96"/>
      <c r="Q19" s="96"/>
      <c r="R19" s="56"/>
      <c r="S19" s="56"/>
      <c r="T19" s="56"/>
      <c r="U19" s="56"/>
      <c r="V19" s="56"/>
      <c r="W19" s="56" t="n">
        <f aca="false">(O19+O20)*D19/2</f>
        <v>49.875</v>
      </c>
      <c r="X19" s="56"/>
      <c r="Y19" s="56"/>
      <c r="Z19" s="56"/>
      <c r="AA19" s="56"/>
      <c r="AB19" s="100"/>
      <c r="AC19" s="56"/>
      <c r="AE19" s="73"/>
    </row>
    <row r="20" s="50" customFormat="true" ht="15" hidden="false" customHeight="true" outlineLevel="0" collapsed="false">
      <c r="A20" s="93" t="n">
        <v>10</v>
      </c>
      <c r="B20" s="93" t="str">
        <f aca="false">'KTHH Lớp 2'!B32</f>
        <v>19</v>
      </c>
      <c r="C20" s="94" t="n">
        <f aca="false">'KTHH Lớp 2'!C32</f>
        <v>368.25</v>
      </c>
      <c r="D20" s="93" t="n">
        <f aca="false">'KTHH Lớp 2'!T32</f>
        <v>13.25</v>
      </c>
      <c r="E20" s="95"/>
      <c r="F20" s="95"/>
      <c r="G20" s="95"/>
      <c r="H20" s="95"/>
      <c r="I20" s="95"/>
      <c r="J20" s="95"/>
      <c r="K20" s="96"/>
      <c r="L20" s="97"/>
      <c r="M20" s="98"/>
      <c r="N20" s="99"/>
      <c r="O20" s="96" t="n">
        <f aca="false">10.5*0.25</f>
        <v>2.625</v>
      </c>
      <c r="P20" s="96"/>
      <c r="Q20" s="96"/>
      <c r="R20" s="56"/>
      <c r="S20" s="56"/>
      <c r="T20" s="56"/>
      <c r="U20" s="56"/>
      <c r="V20" s="56"/>
      <c r="W20" s="56" t="n">
        <f aca="false">(O20+O21)*D20/2</f>
        <v>34.78125</v>
      </c>
      <c r="X20" s="56"/>
      <c r="Y20" s="56"/>
      <c r="Z20" s="56"/>
      <c r="AA20" s="56"/>
      <c r="AB20" s="100"/>
      <c r="AC20" s="56"/>
      <c r="AE20" s="73"/>
    </row>
    <row r="21" s="50" customFormat="true" ht="15" hidden="false" customHeight="true" outlineLevel="0" collapsed="false">
      <c r="A21" s="93" t="n">
        <v>11</v>
      </c>
      <c r="B21" s="93" t="str">
        <f aca="false">'KTHH Lớp 2'!B33</f>
        <v>C2</v>
      </c>
      <c r="C21" s="94" t="n">
        <f aca="false">'KTHH Lớp 2'!C33</f>
        <v>381.5</v>
      </c>
      <c r="D21" s="93" t="n">
        <f aca="false">'KTHH Lớp 2'!T33</f>
        <v>13.25</v>
      </c>
      <c r="E21" s="95"/>
      <c r="F21" s="95"/>
      <c r="G21" s="95"/>
      <c r="H21" s="95"/>
      <c r="I21" s="95"/>
      <c r="J21" s="95"/>
      <c r="K21" s="96"/>
      <c r="L21" s="97"/>
      <c r="M21" s="98"/>
      <c r="N21" s="99"/>
      <c r="O21" s="96" t="n">
        <f aca="false">10.5*0.25</f>
        <v>2.625</v>
      </c>
      <c r="P21" s="96"/>
      <c r="Q21" s="96"/>
      <c r="R21" s="56"/>
      <c r="S21" s="56"/>
      <c r="T21" s="56"/>
      <c r="U21" s="56"/>
      <c r="V21" s="56"/>
      <c r="W21" s="56" t="n">
        <f aca="false">(O21+O22)*D21/2</f>
        <v>34.78125</v>
      </c>
      <c r="X21" s="56"/>
      <c r="Y21" s="56"/>
      <c r="Z21" s="56"/>
      <c r="AA21" s="56"/>
      <c r="AB21" s="100"/>
      <c r="AC21" s="56"/>
      <c r="AE21" s="73"/>
    </row>
    <row r="22" s="50" customFormat="true" ht="15" hidden="false" customHeight="true" outlineLevel="0" collapsed="false">
      <c r="A22" s="93" t="n">
        <v>12</v>
      </c>
      <c r="B22" s="93" t="str">
        <f aca="false">'KTHH Lớp 2'!B34</f>
        <v>20</v>
      </c>
      <c r="C22" s="94" t="n">
        <f aca="false">'KTHH Lớp 2'!C34</f>
        <v>394.75</v>
      </c>
      <c r="D22" s="93" t="n">
        <f aca="false">'KTHH Lớp 2'!T34</f>
        <v>20</v>
      </c>
      <c r="E22" s="95"/>
      <c r="F22" s="95"/>
      <c r="G22" s="95"/>
      <c r="H22" s="95"/>
      <c r="I22" s="95"/>
      <c r="J22" s="95"/>
      <c r="K22" s="96"/>
      <c r="L22" s="97"/>
      <c r="M22" s="98"/>
      <c r="N22" s="99"/>
      <c r="O22" s="96" t="n">
        <f aca="false">10.5*0.25</f>
        <v>2.625</v>
      </c>
      <c r="P22" s="96"/>
      <c r="Q22" s="96"/>
      <c r="R22" s="56"/>
      <c r="S22" s="56"/>
      <c r="T22" s="56"/>
      <c r="U22" s="56"/>
      <c r="V22" s="56"/>
      <c r="W22" s="56" t="n">
        <f aca="false">(O22+O23)*D22/2</f>
        <v>52.5</v>
      </c>
      <c r="X22" s="56"/>
      <c r="Y22" s="56"/>
      <c r="Z22" s="56"/>
      <c r="AA22" s="56"/>
      <c r="AB22" s="100"/>
      <c r="AC22" s="56"/>
      <c r="AE22" s="73"/>
    </row>
    <row r="23" s="50" customFormat="true" ht="15" hidden="false" customHeight="true" outlineLevel="0" collapsed="false">
      <c r="A23" s="93" t="n">
        <v>13</v>
      </c>
      <c r="B23" s="93" t="str">
        <f aca="false">'KTHH Lớp 2'!B35</f>
        <v>21</v>
      </c>
      <c r="C23" s="94" t="n">
        <f aca="false">'KTHH Lớp 2'!C35</f>
        <v>414.75</v>
      </c>
      <c r="D23" s="93" t="n">
        <f aca="false">'KTHH Lớp 2'!T35</f>
        <v>20</v>
      </c>
      <c r="E23" s="95"/>
      <c r="F23" s="95"/>
      <c r="G23" s="95"/>
      <c r="H23" s="95"/>
      <c r="I23" s="95"/>
      <c r="J23" s="95"/>
      <c r="K23" s="96"/>
      <c r="L23" s="97"/>
      <c r="M23" s="98"/>
      <c r="N23" s="99"/>
      <c r="O23" s="96" t="n">
        <f aca="false">10.5*0.25</f>
        <v>2.625</v>
      </c>
      <c r="P23" s="96"/>
      <c r="Q23" s="96"/>
      <c r="R23" s="56"/>
      <c r="S23" s="56"/>
      <c r="T23" s="56"/>
      <c r="U23" s="56"/>
      <c r="V23" s="56"/>
      <c r="W23" s="56" t="n">
        <f aca="false">(O23+O24)*D23/2</f>
        <v>52.5</v>
      </c>
      <c r="X23" s="56"/>
      <c r="Y23" s="56"/>
      <c r="Z23" s="56"/>
      <c r="AA23" s="56"/>
      <c r="AB23" s="100"/>
      <c r="AC23" s="56"/>
      <c r="AE23" s="73"/>
    </row>
    <row r="24" s="50" customFormat="true" ht="15" hidden="false" customHeight="true" outlineLevel="0" collapsed="false">
      <c r="A24" s="93" t="n">
        <v>14</v>
      </c>
      <c r="B24" s="93" t="str">
        <f aca="false">'KTHH Lớp 2'!B36</f>
        <v>22</v>
      </c>
      <c r="C24" s="94" t="n">
        <f aca="false">'KTHH Lớp 2'!C36</f>
        <v>434.75</v>
      </c>
      <c r="D24" s="93" t="n">
        <f aca="false">'KTHH Lớp 2'!T36</f>
        <v>20</v>
      </c>
      <c r="E24" s="95"/>
      <c r="F24" s="95"/>
      <c r="G24" s="95"/>
      <c r="H24" s="95"/>
      <c r="I24" s="95"/>
      <c r="J24" s="95"/>
      <c r="K24" s="96"/>
      <c r="L24" s="97"/>
      <c r="M24" s="98"/>
      <c r="N24" s="99"/>
      <c r="O24" s="96" t="n">
        <f aca="false">10.5*0.25</f>
        <v>2.625</v>
      </c>
      <c r="P24" s="96"/>
      <c r="Q24" s="96"/>
      <c r="R24" s="56"/>
      <c r="S24" s="56"/>
      <c r="T24" s="56"/>
      <c r="U24" s="56"/>
      <c r="V24" s="56"/>
      <c r="W24" s="56" t="n">
        <f aca="false">(O24+O25)*D24/2</f>
        <v>52.5</v>
      </c>
      <c r="X24" s="56"/>
      <c r="Y24" s="56"/>
      <c r="Z24" s="56"/>
      <c r="AA24" s="56"/>
      <c r="AB24" s="100"/>
      <c r="AC24" s="56"/>
      <c r="AE24" s="73"/>
    </row>
    <row r="25" s="50" customFormat="true" ht="15" hidden="false" customHeight="true" outlineLevel="0" collapsed="false">
      <c r="A25" s="93" t="n">
        <v>15</v>
      </c>
      <c r="B25" s="93" t="str">
        <f aca="false">'KTHH Lớp 2'!B37</f>
        <v>23</v>
      </c>
      <c r="C25" s="94" t="n">
        <f aca="false">'KTHH Lớp 2'!C37</f>
        <v>454.75</v>
      </c>
      <c r="D25" s="93" t="n">
        <f aca="false">'KTHH Lớp 2'!T37</f>
        <v>20</v>
      </c>
      <c r="E25" s="95"/>
      <c r="F25" s="95"/>
      <c r="G25" s="95"/>
      <c r="H25" s="95"/>
      <c r="I25" s="95"/>
      <c r="J25" s="95"/>
      <c r="K25" s="96"/>
      <c r="L25" s="97"/>
      <c r="M25" s="98"/>
      <c r="N25" s="99"/>
      <c r="O25" s="96" t="n">
        <f aca="false">10.5*0.25</f>
        <v>2.625</v>
      </c>
      <c r="P25" s="96"/>
      <c r="Q25" s="96"/>
      <c r="R25" s="56"/>
      <c r="S25" s="56"/>
      <c r="T25" s="56"/>
      <c r="U25" s="56"/>
      <c r="V25" s="56"/>
      <c r="W25" s="56" t="n">
        <f aca="false">(O25+O26)*D25/2</f>
        <v>52.5</v>
      </c>
      <c r="X25" s="56"/>
      <c r="Y25" s="56"/>
      <c r="Z25" s="56"/>
      <c r="AA25" s="56"/>
      <c r="AB25" s="100"/>
      <c r="AC25" s="56"/>
      <c r="AE25" s="73"/>
    </row>
    <row r="26" s="50" customFormat="true" ht="15" hidden="false" customHeight="true" outlineLevel="0" collapsed="false">
      <c r="A26" s="93" t="n">
        <v>16</v>
      </c>
      <c r="B26" s="93" t="str">
        <f aca="false">'KTHH Lớp 2'!B38</f>
        <v>24</v>
      </c>
      <c r="C26" s="94" t="n">
        <f aca="false">'KTHH Lớp 2'!C38</f>
        <v>474.75</v>
      </c>
      <c r="D26" s="93" t="n">
        <f aca="false">'KTHH Lớp 2'!T38</f>
        <v>14.44</v>
      </c>
      <c r="E26" s="95"/>
      <c r="F26" s="95"/>
      <c r="G26" s="95"/>
      <c r="H26" s="95"/>
      <c r="I26" s="95"/>
      <c r="J26" s="95"/>
      <c r="K26" s="96"/>
      <c r="L26" s="97"/>
      <c r="M26" s="98"/>
      <c r="N26" s="99"/>
      <c r="O26" s="96" t="n">
        <f aca="false">10.5*0.25</f>
        <v>2.625</v>
      </c>
      <c r="P26" s="96"/>
      <c r="Q26" s="96"/>
      <c r="R26" s="56"/>
      <c r="S26" s="56"/>
      <c r="T26" s="56"/>
      <c r="U26" s="56"/>
      <c r="V26" s="56"/>
      <c r="W26" s="56" t="n">
        <f aca="false">(O26+O27)*D26/2</f>
        <v>37.905</v>
      </c>
      <c r="X26" s="56"/>
      <c r="Y26" s="56"/>
      <c r="Z26" s="56"/>
      <c r="AA26" s="56"/>
      <c r="AB26" s="100"/>
      <c r="AC26" s="56"/>
      <c r="AE26" s="73"/>
    </row>
    <row r="27" s="50" customFormat="true" ht="15" hidden="false" customHeight="true" outlineLevel="0" collapsed="false">
      <c r="A27" s="93" t="n">
        <v>17</v>
      </c>
      <c r="B27" s="93" t="str">
        <f aca="false">'KTHH Lớp 2'!B39</f>
        <v>25</v>
      </c>
      <c r="C27" s="94" t="n">
        <f aca="false">'KTHH Lớp 2'!C39</f>
        <v>489.19</v>
      </c>
      <c r="D27" s="93" t="n">
        <f aca="false">'KTHH Lớp 2'!T39</f>
        <v>13.17</v>
      </c>
      <c r="E27" s="95"/>
      <c r="F27" s="95"/>
      <c r="G27" s="95"/>
      <c r="H27" s="95"/>
      <c r="I27" s="95"/>
      <c r="J27" s="95"/>
      <c r="K27" s="96"/>
      <c r="L27" s="97"/>
      <c r="M27" s="98"/>
      <c r="N27" s="99"/>
      <c r="O27" s="96" t="n">
        <f aca="false">10.5*0.25</f>
        <v>2.625</v>
      </c>
      <c r="P27" s="96"/>
      <c r="Q27" s="96"/>
      <c r="R27" s="56"/>
      <c r="S27" s="56"/>
      <c r="T27" s="56"/>
      <c r="U27" s="56"/>
      <c r="V27" s="56"/>
      <c r="W27" s="56" t="n">
        <f aca="false">(O27+O28)*D27/2</f>
        <v>34.57125</v>
      </c>
      <c r="X27" s="56"/>
      <c r="Y27" s="56"/>
      <c r="Z27" s="56"/>
      <c r="AA27" s="56"/>
      <c r="AB27" s="100"/>
      <c r="AC27" s="56"/>
      <c r="AE27" s="73"/>
    </row>
    <row r="28" s="50" customFormat="true" ht="15" hidden="false" customHeight="true" outlineLevel="0" collapsed="false">
      <c r="A28" s="93" t="n">
        <v>18</v>
      </c>
      <c r="B28" s="93" t="str">
        <f aca="false">'KTHH Lớp 2'!B40</f>
        <v>D1</v>
      </c>
      <c r="C28" s="94" t="n">
        <f aca="false">'KTHH Lớp 2'!C40</f>
        <v>502.36</v>
      </c>
      <c r="D28" s="93" t="n">
        <f aca="false">'KTHH Lớp 2'!T40</f>
        <v>10.48</v>
      </c>
      <c r="E28" s="95"/>
      <c r="F28" s="95"/>
      <c r="G28" s="95"/>
      <c r="H28" s="95"/>
      <c r="I28" s="95"/>
      <c r="J28" s="95"/>
      <c r="K28" s="96"/>
      <c r="L28" s="97"/>
      <c r="M28" s="98"/>
      <c r="N28" s="99"/>
      <c r="O28" s="96" t="n">
        <f aca="false">10.5*0.25</f>
        <v>2.625</v>
      </c>
      <c r="P28" s="96"/>
      <c r="Q28" s="96"/>
      <c r="R28" s="56"/>
      <c r="S28" s="56"/>
      <c r="T28" s="56"/>
      <c r="U28" s="56"/>
      <c r="V28" s="56"/>
      <c r="W28" s="56" t="n">
        <f aca="false">(O28+O29)*D28/2</f>
        <v>27.51</v>
      </c>
      <c r="X28" s="56"/>
      <c r="Y28" s="56"/>
      <c r="Z28" s="56"/>
      <c r="AA28" s="56"/>
      <c r="AB28" s="100"/>
      <c r="AC28" s="56"/>
      <c r="AE28" s="73"/>
    </row>
    <row r="29" s="50" customFormat="true" ht="15" hidden="false" customHeight="true" outlineLevel="0" collapsed="false">
      <c r="A29" s="93" t="n">
        <v>19</v>
      </c>
      <c r="B29" s="93" t="str">
        <f aca="false">'KTHH Lớp 2'!B41</f>
        <v>26</v>
      </c>
      <c r="C29" s="94" t="n">
        <f aca="false">'KTHH Lớp 2'!C41</f>
        <v>512.84</v>
      </c>
      <c r="D29" s="93" t="n">
        <f aca="false">'KTHH Lớp 2'!T41</f>
        <v>16.78</v>
      </c>
      <c r="E29" s="95"/>
      <c r="F29" s="95"/>
      <c r="G29" s="95"/>
      <c r="H29" s="95"/>
      <c r="I29" s="95"/>
      <c r="J29" s="95"/>
      <c r="K29" s="96"/>
      <c r="L29" s="97"/>
      <c r="M29" s="98"/>
      <c r="N29" s="99"/>
      <c r="O29" s="96" t="n">
        <f aca="false">10.5*0.25</f>
        <v>2.625</v>
      </c>
      <c r="P29" s="96"/>
      <c r="Q29" s="96"/>
      <c r="R29" s="56"/>
      <c r="S29" s="56"/>
      <c r="T29" s="56"/>
      <c r="U29" s="56"/>
      <c r="V29" s="56"/>
      <c r="W29" s="56" t="n">
        <f aca="false">(O29+O30)*D29/2</f>
        <v>44.0475</v>
      </c>
      <c r="X29" s="56"/>
      <c r="Y29" s="56"/>
      <c r="Z29" s="56"/>
      <c r="AA29" s="56"/>
      <c r="AB29" s="100"/>
      <c r="AC29" s="56"/>
      <c r="AE29" s="73"/>
    </row>
    <row r="30" s="50" customFormat="true" ht="15" hidden="false" customHeight="true" outlineLevel="0" collapsed="false">
      <c r="A30" s="93" t="n">
        <v>20</v>
      </c>
      <c r="B30" s="93" t="str">
        <f aca="false">'KTHH Lớp 2'!B42</f>
        <v>27</v>
      </c>
      <c r="C30" s="94" t="n">
        <f aca="false">'KTHH Lớp 2'!C42</f>
        <v>529.62</v>
      </c>
      <c r="D30" s="93" t="n">
        <f aca="false">'KTHH Lớp 2'!T42</f>
        <v>17.1</v>
      </c>
      <c r="E30" s="95"/>
      <c r="F30" s="95"/>
      <c r="G30" s="95"/>
      <c r="H30" s="95"/>
      <c r="I30" s="95"/>
      <c r="J30" s="95"/>
      <c r="K30" s="96"/>
      <c r="L30" s="97"/>
      <c r="M30" s="98"/>
      <c r="N30" s="99"/>
      <c r="O30" s="96" t="n">
        <f aca="false">10.5*0.25</f>
        <v>2.625</v>
      </c>
      <c r="P30" s="96"/>
      <c r="Q30" s="96"/>
      <c r="R30" s="56"/>
      <c r="S30" s="56"/>
      <c r="T30" s="56"/>
      <c r="U30" s="56"/>
      <c r="V30" s="56"/>
      <c r="W30" s="56" t="n">
        <f aca="false">(O30+O31)*D30/2</f>
        <v>44.8875</v>
      </c>
      <c r="X30" s="56"/>
      <c r="Y30" s="56"/>
      <c r="Z30" s="56"/>
      <c r="AA30" s="56"/>
      <c r="AB30" s="100"/>
      <c r="AC30" s="56"/>
      <c r="AE30" s="73"/>
    </row>
    <row r="31" s="50" customFormat="true" ht="15" hidden="false" customHeight="true" outlineLevel="0" collapsed="false">
      <c r="A31" s="93" t="n">
        <v>21</v>
      </c>
      <c r="B31" s="93" t="str">
        <f aca="false">'KTHH Lớp 2'!B43</f>
        <v>28</v>
      </c>
      <c r="C31" s="94" t="n">
        <f aca="false">'KTHH Lớp 2'!C43</f>
        <v>546.72</v>
      </c>
      <c r="D31" s="93" t="n">
        <f aca="false">'KTHH Lớp 2'!T43</f>
        <v>15.15</v>
      </c>
      <c r="E31" s="95"/>
      <c r="F31" s="95"/>
      <c r="G31" s="95"/>
      <c r="H31" s="95"/>
      <c r="I31" s="95"/>
      <c r="J31" s="95"/>
      <c r="K31" s="96"/>
      <c r="L31" s="97"/>
      <c r="M31" s="98"/>
      <c r="N31" s="99"/>
      <c r="O31" s="96" t="n">
        <f aca="false">10.5*0.25</f>
        <v>2.625</v>
      </c>
      <c r="P31" s="96"/>
      <c r="Q31" s="96"/>
      <c r="R31" s="56"/>
      <c r="S31" s="56"/>
      <c r="T31" s="56"/>
      <c r="U31" s="56"/>
      <c r="V31" s="56"/>
      <c r="W31" s="56" t="n">
        <f aca="false">(O31+O32)*D31/2</f>
        <v>39.76875</v>
      </c>
      <c r="X31" s="56"/>
      <c r="Y31" s="56"/>
      <c r="Z31" s="56"/>
      <c r="AA31" s="56"/>
      <c r="AB31" s="100"/>
      <c r="AC31" s="56"/>
      <c r="AE31" s="73"/>
    </row>
    <row r="32" s="50" customFormat="true" ht="15" hidden="false" customHeight="true" outlineLevel="0" collapsed="false">
      <c r="A32" s="93" t="n">
        <v>22</v>
      </c>
      <c r="B32" s="93" t="str">
        <f aca="false">'KTHH Lớp 2'!B44</f>
        <v>E5</v>
      </c>
      <c r="C32" s="94" t="n">
        <f aca="false">'KTHH Lớp 2'!C44</f>
        <v>561.87</v>
      </c>
      <c r="D32" s="93" t="n">
        <f aca="false">'KTHH Lớp 2'!T44</f>
        <v>0.15</v>
      </c>
      <c r="E32" s="95"/>
      <c r="F32" s="95"/>
      <c r="G32" s="95"/>
      <c r="H32" s="95"/>
      <c r="I32" s="95"/>
      <c r="J32" s="95"/>
      <c r="K32" s="96"/>
      <c r="L32" s="97"/>
      <c r="M32" s="98"/>
      <c r="N32" s="99"/>
      <c r="O32" s="96" t="n">
        <f aca="false">10.5*0.25</f>
        <v>2.625</v>
      </c>
      <c r="P32" s="96"/>
      <c r="Q32" s="96"/>
      <c r="R32" s="56"/>
      <c r="S32" s="56"/>
      <c r="T32" s="56"/>
      <c r="U32" s="56"/>
      <c r="V32" s="56"/>
      <c r="W32" s="56" t="n">
        <f aca="false">(O32+O33)*D32/2</f>
        <v>0.39375</v>
      </c>
      <c r="X32" s="56"/>
      <c r="Y32" s="56"/>
      <c r="Z32" s="56"/>
      <c r="AA32" s="56"/>
      <c r="AB32" s="100"/>
      <c r="AC32" s="56"/>
      <c r="AE32" s="73"/>
    </row>
    <row r="33" s="50" customFormat="true" ht="15" hidden="false" customHeight="true" outlineLevel="0" collapsed="false">
      <c r="A33" s="93" t="n">
        <v>23</v>
      </c>
      <c r="B33" s="93" t="str">
        <f aca="false">'KTHH Lớp 2'!B45</f>
        <v>TD</v>
      </c>
      <c r="C33" s="94" t="n">
        <f aca="false">'KTHH Lớp 2'!C45</f>
        <v>562.02</v>
      </c>
      <c r="D33" s="93" t="n">
        <f aca="false">'KTHH Lớp 2'!T45</f>
        <v>6.55</v>
      </c>
      <c r="E33" s="95"/>
      <c r="F33" s="95"/>
      <c r="G33" s="95"/>
      <c r="H33" s="95"/>
      <c r="I33" s="95"/>
      <c r="J33" s="95"/>
      <c r="K33" s="96"/>
      <c r="L33" s="97"/>
      <c r="M33" s="98"/>
      <c r="N33" s="99"/>
      <c r="O33" s="96" t="n">
        <f aca="false">10.5*0.25</f>
        <v>2.625</v>
      </c>
      <c r="P33" s="96"/>
      <c r="Q33" s="96"/>
      <c r="R33" s="56"/>
      <c r="S33" s="56"/>
      <c r="T33" s="56"/>
      <c r="U33" s="56"/>
      <c r="V33" s="56"/>
      <c r="W33" s="56" t="n">
        <f aca="false">(O33+O34)*D33/2</f>
        <v>17.19375</v>
      </c>
      <c r="X33" s="56"/>
      <c r="Y33" s="56"/>
      <c r="Z33" s="56"/>
      <c r="AA33" s="56"/>
      <c r="AB33" s="100"/>
      <c r="AC33" s="56"/>
      <c r="AE33" s="73"/>
    </row>
    <row r="34" s="50" customFormat="true" ht="15" hidden="false" customHeight="true" outlineLevel="0" collapsed="false">
      <c r="A34" s="93" t="n">
        <v>24</v>
      </c>
      <c r="B34" s="93" t="str">
        <f aca="false">'KTHH Lớp 2'!B46</f>
        <v>P</v>
      </c>
      <c r="C34" s="94" t="n">
        <f aca="false">'KTHH Lớp 2'!C46</f>
        <v>568.57</v>
      </c>
      <c r="D34" s="93" t="n">
        <f aca="false">'KTHH Lớp 2'!T46</f>
        <v>6.55</v>
      </c>
      <c r="E34" s="95"/>
      <c r="F34" s="95"/>
      <c r="G34" s="95"/>
      <c r="H34" s="95"/>
      <c r="I34" s="95"/>
      <c r="J34" s="95"/>
      <c r="K34" s="96"/>
      <c r="L34" s="97"/>
      <c r="M34" s="98"/>
      <c r="N34" s="99"/>
      <c r="O34" s="96" t="n">
        <f aca="false">10.5*0.25</f>
        <v>2.625</v>
      </c>
      <c r="P34" s="96"/>
      <c r="Q34" s="96"/>
      <c r="R34" s="56"/>
      <c r="S34" s="56"/>
      <c r="T34" s="56"/>
      <c r="U34" s="56"/>
      <c r="V34" s="56"/>
      <c r="W34" s="56" t="n">
        <f aca="false">(O34+O35)*D34/2</f>
        <v>17.19375</v>
      </c>
      <c r="X34" s="56"/>
      <c r="Y34" s="56"/>
      <c r="Z34" s="56"/>
      <c r="AA34" s="56"/>
      <c r="AB34" s="100"/>
      <c r="AC34" s="56"/>
      <c r="AE34" s="73"/>
    </row>
    <row r="35" s="50" customFormat="true" ht="15" hidden="false" customHeight="true" outlineLevel="0" collapsed="false">
      <c r="A35" s="93" t="n">
        <v>25</v>
      </c>
      <c r="B35" s="93" t="str">
        <f aca="false">'KTHH Lớp 2'!B47</f>
        <v>TC</v>
      </c>
      <c r="C35" s="94" t="n">
        <f aca="false">'KTHH Lớp 2'!C47</f>
        <v>575.12</v>
      </c>
      <c r="D35" s="93" t="n">
        <f aca="false">'KTHH Lớp 2'!T47</f>
        <v>0.04</v>
      </c>
      <c r="E35" s="95"/>
      <c r="F35" s="95"/>
      <c r="G35" s="95"/>
      <c r="H35" s="95"/>
      <c r="I35" s="95"/>
      <c r="J35" s="95"/>
      <c r="K35" s="96"/>
      <c r="L35" s="97"/>
      <c r="M35" s="98"/>
      <c r="N35" s="99"/>
      <c r="O35" s="96" t="n">
        <f aca="false">10.5*0.25</f>
        <v>2.625</v>
      </c>
      <c r="P35" s="96"/>
      <c r="Q35" s="96"/>
      <c r="R35" s="56"/>
      <c r="S35" s="56"/>
      <c r="T35" s="56"/>
      <c r="U35" s="56"/>
      <c r="V35" s="56"/>
      <c r="W35" s="56" t="n">
        <f aca="false">(O35+O36)*D35/2</f>
        <v>0.105</v>
      </c>
      <c r="X35" s="56"/>
      <c r="Y35" s="56"/>
      <c r="Z35" s="56"/>
      <c r="AA35" s="56"/>
      <c r="AB35" s="100"/>
      <c r="AC35" s="56"/>
      <c r="AE35" s="73"/>
    </row>
    <row r="36" s="50" customFormat="true" ht="15" hidden="false" customHeight="true" outlineLevel="0" collapsed="false">
      <c r="A36" s="93" t="n">
        <v>26</v>
      </c>
      <c r="B36" s="93" t="str">
        <f aca="false">'KTHH Lớp 2'!B48</f>
        <v>29</v>
      </c>
      <c r="C36" s="94" t="n">
        <f aca="false">'KTHH Lớp 2'!C48</f>
        <v>575.16</v>
      </c>
      <c r="D36" s="93" t="n">
        <f aca="false">'KTHH Lớp 2'!T48</f>
        <v>16.95</v>
      </c>
      <c r="E36" s="95"/>
      <c r="F36" s="95"/>
      <c r="G36" s="95"/>
      <c r="H36" s="95"/>
      <c r="I36" s="95"/>
      <c r="J36" s="95"/>
      <c r="K36" s="96"/>
      <c r="L36" s="97"/>
      <c r="M36" s="98"/>
      <c r="N36" s="99"/>
      <c r="O36" s="96" t="n">
        <f aca="false">10.5*0.25</f>
        <v>2.625</v>
      </c>
      <c r="P36" s="96"/>
      <c r="Q36" s="96"/>
      <c r="R36" s="56"/>
      <c r="S36" s="56"/>
      <c r="T36" s="56"/>
      <c r="U36" s="56"/>
      <c r="V36" s="56"/>
      <c r="W36" s="56" t="n">
        <f aca="false">(O36+O37)*D36/2</f>
        <v>44.49375</v>
      </c>
      <c r="X36" s="56"/>
      <c r="Y36" s="56"/>
      <c r="Z36" s="56"/>
      <c r="AA36" s="56"/>
      <c r="AB36" s="100"/>
      <c r="AC36" s="56"/>
      <c r="AE36" s="73"/>
    </row>
    <row r="37" s="50" customFormat="true" ht="15" hidden="false" customHeight="true" outlineLevel="0" collapsed="false">
      <c r="A37" s="93" t="n">
        <v>27</v>
      </c>
      <c r="B37" s="93" t="str">
        <f aca="false">'KTHH Lớp 2'!B49</f>
        <v>30</v>
      </c>
      <c r="C37" s="94" t="n">
        <f aca="false">'KTHH Lớp 2'!C49</f>
        <v>592.11</v>
      </c>
      <c r="D37" s="93" t="n">
        <f aca="false">'KTHH Lớp 2'!T49</f>
        <v>17</v>
      </c>
      <c r="E37" s="95"/>
      <c r="F37" s="95"/>
      <c r="G37" s="95"/>
      <c r="H37" s="95"/>
      <c r="I37" s="95"/>
      <c r="J37" s="95"/>
      <c r="K37" s="96"/>
      <c r="L37" s="97"/>
      <c r="M37" s="98"/>
      <c r="N37" s="99"/>
      <c r="O37" s="96" t="n">
        <f aca="false">10.5*0.25</f>
        <v>2.625</v>
      </c>
      <c r="P37" s="96"/>
      <c r="Q37" s="96"/>
      <c r="R37" s="56"/>
      <c r="S37" s="56"/>
      <c r="T37" s="56"/>
      <c r="U37" s="56"/>
      <c r="V37" s="56"/>
      <c r="W37" s="56" t="n">
        <f aca="false">(O37+O38)*D37/2</f>
        <v>44.625</v>
      </c>
      <c r="X37" s="56"/>
      <c r="Y37" s="56"/>
      <c r="Z37" s="56"/>
      <c r="AA37" s="56"/>
      <c r="AB37" s="100"/>
      <c r="AC37" s="56"/>
      <c r="AE37" s="73"/>
    </row>
    <row r="38" s="50" customFormat="true" ht="15" hidden="false" customHeight="true" outlineLevel="0" collapsed="false">
      <c r="A38" s="93" t="n">
        <v>28</v>
      </c>
      <c r="B38" s="93" t="str">
        <f aca="false">'KTHH Lớp 2'!B50</f>
        <v>31</v>
      </c>
      <c r="C38" s="94" t="n">
        <f aca="false">'KTHH Lớp 2'!C50</f>
        <v>609.11</v>
      </c>
      <c r="D38" s="93" t="n">
        <f aca="false">'KTHH Lớp 2'!T50</f>
        <v>11.75</v>
      </c>
      <c r="E38" s="95"/>
      <c r="F38" s="95"/>
      <c r="G38" s="95"/>
      <c r="H38" s="95"/>
      <c r="I38" s="95"/>
      <c r="J38" s="95"/>
      <c r="K38" s="96"/>
      <c r="L38" s="97"/>
      <c r="M38" s="98"/>
      <c r="N38" s="99"/>
      <c r="O38" s="96" t="n">
        <f aca="false">10.5*0.25</f>
        <v>2.625</v>
      </c>
      <c r="P38" s="96"/>
      <c r="Q38" s="96"/>
      <c r="R38" s="56"/>
      <c r="S38" s="56"/>
      <c r="T38" s="56"/>
      <c r="U38" s="56"/>
      <c r="V38" s="56"/>
      <c r="W38" s="56" t="n">
        <f aca="false">(O38+O39)*D38/2</f>
        <v>30.84375</v>
      </c>
      <c r="X38" s="56"/>
      <c r="Y38" s="56"/>
      <c r="Z38" s="56"/>
      <c r="AA38" s="56"/>
      <c r="AB38" s="100"/>
      <c r="AC38" s="56"/>
      <c r="AE38" s="73"/>
    </row>
    <row r="39" s="50" customFormat="true" ht="15" hidden="false" customHeight="true" outlineLevel="0" collapsed="false">
      <c r="A39" s="93" t="n">
        <v>29</v>
      </c>
      <c r="B39" s="93" t="str">
        <f aca="false">'KTHH Lớp 2'!B51</f>
        <v>E10</v>
      </c>
      <c r="C39" s="94" t="n">
        <f aca="false">'KTHH Lớp 2'!C51</f>
        <v>620.86</v>
      </c>
      <c r="D39" s="93" t="n">
        <f aca="false">'KTHH Lớp 2'!T51</f>
        <v>11.75</v>
      </c>
      <c r="E39" s="95"/>
      <c r="F39" s="95"/>
      <c r="G39" s="95"/>
      <c r="H39" s="95"/>
      <c r="I39" s="95"/>
      <c r="J39" s="95"/>
      <c r="K39" s="96"/>
      <c r="L39" s="97"/>
      <c r="M39" s="98"/>
      <c r="N39" s="99"/>
      <c r="O39" s="96" t="n">
        <f aca="false">10.5*0.25</f>
        <v>2.625</v>
      </c>
      <c r="P39" s="96"/>
      <c r="Q39" s="96"/>
      <c r="R39" s="56"/>
      <c r="S39" s="56"/>
      <c r="T39" s="56"/>
      <c r="U39" s="56"/>
      <c r="V39" s="56"/>
      <c r="W39" s="56" t="n">
        <f aca="false">(O39+O40)*D39/2</f>
        <v>30.84375</v>
      </c>
      <c r="X39" s="56"/>
      <c r="Y39" s="56"/>
      <c r="Z39" s="56"/>
      <c r="AA39" s="56"/>
      <c r="AB39" s="100"/>
      <c r="AC39" s="56"/>
      <c r="AE39" s="73"/>
    </row>
    <row r="40" s="50" customFormat="true" ht="15" hidden="false" customHeight="true" outlineLevel="0" collapsed="false">
      <c r="A40" s="93" t="n">
        <v>30</v>
      </c>
      <c r="B40" s="93" t="str">
        <f aca="false">'KTHH Lớp 2'!B52</f>
        <v>32</v>
      </c>
      <c r="C40" s="94" t="n">
        <f aca="false">'KTHH Lớp 2'!C52</f>
        <v>632.61</v>
      </c>
      <c r="D40" s="93" t="n">
        <f aca="false">'KTHH Lớp 2'!T52</f>
        <v>20</v>
      </c>
      <c r="E40" s="95"/>
      <c r="F40" s="95"/>
      <c r="G40" s="95"/>
      <c r="H40" s="95"/>
      <c r="I40" s="95"/>
      <c r="J40" s="95"/>
      <c r="K40" s="96"/>
      <c r="L40" s="97"/>
      <c r="M40" s="98"/>
      <c r="N40" s="99"/>
      <c r="O40" s="96" t="n">
        <f aca="false">10.5*0.25</f>
        <v>2.625</v>
      </c>
      <c r="P40" s="96"/>
      <c r="Q40" s="96"/>
      <c r="R40" s="56"/>
      <c r="S40" s="56"/>
      <c r="T40" s="56"/>
      <c r="U40" s="56"/>
      <c r="V40" s="56"/>
      <c r="W40" s="56" t="n">
        <f aca="false">(O40+O41)*D40/2</f>
        <v>52.5</v>
      </c>
      <c r="X40" s="56"/>
      <c r="Y40" s="56"/>
      <c r="Z40" s="56"/>
      <c r="AA40" s="56"/>
      <c r="AB40" s="100"/>
      <c r="AC40" s="56"/>
      <c r="AE40" s="73"/>
    </row>
    <row r="41" s="50" customFormat="true" ht="15" hidden="false" customHeight="true" outlineLevel="0" collapsed="false">
      <c r="A41" s="93" t="n">
        <v>31</v>
      </c>
      <c r="B41" s="93" t="str">
        <f aca="false">'KTHH Lớp 2'!B53</f>
        <v>33</v>
      </c>
      <c r="C41" s="94" t="n">
        <f aca="false">'KTHH Lớp 2'!C53</f>
        <v>652.61</v>
      </c>
      <c r="D41" s="93" t="n">
        <f aca="false">'KTHH Lớp 2'!T53</f>
        <v>20</v>
      </c>
      <c r="E41" s="95"/>
      <c r="F41" s="95"/>
      <c r="G41" s="95"/>
      <c r="H41" s="95"/>
      <c r="I41" s="95"/>
      <c r="J41" s="95"/>
      <c r="K41" s="96"/>
      <c r="L41" s="97"/>
      <c r="M41" s="98"/>
      <c r="N41" s="99"/>
      <c r="O41" s="96" t="n">
        <f aca="false">10.5*0.25</f>
        <v>2.625</v>
      </c>
      <c r="P41" s="96"/>
      <c r="Q41" s="96"/>
      <c r="R41" s="56"/>
      <c r="S41" s="56"/>
      <c r="T41" s="56"/>
      <c r="U41" s="56"/>
      <c r="V41" s="56"/>
      <c r="W41" s="56" t="n">
        <f aca="false">(O41+O42)*D41/2</f>
        <v>52.5</v>
      </c>
      <c r="X41" s="56"/>
      <c r="Y41" s="56"/>
      <c r="Z41" s="56"/>
      <c r="AA41" s="56"/>
      <c r="AB41" s="100"/>
      <c r="AC41" s="56"/>
      <c r="AE41" s="73"/>
    </row>
    <row r="42" s="50" customFormat="true" ht="15" hidden="false" customHeight="true" outlineLevel="0" collapsed="false">
      <c r="A42" s="93" t="n">
        <v>32</v>
      </c>
      <c r="B42" s="93" t="str">
        <f aca="false">'KTHH Lớp 2'!B54</f>
        <v>34</v>
      </c>
      <c r="C42" s="94" t="n">
        <f aca="false">'KTHH Lớp 2'!C54</f>
        <v>672.61</v>
      </c>
      <c r="D42" s="93" t="n">
        <f aca="false">'KTHH Lớp 2'!T54</f>
        <v>20</v>
      </c>
      <c r="E42" s="95"/>
      <c r="F42" s="95"/>
      <c r="G42" s="95"/>
      <c r="H42" s="95"/>
      <c r="I42" s="95"/>
      <c r="J42" s="95"/>
      <c r="K42" s="96"/>
      <c r="L42" s="97"/>
      <c r="M42" s="98"/>
      <c r="N42" s="99"/>
      <c r="O42" s="96" t="n">
        <f aca="false">10.5*0.25</f>
        <v>2.625</v>
      </c>
      <c r="P42" s="96"/>
      <c r="Q42" s="96"/>
      <c r="R42" s="56"/>
      <c r="S42" s="56"/>
      <c r="T42" s="56"/>
      <c r="U42" s="56"/>
      <c r="V42" s="56"/>
      <c r="W42" s="56" t="n">
        <f aca="false">(O42+O43)*D42/2</f>
        <v>52.5</v>
      </c>
      <c r="X42" s="56"/>
      <c r="Y42" s="56"/>
      <c r="Z42" s="56"/>
      <c r="AA42" s="56"/>
      <c r="AB42" s="100"/>
      <c r="AC42" s="56"/>
      <c r="AE42" s="73"/>
    </row>
    <row r="43" s="50" customFormat="true" ht="15" hidden="false" customHeight="true" outlineLevel="0" collapsed="false">
      <c r="A43" s="93" t="n">
        <v>33</v>
      </c>
      <c r="B43" s="93" t="str">
        <f aca="false">'KTHH Lớp 2'!B55</f>
        <v>35</v>
      </c>
      <c r="C43" s="94" t="n">
        <f aca="false">'KTHH Lớp 2'!C55</f>
        <v>692.61</v>
      </c>
      <c r="D43" s="93" t="n">
        <f aca="false">'KTHH Lớp 2'!T55</f>
        <v>20</v>
      </c>
      <c r="E43" s="95"/>
      <c r="F43" s="95"/>
      <c r="G43" s="95"/>
      <c r="H43" s="95"/>
      <c r="I43" s="95"/>
      <c r="J43" s="95"/>
      <c r="K43" s="96"/>
      <c r="L43" s="97"/>
      <c r="M43" s="98"/>
      <c r="N43" s="99"/>
      <c r="O43" s="96" t="n">
        <f aca="false">10.5*0.25</f>
        <v>2.625</v>
      </c>
      <c r="P43" s="96"/>
      <c r="Q43" s="96"/>
      <c r="R43" s="56"/>
      <c r="S43" s="56"/>
      <c r="T43" s="56"/>
      <c r="U43" s="56"/>
      <c r="V43" s="56"/>
      <c r="W43" s="56" t="n">
        <f aca="false">(O43+O44)*D43/2</f>
        <v>52.5</v>
      </c>
      <c r="X43" s="56"/>
      <c r="Y43" s="56"/>
      <c r="Z43" s="56"/>
      <c r="AA43" s="56"/>
      <c r="AB43" s="100"/>
      <c r="AC43" s="56"/>
      <c r="AE43" s="73"/>
    </row>
    <row r="44" s="50" customFormat="true" ht="15" hidden="false" customHeight="true" outlineLevel="0" collapsed="false">
      <c r="A44" s="93" t="n">
        <v>34</v>
      </c>
      <c r="B44" s="93" t="str">
        <f aca="false">'KTHH Lớp 2'!B56</f>
        <v>36</v>
      </c>
      <c r="C44" s="94" t="n">
        <f aca="false">'KTHH Lớp 2'!C56</f>
        <v>712.61</v>
      </c>
      <c r="D44" s="93" t="n">
        <f aca="false">'KTHH Lớp 2'!T56</f>
        <v>11.5</v>
      </c>
      <c r="E44" s="95"/>
      <c r="F44" s="95"/>
      <c r="G44" s="95"/>
      <c r="H44" s="95"/>
      <c r="I44" s="95"/>
      <c r="J44" s="95"/>
      <c r="K44" s="96"/>
      <c r="L44" s="97"/>
      <c r="M44" s="98"/>
      <c r="N44" s="99"/>
      <c r="O44" s="96" t="n">
        <f aca="false">10.5*0.25</f>
        <v>2.625</v>
      </c>
      <c r="P44" s="96"/>
      <c r="Q44" s="96"/>
      <c r="R44" s="56"/>
      <c r="S44" s="56"/>
      <c r="T44" s="56"/>
      <c r="U44" s="56"/>
      <c r="V44" s="56"/>
      <c r="W44" s="56" t="n">
        <f aca="false">(O44+O45)*D44/2</f>
        <v>30.1875</v>
      </c>
      <c r="X44" s="56"/>
      <c r="Y44" s="56"/>
      <c r="Z44" s="56"/>
      <c r="AA44" s="56"/>
      <c r="AB44" s="100"/>
      <c r="AC44" s="56"/>
      <c r="AE44" s="73"/>
    </row>
    <row r="45" s="50" customFormat="true" ht="15" hidden="false" customHeight="true" outlineLevel="0" collapsed="false">
      <c r="A45" s="93" t="n">
        <v>35</v>
      </c>
      <c r="B45" s="93" t="str">
        <f aca="false">'KTHH Lớp 2'!B57</f>
        <v>37</v>
      </c>
      <c r="C45" s="94" t="n">
        <f aca="false">'KTHH Lớp 2'!C57</f>
        <v>724.11</v>
      </c>
      <c r="D45" s="93" t="n">
        <f aca="false">'KTHH Lớp 2'!T57</f>
        <v>13.25</v>
      </c>
      <c r="E45" s="95"/>
      <c r="F45" s="95"/>
      <c r="G45" s="95"/>
      <c r="H45" s="95"/>
      <c r="I45" s="95"/>
      <c r="J45" s="95"/>
      <c r="K45" s="96"/>
      <c r="L45" s="97"/>
      <c r="M45" s="98"/>
      <c r="N45" s="99"/>
      <c r="O45" s="96" t="n">
        <f aca="false">10.5*0.25</f>
        <v>2.625</v>
      </c>
      <c r="P45" s="96"/>
      <c r="Q45" s="96"/>
      <c r="R45" s="56"/>
      <c r="S45" s="56"/>
      <c r="T45" s="56"/>
      <c r="U45" s="56"/>
      <c r="V45" s="56"/>
      <c r="W45" s="56" t="n">
        <f aca="false">(O45+O46)*D45/2</f>
        <v>34.78125</v>
      </c>
      <c r="X45" s="56"/>
      <c r="Y45" s="56"/>
      <c r="Z45" s="56"/>
      <c r="AA45" s="56"/>
      <c r="AB45" s="100"/>
      <c r="AC45" s="56"/>
      <c r="AE45" s="73"/>
    </row>
    <row r="46" s="50" customFormat="true" ht="15" hidden="false" customHeight="true" outlineLevel="0" collapsed="false">
      <c r="A46" s="93" t="n">
        <v>36</v>
      </c>
      <c r="B46" s="93" t="str">
        <f aca="false">'KTHH Lớp 2'!B58</f>
        <v>G6</v>
      </c>
      <c r="C46" s="94" t="n">
        <f aca="false">'KTHH Lớp 2'!C58</f>
        <v>737.36</v>
      </c>
      <c r="D46" s="93"/>
      <c r="E46" s="95"/>
      <c r="F46" s="95"/>
      <c r="G46" s="95"/>
      <c r="H46" s="95"/>
      <c r="I46" s="95"/>
      <c r="J46" s="95"/>
      <c r="K46" s="96"/>
      <c r="L46" s="97"/>
      <c r="M46" s="98"/>
      <c r="N46" s="99"/>
      <c r="O46" s="96" t="n">
        <f aca="false">10.5*0.25</f>
        <v>2.625</v>
      </c>
      <c r="P46" s="96"/>
      <c r="Q46" s="9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100"/>
      <c r="AC46" s="56"/>
      <c r="AE46" s="73"/>
    </row>
    <row r="47" s="50" customFormat="true" ht="15" hidden="true" customHeight="true" outlineLevel="0" collapsed="false">
      <c r="A47" s="93"/>
      <c r="B47" s="93"/>
      <c r="C47" s="94"/>
      <c r="D47" s="93"/>
      <c r="E47" s="95"/>
      <c r="F47" s="95"/>
      <c r="G47" s="95"/>
      <c r="H47" s="95"/>
      <c r="I47" s="95"/>
      <c r="J47" s="95"/>
      <c r="K47" s="96"/>
      <c r="L47" s="97"/>
      <c r="M47" s="98"/>
      <c r="N47" s="99"/>
      <c r="O47" s="96"/>
      <c r="P47" s="96"/>
      <c r="Q47" s="9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100"/>
      <c r="AC47" s="56"/>
      <c r="AE47" s="73"/>
    </row>
    <row r="48" s="50" customFormat="true" ht="15" hidden="true" customHeight="true" outlineLevel="0" collapsed="false">
      <c r="A48" s="93"/>
      <c r="B48" s="93"/>
      <c r="C48" s="94"/>
      <c r="D48" s="93"/>
      <c r="E48" s="95"/>
      <c r="F48" s="95"/>
      <c r="G48" s="95"/>
      <c r="H48" s="95"/>
      <c r="I48" s="95"/>
      <c r="J48" s="95"/>
      <c r="K48" s="96"/>
      <c r="L48" s="97"/>
      <c r="M48" s="98"/>
      <c r="N48" s="99"/>
      <c r="O48" s="96"/>
      <c r="P48" s="96"/>
      <c r="Q48" s="9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100"/>
      <c r="AC48" s="56"/>
      <c r="AE48" s="73"/>
    </row>
    <row r="49" s="31" customFormat="true" ht="16.5" hidden="false" customHeight="true" outlineLevel="0" collapsed="false">
      <c r="A49" s="101" t="s">
        <v>69</v>
      </c>
      <c r="B49" s="101"/>
      <c r="C49" s="101"/>
      <c r="D49" s="101"/>
      <c r="E49" s="102"/>
      <c r="F49" s="102"/>
      <c r="G49" s="102"/>
      <c r="H49" s="102"/>
      <c r="I49" s="102"/>
      <c r="J49" s="102"/>
      <c r="K49" s="102"/>
      <c r="L49" s="102"/>
      <c r="M49" s="103"/>
      <c r="N49" s="103"/>
      <c r="O49" s="104"/>
      <c r="P49" s="104"/>
      <c r="Q49" s="104"/>
      <c r="R49" s="105" t="n">
        <f aca="false">SUM(R11:R34)</f>
        <v>0</v>
      </c>
      <c r="S49" s="105" t="n">
        <f aca="false">SUM(S11:S34)</f>
        <v>0</v>
      </c>
      <c r="T49" s="105"/>
      <c r="U49" s="106" t="n">
        <f aca="false">SUM(U11:U34)</f>
        <v>0</v>
      </c>
      <c r="V49" s="106" t="n">
        <f aca="false">SUM(V11:V34)</f>
        <v>0</v>
      </c>
      <c r="W49" s="107" t="n">
        <f aca="false">SUM(W11:W46)</f>
        <v>1381.695</v>
      </c>
      <c r="X49" s="106" t="n">
        <f aca="false">SUM(X11:X34)</f>
        <v>0</v>
      </c>
      <c r="Y49" s="106" t="n">
        <f aca="false">SUM(Y11:Y34)</f>
        <v>0</v>
      </c>
      <c r="Z49" s="106" t="n">
        <f aca="false">SUM(Z11:Z34)</f>
        <v>0</v>
      </c>
      <c r="AA49" s="106" t="n">
        <f aca="false">SUM(AA11:AA34)</f>
        <v>0</v>
      </c>
      <c r="AB49" s="106"/>
      <c r="AE49" s="64"/>
      <c r="AF49" s="65"/>
      <c r="AG49" s="65"/>
      <c r="AH49" s="50"/>
      <c r="AI49" s="64"/>
      <c r="AJ49" s="64"/>
      <c r="AK49" s="64"/>
      <c r="AL49" s="64"/>
    </row>
    <row r="50" s="70" customFormat="true" ht="16.5" hidden="false" customHeight="true" outlineLevel="0" collapsed="false">
      <c r="A50" s="108"/>
      <c r="B50" s="108"/>
      <c r="C50" s="108"/>
      <c r="D50" s="108"/>
      <c r="R50" s="109"/>
      <c r="S50" s="109"/>
      <c r="T50" s="109"/>
      <c r="U50" s="110"/>
      <c r="V50" s="110"/>
      <c r="W50" s="110"/>
      <c r="X50" s="110"/>
      <c r="Y50" s="110"/>
      <c r="Z50" s="110"/>
      <c r="AA50" s="110"/>
      <c r="AB50" s="110"/>
      <c r="AE50" s="71"/>
      <c r="AF50" s="72"/>
      <c r="AG50" s="65"/>
      <c r="AH50" s="72"/>
      <c r="AI50" s="73"/>
      <c r="AJ50" s="73"/>
      <c r="AK50" s="74"/>
      <c r="AL50" s="73"/>
    </row>
    <row r="51" s="70" customFormat="true" ht="16.5" hidden="false" customHeight="true" outlineLevel="0" collapsed="false">
      <c r="A51" s="111" t="s">
        <v>59</v>
      </c>
      <c r="B51" s="111"/>
      <c r="C51" s="111"/>
      <c r="D51" s="112" t="s">
        <v>70</v>
      </c>
      <c r="E51" s="111" t="s">
        <v>60</v>
      </c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E51" s="73"/>
      <c r="AF51" s="72"/>
      <c r="AI51" s="50"/>
      <c r="AJ51" s="50"/>
      <c r="AK51" s="50"/>
      <c r="AL51" s="50"/>
    </row>
    <row r="52" s="70" customFormat="true" ht="16.5" hidden="false" customHeight="true" outlineLevel="0" collapsed="false">
      <c r="A52" s="113"/>
      <c r="B52" s="113"/>
      <c r="C52" s="113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AI52" s="50"/>
      <c r="AJ52" s="50"/>
      <c r="AK52" s="50"/>
      <c r="AL52" s="50"/>
    </row>
    <row r="53" s="70" customFormat="true" ht="15.75" hidden="false" customHeight="true" outlineLevel="0" collapsed="false">
      <c r="A53" s="113"/>
      <c r="B53" s="113"/>
      <c r="C53" s="115"/>
      <c r="D53" s="115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AF53" s="79"/>
    </row>
    <row r="54" s="70" customFormat="true" ht="15" hidden="false" customHeight="true" outlineLevel="0" collapsed="false">
      <c r="A54" s="113"/>
      <c r="B54" s="113"/>
      <c r="C54" s="113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</row>
    <row r="55" s="70" customFormat="true" ht="15" hidden="false" customHeight="true" outlineLevel="0" collapsed="false">
      <c r="A55" s="113"/>
      <c r="B55" s="113"/>
      <c r="C55" s="113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</row>
    <row r="56" s="70" customFormat="true" ht="15" hidden="false" customHeight="true" outlineLevel="0" collapsed="false">
      <c r="A56" s="113"/>
      <c r="B56" s="113"/>
      <c r="C56" s="113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</row>
    <row r="57" s="70" customFormat="true" ht="16.5" hidden="false" customHeight="true" outlineLevel="0" collapsed="false">
      <c r="A57" s="111" t="s">
        <v>61</v>
      </c>
      <c r="B57" s="111"/>
      <c r="C57" s="111"/>
      <c r="D57" s="116"/>
      <c r="E57" s="116"/>
      <c r="F57" s="116"/>
      <c r="G57" s="116"/>
      <c r="H57" s="116"/>
      <c r="I57" s="116"/>
      <c r="J57" s="116"/>
      <c r="K57" s="116"/>
      <c r="L57" s="116"/>
      <c r="M57" s="111" t="s">
        <v>62</v>
      </c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</row>
    <row r="58" customFormat="false" ht="12.75" hidden="false" customHeight="false" outlineLevel="0" collapsed="false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</row>
    <row r="59" customFormat="false" ht="12.75" hidden="false" customHeight="false" outlineLevel="0" collapsed="false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</row>
    <row r="60" customFormat="false" ht="12.75" hidden="false" customHeight="false" outlineLevel="0" collapsed="false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</row>
    <row r="61" customFormat="false" ht="12.75" hidden="false" customHeight="false" outlineLevel="0" collapsed="false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</row>
    <row r="62" customFormat="false" ht="12.75" hidden="false" customHeight="false" outlineLevel="0" collapsed="false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</row>
    <row r="63" customFormat="false" ht="12.75" hidden="false" customHeight="false" outlineLevel="0" collapsed="false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</row>
    <row r="64" customFormat="false" ht="12.75" hidden="false" customHeight="false" outlineLevel="0" collapsed="false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</row>
    <row r="65" customFormat="false" ht="12.75" hidden="false" customHeight="false" outlineLevel="0" collapsed="false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</row>
    <row r="66" customFormat="false" ht="12.75" hidden="false" customHeight="false" outlineLevel="0" collapsed="false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</row>
    <row r="67" customFormat="false" ht="12.75" hidden="false" customHeight="false" outlineLevel="0" collapsed="false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</row>
    <row r="68" customFormat="false" ht="12.75" hidden="false" customHeight="false" outlineLevel="0" collapsed="false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</row>
    <row r="69" customFormat="false" ht="12.75" hidden="false" customHeight="false" outlineLevel="0" collapsed="false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</row>
    <row r="70" customFormat="false" ht="12.75" hidden="false" customHeight="false" outlineLevel="0" collapsed="false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</row>
    <row r="71" customFormat="false" ht="12.75" hidden="false" customHeight="false" outlineLevel="0" collapsed="false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</row>
    <row r="72" customFormat="false" ht="12.75" hidden="false" customHeight="false" outlineLevel="0" collapsed="false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</row>
    <row r="73" customFormat="false" ht="12.75" hidden="false" customHeight="false" outlineLevel="0" collapsed="false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</row>
    <row r="74" customFormat="false" ht="12.75" hidden="false" customHeight="false" outlineLevel="0" collapsed="false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</row>
    <row r="75" customFormat="false" ht="12.75" hidden="false" customHeight="false" outlineLevel="0" collapsed="false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</row>
    <row r="76" customFormat="false" ht="12.75" hidden="false" customHeight="false" outlineLevel="0" collapsed="false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</row>
    <row r="77" customFormat="false" ht="12.75" hidden="false" customHeight="false" outlineLevel="0" collapsed="false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</row>
    <row r="78" customFormat="false" ht="12.75" hidden="false" customHeight="false" outlineLevel="0" collapsed="false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</row>
    <row r="79" customFormat="false" ht="12.75" hidden="false" customHeight="false" outlineLevel="0" collapsed="false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</row>
    <row r="80" customFormat="false" ht="12.75" hidden="false" customHeight="false" outlineLevel="0" collapsed="false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</row>
    <row r="81" customFormat="false" ht="12.75" hidden="false" customHeight="false" outlineLevel="0" collapsed="false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</row>
    <row r="82" customFormat="false" ht="12.75" hidden="false" customHeight="false" outlineLevel="0" collapsed="false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</row>
    <row r="83" customFormat="false" ht="12.75" hidden="false" customHeight="false" outlineLevel="0" collapsed="false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</row>
    <row r="84" customFormat="false" ht="12.75" hidden="false" customHeight="false" outlineLevel="0" collapsed="false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</row>
    <row r="85" customFormat="false" ht="12.75" hidden="false" customHeight="false" outlineLevel="0" collapsed="false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</row>
    <row r="86" customFormat="false" ht="12.75" hidden="false" customHeight="false" outlineLevel="0" collapsed="false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</row>
    <row r="87" customFormat="false" ht="12.75" hidden="false" customHeight="false" outlineLevel="0" collapsed="false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</row>
    <row r="88" customFormat="false" ht="12.75" hidden="false" customHeight="false" outlineLevel="0" collapsed="false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</row>
    <row r="89" customFormat="false" ht="12.75" hidden="false" customHeight="false" outlineLevel="0" collapsed="false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</row>
    <row r="90" customFormat="false" ht="12.75" hidden="false" customHeight="false" outlineLevel="0" collapsed="false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</row>
    <row r="91" customFormat="false" ht="12.75" hidden="false" customHeight="false" outlineLevel="0" collapsed="false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</row>
    <row r="92" customFormat="false" ht="12.75" hidden="false" customHeight="false" outlineLevel="0" collapsed="false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</row>
    <row r="93" customFormat="false" ht="12.75" hidden="false" customHeight="false" outlineLevel="0" collapsed="false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</row>
    <row r="94" customFormat="false" ht="12.75" hidden="false" customHeight="false" outlineLevel="0" collapsed="false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</row>
    <row r="95" customFormat="false" ht="12.75" hidden="false" customHeight="false" outlineLevel="0" collapsed="false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</row>
    <row r="96" customFormat="false" ht="12.75" hidden="false" customHeight="false" outlineLevel="0" collapsed="false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</row>
    <row r="97" customFormat="false" ht="12.75" hidden="false" customHeight="false" outlineLevel="0" collapsed="false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</row>
    <row r="98" customFormat="false" ht="12.75" hidden="false" customHeight="false" outlineLevel="0" collapsed="false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</row>
    <row r="99" customFormat="false" ht="12.75" hidden="false" customHeight="false" outlineLevel="0" collapsed="false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</row>
    <row r="100" customFormat="false" ht="12.75" hidden="false" customHeight="false" outlineLevel="0" collapsed="false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</row>
    <row r="101" customFormat="false" ht="12.75" hidden="false" customHeight="false" outlineLevel="0" collapsed="false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</row>
    <row r="102" customFormat="false" ht="12.75" hidden="false" customHeight="false" outlineLevel="0" collapsed="false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</row>
    <row r="103" customFormat="false" ht="12.75" hidden="false" customHeight="false" outlineLevel="0" collapsed="false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</row>
    <row r="104" customFormat="false" ht="12.75" hidden="false" customHeight="false" outlineLevel="0" collapsed="false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</row>
    <row r="105" customFormat="false" ht="12.75" hidden="false" customHeight="false" outlineLevel="0" collapsed="false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</row>
    <row r="106" customFormat="false" ht="12.75" hidden="false" customHeight="false" outlineLevel="0" collapsed="false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</row>
    <row r="107" s="25" customFormat="true" ht="12.75" hidden="false" customHeight="false" outlineLevel="0" collapsed="false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24"/>
      <c r="AE107" s="24"/>
      <c r="AF107" s="24"/>
      <c r="AG107" s="24"/>
    </row>
    <row r="108" s="25" customFormat="true" ht="12.75" hidden="false" customHeight="false" outlineLevel="0" collapsed="false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24"/>
      <c r="AE108" s="24"/>
      <c r="AF108" s="24"/>
      <c r="AG108" s="24"/>
    </row>
    <row r="109" s="25" customFormat="true" ht="12.75" hidden="false" customHeight="false" outlineLevel="0" collapsed="false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24"/>
      <c r="AE109" s="24"/>
      <c r="AF109" s="24"/>
      <c r="AG109" s="24"/>
    </row>
    <row r="110" s="25" customFormat="true" ht="12.75" hidden="false" customHeight="false" outlineLevel="0" collapsed="false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24"/>
      <c r="AE110" s="24"/>
      <c r="AF110" s="24"/>
      <c r="AG110" s="24"/>
    </row>
    <row r="111" s="25" customFormat="true" ht="12.75" hidden="false" customHeight="false" outlineLevel="0" collapsed="false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24"/>
      <c r="AE111" s="24"/>
      <c r="AF111" s="24"/>
      <c r="AG111" s="24"/>
    </row>
    <row r="112" s="25" customFormat="true" ht="12.75" hidden="false" customHeight="false" outlineLevel="0" collapsed="false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24"/>
      <c r="AE112" s="24"/>
      <c r="AF112" s="24"/>
      <c r="AG112" s="24"/>
    </row>
    <row r="113" s="25" customFormat="true" ht="12.75" hidden="false" customHeight="false" outlineLevel="0" collapsed="false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24"/>
      <c r="AE113" s="24"/>
      <c r="AF113" s="24"/>
      <c r="AG113" s="24"/>
    </row>
    <row r="114" s="25" customFormat="true" ht="12.75" hidden="false" customHeight="false" outlineLevel="0" collapsed="false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24"/>
      <c r="AE114" s="24"/>
      <c r="AF114" s="24"/>
      <c r="AG114" s="24"/>
    </row>
    <row r="115" s="25" customFormat="true" ht="12.75" hidden="false" customHeight="false" outlineLevel="0" collapsed="false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24"/>
      <c r="AE115" s="24"/>
      <c r="AF115" s="24"/>
      <c r="AG115" s="24"/>
    </row>
    <row r="116" s="25" customFormat="true" ht="12.75" hidden="false" customHeight="false" outlineLevel="0" collapsed="false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24"/>
      <c r="AE116" s="24"/>
      <c r="AF116" s="24"/>
      <c r="AG116" s="24"/>
    </row>
    <row r="117" s="25" customFormat="true" ht="12.75" hidden="false" customHeight="false" outlineLevel="0" collapsed="false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24"/>
      <c r="AE117" s="24"/>
      <c r="AF117" s="24"/>
      <c r="AG117" s="24"/>
    </row>
    <row r="118" s="25" customFormat="true" ht="12.75" hidden="false" customHeight="false" outlineLevel="0" collapsed="false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24"/>
      <c r="AE118" s="24"/>
      <c r="AF118" s="24"/>
      <c r="AG118" s="24"/>
    </row>
    <row r="119" s="25" customFormat="true" ht="12.75" hidden="false" customHeight="false" outlineLevel="0" collapsed="false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24"/>
      <c r="AE119" s="24"/>
      <c r="AF119" s="24"/>
      <c r="AG119" s="24"/>
    </row>
    <row r="120" s="25" customFormat="true" ht="12.75" hidden="false" customHeight="false" outlineLevel="0" collapsed="false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24"/>
      <c r="AE120" s="24"/>
      <c r="AF120" s="24"/>
      <c r="AG120" s="24"/>
    </row>
    <row r="121" s="25" customFormat="true" ht="12.75" hidden="false" customHeight="false" outlineLevel="0" collapsed="false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24"/>
      <c r="AE121" s="24"/>
      <c r="AF121" s="24"/>
      <c r="AG121" s="24"/>
    </row>
    <row r="122" s="25" customFormat="true" ht="12.75" hidden="false" customHeight="false" outlineLevel="0" collapsed="false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24"/>
      <c r="AE122" s="24"/>
      <c r="AF122" s="24"/>
      <c r="AG122" s="24"/>
    </row>
    <row r="123" s="25" customFormat="true" ht="12.75" hidden="false" customHeight="false" outlineLevel="0" collapsed="false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24"/>
      <c r="AE123" s="24"/>
      <c r="AF123" s="24"/>
      <c r="AG123" s="24"/>
    </row>
    <row r="124" s="25" customFormat="true" ht="12.75" hidden="false" customHeight="false" outlineLevel="0" collapsed="false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24"/>
      <c r="AE124" s="24"/>
      <c r="AF124" s="24"/>
      <c r="AG124" s="24"/>
    </row>
    <row r="125" s="25" customFormat="true" ht="12.75" hidden="false" customHeight="false" outlineLevel="0" collapsed="false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24"/>
      <c r="AE125" s="24"/>
      <c r="AF125" s="24"/>
      <c r="AG125" s="24"/>
    </row>
    <row r="126" s="25" customFormat="true" ht="12.75" hidden="false" customHeight="false" outlineLevel="0" collapsed="false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24"/>
      <c r="AE126" s="24"/>
      <c r="AF126" s="24"/>
      <c r="AG126" s="24"/>
    </row>
    <row r="127" s="25" customFormat="true" ht="12.75" hidden="false" customHeight="false" outlineLevel="0" collapsed="false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24"/>
      <c r="AE127" s="24"/>
      <c r="AF127" s="24"/>
      <c r="AG127" s="24"/>
    </row>
    <row r="128" s="25" customFormat="true" ht="12.75" hidden="false" customHeight="false" outlineLevel="0" collapsed="false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24"/>
      <c r="AE128" s="24"/>
      <c r="AF128" s="24"/>
      <c r="AG128" s="24"/>
    </row>
    <row r="129" s="25" customFormat="true" ht="12.75" hidden="false" customHeight="false" outlineLevel="0" collapsed="false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24"/>
      <c r="AE129" s="24"/>
      <c r="AF129" s="24"/>
      <c r="AG129" s="24"/>
    </row>
    <row r="130" s="25" customFormat="true" ht="12.75" hidden="false" customHeight="false" outlineLevel="0" collapsed="false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24"/>
      <c r="AE130" s="24"/>
      <c r="AF130" s="24"/>
      <c r="AG130" s="24"/>
    </row>
    <row r="131" s="25" customFormat="true" ht="12.75" hidden="false" customHeight="false" outlineLevel="0" collapsed="false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24"/>
      <c r="AE131" s="24"/>
      <c r="AF131" s="24"/>
      <c r="AG131" s="24"/>
    </row>
    <row r="132" s="25" customFormat="true" ht="12.75" hidden="false" customHeight="false" outlineLevel="0" collapsed="false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24"/>
      <c r="AE132" s="24"/>
      <c r="AF132" s="24"/>
      <c r="AG132" s="24"/>
    </row>
    <row r="133" s="25" customFormat="true" ht="12.75" hidden="false" customHeight="false" outlineLevel="0" collapsed="false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24"/>
      <c r="AE133" s="24"/>
      <c r="AF133" s="24"/>
      <c r="AG133" s="24"/>
    </row>
    <row r="134" s="25" customFormat="true" ht="12.75" hidden="false" customHeight="false" outlineLevel="0" collapsed="false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24"/>
      <c r="AE134" s="24"/>
      <c r="AF134" s="24"/>
      <c r="AG134" s="24"/>
    </row>
  </sheetData>
  <mergeCells count="20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O9:O10"/>
    <mergeCell ref="W9:W10"/>
    <mergeCell ref="AB9:AB10"/>
    <mergeCell ref="A49:D49"/>
    <mergeCell ref="A51:C51"/>
    <mergeCell ref="E51:AB51"/>
    <mergeCell ref="A57:C57"/>
    <mergeCell ref="M57:AB57"/>
  </mergeCells>
  <printOptions headings="false" gridLines="false" gridLinesSet="true" horizontalCentered="false" verticalCentered="false"/>
  <pageMargins left="0.7" right="0.159722222222222" top="0.4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7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G23" activeCellId="0" sqref="G2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12.29"/>
    <col collapsed="false" customWidth="true" hidden="false" outlineLevel="0" max="3" min="3" style="1" width="16.43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</row>
    <row r="2" customFormat="false" ht="18.75" hidden="false" customHeight="true" outlineLevel="0" collapsed="false">
      <c r="A2" s="4" t="s">
        <v>73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U2" s="5"/>
      <c r="V2" s="5"/>
      <c r="W2" s="5"/>
    </row>
    <row r="3" customFormat="false" ht="18.75" hidden="false" customHeight="true" outlineLevel="0" collapsed="false">
      <c r="A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customFormat="false" ht="18.75" hidden="false" customHeight="true" outlineLevel="0" collapsed="false">
      <c r="A4" s="6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customFormat="false" ht="18.75" hidden="false" customHeight="true" outlineLevel="0" collapsed="false">
      <c r="A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customFormat="false" ht="18.75" hidden="false" customHeight="true" outlineLevel="0" collapsed="false">
      <c r="A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customFormat="false" ht="18.75" hidden="false" customHeight="true" outlineLevel="0" collapsed="false">
      <c r="A7" s="7" t="s">
        <v>6</v>
      </c>
      <c r="C7" s="6"/>
      <c r="D7" s="6"/>
      <c r="F7" s="6"/>
      <c r="G7" s="6" t="s">
        <v>74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customFormat="false" ht="18.75" hidden="false" customHeight="true" outlineLevel="0" collapsed="false">
      <c r="A8" s="7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21" s="10" customFormat="true" ht="15.75" hidden="false" customHeight="true" outlineLevel="0" collapsed="false">
      <c r="A21" s="8" t="s">
        <v>9</v>
      </c>
      <c r="B21" s="8" t="s">
        <v>10</v>
      </c>
      <c r="C21" s="8" t="s">
        <v>11</v>
      </c>
      <c r="D21" s="9" t="s">
        <v>12</v>
      </c>
      <c r="E21" s="9"/>
      <c r="F21" s="9"/>
      <c r="G21" s="9"/>
      <c r="H21" s="9"/>
      <c r="I21" s="9"/>
      <c r="J21" s="9" t="s">
        <v>13</v>
      </c>
      <c r="K21" s="9"/>
      <c r="L21" s="9"/>
      <c r="M21" s="9" t="s">
        <v>14</v>
      </c>
      <c r="N21" s="9"/>
      <c r="O21" s="9"/>
      <c r="P21" s="9"/>
      <c r="Q21" s="9"/>
      <c r="R21" s="9"/>
      <c r="S21" s="8" t="s">
        <v>15</v>
      </c>
    </row>
    <row r="22" s="10" customFormat="true" ht="30" hidden="false" customHeight="true" outlineLevel="0" collapsed="false">
      <c r="A22" s="8"/>
      <c r="B22" s="8"/>
      <c r="C22" s="8"/>
      <c r="D22" s="11" t="s">
        <v>17</v>
      </c>
      <c r="E22" s="11" t="s">
        <v>18</v>
      </c>
      <c r="F22" s="11" t="s">
        <v>19</v>
      </c>
      <c r="G22" s="11" t="s">
        <v>20</v>
      </c>
      <c r="H22" s="11" t="s">
        <v>21</v>
      </c>
      <c r="I22" s="11" t="s">
        <v>22</v>
      </c>
      <c r="J22" s="11" t="s">
        <v>20</v>
      </c>
      <c r="K22" s="11" t="s">
        <v>21</v>
      </c>
      <c r="L22" s="11" t="s">
        <v>22</v>
      </c>
      <c r="M22" s="11" t="s">
        <v>17</v>
      </c>
      <c r="N22" s="11" t="s">
        <v>18</v>
      </c>
      <c r="O22" s="11" t="s">
        <v>19</v>
      </c>
      <c r="P22" s="11" t="s">
        <v>20</v>
      </c>
      <c r="Q22" s="11" t="s">
        <v>21</v>
      </c>
      <c r="R22" s="11" t="s">
        <v>22</v>
      </c>
      <c r="S22" s="8"/>
      <c r="T22" s="12"/>
    </row>
    <row r="23" s="10" customFormat="true" ht="18" hidden="false" customHeight="true" outlineLevel="0" collapsed="false">
      <c r="A23" s="13" t="n">
        <v>1</v>
      </c>
      <c r="B23" s="82" t="s">
        <v>23</v>
      </c>
      <c r="C23" s="15" t="n">
        <v>211</v>
      </c>
      <c r="D23" s="16" t="n">
        <v>-5.25</v>
      </c>
      <c r="E23" s="16" t="n">
        <f aca="false">+D23+F23</f>
        <v>-5.246</v>
      </c>
      <c r="F23" s="16" t="n">
        <f aca="false">RANDBETWEEN(-105,115)/10000</f>
        <v>0.004</v>
      </c>
      <c r="G23" s="16" t="n">
        <f aca="false">W23+0.18</f>
        <v>2.73</v>
      </c>
      <c r="H23" s="16" t="n">
        <f aca="false">G23+I23</f>
        <v>2.782</v>
      </c>
      <c r="I23" s="16" t="n">
        <f aca="false">RANDBETWEEN(-20,70)/1000</f>
        <v>0.052</v>
      </c>
      <c r="J23" s="16" t="n">
        <f aca="false">X23+0.18</f>
        <v>2.847</v>
      </c>
      <c r="K23" s="16" t="n">
        <f aca="false">J23+L23</f>
        <v>2.86</v>
      </c>
      <c r="L23" s="16" t="n">
        <f aca="false">RANDBETWEEN(-20,70)/1000</f>
        <v>0.013</v>
      </c>
      <c r="M23" s="16" t="n">
        <v>5.25</v>
      </c>
      <c r="N23" s="16" t="n">
        <f aca="false">+M23+O23</f>
        <v>5.2456</v>
      </c>
      <c r="O23" s="16" t="n">
        <f aca="false">RANDBETWEEN(-105,115)/10000</f>
        <v>-0.0044</v>
      </c>
      <c r="P23" s="16" t="n">
        <f aca="false">Y23+0.18</f>
        <v>2.73</v>
      </c>
      <c r="Q23" s="16" t="n">
        <f aca="false">P23+R23</f>
        <v>2.728</v>
      </c>
      <c r="R23" s="16" t="n">
        <f aca="false">RANDBETWEEN(-20,70)/1000</f>
        <v>-0.002</v>
      </c>
      <c r="S23" s="17"/>
      <c r="T23" s="18" t="n">
        <v>13.25</v>
      </c>
      <c r="V23" s="19"/>
      <c r="W23" s="19" t="n">
        <f aca="false">'KTHH Lớp 2'!G23</f>
        <v>2.55</v>
      </c>
      <c r="X23" s="19" t="n">
        <f aca="false">'KTHH Lớp 2'!J23</f>
        <v>2.667</v>
      </c>
      <c r="Y23" s="19" t="n">
        <f aca="false">'KTHH Lớp 2'!P23</f>
        <v>2.55</v>
      </c>
    </row>
    <row r="24" s="10" customFormat="true" ht="18" hidden="false" customHeight="true" outlineLevel="0" collapsed="false">
      <c r="A24" s="13" t="n">
        <v>2</v>
      </c>
      <c r="B24" s="82" t="s">
        <v>24</v>
      </c>
      <c r="C24" s="15" t="n">
        <f aca="false">+C23+T23</f>
        <v>224.25</v>
      </c>
      <c r="D24" s="16" t="n">
        <v>-5.25</v>
      </c>
      <c r="E24" s="16" t="n">
        <f aca="false">+D24+F24</f>
        <v>-5.2422</v>
      </c>
      <c r="F24" s="16" t="n">
        <f aca="false">RANDBETWEEN(-105,115)/10000</f>
        <v>0.0078</v>
      </c>
      <c r="G24" s="16" t="n">
        <f aca="false">W24+0.18</f>
        <v>2.722</v>
      </c>
      <c r="H24" s="16" t="n">
        <f aca="false">G24+I24</f>
        <v>2.761</v>
      </c>
      <c r="I24" s="16" t="n">
        <f aca="false">RANDBETWEEN(-20,70)/1000</f>
        <v>0.039</v>
      </c>
      <c r="J24" s="16" t="n">
        <f aca="false">X24+0.18</f>
        <v>2.839</v>
      </c>
      <c r="K24" s="16" t="n">
        <f aca="false">J24+L24</f>
        <v>2.819</v>
      </c>
      <c r="L24" s="16" t="n">
        <f aca="false">RANDBETWEEN(-20,70)/1000</f>
        <v>-0.02</v>
      </c>
      <c r="M24" s="16" t="n">
        <v>5.25</v>
      </c>
      <c r="N24" s="16" t="n">
        <f aca="false">+M24+O24</f>
        <v>5.2493</v>
      </c>
      <c r="O24" s="16" t="n">
        <f aca="false">RANDBETWEEN(-105,115)/10000</f>
        <v>-0.0007</v>
      </c>
      <c r="P24" s="16" t="n">
        <f aca="false">Y24+0.18</f>
        <v>2.722</v>
      </c>
      <c r="Q24" s="16" t="n">
        <f aca="false">P24+R24</f>
        <v>2.753</v>
      </c>
      <c r="R24" s="16" t="n">
        <f aca="false">RANDBETWEEN(-20,70)/1000</f>
        <v>0.031</v>
      </c>
      <c r="S24" s="17"/>
      <c r="T24" s="18" t="n">
        <v>21.5</v>
      </c>
      <c r="V24" s="19"/>
      <c r="W24" s="19" t="n">
        <f aca="false">'KTHH Lớp 2'!G24</f>
        <v>2.542</v>
      </c>
      <c r="X24" s="19" t="n">
        <f aca="false">'KTHH Lớp 2'!J24</f>
        <v>2.659</v>
      </c>
      <c r="Y24" s="19" t="n">
        <f aca="false">'KTHH Lớp 2'!P24</f>
        <v>2.542</v>
      </c>
    </row>
    <row r="25" s="10" customFormat="true" ht="18" hidden="false" customHeight="true" outlineLevel="0" collapsed="false">
      <c r="A25" s="13" t="n">
        <v>3</v>
      </c>
      <c r="B25" s="82" t="s">
        <v>25</v>
      </c>
      <c r="C25" s="15" t="n">
        <f aca="false">+C24+T24</f>
        <v>245.75</v>
      </c>
      <c r="D25" s="16" t="n">
        <v>-5.25</v>
      </c>
      <c r="E25" s="16" t="n">
        <f aca="false">+D25+F25</f>
        <v>-5.2404</v>
      </c>
      <c r="F25" s="16" t="n">
        <f aca="false">RANDBETWEEN(-105,115)/10000</f>
        <v>0.0096</v>
      </c>
      <c r="G25" s="16" t="n">
        <f aca="false">W25+0.18</f>
        <v>2.703</v>
      </c>
      <c r="H25" s="16" t="n">
        <f aca="false">G25+I25</f>
        <v>2.685</v>
      </c>
      <c r="I25" s="16" t="n">
        <f aca="false">RANDBETWEEN(-20,70)/1000</f>
        <v>-0.018</v>
      </c>
      <c r="J25" s="16" t="n">
        <f aca="false">X25+0.18</f>
        <v>2.82</v>
      </c>
      <c r="K25" s="16" t="n">
        <f aca="false">J25+L25</f>
        <v>2.853</v>
      </c>
      <c r="L25" s="16" t="n">
        <f aca="false">RANDBETWEEN(-20,70)/1000</f>
        <v>0.033</v>
      </c>
      <c r="M25" s="16" t="n">
        <v>5.25</v>
      </c>
      <c r="N25" s="16" t="n">
        <f aca="false">+M25+O25</f>
        <v>5.258</v>
      </c>
      <c r="O25" s="16" t="n">
        <f aca="false">RANDBETWEEN(-105,115)/10000</f>
        <v>0.008</v>
      </c>
      <c r="P25" s="16" t="n">
        <f aca="false">Y25+0.18</f>
        <v>2.703</v>
      </c>
      <c r="Q25" s="16" t="n">
        <f aca="false">P25+R25</f>
        <v>2.708</v>
      </c>
      <c r="R25" s="16" t="n">
        <f aca="false">RANDBETWEEN(-20,70)/1000</f>
        <v>0.005</v>
      </c>
      <c r="S25" s="17"/>
      <c r="T25" s="18" t="n">
        <v>11.75</v>
      </c>
      <c r="V25" s="19"/>
      <c r="W25" s="19" t="n">
        <f aca="false">'KTHH Lớp 2'!G25</f>
        <v>2.523</v>
      </c>
      <c r="X25" s="19" t="n">
        <f aca="false">'KTHH Lớp 2'!J25</f>
        <v>2.64</v>
      </c>
      <c r="Y25" s="19" t="n">
        <f aca="false">'KTHH Lớp 2'!P25</f>
        <v>2.523</v>
      </c>
    </row>
    <row r="26" s="10" customFormat="true" ht="18" hidden="false" customHeight="true" outlineLevel="0" collapsed="false">
      <c r="A26" s="13" t="n">
        <v>4</v>
      </c>
      <c r="B26" s="82" t="s">
        <v>26</v>
      </c>
      <c r="C26" s="15" t="n">
        <f aca="false">+C25+T25</f>
        <v>257.5</v>
      </c>
      <c r="D26" s="16" t="n">
        <v>-5.25</v>
      </c>
      <c r="E26" s="16" t="n">
        <f aca="false">+D26+F26</f>
        <v>-5.241</v>
      </c>
      <c r="F26" s="16" t="n">
        <f aca="false">RANDBETWEEN(-105,115)/10000</f>
        <v>0.009</v>
      </c>
      <c r="G26" s="16" t="n">
        <f aca="false">W26+0.18</f>
        <v>2.695</v>
      </c>
      <c r="H26" s="16" t="n">
        <f aca="false">G26+I26</f>
        <v>2.685</v>
      </c>
      <c r="I26" s="16" t="n">
        <f aca="false">RANDBETWEEN(-20,70)/1000</f>
        <v>-0.01</v>
      </c>
      <c r="J26" s="16" t="n">
        <f aca="false">X26+0.18</f>
        <v>2.812</v>
      </c>
      <c r="K26" s="16" t="n">
        <f aca="false">J26+L26</f>
        <v>2.855</v>
      </c>
      <c r="L26" s="16" t="n">
        <f aca="false">RANDBETWEEN(-20,70)/1000</f>
        <v>0.043</v>
      </c>
      <c r="M26" s="16" t="n">
        <v>5.25</v>
      </c>
      <c r="N26" s="16" t="n">
        <f aca="false">+M26+O26</f>
        <v>5.2525</v>
      </c>
      <c r="O26" s="16" t="n">
        <f aca="false">RANDBETWEEN(-105,115)/10000</f>
        <v>0.0025</v>
      </c>
      <c r="P26" s="16" t="n">
        <f aca="false">Y26+0.18</f>
        <v>2.695</v>
      </c>
      <c r="Q26" s="16" t="n">
        <f aca="false">P26+R26</f>
        <v>2.68</v>
      </c>
      <c r="R26" s="16" t="n">
        <f aca="false">RANDBETWEEN(-20,70)/1000</f>
        <v>-0.015</v>
      </c>
      <c r="S26" s="17"/>
      <c r="T26" s="18" t="n">
        <v>11.75</v>
      </c>
      <c r="V26" s="19"/>
      <c r="W26" s="19" t="n">
        <f aca="false">'KTHH Lớp 2'!G26</f>
        <v>2.515</v>
      </c>
      <c r="X26" s="19" t="n">
        <f aca="false">'KTHH Lớp 2'!J26</f>
        <v>2.632</v>
      </c>
      <c r="Y26" s="19" t="n">
        <f aca="false">'KTHH Lớp 2'!P26</f>
        <v>2.515</v>
      </c>
    </row>
    <row r="27" s="10" customFormat="true" ht="18" hidden="false" customHeight="true" outlineLevel="0" collapsed="false">
      <c r="A27" s="13" t="n">
        <v>5</v>
      </c>
      <c r="B27" s="82" t="s">
        <v>27</v>
      </c>
      <c r="C27" s="15" t="n">
        <f aca="false">+C26+T26</f>
        <v>269.25</v>
      </c>
      <c r="D27" s="16" t="n">
        <v>-5.25</v>
      </c>
      <c r="E27" s="16" t="n">
        <f aca="false">+D27+F27</f>
        <v>-5.249</v>
      </c>
      <c r="F27" s="16" t="n">
        <f aca="false">RANDBETWEEN(-105,115)/10000</f>
        <v>0.001</v>
      </c>
      <c r="G27" s="16" t="n">
        <f aca="false">W27+0.18</f>
        <v>2.686</v>
      </c>
      <c r="H27" s="16" t="n">
        <f aca="false">G27+I27</f>
        <v>2.741</v>
      </c>
      <c r="I27" s="16" t="n">
        <f aca="false">RANDBETWEEN(-20,70)/1000</f>
        <v>0.055</v>
      </c>
      <c r="J27" s="16" t="n">
        <f aca="false">X27+0.18</f>
        <v>2.803</v>
      </c>
      <c r="K27" s="16" t="n">
        <f aca="false">J27+L27</f>
        <v>2.838</v>
      </c>
      <c r="L27" s="16" t="n">
        <f aca="false">RANDBETWEEN(-20,70)/1000</f>
        <v>0.035</v>
      </c>
      <c r="M27" s="16" t="n">
        <v>5.25</v>
      </c>
      <c r="N27" s="16" t="n">
        <f aca="false">+M27+O27</f>
        <v>5.2606</v>
      </c>
      <c r="O27" s="16" t="n">
        <f aca="false">RANDBETWEEN(-105,115)/10000</f>
        <v>0.0106</v>
      </c>
      <c r="P27" s="16" t="n">
        <f aca="false">Y27+0.18</f>
        <v>2.686</v>
      </c>
      <c r="Q27" s="16" t="n">
        <f aca="false">P27+R27</f>
        <v>2.738</v>
      </c>
      <c r="R27" s="16" t="n">
        <f aca="false">RANDBETWEEN(-20,70)/1000</f>
        <v>0.052</v>
      </c>
      <c r="S27" s="17"/>
      <c r="T27" s="18" t="n">
        <v>20</v>
      </c>
      <c r="V27" s="19"/>
      <c r="W27" s="19" t="n">
        <f aca="false">'KTHH Lớp 2'!G27</f>
        <v>2.506</v>
      </c>
      <c r="X27" s="19" t="n">
        <f aca="false">'KTHH Lớp 2'!J27</f>
        <v>2.623</v>
      </c>
      <c r="Y27" s="19" t="n">
        <f aca="false">'KTHH Lớp 2'!P27</f>
        <v>2.506</v>
      </c>
    </row>
    <row r="28" s="10" customFormat="true" ht="18" hidden="false" customHeight="true" outlineLevel="0" collapsed="false">
      <c r="A28" s="13" t="n">
        <v>6</v>
      </c>
      <c r="B28" s="82" t="s">
        <v>28</v>
      </c>
      <c r="C28" s="15" t="n">
        <f aca="false">+C27+T27</f>
        <v>289.25</v>
      </c>
      <c r="D28" s="16" t="n">
        <v>-5.25</v>
      </c>
      <c r="E28" s="16" t="n">
        <f aca="false">+D28+F28</f>
        <v>-5.256</v>
      </c>
      <c r="F28" s="16" t="n">
        <f aca="false">RANDBETWEEN(-105,115)/10000</f>
        <v>-0.006</v>
      </c>
      <c r="G28" s="16" t="n">
        <f aca="false">W28+0.18</f>
        <v>2.675</v>
      </c>
      <c r="H28" s="16" t="n">
        <f aca="false">G28+I28</f>
        <v>2.739</v>
      </c>
      <c r="I28" s="16" t="n">
        <f aca="false">RANDBETWEEN(-20,70)/1000</f>
        <v>0.064</v>
      </c>
      <c r="J28" s="16" t="n">
        <f aca="false">X28+0.18</f>
        <v>2.792</v>
      </c>
      <c r="K28" s="16" t="n">
        <f aca="false">J28+L28</f>
        <v>2.797</v>
      </c>
      <c r="L28" s="16" t="n">
        <f aca="false">RANDBETWEEN(-20,70)/1000</f>
        <v>0.005</v>
      </c>
      <c r="M28" s="16" t="n">
        <v>5.25</v>
      </c>
      <c r="N28" s="16" t="n">
        <f aca="false">+M28+O28</f>
        <v>5.2482</v>
      </c>
      <c r="O28" s="16" t="n">
        <f aca="false">RANDBETWEEN(-105,115)/10000</f>
        <v>-0.0018</v>
      </c>
      <c r="P28" s="16" t="n">
        <f aca="false">Y28+0.18</f>
        <v>2.675</v>
      </c>
      <c r="Q28" s="16" t="n">
        <f aca="false">P28+R28</f>
        <v>2.662</v>
      </c>
      <c r="R28" s="16" t="n">
        <f aca="false">RANDBETWEEN(-20,70)/1000</f>
        <v>-0.013</v>
      </c>
      <c r="S28" s="17"/>
      <c r="T28" s="18" t="n">
        <v>20</v>
      </c>
      <c r="V28" s="19"/>
      <c r="W28" s="19" t="n">
        <f aca="false">'KTHH Lớp 2'!G28</f>
        <v>2.495</v>
      </c>
      <c r="X28" s="19" t="n">
        <f aca="false">'KTHH Lớp 2'!J28</f>
        <v>2.612</v>
      </c>
      <c r="Y28" s="19" t="n">
        <f aca="false">'KTHH Lớp 2'!P28</f>
        <v>2.495</v>
      </c>
    </row>
    <row r="29" s="10" customFormat="true" ht="18" hidden="false" customHeight="true" outlineLevel="0" collapsed="false">
      <c r="A29" s="13" t="n">
        <v>7</v>
      </c>
      <c r="B29" s="82" t="s">
        <v>29</v>
      </c>
      <c r="C29" s="15" t="n">
        <f aca="false">+C28+T28</f>
        <v>309.25</v>
      </c>
      <c r="D29" s="16" t="n">
        <v>-5.25</v>
      </c>
      <c r="E29" s="16" t="n">
        <f aca="false">+D29+F29</f>
        <v>-5.2453</v>
      </c>
      <c r="F29" s="16" t="n">
        <f aca="false">RANDBETWEEN(-105,115)/10000</f>
        <v>0.0047</v>
      </c>
      <c r="G29" s="16" t="n">
        <f aca="false">W29+0.18</f>
        <v>2.664</v>
      </c>
      <c r="H29" s="16" t="n">
        <f aca="false">G29+I29</f>
        <v>2.664</v>
      </c>
      <c r="I29" s="16" t="n">
        <f aca="false">RANDBETWEEN(-20,70)/1000</f>
        <v>0</v>
      </c>
      <c r="J29" s="16" t="n">
        <f aca="false">X29+0.18</f>
        <v>2.781</v>
      </c>
      <c r="K29" s="16" t="n">
        <f aca="false">J29+L29</f>
        <v>2.807</v>
      </c>
      <c r="L29" s="16" t="n">
        <f aca="false">RANDBETWEEN(-20,70)/1000</f>
        <v>0.026</v>
      </c>
      <c r="M29" s="16" t="n">
        <v>5.25</v>
      </c>
      <c r="N29" s="16" t="n">
        <f aca="false">+M29+O29</f>
        <v>5.244</v>
      </c>
      <c r="O29" s="16" t="n">
        <f aca="false">RANDBETWEEN(-105,115)/10000</f>
        <v>-0.006</v>
      </c>
      <c r="P29" s="16" t="n">
        <f aca="false">Y29+0.18</f>
        <v>2.664</v>
      </c>
      <c r="Q29" s="16" t="n">
        <f aca="false">P29+R29</f>
        <v>2.677</v>
      </c>
      <c r="R29" s="16" t="n">
        <f aca="false">RANDBETWEEN(-20,70)/1000</f>
        <v>0.013</v>
      </c>
      <c r="S29" s="17"/>
      <c r="T29" s="18" t="n">
        <v>20</v>
      </c>
      <c r="V29" s="19"/>
      <c r="W29" s="19" t="n">
        <f aca="false">'KTHH Lớp 2'!G29</f>
        <v>2.484</v>
      </c>
      <c r="X29" s="19" t="n">
        <f aca="false">'KTHH Lớp 2'!J29</f>
        <v>2.601</v>
      </c>
      <c r="Y29" s="19" t="n">
        <f aca="false">'KTHH Lớp 2'!P29</f>
        <v>2.484</v>
      </c>
    </row>
    <row r="30" s="10" customFormat="true" ht="18" hidden="false" customHeight="true" outlineLevel="0" collapsed="false">
      <c r="A30" s="13" t="n">
        <v>8</v>
      </c>
      <c r="B30" s="82" t="s">
        <v>30</v>
      </c>
      <c r="C30" s="15" t="n">
        <f aca="false">+C29+T29</f>
        <v>329.25</v>
      </c>
      <c r="D30" s="16" t="n">
        <v>-5.25</v>
      </c>
      <c r="E30" s="16" t="n">
        <f aca="false">+D30+F30</f>
        <v>-5.2517</v>
      </c>
      <c r="F30" s="16" t="n">
        <f aca="false">RANDBETWEEN(-105,115)/10000</f>
        <v>-0.0017</v>
      </c>
      <c r="G30" s="16" t="n">
        <f aca="false">W30+0.18</f>
        <v>2.653</v>
      </c>
      <c r="H30" s="16" t="n">
        <f aca="false">G30+I30</f>
        <v>2.704</v>
      </c>
      <c r="I30" s="16" t="n">
        <f aca="false">RANDBETWEEN(-20,70)/1000</f>
        <v>0.051</v>
      </c>
      <c r="J30" s="16" t="n">
        <f aca="false">X30+0.18</f>
        <v>2.77</v>
      </c>
      <c r="K30" s="16" t="n">
        <f aca="false">J30+L30</f>
        <v>2.762</v>
      </c>
      <c r="L30" s="16" t="n">
        <f aca="false">RANDBETWEEN(-20,70)/1000</f>
        <v>-0.008</v>
      </c>
      <c r="M30" s="16" t="n">
        <v>5.25</v>
      </c>
      <c r="N30" s="16" t="n">
        <f aca="false">+M30+O30</f>
        <v>5.2473</v>
      </c>
      <c r="O30" s="16" t="n">
        <f aca="false">RANDBETWEEN(-105,115)/10000</f>
        <v>-0.0027</v>
      </c>
      <c r="P30" s="16" t="n">
        <f aca="false">Y30+0.18</f>
        <v>2.653</v>
      </c>
      <c r="Q30" s="16" t="n">
        <f aca="false">P30+R30</f>
        <v>2.711</v>
      </c>
      <c r="R30" s="16" t="n">
        <f aca="false">RANDBETWEEN(-20,70)/1000</f>
        <v>0.058</v>
      </c>
      <c r="S30" s="17"/>
      <c r="T30" s="18" t="n">
        <v>20</v>
      </c>
      <c r="V30" s="19"/>
      <c r="W30" s="19" t="n">
        <f aca="false">'KTHH Lớp 2'!G30</f>
        <v>2.473</v>
      </c>
      <c r="X30" s="19" t="n">
        <f aca="false">'KTHH Lớp 2'!J30</f>
        <v>2.59</v>
      </c>
      <c r="Y30" s="19" t="n">
        <f aca="false">'KTHH Lớp 2'!P30</f>
        <v>2.473</v>
      </c>
    </row>
    <row r="31" s="10" customFormat="true" ht="18" hidden="false" customHeight="true" outlineLevel="0" collapsed="false">
      <c r="A31" s="13" t="n">
        <v>9</v>
      </c>
      <c r="B31" s="82" t="s">
        <v>31</v>
      </c>
      <c r="C31" s="15" t="n">
        <f aca="false">+C30+T30</f>
        <v>349.25</v>
      </c>
      <c r="D31" s="16" t="n">
        <v>-5.25</v>
      </c>
      <c r="E31" s="16" t="n">
        <f aca="false">+D31+F31</f>
        <v>-5.2468</v>
      </c>
      <c r="F31" s="16" t="n">
        <f aca="false">RANDBETWEEN(-105,115)/10000</f>
        <v>0.0032</v>
      </c>
      <c r="G31" s="16" t="n">
        <f aca="false">W31+0.18</f>
        <v>2.641</v>
      </c>
      <c r="H31" s="16" t="n">
        <f aca="false">G31+I31</f>
        <v>2.674</v>
      </c>
      <c r="I31" s="16" t="n">
        <f aca="false">RANDBETWEEN(-20,70)/1000</f>
        <v>0.033</v>
      </c>
      <c r="J31" s="16" t="n">
        <f aca="false">X31+0.18</f>
        <v>2.758</v>
      </c>
      <c r="K31" s="16" t="n">
        <f aca="false">J31+L31</f>
        <v>2.765</v>
      </c>
      <c r="L31" s="16" t="n">
        <f aca="false">RANDBETWEEN(-20,70)/1000</f>
        <v>0.007</v>
      </c>
      <c r="M31" s="16" t="n">
        <v>5.25</v>
      </c>
      <c r="N31" s="16" t="n">
        <f aca="false">+M31+O31</f>
        <v>5.2608</v>
      </c>
      <c r="O31" s="16" t="n">
        <f aca="false">RANDBETWEEN(-105,115)/10000</f>
        <v>0.0108</v>
      </c>
      <c r="P31" s="16" t="n">
        <f aca="false">Y31+0.18</f>
        <v>2.641</v>
      </c>
      <c r="Q31" s="16" t="n">
        <f aca="false">P31+R31</f>
        <v>2.663</v>
      </c>
      <c r="R31" s="16" t="n">
        <f aca="false">RANDBETWEEN(-20,70)/1000</f>
        <v>0.022</v>
      </c>
      <c r="S31" s="17"/>
      <c r="T31" s="18" t="n">
        <v>19</v>
      </c>
      <c r="V31" s="19"/>
      <c r="W31" s="19" t="n">
        <f aca="false">'KTHH Lớp 2'!G31</f>
        <v>2.461</v>
      </c>
      <c r="X31" s="19" t="n">
        <f aca="false">'KTHH Lớp 2'!J31</f>
        <v>2.578</v>
      </c>
      <c r="Y31" s="19" t="n">
        <f aca="false">'KTHH Lớp 2'!P31</f>
        <v>2.461</v>
      </c>
    </row>
    <row r="32" s="10" customFormat="true" ht="18" hidden="false" customHeight="true" outlineLevel="0" collapsed="false">
      <c r="A32" s="13" t="n">
        <v>10</v>
      </c>
      <c r="B32" s="82" t="s">
        <v>32</v>
      </c>
      <c r="C32" s="15" t="n">
        <f aca="false">+C31+T31</f>
        <v>368.25</v>
      </c>
      <c r="D32" s="16" t="n">
        <v>-5.25</v>
      </c>
      <c r="E32" s="16" t="n">
        <f aca="false">+D32+F32</f>
        <v>-5.2508</v>
      </c>
      <c r="F32" s="16" t="n">
        <f aca="false">RANDBETWEEN(-105,115)/10000</f>
        <v>-0.0008</v>
      </c>
      <c r="G32" s="16" t="n">
        <f aca="false">W32+0.18</f>
        <v>2.63</v>
      </c>
      <c r="H32" s="16" t="n">
        <f aca="false">G32+I32</f>
        <v>2.678</v>
      </c>
      <c r="I32" s="16" t="n">
        <f aca="false">RANDBETWEEN(-20,70)/1000</f>
        <v>0.048</v>
      </c>
      <c r="J32" s="16" t="n">
        <f aca="false">X32+0.18</f>
        <v>2.747</v>
      </c>
      <c r="K32" s="16" t="n">
        <f aca="false">J32+L32</f>
        <v>2.796</v>
      </c>
      <c r="L32" s="16" t="n">
        <f aca="false">RANDBETWEEN(-20,70)/1000</f>
        <v>0.049</v>
      </c>
      <c r="M32" s="16" t="n">
        <v>5.25</v>
      </c>
      <c r="N32" s="16" t="n">
        <f aca="false">+M32+O32</f>
        <v>5.2447</v>
      </c>
      <c r="O32" s="16" t="n">
        <f aca="false">RANDBETWEEN(-105,115)/10000</f>
        <v>-0.0053</v>
      </c>
      <c r="P32" s="16" t="n">
        <f aca="false">Y32+0.18</f>
        <v>2.63</v>
      </c>
      <c r="Q32" s="16" t="n">
        <f aca="false">P32+R32</f>
        <v>2.689</v>
      </c>
      <c r="R32" s="16" t="n">
        <f aca="false">RANDBETWEEN(-20,70)/1000</f>
        <v>0.059</v>
      </c>
      <c r="S32" s="17"/>
      <c r="T32" s="18" t="n">
        <v>13.25</v>
      </c>
      <c r="V32" s="19"/>
      <c r="W32" s="19" t="n">
        <f aca="false">'KTHH Lớp 2'!G32</f>
        <v>2.45</v>
      </c>
      <c r="X32" s="19" t="n">
        <f aca="false">'KTHH Lớp 2'!J32</f>
        <v>2.567</v>
      </c>
      <c r="Y32" s="19" t="n">
        <f aca="false">'KTHH Lớp 2'!P32</f>
        <v>2.45</v>
      </c>
    </row>
    <row r="33" s="10" customFormat="true" ht="18" hidden="false" customHeight="true" outlineLevel="0" collapsed="false">
      <c r="A33" s="13" t="n">
        <v>11</v>
      </c>
      <c r="B33" s="82" t="s">
        <v>33</v>
      </c>
      <c r="C33" s="15" t="n">
        <f aca="false">+C32+T32</f>
        <v>381.5</v>
      </c>
      <c r="D33" s="16" t="n">
        <v>-5.25</v>
      </c>
      <c r="E33" s="16" t="n">
        <f aca="false">+D33+F33</f>
        <v>-5.2526</v>
      </c>
      <c r="F33" s="16" t="n">
        <f aca="false">RANDBETWEEN(-105,115)/10000</f>
        <v>-0.0026</v>
      </c>
      <c r="G33" s="16" t="n">
        <f aca="false">W33+0.18</f>
        <v>2.622</v>
      </c>
      <c r="H33" s="16" t="n">
        <f aca="false">G33+I33</f>
        <v>2.611</v>
      </c>
      <c r="I33" s="16" t="n">
        <f aca="false">RANDBETWEEN(-20,70)/1000</f>
        <v>-0.011</v>
      </c>
      <c r="J33" s="16" t="n">
        <f aca="false">X33+0.18</f>
        <v>2.739</v>
      </c>
      <c r="K33" s="16" t="n">
        <f aca="false">J33+L33</f>
        <v>2.808</v>
      </c>
      <c r="L33" s="16" t="n">
        <f aca="false">RANDBETWEEN(-20,70)/1000</f>
        <v>0.069</v>
      </c>
      <c r="M33" s="16" t="n">
        <v>5.25</v>
      </c>
      <c r="N33" s="16" t="n">
        <f aca="false">+M33+O33</f>
        <v>5.2577</v>
      </c>
      <c r="O33" s="16" t="n">
        <f aca="false">RANDBETWEEN(-105,115)/10000</f>
        <v>0.0077</v>
      </c>
      <c r="P33" s="16" t="n">
        <f aca="false">Y33+0.18</f>
        <v>2.622</v>
      </c>
      <c r="Q33" s="16" t="n">
        <f aca="false">P33+R33</f>
        <v>2.605</v>
      </c>
      <c r="R33" s="16" t="n">
        <f aca="false">RANDBETWEEN(-20,70)/1000</f>
        <v>-0.017</v>
      </c>
      <c r="S33" s="17"/>
      <c r="T33" s="18" t="n">
        <v>13.25</v>
      </c>
      <c r="V33" s="19"/>
      <c r="W33" s="19" t="n">
        <f aca="false">'KTHH Lớp 2'!G33</f>
        <v>2.442</v>
      </c>
      <c r="X33" s="19" t="n">
        <f aca="false">'KTHH Lớp 2'!J33</f>
        <v>2.559</v>
      </c>
      <c r="Y33" s="19" t="n">
        <f aca="false">'KTHH Lớp 2'!P33</f>
        <v>2.442</v>
      </c>
    </row>
    <row r="34" s="10" customFormat="true" ht="18" hidden="false" customHeight="true" outlineLevel="0" collapsed="false">
      <c r="A34" s="13" t="n">
        <v>12</v>
      </c>
      <c r="B34" s="82" t="s">
        <v>34</v>
      </c>
      <c r="C34" s="15" t="n">
        <f aca="false">+C33+T33</f>
        <v>394.75</v>
      </c>
      <c r="D34" s="16" t="n">
        <v>-5.25</v>
      </c>
      <c r="E34" s="16" t="n">
        <f aca="false">+D34+F34</f>
        <v>-5.2433</v>
      </c>
      <c r="F34" s="16" t="n">
        <f aca="false">RANDBETWEEN(-105,115)/10000</f>
        <v>0.0067</v>
      </c>
      <c r="G34" s="16" t="n">
        <f aca="false">W34+0.18</f>
        <v>2.614</v>
      </c>
      <c r="H34" s="16" t="n">
        <f aca="false">G34+I34</f>
        <v>2.654</v>
      </c>
      <c r="I34" s="16" t="n">
        <f aca="false">RANDBETWEEN(-20,70)/1000</f>
        <v>0.04</v>
      </c>
      <c r="J34" s="16" t="n">
        <f aca="false">X34+0.18</f>
        <v>2.731</v>
      </c>
      <c r="K34" s="16" t="n">
        <f aca="false">J34+L34</f>
        <v>2.766</v>
      </c>
      <c r="L34" s="16" t="n">
        <f aca="false">RANDBETWEEN(-20,70)/1000</f>
        <v>0.035</v>
      </c>
      <c r="M34" s="16" t="n">
        <v>5.25</v>
      </c>
      <c r="N34" s="16" t="n">
        <f aca="false">+M34+O34</f>
        <v>5.2401</v>
      </c>
      <c r="O34" s="16" t="n">
        <f aca="false">RANDBETWEEN(-105,115)/10000</f>
        <v>-0.0099</v>
      </c>
      <c r="P34" s="16" t="n">
        <f aca="false">Y34+0.18</f>
        <v>2.614</v>
      </c>
      <c r="Q34" s="16" t="n">
        <f aca="false">P34+R34</f>
        <v>2.619</v>
      </c>
      <c r="R34" s="16" t="n">
        <f aca="false">RANDBETWEEN(-20,70)/1000</f>
        <v>0.005</v>
      </c>
      <c r="S34" s="17"/>
      <c r="T34" s="18" t="n">
        <v>20</v>
      </c>
      <c r="V34" s="19"/>
      <c r="W34" s="19" t="n">
        <f aca="false">'KTHH Lớp 2'!G34</f>
        <v>2.434</v>
      </c>
      <c r="X34" s="19" t="n">
        <f aca="false">'KTHH Lớp 2'!J34</f>
        <v>2.551</v>
      </c>
      <c r="Y34" s="19" t="n">
        <f aca="false">'KTHH Lớp 2'!P34</f>
        <v>2.434</v>
      </c>
    </row>
    <row r="35" s="10" customFormat="true" ht="18" hidden="false" customHeight="true" outlineLevel="0" collapsed="false">
      <c r="A35" s="13" t="n">
        <v>13</v>
      </c>
      <c r="B35" s="82" t="s">
        <v>35</v>
      </c>
      <c r="C35" s="15" t="n">
        <f aca="false">+C34+T34</f>
        <v>414.75</v>
      </c>
      <c r="D35" s="16" t="n">
        <v>-5.25</v>
      </c>
      <c r="E35" s="16" t="n">
        <f aca="false">+D35+F35</f>
        <v>-5.2449</v>
      </c>
      <c r="F35" s="16" t="n">
        <f aca="false">RANDBETWEEN(-105,115)/10000</f>
        <v>0.0051</v>
      </c>
      <c r="G35" s="16" t="n">
        <f aca="false">W35+0.18</f>
        <v>2.601</v>
      </c>
      <c r="H35" s="16" t="n">
        <f aca="false">G35+I35</f>
        <v>2.617</v>
      </c>
      <c r="I35" s="16" t="n">
        <f aca="false">RANDBETWEEN(-20,70)/1000</f>
        <v>0.016</v>
      </c>
      <c r="J35" s="16" t="n">
        <f aca="false">X35+0.18</f>
        <v>2.718</v>
      </c>
      <c r="K35" s="16" t="n">
        <f aca="false">J35+L35</f>
        <v>2.716</v>
      </c>
      <c r="L35" s="16" t="n">
        <f aca="false">RANDBETWEEN(-20,70)/1000</f>
        <v>-0.002</v>
      </c>
      <c r="M35" s="16" t="n">
        <v>5.25</v>
      </c>
      <c r="N35" s="16" t="n">
        <f aca="false">+M35+O35</f>
        <v>5.2527</v>
      </c>
      <c r="O35" s="16" t="n">
        <f aca="false">RANDBETWEEN(-105,115)/10000</f>
        <v>0.0027</v>
      </c>
      <c r="P35" s="16" t="n">
        <f aca="false">Y35+0.18</f>
        <v>2.601</v>
      </c>
      <c r="Q35" s="16" t="n">
        <f aca="false">P35+R35</f>
        <v>2.59</v>
      </c>
      <c r="R35" s="16" t="n">
        <f aca="false">RANDBETWEEN(-20,70)/1000</f>
        <v>-0.011</v>
      </c>
      <c r="S35" s="17"/>
      <c r="T35" s="18" t="n">
        <v>20</v>
      </c>
      <c r="V35" s="19"/>
      <c r="W35" s="19" t="n">
        <f aca="false">'KTHH Lớp 2'!G35</f>
        <v>2.421</v>
      </c>
      <c r="X35" s="19" t="n">
        <f aca="false">'KTHH Lớp 2'!J35</f>
        <v>2.538</v>
      </c>
      <c r="Y35" s="19" t="n">
        <f aca="false">'KTHH Lớp 2'!P35</f>
        <v>2.421</v>
      </c>
    </row>
    <row r="36" s="10" customFormat="true" ht="18" hidden="false" customHeight="true" outlineLevel="0" collapsed="false">
      <c r="A36" s="13" t="n">
        <v>14</v>
      </c>
      <c r="B36" s="82" t="s">
        <v>36</v>
      </c>
      <c r="C36" s="15" t="n">
        <f aca="false">+C35+T35</f>
        <v>434.75</v>
      </c>
      <c r="D36" s="16" t="n">
        <v>-5.25</v>
      </c>
      <c r="E36" s="16" t="n">
        <f aca="false">+D36+F36</f>
        <v>-5.2392</v>
      </c>
      <c r="F36" s="16" t="n">
        <f aca="false">RANDBETWEEN(-105,115)/10000</f>
        <v>0.0108</v>
      </c>
      <c r="G36" s="16" t="n">
        <f aca="false">W36+0.18</f>
        <v>2.588</v>
      </c>
      <c r="H36" s="16" t="n">
        <f aca="false">G36+I36</f>
        <v>2.626</v>
      </c>
      <c r="I36" s="16" t="n">
        <f aca="false">RANDBETWEEN(-20,70)/1000</f>
        <v>0.038</v>
      </c>
      <c r="J36" s="16" t="n">
        <f aca="false">X36+0.18</f>
        <v>2.705</v>
      </c>
      <c r="K36" s="16" t="n">
        <f aca="false">J36+L36</f>
        <v>2.746</v>
      </c>
      <c r="L36" s="16" t="n">
        <f aca="false">RANDBETWEEN(-20,70)/1000</f>
        <v>0.041</v>
      </c>
      <c r="M36" s="16" t="n">
        <v>5.25</v>
      </c>
      <c r="N36" s="16" t="n">
        <f aca="false">+M36+O36</f>
        <v>5.2458</v>
      </c>
      <c r="O36" s="16" t="n">
        <f aca="false">RANDBETWEEN(-105,115)/10000</f>
        <v>-0.0042</v>
      </c>
      <c r="P36" s="16" t="n">
        <f aca="false">Y36+0.18</f>
        <v>2.588</v>
      </c>
      <c r="Q36" s="16" t="n">
        <f aca="false">P36+R36</f>
        <v>2.579</v>
      </c>
      <c r="R36" s="16" t="n">
        <f aca="false">RANDBETWEEN(-20,70)/1000</f>
        <v>-0.009</v>
      </c>
      <c r="S36" s="17"/>
      <c r="T36" s="18" t="n">
        <v>20</v>
      </c>
      <c r="V36" s="19"/>
      <c r="W36" s="19" t="n">
        <f aca="false">'KTHH Lớp 2'!G36</f>
        <v>2.408</v>
      </c>
      <c r="X36" s="19" t="n">
        <f aca="false">'KTHH Lớp 2'!J36</f>
        <v>2.525</v>
      </c>
      <c r="Y36" s="19" t="n">
        <f aca="false">'KTHH Lớp 2'!P36</f>
        <v>2.408</v>
      </c>
    </row>
    <row r="37" s="10" customFormat="true" ht="18" hidden="false" customHeight="true" outlineLevel="0" collapsed="false">
      <c r="A37" s="13" t="n">
        <v>15</v>
      </c>
      <c r="B37" s="82" t="s">
        <v>37</v>
      </c>
      <c r="C37" s="15" t="n">
        <f aca="false">+C36+T36</f>
        <v>454.75</v>
      </c>
      <c r="D37" s="16" t="n">
        <v>-5.25</v>
      </c>
      <c r="E37" s="16" t="n">
        <f aca="false">+D37+F37</f>
        <v>-5.245</v>
      </c>
      <c r="F37" s="16" t="n">
        <f aca="false">RANDBETWEEN(-105,115)/10000</f>
        <v>0.005</v>
      </c>
      <c r="G37" s="16" t="n">
        <f aca="false">W37+0.18</f>
        <v>2.574</v>
      </c>
      <c r="H37" s="16" t="n">
        <f aca="false">G37+I37</f>
        <v>2.574</v>
      </c>
      <c r="I37" s="16" t="n">
        <f aca="false">RANDBETWEEN(-20,70)/1000</f>
        <v>0</v>
      </c>
      <c r="J37" s="16" t="n">
        <f aca="false">X37+0.18</f>
        <v>2.691</v>
      </c>
      <c r="K37" s="16" t="n">
        <f aca="false">J37+L37</f>
        <v>2.742</v>
      </c>
      <c r="L37" s="16" t="n">
        <f aca="false">RANDBETWEEN(-20,70)/1000</f>
        <v>0.051</v>
      </c>
      <c r="M37" s="16" t="n">
        <v>5.25</v>
      </c>
      <c r="N37" s="16" t="n">
        <f aca="false">+M37+O37</f>
        <v>5.2615</v>
      </c>
      <c r="O37" s="16" t="n">
        <f aca="false">RANDBETWEEN(-105,115)/10000</f>
        <v>0.0115</v>
      </c>
      <c r="P37" s="16" t="n">
        <f aca="false">Y37+0.18</f>
        <v>2.574</v>
      </c>
      <c r="Q37" s="16" t="n">
        <f aca="false">P37+R37</f>
        <v>2.599</v>
      </c>
      <c r="R37" s="16" t="n">
        <f aca="false">RANDBETWEEN(-20,70)/1000</f>
        <v>0.025</v>
      </c>
      <c r="S37" s="17"/>
      <c r="T37" s="18" t="n">
        <v>20</v>
      </c>
      <c r="V37" s="19"/>
      <c r="W37" s="19" t="n">
        <f aca="false">'KTHH Lớp 2'!G37</f>
        <v>2.394</v>
      </c>
      <c r="X37" s="19" t="n">
        <f aca="false">'KTHH Lớp 2'!J37</f>
        <v>2.511</v>
      </c>
      <c r="Y37" s="19" t="n">
        <f aca="false">'KTHH Lớp 2'!P37</f>
        <v>2.394</v>
      </c>
    </row>
    <row r="38" s="10" customFormat="true" ht="18" hidden="false" customHeight="true" outlineLevel="0" collapsed="false">
      <c r="A38" s="13" t="n">
        <v>16</v>
      </c>
      <c r="B38" s="82" t="s">
        <v>38</v>
      </c>
      <c r="C38" s="15" t="n">
        <f aca="false">+C37+T37</f>
        <v>474.75</v>
      </c>
      <c r="D38" s="16" t="n">
        <v>-5.25</v>
      </c>
      <c r="E38" s="16" t="n">
        <f aca="false">+D38+F38</f>
        <v>-5.243</v>
      </c>
      <c r="F38" s="16" t="n">
        <f aca="false">RANDBETWEEN(-105,115)/10000</f>
        <v>0.007</v>
      </c>
      <c r="G38" s="16" t="n">
        <f aca="false">W38+0.18</f>
        <v>2.561</v>
      </c>
      <c r="H38" s="16" t="n">
        <f aca="false">G38+I38</f>
        <v>2.573</v>
      </c>
      <c r="I38" s="16" t="n">
        <f aca="false">RANDBETWEEN(-20,70)/1000</f>
        <v>0.012</v>
      </c>
      <c r="J38" s="16" t="n">
        <f aca="false">X38+0.18</f>
        <v>2.678</v>
      </c>
      <c r="K38" s="16" t="n">
        <f aca="false">J38+L38</f>
        <v>2.702</v>
      </c>
      <c r="L38" s="16" t="n">
        <f aca="false">RANDBETWEEN(-20,70)/1000</f>
        <v>0.024</v>
      </c>
      <c r="M38" s="16" t="n">
        <v>5.25</v>
      </c>
      <c r="N38" s="16" t="n">
        <f aca="false">+M38+O38</f>
        <v>5.2486</v>
      </c>
      <c r="O38" s="16" t="n">
        <f aca="false">RANDBETWEEN(-105,115)/10000</f>
        <v>-0.0014</v>
      </c>
      <c r="P38" s="16" t="n">
        <f aca="false">Y38+0.18</f>
        <v>2.561</v>
      </c>
      <c r="Q38" s="16" t="n">
        <f aca="false">P38+R38</f>
        <v>2.553</v>
      </c>
      <c r="R38" s="16" t="n">
        <f aca="false">RANDBETWEEN(-20,70)/1000</f>
        <v>-0.008</v>
      </c>
      <c r="S38" s="17"/>
      <c r="T38" s="18" t="n">
        <v>14.44</v>
      </c>
      <c r="V38" s="19"/>
      <c r="W38" s="19" t="n">
        <f aca="false">'KTHH Lớp 2'!G38</f>
        <v>2.381</v>
      </c>
      <c r="X38" s="19" t="n">
        <f aca="false">'KTHH Lớp 2'!J38</f>
        <v>2.498</v>
      </c>
      <c r="Y38" s="19" t="n">
        <f aca="false">'KTHH Lớp 2'!P38</f>
        <v>2.381</v>
      </c>
    </row>
    <row r="39" s="10" customFormat="true" ht="18" hidden="false" customHeight="true" outlineLevel="0" collapsed="false">
      <c r="A39" s="13" t="n">
        <v>17</v>
      </c>
      <c r="B39" s="82" t="s">
        <v>39</v>
      </c>
      <c r="C39" s="15" t="n">
        <f aca="false">+C38+T38</f>
        <v>489.19</v>
      </c>
      <c r="D39" s="16" t="n">
        <v>-5.25</v>
      </c>
      <c r="E39" s="16" t="n">
        <f aca="false">+D39+F39</f>
        <v>-5.2512</v>
      </c>
      <c r="F39" s="16" t="n">
        <f aca="false">RANDBETWEEN(-105,115)/10000</f>
        <v>-0.0012</v>
      </c>
      <c r="G39" s="16" t="n">
        <f aca="false">W39+0.18</f>
        <v>2.552</v>
      </c>
      <c r="H39" s="16" t="n">
        <f aca="false">G39+I39</f>
        <v>2.605</v>
      </c>
      <c r="I39" s="16" t="n">
        <f aca="false">RANDBETWEEN(-20,70)/1000</f>
        <v>0.053</v>
      </c>
      <c r="J39" s="16" t="n">
        <f aca="false">X39+0.18</f>
        <v>2.669</v>
      </c>
      <c r="K39" s="16" t="n">
        <f aca="false">J39+L39</f>
        <v>2.66</v>
      </c>
      <c r="L39" s="16" t="n">
        <f aca="false">RANDBETWEEN(-20,70)/1000</f>
        <v>-0.009</v>
      </c>
      <c r="M39" s="16" t="n">
        <v>5.25</v>
      </c>
      <c r="N39" s="16" t="n">
        <f aca="false">+M39+O39</f>
        <v>5.2509</v>
      </c>
      <c r="O39" s="16" t="n">
        <f aca="false">RANDBETWEEN(-105,115)/10000</f>
        <v>0.0009</v>
      </c>
      <c r="P39" s="16" t="n">
        <f aca="false">Y39+0.18</f>
        <v>2.552</v>
      </c>
      <c r="Q39" s="16" t="n">
        <f aca="false">P39+R39</f>
        <v>2.606</v>
      </c>
      <c r="R39" s="16" t="n">
        <f aca="false">RANDBETWEEN(-20,70)/1000</f>
        <v>0.054</v>
      </c>
      <c r="S39" s="17"/>
      <c r="T39" s="18" t="n">
        <v>13.17</v>
      </c>
      <c r="V39" s="19"/>
      <c r="W39" s="19" t="n">
        <f aca="false">'KTHH Lớp 2'!G39</f>
        <v>2.372</v>
      </c>
      <c r="X39" s="19" t="n">
        <f aca="false">'KTHH Lớp 2'!J39</f>
        <v>2.489</v>
      </c>
      <c r="Y39" s="19" t="n">
        <f aca="false">'KTHH Lớp 2'!P39</f>
        <v>2.372</v>
      </c>
    </row>
    <row r="40" s="10" customFormat="true" ht="18" hidden="false" customHeight="true" outlineLevel="0" collapsed="false">
      <c r="A40" s="13" t="n">
        <v>18</v>
      </c>
      <c r="B40" s="82" t="s">
        <v>40</v>
      </c>
      <c r="C40" s="15" t="n">
        <f aca="false">+C39+T39</f>
        <v>502.36</v>
      </c>
      <c r="D40" s="16" t="n">
        <v>-5.25</v>
      </c>
      <c r="E40" s="16" t="n">
        <f aca="false">+D40+F40</f>
        <v>-5.2393</v>
      </c>
      <c r="F40" s="16" t="n">
        <f aca="false">RANDBETWEEN(-105,115)/10000</f>
        <v>0.0107</v>
      </c>
      <c r="G40" s="16" t="n">
        <f aca="false">W40+0.18</f>
        <v>2.544</v>
      </c>
      <c r="H40" s="16" t="n">
        <f aca="false">G40+I40</f>
        <v>2.605</v>
      </c>
      <c r="I40" s="16" t="n">
        <f aca="false">RANDBETWEEN(-20,70)/1000</f>
        <v>0.061</v>
      </c>
      <c r="J40" s="16" t="n">
        <f aca="false">X40+0.18</f>
        <v>2.661</v>
      </c>
      <c r="K40" s="16" t="n">
        <f aca="false">J40+L40</f>
        <v>2.656</v>
      </c>
      <c r="L40" s="16" t="n">
        <f aca="false">RANDBETWEEN(-20,70)/1000</f>
        <v>-0.005</v>
      </c>
      <c r="M40" s="16" t="n">
        <v>5.25</v>
      </c>
      <c r="N40" s="16" t="n">
        <f aca="false">+M40+O40</f>
        <v>5.2534</v>
      </c>
      <c r="O40" s="16" t="n">
        <f aca="false">RANDBETWEEN(-105,115)/10000</f>
        <v>0.0034</v>
      </c>
      <c r="P40" s="16" t="n">
        <f aca="false">Y40+0.18</f>
        <v>2.544</v>
      </c>
      <c r="Q40" s="16" t="n">
        <f aca="false">P40+R40</f>
        <v>2.559</v>
      </c>
      <c r="R40" s="16" t="n">
        <f aca="false">RANDBETWEEN(-20,70)/1000</f>
        <v>0.015</v>
      </c>
      <c r="S40" s="17"/>
      <c r="T40" s="18" t="n">
        <v>10.48</v>
      </c>
      <c r="V40" s="19"/>
      <c r="W40" s="19" t="n">
        <f aca="false">'KTHH Lớp 2'!G40</f>
        <v>2.364</v>
      </c>
      <c r="X40" s="19" t="n">
        <f aca="false">'KTHH Lớp 2'!J40</f>
        <v>2.481</v>
      </c>
      <c r="Y40" s="19" t="n">
        <f aca="false">'KTHH Lớp 2'!P40</f>
        <v>2.364</v>
      </c>
    </row>
    <row r="41" s="10" customFormat="true" ht="18" hidden="false" customHeight="true" outlineLevel="0" collapsed="false">
      <c r="A41" s="13" t="n">
        <v>19</v>
      </c>
      <c r="B41" s="82" t="s">
        <v>41</v>
      </c>
      <c r="C41" s="15" t="n">
        <f aca="false">+C40+T40</f>
        <v>512.84</v>
      </c>
      <c r="D41" s="16" t="n">
        <v>-5.25</v>
      </c>
      <c r="E41" s="16" t="n">
        <f aca="false">+D41+F41</f>
        <v>-5.2493</v>
      </c>
      <c r="F41" s="16" t="n">
        <f aca="false">RANDBETWEEN(-105,115)/10000</f>
        <v>0.0007</v>
      </c>
      <c r="G41" s="16" t="n">
        <f aca="false">W41+0.18</f>
        <v>2.538</v>
      </c>
      <c r="H41" s="16" t="n">
        <f aca="false">G41+I41</f>
        <v>2.574</v>
      </c>
      <c r="I41" s="16" t="n">
        <f aca="false">RANDBETWEEN(-20,70)/1000</f>
        <v>0.036</v>
      </c>
      <c r="J41" s="16" t="n">
        <f aca="false">X41+0.18</f>
        <v>2.655</v>
      </c>
      <c r="K41" s="16" t="n">
        <f aca="false">J41+L41</f>
        <v>2.672</v>
      </c>
      <c r="L41" s="16" t="n">
        <f aca="false">RANDBETWEEN(-20,70)/1000</f>
        <v>0.017</v>
      </c>
      <c r="M41" s="16" t="n">
        <v>5.25</v>
      </c>
      <c r="N41" s="16" t="n">
        <f aca="false">+M41+O41</f>
        <v>5.24</v>
      </c>
      <c r="O41" s="16" t="n">
        <f aca="false">RANDBETWEEN(-105,115)/10000</f>
        <v>-0.01</v>
      </c>
      <c r="P41" s="16" t="n">
        <f aca="false">Y41+0.18</f>
        <v>2.538</v>
      </c>
      <c r="Q41" s="16" t="n">
        <f aca="false">P41+R41</f>
        <v>2.566</v>
      </c>
      <c r="R41" s="16" t="n">
        <f aca="false">RANDBETWEEN(-20,70)/1000</f>
        <v>0.028</v>
      </c>
      <c r="S41" s="17"/>
      <c r="T41" s="18" t="n">
        <v>16.78</v>
      </c>
      <c r="V41" s="19"/>
      <c r="W41" s="19" t="n">
        <f aca="false">'KTHH Lớp 2'!G41</f>
        <v>2.358</v>
      </c>
      <c r="X41" s="19" t="n">
        <f aca="false">'KTHH Lớp 2'!J41</f>
        <v>2.475</v>
      </c>
      <c r="Y41" s="19" t="n">
        <f aca="false">'KTHH Lớp 2'!P41</f>
        <v>2.358</v>
      </c>
    </row>
    <row r="42" s="10" customFormat="true" ht="18" hidden="false" customHeight="true" outlineLevel="0" collapsed="false">
      <c r="A42" s="13" t="n">
        <v>20</v>
      </c>
      <c r="B42" s="82" t="s">
        <v>42</v>
      </c>
      <c r="C42" s="15" t="n">
        <f aca="false">+C41+T41</f>
        <v>529.62</v>
      </c>
      <c r="D42" s="16" t="n">
        <v>-5.25</v>
      </c>
      <c r="E42" s="16" t="n">
        <f aca="false">+D42+F42</f>
        <v>-5.2385</v>
      </c>
      <c r="F42" s="16" t="n">
        <f aca="false">RANDBETWEEN(-105,115)/10000</f>
        <v>0.0115</v>
      </c>
      <c r="G42" s="16" t="n">
        <f aca="false">W42+0.18</f>
        <v>2.529</v>
      </c>
      <c r="H42" s="16" t="n">
        <f aca="false">G42+I42</f>
        <v>2.597</v>
      </c>
      <c r="I42" s="16" t="n">
        <f aca="false">RANDBETWEEN(-20,70)/1000</f>
        <v>0.068</v>
      </c>
      <c r="J42" s="16" t="n">
        <f aca="false">X42+0.18</f>
        <v>2.646</v>
      </c>
      <c r="K42" s="16" t="n">
        <f aca="false">J42+L42</f>
        <v>2.679</v>
      </c>
      <c r="L42" s="16" t="n">
        <f aca="false">RANDBETWEEN(-20,70)/1000</f>
        <v>0.033</v>
      </c>
      <c r="M42" s="16" t="n">
        <v>5.25</v>
      </c>
      <c r="N42" s="16" t="n">
        <f aca="false">+M42+O42</f>
        <v>5.2425</v>
      </c>
      <c r="O42" s="16" t="n">
        <f aca="false">RANDBETWEEN(-105,115)/10000</f>
        <v>-0.0075</v>
      </c>
      <c r="P42" s="16" t="n">
        <f aca="false">Y42+0.18</f>
        <v>2.529</v>
      </c>
      <c r="Q42" s="16" t="n">
        <f aca="false">P42+R42</f>
        <v>2.58</v>
      </c>
      <c r="R42" s="16" t="n">
        <f aca="false">RANDBETWEEN(-20,70)/1000</f>
        <v>0.051</v>
      </c>
      <c r="S42" s="17"/>
      <c r="T42" s="18" t="n">
        <v>17.1</v>
      </c>
      <c r="V42" s="19"/>
      <c r="W42" s="19" t="n">
        <f aca="false">'KTHH Lớp 2'!G42</f>
        <v>2.349</v>
      </c>
      <c r="X42" s="19" t="n">
        <f aca="false">'KTHH Lớp 2'!J42</f>
        <v>2.466</v>
      </c>
      <c r="Y42" s="19" t="n">
        <f aca="false">'KTHH Lớp 2'!P42</f>
        <v>2.349</v>
      </c>
    </row>
    <row r="43" s="10" customFormat="true" ht="18" hidden="false" customHeight="true" outlineLevel="0" collapsed="false">
      <c r="A43" s="13" t="n">
        <v>21</v>
      </c>
      <c r="B43" s="82" t="s">
        <v>43</v>
      </c>
      <c r="C43" s="15" t="n">
        <f aca="false">+C42+T42</f>
        <v>546.72</v>
      </c>
      <c r="D43" s="16" t="n">
        <v>-5.25</v>
      </c>
      <c r="E43" s="16" t="n">
        <f aca="false">+D43+F43</f>
        <v>-5.2568</v>
      </c>
      <c r="F43" s="16" t="n">
        <f aca="false">RANDBETWEEN(-105,115)/10000</f>
        <v>-0.0068</v>
      </c>
      <c r="G43" s="16" t="n">
        <f aca="false">W43+0.18</f>
        <v>2.521</v>
      </c>
      <c r="H43" s="16" t="n">
        <f aca="false">G43+I43</f>
        <v>2.506</v>
      </c>
      <c r="I43" s="16" t="n">
        <f aca="false">RANDBETWEEN(-20,70)/1000</f>
        <v>-0.015</v>
      </c>
      <c r="J43" s="16" t="n">
        <f aca="false">X43+0.18</f>
        <v>2.638</v>
      </c>
      <c r="K43" s="16" t="n">
        <f aca="false">J43+L43</f>
        <v>2.666</v>
      </c>
      <c r="L43" s="16" t="n">
        <f aca="false">RANDBETWEEN(-20,70)/1000</f>
        <v>0.028</v>
      </c>
      <c r="M43" s="16" t="n">
        <v>5.25</v>
      </c>
      <c r="N43" s="16" t="n">
        <f aca="false">+M43+O43</f>
        <v>5.2514</v>
      </c>
      <c r="O43" s="16" t="n">
        <f aca="false">RANDBETWEEN(-105,115)/10000</f>
        <v>0.0014</v>
      </c>
      <c r="P43" s="16" t="n">
        <f aca="false">Y43+0.18</f>
        <v>2.521</v>
      </c>
      <c r="Q43" s="16" t="n">
        <f aca="false">P43+R43</f>
        <v>2.555</v>
      </c>
      <c r="R43" s="16" t="n">
        <f aca="false">RANDBETWEEN(-20,70)/1000</f>
        <v>0.034</v>
      </c>
      <c r="S43" s="17"/>
      <c r="T43" s="18" t="n">
        <v>15.15</v>
      </c>
      <c r="V43" s="19"/>
      <c r="W43" s="19" t="n">
        <f aca="false">'KTHH Lớp 2'!G43</f>
        <v>2.341</v>
      </c>
      <c r="X43" s="19" t="n">
        <f aca="false">'KTHH Lớp 2'!J43</f>
        <v>2.458</v>
      </c>
      <c r="Y43" s="19" t="n">
        <f aca="false">'KTHH Lớp 2'!P43</f>
        <v>2.341</v>
      </c>
    </row>
    <row r="44" s="10" customFormat="true" ht="18" hidden="false" customHeight="true" outlineLevel="0" collapsed="false">
      <c r="A44" s="13" t="n">
        <v>22</v>
      </c>
      <c r="B44" s="82" t="s">
        <v>44</v>
      </c>
      <c r="C44" s="15" t="n">
        <f aca="false">+C43+T43</f>
        <v>561.87</v>
      </c>
      <c r="D44" s="16" t="n">
        <v>-5.25</v>
      </c>
      <c r="E44" s="16" t="n">
        <f aca="false">+D44+F44</f>
        <v>-5.2463</v>
      </c>
      <c r="F44" s="16" t="n">
        <f aca="false">RANDBETWEEN(-105,115)/10000</f>
        <v>0.0037</v>
      </c>
      <c r="G44" s="16" t="n">
        <f aca="false">W44+0.18</f>
        <v>2.518</v>
      </c>
      <c r="H44" s="16" t="n">
        <f aca="false">G44+I44</f>
        <v>2.511</v>
      </c>
      <c r="I44" s="16" t="n">
        <f aca="false">RANDBETWEEN(-20,70)/1000</f>
        <v>-0.007</v>
      </c>
      <c r="J44" s="16" t="n">
        <f aca="false">X44+0.18</f>
        <v>2.635</v>
      </c>
      <c r="K44" s="16" t="n">
        <f aca="false">J44+L44</f>
        <v>2.674</v>
      </c>
      <c r="L44" s="16" t="n">
        <f aca="false">RANDBETWEEN(-20,70)/1000</f>
        <v>0.039</v>
      </c>
      <c r="M44" s="16" t="n">
        <v>5.25</v>
      </c>
      <c r="N44" s="16" t="n">
        <f aca="false">+M44+O44</f>
        <v>5.2421</v>
      </c>
      <c r="O44" s="16" t="n">
        <f aca="false">RANDBETWEEN(-105,115)/10000</f>
        <v>-0.0079</v>
      </c>
      <c r="P44" s="16" t="n">
        <f aca="false">Y44+0.18</f>
        <v>2.518</v>
      </c>
      <c r="Q44" s="16" t="n">
        <f aca="false">P44+R44</f>
        <v>2.558</v>
      </c>
      <c r="R44" s="16" t="n">
        <f aca="false">RANDBETWEEN(-20,70)/1000</f>
        <v>0.04</v>
      </c>
      <c r="S44" s="17"/>
      <c r="T44" s="18" t="n">
        <v>0.15</v>
      </c>
      <c r="V44" s="19"/>
      <c r="W44" s="19" t="n">
        <f aca="false">'KTHH Lớp 2'!G44</f>
        <v>2.338</v>
      </c>
      <c r="X44" s="19" t="n">
        <f aca="false">'KTHH Lớp 2'!J44</f>
        <v>2.455</v>
      </c>
      <c r="Y44" s="19" t="n">
        <f aca="false">'KTHH Lớp 2'!P44</f>
        <v>2.338</v>
      </c>
    </row>
    <row r="45" s="10" customFormat="true" ht="18" hidden="false" customHeight="true" outlineLevel="0" collapsed="false">
      <c r="A45" s="13" t="n">
        <v>23</v>
      </c>
      <c r="B45" s="82" t="s">
        <v>45</v>
      </c>
      <c r="C45" s="15" t="n">
        <f aca="false">+C44+T44</f>
        <v>562.02</v>
      </c>
      <c r="D45" s="16" t="n">
        <v>-5.25</v>
      </c>
      <c r="E45" s="16" t="n">
        <f aca="false">+D45+F45</f>
        <v>-5.2528</v>
      </c>
      <c r="F45" s="16" t="n">
        <f aca="false">RANDBETWEEN(-105,115)/10000</f>
        <v>-0.0028</v>
      </c>
      <c r="G45" s="16" t="n">
        <f aca="false">W45+0.18</f>
        <v>2.518</v>
      </c>
      <c r="H45" s="16" t="n">
        <f aca="false">G45+I45</f>
        <v>2.505</v>
      </c>
      <c r="I45" s="16" t="n">
        <f aca="false">RANDBETWEEN(-20,70)/1000</f>
        <v>-0.013</v>
      </c>
      <c r="J45" s="16" t="n">
        <f aca="false">X45+0.18</f>
        <v>2.635</v>
      </c>
      <c r="K45" s="16" t="n">
        <f aca="false">J45+L45</f>
        <v>2.666</v>
      </c>
      <c r="L45" s="16" t="n">
        <f aca="false">RANDBETWEEN(-20,70)/1000</f>
        <v>0.031</v>
      </c>
      <c r="M45" s="16" t="n">
        <v>5.25</v>
      </c>
      <c r="N45" s="16" t="n">
        <f aca="false">+M45+O45</f>
        <v>5.2454</v>
      </c>
      <c r="O45" s="16" t="n">
        <f aca="false">RANDBETWEEN(-105,115)/10000</f>
        <v>-0.0046</v>
      </c>
      <c r="P45" s="16" t="n">
        <f aca="false">Y45+0.18</f>
        <v>2.518</v>
      </c>
      <c r="Q45" s="16" t="n">
        <f aca="false">P45+R45</f>
        <v>2.584</v>
      </c>
      <c r="R45" s="16" t="n">
        <f aca="false">RANDBETWEEN(-20,70)/1000</f>
        <v>0.066</v>
      </c>
      <c r="S45" s="17"/>
      <c r="T45" s="18" t="n">
        <v>6.55</v>
      </c>
      <c r="V45" s="19"/>
      <c r="W45" s="19" t="n">
        <f aca="false">'KTHH Lớp 2'!G45</f>
        <v>2.338</v>
      </c>
      <c r="X45" s="19" t="n">
        <f aca="false">'KTHH Lớp 2'!J45</f>
        <v>2.455</v>
      </c>
      <c r="Y45" s="19" t="n">
        <f aca="false">'KTHH Lớp 2'!P45</f>
        <v>2.338</v>
      </c>
    </row>
    <row r="46" s="10" customFormat="true" ht="18" hidden="false" customHeight="true" outlineLevel="0" collapsed="false">
      <c r="A46" s="13" t="n">
        <v>24</v>
      </c>
      <c r="B46" s="82" t="s">
        <v>46</v>
      </c>
      <c r="C46" s="15" t="n">
        <f aca="false">+C45+T45</f>
        <v>568.57</v>
      </c>
      <c r="D46" s="16" t="n">
        <v>-5.25</v>
      </c>
      <c r="E46" s="16" t="n">
        <f aca="false">+D46+F46</f>
        <v>-5.2516</v>
      </c>
      <c r="F46" s="16" t="n">
        <f aca="false">RANDBETWEEN(-105,115)/10000</f>
        <v>-0.0016</v>
      </c>
      <c r="G46" s="16" t="n">
        <f aca="false">W46+0.18</f>
        <v>2.517</v>
      </c>
      <c r="H46" s="16" t="n">
        <f aca="false">G46+I46</f>
        <v>2.546</v>
      </c>
      <c r="I46" s="16" t="n">
        <f aca="false">RANDBETWEEN(-20,70)/1000</f>
        <v>0.029</v>
      </c>
      <c r="J46" s="16" t="n">
        <f aca="false">X46+0.18</f>
        <v>2.634</v>
      </c>
      <c r="K46" s="16" t="n">
        <f aca="false">J46+L46</f>
        <v>2.627</v>
      </c>
      <c r="L46" s="16" t="n">
        <f aca="false">RANDBETWEEN(-20,70)/1000</f>
        <v>-0.007</v>
      </c>
      <c r="M46" s="16" t="n">
        <v>5.25</v>
      </c>
      <c r="N46" s="16" t="n">
        <f aca="false">+M46+O46</f>
        <v>5.2503</v>
      </c>
      <c r="O46" s="16" t="n">
        <f aca="false">RANDBETWEEN(-105,115)/10000</f>
        <v>0.0003</v>
      </c>
      <c r="P46" s="16" t="n">
        <f aca="false">Y46+0.18</f>
        <v>2.517</v>
      </c>
      <c r="Q46" s="16" t="n">
        <f aca="false">P46+R46</f>
        <v>2.573</v>
      </c>
      <c r="R46" s="16" t="n">
        <f aca="false">RANDBETWEEN(-20,70)/1000</f>
        <v>0.056</v>
      </c>
      <c r="S46" s="17"/>
      <c r="T46" s="18" t="n">
        <v>6.55</v>
      </c>
      <c r="V46" s="19"/>
      <c r="W46" s="19" t="n">
        <f aca="false">'KTHH Lớp 2'!G46</f>
        <v>2.337</v>
      </c>
      <c r="X46" s="19" t="n">
        <f aca="false">'KTHH Lớp 2'!J46</f>
        <v>2.454</v>
      </c>
      <c r="Y46" s="19" t="n">
        <f aca="false">'KTHH Lớp 2'!P46</f>
        <v>2.337</v>
      </c>
    </row>
    <row r="47" s="10" customFormat="true" ht="18" hidden="false" customHeight="true" outlineLevel="0" collapsed="false">
      <c r="A47" s="13" t="n">
        <v>25</v>
      </c>
      <c r="B47" s="82" t="s">
        <v>47</v>
      </c>
      <c r="C47" s="15" t="n">
        <f aca="false">+C46+T46</f>
        <v>575.12</v>
      </c>
      <c r="D47" s="16" t="n">
        <v>-5.25</v>
      </c>
      <c r="E47" s="16" t="n">
        <f aca="false">+D47+F47</f>
        <v>-5.2476</v>
      </c>
      <c r="F47" s="16" t="n">
        <f aca="false">RANDBETWEEN(-105,115)/10000</f>
        <v>0.0024</v>
      </c>
      <c r="G47" s="16" t="n">
        <f aca="false">W47+0.18</f>
        <v>2.515</v>
      </c>
      <c r="H47" s="16" t="n">
        <f aca="false">G47+I47</f>
        <v>2.582</v>
      </c>
      <c r="I47" s="16" t="n">
        <f aca="false">RANDBETWEEN(-20,70)/1000</f>
        <v>0.067</v>
      </c>
      <c r="J47" s="16" t="n">
        <f aca="false">X47+0.18</f>
        <v>2.632</v>
      </c>
      <c r="K47" s="16" t="n">
        <f aca="false">J47+L47</f>
        <v>2.62</v>
      </c>
      <c r="L47" s="16" t="n">
        <f aca="false">RANDBETWEEN(-20,70)/1000</f>
        <v>-0.012</v>
      </c>
      <c r="M47" s="16" t="n">
        <v>5.25</v>
      </c>
      <c r="N47" s="16" t="n">
        <f aca="false">+M47+O47</f>
        <v>5.241</v>
      </c>
      <c r="O47" s="16" t="n">
        <f aca="false">RANDBETWEEN(-105,115)/10000</f>
        <v>-0.009</v>
      </c>
      <c r="P47" s="16" t="n">
        <f aca="false">Y47+0.18</f>
        <v>2.515</v>
      </c>
      <c r="Q47" s="16" t="n">
        <f aca="false">P47+R47</f>
        <v>2.511</v>
      </c>
      <c r="R47" s="16" t="n">
        <f aca="false">RANDBETWEEN(-20,70)/1000</f>
        <v>-0.004</v>
      </c>
      <c r="S47" s="17"/>
      <c r="T47" s="18" t="n">
        <v>0.04</v>
      </c>
      <c r="V47" s="19"/>
      <c r="W47" s="19" t="n">
        <f aca="false">'KTHH Lớp 2'!G47</f>
        <v>2.335</v>
      </c>
      <c r="X47" s="19" t="n">
        <f aca="false">'KTHH Lớp 2'!J47</f>
        <v>2.452</v>
      </c>
      <c r="Y47" s="19" t="n">
        <f aca="false">'KTHH Lớp 2'!P47</f>
        <v>2.335</v>
      </c>
    </row>
    <row r="48" s="10" customFormat="true" ht="18" hidden="false" customHeight="true" outlineLevel="0" collapsed="false">
      <c r="A48" s="13" t="n">
        <v>26</v>
      </c>
      <c r="B48" s="82" t="s">
        <v>48</v>
      </c>
      <c r="C48" s="15" t="n">
        <f aca="false">+C47+T47</f>
        <v>575.16</v>
      </c>
      <c r="D48" s="16" t="n">
        <v>-5.25</v>
      </c>
      <c r="E48" s="16" t="n">
        <f aca="false">+D48+F48</f>
        <v>-5.2404</v>
      </c>
      <c r="F48" s="16" t="n">
        <f aca="false">RANDBETWEEN(-105,115)/10000</f>
        <v>0.0096</v>
      </c>
      <c r="G48" s="16" t="n">
        <f aca="false">W48+0.18</f>
        <v>2.515</v>
      </c>
      <c r="H48" s="16" t="n">
        <f aca="false">G48+I48</f>
        <v>2.554</v>
      </c>
      <c r="I48" s="16" t="n">
        <f aca="false">RANDBETWEEN(-20,70)/1000</f>
        <v>0.039</v>
      </c>
      <c r="J48" s="16" t="n">
        <f aca="false">X48+0.18</f>
        <v>2.632</v>
      </c>
      <c r="K48" s="16" t="n">
        <f aca="false">J48+L48</f>
        <v>2.697</v>
      </c>
      <c r="L48" s="16" t="n">
        <f aca="false">RANDBETWEEN(-20,70)/1000</f>
        <v>0.065</v>
      </c>
      <c r="M48" s="16" t="n">
        <v>5.25</v>
      </c>
      <c r="N48" s="16" t="n">
        <f aca="false">+M48+O48</f>
        <v>5.2453</v>
      </c>
      <c r="O48" s="16" t="n">
        <f aca="false">RANDBETWEEN(-105,115)/10000</f>
        <v>-0.0047</v>
      </c>
      <c r="P48" s="16" t="n">
        <f aca="false">Y48+0.18</f>
        <v>2.515</v>
      </c>
      <c r="Q48" s="16" t="n">
        <f aca="false">P48+R48</f>
        <v>2.51</v>
      </c>
      <c r="R48" s="16" t="n">
        <f aca="false">RANDBETWEEN(-20,70)/1000</f>
        <v>-0.005</v>
      </c>
      <c r="S48" s="17"/>
      <c r="T48" s="18" t="n">
        <v>16.95</v>
      </c>
      <c r="V48" s="19"/>
      <c r="W48" s="19" t="n">
        <f aca="false">'KTHH Lớp 2'!G48</f>
        <v>2.335</v>
      </c>
      <c r="X48" s="19" t="n">
        <f aca="false">'KTHH Lớp 2'!J48</f>
        <v>2.452</v>
      </c>
      <c r="Y48" s="19" t="n">
        <f aca="false">'KTHH Lớp 2'!P48</f>
        <v>2.335</v>
      </c>
    </row>
    <row r="49" s="10" customFormat="true" ht="18" hidden="false" customHeight="true" outlineLevel="0" collapsed="false">
      <c r="A49" s="13" t="n">
        <v>27</v>
      </c>
      <c r="B49" s="82" t="s">
        <v>49</v>
      </c>
      <c r="C49" s="15" t="n">
        <f aca="false">+C48+T48</f>
        <v>592.11</v>
      </c>
      <c r="D49" s="16" t="n">
        <v>-5.25</v>
      </c>
      <c r="E49" s="16" t="n">
        <f aca="false">+D49+F49</f>
        <v>-5.2498</v>
      </c>
      <c r="F49" s="16" t="n">
        <f aca="false">RANDBETWEEN(-105,115)/10000</f>
        <v>0.0002</v>
      </c>
      <c r="G49" s="16" t="n">
        <f aca="false">W49+0.18</f>
        <v>2.518</v>
      </c>
      <c r="H49" s="16" t="n">
        <f aca="false">G49+I49</f>
        <v>2.588</v>
      </c>
      <c r="I49" s="16" t="n">
        <f aca="false">RANDBETWEEN(-20,70)/1000</f>
        <v>0.07</v>
      </c>
      <c r="J49" s="16" t="n">
        <f aca="false">X49+0.18</f>
        <v>2.635</v>
      </c>
      <c r="K49" s="16" t="n">
        <f aca="false">J49+L49</f>
        <v>2.617</v>
      </c>
      <c r="L49" s="16" t="n">
        <f aca="false">RANDBETWEEN(-20,70)/1000</f>
        <v>-0.018</v>
      </c>
      <c r="M49" s="16" t="n">
        <v>5.25</v>
      </c>
      <c r="N49" s="16" t="n">
        <f aca="false">+M49+O49</f>
        <v>5.2566</v>
      </c>
      <c r="O49" s="16" t="n">
        <f aca="false">RANDBETWEEN(-105,115)/10000</f>
        <v>0.0066</v>
      </c>
      <c r="P49" s="16" t="n">
        <f aca="false">Y49+0.18</f>
        <v>2.518</v>
      </c>
      <c r="Q49" s="16" t="n">
        <f aca="false">P49+R49</f>
        <v>2.536</v>
      </c>
      <c r="R49" s="16" t="n">
        <f aca="false">RANDBETWEEN(-20,70)/1000</f>
        <v>0.018</v>
      </c>
      <c r="S49" s="17"/>
      <c r="T49" s="18" t="n">
        <v>17</v>
      </c>
      <c r="V49" s="19"/>
      <c r="W49" s="19" t="n">
        <f aca="false">'KTHH Lớp 2'!G49</f>
        <v>2.338</v>
      </c>
      <c r="X49" s="19" t="n">
        <f aca="false">'KTHH Lớp 2'!J49</f>
        <v>2.455</v>
      </c>
      <c r="Y49" s="19" t="n">
        <f aca="false">'KTHH Lớp 2'!P49</f>
        <v>2.338</v>
      </c>
    </row>
    <row r="50" s="10" customFormat="true" ht="18" hidden="false" customHeight="true" outlineLevel="0" collapsed="false">
      <c r="A50" s="13" t="n">
        <v>28</v>
      </c>
      <c r="B50" s="82" t="s">
        <v>50</v>
      </c>
      <c r="C50" s="15" t="n">
        <f aca="false">+C49+T49</f>
        <v>609.11</v>
      </c>
      <c r="D50" s="16" t="n">
        <v>-5.25</v>
      </c>
      <c r="E50" s="16" t="n">
        <f aca="false">+D50+F50</f>
        <v>-5.2456</v>
      </c>
      <c r="F50" s="16" t="n">
        <f aca="false">RANDBETWEEN(-105,115)/10000</f>
        <v>0.0044</v>
      </c>
      <c r="G50" s="16" t="n">
        <f aca="false">W50+0.18</f>
        <v>2.521</v>
      </c>
      <c r="H50" s="16" t="n">
        <f aca="false">G50+I50</f>
        <v>2.577</v>
      </c>
      <c r="I50" s="16" t="n">
        <f aca="false">RANDBETWEEN(-20,70)/1000</f>
        <v>0.056</v>
      </c>
      <c r="J50" s="16" t="n">
        <f aca="false">X50+0.18</f>
        <v>2.638</v>
      </c>
      <c r="K50" s="16" t="n">
        <f aca="false">J50+L50</f>
        <v>2.637</v>
      </c>
      <c r="L50" s="16" t="n">
        <f aca="false">RANDBETWEEN(-20,70)/1000</f>
        <v>-0.001</v>
      </c>
      <c r="M50" s="16" t="n">
        <v>5.25</v>
      </c>
      <c r="N50" s="16" t="n">
        <f aca="false">+M50+O50</f>
        <v>5.2428</v>
      </c>
      <c r="O50" s="16" t="n">
        <f aca="false">RANDBETWEEN(-105,115)/10000</f>
        <v>-0.0072</v>
      </c>
      <c r="P50" s="16" t="n">
        <f aca="false">Y50+0.18</f>
        <v>2.521</v>
      </c>
      <c r="Q50" s="16" t="n">
        <f aca="false">P50+R50</f>
        <v>2.502</v>
      </c>
      <c r="R50" s="16" t="n">
        <f aca="false">RANDBETWEEN(-20,70)/1000</f>
        <v>-0.019</v>
      </c>
      <c r="S50" s="17"/>
      <c r="T50" s="18" t="n">
        <v>11.75</v>
      </c>
      <c r="V50" s="19"/>
      <c r="W50" s="19" t="n">
        <f aca="false">'KTHH Lớp 2'!G50</f>
        <v>2.341</v>
      </c>
      <c r="X50" s="19" t="n">
        <f aca="false">'KTHH Lớp 2'!J50</f>
        <v>2.458</v>
      </c>
      <c r="Y50" s="19" t="n">
        <f aca="false">'KTHH Lớp 2'!P50</f>
        <v>2.341</v>
      </c>
    </row>
    <row r="51" s="10" customFormat="true" ht="18" hidden="false" customHeight="true" outlineLevel="0" collapsed="false">
      <c r="A51" s="13" t="n">
        <v>29</v>
      </c>
      <c r="B51" s="82" t="s">
        <v>51</v>
      </c>
      <c r="C51" s="15" t="n">
        <f aca="false">+C50+T50</f>
        <v>620.86</v>
      </c>
      <c r="D51" s="16" t="n">
        <v>-5.25</v>
      </c>
      <c r="E51" s="16" t="n">
        <f aca="false">+D51+F51</f>
        <v>-5.2492</v>
      </c>
      <c r="F51" s="16" t="n">
        <f aca="false">RANDBETWEEN(-105,115)/10000</f>
        <v>0.0008</v>
      </c>
      <c r="G51" s="16" t="n">
        <f aca="false">W51+0.18</f>
        <v>2.522</v>
      </c>
      <c r="H51" s="16" t="n">
        <f aca="false">G51+I51</f>
        <v>2.514</v>
      </c>
      <c r="I51" s="16" t="n">
        <f aca="false">RANDBETWEEN(-20,70)/1000</f>
        <v>-0.008</v>
      </c>
      <c r="J51" s="16" t="n">
        <f aca="false">X51+0.18</f>
        <v>2.639</v>
      </c>
      <c r="K51" s="16" t="n">
        <f aca="false">J51+L51</f>
        <v>2.697</v>
      </c>
      <c r="L51" s="16" t="n">
        <f aca="false">RANDBETWEEN(-20,70)/1000</f>
        <v>0.058</v>
      </c>
      <c r="M51" s="16" t="n">
        <v>5.25</v>
      </c>
      <c r="N51" s="16" t="n">
        <f aca="false">+M51+O51</f>
        <v>5.2509</v>
      </c>
      <c r="O51" s="16" t="n">
        <f aca="false">RANDBETWEEN(-105,115)/10000</f>
        <v>0.0009</v>
      </c>
      <c r="P51" s="16" t="n">
        <f aca="false">Y51+0.18</f>
        <v>2.522</v>
      </c>
      <c r="Q51" s="16" t="n">
        <f aca="false">P51+R51</f>
        <v>2.575</v>
      </c>
      <c r="R51" s="16" t="n">
        <f aca="false">RANDBETWEEN(-20,70)/1000</f>
        <v>0.053</v>
      </c>
      <c r="S51" s="17"/>
      <c r="T51" s="18" t="n">
        <v>11.75</v>
      </c>
      <c r="V51" s="19"/>
      <c r="W51" s="19" t="n">
        <f aca="false">'KTHH Lớp 2'!G51</f>
        <v>2.342</v>
      </c>
      <c r="X51" s="19" t="n">
        <f aca="false">'KTHH Lớp 2'!J51</f>
        <v>2.459</v>
      </c>
      <c r="Y51" s="19" t="n">
        <f aca="false">'KTHH Lớp 2'!P51</f>
        <v>2.342</v>
      </c>
    </row>
    <row r="52" s="10" customFormat="true" ht="18" hidden="false" customHeight="true" outlineLevel="0" collapsed="false">
      <c r="A52" s="13" t="n">
        <v>30</v>
      </c>
      <c r="B52" s="82" t="s">
        <v>52</v>
      </c>
      <c r="C52" s="15" t="n">
        <f aca="false">+C51+T51</f>
        <v>632.61</v>
      </c>
      <c r="D52" s="16" t="n">
        <v>-5.25</v>
      </c>
      <c r="E52" s="16" t="n">
        <f aca="false">+D52+F52</f>
        <v>-5.2477</v>
      </c>
      <c r="F52" s="16" t="n">
        <f aca="false">RANDBETWEEN(-105,115)/10000</f>
        <v>0.0023</v>
      </c>
      <c r="G52" s="16" t="n">
        <f aca="false">W52+0.18</f>
        <v>2.524</v>
      </c>
      <c r="H52" s="16" t="n">
        <f aca="false">G52+I52</f>
        <v>2.582</v>
      </c>
      <c r="I52" s="16" t="n">
        <f aca="false">RANDBETWEEN(-20,70)/1000</f>
        <v>0.058</v>
      </c>
      <c r="J52" s="16" t="n">
        <f aca="false">X52+0.18</f>
        <v>2.641</v>
      </c>
      <c r="K52" s="16" t="n">
        <f aca="false">J52+L52</f>
        <v>2.681</v>
      </c>
      <c r="L52" s="16" t="n">
        <f aca="false">RANDBETWEEN(-20,70)/1000</f>
        <v>0.04</v>
      </c>
      <c r="M52" s="16" t="n">
        <v>5.25</v>
      </c>
      <c r="N52" s="16" t="n">
        <f aca="false">+M52+O52</f>
        <v>5.2546</v>
      </c>
      <c r="O52" s="16" t="n">
        <f aca="false">RANDBETWEEN(-105,115)/10000</f>
        <v>0.0046</v>
      </c>
      <c r="P52" s="16" t="n">
        <f aca="false">Y52+0.18</f>
        <v>2.524</v>
      </c>
      <c r="Q52" s="16" t="n">
        <f aca="false">P52+R52</f>
        <v>2.509</v>
      </c>
      <c r="R52" s="16" t="n">
        <f aca="false">RANDBETWEEN(-20,70)/1000</f>
        <v>-0.015</v>
      </c>
      <c r="S52" s="17"/>
      <c r="T52" s="18" t="n">
        <v>20</v>
      </c>
      <c r="V52" s="19"/>
      <c r="W52" s="19" t="n">
        <f aca="false">'KTHH Lớp 2'!G52</f>
        <v>2.344</v>
      </c>
      <c r="X52" s="19" t="n">
        <f aca="false">'KTHH Lớp 2'!J52</f>
        <v>2.461</v>
      </c>
      <c r="Y52" s="19" t="n">
        <f aca="false">'KTHH Lớp 2'!P52</f>
        <v>2.344</v>
      </c>
    </row>
    <row r="53" s="10" customFormat="true" ht="18" hidden="false" customHeight="true" outlineLevel="0" collapsed="false">
      <c r="A53" s="13" t="n">
        <v>31</v>
      </c>
      <c r="B53" s="82" t="s">
        <v>53</v>
      </c>
      <c r="C53" s="15" t="n">
        <f aca="false">+C52+T52</f>
        <v>652.61</v>
      </c>
      <c r="D53" s="16" t="n">
        <v>-5.25</v>
      </c>
      <c r="E53" s="16" t="n">
        <f aca="false">+D53+F53</f>
        <v>-5.26</v>
      </c>
      <c r="F53" s="16" t="n">
        <f aca="false">RANDBETWEEN(-105,115)/10000</f>
        <v>-0.01</v>
      </c>
      <c r="G53" s="16" t="n">
        <f aca="false">W53+0.18</f>
        <v>2.526</v>
      </c>
      <c r="H53" s="16" t="n">
        <f aca="false">G53+I53</f>
        <v>2.595</v>
      </c>
      <c r="I53" s="16" t="n">
        <f aca="false">RANDBETWEEN(-20,70)/1000</f>
        <v>0.069</v>
      </c>
      <c r="J53" s="16" t="n">
        <f aca="false">X53+0.18</f>
        <v>2.643</v>
      </c>
      <c r="K53" s="16" t="n">
        <f aca="false">J53+L53</f>
        <v>2.689</v>
      </c>
      <c r="L53" s="16" t="n">
        <f aca="false">RANDBETWEEN(-20,70)/1000</f>
        <v>0.046</v>
      </c>
      <c r="M53" s="16" t="n">
        <v>5.25</v>
      </c>
      <c r="N53" s="16" t="n">
        <f aca="false">+M53+O53</f>
        <v>5.2492</v>
      </c>
      <c r="O53" s="16" t="n">
        <f aca="false">RANDBETWEEN(-105,115)/10000</f>
        <v>-0.0008</v>
      </c>
      <c r="P53" s="16" t="n">
        <f aca="false">Y53+0.18</f>
        <v>2.526</v>
      </c>
      <c r="Q53" s="16" t="n">
        <f aca="false">P53+R53</f>
        <v>2.536</v>
      </c>
      <c r="R53" s="16" t="n">
        <f aca="false">RANDBETWEEN(-20,70)/1000</f>
        <v>0.01</v>
      </c>
      <c r="S53" s="17"/>
      <c r="T53" s="18" t="n">
        <v>20</v>
      </c>
      <c r="V53" s="19"/>
      <c r="W53" s="19" t="n">
        <f aca="false">'KTHH Lớp 2'!G53</f>
        <v>2.346</v>
      </c>
      <c r="X53" s="19" t="n">
        <f aca="false">'KTHH Lớp 2'!J53</f>
        <v>2.463</v>
      </c>
      <c r="Y53" s="19" t="n">
        <f aca="false">'KTHH Lớp 2'!P53</f>
        <v>2.346</v>
      </c>
    </row>
    <row r="54" s="10" customFormat="true" ht="18" hidden="false" customHeight="true" outlineLevel="0" collapsed="false">
      <c r="A54" s="13" t="n">
        <v>32</v>
      </c>
      <c r="B54" s="82" t="s">
        <v>54</v>
      </c>
      <c r="C54" s="15" t="n">
        <f aca="false">+C53+T53</f>
        <v>672.61</v>
      </c>
      <c r="D54" s="16" t="n">
        <v>-5.25</v>
      </c>
      <c r="E54" s="16" t="n">
        <f aca="false">+D54+F54</f>
        <v>-5.2469</v>
      </c>
      <c r="F54" s="16" t="n">
        <f aca="false">RANDBETWEEN(-105,115)/10000</f>
        <v>0.0031</v>
      </c>
      <c r="G54" s="16" t="n">
        <f aca="false">W54+0.18</f>
        <v>2.527</v>
      </c>
      <c r="H54" s="16" t="n">
        <f aca="false">G54+I54</f>
        <v>2.513</v>
      </c>
      <c r="I54" s="16" t="n">
        <f aca="false">RANDBETWEEN(-20,70)/1000</f>
        <v>-0.014</v>
      </c>
      <c r="J54" s="16" t="n">
        <f aca="false">X54+0.18</f>
        <v>2.644</v>
      </c>
      <c r="K54" s="16" t="n">
        <f aca="false">J54+L54</f>
        <v>2.714</v>
      </c>
      <c r="L54" s="16" t="n">
        <f aca="false">RANDBETWEEN(-20,70)/1000</f>
        <v>0.07</v>
      </c>
      <c r="M54" s="16" t="n">
        <v>5.25</v>
      </c>
      <c r="N54" s="16" t="n">
        <f aca="false">+M54+O54</f>
        <v>5.2492</v>
      </c>
      <c r="O54" s="16" t="n">
        <f aca="false">RANDBETWEEN(-105,115)/10000</f>
        <v>-0.0008</v>
      </c>
      <c r="P54" s="16" t="n">
        <f aca="false">Y54+0.18</f>
        <v>2.527</v>
      </c>
      <c r="Q54" s="16" t="n">
        <f aca="false">P54+R54</f>
        <v>2.577</v>
      </c>
      <c r="R54" s="16" t="n">
        <f aca="false">RANDBETWEEN(-20,70)/1000</f>
        <v>0.05</v>
      </c>
      <c r="S54" s="17"/>
      <c r="T54" s="18" t="n">
        <v>20</v>
      </c>
      <c r="V54" s="19"/>
      <c r="W54" s="19" t="n">
        <f aca="false">'KTHH Lớp 2'!G54</f>
        <v>2.347</v>
      </c>
      <c r="X54" s="19" t="n">
        <f aca="false">'KTHH Lớp 2'!J54</f>
        <v>2.464</v>
      </c>
      <c r="Y54" s="19" t="n">
        <f aca="false">'KTHH Lớp 2'!P54</f>
        <v>2.347</v>
      </c>
    </row>
    <row r="55" s="10" customFormat="true" ht="18" hidden="false" customHeight="true" outlineLevel="0" collapsed="false">
      <c r="A55" s="13" t="n">
        <v>33</v>
      </c>
      <c r="B55" s="82" t="s">
        <v>55</v>
      </c>
      <c r="C55" s="15" t="n">
        <f aca="false">+C54+T54</f>
        <v>692.61</v>
      </c>
      <c r="D55" s="16" t="n">
        <v>-5.25</v>
      </c>
      <c r="E55" s="16" t="n">
        <f aca="false">+D55+F55</f>
        <v>-5.2408</v>
      </c>
      <c r="F55" s="16" t="n">
        <f aca="false">RANDBETWEEN(-105,115)/10000</f>
        <v>0.0092</v>
      </c>
      <c r="G55" s="16" t="n">
        <f aca="false">W55+0.18</f>
        <v>2.529</v>
      </c>
      <c r="H55" s="16" t="n">
        <f aca="false">G55+I55</f>
        <v>2.55</v>
      </c>
      <c r="I55" s="16" t="n">
        <f aca="false">RANDBETWEEN(-20,70)/1000</f>
        <v>0.021</v>
      </c>
      <c r="J55" s="16" t="n">
        <f aca="false">X55+0.18</f>
        <v>2.646</v>
      </c>
      <c r="K55" s="16" t="n">
        <f aca="false">J55+L55</f>
        <v>2.629</v>
      </c>
      <c r="L55" s="16" t="n">
        <f aca="false">RANDBETWEEN(-20,70)/1000</f>
        <v>-0.017</v>
      </c>
      <c r="M55" s="16" t="n">
        <v>5.25</v>
      </c>
      <c r="N55" s="16" t="n">
        <f aca="false">+M55+O55</f>
        <v>5.2521</v>
      </c>
      <c r="O55" s="16" t="n">
        <f aca="false">RANDBETWEEN(-105,115)/10000</f>
        <v>0.0021</v>
      </c>
      <c r="P55" s="16" t="n">
        <f aca="false">Y55+0.18</f>
        <v>2.529</v>
      </c>
      <c r="Q55" s="16" t="n">
        <f aca="false">P55+R55</f>
        <v>2.569</v>
      </c>
      <c r="R55" s="16" t="n">
        <f aca="false">RANDBETWEEN(-20,70)/1000</f>
        <v>0.04</v>
      </c>
      <c r="S55" s="17"/>
      <c r="T55" s="18" t="n">
        <v>20</v>
      </c>
      <c r="V55" s="19"/>
      <c r="W55" s="19" t="n">
        <f aca="false">'KTHH Lớp 2'!G55</f>
        <v>2.349</v>
      </c>
      <c r="X55" s="19" t="n">
        <f aca="false">'KTHH Lớp 2'!J55</f>
        <v>2.466</v>
      </c>
      <c r="Y55" s="19" t="n">
        <f aca="false">'KTHH Lớp 2'!P55</f>
        <v>2.349</v>
      </c>
    </row>
    <row r="56" s="10" customFormat="true" ht="18" hidden="false" customHeight="true" outlineLevel="0" collapsed="false">
      <c r="A56" s="13" t="n">
        <v>34</v>
      </c>
      <c r="B56" s="82" t="s">
        <v>56</v>
      </c>
      <c r="C56" s="15" t="n">
        <f aca="false">+C55+T55</f>
        <v>712.61</v>
      </c>
      <c r="D56" s="16" t="n">
        <v>-5.25</v>
      </c>
      <c r="E56" s="16" t="n">
        <f aca="false">+D56+F56</f>
        <v>-5.2559</v>
      </c>
      <c r="F56" s="16" t="n">
        <f aca="false">RANDBETWEEN(-105,115)/10000</f>
        <v>-0.0059</v>
      </c>
      <c r="G56" s="16" t="n">
        <f aca="false">W56+0.18</f>
        <v>2.531</v>
      </c>
      <c r="H56" s="16" t="n">
        <f aca="false">G56+I56</f>
        <v>2.567</v>
      </c>
      <c r="I56" s="16" t="n">
        <f aca="false">RANDBETWEEN(-20,70)/1000</f>
        <v>0.036</v>
      </c>
      <c r="J56" s="16" t="n">
        <f aca="false">X56+0.18</f>
        <v>2.648</v>
      </c>
      <c r="K56" s="16" t="n">
        <f aca="false">J56+L56</f>
        <v>2.691</v>
      </c>
      <c r="L56" s="16" t="n">
        <f aca="false">RANDBETWEEN(-20,70)/1000</f>
        <v>0.043</v>
      </c>
      <c r="M56" s="16" t="n">
        <v>5.25</v>
      </c>
      <c r="N56" s="16" t="n">
        <f aca="false">+M56+O56</f>
        <v>5.252</v>
      </c>
      <c r="O56" s="16" t="n">
        <f aca="false">RANDBETWEEN(-105,115)/10000</f>
        <v>0.002</v>
      </c>
      <c r="P56" s="16" t="n">
        <f aca="false">Y56+0.18</f>
        <v>2.531</v>
      </c>
      <c r="Q56" s="16" t="n">
        <f aca="false">P56+R56</f>
        <v>2.565</v>
      </c>
      <c r="R56" s="16" t="n">
        <f aca="false">RANDBETWEEN(-20,70)/1000</f>
        <v>0.034</v>
      </c>
      <c r="S56" s="17"/>
      <c r="T56" s="18" t="n">
        <v>11.5</v>
      </c>
      <c r="V56" s="19"/>
      <c r="W56" s="19" t="n">
        <f aca="false">'KTHH Lớp 2'!G56</f>
        <v>2.351</v>
      </c>
      <c r="X56" s="19" t="n">
        <f aca="false">'KTHH Lớp 2'!J56</f>
        <v>2.468</v>
      </c>
      <c r="Y56" s="19" t="n">
        <f aca="false">'KTHH Lớp 2'!P56</f>
        <v>2.351</v>
      </c>
    </row>
    <row r="57" s="10" customFormat="true" ht="18" hidden="false" customHeight="true" outlineLevel="0" collapsed="false">
      <c r="A57" s="13" t="n">
        <v>35</v>
      </c>
      <c r="B57" s="82" t="s">
        <v>57</v>
      </c>
      <c r="C57" s="15" t="n">
        <f aca="false">+C56+T56</f>
        <v>724.11</v>
      </c>
      <c r="D57" s="16" t="n">
        <v>-5.25</v>
      </c>
      <c r="E57" s="16" t="n">
        <f aca="false">+D57+F57</f>
        <v>-5.2511</v>
      </c>
      <c r="F57" s="16" t="n">
        <f aca="false">RANDBETWEEN(-105,115)/10000</f>
        <v>-0.0011</v>
      </c>
      <c r="G57" s="16" t="n">
        <f aca="false">W57+0.18</f>
        <v>2.532</v>
      </c>
      <c r="H57" s="16" t="n">
        <f aca="false">G57+I57</f>
        <v>2.519</v>
      </c>
      <c r="I57" s="16" t="n">
        <f aca="false">RANDBETWEEN(-20,70)/1000</f>
        <v>-0.013</v>
      </c>
      <c r="J57" s="16" t="n">
        <f aca="false">X57+0.18</f>
        <v>2.649</v>
      </c>
      <c r="K57" s="16" t="n">
        <f aca="false">J57+L57</f>
        <v>2.701</v>
      </c>
      <c r="L57" s="16" t="n">
        <f aca="false">RANDBETWEEN(-20,70)/1000</f>
        <v>0.052</v>
      </c>
      <c r="M57" s="16" t="n">
        <v>5.25</v>
      </c>
      <c r="N57" s="16" t="n">
        <f aca="false">+M57+O57</f>
        <v>5.2594</v>
      </c>
      <c r="O57" s="16" t="n">
        <f aca="false">RANDBETWEEN(-105,115)/10000</f>
        <v>0.0094</v>
      </c>
      <c r="P57" s="16" t="n">
        <f aca="false">Y57+0.18</f>
        <v>2.532</v>
      </c>
      <c r="Q57" s="16" t="n">
        <f aca="false">P57+R57</f>
        <v>2.554</v>
      </c>
      <c r="R57" s="16" t="n">
        <f aca="false">RANDBETWEEN(-20,70)/1000</f>
        <v>0.022</v>
      </c>
      <c r="S57" s="17"/>
      <c r="T57" s="18" t="n">
        <v>13.25</v>
      </c>
      <c r="V57" s="19"/>
      <c r="W57" s="19" t="n">
        <f aca="false">'KTHH Lớp 2'!G57</f>
        <v>2.352</v>
      </c>
      <c r="X57" s="19" t="n">
        <f aca="false">'KTHH Lớp 2'!J57</f>
        <v>2.469</v>
      </c>
      <c r="Y57" s="19" t="n">
        <f aca="false">'KTHH Lớp 2'!P57</f>
        <v>2.352</v>
      </c>
    </row>
    <row r="58" s="10" customFormat="true" ht="18" hidden="false" customHeight="true" outlineLevel="0" collapsed="false">
      <c r="A58" s="13" t="n">
        <v>36</v>
      </c>
      <c r="B58" s="82" t="s">
        <v>58</v>
      </c>
      <c r="C58" s="15" t="n">
        <f aca="false">+C57+T57</f>
        <v>737.36</v>
      </c>
      <c r="D58" s="16" t="n">
        <v>-5.25</v>
      </c>
      <c r="E58" s="16" t="n">
        <f aca="false">+D58+F58</f>
        <v>-5.2581</v>
      </c>
      <c r="F58" s="16" t="n">
        <f aca="false">RANDBETWEEN(-105,115)/10000</f>
        <v>-0.0081</v>
      </c>
      <c r="G58" s="16" t="n">
        <f aca="false">W58+0.18</f>
        <v>2.536</v>
      </c>
      <c r="H58" s="16" t="n">
        <f aca="false">G58+I58</f>
        <v>2.516</v>
      </c>
      <c r="I58" s="16" t="n">
        <f aca="false">RANDBETWEEN(-20,70)/1000</f>
        <v>-0.02</v>
      </c>
      <c r="J58" s="16" t="n">
        <f aca="false">X58+0.18</f>
        <v>2.653</v>
      </c>
      <c r="K58" s="16" t="n">
        <f aca="false">J58+L58</f>
        <v>2.713</v>
      </c>
      <c r="L58" s="16" t="n">
        <f aca="false">RANDBETWEEN(-20,70)/1000</f>
        <v>0.06</v>
      </c>
      <c r="M58" s="16" t="n">
        <v>5.25</v>
      </c>
      <c r="N58" s="16" t="n">
        <f aca="false">+M58+O58</f>
        <v>5.2434</v>
      </c>
      <c r="O58" s="16" t="n">
        <f aca="false">RANDBETWEEN(-105,115)/10000</f>
        <v>-0.0066</v>
      </c>
      <c r="P58" s="16" t="n">
        <f aca="false">Y58+0.18</f>
        <v>2.536</v>
      </c>
      <c r="Q58" s="16" t="n">
        <f aca="false">P58+R58</f>
        <v>2.531</v>
      </c>
      <c r="R58" s="16" t="n">
        <f aca="false">RANDBETWEEN(-20,70)/1000</f>
        <v>-0.005</v>
      </c>
      <c r="S58" s="17"/>
      <c r="T58" s="18"/>
      <c r="V58" s="19"/>
      <c r="W58" s="19" t="n">
        <f aca="false">'KTHH Lớp 2'!G58</f>
        <v>2.356</v>
      </c>
      <c r="X58" s="19" t="n">
        <f aca="false">'KTHH Lớp 2'!J58</f>
        <v>2.473</v>
      </c>
      <c r="Y58" s="19" t="n">
        <f aca="false">'KTHH Lớp 2'!P58</f>
        <v>2.356</v>
      </c>
    </row>
    <row r="59" s="10" customFormat="true" ht="18" hidden="true" customHeight="true" outlineLevel="0" collapsed="false">
      <c r="A59" s="13"/>
      <c r="B59" s="82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T59" s="18"/>
      <c r="V59" s="19"/>
    </row>
    <row r="60" s="10" customFormat="true" ht="18" hidden="true" customHeight="true" outlineLevel="0" collapsed="false">
      <c r="A60" s="13"/>
      <c r="B60" s="82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T60" s="18"/>
      <c r="V60" s="19"/>
    </row>
    <row r="61" s="10" customFormat="true" ht="15.75" hidden="false" customHeight="true" outlineLevel="0" collapsed="false"/>
    <row r="62" s="10" customFormat="true" ht="15.75" hidden="false" customHeight="true" outlineLevel="0" collapsed="false">
      <c r="C62" s="21" t="s">
        <v>59</v>
      </c>
      <c r="D62" s="21"/>
      <c r="E62" s="21"/>
      <c r="F62" s="21"/>
      <c r="G62" s="21"/>
      <c r="H62" s="21"/>
      <c r="I62" s="21"/>
      <c r="K62" s="22"/>
      <c r="L62" s="22"/>
      <c r="M62" s="22"/>
      <c r="N62" s="22"/>
      <c r="O62" s="21" t="s">
        <v>60</v>
      </c>
      <c r="P62" s="21"/>
      <c r="Q62" s="21"/>
      <c r="R62" s="21"/>
    </row>
    <row r="63" s="10" customFormat="true" ht="15.75" hidden="false" customHeight="true" outlineLevel="0" collapsed="false">
      <c r="E63" s="23"/>
      <c r="F63" s="23"/>
      <c r="G63" s="23"/>
      <c r="H63" s="23"/>
      <c r="K63" s="23"/>
      <c r="L63" s="23"/>
      <c r="M63" s="23"/>
      <c r="N63" s="23"/>
      <c r="O63" s="23"/>
      <c r="P63" s="23"/>
      <c r="Q63" s="23"/>
      <c r="R63" s="23"/>
    </row>
    <row r="64" s="10" customFormat="true" ht="15.75" hidden="false" customHeight="true" outlineLevel="0" collapsed="false">
      <c r="E64" s="23"/>
      <c r="F64" s="23"/>
      <c r="G64" s="23"/>
      <c r="H64" s="23"/>
      <c r="K64" s="23"/>
      <c r="L64" s="23"/>
      <c r="M64" s="23"/>
      <c r="N64" s="23"/>
      <c r="O64" s="23"/>
      <c r="P64" s="23"/>
      <c r="Q64" s="23"/>
      <c r="R64" s="23"/>
    </row>
    <row r="65" s="10" customFormat="true" ht="15.75" hidden="false" customHeight="true" outlineLevel="0" collapsed="false">
      <c r="E65" s="23"/>
      <c r="F65" s="23"/>
      <c r="G65" s="23"/>
      <c r="H65" s="23"/>
      <c r="K65" s="23"/>
      <c r="L65" s="23"/>
      <c r="M65" s="23"/>
      <c r="N65" s="23"/>
      <c r="O65" s="23"/>
      <c r="P65" s="23"/>
      <c r="Q65" s="23"/>
      <c r="R65" s="23"/>
    </row>
    <row r="66" s="10" customFormat="true" ht="15.75" hidden="false" customHeight="true" outlineLevel="0" collapsed="false">
      <c r="E66" s="23"/>
      <c r="F66" s="23"/>
      <c r="G66" s="23"/>
      <c r="H66" s="23"/>
      <c r="K66" s="23"/>
      <c r="L66" s="23"/>
      <c r="M66" s="23"/>
      <c r="N66" s="23"/>
      <c r="O66" s="23"/>
      <c r="P66" s="23"/>
      <c r="Q66" s="23"/>
      <c r="R66" s="23"/>
    </row>
    <row r="67" s="10" customFormat="true" ht="15.75" hidden="false" customHeight="true" outlineLevel="0" collapsed="false">
      <c r="C67" s="21" t="s">
        <v>61</v>
      </c>
      <c r="D67" s="21"/>
      <c r="E67" s="21"/>
      <c r="F67" s="21"/>
      <c r="G67" s="21"/>
      <c r="H67" s="21"/>
      <c r="I67" s="21"/>
      <c r="K67" s="22"/>
      <c r="L67" s="22"/>
      <c r="M67" s="22"/>
      <c r="N67" s="22"/>
      <c r="O67" s="21" t="s">
        <v>62</v>
      </c>
      <c r="P67" s="21"/>
      <c r="Q67" s="21"/>
      <c r="R67" s="21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590277777777778" right="0.157638888888889" top="0.579861111111111" bottom="0.479861111111111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Y134"/>
  <sheetViews>
    <sheetView showFormulas="false" showGridLines="true" showRowColHeaders="true" showZeros="true" rightToLeft="false" tabSelected="false" showOutlineSymbols="true" defaultGridColor="true" view="normal" topLeftCell="A7" colorId="64" zoomScale="70" zoomScaleNormal="70" zoomScalePageLayoutView="100" workbookViewId="0">
      <selection pane="topLeft" activeCell="O11" activeCellId="0" sqref="O11"/>
    </sheetView>
  </sheetViews>
  <sheetFormatPr defaultColWidth="9.2890625" defaultRowHeight="12.75" zeroHeight="false" outlineLevelRow="0" outlineLevelCol="0"/>
  <cols>
    <col collapsed="false" customWidth="true" hidden="false" outlineLevel="0" max="1" min="1" style="24" width="6.71"/>
    <col collapsed="false" customWidth="true" hidden="false" outlineLevel="0" max="2" min="2" style="24" width="12.29"/>
    <col collapsed="false" customWidth="true" hidden="false" outlineLevel="0" max="3" min="3" style="24" width="19.57"/>
    <col collapsed="false" customWidth="true" hidden="false" outlineLevel="0" max="4" min="4" style="25" width="12.71"/>
    <col collapsed="false" customWidth="true" hidden="true" outlineLevel="0" max="6" min="5" style="25" width="8.42"/>
    <col collapsed="false" customWidth="true" hidden="true" outlineLevel="0" max="7" min="7" style="25" width="11"/>
    <col collapsed="false" customWidth="true" hidden="true" outlineLevel="0" max="12" min="8" style="25" width="8.42"/>
    <col collapsed="false" customWidth="true" hidden="true" outlineLevel="0" max="14" min="13" style="25" width="14.29"/>
    <col collapsed="false" customWidth="true" hidden="false" outlineLevel="0" max="15" min="15" style="25" width="15.42"/>
    <col collapsed="false" customWidth="true" hidden="true" outlineLevel="0" max="22" min="16" style="25" width="14.29"/>
    <col collapsed="false" customWidth="true" hidden="false" outlineLevel="0" max="23" min="23" style="25" width="15.29"/>
    <col collapsed="false" customWidth="true" hidden="true" outlineLevel="0" max="25" min="24" style="25" width="14.29"/>
    <col collapsed="false" customWidth="true" hidden="true" outlineLevel="0" max="27" min="26" style="25" width="12.86"/>
    <col collapsed="false" customWidth="true" hidden="false" outlineLevel="0" max="28" min="28" style="25" width="10.29"/>
    <col collapsed="false" customWidth="false" hidden="true" outlineLevel="0" max="29" min="29" style="25" width="9.29"/>
    <col collapsed="false" customWidth="true" hidden="false" outlineLevel="0" max="30" min="30" style="24" width="3.86"/>
    <col collapsed="false" customWidth="true" hidden="false" outlineLevel="0" max="31" min="31" style="24" width="10"/>
    <col collapsed="false" customWidth="true" hidden="false" outlineLevel="0" max="32" min="32" style="24" width="11.43"/>
    <col collapsed="false" customWidth="true" hidden="false" outlineLevel="0" max="34" min="33" style="24" width="10.57"/>
    <col collapsed="false" customWidth="true" hidden="false" outlineLevel="0" max="35" min="35" style="24" width="11.29"/>
    <col collapsed="false" customWidth="true" hidden="false" outlineLevel="0" max="36" min="36" style="24" width="10.57"/>
    <col collapsed="false" customWidth="true" hidden="false" outlineLevel="0" max="37" min="37" style="24" width="6.43"/>
    <col collapsed="false" customWidth="true" hidden="false" outlineLevel="0" max="38" min="38" style="24" width="10.57"/>
    <col collapsed="false" customWidth="true" hidden="false" outlineLevel="0" max="39" min="39" style="24" width="11.57"/>
    <col collapsed="false" customWidth="false" hidden="false" outlineLevel="0" max="16384" min="40" style="24" width="9.29"/>
  </cols>
  <sheetData>
    <row r="1" s="27" customFormat="true" ht="16.5" hidden="false" customHeight="true" outlineLevel="0" collapsed="false">
      <c r="A1" s="26" t="s">
        <v>63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="27" customFormat="true" ht="16.5" hidden="false" customHeight="true" outlineLevel="0" collapsed="false">
      <c r="A2" s="28" t="s">
        <v>73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="31" customFormat="true" ht="37.5" hidden="false" customHeight="true" outlineLevel="0" collapsed="false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</row>
    <row r="4" s="31" customFormat="true" ht="37.5" hidden="false" customHeight="true" outlineLevel="0" collapsed="false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</row>
    <row r="5" s="31" customFormat="true" ht="16.5" hidden="false" customHeight="true" outlineLevel="0" collapsed="false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</row>
    <row r="6" s="31" customFormat="true" ht="16.5" hidden="false" customHeight="true" outlineLevel="0" collapsed="false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</row>
    <row r="7" s="31" customFormat="true" ht="30.75" hidden="false" customHeight="true" outlineLevel="0" collapsed="false">
      <c r="A7" s="32" t="s">
        <v>6</v>
      </c>
      <c r="B7" s="33"/>
      <c r="D7" s="34" t="s">
        <v>74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</row>
    <row r="8" s="30" customFormat="true" ht="13.5" hidden="false" customHeight="true" outlineLevel="0" collapsed="false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s="127" customFormat="true" ht="22.5" hidden="false" customHeight="true" outlineLevel="0" collapsed="false">
      <c r="A9" s="117" t="s">
        <v>64</v>
      </c>
      <c r="B9" s="117" t="s">
        <v>10</v>
      </c>
      <c r="C9" s="117" t="s">
        <v>11</v>
      </c>
      <c r="D9" s="118" t="s">
        <v>65</v>
      </c>
      <c r="E9" s="119"/>
      <c r="F9" s="119"/>
      <c r="G9" s="118"/>
      <c r="H9" s="119"/>
      <c r="I9" s="119"/>
      <c r="J9" s="119"/>
      <c r="K9" s="119"/>
      <c r="L9" s="119"/>
      <c r="M9" s="120" t="s">
        <v>66</v>
      </c>
      <c r="N9" s="121"/>
      <c r="O9" s="122" t="s">
        <v>67</v>
      </c>
      <c r="P9" s="123"/>
      <c r="Q9" s="123"/>
      <c r="R9" s="123"/>
      <c r="S9" s="123"/>
      <c r="T9" s="123"/>
      <c r="U9" s="123"/>
      <c r="V9" s="123"/>
      <c r="W9" s="122" t="s">
        <v>68</v>
      </c>
      <c r="X9" s="121"/>
      <c r="Y9" s="124"/>
      <c r="Z9" s="125"/>
      <c r="AA9" s="125"/>
      <c r="AB9" s="118" t="s">
        <v>15</v>
      </c>
      <c r="AC9" s="126"/>
    </row>
    <row r="10" s="131" customFormat="true" ht="22.5" hidden="false" customHeight="true" outlineLevel="0" collapsed="false">
      <c r="A10" s="117"/>
      <c r="B10" s="117"/>
      <c r="C10" s="117"/>
      <c r="D10" s="117"/>
      <c r="E10" s="122"/>
      <c r="F10" s="122"/>
      <c r="G10" s="122"/>
      <c r="H10" s="122"/>
      <c r="I10" s="122"/>
      <c r="J10" s="122"/>
      <c r="K10" s="122"/>
      <c r="L10" s="122"/>
      <c r="M10" s="122"/>
      <c r="N10" s="122" t="s">
        <v>67</v>
      </c>
      <c r="O10" s="122"/>
      <c r="P10" s="122" t="s">
        <v>67</v>
      </c>
      <c r="Q10" s="122" t="s">
        <v>67</v>
      </c>
      <c r="R10" s="122"/>
      <c r="S10" s="122"/>
      <c r="T10" s="122"/>
      <c r="U10" s="122" t="s">
        <v>68</v>
      </c>
      <c r="V10" s="122" t="s">
        <v>68</v>
      </c>
      <c r="W10" s="122"/>
      <c r="X10" s="122" t="s">
        <v>68</v>
      </c>
      <c r="Y10" s="122" t="s">
        <v>68</v>
      </c>
      <c r="Z10" s="128"/>
      <c r="AA10" s="128"/>
      <c r="AB10" s="118"/>
      <c r="AC10" s="129"/>
      <c r="AD10" s="130"/>
      <c r="AE10" s="130"/>
    </row>
    <row r="11" s="131" customFormat="true" ht="15" hidden="false" customHeight="true" outlineLevel="0" collapsed="false">
      <c r="A11" s="132" t="n">
        <v>1</v>
      </c>
      <c r="B11" s="132" t="str">
        <f aca="false">'Base A'!B23</f>
        <v>B4</v>
      </c>
      <c r="C11" s="133" t="n">
        <f aca="false">'Base A'!C23</f>
        <v>211</v>
      </c>
      <c r="D11" s="132" t="n">
        <f aca="false">'Base A'!T23</f>
        <v>13.25</v>
      </c>
      <c r="E11" s="134"/>
      <c r="F11" s="134"/>
      <c r="G11" s="134"/>
      <c r="H11" s="134"/>
      <c r="I11" s="134"/>
      <c r="J11" s="134"/>
      <c r="K11" s="135"/>
      <c r="L11" s="136"/>
      <c r="M11" s="137"/>
      <c r="N11" s="138"/>
      <c r="O11" s="135" t="n">
        <f aca="false">10.5*0.18</f>
        <v>1.89</v>
      </c>
      <c r="P11" s="135"/>
      <c r="Q11" s="135"/>
      <c r="R11" s="139"/>
      <c r="S11" s="139"/>
      <c r="T11" s="139"/>
      <c r="U11" s="139"/>
      <c r="V11" s="139"/>
      <c r="W11" s="139" t="n">
        <f aca="false">(O11+O12)*D11/2</f>
        <v>25.0425</v>
      </c>
      <c r="X11" s="139"/>
      <c r="Y11" s="139"/>
      <c r="Z11" s="139"/>
      <c r="AA11" s="139"/>
      <c r="AB11" s="140"/>
      <c r="AC11" s="139"/>
      <c r="AE11" s="141"/>
    </row>
    <row r="12" s="131" customFormat="true" ht="15" hidden="false" customHeight="true" outlineLevel="0" collapsed="false">
      <c r="A12" s="132" t="n">
        <v>2</v>
      </c>
      <c r="B12" s="132" t="str">
        <f aca="false">'Base A'!B24</f>
        <v>12</v>
      </c>
      <c r="C12" s="133" t="n">
        <f aca="false">'Base A'!C24</f>
        <v>224.25</v>
      </c>
      <c r="D12" s="132" t="n">
        <f aca="false">'Base A'!T24</f>
        <v>21.5</v>
      </c>
      <c r="E12" s="134"/>
      <c r="F12" s="134"/>
      <c r="G12" s="134"/>
      <c r="H12" s="134"/>
      <c r="I12" s="134"/>
      <c r="J12" s="134"/>
      <c r="K12" s="135"/>
      <c r="L12" s="136"/>
      <c r="M12" s="137"/>
      <c r="N12" s="138"/>
      <c r="O12" s="135" t="n">
        <f aca="false">10.5*0.18</f>
        <v>1.89</v>
      </c>
      <c r="P12" s="135"/>
      <c r="Q12" s="135"/>
      <c r="R12" s="139"/>
      <c r="S12" s="139"/>
      <c r="T12" s="139"/>
      <c r="U12" s="139"/>
      <c r="V12" s="139"/>
      <c r="W12" s="139" t="n">
        <f aca="false">(O12+O13)*D12/2</f>
        <v>40.635</v>
      </c>
      <c r="X12" s="139"/>
      <c r="Y12" s="139"/>
      <c r="Z12" s="139"/>
      <c r="AA12" s="139"/>
      <c r="AB12" s="140"/>
      <c r="AC12" s="139"/>
      <c r="AE12" s="141"/>
    </row>
    <row r="13" s="131" customFormat="true" ht="15" hidden="false" customHeight="true" outlineLevel="0" collapsed="false">
      <c r="A13" s="132" t="n">
        <v>3</v>
      </c>
      <c r="B13" s="132" t="str">
        <f aca="false">'Base A'!B25</f>
        <v>13</v>
      </c>
      <c r="C13" s="133" t="n">
        <f aca="false">'Base A'!C25</f>
        <v>245.75</v>
      </c>
      <c r="D13" s="132" t="n">
        <f aca="false">'Base A'!T25</f>
        <v>11.75</v>
      </c>
      <c r="E13" s="134"/>
      <c r="F13" s="134"/>
      <c r="G13" s="134"/>
      <c r="H13" s="134"/>
      <c r="I13" s="134"/>
      <c r="J13" s="134"/>
      <c r="K13" s="135"/>
      <c r="L13" s="136"/>
      <c r="M13" s="137"/>
      <c r="N13" s="138"/>
      <c r="O13" s="135" t="n">
        <f aca="false">10.5*0.18</f>
        <v>1.89</v>
      </c>
      <c r="P13" s="135"/>
      <c r="Q13" s="135"/>
      <c r="R13" s="139"/>
      <c r="S13" s="139"/>
      <c r="T13" s="139"/>
      <c r="U13" s="139"/>
      <c r="V13" s="139"/>
      <c r="W13" s="139" t="n">
        <f aca="false">(O13+O14)*D13/2</f>
        <v>22.2075</v>
      </c>
      <c r="X13" s="139"/>
      <c r="Y13" s="139"/>
      <c r="Z13" s="139"/>
      <c r="AA13" s="139"/>
      <c r="AB13" s="140"/>
      <c r="AC13" s="139"/>
      <c r="AE13" s="141"/>
    </row>
    <row r="14" s="131" customFormat="true" ht="15" hidden="false" customHeight="true" outlineLevel="0" collapsed="false">
      <c r="A14" s="132" t="n">
        <v>4</v>
      </c>
      <c r="B14" s="132" t="str">
        <f aca="false">'Base A'!B26</f>
        <v>B5</v>
      </c>
      <c r="C14" s="133" t="n">
        <f aca="false">'Base A'!C26</f>
        <v>257.5</v>
      </c>
      <c r="D14" s="132" t="n">
        <f aca="false">'Base A'!T26</f>
        <v>11.75</v>
      </c>
      <c r="E14" s="134"/>
      <c r="F14" s="134"/>
      <c r="G14" s="134"/>
      <c r="H14" s="134"/>
      <c r="I14" s="134"/>
      <c r="J14" s="134"/>
      <c r="K14" s="135"/>
      <c r="L14" s="136"/>
      <c r="M14" s="137"/>
      <c r="N14" s="138"/>
      <c r="O14" s="135" t="n">
        <f aca="false">10.5*0.18</f>
        <v>1.89</v>
      </c>
      <c r="P14" s="135"/>
      <c r="Q14" s="135"/>
      <c r="R14" s="139"/>
      <c r="S14" s="139"/>
      <c r="T14" s="139"/>
      <c r="U14" s="139"/>
      <c r="V14" s="139"/>
      <c r="W14" s="139" t="n">
        <f aca="false">(O14+O15)*D14/2</f>
        <v>22.2075</v>
      </c>
      <c r="X14" s="139"/>
      <c r="Y14" s="139"/>
      <c r="Z14" s="139"/>
      <c r="AA14" s="139"/>
      <c r="AB14" s="140"/>
      <c r="AC14" s="139"/>
      <c r="AE14" s="141"/>
    </row>
    <row r="15" s="131" customFormat="true" ht="15" hidden="false" customHeight="true" outlineLevel="0" collapsed="false">
      <c r="A15" s="132" t="n">
        <v>5</v>
      </c>
      <c r="B15" s="132" t="str">
        <f aca="false">'Base A'!B27</f>
        <v>14</v>
      </c>
      <c r="C15" s="133" t="n">
        <f aca="false">'Base A'!C27</f>
        <v>269.25</v>
      </c>
      <c r="D15" s="132" t="n">
        <f aca="false">'Base A'!T27</f>
        <v>20</v>
      </c>
      <c r="E15" s="134"/>
      <c r="F15" s="134"/>
      <c r="G15" s="134"/>
      <c r="H15" s="134"/>
      <c r="I15" s="134"/>
      <c r="J15" s="134"/>
      <c r="K15" s="135"/>
      <c r="L15" s="136"/>
      <c r="M15" s="137"/>
      <c r="N15" s="138"/>
      <c r="O15" s="135" t="n">
        <f aca="false">10.5*0.18</f>
        <v>1.89</v>
      </c>
      <c r="P15" s="135"/>
      <c r="Q15" s="135"/>
      <c r="R15" s="139"/>
      <c r="S15" s="139"/>
      <c r="T15" s="139"/>
      <c r="U15" s="139"/>
      <c r="V15" s="139"/>
      <c r="W15" s="139" t="n">
        <f aca="false">(O15+O16)*D15/2</f>
        <v>37.8</v>
      </c>
      <c r="X15" s="139"/>
      <c r="Y15" s="139"/>
      <c r="Z15" s="139"/>
      <c r="AA15" s="139"/>
      <c r="AB15" s="140"/>
      <c r="AC15" s="139"/>
      <c r="AE15" s="141"/>
    </row>
    <row r="16" s="131" customFormat="true" ht="15" hidden="false" customHeight="true" outlineLevel="0" collapsed="false">
      <c r="A16" s="132" t="n">
        <v>6</v>
      </c>
      <c r="B16" s="132" t="str">
        <f aca="false">'Base A'!B28</f>
        <v>15</v>
      </c>
      <c r="C16" s="133" t="n">
        <f aca="false">'Base A'!C28</f>
        <v>289.25</v>
      </c>
      <c r="D16" s="132" t="n">
        <f aca="false">'Base A'!T28</f>
        <v>20</v>
      </c>
      <c r="E16" s="134"/>
      <c r="F16" s="134"/>
      <c r="G16" s="134"/>
      <c r="H16" s="134"/>
      <c r="I16" s="134"/>
      <c r="J16" s="134"/>
      <c r="K16" s="135"/>
      <c r="L16" s="136"/>
      <c r="M16" s="137"/>
      <c r="N16" s="138"/>
      <c r="O16" s="135" t="n">
        <f aca="false">10.5*0.18</f>
        <v>1.89</v>
      </c>
      <c r="P16" s="135"/>
      <c r="Q16" s="135"/>
      <c r="R16" s="139"/>
      <c r="S16" s="139"/>
      <c r="T16" s="139"/>
      <c r="U16" s="139"/>
      <c r="V16" s="139"/>
      <c r="W16" s="139" t="n">
        <f aca="false">(O16+O17)*D16/2</f>
        <v>37.8</v>
      </c>
      <c r="X16" s="139"/>
      <c r="Y16" s="139"/>
      <c r="Z16" s="139"/>
      <c r="AA16" s="139"/>
      <c r="AB16" s="140"/>
      <c r="AC16" s="139"/>
      <c r="AE16" s="141"/>
    </row>
    <row r="17" s="131" customFormat="true" ht="15" hidden="false" customHeight="true" outlineLevel="0" collapsed="false">
      <c r="A17" s="132" t="n">
        <v>7</v>
      </c>
      <c r="B17" s="132" t="str">
        <f aca="false">'Base A'!B29</f>
        <v>16</v>
      </c>
      <c r="C17" s="133" t="n">
        <f aca="false">'Base A'!C29</f>
        <v>309.25</v>
      </c>
      <c r="D17" s="132" t="n">
        <f aca="false">'Base A'!T29</f>
        <v>20</v>
      </c>
      <c r="E17" s="134"/>
      <c r="F17" s="134"/>
      <c r="G17" s="134"/>
      <c r="H17" s="134"/>
      <c r="I17" s="134"/>
      <c r="J17" s="134"/>
      <c r="K17" s="135"/>
      <c r="L17" s="136"/>
      <c r="M17" s="137"/>
      <c r="N17" s="138"/>
      <c r="O17" s="135" t="n">
        <f aca="false">10.5*0.18</f>
        <v>1.89</v>
      </c>
      <c r="P17" s="135"/>
      <c r="Q17" s="135"/>
      <c r="R17" s="139"/>
      <c r="S17" s="139"/>
      <c r="T17" s="139"/>
      <c r="U17" s="139"/>
      <c r="V17" s="139"/>
      <c r="W17" s="139" t="n">
        <f aca="false">(O17+O18)*D17/2</f>
        <v>37.8</v>
      </c>
      <c r="X17" s="139"/>
      <c r="Y17" s="139"/>
      <c r="Z17" s="139"/>
      <c r="AA17" s="139"/>
      <c r="AB17" s="140"/>
      <c r="AC17" s="139"/>
      <c r="AE17" s="141"/>
    </row>
    <row r="18" s="131" customFormat="true" ht="15" hidden="false" customHeight="true" outlineLevel="0" collapsed="false">
      <c r="A18" s="132" t="n">
        <v>8</v>
      </c>
      <c r="B18" s="132" t="str">
        <f aca="false">'Base A'!B30</f>
        <v>17</v>
      </c>
      <c r="C18" s="133" t="n">
        <f aca="false">'Base A'!C30</f>
        <v>329.25</v>
      </c>
      <c r="D18" s="132" t="n">
        <f aca="false">'Base A'!T30</f>
        <v>20</v>
      </c>
      <c r="E18" s="134"/>
      <c r="F18" s="134"/>
      <c r="G18" s="134"/>
      <c r="H18" s="134"/>
      <c r="I18" s="134"/>
      <c r="J18" s="134"/>
      <c r="K18" s="135"/>
      <c r="L18" s="136"/>
      <c r="M18" s="137"/>
      <c r="N18" s="138"/>
      <c r="O18" s="135" t="n">
        <f aca="false">10.5*0.18</f>
        <v>1.89</v>
      </c>
      <c r="P18" s="135"/>
      <c r="Q18" s="135"/>
      <c r="R18" s="139"/>
      <c r="S18" s="139"/>
      <c r="T18" s="139"/>
      <c r="U18" s="139"/>
      <c r="V18" s="139"/>
      <c r="W18" s="139" t="n">
        <f aca="false">(O18+O19)*D18/2</f>
        <v>37.8</v>
      </c>
      <c r="X18" s="139"/>
      <c r="Y18" s="139"/>
      <c r="Z18" s="139"/>
      <c r="AA18" s="139"/>
      <c r="AB18" s="140"/>
      <c r="AC18" s="139"/>
      <c r="AE18" s="141"/>
    </row>
    <row r="19" s="131" customFormat="true" ht="15" hidden="false" customHeight="true" outlineLevel="0" collapsed="false">
      <c r="A19" s="132" t="n">
        <v>9</v>
      </c>
      <c r="B19" s="132" t="str">
        <f aca="false">'Base A'!B31</f>
        <v>18</v>
      </c>
      <c r="C19" s="133" t="n">
        <f aca="false">'Base A'!C31</f>
        <v>349.25</v>
      </c>
      <c r="D19" s="132" t="n">
        <f aca="false">'Base A'!T31</f>
        <v>19</v>
      </c>
      <c r="E19" s="134"/>
      <c r="F19" s="134"/>
      <c r="G19" s="134"/>
      <c r="H19" s="134"/>
      <c r="I19" s="134"/>
      <c r="J19" s="134"/>
      <c r="K19" s="135"/>
      <c r="L19" s="136"/>
      <c r="M19" s="137"/>
      <c r="N19" s="138"/>
      <c r="O19" s="135" t="n">
        <f aca="false">10.5*0.18</f>
        <v>1.89</v>
      </c>
      <c r="P19" s="135"/>
      <c r="Q19" s="135"/>
      <c r="R19" s="139"/>
      <c r="S19" s="139"/>
      <c r="T19" s="139"/>
      <c r="U19" s="139"/>
      <c r="V19" s="139"/>
      <c r="W19" s="139" t="n">
        <f aca="false">(O19+O20)*D19/2</f>
        <v>35.91</v>
      </c>
      <c r="X19" s="139"/>
      <c r="Y19" s="139"/>
      <c r="Z19" s="139"/>
      <c r="AA19" s="139"/>
      <c r="AB19" s="140"/>
      <c r="AC19" s="139"/>
      <c r="AE19" s="141"/>
    </row>
    <row r="20" s="131" customFormat="true" ht="15" hidden="false" customHeight="true" outlineLevel="0" collapsed="false">
      <c r="A20" s="132" t="n">
        <v>10</v>
      </c>
      <c r="B20" s="132" t="str">
        <f aca="false">'Base A'!B32</f>
        <v>19</v>
      </c>
      <c r="C20" s="133" t="n">
        <f aca="false">'Base A'!C32</f>
        <v>368.25</v>
      </c>
      <c r="D20" s="132" t="n">
        <f aca="false">'Base A'!T32</f>
        <v>13.25</v>
      </c>
      <c r="E20" s="134"/>
      <c r="F20" s="134"/>
      <c r="G20" s="134"/>
      <c r="H20" s="134"/>
      <c r="I20" s="134"/>
      <c r="J20" s="134"/>
      <c r="K20" s="135"/>
      <c r="L20" s="136"/>
      <c r="M20" s="137"/>
      <c r="N20" s="138"/>
      <c r="O20" s="135" t="n">
        <f aca="false">10.5*0.18</f>
        <v>1.89</v>
      </c>
      <c r="P20" s="135"/>
      <c r="Q20" s="135"/>
      <c r="R20" s="139"/>
      <c r="S20" s="139"/>
      <c r="T20" s="139"/>
      <c r="U20" s="139"/>
      <c r="V20" s="139"/>
      <c r="W20" s="139" t="n">
        <f aca="false">(O20+O21)*D20/2</f>
        <v>25.0425</v>
      </c>
      <c r="X20" s="139"/>
      <c r="Y20" s="139"/>
      <c r="Z20" s="139"/>
      <c r="AA20" s="139"/>
      <c r="AB20" s="140"/>
      <c r="AC20" s="139"/>
      <c r="AE20" s="141"/>
    </row>
    <row r="21" s="131" customFormat="true" ht="15" hidden="false" customHeight="true" outlineLevel="0" collapsed="false">
      <c r="A21" s="132" t="n">
        <v>11</v>
      </c>
      <c r="B21" s="132" t="str">
        <f aca="false">'Base A'!B33</f>
        <v>C2</v>
      </c>
      <c r="C21" s="133" t="n">
        <f aca="false">'Base A'!C33</f>
        <v>381.5</v>
      </c>
      <c r="D21" s="132" t="n">
        <f aca="false">'Base A'!T33</f>
        <v>13.25</v>
      </c>
      <c r="E21" s="134"/>
      <c r="F21" s="134"/>
      <c r="G21" s="134"/>
      <c r="H21" s="134"/>
      <c r="I21" s="134"/>
      <c r="J21" s="134"/>
      <c r="K21" s="135"/>
      <c r="L21" s="136"/>
      <c r="M21" s="137"/>
      <c r="N21" s="138"/>
      <c r="O21" s="135" t="n">
        <f aca="false">10.5*0.18</f>
        <v>1.89</v>
      </c>
      <c r="P21" s="135"/>
      <c r="Q21" s="135"/>
      <c r="R21" s="139"/>
      <c r="S21" s="139"/>
      <c r="T21" s="139"/>
      <c r="U21" s="139"/>
      <c r="V21" s="139"/>
      <c r="W21" s="139" t="n">
        <f aca="false">(O21+O22)*D21/2</f>
        <v>25.0425</v>
      </c>
      <c r="X21" s="139"/>
      <c r="Y21" s="139"/>
      <c r="Z21" s="139"/>
      <c r="AA21" s="139"/>
      <c r="AB21" s="140"/>
      <c r="AC21" s="139"/>
      <c r="AE21" s="141"/>
    </row>
    <row r="22" s="131" customFormat="true" ht="15" hidden="false" customHeight="true" outlineLevel="0" collapsed="false">
      <c r="A22" s="132" t="n">
        <v>12</v>
      </c>
      <c r="B22" s="132" t="str">
        <f aca="false">'Base A'!B34</f>
        <v>20</v>
      </c>
      <c r="C22" s="133" t="n">
        <f aca="false">'Base A'!C34</f>
        <v>394.75</v>
      </c>
      <c r="D22" s="132" t="n">
        <f aca="false">'Base A'!T34</f>
        <v>20</v>
      </c>
      <c r="E22" s="134"/>
      <c r="F22" s="134"/>
      <c r="G22" s="134"/>
      <c r="H22" s="134"/>
      <c r="I22" s="134"/>
      <c r="J22" s="134"/>
      <c r="K22" s="135"/>
      <c r="L22" s="136"/>
      <c r="M22" s="137"/>
      <c r="N22" s="138"/>
      <c r="O22" s="135" t="n">
        <f aca="false">10.5*0.18</f>
        <v>1.89</v>
      </c>
      <c r="P22" s="135"/>
      <c r="Q22" s="135"/>
      <c r="R22" s="139"/>
      <c r="S22" s="139"/>
      <c r="T22" s="139"/>
      <c r="U22" s="139"/>
      <c r="V22" s="139"/>
      <c r="W22" s="139" t="n">
        <f aca="false">(O22+O23)*D22/2</f>
        <v>37.8</v>
      </c>
      <c r="X22" s="139"/>
      <c r="Y22" s="139"/>
      <c r="Z22" s="139"/>
      <c r="AA22" s="139"/>
      <c r="AB22" s="140"/>
      <c r="AC22" s="139"/>
      <c r="AE22" s="141"/>
    </row>
    <row r="23" s="131" customFormat="true" ht="15" hidden="false" customHeight="true" outlineLevel="0" collapsed="false">
      <c r="A23" s="132" t="n">
        <v>13</v>
      </c>
      <c r="B23" s="132" t="str">
        <f aca="false">'Base A'!B35</f>
        <v>21</v>
      </c>
      <c r="C23" s="133" t="n">
        <f aca="false">'Base A'!C35</f>
        <v>414.75</v>
      </c>
      <c r="D23" s="132" t="n">
        <f aca="false">'Base A'!T35</f>
        <v>20</v>
      </c>
      <c r="E23" s="134"/>
      <c r="F23" s="134"/>
      <c r="G23" s="134"/>
      <c r="H23" s="134"/>
      <c r="I23" s="134"/>
      <c r="J23" s="134"/>
      <c r="K23" s="135"/>
      <c r="L23" s="136"/>
      <c r="M23" s="137"/>
      <c r="N23" s="138"/>
      <c r="O23" s="135" t="n">
        <f aca="false">10.5*0.18</f>
        <v>1.89</v>
      </c>
      <c r="P23" s="135"/>
      <c r="Q23" s="135"/>
      <c r="R23" s="139"/>
      <c r="S23" s="139"/>
      <c r="T23" s="139"/>
      <c r="U23" s="139"/>
      <c r="V23" s="139"/>
      <c r="W23" s="139" t="n">
        <f aca="false">(O23+O24)*D23/2</f>
        <v>37.8</v>
      </c>
      <c r="X23" s="139"/>
      <c r="Y23" s="139"/>
      <c r="Z23" s="139"/>
      <c r="AA23" s="139"/>
      <c r="AB23" s="140"/>
      <c r="AC23" s="139"/>
      <c r="AE23" s="141"/>
    </row>
    <row r="24" s="131" customFormat="true" ht="15" hidden="false" customHeight="true" outlineLevel="0" collapsed="false">
      <c r="A24" s="132" t="n">
        <v>14</v>
      </c>
      <c r="B24" s="132" t="str">
        <f aca="false">'Base A'!B36</f>
        <v>22</v>
      </c>
      <c r="C24" s="133" t="n">
        <f aca="false">'Base A'!C36</f>
        <v>434.75</v>
      </c>
      <c r="D24" s="132" t="n">
        <f aca="false">'Base A'!T36</f>
        <v>20</v>
      </c>
      <c r="E24" s="134"/>
      <c r="F24" s="134"/>
      <c r="G24" s="134"/>
      <c r="H24" s="134"/>
      <c r="I24" s="134"/>
      <c r="J24" s="134"/>
      <c r="K24" s="135"/>
      <c r="L24" s="136"/>
      <c r="M24" s="137"/>
      <c r="N24" s="138"/>
      <c r="O24" s="135" t="n">
        <f aca="false">10.5*0.18</f>
        <v>1.89</v>
      </c>
      <c r="P24" s="135"/>
      <c r="Q24" s="135"/>
      <c r="R24" s="139"/>
      <c r="S24" s="139"/>
      <c r="T24" s="139"/>
      <c r="U24" s="139"/>
      <c r="V24" s="139"/>
      <c r="W24" s="139" t="n">
        <f aca="false">(O24+O25)*D24/2</f>
        <v>37.8</v>
      </c>
      <c r="X24" s="139"/>
      <c r="Y24" s="139"/>
      <c r="Z24" s="139"/>
      <c r="AA24" s="139"/>
      <c r="AB24" s="140"/>
      <c r="AC24" s="139"/>
      <c r="AE24" s="141"/>
    </row>
    <row r="25" s="131" customFormat="true" ht="15" hidden="false" customHeight="true" outlineLevel="0" collapsed="false">
      <c r="A25" s="132" t="n">
        <v>15</v>
      </c>
      <c r="B25" s="132" t="str">
        <f aca="false">'Base A'!B37</f>
        <v>23</v>
      </c>
      <c r="C25" s="133" t="n">
        <f aca="false">'Base A'!C37</f>
        <v>454.75</v>
      </c>
      <c r="D25" s="132" t="n">
        <f aca="false">'Base A'!T37</f>
        <v>20</v>
      </c>
      <c r="E25" s="134"/>
      <c r="F25" s="134"/>
      <c r="G25" s="134"/>
      <c r="H25" s="134"/>
      <c r="I25" s="134"/>
      <c r="J25" s="134"/>
      <c r="K25" s="135"/>
      <c r="L25" s="136"/>
      <c r="M25" s="137"/>
      <c r="N25" s="138"/>
      <c r="O25" s="135" t="n">
        <f aca="false">10.5*0.18</f>
        <v>1.89</v>
      </c>
      <c r="P25" s="135"/>
      <c r="Q25" s="135"/>
      <c r="R25" s="139"/>
      <c r="S25" s="139"/>
      <c r="T25" s="139"/>
      <c r="U25" s="139"/>
      <c r="V25" s="139"/>
      <c r="W25" s="139" t="n">
        <f aca="false">(O25+O26)*D25/2</f>
        <v>37.8</v>
      </c>
      <c r="X25" s="139"/>
      <c r="Y25" s="139"/>
      <c r="Z25" s="139"/>
      <c r="AA25" s="139"/>
      <c r="AB25" s="140"/>
      <c r="AC25" s="139"/>
      <c r="AE25" s="141"/>
    </row>
    <row r="26" s="131" customFormat="true" ht="15" hidden="false" customHeight="true" outlineLevel="0" collapsed="false">
      <c r="A26" s="132" t="n">
        <v>16</v>
      </c>
      <c r="B26" s="132" t="str">
        <f aca="false">'Base A'!B38</f>
        <v>24</v>
      </c>
      <c r="C26" s="133" t="n">
        <f aca="false">'Base A'!C38</f>
        <v>474.75</v>
      </c>
      <c r="D26" s="132" t="n">
        <f aca="false">'Base A'!T38</f>
        <v>14.44</v>
      </c>
      <c r="E26" s="134"/>
      <c r="F26" s="134"/>
      <c r="G26" s="134"/>
      <c r="H26" s="134"/>
      <c r="I26" s="134"/>
      <c r="J26" s="134"/>
      <c r="K26" s="135"/>
      <c r="L26" s="136"/>
      <c r="M26" s="137"/>
      <c r="N26" s="138"/>
      <c r="O26" s="135" t="n">
        <f aca="false">10.5*0.18</f>
        <v>1.89</v>
      </c>
      <c r="P26" s="135"/>
      <c r="Q26" s="135"/>
      <c r="R26" s="139"/>
      <c r="S26" s="139"/>
      <c r="T26" s="139"/>
      <c r="U26" s="139"/>
      <c r="V26" s="139"/>
      <c r="W26" s="139" t="n">
        <f aca="false">(O26+O27)*D26/2</f>
        <v>27.2916</v>
      </c>
      <c r="X26" s="139"/>
      <c r="Y26" s="139"/>
      <c r="Z26" s="139"/>
      <c r="AA26" s="139"/>
      <c r="AB26" s="140"/>
      <c r="AC26" s="139"/>
      <c r="AE26" s="141"/>
    </row>
    <row r="27" s="131" customFormat="true" ht="15" hidden="false" customHeight="true" outlineLevel="0" collapsed="false">
      <c r="A27" s="132" t="n">
        <v>17</v>
      </c>
      <c r="B27" s="132" t="str">
        <f aca="false">'Base A'!B39</f>
        <v>25</v>
      </c>
      <c r="C27" s="133" t="n">
        <f aca="false">'Base A'!C39</f>
        <v>489.19</v>
      </c>
      <c r="D27" s="132" t="n">
        <f aca="false">'Base A'!T39</f>
        <v>13.17</v>
      </c>
      <c r="E27" s="134"/>
      <c r="F27" s="134"/>
      <c r="G27" s="134"/>
      <c r="H27" s="134"/>
      <c r="I27" s="134"/>
      <c r="J27" s="134"/>
      <c r="K27" s="135"/>
      <c r="L27" s="136"/>
      <c r="M27" s="137"/>
      <c r="N27" s="138"/>
      <c r="O27" s="135" t="n">
        <f aca="false">10.5*0.18</f>
        <v>1.89</v>
      </c>
      <c r="P27" s="135"/>
      <c r="Q27" s="135"/>
      <c r="R27" s="139"/>
      <c r="S27" s="139"/>
      <c r="T27" s="139"/>
      <c r="U27" s="139"/>
      <c r="V27" s="139"/>
      <c r="W27" s="139" t="n">
        <f aca="false">(O27+O28)*D27/2</f>
        <v>24.8913</v>
      </c>
      <c r="X27" s="139"/>
      <c r="Y27" s="139"/>
      <c r="Z27" s="139"/>
      <c r="AA27" s="139"/>
      <c r="AB27" s="140"/>
      <c r="AC27" s="139"/>
      <c r="AE27" s="141"/>
    </row>
    <row r="28" s="131" customFormat="true" ht="15" hidden="false" customHeight="true" outlineLevel="0" collapsed="false">
      <c r="A28" s="132" t="n">
        <v>18</v>
      </c>
      <c r="B28" s="132" t="str">
        <f aca="false">'Base A'!B40</f>
        <v>D1</v>
      </c>
      <c r="C28" s="133" t="n">
        <f aca="false">'Base A'!C40</f>
        <v>502.36</v>
      </c>
      <c r="D28" s="132" t="n">
        <f aca="false">'Base A'!T40</f>
        <v>10.48</v>
      </c>
      <c r="E28" s="134"/>
      <c r="F28" s="134"/>
      <c r="G28" s="134"/>
      <c r="H28" s="134"/>
      <c r="I28" s="134"/>
      <c r="J28" s="134"/>
      <c r="K28" s="135"/>
      <c r="L28" s="136"/>
      <c r="M28" s="137"/>
      <c r="N28" s="138"/>
      <c r="O28" s="135" t="n">
        <f aca="false">10.5*0.18</f>
        <v>1.89</v>
      </c>
      <c r="P28" s="135"/>
      <c r="Q28" s="135"/>
      <c r="R28" s="139"/>
      <c r="S28" s="139"/>
      <c r="T28" s="139"/>
      <c r="U28" s="139"/>
      <c r="V28" s="139"/>
      <c r="W28" s="139" t="n">
        <f aca="false">(O28+O29)*D28/2</f>
        <v>19.8072</v>
      </c>
      <c r="X28" s="139"/>
      <c r="Y28" s="139"/>
      <c r="Z28" s="139"/>
      <c r="AA28" s="139"/>
      <c r="AB28" s="140"/>
      <c r="AC28" s="139"/>
      <c r="AE28" s="141"/>
    </row>
    <row r="29" s="131" customFormat="true" ht="15" hidden="false" customHeight="true" outlineLevel="0" collapsed="false">
      <c r="A29" s="132" t="n">
        <v>19</v>
      </c>
      <c r="B29" s="132" t="str">
        <f aca="false">'Base A'!B41</f>
        <v>26</v>
      </c>
      <c r="C29" s="133" t="n">
        <f aca="false">'Base A'!C41</f>
        <v>512.84</v>
      </c>
      <c r="D29" s="132" t="n">
        <f aca="false">'Base A'!T41</f>
        <v>16.78</v>
      </c>
      <c r="E29" s="134"/>
      <c r="F29" s="134"/>
      <c r="G29" s="134"/>
      <c r="H29" s="134"/>
      <c r="I29" s="134"/>
      <c r="J29" s="134"/>
      <c r="K29" s="135"/>
      <c r="L29" s="136"/>
      <c r="M29" s="137"/>
      <c r="N29" s="138"/>
      <c r="O29" s="135" t="n">
        <f aca="false">10.5*0.18</f>
        <v>1.89</v>
      </c>
      <c r="P29" s="135"/>
      <c r="Q29" s="135"/>
      <c r="R29" s="139"/>
      <c r="S29" s="139"/>
      <c r="T29" s="139"/>
      <c r="U29" s="139"/>
      <c r="V29" s="139"/>
      <c r="W29" s="139" t="n">
        <f aca="false">(O29+O30)*D29/2</f>
        <v>31.7142</v>
      </c>
      <c r="X29" s="139"/>
      <c r="Y29" s="139"/>
      <c r="Z29" s="139"/>
      <c r="AA29" s="139"/>
      <c r="AB29" s="140"/>
      <c r="AC29" s="139"/>
      <c r="AE29" s="141"/>
    </row>
    <row r="30" s="131" customFormat="true" ht="15" hidden="false" customHeight="true" outlineLevel="0" collapsed="false">
      <c r="A30" s="132" t="n">
        <v>20</v>
      </c>
      <c r="B30" s="132" t="str">
        <f aca="false">'Base A'!B42</f>
        <v>27</v>
      </c>
      <c r="C30" s="133" t="n">
        <f aca="false">'Base A'!C42</f>
        <v>529.62</v>
      </c>
      <c r="D30" s="132" t="n">
        <f aca="false">'Base A'!T42</f>
        <v>17.1</v>
      </c>
      <c r="E30" s="134"/>
      <c r="F30" s="134"/>
      <c r="G30" s="134"/>
      <c r="H30" s="134"/>
      <c r="I30" s="134"/>
      <c r="J30" s="134"/>
      <c r="K30" s="135"/>
      <c r="L30" s="136"/>
      <c r="M30" s="137"/>
      <c r="N30" s="138"/>
      <c r="O30" s="135" t="n">
        <f aca="false">10.5*0.18</f>
        <v>1.89</v>
      </c>
      <c r="P30" s="135"/>
      <c r="Q30" s="135"/>
      <c r="R30" s="139"/>
      <c r="S30" s="139"/>
      <c r="T30" s="139"/>
      <c r="U30" s="139"/>
      <c r="V30" s="139"/>
      <c r="W30" s="139" t="n">
        <f aca="false">(O30+O31)*D30/2</f>
        <v>32.319</v>
      </c>
      <c r="X30" s="139"/>
      <c r="Y30" s="139"/>
      <c r="Z30" s="139"/>
      <c r="AA30" s="139"/>
      <c r="AB30" s="140"/>
      <c r="AC30" s="139"/>
      <c r="AE30" s="141"/>
    </row>
    <row r="31" s="131" customFormat="true" ht="15" hidden="false" customHeight="true" outlineLevel="0" collapsed="false">
      <c r="A31" s="132" t="n">
        <v>21</v>
      </c>
      <c r="B31" s="132" t="str">
        <f aca="false">'Base A'!B43</f>
        <v>28</v>
      </c>
      <c r="C31" s="133" t="n">
        <f aca="false">'Base A'!C43</f>
        <v>546.72</v>
      </c>
      <c r="D31" s="132" t="n">
        <f aca="false">'Base A'!T43</f>
        <v>15.15</v>
      </c>
      <c r="E31" s="134"/>
      <c r="F31" s="134"/>
      <c r="G31" s="134"/>
      <c r="H31" s="134"/>
      <c r="I31" s="134"/>
      <c r="J31" s="134"/>
      <c r="K31" s="135"/>
      <c r="L31" s="136"/>
      <c r="M31" s="137"/>
      <c r="N31" s="138"/>
      <c r="O31" s="135" t="n">
        <f aca="false">10.5*0.18</f>
        <v>1.89</v>
      </c>
      <c r="P31" s="135"/>
      <c r="Q31" s="135"/>
      <c r="R31" s="139"/>
      <c r="S31" s="139"/>
      <c r="T31" s="139"/>
      <c r="U31" s="139"/>
      <c r="V31" s="139"/>
      <c r="W31" s="139" t="n">
        <f aca="false">(O31+O32)*D31/2</f>
        <v>28.6335</v>
      </c>
      <c r="X31" s="139"/>
      <c r="Y31" s="139"/>
      <c r="Z31" s="139"/>
      <c r="AA31" s="139"/>
      <c r="AB31" s="140"/>
      <c r="AC31" s="139"/>
      <c r="AE31" s="141"/>
    </row>
    <row r="32" s="131" customFormat="true" ht="15" hidden="false" customHeight="true" outlineLevel="0" collapsed="false">
      <c r="A32" s="132" t="n">
        <v>22</v>
      </c>
      <c r="B32" s="132" t="str">
        <f aca="false">'Base A'!B44</f>
        <v>E5</v>
      </c>
      <c r="C32" s="133" t="n">
        <f aca="false">'Base A'!C44</f>
        <v>561.87</v>
      </c>
      <c r="D32" s="132" t="n">
        <f aca="false">'Base A'!T44</f>
        <v>0.15</v>
      </c>
      <c r="E32" s="134"/>
      <c r="F32" s="134"/>
      <c r="G32" s="134"/>
      <c r="H32" s="134"/>
      <c r="I32" s="134"/>
      <c r="J32" s="134"/>
      <c r="K32" s="135"/>
      <c r="L32" s="136"/>
      <c r="M32" s="137"/>
      <c r="N32" s="138"/>
      <c r="O32" s="135" t="n">
        <f aca="false">10.5*0.18</f>
        <v>1.89</v>
      </c>
      <c r="P32" s="135"/>
      <c r="Q32" s="135"/>
      <c r="R32" s="139"/>
      <c r="S32" s="139"/>
      <c r="T32" s="139"/>
      <c r="U32" s="139"/>
      <c r="V32" s="139"/>
      <c r="W32" s="139" t="n">
        <f aca="false">(O32+O33)*D32/2</f>
        <v>0.2835</v>
      </c>
      <c r="X32" s="139"/>
      <c r="Y32" s="139"/>
      <c r="Z32" s="139"/>
      <c r="AA32" s="139"/>
      <c r="AB32" s="140"/>
      <c r="AC32" s="139"/>
      <c r="AE32" s="141"/>
    </row>
    <row r="33" s="131" customFormat="true" ht="15" hidden="false" customHeight="true" outlineLevel="0" collapsed="false">
      <c r="A33" s="132" t="n">
        <v>23</v>
      </c>
      <c r="B33" s="132" t="str">
        <f aca="false">'Base A'!B45</f>
        <v>TD</v>
      </c>
      <c r="C33" s="133" t="n">
        <f aca="false">'Base A'!C45</f>
        <v>562.02</v>
      </c>
      <c r="D33" s="132" t="n">
        <f aca="false">'Base A'!T45</f>
        <v>6.55</v>
      </c>
      <c r="E33" s="134"/>
      <c r="F33" s="134"/>
      <c r="G33" s="134"/>
      <c r="H33" s="134"/>
      <c r="I33" s="134"/>
      <c r="J33" s="134"/>
      <c r="K33" s="135"/>
      <c r="L33" s="136"/>
      <c r="M33" s="137"/>
      <c r="N33" s="138"/>
      <c r="O33" s="135" t="n">
        <f aca="false">10.5*0.18</f>
        <v>1.89</v>
      </c>
      <c r="P33" s="135"/>
      <c r="Q33" s="135"/>
      <c r="R33" s="139"/>
      <c r="S33" s="139"/>
      <c r="T33" s="139"/>
      <c r="U33" s="139"/>
      <c r="V33" s="139"/>
      <c r="W33" s="139" t="n">
        <f aca="false">(O33+O34)*D33/2</f>
        <v>12.3795</v>
      </c>
      <c r="X33" s="139"/>
      <c r="Y33" s="139"/>
      <c r="Z33" s="139"/>
      <c r="AA33" s="139"/>
      <c r="AB33" s="140"/>
      <c r="AC33" s="139"/>
      <c r="AE33" s="141"/>
    </row>
    <row r="34" s="131" customFormat="true" ht="15" hidden="false" customHeight="true" outlineLevel="0" collapsed="false">
      <c r="A34" s="132" t="n">
        <v>24</v>
      </c>
      <c r="B34" s="132" t="str">
        <f aca="false">'Base A'!B46</f>
        <v>P</v>
      </c>
      <c r="C34" s="133" t="n">
        <f aca="false">'Base A'!C46</f>
        <v>568.57</v>
      </c>
      <c r="D34" s="132" t="n">
        <f aca="false">'Base A'!T46</f>
        <v>6.55</v>
      </c>
      <c r="E34" s="134"/>
      <c r="F34" s="134"/>
      <c r="G34" s="134"/>
      <c r="H34" s="134"/>
      <c r="I34" s="134"/>
      <c r="J34" s="134"/>
      <c r="K34" s="135"/>
      <c r="L34" s="136"/>
      <c r="M34" s="137"/>
      <c r="N34" s="138"/>
      <c r="O34" s="135" t="n">
        <f aca="false">10.5*0.18</f>
        <v>1.89</v>
      </c>
      <c r="P34" s="135"/>
      <c r="Q34" s="135"/>
      <c r="R34" s="139"/>
      <c r="S34" s="139"/>
      <c r="T34" s="139"/>
      <c r="U34" s="139"/>
      <c r="V34" s="139"/>
      <c r="W34" s="139" t="n">
        <f aca="false">(O34+O35)*D34/2</f>
        <v>12.3795</v>
      </c>
      <c r="X34" s="139"/>
      <c r="Y34" s="139"/>
      <c r="Z34" s="139"/>
      <c r="AA34" s="139"/>
      <c r="AB34" s="140"/>
      <c r="AC34" s="139"/>
      <c r="AE34" s="141"/>
    </row>
    <row r="35" s="131" customFormat="true" ht="15" hidden="false" customHeight="true" outlineLevel="0" collapsed="false">
      <c r="A35" s="132" t="n">
        <v>25</v>
      </c>
      <c r="B35" s="132" t="str">
        <f aca="false">'Base A'!B47</f>
        <v>TC</v>
      </c>
      <c r="C35" s="133" t="n">
        <f aca="false">'Base A'!C47</f>
        <v>575.12</v>
      </c>
      <c r="D35" s="132" t="n">
        <f aca="false">'Base A'!T47</f>
        <v>0.04</v>
      </c>
      <c r="E35" s="134"/>
      <c r="F35" s="134"/>
      <c r="G35" s="134"/>
      <c r="H35" s="134"/>
      <c r="I35" s="134"/>
      <c r="J35" s="134"/>
      <c r="K35" s="135"/>
      <c r="L35" s="136"/>
      <c r="M35" s="137"/>
      <c r="N35" s="138"/>
      <c r="O35" s="135" t="n">
        <f aca="false">10.5*0.18</f>
        <v>1.89</v>
      </c>
      <c r="P35" s="135"/>
      <c r="Q35" s="135"/>
      <c r="R35" s="139"/>
      <c r="S35" s="139"/>
      <c r="T35" s="139"/>
      <c r="U35" s="139"/>
      <c r="V35" s="139"/>
      <c r="W35" s="139" t="n">
        <f aca="false">(O35+O36)*D35/2</f>
        <v>0.0756</v>
      </c>
      <c r="X35" s="139"/>
      <c r="Y35" s="139"/>
      <c r="Z35" s="139"/>
      <c r="AA35" s="139"/>
      <c r="AB35" s="140"/>
      <c r="AC35" s="139"/>
      <c r="AE35" s="141"/>
    </row>
    <row r="36" s="131" customFormat="true" ht="15" hidden="false" customHeight="true" outlineLevel="0" collapsed="false">
      <c r="A36" s="132" t="n">
        <v>26</v>
      </c>
      <c r="B36" s="132" t="str">
        <f aca="false">'Base A'!B48</f>
        <v>29</v>
      </c>
      <c r="C36" s="133" t="n">
        <f aca="false">'Base A'!C48</f>
        <v>575.16</v>
      </c>
      <c r="D36" s="132" t="n">
        <f aca="false">'Base A'!T48</f>
        <v>16.95</v>
      </c>
      <c r="E36" s="134"/>
      <c r="F36" s="134"/>
      <c r="G36" s="134"/>
      <c r="H36" s="134"/>
      <c r="I36" s="134"/>
      <c r="J36" s="134"/>
      <c r="K36" s="135"/>
      <c r="L36" s="136"/>
      <c r="M36" s="137"/>
      <c r="N36" s="138"/>
      <c r="O36" s="135" t="n">
        <f aca="false">10.5*0.18</f>
        <v>1.89</v>
      </c>
      <c r="P36" s="135"/>
      <c r="Q36" s="135"/>
      <c r="R36" s="139"/>
      <c r="S36" s="139"/>
      <c r="T36" s="139"/>
      <c r="U36" s="139"/>
      <c r="V36" s="139"/>
      <c r="W36" s="139" t="n">
        <f aca="false">(O36+O37)*D36/2</f>
        <v>32.0355</v>
      </c>
      <c r="X36" s="139"/>
      <c r="Y36" s="139"/>
      <c r="Z36" s="139"/>
      <c r="AA36" s="139"/>
      <c r="AB36" s="140"/>
      <c r="AC36" s="139"/>
      <c r="AE36" s="141"/>
    </row>
    <row r="37" s="131" customFormat="true" ht="15" hidden="false" customHeight="true" outlineLevel="0" collapsed="false">
      <c r="A37" s="132" t="n">
        <v>27</v>
      </c>
      <c r="B37" s="132" t="str">
        <f aca="false">'Base A'!B49</f>
        <v>30</v>
      </c>
      <c r="C37" s="133" t="n">
        <f aca="false">'Base A'!C49</f>
        <v>592.11</v>
      </c>
      <c r="D37" s="132" t="n">
        <f aca="false">'Base A'!T49</f>
        <v>17</v>
      </c>
      <c r="E37" s="134"/>
      <c r="F37" s="134"/>
      <c r="G37" s="134"/>
      <c r="H37" s="134"/>
      <c r="I37" s="134"/>
      <c r="J37" s="134"/>
      <c r="K37" s="135"/>
      <c r="L37" s="136"/>
      <c r="M37" s="137"/>
      <c r="N37" s="138"/>
      <c r="O37" s="135" t="n">
        <f aca="false">10.5*0.18</f>
        <v>1.89</v>
      </c>
      <c r="P37" s="135"/>
      <c r="Q37" s="135"/>
      <c r="R37" s="139"/>
      <c r="S37" s="139"/>
      <c r="T37" s="139"/>
      <c r="U37" s="139"/>
      <c r="V37" s="139"/>
      <c r="W37" s="139" t="n">
        <f aca="false">(O37+O38)*D37/2</f>
        <v>32.13</v>
      </c>
      <c r="X37" s="139"/>
      <c r="Y37" s="139"/>
      <c r="Z37" s="139"/>
      <c r="AA37" s="139"/>
      <c r="AB37" s="140"/>
      <c r="AC37" s="139"/>
      <c r="AE37" s="141"/>
    </row>
    <row r="38" s="131" customFormat="true" ht="15" hidden="false" customHeight="true" outlineLevel="0" collapsed="false">
      <c r="A38" s="132" t="n">
        <v>28</v>
      </c>
      <c r="B38" s="132" t="str">
        <f aca="false">'Base A'!B50</f>
        <v>31</v>
      </c>
      <c r="C38" s="133" t="n">
        <f aca="false">'Base A'!C50</f>
        <v>609.11</v>
      </c>
      <c r="D38" s="132" t="n">
        <f aca="false">'Base A'!T50</f>
        <v>11.75</v>
      </c>
      <c r="E38" s="134"/>
      <c r="F38" s="134"/>
      <c r="G38" s="134"/>
      <c r="H38" s="134"/>
      <c r="I38" s="134"/>
      <c r="J38" s="134"/>
      <c r="K38" s="135"/>
      <c r="L38" s="136"/>
      <c r="M38" s="137"/>
      <c r="N38" s="138"/>
      <c r="O38" s="135" t="n">
        <f aca="false">10.5*0.18</f>
        <v>1.89</v>
      </c>
      <c r="P38" s="135"/>
      <c r="Q38" s="135"/>
      <c r="R38" s="139"/>
      <c r="S38" s="139"/>
      <c r="T38" s="139"/>
      <c r="U38" s="139"/>
      <c r="V38" s="139"/>
      <c r="W38" s="139" t="n">
        <f aca="false">(O38+O39)*D38/2</f>
        <v>22.2075</v>
      </c>
      <c r="X38" s="139"/>
      <c r="Y38" s="139"/>
      <c r="Z38" s="139"/>
      <c r="AA38" s="139"/>
      <c r="AB38" s="140"/>
      <c r="AC38" s="139"/>
      <c r="AE38" s="141"/>
    </row>
    <row r="39" s="131" customFormat="true" ht="15" hidden="false" customHeight="true" outlineLevel="0" collapsed="false">
      <c r="A39" s="132" t="n">
        <v>29</v>
      </c>
      <c r="B39" s="132" t="str">
        <f aca="false">'Base A'!B51</f>
        <v>E10</v>
      </c>
      <c r="C39" s="133" t="n">
        <f aca="false">'Base A'!C51</f>
        <v>620.86</v>
      </c>
      <c r="D39" s="132" t="n">
        <f aca="false">'Base A'!T51</f>
        <v>11.75</v>
      </c>
      <c r="E39" s="134"/>
      <c r="F39" s="134"/>
      <c r="G39" s="134"/>
      <c r="H39" s="134"/>
      <c r="I39" s="134"/>
      <c r="J39" s="134"/>
      <c r="K39" s="135"/>
      <c r="L39" s="136"/>
      <c r="M39" s="137"/>
      <c r="N39" s="138"/>
      <c r="O39" s="135" t="n">
        <f aca="false">10.5*0.18</f>
        <v>1.89</v>
      </c>
      <c r="P39" s="135"/>
      <c r="Q39" s="135"/>
      <c r="R39" s="139"/>
      <c r="S39" s="139"/>
      <c r="T39" s="139"/>
      <c r="U39" s="139"/>
      <c r="V39" s="139"/>
      <c r="W39" s="139" t="n">
        <f aca="false">(O39+O40)*D39/2</f>
        <v>22.2075</v>
      </c>
      <c r="X39" s="139"/>
      <c r="Y39" s="139"/>
      <c r="Z39" s="139"/>
      <c r="AA39" s="139"/>
      <c r="AB39" s="140"/>
      <c r="AC39" s="139"/>
      <c r="AE39" s="141"/>
    </row>
    <row r="40" s="131" customFormat="true" ht="15" hidden="false" customHeight="true" outlineLevel="0" collapsed="false">
      <c r="A40" s="132" t="n">
        <v>30</v>
      </c>
      <c r="B40" s="132" t="str">
        <f aca="false">'Base A'!B52</f>
        <v>32</v>
      </c>
      <c r="C40" s="133" t="n">
        <f aca="false">'Base A'!C52</f>
        <v>632.61</v>
      </c>
      <c r="D40" s="132" t="n">
        <f aca="false">'Base A'!T52</f>
        <v>20</v>
      </c>
      <c r="E40" s="134"/>
      <c r="F40" s="134"/>
      <c r="G40" s="134"/>
      <c r="H40" s="134"/>
      <c r="I40" s="134"/>
      <c r="J40" s="134"/>
      <c r="K40" s="135"/>
      <c r="L40" s="136"/>
      <c r="M40" s="137"/>
      <c r="N40" s="138"/>
      <c r="O40" s="135" t="n">
        <f aca="false">10.5*0.18</f>
        <v>1.89</v>
      </c>
      <c r="P40" s="135"/>
      <c r="Q40" s="135"/>
      <c r="R40" s="139"/>
      <c r="S40" s="139"/>
      <c r="T40" s="139"/>
      <c r="U40" s="139"/>
      <c r="V40" s="139"/>
      <c r="W40" s="139" t="n">
        <f aca="false">(O40+O41)*D40/2</f>
        <v>37.8</v>
      </c>
      <c r="X40" s="139"/>
      <c r="Y40" s="139"/>
      <c r="Z40" s="139"/>
      <c r="AA40" s="139"/>
      <c r="AB40" s="140"/>
      <c r="AC40" s="139"/>
      <c r="AE40" s="141"/>
    </row>
    <row r="41" s="131" customFormat="true" ht="15" hidden="false" customHeight="true" outlineLevel="0" collapsed="false">
      <c r="A41" s="132" t="n">
        <v>31</v>
      </c>
      <c r="B41" s="132" t="str">
        <f aca="false">'Base A'!B53</f>
        <v>33</v>
      </c>
      <c r="C41" s="133" t="n">
        <f aca="false">'Base A'!C53</f>
        <v>652.61</v>
      </c>
      <c r="D41" s="132" t="n">
        <f aca="false">'Base A'!T53</f>
        <v>20</v>
      </c>
      <c r="E41" s="134"/>
      <c r="F41" s="134"/>
      <c r="G41" s="134"/>
      <c r="H41" s="134"/>
      <c r="I41" s="134"/>
      <c r="J41" s="134"/>
      <c r="K41" s="135"/>
      <c r="L41" s="136"/>
      <c r="M41" s="137"/>
      <c r="N41" s="138"/>
      <c r="O41" s="135" t="n">
        <f aca="false">10.5*0.18</f>
        <v>1.89</v>
      </c>
      <c r="P41" s="135"/>
      <c r="Q41" s="135"/>
      <c r="R41" s="139"/>
      <c r="S41" s="139"/>
      <c r="T41" s="139"/>
      <c r="U41" s="139"/>
      <c r="V41" s="139"/>
      <c r="W41" s="139" t="n">
        <f aca="false">(O41+O42)*D41/2</f>
        <v>37.8</v>
      </c>
      <c r="X41" s="139"/>
      <c r="Y41" s="139"/>
      <c r="Z41" s="139"/>
      <c r="AA41" s="139"/>
      <c r="AB41" s="140"/>
      <c r="AC41" s="139"/>
      <c r="AE41" s="141"/>
    </row>
    <row r="42" s="131" customFormat="true" ht="15" hidden="false" customHeight="true" outlineLevel="0" collapsed="false">
      <c r="A42" s="132" t="n">
        <v>32</v>
      </c>
      <c r="B42" s="132" t="str">
        <f aca="false">'Base A'!B54</f>
        <v>34</v>
      </c>
      <c r="C42" s="133" t="n">
        <f aca="false">'Base A'!C54</f>
        <v>672.61</v>
      </c>
      <c r="D42" s="132" t="n">
        <f aca="false">'Base A'!T54</f>
        <v>20</v>
      </c>
      <c r="E42" s="134"/>
      <c r="F42" s="134"/>
      <c r="G42" s="134"/>
      <c r="H42" s="134"/>
      <c r="I42" s="134"/>
      <c r="J42" s="134"/>
      <c r="K42" s="135"/>
      <c r="L42" s="136"/>
      <c r="M42" s="137"/>
      <c r="N42" s="138"/>
      <c r="O42" s="135" t="n">
        <f aca="false">10.5*0.18</f>
        <v>1.89</v>
      </c>
      <c r="P42" s="135"/>
      <c r="Q42" s="135"/>
      <c r="R42" s="139"/>
      <c r="S42" s="139"/>
      <c r="T42" s="139"/>
      <c r="U42" s="139"/>
      <c r="V42" s="139"/>
      <c r="W42" s="139" t="n">
        <f aca="false">(O42+O43)*D42/2</f>
        <v>37.8</v>
      </c>
      <c r="X42" s="139"/>
      <c r="Y42" s="139"/>
      <c r="Z42" s="139"/>
      <c r="AA42" s="139"/>
      <c r="AB42" s="140"/>
      <c r="AC42" s="139"/>
      <c r="AE42" s="141"/>
    </row>
    <row r="43" s="131" customFormat="true" ht="15" hidden="false" customHeight="true" outlineLevel="0" collapsed="false">
      <c r="A43" s="132" t="n">
        <v>33</v>
      </c>
      <c r="B43" s="132" t="str">
        <f aca="false">'Base A'!B55</f>
        <v>35</v>
      </c>
      <c r="C43" s="133" t="n">
        <f aca="false">'Base A'!C55</f>
        <v>692.61</v>
      </c>
      <c r="D43" s="132" t="n">
        <f aca="false">'Base A'!T55</f>
        <v>20</v>
      </c>
      <c r="E43" s="134"/>
      <c r="F43" s="134"/>
      <c r="G43" s="134"/>
      <c r="H43" s="134"/>
      <c r="I43" s="134"/>
      <c r="J43" s="134"/>
      <c r="K43" s="135"/>
      <c r="L43" s="136"/>
      <c r="M43" s="137"/>
      <c r="N43" s="138"/>
      <c r="O43" s="135" t="n">
        <f aca="false">10.5*0.18</f>
        <v>1.89</v>
      </c>
      <c r="P43" s="135"/>
      <c r="Q43" s="135"/>
      <c r="R43" s="139"/>
      <c r="S43" s="139"/>
      <c r="T43" s="139"/>
      <c r="U43" s="139"/>
      <c r="V43" s="139"/>
      <c r="W43" s="139" t="n">
        <f aca="false">(O43+O44)*D43/2</f>
        <v>37.8</v>
      </c>
      <c r="X43" s="139"/>
      <c r="Y43" s="139"/>
      <c r="Z43" s="139"/>
      <c r="AA43" s="139"/>
      <c r="AB43" s="140"/>
      <c r="AC43" s="139"/>
      <c r="AE43" s="141"/>
    </row>
    <row r="44" s="131" customFormat="true" ht="15" hidden="false" customHeight="true" outlineLevel="0" collapsed="false">
      <c r="A44" s="132" t="n">
        <v>34</v>
      </c>
      <c r="B44" s="132" t="str">
        <f aca="false">'Base A'!B56</f>
        <v>36</v>
      </c>
      <c r="C44" s="133" t="n">
        <f aca="false">'Base A'!C56</f>
        <v>712.61</v>
      </c>
      <c r="D44" s="132" t="n">
        <f aca="false">'Base A'!T56</f>
        <v>11.5</v>
      </c>
      <c r="E44" s="134"/>
      <c r="F44" s="134"/>
      <c r="G44" s="134"/>
      <c r="H44" s="134"/>
      <c r="I44" s="134"/>
      <c r="J44" s="134"/>
      <c r="K44" s="135"/>
      <c r="L44" s="136"/>
      <c r="M44" s="137"/>
      <c r="N44" s="138"/>
      <c r="O44" s="135" t="n">
        <f aca="false">10.5*0.18</f>
        <v>1.89</v>
      </c>
      <c r="P44" s="135"/>
      <c r="Q44" s="135"/>
      <c r="R44" s="139"/>
      <c r="S44" s="139"/>
      <c r="T44" s="139"/>
      <c r="U44" s="139"/>
      <c r="V44" s="139"/>
      <c r="W44" s="139" t="n">
        <f aca="false">(O44+O45)*D44/2</f>
        <v>21.735</v>
      </c>
      <c r="X44" s="139"/>
      <c r="Y44" s="139"/>
      <c r="Z44" s="139"/>
      <c r="AA44" s="139"/>
      <c r="AB44" s="140"/>
      <c r="AC44" s="139"/>
      <c r="AE44" s="141"/>
    </row>
    <row r="45" s="131" customFormat="true" ht="15" hidden="false" customHeight="true" outlineLevel="0" collapsed="false">
      <c r="A45" s="132" t="n">
        <v>35</v>
      </c>
      <c r="B45" s="132" t="str">
        <f aca="false">'Base A'!B57</f>
        <v>37</v>
      </c>
      <c r="C45" s="133" t="n">
        <f aca="false">'Base A'!C57</f>
        <v>724.11</v>
      </c>
      <c r="D45" s="132" t="n">
        <f aca="false">'Base A'!T57</f>
        <v>13.25</v>
      </c>
      <c r="E45" s="134"/>
      <c r="F45" s="134"/>
      <c r="G45" s="134"/>
      <c r="H45" s="134"/>
      <c r="I45" s="134"/>
      <c r="J45" s="134"/>
      <c r="K45" s="135"/>
      <c r="L45" s="136"/>
      <c r="M45" s="137"/>
      <c r="N45" s="138"/>
      <c r="O45" s="135" t="n">
        <f aca="false">10.5*0.18</f>
        <v>1.89</v>
      </c>
      <c r="P45" s="135"/>
      <c r="Q45" s="135"/>
      <c r="R45" s="139"/>
      <c r="S45" s="139"/>
      <c r="T45" s="139"/>
      <c r="U45" s="139"/>
      <c r="V45" s="139"/>
      <c r="W45" s="139" t="n">
        <f aca="false">(O45+O46)*D45/2</f>
        <v>25.0425</v>
      </c>
      <c r="X45" s="139"/>
      <c r="Y45" s="139"/>
      <c r="Z45" s="139"/>
      <c r="AA45" s="139"/>
      <c r="AB45" s="140"/>
      <c r="AC45" s="139"/>
      <c r="AE45" s="141"/>
    </row>
    <row r="46" s="131" customFormat="true" ht="15" hidden="false" customHeight="true" outlineLevel="0" collapsed="false">
      <c r="A46" s="132" t="n">
        <v>36</v>
      </c>
      <c r="B46" s="132" t="str">
        <f aca="false">'Base A'!B58</f>
        <v>G6</v>
      </c>
      <c r="C46" s="133" t="n">
        <f aca="false">'Base A'!C58</f>
        <v>737.36</v>
      </c>
      <c r="D46" s="132"/>
      <c r="E46" s="134"/>
      <c r="F46" s="134"/>
      <c r="G46" s="134"/>
      <c r="H46" s="134"/>
      <c r="I46" s="134"/>
      <c r="J46" s="134"/>
      <c r="K46" s="135"/>
      <c r="L46" s="136"/>
      <c r="M46" s="137"/>
      <c r="N46" s="138"/>
      <c r="O46" s="135" t="n">
        <f aca="false">10.5*0.18</f>
        <v>1.89</v>
      </c>
      <c r="P46" s="135"/>
      <c r="Q46" s="135"/>
      <c r="R46" s="139"/>
      <c r="S46" s="139"/>
      <c r="T46" s="139"/>
      <c r="U46" s="139"/>
      <c r="V46" s="139"/>
      <c r="W46" s="139"/>
      <c r="X46" s="139"/>
      <c r="Y46" s="139"/>
      <c r="Z46" s="139"/>
      <c r="AA46" s="139"/>
      <c r="AB46" s="140"/>
      <c r="AC46" s="139"/>
      <c r="AE46" s="141"/>
    </row>
    <row r="47" s="131" customFormat="true" ht="15" hidden="true" customHeight="true" outlineLevel="0" collapsed="false">
      <c r="A47" s="132"/>
      <c r="B47" s="132"/>
      <c r="C47" s="133"/>
      <c r="D47" s="132"/>
      <c r="E47" s="134"/>
      <c r="F47" s="134"/>
      <c r="G47" s="134"/>
      <c r="H47" s="134"/>
      <c r="I47" s="134"/>
      <c r="J47" s="134"/>
      <c r="K47" s="135"/>
      <c r="L47" s="136"/>
      <c r="M47" s="137"/>
      <c r="N47" s="138"/>
      <c r="O47" s="135"/>
      <c r="P47" s="135"/>
      <c r="Q47" s="135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40"/>
      <c r="AC47" s="139"/>
      <c r="AE47" s="141"/>
    </row>
    <row r="48" s="131" customFormat="true" ht="15" hidden="true" customHeight="true" outlineLevel="0" collapsed="false">
      <c r="A48" s="132"/>
      <c r="B48" s="132"/>
      <c r="C48" s="133"/>
      <c r="D48" s="132"/>
      <c r="E48" s="134"/>
      <c r="F48" s="134"/>
      <c r="G48" s="134"/>
      <c r="H48" s="134"/>
      <c r="I48" s="134"/>
      <c r="J48" s="134"/>
      <c r="K48" s="135"/>
      <c r="L48" s="136"/>
      <c r="M48" s="137"/>
      <c r="N48" s="138"/>
      <c r="O48" s="135"/>
      <c r="P48" s="135"/>
      <c r="Q48" s="135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40"/>
      <c r="AC48" s="139"/>
      <c r="AE48" s="141"/>
    </row>
    <row r="49" s="70" customFormat="true" ht="15.75" hidden="false" customHeight="true" outlineLevel="0" collapsed="false">
      <c r="A49" s="142" t="s">
        <v>69</v>
      </c>
      <c r="B49" s="142"/>
      <c r="C49" s="142"/>
      <c r="D49" s="142"/>
      <c r="E49" s="143"/>
      <c r="F49" s="143"/>
      <c r="G49" s="143"/>
      <c r="H49" s="143"/>
      <c r="I49" s="143"/>
      <c r="J49" s="143"/>
      <c r="K49" s="143"/>
      <c r="L49" s="143"/>
      <c r="M49" s="144"/>
      <c r="N49" s="144"/>
      <c r="O49" s="145"/>
      <c r="P49" s="145"/>
      <c r="Q49" s="145"/>
      <c r="R49" s="146" t="n">
        <f aca="false">SUM(R11:R34)</f>
        <v>0</v>
      </c>
      <c r="S49" s="146" t="n">
        <f aca="false">SUM(S11:S34)</f>
        <v>0</v>
      </c>
      <c r="T49" s="146"/>
      <c r="U49" s="147" t="n">
        <f aca="false">SUM(U11:U34)</f>
        <v>0</v>
      </c>
      <c r="V49" s="147" t="n">
        <f aca="false">SUM(V11:V34)</f>
        <v>0</v>
      </c>
      <c r="W49" s="148" t="n">
        <f aca="false">SUM(W11:W46)</f>
        <v>994.8204</v>
      </c>
      <c r="X49" s="147" t="n">
        <f aca="false">SUM(X11:X34)</f>
        <v>0</v>
      </c>
      <c r="Y49" s="147" t="n">
        <f aca="false">SUM(Y11:Y34)</f>
        <v>0</v>
      </c>
      <c r="Z49" s="147" t="n">
        <f aca="false">SUM(Z11:Z34)</f>
        <v>0</v>
      </c>
      <c r="AA49" s="147" t="n">
        <f aca="false">SUM(AA11:AA34)</f>
        <v>0</v>
      </c>
      <c r="AB49" s="147"/>
      <c r="AE49" s="149"/>
      <c r="AF49" s="150"/>
      <c r="AG49" s="150"/>
      <c r="AH49" s="131"/>
      <c r="AI49" s="149"/>
      <c r="AJ49" s="149"/>
      <c r="AK49" s="149"/>
      <c r="AL49" s="149"/>
    </row>
    <row r="50" s="70" customFormat="true" ht="15.75" hidden="false" customHeight="true" outlineLevel="0" collapsed="false">
      <c r="A50" s="108"/>
      <c r="B50" s="108"/>
      <c r="C50" s="108"/>
      <c r="D50" s="108"/>
      <c r="R50" s="109"/>
      <c r="S50" s="109"/>
      <c r="T50" s="109"/>
      <c r="U50" s="110"/>
      <c r="V50" s="110"/>
      <c r="W50" s="110"/>
      <c r="X50" s="110"/>
      <c r="Y50" s="110"/>
      <c r="Z50" s="110"/>
      <c r="AA50" s="110"/>
      <c r="AB50" s="110"/>
      <c r="AE50" s="110"/>
      <c r="AF50" s="151"/>
      <c r="AG50" s="150"/>
      <c r="AH50" s="151"/>
      <c r="AI50" s="141"/>
      <c r="AJ50" s="141"/>
      <c r="AK50" s="152"/>
      <c r="AL50" s="141"/>
    </row>
    <row r="51" s="70" customFormat="true" ht="15.75" hidden="false" customHeight="true" outlineLevel="0" collapsed="false">
      <c r="A51" s="153" t="s">
        <v>59</v>
      </c>
      <c r="B51" s="153"/>
      <c r="C51" s="153"/>
      <c r="D51" s="154" t="s">
        <v>70</v>
      </c>
      <c r="E51" s="153" t="s">
        <v>60</v>
      </c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E51" s="141"/>
      <c r="AF51" s="151"/>
      <c r="AI51" s="131"/>
      <c r="AJ51" s="131"/>
      <c r="AK51" s="131"/>
      <c r="AL51" s="131"/>
    </row>
    <row r="52" s="70" customFormat="true" ht="15.75" hidden="false" customHeight="true" outlineLevel="0" collapsed="false">
      <c r="A52" s="113"/>
      <c r="B52" s="113"/>
      <c r="C52" s="113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AI52" s="131"/>
      <c r="AJ52" s="131"/>
      <c r="AK52" s="131"/>
      <c r="AL52" s="131"/>
    </row>
    <row r="53" s="70" customFormat="true" ht="15.75" hidden="false" customHeight="true" outlineLevel="0" collapsed="false">
      <c r="A53" s="113"/>
      <c r="B53" s="113"/>
      <c r="C53" s="115"/>
      <c r="D53" s="115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AF53" s="79"/>
    </row>
    <row r="54" s="70" customFormat="true" ht="15" hidden="false" customHeight="true" outlineLevel="0" collapsed="false">
      <c r="A54" s="113"/>
      <c r="B54" s="113"/>
      <c r="C54" s="113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</row>
    <row r="55" s="70" customFormat="true" ht="15" hidden="false" customHeight="true" outlineLevel="0" collapsed="false">
      <c r="A55" s="113"/>
      <c r="B55" s="113"/>
      <c r="C55" s="113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</row>
    <row r="56" s="70" customFormat="true" ht="15" hidden="false" customHeight="true" outlineLevel="0" collapsed="false">
      <c r="A56" s="113"/>
      <c r="B56" s="113"/>
      <c r="C56" s="113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</row>
    <row r="57" s="70" customFormat="true" ht="15.75" hidden="false" customHeight="true" outlineLevel="0" collapsed="false">
      <c r="A57" s="153" t="s">
        <v>61</v>
      </c>
      <c r="B57" s="153"/>
      <c r="C57" s="153"/>
      <c r="D57" s="155"/>
      <c r="E57" s="155"/>
      <c r="F57" s="155"/>
      <c r="G57" s="155"/>
      <c r="H57" s="155"/>
      <c r="I57" s="155"/>
      <c r="J57" s="155"/>
      <c r="K57" s="155"/>
      <c r="L57" s="155"/>
      <c r="M57" s="153" t="s">
        <v>62</v>
      </c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</row>
    <row r="58" s="127" customFormat="true" ht="15.75" hidden="false" customHeight="true" outlineLevel="0" collapsed="false">
      <c r="A58" s="131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</row>
    <row r="59" customFormat="false" ht="12.75" hidden="false" customHeight="false" outlineLevel="0" collapsed="false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</row>
    <row r="60" customFormat="false" ht="12.75" hidden="false" customHeight="false" outlineLevel="0" collapsed="false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</row>
    <row r="61" customFormat="false" ht="12.75" hidden="false" customHeight="false" outlineLevel="0" collapsed="false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</row>
    <row r="62" customFormat="false" ht="12.75" hidden="false" customHeight="false" outlineLevel="0" collapsed="false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</row>
    <row r="63" customFormat="false" ht="12.75" hidden="false" customHeight="false" outlineLevel="0" collapsed="false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</row>
    <row r="64" customFormat="false" ht="12.75" hidden="false" customHeight="false" outlineLevel="0" collapsed="false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</row>
    <row r="65" customFormat="false" ht="12.75" hidden="false" customHeight="false" outlineLevel="0" collapsed="false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</row>
    <row r="66" customFormat="false" ht="12.75" hidden="false" customHeight="false" outlineLevel="0" collapsed="false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</row>
    <row r="67" customFormat="false" ht="12.75" hidden="false" customHeight="false" outlineLevel="0" collapsed="false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</row>
    <row r="68" customFormat="false" ht="12.75" hidden="false" customHeight="false" outlineLevel="0" collapsed="false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</row>
    <row r="69" customFormat="false" ht="12.75" hidden="false" customHeight="false" outlineLevel="0" collapsed="false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</row>
    <row r="70" customFormat="false" ht="12.75" hidden="false" customHeight="false" outlineLevel="0" collapsed="false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</row>
    <row r="71" customFormat="false" ht="12.75" hidden="false" customHeight="false" outlineLevel="0" collapsed="false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</row>
    <row r="72" customFormat="false" ht="12.75" hidden="false" customHeight="false" outlineLevel="0" collapsed="false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</row>
    <row r="73" customFormat="false" ht="12.75" hidden="false" customHeight="false" outlineLevel="0" collapsed="false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</row>
    <row r="74" customFormat="false" ht="12.75" hidden="false" customHeight="false" outlineLevel="0" collapsed="false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</row>
    <row r="75" customFormat="false" ht="12.75" hidden="false" customHeight="false" outlineLevel="0" collapsed="false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</row>
    <row r="76" customFormat="false" ht="12.75" hidden="false" customHeight="false" outlineLevel="0" collapsed="false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</row>
    <row r="77" customFormat="false" ht="12.75" hidden="false" customHeight="false" outlineLevel="0" collapsed="false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</row>
    <row r="78" customFormat="false" ht="12.75" hidden="false" customHeight="false" outlineLevel="0" collapsed="false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</row>
    <row r="79" customFormat="false" ht="12.75" hidden="false" customHeight="false" outlineLevel="0" collapsed="false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</row>
    <row r="80" customFormat="false" ht="12.75" hidden="false" customHeight="false" outlineLevel="0" collapsed="false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</row>
    <row r="81" customFormat="false" ht="12.75" hidden="false" customHeight="false" outlineLevel="0" collapsed="false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</row>
    <row r="82" customFormat="false" ht="12.75" hidden="false" customHeight="false" outlineLevel="0" collapsed="false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</row>
    <row r="83" customFormat="false" ht="12.75" hidden="false" customHeight="false" outlineLevel="0" collapsed="false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</row>
    <row r="84" customFormat="false" ht="12.75" hidden="false" customHeight="false" outlineLevel="0" collapsed="false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</row>
    <row r="85" customFormat="false" ht="12.75" hidden="false" customHeight="false" outlineLevel="0" collapsed="false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</row>
    <row r="86" customFormat="false" ht="12.75" hidden="false" customHeight="false" outlineLevel="0" collapsed="false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</row>
    <row r="87" customFormat="false" ht="12.75" hidden="false" customHeight="false" outlineLevel="0" collapsed="false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</row>
    <row r="88" customFormat="false" ht="12.75" hidden="false" customHeight="false" outlineLevel="0" collapsed="false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</row>
    <row r="89" customFormat="false" ht="12.75" hidden="false" customHeight="false" outlineLevel="0" collapsed="false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</row>
    <row r="90" customFormat="false" ht="12.75" hidden="false" customHeight="false" outlineLevel="0" collapsed="false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</row>
    <row r="91" customFormat="false" ht="12.75" hidden="false" customHeight="false" outlineLevel="0" collapsed="false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</row>
    <row r="92" customFormat="false" ht="12.75" hidden="false" customHeight="false" outlineLevel="0" collapsed="false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</row>
    <row r="93" customFormat="false" ht="12.75" hidden="false" customHeight="false" outlineLevel="0" collapsed="false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</row>
    <row r="94" customFormat="false" ht="12.75" hidden="false" customHeight="false" outlineLevel="0" collapsed="false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</row>
    <row r="95" customFormat="false" ht="12.75" hidden="false" customHeight="false" outlineLevel="0" collapsed="false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</row>
    <row r="96" customFormat="false" ht="12.75" hidden="false" customHeight="false" outlineLevel="0" collapsed="false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</row>
    <row r="97" customFormat="false" ht="12.75" hidden="false" customHeight="false" outlineLevel="0" collapsed="false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</row>
    <row r="98" customFormat="false" ht="12.75" hidden="false" customHeight="false" outlineLevel="0" collapsed="false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</row>
    <row r="99" customFormat="false" ht="12.75" hidden="false" customHeight="false" outlineLevel="0" collapsed="false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</row>
    <row r="100" customFormat="false" ht="12.75" hidden="false" customHeight="false" outlineLevel="0" collapsed="false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</row>
    <row r="101" customFormat="false" ht="12.75" hidden="false" customHeight="false" outlineLevel="0" collapsed="false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</row>
    <row r="102" customFormat="false" ht="12.75" hidden="false" customHeight="false" outlineLevel="0" collapsed="false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</row>
    <row r="103" customFormat="false" ht="12.75" hidden="false" customHeight="false" outlineLevel="0" collapsed="false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</row>
    <row r="104" customFormat="false" ht="12.75" hidden="false" customHeight="false" outlineLevel="0" collapsed="false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</row>
    <row r="105" customFormat="false" ht="12.75" hidden="false" customHeight="false" outlineLevel="0" collapsed="false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</row>
    <row r="106" customFormat="false" ht="12.75" hidden="false" customHeight="false" outlineLevel="0" collapsed="false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</row>
    <row r="107" s="25" customFormat="true" ht="12.75" hidden="false" customHeight="false" outlineLevel="0" collapsed="false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24"/>
      <c r="AE107" s="24"/>
      <c r="AF107" s="24"/>
      <c r="AG107" s="24"/>
    </row>
    <row r="108" s="25" customFormat="true" ht="12.75" hidden="false" customHeight="false" outlineLevel="0" collapsed="false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24"/>
      <c r="AE108" s="24"/>
      <c r="AF108" s="24"/>
      <c r="AG108" s="24"/>
    </row>
    <row r="109" s="25" customFormat="true" ht="12.75" hidden="false" customHeight="false" outlineLevel="0" collapsed="false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24"/>
      <c r="AE109" s="24"/>
      <c r="AF109" s="24"/>
      <c r="AG109" s="24"/>
    </row>
    <row r="110" s="25" customFormat="true" ht="12.75" hidden="false" customHeight="false" outlineLevel="0" collapsed="false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24"/>
      <c r="AE110" s="24"/>
      <c r="AF110" s="24"/>
      <c r="AG110" s="24"/>
    </row>
    <row r="111" s="25" customFormat="true" ht="12.75" hidden="false" customHeight="false" outlineLevel="0" collapsed="false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24"/>
      <c r="AE111" s="24"/>
      <c r="AF111" s="24"/>
      <c r="AG111" s="24"/>
    </row>
    <row r="112" s="25" customFormat="true" ht="12.75" hidden="false" customHeight="false" outlineLevel="0" collapsed="false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24"/>
      <c r="AE112" s="24"/>
      <c r="AF112" s="24"/>
      <c r="AG112" s="24"/>
    </row>
    <row r="113" s="25" customFormat="true" ht="12.75" hidden="false" customHeight="false" outlineLevel="0" collapsed="false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24"/>
      <c r="AE113" s="24"/>
      <c r="AF113" s="24"/>
      <c r="AG113" s="24"/>
    </row>
    <row r="114" s="25" customFormat="true" ht="12.75" hidden="false" customHeight="false" outlineLevel="0" collapsed="false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24"/>
      <c r="AE114" s="24"/>
      <c r="AF114" s="24"/>
      <c r="AG114" s="24"/>
    </row>
    <row r="115" s="25" customFormat="true" ht="12.75" hidden="false" customHeight="false" outlineLevel="0" collapsed="false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24"/>
      <c r="AE115" s="24"/>
      <c r="AF115" s="24"/>
      <c r="AG115" s="24"/>
    </row>
    <row r="116" s="25" customFormat="true" ht="12.75" hidden="false" customHeight="false" outlineLevel="0" collapsed="false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24"/>
      <c r="AE116" s="24"/>
      <c r="AF116" s="24"/>
      <c r="AG116" s="24"/>
    </row>
    <row r="117" s="25" customFormat="true" ht="12.75" hidden="false" customHeight="false" outlineLevel="0" collapsed="false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24"/>
      <c r="AE117" s="24"/>
      <c r="AF117" s="24"/>
      <c r="AG117" s="24"/>
    </row>
    <row r="118" s="25" customFormat="true" ht="12.75" hidden="false" customHeight="false" outlineLevel="0" collapsed="false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24"/>
      <c r="AE118" s="24"/>
      <c r="AF118" s="24"/>
      <c r="AG118" s="24"/>
    </row>
    <row r="119" s="25" customFormat="true" ht="12.75" hidden="false" customHeight="false" outlineLevel="0" collapsed="false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24"/>
      <c r="AE119" s="24"/>
      <c r="AF119" s="24"/>
      <c r="AG119" s="24"/>
    </row>
    <row r="120" s="25" customFormat="true" ht="12.75" hidden="false" customHeight="false" outlineLevel="0" collapsed="false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24"/>
      <c r="AE120" s="24"/>
      <c r="AF120" s="24"/>
      <c r="AG120" s="24"/>
    </row>
    <row r="121" s="25" customFormat="true" ht="12.75" hidden="false" customHeight="false" outlineLevel="0" collapsed="false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24"/>
      <c r="AE121" s="24"/>
      <c r="AF121" s="24"/>
      <c r="AG121" s="24"/>
    </row>
    <row r="122" s="25" customFormat="true" ht="12.75" hidden="false" customHeight="false" outlineLevel="0" collapsed="false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24"/>
      <c r="AE122" s="24"/>
      <c r="AF122" s="24"/>
      <c r="AG122" s="24"/>
    </row>
    <row r="123" s="25" customFormat="true" ht="12.75" hidden="false" customHeight="false" outlineLevel="0" collapsed="false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24"/>
      <c r="AE123" s="24"/>
      <c r="AF123" s="24"/>
      <c r="AG123" s="24"/>
    </row>
    <row r="124" s="25" customFormat="true" ht="12.75" hidden="false" customHeight="false" outlineLevel="0" collapsed="false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24"/>
      <c r="AE124" s="24"/>
      <c r="AF124" s="24"/>
      <c r="AG124" s="24"/>
    </row>
    <row r="125" s="25" customFormat="true" ht="12.75" hidden="false" customHeight="false" outlineLevel="0" collapsed="false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24"/>
      <c r="AE125" s="24"/>
      <c r="AF125" s="24"/>
      <c r="AG125" s="24"/>
    </row>
    <row r="126" s="25" customFormat="true" ht="12.75" hidden="false" customHeight="false" outlineLevel="0" collapsed="false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24"/>
      <c r="AE126" s="24"/>
      <c r="AF126" s="24"/>
      <c r="AG126" s="24"/>
    </row>
    <row r="127" s="25" customFormat="true" ht="12.75" hidden="false" customHeight="false" outlineLevel="0" collapsed="false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24"/>
      <c r="AE127" s="24"/>
      <c r="AF127" s="24"/>
      <c r="AG127" s="24"/>
    </row>
    <row r="128" s="25" customFormat="true" ht="12.75" hidden="false" customHeight="false" outlineLevel="0" collapsed="false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24"/>
      <c r="AE128" s="24"/>
      <c r="AF128" s="24"/>
      <c r="AG128" s="24"/>
    </row>
    <row r="129" s="25" customFormat="true" ht="12.75" hidden="false" customHeight="false" outlineLevel="0" collapsed="false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24"/>
      <c r="AE129" s="24"/>
      <c r="AF129" s="24"/>
      <c r="AG129" s="24"/>
    </row>
    <row r="130" s="25" customFormat="true" ht="12.75" hidden="false" customHeight="false" outlineLevel="0" collapsed="false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24"/>
      <c r="AE130" s="24"/>
      <c r="AF130" s="24"/>
      <c r="AG130" s="24"/>
    </row>
    <row r="131" s="25" customFormat="true" ht="12.75" hidden="false" customHeight="false" outlineLevel="0" collapsed="false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24"/>
      <c r="AE131" s="24"/>
      <c r="AF131" s="24"/>
      <c r="AG131" s="24"/>
    </row>
    <row r="132" s="25" customFormat="true" ht="12.75" hidden="false" customHeight="false" outlineLevel="0" collapsed="false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24"/>
      <c r="AE132" s="24"/>
      <c r="AF132" s="24"/>
      <c r="AG132" s="24"/>
    </row>
    <row r="133" s="25" customFormat="true" ht="12.75" hidden="false" customHeight="false" outlineLevel="0" collapsed="false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24"/>
      <c r="AE133" s="24"/>
      <c r="AF133" s="24"/>
      <c r="AG133" s="24"/>
    </row>
    <row r="134" s="25" customFormat="true" ht="12.75" hidden="false" customHeight="false" outlineLevel="0" collapsed="false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24"/>
      <c r="AE134" s="24"/>
      <c r="AF134" s="24"/>
      <c r="AG134" s="24"/>
    </row>
  </sheetData>
  <mergeCells count="20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O9:O10"/>
    <mergeCell ref="W9:W10"/>
    <mergeCell ref="AB9:AB10"/>
    <mergeCell ref="A49:D49"/>
    <mergeCell ref="A51:C51"/>
    <mergeCell ref="E51:AB51"/>
    <mergeCell ref="A57:C57"/>
    <mergeCell ref="M57:AB57"/>
  </mergeCells>
  <printOptions headings="false" gridLines="false" gridLinesSet="true" horizontalCentered="false" verticalCentered="false"/>
  <pageMargins left="0.7" right="0.159722222222222" top="0.4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7"/>
  <sheetViews>
    <sheetView showFormulas="false" showGridLines="true" showRowColHeaders="true" showZeros="true" rightToLeft="false" tabSelected="false" showOutlineSymbols="true" defaultGridColor="true" view="normal" topLeftCell="A16" colorId="64" zoomScale="70" zoomScaleNormal="70" zoomScalePageLayoutView="100" workbookViewId="0">
      <selection pane="topLeft" activeCell="K32" activeCellId="0" sqref="K3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12.29"/>
    <col collapsed="false" customWidth="true" hidden="false" outlineLevel="0" max="3" min="3" style="1" width="16.43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</row>
    <row r="2" customFormat="false" ht="18.75" hidden="false" customHeight="true" outlineLevel="0" collapsed="false">
      <c r="A2" s="4" t="s">
        <v>75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U2" s="5"/>
      <c r="V2" s="5"/>
      <c r="W2" s="5"/>
    </row>
    <row r="3" customFormat="false" ht="18.75" hidden="false" customHeight="true" outlineLevel="0" collapsed="false">
      <c r="A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customFormat="false" ht="18.75" hidden="false" customHeight="true" outlineLevel="0" collapsed="false">
      <c r="A4" s="6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customFormat="false" ht="18.75" hidden="false" customHeight="true" outlineLevel="0" collapsed="false">
      <c r="A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customFormat="false" ht="18.75" hidden="false" customHeight="true" outlineLevel="0" collapsed="false">
      <c r="A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customFormat="false" ht="18.75" hidden="false" customHeight="true" outlineLevel="0" collapsed="false">
      <c r="A7" s="7" t="s">
        <v>6</v>
      </c>
      <c r="C7" s="6"/>
      <c r="D7" s="6"/>
      <c r="F7" s="6"/>
      <c r="G7" s="6" t="s">
        <v>76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customFormat="false" ht="18.75" hidden="false" customHeight="true" outlineLevel="0" collapsed="false">
      <c r="A8" s="7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21" s="10" customFormat="true" ht="15.75" hidden="false" customHeight="true" outlineLevel="0" collapsed="false">
      <c r="A21" s="8" t="s">
        <v>9</v>
      </c>
      <c r="B21" s="8" t="s">
        <v>10</v>
      </c>
      <c r="C21" s="8" t="s">
        <v>11</v>
      </c>
      <c r="D21" s="9" t="s">
        <v>12</v>
      </c>
      <c r="E21" s="9"/>
      <c r="F21" s="9"/>
      <c r="G21" s="9"/>
      <c r="H21" s="9"/>
      <c r="I21" s="9"/>
      <c r="J21" s="9" t="s">
        <v>13</v>
      </c>
      <c r="K21" s="9"/>
      <c r="L21" s="9"/>
      <c r="M21" s="9" t="s">
        <v>14</v>
      </c>
      <c r="N21" s="9"/>
      <c r="O21" s="9"/>
      <c r="P21" s="9"/>
      <c r="Q21" s="9"/>
      <c r="R21" s="9"/>
      <c r="S21" s="8" t="s">
        <v>15</v>
      </c>
    </row>
    <row r="22" s="10" customFormat="true" ht="30" hidden="false" customHeight="true" outlineLevel="0" collapsed="false">
      <c r="A22" s="8"/>
      <c r="B22" s="8"/>
      <c r="C22" s="8"/>
      <c r="D22" s="11" t="s">
        <v>17</v>
      </c>
      <c r="E22" s="11" t="s">
        <v>18</v>
      </c>
      <c r="F22" s="11" t="s">
        <v>19</v>
      </c>
      <c r="G22" s="11" t="s">
        <v>20</v>
      </c>
      <c r="H22" s="11" t="s">
        <v>21</v>
      </c>
      <c r="I22" s="11" t="s">
        <v>22</v>
      </c>
      <c r="J22" s="11" t="s">
        <v>20</v>
      </c>
      <c r="K22" s="11" t="s">
        <v>21</v>
      </c>
      <c r="L22" s="11" t="s">
        <v>22</v>
      </c>
      <c r="M22" s="11" t="s">
        <v>17</v>
      </c>
      <c r="N22" s="11" t="s">
        <v>18</v>
      </c>
      <c r="O22" s="11" t="s">
        <v>19</v>
      </c>
      <c r="P22" s="11" t="s">
        <v>20</v>
      </c>
      <c r="Q22" s="11" t="s">
        <v>21</v>
      </c>
      <c r="R22" s="11" t="s">
        <v>22</v>
      </c>
      <c r="S22" s="8"/>
      <c r="T22" s="12"/>
    </row>
    <row r="23" s="10" customFormat="true" ht="18" hidden="false" customHeight="true" outlineLevel="0" collapsed="false">
      <c r="A23" s="13" t="n">
        <v>1</v>
      </c>
      <c r="B23" s="82" t="s">
        <v>23</v>
      </c>
      <c r="C23" s="15" t="n">
        <v>211</v>
      </c>
      <c r="D23" s="16" t="n">
        <v>-5.25</v>
      </c>
      <c r="E23" s="16" t="n">
        <f aca="false">+D23+F23</f>
        <v>-5.2593</v>
      </c>
      <c r="F23" s="16" t="n">
        <f aca="false">RANDBETWEEN(-105,115)/10000</f>
        <v>-0.0093</v>
      </c>
      <c r="G23" s="16" t="n">
        <f aca="false">W23+0.15</f>
        <v>2.88</v>
      </c>
      <c r="H23" s="16" t="n">
        <f aca="false">G23+I23</f>
        <v>2.946</v>
      </c>
      <c r="I23" s="16" t="n">
        <f aca="false">RANDBETWEEN(-20,70)/1000</f>
        <v>0.066</v>
      </c>
      <c r="J23" s="16" t="n">
        <f aca="false">X23+0.15</f>
        <v>2.997</v>
      </c>
      <c r="K23" s="16" t="n">
        <f aca="false">J23+L23</f>
        <v>3.031</v>
      </c>
      <c r="L23" s="16" t="n">
        <f aca="false">RANDBETWEEN(-20,70)/1000</f>
        <v>0.034</v>
      </c>
      <c r="M23" s="16" t="n">
        <v>5.25</v>
      </c>
      <c r="N23" s="16" t="n">
        <f aca="false">+M23+O23</f>
        <v>5.2497</v>
      </c>
      <c r="O23" s="16" t="n">
        <f aca="false">RANDBETWEEN(-105,115)/10000</f>
        <v>-0.0003</v>
      </c>
      <c r="P23" s="16" t="n">
        <f aca="false">Y23+0.15</f>
        <v>2.88</v>
      </c>
      <c r="Q23" s="16" t="n">
        <f aca="false">P23+R23</f>
        <v>2.902</v>
      </c>
      <c r="R23" s="16" t="n">
        <f aca="false">RANDBETWEEN(-20,70)/1000</f>
        <v>0.022</v>
      </c>
      <c r="S23" s="17"/>
      <c r="T23" s="18" t="n">
        <v>13.25</v>
      </c>
      <c r="V23" s="19"/>
      <c r="W23" s="19" t="n">
        <f aca="false">'Base A'!G23</f>
        <v>2.73</v>
      </c>
      <c r="X23" s="19" t="n">
        <f aca="false">'Base A'!J23</f>
        <v>2.847</v>
      </c>
      <c r="Y23" s="19" t="n">
        <f aca="false">'Base A'!P23</f>
        <v>2.73</v>
      </c>
    </row>
    <row r="24" s="10" customFormat="true" ht="18" hidden="false" customHeight="true" outlineLevel="0" collapsed="false">
      <c r="A24" s="13" t="n">
        <v>2</v>
      </c>
      <c r="B24" s="82" t="s">
        <v>24</v>
      </c>
      <c r="C24" s="15" t="n">
        <f aca="false">+C23+T23</f>
        <v>224.25</v>
      </c>
      <c r="D24" s="16" t="n">
        <v>-5.25</v>
      </c>
      <c r="E24" s="16" t="n">
        <f aca="false">+D24+F24</f>
        <v>-5.255</v>
      </c>
      <c r="F24" s="16" t="n">
        <f aca="false">RANDBETWEEN(-105,115)/10000</f>
        <v>-0.005</v>
      </c>
      <c r="G24" s="16" t="n">
        <f aca="false">W24+0.15</f>
        <v>2.872</v>
      </c>
      <c r="H24" s="16" t="n">
        <f aca="false">G24+I24</f>
        <v>2.931</v>
      </c>
      <c r="I24" s="16" t="n">
        <f aca="false">RANDBETWEEN(-20,70)/1000</f>
        <v>0.059</v>
      </c>
      <c r="J24" s="16" t="n">
        <f aca="false">X24+0.15</f>
        <v>2.989</v>
      </c>
      <c r="K24" s="16" t="n">
        <f aca="false">J24+L24</f>
        <v>3.01</v>
      </c>
      <c r="L24" s="16" t="n">
        <f aca="false">RANDBETWEEN(-20,70)/1000</f>
        <v>0.021</v>
      </c>
      <c r="M24" s="16" t="n">
        <v>5.25</v>
      </c>
      <c r="N24" s="16" t="n">
        <f aca="false">+M24+O24</f>
        <v>5.247</v>
      </c>
      <c r="O24" s="16" t="n">
        <f aca="false">RANDBETWEEN(-105,115)/10000</f>
        <v>-0.003</v>
      </c>
      <c r="P24" s="16" t="n">
        <f aca="false">Y24+0.15</f>
        <v>2.872</v>
      </c>
      <c r="Q24" s="16" t="n">
        <f aca="false">P24+R24</f>
        <v>2.887</v>
      </c>
      <c r="R24" s="16" t="n">
        <f aca="false">RANDBETWEEN(-20,70)/1000</f>
        <v>0.015</v>
      </c>
      <c r="S24" s="17"/>
      <c r="T24" s="18" t="n">
        <v>21.5</v>
      </c>
      <c r="V24" s="19"/>
      <c r="W24" s="19" t="n">
        <f aca="false">'Base A'!G24</f>
        <v>2.722</v>
      </c>
      <c r="X24" s="19" t="n">
        <f aca="false">'Base A'!J24</f>
        <v>2.839</v>
      </c>
      <c r="Y24" s="19" t="n">
        <f aca="false">'Base A'!P24</f>
        <v>2.722</v>
      </c>
    </row>
    <row r="25" s="10" customFormat="true" ht="18" hidden="false" customHeight="true" outlineLevel="0" collapsed="false">
      <c r="A25" s="13" t="n">
        <v>3</v>
      </c>
      <c r="B25" s="82" t="s">
        <v>25</v>
      </c>
      <c r="C25" s="15" t="n">
        <f aca="false">+C24+T24</f>
        <v>245.75</v>
      </c>
      <c r="D25" s="16" t="n">
        <v>-5.25</v>
      </c>
      <c r="E25" s="16" t="n">
        <f aca="false">+D25+F25</f>
        <v>-5.2523</v>
      </c>
      <c r="F25" s="16" t="n">
        <f aca="false">RANDBETWEEN(-105,115)/10000</f>
        <v>-0.0023</v>
      </c>
      <c r="G25" s="16" t="n">
        <f aca="false">W25+0.15</f>
        <v>2.853</v>
      </c>
      <c r="H25" s="16" t="n">
        <f aca="false">G25+I25</f>
        <v>2.898</v>
      </c>
      <c r="I25" s="16" t="n">
        <f aca="false">RANDBETWEEN(-20,70)/1000</f>
        <v>0.045</v>
      </c>
      <c r="J25" s="16" t="n">
        <f aca="false">X25+0.15</f>
        <v>2.97</v>
      </c>
      <c r="K25" s="16" t="n">
        <f aca="false">J25+L25</f>
        <v>2.965</v>
      </c>
      <c r="L25" s="16" t="n">
        <f aca="false">RANDBETWEEN(-20,70)/1000</f>
        <v>-0.005</v>
      </c>
      <c r="M25" s="16" t="n">
        <v>5.25</v>
      </c>
      <c r="N25" s="16" t="n">
        <f aca="false">+M25+O25</f>
        <v>5.2581</v>
      </c>
      <c r="O25" s="16" t="n">
        <f aca="false">RANDBETWEEN(-105,115)/10000</f>
        <v>0.0081</v>
      </c>
      <c r="P25" s="16" t="n">
        <f aca="false">Y25+0.15</f>
        <v>2.853</v>
      </c>
      <c r="Q25" s="16" t="n">
        <f aca="false">P25+R25</f>
        <v>2.838</v>
      </c>
      <c r="R25" s="16" t="n">
        <f aca="false">RANDBETWEEN(-20,70)/1000</f>
        <v>-0.015</v>
      </c>
      <c r="S25" s="17"/>
      <c r="T25" s="18" t="n">
        <v>11.75</v>
      </c>
      <c r="V25" s="19"/>
      <c r="W25" s="19" t="n">
        <f aca="false">'Base A'!G25</f>
        <v>2.703</v>
      </c>
      <c r="X25" s="19" t="n">
        <f aca="false">'Base A'!J25</f>
        <v>2.82</v>
      </c>
      <c r="Y25" s="19" t="n">
        <f aca="false">'Base A'!P25</f>
        <v>2.703</v>
      </c>
    </row>
    <row r="26" s="10" customFormat="true" ht="18" hidden="false" customHeight="true" outlineLevel="0" collapsed="false">
      <c r="A26" s="13" t="n">
        <v>4</v>
      </c>
      <c r="B26" s="82" t="s">
        <v>26</v>
      </c>
      <c r="C26" s="15" t="n">
        <f aca="false">+C25+T25</f>
        <v>257.5</v>
      </c>
      <c r="D26" s="16" t="n">
        <v>-5.25</v>
      </c>
      <c r="E26" s="16" t="n">
        <f aca="false">+D26+F26</f>
        <v>-5.2585</v>
      </c>
      <c r="F26" s="16" t="n">
        <f aca="false">RANDBETWEEN(-105,115)/10000</f>
        <v>-0.0085</v>
      </c>
      <c r="G26" s="16" t="n">
        <f aca="false">W26+0.15</f>
        <v>2.845</v>
      </c>
      <c r="H26" s="16" t="n">
        <f aca="false">G26+I26</f>
        <v>2.894</v>
      </c>
      <c r="I26" s="16" t="n">
        <f aca="false">RANDBETWEEN(-20,70)/1000</f>
        <v>0.049</v>
      </c>
      <c r="J26" s="16" t="n">
        <f aca="false">X26+0.15</f>
        <v>2.962</v>
      </c>
      <c r="K26" s="16" t="n">
        <f aca="false">J26+L26</f>
        <v>2.994</v>
      </c>
      <c r="L26" s="16" t="n">
        <f aca="false">RANDBETWEEN(-20,70)/1000</f>
        <v>0.032</v>
      </c>
      <c r="M26" s="16" t="n">
        <v>5.25</v>
      </c>
      <c r="N26" s="16" t="n">
        <f aca="false">+M26+O26</f>
        <v>5.2403</v>
      </c>
      <c r="O26" s="16" t="n">
        <f aca="false">RANDBETWEEN(-105,115)/10000</f>
        <v>-0.0097</v>
      </c>
      <c r="P26" s="16" t="n">
        <f aca="false">Y26+0.15</f>
        <v>2.845</v>
      </c>
      <c r="Q26" s="16" t="n">
        <f aca="false">P26+R26</f>
        <v>2.85</v>
      </c>
      <c r="R26" s="16" t="n">
        <f aca="false">RANDBETWEEN(-20,70)/1000</f>
        <v>0.005</v>
      </c>
      <c r="S26" s="17"/>
      <c r="T26" s="18" t="n">
        <v>11.75</v>
      </c>
      <c r="V26" s="19"/>
      <c r="W26" s="19" t="n">
        <f aca="false">'Base A'!G26</f>
        <v>2.695</v>
      </c>
      <c r="X26" s="19" t="n">
        <f aca="false">'Base A'!J26</f>
        <v>2.812</v>
      </c>
      <c r="Y26" s="19" t="n">
        <f aca="false">'Base A'!P26</f>
        <v>2.695</v>
      </c>
    </row>
    <row r="27" s="10" customFormat="true" ht="18" hidden="false" customHeight="true" outlineLevel="0" collapsed="false">
      <c r="A27" s="13" t="n">
        <v>5</v>
      </c>
      <c r="B27" s="82" t="s">
        <v>27</v>
      </c>
      <c r="C27" s="15" t="n">
        <f aca="false">+C26+T26</f>
        <v>269.25</v>
      </c>
      <c r="D27" s="16" t="n">
        <v>-5.25</v>
      </c>
      <c r="E27" s="16" t="n">
        <f aca="false">+D27+F27</f>
        <v>-5.2482</v>
      </c>
      <c r="F27" s="16" t="n">
        <f aca="false">RANDBETWEEN(-105,115)/10000</f>
        <v>0.0018</v>
      </c>
      <c r="G27" s="16" t="n">
        <f aca="false">W27+0.15</f>
        <v>2.836</v>
      </c>
      <c r="H27" s="16" t="n">
        <f aca="false">G27+I27</f>
        <v>2.849</v>
      </c>
      <c r="I27" s="16" t="n">
        <f aca="false">RANDBETWEEN(-20,70)/1000</f>
        <v>0.013</v>
      </c>
      <c r="J27" s="16" t="n">
        <f aca="false">X27+0.15</f>
        <v>2.953</v>
      </c>
      <c r="K27" s="16" t="n">
        <f aca="false">J27+L27</f>
        <v>2.972</v>
      </c>
      <c r="L27" s="16" t="n">
        <f aca="false">RANDBETWEEN(-20,70)/1000</f>
        <v>0.019</v>
      </c>
      <c r="M27" s="16" t="n">
        <v>5.25</v>
      </c>
      <c r="N27" s="16" t="n">
        <f aca="false">+M27+O27</f>
        <v>5.2438</v>
      </c>
      <c r="O27" s="16" t="n">
        <f aca="false">RANDBETWEEN(-105,115)/10000</f>
        <v>-0.0062</v>
      </c>
      <c r="P27" s="16" t="n">
        <f aca="false">Y27+0.15</f>
        <v>2.836</v>
      </c>
      <c r="Q27" s="16" t="n">
        <f aca="false">P27+R27</f>
        <v>2.902</v>
      </c>
      <c r="R27" s="16" t="n">
        <f aca="false">RANDBETWEEN(-20,70)/1000</f>
        <v>0.066</v>
      </c>
      <c r="S27" s="17"/>
      <c r="T27" s="18" t="n">
        <v>20</v>
      </c>
      <c r="V27" s="19"/>
      <c r="W27" s="19" t="n">
        <f aca="false">'Base A'!G27</f>
        <v>2.686</v>
      </c>
      <c r="X27" s="19" t="n">
        <f aca="false">'Base A'!J27</f>
        <v>2.803</v>
      </c>
      <c r="Y27" s="19" t="n">
        <f aca="false">'Base A'!P27</f>
        <v>2.686</v>
      </c>
    </row>
    <row r="28" s="10" customFormat="true" ht="18" hidden="false" customHeight="true" outlineLevel="0" collapsed="false">
      <c r="A28" s="13" t="n">
        <v>6</v>
      </c>
      <c r="B28" s="82" t="s">
        <v>28</v>
      </c>
      <c r="C28" s="15" t="n">
        <f aca="false">+C27+T27</f>
        <v>289.25</v>
      </c>
      <c r="D28" s="16" t="n">
        <v>-5.25</v>
      </c>
      <c r="E28" s="16" t="n">
        <f aca="false">+D28+F28</f>
        <v>-5.2448</v>
      </c>
      <c r="F28" s="16" t="n">
        <f aca="false">RANDBETWEEN(-105,115)/10000</f>
        <v>0.0052</v>
      </c>
      <c r="G28" s="16" t="n">
        <f aca="false">W28+0.15</f>
        <v>2.825</v>
      </c>
      <c r="H28" s="16" t="n">
        <f aca="false">G28+I28</f>
        <v>2.869</v>
      </c>
      <c r="I28" s="16" t="n">
        <f aca="false">RANDBETWEEN(-20,70)/1000</f>
        <v>0.044</v>
      </c>
      <c r="J28" s="16" t="n">
        <f aca="false">X28+0.15</f>
        <v>2.942</v>
      </c>
      <c r="K28" s="16" t="n">
        <f aca="false">J28+L28</f>
        <v>2.939</v>
      </c>
      <c r="L28" s="16" t="n">
        <f aca="false">RANDBETWEEN(-20,70)/1000</f>
        <v>-0.003</v>
      </c>
      <c r="M28" s="16" t="n">
        <v>5.25</v>
      </c>
      <c r="N28" s="16" t="n">
        <f aca="false">+M28+O28</f>
        <v>5.2553</v>
      </c>
      <c r="O28" s="16" t="n">
        <f aca="false">RANDBETWEEN(-105,115)/10000</f>
        <v>0.0053</v>
      </c>
      <c r="P28" s="16" t="n">
        <f aca="false">Y28+0.15</f>
        <v>2.825</v>
      </c>
      <c r="Q28" s="16" t="n">
        <f aca="false">P28+R28</f>
        <v>2.895</v>
      </c>
      <c r="R28" s="16" t="n">
        <f aca="false">RANDBETWEEN(-20,70)/1000</f>
        <v>0.07</v>
      </c>
      <c r="S28" s="17"/>
      <c r="T28" s="18" t="n">
        <v>20</v>
      </c>
      <c r="V28" s="19"/>
      <c r="W28" s="19" t="n">
        <f aca="false">'Base A'!G28</f>
        <v>2.675</v>
      </c>
      <c r="X28" s="19" t="n">
        <f aca="false">'Base A'!J28</f>
        <v>2.792</v>
      </c>
      <c r="Y28" s="19" t="n">
        <f aca="false">'Base A'!P28</f>
        <v>2.675</v>
      </c>
    </row>
    <row r="29" s="10" customFormat="true" ht="18" hidden="false" customHeight="true" outlineLevel="0" collapsed="false">
      <c r="A29" s="13" t="n">
        <v>7</v>
      </c>
      <c r="B29" s="82" t="s">
        <v>29</v>
      </c>
      <c r="C29" s="15" t="n">
        <f aca="false">+C28+T28</f>
        <v>309.25</v>
      </c>
      <c r="D29" s="16" t="n">
        <v>-5.25</v>
      </c>
      <c r="E29" s="16" t="n">
        <f aca="false">+D29+F29</f>
        <v>-5.2425</v>
      </c>
      <c r="F29" s="16" t="n">
        <f aca="false">RANDBETWEEN(-105,115)/10000</f>
        <v>0.0075</v>
      </c>
      <c r="G29" s="16" t="n">
        <f aca="false">W29+0.15</f>
        <v>2.814</v>
      </c>
      <c r="H29" s="16" t="n">
        <f aca="false">G29+I29</f>
        <v>2.843</v>
      </c>
      <c r="I29" s="16" t="n">
        <f aca="false">RANDBETWEEN(-20,70)/1000</f>
        <v>0.029</v>
      </c>
      <c r="J29" s="16" t="n">
        <f aca="false">X29+0.15</f>
        <v>2.931</v>
      </c>
      <c r="K29" s="16" t="n">
        <f aca="false">J29+L29</f>
        <v>2.964</v>
      </c>
      <c r="L29" s="16" t="n">
        <f aca="false">RANDBETWEEN(-20,70)/1000</f>
        <v>0.033</v>
      </c>
      <c r="M29" s="16" t="n">
        <v>5.25</v>
      </c>
      <c r="N29" s="16" t="n">
        <f aca="false">+M29+O29</f>
        <v>5.242</v>
      </c>
      <c r="O29" s="16" t="n">
        <f aca="false">RANDBETWEEN(-105,115)/10000</f>
        <v>-0.008</v>
      </c>
      <c r="P29" s="16" t="n">
        <f aca="false">Y29+0.15</f>
        <v>2.814</v>
      </c>
      <c r="Q29" s="16" t="n">
        <f aca="false">P29+R29</f>
        <v>2.878</v>
      </c>
      <c r="R29" s="16" t="n">
        <f aca="false">RANDBETWEEN(-20,70)/1000</f>
        <v>0.064</v>
      </c>
      <c r="S29" s="17"/>
      <c r="T29" s="18" t="n">
        <v>20</v>
      </c>
      <c r="V29" s="19"/>
      <c r="W29" s="19" t="n">
        <f aca="false">'Base A'!G29</f>
        <v>2.664</v>
      </c>
      <c r="X29" s="19" t="n">
        <f aca="false">'Base A'!J29</f>
        <v>2.781</v>
      </c>
      <c r="Y29" s="19" t="n">
        <f aca="false">'Base A'!P29</f>
        <v>2.664</v>
      </c>
    </row>
    <row r="30" s="10" customFormat="true" ht="18" hidden="false" customHeight="true" outlineLevel="0" collapsed="false">
      <c r="A30" s="13" t="n">
        <v>8</v>
      </c>
      <c r="B30" s="82" t="s">
        <v>30</v>
      </c>
      <c r="C30" s="15" t="n">
        <f aca="false">+C29+T29</f>
        <v>329.25</v>
      </c>
      <c r="D30" s="16" t="n">
        <v>-5.25</v>
      </c>
      <c r="E30" s="16" t="n">
        <f aca="false">+D30+F30</f>
        <v>-5.2589</v>
      </c>
      <c r="F30" s="16" t="n">
        <f aca="false">RANDBETWEEN(-105,115)/10000</f>
        <v>-0.0089</v>
      </c>
      <c r="G30" s="16" t="n">
        <f aca="false">W30+0.15</f>
        <v>2.803</v>
      </c>
      <c r="H30" s="16" t="n">
        <f aca="false">G30+I30</f>
        <v>2.848</v>
      </c>
      <c r="I30" s="16" t="n">
        <f aca="false">RANDBETWEEN(-20,70)/1000</f>
        <v>0.045</v>
      </c>
      <c r="J30" s="16" t="n">
        <f aca="false">X30+0.15</f>
        <v>2.92</v>
      </c>
      <c r="K30" s="16" t="n">
        <f aca="false">J30+L30</f>
        <v>2.982</v>
      </c>
      <c r="L30" s="16" t="n">
        <f aca="false">RANDBETWEEN(-20,70)/1000</f>
        <v>0.062</v>
      </c>
      <c r="M30" s="16" t="n">
        <v>5.25</v>
      </c>
      <c r="N30" s="16" t="n">
        <f aca="false">+M30+O30</f>
        <v>5.2507</v>
      </c>
      <c r="O30" s="16" t="n">
        <f aca="false">RANDBETWEEN(-105,115)/10000</f>
        <v>0.0007</v>
      </c>
      <c r="P30" s="16" t="n">
        <f aca="false">Y30+0.15</f>
        <v>2.803</v>
      </c>
      <c r="Q30" s="16" t="n">
        <f aca="false">P30+R30</f>
        <v>2.857</v>
      </c>
      <c r="R30" s="16" t="n">
        <f aca="false">RANDBETWEEN(-20,70)/1000</f>
        <v>0.054</v>
      </c>
      <c r="S30" s="17"/>
      <c r="T30" s="18" t="n">
        <v>20</v>
      </c>
      <c r="V30" s="19"/>
      <c r="W30" s="19" t="n">
        <f aca="false">'Base A'!G30</f>
        <v>2.653</v>
      </c>
      <c r="X30" s="19" t="n">
        <f aca="false">'Base A'!J30</f>
        <v>2.77</v>
      </c>
      <c r="Y30" s="19" t="n">
        <f aca="false">'Base A'!P30</f>
        <v>2.653</v>
      </c>
    </row>
    <row r="31" s="10" customFormat="true" ht="18" hidden="false" customHeight="true" outlineLevel="0" collapsed="false">
      <c r="A31" s="13" t="n">
        <v>9</v>
      </c>
      <c r="B31" s="82" t="s">
        <v>31</v>
      </c>
      <c r="C31" s="15" t="n">
        <f aca="false">+C30+T30</f>
        <v>349.25</v>
      </c>
      <c r="D31" s="16" t="n">
        <v>-5.25</v>
      </c>
      <c r="E31" s="16" t="n">
        <f aca="false">+D31+F31</f>
        <v>-5.2572</v>
      </c>
      <c r="F31" s="16" t="n">
        <f aca="false">RANDBETWEEN(-105,115)/10000</f>
        <v>-0.0072</v>
      </c>
      <c r="G31" s="16" t="n">
        <f aca="false">W31+0.15</f>
        <v>2.791</v>
      </c>
      <c r="H31" s="16" t="n">
        <f aca="false">G31+I31</f>
        <v>2.806</v>
      </c>
      <c r="I31" s="16" t="n">
        <f aca="false">RANDBETWEEN(-20,70)/1000</f>
        <v>0.015</v>
      </c>
      <c r="J31" s="16" t="n">
        <f aca="false">X31+0.15</f>
        <v>2.908</v>
      </c>
      <c r="K31" s="16" t="n">
        <f aca="false">J31+L31</f>
        <v>2.939</v>
      </c>
      <c r="L31" s="16" t="n">
        <f aca="false">RANDBETWEEN(-20,70)/1000</f>
        <v>0.031</v>
      </c>
      <c r="M31" s="16" t="n">
        <v>5.25</v>
      </c>
      <c r="N31" s="16" t="n">
        <f aca="false">+M31+O31</f>
        <v>5.2604</v>
      </c>
      <c r="O31" s="16" t="n">
        <f aca="false">RANDBETWEEN(-105,115)/10000</f>
        <v>0.0104</v>
      </c>
      <c r="P31" s="16" t="n">
        <f aca="false">Y31+0.15</f>
        <v>2.791</v>
      </c>
      <c r="Q31" s="16" t="n">
        <f aca="false">P31+R31</f>
        <v>2.853</v>
      </c>
      <c r="R31" s="16" t="n">
        <f aca="false">RANDBETWEEN(-20,70)/1000</f>
        <v>0.062</v>
      </c>
      <c r="S31" s="17"/>
      <c r="T31" s="18" t="n">
        <v>19</v>
      </c>
      <c r="V31" s="19"/>
      <c r="W31" s="19" t="n">
        <f aca="false">'Base A'!G31</f>
        <v>2.641</v>
      </c>
      <c r="X31" s="19" t="n">
        <f aca="false">'Base A'!J31</f>
        <v>2.758</v>
      </c>
      <c r="Y31" s="19" t="n">
        <f aca="false">'Base A'!P31</f>
        <v>2.641</v>
      </c>
    </row>
    <row r="32" s="10" customFormat="true" ht="18" hidden="false" customHeight="true" outlineLevel="0" collapsed="false">
      <c r="A32" s="13" t="n">
        <v>10</v>
      </c>
      <c r="B32" s="82" t="s">
        <v>32</v>
      </c>
      <c r="C32" s="15" t="n">
        <f aca="false">+C31+T31</f>
        <v>368.25</v>
      </c>
      <c r="D32" s="16" t="n">
        <v>-5.25</v>
      </c>
      <c r="E32" s="16" t="n">
        <f aca="false">+D32+F32</f>
        <v>-5.243</v>
      </c>
      <c r="F32" s="16" t="n">
        <f aca="false">RANDBETWEEN(-105,115)/10000</f>
        <v>0.007</v>
      </c>
      <c r="G32" s="16" t="n">
        <f aca="false">W32+0.15</f>
        <v>2.78</v>
      </c>
      <c r="H32" s="16" t="n">
        <f aca="false">G32+I32</f>
        <v>2.806</v>
      </c>
      <c r="I32" s="16" t="n">
        <f aca="false">RANDBETWEEN(-20,70)/1000</f>
        <v>0.026</v>
      </c>
      <c r="J32" s="16" t="n">
        <f aca="false">X32+0.15</f>
        <v>2.897</v>
      </c>
      <c r="K32" s="16" t="n">
        <f aca="false">J32+L32</f>
        <v>2.914</v>
      </c>
      <c r="L32" s="16" t="n">
        <f aca="false">RANDBETWEEN(-20,70)/1000</f>
        <v>0.017</v>
      </c>
      <c r="M32" s="16" t="n">
        <v>5.25</v>
      </c>
      <c r="N32" s="16" t="n">
        <f aca="false">+M32+O32</f>
        <v>5.2497</v>
      </c>
      <c r="O32" s="16" t="n">
        <f aca="false">RANDBETWEEN(-105,115)/10000</f>
        <v>-0.0003</v>
      </c>
      <c r="P32" s="16" t="n">
        <f aca="false">Y32+0.15</f>
        <v>2.78</v>
      </c>
      <c r="Q32" s="16" t="n">
        <f aca="false">P32+R32</f>
        <v>2.778</v>
      </c>
      <c r="R32" s="16" t="n">
        <f aca="false">RANDBETWEEN(-20,70)/1000</f>
        <v>-0.002</v>
      </c>
      <c r="S32" s="17"/>
      <c r="T32" s="18" t="n">
        <v>13.25</v>
      </c>
      <c r="V32" s="19"/>
      <c r="W32" s="19" t="n">
        <f aca="false">'Base A'!G32</f>
        <v>2.63</v>
      </c>
      <c r="X32" s="19" t="n">
        <f aca="false">'Base A'!J32</f>
        <v>2.747</v>
      </c>
      <c r="Y32" s="19" t="n">
        <f aca="false">'Base A'!P32</f>
        <v>2.63</v>
      </c>
    </row>
    <row r="33" s="10" customFormat="true" ht="18" hidden="false" customHeight="true" outlineLevel="0" collapsed="false">
      <c r="A33" s="13" t="n">
        <v>11</v>
      </c>
      <c r="B33" s="82" t="s">
        <v>33</v>
      </c>
      <c r="C33" s="15" t="n">
        <f aca="false">+C32+T32</f>
        <v>381.5</v>
      </c>
      <c r="D33" s="16" t="n">
        <v>-5.25</v>
      </c>
      <c r="E33" s="16" t="n">
        <f aca="false">+D33+F33</f>
        <v>-5.2519</v>
      </c>
      <c r="F33" s="16" t="n">
        <f aca="false">RANDBETWEEN(-105,115)/10000</f>
        <v>-0.0019</v>
      </c>
      <c r="G33" s="16" t="n">
        <f aca="false">W33+0.15</f>
        <v>2.772</v>
      </c>
      <c r="H33" s="16" t="n">
        <f aca="false">G33+I33</f>
        <v>2.802</v>
      </c>
      <c r="I33" s="16" t="n">
        <f aca="false">RANDBETWEEN(-20,70)/1000</f>
        <v>0.03</v>
      </c>
      <c r="J33" s="16" t="n">
        <f aca="false">X33+0.15</f>
        <v>2.889</v>
      </c>
      <c r="K33" s="16" t="n">
        <f aca="false">J33+L33</f>
        <v>2.871</v>
      </c>
      <c r="L33" s="16" t="n">
        <f aca="false">RANDBETWEEN(-20,70)/1000</f>
        <v>-0.018</v>
      </c>
      <c r="M33" s="16" t="n">
        <v>5.25</v>
      </c>
      <c r="N33" s="16" t="n">
        <f aca="false">+M33+O33</f>
        <v>5.2504</v>
      </c>
      <c r="O33" s="16" t="n">
        <f aca="false">RANDBETWEEN(-105,115)/10000</f>
        <v>0.0004</v>
      </c>
      <c r="P33" s="16" t="n">
        <f aca="false">Y33+0.15</f>
        <v>2.772</v>
      </c>
      <c r="Q33" s="16" t="n">
        <f aca="false">P33+R33</f>
        <v>2.836</v>
      </c>
      <c r="R33" s="16" t="n">
        <f aca="false">RANDBETWEEN(-20,70)/1000</f>
        <v>0.064</v>
      </c>
      <c r="S33" s="17"/>
      <c r="T33" s="18" t="n">
        <v>13.25</v>
      </c>
      <c r="V33" s="19"/>
      <c r="W33" s="19" t="n">
        <f aca="false">'Base A'!G33</f>
        <v>2.622</v>
      </c>
      <c r="X33" s="19" t="n">
        <f aca="false">'Base A'!J33</f>
        <v>2.739</v>
      </c>
      <c r="Y33" s="19" t="n">
        <f aca="false">'Base A'!P33</f>
        <v>2.622</v>
      </c>
    </row>
    <row r="34" s="10" customFormat="true" ht="18" hidden="false" customHeight="true" outlineLevel="0" collapsed="false">
      <c r="A34" s="13" t="n">
        <v>12</v>
      </c>
      <c r="B34" s="82" t="s">
        <v>34</v>
      </c>
      <c r="C34" s="15" t="n">
        <f aca="false">+C33+T33</f>
        <v>394.75</v>
      </c>
      <c r="D34" s="16" t="n">
        <v>-5.25</v>
      </c>
      <c r="E34" s="16" t="n">
        <f aca="false">+D34+F34</f>
        <v>-5.2474</v>
      </c>
      <c r="F34" s="16" t="n">
        <f aca="false">RANDBETWEEN(-105,115)/10000</f>
        <v>0.0026</v>
      </c>
      <c r="G34" s="16" t="n">
        <f aca="false">W34+0.15</f>
        <v>2.764</v>
      </c>
      <c r="H34" s="16" t="n">
        <f aca="false">G34+I34</f>
        <v>2.762</v>
      </c>
      <c r="I34" s="16" t="n">
        <f aca="false">RANDBETWEEN(-20,70)/1000</f>
        <v>-0.002</v>
      </c>
      <c r="J34" s="16" t="n">
        <f aca="false">X34+0.15</f>
        <v>2.881</v>
      </c>
      <c r="K34" s="16" t="n">
        <f aca="false">J34+L34</f>
        <v>2.87</v>
      </c>
      <c r="L34" s="16" t="n">
        <f aca="false">RANDBETWEEN(-20,70)/1000</f>
        <v>-0.011</v>
      </c>
      <c r="M34" s="16" t="n">
        <v>5.25</v>
      </c>
      <c r="N34" s="16" t="n">
        <f aca="false">+M34+O34</f>
        <v>5.2413</v>
      </c>
      <c r="O34" s="16" t="n">
        <f aca="false">RANDBETWEEN(-105,115)/10000</f>
        <v>-0.0087</v>
      </c>
      <c r="P34" s="16" t="n">
        <f aca="false">Y34+0.15</f>
        <v>2.764</v>
      </c>
      <c r="Q34" s="16" t="n">
        <f aca="false">P34+R34</f>
        <v>2.774</v>
      </c>
      <c r="R34" s="16" t="n">
        <f aca="false">RANDBETWEEN(-20,70)/1000</f>
        <v>0.01</v>
      </c>
      <c r="S34" s="17"/>
      <c r="T34" s="18" t="n">
        <v>20</v>
      </c>
      <c r="V34" s="19"/>
      <c r="W34" s="19" t="n">
        <f aca="false">'Base A'!G34</f>
        <v>2.614</v>
      </c>
      <c r="X34" s="19" t="n">
        <f aca="false">'Base A'!J34</f>
        <v>2.731</v>
      </c>
      <c r="Y34" s="19" t="n">
        <f aca="false">'Base A'!P34</f>
        <v>2.614</v>
      </c>
    </row>
    <row r="35" s="10" customFormat="true" ht="18" hidden="false" customHeight="true" outlineLevel="0" collapsed="false">
      <c r="A35" s="13" t="n">
        <v>13</v>
      </c>
      <c r="B35" s="82" t="s">
        <v>35</v>
      </c>
      <c r="C35" s="15" t="n">
        <f aca="false">+C34+T34</f>
        <v>414.75</v>
      </c>
      <c r="D35" s="16" t="n">
        <v>-5.25</v>
      </c>
      <c r="E35" s="16" t="n">
        <f aca="false">+D35+F35</f>
        <v>-5.2412</v>
      </c>
      <c r="F35" s="16" t="n">
        <f aca="false">RANDBETWEEN(-105,115)/10000</f>
        <v>0.0088</v>
      </c>
      <c r="G35" s="16" t="n">
        <f aca="false">W35+0.15</f>
        <v>2.751</v>
      </c>
      <c r="H35" s="16" t="n">
        <f aca="false">G35+I35</f>
        <v>2.78</v>
      </c>
      <c r="I35" s="16" t="n">
        <f aca="false">RANDBETWEEN(-20,70)/1000</f>
        <v>0.029</v>
      </c>
      <c r="J35" s="16" t="n">
        <f aca="false">X35+0.15</f>
        <v>2.868</v>
      </c>
      <c r="K35" s="16" t="n">
        <f aca="false">J35+L35</f>
        <v>2.92</v>
      </c>
      <c r="L35" s="16" t="n">
        <f aca="false">RANDBETWEEN(-20,70)/1000</f>
        <v>0.052</v>
      </c>
      <c r="M35" s="16" t="n">
        <v>5.25</v>
      </c>
      <c r="N35" s="16" t="n">
        <f aca="false">+M35+O35</f>
        <v>5.25</v>
      </c>
      <c r="O35" s="16" t="n">
        <f aca="false">RANDBETWEEN(-105,115)/10000</f>
        <v>0</v>
      </c>
      <c r="P35" s="16" t="n">
        <f aca="false">Y35+0.15</f>
        <v>2.751</v>
      </c>
      <c r="Q35" s="16" t="n">
        <f aca="false">P35+R35</f>
        <v>2.799</v>
      </c>
      <c r="R35" s="16" t="n">
        <f aca="false">RANDBETWEEN(-20,70)/1000</f>
        <v>0.048</v>
      </c>
      <c r="S35" s="17"/>
      <c r="T35" s="18" t="n">
        <v>20</v>
      </c>
      <c r="V35" s="19"/>
      <c r="W35" s="19" t="n">
        <f aca="false">'Base A'!G35</f>
        <v>2.601</v>
      </c>
      <c r="X35" s="19" t="n">
        <f aca="false">'Base A'!J35</f>
        <v>2.718</v>
      </c>
      <c r="Y35" s="19" t="n">
        <f aca="false">'Base A'!P35</f>
        <v>2.601</v>
      </c>
    </row>
    <row r="36" s="10" customFormat="true" ht="18" hidden="false" customHeight="true" outlineLevel="0" collapsed="false">
      <c r="A36" s="13" t="n">
        <v>14</v>
      </c>
      <c r="B36" s="82" t="s">
        <v>36</v>
      </c>
      <c r="C36" s="15" t="n">
        <f aca="false">+C35+T35</f>
        <v>434.75</v>
      </c>
      <c r="D36" s="16" t="n">
        <v>-5.25</v>
      </c>
      <c r="E36" s="16" t="n">
        <f aca="false">+D36+F36</f>
        <v>-5.239</v>
      </c>
      <c r="F36" s="16" t="n">
        <f aca="false">RANDBETWEEN(-105,115)/10000</f>
        <v>0.011</v>
      </c>
      <c r="G36" s="16" t="n">
        <f aca="false">W36+0.15</f>
        <v>2.738</v>
      </c>
      <c r="H36" s="16" t="n">
        <f aca="false">G36+I36</f>
        <v>2.789</v>
      </c>
      <c r="I36" s="16" t="n">
        <f aca="false">RANDBETWEEN(-20,70)/1000</f>
        <v>0.051</v>
      </c>
      <c r="J36" s="16" t="n">
        <f aca="false">X36+0.15</f>
        <v>2.855</v>
      </c>
      <c r="K36" s="16" t="n">
        <f aca="false">J36+L36</f>
        <v>2.864</v>
      </c>
      <c r="L36" s="16" t="n">
        <f aca="false">RANDBETWEEN(-20,70)/1000</f>
        <v>0.009</v>
      </c>
      <c r="M36" s="16" t="n">
        <v>5.25</v>
      </c>
      <c r="N36" s="16" t="n">
        <f aca="false">+M36+O36</f>
        <v>5.2442</v>
      </c>
      <c r="O36" s="16" t="n">
        <f aca="false">RANDBETWEEN(-105,115)/10000</f>
        <v>-0.0058</v>
      </c>
      <c r="P36" s="16" t="n">
        <f aca="false">Y36+0.15</f>
        <v>2.738</v>
      </c>
      <c r="Q36" s="16" t="n">
        <f aca="false">P36+R36</f>
        <v>2.757</v>
      </c>
      <c r="R36" s="16" t="n">
        <f aca="false">RANDBETWEEN(-20,70)/1000</f>
        <v>0.019</v>
      </c>
      <c r="S36" s="17"/>
      <c r="T36" s="18" t="n">
        <v>20</v>
      </c>
      <c r="V36" s="19"/>
      <c r="W36" s="19" t="n">
        <f aca="false">'Base A'!G36</f>
        <v>2.588</v>
      </c>
      <c r="X36" s="19" t="n">
        <f aca="false">'Base A'!J36</f>
        <v>2.705</v>
      </c>
      <c r="Y36" s="19" t="n">
        <f aca="false">'Base A'!P36</f>
        <v>2.588</v>
      </c>
    </row>
    <row r="37" s="10" customFormat="true" ht="18" hidden="false" customHeight="true" outlineLevel="0" collapsed="false">
      <c r="A37" s="13" t="n">
        <v>15</v>
      </c>
      <c r="B37" s="82" t="s">
        <v>37</v>
      </c>
      <c r="C37" s="15" t="n">
        <f aca="false">+C36+T36</f>
        <v>454.75</v>
      </c>
      <c r="D37" s="16" t="n">
        <v>-5.25</v>
      </c>
      <c r="E37" s="16" t="n">
        <f aca="false">+D37+F37</f>
        <v>-5.2583</v>
      </c>
      <c r="F37" s="16" t="n">
        <f aca="false">RANDBETWEEN(-105,115)/10000</f>
        <v>-0.0083</v>
      </c>
      <c r="G37" s="16" t="n">
        <f aca="false">W37+0.15</f>
        <v>2.724</v>
      </c>
      <c r="H37" s="16" t="n">
        <f aca="false">G37+I37</f>
        <v>2.752</v>
      </c>
      <c r="I37" s="16" t="n">
        <f aca="false">RANDBETWEEN(-20,70)/1000</f>
        <v>0.028</v>
      </c>
      <c r="J37" s="16" t="n">
        <f aca="false">X37+0.15</f>
        <v>2.841</v>
      </c>
      <c r="K37" s="16" t="n">
        <f aca="false">J37+L37</f>
        <v>2.839</v>
      </c>
      <c r="L37" s="16" t="n">
        <f aca="false">RANDBETWEEN(-20,70)/1000</f>
        <v>-0.002</v>
      </c>
      <c r="M37" s="16" t="n">
        <v>5.25</v>
      </c>
      <c r="N37" s="16" t="n">
        <f aca="false">+M37+O37</f>
        <v>5.2435</v>
      </c>
      <c r="O37" s="16" t="n">
        <f aca="false">RANDBETWEEN(-105,115)/10000</f>
        <v>-0.0065</v>
      </c>
      <c r="P37" s="16" t="n">
        <f aca="false">Y37+0.15</f>
        <v>2.724</v>
      </c>
      <c r="Q37" s="16" t="n">
        <f aca="false">P37+R37</f>
        <v>2.712</v>
      </c>
      <c r="R37" s="16" t="n">
        <f aca="false">RANDBETWEEN(-20,70)/1000</f>
        <v>-0.012</v>
      </c>
      <c r="S37" s="17"/>
      <c r="T37" s="18" t="n">
        <v>20</v>
      </c>
      <c r="V37" s="19"/>
      <c r="W37" s="19" t="n">
        <f aca="false">'Base A'!G37</f>
        <v>2.574</v>
      </c>
      <c r="X37" s="19" t="n">
        <f aca="false">'Base A'!J37</f>
        <v>2.691</v>
      </c>
      <c r="Y37" s="19" t="n">
        <f aca="false">'Base A'!P37</f>
        <v>2.574</v>
      </c>
    </row>
    <row r="38" s="10" customFormat="true" ht="18" hidden="false" customHeight="true" outlineLevel="0" collapsed="false">
      <c r="A38" s="13" t="n">
        <v>16</v>
      </c>
      <c r="B38" s="82" t="s">
        <v>38</v>
      </c>
      <c r="C38" s="15" t="n">
        <f aca="false">+C37+T37</f>
        <v>474.75</v>
      </c>
      <c r="D38" s="16" t="n">
        <v>-5.25</v>
      </c>
      <c r="E38" s="16" t="n">
        <f aca="false">+D38+F38</f>
        <v>-5.2585</v>
      </c>
      <c r="F38" s="16" t="n">
        <f aca="false">RANDBETWEEN(-105,115)/10000</f>
        <v>-0.0085</v>
      </c>
      <c r="G38" s="16" t="n">
        <f aca="false">W38+0.15</f>
        <v>2.711</v>
      </c>
      <c r="H38" s="16" t="n">
        <f aca="false">G38+I38</f>
        <v>2.771</v>
      </c>
      <c r="I38" s="16" t="n">
        <f aca="false">RANDBETWEEN(-20,70)/1000</f>
        <v>0.06</v>
      </c>
      <c r="J38" s="16" t="n">
        <f aca="false">X38+0.15</f>
        <v>2.828</v>
      </c>
      <c r="K38" s="16" t="n">
        <f aca="false">J38+L38</f>
        <v>2.876</v>
      </c>
      <c r="L38" s="16" t="n">
        <f aca="false">RANDBETWEEN(-20,70)/1000</f>
        <v>0.048</v>
      </c>
      <c r="M38" s="16" t="n">
        <v>5.25</v>
      </c>
      <c r="N38" s="16" t="n">
        <f aca="false">+M38+O38</f>
        <v>5.2461</v>
      </c>
      <c r="O38" s="16" t="n">
        <f aca="false">RANDBETWEEN(-105,115)/10000</f>
        <v>-0.0039</v>
      </c>
      <c r="P38" s="16" t="n">
        <f aca="false">Y38+0.15</f>
        <v>2.711</v>
      </c>
      <c r="Q38" s="16" t="n">
        <f aca="false">P38+R38</f>
        <v>2.769</v>
      </c>
      <c r="R38" s="16" t="n">
        <f aca="false">RANDBETWEEN(-20,70)/1000</f>
        <v>0.058</v>
      </c>
      <c r="S38" s="17"/>
      <c r="T38" s="18" t="n">
        <v>14.44</v>
      </c>
      <c r="V38" s="19"/>
      <c r="W38" s="19" t="n">
        <f aca="false">'Base A'!G38</f>
        <v>2.561</v>
      </c>
      <c r="X38" s="19" t="n">
        <f aca="false">'Base A'!J38</f>
        <v>2.678</v>
      </c>
      <c r="Y38" s="19" t="n">
        <f aca="false">'Base A'!P38</f>
        <v>2.561</v>
      </c>
    </row>
    <row r="39" s="10" customFormat="true" ht="18" hidden="false" customHeight="true" outlineLevel="0" collapsed="false">
      <c r="A39" s="13" t="n">
        <v>17</v>
      </c>
      <c r="B39" s="82" t="s">
        <v>39</v>
      </c>
      <c r="C39" s="15" t="n">
        <f aca="false">+C38+T38</f>
        <v>489.19</v>
      </c>
      <c r="D39" s="16" t="n">
        <v>-5.25</v>
      </c>
      <c r="E39" s="16" t="n">
        <f aca="false">+D39+F39</f>
        <v>-5.2599</v>
      </c>
      <c r="F39" s="16" t="n">
        <f aca="false">RANDBETWEEN(-105,115)/10000</f>
        <v>-0.0099</v>
      </c>
      <c r="G39" s="16" t="n">
        <f aca="false">W39+0.15</f>
        <v>2.702</v>
      </c>
      <c r="H39" s="16" t="n">
        <f aca="false">G39+I39</f>
        <v>2.739</v>
      </c>
      <c r="I39" s="16" t="n">
        <f aca="false">RANDBETWEEN(-20,70)/1000</f>
        <v>0.037</v>
      </c>
      <c r="J39" s="16" t="n">
        <f aca="false">X39+0.15</f>
        <v>2.819</v>
      </c>
      <c r="K39" s="16" t="n">
        <f aca="false">J39+L39</f>
        <v>2.803</v>
      </c>
      <c r="L39" s="16" t="n">
        <f aca="false">RANDBETWEEN(-20,70)/1000</f>
        <v>-0.016</v>
      </c>
      <c r="M39" s="16" t="n">
        <v>5.25</v>
      </c>
      <c r="N39" s="16" t="n">
        <f aca="false">+M39+O39</f>
        <v>5.249</v>
      </c>
      <c r="O39" s="16" t="n">
        <f aca="false">RANDBETWEEN(-105,115)/10000</f>
        <v>-0.001</v>
      </c>
      <c r="P39" s="16" t="n">
        <f aca="false">Y39+0.15</f>
        <v>2.702</v>
      </c>
      <c r="Q39" s="16" t="n">
        <f aca="false">P39+R39</f>
        <v>2.695</v>
      </c>
      <c r="R39" s="16" t="n">
        <f aca="false">RANDBETWEEN(-20,70)/1000</f>
        <v>-0.007</v>
      </c>
      <c r="S39" s="17"/>
      <c r="T39" s="18" t="n">
        <v>13.17</v>
      </c>
      <c r="V39" s="19"/>
      <c r="W39" s="19" t="n">
        <f aca="false">'Base A'!G39</f>
        <v>2.552</v>
      </c>
      <c r="X39" s="19" t="n">
        <f aca="false">'Base A'!J39</f>
        <v>2.669</v>
      </c>
      <c r="Y39" s="19" t="n">
        <f aca="false">'Base A'!P39</f>
        <v>2.552</v>
      </c>
    </row>
    <row r="40" s="10" customFormat="true" ht="18" hidden="false" customHeight="true" outlineLevel="0" collapsed="false">
      <c r="A40" s="13" t="n">
        <v>18</v>
      </c>
      <c r="B40" s="82" t="s">
        <v>40</v>
      </c>
      <c r="C40" s="15" t="n">
        <f aca="false">+C39+T39</f>
        <v>502.36</v>
      </c>
      <c r="D40" s="16" t="n">
        <v>-5.25</v>
      </c>
      <c r="E40" s="16" t="n">
        <f aca="false">+D40+F40</f>
        <v>-5.2577</v>
      </c>
      <c r="F40" s="16" t="n">
        <f aca="false">RANDBETWEEN(-105,115)/10000</f>
        <v>-0.0077</v>
      </c>
      <c r="G40" s="16" t="n">
        <f aca="false">W40+0.15</f>
        <v>2.694</v>
      </c>
      <c r="H40" s="16" t="n">
        <f aca="false">G40+I40</f>
        <v>2.715</v>
      </c>
      <c r="I40" s="16" t="n">
        <f aca="false">RANDBETWEEN(-20,70)/1000</f>
        <v>0.021</v>
      </c>
      <c r="J40" s="16" t="n">
        <f aca="false">X40+0.15</f>
        <v>2.811</v>
      </c>
      <c r="K40" s="16" t="n">
        <f aca="false">J40+L40</f>
        <v>2.802</v>
      </c>
      <c r="L40" s="16" t="n">
        <f aca="false">RANDBETWEEN(-20,70)/1000</f>
        <v>-0.009</v>
      </c>
      <c r="M40" s="16" t="n">
        <v>5.25</v>
      </c>
      <c r="N40" s="16" t="n">
        <f aca="false">+M40+O40</f>
        <v>5.2576</v>
      </c>
      <c r="O40" s="16" t="n">
        <f aca="false">RANDBETWEEN(-105,115)/10000</f>
        <v>0.0076</v>
      </c>
      <c r="P40" s="16" t="n">
        <f aca="false">Y40+0.15</f>
        <v>2.694</v>
      </c>
      <c r="Q40" s="16" t="n">
        <f aca="false">P40+R40</f>
        <v>2.741</v>
      </c>
      <c r="R40" s="16" t="n">
        <f aca="false">RANDBETWEEN(-20,70)/1000</f>
        <v>0.047</v>
      </c>
      <c r="S40" s="17"/>
      <c r="T40" s="18" t="n">
        <v>10.48</v>
      </c>
      <c r="V40" s="19"/>
      <c r="W40" s="19" t="n">
        <f aca="false">'Base A'!G40</f>
        <v>2.544</v>
      </c>
      <c r="X40" s="19" t="n">
        <f aca="false">'Base A'!J40</f>
        <v>2.661</v>
      </c>
      <c r="Y40" s="19" t="n">
        <f aca="false">'Base A'!P40</f>
        <v>2.544</v>
      </c>
    </row>
    <row r="41" s="10" customFormat="true" ht="18" hidden="false" customHeight="true" outlineLevel="0" collapsed="false">
      <c r="A41" s="13" t="n">
        <v>19</v>
      </c>
      <c r="B41" s="82" t="s">
        <v>41</v>
      </c>
      <c r="C41" s="15" t="n">
        <f aca="false">+C40+T40</f>
        <v>512.84</v>
      </c>
      <c r="D41" s="16" t="n">
        <v>-5.25</v>
      </c>
      <c r="E41" s="16" t="n">
        <f aca="false">+D41+F41</f>
        <v>-5.2457</v>
      </c>
      <c r="F41" s="16" t="n">
        <f aca="false">RANDBETWEEN(-105,115)/10000</f>
        <v>0.0043</v>
      </c>
      <c r="G41" s="16" t="n">
        <f aca="false">W41+0.15</f>
        <v>2.688</v>
      </c>
      <c r="H41" s="16" t="n">
        <f aca="false">G41+I41</f>
        <v>2.699</v>
      </c>
      <c r="I41" s="16" t="n">
        <f aca="false">RANDBETWEEN(-20,70)/1000</f>
        <v>0.011</v>
      </c>
      <c r="J41" s="16" t="n">
        <f aca="false">X41+0.15</f>
        <v>2.805</v>
      </c>
      <c r="K41" s="16" t="n">
        <f aca="false">J41+L41</f>
        <v>2.825</v>
      </c>
      <c r="L41" s="16" t="n">
        <f aca="false">RANDBETWEEN(-20,70)/1000</f>
        <v>0.02</v>
      </c>
      <c r="M41" s="16" t="n">
        <v>5.25</v>
      </c>
      <c r="N41" s="16" t="n">
        <f aca="false">+M41+O41</f>
        <v>5.2423</v>
      </c>
      <c r="O41" s="16" t="n">
        <f aca="false">RANDBETWEEN(-105,115)/10000</f>
        <v>-0.0077</v>
      </c>
      <c r="P41" s="16" t="n">
        <f aca="false">Y41+0.15</f>
        <v>2.688</v>
      </c>
      <c r="Q41" s="16" t="n">
        <f aca="false">P41+R41</f>
        <v>2.727</v>
      </c>
      <c r="R41" s="16" t="n">
        <f aca="false">RANDBETWEEN(-20,70)/1000</f>
        <v>0.039</v>
      </c>
      <c r="S41" s="17"/>
      <c r="T41" s="18" t="n">
        <v>16.78</v>
      </c>
      <c r="V41" s="19"/>
      <c r="W41" s="19" t="n">
        <f aca="false">'Base A'!G41</f>
        <v>2.538</v>
      </c>
      <c r="X41" s="19" t="n">
        <f aca="false">'Base A'!J41</f>
        <v>2.655</v>
      </c>
      <c r="Y41" s="19" t="n">
        <f aca="false">'Base A'!P41</f>
        <v>2.538</v>
      </c>
    </row>
    <row r="42" s="10" customFormat="true" ht="18" hidden="false" customHeight="true" outlineLevel="0" collapsed="false">
      <c r="A42" s="13" t="n">
        <v>20</v>
      </c>
      <c r="B42" s="82" t="s">
        <v>42</v>
      </c>
      <c r="C42" s="15" t="n">
        <f aca="false">+C41+T41</f>
        <v>529.62</v>
      </c>
      <c r="D42" s="16" t="n">
        <v>-5.25</v>
      </c>
      <c r="E42" s="16" t="n">
        <f aca="false">+D42+F42</f>
        <v>-5.2407</v>
      </c>
      <c r="F42" s="16" t="n">
        <f aca="false">RANDBETWEEN(-105,115)/10000</f>
        <v>0.0093</v>
      </c>
      <c r="G42" s="16" t="n">
        <f aca="false">W42+0.15</f>
        <v>2.679</v>
      </c>
      <c r="H42" s="16" t="n">
        <f aca="false">G42+I42</f>
        <v>2.699</v>
      </c>
      <c r="I42" s="16" t="n">
        <f aca="false">RANDBETWEEN(-20,70)/1000</f>
        <v>0.02</v>
      </c>
      <c r="J42" s="16" t="n">
        <f aca="false">X42+0.15</f>
        <v>2.796</v>
      </c>
      <c r="K42" s="16" t="n">
        <f aca="false">J42+L42</f>
        <v>2.84</v>
      </c>
      <c r="L42" s="16" t="n">
        <f aca="false">RANDBETWEEN(-20,70)/1000</f>
        <v>0.044</v>
      </c>
      <c r="M42" s="16" t="n">
        <v>5.25</v>
      </c>
      <c r="N42" s="16" t="n">
        <f aca="false">+M42+O42</f>
        <v>5.2467</v>
      </c>
      <c r="O42" s="16" t="n">
        <f aca="false">RANDBETWEEN(-105,115)/10000</f>
        <v>-0.0033</v>
      </c>
      <c r="P42" s="16" t="n">
        <f aca="false">Y42+0.15</f>
        <v>2.679</v>
      </c>
      <c r="Q42" s="16" t="n">
        <f aca="false">P42+R42</f>
        <v>2.671</v>
      </c>
      <c r="R42" s="16" t="n">
        <f aca="false">RANDBETWEEN(-20,70)/1000</f>
        <v>-0.008</v>
      </c>
      <c r="S42" s="17"/>
      <c r="T42" s="18" t="n">
        <v>17.1</v>
      </c>
      <c r="V42" s="19"/>
      <c r="W42" s="19" t="n">
        <f aca="false">'Base A'!G42</f>
        <v>2.529</v>
      </c>
      <c r="X42" s="19" t="n">
        <f aca="false">'Base A'!J42</f>
        <v>2.646</v>
      </c>
      <c r="Y42" s="19" t="n">
        <f aca="false">'Base A'!P42</f>
        <v>2.529</v>
      </c>
    </row>
    <row r="43" s="10" customFormat="true" ht="18" hidden="false" customHeight="true" outlineLevel="0" collapsed="false">
      <c r="A43" s="13" t="n">
        <v>21</v>
      </c>
      <c r="B43" s="82" t="s">
        <v>43</v>
      </c>
      <c r="C43" s="15" t="n">
        <f aca="false">+C42+T42</f>
        <v>546.72</v>
      </c>
      <c r="D43" s="16" t="n">
        <v>-5.25</v>
      </c>
      <c r="E43" s="16" t="n">
        <f aca="false">+D43+F43</f>
        <v>-5.2489</v>
      </c>
      <c r="F43" s="16" t="n">
        <f aca="false">RANDBETWEEN(-105,115)/10000</f>
        <v>0.0011</v>
      </c>
      <c r="G43" s="16" t="n">
        <f aca="false">W43+0.15</f>
        <v>2.671</v>
      </c>
      <c r="H43" s="16" t="n">
        <f aca="false">G43+I43</f>
        <v>2.696</v>
      </c>
      <c r="I43" s="16" t="n">
        <f aca="false">RANDBETWEEN(-20,70)/1000</f>
        <v>0.025</v>
      </c>
      <c r="J43" s="16" t="n">
        <f aca="false">X43+0.15</f>
        <v>2.788</v>
      </c>
      <c r="K43" s="16" t="n">
        <f aca="false">J43+L43</f>
        <v>2.825</v>
      </c>
      <c r="L43" s="16" t="n">
        <f aca="false">RANDBETWEEN(-20,70)/1000</f>
        <v>0.037</v>
      </c>
      <c r="M43" s="16" t="n">
        <v>5.25</v>
      </c>
      <c r="N43" s="16" t="n">
        <f aca="false">+M43+O43</f>
        <v>5.243</v>
      </c>
      <c r="O43" s="16" t="n">
        <f aca="false">RANDBETWEEN(-105,115)/10000</f>
        <v>-0.007</v>
      </c>
      <c r="P43" s="16" t="n">
        <f aca="false">Y43+0.15</f>
        <v>2.671</v>
      </c>
      <c r="Q43" s="16" t="n">
        <f aca="false">P43+R43</f>
        <v>2.741</v>
      </c>
      <c r="R43" s="16" t="n">
        <f aca="false">RANDBETWEEN(-20,70)/1000</f>
        <v>0.07</v>
      </c>
      <c r="S43" s="17"/>
      <c r="T43" s="18" t="n">
        <v>15.15</v>
      </c>
      <c r="V43" s="19"/>
      <c r="W43" s="19" t="n">
        <f aca="false">'Base A'!G43</f>
        <v>2.521</v>
      </c>
      <c r="X43" s="19" t="n">
        <f aca="false">'Base A'!J43</f>
        <v>2.638</v>
      </c>
      <c r="Y43" s="19" t="n">
        <f aca="false">'Base A'!P43</f>
        <v>2.521</v>
      </c>
    </row>
    <row r="44" s="10" customFormat="true" ht="18" hidden="false" customHeight="true" outlineLevel="0" collapsed="false">
      <c r="A44" s="13" t="n">
        <v>22</v>
      </c>
      <c r="B44" s="82" t="s">
        <v>44</v>
      </c>
      <c r="C44" s="15" t="n">
        <f aca="false">+C43+T43</f>
        <v>561.87</v>
      </c>
      <c r="D44" s="16" t="n">
        <v>-5.25</v>
      </c>
      <c r="E44" s="16" t="n">
        <f aca="false">+D44+F44</f>
        <v>-5.2517</v>
      </c>
      <c r="F44" s="16" t="n">
        <f aca="false">RANDBETWEEN(-105,115)/10000</f>
        <v>-0.0017</v>
      </c>
      <c r="G44" s="16" t="n">
        <f aca="false">W44+0.15</f>
        <v>2.668</v>
      </c>
      <c r="H44" s="16" t="n">
        <f aca="false">G44+I44</f>
        <v>2.736</v>
      </c>
      <c r="I44" s="16" t="n">
        <f aca="false">RANDBETWEEN(-20,70)/1000</f>
        <v>0.068</v>
      </c>
      <c r="J44" s="16" t="n">
        <f aca="false">X44+0.15</f>
        <v>2.785</v>
      </c>
      <c r="K44" s="16" t="n">
        <f aca="false">J44+L44</f>
        <v>2.821</v>
      </c>
      <c r="L44" s="16" t="n">
        <f aca="false">RANDBETWEEN(-20,70)/1000</f>
        <v>0.036</v>
      </c>
      <c r="M44" s="16" t="n">
        <v>5.25</v>
      </c>
      <c r="N44" s="16" t="n">
        <f aca="false">+M44+O44</f>
        <v>5.2445</v>
      </c>
      <c r="O44" s="16" t="n">
        <f aca="false">RANDBETWEEN(-105,115)/10000</f>
        <v>-0.0055</v>
      </c>
      <c r="P44" s="16" t="n">
        <f aca="false">Y44+0.15</f>
        <v>2.668</v>
      </c>
      <c r="Q44" s="16" t="n">
        <f aca="false">P44+R44</f>
        <v>2.726</v>
      </c>
      <c r="R44" s="16" t="n">
        <f aca="false">RANDBETWEEN(-20,70)/1000</f>
        <v>0.058</v>
      </c>
      <c r="S44" s="17"/>
      <c r="T44" s="18" t="n">
        <v>0.15</v>
      </c>
      <c r="V44" s="19"/>
      <c r="W44" s="19" t="n">
        <f aca="false">'Base A'!G44</f>
        <v>2.518</v>
      </c>
      <c r="X44" s="19" t="n">
        <f aca="false">'Base A'!J44</f>
        <v>2.635</v>
      </c>
      <c r="Y44" s="19" t="n">
        <f aca="false">'Base A'!P44</f>
        <v>2.518</v>
      </c>
    </row>
    <row r="45" s="10" customFormat="true" ht="18" hidden="false" customHeight="true" outlineLevel="0" collapsed="false">
      <c r="A45" s="13" t="n">
        <v>23</v>
      </c>
      <c r="B45" s="82" t="s">
        <v>45</v>
      </c>
      <c r="C45" s="15" t="n">
        <f aca="false">+C44+T44</f>
        <v>562.02</v>
      </c>
      <c r="D45" s="16" t="n">
        <v>-5.25</v>
      </c>
      <c r="E45" s="16" t="n">
        <f aca="false">+D45+F45</f>
        <v>-5.2534</v>
      </c>
      <c r="F45" s="16" t="n">
        <f aca="false">RANDBETWEEN(-105,115)/10000</f>
        <v>-0.0034</v>
      </c>
      <c r="G45" s="16" t="n">
        <f aca="false">W45+0.15</f>
        <v>2.668</v>
      </c>
      <c r="H45" s="16" t="n">
        <f aca="false">G45+I45</f>
        <v>2.738</v>
      </c>
      <c r="I45" s="16" t="n">
        <f aca="false">RANDBETWEEN(-20,70)/1000</f>
        <v>0.07</v>
      </c>
      <c r="J45" s="16" t="n">
        <f aca="false">X45+0.15</f>
        <v>2.785</v>
      </c>
      <c r="K45" s="16" t="n">
        <f aca="false">J45+L45</f>
        <v>2.818</v>
      </c>
      <c r="L45" s="16" t="n">
        <f aca="false">RANDBETWEEN(-20,70)/1000</f>
        <v>0.033</v>
      </c>
      <c r="M45" s="16" t="n">
        <v>5.25</v>
      </c>
      <c r="N45" s="16" t="n">
        <f aca="false">+M45+O45</f>
        <v>5.2615</v>
      </c>
      <c r="O45" s="16" t="n">
        <f aca="false">RANDBETWEEN(-105,115)/10000</f>
        <v>0.0115</v>
      </c>
      <c r="P45" s="16" t="n">
        <f aca="false">Y45+0.15</f>
        <v>2.668</v>
      </c>
      <c r="Q45" s="16" t="n">
        <f aca="false">P45+R45</f>
        <v>2.727</v>
      </c>
      <c r="R45" s="16" t="n">
        <f aca="false">RANDBETWEEN(-20,70)/1000</f>
        <v>0.059</v>
      </c>
      <c r="S45" s="17"/>
      <c r="T45" s="18" t="n">
        <v>6.55</v>
      </c>
      <c r="V45" s="19"/>
      <c r="W45" s="19" t="n">
        <f aca="false">'Base A'!G45</f>
        <v>2.518</v>
      </c>
      <c r="X45" s="19" t="n">
        <f aca="false">'Base A'!J45</f>
        <v>2.635</v>
      </c>
      <c r="Y45" s="19" t="n">
        <f aca="false">'Base A'!P45</f>
        <v>2.518</v>
      </c>
    </row>
    <row r="46" s="10" customFormat="true" ht="18" hidden="false" customHeight="true" outlineLevel="0" collapsed="false">
      <c r="A46" s="13" t="n">
        <v>24</v>
      </c>
      <c r="B46" s="82" t="s">
        <v>46</v>
      </c>
      <c r="C46" s="15" t="n">
        <f aca="false">+C45+T45</f>
        <v>568.57</v>
      </c>
      <c r="D46" s="16" t="n">
        <v>-5.25</v>
      </c>
      <c r="E46" s="16" t="n">
        <f aca="false">+D46+F46</f>
        <v>-5.251</v>
      </c>
      <c r="F46" s="16" t="n">
        <f aca="false">RANDBETWEEN(-105,115)/10000</f>
        <v>-0.001</v>
      </c>
      <c r="G46" s="16" t="n">
        <f aca="false">W46+0.15</f>
        <v>2.667</v>
      </c>
      <c r="H46" s="16" t="n">
        <f aca="false">G46+I46</f>
        <v>2.699</v>
      </c>
      <c r="I46" s="16" t="n">
        <f aca="false">RANDBETWEEN(-20,70)/1000</f>
        <v>0.032</v>
      </c>
      <c r="J46" s="16" t="n">
        <f aca="false">X46+0.15</f>
        <v>2.784</v>
      </c>
      <c r="K46" s="16" t="n">
        <f aca="false">J46+L46</f>
        <v>2.777</v>
      </c>
      <c r="L46" s="16" t="n">
        <f aca="false">RANDBETWEEN(-20,70)/1000</f>
        <v>-0.007</v>
      </c>
      <c r="M46" s="16" t="n">
        <v>5.25</v>
      </c>
      <c r="N46" s="16" t="n">
        <f aca="false">+M46+O46</f>
        <v>5.25</v>
      </c>
      <c r="O46" s="16" t="n">
        <f aca="false">RANDBETWEEN(-105,115)/10000</f>
        <v>0</v>
      </c>
      <c r="P46" s="16" t="n">
        <f aca="false">Y46+0.15</f>
        <v>2.667</v>
      </c>
      <c r="Q46" s="16" t="n">
        <f aca="false">P46+R46</f>
        <v>2.724</v>
      </c>
      <c r="R46" s="16" t="n">
        <f aca="false">RANDBETWEEN(-20,70)/1000</f>
        <v>0.057</v>
      </c>
      <c r="S46" s="17"/>
      <c r="T46" s="18" t="n">
        <v>6.55</v>
      </c>
      <c r="V46" s="19"/>
      <c r="W46" s="19" t="n">
        <f aca="false">'Base A'!G46</f>
        <v>2.517</v>
      </c>
      <c r="X46" s="19" t="n">
        <f aca="false">'Base A'!J46</f>
        <v>2.634</v>
      </c>
      <c r="Y46" s="19" t="n">
        <f aca="false">'Base A'!P46</f>
        <v>2.517</v>
      </c>
    </row>
    <row r="47" s="10" customFormat="true" ht="18" hidden="false" customHeight="true" outlineLevel="0" collapsed="false">
      <c r="A47" s="13" t="n">
        <v>25</v>
      </c>
      <c r="B47" s="82" t="s">
        <v>47</v>
      </c>
      <c r="C47" s="15" t="n">
        <f aca="false">+C46+T46</f>
        <v>575.12</v>
      </c>
      <c r="D47" s="16" t="n">
        <v>-5.25</v>
      </c>
      <c r="E47" s="16" t="n">
        <f aca="false">+D47+F47</f>
        <v>-5.258</v>
      </c>
      <c r="F47" s="16" t="n">
        <f aca="false">RANDBETWEEN(-105,115)/10000</f>
        <v>-0.008</v>
      </c>
      <c r="G47" s="16" t="n">
        <f aca="false">W47+0.15</f>
        <v>2.665</v>
      </c>
      <c r="H47" s="16" t="n">
        <f aca="false">G47+I47</f>
        <v>2.727</v>
      </c>
      <c r="I47" s="16" t="n">
        <f aca="false">RANDBETWEEN(-20,70)/1000</f>
        <v>0.062</v>
      </c>
      <c r="J47" s="16" t="n">
        <f aca="false">X47+0.15</f>
        <v>2.782</v>
      </c>
      <c r="K47" s="16" t="n">
        <f aca="false">J47+L47</f>
        <v>2.778</v>
      </c>
      <c r="L47" s="16" t="n">
        <f aca="false">RANDBETWEEN(-20,70)/1000</f>
        <v>-0.004</v>
      </c>
      <c r="M47" s="16" t="n">
        <v>5.25</v>
      </c>
      <c r="N47" s="16" t="n">
        <f aca="false">+M47+O47</f>
        <v>5.243</v>
      </c>
      <c r="O47" s="16" t="n">
        <f aca="false">RANDBETWEEN(-105,115)/10000</f>
        <v>-0.007</v>
      </c>
      <c r="P47" s="16" t="n">
        <f aca="false">Y47+0.15</f>
        <v>2.665</v>
      </c>
      <c r="Q47" s="16" t="n">
        <f aca="false">P47+R47</f>
        <v>2.73</v>
      </c>
      <c r="R47" s="16" t="n">
        <f aca="false">RANDBETWEEN(-20,70)/1000</f>
        <v>0.065</v>
      </c>
      <c r="S47" s="17"/>
      <c r="T47" s="18" t="n">
        <v>0.04</v>
      </c>
      <c r="V47" s="19"/>
      <c r="W47" s="19" t="n">
        <f aca="false">'Base A'!G47</f>
        <v>2.515</v>
      </c>
      <c r="X47" s="19" t="n">
        <f aca="false">'Base A'!J47</f>
        <v>2.632</v>
      </c>
      <c r="Y47" s="19" t="n">
        <f aca="false">'Base A'!P47</f>
        <v>2.515</v>
      </c>
    </row>
    <row r="48" s="10" customFormat="true" ht="18" hidden="false" customHeight="true" outlineLevel="0" collapsed="false">
      <c r="A48" s="13" t="n">
        <v>26</v>
      </c>
      <c r="B48" s="82" t="s">
        <v>48</v>
      </c>
      <c r="C48" s="15" t="n">
        <f aca="false">+C47+T47</f>
        <v>575.16</v>
      </c>
      <c r="D48" s="16" t="n">
        <v>-5.25</v>
      </c>
      <c r="E48" s="16" t="n">
        <f aca="false">+D48+F48</f>
        <v>-5.2552</v>
      </c>
      <c r="F48" s="16" t="n">
        <f aca="false">RANDBETWEEN(-105,115)/10000</f>
        <v>-0.0052</v>
      </c>
      <c r="G48" s="16" t="n">
        <f aca="false">W48+0.15</f>
        <v>2.665</v>
      </c>
      <c r="H48" s="16" t="n">
        <f aca="false">G48+I48</f>
        <v>2.686</v>
      </c>
      <c r="I48" s="16" t="n">
        <f aca="false">RANDBETWEEN(-20,70)/1000</f>
        <v>0.021</v>
      </c>
      <c r="J48" s="16" t="n">
        <f aca="false">X48+0.15</f>
        <v>2.782</v>
      </c>
      <c r="K48" s="16" t="n">
        <f aca="false">J48+L48</f>
        <v>2.791</v>
      </c>
      <c r="L48" s="16" t="n">
        <f aca="false">RANDBETWEEN(-20,70)/1000</f>
        <v>0.009</v>
      </c>
      <c r="M48" s="16" t="n">
        <v>5.25</v>
      </c>
      <c r="N48" s="16" t="n">
        <f aca="false">+M48+O48</f>
        <v>5.2428</v>
      </c>
      <c r="O48" s="16" t="n">
        <f aca="false">RANDBETWEEN(-105,115)/10000</f>
        <v>-0.0072</v>
      </c>
      <c r="P48" s="16" t="n">
        <f aca="false">Y48+0.15</f>
        <v>2.665</v>
      </c>
      <c r="Q48" s="16" t="n">
        <f aca="false">P48+R48</f>
        <v>2.73</v>
      </c>
      <c r="R48" s="16" t="n">
        <f aca="false">RANDBETWEEN(-20,70)/1000</f>
        <v>0.065</v>
      </c>
      <c r="S48" s="17"/>
      <c r="T48" s="18" t="n">
        <v>16.95</v>
      </c>
      <c r="V48" s="19"/>
      <c r="W48" s="19" t="n">
        <f aca="false">'Base A'!G48</f>
        <v>2.515</v>
      </c>
      <c r="X48" s="19" t="n">
        <f aca="false">'Base A'!J48</f>
        <v>2.632</v>
      </c>
      <c r="Y48" s="19" t="n">
        <f aca="false">'Base A'!P48</f>
        <v>2.515</v>
      </c>
    </row>
    <row r="49" s="10" customFormat="true" ht="18" hidden="false" customHeight="true" outlineLevel="0" collapsed="false">
      <c r="A49" s="13" t="n">
        <v>27</v>
      </c>
      <c r="B49" s="82" t="s">
        <v>49</v>
      </c>
      <c r="C49" s="15" t="n">
        <f aca="false">+C48+T48</f>
        <v>592.11</v>
      </c>
      <c r="D49" s="16" t="n">
        <v>-5.25</v>
      </c>
      <c r="E49" s="16" t="n">
        <f aca="false">+D49+F49</f>
        <v>-5.2394</v>
      </c>
      <c r="F49" s="16" t="n">
        <f aca="false">RANDBETWEEN(-105,115)/10000</f>
        <v>0.0106</v>
      </c>
      <c r="G49" s="16" t="n">
        <f aca="false">W49+0.15</f>
        <v>2.668</v>
      </c>
      <c r="H49" s="16" t="n">
        <f aca="false">G49+I49</f>
        <v>2.65</v>
      </c>
      <c r="I49" s="16" t="n">
        <f aca="false">RANDBETWEEN(-20,70)/1000</f>
        <v>-0.018</v>
      </c>
      <c r="J49" s="16" t="n">
        <f aca="false">X49+0.15</f>
        <v>2.785</v>
      </c>
      <c r="K49" s="16" t="n">
        <f aca="false">J49+L49</f>
        <v>2.792</v>
      </c>
      <c r="L49" s="16" t="n">
        <f aca="false">RANDBETWEEN(-20,70)/1000</f>
        <v>0.007</v>
      </c>
      <c r="M49" s="16" t="n">
        <v>5.25</v>
      </c>
      <c r="N49" s="16" t="n">
        <f aca="false">+M49+O49</f>
        <v>5.2403</v>
      </c>
      <c r="O49" s="16" t="n">
        <f aca="false">RANDBETWEEN(-105,115)/10000</f>
        <v>-0.0097</v>
      </c>
      <c r="P49" s="16" t="n">
        <f aca="false">Y49+0.15</f>
        <v>2.668</v>
      </c>
      <c r="Q49" s="16" t="n">
        <f aca="false">P49+R49</f>
        <v>2.665</v>
      </c>
      <c r="R49" s="16" t="n">
        <f aca="false">RANDBETWEEN(-20,70)/1000</f>
        <v>-0.003</v>
      </c>
      <c r="S49" s="17"/>
      <c r="T49" s="18" t="n">
        <v>17</v>
      </c>
      <c r="V49" s="19"/>
      <c r="W49" s="19" t="n">
        <f aca="false">'Base A'!G49</f>
        <v>2.518</v>
      </c>
      <c r="X49" s="19" t="n">
        <f aca="false">'Base A'!J49</f>
        <v>2.635</v>
      </c>
      <c r="Y49" s="19" t="n">
        <f aca="false">'Base A'!P49</f>
        <v>2.518</v>
      </c>
    </row>
    <row r="50" s="10" customFormat="true" ht="18" hidden="false" customHeight="true" outlineLevel="0" collapsed="false">
      <c r="A50" s="13" t="n">
        <v>28</v>
      </c>
      <c r="B50" s="82" t="s">
        <v>50</v>
      </c>
      <c r="C50" s="15" t="n">
        <f aca="false">+C49+T49</f>
        <v>609.11</v>
      </c>
      <c r="D50" s="16" t="n">
        <v>-5.25</v>
      </c>
      <c r="E50" s="16" t="n">
        <f aca="false">+D50+F50</f>
        <v>-5.2549</v>
      </c>
      <c r="F50" s="16" t="n">
        <f aca="false">RANDBETWEEN(-105,115)/10000</f>
        <v>-0.0049</v>
      </c>
      <c r="G50" s="16" t="n">
        <f aca="false">W50+0.15</f>
        <v>2.671</v>
      </c>
      <c r="H50" s="16" t="n">
        <f aca="false">G50+I50</f>
        <v>2.696</v>
      </c>
      <c r="I50" s="16" t="n">
        <f aca="false">RANDBETWEEN(-20,70)/1000</f>
        <v>0.025</v>
      </c>
      <c r="J50" s="16" t="n">
        <f aca="false">X50+0.15</f>
        <v>2.788</v>
      </c>
      <c r="K50" s="16" t="n">
        <f aca="false">J50+L50</f>
        <v>2.821</v>
      </c>
      <c r="L50" s="16" t="n">
        <f aca="false">RANDBETWEEN(-20,70)/1000</f>
        <v>0.033</v>
      </c>
      <c r="M50" s="16" t="n">
        <v>5.25</v>
      </c>
      <c r="N50" s="16" t="n">
        <f aca="false">+M50+O50</f>
        <v>5.2538</v>
      </c>
      <c r="O50" s="16" t="n">
        <f aca="false">RANDBETWEEN(-105,115)/10000</f>
        <v>0.0038</v>
      </c>
      <c r="P50" s="16" t="n">
        <f aca="false">Y50+0.15</f>
        <v>2.671</v>
      </c>
      <c r="Q50" s="16" t="n">
        <f aca="false">P50+R50</f>
        <v>2.663</v>
      </c>
      <c r="R50" s="16" t="n">
        <f aca="false">RANDBETWEEN(-20,70)/1000</f>
        <v>-0.008</v>
      </c>
      <c r="S50" s="17"/>
      <c r="T50" s="18" t="n">
        <v>11.75</v>
      </c>
      <c r="V50" s="19"/>
      <c r="W50" s="19" t="n">
        <f aca="false">'Base A'!G50</f>
        <v>2.521</v>
      </c>
      <c r="X50" s="19" t="n">
        <f aca="false">'Base A'!J50</f>
        <v>2.638</v>
      </c>
      <c r="Y50" s="19" t="n">
        <f aca="false">'Base A'!P50</f>
        <v>2.521</v>
      </c>
    </row>
    <row r="51" s="10" customFormat="true" ht="18" hidden="false" customHeight="true" outlineLevel="0" collapsed="false">
      <c r="A51" s="13" t="n">
        <v>29</v>
      </c>
      <c r="B51" s="82" t="s">
        <v>51</v>
      </c>
      <c r="C51" s="15" t="n">
        <f aca="false">+C50+T50</f>
        <v>620.86</v>
      </c>
      <c r="D51" s="16" t="n">
        <v>-5.25</v>
      </c>
      <c r="E51" s="16" t="n">
        <f aca="false">+D51+F51</f>
        <v>-5.2432</v>
      </c>
      <c r="F51" s="16" t="n">
        <f aca="false">RANDBETWEEN(-105,115)/10000</f>
        <v>0.0068</v>
      </c>
      <c r="G51" s="16" t="n">
        <f aca="false">W51+0.15</f>
        <v>2.672</v>
      </c>
      <c r="H51" s="16" t="n">
        <f aca="false">G51+I51</f>
        <v>2.656</v>
      </c>
      <c r="I51" s="16" t="n">
        <f aca="false">RANDBETWEEN(-20,70)/1000</f>
        <v>-0.016</v>
      </c>
      <c r="J51" s="16" t="n">
        <f aca="false">X51+0.15</f>
        <v>2.789</v>
      </c>
      <c r="K51" s="16" t="n">
        <f aca="false">J51+L51</f>
        <v>2.786</v>
      </c>
      <c r="L51" s="16" t="n">
        <f aca="false">RANDBETWEEN(-20,70)/1000</f>
        <v>-0.003</v>
      </c>
      <c r="M51" s="16" t="n">
        <v>5.25</v>
      </c>
      <c r="N51" s="16" t="n">
        <f aca="false">+M51+O51</f>
        <v>5.2405</v>
      </c>
      <c r="O51" s="16" t="n">
        <f aca="false">RANDBETWEEN(-105,115)/10000</f>
        <v>-0.0095</v>
      </c>
      <c r="P51" s="16" t="n">
        <f aca="false">Y51+0.15</f>
        <v>2.672</v>
      </c>
      <c r="Q51" s="16" t="n">
        <f aca="false">P51+R51</f>
        <v>2.731</v>
      </c>
      <c r="R51" s="16" t="n">
        <f aca="false">RANDBETWEEN(-20,70)/1000</f>
        <v>0.059</v>
      </c>
      <c r="S51" s="17"/>
      <c r="T51" s="18" t="n">
        <v>11.75</v>
      </c>
      <c r="V51" s="19"/>
      <c r="W51" s="19" t="n">
        <f aca="false">'Base A'!G51</f>
        <v>2.522</v>
      </c>
      <c r="X51" s="19" t="n">
        <f aca="false">'Base A'!J51</f>
        <v>2.639</v>
      </c>
      <c r="Y51" s="19" t="n">
        <f aca="false">'Base A'!P51</f>
        <v>2.522</v>
      </c>
    </row>
    <row r="52" s="10" customFormat="true" ht="18" hidden="false" customHeight="true" outlineLevel="0" collapsed="false">
      <c r="A52" s="13" t="n">
        <v>30</v>
      </c>
      <c r="B52" s="82" t="s">
        <v>52</v>
      </c>
      <c r="C52" s="15" t="n">
        <f aca="false">+C51+T51</f>
        <v>632.61</v>
      </c>
      <c r="D52" s="16" t="n">
        <v>-5.25</v>
      </c>
      <c r="E52" s="16" t="n">
        <f aca="false">+D52+F52</f>
        <v>-5.2412</v>
      </c>
      <c r="F52" s="16" t="n">
        <f aca="false">RANDBETWEEN(-105,115)/10000</f>
        <v>0.0088</v>
      </c>
      <c r="G52" s="16" t="n">
        <f aca="false">W52+0.15</f>
        <v>2.674</v>
      </c>
      <c r="H52" s="16" t="n">
        <f aca="false">G52+I52</f>
        <v>2.675</v>
      </c>
      <c r="I52" s="16" t="n">
        <f aca="false">RANDBETWEEN(-20,70)/1000</f>
        <v>0.001</v>
      </c>
      <c r="J52" s="16" t="n">
        <f aca="false">X52+0.15</f>
        <v>2.791</v>
      </c>
      <c r="K52" s="16" t="n">
        <f aca="false">J52+L52</f>
        <v>2.804</v>
      </c>
      <c r="L52" s="16" t="n">
        <f aca="false">RANDBETWEEN(-20,70)/1000</f>
        <v>0.013</v>
      </c>
      <c r="M52" s="16" t="n">
        <v>5.25</v>
      </c>
      <c r="N52" s="16" t="n">
        <f aca="false">+M52+O52</f>
        <v>5.2553</v>
      </c>
      <c r="O52" s="16" t="n">
        <f aca="false">RANDBETWEEN(-105,115)/10000</f>
        <v>0.0053</v>
      </c>
      <c r="P52" s="16" t="n">
        <f aca="false">Y52+0.15</f>
        <v>2.674</v>
      </c>
      <c r="Q52" s="16" t="n">
        <f aca="false">P52+R52</f>
        <v>2.73</v>
      </c>
      <c r="R52" s="16" t="n">
        <f aca="false">RANDBETWEEN(-20,70)/1000</f>
        <v>0.056</v>
      </c>
      <c r="S52" s="17"/>
      <c r="T52" s="18" t="n">
        <v>20</v>
      </c>
      <c r="V52" s="19"/>
      <c r="W52" s="19" t="n">
        <f aca="false">'Base A'!G52</f>
        <v>2.524</v>
      </c>
      <c r="X52" s="19" t="n">
        <f aca="false">'Base A'!J52</f>
        <v>2.641</v>
      </c>
      <c r="Y52" s="19" t="n">
        <f aca="false">'Base A'!P52</f>
        <v>2.524</v>
      </c>
    </row>
    <row r="53" s="10" customFormat="true" ht="18" hidden="false" customHeight="true" outlineLevel="0" collapsed="false">
      <c r="A53" s="13" t="n">
        <v>31</v>
      </c>
      <c r="B53" s="82" t="s">
        <v>53</v>
      </c>
      <c r="C53" s="15" t="n">
        <f aca="false">+C52+T52</f>
        <v>652.61</v>
      </c>
      <c r="D53" s="16" t="n">
        <v>-5.25</v>
      </c>
      <c r="E53" s="16" t="n">
        <f aca="false">+D53+F53</f>
        <v>-5.2474</v>
      </c>
      <c r="F53" s="16" t="n">
        <f aca="false">RANDBETWEEN(-105,115)/10000</f>
        <v>0.0026</v>
      </c>
      <c r="G53" s="16" t="n">
        <f aca="false">W53+0.15</f>
        <v>2.676</v>
      </c>
      <c r="H53" s="16" t="n">
        <f aca="false">G53+I53</f>
        <v>2.739</v>
      </c>
      <c r="I53" s="16" t="n">
        <f aca="false">RANDBETWEEN(-20,70)/1000</f>
        <v>0.063</v>
      </c>
      <c r="J53" s="16" t="n">
        <f aca="false">X53+0.15</f>
        <v>2.793</v>
      </c>
      <c r="K53" s="16" t="n">
        <f aca="false">J53+L53</f>
        <v>2.805</v>
      </c>
      <c r="L53" s="16" t="n">
        <f aca="false">RANDBETWEEN(-20,70)/1000</f>
        <v>0.012</v>
      </c>
      <c r="M53" s="16" t="n">
        <v>5.25</v>
      </c>
      <c r="N53" s="16" t="n">
        <f aca="false">+M53+O53</f>
        <v>5.2553</v>
      </c>
      <c r="O53" s="16" t="n">
        <f aca="false">RANDBETWEEN(-105,115)/10000</f>
        <v>0.0053</v>
      </c>
      <c r="P53" s="16" t="n">
        <f aca="false">Y53+0.15</f>
        <v>2.676</v>
      </c>
      <c r="Q53" s="16" t="n">
        <f aca="false">P53+R53</f>
        <v>2.672</v>
      </c>
      <c r="R53" s="16" t="n">
        <f aca="false">RANDBETWEEN(-20,70)/1000</f>
        <v>-0.004</v>
      </c>
      <c r="S53" s="17"/>
      <c r="T53" s="18" t="n">
        <v>20</v>
      </c>
      <c r="V53" s="19"/>
      <c r="W53" s="19" t="n">
        <f aca="false">'Base A'!G53</f>
        <v>2.526</v>
      </c>
      <c r="X53" s="19" t="n">
        <f aca="false">'Base A'!J53</f>
        <v>2.643</v>
      </c>
      <c r="Y53" s="19" t="n">
        <f aca="false">'Base A'!P53</f>
        <v>2.526</v>
      </c>
    </row>
    <row r="54" s="10" customFormat="true" ht="18" hidden="false" customHeight="true" outlineLevel="0" collapsed="false">
      <c r="A54" s="13" t="n">
        <v>32</v>
      </c>
      <c r="B54" s="82" t="s">
        <v>54</v>
      </c>
      <c r="C54" s="15" t="n">
        <f aca="false">+C53+T53</f>
        <v>672.61</v>
      </c>
      <c r="D54" s="16" t="n">
        <v>-5.25</v>
      </c>
      <c r="E54" s="16" t="n">
        <f aca="false">+D54+F54</f>
        <v>-5.2556</v>
      </c>
      <c r="F54" s="16" t="n">
        <f aca="false">RANDBETWEEN(-105,115)/10000</f>
        <v>-0.0056</v>
      </c>
      <c r="G54" s="16" t="n">
        <f aca="false">W54+0.15</f>
        <v>2.677</v>
      </c>
      <c r="H54" s="16" t="n">
        <f aca="false">G54+I54</f>
        <v>2.67</v>
      </c>
      <c r="I54" s="16" t="n">
        <f aca="false">RANDBETWEEN(-20,70)/1000</f>
        <v>-0.007</v>
      </c>
      <c r="J54" s="16" t="n">
        <f aca="false">X54+0.15</f>
        <v>2.794</v>
      </c>
      <c r="K54" s="16" t="n">
        <f aca="false">J54+L54</f>
        <v>2.82</v>
      </c>
      <c r="L54" s="16" t="n">
        <f aca="false">RANDBETWEEN(-20,70)/1000</f>
        <v>0.026</v>
      </c>
      <c r="M54" s="16" t="n">
        <v>5.25</v>
      </c>
      <c r="N54" s="16" t="n">
        <f aca="false">+M54+O54</f>
        <v>5.2556</v>
      </c>
      <c r="O54" s="16" t="n">
        <f aca="false">RANDBETWEEN(-105,115)/10000</f>
        <v>0.0056</v>
      </c>
      <c r="P54" s="16" t="n">
        <f aca="false">Y54+0.15</f>
        <v>2.677</v>
      </c>
      <c r="Q54" s="16" t="n">
        <f aca="false">P54+R54</f>
        <v>2.685</v>
      </c>
      <c r="R54" s="16" t="n">
        <f aca="false">RANDBETWEEN(-20,70)/1000</f>
        <v>0.008</v>
      </c>
      <c r="S54" s="17"/>
      <c r="T54" s="18" t="n">
        <v>20</v>
      </c>
      <c r="V54" s="19"/>
      <c r="W54" s="19" t="n">
        <f aca="false">'Base A'!G54</f>
        <v>2.527</v>
      </c>
      <c r="X54" s="19" t="n">
        <f aca="false">'Base A'!J54</f>
        <v>2.644</v>
      </c>
      <c r="Y54" s="19" t="n">
        <f aca="false">'Base A'!P54</f>
        <v>2.527</v>
      </c>
    </row>
    <row r="55" s="10" customFormat="true" ht="18" hidden="false" customHeight="true" outlineLevel="0" collapsed="false">
      <c r="A55" s="13" t="n">
        <v>33</v>
      </c>
      <c r="B55" s="82" t="s">
        <v>55</v>
      </c>
      <c r="C55" s="15" t="n">
        <f aca="false">+C54+T54</f>
        <v>692.61</v>
      </c>
      <c r="D55" s="16" t="n">
        <v>-5.25</v>
      </c>
      <c r="E55" s="16" t="n">
        <f aca="false">+D55+F55</f>
        <v>-5.2479</v>
      </c>
      <c r="F55" s="16" t="n">
        <f aca="false">RANDBETWEEN(-105,115)/10000</f>
        <v>0.0021</v>
      </c>
      <c r="G55" s="16" t="n">
        <f aca="false">W55+0.15</f>
        <v>2.679</v>
      </c>
      <c r="H55" s="16" t="n">
        <f aca="false">G55+I55</f>
        <v>2.685</v>
      </c>
      <c r="I55" s="16" t="n">
        <f aca="false">RANDBETWEEN(-20,70)/1000</f>
        <v>0.006</v>
      </c>
      <c r="J55" s="16" t="n">
        <f aca="false">X55+0.15</f>
        <v>2.796</v>
      </c>
      <c r="K55" s="16" t="n">
        <f aca="false">J55+L55</f>
        <v>2.782</v>
      </c>
      <c r="L55" s="16" t="n">
        <f aca="false">RANDBETWEEN(-20,70)/1000</f>
        <v>-0.014</v>
      </c>
      <c r="M55" s="16" t="n">
        <v>5.25</v>
      </c>
      <c r="N55" s="16" t="n">
        <f aca="false">+M55+O55</f>
        <v>5.2583</v>
      </c>
      <c r="O55" s="16" t="n">
        <f aca="false">RANDBETWEEN(-105,115)/10000</f>
        <v>0.0083</v>
      </c>
      <c r="P55" s="16" t="n">
        <f aca="false">Y55+0.15</f>
        <v>2.679</v>
      </c>
      <c r="Q55" s="16" t="n">
        <f aca="false">P55+R55</f>
        <v>2.662</v>
      </c>
      <c r="R55" s="16" t="n">
        <f aca="false">RANDBETWEEN(-20,70)/1000</f>
        <v>-0.017</v>
      </c>
      <c r="S55" s="17"/>
      <c r="T55" s="18" t="n">
        <v>20</v>
      </c>
      <c r="V55" s="19"/>
      <c r="W55" s="19" t="n">
        <f aca="false">'Base A'!G55</f>
        <v>2.529</v>
      </c>
      <c r="X55" s="19" t="n">
        <f aca="false">'Base A'!J55</f>
        <v>2.646</v>
      </c>
      <c r="Y55" s="19" t="n">
        <f aca="false">'Base A'!P55</f>
        <v>2.529</v>
      </c>
    </row>
    <row r="56" s="10" customFormat="true" ht="18" hidden="false" customHeight="true" outlineLevel="0" collapsed="false">
      <c r="A56" s="13" t="n">
        <v>34</v>
      </c>
      <c r="B56" s="82" t="s">
        <v>56</v>
      </c>
      <c r="C56" s="15" t="n">
        <f aca="false">+C55+T55</f>
        <v>712.61</v>
      </c>
      <c r="D56" s="16" t="n">
        <v>-5.25</v>
      </c>
      <c r="E56" s="16" t="n">
        <f aca="false">+D56+F56</f>
        <v>-5.2453</v>
      </c>
      <c r="F56" s="16" t="n">
        <f aca="false">RANDBETWEEN(-105,115)/10000</f>
        <v>0.0047</v>
      </c>
      <c r="G56" s="16" t="n">
        <f aca="false">W56+0.15</f>
        <v>2.681</v>
      </c>
      <c r="H56" s="16" t="n">
        <f aca="false">G56+I56</f>
        <v>2.749</v>
      </c>
      <c r="I56" s="16" t="n">
        <f aca="false">RANDBETWEEN(-20,70)/1000</f>
        <v>0.068</v>
      </c>
      <c r="J56" s="16" t="n">
        <f aca="false">X56+0.15</f>
        <v>2.798</v>
      </c>
      <c r="K56" s="16" t="n">
        <f aca="false">J56+L56</f>
        <v>2.84</v>
      </c>
      <c r="L56" s="16" t="n">
        <f aca="false">RANDBETWEEN(-20,70)/1000</f>
        <v>0.042</v>
      </c>
      <c r="M56" s="16" t="n">
        <v>5.25</v>
      </c>
      <c r="N56" s="16" t="n">
        <f aca="false">+M56+O56</f>
        <v>5.246</v>
      </c>
      <c r="O56" s="16" t="n">
        <f aca="false">RANDBETWEEN(-105,115)/10000</f>
        <v>-0.004</v>
      </c>
      <c r="P56" s="16" t="n">
        <f aca="false">Y56+0.15</f>
        <v>2.681</v>
      </c>
      <c r="Q56" s="16" t="n">
        <f aca="false">P56+R56</f>
        <v>2.691</v>
      </c>
      <c r="R56" s="16" t="n">
        <f aca="false">RANDBETWEEN(-20,70)/1000</f>
        <v>0.01</v>
      </c>
      <c r="S56" s="17"/>
      <c r="T56" s="18" t="n">
        <v>11.5</v>
      </c>
      <c r="V56" s="19"/>
      <c r="W56" s="19" t="n">
        <f aca="false">'Base A'!G56</f>
        <v>2.531</v>
      </c>
      <c r="X56" s="19" t="n">
        <f aca="false">'Base A'!J56</f>
        <v>2.648</v>
      </c>
      <c r="Y56" s="19" t="n">
        <f aca="false">'Base A'!P56</f>
        <v>2.531</v>
      </c>
    </row>
    <row r="57" s="10" customFormat="true" ht="18" hidden="false" customHeight="true" outlineLevel="0" collapsed="false">
      <c r="A57" s="13" t="n">
        <v>35</v>
      </c>
      <c r="B57" s="82" t="s">
        <v>57</v>
      </c>
      <c r="C57" s="15" t="n">
        <f aca="false">+C56+T56</f>
        <v>724.11</v>
      </c>
      <c r="D57" s="16" t="n">
        <v>-5.25</v>
      </c>
      <c r="E57" s="16" t="n">
        <f aca="false">+D57+F57</f>
        <v>-5.2511</v>
      </c>
      <c r="F57" s="16" t="n">
        <f aca="false">RANDBETWEEN(-105,115)/10000</f>
        <v>-0.0011</v>
      </c>
      <c r="G57" s="16" t="n">
        <f aca="false">W57+0.15</f>
        <v>2.682</v>
      </c>
      <c r="H57" s="16" t="n">
        <f aca="false">G57+I57</f>
        <v>2.672</v>
      </c>
      <c r="I57" s="16" t="n">
        <f aca="false">RANDBETWEEN(-20,70)/1000</f>
        <v>-0.01</v>
      </c>
      <c r="J57" s="16" t="n">
        <f aca="false">X57+0.15</f>
        <v>2.799</v>
      </c>
      <c r="K57" s="16" t="n">
        <f aca="false">J57+L57</f>
        <v>2.841</v>
      </c>
      <c r="L57" s="16" t="n">
        <f aca="false">RANDBETWEEN(-20,70)/1000</f>
        <v>0.042</v>
      </c>
      <c r="M57" s="16" t="n">
        <v>5.25</v>
      </c>
      <c r="N57" s="16" t="n">
        <f aca="false">+M57+O57</f>
        <v>5.2522</v>
      </c>
      <c r="O57" s="16" t="n">
        <f aca="false">RANDBETWEEN(-105,115)/10000</f>
        <v>0.0022</v>
      </c>
      <c r="P57" s="16" t="n">
        <f aca="false">Y57+0.15</f>
        <v>2.682</v>
      </c>
      <c r="Q57" s="16" t="n">
        <f aca="false">P57+R57</f>
        <v>2.679</v>
      </c>
      <c r="R57" s="16" t="n">
        <f aca="false">RANDBETWEEN(-20,70)/1000</f>
        <v>-0.003</v>
      </c>
      <c r="S57" s="17"/>
      <c r="T57" s="18" t="n">
        <v>13.25</v>
      </c>
      <c r="V57" s="19"/>
      <c r="W57" s="19" t="n">
        <f aca="false">'Base A'!G57</f>
        <v>2.532</v>
      </c>
      <c r="X57" s="19" t="n">
        <f aca="false">'Base A'!J57</f>
        <v>2.649</v>
      </c>
      <c r="Y57" s="19" t="n">
        <f aca="false">'Base A'!P57</f>
        <v>2.532</v>
      </c>
    </row>
    <row r="58" s="10" customFormat="true" ht="18" hidden="false" customHeight="true" outlineLevel="0" collapsed="false">
      <c r="A58" s="13" t="n">
        <v>36</v>
      </c>
      <c r="B58" s="82" t="s">
        <v>58</v>
      </c>
      <c r="C58" s="15" t="n">
        <f aca="false">+C57+T57</f>
        <v>737.36</v>
      </c>
      <c r="D58" s="16" t="n">
        <v>-5.25</v>
      </c>
      <c r="E58" s="16" t="n">
        <f aca="false">+D58+F58</f>
        <v>-5.243</v>
      </c>
      <c r="F58" s="16" t="n">
        <f aca="false">RANDBETWEEN(-105,115)/10000</f>
        <v>0.007</v>
      </c>
      <c r="G58" s="16" t="n">
        <f aca="false">W58+0.15</f>
        <v>2.686</v>
      </c>
      <c r="H58" s="16" t="n">
        <f aca="false">G58+I58</f>
        <v>2.714</v>
      </c>
      <c r="I58" s="16" t="n">
        <f aca="false">RANDBETWEEN(-20,70)/1000</f>
        <v>0.028</v>
      </c>
      <c r="J58" s="16" t="n">
        <f aca="false">X58+0.15</f>
        <v>2.803</v>
      </c>
      <c r="K58" s="16" t="n">
        <f aca="false">J58+L58</f>
        <v>2.843</v>
      </c>
      <c r="L58" s="16" t="n">
        <f aca="false">RANDBETWEEN(-20,70)/1000</f>
        <v>0.04</v>
      </c>
      <c r="M58" s="16" t="n">
        <v>5.25</v>
      </c>
      <c r="N58" s="16" t="n">
        <f aca="false">+M58+O58</f>
        <v>5.2567</v>
      </c>
      <c r="O58" s="16" t="n">
        <f aca="false">RANDBETWEEN(-105,115)/10000</f>
        <v>0.0067</v>
      </c>
      <c r="P58" s="16" t="n">
        <f aca="false">Y58+0.15</f>
        <v>2.686</v>
      </c>
      <c r="Q58" s="16" t="n">
        <f aca="false">P58+R58</f>
        <v>2.74</v>
      </c>
      <c r="R58" s="16" t="n">
        <f aca="false">RANDBETWEEN(-20,70)/1000</f>
        <v>0.054</v>
      </c>
      <c r="S58" s="17"/>
      <c r="T58" s="18"/>
      <c r="V58" s="19"/>
      <c r="W58" s="19" t="n">
        <f aca="false">'Base A'!G58</f>
        <v>2.536</v>
      </c>
      <c r="X58" s="19" t="n">
        <f aca="false">'Base A'!J58</f>
        <v>2.653</v>
      </c>
      <c r="Y58" s="19" t="n">
        <f aca="false">'Base A'!P58</f>
        <v>2.536</v>
      </c>
    </row>
    <row r="59" s="10" customFormat="true" ht="18" hidden="true" customHeight="true" outlineLevel="0" collapsed="false">
      <c r="A59" s="13"/>
      <c r="B59" s="82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T59" s="18"/>
      <c r="V59" s="19"/>
    </row>
    <row r="60" s="10" customFormat="true" ht="18" hidden="true" customHeight="true" outlineLevel="0" collapsed="false">
      <c r="A60" s="13"/>
      <c r="B60" s="82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T60" s="18"/>
      <c r="V60" s="19"/>
    </row>
    <row r="61" s="10" customFormat="true" ht="15.75" hidden="false" customHeight="true" outlineLevel="0" collapsed="false"/>
    <row r="62" s="10" customFormat="true" ht="15.75" hidden="false" customHeight="true" outlineLevel="0" collapsed="false">
      <c r="C62" s="21" t="s">
        <v>59</v>
      </c>
      <c r="D62" s="21"/>
      <c r="E62" s="21"/>
      <c r="F62" s="21"/>
      <c r="G62" s="21"/>
      <c r="H62" s="21"/>
      <c r="I62" s="21"/>
      <c r="K62" s="22"/>
      <c r="L62" s="22"/>
      <c r="M62" s="22"/>
      <c r="N62" s="22"/>
      <c r="O62" s="21" t="s">
        <v>60</v>
      </c>
      <c r="P62" s="21"/>
      <c r="Q62" s="21"/>
      <c r="R62" s="21"/>
    </row>
    <row r="63" s="10" customFormat="true" ht="15.75" hidden="false" customHeight="true" outlineLevel="0" collapsed="false">
      <c r="E63" s="23"/>
      <c r="F63" s="23"/>
      <c r="G63" s="23"/>
      <c r="H63" s="23"/>
      <c r="K63" s="23"/>
      <c r="L63" s="23"/>
      <c r="M63" s="23"/>
      <c r="N63" s="23"/>
      <c r="O63" s="23"/>
      <c r="P63" s="23"/>
      <c r="Q63" s="23"/>
      <c r="R63" s="23"/>
    </row>
    <row r="64" s="10" customFormat="true" ht="15.75" hidden="false" customHeight="true" outlineLevel="0" collapsed="false">
      <c r="E64" s="23"/>
      <c r="F64" s="23"/>
      <c r="G64" s="23"/>
      <c r="H64" s="23"/>
      <c r="K64" s="23"/>
      <c r="L64" s="23"/>
      <c r="M64" s="23"/>
      <c r="N64" s="23"/>
      <c r="O64" s="23"/>
      <c r="P64" s="23"/>
      <c r="Q64" s="23"/>
      <c r="R64" s="23"/>
    </row>
    <row r="65" s="10" customFormat="true" ht="15.75" hidden="false" customHeight="true" outlineLevel="0" collapsed="false">
      <c r="E65" s="23"/>
      <c r="F65" s="23"/>
      <c r="G65" s="23"/>
      <c r="H65" s="23"/>
      <c r="K65" s="23"/>
      <c r="L65" s="23"/>
      <c r="M65" s="23"/>
      <c r="N65" s="23"/>
      <c r="O65" s="23"/>
      <c r="P65" s="23"/>
      <c r="Q65" s="23"/>
      <c r="R65" s="23"/>
    </row>
    <row r="66" s="10" customFormat="true" ht="15.75" hidden="false" customHeight="true" outlineLevel="0" collapsed="false">
      <c r="E66" s="23"/>
      <c r="F66" s="23"/>
      <c r="G66" s="23"/>
      <c r="H66" s="23"/>
      <c r="K66" s="23"/>
      <c r="L66" s="23"/>
      <c r="M66" s="23"/>
      <c r="N66" s="23"/>
      <c r="O66" s="23"/>
      <c r="P66" s="23"/>
      <c r="Q66" s="23"/>
      <c r="R66" s="23"/>
    </row>
    <row r="67" s="10" customFormat="true" ht="15.75" hidden="false" customHeight="true" outlineLevel="0" collapsed="false">
      <c r="C67" s="21" t="s">
        <v>61</v>
      </c>
      <c r="D67" s="21"/>
      <c r="E67" s="21"/>
      <c r="F67" s="21"/>
      <c r="G67" s="21"/>
      <c r="H67" s="21"/>
      <c r="I67" s="21"/>
      <c r="K67" s="22"/>
      <c r="L67" s="22"/>
      <c r="M67" s="22"/>
      <c r="N67" s="22"/>
      <c r="O67" s="21" t="s">
        <v>77</v>
      </c>
      <c r="P67" s="21"/>
      <c r="Q67" s="21"/>
      <c r="R67" s="21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590277777777778" right="0.157638888888889" top="0.579861111111111" bottom="0.479861111111111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Y134"/>
  <sheetViews>
    <sheetView showFormulas="false" showGridLines="true" showRowColHeaders="true" showZeros="true" rightToLeft="false" tabSelected="true" showOutlineSymbols="true" defaultGridColor="true" view="normal" topLeftCell="A13" colorId="64" zoomScale="70" zoomScaleNormal="70" zoomScalePageLayoutView="100" workbookViewId="0">
      <selection pane="topLeft" activeCell="O27" activeCellId="0" sqref="O27"/>
    </sheetView>
  </sheetViews>
  <sheetFormatPr defaultColWidth="9.2890625" defaultRowHeight="12.75" zeroHeight="false" outlineLevelRow="0" outlineLevelCol="0"/>
  <cols>
    <col collapsed="false" customWidth="true" hidden="false" outlineLevel="0" max="1" min="1" style="24" width="6.71"/>
    <col collapsed="false" customWidth="true" hidden="false" outlineLevel="0" max="2" min="2" style="24" width="12.29"/>
    <col collapsed="false" customWidth="true" hidden="false" outlineLevel="0" max="3" min="3" style="24" width="19.57"/>
    <col collapsed="false" customWidth="true" hidden="false" outlineLevel="0" max="4" min="4" style="25" width="12.71"/>
    <col collapsed="false" customWidth="true" hidden="true" outlineLevel="0" max="6" min="5" style="25" width="8.42"/>
    <col collapsed="false" customWidth="true" hidden="true" outlineLevel="0" max="7" min="7" style="25" width="11"/>
    <col collapsed="false" customWidth="true" hidden="true" outlineLevel="0" max="12" min="8" style="25" width="8.42"/>
    <col collapsed="false" customWidth="true" hidden="true" outlineLevel="0" max="14" min="13" style="25" width="14.29"/>
    <col collapsed="false" customWidth="true" hidden="false" outlineLevel="0" max="15" min="15" style="25" width="15.42"/>
    <col collapsed="false" customWidth="true" hidden="true" outlineLevel="0" max="22" min="16" style="25" width="14.29"/>
    <col collapsed="false" customWidth="true" hidden="false" outlineLevel="0" max="23" min="23" style="25" width="15.29"/>
    <col collapsed="false" customWidth="true" hidden="true" outlineLevel="0" max="25" min="24" style="25" width="14.29"/>
    <col collapsed="false" customWidth="true" hidden="true" outlineLevel="0" max="27" min="26" style="25" width="12.86"/>
    <col collapsed="false" customWidth="true" hidden="false" outlineLevel="0" max="28" min="28" style="25" width="8.71"/>
    <col collapsed="false" customWidth="false" hidden="true" outlineLevel="0" max="29" min="29" style="25" width="9.29"/>
    <col collapsed="false" customWidth="true" hidden="false" outlineLevel="0" max="30" min="30" style="24" width="3.86"/>
    <col collapsed="false" customWidth="true" hidden="false" outlineLevel="0" max="31" min="31" style="24" width="10"/>
    <col collapsed="false" customWidth="true" hidden="false" outlineLevel="0" max="32" min="32" style="24" width="11.43"/>
    <col collapsed="false" customWidth="true" hidden="false" outlineLevel="0" max="34" min="33" style="24" width="10.57"/>
    <col collapsed="false" customWidth="true" hidden="false" outlineLevel="0" max="35" min="35" style="24" width="11.29"/>
    <col collapsed="false" customWidth="true" hidden="false" outlineLevel="0" max="36" min="36" style="24" width="10.57"/>
    <col collapsed="false" customWidth="true" hidden="false" outlineLevel="0" max="37" min="37" style="24" width="6.43"/>
    <col collapsed="false" customWidth="true" hidden="false" outlineLevel="0" max="38" min="38" style="24" width="10.57"/>
    <col collapsed="false" customWidth="true" hidden="false" outlineLevel="0" max="39" min="39" style="24" width="11.57"/>
    <col collapsed="false" customWidth="false" hidden="false" outlineLevel="0" max="16384" min="40" style="24" width="9.29"/>
  </cols>
  <sheetData>
    <row r="1" s="27" customFormat="true" ht="16.5" hidden="false" customHeight="true" outlineLevel="0" collapsed="false">
      <c r="A1" s="26" t="s">
        <v>63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="27" customFormat="true" ht="16.5" hidden="false" customHeight="true" outlineLevel="0" collapsed="false">
      <c r="A2" s="28" t="s">
        <v>75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="31" customFormat="true" ht="37.5" hidden="false" customHeight="true" outlineLevel="0" collapsed="false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</row>
    <row r="4" s="31" customFormat="true" ht="37.5" hidden="false" customHeight="true" outlineLevel="0" collapsed="false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</row>
    <row r="5" s="31" customFormat="true" ht="16.5" hidden="false" customHeight="true" outlineLevel="0" collapsed="false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</row>
    <row r="6" s="31" customFormat="true" ht="16.5" hidden="false" customHeight="true" outlineLevel="0" collapsed="false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</row>
    <row r="7" s="31" customFormat="true" ht="30.75" hidden="false" customHeight="true" outlineLevel="0" collapsed="false">
      <c r="A7" s="32" t="s">
        <v>6</v>
      </c>
      <c r="B7" s="33"/>
      <c r="D7" s="34" t="s">
        <v>76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</row>
    <row r="8" s="30" customFormat="true" ht="13.5" hidden="false" customHeight="true" outlineLevel="0" collapsed="false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s="127" customFormat="true" ht="22.5" hidden="false" customHeight="true" outlineLevel="0" collapsed="false">
      <c r="A9" s="117" t="s">
        <v>64</v>
      </c>
      <c r="B9" s="117" t="s">
        <v>10</v>
      </c>
      <c r="C9" s="117" t="s">
        <v>11</v>
      </c>
      <c r="D9" s="118" t="s">
        <v>65</v>
      </c>
      <c r="E9" s="119"/>
      <c r="F9" s="119"/>
      <c r="G9" s="118"/>
      <c r="H9" s="119"/>
      <c r="I9" s="119"/>
      <c r="J9" s="119"/>
      <c r="K9" s="119"/>
      <c r="L9" s="119"/>
      <c r="M9" s="120" t="s">
        <v>66</v>
      </c>
      <c r="N9" s="121"/>
      <c r="O9" s="122" t="s">
        <v>67</v>
      </c>
      <c r="P9" s="123"/>
      <c r="Q9" s="123"/>
      <c r="R9" s="123"/>
      <c r="S9" s="123"/>
      <c r="T9" s="123"/>
      <c r="U9" s="123"/>
      <c r="V9" s="123"/>
      <c r="W9" s="122" t="s">
        <v>68</v>
      </c>
      <c r="X9" s="121"/>
      <c r="Y9" s="124"/>
      <c r="Z9" s="125"/>
      <c r="AA9" s="125"/>
      <c r="AB9" s="118" t="s">
        <v>15</v>
      </c>
      <c r="AC9" s="126"/>
    </row>
    <row r="10" s="131" customFormat="true" ht="22.5" hidden="false" customHeight="true" outlineLevel="0" collapsed="false">
      <c r="A10" s="117"/>
      <c r="B10" s="117"/>
      <c r="C10" s="117"/>
      <c r="D10" s="117"/>
      <c r="E10" s="122"/>
      <c r="F10" s="122"/>
      <c r="G10" s="122"/>
      <c r="H10" s="122"/>
      <c r="I10" s="122"/>
      <c r="J10" s="122"/>
      <c r="K10" s="122"/>
      <c r="L10" s="122"/>
      <c r="M10" s="122"/>
      <c r="N10" s="122" t="s">
        <v>67</v>
      </c>
      <c r="O10" s="122"/>
      <c r="P10" s="122" t="s">
        <v>67</v>
      </c>
      <c r="Q10" s="122" t="s">
        <v>67</v>
      </c>
      <c r="R10" s="122"/>
      <c r="S10" s="122"/>
      <c r="T10" s="122"/>
      <c r="U10" s="122" t="s">
        <v>68</v>
      </c>
      <c r="V10" s="122" t="s">
        <v>68</v>
      </c>
      <c r="W10" s="122"/>
      <c r="X10" s="122" t="s">
        <v>68</v>
      </c>
      <c r="Y10" s="122" t="s">
        <v>68</v>
      </c>
      <c r="Z10" s="128"/>
      <c r="AA10" s="128"/>
      <c r="AB10" s="118"/>
      <c r="AC10" s="129"/>
      <c r="AD10" s="130"/>
      <c r="AE10" s="130"/>
    </row>
    <row r="11" s="131" customFormat="true" ht="15" hidden="false" customHeight="true" outlineLevel="0" collapsed="false">
      <c r="A11" s="132" t="n">
        <v>1</v>
      </c>
      <c r="B11" s="132" t="str">
        <f aca="false">'Base B'!B23</f>
        <v>B4</v>
      </c>
      <c r="C11" s="133" t="n">
        <f aca="false">'Base B'!C23</f>
        <v>211</v>
      </c>
      <c r="D11" s="132" t="n">
        <f aca="false">'Base B'!T23</f>
        <v>13.25</v>
      </c>
      <c r="E11" s="134"/>
      <c r="F11" s="134"/>
      <c r="G11" s="134"/>
      <c r="H11" s="134"/>
      <c r="I11" s="134"/>
      <c r="J11" s="134"/>
      <c r="K11" s="135"/>
      <c r="L11" s="136"/>
      <c r="M11" s="137"/>
      <c r="N11" s="138"/>
      <c r="O11" s="135" t="n">
        <f aca="false">10.5*0.15</f>
        <v>1.575</v>
      </c>
      <c r="P11" s="135"/>
      <c r="Q11" s="135"/>
      <c r="R11" s="139"/>
      <c r="S11" s="139"/>
      <c r="T11" s="139"/>
      <c r="U11" s="139"/>
      <c r="V11" s="139"/>
      <c r="W11" s="139" t="n">
        <f aca="false">(O11+O12)*D11/2</f>
        <v>20.86875</v>
      </c>
      <c r="X11" s="139"/>
      <c r="Y11" s="139"/>
      <c r="Z11" s="139"/>
      <c r="AA11" s="139"/>
      <c r="AB11" s="140"/>
      <c r="AC11" s="139"/>
      <c r="AE11" s="141"/>
    </row>
    <row r="12" s="131" customFormat="true" ht="15" hidden="false" customHeight="true" outlineLevel="0" collapsed="false">
      <c r="A12" s="132" t="n">
        <v>2</v>
      </c>
      <c r="B12" s="132" t="str">
        <f aca="false">'Base B'!B24</f>
        <v>12</v>
      </c>
      <c r="C12" s="133" t="n">
        <f aca="false">'Base B'!C24</f>
        <v>224.25</v>
      </c>
      <c r="D12" s="132" t="n">
        <f aca="false">'Base B'!T24</f>
        <v>21.5</v>
      </c>
      <c r="E12" s="134"/>
      <c r="F12" s="134"/>
      <c r="G12" s="134"/>
      <c r="H12" s="134"/>
      <c r="I12" s="134"/>
      <c r="J12" s="134"/>
      <c r="K12" s="135"/>
      <c r="L12" s="136"/>
      <c r="M12" s="137"/>
      <c r="N12" s="138"/>
      <c r="O12" s="135" t="n">
        <f aca="false">10.5*0.15</f>
        <v>1.575</v>
      </c>
      <c r="P12" s="135"/>
      <c r="Q12" s="135"/>
      <c r="R12" s="139"/>
      <c r="S12" s="139"/>
      <c r="T12" s="139"/>
      <c r="U12" s="139"/>
      <c r="V12" s="139"/>
      <c r="W12" s="139" t="n">
        <f aca="false">(O12+O13)*D12/2</f>
        <v>33.8625</v>
      </c>
      <c r="X12" s="139"/>
      <c r="Y12" s="139"/>
      <c r="Z12" s="139"/>
      <c r="AA12" s="139"/>
      <c r="AB12" s="140"/>
      <c r="AC12" s="139"/>
      <c r="AE12" s="141"/>
    </row>
    <row r="13" s="131" customFormat="true" ht="15" hidden="false" customHeight="true" outlineLevel="0" collapsed="false">
      <c r="A13" s="132" t="n">
        <v>3</v>
      </c>
      <c r="B13" s="132" t="str">
        <f aca="false">'Base B'!B25</f>
        <v>13</v>
      </c>
      <c r="C13" s="133" t="n">
        <f aca="false">'Base B'!C25</f>
        <v>245.75</v>
      </c>
      <c r="D13" s="132" t="n">
        <f aca="false">'Base B'!T25</f>
        <v>11.75</v>
      </c>
      <c r="E13" s="134"/>
      <c r="F13" s="134"/>
      <c r="G13" s="134"/>
      <c r="H13" s="134"/>
      <c r="I13" s="134"/>
      <c r="J13" s="134"/>
      <c r="K13" s="135"/>
      <c r="L13" s="136"/>
      <c r="M13" s="137"/>
      <c r="N13" s="138"/>
      <c r="O13" s="135" t="n">
        <f aca="false">10.5*0.15</f>
        <v>1.575</v>
      </c>
      <c r="P13" s="135"/>
      <c r="Q13" s="135"/>
      <c r="R13" s="139"/>
      <c r="S13" s="139"/>
      <c r="T13" s="139"/>
      <c r="U13" s="139"/>
      <c r="V13" s="139"/>
      <c r="W13" s="139" t="n">
        <f aca="false">(O13+O14)*D13/2</f>
        <v>18.50625</v>
      </c>
      <c r="X13" s="139"/>
      <c r="Y13" s="139"/>
      <c r="Z13" s="139"/>
      <c r="AA13" s="139"/>
      <c r="AB13" s="140"/>
      <c r="AC13" s="139"/>
      <c r="AE13" s="141"/>
    </row>
    <row r="14" s="131" customFormat="true" ht="15" hidden="false" customHeight="true" outlineLevel="0" collapsed="false">
      <c r="A14" s="132" t="n">
        <v>4</v>
      </c>
      <c r="B14" s="132" t="str">
        <f aca="false">'Base B'!B26</f>
        <v>B5</v>
      </c>
      <c r="C14" s="133" t="n">
        <f aca="false">'Base B'!C26</f>
        <v>257.5</v>
      </c>
      <c r="D14" s="132" t="n">
        <f aca="false">'Base B'!T26</f>
        <v>11.75</v>
      </c>
      <c r="E14" s="134"/>
      <c r="F14" s="134"/>
      <c r="G14" s="134"/>
      <c r="H14" s="134"/>
      <c r="I14" s="134"/>
      <c r="J14" s="134"/>
      <c r="K14" s="135"/>
      <c r="L14" s="136"/>
      <c r="M14" s="137"/>
      <c r="N14" s="138"/>
      <c r="O14" s="135" t="n">
        <f aca="false">10.5*0.15</f>
        <v>1.575</v>
      </c>
      <c r="P14" s="135"/>
      <c r="Q14" s="135"/>
      <c r="R14" s="139"/>
      <c r="S14" s="139"/>
      <c r="T14" s="139"/>
      <c r="U14" s="139"/>
      <c r="V14" s="139"/>
      <c r="W14" s="139" t="n">
        <f aca="false">(O14+O15)*D14/2</f>
        <v>18.50625</v>
      </c>
      <c r="X14" s="139"/>
      <c r="Y14" s="139"/>
      <c r="Z14" s="139"/>
      <c r="AA14" s="139"/>
      <c r="AB14" s="140"/>
      <c r="AC14" s="139"/>
      <c r="AE14" s="141"/>
    </row>
    <row r="15" s="131" customFormat="true" ht="15" hidden="false" customHeight="true" outlineLevel="0" collapsed="false">
      <c r="A15" s="132" t="n">
        <v>5</v>
      </c>
      <c r="B15" s="132" t="str">
        <f aca="false">'Base B'!B27</f>
        <v>14</v>
      </c>
      <c r="C15" s="133" t="n">
        <f aca="false">'Base B'!C27</f>
        <v>269.25</v>
      </c>
      <c r="D15" s="132" t="n">
        <f aca="false">'Base B'!T27</f>
        <v>20</v>
      </c>
      <c r="E15" s="134"/>
      <c r="F15" s="134"/>
      <c r="G15" s="134"/>
      <c r="H15" s="134"/>
      <c r="I15" s="134"/>
      <c r="J15" s="134"/>
      <c r="K15" s="135"/>
      <c r="L15" s="136"/>
      <c r="M15" s="137"/>
      <c r="N15" s="138"/>
      <c r="O15" s="135" t="n">
        <f aca="false">10.5*0.15</f>
        <v>1.575</v>
      </c>
      <c r="P15" s="135"/>
      <c r="Q15" s="135"/>
      <c r="R15" s="139"/>
      <c r="S15" s="139"/>
      <c r="T15" s="139"/>
      <c r="U15" s="139"/>
      <c r="V15" s="139"/>
      <c r="W15" s="139" t="n">
        <f aca="false">(O15+O16)*D15/2</f>
        <v>31.5</v>
      </c>
      <c r="X15" s="139"/>
      <c r="Y15" s="139"/>
      <c r="Z15" s="139"/>
      <c r="AA15" s="139"/>
      <c r="AB15" s="140"/>
      <c r="AC15" s="139"/>
      <c r="AE15" s="141"/>
    </row>
    <row r="16" s="131" customFormat="true" ht="15" hidden="false" customHeight="true" outlineLevel="0" collapsed="false">
      <c r="A16" s="132" t="n">
        <v>6</v>
      </c>
      <c r="B16" s="132" t="str">
        <f aca="false">'Base B'!B28</f>
        <v>15</v>
      </c>
      <c r="C16" s="133" t="n">
        <f aca="false">'Base B'!C28</f>
        <v>289.25</v>
      </c>
      <c r="D16" s="132" t="n">
        <f aca="false">'Base B'!T28</f>
        <v>20</v>
      </c>
      <c r="E16" s="134"/>
      <c r="F16" s="134"/>
      <c r="G16" s="134"/>
      <c r="H16" s="134"/>
      <c r="I16" s="134"/>
      <c r="J16" s="134"/>
      <c r="K16" s="135"/>
      <c r="L16" s="136"/>
      <c r="M16" s="137"/>
      <c r="N16" s="138"/>
      <c r="O16" s="135" t="n">
        <f aca="false">10.5*0.15</f>
        <v>1.575</v>
      </c>
      <c r="P16" s="135"/>
      <c r="Q16" s="135"/>
      <c r="R16" s="139"/>
      <c r="S16" s="139"/>
      <c r="T16" s="139"/>
      <c r="U16" s="139"/>
      <c r="V16" s="139"/>
      <c r="W16" s="139" t="n">
        <f aca="false">(O16+O17)*D16/2</f>
        <v>31.5</v>
      </c>
      <c r="X16" s="139"/>
      <c r="Y16" s="139"/>
      <c r="Z16" s="139"/>
      <c r="AA16" s="139"/>
      <c r="AB16" s="140"/>
      <c r="AC16" s="139"/>
      <c r="AE16" s="141"/>
    </row>
    <row r="17" s="131" customFormat="true" ht="15" hidden="false" customHeight="true" outlineLevel="0" collapsed="false">
      <c r="A17" s="132" t="n">
        <v>7</v>
      </c>
      <c r="B17" s="132" t="str">
        <f aca="false">'Base B'!B29</f>
        <v>16</v>
      </c>
      <c r="C17" s="133" t="n">
        <f aca="false">'Base B'!C29</f>
        <v>309.25</v>
      </c>
      <c r="D17" s="132" t="n">
        <f aca="false">'Base B'!T29</f>
        <v>20</v>
      </c>
      <c r="E17" s="134"/>
      <c r="F17" s="134"/>
      <c r="G17" s="134"/>
      <c r="H17" s="134"/>
      <c r="I17" s="134"/>
      <c r="J17" s="134"/>
      <c r="K17" s="135"/>
      <c r="L17" s="136"/>
      <c r="M17" s="137"/>
      <c r="N17" s="138"/>
      <c r="O17" s="135" t="n">
        <f aca="false">10.5*0.15</f>
        <v>1.575</v>
      </c>
      <c r="P17" s="135"/>
      <c r="Q17" s="135"/>
      <c r="R17" s="139"/>
      <c r="S17" s="139"/>
      <c r="T17" s="139"/>
      <c r="U17" s="139"/>
      <c r="V17" s="139"/>
      <c r="W17" s="139" t="n">
        <f aca="false">(O17+O18)*D17/2</f>
        <v>31.5</v>
      </c>
      <c r="X17" s="139"/>
      <c r="Y17" s="139"/>
      <c r="Z17" s="139"/>
      <c r="AA17" s="139"/>
      <c r="AB17" s="140"/>
      <c r="AC17" s="139"/>
      <c r="AE17" s="141"/>
    </row>
    <row r="18" s="131" customFormat="true" ht="15" hidden="false" customHeight="true" outlineLevel="0" collapsed="false">
      <c r="A18" s="132" t="n">
        <v>8</v>
      </c>
      <c r="B18" s="132" t="str">
        <f aca="false">'Base B'!B30</f>
        <v>17</v>
      </c>
      <c r="C18" s="133" t="n">
        <f aca="false">'Base B'!C30</f>
        <v>329.25</v>
      </c>
      <c r="D18" s="132" t="n">
        <f aca="false">'Base B'!T30</f>
        <v>20</v>
      </c>
      <c r="E18" s="134"/>
      <c r="F18" s="134"/>
      <c r="G18" s="134"/>
      <c r="H18" s="134"/>
      <c r="I18" s="134"/>
      <c r="J18" s="134"/>
      <c r="K18" s="135"/>
      <c r="L18" s="136"/>
      <c r="M18" s="137"/>
      <c r="N18" s="138"/>
      <c r="O18" s="135" t="n">
        <f aca="false">10.5*0.15</f>
        <v>1.575</v>
      </c>
      <c r="P18" s="135"/>
      <c r="Q18" s="135"/>
      <c r="R18" s="139"/>
      <c r="S18" s="139"/>
      <c r="T18" s="139"/>
      <c r="U18" s="139"/>
      <c r="V18" s="139"/>
      <c r="W18" s="139" t="n">
        <f aca="false">(O18+O19)*D18/2</f>
        <v>31.5</v>
      </c>
      <c r="X18" s="139"/>
      <c r="Y18" s="139"/>
      <c r="Z18" s="139"/>
      <c r="AA18" s="139"/>
      <c r="AB18" s="140"/>
      <c r="AC18" s="139"/>
      <c r="AE18" s="141"/>
    </row>
    <row r="19" s="131" customFormat="true" ht="15" hidden="false" customHeight="true" outlineLevel="0" collapsed="false">
      <c r="A19" s="132" t="n">
        <v>9</v>
      </c>
      <c r="B19" s="132" t="str">
        <f aca="false">'Base B'!B31</f>
        <v>18</v>
      </c>
      <c r="C19" s="133" t="n">
        <f aca="false">'Base B'!C31</f>
        <v>349.25</v>
      </c>
      <c r="D19" s="132" t="n">
        <f aca="false">'Base B'!T31</f>
        <v>19</v>
      </c>
      <c r="E19" s="134"/>
      <c r="F19" s="134"/>
      <c r="G19" s="134"/>
      <c r="H19" s="134"/>
      <c r="I19" s="134"/>
      <c r="J19" s="134"/>
      <c r="K19" s="135"/>
      <c r="L19" s="136"/>
      <c r="M19" s="137"/>
      <c r="N19" s="138"/>
      <c r="O19" s="135" t="n">
        <f aca="false">10.5*0.15</f>
        <v>1.575</v>
      </c>
      <c r="P19" s="135"/>
      <c r="Q19" s="135"/>
      <c r="R19" s="139"/>
      <c r="S19" s="139"/>
      <c r="T19" s="139"/>
      <c r="U19" s="139"/>
      <c r="V19" s="139"/>
      <c r="W19" s="139" t="n">
        <f aca="false">(O19+O20)*D19/2</f>
        <v>29.925</v>
      </c>
      <c r="X19" s="139"/>
      <c r="Y19" s="139"/>
      <c r="Z19" s="139"/>
      <c r="AA19" s="139"/>
      <c r="AB19" s="140"/>
      <c r="AC19" s="139"/>
      <c r="AE19" s="141"/>
    </row>
    <row r="20" s="131" customFormat="true" ht="15" hidden="false" customHeight="true" outlineLevel="0" collapsed="false">
      <c r="A20" s="132" t="n">
        <v>10</v>
      </c>
      <c r="B20" s="132" t="str">
        <f aca="false">'Base B'!B32</f>
        <v>19</v>
      </c>
      <c r="C20" s="133" t="n">
        <f aca="false">'Base B'!C32</f>
        <v>368.25</v>
      </c>
      <c r="D20" s="132" t="n">
        <f aca="false">'Base B'!T32</f>
        <v>13.25</v>
      </c>
      <c r="E20" s="134"/>
      <c r="F20" s="134"/>
      <c r="G20" s="134"/>
      <c r="H20" s="134"/>
      <c r="I20" s="134"/>
      <c r="J20" s="134"/>
      <c r="K20" s="135"/>
      <c r="L20" s="136"/>
      <c r="M20" s="137"/>
      <c r="N20" s="138"/>
      <c r="O20" s="135" t="n">
        <f aca="false">10.5*0.15</f>
        <v>1.575</v>
      </c>
      <c r="P20" s="135"/>
      <c r="Q20" s="135"/>
      <c r="R20" s="139"/>
      <c r="S20" s="139"/>
      <c r="T20" s="139"/>
      <c r="U20" s="139"/>
      <c r="V20" s="139"/>
      <c r="W20" s="139" t="n">
        <f aca="false">(O20+O21)*D20/2</f>
        <v>20.86875</v>
      </c>
      <c r="X20" s="139"/>
      <c r="Y20" s="139"/>
      <c r="Z20" s="139"/>
      <c r="AA20" s="139"/>
      <c r="AB20" s="140"/>
      <c r="AC20" s="139"/>
      <c r="AE20" s="141"/>
    </row>
    <row r="21" s="131" customFormat="true" ht="15" hidden="false" customHeight="true" outlineLevel="0" collapsed="false">
      <c r="A21" s="132" t="n">
        <v>11</v>
      </c>
      <c r="B21" s="132" t="str">
        <f aca="false">'Base B'!B33</f>
        <v>C2</v>
      </c>
      <c r="C21" s="133" t="n">
        <f aca="false">'Base B'!C33</f>
        <v>381.5</v>
      </c>
      <c r="D21" s="132" t="n">
        <f aca="false">'Base B'!T33</f>
        <v>13.25</v>
      </c>
      <c r="E21" s="134"/>
      <c r="F21" s="134"/>
      <c r="G21" s="134"/>
      <c r="H21" s="134"/>
      <c r="I21" s="134"/>
      <c r="J21" s="134"/>
      <c r="K21" s="135"/>
      <c r="L21" s="136"/>
      <c r="M21" s="137"/>
      <c r="N21" s="138"/>
      <c r="O21" s="135" t="n">
        <f aca="false">10.5*0.15</f>
        <v>1.575</v>
      </c>
      <c r="P21" s="135"/>
      <c r="Q21" s="135"/>
      <c r="R21" s="139"/>
      <c r="S21" s="139"/>
      <c r="T21" s="139"/>
      <c r="U21" s="139"/>
      <c r="V21" s="139"/>
      <c r="W21" s="139" t="n">
        <f aca="false">(O21+O22)*D21/2</f>
        <v>20.86875</v>
      </c>
      <c r="X21" s="139"/>
      <c r="Y21" s="139"/>
      <c r="Z21" s="139"/>
      <c r="AA21" s="139"/>
      <c r="AB21" s="140"/>
      <c r="AC21" s="139"/>
      <c r="AE21" s="141"/>
    </row>
    <row r="22" s="131" customFormat="true" ht="15" hidden="false" customHeight="true" outlineLevel="0" collapsed="false">
      <c r="A22" s="132" t="n">
        <v>12</v>
      </c>
      <c r="B22" s="132" t="str">
        <f aca="false">'Base B'!B34</f>
        <v>20</v>
      </c>
      <c r="C22" s="133" t="n">
        <f aca="false">'Base B'!C34</f>
        <v>394.75</v>
      </c>
      <c r="D22" s="132" t="n">
        <f aca="false">'Base B'!T34</f>
        <v>20</v>
      </c>
      <c r="E22" s="134"/>
      <c r="F22" s="134"/>
      <c r="G22" s="134"/>
      <c r="H22" s="134"/>
      <c r="I22" s="134"/>
      <c r="J22" s="134"/>
      <c r="K22" s="135"/>
      <c r="L22" s="136"/>
      <c r="M22" s="137"/>
      <c r="N22" s="138"/>
      <c r="O22" s="135" t="n">
        <f aca="false">10.5*0.15</f>
        <v>1.575</v>
      </c>
      <c r="P22" s="135"/>
      <c r="Q22" s="135"/>
      <c r="R22" s="139"/>
      <c r="S22" s="139"/>
      <c r="T22" s="139"/>
      <c r="U22" s="139"/>
      <c r="V22" s="139"/>
      <c r="W22" s="139" t="n">
        <f aca="false">(O22+O23)*D22/2</f>
        <v>31.5</v>
      </c>
      <c r="X22" s="139"/>
      <c r="Y22" s="139"/>
      <c r="Z22" s="139"/>
      <c r="AA22" s="139"/>
      <c r="AB22" s="140"/>
      <c r="AC22" s="139"/>
      <c r="AE22" s="141"/>
    </row>
    <row r="23" s="131" customFormat="true" ht="15" hidden="false" customHeight="true" outlineLevel="0" collapsed="false">
      <c r="A23" s="132" t="n">
        <v>13</v>
      </c>
      <c r="B23" s="132" t="str">
        <f aca="false">'Base B'!B35</f>
        <v>21</v>
      </c>
      <c r="C23" s="133" t="n">
        <f aca="false">'Base B'!C35</f>
        <v>414.75</v>
      </c>
      <c r="D23" s="132" t="n">
        <f aca="false">'Base B'!T35</f>
        <v>20</v>
      </c>
      <c r="E23" s="134"/>
      <c r="F23" s="134"/>
      <c r="G23" s="134"/>
      <c r="H23" s="134"/>
      <c r="I23" s="134"/>
      <c r="J23" s="134"/>
      <c r="K23" s="135"/>
      <c r="L23" s="136"/>
      <c r="M23" s="137"/>
      <c r="N23" s="138"/>
      <c r="O23" s="135" t="n">
        <f aca="false">10.5*0.15</f>
        <v>1.575</v>
      </c>
      <c r="P23" s="135"/>
      <c r="Q23" s="135"/>
      <c r="R23" s="139"/>
      <c r="S23" s="139"/>
      <c r="T23" s="139"/>
      <c r="U23" s="139"/>
      <c r="V23" s="139"/>
      <c r="W23" s="139" t="n">
        <f aca="false">(O23+O24)*D23/2</f>
        <v>31.5</v>
      </c>
      <c r="X23" s="139"/>
      <c r="Y23" s="139"/>
      <c r="Z23" s="139"/>
      <c r="AA23" s="139"/>
      <c r="AB23" s="140"/>
      <c r="AC23" s="139"/>
      <c r="AE23" s="141"/>
    </row>
    <row r="24" s="131" customFormat="true" ht="15" hidden="false" customHeight="true" outlineLevel="0" collapsed="false">
      <c r="A24" s="132" t="n">
        <v>14</v>
      </c>
      <c r="B24" s="132" t="str">
        <f aca="false">'Base B'!B36</f>
        <v>22</v>
      </c>
      <c r="C24" s="133" t="n">
        <f aca="false">'Base B'!C36</f>
        <v>434.75</v>
      </c>
      <c r="D24" s="132" t="n">
        <f aca="false">'Base B'!T36</f>
        <v>20</v>
      </c>
      <c r="E24" s="134"/>
      <c r="F24" s="134"/>
      <c r="G24" s="134"/>
      <c r="H24" s="134"/>
      <c r="I24" s="134"/>
      <c r="J24" s="134"/>
      <c r="K24" s="135"/>
      <c r="L24" s="136"/>
      <c r="M24" s="137"/>
      <c r="N24" s="138"/>
      <c r="O24" s="135" t="n">
        <f aca="false">10.5*0.15</f>
        <v>1.575</v>
      </c>
      <c r="P24" s="135"/>
      <c r="Q24" s="135"/>
      <c r="R24" s="139"/>
      <c r="S24" s="139"/>
      <c r="T24" s="139"/>
      <c r="U24" s="139"/>
      <c r="V24" s="139"/>
      <c r="W24" s="139" t="n">
        <f aca="false">(O24+O25)*D24/2</f>
        <v>31.5</v>
      </c>
      <c r="X24" s="139"/>
      <c r="Y24" s="139"/>
      <c r="Z24" s="139"/>
      <c r="AA24" s="139"/>
      <c r="AB24" s="140"/>
      <c r="AC24" s="139"/>
      <c r="AE24" s="141"/>
    </row>
    <row r="25" s="131" customFormat="true" ht="15" hidden="false" customHeight="true" outlineLevel="0" collapsed="false">
      <c r="A25" s="132" t="n">
        <v>15</v>
      </c>
      <c r="B25" s="132" t="str">
        <f aca="false">'Base B'!B37</f>
        <v>23</v>
      </c>
      <c r="C25" s="133" t="n">
        <f aca="false">'Base B'!C37</f>
        <v>454.75</v>
      </c>
      <c r="D25" s="132" t="n">
        <f aca="false">'Base B'!T37</f>
        <v>20</v>
      </c>
      <c r="E25" s="134"/>
      <c r="F25" s="134"/>
      <c r="G25" s="134"/>
      <c r="H25" s="134"/>
      <c r="I25" s="134"/>
      <c r="J25" s="134"/>
      <c r="K25" s="135"/>
      <c r="L25" s="136"/>
      <c r="M25" s="137"/>
      <c r="N25" s="138"/>
      <c r="O25" s="135" t="n">
        <f aca="false">10.5*0.15</f>
        <v>1.575</v>
      </c>
      <c r="P25" s="135"/>
      <c r="Q25" s="135"/>
      <c r="R25" s="139"/>
      <c r="S25" s="139"/>
      <c r="T25" s="139"/>
      <c r="U25" s="139"/>
      <c r="V25" s="139"/>
      <c r="W25" s="139" t="n">
        <f aca="false">(O25+O26)*D25/2</f>
        <v>31.5</v>
      </c>
      <c r="X25" s="139"/>
      <c r="Y25" s="139"/>
      <c r="Z25" s="139"/>
      <c r="AA25" s="139"/>
      <c r="AB25" s="140"/>
      <c r="AC25" s="139"/>
      <c r="AE25" s="141"/>
    </row>
    <row r="26" s="131" customFormat="true" ht="15" hidden="false" customHeight="true" outlineLevel="0" collapsed="false">
      <c r="A26" s="132" t="n">
        <v>16</v>
      </c>
      <c r="B26" s="132" t="str">
        <f aca="false">'Base B'!B38</f>
        <v>24</v>
      </c>
      <c r="C26" s="133" t="n">
        <f aca="false">'Base B'!C38</f>
        <v>474.75</v>
      </c>
      <c r="D26" s="132" t="n">
        <f aca="false">'Base B'!T38</f>
        <v>14.44</v>
      </c>
      <c r="E26" s="134"/>
      <c r="F26" s="134"/>
      <c r="G26" s="134"/>
      <c r="H26" s="134"/>
      <c r="I26" s="134"/>
      <c r="J26" s="134"/>
      <c r="K26" s="135"/>
      <c r="L26" s="136"/>
      <c r="M26" s="137"/>
      <c r="N26" s="138"/>
      <c r="O26" s="135" t="n">
        <f aca="false">10.5*0.15</f>
        <v>1.575</v>
      </c>
      <c r="P26" s="135"/>
      <c r="Q26" s="135"/>
      <c r="R26" s="139"/>
      <c r="S26" s="139"/>
      <c r="T26" s="139"/>
      <c r="U26" s="139"/>
      <c r="V26" s="139"/>
      <c r="W26" s="139" t="n">
        <f aca="false">(O26+O27)*D26/2</f>
        <v>22.743</v>
      </c>
      <c r="X26" s="139"/>
      <c r="Y26" s="139"/>
      <c r="Z26" s="139"/>
      <c r="AA26" s="139"/>
      <c r="AB26" s="140"/>
      <c r="AC26" s="139"/>
      <c r="AE26" s="141"/>
    </row>
    <row r="27" s="131" customFormat="true" ht="15" hidden="false" customHeight="true" outlineLevel="0" collapsed="false">
      <c r="A27" s="132" t="n">
        <v>17</v>
      </c>
      <c r="B27" s="132" t="str">
        <f aca="false">'Base B'!B39</f>
        <v>25</v>
      </c>
      <c r="C27" s="133" t="n">
        <f aca="false">'Base B'!C39</f>
        <v>489.19</v>
      </c>
      <c r="D27" s="132" t="n">
        <f aca="false">'Base B'!T39</f>
        <v>13.17</v>
      </c>
      <c r="E27" s="134"/>
      <c r="F27" s="134"/>
      <c r="G27" s="134"/>
      <c r="H27" s="134"/>
      <c r="I27" s="134"/>
      <c r="J27" s="134"/>
      <c r="K27" s="135"/>
      <c r="L27" s="136"/>
      <c r="M27" s="137"/>
      <c r="N27" s="138"/>
      <c r="O27" s="135" t="n">
        <f aca="false">10.5*0.15</f>
        <v>1.575</v>
      </c>
      <c r="P27" s="135"/>
      <c r="Q27" s="135"/>
      <c r="R27" s="139"/>
      <c r="S27" s="139"/>
      <c r="T27" s="139"/>
      <c r="U27" s="139"/>
      <c r="V27" s="139"/>
      <c r="W27" s="139" t="n">
        <f aca="false">(O27+O28)*D27/2</f>
        <v>20.74275</v>
      </c>
      <c r="X27" s="139"/>
      <c r="Y27" s="139"/>
      <c r="Z27" s="139"/>
      <c r="AA27" s="139"/>
      <c r="AB27" s="140"/>
      <c r="AC27" s="139"/>
      <c r="AE27" s="141"/>
    </row>
    <row r="28" s="131" customFormat="true" ht="15" hidden="false" customHeight="true" outlineLevel="0" collapsed="false">
      <c r="A28" s="132" t="n">
        <v>18</v>
      </c>
      <c r="B28" s="132" t="str">
        <f aca="false">'Base B'!B40</f>
        <v>D1</v>
      </c>
      <c r="C28" s="133" t="n">
        <f aca="false">'Base B'!C40</f>
        <v>502.36</v>
      </c>
      <c r="D28" s="132" t="n">
        <f aca="false">'Base B'!T40</f>
        <v>10.48</v>
      </c>
      <c r="E28" s="134"/>
      <c r="F28" s="134"/>
      <c r="G28" s="134"/>
      <c r="H28" s="134"/>
      <c r="I28" s="134"/>
      <c r="J28" s="134"/>
      <c r="K28" s="135"/>
      <c r="L28" s="136"/>
      <c r="M28" s="137"/>
      <c r="N28" s="138"/>
      <c r="O28" s="135" t="n">
        <f aca="false">10.5*0.15</f>
        <v>1.575</v>
      </c>
      <c r="P28" s="135"/>
      <c r="Q28" s="135"/>
      <c r="R28" s="139"/>
      <c r="S28" s="139"/>
      <c r="T28" s="139"/>
      <c r="U28" s="139"/>
      <c r="V28" s="139"/>
      <c r="W28" s="139" t="n">
        <f aca="false">(O28+O29)*D28/2</f>
        <v>16.506</v>
      </c>
      <c r="X28" s="139"/>
      <c r="Y28" s="139"/>
      <c r="Z28" s="139"/>
      <c r="AA28" s="139"/>
      <c r="AB28" s="140"/>
      <c r="AC28" s="139"/>
      <c r="AE28" s="141"/>
    </row>
    <row r="29" s="131" customFormat="true" ht="15" hidden="false" customHeight="true" outlineLevel="0" collapsed="false">
      <c r="A29" s="132" t="n">
        <v>19</v>
      </c>
      <c r="B29" s="132" t="str">
        <f aca="false">'Base B'!B41</f>
        <v>26</v>
      </c>
      <c r="C29" s="133" t="n">
        <f aca="false">'Base B'!C41</f>
        <v>512.84</v>
      </c>
      <c r="D29" s="132" t="n">
        <f aca="false">'Base B'!T41</f>
        <v>16.78</v>
      </c>
      <c r="E29" s="134"/>
      <c r="F29" s="134"/>
      <c r="G29" s="134"/>
      <c r="H29" s="134"/>
      <c r="I29" s="134"/>
      <c r="J29" s="134"/>
      <c r="K29" s="135"/>
      <c r="L29" s="136"/>
      <c r="M29" s="137"/>
      <c r="N29" s="138"/>
      <c r="O29" s="135" t="n">
        <f aca="false">10.5*0.15</f>
        <v>1.575</v>
      </c>
      <c r="P29" s="135"/>
      <c r="Q29" s="135"/>
      <c r="R29" s="139"/>
      <c r="S29" s="139"/>
      <c r="T29" s="139"/>
      <c r="U29" s="139"/>
      <c r="V29" s="139"/>
      <c r="W29" s="139" t="n">
        <f aca="false">(O29+O30)*D29/2</f>
        <v>26.4285</v>
      </c>
      <c r="X29" s="139"/>
      <c r="Y29" s="139"/>
      <c r="Z29" s="139"/>
      <c r="AA29" s="139"/>
      <c r="AB29" s="140"/>
      <c r="AC29" s="139"/>
      <c r="AE29" s="141"/>
    </row>
    <row r="30" s="131" customFormat="true" ht="15" hidden="false" customHeight="true" outlineLevel="0" collapsed="false">
      <c r="A30" s="132" t="n">
        <v>20</v>
      </c>
      <c r="B30" s="132" t="str">
        <f aca="false">'Base B'!B42</f>
        <v>27</v>
      </c>
      <c r="C30" s="133" t="n">
        <f aca="false">'Base B'!C42</f>
        <v>529.62</v>
      </c>
      <c r="D30" s="132" t="n">
        <f aca="false">'Base B'!T42</f>
        <v>17.1</v>
      </c>
      <c r="E30" s="134"/>
      <c r="F30" s="134"/>
      <c r="G30" s="134"/>
      <c r="H30" s="134"/>
      <c r="I30" s="134"/>
      <c r="J30" s="134"/>
      <c r="K30" s="135"/>
      <c r="L30" s="136"/>
      <c r="M30" s="137"/>
      <c r="N30" s="138"/>
      <c r="O30" s="135" t="n">
        <f aca="false">10.5*0.15</f>
        <v>1.575</v>
      </c>
      <c r="P30" s="135"/>
      <c r="Q30" s="135"/>
      <c r="R30" s="139"/>
      <c r="S30" s="139"/>
      <c r="T30" s="139"/>
      <c r="U30" s="139"/>
      <c r="V30" s="139"/>
      <c r="W30" s="139" t="n">
        <f aca="false">(O30+O31)*D30/2</f>
        <v>26.9325</v>
      </c>
      <c r="X30" s="139"/>
      <c r="Y30" s="139"/>
      <c r="Z30" s="139"/>
      <c r="AA30" s="139"/>
      <c r="AB30" s="140"/>
      <c r="AC30" s="139"/>
      <c r="AE30" s="141"/>
    </row>
    <row r="31" s="131" customFormat="true" ht="15" hidden="false" customHeight="true" outlineLevel="0" collapsed="false">
      <c r="A31" s="132" t="n">
        <v>21</v>
      </c>
      <c r="B31" s="132" t="str">
        <f aca="false">'Base B'!B43</f>
        <v>28</v>
      </c>
      <c r="C31" s="133" t="n">
        <f aca="false">'Base B'!C43</f>
        <v>546.72</v>
      </c>
      <c r="D31" s="132" t="n">
        <f aca="false">'Base B'!T43</f>
        <v>15.15</v>
      </c>
      <c r="E31" s="134"/>
      <c r="F31" s="134"/>
      <c r="G31" s="134"/>
      <c r="H31" s="134"/>
      <c r="I31" s="134"/>
      <c r="J31" s="134"/>
      <c r="K31" s="135"/>
      <c r="L31" s="136"/>
      <c r="M31" s="137"/>
      <c r="N31" s="138"/>
      <c r="O31" s="135" t="n">
        <f aca="false">10.5*0.15</f>
        <v>1.575</v>
      </c>
      <c r="P31" s="135"/>
      <c r="Q31" s="135"/>
      <c r="R31" s="139"/>
      <c r="S31" s="139"/>
      <c r="T31" s="139"/>
      <c r="U31" s="139"/>
      <c r="V31" s="139"/>
      <c r="W31" s="139" t="n">
        <f aca="false">(O31+O32)*D31/2</f>
        <v>23.86125</v>
      </c>
      <c r="X31" s="139"/>
      <c r="Y31" s="139"/>
      <c r="Z31" s="139"/>
      <c r="AA31" s="139"/>
      <c r="AB31" s="140"/>
      <c r="AC31" s="139"/>
      <c r="AE31" s="141"/>
    </row>
    <row r="32" s="131" customFormat="true" ht="15" hidden="false" customHeight="true" outlineLevel="0" collapsed="false">
      <c r="A32" s="132" t="n">
        <v>22</v>
      </c>
      <c r="B32" s="132" t="str">
        <f aca="false">'Base B'!B44</f>
        <v>E5</v>
      </c>
      <c r="C32" s="133" t="n">
        <f aca="false">'Base B'!C44</f>
        <v>561.87</v>
      </c>
      <c r="D32" s="132" t="n">
        <f aca="false">'Base B'!T44</f>
        <v>0.15</v>
      </c>
      <c r="E32" s="134"/>
      <c r="F32" s="134"/>
      <c r="G32" s="134"/>
      <c r="H32" s="134"/>
      <c r="I32" s="134"/>
      <c r="J32" s="134"/>
      <c r="K32" s="135"/>
      <c r="L32" s="136"/>
      <c r="M32" s="137"/>
      <c r="N32" s="138"/>
      <c r="O32" s="135" t="n">
        <f aca="false">10.5*0.15</f>
        <v>1.575</v>
      </c>
      <c r="P32" s="135"/>
      <c r="Q32" s="135"/>
      <c r="R32" s="139"/>
      <c r="S32" s="139"/>
      <c r="T32" s="139"/>
      <c r="U32" s="139"/>
      <c r="V32" s="139"/>
      <c r="W32" s="139" t="n">
        <f aca="false">(O32+O33)*D32/2</f>
        <v>0.23625</v>
      </c>
      <c r="X32" s="139"/>
      <c r="Y32" s="139"/>
      <c r="Z32" s="139"/>
      <c r="AA32" s="139"/>
      <c r="AB32" s="140"/>
      <c r="AC32" s="139"/>
      <c r="AE32" s="141"/>
    </row>
    <row r="33" s="131" customFormat="true" ht="15" hidden="false" customHeight="true" outlineLevel="0" collapsed="false">
      <c r="A33" s="132" t="n">
        <v>23</v>
      </c>
      <c r="B33" s="132" t="str">
        <f aca="false">'Base B'!B45</f>
        <v>TD</v>
      </c>
      <c r="C33" s="133" t="n">
        <f aca="false">'Base B'!C45</f>
        <v>562.02</v>
      </c>
      <c r="D33" s="132" t="n">
        <f aca="false">'Base B'!T45</f>
        <v>6.55</v>
      </c>
      <c r="E33" s="134"/>
      <c r="F33" s="134"/>
      <c r="G33" s="134"/>
      <c r="H33" s="134"/>
      <c r="I33" s="134"/>
      <c r="J33" s="134"/>
      <c r="K33" s="135"/>
      <c r="L33" s="136"/>
      <c r="M33" s="137"/>
      <c r="N33" s="138"/>
      <c r="O33" s="135" t="n">
        <f aca="false">10.5*0.15</f>
        <v>1.575</v>
      </c>
      <c r="P33" s="135"/>
      <c r="Q33" s="135"/>
      <c r="R33" s="139"/>
      <c r="S33" s="139"/>
      <c r="T33" s="139"/>
      <c r="U33" s="139"/>
      <c r="V33" s="139"/>
      <c r="W33" s="139" t="n">
        <f aca="false">(O33+O34)*D33/2</f>
        <v>10.31625</v>
      </c>
      <c r="X33" s="139"/>
      <c r="Y33" s="139"/>
      <c r="Z33" s="139"/>
      <c r="AA33" s="139"/>
      <c r="AB33" s="140"/>
      <c r="AC33" s="139"/>
      <c r="AE33" s="141"/>
    </row>
    <row r="34" s="131" customFormat="true" ht="15" hidden="false" customHeight="true" outlineLevel="0" collapsed="false">
      <c r="A34" s="132" t="n">
        <v>24</v>
      </c>
      <c r="B34" s="132" t="str">
        <f aca="false">'Base B'!B46</f>
        <v>P</v>
      </c>
      <c r="C34" s="133" t="n">
        <f aca="false">'Base B'!C46</f>
        <v>568.57</v>
      </c>
      <c r="D34" s="132" t="n">
        <f aca="false">'Base B'!T46</f>
        <v>6.55</v>
      </c>
      <c r="E34" s="134"/>
      <c r="F34" s="134"/>
      <c r="G34" s="134"/>
      <c r="H34" s="134"/>
      <c r="I34" s="134"/>
      <c r="J34" s="134"/>
      <c r="K34" s="135"/>
      <c r="L34" s="136"/>
      <c r="M34" s="137"/>
      <c r="N34" s="138"/>
      <c r="O34" s="135" t="n">
        <f aca="false">10.5*0.15</f>
        <v>1.575</v>
      </c>
      <c r="P34" s="135"/>
      <c r="Q34" s="135"/>
      <c r="R34" s="139"/>
      <c r="S34" s="139"/>
      <c r="T34" s="139"/>
      <c r="U34" s="139"/>
      <c r="V34" s="139"/>
      <c r="W34" s="139" t="n">
        <f aca="false">(O34+O35)*D34/2</f>
        <v>10.31625</v>
      </c>
      <c r="X34" s="139"/>
      <c r="Y34" s="139"/>
      <c r="Z34" s="139"/>
      <c r="AA34" s="139"/>
      <c r="AB34" s="140"/>
      <c r="AC34" s="139"/>
      <c r="AE34" s="141"/>
    </row>
    <row r="35" s="131" customFormat="true" ht="15" hidden="false" customHeight="true" outlineLevel="0" collapsed="false">
      <c r="A35" s="132" t="n">
        <v>25</v>
      </c>
      <c r="B35" s="132" t="str">
        <f aca="false">'Base B'!B47</f>
        <v>TC</v>
      </c>
      <c r="C35" s="133" t="n">
        <f aca="false">'Base B'!C47</f>
        <v>575.12</v>
      </c>
      <c r="D35" s="132" t="n">
        <f aca="false">'Base B'!T47</f>
        <v>0.04</v>
      </c>
      <c r="E35" s="134"/>
      <c r="F35" s="134"/>
      <c r="G35" s="134"/>
      <c r="H35" s="134"/>
      <c r="I35" s="134"/>
      <c r="J35" s="134"/>
      <c r="K35" s="135"/>
      <c r="L35" s="136"/>
      <c r="M35" s="137"/>
      <c r="N35" s="138"/>
      <c r="O35" s="135" t="n">
        <f aca="false">10.5*0.15</f>
        <v>1.575</v>
      </c>
      <c r="P35" s="135"/>
      <c r="Q35" s="135"/>
      <c r="R35" s="139"/>
      <c r="S35" s="139"/>
      <c r="T35" s="139"/>
      <c r="U35" s="139"/>
      <c r="V35" s="139"/>
      <c r="W35" s="139" t="n">
        <f aca="false">(O35+O36)*D35/2</f>
        <v>0.063</v>
      </c>
      <c r="X35" s="139"/>
      <c r="Y35" s="139"/>
      <c r="Z35" s="139"/>
      <c r="AA35" s="139"/>
      <c r="AB35" s="140"/>
      <c r="AC35" s="139"/>
      <c r="AE35" s="141"/>
    </row>
    <row r="36" s="131" customFormat="true" ht="15" hidden="false" customHeight="true" outlineLevel="0" collapsed="false">
      <c r="A36" s="132" t="n">
        <v>26</v>
      </c>
      <c r="B36" s="132" t="str">
        <f aca="false">'Base B'!B48</f>
        <v>29</v>
      </c>
      <c r="C36" s="133" t="n">
        <f aca="false">'Base B'!C48</f>
        <v>575.16</v>
      </c>
      <c r="D36" s="132" t="n">
        <f aca="false">'Base B'!T48</f>
        <v>16.95</v>
      </c>
      <c r="E36" s="134"/>
      <c r="F36" s="134"/>
      <c r="G36" s="134"/>
      <c r="H36" s="134"/>
      <c r="I36" s="134"/>
      <c r="J36" s="134"/>
      <c r="K36" s="135"/>
      <c r="L36" s="136"/>
      <c r="M36" s="137"/>
      <c r="N36" s="138"/>
      <c r="O36" s="135" t="n">
        <f aca="false">10.5*0.15</f>
        <v>1.575</v>
      </c>
      <c r="P36" s="135"/>
      <c r="Q36" s="135"/>
      <c r="R36" s="139"/>
      <c r="S36" s="139"/>
      <c r="T36" s="139"/>
      <c r="U36" s="139"/>
      <c r="V36" s="139"/>
      <c r="W36" s="139" t="n">
        <f aca="false">(O36+O37)*D36/2</f>
        <v>26.69625</v>
      </c>
      <c r="X36" s="139"/>
      <c r="Y36" s="139"/>
      <c r="Z36" s="139"/>
      <c r="AA36" s="139"/>
      <c r="AB36" s="140"/>
      <c r="AC36" s="139"/>
      <c r="AE36" s="141"/>
    </row>
    <row r="37" s="131" customFormat="true" ht="15" hidden="false" customHeight="true" outlineLevel="0" collapsed="false">
      <c r="A37" s="132" t="n">
        <v>27</v>
      </c>
      <c r="B37" s="132" t="str">
        <f aca="false">'Base B'!B49</f>
        <v>30</v>
      </c>
      <c r="C37" s="133" t="n">
        <f aca="false">'Base B'!C49</f>
        <v>592.11</v>
      </c>
      <c r="D37" s="132" t="n">
        <f aca="false">'Base B'!T49</f>
        <v>17</v>
      </c>
      <c r="E37" s="134"/>
      <c r="F37" s="134"/>
      <c r="G37" s="134"/>
      <c r="H37" s="134"/>
      <c r="I37" s="134"/>
      <c r="J37" s="134"/>
      <c r="K37" s="135"/>
      <c r="L37" s="136"/>
      <c r="M37" s="137"/>
      <c r="N37" s="138"/>
      <c r="O37" s="135" t="n">
        <f aca="false">10.5*0.15</f>
        <v>1.575</v>
      </c>
      <c r="P37" s="135"/>
      <c r="Q37" s="135"/>
      <c r="R37" s="139"/>
      <c r="S37" s="139"/>
      <c r="T37" s="139"/>
      <c r="U37" s="139"/>
      <c r="V37" s="139"/>
      <c r="W37" s="139" t="n">
        <f aca="false">(O37+O38)*D37/2</f>
        <v>26.775</v>
      </c>
      <c r="X37" s="139"/>
      <c r="Y37" s="139"/>
      <c r="Z37" s="139"/>
      <c r="AA37" s="139"/>
      <c r="AB37" s="140"/>
      <c r="AC37" s="139"/>
      <c r="AE37" s="141"/>
    </row>
    <row r="38" s="131" customFormat="true" ht="15" hidden="false" customHeight="true" outlineLevel="0" collapsed="false">
      <c r="A38" s="132" t="n">
        <v>28</v>
      </c>
      <c r="B38" s="132" t="str">
        <f aca="false">'Base B'!B50</f>
        <v>31</v>
      </c>
      <c r="C38" s="133" t="n">
        <f aca="false">'Base B'!C50</f>
        <v>609.11</v>
      </c>
      <c r="D38" s="132" t="n">
        <f aca="false">'Base B'!T50</f>
        <v>11.75</v>
      </c>
      <c r="E38" s="134"/>
      <c r="F38" s="134"/>
      <c r="G38" s="134"/>
      <c r="H38" s="134"/>
      <c r="I38" s="134"/>
      <c r="J38" s="134"/>
      <c r="K38" s="135"/>
      <c r="L38" s="136"/>
      <c r="M38" s="137"/>
      <c r="N38" s="138"/>
      <c r="O38" s="135" t="n">
        <f aca="false">10.5*0.15</f>
        <v>1.575</v>
      </c>
      <c r="P38" s="135"/>
      <c r="Q38" s="135"/>
      <c r="R38" s="139"/>
      <c r="S38" s="139"/>
      <c r="T38" s="139"/>
      <c r="U38" s="139"/>
      <c r="V38" s="139"/>
      <c r="W38" s="139" t="n">
        <f aca="false">(O38+O39)*D38/2</f>
        <v>18.50625</v>
      </c>
      <c r="X38" s="139"/>
      <c r="Y38" s="139"/>
      <c r="Z38" s="139"/>
      <c r="AA38" s="139"/>
      <c r="AB38" s="140"/>
      <c r="AC38" s="139"/>
      <c r="AE38" s="141"/>
    </row>
    <row r="39" s="131" customFormat="true" ht="15" hidden="false" customHeight="true" outlineLevel="0" collapsed="false">
      <c r="A39" s="132" t="n">
        <v>29</v>
      </c>
      <c r="B39" s="132" t="str">
        <f aca="false">'Base B'!B51</f>
        <v>E10</v>
      </c>
      <c r="C39" s="133" t="n">
        <f aca="false">'Base B'!C51</f>
        <v>620.86</v>
      </c>
      <c r="D39" s="132" t="n">
        <f aca="false">'Base B'!T51</f>
        <v>11.75</v>
      </c>
      <c r="E39" s="134"/>
      <c r="F39" s="134"/>
      <c r="G39" s="134"/>
      <c r="H39" s="134"/>
      <c r="I39" s="134"/>
      <c r="J39" s="134"/>
      <c r="K39" s="135"/>
      <c r="L39" s="136"/>
      <c r="M39" s="137"/>
      <c r="N39" s="138"/>
      <c r="O39" s="135" t="n">
        <f aca="false">10.5*0.15</f>
        <v>1.575</v>
      </c>
      <c r="P39" s="135"/>
      <c r="Q39" s="135"/>
      <c r="R39" s="139"/>
      <c r="S39" s="139"/>
      <c r="T39" s="139"/>
      <c r="U39" s="139"/>
      <c r="V39" s="139"/>
      <c r="W39" s="139" t="n">
        <f aca="false">(O39+O40)*D39/2</f>
        <v>18.50625</v>
      </c>
      <c r="X39" s="139"/>
      <c r="Y39" s="139"/>
      <c r="Z39" s="139"/>
      <c r="AA39" s="139"/>
      <c r="AB39" s="140"/>
      <c r="AC39" s="139"/>
      <c r="AE39" s="141"/>
    </row>
    <row r="40" s="131" customFormat="true" ht="15" hidden="false" customHeight="true" outlineLevel="0" collapsed="false">
      <c r="A40" s="132" t="n">
        <v>30</v>
      </c>
      <c r="B40" s="132" t="str">
        <f aca="false">'Base B'!B52</f>
        <v>32</v>
      </c>
      <c r="C40" s="133" t="n">
        <f aca="false">'Base B'!C52</f>
        <v>632.61</v>
      </c>
      <c r="D40" s="132" t="n">
        <f aca="false">'Base B'!T52</f>
        <v>20</v>
      </c>
      <c r="E40" s="134"/>
      <c r="F40" s="134"/>
      <c r="G40" s="134"/>
      <c r="H40" s="134"/>
      <c r="I40" s="134"/>
      <c r="J40" s="134"/>
      <c r="K40" s="135"/>
      <c r="L40" s="136"/>
      <c r="M40" s="137"/>
      <c r="N40" s="138"/>
      <c r="O40" s="135" t="n">
        <f aca="false">10.5*0.15</f>
        <v>1.575</v>
      </c>
      <c r="P40" s="135"/>
      <c r="Q40" s="135"/>
      <c r="R40" s="139"/>
      <c r="S40" s="139"/>
      <c r="T40" s="139"/>
      <c r="U40" s="139"/>
      <c r="V40" s="139"/>
      <c r="W40" s="139" t="n">
        <f aca="false">(O40+O41)*D40/2</f>
        <v>31.5</v>
      </c>
      <c r="X40" s="139"/>
      <c r="Y40" s="139"/>
      <c r="Z40" s="139"/>
      <c r="AA40" s="139"/>
      <c r="AB40" s="140"/>
      <c r="AC40" s="139"/>
      <c r="AE40" s="141"/>
    </row>
    <row r="41" s="131" customFormat="true" ht="15" hidden="false" customHeight="true" outlineLevel="0" collapsed="false">
      <c r="A41" s="132" t="n">
        <v>31</v>
      </c>
      <c r="B41" s="132" t="str">
        <f aca="false">'Base B'!B53</f>
        <v>33</v>
      </c>
      <c r="C41" s="133" t="n">
        <f aca="false">'Base B'!C53</f>
        <v>652.61</v>
      </c>
      <c r="D41" s="132" t="n">
        <f aca="false">'Base B'!T53</f>
        <v>20</v>
      </c>
      <c r="E41" s="134"/>
      <c r="F41" s="134"/>
      <c r="G41" s="134"/>
      <c r="H41" s="134"/>
      <c r="I41" s="134"/>
      <c r="J41" s="134"/>
      <c r="K41" s="135"/>
      <c r="L41" s="136"/>
      <c r="M41" s="137"/>
      <c r="N41" s="138"/>
      <c r="O41" s="135" t="n">
        <f aca="false">10.5*0.15</f>
        <v>1.575</v>
      </c>
      <c r="P41" s="135"/>
      <c r="Q41" s="135"/>
      <c r="R41" s="139"/>
      <c r="S41" s="139"/>
      <c r="T41" s="139"/>
      <c r="U41" s="139"/>
      <c r="V41" s="139"/>
      <c r="W41" s="139" t="n">
        <f aca="false">(O41+O42)*D41/2</f>
        <v>31.5</v>
      </c>
      <c r="X41" s="139"/>
      <c r="Y41" s="139"/>
      <c r="Z41" s="139"/>
      <c r="AA41" s="139"/>
      <c r="AB41" s="140"/>
      <c r="AC41" s="139"/>
      <c r="AE41" s="141"/>
    </row>
    <row r="42" s="131" customFormat="true" ht="15" hidden="false" customHeight="true" outlineLevel="0" collapsed="false">
      <c r="A42" s="132" t="n">
        <v>32</v>
      </c>
      <c r="B42" s="132" t="str">
        <f aca="false">'Base B'!B54</f>
        <v>34</v>
      </c>
      <c r="C42" s="133" t="n">
        <f aca="false">'Base B'!C54</f>
        <v>672.61</v>
      </c>
      <c r="D42" s="132" t="n">
        <f aca="false">'Base B'!T54</f>
        <v>20</v>
      </c>
      <c r="E42" s="134"/>
      <c r="F42" s="134"/>
      <c r="G42" s="134"/>
      <c r="H42" s="134"/>
      <c r="I42" s="134"/>
      <c r="J42" s="134"/>
      <c r="K42" s="135"/>
      <c r="L42" s="136"/>
      <c r="M42" s="137"/>
      <c r="N42" s="138"/>
      <c r="O42" s="135" t="n">
        <f aca="false">10.5*0.15</f>
        <v>1.575</v>
      </c>
      <c r="P42" s="135"/>
      <c r="Q42" s="135"/>
      <c r="R42" s="139"/>
      <c r="S42" s="139"/>
      <c r="T42" s="139"/>
      <c r="U42" s="139"/>
      <c r="V42" s="139"/>
      <c r="W42" s="139" t="n">
        <f aca="false">(O42+O43)*D42/2</f>
        <v>31.5</v>
      </c>
      <c r="X42" s="139"/>
      <c r="Y42" s="139"/>
      <c r="Z42" s="139"/>
      <c r="AA42" s="139"/>
      <c r="AB42" s="140"/>
      <c r="AC42" s="139"/>
      <c r="AE42" s="141"/>
    </row>
    <row r="43" s="131" customFormat="true" ht="15" hidden="false" customHeight="true" outlineLevel="0" collapsed="false">
      <c r="A43" s="132" t="n">
        <v>33</v>
      </c>
      <c r="B43" s="132" t="str">
        <f aca="false">'Base B'!B55</f>
        <v>35</v>
      </c>
      <c r="C43" s="133" t="n">
        <f aca="false">'Base B'!C55</f>
        <v>692.61</v>
      </c>
      <c r="D43" s="132" t="n">
        <f aca="false">'Base B'!T55</f>
        <v>20</v>
      </c>
      <c r="E43" s="134"/>
      <c r="F43" s="134"/>
      <c r="G43" s="134"/>
      <c r="H43" s="134"/>
      <c r="I43" s="134"/>
      <c r="J43" s="134"/>
      <c r="K43" s="135"/>
      <c r="L43" s="136"/>
      <c r="M43" s="137"/>
      <c r="N43" s="138"/>
      <c r="O43" s="135" t="n">
        <f aca="false">10.5*0.15</f>
        <v>1.575</v>
      </c>
      <c r="P43" s="135"/>
      <c r="Q43" s="135"/>
      <c r="R43" s="139"/>
      <c r="S43" s="139"/>
      <c r="T43" s="139"/>
      <c r="U43" s="139"/>
      <c r="V43" s="139"/>
      <c r="W43" s="139" t="n">
        <f aca="false">(O43+O44)*D43/2</f>
        <v>31.5</v>
      </c>
      <c r="X43" s="139"/>
      <c r="Y43" s="139"/>
      <c r="Z43" s="139"/>
      <c r="AA43" s="139"/>
      <c r="AB43" s="140"/>
      <c r="AC43" s="139"/>
      <c r="AE43" s="141"/>
    </row>
    <row r="44" s="131" customFormat="true" ht="15" hidden="false" customHeight="true" outlineLevel="0" collapsed="false">
      <c r="A44" s="132" t="n">
        <v>34</v>
      </c>
      <c r="B44" s="132" t="str">
        <f aca="false">'Base B'!B56</f>
        <v>36</v>
      </c>
      <c r="C44" s="133" t="n">
        <f aca="false">'Base B'!C56</f>
        <v>712.61</v>
      </c>
      <c r="D44" s="132" t="n">
        <f aca="false">'Base B'!T56</f>
        <v>11.5</v>
      </c>
      <c r="E44" s="134"/>
      <c r="F44" s="134"/>
      <c r="G44" s="134"/>
      <c r="H44" s="134"/>
      <c r="I44" s="134"/>
      <c r="J44" s="134"/>
      <c r="K44" s="135"/>
      <c r="L44" s="136"/>
      <c r="M44" s="137"/>
      <c r="N44" s="138"/>
      <c r="O44" s="135" t="n">
        <f aca="false">10.5*0.15</f>
        <v>1.575</v>
      </c>
      <c r="P44" s="135"/>
      <c r="Q44" s="135"/>
      <c r="R44" s="139"/>
      <c r="S44" s="139"/>
      <c r="T44" s="139"/>
      <c r="U44" s="139"/>
      <c r="V44" s="139"/>
      <c r="W44" s="139" t="n">
        <f aca="false">(O44+O45)*D44/2</f>
        <v>18.1125</v>
      </c>
      <c r="X44" s="139"/>
      <c r="Y44" s="139"/>
      <c r="Z44" s="139"/>
      <c r="AA44" s="139"/>
      <c r="AB44" s="140"/>
      <c r="AC44" s="139"/>
      <c r="AE44" s="141"/>
    </row>
    <row r="45" s="131" customFormat="true" ht="15" hidden="false" customHeight="true" outlineLevel="0" collapsed="false">
      <c r="A45" s="132" t="n">
        <v>35</v>
      </c>
      <c r="B45" s="132" t="str">
        <f aca="false">'Base B'!B57</f>
        <v>37</v>
      </c>
      <c r="C45" s="133" t="n">
        <f aca="false">'Base B'!C57</f>
        <v>724.11</v>
      </c>
      <c r="D45" s="132" t="n">
        <f aca="false">'Base B'!T57</f>
        <v>13.25</v>
      </c>
      <c r="E45" s="134"/>
      <c r="F45" s="134"/>
      <c r="G45" s="134"/>
      <c r="H45" s="134"/>
      <c r="I45" s="134"/>
      <c r="J45" s="134"/>
      <c r="K45" s="135"/>
      <c r="L45" s="136"/>
      <c r="M45" s="137"/>
      <c r="N45" s="138"/>
      <c r="O45" s="135" t="n">
        <f aca="false">10.5*0.15</f>
        <v>1.575</v>
      </c>
      <c r="P45" s="135"/>
      <c r="Q45" s="135"/>
      <c r="R45" s="139"/>
      <c r="S45" s="139"/>
      <c r="T45" s="139"/>
      <c r="U45" s="139"/>
      <c r="V45" s="139"/>
      <c r="W45" s="139" t="n">
        <f aca="false">(O45+O46)*D45/2</f>
        <v>20.86875</v>
      </c>
      <c r="X45" s="139"/>
      <c r="Y45" s="139"/>
      <c r="Z45" s="139"/>
      <c r="AA45" s="139"/>
      <c r="AB45" s="140"/>
      <c r="AC45" s="139"/>
      <c r="AE45" s="141"/>
    </row>
    <row r="46" s="131" customFormat="true" ht="15" hidden="false" customHeight="true" outlineLevel="0" collapsed="false">
      <c r="A46" s="132" t="n">
        <v>36</v>
      </c>
      <c r="B46" s="132" t="str">
        <f aca="false">'Base B'!B58</f>
        <v>G6</v>
      </c>
      <c r="C46" s="133" t="n">
        <f aca="false">'Base B'!C58</f>
        <v>737.36</v>
      </c>
      <c r="D46" s="132"/>
      <c r="E46" s="134"/>
      <c r="F46" s="134"/>
      <c r="G46" s="134"/>
      <c r="H46" s="134"/>
      <c r="I46" s="134"/>
      <c r="J46" s="134"/>
      <c r="K46" s="135"/>
      <c r="L46" s="136"/>
      <c r="M46" s="137"/>
      <c r="N46" s="138"/>
      <c r="O46" s="135" t="n">
        <f aca="false">10.5*0.15</f>
        <v>1.575</v>
      </c>
      <c r="P46" s="135"/>
      <c r="Q46" s="135"/>
      <c r="R46" s="139"/>
      <c r="S46" s="139"/>
      <c r="T46" s="139"/>
      <c r="U46" s="139"/>
      <c r="V46" s="139"/>
      <c r="W46" s="139"/>
      <c r="X46" s="139"/>
      <c r="Y46" s="139"/>
      <c r="Z46" s="139"/>
      <c r="AA46" s="139"/>
      <c r="AB46" s="140"/>
      <c r="AC46" s="139"/>
      <c r="AE46" s="141"/>
    </row>
    <row r="47" s="131" customFormat="true" ht="15" hidden="true" customHeight="true" outlineLevel="0" collapsed="false">
      <c r="A47" s="132"/>
      <c r="B47" s="132"/>
      <c r="C47" s="133"/>
      <c r="D47" s="132"/>
      <c r="E47" s="134"/>
      <c r="F47" s="134"/>
      <c r="G47" s="134"/>
      <c r="H47" s="134"/>
      <c r="I47" s="134"/>
      <c r="J47" s="134"/>
      <c r="K47" s="135"/>
      <c r="L47" s="136"/>
      <c r="M47" s="137"/>
      <c r="N47" s="138"/>
      <c r="O47" s="135"/>
      <c r="P47" s="135"/>
      <c r="Q47" s="135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40"/>
      <c r="AC47" s="139"/>
      <c r="AE47" s="141"/>
    </row>
    <row r="48" s="131" customFormat="true" ht="15" hidden="true" customHeight="true" outlineLevel="0" collapsed="false">
      <c r="A48" s="132"/>
      <c r="B48" s="132"/>
      <c r="C48" s="133"/>
      <c r="D48" s="132"/>
      <c r="E48" s="134"/>
      <c r="F48" s="134"/>
      <c r="G48" s="134"/>
      <c r="H48" s="134"/>
      <c r="I48" s="134"/>
      <c r="J48" s="134"/>
      <c r="K48" s="135"/>
      <c r="L48" s="136"/>
      <c r="M48" s="137"/>
      <c r="N48" s="138"/>
      <c r="O48" s="135"/>
      <c r="P48" s="135"/>
      <c r="Q48" s="135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40"/>
      <c r="AC48" s="139"/>
      <c r="AE48" s="141"/>
    </row>
    <row r="49" s="70" customFormat="true" ht="15.75" hidden="false" customHeight="true" outlineLevel="0" collapsed="false">
      <c r="A49" s="142" t="s">
        <v>69</v>
      </c>
      <c r="B49" s="142"/>
      <c r="C49" s="142"/>
      <c r="D49" s="142"/>
      <c r="E49" s="143"/>
      <c r="F49" s="143"/>
      <c r="G49" s="143"/>
      <c r="H49" s="143"/>
      <c r="I49" s="143"/>
      <c r="J49" s="143"/>
      <c r="K49" s="143"/>
      <c r="L49" s="143"/>
      <c r="M49" s="144"/>
      <c r="N49" s="144"/>
      <c r="O49" s="145"/>
      <c r="P49" s="145"/>
      <c r="Q49" s="145"/>
      <c r="R49" s="146" t="n">
        <f aca="false">SUM(R11:R34)</f>
        <v>0</v>
      </c>
      <c r="S49" s="146" t="n">
        <f aca="false">SUM(S11:S34)</f>
        <v>0</v>
      </c>
      <c r="T49" s="146"/>
      <c r="U49" s="147" t="n">
        <f aca="false">SUM(U11:U34)</f>
        <v>0</v>
      </c>
      <c r="V49" s="147" t="n">
        <f aca="false">SUM(V11:V34)</f>
        <v>0</v>
      </c>
      <c r="W49" s="148" t="n">
        <f aca="false">SUM(W11:W46)</f>
        <v>829.017</v>
      </c>
      <c r="X49" s="147" t="n">
        <f aca="false">SUM(X11:X34)</f>
        <v>0</v>
      </c>
      <c r="Y49" s="147" t="n">
        <f aca="false">SUM(Y11:Y34)</f>
        <v>0</v>
      </c>
      <c r="Z49" s="147" t="n">
        <f aca="false">SUM(Z11:Z34)</f>
        <v>0</v>
      </c>
      <c r="AA49" s="147" t="n">
        <f aca="false">SUM(AA11:AA34)</f>
        <v>0</v>
      </c>
      <c r="AB49" s="147"/>
      <c r="AE49" s="149"/>
      <c r="AF49" s="150"/>
      <c r="AG49" s="150"/>
      <c r="AH49" s="131"/>
      <c r="AI49" s="149"/>
      <c r="AJ49" s="149"/>
      <c r="AK49" s="149"/>
      <c r="AL49" s="149"/>
    </row>
    <row r="50" s="70" customFormat="true" ht="15.75" hidden="false" customHeight="true" outlineLevel="0" collapsed="false">
      <c r="A50" s="108"/>
      <c r="B50" s="108"/>
      <c r="C50" s="108"/>
      <c r="D50" s="108"/>
      <c r="R50" s="109"/>
      <c r="S50" s="109"/>
      <c r="T50" s="109"/>
      <c r="U50" s="110"/>
      <c r="V50" s="110"/>
      <c r="W50" s="110"/>
      <c r="X50" s="110"/>
      <c r="Y50" s="110"/>
      <c r="Z50" s="110"/>
      <c r="AA50" s="110"/>
      <c r="AB50" s="110"/>
      <c r="AE50" s="110"/>
      <c r="AF50" s="151"/>
      <c r="AG50" s="150"/>
      <c r="AH50" s="151"/>
      <c r="AI50" s="141"/>
      <c r="AJ50" s="141"/>
      <c r="AK50" s="152"/>
      <c r="AL50" s="141"/>
    </row>
    <row r="51" s="70" customFormat="true" ht="15.75" hidden="false" customHeight="true" outlineLevel="0" collapsed="false">
      <c r="A51" s="153" t="s">
        <v>59</v>
      </c>
      <c r="B51" s="153"/>
      <c r="C51" s="153"/>
      <c r="D51" s="154" t="s">
        <v>70</v>
      </c>
      <c r="E51" s="153" t="s">
        <v>60</v>
      </c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E51" s="141"/>
      <c r="AF51" s="151"/>
      <c r="AI51" s="131"/>
      <c r="AJ51" s="131"/>
      <c r="AK51" s="131"/>
      <c r="AL51" s="131"/>
    </row>
    <row r="52" s="70" customFormat="true" ht="15.75" hidden="false" customHeight="true" outlineLevel="0" collapsed="false">
      <c r="A52" s="113"/>
      <c r="B52" s="113"/>
      <c r="C52" s="113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AI52" s="131"/>
      <c r="AJ52" s="131"/>
      <c r="AK52" s="131"/>
      <c r="AL52" s="131"/>
    </row>
    <row r="53" s="70" customFormat="true" ht="15.75" hidden="false" customHeight="true" outlineLevel="0" collapsed="false">
      <c r="A53" s="113"/>
      <c r="B53" s="113"/>
      <c r="C53" s="115"/>
      <c r="D53" s="115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AF53" s="79"/>
    </row>
    <row r="54" s="70" customFormat="true" ht="15" hidden="false" customHeight="true" outlineLevel="0" collapsed="false">
      <c r="A54" s="113"/>
      <c r="B54" s="113"/>
      <c r="C54" s="113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</row>
    <row r="55" s="70" customFormat="true" ht="15" hidden="false" customHeight="true" outlineLevel="0" collapsed="false">
      <c r="A55" s="113"/>
      <c r="B55" s="113"/>
      <c r="C55" s="113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</row>
    <row r="56" s="70" customFormat="true" ht="15" hidden="false" customHeight="true" outlineLevel="0" collapsed="false">
      <c r="A56" s="113"/>
      <c r="B56" s="113"/>
      <c r="C56" s="113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</row>
    <row r="57" s="70" customFormat="true" ht="15.75" hidden="false" customHeight="true" outlineLevel="0" collapsed="false">
      <c r="A57" s="153" t="s">
        <v>61</v>
      </c>
      <c r="B57" s="153"/>
      <c r="C57" s="153"/>
      <c r="D57" s="155"/>
      <c r="E57" s="155"/>
      <c r="F57" s="155"/>
      <c r="G57" s="155"/>
      <c r="H57" s="155"/>
      <c r="I57" s="155"/>
      <c r="J57" s="155"/>
      <c r="K57" s="155"/>
      <c r="L57" s="155"/>
      <c r="M57" s="153" t="str">
        <f aca="false">'Base B'!O67</f>
        <v>Lê Minh Hải</v>
      </c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</row>
    <row r="58" s="127" customFormat="true" ht="15.75" hidden="false" customHeight="true" outlineLevel="0" collapsed="false">
      <c r="A58" s="131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</row>
    <row r="59" customFormat="false" ht="12.75" hidden="false" customHeight="false" outlineLevel="0" collapsed="false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</row>
    <row r="60" customFormat="false" ht="12.75" hidden="false" customHeight="false" outlineLevel="0" collapsed="false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</row>
    <row r="61" customFormat="false" ht="12.75" hidden="false" customHeight="false" outlineLevel="0" collapsed="false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</row>
    <row r="62" customFormat="false" ht="12.75" hidden="false" customHeight="false" outlineLevel="0" collapsed="false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</row>
    <row r="63" customFormat="false" ht="12.75" hidden="false" customHeight="false" outlineLevel="0" collapsed="false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</row>
    <row r="64" customFormat="false" ht="12.75" hidden="false" customHeight="false" outlineLevel="0" collapsed="false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</row>
    <row r="65" customFormat="false" ht="12.75" hidden="false" customHeight="false" outlineLevel="0" collapsed="false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</row>
    <row r="66" customFormat="false" ht="12.75" hidden="false" customHeight="false" outlineLevel="0" collapsed="false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</row>
    <row r="67" customFormat="false" ht="12.75" hidden="false" customHeight="false" outlineLevel="0" collapsed="false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</row>
    <row r="68" customFormat="false" ht="12.75" hidden="false" customHeight="false" outlineLevel="0" collapsed="false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</row>
    <row r="69" customFormat="false" ht="12.75" hidden="false" customHeight="false" outlineLevel="0" collapsed="false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</row>
    <row r="70" customFormat="false" ht="12.75" hidden="false" customHeight="false" outlineLevel="0" collapsed="false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</row>
    <row r="71" customFormat="false" ht="12.75" hidden="false" customHeight="false" outlineLevel="0" collapsed="false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</row>
    <row r="72" customFormat="false" ht="12.75" hidden="false" customHeight="false" outlineLevel="0" collapsed="false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</row>
    <row r="73" customFormat="false" ht="12.75" hidden="false" customHeight="false" outlineLevel="0" collapsed="false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</row>
    <row r="74" customFormat="false" ht="12.75" hidden="false" customHeight="false" outlineLevel="0" collapsed="false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</row>
    <row r="75" customFormat="false" ht="12.75" hidden="false" customHeight="false" outlineLevel="0" collapsed="false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</row>
    <row r="76" customFormat="false" ht="12.75" hidden="false" customHeight="false" outlineLevel="0" collapsed="false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</row>
    <row r="77" customFormat="false" ht="12.75" hidden="false" customHeight="false" outlineLevel="0" collapsed="false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</row>
    <row r="78" customFormat="false" ht="12.75" hidden="false" customHeight="false" outlineLevel="0" collapsed="false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</row>
    <row r="79" customFormat="false" ht="12.75" hidden="false" customHeight="false" outlineLevel="0" collapsed="false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</row>
    <row r="80" customFormat="false" ht="12.75" hidden="false" customHeight="false" outlineLevel="0" collapsed="false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</row>
    <row r="81" customFormat="false" ht="12.75" hidden="false" customHeight="false" outlineLevel="0" collapsed="false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</row>
    <row r="82" customFormat="false" ht="12.75" hidden="false" customHeight="false" outlineLevel="0" collapsed="false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</row>
    <row r="83" customFormat="false" ht="12.75" hidden="false" customHeight="false" outlineLevel="0" collapsed="false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</row>
    <row r="84" customFormat="false" ht="12.75" hidden="false" customHeight="false" outlineLevel="0" collapsed="false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</row>
    <row r="85" customFormat="false" ht="12.75" hidden="false" customHeight="false" outlineLevel="0" collapsed="false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</row>
    <row r="86" customFormat="false" ht="12.75" hidden="false" customHeight="false" outlineLevel="0" collapsed="false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</row>
    <row r="87" customFormat="false" ht="12.75" hidden="false" customHeight="false" outlineLevel="0" collapsed="false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</row>
    <row r="88" customFormat="false" ht="12.75" hidden="false" customHeight="false" outlineLevel="0" collapsed="false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</row>
    <row r="89" customFormat="false" ht="12.75" hidden="false" customHeight="false" outlineLevel="0" collapsed="false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</row>
    <row r="90" customFormat="false" ht="12.75" hidden="false" customHeight="false" outlineLevel="0" collapsed="false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</row>
    <row r="91" customFormat="false" ht="12.75" hidden="false" customHeight="false" outlineLevel="0" collapsed="false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</row>
    <row r="92" customFormat="false" ht="12.75" hidden="false" customHeight="false" outlineLevel="0" collapsed="false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</row>
    <row r="93" customFormat="false" ht="12.75" hidden="false" customHeight="false" outlineLevel="0" collapsed="false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</row>
    <row r="94" customFormat="false" ht="12.75" hidden="false" customHeight="false" outlineLevel="0" collapsed="false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</row>
    <row r="95" customFormat="false" ht="12.75" hidden="false" customHeight="false" outlineLevel="0" collapsed="false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</row>
    <row r="96" customFormat="false" ht="12.75" hidden="false" customHeight="false" outlineLevel="0" collapsed="false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</row>
    <row r="97" customFormat="false" ht="12.75" hidden="false" customHeight="false" outlineLevel="0" collapsed="false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</row>
    <row r="98" customFormat="false" ht="12.75" hidden="false" customHeight="false" outlineLevel="0" collapsed="false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</row>
    <row r="99" customFormat="false" ht="12.75" hidden="false" customHeight="false" outlineLevel="0" collapsed="false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</row>
    <row r="100" customFormat="false" ht="12.75" hidden="false" customHeight="false" outlineLevel="0" collapsed="false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</row>
    <row r="101" customFormat="false" ht="12.75" hidden="false" customHeight="false" outlineLevel="0" collapsed="false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</row>
    <row r="102" customFormat="false" ht="12.75" hidden="false" customHeight="false" outlineLevel="0" collapsed="false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</row>
    <row r="103" customFormat="false" ht="12.75" hidden="false" customHeight="false" outlineLevel="0" collapsed="false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</row>
    <row r="104" customFormat="false" ht="12.75" hidden="false" customHeight="false" outlineLevel="0" collapsed="false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</row>
    <row r="105" customFormat="false" ht="12.75" hidden="false" customHeight="false" outlineLevel="0" collapsed="false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</row>
    <row r="106" customFormat="false" ht="12.75" hidden="false" customHeight="false" outlineLevel="0" collapsed="false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</row>
    <row r="107" s="25" customFormat="true" ht="12.75" hidden="false" customHeight="false" outlineLevel="0" collapsed="false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24"/>
      <c r="AE107" s="24"/>
      <c r="AF107" s="24"/>
      <c r="AG107" s="24"/>
    </row>
    <row r="108" s="25" customFormat="true" ht="12.75" hidden="false" customHeight="false" outlineLevel="0" collapsed="false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24"/>
      <c r="AE108" s="24"/>
      <c r="AF108" s="24"/>
      <c r="AG108" s="24"/>
    </row>
    <row r="109" s="25" customFormat="true" ht="12.75" hidden="false" customHeight="false" outlineLevel="0" collapsed="false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24"/>
      <c r="AE109" s="24"/>
      <c r="AF109" s="24"/>
      <c r="AG109" s="24"/>
    </row>
    <row r="110" s="25" customFormat="true" ht="12.75" hidden="false" customHeight="false" outlineLevel="0" collapsed="false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24"/>
      <c r="AE110" s="24"/>
      <c r="AF110" s="24"/>
      <c r="AG110" s="24"/>
    </row>
    <row r="111" s="25" customFormat="true" ht="12.75" hidden="false" customHeight="false" outlineLevel="0" collapsed="false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24"/>
      <c r="AE111" s="24"/>
      <c r="AF111" s="24"/>
      <c r="AG111" s="24"/>
    </row>
    <row r="112" s="25" customFormat="true" ht="12.75" hidden="false" customHeight="false" outlineLevel="0" collapsed="false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24"/>
      <c r="AE112" s="24"/>
      <c r="AF112" s="24"/>
      <c r="AG112" s="24"/>
    </row>
    <row r="113" s="25" customFormat="true" ht="12.75" hidden="false" customHeight="false" outlineLevel="0" collapsed="false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24"/>
      <c r="AE113" s="24"/>
      <c r="AF113" s="24"/>
      <c r="AG113" s="24"/>
    </row>
    <row r="114" s="25" customFormat="true" ht="12.75" hidden="false" customHeight="false" outlineLevel="0" collapsed="false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24"/>
      <c r="AE114" s="24"/>
      <c r="AF114" s="24"/>
      <c r="AG114" s="24"/>
    </row>
    <row r="115" s="25" customFormat="true" ht="12.75" hidden="false" customHeight="false" outlineLevel="0" collapsed="false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24"/>
      <c r="AE115" s="24"/>
      <c r="AF115" s="24"/>
      <c r="AG115" s="24"/>
    </row>
    <row r="116" s="25" customFormat="true" ht="12.75" hidden="false" customHeight="false" outlineLevel="0" collapsed="false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24"/>
      <c r="AE116" s="24"/>
      <c r="AF116" s="24"/>
      <c r="AG116" s="24"/>
    </row>
    <row r="117" s="25" customFormat="true" ht="12.75" hidden="false" customHeight="false" outlineLevel="0" collapsed="false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24"/>
      <c r="AE117" s="24"/>
      <c r="AF117" s="24"/>
      <c r="AG117" s="24"/>
    </row>
    <row r="118" s="25" customFormat="true" ht="12.75" hidden="false" customHeight="false" outlineLevel="0" collapsed="false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24"/>
      <c r="AE118" s="24"/>
      <c r="AF118" s="24"/>
      <c r="AG118" s="24"/>
    </row>
    <row r="119" s="25" customFormat="true" ht="12.75" hidden="false" customHeight="false" outlineLevel="0" collapsed="false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24"/>
      <c r="AE119" s="24"/>
      <c r="AF119" s="24"/>
      <c r="AG119" s="24"/>
    </row>
    <row r="120" s="25" customFormat="true" ht="12.75" hidden="false" customHeight="false" outlineLevel="0" collapsed="false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24"/>
      <c r="AE120" s="24"/>
      <c r="AF120" s="24"/>
      <c r="AG120" s="24"/>
    </row>
    <row r="121" s="25" customFormat="true" ht="12.75" hidden="false" customHeight="false" outlineLevel="0" collapsed="false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24"/>
      <c r="AE121" s="24"/>
      <c r="AF121" s="24"/>
      <c r="AG121" s="24"/>
    </row>
    <row r="122" s="25" customFormat="true" ht="12.75" hidden="false" customHeight="false" outlineLevel="0" collapsed="false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24"/>
      <c r="AE122" s="24"/>
      <c r="AF122" s="24"/>
      <c r="AG122" s="24"/>
    </row>
    <row r="123" s="25" customFormat="true" ht="12.75" hidden="false" customHeight="false" outlineLevel="0" collapsed="false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24"/>
      <c r="AE123" s="24"/>
      <c r="AF123" s="24"/>
      <c r="AG123" s="24"/>
    </row>
    <row r="124" s="25" customFormat="true" ht="12.75" hidden="false" customHeight="false" outlineLevel="0" collapsed="false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24"/>
      <c r="AE124" s="24"/>
      <c r="AF124" s="24"/>
      <c r="AG124" s="24"/>
    </row>
    <row r="125" s="25" customFormat="true" ht="12.75" hidden="false" customHeight="false" outlineLevel="0" collapsed="false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24"/>
      <c r="AE125" s="24"/>
      <c r="AF125" s="24"/>
      <c r="AG125" s="24"/>
    </row>
    <row r="126" s="25" customFormat="true" ht="12.75" hidden="false" customHeight="false" outlineLevel="0" collapsed="false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24"/>
      <c r="AE126" s="24"/>
      <c r="AF126" s="24"/>
      <c r="AG126" s="24"/>
    </row>
    <row r="127" s="25" customFormat="true" ht="12.75" hidden="false" customHeight="false" outlineLevel="0" collapsed="false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24"/>
      <c r="AE127" s="24"/>
      <c r="AF127" s="24"/>
      <c r="AG127" s="24"/>
    </row>
    <row r="128" s="25" customFormat="true" ht="12.75" hidden="false" customHeight="false" outlineLevel="0" collapsed="false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24"/>
      <c r="AE128" s="24"/>
      <c r="AF128" s="24"/>
      <c r="AG128" s="24"/>
    </row>
    <row r="129" s="25" customFormat="true" ht="12.75" hidden="false" customHeight="false" outlineLevel="0" collapsed="false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24"/>
      <c r="AE129" s="24"/>
      <c r="AF129" s="24"/>
      <c r="AG129" s="24"/>
    </row>
    <row r="130" s="25" customFormat="true" ht="12.75" hidden="false" customHeight="false" outlineLevel="0" collapsed="false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24"/>
      <c r="AE130" s="24"/>
      <c r="AF130" s="24"/>
      <c r="AG130" s="24"/>
    </row>
    <row r="131" s="25" customFormat="true" ht="12.75" hidden="false" customHeight="false" outlineLevel="0" collapsed="false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24"/>
      <c r="AE131" s="24"/>
      <c r="AF131" s="24"/>
      <c r="AG131" s="24"/>
    </row>
    <row r="132" s="25" customFormat="true" ht="12.75" hidden="false" customHeight="false" outlineLevel="0" collapsed="false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24"/>
      <c r="AE132" s="24"/>
      <c r="AF132" s="24"/>
      <c r="AG132" s="24"/>
    </row>
    <row r="133" s="25" customFormat="true" ht="12.75" hidden="false" customHeight="false" outlineLevel="0" collapsed="false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24"/>
      <c r="AE133" s="24"/>
      <c r="AF133" s="24"/>
      <c r="AG133" s="24"/>
    </row>
    <row r="134" s="25" customFormat="true" ht="12.75" hidden="false" customHeight="false" outlineLevel="0" collapsed="false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24"/>
      <c r="AE134" s="24"/>
      <c r="AF134" s="24"/>
      <c r="AG134" s="24"/>
    </row>
  </sheetData>
  <mergeCells count="20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O9:O10"/>
    <mergeCell ref="W9:W10"/>
    <mergeCell ref="AB9:AB10"/>
    <mergeCell ref="A49:D49"/>
    <mergeCell ref="A51:C51"/>
    <mergeCell ref="E51:AB51"/>
    <mergeCell ref="A57:C57"/>
    <mergeCell ref="M57:AB57"/>
  </mergeCells>
  <printOptions headings="false" gridLines="false" gridLinesSet="true" horizontalCentered="false" verticalCentered="false"/>
  <pageMargins left="0.95" right="0.159722222222222" top="0.4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2024-11-23T01:27:50Z</dcterms:created>
  <dc:creator>Microsoft Cop.</dc:creator>
  <dc:description/>
  <dc:language>en-US</dc:language>
  <cp:lastModifiedBy>Microsoft Cop.</cp:lastModifiedBy>
  <cp:lastPrinted>2025-10-21T07:16:07Z</cp:lastPrinted>
  <dcterms:modified xsi:type="dcterms:W3CDTF">2026-10-13T06:36:35Z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